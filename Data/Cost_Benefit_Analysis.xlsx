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hidePivotFieldList="1" defaultThemeVersion="202300"/>
  <mc:AlternateContent xmlns:mc="http://schemas.openxmlformats.org/markup-compatibility/2006">
    <mc:Choice Requires="x15">
      <x15ac:absPath xmlns:x15ac="http://schemas.microsoft.com/office/spreadsheetml/2010/11/ac" url="/Users/reeyarandhawa/Downloads/TRUE Credits/"/>
    </mc:Choice>
  </mc:AlternateContent>
  <xr:revisionPtr revIDLastSave="0" documentId="13_ncr:1_{A1ED9B42-D0CA-1649-A765-C4CD31F7FFB8}" xr6:coauthVersionLast="47" xr6:coauthVersionMax="47" xr10:uidLastSave="{00000000-0000-0000-0000-000000000000}"/>
  <bookViews>
    <workbookView xWindow="0" yWindow="660" windowWidth="29400" windowHeight="18460" activeTab="1" xr2:uid="{29EAA710-0B8D-4D96-BE2A-925EF1AABAB0}"/>
  </bookViews>
  <sheets>
    <sheet name="Detail1" sheetId="7" state="hidden" r:id="rId1"/>
    <sheet name="Entire Project Overiew" sheetId="13" r:id="rId2"/>
    <sheet name="Monthly $ Break Down (TRUE)" sheetId="16" r:id="rId3"/>
    <sheet name="Monthly $ Break Down (wo TRUE(" sheetId="18" r:id="rId4"/>
    <sheet name="12 months" sheetId="15" r:id="rId5"/>
    <sheet name="Reusable Bunkers" sheetId="19" r:id="rId6"/>
    <sheet name="Monthly Values Cleaned" sheetId="11" r:id="rId7"/>
    <sheet name="Monthly Break Down (Pivot Tbl)" sheetId="4" r:id="rId8"/>
    <sheet name="Raw Data" sheetId="2" r:id="rId9"/>
    <sheet name="Detail2" sheetId="10" state="hidden" r:id="rId10"/>
  </sheets>
  <definedNames>
    <definedName name="_xlnm._FilterDatabase" localSheetId="8" hidden="1">'Raw Data'!$A$10:$CS$1217</definedName>
  </definedNames>
  <calcPr calcId="191029"/>
  <pivotCaches>
    <pivotCache cacheId="2" r:id="rId1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4" i="18" l="1"/>
  <c r="AW5" i="18"/>
  <c r="AW5" i="16"/>
  <c r="B8" i="19"/>
  <c r="H41" i="13"/>
  <c r="B41" i="13"/>
  <c r="H40" i="13"/>
  <c r="B37" i="13"/>
  <c r="B40" i="13" s="1"/>
  <c r="B42" i="13" s="1"/>
  <c r="H7" i="19"/>
  <c r="H8" i="19"/>
  <c r="B4" i="19"/>
  <c r="B7" i="19" s="1"/>
  <c r="AQ24" i="18"/>
  <c r="AQ25" i="18"/>
  <c r="C26" i="18"/>
  <c r="D26" i="18"/>
  <c r="E26" i="18"/>
  <c r="F26" i="18"/>
  <c r="G26" i="18"/>
  <c r="H26" i="18"/>
  <c r="I26" i="18"/>
  <c r="J26" i="18"/>
  <c r="K26" i="18"/>
  <c r="L26" i="18"/>
  <c r="M26" i="18"/>
  <c r="N26" i="18"/>
  <c r="O26" i="18"/>
  <c r="P26" i="18"/>
  <c r="Q26" i="18"/>
  <c r="R26" i="18"/>
  <c r="S26" i="18"/>
  <c r="T26" i="18"/>
  <c r="U26" i="18"/>
  <c r="V26" i="18"/>
  <c r="W26" i="18"/>
  <c r="X26" i="18"/>
  <c r="Y26" i="18"/>
  <c r="Z26" i="18"/>
  <c r="AA26" i="18"/>
  <c r="AB26" i="18"/>
  <c r="AC26" i="18"/>
  <c r="AD26" i="18"/>
  <c r="AE26" i="18"/>
  <c r="AF26" i="18"/>
  <c r="AG26" i="18"/>
  <c r="AH26" i="18"/>
  <c r="AI26" i="18"/>
  <c r="AJ26" i="18"/>
  <c r="AK26" i="18"/>
  <c r="AL26" i="18"/>
  <c r="AM26" i="18"/>
  <c r="AN26" i="18"/>
  <c r="AO26" i="18"/>
  <c r="AP26" i="18"/>
  <c r="B26" i="18"/>
  <c r="AQ23" i="18"/>
  <c r="AQ22" i="18"/>
  <c r="AQ21" i="18"/>
  <c r="AQ20" i="18"/>
  <c r="AQ19" i="18"/>
  <c r="AQ18" i="18"/>
  <c r="AQ17" i="18"/>
  <c r="AQ16" i="18"/>
  <c r="AQ15" i="18"/>
  <c r="AQ14" i="18"/>
  <c r="AQ13" i="18"/>
  <c r="AQ12" i="18"/>
  <c r="AQ11" i="18"/>
  <c r="AP7" i="18"/>
  <c r="AP8" i="18" s="1"/>
  <c r="AP31" i="18" s="1"/>
  <c r="AO7" i="18"/>
  <c r="AO8" i="18" s="1"/>
  <c r="AO31" i="18" s="1"/>
  <c r="AN7" i="18"/>
  <c r="AN8" i="18" s="1"/>
  <c r="AN31" i="18" s="1"/>
  <c r="AM7" i="18"/>
  <c r="AM8" i="18" s="1"/>
  <c r="AM31" i="18" s="1"/>
  <c r="AL7" i="18"/>
  <c r="AL8" i="18" s="1"/>
  <c r="AL31" i="18" s="1"/>
  <c r="AK7" i="18"/>
  <c r="AK8" i="18" s="1"/>
  <c r="AK31" i="18" s="1"/>
  <c r="AJ7" i="18"/>
  <c r="AJ8" i="18" s="1"/>
  <c r="AJ31" i="18" s="1"/>
  <c r="AI7" i="18"/>
  <c r="AI8" i="18" s="1"/>
  <c r="AI31" i="18" s="1"/>
  <c r="AH7" i="18"/>
  <c r="AH8" i="18" s="1"/>
  <c r="AH31" i="18" s="1"/>
  <c r="AG7" i="18"/>
  <c r="AG8" i="18" s="1"/>
  <c r="AG31" i="18" s="1"/>
  <c r="AF7" i="18"/>
  <c r="AF8" i="18" s="1"/>
  <c r="AF31" i="18" s="1"/>
  <c r="AE7" i="18"/>
  <c r="AE8" i="18" s="1"/>
  <c r="AE31" i="18" s="1"/>
  <c r="AD7" i="18"/>
  <c r="AD8" i="18" s="1"/>
  <c r="AD31" i="18" s="1"/>
  <c r="AC7" i="18"/>
  <c r="AC8" i="18" s="1"/>
  <c r="AC31" i="18" s="1"/>
  <c r="AB7" i="18"/>
  <c r="AB8" i="18" s="1"/>
  <c r="AB31" i="18" s="1"/>
  <c r="AA7" i="18"/>
  <c r="AA8" i="18" s="1"/>
  <c r="AA31" i="18" s="1"/>
  <c r="Z7" i="18"/>
  <c r="Z8" i="18" s="1"/>
  <c r="Z31" i="18" s="1"/>
  <c r="Y7" i="18"/>
  <c r="Y8" i="18" s="1"/>
  <c r="Y31" i="18" s="1"/>
  <c r="X7" i="18"/>
  <c r="X8" i="18" s="1"/>
  <c r="X31" i="18" s="1"/>
  <c r="W7" i="18"/>
  <c r="W8" i="18" s="1"/>
  <c r="W31" i="18" s="1"/>
  <c r="V7" i="18"/>
  <c r="V8" i="18" s="1"/>
  <c r="V31" i="18" s="1"/>
  <c r="U7" i="18"/>
  <c r="U8" i="18" s="1"/>
  <c r="U31" i="18" s="1"/>
  <c r="T7" i="18"/>
  <c r="T8" i="18" s="1"/>
  <c r="T31" i="18" s="1"/>
  <c r="S7" i="18"/>
  <c r="S8" i="18" s="1"/>
  <c r="S31" i="18" s="1"/>
  <c r="R7" i="18"/>
  <c r="R8" i="18" s="1"/>
  <c r="R31" i="18" s="1"/>
  <c r="Q7" i="18"/>
  <c r="Q8" i="18" s="1"/>
  <c r="Q31" i="18" s="1"/>
  <c r="P7" i="18"/>
  <c r="P8" i="18" s="1"/>
  <c r="P31" i="18" s="1"/>
  <c r="O7" i="18"/>
  <c r="O8" i="18" s="1"/>
  <c r="O31" i="18" s="1"/>
  <c r="N7" i="18"/>
  <c r="N8" i="18" s="1"/>
  <c r="N31" i="18" s="1"/>
  <c r="M7" i="18"/>
  <c r="M8" i="18" s="1"/>
  <c r="M31" i="18" s="1"/>
  <c r="L7" i="18"/>
  <c r="L8" i="18" s="1"/>
  <c r="L31" i="18" s="1"/>
  <c r="K7" i="18"/>
  <c r="K8" i="18" s="1"/>
  <c r="K31" i="18" s="1"/>
  <c r="J7" i="18"/>
  <c r="J8" i="18" s="1"/>
  <c r="J31" i="18" s="1"/>
  <c r="I7" i="18"/>
  <c r="I8" i="18" s="1"/>
  <c r="I31" i="18" s="1"/>
  <c r="H7" i="18"/>
  <c r="H8" i="18" s="1"/>
  <c r="H31" i="18" s="1"/>
  <c r="G7" i="18"/>
  <c r="G8" i="18" s="1"/>
  <c r="G31" i="18" s="1"/>
  <c r="F7" i="18"/>
  <c r="F8" i="18" s="1"/>
  <c r="F31" i="18" s="1"/>
  <c r="E7" i="18"/>
  <c r="E8" i="18" s="1"/>
  <c r="E31" i="18" s="1"/>
  <c r="D7" i="18"/>
  <c r="D8" i="18" s="1"/>
  <c r="D31" i="18" s="1"/>
  <c r="C7" i="18"/>
  <c r="C8" i="18" s="1"/>
  <c r="C31" i="18" s="1"/>
  <c r="B7" i="18"/>
  <c r="Z18" i="16"/>
  <c r="A11" i="13"/>
  <c r="AQ34" i="16"/>
  <c r="B58" i="16"/>
  <c r="C58" i="16"/>
  <c r="D58" i="16"/>
  <c r="E58" i="16"/>
  <c r="F58" i="16"/>
  <c r="G58" i="16"/>
  <c r="H58" i="16"/>
  <c r="I58" i="16"/>
  <c r="J58" i="16"/>
  <c r="K58" i="16"/>
  <c r="L58" i="16"/>
  <c r="M58" i="16"/>
  <c r="N58" i="16"/>
  <c r="O58" i="16"/>
  <c r="P58" i="16"/>
  <c r="Q58" i="16"/>
  <c r="R58" i="16"/>
  <c r="S58" i="16"/>
  <c r="T58" i="16"/>
  <c r="U58" i="16"/>
  <c r="V58" i="16"/>
  <c r="W58" i="16"/>
  <c r="X58" i="16"/>
  <c r="Y58" i="16"/>
  <c r="Z58" i="16"/>
  <c r="AA58" i="16"/>
  <c r="AB58" i="16"/>
  <c r="AC58" i="16"/>
  <c r="AD58" i="16"/>
  <c r="B53" i="16"/>
  <c r="C53" i="16"/>
  <c r="D53" i="16"/>
  <c r="E53" i="16"/>
  <c r="F53" i="16"/>
  <c r="G53" i="16"/>
  <c r="H53" i="16"/>
  <c r="I53" i="16"/>
  <c r="J53" i="16"/>
  <c r="K53" i="16"/>
  <c r="L53" i="16"/>
  <c r="M53" i="16"/>
  <c r="N53" i="16"/>
  <c r="O53" i="16"/>
  <c r="P53" i="16"/>
  <c r="Q53" i="16"/>
  <c r="R53" i="16"/>
  <c r="S53" i="16"/>
  <c r="T53" i="16"/>
  <c r="U53" i="16"/>
  <c r="V53" i="16"/>
  <c r="W53" i="16"/>
  <c r="X53" i="16"/>
  <c r="Y53" i="16"/>
  <c r="Z53" i="16"/>
  <c r="AA53" i="16"/>
  <c r="AB53" i="16"/>
  <c r="AC53" i="16"/>
  <c r="AD53" i="16"/>
  <c r="B48" i="16"/>
  <c r="C48" i="16"/>
  <c r="D48" i="16"/>
  <c r="E48" i="16"/>
  <c r="F48" i="16"/>
  <c r="G48" i="16"/>
  <c r="H48" i="16"/>
  <c r="I48" i="16"/>
  <c r="J48" i="16"/>
  <c r="K48" i="16"/>
  <c r="L48" i="16"/>
  <c r="M48" i="16"/>
  <c r="N48" i="16"/>
  <c r="O48" i="16"/>
  <c r="P48" i="16"/>
  <c r="Q48" i="16"/>
  <c r="R48" i="16"/>
  <c r="S48" i="16"/>
  <c r="T48" i="16"/>
  <c r="U48" i="16"/>
  <c r="V48" i="16"/>
  <c r="W48" i="16"/>
  <c r="X48" i="16"/>
  <c r="Y48" i="16"/>
  <c r="Z48" i="16"/>
  <c r="AA48" i="16"/>
  <c r="AB48" i="16"/>
  <c r="AC48" i="16"/>
  <c r="AD48" i="16"/>
  <c r="B41" i="16"/>
  <c r="C41" i="16"/>
  <c r="D41" i="16"/>
  <c r="E41" i="16"/>
  <c r="F41" i="16"/>
  <c r="G41" i="16"/>
  <c r="H41" i="16"/>
  <c r="I41" i="16"/>
  <c r="J41" i="16"/>
  <c r="K41" i="16"/>
  <c r="L41" i="16"/>
  <c r="M41" i="16"/>
  <c r="N41" i="16"/>
  <c r="O41" i="16"/>
  <c r="P41" i="16"/>
  <c r="Q41" i="16"/>
  <c r="R41" i="16"/>
  <c r="S41" i="16"/>
  <c r="T41" i="16"/>
  <c r="U41" i="16"/>
  <c r="V41" i="16"/>
  <c r="W41" i="16"/>
  <c r="X41" i="16"/>
  <c r="Y41" i="16"/>
  <c r="Z41" i="16"/>
  <c r="AA41" i="16"/>
  <c r="AB41" i="16"/>
  <c r="AC41" i="16"/>
  <c r="AD41" i="16"/>
  <c r="B35" i="16"/>
  <c r="C35" i="16"/>
  <c r="D35" i="16"/>
  <c r="E35" i="16"/>
  <c r="F35" i="16"/>
  <c r="G35" i="16"/>
  <c r="H35" i="16"/>
  <c r="I35" i="16"/>
  <c r="J35" i="16"/>
  <c r="K35" i="16"/>
  <c r="L35" i="16"/>
  <c r="M35" i="16"/>
  <c r="N35" i="16"/>
  <c r="O35" i="16"/>
  <c r="P35" i="16"/>
  <c r="Q35" i="16"/>
  <c r="R35" i="16"/>
  <c r="S35" i="16"/>
  <c r="T35" i="16"/>
  <c r="U35" i="16"/>
  <c r="V35" i="16"/>
  <c r="W35" i="16"/>
  <c r="X35" i="16"/>
  <c r="Y35" i="16"/>
  <c r="Z35" i="16"/>
  <c r="AA35" i="16"/>
  <c r="AB35" i="16"/>
  <c r="AC35" i="16"/>
  <c r="AD35" i="16"/>
  <c r="B30" i="16"/>
  <c r="C30" i="16"/>
  <c r="D30" i="16"/>
  <c r="E30" i="16"/>
  <c r="F30" i="16"/>
  <c r="G30" i="16"/>
  <c r="H30" i="16"/>
  <c r="I30" i="16"/>
  <c r="J30" i="16"/>
  <c r="K30" i="16"/>
  <c r="L30" i="16"/>
  <c r="M30" i="16"/>
  <c r="N30" i="16"/>
  <c r="O30" i="16"/>
  <c r="P30" i="16"/>
  <c r="Q30" i="16"/>
  <c r="R30" i="16"/>
  <c r="S30" i="16"/>
  <c r="T30" i="16"/>
  <c r="U30" i="16"/>
  <c r="V30" i="16"/>
  <c r="W30" i="16"/>
  <c r="X30" i="16"/>
  <c r="Y30" i="16"/>
  <c r="Z30" i="16"/>
  <c r="AA30" i="16"/>
  <c r="AB30" i="16"/>
  <c r="AC30" i="16"/>
  <c r="AD30" i="16"/>
  <c r="B22" i="16"/>
  <c r="C22" i="16"/>
  <c r="D22" i="16"/>
  <c r="D23" i="16" s="1"/>
  <c r="E22" i="16"/>
  <c r="E23" i="16" s="1"/>
  <c r="F22" i="16"/>
  <c r="F23" i="16" s="1"/>
  <c r="G22" i="16"/>
  <c r="G23" i="16" s="1"/>
  <c r="H22" i="16"/>
  <c r="H23" i="16" s="1"/>
  <c r="I22" i="16"/>
  <c r="I23" i="16" s="1"/>
  <c r="J22" i="16"/>
  <c r="K22" i="16"/>
  <c r="L22" i="16"/>
  <c r="M22" i="16"/>
  <c r="M23" i="16" s="1"/>
  <c r="N22" i="16"/>
  <c r="N23" i="16" s="1"/>
  <c r="O22" i="16"/>
  <c r="O23" i="16" s="1"/>
  <c r="P22" i="16"/>
  <c r="P23" i="16" s="1"/>
  <c r="Q22" i="16"/>
  <c r="R22" i="16"/>
  <c r="R23" i="16" s="1"/>
  <c r="S22" i="16"/>
  <c r="T22" i="16"/>
  <c r="T23" i="16" s="1"/>
  <c r="U22" i="16"/>
  <c r="U23" i="16" s="1"/>
  <c r="V22" i="16"/>
  <c r="V23" i="16" s="1"/>
  <c r="W22" i="16"/>
  <c r="W23" i="16" s="1"/>
  <c r="X22" i="16"/>
  <c r="Y22" i="16"/>
  <c r="Z22" i="16"/>
  <c r="Z23" i="16" s="1"/>
  <c r="AA22" i="16"/>
  <c r="AB22" i="16"/>
  <c r="AB23" i="16" s="1"/>
  <c r="AC22" i="16"/>
  <c r="AC23" i="16" s="1"/>
  <c r="AD22" i="16"/>
  <c r="AD23" i="16" s="1"/>
  <c r="B23" i="16"/>
  <c r="C23" i="16"/>
  <c r="J23" i="16"/>
  <c r="K23" i="16"/>
  <c r="L23" i="16"/>
  <c r="Q23" i="16"/>
  <c r="S23" i="16"/>
  <c r="X23" i="16"/>
  <c r="Y23" i="16"/>
  <c r="AA23" i="16"/>
  <c r="B17" i="16"/>
  <c r="B18" i="16" s="1"/>
  <c r="C17" i="16"/>
  <c r="C18" i="16" s="1"/>
  <c r="D17" i="16"/>
  <c r="D18" i="16" s="1"/>
  <c r="E17" i="16"/>
  <c r="E18" i="16" s="1"/>
  <c r="F17" i="16"/>
  <c r="F18" i="16" s="1"/>
  <c r="G17" i="16"/>
  <c r="G18" i="16" s="1"/>
  <c r="H17" i="16"/>
  <c r="H18" i="16" s="1"/>
  <c r="I17" i="16"/>
  <c r="I18" i="16" s="1"/>
  <c r="J17" i="16"/>
  <c r="J18" i="16" s="1"/>
  <c r="K17" i="16"/>
  <c r="K18" i="16" s="1"/>
  <c r="L17" i="16"/>
  <c r="M17" i="16"/>
  <c r="M18" i="16" s="1"/>
  <c r="N17" i="16"/>
  <c r="N18" i="16" s="1"/>
  <c r="O17" i="16"/>
  <c r="O18" i="16" s="1"/>
  <c r="P17" i="16"/>
  <c r="Q17" i="16"/>
  <c r="Q18" i="16" s="1"/>
  <c r="R17" i="16"/>
  <c r="S17" i="16"/>
  <c r="T17" i="16"/>
  <c r="T18" i="16" s="1"/>
  <c r="U17" i="16"/>
  <c r="U18" i="16" s="1"/>
  <c r="V17" i="16"/>
  <c r="V18" i="16" s="1"/>
  <c r="W17" i="16"/>
  <c r="W18" i="16" s="1"/>
  <c r="X17" i="16"/>
  <c r="Y17" i="16"/>
  <c r="Y18" i="16" s="1"/>
  <c r="Z17" i="16"/>
  <c r="AA17" i="16"/>
  <c r="AB17" i="16"/>
  <c r="AB18" i="16" s="1"/>
  <c r="AC17" i="16"/>
  <c r="AC18" i="16" s="1"/>
  <c r="AD17" i="16"/>
  <c r="AD18" i="16" s="1"/>
  <c r="L18" i="16"/>
  <c r="P18" i="16"/>
  <c r="R18" i="16"/>
  <c r="S18" i="16"/>
  <c r="X18" i="16"/>
  <c r="AA18" i="16"/>
  <c r="B12" i="16"/>
  <c r="B13" i="16" s="1"/>
  <c r="C12" i="16"/>
  <c r="C13" i="16" s="1"/>
  <c r="D12" i="16"/>
  <c r="D13" i="16" s="1"/>
  <c r="E12" i="16"/>
  <c r="E13" i="16" s="1"/>
  <c r="F12" i="16"/>
  <c r="F13" i="16" s="1"/>
  <c r="G12" i="16"/>
  <c r="G13" i="16" s="1"/>
  <c r="H12" i="16"/>
  <c r="H13" i="16" s="1"/>
  <c r="I12" i="16"/>
  <c r="I13" i="16" s="1"/>
  <c r="J12" i="16"/>
  <c r="K12" i="16"/>
  <c r="K13" i="16" s="1"/>
  <c r="L12" i="16"/>
  <c r="L13" i="16" s="1"/>
  <c r="M12" i="16"/>
  <c r="N12" i="16"/>
  <c r="N13" i="16" s="1"/>
  <c r="O12" i="16"/>
  <c r="O13" i="16" s="1"/>
  <c r="P12" i="16"/>
  <c r="P13" i="16" s="1"/>
  <c r="Q12" i="16"/>
  <c r="Q13" i="16" s="1"/>
  <c r="R12" i="16"/>
  <c r="S12" i="16"/>
  <c r="S13" i="16" s="1"/>
  <c r="T12" i="16"/>
  <c r="T13" i="16" s="1"/>
  <c r="U12" i="16"/>
  <c r="U13" i="16" s="1"/>
  <c r="V12" i="16"/>
  <c r="V13" i="16" s="1"/>
  <c r="W12" i="16"/>
  <c r="W13" i="16" s="1"/>
  <c r="X12" i="16"/>
  <c r="X13" i="16" s="1"/>
  <c r="Y12" i="16"/>
  <c r="Y13" i="16" s="1"/>
  <c r="Z12" i="16"/>
  <c r="Z13" i="16" s="1"/>
  <c r="AA12" i="16"/>
  <c r="AA13" i="16" s="1"/>
  <c r="AB12" i="16"/>
  <c r="AB13" i="16" s="1"/>
  <c r="AC12" i="16"/>
  <c r="AD12" i="16"/>
  <c r="AD13" i="16" s="1"/>
  <c r="J13" i="16"/>
  <c r="M13" i="16"/>
  <c r="R13" i="16"/>
  <c r="AC13" i="16"/>
  <c r="AQ57" i="16"/>
  <c r="AQ52" i="16"/>
  <c r="AQ47" i="16"/>
  <c r="AQ46" i="16"/>
  <c r="AQ45" i="16"/>
  <c r="AQ40" i="16"/>
  <c r="AQ39" i="16"/>
  <c r="AQ29" i="16"/>
  <c r="AQ28" i="16"/>
  <c r="AQ27" i="16"/>
  <c r="AQ26" i="16"/>
  <c r="AQ21" i="16"/>
  <c r="AQ16" i="16"/>
  <c r="AQ11" i="16"/>
  <c r="AP7" i="16"/>
  <c r="AP8" i="16" s="1"/>
  <c r="AP63" i="16" s="1"/>
  <c r="AO7" i="16"/>
  <c r="AO8" i="16" s="1"/>
  <c r="AO63" i="16" s="1"/>
  <c r="AN7" i="16"/>
  <c r="AN8" i="16" s="1"/>
  <c r="AN63" i="16" s="1"/>
  <c r="AM7" i="16"/>
  <c r="AM8" i="16" s="1"/>
  <c r="AM63" i="16" s="1"/>
  <c r="AL7" i="16"/>
  <c r="AL8" i="16" s="1"/>
  <c r="AL63" i="16" s="1"/>
  <c r="AK7" i="16"/>
  <c r="AJ7" i="16"/>
  <c r="AJ8" i="16" s="1"/>
  <c r="AJ63" i="16" s="1"/>
  <c r="AI7" i="16"/>
  <c r="AI8" i="16" s="1"/>
  <c r="AI63" i="16" s="1"/>
  <c r="AH7" i="16"/>
  <c r="AH8" i="16" s="1"/>
  <c r="AH63" i="16" s="1"/>
  <c r="AG7" i="16"/>
  <c r="AG8" i="16" s="1"/>
  <c r="AG63" i="16" s="1"/>
  <c r="AF7" i="16"/>
  <c r="AF8" i="16" s="1"/>
  <c r="AF63" i="16" s="1"/>
  <c r="AE7" i="16"/>
  <c r="AE8" i="16" s="1"/>
  <c r="AE63" i="16" s="1"/>
  <c r="AD7" i="16"/>
  <c r="AD8" i="16" s="1"/>
  <c r="AD63" i="16" s="1"/>
  <c r="AC7" i="16"/>
  <c r="AC8" i="16" s="1"/>
  <c r="AC63" i="16" s="1"/>
  <c r="AB7" i="16"/>
  <c r="AB8" i="16" s="1"/>
  <c r="AB63" i="16" s="1"/>
  <c r="AA7" i="16"/>
  <c r="AA8" i="16" s="1"/>
  <c r="AA63" i="16" s="1"/>
  <c r="Z7" i="16"/>
  <c r="Z8" i="16" s="1"/>
  <c r="Z63" i="16" s="1"/>
  <c r="X7" i="16"/>
  <c r="X8" i="16" s="1"/>
  <c r="X63" i="16" s="1"/>
  <c r="Y7" i="16"/>
  <c r="Y8" i="16" s="1"/>
  <c r="Y63" i="16" s="1"/>
  <c r="W7" i="16"/>
  <c r="W8" i="16" s="1"/>
  <c r="W63" i="16" s="1"/>
  <c r="V7" i="16"/>
  <c r="V8" i="16" s="1"/>
  <c r="V63" i="16" s="1"/>
  <c r="U7" i="16"/>
  <c r="U8" i="16" s="1"/>
  <c r="U63" i="16" s="1"/>
  <c r="T7" i="16"/>
  <c r="T8" i="16" s="1"/>
  <c r="T63" i="16" s="1"/>
  <c r="S7" i="16"/>
  <c r="S8" i="16" s="1"/>
  <c r="S63" i="16" s="1"/>
  <c r="R7" i="16"/>
  <c r="R8" i="16" s="1"/>
  <c r="R63" i="16" s="1"/>
  <c r="Q7" i="16"/>
  <c r="Q8" i="16" s="1"/>
  <c r="Q63" i="16" s="1"/>
  <c r="P7" i="16"/>
  <c r="P8" i="16" s="1"/>
  <c r="P63" i="16" s="1"/>
  <c r="O7" i="16"/>
  <c r="O8" i="16" s="1"/>
  <c r="O63" i="16" s="1"/>
  <c r="M7" i="16"/>
  <c r="M8" i="16" s="1"/>
  <c r="M63" i="16" s="1"/>
  <c r="N7" i="16"/>
  <c r="N8" i="16" s="1"/>
  <c r="N63" i="16" s="1"/>
  <c r="L7" i="16"/>
  <c r="L8" i="16" s="1"/>
  <c r="L63" i="16" s="1"/>
  <c r="K7" i="16"/>
  <c r="K8" i="16" s="1"/>
  <c r="K63" i="16" s="1"/>
  <c r="J7" i="16"/>
  <c r="J8" i="16" s="1"/>
  <c r="J63" i="16" s="1"/>
  <c r="I7" i="16"/>
  <c r="I8" i="16" s="1"/>
  <c r="I63" i="16" s="1"/>
  <c r="H7" i="16"/>
  <c r="H8" i="16" s="1"/>
  <c r="H63" i="16" s="1"/>
  <c r="G7" i="16"/>
  <c r="G8" i="16" s="1"/>
  <c r="G63" i="16" s="1"/>
  <c r="F7" i="16"/>
  <c r="F8" i="16" s="1"/>
  <c r="F63" i="16" s="1"/>
  <c r="E7" i="16"/>
  <c r="E8" i="16" s="1"/>
  <c r="E63" i="16" s="1"/>
  <c r="D7" i="16"/>
  <c r="D8" i="16" s="1"/>
  <c r="D63" i="16" s="1"/>
  <c r="C7" i="16"/>
  <c r="C8" i="16" s="1"/>
  <c r="C63" i="16" s="1"/>
  <c r="B7" i="16"/>
  <c r="B8" i="16" s="1"/>
  <c r="B63" i="16" s="1"/>
  <c r="Q12" i="15"/>
  <c r="D13" i="15"/>
  <c r="AP58" i="16"/>
  <c r="AO58" i="16"/>
  <c r="AN58" i="16"/>
  <c r="AM58" i="16"/>
  <c r="AL58" i="16"/>
  <c r="AK58" i="16"/>
  <c r="AJ58" i="16"/>
  <c r="AI58" i="16"/>
  <c r="AH58" i="16"/>
  <c r="AG58" i="16"/>
  <c r="AF58" i="16"/>
  <c r="AE58" i="16"/>
  <c r="AP53" i="16"/>
  <c r="AO53" i="16"/>
  <c r="AN53" i="16"/>
  <c r="AM53" i="16"/>
  <c r="AL53" i="16"/>
  <c r="AK53" i="16"/>
  <c r="AJ53" i="16"/>
  <c r="AI53" i="16"/>
  <c r="AH53" i="16"/>
  <c r="AG53" i="16"/>
  <c r="AF53" i="16"/>
  <c r="AE53" i="16"/>
  <c r="AP48" i="16"/>
  <c r="AO48" i="16"/>
  <c r="AN48" i="16"/>
  <c r="AM48" i="16"/>
  <c r="AL48" i="16"/>
  <c r="AK48" i="16"/>
  <c r="AJ48" i="16"/>
  <c r="AI48" i="16"/>
  <c r="AH48" i="16"/>
  <c r="AG48" i="16"/>
  <c r="AF48" i="16"/>
  <c r="AE48" i="16"/>
  <c r="AP41" i="16"/>
  <c r="AO41" i="16"/>
  <c r="AN41" i="16"/>
  <c r="AM41" i="16"/>
  <c r="AL41" i="16"/>
  <c r="AK41" i="16"/>
  <c r="AJ41" i="16"/>
  <c r="AI41" i="16"/>
  <c r="AH41" i="16"/>
  <c r="AG41" i="16"/>
  <c r="AF41" i="16"/>
  <c r="AE41" i="16"/>
  <c r="AP35" i="16"/>
  <c r="AO35" i="16"/>
  <c r="AN35" i="16"/>
  <c r="AM35" i="16"/>
  <c r="AL35" i="16"/>
  <c r="AK35" i="16"/>
  <c r="AJ35" i="16"/>
  <c r="AI35" i="16"/>
  <c r="AH35" i="16"/>
  <c r="AG35" i="16"/>
  <c r="AF35" i="16"/>
  <c r="AE35" i="16"/>
  <c r="AP30" i="16"/>
  <c r="AO30" i="16"/>
  <c r="AN30" i="16"/>
  <c r="AM30" i="16"/>
  <c r="AL30" i="16"/>
  <c r="AK30" i="16"/>
  <c r="AJ30" i="16"/>
  <c r="AI30" i="16"/>
  <c r="AH30" i="16"/>
  <c r="AG30" i="16"/>
  <c r="AF30" i="16"/>
  <c r="AE30" i="16"/>
  <c r="AP22" i="16"/>
  <c r="AP23" i="16" s="1"/>
  <c r="AO22" i="16"/>
  <c r="AO23" i="16" s="1"/>
  <c r="AN22" i="16"/>
  <c r="AN23" i="16" s="1"/>
  <c r="AM22" i="16"/>
  <c r="AM23" i="16" s="1"/>
  <c r="AL22" i="16"/>
  <c r="AL23" i="16" s="1"/>
  <c r="AK22" i="16"/>
  <c r="AK23" i="16" s="1"/>
  <c r="AJ22" i="16"/>
  <c r="AJ23" i="16" s="1"/>
  <c r="AI22" i="16"/>
  <c r="AI23" i="16" s="1"/>
  <c r="AH22" i="16"/>
  <c r="AH23" i="16" s="1"/>
  <c r="AG22" i="16"/>
  <c r="AG23" i="16" s="1"/>
  <c r="AF22" i="16"/>
  <c r="AF23" i="16" s="1"/>
  <c r="AE22" i="16"/>
  <c r="AP17" i="16"/>
  <c r="AP18" i="16" s="1"/>
  <c r="AO17" i="16"/>
  <c r="AO18" i="16" s="1"/>
  <c r="AN17" i="16"/>
  <c r="AN18" i="16" s="1"/>
  <c r="AM17" i="16"/>
  <c r="AM18" i="16" s="1"/>
  <c r="AL17" i="16"/>
  <c r="AL18" i="16" s="1"/>
  <c r="AK17" i="16"/>
  <c r="AK18" i="16" s="1"/>
  <c r="AJ17" i="16"/>
  <c r="AJ18" i="16" s="1"/>
  <c r="AI17" i="16"/>
  <c r="AI18" i="16" s="1"/>
  <c r="AH17" i="16"/>
  <c r="AH18" i="16" s="1"/>
  <c r="AG17" i="16"/>
  <c r="AG18" i="16" s="1"/>
  <c r="AF17" i="16"/>
  <c r="AF18" i="16" s="1"/>
  <c r="AE17" i="16"/>
  <c r="AP12" i="16"/>
  <c r="AP13" i="16" s="1"/>
  <c r="AO12" i="16"/>
  <c r="AO13" i="16" s="1"/>
  <c r="AN12" i="16"/>
  <c r="AN13" i="16" s="1"/>
  <c r="AM12" i="16"/>
  <c r="AM13" i="16" s="1"/>
  <c r="AL12" i="16"/>
  <c r="AL13" i="16" s="1"/>
  <c r="AK12" i="16"/>
  <c r="AK13" i="16" s="1"/>
  <c r="AJ12" i="16"/>
  <c r="AJ13" i="16" s="1"/>
  <c r="AI12" i="16"/>
  <c r="AI13" i="16" s="1"/>
  <c r="AH12" i="16"/>
  <c r="AH13" i="16" s="1"/>
  <c r="AG12" i="16"/>
  <c r="AG13" i="16" s="1"/>
  <c r="AF12" i="16"/>
  <c r="AF13" i="16" s="1"/>
  <c r="AE12" i="16"/>
  <c r="G11" i="13"/>
  <c r="B11" i="13"/>
  <c r="H11" i="13"/>
  <c r="H16" i="13"/>
  <c r="H17" i="13"/>
  <c r="H18" i="13"/>
  <c r="H19" i="13"/>
  <c r="H20" i="13"/>
  <c r="H21" i="13"/>
  <c r="H22" i="13"/>
  <c r="H23" i="13"/>
  <c r="H24" i="13"/>
  <c r="H25" i="13"/>
  <c r="H26" i="13"/>
  <c r="H27" i="13"/>
  <c r="H28" i="13"/>
  <c r="H29" i="13"/>
  <c r="H15" i="13"/>
  <c r="AQ58" i="16" l="1"/>
  <c r="AQ7" i="16"/>
  <c r="H42" i="13"/>
  <c r="C11" i="13"/>
  <c r="B33" i="13" s="1"/>
  <c r="B9" i="19"/>
  <c r="D13" i="19" s="1"/>
  <c r="H9" i="19"/>
  <c r="D12" i="19" s="1"/>
  <c r="B8" i="18"/>
  <c r="AQ7" i="18"/>
  <c r="AQ26" i="18"/>
  <c r="AQ17" i="16"/>
  <c r="AQ53" i="16"/>
  <c r="AQ22" i="16"/>
  <c r="AQ12" i="16"/>
  <c r="AQ35" i="16"/>
  <c r="AQ41" i="16"/>
  <c r="AQ30" i="16"/>
  <c r="AQ48" i="16"/>
  <c r="AK8" i="16"/>
  <c r="AK63" i="16" s="1"/>
  <c r="AQ63" i="16" s="1"/>
  <c r="AE13" i="16"/>
  <c r="AE18" i="16"/>
  <c r="AQ18" i="16" s="1"/>
  <c r="AE23" i="16"/>
  <c r="AQ23" i="16" s="1"/>
  <c r="R31" i="15"/>
  <c r="S31" i="15"/>
  <c r="T31" i="15"/>
  <c r="U31" i="15"/>
  <c r="V31" i="15"/>
  <c r="W31" i="15"/>
  <c r="X31" i="15"/>
  <c r="Y31" i="15"/>
  <c r="Z31" i="15"/>
  <c r="AA31" i="15"/>
  <c r="AB31" i="15"/>
  <c r="Q31" i="15"/>
  <c r="AB12" i="15"/>
  <c r="AB13" i="15" s="1"/>
  <c r="AB36" i="15" s="1"/>
  <c r="AA12" i="15"/>
  <c r="AA13" i="15" s="1"/>
  <c r="AA36" i="15" s="1"/>
  <c r="Z12" i="15"/>
  <c r="Z13" i="15" s="1"/>
  <c r="Z36" i="15" s="1"/>
  <c r="X12" i="15"/>
  <c r="X13" i="15" s="1"/>
  <c r="X36" i="15" s="1"/>
  <c r="Y12" i="15"/>
  <c r="Y13" i="15" s="1"/>
  <c r="Y36" i="15" s="1"/>
  <c r="W12" i="15"/>
  <c r="W13" i="15" s="1"/>
  <c r="W36" i="15" s="1"/>
  <c r="V12" i="15"/>
  <c r="V13" i="15" s="1"/>
  <c r="V36" i="15" s="1"/>
  <c r="T12" i="15"/>
  <c r="T13" i="15" s="1"/>
  <c r="T36" i="15" s="1"/>
  <c r="U12" i="15"/>
  <c r="U13" i="15" s="1"/>
  <c r="U36" i="15" s="1"/>
  <c r="S12" i="15"/>
  <c r="S13" i="15" s="1"/>
  <c r="S36" i="15" s="1"/>
  <c r="R12" i="15"/>
  <c r="R13" i="15" s="1"/>
  <c r="R36" i="15" s="1"/>
  <c r="Q13" i="15"/>
  <c r="Q36" i="15" s="1"/>
  <c r="AC30" i="15"/>
  <c r="AC29" i="15"/>
  <c r="AC28" i="15"/>
  <c r="AC27" i="15"/>
  <c r="AC26" i="15"/>
  <c r="AC25" i="15"/>
  <c r="AC24" i="15"/>
  <c r="AC23" i="15"/>
  <c r="AC22" i="15"/>
  <c r="AC21" i="15"/>
  <c r="AC20" i="15"/>
  <c r="AC19" i="15"/>
  <c r="AC18" i="15"/>
  <c r="AC17" i="15"/>
  <c r="AC16" i="15"/>
  <c r="D14" i="19" l="1"/>
  <c r="AQ13" i="16"/>
  <c r="AQ8" i="16"/>
  <c r="B31" i="18"/>
  <c r="AQ31" i="18" s="1"/>
  <c r="AQ8" i="18"/>
  <c r="AC12" i="15"/>
  <c r="AC31" i="15"/>
  <c r="N21" i="15"/>
  <c r="B17" i="15"/>
  <c r="B18" i="15" s="1"/>
  <c r="B22" i="15"/>
  <c r="C22" i="15"/>
  <c r="C23" i="15" s="1"/>
  <c r="C63" i="15"/>
  <c r="D63" i="15"/>
  <c r="E63" i="15"/>
  <c r="F63" i="15"/>
  <c r="G63" i="15"/>
  <c r="H63" i="15"/>
  <c r="I63" i="15"/>
  <c r="J63" i="15"/>
  <c r="K63" i="15"/>
  <c r="L63" i="15"/>
  <c r="M63" i="15"/>
  <c r="B63" i="15"/>
  <c r="C58" i="15"/>
  <c r="D58" i="15"/>
  <c r="E58" i="15"/>
  <c r="F58" i="15"/>
  <c r="G58" i="15"/>
  <c r="H58" i="15"/>
  <c r="I58" i="15"/>
  <c r="J58" i="15"/>
  <c r="K58" i="15"/>
  <c r="L58" i="15"/>
  <c r="M58" i="15"/>
  <c r="B58" i="15"/>
  <c r="C53" i="15"/>
  <c r="D53" i="15"/>
  <c r="E53" i="15"/>
  <c r="F53" i="15"/>
  <c r="G53" i="15"/>
  <c r="H53" i="15"/>
  <c r="I53" i="15"/>
  <c r="J53" i="15"/>
  <c r="K53" i="15"/>
  <c r="L53" i="15"/>
  <c r="M53" i="15"/>
  <c r="B53" i="15"/>
  <c r="C46" i="15"/>
  <c r="D46" i="15"/>
  <c r="E46" i="15"/>
  <c r="F46" i="15"/>
  <c r="G46" i="15"/>
  <c r="H46" i="15"/>
  <c r="I46" i="15"/>
  <c r="J46" i="15"/>
  <c r="K46" i="15"/>
  <c r="L46" i="15"/>
  <c r="M46" i="15"/>
  <c r="B46" i="15"/>
  <c r="C40" i="15"/>
  <c r="D40" i="15"/>
  <c r="E40" i="15"/>
  <c r="F40" i="15"/>
  <c r="G40" i="15"/>
  <c r="H40" i="15"/>
  <c r="I40" i="15"/>
  <c r="J40" i="15"/>
  <c r="K40" i="15"/>
  <c r="L40" i="15"/>
  <c r="M40" i="15"/>
  <c r="B40" i="15"/>
  <c r="M35" i="15"/>
  <c r="C35" i="15"/>
  <c r="D35" i="15"/>
  <c r="E35" i="15"/>
  <c r="F35" i="15"/>
  <c r="G35" i="15"/>
  <c r="H35" i="15"/>
  <c r="I35" i="15"/>
  <c r="J35" i="15"/>
  <c r="K35" i="15"/>
  <c r="L35" i="15"/>
  <c r="B35" i="15"/>
  <c r="M17" i="15"/>
  <c r="M18" i="15" s="1"/>
  <c r="L17" i="15"/>
  <c r="L18" i="15" s="1"/>
  <c r="K17" i="15"/>
  <c r="K18" i="15" s="1"/>
  <c r="J17" i="15"/>
  <c r="J18" i="15" s="1"/>
  <c r="I17" i="15"/>
  <c r="I18" i="15" s="1"/>
  <c r="H17" i="15"/>
  <c r="H18" i="15" s="1"/>
  <c r="G17" i="15"/>
  <c r="G18" i="15" s="1"/>
  <c r="F17" i="15"/>
  <c r="F18" i="15" s="1"/>
  <c r="E17" i="15"/>
  <c r="E18" i="15" s="1"/>
  <c r="D17" i="15"/>
  <c r="D18" i="15" s="1"/>
  <c r="C17" i="15"/>
  <c r="C18" i="15" s="1"/>
  <c r="C27" i="15"/>
  <c r="C28" i="15" s="1"/>
  <c r="D27" i="15"/>
  <c r="D28" i="15" s="1"/>
  <c r="E27" i="15"/>
  <c r="E28" i="15" s="1"/>
  <c r="F27" i="15"/>
  <c r="F28" i="15" s="1"/>
  <c r="G27" i="15"/>
  <c r="G28" i="15" s="1"/>
  <c r="H27" i="15"/>
  <c r="H28" i="15" s="1"/>
  <c r="I27" i="15"/>
  <c r="I28" i="15" s="1"/>
  <c r="J27" i="15"/>
  <c r="J28" i="15" s="1"/>
  <c r="K27" i="15"/>
  <c r="K28" i="15" s="1"/>
  <c r="L27" i="15"/>
  <c r="L28" i="15" s="1"/>
  <c r="M27" i="15"/>
  <c r="M28" i="15" s="1"/>
  <c r="B27" i="15"/>
  <c r="D22" i="15"/>
  <c r="D23" i="15" s="1"/>
  <c r="E22" i="15"/>
  <c r="E23" i="15" s="1"/>
  <c r="F22" i="15"/>
  <c r="F23" i="15" s="1"/>
  <c r="G22" i="15"/>
  <c r="G23" i="15" s="1"/>
  <c r="H22" i="15"/>
  <c r="H23" i="15" s="1"/>
  <c r="I22" i="15"/>
  <c r="I23" i="15" s="1"/>
  <c r="J22" i="15"/>
  <c r="J23" i="15" s="1"/>
  <c r="K22" i="15"/>
  <c r="K23" i="15" s="1"/>
  <c r="L22" i="15"/>
  <c r="L23" i="15" s="1"/>
  <c r="M22" i="15"/>
  <c r="M23" i="15" s="1"/>
  <c r="N51" i="15"/>
  <c r="N52" i="15"/>
  <c r="N50" i="15"/>
  <c r="N62" i="15"/>
  <c r="N57" i="15"/>
  <c r="N45" i="15"/>
  <c r="N44" i="15"/>
  <c r="N39" i="15"/>
  <c r="N34" i="15"/>
  <c r="N33" i="15"/>
  <c r="N32" i="15"/>
  <c r="N31" i="15"/>
  <c r="N26" i="15"/>
  <c r="N16" i="15"/>
  <c r="B29" i="13"/>
  <c r="B28" i="13"/>
  <c r="B27" i="13"/>
  <c r="B26" i="13"/>
  <c r="B25" i="13"/>
  <c r="B24" i="13"/>
  <c r="B23" i="13"/>
  <c r="B22" i="13"/>
  <c r="B21" i="13"/>
  <c r="B20" i="13"/>
  <c r="B19" i="13"/>
  <c r="B18" i="13"/>
  <c r="B17" i="13"/>
  <c r="B16" i="13"/>
  <c r="B15" i="13"/>
  <c r="R21" i="13"/>
  <c r="R20" i="13"/>
  <c r="R19" i="13"/>
  <c r="R18" i="13"/>
  <c r="R17" i="13"/>
  <c r="R16" i="13"/>
  <c r="R15" i="13"/>
  <c r="X59" i="16" l="1" a="1"/>
  <c r="X59" i="16" s="1"/>
  <c r="P59" i="16" a="1"/>
  <c r="P59" i="16" s="1"/>
  <c r="G59" i="16" a="1"/>
  <c r="G59" i="16" s="1"/>
  <c r="AE59" i="16" a="1"/>
  <c r="AE59" i="16" s="1"/>
  <c r="AP59" i="16" a="1"/>
  <c r="AP59" i="16" s="1"/>
  <c r="AH59" i="16" a="1"/>
  <c r="AH59" i="16" s="1"/>
  <c r="AG59" i="16" a="1"/>
  <c r="AG59" i="16" s="1"/>
  <c r="W59" i="16" a="1"/>
  <c r="W59" i="16" s="1"/>
  <c r="N59" i="16" a="1"/>
  <c r="N59" i="16" s="1"/>
  <c r="H59" i="16" a="1"/>
  <c r="H59" i="16" s="1"/>
  <c r="D59" i="16" a="1"/>
  <c r="D59" i="16" s="1"/>
  <c r="AD59" i="16" a="1"/>
  <c r="AD59" i="16" s="1"/>
  <c r="V59" i="16" a="1"/>
  <c r="V59" i="16" s="1"/>
  <c r="O59" i="16" a="1"/>
  <c r="O59" i="16" s="1"/>
  <c r="F59" i="16" a="1"/>
  <c r="F59" i="16" s="1"/>
  <c r="AN59" i="16" a="1"/>
  <c r="AN59" i="16" s="1"/>
  <c r="AF59" i="16" a="1"/>
  <c r="AF59" i="16" s="1"/>
  <c r="AK59" i="16" a="1"/>
  <c r="AK59" i="16" s="1"/>
  <c r="AC59" i="16" a="1"/>
  <c r="AC59" i="16" s="1"/>
  <c r="U59" i="16" a="1"/>
  <c r="U59" i="16" s="1"/>
  <c r="M59" i="16" a="1"/>
  <c r="M59" i="16" s="1"/>
  <c r="E59" i="16" a="1"/>
  <c r="E59" i="16" s="1"/>
  <c r="AM59" i="16" a="1"/>
  <c r="AM59" i="16" s="1"/>
  <c r="AL59" i="16" a="1"/>
  <c r="AL59" i="16" s="1"/>
  <c r="S59" i="16" a="1"/>
  <c r="S59" i="16" s="1"/>
  <c r="AB59" i="16" a="1"/>
  <c r="AB59" i="16" s="1"/>
  <c r="T59" i="16" a="1"/>
  <c r="T59" i="16" s="1"/>
  <c r="L59" i="16" a="1"/>
  <c r="L59" i="16" s="1"/>
  <c r="K59" i="16" a="1"/>
  <c r="K59" i="16" s="1"/>
  <c r="AA59" i="16" a="1"/>
  <c r="AA59" i="16" s="1"/>
  <c r="Z59" i="16" a="1"/>
  <c r="Z59" i="16" s="1"/>
  <c r="R59" i="16" a="1"/>
  <c r="R59" i="16" s="1"/>
  <c r="J59" i="16" a="1"/>
  <c r="J59" i="16" s="1"/>
  <c r="C59" i="16" a="1"/>
  <c r="C59" i="16" s="1"/>
  <c r="AJ59" i="16" a="1"/>
  <c r="AJ59" i="16" s="1"/>
  <c r="Y59" i="16" a="1"/>
  <c r="Y59" i="16" s="1"/>
  <c r="Q59" i="16" a="1"/>
  <c r="Q59" i="16" s="1"/>
  <c r="I59" i="16" a="1"/>
  <c r="I59" i="16" s="1"/>
  <c r="B59" i="16" a="1"/>
  <c r="B59" i="16" s="1"/>
  <c r="AI59" i="16" a="1"/>
  <c r="AI59" i="16" s="1"/>
  <c r="AO59" i="16" a="1"/>
  <c r="AO59" i="16" s="1"/>
  <c r="K49" i="16"/>
  <c r="O49" i="16"/>
  <c r="S49" i="16"/>
  <c r="G49" i="16"/>
  <c r="Z49" i="16"/>
  <c r="I49" i="16"/>
  <c r="J49" i="16"/>
  <c r="M49" i="16"/>
  <c r="AA49" i="16"/>
  <c r="H49" i="16"/>
  <c r="AJ49" i="16"/>
  <c r="F49" i="16"/>
  <c r="C49" i="16"/>
  <c r="Y49" i="16"/>
  <c r="Q49" i="16"/>
  <c r="R49" i="16"/>
  <c r="W49" i="16"/>
  <c r="AD49" i="16"/>
  <c r="E49" i="16"/>
  <c r="AC49" i="16"/>
  <c r="B49" i="16"/>
  <c r="AO49" i="16"/>
  <c r="V49" i="16"/>
  <c r="L49" i="16"/>
  <c r="AG49" i="16"/>
  <c r="U49" i="16"/>
  <c r="AL49" i="16"/>
  <c r="AB49" i="16"/>
  <c r="T49" i="16"/>
  <c r="AH49" i="16"/>
  <c r="AF49" i="16"/>
  <c r="X49" i="16"/>
  <c r="AK49" i="16"/>
  <c r="AE49" i="16"/>
  <c r="AP49" i="16"/>
  <c r="AN49" i="16"/>
  <c r="P49" i="16"/>
  <c r="AI49" i="16"/>
  <c r="N49" i="16"/>
  <c r="D49" i="16"/>
  <c r="AM49" i="16"/>
  <c r="AL27" i="18"/>
  <c r="AL30" i="18" s="1"/>
  <c r="AL32" i="18" s="1"/>
  <c r="W27" i="18"/>
  <c r="W30" i="18" s="1"/>
  <c r="W32" i="18" s="1"/>
  <c r="L27" i="18"/>
  <c r="L30" i="18" s="1"/>
  <c r="L32" i="18" s="1"/>
  <c r="J31" i="16"/>
  <c r="AK27" i="18"/>
  <c r="AK30" i="18" s="1"/>
  <c r="AK32" i="18" s="1"/>
  <c r="V27" i="18"/>
  <c r="V30" i="18" s="1"/>
  <c r="V32" i="18" s="1"/>
  <c r="K27" i="18"/>
  <c r="K30" i="18" s="1"/>
  <c r="K32" i="18" s="1"/>
  <c r="AJ27" i="18"/>
  <c r="AJ30" i="18" s="1"/>
  <c r="AJ32" i="18" s="1"/>
  <c r="U27" i="18"/>
  <c r="U30" i="18" s="1"/>
  <c r="U32" i="18" s="1"/>
  <c r="D27" i="18"/>
  <c r="D30" i="18" s="1"/>
  <c r="D32" i="18" s="1"/>
  <c r="M31" i="16"/>
  <c r="AE27" i="18"/>
  <c r="AE30" i="18" s="1"/>
  <c r="AE32" i="18" s="1"/>
  <c r="T27" i="18"/>
  <c r="T30" i="18" s="1"/>
  <c r="T32" i="18" s="1"/>
  <c r="C27" i="18"/>
  <c r="C30" i="18" s="1"/>
  <c r="C32" i="18" s="1"/>
  <c r="U31" i="16"/>
  <c r="AA31" i="16"/>
  <c r="C31" i="16"/>
  <c r="AB31" i="16"/>
  <c r="AD27" i="18"/>
  <c r="AD30" i="18" s="1"/>
  <c r="AD32" i="18" s="1"/>
  <c r="S27" i="18"/>
  <c r="S30" i="18" s="1"/>
  <c r="S32" i="18" s="1"/>
  <c r="Z31" i="16"/>
  <c r="AC27" i="18"/>
  <c r="AC30" i="18" s="1"/>
  <c r="AC32" i="18" s="1"/>
  <c r="O27" i="18"/>
  <c r="O30" i="18" s="1"/>
  <c r="O32" i="18" s="1"/>
  <c r="F27" i="18"/>
  <c r="F30" i="18" s="1"/>
  <c r="F32" i="18" s="1"/>
  <c r="AB27" i="18"/>
  <c r="AB30" i="18" s="1"/>
  <c r="AB32" i="18" s="1"/>
  <c r="N27" i="18"/>
  <c r="N30" i="18" s="1"/>
  <c r="N32" i="18" s="1"/>
  <c r="E31" i="16"/>
  <c r="B27" i="18"/>
  <c r="AM27" i="18"/>
  <c r="AM30" i="18" s="1"/>
  <c r="AM32" i="18" s="1"/>
  <c r="AA27" i="18"/>
  <c r="AA30" i="18" s="1"/>
  <c r="AA32" i="18" s="1"/>
  <c r="M27" i="18"/>
  <c r="M30" i="18" s="1"/>
  <c r="M32" i="18" s="1"/>
  <c r="H31" i="16"/>
  <c r="L31" i="16"/>
  <c r="S31" i="16"/>
  <c r="AK31" i="16"/>
  <c r="I31" i="16"/>
  <c r="X31" i="16"/>
  <c r="O31" i="16"/>
  <c r="AP31" i="16"/>
  <c r="AM31" i="16"/>
  <c r="K31" i="16"/>
  <c r="P31" i="16"/>
  <c r="AO27" i="18"/>
  <c r="AO30" i="18" s="1"/>
  <c r="AO32" i="18" s="1"/>
  <c r="AN27" i="18"/>
  <c r="AN30" i="18" s="1"/>
  <c r="AN32" i="18" s="1"/>
  <c r="G27" i="18"/>
  <c r="G30" i="18" s="1"/>
  <c r="G32" i="18" s="1"/>
  <c r="G31" i="16"/>
  <c r="AD31" i="16"/>
  <c r="AG31" i="16"/>
  <c r="E27" i="18"/>
  <c r="E30" i="18" s="1"/>
  <c r="E32" i="18" s="1"/>
  <c r="R31" i="16"/>
  <c r="AJ31" i="16"/>
  <c r="AG27" i="18"/>
  <c r="AG30" i="18" s="1"/>
  <c r="AG32" i="18" s="1"/>
  <c r="AF27" i="18"/>
  <c r="AF30" i="18" s="1"/>
  <c r="AF32" i="18" s="1"/>
  <c r="V31" i="16"/>
  <c r="AO31" i="16"/>
  <c r="AI31" i="16"/>
  <c r="B31" i="16"/>
  <c r="H27" i="18"/>
  <c r="H30" i="18" s="1"/>
  <c r="H32" i="18" s="1"/>
  <c r="T31" i="16"/>
  <c r="AP27" i="18"/>
  <c r="AP30" i="18" s="1"/>
  <c r="AP32" i="18" s="1"/>
  <c r="Y27" i="18"/>
  <c r="Y30" i="18" s="1"/>
  <c r="Y32" i="18" s="1"/>
  <c r="X27" i="18"/>
  <c r="X30" i="18" s="1"/>
  <c r="X32" i="18" s="1"/>
  <c r="AE31" i="16"/>
  <c r="N31" i="16"/>
  <c r="Z27" i="18"/>
  <c r="Z30" i="18" s="1"/>
  <c r="Z32" i="18" s="1"/>
  <c r="AF31" i="16"/>
  <c r="D31" i="16"/>
  <c r="AH27" i="18"/>
  <c r="AH30" i="18" s="1"/>
  <c r="AH32" i="18" s="1"/>
  <c r="Q27" i="18"/>
  <c r="Q30" i="18" s="1"/>
  <c r="Q32" i="18" s="1"/>
  <c r="P27" i="18"/>
  <c r="P30" i="18" s="1"/>
  <c r="P32" i="18" s="1"/>
  <c r="F31" i="16"/>
  <c r="AI27" i="18"/>
  <c r="AI30" i="18" s="1"/>
  <c r="AI32" i="18" s="1"/>
  <c r="I27" i="18"/>
  <c r="I30" i="18" s="1"/>
  <c r="I32" i="18" s="1"/>
  <c r="W31" i="16"/>
  <c r="AN31" i="16"/>
  <c r="Y31" i="16"/>
  <c r="R27" i="18"/>
  <c r="R30" i="18" s="1"/>
  <c r="R32" i="18" s="1"/>
  <c r="AL31" i="16"/>
  <c r="Q31" i="16"/>
  <c r="J27" i="18"/>
  <c r="J30" i="18" s="1"/>
  <c r="J32" i="18" s="1"/>
  <c r="AC31" i="16"/>
  <c r="AH31" i="16"/>
  <c r="Z36" i="16"/>
  <c r="B36" i="16"/>
  <c r="J36" i="16"/>
  <c r="K36" i="16"/>
  <c r="R36" i="16"/>
  <c r="S36" i="16"/>
  <c r="Y36" i="16"/>
  <c r="AA36" i="16"/>
  <c r="C36" i="16"/>
  <c r="I36" i="16"/>
  <c r="AG36" i="16"/>
  <c r="AD36" i="16"/>
  <c r="AL36" i="16"/>
  <c r="X36" i="16"/>
  <c r="AO36" i="16"/>
  <c r="V36" i="16"/>
  <c r="AC36" i="16"/>
  <c r="AP36" i="16"/>
  <c r="AB36" i="16"/>
  <c r="G36" i="16"/>
  <c r="P36" i="16"/>
  <c r="AF36" i="16"/>
  <c r="N36" i="16"/>
  <c r="U36" i="16"/>
  <c r="T36" i="16"/>
  <c r="AK36" i="16"/>
  <c r="AE36" i="16"/>
  <c r="W36" i="16"/>
  <c r="AH36" i="16"/>
  <c r="H36" i="16"/>
  <c r="AN36" i="16"/>
  <c r="F36" i="16"/>
  <c r="M36" i="16"/>
  <c r="AI36" i="16"/>
  <c r="D36" i="16"/>
  <c r="AM36" i="16"/>
  <c r="O36" i="16"/>
  <c r="E36" i="16"/>
  <c r="L36" i="16"/>
  <c r="AJ36" i="16"/>
  <c r="Q36" i="16"/>
  <c r="T42" i="16"/>
  <c r="D42" i="16"/>
  <c r="AB42" i="16"/>
  <c r="J42" i="16"/>
  <c r="K42" i="16"/>
  <c r="L42" i="16"/>
  <c r="R42" i="16"/>
  <c r="Z42" i="16"/>
  <c r="S42" i="16"/>
  <c r="B42" i="16"/>
  <c r="AA42" i="16"/>
  <c r="E42" i="16"/>
  <c r="C42" i="16"/>
  <c r="AN42" i="16"/>
  <c r="Y42" i="16"/>
  <c r="N42" i="16"/>
  <c r="Q42" i="16"/>
  <c r="X42" i="16"/>
  <c r="F42" i="16"/>
  <c r="I42" i="16"/>
  <c r="AH42" i="16"/>
  <c r="P42" i="16"/>
  <c r="AE42" i="16"/>
  <c r="AO42" i="16"/>
  <c r="AI42" i="16"/>
  <c r="AK42" i="16"/>
  <c r="AP42" i="16"/>
  <c r="H42" i="16"/>
  <c r="W42" i="16"/>
  <c r="AD42" i="16"/>
  <c r="AG42" i="16"/>
  <c r="AL42" i="16"/>
  <c r="AJ42" i="16"/>
  <c r="AC42" i="16"/>
  <c r="U42" i="16"/>
  <c r="AM42" i="16"/>
  <c r="O42" i="16"/>
  <c r="G42" i="16"/>
  <c r="M42" i="16"/>
  <c r="AF42" i="16"/>
  <c r="V42" i="16"/>
  <c r="V54" i="16" a="1"/>
  <c r="V54" i="16" s="1"/>
  <c r="N54" i="16" a="1"/>
  <c r="N54" i="16" s="1"/>
  <c r="F54" i="16" a="1"/>
  <c r="F54" i="16" s="1"/>
  <c r="AO54" i="16" a="1"/>
  <c r="AO54" i="16" s="1"/>
  <c r="AG54" i="16" a="1"/>
  <c r="AG54" i="16" s="1"/>
  <c r="AF54" i="16" a="1"/>
  <c r="AF54" i="16" s="1"/>
  <c r="I54" i="16" a="1"/>
  <c r="I54" i="16" s="1"/>
  <c r="AI54" i="16" a="1"/>
  <c r="AI54" i="16" s="1"/>
  <c r="AD54" i="16" a="1"/>
  <c r="AD54" i="16" s="1"/>
  <c r="U54" i="16" a="1"/>
  <c r="U54" i="16" s="1"/>
  <c r="M54" i="16" a="1"/>
  <c r="M54" i="16" s="1"/>
  <c r="E54" i="16" a="1"/>
  <c r="E54" i="16" s="1"/>
  <c r="AC54" i="16" a="1"/>
  <c r="AC54" i="16" s="1"/>
  <c r="T54" i="16" a="1"/>
  <c r="T54" i="16" s="1"/>
  <c r="L54" i="16" a="1"/>
  <c r="L54" i="16" s="1"/>
  <c r="C54" i="16" a="1"/>
  <c r="C54" i="16" s="1"/>
  <c r="AM54" i="16" a="1"/>
  <c r="AM54" i="16" s="1"/>
  <c r="AK54" i="16" a="1"/>
  <c r="AK54" i="16" s="1"/>
  <c r="Y54" i="16" a="1"/>
  <c r="Y54" i="16" s="1"/>
  <c r="AB54" i="16" a="1"/>
  <c r="AB54" i="16" s="1"/>
  <c r="S54" i="16" a="1"/>
  <c r="S54" i="16" s="1"/>
  <c r="K54" i="16" a="1"/>
  <c r="K54" i="16" s="1"/>
  <c r="B54" i="16" a="1"/>
  <c r="B54" i="16" s="1"/>
  <c r="AL54" i="16" a="1"/>
  <c r="AL54" i="16" s="1"/>
  <c r="J54" i="16" a="1"/>
  <c r="J54" i="16" s="1"/>
  <c r="D54" i="16" a="1"/>
  <c r="D54" i="16" s="1"/>
  <c r="AA54" i="16" a="1"/>
  <c r="AA54" i="16" s="1"/>
  <c r="R54" i="16" a="1"/>
  <c r="R54" i="16" s="1"/>
  <c r="AE54" i="16" a="1"/>
  <c r="AE54" i="16" s="1"/>
  <c r="Z54" i="16" a="1"/>
  <c r="Z54" i="16" s="1"/>
  <c r="AJ54" i="16" a="1"/>
  <c r="AJ54" i="16" s="1"/>
  <c r="X54" i="16" a="1"/>
  <c r="X54" i="16" s="1"/>
  <c r="P54" i="16" a="1"/>
  <c r="P54" i="16" s="1"/>
  <c r="H54" i="16" a="1"/>
  <c r="H54" i="16" s="1"/>
  <c r="W54" i="16" a="1"/>
  <c r="W54" i="16" s="1"/>
  <c r="O54" i="16" a="1"/>
  <c r="O54" i="16" s="1"/>
  <c r="G54" i="16" a="1"/>
  <c r="G54" i="16" s="1"/>
  <c r="AP54" i="16" a="1"/>
  <c r="AP54" i="16" s="1"/>
  <c r="AH54" i="16" a="1"/>
  <c r="AH54" i="16" s="1"/>
  <c r="AN54" i="16" a="1"/>
  <c r="AN54" i="16" s="1"/>
  <c r="Q54" i="16" a="1"/>
  <c r="Q54" i="16" s="1"/>
  <c r="W32" i="15"/>
  <c r="W35" i="15" s="1"/>
  <c r="W37" i="15" s="1"/>
  <c r="I24" i="13" a="1"/>
  <c r="I24" i="13" s="1"/>
  <c r="K24" i="13" s="1"/>
  <c r="I25" i="13" a="1"/>
  <c r="I25" i="13" s="1"/>
  <c r="K25" i="13" s="1"/>
  <c r="I26" i="13" a="1"/>
  <c r="I26" i="13" s="1"/>
  <c r="K26" i="13" s="1"/>
  <c r="I20" i="13" a="1"/>
  <c r="I20" i="13" s="1"/>
  <c r="K20" i="13" s="1"/>
  <c r="I27" i="13" a="1"/>
  <c r="I27" i="13" s="1"/>
  <c r="K27" i="13" s="1"/>
  <c r="I16" i="13" a="1"/>
  <c r="I16" i="13" s="1"/>
  <c r="K16" i="13" s="1"/>
  <c r="I19" i="13" a="1"/>
  <c r="I19" i="13" s="1"/>
  <c r="K19" i="13" s="1"/>
  <c r="I22" i="13" a="1"/>
  <c r="I22" i="13" s="1"/>
  <c r="K22" i="13" s="1"/>
  <c r="I28" i="13" a="1"/>
  <c r="I28" i="13" s="1"/>
  <c r="K28" i="13" s="1"/>
  <c r="I17" i="13" a="1"/>
  <c r="I17" i="13" s="1"/>
  <c r="K17" i="13" s="1"/>
  <c r="I15" i="13" a="1"/>
  <c r="I15" i="13" s="1"/>
  <c r="K15" i="13" s="1"/>
  <c r="I23" i="13" a="1"/>
  <c r="I23" i="13" s="1"/>
  <c r="K23" i="13" s="1"/>
  <c r="I21" i="13" a="1"/>
  <c r="I21" i="13" s="1"/>
  <c r="K21" i="13" s="1"/>
  <c r="I18" i="13" a="1"/>
  <c r="I18" i="13" s="1"/>
  <c r="K18" i="13" s="1"/>
  <c r="I29" i="13" a="1"/>
  <c r="I29" i="13" s="1"/>
  <c r="K29" i="13" s="1"/>
  <c r="K59" i="15" a="1"/>
  <c r="K59" i="15" s="1"/>
  <c r="I11" i="13" a="1"/>
  <c r="I11" i="13" s="1"/>
  <c r="H33" i="13" s="1"/>
  <c r="H64" i="15" a="1"/>
  <c r="H64" i="15" s="1"/>
  <c r="C15" i="13" a="1"/>
  <c r="C15" i="13" s="1"/>
  <c r="E15" i="13" s="1"/>
  <c r="C23" i="13" a="1"/>
  <c r="C23" i="13" s="1"/>
  <c r="E23" i="13" s="1"/>
  <c r="C18" i="13" a="1"/>
  <c r="C18" i="13" s="1"/>
  <c r="E18" i="13" s="1"/>
  <c r="F36" i="15"/>
  <c r="K41" i="15"/>
  <c r="C41" i="15"/>
  <c r="G47" i="15"/>
  <c r="C26" i="13" a="1"/>
  <c r="C26" i="13" s="1"/>
  <c r="E26" i="13" s="1"/>
  <c r="J36" i="15"/>
  <c r="M36" i="15"/>
  <c r="G41" i="15"/>
  <c r="K47" i="15"/>
  <c r="C47" i="15"/>
  <c r="G54" i="15"/>
  <c r="E17" i="13" a="1"/>
  <c r="E17" i="13" s="1"/>
  <c r="I64" i="15" a="1"/>
  <c r="I64" i="15" s="1"/>
  <c r="D59" i="15" a="1"/>
  <c r="D59" i="15" s="1"/>
  <c r="L59" i="15" a="1"/>
  <c r="L59" i="15" s="1"/>
  <c r="C19" i="13" a="1"/>
  <c r="C19" i="13" s="1"/>
  <c r="E19" i="13" s="1"/>
  <c r="C27" i="13" a="1"/>
  <c r="C27" i="13" s="1"/>
  <c r="I36" i="15"/>
  <c r="B41" i="15"/>
  <c r="F41" i="15"/>
  <c r="J47" i="15"/>
  <c r="B54" i="15"/>
  <c r="F54" i="15"/>
  <c r="B64" i="15" a="1"/>
  <c r="B64" i="15" s="1"/>
  <c r="J64" i="15" a="1"/>
  <c r="J64" i="15" s="1"/>
  <c r="E59" i="15" a="1"/>
  <c r="E59" i="15" s="1"/>
  <c r="M59" i="15" a="1"/>
  <c r="M59" i="15" s="1"/>
  <c r="T32" i="15"/>
  <c r="T35" i="15" s="1"/>
  <c r="T37" i="15" s="1"/>
  <c r="C20" i="13" a="1"/>
  <c r="C20" i="13" s="1"/>
  <c r="C28" i="13" a="1"/>
  <c r="C28" i="13" s="1"/>
  <c r="E28" i="13" s="1"/>
  <c r="H36" i="15"/>
  <c r="M41" i="15"/>
  <c r="E41" i="15"/>
  <c r="I47" i="15"/>
  <c r="M54" i="15"/>
  <c r="E54" i="15"/>
  <c r="C64" i="15" a="1"/>
  <c r="C64" i="15" s="1"/>
  <c r="K64" i="15" a="1"/>
  <c r="K64" i="15" s="1"/>
  <c r="F59" i="15" a="1"/>
  <c r="F59" i="15" s="1"/>
  <c r="AB32" i="15"/>
  <c r="AB35" i="15" s="1"/>
  <c r="AB37" i="15" s="1"/>
  <c r="C21" i="13" a="1"/>
  <c r="C21" i="13" s="1"/>
  <c r="E21" i="13" s="1"/>
  <c r="C29" i="13" a="1"/>
  <c r="C29" i="13" s="1"/>
  <c r="E29" i="13" s="1"/>
  <c r="G36" i="15"/>
  <c r="L41" i="15"/>
  <c r="D41" i="15"/>
  <c r="H47" i="15"/>
  <c r="L54" i="15"/>
  <c r="D54" i="15"/>
  <c r="D64" i="15" a="1"/>
  <c r="D64" i="15" s="1"/>
  <c r="L64" i="15" a="1"/>
  <c r="L64" i="15" s="1"/>
  <c r="G59" i="15" a="1"/>
  <c r="G59" i="15" s="1"/>
  <c r="U32" i="15"/>
  <c r="U35" i="15" s="1"/>
  <c r="U37" i="15" s="1"/>
  <c r="E64" i="15" a="1"/>
  <c r="E64" i="15" s="1"/>
  <c r="M64" i="15" a="1"/>
  <c r="M64" i="15" s="1"/>
  <c r="H59" i="15" a="1"/>
  <c r="H59" i="15" s="1"/>
  <c r="Q32" i="15"/>
  <c r="B36" i="15"/>
  <c r="E36" i="15"/>
  <c r="J41" i="15"/>
  <c r="B47" i="15"/>
  <c r="F47" i="15"/>
  <c r="J54" i="15"/>
  <c r="F64" i="15" a="1"/>
  <c r="F64" i="15" s="1"/>
  <c r="E20" i="13" a="1"/>
  <c r="E20" i="13" s="1"/>
  <c r="I59" i="15" a="1"/>
  <c r="I59" i="15" s="1"/>
  <c r="V32" i="15"/>
  <c r="V35" i="15" s="1"/>
  <c r="V37" i="15" s="1"/>
  <c r="C22" i="13" a="1"/>
  <c r="C22" i="13" s="1"/>
  <c r="E22" i="13" s="1"/>
  <c r="C16" i="13" a="1"/>
  <c r="C16" i="13" s="1"/>
  <c r="E16" i="13" s="1"/>
  <c r="L36" i="15"/>
  <c r="D36" i="15"/>
  <c r="I41" i="15"/>
  <c r="M47" i="15"/>
  <c r="E47" i="15"/>
  <c r="I54" i="15"/>
  <c r="G64" i="15" a="1"/>
  <c r="G64" i="15" s="1"/>
  <c r="B59" i="15" a="1"/>
  <c r="B59" i="15" s="1"/>
  <c r="J59" i="15" a="1"/>
  <c r="J59" i="15" s="1"/>
  <c r="C24" i="13" a="1"/>
  <c r="C24" i="13" s="1"/>
  <c r="E24" i="13" s="1"/>
  <c r="K54" i="15"/>
  <c r="C54" i="15"/>
  <c r="AA32" i="15"/>
  <c r="AA35" i="15" s="1"/>
  <c r="AA37" i="15" s="1"/>
  <c r="R32" i="15"/>
  <c r="R35" i="15" s="1"/>
  <c r="R37" i="15" s="1"/>
  <c r="Z32" i="15"/>
  <c r="Z35" i="15" s="1"/>
  <c r="Z37" i="15" s="1"/>
  <c r="X32" i="15"/>
  <c r="X35" i="15" s="1"/>
  <c r="X37" i="15" s="1"/>
  <c r="S32" i="15"/>
  <c r="S35" i="15" s="1"/>
  <c r="S37" i="15" s="1"/>
  <c r="C17" i="13" a="1"/>
  <c r="C17" i="13" s="1"/>
  <c r="C25" i="13" a="1"/>
  <c r="C25" i="13" s="1"/>
  <c r="E25" i="13" s="1"/>
  <c r="K36" i="15"/>
  <c r="C36" i="15"/>
  <c r="H41" i="15"/>
  <c r="L47" i="15"/>
  <c r="D47" i="15"/>
  <c r="H54" i="15"/>
  <c r="C59" i="15" a="1"/>
  <c r="C59" i="15" s="1"/>
  <c r="Y32" i="15"/>
  <c r="Y35" i="15" s="1"/>
  <c r="Y37" i="15" s="1"/>
  <c r="N22" i="15"/>
  <c r="AC13" i="15"/>
  <c r="AC36" i="15"/>
  <c r="N17" i="15"/>
  <c r="B23" i="15"/>
  <c r="N23" i="15" s="1"/>
  <c r="N58" i="15"/>
  <c r="N63" i="15"/>
  <c r="N53" i="15"/>
  <c r="N46" i="15"/>
  <c r="N40" i="15"/>
  <c r="N27" i="15"/>
  <c r="B28" i="15"/>
  <c r="N28" i="15" s="1"/>
  <c r="N35" i="15"/>
  <c r="N18" i="15"/>
  <c r="E27" i="13"/>
  <c r="AG62" i="16" l="1"/>
  <c r="AG64" i="16" s="1"/>
  <c r="AL62" i="16"/>
  <c r="AL64" i="16" s="1"/>
  <c r="V62" i="16"/>
  <c r="V64" i="16" s="1"/>
  <c r="G62" i="16"/>
  <c r="G64" i="16" s="1"/>
  <c r="O62" i="16"/>
  <c r="O64" i="16" s="1"/>
  <c r="AQ42" i="16"/>
  <c r="X62" i="16"/>
  <c r="X64" i="16" s="1"/>
  <c r="Z62" i="16"/>
  <c r="Z64" i="16" s="1"/>
  <c r="AQ59" i="16"/>
  <c r="AQ36" i="16"/>
  <c r="Y62" i="16"/>
  <c r="Y64" i="16" s="1"/>
  <c r="I62" i="16"/>
  <c r="I64" i="16" s="1"/>
  <c r="B30" i="18"/>
  <c r="AQ27" i="18"/>
  <c r="J62" i="16"/>
  <c r="J64" i="16" s="1"/>
  <c r="AQ49" i="16"/>
  <c r="AQ54" i="16"/>
  <c r="AN62" i="16"/>
  <c r="AN64" i="16" s="1"/>
  <c r="D62" i="16"/>
  <c r="D64" i="16" s="1"/>
  <c r="T62" i="16"/>
  <c r="T64" i="16" s="1"/>
  <c r="AJ62" i="16"/>
  <c r="AJ64" i="16" s="1"/>
  <c r="AK62" i="16"/>
  <c r="AK64" i="16" s="1"/>
  <c r="E62" i="16"/>
  <c r="E64" i="16" s="1"/>
  <c r="M62" i="16"/>
  <c r="M64" i="16" s="1"/>
  <c r="AH62" i="16"/>
  <c r="AH64" i="16" s="1"/>
  <c r="W62" i="16"/>
  <c r="W64" i="16" s="1"/>
  <c r="AF62" i="16"/>
  <c r="AF64" i="16" s="1"/>
  <c r="R62" i="16"/>
  <c r="R64" i="16" s="1"/>
  <c r="P62" i="16"/>
  <c r="P64" i="16" s="1"/>
  <c r="S62" i="16"/>
  <c r="S64" i="16" s="1"/>
  <c r="AB62" i="16"/>
  <c r="AB64" i="16" s="1"/>
  <c r="AC62" i="16"/>
  <c r="AC64" i="16" s="1"/>
  <c r="AQ31" i="16"/>
  <c r="B62" i="16"/>
  <c r="K62" i="16"/>
  <c r="K64" i="16" s="1"/>
  <c r="L62" i="16"/>
  <c r="L64" i="16" s="1"/>
  <c r="C62" i="16"/>
  <c r="C64" i="16" s="1"/>
  <c r="N62" i="16"/>
  <c r="N64" i="16" s="1"/>
  <c r="AI62" i="16"/>
  <c r="AI64" i="16" s="1"/>
  <c r="AM62" i="16"/>
  <c r="AM64" i="16" s="1"/>
  <c r="H62" i="16"/>
  <c r="H64" i="16" s="1"/>
  <c r="AA62" i="16"/>
  <c r="AA64" i="16" s="1"/>
  <c r="Q62" i="16"/>
  <c r="Q64" i="16" s="1"/>
  <c r="F62" i="16"/>
  <c r="F64" i="16" s="1"/>
  <c r="AE62" i="16"/>
  <c r="AE64" i="16" s="1"/>
  <c r="AO62" i="16"/>
  <c r="AO64" i="16" s="1"/>
  <c r="AD62" i="16"/>
  <c r="AD64" i="16" s="1"/>
  <c r="AP62" i="16"/>
  <c r="AP64" i="16" s="1"/>
  <c r="U62" i="16"/>
  <c r="U64" i="16" s="1"/>
  <c r="B32" i="13"/>
  <c r="B34" i="13" s="1"/>
  <c r="D4" i="13" s="1"/>
  <c r="H32" i="13"/>
  <c r="H34" i="13" s="1"/>
  <c r="N41" i="15"/>
  <c r="M67" i="15"/>
  <c r="J67" i="15"/>
  <c r="N47" i="15"/>
  <c r="G67" i="15"/>
  <c r="N59" i="15"/>
  <c r="N64" i="15"/>
  <c r="F67" i="15"/>
  <c r="K67" i="15"/>
  <c r="L67" i="15"/>
  <c r="D67" i="15"/>
  <c r="N36" i="15"/>
  <c r="E67" i="15"/>
  <c r="H67" i="15"/>
  <c r="I67" i="15"/>
  <c r="N54" i="15"/>
  <c r="C67" i="15"/>
  <c r="Q35" i="15"/>
  <c r="AC32" i="15"/>
  <c r="B67" i="15"/>
  <c r="I52" i="4"/>
  <c r="O52" i="4"/>
  <c r="P52" i="4"/>
  <c r="Q52" i="4"/>
  <c r="R52" i="4"/>
  <c r="S52" i="4"/>
  <c r="T52" i="4"/>
  <c r="U52" i="4"/>
  <c r="V52" i="4"/>
  <c r="W52" i="4"/>
  <c r="X52" i="4"/>
  <c r="Y52" i="4"/>
  <c r="Z52" i="4"/>
  <c r="AA52" i="4"/>
  <c r="AB52" i="4"/>
  <c r="AC52" i="4"/>
  <c r="AD52" i="4"/>
  <c r="AE52" i="4"/>
  <c r="AF52" i="4"/>
  <c r="AG52" i="4"/>
  <c r="AH52" i="4"/>
  <c r="AI52" i="4"/>
  <c r="AJ52" i="4"/>
  <c r="AK52" i="4"/>
  <c r="AL52" i="4"/>
  <c r="AM52" i="4"/>
  <c r="AN52" i="4"/>
  <c r="AO52" i="4"/>
  <c r="AP52" i="4"/>
  <c r="AQ52" i="4"/>
  <c r="AR52" i="4"/>
  <c r="AS52" i="4"/>
  <c r="AT52" i="4"/>
  <c r="AU52" i="4"/>
  <c r="AV52" i="4"/>
  <c r="AW52" i="4"/>
  <c r="AX52" i="4"/>
  <c r="AY52" i="4"/>
  <c r="AZ52" i="4"/>
  <c r="BA52" i="4"/>
  <c r="BB52" i="4"/>
  <c r="BC52" i="4"/>
  <c r="BD52" i="4"/>
  <c r="BE52" i="4"/>
  <c r="BF52" i="4"/>
  <c r="BG52" i="4"/>
  <c r="BH52" i="4"/>
  <c r="BI52" i="4"/>
  <c r="BJ52" i="4"/>
  <c r="N52" i="4"/>
  <c r="K52" i="4"/>
  <c r="L52" i="4"/>
  <c r="M52" i="4"/>
  <c r="J52" i="4"/>
  <c r="D52" i="4"/>
  <c r="H52" i="4"/>
  <c r="G52" i="4"/>
  <c r="F52" i="4"/>
  <c r="E52" i="4"/>
  <c r="C52" i="4"/>
  <c r="B52" i="4"/>
  <c r="Q1218" i="2"/>
  <c r="R1218" i="2"/>
  <c r="S1218" i="2"/>
  <c r="T1218" i="2"/>
  <c r="U1218" i="2"/>
  <c r="V1218" i="2"/>
  <c r="W1218" i="2"/>
  <c r="X1218" i="2"/>
  <c r="Y1218" i="2"/>
  <c r="Z1218" i="2"/>
  <c r="AA1218" i="2"/>
  <c r="AB1218" i="2"/>
  <c r="AC1218" i="2"/>
  <c r="AD1218" i="2"/>
  <c r="AE1218" i="2"/>
  <c r="AF1218" i="2"/>
  <c r="AG1218" i="2"/>
  <c r="AH1218" i="2"/>
  <c r="AI1218" i="2"/>
  <c r="AJ1218" i="2"/>
  <c r="AK1218" i="2"/>
  <c r="AL1218" i="2"/>
  <c r="AM1218" i="2"/>
  <c r="AN1218" i="2"/>
  <c r="AO1218" i="2"/>
  <c r="AP1218" i="2"/>
  <c r="AQ1218" i="2"/>
  <c r="AR1218" i="2"/>
  <c r="AS1218" i="2"/>
  <c r="AT1218" i="2"/>
  <c r="AU1218" i="2"/>
  <c r="AV1218" i="2"/>
  <c r="AW1218" i="2"/>
  <c r="AX1218" i="2"/>
  <c r="AY1218" i="2"/>
  <c r="AZ1218" i="2"/>
  <c r="BA1218" i="2"/>
  <c r="BB1218" i="2"/>
  <c r="BC1218" i="2"/>
  <c r="BD1218" i="2"/>
  <c r="BE1218" i="2"/>
  <c r="BF1218" i="2"/>
  <c r="BG1218" i="2"/>
  <c r="BH1218" i="2"/>
  <c r="BI1218" i="2"/>
  <c r="BJ1218" i="2"/>
  <c r="BK1218" i="2"/>
  <c r="BL1218" i="2"/>
  <c r="BM1218" i="2"/>
  <c r="BN1218" i="2"/>
  <c r="BO1218" i="2"/>
  <c r="BP1218" i="2"/>
  <c r="BQ1218" i="2"/>
  <c r="BR1218" i="2"/>
  <c r="BS1218" i="2"/>
  <c r="BT1218" i="2"/>
  <c r="BU1218" i="2"/>
  <c r="BV1218" i="2"/>
  <c r="BW1218" i="2"/>
  <c r="BX1218" i="2"/>
  <c r="BY1218" i="2"/>
  <c r="BZ1218" i="2"/>
  <c r="CA1218" i="2"/>
  <c r="CB1218" i="2"/>
  <c r="CC1218" i="2"/>
  <c r="CD1218" i="2"/>
  <c r="CE1218" i="2"/>
  <c r="CF1218" i="2"/>
  <c r="CG1218" i="2"/>
  <c r="CH1218" i="2"/>
  <c r="CI1218" i="2"/>
  <c r="CJ1218" i="2"/>
  <c r="CK1218" i="2"/>
  <c r="CL1218" i="2"/>
  <c r="CM1218" i="2"/>
  <c r="CN1218" i="2"/>
  <c r="CO1218" i="2"/>
  <c r="CP1218" i="2"/>
  <c r="CQ1218" i="2"/>
  <c r="CR1218" i="2"/>
  <c r="CS1218" i="2"/>
  <c r="M823" i="2"/>
  <c r="M824" i="2"/>
  <c r="M1096" i="2"/>
  <c r="M1097" i="2"/>
  <c r="M1098" i="2"/>
  <c r="M1099" i="2"/>
  <c r="M1100" i="2"/>
  <c r="M1101" i="2"/>
  <c r="M1102" i="2"/>
  <c r="M1094" i="2"/>
  <c r="M1113" i="2"/>
  <c r="M1124" i="2"/>
  <c r="M1134" i="2"/>
  <c r="M1166" i="2"/>
  <c r="M1167" i="2"/>
  <c r="M313" i="2"/>
  <c r="M314" i="2"/>
  <c r="M316" i="2"/>
  <c r="M311" i="2"/>
  <c r="M306" i="2"/>
  <c r="M305" i="2"/>
  <c r="M300" i="2"/>
  <c r="M292" i="2"/>
  <c r="M293" i="2"/>
  <c r="M295" i="2"/>
  <c r="M296" i="2"/>
  <c r="M290" i="2"/>
  <c r="M287" i="2"/>
  <c r="M286" i="2"/>
  <c r="M285" i="2"/>
  <c r="M283" i="2"/>
  <c r="M282" i="2"/>
  <c r="M280" i="2"/>
  <c r="M276" i="2"/>
  <c r="M273" i="2"/>
  <c r="M346" i="2"/>
  <c r="M347" i="2"/>
  <c r="M350" i="2"/>
  <c r="M866" i="2"/>
  <c r="M15" i="2"/>
  <c r="M11" i="2"/>
  <c r="M12" i="2"/>
  <c r="M13" i="2"/>
  <c r="M14" i="2"/>
  <c r="M17" i="2"/>
  <c r="M18" i="2"/>
  <c r="M19" i="2"/>
  <c r="M20" i="2"/>
  <c r="M21" i="2"/>
  <c r="M22" i="2"/>
  <c r="M23" i="2"/>
  <c r="M24" i="2"/>
  <c r="M25" i="2"/>
  <c r="M26" i="2"/>
  <c r="M27" i="2"/>
  <c r="M28" i="2"/>
  <c r="M29" i="2"/>
  <c r="M30" i="2"/>
  <c r="M31" i="2"/>
  <c r="M32" i="2"/>
  <c r="M33" i="2"/>
  <c r="M34" i="2"/>
  <c r="M35" i="2"/>
  <c r="M36" i="2"/>
  <c r="M37" i="2"/>
  <c r="M43" i="2"/>
  <c r="M44" i="2"/>
  <c r="M45" i="2"/>
  <c r="M46" i="2"/>
  <c r="M50" i="2"/>
  <c r="M52" i="2"/>
  <c r="M53" i="2"/>
  <c r="M54" i="2"/>
  <c r="M55" i="2"/>
  <c r="M56" i="2"/>
  <c r="M57" i="2"/>
  <c r="M58" i="2"/>
  <c r="M59" i="2"/>
  <c r="M60" i="2"/>
  <c r="M61" i="2"/>
  <c r="M62" i="2"/>
  <c r="M63" i="2"/>
  <c r="M64" i="2"/>
  <c r="M65" i="2"/>
  <c r="M66" i="2"/>
  <c r="M67" i="2"/>
  <c r="M68" i="2"/>
  <c r="M69" i="2"/>
  <c r="M70" i="2"/>
  <c r="M71" i="2"/>
  <c r="M72" i="2"/>
  <c r="M74" i="2"/>
  <c r="M75" i="2"/>
  <c r="M76" i="2"/>
  <c r="M77" i="2"/>
  <c r="M78" i="2"/>
  <c r="M79" i="2"/>
  <c r="M80" i="2"/>
  <c r="M81" i="2"/>
  <c r="M82" i="2"/>
  <c r="M83" i="2"/>
  <c r="M84" i="2"/>
  <c r="M85" i="2"/>
  <c r="M86" i="2"/>
  <c r="M87" i="2"/>
  <c r="M88" i="2"/>
  <c r="M89" i="2"/>
  <c r="M90" i="2"/>
  <c r="M91" i="2"/>
  <c r="M92" i="2"/>
  <c r="M94" i="2"/>
  <c r="M95" i="2"/>
  <c r="M96" i="2"/>
  <c r="M97" i="2"/>
  <c r="M98" i="2"/>
  <c r="M99" i="2"/>
  <c r="M100" i="2"/>
  <c r="M101" i="2"/>
  <c r="M102" i="2"/>
  <c r="M103" i="2"/>
  <c r="M104" i="2"/>
  <c r="M105" i="2"/>
  <c r="M106" i="2"/>
  <c r="M107" i="2"/>
  <c r="M108" i="2"/>
  <c r="M109" i="2"/>
  <c r="M110" i="2"/>
  <c r="M111" i="2"/>
  <c r="M112" i="2"/>
  <c r="M113" i="2"/>
  <c r="M114" i="2"/>
  <c r="M115" i="2"/>
  <c r="M117" i="2"/>
  <c r="M118" i="2"/>
  <c r="M119" i="2"/>
  <c r="M120" i="2"/>
  <c r="M121" i="2"/>
  <c r="M122" i="2"/>
  <c r="M123" i="2"/>
  <c r="M124" i="2"/>
  <c r="M125" i="2"/>
  <c r="M126" i="2"/>
  <c r="M127" i="2"/>
  <c r="M128" i="2"/>
  <c r="M129" i="2"/>
  <c r="M130" i="2"/>
  <c r="M131" i="2"/>
  <c r="M135" i="2"/>
  <c r="M136" i="2"/>
  <c r="M137" i="2"/>
  <c r="M138" i="2"/>
  <c r="M139" i="2"/>
  <c r="M140" i="2"/>
  <c r="M141" i="2"/>
  <c r="M144" i="2"/>
  <c r="M145" i="2"/>
  <c r="M146" i="2"/>
  <c r="M147" i="2"/>
  <c r="M148" i="2"/>
  <c r="M149" i="2"/>
  <c r="M150" i="2"/>
  <c r="M151" i="2"/>
  <c r="M152" i="2"/>
  <c r="M153" i="2"/>
  <c r="M154" i="2"/>
  <c r="M155" i="2"/>
  <c r="M156" i="2"/>
  <c r="M157" i="2"/>
  <c r="M158" i="2"/>
  <c r="M159" i="2"/>
  <c r="M160" i="2"/>
  <c r="M161" i="2"/>
  <c r="M162" i="2"/>
  <c r="M163" i="2"/>
  <c r="M164" i="2"/>
  <c r="M166" i="2"/>
  <c r="M167" i="2"/>
  <c r="M168" i="2"/>
  <c r="M169" i="2"/>
  <c r="M170" i="2"/>
  <c r="M171" i="2"/>
  <c r="M172" i="2"/>
  <c r="M173" i="2"/>
  <c r="M174" i="2"/>
  <c r="M175" i="2"/>
  <c r="M176" i="2"/>
  <c r="M177" i="2"/>
  <c r="M178" i="2"/>
  <c r="M179" i="2"/>
  <c r="M180" i="2"/>
  <c r="M181" i="2"/>
  <c r="M183" i="2"/>
  <c r="M184" i="2"/>
  <c r="M185" i="2"/>
  <c r="M186" i="2"/>
  <c r="M187" i="2"/>
  <c r="M188" i="2"/>
  <c r="M189" i="2"/>
  <c r="M190" i="2"/>
  <c r="M191" i="2"/>
  <c r="M192" i="2"/>
  <c r="M193" i="2"/>
  <c r="M194" i="2"/>
  <c r="M195" i="2"/>
  <c r="M196" i="2"/>
  <c r="M198" i="2"/>
  <c r="M199" i="2"/>
  <c r="M197" i="2"/>
  <c r="M202" i="2"/>
  <c r="M206" i="2"/>
  <c r="M210" i="2"/>
  <c r="M213" i="2"/>
  <c r="M216" i="2"/>
  <c r="M218" i="2"/>
  <c r="M226" i="2"/>
  <c r="M234" i="2"/>
  <c r="M237" i="2"/>
  <c r="M242" i="2"/>
  <c r="M245" i="2"/>
  <c r="M247" i="2"/>
  <c r="M249" i="2"/>
  <c r="M251" i="2"/>
  <c r="M252" i="2"/>
  <c r="M256" i="2"/>
  <c r="M253" i="2"/>
  <c r="M258" i="2"/>
  <c r="M259" i="2"/>
  <c r="M267" i="2"/>
  <c r="M278" i="2"/>
  <c r="M288" i="2"/>
  <c r="M297" i="2"/>
  <c r="M301" i="2"/>
  <c r="M308" i="2"/>
  <c r="M279" i="2"/>
  <c r="M289" i="2"/>
  <c r="M298" i="2"/>
  <c r="M302" i="2"/>
  <c r="M309" i="2"/>
  <c r="M319" i="2"/>
  <c r="M322" i="2"/>
  <c r="M332" i="2"/>
  <c r="M358" i="2"/>
  <c r="M370" i="2"/>
  <c r="M376" i="2"/>
  <c r="M382" i="2"/>
  <c r="M396" i="2"/>
  <c r="M409" i="2"/>
  <c r="M415" i="2"/>
  <c r="M440" i="2"/>
  <c r="M447" i="2"/>
  <c r="M452" i="2"/>
  <c r="M453" i="2"/>
  <c r="M457" i="2"/>
  <c r="M460" i="2"/>
  <c r="M461" i="2"/>
  <c r="M466" i="2"/>
  <c r="M473" i="2"/>
  <c r="M467" i="2"/>
  <c r="M474" i="2"/>
  <c r="M475" i="2"/>
  <c r="M481" i="2"/>
  <c r="M482" i="2"/>
  <c r="M483" i="2"/>
  <c r="M485" i="2"/>
  <c r="M494" i="2"/>
  <c r="M499" i="2"/>
  <c r="M506" i="2"/>
  <c r="M518" i="2"/>
  <c r="M441" i="2"/>
  <c r="M442" i="2"/>
  <c r="M448" i="2"/>
  <c r="M454" i="2"/>
  <c r="M530" i="2"/>
  <c r="M458" i="2"/>
  <c r="M462" i="2"/>
  <c r="M463" i="2"/>
  <c r="M468" i="2"/>
  <c r="M476" i="2"/>
  <c r="M469" i="2"/>
  <c r="M477" i="2"/>
  <c r="M478" i="2"/>
  <c r="M486" i="2"/>
  <c r="M487" i="2"/>
  <c r="M495" i="2"/>
  <c r="M500" i="2"/>
  <c r="M507" i="2"/>
  <c r="M519" i="2"/>
  <c r="M521" i="2"/>
  <c r="M531" i="2"/>
  <c r="M546" i="2"/>
  <c r="M410" i="2"/>
  <c r="M416" i="2"/>
  <c r="M420" i="2"/>
  <c r="M423" i="2"/>
  <c r="M432" i="2"/>
  <c r="M436" i="2"/>
  <c r="M378" i="2"/>
  <c r="M383" i="2"/>
  <c r="M390" i="2"/>
  <c r="M397" i="2"/>
  <c r="M333" i="2"/>
  <c r="M323" i="2"/>
  <c r="M324" i="2"/>
  <c r="M320" i="2"/>
  <c r="M351" i="2"/>
  <c r="M359" i="2"/>
  <c r="M377" i="2"/>
  <c r="M567" i="2"/>
  <c r="M587" i="2"/>
  <c r="M612" i="2"/>
  <c r="M624" i="2"/>
  <c r="M651" i="2"/>
  <c r="M735" i="2"/>
  <c r="M799" i="2"/>
  <c r="M860" i="2"/>
  <c r="M806" i="2"/>
  <c r="M814" i="2"/>
  <c r="M795" i="2"/>
  <c r="M875" i="2"/>
  <c r="M944" i="2"/>
  <c r="M945" i="2"/>
  <c r="M946" i="2"/>
  <c r="M947" i="2"/>
  <c r="M948" i="2"/>
  <c r="M949" i="2"/>
  <c r="M991" i="2"/>
  <c r="M992" i="2"/>
  <c r="M998" i="2"/>
  <c r="M1003" i="2"/>
  <c r="M1014" i="2"/>
  <c r="M1069" i="2"/>
  <c r="M926" i="2"/>
  <c r="M929" i="2"/>
  <c r="M930" i="2"/>
  <c r="M931" i="2"/>
  <c r="M1103" i="2"/>
  <c r="M1125" i="2"/>
  <c r="M1137" i="2"/>
  <c r="M1162" i="2"/>
  <c r="M1171" i="2"/>
  <c r="M1176" i="2"/>
  <c r="M1187" i="2"/>
  <c r="M222" i="2"/>
  <c r="M223" i="2"/>
  <c r="M224" i="2"/>
  <c r="M406" i="2"/>
  <c r="M421" i="2"/>
  <c r="M425" i="2"/>
  <c r="M428" i="2"/>
  <c r="M431" i="2"/>
  <c r="M437" i="2"/>
  <c r="M439" i="2"/>
  <c r="M443" i="2"/>
  <c r="M449" i="2"/>
  <c r="M451" i="2"/>
  <c r="M455" i="2"/>
  <c r="M464" i="2"/>
  <c r="M470" i="2"/>
  <c r="M471" i="2"/>
  <c r="M488" i="2"/>
  <c r="M490" i="2"/>
  <c r="M491" i="2"/>
  <c r="M497" i="2"/>
  <c r="M496" i="2"/>
  <c r="M502" i="2"/>
  <c r="M508" i="2"/>
  <c r="M510" i="2"/>
  <c r="M511" i="2"/>
  <c r="M513" i="2"/>
  <c r="M514" i="2"/>
  <c r="M522" i="2"/>
  <c r="M523" i="2"/>
  <c r="M525" i="2"/>
  <c r="M526" i="2"/>
  <c r="M528" i="2"/>
  <c r="M529" i="2"/>
  <c r="M532" i="2"/>
  <c r="M533" i="2"/>
  <c r="M534" i="2"/>
  <c r="M535" i="2"/>
  <c r="M536" i="2"/>
  <c r="M538" i="2"/>
  <c r="M540" i="2"/>
  <c r="M541" i="2"/>
  <c r="M543" i="2"/>
  <c r="M544" i="2"/>
  <c r="M545" i="2"/>
  <c r="M547" i="2"/>
  <c r="M548" i="2"/>
  <c r="M549" i="2"/>
  <c r="M552" i="2"/>
  <c r="M553" i="2"/>
  <c r="M554" i="2"/>
  <c r="M558" i="2"/>
  <c r="M559" i="2"/>
  <c r="M563" i="2"/>
  <c r="M564" i="2"/>
  <c r="M568" i="2"/>
  <c r="M569" i="2"/>
  <c r="M570" i="2"/>
  <c r="M571" i="2"/>
  <c r="M573" i="2"/>
  <c r="M574" i="2"/>
  <c r="M575" i="2"/>
  <c r="M576" i="2"/>
  <c r="M577" i="2"/>
  <c r="M578" i="2"/>
  <c r="M579" i="2"/>
  <c r="M581" i="2"/>
  <c r="M582" i="2"/>
  <c r="M584" i="2"/>
  <c r="M585" i="2"/>
  <c r="M588" i="2"/>
  <c r="M589" i="2"/>
  <c r="M591" i="2"/>
  <c r="M592" i="2"/>
  <c r="M595" i="2"/>
  <c r="M596" i="2"/>
  <c r="M597" i="2"/>
  <c r="M598" i="2"/>
  <c r="M600" i="2"/>
  <c r="M601" i="2"/>
  <c r="M604" i="2"/>
  <c r="M606" i="2"/>
  <c r="M608" i="2"/>
  <c r="M609" i="2"/>
  <c r="M610" i="2"/>
  <c r="M611" i="2"/>
  <c r="M613" i="2"/>
  <c r="M615" i="2"/>
  <c r="M616" i="2"/>
  <c r="M618" i="2"/>
  <c r="M619" i="2"/>
  <c r="M621" i="2"/>
  <c r="M622" i="2"/>
  <c r="M625" i="2"/>
  <c r="M626" i="2"/>
  <c r="M631" i="2"/>
  <c r="M632" i="2"/>
  <c r="M633" i="2"/>
  <c r="M634" i="2"/>
  <c r="M635" i="2"/>
  <c r="M636" i="2"/>
  <c r="M637" i="2"/>
  <c r="M638" i="2"/>
  <c r="M640" i="2"/>
  <c r="M642" i="2"/>
  <c r="M643" i="2"/>
  <c r="M644" i="2"/>
  <c r="M645" i="2"/>
  <c r="M648" i="2"/>
  <c r="M649" i="2"/>
  <c r="M650" i="2"/>
  <c r="M652" i="2"/>
  <c r="M654" i="2"/>
  <c r="M655" i="2"/>
  <c r="M656" i="2"/>
  <c r="M657" i="2"/>
  <c r="M661" i="2"/>
  <c r="M660" i="2"/>
  <c r="M662" i="2"/>
  <c r="M666" i="2"/>
  <c r="M667" i="2"/>
  <c r="M670" i="2"/>
  <c r="M672" i="2"/>
  <c r="M674" i="2"/>
  <c r="M675" i="2"/>
  <c r="M677" i="2"/>
  <c r="M678" i="2"/>
  <c r="M680" i="2"/>
  <c r="M681" i="2"/>
  <c r="M685" i="2"/>
  <c r="M686" i="2"/>
  <c r="M688" i="2"/>
  <c r="M689" i="2"/>
  <c r="M691" i="2"/>
  <c r="M693" i="2"/>
  <c r="M694" i="2"/>
  <c r="M697" i="2"/>
  <c r="M695" i="2"/>
  <c r="M698" i="2"/>
  <c r="M699" i="2"/>
  <c r="M702" i="2"/>
  <c r="M704" i="2"/>
  <c r="M705" i="2"/>
  <c r="M706" i="2"/>
  <c r="M707" i="2"/>
  <c r="M709" i="2"/>
  <c r="M711" i="2"/>
  <c r="M715" i="2"/>
  <c r="M716" i="2"/>
  <c r="M717" i="2"/>
  <c r="M718" i="2"/>
  <c r="M720" i="2"/>
  <c r="M721" i="2"/>
  <c r="M722" i="2"/>
  <c r="M723" i="2"/>
  <c r="M724" i="2"/>
  <c r="M725" i="2"/>
  <c r="M730" i="2"/>
  <c r="M728" i="2"/>
  <c r="M731" i="2"/>
  <c r="M732" i="2"/>
  <c r="M734" i="2"/>
  <c r="M736" i="2"/>
  <c r="M741" i="2"/>
  <c r="M742" i="2"/>
  <c r="M746" i="2"/>
  <c r="M747" i="2"/>
  <c r="M749" i="2"/>
  <c r="M750" i="2"/>
  <c r="M752" i="2"/>
  <c r="M757" i="2"/>
  <c r="M758" i="2"/>
  <c r="M759" i="2"/>
  <c r="M760" i="2"/>
  <c r="M763" i="2"/>
  <c r="M764" i="2"/>
  <c r="M769" i="2"/>
  <c r="M772" i="2"/>
  <c r="M773" i="2"/>
  <c r="M775" i="2"/>
  <c r="M777" i="2"/>
  <c r="M780" i="2"/>
  <c r="M781" i="2"/>
  <c r="M786" i="2"/>
  <c r="M787" i="2"/>
  <c r="M788" i="2"/>
  <c r="M789" i="2"/>
  <c r="M792" i="2"/>
  <c r="M793" i="2"/>
  <c r="M800" i="2"/>
  <c r="M856" i="2"/>
  <c r="M861" i="2"/>
  <c r="M863" i="2"/>
  <c r="M874" i="2"/>
  <c r="M878" i="2"/>
  <c r="M884" i="2"/>
  <c r="M888" i="2"/>
  <c r="M892" i="2"/>
  <c r="M893" i="2"/>
  <c r="M895" i="2"/>
  <c r="M898" i="2"/>
  <c r="M899" i="2"/>
  <c r="M900" i="2"/>
  <c r="M901" i="2"/>
  <c r="M908" i="2"/>
  <c r="M909" i="2"/>
  <c r="M910" i="2"/>
  <c r="M912" i="2"/>
  <c r="M913" i="2"/>
  <c r="M914" i="2"/>
  <c r="M916" i="2"/>
  <c r="M917" i="2"/>
  <c r="M918" i="2"/>
  <c r="M919" i="2"/>
  <c r="M920" i="2"/>
  <c r="M922" i="2"/>
  <c r="M923" i="2"/>
  <c r="M927" i="2"/>
  <c r="M928" i="2"/>
  <c r="M934" i="2"/>
  <c r="M939" i="2"/>
  <c r="M943" i="2"/>
  <c r="M951" i="2"/>
  <c r="M955" i="2"/>
  <c r="M958" i="2"/>
  <c r="M959" i="2"/>
  <c r="M960" i="2"/>
  <c r="M961" i="2"/>
  <c r="M962" i="2"/>
  <c r="M963" i="2"/>
  <c r="M964" i="2"/>
  <c r="M965" i="2"/>
  <c r="M966" i="2"/>
  <c r="M967" i="2"/>
  <c r="M970" i="2"/>
  <c r="M971" i="2"/>
  <c r="M972" i="2"/>
  <c r="M975" i="2"/>
  <c r="M976" i="2"/>
  <c r="M978" i="2"/>
  <c r="M979" i="2"/>
  <c r="M986" i="2"/>
  <c r="M987" i="2"/>
  <c r="M993" i="2"/>
  <c r="M1008" i="2"/>
  <c r="M1010" i="2"/>
  <c r="M1017" i="2"/>
  <c r="M1023" i="2"/>
  <c r="M1021" i="2"/>
  <c r="M1028" i="2"/>
  <c r="M1027" i="2"/>
  <c r="M1042" i="2"/>
  <c r="M1044" i="2"/>
  <c r="M1062" i="2"/>
  <c r="M1065" i="2"/>
  <c r="M1070" i="2"/>
  <c r="M1073" i="2"/>
  <c r="M1074" i="2"/>
  <c r="M1078" i="2"/>
  <c r="M1114" i="2"/>
  <c r="M1120" i="2"/>
  <c r="M49" i="2"/>
  <c r="M51" i="2"/>
  <c r="M93" i="2"/>
  <c r="M116" i="2"/>
  <c r="M132" i="2"/>
  <c r="M134" i="2"/>
  <c r="M142" i="2"/>
  <c r="M182" i="2"/>
  <c r="M16" i="2"/>
  <c r="M40" i="2"/>
  <c r="M262" i="2"/>
  <c r="M277" i="2"/>
  <c r="M330" i="2"/>
  <c r="M555" i="2"/>
  <c r="M845" i="2"/>
  <c r="M953" i="2"/>
  <c r="M1037" i="2"/>
  <c r="M41" i="2"/>
  <c r="M38" i="2"/>
  <c r="M133" i="2"/>
  <c r="M143" i="2"/>
  <c r="M42" i="2"/>
  <c r="M47" i="2"/>
  <c r="M48" i="2"/>
  <c r="M73" i="2"/>
  <c r="M200" i="2"/>
  <c r="M165" i="2"/>
  <c r="M225" i="2"/>
  <c r="M235" i="2"/>
  <c r="M238" i="2"/>
  <c r="M240" i="2"/>
  <c r="M241" i="2"/>
  <c r="M243" i="2"/>
  <c r="M244" i="2"/>
  <c r="M250" i="2"/>
  <c r="M248" i="2"/>
  <c r="M254" i="2"/>
  <c r="M255" i="2"/>
  <c r="M263" i="2"/>
  <c r="M266" i="2"/>
  <c r="M270" i="2"/>
  <c r="M272" i="2"/>
  <c r="M281" i="2"/>
  <c r="M274" i="2"/>
  <c r="M291" i="2"/>
  <c r="M294" i="2"/>
  <c r="M299" i="2"/>
  <c r="M303" i="2"/>
  <c r="M310" i="2"/>
  <c r="M317" i="2"/>
  <c r="M325" i="2"/>
  <c r="M327" i="2"/>
  <c r="M334" i="2"/>
  <c r="M338" i="2"/>
  <c r="M341" i="2"/>
  <c r="M342" i="2"/>
  <c r="M343" i="2"/>
  <c r="M344" i="2"/>
  <c r="M348" i="2"/>
  <c r="M352" i="2"/>
  <c r="M353" i="2"/>
  <c r="M356" i="2"/>
  <c r="M357" i="2"/>
  <c r="M360" i="2"/>
  <c r="M362" i="2"/>
  <c r="M363" i="2"/>
  <c r="M365" i="2"/>
  <c r="M372" i="2"/>
  <c r="M373" i="2"/>
  <c r="M374" i="2"/>
  <c r="M379" i="2"/>
  <c r="M385" i="2"/>
  <c r="M386" i="2"/>
  <c r="M388" i="2"/>
  <c r="M389" i="2"/>
  <c r="M391" i="2"/>
  <c r="M394" i="2"/>
  <c r="M398" i="2"/>
  <c r="M399" i="2"/>
  <c r="M400" i="2"/>
  <c r="M403" i="2"/>
  <c r="M427" i="2"/>
  <c r="M433" i="2"/>
  <c r="M438" i="2"/>
  <c r="M444" i="2"/>
  <c r="M542" i="2"/>
  <c r="M550" i="2"/>
  <c r="M556" i="2"/>
  <c r="M565" i="2"/>
  <c r="M572" i="2"/>
  <c r="M586" i="2"/>
  <c r="M593" i="2"/>
  <c r="M594" i="2"/>
  <c r="M599" i="2"/>
  <c r="M607" i="2"/>
  <c r="M614" i="2"/>
  <c r="M617" i="2"/>
  <c r="M620" i="2"/>
  <c r="M623" i="2"/>
  <c r="M627" i="2"/>
  <c r="M629" i="2"/>
  <c r="M646" i="2"/>
  <c r="M668" i="2"/>
  <c r="M669" i="2"/>
  <c r="M671" i="2"/>
  <c r="M673" i="2"/>
  <c r="M676" i="2"/>
  <c r="M712" i="2"/>
  <c r="M713" i="2"/>
  <c r="M719" i="2"/>
  <c r="M733" i="2"/>
  <c r="M738" i="2"/>
  <c r="M739" i="2"/>
  <c r="M744" i="2"/>
  <c r="M751" i="2"/>
  <c r="M755" i="2"/>
  <c r="M756" i="2"/>
  <c r="M765" i="2"/>
  <c r="M767" i="2"/>
  <c r="M770" i="2"/>
  <c r="M783" i="2"/>
  <c r="M791" i="2"/>
  <c r="M796" i="2"/>
  <c r="M797" i="2"/>
  <c r="M802" i="2"/>
  <c r="M803" i="2"/>
  <c r="M804" i="2"/>
  <c r="M807" i="2"/>
  <c r="M808" i="2"/>
  <c r="M809" i="2"/>
  <c r="M811" i="2"/>
  <c r="M812" i="2"/>
  <c r="M813" i="2"/>
  <c r="M815" i="2"/>
  <c r="M817" i="2"/>
  <c r="M818" i="2"/>
  <c r="M820" i="2"/>
  <c r="M821" i="2"/>
  <c r="M822" i="2"/>
  <c r="M825" i="2"/>
  <c r="M826" i="2"/>
  <c r="M827" i="2"/>
  <c r="M829" i="2"/>
  <c r="M830" i="2"/>
  <c r="M831" i="2"/>
  <c r="M833" i="2"/>
  <c r="M834" i="2"/>
  <c r="M836" i="2"/>
  <c r="M837" i="2"/>
  <c r="M838" i="2"/>
  <c r="M839" i="2"/>
  <c r="M841" i="2"/>
  <c r="M842" i="2"/>
  <c r="M844" i="2"/>
  <c r="M846" i="2"/>
  <c r="M848" i="2"/>
  <c r="M849" i="2"/>
  <c r="M850" i="2"/>
  <c r="M851" i="2"/>
  <c r="M854" i="2"/>
  <c r="M857" i="2"/>
  <c r="M858" i="2"/>
  <c r="M862" i="2"/>
  <c r="M864" i="2"/>
  <c r="M868" i="2"/>
  <c r="M869" i="2"/>
  <c r="M871" i="2"/>
  <c r="M873" i="2"/>
  <c r="M876" i="2"/>
  <c r="M879" i="2"/>
  <c r="M880" i="2"/>
  <c r="M881" i="2"/>
  <c r="M882" i="2"/>
  <c r="M886" i="2"/>
  <c r="M889" i="2"/>
  <c r="M890" i="2"/>
  <c r="M891" i="2"/>
  <c r="M894" i="2"/>
  <c r="M896" i="2"/>
  <c r="M902" i="2"/>
  <c r="M903" i="2"/>
  <c r="M904" i="2"/>
  <c r="M905" i="2"/>
  <c r="M906" i="2"/>
  <c r="M911" i="2"/>
  <c r="M915" i="2"/>
  <c r="M921" i="2"/>
  <c r="M924" i="2"/>
  <c r="M925" i="2"/>
  <c r="M932" i="2"/>
  <c r="M933" i="2"/>
  <c r="M935" i="2"/>
  <c r="M936" i="2"/>
  <c r="M937" i="2"/>
  <c r="M940" i="2"/>
  <c r="M950" i="2"/>
  <c r="M952" i="2"/>
  <c r="M956" i="2"/>
  <c r="M957" i="2"/>
  <c r="M968" i="2"/>
  <c r="M969" i="2"/>
  <c r="M977" i="2"/>
  <c r="M980" i="2"/>
  <c r="M982" i="2"/>
  <c r="M984" i="2"/>
  <c r="M985" i="2"/>
  <c r="M999" i="2"/>
  <c r="M989" i="2"/>
  <c r="M994" i="2"/>
  <c r="M995" i="2"/>
  <c r="M996" i="2"/>
  <c r="M997" i="2"/>
  <c r="M1000" i="2"/>
  <c r="M1004" i="2"/>
  <c r="M1005" i="2"/>
  <c r="M1006" i="2"/>
  <c r="M1007" i="2"/>
  <c r="M1009" i="2"/>
  <c r="M1012" i="2"/>
  <c r="M1015" i="2"/>
  <c r="M1016" i="2"/>
  <c r="M1022" i="2"/>
  <c r="M1026" i="2"/>
  <c r="M1029" i="2"/>
  <c r="M990" i="2"/>
  <c r="M1058" i="2"/>
  <c r="M1046" i="2"/>
  <c r="M1050" i="2"/>
  <c r="M1051" i="2"/>
  <c r="M1052" i="2"/>
  <c r="M1055" i="2"/>
  <c r="M1056" i="2"/>
  <c r="M1033" i="2"/>
  <c r="M1035" i="2"/>
  <c r="M1057" i="2"/>
  <c r="M1060" i="2"/>
  <c r="M1063" i="2"/>
  <c r="M1067" i="2"/>
  <c r="M1075" i="2"/>
  <c r="M1076" i="2"/>
  <c r="M1077" i="2"/>
  <c r="M1079" i="2"/>
  <c r="M1081" i="2"/>
  <c r="M1082" i="2"/>
  <c r="M1083" i="2"/>
  <c r="M1104" i="2"/>
  <c r="M1105" i="2"/>
  <c r="M1106" i="2"/>
  <c r="M1107" i="2"/>
  <c r="M1108" i="2"/>
  <c r="M1109" i="2"/>
  <c r="M1110" i="2"/>
  <c r="M1111" i="2"/>
  <c r="M1085" i="2"/>
  <c r="M1087" i="2"/>
  <c r="M1089" i="2"/>
  <c r="M1090" i="2"/>
  <c r="M1091" i="2"/>
  <c r="M1092" i="2"/>
  <c r="M1093" i="2"/>
  <c r="M1095" i="2"/>
  <c r="M1115" i="2"/>
  <c r="M1118" i="2"/>
  <c r="M1121" i="2"/>
  <c r="M1122" i="2"/>
  <c r="M1123" i="2"/>
  <c r="M1126" i="2"/>
  <c r="M1128" i="2"/>
  <c r="M1129" i="2"/>
  <c r="M1130" i="2"/>
  <c r="M1131" i="2"/>
  <c r="M1132" i="2"/>
  <c r="M1133" i="2"/>
  <c r="M1135" i="2"/>
  <c r="M1136" i="2"/>
  <c r="M1068" i="2"/>
  <c r="M1071" i="2"/>
  <c r="M1116" i="2"/>
  <c r="M1117" i="2"/>
  <c r="M1141" i="2"/>
  <c r="M1142" i="2"/>
  <c r="M1143" i="2"/>
  <c r="M1144" i="2"/>
  <c r="M1145" i="2"/>
  <c r="M1146" i="2"/>
  <c r="M1148" i="2"/>
  <c r="M1149" i="2"/>
  <c r="M1151" i="2"/>
  <c r="M1154" i="2"/>
  <c r="M1155" i="2"/>
  <c r="M1156" i="2"/>
  <c r="M1157" i="2"/>
  <c r="M1158" i="2"/>
  <c r="M1159" i="2"/>
  <c r="M1160" i="2"/>
  <c r="M1161" i="2"/>
  <c r="M1163" i="2"/>
  <c r="M1164" i="2"/>
  <c r="M1165" i="2"/>
  <c r="M1168" i="2"/>
  <c r="M1170" i="2"/>
  <c r="M1172" i="2"/>
  <c r="M1173" i="2"/>
  <c r="M1174" i="2"/>
  <c r="M1177" i="2"/>
  <c r="M1178" i="2"/>
  <c r="M1179" i="2"/>
  <c r="M1180" i="2"/>
  <c r="M1181" i="2"/>
  <c r="M1182" i="2"/>
  <c r="M1183" i="2"/>
  <c r="M1184" i="2"/>
  <c r="M1185" i="2"/>
  <c r="M1188" i="2"/>
  <c r="M1192" i="2"/>
  <c r="M1193" i="2"/>
  <c r="M1194" i="2"/>
  <c r="M1195" i="2"/>
  <c r="M1196" i="2"/>
  <c r="M1197" i="2"/>
  <c r="M1198" i="2"/>
  <c r="M1199" i="2"/>
  <c r="M1200" i="2"/>
  <c r="M1201" i="2"/>
  <c r="M1202" i="2"/>
  <c r="M1203" i="2"/>
  <c r="M1204" i="2"/>
  <c r="M1205" i="2"/>
  <c r="M1206" i="2"/>
  <c r="M1207" i="2"/>
  <c r="M1208" i="2"/>
  <c r="M1209" i="2"/>
  <c r="M1210" i="2"/>
  <c r="M1211" i="2"/>
  <c r="M1214" i="2"/>
  <c r="M1215" i="2"/>
  <c r="M1216" i="2"/>
  <c r="M1217" i="2"/>
  <c r="M39" i="2"/>
  <c r="M201" i="2"/>
  <c r="M203" i="2"/>
  <c r="M204" i="2"/>
  <c r="M205" i="2"/>
  <c r="M207" i="2"/>
  <c r="M208" i="2"/>
  <c r="M209" i="2"/>
  <c r="M211" i="2"/>
  <c r="M212" i="2"/>
  <c r="M214" i="2"/>
  <c r="M215" i="2"/>
  <c r="M217" i="2"/>
  <c r="M219" i="2"/>
  <c r="M220" i="2"/>
  <c r="M221" i="2"/>
  <c r="M227" i="2"/>
  <c r="M228" i="2"/>
  <c r="M229" i="2"/>
  <c r="M231" i="2"/>
  <c r="M230" i="2"/>
  <c r="M232" i="2"/>
  <c r="M233" i="2"/>
  <c r="M236" i="2"/>
  <c r="M239" i="2"/>
  <c r="M246" i="2"/>
  <c r="M257" i="2"/>
  <c r="M260" i="2"/>
  <c r="M261" i="2"/>
  <c r="M264" i="2"/>
  <c r="M265" i="2"/>
  <c r="M268" i="2"/>
  <c r="M271" i="2"/>
  <c r="M269" i="2"/>
  <c r="M275" i="2"/>
  <c r="M284" i="2"/>
  <c r="M304" i="2"/>
  <c r="M307" i="2"/>
  <c r="M312" i="2"/>
  <c r="M315" i="2"/>
  <c r="M318" i="2"/>
  <c r="M321" i="2"/>
  <c r="M326" i="2"/>
  <c r="M328" i="2"/>
  <c r="M329" i="2"/>
  <c r="M331" i="2"/>
  <c r="M335" i="2"/>
  <c r="M336" i="2"/>
  <c r="M337" i="2"/>
  <c r="M339" i="2"/>
  <c r="M340" i="2"/>
  <c r="M345" i="2"/>
  <c r="M349" i="2"/>
  <c r="M354" i="2"/>
  <c r="M355" i="2"/>
  <c r="M361" i="2"/>
  <c r="M364" i="2"/>
  <c r="M366" i="2"/>
  <c r="M367" i="2"/>
  <c r="M368" i="2"/>
  <c r="M369" i="2"/>
  <c r="M371" i="2"/>
  <c r="M375" i="2"/>
  <c r="M380" i="2"/>
  <c r="M384" i="2"/>
  <c r="M387" i="2"/>
  <c r="M392" i="2"/>
  <c r="M395" i="2"/>
  <c r="M401" i="2"/>
  <c r="M402" i="2"/>
  <c r="M404" i="2"/>
  <c r="M405" i="2"/>
  <c r="M407" i="2"/>
  <c r="M408" i="2"/>
  <c r="M411" i="2"/>
  <c r="M412" i="2"/>
  <c r="M417" i="2"/>
  <c r="M418" i="2"/>
  <c r="M419" i="2"/>
  <c r="M422" i="2"/>
  <c r="M424" i="2"/>
  <c r="M426" i="2"/>
  <c r="M430" i="2"/>
  <c r="M434" i="2"/>
  <c r="M435" i="2"/>
  <c r="M445" i="2"/>
  <c r="M446" i="2"/>
  <c r="M450" i="2"/>
  <c r="M456" i="2"/>
  <c r="M459" i="2"/>
  <c r="M465" i="2"/>
  <c r="M472" i="2"/>
  <c r="M479" i="2"/>
  <c r="M480" i="2"/>
  <c r="M484" i="2"/>
  <c r="M489" i="2"/>
  <c r="M492" i="2"/>
  <c r="M493" i="2"/>
  <c r="M498" i="2"/>
  <c r="M501" i="2"/>
  <c r="M503" i="2"/>
  <c r="M504" i="2"/>
  <c r="M505" i="2"/>
  <c r="M509" i="2"/>
  <c r="M512" i="2"/>
  <c r="M520" i="2"/>
  <c r="M515" i="2"/>
  <c r="M516" i="2"/>
  <c r="M517" i="2"/>
  <c r="M524" i="2"/>
  <c r="M527" i="2"/>
  <c r="M537" i="2"/>
  <c r="M539" i="2"/>
  <c r="M551" i="2"/>
  <c r="M560" i="2"/>
  <c r="M561" i="2"/>
  <c r="M562" i="2"/>
  <c r="M566" i="2"/>
  <c r="M583" i="2"/>
  <c r="M590" i="2"/>
  <c r="M602" i="2"/>
  <c r="M603" i="2"/>
  <c r="M605" i="2"/>
  <c r="M628" i="2"/>
  <c r="M630" i="2"/>
  <c r="M639" i="2"/>
  <c r="M641" i="2"/>
  <c r="M647" i="2"/>
  <c r="M653" i="2"/>
  <c r="M658" i="2"/>
  <c r="M659" i="2"/>
  <c r="M663" i="2"/>
  <c r="M664" i="2"/>
  <c r="M665" i="2"/>
  <c r="M679" i="2"/>
  <c r="M682" i="2"/>
  <c r="M683" i="2"/>
  <c r="M684" i="2"/>
  <c r="M687" i="2"/>
  <c r="M690" i="2"/>
  <c r="M692" i="2"/>
  <c r="M696" i="2"/>
  <c r="M700" i="2"/>
  <c r="M701" i="2"/>
  <c r="M703" i="2"/>
  <c r="M708" i="2"/>
  <c r="M710" i="2"/>
  <c r="M714" i="2"/>
  <c r="M726" i="2"/>
  <c r="M727" i="2"/>
  <c r="M729" i="2"/>
  <c r="M737" i="2"/>
  <c r="M740" i="2"/>
  <c r="M743" i="2"/>
  <c r="M745" i="2"/>
  <c r="M748" i="2"/>
  <c r="M753" i="2"/>
  <c r="M754" i="2"/>
  <c r="M761" i="2"/>
  <c r="M762" i="2"/>
  <c r="M766" i="2"/>
  <c r="M768" i="2"/>
  <c r="M771" i="2"/>
  <c r="M776" i="2"/>
  <c r="M774" i="2"/>
  <c r="M778" i="2"/>
  <c r="M779" i="2"/>
  <c r="M782" i="2"/>
  <c r="M784" i="2"/>
  <c r="M785" i="2"/>
  <c r="M790" i="2"/>
  <c r="M794" i="2"/>
  <c r="M798" i="2"/>
  <c r="M801" i="2"/>
  <c r="M805" i="2"/>
  <c r="M810" i="2"/>
  <c r="M816" i="2"/>
  <c r="M819" i="2"/>
  <c r="M828" i="2"/>
  <c r="M832" i="2"/>
  <c r="M835" i="2"/>
  <c r="M840" i="2"/>
  <c r="M843" i="2"/>
  <c r="M847" i="2"/>
  <c r="M852" i="2"/>
  <c r="M853" i="2"/>
  <c r="M855" i="2"/>
  <c r="M859" i="2"/>
  <c r="M865" i="2"/>
  <c r="M867" i="2"/>
  <c r="M870" i="2"/>
  <c r="M872" i="2"/>
  <c r="M877" i="2"/>
  <c r="M883" i="2"/>
  <c r="M885" i="2"/>
  <c r="M887" i="2"/>
  <c r="M897" i="2"/>
  <c r="M907" i="2"/>
  <c r="M938" i="2"/>
  <c r="M942" i="2"/>
  <c r="M983" i="2"/>
  <c r="M988" i="2"/>
  <c r="M1001" i="2"/>
  <c r="M1002" i="2"/>
  <c r="M1011" i="2"/>
  <c r="M1013" i="2"/>
  <c r="M1018" i="2"/>
  <c r="M1020" i="2"/>
  <c r="M1024" i="2"/>
  <c r="M1025" i="2"/>
  <c r="M1030" i="2"/>
  <c r="M1031" i="2"/>
  <c r="M1032" i="2"/>
  <c r="M1034" i="2"/>
  <c r="M1036" i="2"/>
  <c r="M1038" i="2"/>
  <c r="M1039" i="2"/>
  <c r="M1040" i="2"/>
  <c r="M1041" i="2"/>
  <c r="M1043" i="2"/>
  <c r="M1047" i="2"/>
  <c r="M1045" i="2"/>
  <c r="M1048" i="2"/>
  <c r="M1049" i="2"/>
  <c r="M1053" i="2"/>
  <c r="M1054" i="2"/>
  <c r="M1059" i="2"/>
  <c r="M1061" i="2"/>
  <c r="M1064" i="2"/>
  <c r="M1066" i="2"/>
  <c r="M1072" i="2"/>
  <c r="M1080" i="2"/>
  <c r="M1084" i="2"/>
  <c r="M1086" i="2"/>
  <c r="M1088" i="2"/>
  <c r="M1112" i="2"/>
  <c r="M1119" i="2"/>
  <c r="M1127" i="2"/>
  <c r="M1138" i="2"/>
  <c r="M1139" i="2"/>
  <c r="M1140" i="2"/>
  <c r="M1147" i="2"/>
  <c r="M1150" i="2"/>
  <c r="M1152" i="2"/>
  <c r="M1153" i="2"/>
  <c r="M1169" i="2"/>
  <c r="M1175" i="2"/>
  <c r="M1186" i="2"/>
  <c r="M1189" i="2"/>
  <c r="M1190" i="2"/>
  <c r="M1191" i="2"/>
  <c r="M1212" i="2"/>
  <c r="M1213" i="2"/>
  <c r="M557" i="2"/>
  <c r="M580" i="2"/>
  <c r="M381" i="2"/>
  <c r="M393" i="2"/>
  <c r="M973" i="2"/>
  <c r="M974" i="2"/>
  <c r="M981" i="2"/>
  <c r="M413" i="2"/>
  <c r="M414" i="2"/>
  <c r="M429" i="2"/>
  <c r="M941" i="2"/>
  <c r="M954" i="2"/>
  <c r="M1019" i="2"/>
  <c r="CL9" i="2"/>
  <c r="CK9" i="2"/>
  <c r="CJ9" i="2"/>
  <c r="CI9" i="2"/>
  <c r="CH9" i="2"/>
  <c r="CG9" i="2"/>
  <c r="CF9" i="2"/>
  <c r="CE9" i="2"/>
  <c r="CD9" i="2"/>
  <c r="CC9" i="2"/>
  <c r="CB9" i="2"/>
  <c r="CA9" i="2"/>
  <c r="BZ9" i="2"/>
  <c r="BV9" i="2" s="1"/>
  <c r="BY9" i="2"/>
  <c r="BX9" i="2"/>
  <c r="BW9" i="2"/>
  <c r="BR9" i="2"/>
  <c r="BQ9" i="2"/>
  <c r="BP9" i="2"/>
  <c r="BO9" i="2"/>
  <c r="BN9" i="2"/>
  <c r="BM9" i="2"/>
  <c r="BL9" i="2"/>
  <c r="BG9" i="2"/>
  <c r="BF9" i="2"/>
  <c r="BE9" i="2"/>
  <c r="BD9" i="2"/>
  <c r="BC9" i="2"/>
  <c r="BB9" i="2"/>
  <c r="BA9" i="2"/>
  <c r="AZ9" i="2"/>
  <c r="AY9" i="2"/>
  <c r="AX9" i="2"/>
  <c r="AW9" i="2"/>
  <c r="AV9" i="2"/>
  <c r="AU9" i="2"/>
  <c r="AT9" i="2"/>
  <c r="AS9" i="2"/>
  <c r="AR9" i="2"/>
  <c r="AQ9" i="2"/>
  <c r="AP9" i="2"/>
  <c r="AO9" i="2"/>
  <c r="AN9" i="2"/>
  <c r="AM9" i="2"/>
  <c r="AL9" i="2"/>
  <c r="AK9" i="2"/>
  <c r="AJ9" i="2"/>
  <c r="AI9" i="2"/>
  <c r="AH9" i="2"/>
  <c r="AG9" i="2"/>
  <c r="AF9" i="2"/>
  <c r="AE9" i="2"/>
  <c r="AD9" i="2"/>
  <c r="AC9" i="2"/>
  <c r="AB9" i="2"/>
  <c r="AA9" i="2"/>
  <c r="Z9" i="2"/>
  <c r="Y9" i="2"/>
  <c r="X9" i="2"/>
  <c r="W9" i="2"/>
  <c r="V9" i="2"/>
  <c r="Q9" i="2"/>
  <c r="D5" i="13" l="1"/>
  <c r="D6" i="13" s="1"/>
  <c r="B32" i="18"/>
  <c r="AQ32" i="18" s="1"/>
  <c r="AW6" i="18" s="1"/>
  <c r="AQ30" i="18"/>
  <c r="B64" i="16"/>
  <c r="AQ64" i="16" s="1"/>
  <c r="AQ62" i="16"/>
  <c r="N67" i="15"/>
  <c r="Q37" i="15"/>
  <c r="AC37" i="15" s="1"/>
  <c r="E5" i="15" s="1"/>
  <c r="AC35" i="15"/>
  <c r="J13" i="15"/>
  <c r="J68" i="15" s="1"/>
  <c r="J69" i="15" s="1"/>
  <c r="I13" i="15"/>
  <c r="I68" i="15" s="1"/>
  <c r="I69" i="15" s="1"/>
  <c r="H13" i="15"/>
  <c r="H68" i="15" s="1"/>
  <c r="H69" i="15" s="1"/>
  <c r="C13" i="15"/>
  <c r="C68" i="15" s="1"/>
  <c r="C69" i="15" s="1"/>
  <c r="G13" i="15"/>
  <c r="G68" i="15" s="1"/>
  <c r="G69" i="15" s="1"/>
  <c r="D68" i="15"/>
  <c r="D69" i="15" s="1"/>
  <c r="F13" i="15"/>
  <c r="F68" i="15" s="1"/>
  <c r="F69" i="15" s="1"/>
  <c r="M13" i="15"/>
  <c r="M68" i="15" s="1"/>
  <c r="M69" i="15" s="1"/>
  <c r="E13" i="15"/>
  <c r="E68" i="15" s="1"/>
  <c r="E69" i="15" s="1"/>
  <c r="L13" i="15"/>
  <c r="L68" i="15" s="1"/>
  <c r="L69" i="15" s="1"/>
  <c r="K13" i="15"/>
  <c r="K68" i="15" s="1"/>
  <c r="K69" i="15" s="1"/>
  <c r="BK9" i="2"/>
  <c r="T9" i="2"/>
  <c r="B5" i="2"/>
  <c r="BJ9" i="2"/>
  <c r="S9" i="2"/>
  <c r="BI9" i="2"/>
  <c r="BH9" i="2"/>
  <c r="C5" i="2" s="1"/>
  <c r="U9" i="2"/>
  <c r="BS9" i="2"/>
  <c r="C6" i="2" s="1"/>
  <c r="BT9" i="2"/>
  <c r="B6" i="2"/>
  <c r="BU9" i="2"/>
  <c r="R9" i="2"/>
  <c r="C4" i="2" s="1"/>
  <c r="B4" i="2"/>
  <c r="AW4" i="16" l="1"/>
  <c r="AW6" i="16" s="1"/>
  <c r="B13" i="15"/>
  <c r="N12" i="15"/>
  <c r="N13" i="15" l="1"/>
  <c r="B68" i="15"/>
  <c r="B69" i="15" l="1"/>
  <c r="N69" i="15" s="1"/>
  <c r="E4" i="15" s="1"/>
  <c r="E6" i="15" s="1"/>
  <c r="N68"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tc={F06CBA81-3392-7642-80CA-336BE12B70D1}</author>
    <author>tc={D59D32B9-9452-9748-81A1-A0A420581881}</author>
  </authors>
  <commentList>
    <comment ref="L8" authorId="0" shapeId="0" xr:uid="{F06CBA81-3392-7642-80CA-336BE12B70D1}">
      <text>
        <t>[Threaded comment]
Your version of Excel allows you to read this threaded comment; however, any edits to it will get removed if the file is opened in a newer version of Excel. Learn more: https://go.microsoft.com/fwlink/?linkid=870924
Comment:
    Reformatted the dates</t>
      </text>
    </comment>
    <comment ref="M8" authorId="1" shapeId="0" xr:uid="{D59D32B9-9452-9748-81A1-A0A420581881}">
      <text>
        <t>[Threaded comment]
Your version of Excel allows you to read this threaded comment; however, any edits to it will get removed if the file is opened in a newer version of Excel. Learn more: https://go.microsoft.com/fwlink/?linkid=870924
Comment:
    Added this column to the data to help with cleanup (not in original file)</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<sst xmlns="http://schemas.openxmlformats.org/spreadsheetml/2006/main" count="90364" uniqueCount="1101">
  <si>
    <t>Added Summary information with cells to reference</t>
  </si>
  <si>
    <t>Tons Reported</t>
  </si>
  <si>
    <t>Diversion %</t>
  </si>
  <si>
    <t>General Materials:</t>
  </si>
  <si>
    <t>Earthwork Materials:</t>
  </si>
  <si>
    <t>Hazardous Materials:</t>
  </si>
  <si>
    <t>General Material Diversion</t>
  </si>
  <si>
    <t>General Material Tonnage</t>
  </si>
  <si>
    <t>General Materials</t>
  </si>
  <si>
    <t>Earthwork Material Diversion</t>
  </si>
  <si>
    <t>Earthwork Material Tonnage</t>
  </si>
  <si>
    <t>Earthwork Materials</t>
  </si>
  <si>
    <t>Hazardous Material Diversion</t>
  </si>
  <si>
    <t>Hazardous Material Tons</t>
  </si>
  <si>
    <t>Hazardous Materials</t>
  </si>
  <si>
    <t>Territory</t>
  </si>
  <si>
    <t>Project Name</t>
  </si>
  <si>
    <t>Project Number</t>
  </si>
  <si>
    <t>Work Phase</t>
  </si>
  <si>
    <t>Type Of Building</t>
  </si>
  <si>
    <t>Udf_ProjectSquareFootage</t>
  </si>
  <si>
    <t>Vendor</t>
  </si>
  <si>
    <t>Vendor Contact</t>
  </si>
  <si>
    <t>Facility</t>
  </si>
  <si>
    <t>Facility Address</t>
  </si>
  <si>
    <t>Container Number</t>
  </si>
  <si>
    <t>Haul Date</t>
  </si>
  <si>
    <t>Ticket Number</t>
  </si>
  <si>
    <t>Ticket Image</t>
  </si>
  <si>
    <t>Type</t>
  </si>
  <si>
    <t>Ticket Total Tons</t>
  </si>
  <si>
    <t>GM Diversion %</t>
  </si>
  <si>
    <t>GM Reused %</t>
  </si>
  <si>
    <t>GM Recycled %</t>
  </si>
  <si>
    <t>GM Disposed %</t>
  </si>
  <si>
    <t>GM Reused Tons</t>
  </si>
  <si>
    <t>GM Recycled Tons</t>
  </si>
  <si>
    <t>GM Disposed Tons</t>
  </si>
  <si>
    <t>GM Total Tons</t>
  </si>
  <si>
    <t>Alternate Daily Cover (ADC)</t>
  </si>
  <si>
    <t>Asphalt - Pavement &amp; Grinding</t>
  </si>
  <si>
    <t>Cardboard &amp; Paper Products</t>
  </si>
  <si>
    <t>Concrete</t>
  </si>
  <si>
    <t>Deconstructed &amp; Reuse Items</t>
  </si>
  <si>
    <t>Drywall - Demo &amp; painted</t>
  </si>
  <si>
    <t>Metal</t>
  </si>
  <si>
    <t>Mixed Recyclables</t>
  </si>
  <si>
    <t>Plastics &amp; Plastic Packaging Materials</t>
  </si>
  <si>
    <t>Waste (Trash)</t>
  </si>
  <si>
    <t>Appliances &amp; Equipment</t>
  </si>
  <si>
    <t>Aritificial Grass/Synthetic Turf</t>
  </si>
  <si>
    <t>Asphalt - Roofing</t>
  </si>
  <si>
    <t>Bricks, Masonry &amp; Stone Products</t>
  </si>
  <si>
    <t>Carpet &amp; Padding</t>
  </si>
  <si>
    <t>Ceiling Tiles</t>
  </si>
  <si>
    <t>Compost</t>
  </si>
  <si>
    <t>Compostable Food Waste</t>
  </si>
  <si>
    <t>Donated Food</t>
  </si>
  <si>
    <t>Drywall - Clean/Unpainted</t>
  </si>
  <si>
    <t>EPS Styrofoam</t>
  </si>
  <si>
    <t>eWaste</t>
  </si>
  <si>
    <t>Glass Bottles &amp; Containers</t>
  </si>
  <si>
    <t>Glass Plate or Tempered</t>
  </si>
  <si>
    <t>High-Density Polyethylene (HDPE)</t>
  </si>
  <si>
    <t>Miscellaneous Debris</t>
  </si>
  <si>
    <t>Mixed Food Waste</t>
  </si>
  <si>
    <t>Paint</t>
  </si>
  <si>
    <t>Paint - oil based</t>
  </si>
  <si>
    <t>Porcelain</t>
  </si>
  <si>
    <t>Trash Sorted for Recovery</t>
  </si>
  <si>
    <t>Wood - Clean</t>
  </si>
  <si>
    <t>Wood - Painted/Stained Recoverable</t>
  </si>
  <si>
    <t>Wood - Pallets</t>
  </si>
  <si>
    <t>EW Diversion %</t>
  </si>
  <si>
    <t>EW Reused %</t>
  </si>
  <si>
    <t>EW Recycled %</t>
  </si>
  <si>
    <t>EW Disposed %</t>
  </si>
  <si>
    <t>EW Reused Tons</t>
  </si>
  <si>
    <t>EW Recycled Tons</t>
  </si>
  <si>
    <t>EW Disposed Tons</t>
  </si>
  <si>
    <t>EW Total Tons</t>
  </si>
  <si>
    <t>Dirt/Soil-Clean Fill*</t>
  </si>
  <si>
    <t>Green Waste*</t>
  </si>
  <si>
    <t>Rock, Sand, Gravel &amp; other inerts*</t>
  </si>
  <si>
    <t>Haz Diversion %</t>
  </si>
  <si>
    <t>Haz Reused %</t>
  </si>
  <si>
    <t>Haz Recycled %</t>
  </si>
  <si>
    <t>Haz Disposed %</t>
  </si>
  <si>
    <t>Haz Reused Tons</t>
  </si>
  <si>
    <t>Haz Recycled Tons</t>
  </si>
  <si>
    <t>Haz Disposed Tons</t>
  </si>
  <si>
    <t>Haz Total Tons</t>
  </si>
  <si>
    <t>Batteries*</t>
  </si>
  <si>
    <t>Dirt/Soil-Contaminated Non-Hazardous*</t>
  </si>
  <si>
    <t>Dirt/Soil-Contaminated, Hazardous*</t>
  </si>
  <si>
    <t>Dirt/Soil-Hazardous*</t>
  </si>
  <si>
    <t>Fluorescent Bulbs*</t>
  </si>
  <si>
    <t>Materials Containing Asbestos*</t>
  </si>
  <si>
    <t>Materials with Lead-Based Paint*</t>
  </si>
  <si>
    <t>Other Hazardous Waste &amp; Materials*</t>
  </si>
  <si>
    <t>PCBs - Polychlorinated Biphenyls*</t>
  </si>
  <si>
    <t>Thermostats &amp; Mercury - Containing Equipment*</t>
  </si>
  <si>
    <t>Universal Waste - Other*</t>
  </si>
  <si>
    <t>Wood - Treated/Hazardous*</t>
  </si>
  <si>
    <t>Hauler Comment</t>
  </si>
  <si>
    <t>Submitted By</t>
  </si>
  <si>
    <t>Submitted Title</t>
  </si>
  <si>
    <t>Submitted Date</t>
  </si>
  <si>
    <t>Verified by</t>
  </si>
  <si>
    <t>Verified Date</t>
  </si>
  <si>
    <t>Review Comment</t>
  </si>
  <si>
    <t>Grand Totals WO Hazardous (LEED)</t>
  </si>
  <si>
    <t>Total Records: 1207</t>
  </si>
  <si>
    <t>11/04/2022 - 06/12/2026</t>
  </si>
  <si>
    <t>All Material Totals Filtered</t>
  </si>
  <si>
    <t>Oakland/San Francisco/San Jose</t>
  </si>
  <si>
    <t>UCB Gateway</t>
  </si>
  <si>
    <t>Higher Education | Laboratory / Research | 005 | 004</t>
  </si>
  <si>
    <t xml:space="preserve">Carone and Company Inc </t>
  </si>
  <si>
    <t>Grant Carone</t>
  </si>
  <si>
    <t>Diablo Valley Rock</t>
  </si>
  <si>
    <t>925 Watrebird Way, Martinez, CA 94553</t>
  </si>
  <si>
    <t>10/31/2025</t>
  </si>
  <si>
    <t>Click Here To View</t>
  </si>
  <si>
    <t>Demolition</t>
  </si>
  <si>
    <t>100.00%</t>
  </si>
  <si>
    <t>0.00%</t>
  </si>
  <si>
    <t>Heather Mello</t>
  </si>
  <si>
    <t>12/18/2025</t>
  </si>
  <si>
    <t>06/06/2025</t>
  </si>
  <si>
    <t>Argent Materials Inc.</t>
  </si>
  <si>
    <t>8501 San Leandro St, Oakland, CA 94621</t>
  </si>
  <si>
    <t>01/09/2026</t>
  </si>
  <si>
    <t>01/16/2026</t>
  </si>
  <si>
    <t>01/08/2026</t>
  </si>
  <si>
    <t>01/10/2026</t>
  </si>
  <si>
    <t>02/27/2026</t>
  </si>
  <si>
    <t>01/19/2026</t>
  </si>
  <si>
    <t>01/26/2026</t>
  </si>
  <si>
    <t>02/25/2026</t>
  </si>
  <si>
    <t>04/01/2026</t>
  </si>
  <si>
    <t>Garden of Eden Landscapes, Inc.</t>
  </si>
  <si>
    <t>Silvia Teixeria</t>
  </si>
  <si>
    <t>GreenPlanet 21</t>
  </si>
  <si>
    <t>1221 3rd St.,Oakland CA 94607, Oakland, CA 94607</t>
  </si>
  <si>
    <t>03/15/2024</t>
  </si>
  <si>
    <t>Construction</t>
  </si>
  <si>
    <t>Mike Teixeira</t>
  </si>
  <si>
    <t>03/25/2024</t>
  </si>
  <si>
    <t>03/18/2024</t>
  </si>
  <si>
    <t>03/19/2024</t>
  </si>
  <si>
    <t>03/14/2024</t>
  </si>
  <si>
    <t>03/11/2024</t>
  </si>
  <si>
    <t>03/08/2024</t>
  </si>
  <si>
    <t>03/07/2024</t>
  </si>
  <si>
    <t>02/23/2024</t>
  </si>
  <si>
    <t>02/27/2024</t>
  </si>
  <si>
    <t>02/28/2024</t>
  </si>
  <si>
    <t>02/29/2024</t>
  </si>
  <si>
    <t>02/21/2024</t>
  </si>
  <si>
    <t>02/20/2024</t>
  </si>
  <si>
    <t>02/17/2024</t>
  </si>
  <si>
    <t>02/16/2024</t>
  </si>
  <si>
    <t>02/15/2024</t>
  </si>
  <si>
    <t>02/10/2024</t>
  </si>
  <si>
    <t>02/09/2024</t>
  </si>
  <si>
    <t>02/06/2024</t>
  </si>
  <si>
    <t>02/05/2024</t>
  </si>
  <si>
    <t>05/01/2024</t>
  </si>
  <si>
    <t>06/03/2024</t>
  </si>
  <si>
    <t>05/02/2024</t>
  </si>
  <si>
    <t>05/03/2024</t>
  </si>
  <si>
    <t>Super Link Plastic</t>
  </si>
  <si>
    <t>888 92nd Ave, Oakland, CA 94603</t>
  </si>
  <si>
    <t>07/01/2025</t>
  </si>
  <si>
    <t>08/04/2025</t>
  </si>
  <si>
    <t>Silverado Contractors</t>
  </si>
  <si>
    <t>Samantha  Chen</t>
  </si>
  <si>
    <t>Argent Materials, Inc</t>
  </si>
  <si>
    <t>8300 Baldwin St, Oakland, CA 94621</t>
  </si>
  <si>
    <t>11/11/2022</t>
  </si>
  <si>
    <t>Katherine Ibarra</t>
  </si>
  <si>
    <t>08/01/2023</t>
  </si>
  <si>
    <t>11/04/2022</t>
  </si>
  <si>
    <t>11/07/2022</t>
  </si>
  <si>
    <t>11/21/2022</t>
  </si>
  <si>
    <t>11/22/2022</t>
  </si>
  <si>
    <t>11/23/2022</t>
  </si>
  <si>
    <t>04/18/2023</t>
  </si>
  <si>
    <t>08/02/2023</t>
  </si>
  <si>
    <t>05/11/2023</t>
  </si>
  <si>
    <t>05/22/2023</t>
  </si>
  <si>
    <t>05/23/2023</t>
  </si>
  <si>
    <t>05/24/2023</t>
  </si>
  <si>
    <t>05/25/2023</t>
  </si>
  <si>
    <t>05/31/2023</t>
  </si>
  <si>
    <t>06/01/2023</t>
  </si>
  <si>
    <t>06/14/2023</t>
  </si>
  <si>
    <t>06/15/2023</t>
  </si>
  <si>
    <t>06/21/2023</t>
  </si>
  <si>
    <t>06/22/2023</t>
  </si>
  <si>
    <t>06/23/2023</t>
  </si>
  <si>
    <t>06/26/2023</t>
  </si>
  <si>
    <t>06/28/2023</t>
  </si>
  <si>
    <t xml:space="preserve">Certified Blue Recycling </t>
  </si>
  <si>
    <t>2075 Williams St, San Leandro, CA 94577</t>
  </si>
  <si>
    <t>01/29/2024</t>
  </si>
  <si>
    <t>07/25/2023</t>
  </si>
  <si>
    <t>08/10/2023</t>
  </si>
  <si>
    <t>08/30/2023</t>
  </si>
  <si>
    <t>09/13/2023</t>
  </si>
  <si>
    <t>09/28/2023</t>
  </si>
  <si>
    <t>10/03/2023</t>
  </si>
  <si>
    <t>10/18/2023</t>
  </si>
  <si>
    <t>10/30/2023</t>
  </si>
  <si>
    <t>11/10/2023</t>
  </si>
  <si>
    <t>11/22/2023</t>
  </si>
  <si>
    <t>12/11/2023</t>
  </si>
  <si>
    <t>12/18/2023</t>
  </si>
  <si>
    <t>12/28/2023</t>
  </si>
  <si>
    <t>01/02/2024</t>
  </si>
  <si>
    <t>01/08/2024</t>
  </si>
  <si>
    <t>01/05/2024</t>
  </si>
  <si>
    <t>01/10/2024</t>
  </si>
  <si>
    <t>01/11/2024</t>
  </si>
  <si>
    <t>01/23/2024</t>
  </si>
  <si>
    <t>02/08/2024</t>
  </si>
  <si>
    <t>02/19/2024</t>
  </si>
  <si>
    <t>03/13/2024</t>
  </si>
  <si>
    <t>Largo Concrete</t>
  </si>
  <si>
    <t>Oscar Romo</t>
  </si>
  <si>
    <t>04/15/2024</t>
  </si>
  <si>
    <t>03/20/2024</t>
  </si>
  <si>
    <t>03/29/2024</t>
  </si>
  <si>
    <t>09/23/2024</t>
  </si>
  <si>
    <t>07/06/2024</t>
  </si>
  <si>
    <t>07/25/2024</t>
  </si>
  <si>
    <t>08/12/2024</t>
  </si>
  <si>
    <t>08/26/2024</t>
  </si>
  <si>
    <t>09/09/2024</t>
  </si>
  <si>
    <t>09/13/2024</t>
  </si>
  <si>
    <t>10/01/2024</t>
  </si>
  <si>
    <t>11/12/2024</t>
  </si>
  <si>
    <t>10/03/2024</t>
  </si>
  <si>
    <t>10/07/2024</t>
  </si>
  <si>
    <t>10/08/2024</t>
  </si>
  <si>
    <t>10/09/2024</t>
  </si>
  <si>
    <t>10/10/2024</t>
  </si>
  <si>
    <t>10/11/2024</t>
  </si>
  <si>
    <t>10/12/2024</t>
  </si>
  <si>
    <t>na</t>
  </si>
  <si>
    <t>10.14.2024</t>
  </si>
  <si>
    <t>10/14/2024</t>
  </si>
  <si>
    <t>10/15/2024</t>
  </si>
  <si>
    <t>10/18/2024</t>
  </si>
  <si>
    <t>10/22/2024</t>
  </si>
  <si>
    <t>10/24/2024</t>
  </si>
  <si>
    <t>10/30/2024</t>
  </si>
  <si>
    <t>11/27/2024</t>
  </si>
  <si>
    <t>Casey Utility Services</t>
  </si>
  <si>
    <t>3rd Street, San Francisco, CA 94130, San Francisco, CA 94130</t>
  </si>
  <si>
    <t>10/02/2024</t>
  </si>
  <si>
    <t>11/07/2024</t>
  </si>
  <si>
    <t>11/01/2024</t>
  </si>
  <si>
    <t>11/21/2024</t>
  </si>
  <si>
    <t>09/17/2024</t>
  </si>
  <si>
    <t>09/18/2024</t>
  </si>
  <si>
    <t>09/26/2024</t>
  </si>
  <si>
    <t>09/27/2024</t>
  </si>
  <si>
    <t>08/05/2024</t>
  </si>
  <si>
    <t>08/21/2024</t>
  </si>
  <si>
    <t>06/06/2024</t>
  </si>
  <si>
    <t>12/06/2024</t>
  </si>
  <si>
    <t>12/24/2024</t>
  </si>
  <si>
    <t>12/26/2024</t>
  </si>
  <si>
    <t>01/29/2025</t>
  </si>
  <si>
    <t>01/21/2025</t>
  </si>
  <si>
    <t>02/03/2025</t>
  </si>
  <si>
    <t>02/27/2025</t>
  </si>
  <si>
    <t>Waste Management</t>
  </si>
  <si>
    <t>2615 Davis Street, San Leandro, San Leandro, CA 94577</t>
  </si>
  <si>
    <t>02/24/2025</t>
  </si>
  <si>
    <t>04/16/2025</t>
  </si>
  <si>
    <t>05/02/2025</t>
  </si>
  <si>
    <t>SFR Recovery Inc.</t>
  </si>
  <si>
    <t>2401 Ingalls St., San Francisco, CA 94124, San Francisco, CA 94124</t>
  </si>
  <si>
    <t>05/23/2025</t>
  </si>
  <si>
    <t>06/27/2025</t>
  </si>
  <si>
    <t>05/28/2025</t>
  </si>
  <si>
    <t>06/02/2025</t>
  </si>
  <si>
    <t>05/21/2025</t>
  </si>
  <si>
    <t>07/10/2025</t>
  </si>
  <si>
    <t>09/08/2025</t>
  </si>
  <si>
    <t>10/16/2025</t>
  </si>
  <si>
    <t>10/17/2025</t>
  </si>
  <si>
    <t>10/22/2025</t>
  </si>
  <si>
    <t>10/28/2025</t>
  </si>
  <si>
    <t>12/11/2025</t>
  </si>
  <si>
    <t>08/20/2025</t>
  </si>
  <si>
    <t>08/22/2025</t>
  </si>
  <si>
    <t>01/27/2026</t>
  </si>
  <si>
    <t>Nor-Cal</t>
  </si>
  <si>
    <t>477 Roland Way, Oakland, CA, Oakland, CA 94621</t>
  </si>
  <si>
    <t>02/20/2026</t>
  </si>
  <si>
    <t>03/04/2026</t>
  </si>
  <si>
    <t>Zanker Site 1</t>
  </si>
  <si>
    <t>705 Los Esteros Road, San Jose, CA 95134</t>
  </si>
  <si>
    <t>03/02/2026</t>
  </si>
  <si>
    <t>03/11/2026</t>
  </si>
  <si>
    <t>03/26/2026</t>
  </si>
  <si>
    <t>05/04/2026</t>
  </si>
  <si>
    <t>Benecia Dirt Site</t>
  </si>
  <si>
    <t>1 Lake Herman Road, Benicia, CA 94510</t>
  </si>
  <si>
    <t>10/17/2023</t>
  </si>
  <si>
    <t>N/A</t>
  </si>
  <si>
    <t>Tandems Inc.</t>
  </si>
  <si>
    <t>4001 W Winton Ave, Hayward, Hayward, CA 94545</t>
  </si>
  <si>
    <t>Tracy Dirt Site</t>
  </si>
  <si>
    <t>29272 Corral Hollow Rd, Tracy, Tracy, CA 95377</t>
  </si>
  <si>
    <t>09/05/2024</t>
  </si>
  <si>
    <t>09/19/2024</t>
  </si>
  <si>
    <t>09/25/2024</t>
  </si>
  <si>
    <t>09/28/2024</t>
  </si>
  <si>
    <t>10/05/2024</t>
  </si>
  <si>
    <t>10/16/2024</t>
  </si>
  <si>
    <t>10/19/2024</t>
  </si>
  <si>
    <t>10/23/2024</t>
  </si>
  <si>
    <t>10/25/2024</t>
  </si>
  <si>
    <t>10/29/2024</t>
  </si>
  <si>
    <t>11/26/2024</t>
  </si>
  <si>
    <t>11/04/2024</t>
  </si>
  <si>
    <t>11/06/2024</t>
  </si>
  <si>
    <t>11/08/2024</t>
  </si>
  <si>
    <t>11/13/2024</t>
  </si>
  <si>
    <t>11/14/2024</t>
  </si>
  <si>
    <t>11/15/2024</t>
  </si>
  <si>
    <t>11/18/2024</t>
  </si>
  <si>
    <t>11/19/2024</t>
  </si>
  <si>
    <t>11/22/2024</t>
  </si>
  <si>
    <t>11/25/2024</t>
  </si>
  <si>
    <t>12/03/2024</t>
  </si>
  <si>
    <t>12/02/2024</t>
  </si>
  <si>
    <t>12/04/2024</t>
  </si>
  <si>
    <t>12/10/2024</t>
  </si>
  <si>
    <t>12/11/2024</t>
  </si>
  <si>
    <t>12/12/2024</t>
  </si>
  <si>
    <t>12/13/2024</t>
  </si>
  <si>
    <t>12/14/2024</t>
  </si>
  <si>
    <t>12/16/2024</t>
  </si>
  <si>
    <t>12/17/2024</t>
  </si>
  <si>
    <t>12/18/2024</t>
  </si>
  <si>
    <t>12/20/2024</t>
  </si>
  <si>
    <t>12/21/2024</t>
  </si>
  <si>
    <t>12/27/2024</t>
  </si>
  <si>
    <t>12/28/2024</t>
  </si>
  <si>
    <t>12/31/2024</t>
  </si>
  <si>
    <t>01/02/2025</t>
  </si>
  <si>
    <t>01/03/2025</t>
  </si>
  <si>
    <t>01/06/2025</t>
  </si>
  <si>
    <t>01/07/2025</t>
  </si>
  <si>
    <t>01/08/2025</t>
  </si>
  <si>
    <t>01/09/2025</t>
  </si>
  <si>
    <t>01/11/2025</t>
  </si>
  <si>
    <t>01/13/2025</t>
  </si>
  <si>
    <t>01/15/2025</t>
  </si>
  <si>
    <t>01/16/2025</t>
  </si>
  <si>
    <t>01/17/2025</t>
  </si>
  <si>
    <t>01/23/2025</t>
  </si>
  <si>
    <t>01/24/2025</t>
  </si>
  <si>
    <t>01/27/2025</t>
  </si>
  <si>
    <t>01/30/2025</t>
  </si>
  <si>
    <t>02/06/2025</t>
  </si>
  <si>
    <t>02/07/2025</t>
  </si>
  <si>
    <t>02/08/2025</t>
  </si>
  <si>
    <t>02/10/2025</t>
  </si>
  <si>
    <t>02/12/2025</t>
  </si>
  <si>
    <t>02/13/2025</t>
  </si>
  <si>
    <t>02/14/2025</t>
  </si>
  <si>
    <t>02/17/2025</t>
  </si>
  <si>
    <t>02/18/2025</t>
  </si>
  <si>
    <t>02/20/2025</t>
  </si>
  <si>
    <t>02/21/2025</t>
  </si>
  <si>
    <t>02/26/2025</t>
  </si>
  <si>
    <t>03/31/2025</t>
  </si>
  <si>
    <t>03/04/2025</t>
  </si>
  <si>
    <t>03/03/2025</t>
  </si>
  <si>
    <t>03/06/2025</t>
  </si>
  <si>
    <t>03/07/2025</t>
  </si>
  <si>
    <t>03/10/2025</t>
  </si>
  <si>
    <t>03/11/2025</t>
  </si>
  <si>
    <t>03/12/2025</t>
  </si>
  <si>
    <t>03/13/2025</t>
  </si>
  <si>
    <t>03/14/2025</t>
  </si>
  <si>
    <t>03/18/2025</t>
  </si>
  <si>
    <t>03/19/2025</t>
  </si>
  <si>
    <t>03/20/2025</t>
  </si>
  <si>
    <t>03/21/2025</t>
  </si>
  <si>
    <t>03/24/2025</t>
  </si>
  <si>
    <t>03/22/2025</t>
  </si>
  <si>
    <t>03/25/2025</t>
  </si>
  <si>
    <t>03/27/2025</t>
  </si>
  <si>
    <t>03/28/2025</t>
  </si>
  <si>
    <t>04/01/2025</t>
  </si>
  <si>
    <t>04/02/2025</t>
  </si>
  <si>
    <t>04/04/2025</t>
  </si>
  <si>
    <t>04/07/2025</t>
  </si>
  <si>
    <t>04/08/2025</t>
  </si>
  <si>
    <t>04/09/2025</t>
  </si>
  <si>
    <t>04/10/2025</t>
  </si>
  <si>
    <t>04/14/2025</t>
  </si>
  <si>
    <t>04/11/2025</t>
  </si>
  <si>
    <t>04/15/2025</t>
  </si>
  <si>
    <t>04/17/2025</t>
  </si>
  <si>
    <t>04/21/2025</t>
  </si>
  <si>
    <t>04/22/2025</t>
  </si>
  <si>
    <t>04/25/2025</t>
  </si>
  <si>
    <t>04/28/2025</t>
  </si>
  <si>
    <t>04/29/2025</t>
  </si>
  <si>
    <t>05/01/2025</t>
  </si>
  <si>
    <t>05/05/2025</t>
  </si>
  <si>
    <t>05/07/2025</t>
  </si>
  <si>
    <t>05/08/2025</t>
  </si>
  <si>
    <t>05/09/2025</t>
  </si>
  <si>
    <t>05/10/2025</t>
  </si>
  <si>
    <t>05/12/2025</t>
  </si>
  <si>
    <t>05/13/2025</t>
  </si>
  <si>
    <t>05/14/2025</t>
  </si>
  <si>
    <t>05/16/2025</t>
  </si>
  <si>
    <t>05/17/2025</t>
  </si>
  <si>
    <t>05/20/2025</t>
  </si>
  <si>
    <t>06/25/2025</t>
  </si>
  <si>
    <t>07/31/2025</t>
  </si>
  <si>
    <t>06/30/2025</t>
  </si>
  <si>
    <t>07/09/2025</t>
  </si>
  <si>
    <t>07/14/2025</t>
  </si>
  <si>
    <t>07/16/2025</t>
  </si>
  <si>
    <t>07/18/2025</t>
  </si>
  <si>
    <t>07/21/2025</t>
  </si>
  <si>
    <t>07/22/2025</t>
  </si>
  <si>
    <t>07/25/2025</t>
  </si>
  <si>
    <t>07/28/2025</t>
  </si>
  <si>
    <t>07/29/2025</t>
  </si>
  <si>
    <t>08/28/2025</t>
  </si>
  <si>
    <t>08/06/2025</t>
  </si>
  <si>
    <t>08/07/2025</t>
  </si>
  <si>
    <t>08/08/2025</t>
  </si>
  <si>
    <t>08/09/2025</t>
  </si>
  <si>
    <t>08/11/2025</t>
  </si>
  <si>
    <t>08/12/2025</t>
  </si>
  <si>
    <t>08/13/2025</t>
  </si>
  <si>
    <t>08/14/2025</t>
  </si>
  <si>
    <t>08/15/2025</t>
  </si>
  <si>
    <t>08/16/2025</t>
  </si>
  <si>
    <t>08/19/2025</t>
  </si>
  <si>
    <t>08/21/2025</t>
  </si>
  <si>
    <t>08/26/2025</t>
  </si>
  <si>
    <t>09/03/2025</t>
  </si>
  <si>
    <t>09/29/2025</t>
  </si>
  <si>
    <t>09/05/2025</t>
  </si>
  <si>
    <t>09/09/2025</t>
  </si>
  <si>
    <t>09/11/2025</t>
  </si>
  <si>
    <t>09/12/2025</t>
  </si>
  <si>
    <t>09/15/2025</t>
  </si>
  <si>
    <t>09/16/2025</t>
  </si>
  <si>
    <t>09/17/2025</t>
  </si>
  <si>
    <t>09/18/2025</t>
  </si>
  <si>
    <t>09/19/2025</t>
  </si>
  <si>
    <t>09/22/2025</t>
  </si>
  <si>
    <t>09/25/2025</t>
  </si>
  <si>
    <t>11/03/2025</t>
  </si>
  <si>
    <t>09/26/2025</t>
  </si>
  <si>
    <t>10/01/2025</t>
  </si>
  <si>
    <t>10/03/2025</t>
  </si>
  <si>
    <t>10/09/2025</t>
  </si>
  <si>
    <t>10/10/2025</t>
  </si>
  <si>
    <t>10/24/2025</t>
  </si>
  <si>
    <t>12/02/2025</t>
  </si>
  <si>
    <t>10/25/2025</t>
  </si>
  <si>
    <t>10/29/2025</t>
  </si>
  <si>
    <t>11/05/2025</t>
  </si>
  <si>
    <t>11/04/2025</t>
  </si>
  <si>
    <t>11/11/2025</t>
  </si>
  <si>
    <t>11/10/2025</t>
  </si>
  <si>
    <t>11/21/2025</t>
  </si>
  <si>
    <t>12/30/2025</t>
  </si>
  <si>
    <t>11/24/2025</t>
  </si>
  <si>
    <t>12/08/2025</t>
  </si>
  <si>
    <t>12/09/2025</t>
  </si>
  <si>
    <t>12/12/2025</t>
  </si>
  <si>
    <t>12/15/2025</t>
  </si>
  <si>
    <t>02/02/2026</t>
  </si>
  <si>
    <t>01/14/2026</t>
  </si>
  <si>
    <t>Schnitzer Steel - Oakland</t>
  </si>
  <si>
    <t>1101 Embarcadero West, Oakland CA, Oakland, CA 94607</t>
  </si>
  <si>
    <t>05/10/2023</t>
  </si>
  <si>
    <t>TAXPLY</t>
  </si>
  <si>
    <t>05/19/2023</t>
  </si>
  <si>
    <t>TAYYQZ</t>
  </si>
  <si>
    <t>TAZKHJ</t>
  </si>
  <si>
    <t>TAZPNH</t>
  </si>
  <si>
    <t>TBARTR</t>
  </si>
  <si>
    <t>06/07/2023</t>
  </si>
  <si>
    <t>TBBLHQ</t>
  </si>
  <si>
    <t>06/16/2023</t>
  </si>
  <si>
    <t>TBCXBU</t>
  </si>
  <si>
    <t>TBDVPA</t>
  </si>
  <si>
    <t>11/17/2022</t>
  </si>
  <si>
    <t>TABHVS</t>
  </si>
  <si>
    <t>12/14/2022</t>
  </si>
  <si>
    <t>TAEIPJ</t>
  </si>
  <si>
    <t>CASS, Inc</t>
  </si>
  <si>
    <t>2730 Peralta Street Oakland CA 94607, Oakland, CA 94607</t>
  </si>
  <si>
    <t>01/15/2024</t>
  </si>
  <si>
    <t>02/07/2024</t>
  </si>
  <si>
    <t>03/28/2024</t>
  </si>
  <si>
    <t>ALCO Metals - San Leandro</t>
  </si>
  <si>
    <t>1091 Doolittle Dr Gate C, San Leandro, CA 94577</t>
  </si>
  <si>
    <t>210784 All Metal 202</t>
  </si>
  <si>
    <t>Domenica Gachet</t>
  </si>
  <si>
    <t>The Buy-Back</t>
  </si>
  <si>
    <t>669 Gilman Street, Berkeley, CA 94710, Berkeley, CA 94710</t>
  </si>
  <si>
    <t>06/19/2025</t>
  </si>
  <si>
    <t>09/10/2025</t>
  </si>
  <si>
    <t>78N25883</t>
  </si>
  <si>
    <t>11/18/2025</t>
  </si>
  <si>
    <t>ALCO-400757-440649</t>
  </si>
  <si>
    <t>Mayur Kale</t>
  </si>
  <si>
    <t>04/21/2026</t>
  </si>
  <si>
    <t>Certified Blue Recycling</t>
  </si>
  <si>
    <t>S Barron</t>
  </si>
  <si>
    <t>Certified Blue Recycling Without ADC (LEED)</t>
  </si>
  <si>
    <t>12/22/2022</t>
  </si>
  <si>
    <t>31.65%</t>
  </si>
  <si>
    <t>68.35%</t>
  </si>
  <si>
    <t>Mahek Pathak</t>
  </si>
  <si>
    <t>02/21/2023</t>
  </si>
  <si>
    <t>11/30/2022</t>
  </si>
  <si>
    <t>30.56%</t>
  </si>
  <si>
    <t>69.44%</t>
  </si>
  <si>
    <t>06/05/2023</t>
  </si>
  <si>
    <t>30.30%</t>
  </si>
  <si>
    <t>69.70%</t>
  </si>
  <si>
    <t>Silvia Teixeira</t>
  </si>
  <si>
    <t>06/20/2023</t>
  </si>
  <si>
    <t>30.72%</t>
  </si>
  <si>
    <t>69.28%</t>
  </si>
  <si>
    <t>Excess Recovery, INC.</t>
  </si>
  <si>
    <t>1801 Evans Avenue, San Francisco, CA 94124, San Francisco, CA 94124</t>
  </si>
  <si>
    <t>04/10/2023</t>
  </si>
  <si>
    <t>71.00%</t>
  </si>
  <si>
    <t>29.00%</t>
  </si>
  <si>
    <t>04/20/2023</t>
  </si>
  <si>
    <t>05/08/2023</t>
  </si>
  <si>
    <t>07/05/2023</t>
  </si>
  <si>
    <t>31.17%</t>
  </si>
  <si>
    <t>68.83%</t>
  </si>
  <si>
    <t>10/02/2023</t>
  </si>
  <si>
    <t>11/28/2023</t>
  </si>
  <si>
    <t>11/02/2023</t>
  </si>
  <si>
    <t>30.82%</t>
  </si>
  <si>
    <t>69.18%</t>
  </si>
  <si>
    <t>11/13/2023</t>
  </si>
  <si>
    <t>30.99%</t>
  </si>
  <si>
    <t>69.01%</t>
  </si>
  <si>
    <t>Zanker Processing Facility</t>
  </si>
  <si>
    <t>675 Los Esteros Road, San Jose, CA 95134</t>
  </si>
  <si>
    <t>11/17/2023</t>
  </si>
  <si>
    <t>30.86%</t>
  </si>
  <si>
    <t>69.14%</t>
  </si>
  <si>
    <t>30.77%</t>
  </si>
  <si>
    <t>69.23%</t>
  </si>
  <si>
    <t>11/29/2023</t>
  </si>
  <si>
    <t>30.70%</t>
  </si>
  <si>
    <t>69.30%</t>
  </si>
  <si>
    <t>30.75%</t>
  </si>
  <si>
    <t>69.25%</t>
  </si>
  <si>
    <t>01/26/2024</t>
  </si>
  <si>
    <t>30.93%</t>
  </si>
  <si>
    <t>69.07%</t>
  </si>
  <si>
    <t>01/16/2024</t>
  </si>
  <si>
    <t>01/22/2024</t>
  </si>
  <si>
    <t>30.74%</t>
  </si>
  <si>
    <t>69.26%</t>
  </si>
  <si>
    <t>02/02/2024</t>
  </si>
  <si>
    <t>30.84%</t>
  </si>
  <si>
    <t>69.16%</t>
  </si>
  <si>
    <t>30.69%</t>
  </si>
  <si>
    <t>69.31%</t>
  </si>
  <si>
    <t>30.71%</t>
  </si>
  <si>
    <t>69.29%</t>
  </si>
  <si>
    <t>02/22/2024</t>
  </si>
  <si>
    <t>03/01/2024</t>
  </si>
  <si>
    <t>30.80%</t>
  </si>
  <si>
    <t>69.20%</t>
  </si>
  <si>
    <t>30.85%</t>
  </si>
  <si>
    <t>69.15%</t>
  </si>
  <si>
    <t>30.95%</t>
  </si>
  <si>
    <t>69.05%</t>
  </si>
  <si>
    <t>30.89%</t>
  </si>
  <si>
    <t>69.11%</t>
  </si>
  <si>
    <t>04/30/2024</t>
  </si>
  <si>
    <t>03/26/2024</t>
  </si>
  <si>
    <t>30.83%</t>
  </si>
  <si>
    <t>69.17%</t>
  </si>
  <si>
    <t>04/03/2024</t>
  </si>
  <si>
    <t>04/05/2024</t>
  </si>
  <si>
    <t>30.66%</t>
  </si>
  <si>
    <t>69.34%</t>
  </si>
  <si>
    <t>04/11/2024</t>
  </si>
  <si>
    <t>04/12/2024</t>
  </si>
  <si>
    <t>30.81%</t>
  </si>
  <si>
    <t>69.19%</t>
  </si>
  <si>
    <t>04/22/2024</t>
  </si>
  <si>
    <t>05/09/2024</t>
  </si>
  <si>
    <t>30.79%</t>
  </si>
  <si>
    <t>69.21%</t>
  </si>
  <si>
    <t>05/16/2024</t>
  </si>
  <si>
    <t>05/29/2024</t>
  </si>
  <si>
    <t>05/30/2024</t>
  </si>
  <si>
    <t>06/27/2024</t>
  </si>
  <si>
    <t>31.03%</t>
  </si>
  <si>
    <t>68.97%</t>
  </si>
  <si>
    <t>06/12/2024</t>
  </si>
  <si>
    <t>30.92%</t>
  </si>
  <si>
    <t>69.08%</t>
  </si>
  <si>
    <t>06/13/2024</t>
  </si>
  <si>
    <t>06/24/2024</t>
  </si>
  <si>
    <t>07/13/2024</t>
  </si>
  <si>
    <t>30.67%</t>
  </si>
  <si>
    <t>69.33%</t>
  </si>
  <si>
    <t>07/31/2024</t>
  </si>
  <si>
    <t>30.94%</t>
  </si>
  <si>
    <t>69.06%</t>
  </si>
  <si>
    <t>07/22/2024</t>
  </si>
  <si>
    <t>08/06/2024</t>
  </si>
  <si>
    <t>30.88%</t>
  </si>
  <si>
    <t>69.12%</t>
  </si>
  <si>
    <t>08/14/2024</t>
  </si>
  <si>
    <t>30.14%</t>
  </si>
  <si>
    <t>69.86%</t>
  </si>
  <si>
    <t>08/16/2024</t>
  </si>
  <si>
    <t>31.11%</t>
  </si>
  <si>
    <t>68.89%</t>
  </si>
  <si>
    <t>08/19/2024</t>
  </si>
  <si>
    <t>30.91%</t>
  </si>
  <si>
    <t>69.09%</t>
  </si>
  <si>
    <t>08/22/2024</t>
  </si>
  <si>
    <t>08/23/2024</t>
  </si>
  <si>
    <t>31.19%</t>
  </si>
  <si>
    <t>68.81%</t>
  </si>
  <si>
    <t>08/27/2024</t>
  </si>
  <si>
    <t>31.01%</t>
  </si>
  <si>
    <t>68.99%</t>
  </si>
  <si>
    <t>08/30/2024</t>
  </si>
  <si>
    <t>30.58%</t>
  </si>
  <si>
    <t>69.42%</t>
  </si>
  <si>
    <t>09/21/2024</t>
  </si>
  <si>
    <t>30.96%</t>
  </si>
  <si>
    <t>69.04%</t>
  </si>
  <si>
    <t>11/16/2024</t>
  </si>
  <si>
    <t>30.49%</t>
  </si>
  <si>
    <t>69.51%</t>
  </si>
  <si>
    <t>95.00%</t>
  </si>
  <si>
    <t>5.00%</t>
  </si>
  <si>
    <t>12/23/2024</t>
  </si>
  <si>
    <t>30.59%</t>
  </si>
  <si>
    <t>69.41%</t>
  </si>
  <si>
    <t>31.09%</t>
  </si>
  <si>
    <t>68.91%</t>
  </si>
  <si>
    <t>30.87%</t>
  </si>
  <si>
    <t>69.13%</t>
  </si>
  <si>
    <t>31.06%</t>
  </si>
  <si>
    <t>68.94%</t>
  </si>
  <si>
    <t>30.73%</t>
  </si>
  <si>
    <t>69.27%</t>
  </si>
  <si>
    <t>01/31/2025</t>
  </si>
  <si>
    <t>02/05/2025</t>
  </si>
  <si>
    <t>30.43%</t>
  </si>
  <si>
    <t>69.57%</t>
  </si>
  <si>
    <t>31.02%</t>
  </si>
  <si>
    <t>68.98%</t>
  </si>
  <si>
    <t>31.00%</t>
  </si>
  <si>
    <t>69.00%</t>
  </si>
  <si>
    <t>30.78%</t>
  </si>
  <si>
    <t>69.22%</t>
  </si>
  <si>
    <t>04/18/2025</t>
  </si>
  <si>
    <t>04/19/2025</t>
  </si>
  <si>
    <t>04/23/2025</t>
  </si>
  <si>
    <t>30.62%</t>
  </si>
  <si>
    <t>69.38%</t>
  </si>
  <si>
    <t>04/30/2025</t>
  </si>
  <si>
    <t>05/06/2025</t>
  </si>
  <si>
    <t>05/15/2025</t>
  </si>
  <si>
    <t>05/19/2025</t>
  </si>
  <si>
    <t>05/22/2025</t>
  </si>
  <si>
    <t>05/24/2025</t>
  </si>
  <si>
    <t>05/27/2025</t>
  </si>
  <si>
    <t>98.00%</t>
  </si>
  <si>
    <t>2.00%</t>
  </si>
  <si>
    <t>05/29/2025</t>
  </si>
  <si>
    <t>05/31/2025</t>
  </si>
  <si>
    <t>31.25%</t>
  </si>
  <si>
    <t>68.75%</t>
  </si>
  <si>
    <t>30.47%</t>
  </si>
  <si>
    <t>69.53%</t>
  </si>
  <si>
    <t>06/03/2025</t>
  </si>
  <si>
    <t>06/04/2025</t>
  </si>
  <si>
    <t>30.97%</t>
  </si>
  <si>
    <t>69.03%</t>
  </si>
  <si>
    <t>06/05/2025</t>
  </si>
  <si>
    <t>30.90%</t>
  </si>
  <si>
    <t>69.10%</t>
  </si>
  <si>
    <t>29.41%</t>
  </si>
  <si>
    <t>70.59%</t>
  </si>
  <si>
    <t>06/07/2025</t>
  </si>
  <si>
    <t>30.65%</t>
  </si>
  <si>
    <t>69.35%</t>
  </si>
  <si>
    <t>06/09/2025</t>
  </si>
  <si>
    <t>06/10/2025</t>
  </si>
  <si>
    <t>06/11/2025</t>
  </si>
  <si>
    <t>06/12/2025</t>
  </si>
  <si>
    <t>06/13/2025</t>
  </si>
  <si>
    <t>06/16/2025</t>
  </si>
  <si>
    <t>06/17/2025</t>
  </si>
  <si>
    <t>06/18/2025</t>
  </si>
  <si>
    <t>06/20/2025</t>
  </si>
  <si>
    <t>06/23/2025</t>
  </si>
  <si>
    <t>06/24/2025</t>
  </si>
  <si>
    <t>06/26/2025</t>
  </si>
  <si>
    <t>07/02/2025</t>
  </si>
  <si>
    <t>07/07/2025</t>
  </si>
  <si>
    <t>07/08/2025</t>
  </si>
  <si>
    <t>33.33%</t>
  </si>
  <si>
    <t>66.67%</t>
  </si>
  <si>
    <t>07/15/2025</t>
  </si>
  <si>
    <t>07/17/2025</t>
  </si>
  <si>
    <t>07/19/2025</t>
  </si>
  <si>
    <t>07/23/2025</t>
  </si>
  <si>
    <t>08/01/2025</t>
  </si>
  <si>
    <t>08/02/2025</t>
  </si>
  <si>
    <t>30.53%</t>
  </si>
  <si>
    <t>69.47%</t>
  </si>
  <si>
    <t>08/25/2025</t>
  </si>
  <si>
    <t>08/27/2025</t>
  </si>
  <si>
    <t>08/29/2025</t>
  </si>
  <si>
    <t>61.95%</t>
  </si>
  <si>
    <t>38.05%</t>
  </si>
  <si>
    <t>09/23/2025</t>
  </si>
  <si>
    <t>09/24/2025</t>
  </si>
  <si>
    <t>10/07/2025</t>
  </si>
  <si>
    <t>10/08/2025</t>
  </si>
  <si>
    <t>30.76%</t>
  </si>
  <si>
    <t>69.24%</t>
  </si>
  <si>
    <t>10/15/2025</t>
  </si>
  <si>
    <t>31.18%</t>
  </si>
  <si>
    <t>68.82%</t>
  </si>
  <si>
    <t>30.98%</t>
  </si>
  <si>
    <t>69.02%</t>
  </si>
  <si>
    <t>10/23/2025</t>
  </si>
  <si>
    <t>10/27/2025</t>
  </si>
  <si>
    <t>11/07/2025</t>
  </si>
  <si>
    <t>12/03/2025</t>
  </si>
  <si>
    <t>11/25/2025</t>
  </si>
  <si>
    <t>12/01/2025</t>
  </si>
  <si>
    <t>Heather</t>
  </si>
  <si>
    <t>11/14/2025</t>
  </si>
  <si>
    <t>11/15/2025</t>
  </si>
  <si>
    <t>31.37%</t>
  </si>
  <si>
    <t>68.63%</t>
  </si>
  <si>
    <t>12/05/2025</t>
  </si>
  <si>
    <t>12/10/2025</t>
  </si>
  <si>
    <t>12/16/2025</t>
  </si>
  <si>
    <t>12/19/2025</t>
  </si>
  <si>
    <t>12/23/2025</t>
  </si>
  <si>
    <t>30.61%</t>
  </si>
  <si>
    <t>69.39%</t>
  </si>
  <si>
    <t>12/29/2025</t>
  </si>
  <si>
    <t>01/02/2026</t>
  </si>
  <si>
    <t>01/05/2026</t>
  </si>
  <si>
    <t>01/06/2026</t>
  </si>
  <si>
    <t>01/07/2026</t>
  </si>
  <si>
    <t>01/12/2026</t>
  </si>
  <si>
    <t>01/17/2026</t>
  </si>
  <si>
    <t>01/20/2026</t>
  </si>
  <si>
    <t>01/21/2026</t>
  </si>
  <si>
    <t>01/22/2026</t>
  </si>
  <si>
    <t>01/23/2026</t>
  </si>
  <si>
    <t>01/29/2026</t>
  </si>
  <si>
    <t>01/30/2026</t>
  </si>
  <si>
    <t>02/03/2026</t>
  </si>
  <si>
    <t>02/04/2026</t>
  </si>
  <si>
    <t>02/05/2026</t>
  </si>
  <si>
    <t>02/06/2026</t>
  </si>
  <si>
    <t>02/09/2026</t>
  </si>
  <si>
    <t>02/12/2026</t>
  </si>
  <si>
    <t>02/13/2026</t>
  </si>
  <si>
    <t>02/17/2026</t>
  </si>
  <si>
    <t>02/18/2026</t>
  </si>
  <si>
    <t>02/19/2026</t>
  </si>
  <si>
    <t>02/23/2026</t>
  </si>
  <si>
    <t>02/24/2026</t>
  </si>
  <si>
    <t>03/09/2026</t>
  </si>
  <si>
    <t>03/12/2026</t>
  </si>
  <si>
    <t>03/16/2026</t>
  </si>
  <si>
    <t>03/17/2026</t>
  </si>
  <si>
    <t>03/18/2026</t>
  </si>
  <si>
    <t>03/19/2026</t>
  </si>
  <si>
    <t>03/20/2026</t>
  </si>
  <si>
    <t>03/23/2026</t>
  </si>
  <si>
    <t>03/24/2026</t>
  </si>
  <si>
    <t>03/27/2026</t>
  </si>
  <si>
    <t>04/03/2026</t>
  </si>
  <si>
    <t>04/07/2026</t>
  </si>
  <si>
    <t>04/09/2026</t>
  </si>
  <si>
    <t>04/14/2026</t>
  </si>
  <si>
    <t>04/17/2026</t>
  </si>
  <si>
    <t>04/24/2026</t>
  </si>
  <si>
    <t>04/27/2026</t>
  </si>
  <si>
    <t>06/02/2026</t>
  </si>
  <si>
    <t>04/29/2026</t>
  </si>
  <si>
    <t>04/30/2026</t>
  </si>
  <si>
    <t>05/05/2026</t>
  </si>
  <si>
    <t>05/06/2026</t>
  </si>
  <si>
    <t>05/11/2026</t>
  </si>
  <si>
    <t>05/12/2026</t>
  </si>
  <si>
    <t>05/14/2026</t>
  </si>
  <si>
    <t>05/19/2026</t>
  </si>
  <si>
    <t>05/22/2026</t>
  </si>
  <si>
    <t>05/27/2026</t>
  </si>
  <si>
    <t>05/29/2026</t>
  </si>
  <si>
    <t>06/22/2026</t>
  </si>
  <si>
    <t>06/05/2026</t>
  </si>
  <si>
    <t>06/09/2026</t>
  </si>
  <si>
    <t>06/11/2026</t>
  </si>
  <si>
    <t>06/12/2026</t>
  </si>
  <si>
    <t>12/01/2022</t>
  </si>
  <si>
    <t>07/13/2023</t>
  </si>
  <si>
    <t>08/09/2023</t>
  </si>
  <si>
    <t>08/17/2023</t>
  </si>
  <si>
    <t>08/23/2023</t>
  </si>
  <si>
    <t>08/28/2023</t>
  </si>
  <si>
    <t>09/07/2023</t>
  </si>
  <si>
    <t>09/12/2023</t>
  </si>
  <si>
    <t>09/15/2023</t>
  </si>
  <si>
    <t>09/22/2023</t>
  </si>
  <si>
    <t>10/07/2023</t>
  </si>
  <si>
    <t>10/11/2023</t>
  </si>
  <si>
    <t>10/21/2023</t>
  </si>
  <si>
    <t>10/24/2023</t>
  </si>
  <si>
    <t>10/25/2023</t>
  </si>
  <si>
    <t>10/26/2023</t>
  </si>
  <si>
    <t>10/27/2023</t>
  </si>
  <si>
    <t>11/07/2023</t>
  </si>
  <si>
    <t>12/16/2023</t>
  </si>
  <si>
    <t>01/09/2024</t>
  </si>
  <si>
    <t>01/12/2024</t>
  </si>
  <si>
    <t>01/20/2024</t>
  </si>
  <si>
    <t>01/24/2024</t>
  </si>
  <si>
    <t>03/27/2024</t>
  </si>
  <si>
    <t>04/01/2024</t>
  </si>
  <si>
    <t>04/02/2024</t>
  </si>
  <si>
    <t>04/04/2024</t>
  </si>
  <si>
    <t>05/18/2024</t>
  </si>
  <si>
    <t>06/19/2024</t>
  </si>
  <si>
    <t>06/28/2024</t>
  </si>
  <si>
    <t>07/01/2024</t>
  </si>
  <si>
    <t>07/02/2024</t>
  </si>
  <si>
    <t>07/08/2024</t>
  </si>
  <si>
    <t>07/23/2024</t>
  </si>
  <si>
    <t>08/15/2024</t>
  </si>
  <si>
    <t>08/29/2024</t>
  </si>
  <si>
    <t>09/04/2024</t>
  </si>
  <si>
    <t>09/07/2024</t>
  </si>
  <si>
    <t>09/11/2024</t>
  </si>
  <si>
    <t>09/14/2024</t>
  </si>
  <si>
    <t>09/16/2024</t>
  </si>
  <si>
    <t>09/24/2024</t>
  </si>
  <si>
    <t xml:space="preserve">Zanker Processing </t>
  </si>
  <si>
    <t>675 Los Esteros Road San Jose, San Jose, CA 95134</t>
  </si>
  <si>
    <t>10/17/2024</t>
  </si>
  <si>
    <t>10/21/2024</t>
  </si>
  <si>
    <t>Ranker AMG</t>
  </si>
  <si>
    <t>Ben Saylor</t>
  </si>
  <si>
    <t>Blue Line Transfer</t>
  </si>
  <si>
    <t>500 East Jamie Ct, South San Francisco, CA 94080</t>
  </si>
  <si>
    <t>02/19/2025</t>
  </si>
  <si>
    <t>02/28/2025</t>
  </si>
  <si>
    <t>03/05/2025</t>
  </si>
  <si>
    <t>03/17/2025</t>
  </si>
  <si>
    <t>04/03/2025</t>
  </si>
  <si>
    <t>04/24/2025</t>
  </si>
  <si>
    <t>04/26/2025</t>
  </si>
  <si>
    <t>05/03/2025</t>
  </si>
  <si>
    <t>07/03/2025</t>
  </si>
  <si>
    <t>07/11/2025</t>
  </si>
  <si>
    <t>07/24/2025</t>
  </si>
  <si>
    <t>09/02/2025</t>
  </si>
  <si>
    <t>09/04/2025</t>
  </si>
  <si>
    <t>10/14/2025</t>
  </si>
  <si>
    <t>10/20/2025</t>
  </si>
  <si>
    <t>10/30/2025</t>
  </si>
  <si>
    <t>11/06/2025</t>
  </si>
  <si>
    <t>11/12/2025</t>
  </si>
  <si>
    <t>11/13/2025</t>
  </si>
  <si>
    <t>11/17/2025</t>
  </si>
  <si>
    <t>11/19/2025</t>
  </si>
  <si>
    <t>11/20/2025</t>
  </si>
  <si>
    <t>11/26/2025</t>
  </si>
  <si>
    <t>12/24/2025</t>
  </si>
  <si>
    <t>01/13/2026</t>
  </si>
  <si>
    <t>01/28/2026</t>
  </si>
  <si>
    <t>02/10/2026</t>
  </si>
  <si>
    <t>02/26/2026</t>
  </si>
  <si>
    <t>03/10/2026</t>
  </si>
  <si>
    <t>03/25/2026</t>
  </si>
  <si>
    <t>03/30/2026</t>
  </si>
  <si>
    <t>04/02/2026</t>
  </si>
  <si>
    <t>06/01/2026</t>
  </si>
  <si>
    <t>06/04/2026</t>
  </si>
  <si>
    <t>08/10/2024</t>
  </si>
  <si>
    <t>09/30/2025</t>
  </si>
  <si>
    <t>10/06/2025</t>
  </si>
  <si>
    <t>Totals</t>
  </si>
  <si>
    <t>Month + Year</t>
  </si>
  <si>
    <t>Row Labels</t>
  </si>
  <si>
    <t>Grand Total</t>
  </si>
  <si>
    <t>&lt;11/1/22</t>
  </si>
  <si>
    <t>2022</t>
  </si>
  <si>
    <t>2023</t>
  </si>
  <si>
    <t>2024</t>
  </si>
  <si>
    <t>2025</t>
  </si>
  <si>
    <t>2026</t>
  </si>
  <si>
    <t>Nov</t>
  </si>
  <si>
    <t>Dec</t>
  </si>
  <si>
    <t>Apr</t>
  </si>
  <si>
    <t>May</t>
  </si>
  <si>
    <t>Jun</t>
  </si>
  <si>
    <t>Jul</t>
  </si>
  <si>
    <t>Aug</t>
  </si>
  <si>
    <t>Sep</t>
  </si>
  <si>
    <t>Oct</t>
  </si>
  <si>
    <t>Sum of Ticket Total Tons</t>
  </si>
  <si>
    <t>Sum of GM Reused Tons</t>
  </si>
  <si>
    <t>Sum of GM Recycled Tons</t>
  </si>
  <si>
    <t>Sum of GM Disposed Tons</t>
  </si>
  <si>
    <t>Sum of GM Total Tons</t>
  </si>
  <si>
    <t>Sum of Alternate Daily Cover (ADC)</t>
  </si>
  <si>
    <t>Sum of Asphalt - Pavement &amp; Grinding</t>
  </si>
  <si>
    <t>Sum of Cardboard &amp; Paper Products</t>
  </si>
  <si>
    <t>Sum of Concrete</t>
  </si>
  <si>
    <t>Sum of Deconstructed &amp; Reuse Items</t>
  </si>
  <si>
    <t>Sum of Drywall - Demo &amp; painted</t>
  </si>
  <si>
    <t>Sum of Metal</t>
  </si>
  <si>
    <t>Sum of Mixed Recyclables</t>
  </si>
  <si>
    <t>Sum of Plastics &amp; Plastic Packaging Materials</t>
  </si>
  <si>
    <t>Sum of Waste (Trash)</t>
  </si>
  <si>
    <t>Sum of Appliances &amp; Equipment</t>
  </si>
  <si>
    <t>Sum of Aritificial Grass/Synthetic Turf</t>
  </si>
  <si>
    <t>Sum of Asphalt - Roofing</t>
  </si>
  <si>
    <t>Sum of Bricks, Masonry &amp; Stone Products</t>
  </si>
  <si>
    <t>Sum of Carpet &amp; Padding</t>
  </si>
  <si>
    <t>Sum of Ceiling Tiles</t>
  </si>
  <si>
    <t>Sum of Compost</t>
  </si>
  <si>
    <t>Sum of Compostable Food Waste</t>
  </si>
  <si>
    <t>Sum of Donated Food</t>
  </si>
  <si>
    <t>Sum of Drywall - Clean/Unpainted</t>
  </si>
  <si>
    <t>Sum of EPS Styrofoam</t>
  </si>
  <si>
    <t>Sum of eWaste</t>
  </si>
  <si>
    <t>Sum of Glass Bottles &amp; Containers</t>
  </si>
  <si>
    <t>Sum of Glass Plate or Tempered</t>
  </si>
  <si>
    <t>Sum of High-Density Polyethylene (HDPE)</t>
  </si>
  <si>
    <t>Sum of Miscellaneous Debris</t>
  </si>
  <si>
    <t>Sum of Mixed Food Waste</t>
  </si>
  <si>
    <t>Sum of Paint</t>
  </si>
  <si>
    <t>Sum of Paint - oil based</t>
  </si>
  <si>
    <t>Sum of Porcelain</t>
  </si>
  <si>
    <t>Sum of Trash Sorted for Recovery</t>
  </si>
  <si>
    <t>Sum of Wood - Clean</t>
  </si>
  <si>
    <t>Sum of Wood - Painted/Stained Recoverable</t>
  </si>
  <si>
    <t>Sum of Wood - Pallets</t>
  </si>
  <si>
    <t>Sum of EW Reused Tons</t>
  </si>
  <si>
    <t>Sum of EW Recycled Tons</t>
  </si>
  <si>
    <t>Sum of EW Disposed Tons</t>
  </si>
  <si>
    <t>Sum of EW Total Tons</t>
  </si>
  <si>
    <t>Sum of Dirt/Soil-Clean Fill*</t>
  </si>
  <si>
    <t>Sum of Green Waste*</t>
  </si>
  <si>
    <t>Sum of Rock, Sand, Gravel &amp; other inerts*</t>
  </si>
  <si>
    <t>Sum of Haz Recycled Tons</t>
  </si>
  <si>
    <t>Sum of Haz Disposed Tons</t>
  </si>
  <si>
    <t>Sum of Haz Total Tons</t>
  </si>
  <si>
    <t>Sum of Batteries*</t>
  </si>
  <si>
    <t>Sum of Dirt/Soil-Contaminated Non-Hazardous*</t>
  </si>
  <si>
    <t>Sum of Dirt/Soil-Contaminated, Hazardous*</t>
  </si>
  <si>
    <t>Sum of Dirt/Soil-Hazardous*</t>
  </si>
  <si>
    <t>Sum of Fluorescent Bulbs*</t>
  </si>
  <si>
    <t>Sum of Materials Containing Asbestos*</t>
  </si>
  <si>
    <t>Sum of Materials with Lead-Based Paint*</t>
  </si>
  <si>
    <t>Sum of Other Hazardous Waste &amp; Materials*</t>
  </si>
  <si>
    <t>Sum of PCBs - Polychlorinated Biphenyls*</t>
  </si>
  <si>
    <t>Sum of Thermostats &amp; Mercury - Containing Equipment*</t>
  </si>
  <si>
    <t>Sum of Universal Waste - Other*</t>
  </si>
  <si>
    <t>Sum of Wood - Treated/Hazardous*</t>
  </si>
  <si>
    <t>Jan</t>
  </si>
  <si>
    <t>Feb</t>
  </si>
  <si>
    <t>Mar</t>
  </si>
  <si>
    <t>Details for Sum of Ticket Total Tons</t>
  </si>
  <si>
    <t>Material</t>
  </si>
  <si>
    <t>Total:</t>
  </si>
  <si>
    <t>Wood</t>
  </si>
  <si>
    <t xml:space="preserve">Category </t>
  </si>
  <si>
    <t>Year:</t>
  </si>
  <si>
    <t>Month:</t>
  </si>
  <si>
    <t>Sept</t>
  </si>
  <si>
    <t>Payment</t>
  </si>
  <si>
    <t>Rebate</t>
  </si>
  <si>
    <t>Cardboard</t>
  </si>
  <si>
    <t>Total Cost Savings from source seperating</t>
  </si>
  <si>
    <t>Payment or Rebate</t>
  </si>
  <si>
    <t>Total Cost</t>
  </si>
  <si>
    <t>MSW Trash</t>
  </si>
  <si>
    <t>Recycling </t>
  </si>
  <si>
    <t>Mixed C&amp;D</t>
  </si>
  <si>
    <t>Drywall</t>
  </si>
  <si>
    <t>C&amp;D Waste Services:</t>
  </si>
  <si>
    <t>Municipal Waste Services:</t>
  </si>
  <si>
    <t>Fixed Haul Fee</t>
  </si>
  <si>
    <t>Disposal Fee</t>
  </si>
  <si>
    <t>Concrete &amp; dirt</t>
  </si>
  <si>
    <t xml:space="preserve">Dirty concrete </t>
  </si>
  <si>
    <t>Total Values:</t>
  </si>
  <si>
    <t>Materials</t>
  </si>
  <si>
    <t>Total Amount Hauled (Tons)</t>
  </si>
  <si>
    <t>Dirt/Soil-Clean Fill</t>
  </si>
  <si>
    <t>Fixed Haul fee</t>
  </si>
  <si>
    <t>Total fixed hauling fee</t>
  </si>
  <si>
    <t xml:space="preserve">Metal </t>
  </si>
  <si>
    <t>Tons</t>
  </si>
  <si>
    <t>Total Variable Costs</t>
  </si>
  <si>
    <t>1 yd Pull</t>
  </si>
  <si>
    <t>13 yd Box</t>
  </si>
  <si>
    <t>Disposal  Unit</t>
  </si>
  <si>
    <t>Number of total hauls</t>
  </si>
  <si>
    <t>Total Costs</t>
  </si>
  <si>
    <t>Disposal Fee (tons)</t>
  </si>
  <si>
    <t xml:space="preserve"> Disposal Fee (tons)</t>
  </si>
  <si>
    <t>pound</t>
  </si>
  <si>
    <t>Total hauls</t>
  </si>
  <si>
    <t>Total Fixed Costs</t>
  </si>
  <si>
    <t>Total MSW Trash</t>
  </si>
  <si>
    <t xml:space="preserve">Total Recycling </t>
  </si>
  <si>
    <t>Total Compost</t>
  </si>
  <si>
    <t>Total Mixed C&amp;D</t>
  </si>
  <si>
    <t>Total Wood</t>
  </si>
  <si>
    <t>Total Drywall</t>
  </si>
  <si>
    <t>Total Metal</t>
  </si>
  <si>
    <t>Total Cardboard</t>
  </si>
  <si>
    <t>Total Concrete &amp; Dirt</t>
  </si>
  <si>
    <t>Total Wood Costs</t>
  </si>
  <si>
    <t>Total Mixed C&amp;D Costs</t>
  </si>
  <si>
    <t>Total Compost Costs</t>
  </si>
  <si>
    <t>Total Recycling Costs</t>
  </si>
  <si>
    <t>Total MSW Trash Costs</t>
  </si>
  <si>
    <t>Total Drywall Costs</t>
  </si>
  <si>
    <t>Total Concrete &amp; Dirt costs</t>
  </si>
  <si>
    <t>Fixed Hauling Costs</t>
  </si>
  <si>
    <t>Fixed Hauling Fees</t>
  </si>
  <si>
    <t>Total Metal Rebates</t>
  </si>
  <si>
    <t>Total Cardboard Rebates</t>
  </si>
  <si>
    <t>TOTAL COSTS</t>
  </si>
  <si>
    <t>Gateway Hauling Metrics with TRUE (&gt;90% Diversion)</t>
  </si>
  <si>
    <t>Typical Hauling Metrics without TRUE (no source seperation)</t>
  </si>
  <si>
    <t>Total Costs with source seperation (pursuing TRUE)</t>
  </si>
  <si>
    <t>Total Costs without any source seperation (not pursuing TRUE)</t>
  </si>
  <si>
    <t>Total Cost Savings with TRUE (for 12 months)</t>
  </si>
  <si>
    <t>GATEWAY CONSTRUCTION TRUE COST BENEFIT ANALYSIS (for most recent 12 months of project)</t>
  </si>
  <si>
    <t>GATEWAY CONSTRUCTION TRUE COST BENEFIT ANALYSIS (for entire project)</t>
  </si>
  <si>
    <t>Total Cost Savings with TRUE</t>
  </si>
  <si>
    <t>Fixed Costs</t>
  </si>
  <si>
    <t>Hauling Cost References</t>
  </si>
  <si>
    <t>Variable Costs</t>
  </si>
  <si>
    <t>GATEWAY CONSTRUCTION TRUE COST BENEFIT ANALYSIS</t>
  </si>
  <si>
    <t>Hauling cost avoided</t>
  </si>
  <si>
    <t>Disposal cost avoided</t>
  </si>
  <si>
    <t>Wood bunkers</t>
  </si>
  <si>
    <t>Tons of wood per bunker</t>
  </si>
  <si>
    <t>Total wood saved (tons)</t>
  </si>
  <si>
    <t>* $545 per haul per wood bunker</t>
  </si>
  <si>
    <t>* $85 per ton of wood hauled</t>
  </si>
  <si>
    <t>Total hauling costs</t>
  </si>
  <si>
    <t>* Steel bunkers were used on the project</t>
  </si>
  <si>
    <t xml:space="preserve">* Steel bunkers were sent back to be reused </t>
  </si>
  <si>
    <t>Total Cost Savings using Reusable Bunkers</t>
  </si>
  <si>
    <t>Total Costs with reusable steel bunkers (TRUE)</t>
  </si>
  <si>
    <t>Total Costs with wood bunkers (without TRUE)</t>
  </si>
  <si>
    <t>Hauling Costs using wood bunkers (without TRUE)</t>
  </si>
  <si>
    <t>Hauling costs avoided with reusable steel bunkers  (without TRUE)</t>
  </si>
  <si>
    <t>Total Cost Savings from source seperating**</t>
  </si>
  <si>
    <t>**Savings represent avoided hauling and disposal costs associated with replacing disposable wooden bunkers with reusable steel bunkers. This estimate does not account for any additional cost or premium associated with the reusable steel bunker system.</t>
  </si>
  <si>
    <t>COST BENEFIT ANALYSIS FOR USING REUSABLE BUNKERS</t>
  </si>
  <si>
    <t>Total Costs (pursuing TRUE)</t>
  </si>
  <si>
    <t>Total Costs (not pursuing TRUE)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</si>
</sst>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F800]dddd\,\ mmmm\ dd\,\ yyyy"/>
    <numFmt numFmtId="165" formatCode="_(* #,##0_);_(* \(#,##0\);_(* &quot;-&quot;??_);_(@_)"/>
    <numFmt numFmtId="166" formatCode="_(* #,##0.000_);_(* \(#,##0.000\);_(* &quot;-&quot;??_);_(@_)"/>
  </numFmts>
  <fonts count="31" x14ac:knownFonts="1">
    <font>
      <sz val="11"/>
      <color indexed="8"/>
      <name val="Calibri"/>
    </font>
    <font>
      <b/>
      <sz val="12"/>
      <color indexed="8"/>
      <name val="Calibri"/>
      <family val="2"/>
    </font>
    <font>
      <b/>
      <sz val="12"/>
      <color indexed="9"/>
      <name val="Calibri"/>
      <family val="2"/>
    </font>
    <font>
      <b/>
      <sz val="11"/>
      <color indexed="8"/>
      <name val="Calibri"/>
      <family val="2"/>
    </font>
    <font>
      <sz val="11"/>
      <color indexed="8"/>
      <name val="Calibri"/>
      <family val="2"/>
    </font>
    <font>
      <sz val="12"/>
      <color rgb="FF222222"/>
      <name val="Arial"/>
      <family val="2"/>
    </font>
    <font>
      <b/>
      <i/>
      <sz val="11"/>
      <color indexed="8"/>
      <name val="Calibri"/>
      <family val="2"/>
    </font>
    <font>
      <b/>
      <sz val="14"/>
      <color theme="0"/>
      <name val="Times New Roman"/>
      <family val="1"/>
    </font>
    <font>
      <b/>
      <i/>
      <sz val="11"/>
      <color indexed="8"/>
      <name val="Times New Roman"/>
      <family val="1"/>
    </font>
    <font>
      <sz val="11"/>
      <color indexed="8"/>
      <name val="Times New Roman"/>
      <family val="1"/>
    </font>
    <font>
      <sz val="12"/>
      <color rgb="FF000000"/>
      <name val="Times New Roman"/>
      <family val="1"/>
    </font>
    <font>
      <b/>
      <i/>
      <sz val="12"/>
      <color indexed="8"/>
      <name val="Times New Roman"/>
      <family val="1"/>
    </font>
    <font>
      <sz val="12"/>
      <color indexed="8"/>
      <name val="Times New Roman"/>
      <family val="1"/>
    </font>
    <font>
      <b/>
      <sz val="12"/>
      <color indexed="8"/>
      <name val="Times New Roman"/>
      <family val="1"/>
    </font>
    <font>
      <i/>
      <sz val="12"/>
      <color indexed="8"/>
      <name val="Times New Roman"/>
      <family val="1"/>
    </font>
    <font>
      <i/>
      <sz val="12"/>
      <color rgb="FF000000"/>
      <name val="Times New Roman"/>
      <family val="1"/>
    </font>
    <font>
      <b/>
      <sz val="12"/>
      <name val="Times New Roman"/>
      <family val="1"/>
    </font>
    <font>
      <b/>
      <sz val="11"/>
      <color indexed="8"/>
      <name val="Times New Roman"/>
      <family val="1"/>
    </font>
    <font>
      <b/>
      <sz val="16"/>
      <color theme="0"/>
      <name val="Times New Roman"/>
      <family val="1"/>
    </font>
    <font>
      <b/>
      <sz val="20"/>
      <color theme="1"/>
      <name val="Times New Roman"/>
      <family val="1"/>
    </font>
    <font>
      <b/>
      <sz val="14"/>
      <color indexed="8"/>
      <name val="Times New Roman"/>
      <family val="1"/>
    </font>
    <font>
      <sz val="14"/>
      <color indexed="8"/>
      <name val="Times New Roman"/>
      <family val="1"/>
    </font>
    <font>
      <b/>
      <i/>
      <sz val="14"/>
      <color rgb="FF339966"/>
      <name val="Times New Roman"/>
      <family val="1"/>
    </font>
    <font>
      <b/>
      <sz val="14"/>
      <name val="Times New Roman"/>
      <family val="1"/>
    </font>
    <font>
      <b/>
      <sz val="18"/>
      <color theme="1"/>
      <name val="Times New Roman"/>
      <family val="1"/>
    </font>
    <font>
      <b/>
      <i/>
      <sz val="14"/>
      <color indexed="8"/>
      <name val="Times New Roman"/>
      <family val="1"/>
    </font>
    <font>
      <b/>
      <sz val="12"/>
      <color theme="0"/>
      <name val="Times New Roman"/>
      <family val="1"/>
    </font>
    <font>
      <sz val="12"/>
      <color indexed="8"/>
      <name val="Calibri"/>
      <family val="2"/>
    </font>
    <font>
      <b/>
      <sz val="14"/>
      <color theme="1"/>
      <name val="Times New Roman"/>
      <family val="1"/>
    </font>
    <font>
      <b/>
      <i/>
      <sz val="12"/>
      <color rgb="FF339966"/>
      <name val="Times New Roman"/>
      <family val="1"/>
    </font>
    <font>
      <i/>
      <sz val="11"/>
      <color rgb="FF000000"/>
      <name val="Calibri"/>
      <family val="2"/>
    </font>
  </fonts>
  <fills count="21">
    <fill>
      <patternFill patternType="none"/>
    </fill>
    <fill>
      <patternFill patternType="gray125"/>
    </fill>
    <fill>
      <patternFill patternType="solid">
        <fgColor indexed="8"/>
        <bgColor indexed="8"/>
      </patternFill>
    </fill>
    <fill>
      <patternFill patternType="solid">
        <fgColor indexed="10"/>
        <bgColor indexed="10"/>
      </patternFill>
    </fill>
    <fill>
      <patternFill patternType="solid">
        <fgColor theme="2" tint="-9.9978637043366805E-2"/>
        <bgColor indexed="64"/>
      </patternFill>
    </fill>
    <fill>
      <patternFill patternType="solid">
        <fgColor rgb="FFFFFF00"/>
        <bgColor indexed="64"/>
      </patternFill>
    </fill>
    <fill>
      <patternFill patternType="solid">
        <fgColor rgb="FFFFC000"/>
        <bgColor indexed="64"/>
      </patternFill>
    </fill>
    <fill>
      <patternFill patternType="solid">
        <fgColor theme="0" tint="-0.14999847407452621"/>
        <bgColor indexed="64"/>
      </patternFill>
    </fill>
    <fill>
      <patternFill patternType="solid">
        <fgColor rgb="FFFFFFFF"/>
        <bgColor rgb="FF000000"/>
      </patternFill>
    </fill>
    <fill>
      <patternFill patternType="solid">
        <fgColor rgb="FFE3F2F5"/>
        <bgColor rgb="FF000000"/>
      </patternFill>
    </fill>
    <fill>
      <patternFill patternType="solid">
        <fgColor theme="0" tint="-4.9989318521683403E-2"/>
        <bgColor indexed="64"/>
      </patternFill>
    </fill>
    <fill>
      <patternFill patternType="solid">
        <fgColor theme="4" tint="-0.499984740745262"/>
        <bgColor indexed="64"/>
      </patternFill>
    </fill>
    <fill>
      <patternFill patternType="solid">
        <fgColor theme="3" tint="0.89999084444715716"/>
        <bgColor indexed="64"/>
      </patternFill>
    </fill>
    <fill>
      <patternFill patternType="solid">
        <fgColor theme="5" tint="-0.49998474074526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2" tint="-0.249977111117893"/>
        <bgColor indexed="64"/>
      </patternFill>
    </fill>
    <fill>
      <patternFill patternType="solid">
        <fgColor theme="3" tint="0.749992370372631"/>
        <bgColor indexed="64"/>
      </patternFill>
    </fill>
    <fill>
      <patternFill patternType="solid">
        <fgColor theme="5" tint="0.59999389629810485"/>
        <bgColor indexed="64"/>
      </patternFill>
    </fill>
    <fill>
      <patternFill patternType="solid">
        <fgColor theme="4" tint="0.79998168889431442"/>
        <bgColor rgb="FF000000"/>
      </patternFill>
    </fill>
    <fill>
      <patternFill patternType="solid">
        <fgColor theme="9" tint="0.59999389629810485"/>
        <bgColor indexed="64"/>
      </patternFill>
    </fill>
  </fills>
  <borders count="9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thin">
        <color indexed="64"/>
      </top>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bottom/>
      <diagonal/>
    </border>
    <border>
      <left/>
      <right style="medium">
        <color indexed="64"/>
      </right>
      <top style="thin">
        <color indexed="64"/>
      </top>
      <bottom/>
      <diagonal/>
    </border>
    <border>
      <left style="thin">
        <color indexed="64"/>
      </left>
      <right style="medium">
        <color indexed="64"/>
      </right>
      <top/>
      <bottom style="medium">
        <color indexed="64"/>
      </bottom>
      <diagonal/>
    </border>
    <border>
      <left style="medium">
        <color theme="6"/>
      </left>
      <right/>
      <top style="medium">
        <color theme="6"/>
      </top>
      <bottom/>
      <diagonal/>
    </border>
    <border>
      <left/>
      <right/>
      <top style="medium">
        <color theme="6"/>
      </top>
      <bottom/>
      <diagonal/>
    </border>
    <border>
      <left/>
      <right style="medium">
        <color theme="6"/>
      </right>
      <top style="medium">
        <color theme="6"/>
      </top>
      <bottom/>
      <diagonal/>
    </border>
    <border>
      <left style="medium">
        <color theme="6"/>
      </left>
      <right/>
      <top/>
      <bottom/>
      <diagonal/>
    </border>
    <border>
      <left/>
      <right style="medium">
        <color theme="6"/>
      </right>
      <top/>
      <bottom/>
      <diagonal/>
    </border>
    <border>
      <left style="thin">
        <color theme="1"/>
      </left>
      <right style="thin">
        <color theme="1"/>
      </right>
      <top style="thin">
        <color theme="1"/>
      </top>
      <bottom style="thin">
        <color theme="1"/>
      </bottom>
      <diagonal/>
    </border>
    <border>
      <left/>
      <right/>
      <top style="thin">
        <color theme="1"/>
      </top>
      <bottom/>
      <diagonal/>
    </border>
    <border>
      <left/>
      <right/>
      <top/>
      <bottom style="thin">
        <color theme="1"/>
      </bottom>
      <diagonal/>
    </border>
    <border>
      <left/>
      <right style="thin">
        <color theme="1"/>
      </right>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medium">
        <color theme="1"/>
      </left>
      <right/>
      <top style="thin">
        <color theme="1"/>
      </top>
      <bottom/>
      <diagonal/>
    </border>
    <border>
      <left/>
      <right style="medium">
        <color theme="1"/>
      </right>
      <top style="thin">
        <color theme="1"/>
      </top>
      <bottom/>
      <diagonal/>
    </border>
    <border>
      <left style="medium">
        <color theme="1"/>
      </left>
      <right/>
      <top/>
      <bottom style="thin">
        <color theme="1"/>
      </bottom>
      <diagonal/>
    </border>
    <border>
      <left/>
      <right style="medium">
        <color theme="1"/>
      </right>
      <top/>
      <bottom style="thin">
        <color theme="1"/>
      </bottom>
      <diagonal/>
    </border>
    <border>
      <left style="medium">
        <color theme="1"/>
      </left>
      <right/>
      <top/>
      <bottom/>
      <diagonal/>
    </border>
    <border>
      <left/>
      <right style="medium">
        <color theme="1"/>
      </right>
      <top/>
      <bottom/>
      <diagonal/>
    </border>
    <border>
      <left style="medium">
        <color theme="1"/>
      </left>
      <right/>
      <top style="thin">
        <color theme="1"/>
      </top>
      <bottom style="thin">
        <color theme="1"/>
      </bottom>
      <diagonal/>
    </border>
    <border>
      <left/>
      <right style="medium">
        <color theme="1"/>
      </right>
      <top style="thin">
        <color theme="1"/>
      </top>
      <bottom style="thin">
        <color theme="1"/>
      </bottom>
      <diagonal/>
    </border>
    <border>
      <left style="medium">
        <color theme="1"/>
      </left>
      <right style="thin">
        <color indexed="64"/>
      </right>
      <top/>
      <bottom/>
      <diagonal/>
    </border>
    <border>
      <left style="medium">
        <color theme="1"/>
      </left>
      <right/>
      <top style="thin">
        <color indexed="64"/>
      </top>
      <bottom/>
      <diagonal/>
    </border>
    <border>
      <left/>
      <right style="medium">
        <color theme="1"/>
      </right>
      <top style="thin">
        <color indexed="64"/>
      </top>
      <bottom/>
      <diagonal/>
    </border>
    <border>
      <left style="medium">
        <color theme="1"/>
      </left>
      <right/>
      <top/>
      <bottom style="thin">
        <color indexed="64"/>
      </bottom>
      <diagonal/>
    </border>
    <border>
      <left/>
      <right style="medium">
        <color theme="1"/>
      </right>
      <top/>
      <bottom style="thin">
        <color indexed="64"/>
      </bottom>
      <diagonal/>
    </border>
    <border>
      <left/>
      <right/>
      <top/>
      <bottom style="medium">
        <color theme="1"/>
      </bottom>
      <diagonal/>
    </border>
    <border>
      <left/>
      <right style="medium">
        <color theme="1"/>
      </right>
      <top/>
      <bottom style="medium">
        <color theme="1"/>
      </bottom>
      <diagonal/>
    </border>
    <border>
      <left style="thin">
        <color theme="1"/>
      </left>
      <right/>
      <top/>
      <bottom/>
      <diagonal/>
    </border>
    <border>
      <left style="thin">
        <color theme="1"/>
      </left>
      <right style="medium">
        <color theme="1"/>
      </right>
      <top style="thin">
        <color theme="1"/>
      </top>
      <bottom style="thin">
        <color theme="1"/>
      </bottom>
      <diagonal/>
    </border>
    <border>
      <left style="medium">
        <color theme="1"/>
      </left>
      <right style="thin">
        <color theme="1"/>
      </right>
      <top style="thin">
        <color theme="1"/>
      </top>
      <bottom style="thin">
        <color theme="1"/>
      </bottom>
      <diagonal/>
    </border>
    <border>
      <left style="medium">
        <color theme="1"/>
      </left>
      <right style="thin">
        <color theme="1"/>
      </right>
      <top style="thin">
        <color theme="1"/>
      </top>
      <bottom style="medium">
        <color theme="1"/>
      </bottom>
      <diagonal/>
    </border>
    <border>
      <left style="thin">
        <color theme="1"/>
      </left>
      <right style="thin">
        <color theme="1"/>
      </right>
      <top style="thin">
        <color theme="1"/>
      </top>
      <bottom style="medium">
        <color theme="1"/>
      </bottom>
      <diagonal/>
    </border>
    <border>
      <left style="thin">
        <color theme="1"/>
      </left>
      <right/>
      <top/>
      <bottom style="medium">
        <color theme="1"/>
      </bottom>
      <diagonal/>
    </border>
    <border>
      <left/>
      <right/>
      <top style="medium">
        <color theme="1"/>
      </top>
      <bottom/>
      <diagonal/>
    </border>
    <border>
      <left/>
      <right style="medium">
        <color theme="1"/>
      </right>
      <top style="medium">
        <color theme="1"/>
      </top>
      <bottom/>
      <diagonal/>
    </border>
    <border>
      <left style="medium">
        <color theme="1"/>
      </left>
      <right/>
      <top style="medium">
        <color theme="1"/>
      </top>
      <bottom/>
      <diagonal/>
    </border>
    <border>
      <left style="thick">
        <color theme="6"/>
      </left>
      <right/>
      <top style="thick">
        <color theme="6"/>
      </top>
      <bottom style="thick">
        <color theme="6"/>
      </bottom>
      <diagonal/>
    </border>
    <border>
      <left/>
      <right/>
      <top style="thick">
        <color theme="6"/>
      </top>
      <bottom style="thick">
        <color theme="6"/>
      </bottom>
      <diagonal/>
    </border>
    <border>
      <left/>
      <right style="thick">
        <color theme="6"/>
      </right>
      <top style="thick">
        <color theme="6"/>
      </top>
      <bottom style="thick">
        <color theme="6"/>
      </bottom>
      <diagonal/>
    </border>
    <border>
      <left style="double">
        <color theme="1"/>
      </left>
      <right style="thin">
        <color theme="1"/>
      </right>
      <top style="double">
        <color theme="1"/>
      </top>
      <bottom style="thin">
        <color theme="1"/>
      </bottom>
      <diagonal/>
    </border>
    <border>
      <left style="thin">
        <color theme="1"/>
      </left>
      <right style="thin">
        <color theme="1"/>
      </right>
      <top style="double">
        <color theme="1"/>
      </top>
      <bottom style="thin">
        <color theme="1"/>
      </bottom>
      <diagonal/>
    </border>
    <border>
      <left style="thin">
        <color theme="1"/>
      </left>
      <right style="double">
        <color theme="1"/>
      </right>
      <top style="double">
        <color theme="1"/>
      </top>
      <bottom style="thin">
        <color theme="1"/>
      </bottom>
      <diagonal/>
    </border>
    <border>
      <left style="double">
        <color theme="1"/>
      </left>
      <right style="thin">
        <color theme="1"/>
      </right>
      <top style="thin">
        <color theme="1"/>
      </top>
      <bottom style="thin">
        <color theme="1"/>
      </bottom>
      <diagonal/>
    </border>
    <border>
      <left style="thin">
        <color theme="1"/>
      </left>
      <right style="double">
        <color theme="1"/>
      </right>
      <top style="thin">
        <color theme="1"/>
      </top>
      <bottom style="thin">
        <color theme="1"/>
      </bottom>
      <diagonal/>
    </border>
    <border>
      <left style="double">
        <color theme="1"/>
      </left>
      <right/>
      <top/>
      <bottom/>
      <diagonal/>
    </border>
    <border>
      <left/>
      <right style="double">
        <color theme="1"/>
      </right>
      <top/>
      <bottom/>
      <diagonal/>
    </border>
    <border>
      <left style="double">
        <color theme="1"/>
      </left>
      <right/>
      <top/>
      <bottom style="double">
        <color theme="1"/>
      </bottom>
      <diagonal/>
    </border>
    <border>
      <left/>
      <right/>
      <top/>
      <bottom style="double">
        <color theme="1"/>
      </bottom>
      <diagonal/>
    </border>
    <border>
      <left/>
      <right style="double">
        <color theme="1"/>
      </right>
      <top/>
      <bottom style="double">
        <color theme="1"/>
      </bottom>
      <diagonal/>
    </border>
    <border>
      <left style="medium">
        <color indexed="64"/>
      </left>
      <right style="thin">
        <color theme="1"/>
      </right>
      <top style="thin">
        <color indexed="64"/>
      </top>
      <bottom style="thin">
        <color indexed="64"/>
      </bottom>
      <diagonal/>
    </border>
    <border>
      <left/>
      <right style="thin">
        <color theme="1"/>
      </right>
      <top style="thin">
        <color indexed="64"/>
      </top>
      <bottom/>
      <diagonal/>
    </border>
    <border>
      <left/>
      <right style="thin">
        <color theme="1"/>
      </right>
      <top/>
      <bottom style="thin">
        <color indexed="64"/>
      </bottom>
      <diagonal/>
    </border>
    <border>
      <left style="thin">
        <color theme="1"/>
      </left>
      <right style="thin">
        <color theme="1"/>
      </right>
      <top style="thin">
        <color indexed="64"/>
      </top>
      <bottom/>
      <diagonal/>
    </border>
    <border>
      <left style="thin">
        <color theme="1"/>
      </left>
      <right style="thin">
        <color theme="1"/>
      </right>
      <top/>
      <bottom style="thin">
        <color indexed="64"/>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bottom style="thin">
        <color theme="1"/>
      </bottom>
      <diagonal/>
    </border>
    <border>
      <left style="medium">
        <color theme="6"/>
      </left>
      <right/>
      <top/>
      <bottom style="thick">
        <color theme="6"/>
      </bottom>
      <diagonal/>
    </border>
    <border>
      <left/>
      <right/>
      <top/>
      <bottom style="thick">
        <color theme="6"/>
      </bottom>
      <diagonal/>
    </border>
  </borders>
  <cellStyleXfs count="2">
    <xf numFmtId="0" fontId="0" fillId="0" borderId="0" applyFill="0" applyProtection="0"/>
    <xf numFmtId="43" fontId="4" fillId="0" borderId="0" applyFont="0" applyFill="0" applyBorder="0" applyAlignment="0" applyProtection="0"/>
  </cellStyleXfs>
  <cellXfs count="264">
    <xf numFmtId="0" fontId="0" fillId="0" borderId="0" xfId="0" applyFill="1" applyProtection="1"/>
    <xf numFmtId="0" fontId="1" fillId="0" borderId="0" xfId="0" applyFont="1" applyFill="1" applyAlignment="1" applyProtection="1">
      <alignment horizontal="center"/>
    </xf>
    <xf numFmtId="10" fontId="0" fillId="0" borderId="0" xfId="0" applyNumberFormat="1" applyFill="1" applyProtection="1"/>
    <xf numFmtId="0" fontId="1" fillId="0" borderId="0" xfId="0" applyFont="1" applyFill="1" applyProtection="1"/>
    <xf numFmtId="0" fontId="2" fillId="2" borderId="0" xfId="0" applyFont="1" applyFill="1" applyProtection="1"/>
    <xf numFmtId="0" fontId="1" fillId="3" borderId="0" xfId="0" applyFont="1" applyFill="1" applyProtection="1"/>
    <xf numFmtId="0" fontId="0" fillId="3" borderId="0" xfId="0" applyFill="1" applyProtection="1"/>
    <xf numFmtId="10" fontId="0" fillId="3" borderId="0" xfId="0" applyNumberFormat="1" applyFill="1" applyProtection="1"/>
    <xf numFmtId="14" fontId="0" fillId="0" borderId="0" xfId="0" applyNumberFormat="1" applyFill="1" applyProtection="1"/>
    <xf numFmtId="43" fontId="0" fillId="0" borderId="0" xfId="0" applyNumberFormat="1" applyFill="1" applyProtection="1"/>
    <xf numFmtId="43" fontId="1" fillId="3" borderId="0" xfId="1" applyFont="1" applyFill="1" applyProtection="1"/>
    <xf numFmtId="43" fontId="0" fillId="0" borderId="0" xfId="1" applyFont="1" applyFill="1" applyProtection="1"/>
    <xf numFmtId="0" fontId="4" fillId="0" borderId="0" xfId="0" applyFont="1" applyFill="1" applyProtection="1"/>
    <xf numFmtId="0" fontId="3" fillId="0" borderId="0" xfId="0" applyFont="1" applyFill="1" applyProtection="1"/>
    <xf numFmtId="164" fontId="0" fillId="0" borderId="0" xfId="0" applyNumberFormat="1" applyFill="1" applyProtection="1"/>
    <xf numFmtId="0" fontId="5" fillId="0" borderId="0" xfId="0" applyFont="1" applyFill="1" applyProtection="1"/>
    <xf numFmtId="0" fontId="4" fillId="4" borderId="0" xfId="0" applyFont="1" applyFill="1" applyProtection="1"/>
    <xf numFmtId="0" fontId="6" fillId="5" borderId="0" xfId="0" applyFont="1" applyFill="1" applyProtection="1"/>
    <xf numFmtId="14" fontId="0" fillId="7" borderId="0" xfId="0" applyNumberFormat="1" applyFill="1" applyProtection="1"/>
    <xf numFmtId="0" fontId="9" fillId="0" borderId="0" xfId="0" applyFont="1" applyFill="1" applyProtection="1"/>
    <xf numFmtId="44" fontId="12" fillId="0" borderId="0" xfId="0" applyNumberFormat="1" applyFont="1" applyFill="1" applyProtection="1"/>
    <xf numFmtId="0" fontId="12" fillId="0" borderId="0" xfId="0" applyFont="1" applyFill="1" applyProtection="1"/>
    <xf numFmtId="44" fontId="13" fillId="0" borderId="0" xfId="0" applyNumberFormat="1" applyFont="1" applyFill="1" applyProtection="1"/>
    <xf numFmtId="0" fontId="13" fillId="0" borderId="0" xfId="0" applyFont="1" applyFill="1" applyProtection="1"/>
    <xf numFmtId="44" fontId="10" fillId="0" borderId="0" xfId="0" applyNumberFormat="1" applyFont="1" applyFill="1" applyProtection="1"/>
    <xf numFmtId="44" fontId="12" fillId="0" borderId="8" xfId="0" applyNumberFormat="1" applyFont="1" applyFill="1" applyBorder="1" applyProtection="1"/>
    <xf numFmtId="44" fontId="12" fillId="0" borderId="17" xfId="0" applyNumberFormat="1" applyFont="1" applyFill="1" applyBorder="1" applyProtection="1"/>
    <xf numFmtId="166" fontId="12" fillId="0" borderId="0" xfId="1" applyNumberFormat="1" applyFont="1" applyFill="1" applyBorder="1" applyProtection="1"/>
    <xf numFmtId="44" fontId="12" fillId="0" borderId="9" xfId="0" applyNumberFormat="1" applyFont="1" applyFill="1" applyBorder="1" applyProtection="1"/>
    <xf numFmtId="166" fontId="12" fillId="0" borderId="8" xfId="1" applyNumberFormat="1" applyFont="1" applyFill="1" applyBorder="1" applyProtection="1"/>
    <xf numFmtId="44" fontId="12" fillId="0" borderId="4" xfId="0" applyNumberFormat="1" applyFont="1" applyFill="1" applyBorder="1" applyProtection="1"/>
    <xf numFmtId="43" fontId="11" fillId="5" borderId="0" xfId="0" applyNumberFormat="1" applyFont="1" applyFill="1" applyProtection="1"/>
    <xf numFmtId="0" fontId="11" fillId="0" borderId="0" xfId="0" applyFont="1" applyFill="1" applyProtection="1"/>
    <xf numFmtId="0" fontId="9" fillId="0" borderId="0" xfId="0" applyFont="1" applyFill="1" applyAlignment="1" applyProtection="1">
      <alignment horizontal="left"/>
    </xf>
    <xf numFmtId="43" fontId="9" fillId="0" borderId="0" xfId="0" applyNumberFormat="1" applyFont="1" applyFill="1" applyProtection="1"/>
    <xf numFmtId="0" fontId="9" fillId="4" borderId="0" xfId="0" applyFont="1" applyFill="1" applyAlignment="1" applyProtection="1">
      <alignment horizontal="left"/>
    </xf>
    <xf numFmtId="43" fontId="9" fillId="4" borderId="0" xfId="0" applyNumberFormat="1" applyFont="1" applyFill="1" applyProtection="1"/>
    <xf numFmtId="0" fontId="9" fillId="0" borderId="0" xfId="0" applyFont="1" applyFill="1" applyAlignment="1" applyProtection="1">
      <alignment horizontal="left" indent="1"/>
    </xf>
    <xf numFmtId="0" fontId="8" fillId="5" borderId="0" xfId="0" applyFont="1" applyFill="1" applyAlignment="1" applyProtection="1">
      <alignment horizontal="left" indent="1"/>
    </xf>
    <xf numFmtId="43" fontId="8" fillId="5" borderId="0" xfId="0" applyNumberFormat="1" applyFont="1" applyFill="1" applyProtection="1"/>
    <xf numFmtId="43" fontId="12" fillId="0" borderId="0" xfId="0" applyNumberFormat="1" applyFont="1" applyFill="1" applyProtection="1"/>
    <xf numFmtId="0" fontId="12" fillId="4" borderId="0" xfId="0" applyFont="1" applyFill="1" applyAlignment="1" applyProtection="1">
      <alignment horizontal="left"/>
    </xf>
    <xf numFmtId="43" fontId="12" fillId="4" borderId="0" xfId="0" applyNumberFormat="1" applyFont="1" applyFill="1" applyProtection="1"/>
    <xf numFmtId="0" fontId="12" fillId="0" borderId="0" xfId="0" applyFont="1" applyFill="1" applyAlignment="1" applyProtection="1">
      <alignment horizontal="left" indent="1"/>
    </xf>
    <xf numFmtId="0" fontId="11" fillId="5" borderId="0" xfId="0" applyFont="1" applyFill="1" applyAlignment="1" applyProtection="1">
      <alignment horizontal="left" indent="1"/>
    </xf>
    <xf numFmtId="0" fontId="9" fillId="0" borderId="0" xfId="0" pivotButton="1" applyFont="1" applyFill="1" applyProtection="1"/>
    <xf numFmtId="166" fontId="12" fillId="0" borderId="18" xfId="1" applyNumberFormat="1" applyFont="1" applyFill="1" applyBorder="1" applyProtection="1"/>
    <xf numFmtId="166" fontId="12" fillId="0" borderId="16" xfId="1" applyNumberFormat="1" applyFont="1" applyFill="1" applyBorder="1" applyProtection="1"/>
    <xf numFmtId="43" fontId="13" fillId="12" borderId="1" xfId="0" applyNumberFormat="1" applyFont="1" applyFill="1" applyBorder="1" applyProtection="1"/>
    <xf numFmtId="0" fontId="13" fillId="12" borderId="1" xfId="0" applyFont="1" applyFill="1" applyBorder="1" applyProtection="1"/>
    <xf numFmtId="166" fontId="12" fillId="0" borderId="4" xfId="1" applyNumberFormat="1" applyFont="1" applyFill="1" applyBorder="1" applyProtection="1"/>
    <xf numFmtId="0" fontId="17" fillId="0" borderId="0" xfId="0" applyFont="1" applyFill="1" applyProtection="1"/>
    <xf numFmtId="43" fontId="9" fillId="0" borderId="0" xfId="1" applyFont="1" applyFill="1" applyProtection="1"/>
    <xf numFmtId="0" fontId="16" fillId="8" borderId="9" xfId="0" applyFont="1" applyFill="1" applyBorder="1" applyAlignment="1" applyProtection="1">
      <alignment horizontal="center" vertical="center" wrapText="1"/>
    </xf>
    <xf numFmtId="0" fontId="16" fillId="8" borderId="8" xfId="0" applyFont="1" applyFill="1" applyBorder="1" applyAlignment="1" applyProtection="1">
      <alignment horizontal="center" vertical="center" wrapText="1"/>
    </xf>
    <xf numFmtId="0" fontId="16" fillId="8" borderId="10" xfId="0" applyFont="1" applyFill="1" applyBorder="1" applyAlignment="1" applyProtection="1">
      <alignment horizontal="center" vertical="center" wrapText="1"/>
    </xf>
    <xf numFmtId="0" fontId="13" fillId="0" borderId="12" xfId="0" applyFont="1" applyFill="1" applyBorder="1" applyAlignment="1" applyProtection="1">
      <alignment horizontal="center"/>
    </xf>
    <xf numFmtId="0" fontId="13" fillId="0" borderId="2" xfId="0" applyFont="1" applyFill="1" applyBorder="1" applyAlignment="1" applyProtection="1">
      <alignment horizontal="center"/>
    </xf>
    <xf numFmtId="0" fontId="13" fillId="0" borderId="4" xfId="0" applyFont="1" applyFill="1" applyBorder="1" applyAlignment="1" applyProtection="1">
      <alignment horizontal="center"/>
    </xf>
    <xf numFmtId="43" fontId="12" fillId="0" borderId="0" xfId="0" applyNumberFormat="1" applyFont="1" applyFill="1" applyAlignment="1" applyProtection="1">
      <alignment horizontal="right"/>
    </xf>
    <xf numFmtId="164" fontId="3" fillId="0" borderId="0" xfId="0" applyNumberFormat="1" applyFont="1" applyFill="1" applyProtection="1"/>
    <xf numFmtId="14" fontId="3" fillId="7" borderId="0" xfId="0" applyNumberFormat="1" applyFont="1" applyFill="1" applyProtection="1"/>
    <xf numFmtId="44" fontId="11" fillId="4" borderId="8" xfId="0" applyNumberFormat="1" applyFont="1" applyFill="1" applyBorder="1" applyProtection="1"/>
    <xf numFmtId="44" fontId="12" fillId="14" borderId="4" xfId="0" applyNumberFormat="1" applyFont="1" applyFill="1" applyBorder="1" applyProtection="1"/>
    <xf numFmtId="44" fontId="12" fillId="14" borderId="0" xfId="0" applyNumberFormat="1" applyFont="1" applyFill="1" applyProtection="1"/>
    <xf numFmtId="0" fontId="9" fillId="0" borderId="6" xfId="0" applyFont="1" applyFill="1" applyBorder="1" applyAlignment="1" applyProtection="1">
      <alignment horizontal="center"/>
    </xf>
    <xf numFmtId="0" fontId="12" fillId="0" borderId="6" xfId="0" applyFont="1" applyFill="1" applyBorder="1" applyAlignment="1" applyProtection="1">
      <alignment horizontal="center"/>
    </xf>
    <xf numFmtId="0" fontId="12" fillId="7" borderId="0" xfId="0" applyFont="1" applyFill="1" applyProtection="1"/>
    <xf numFmtId="44" fontId="11" fillId="16" borderId="6" xfId="0" applyNumberFormat="1" applyFont="1" applyFill="1" applyBorder="1" applyProtection="1"/>
    <xf numFmtId="44" fontId="11" fillId="16" borderId="8" xfId="0" applyNumberFormat="1" applyFont="1" applyFill="1" applyBorder="1" applyProtection="1"/>
    <xf numFmtId="43" fontId="12" fillId="0" borderId="4" xfId="0" applyNumberFormat="1" applyFont="1" applyFill="1" applyBorder="1" applyProtection="1"/>
    <xf numFmtId="43" fontId="12" fillId="0" borderId="8" xfId="0" applyNumberFormat="1" applyFont="1" applyFill="1" applyBorder="1" applyProtection="1"/>
    <xf numFmtId="43" fontId="12" fillId="7" borderId="0" xfId="0" applyNumberFormat="1" applyFont="1" applyFill="1" applyProtection="1"/>
    <xf numFmtId="43" fontId="11" fillId="0" borderId="0" xfId="0" applyNumberFormat="1" applyFont="1" applyFill="1" applyProtection="1"/>
    <xf numFmtId="0" fontId="13" fillId="0" borderId="28" xfId="0" applyFont="1" applyFill="1" applyBorder="1" applyAlignment="1" applyProtection="1">
      <alignment horizontal="right"/>
    </xf>
    <xf numFmtId="0" fontId="16" fillId="8" borderId="28" xfId="0" applyFont="1" applyFill="1" applyBorder="1" applyAlignment="1" applyProtection="1">
      <alignment horizontal="right" vertical="center"/>
    </xf>
    <xf numFmtId="0" fontId="13" fillId="0" borderId="19" xfId="0" applyFont="1" applyFill="1" applyBorder="1" applyProtection="1"/>
    <xf numFmtId="43" fontId="11" fillId="0" borderId="3" xfId="1" applyFont="1" applyFill="1" applyBorder="1" applyProtection="1"/>
    <xf numFmtId="0" fontId="11" fillId="16" borderId="15" xfId="0" applyFont="1" applyFill="1" applyBorder="1" applyProtection="1"/>
    <xf numFmtId="44" fontId="11" fillId="16" borderId="11" xfId="1" applyNumberFormat="1" applyFont="1" applyFill="1" applyBorder="1" applyProtection="1"/>
    <xf numFmtId="0" fontId="12" fillId="0" borderId="19" xfId="0" applyFont="1" applyFill="1" applyBorder="1" applyProtection="1"/>
    <xf numFmtId="0" fontId="13" fillId="7" borderId="19" xfId="0" applyFont="1" applyFill="1" applyBorder="1" applyProtection="1"/>
    <xf numFmtId="43" fontId="11" fillId="7" borderId="7" xfId="1" applyFont="1" applyFill="1" applyBorder="1" applyProtection="1"/>
    <xf numFmtId="0" fontId="11" fillId="16" borderId="28" xfId="0" applyFont="1" applyFill="1" applyBorder="1" applyProtection="1"/>
    <xf numFmtId="44" fontId="11" fillId="16" borderId="7" xfId="1" applyNumberFormat="1" applyFont="1" applyFill="1" applyBorder="1" applyProtection="1"/>
    <xf numFmtId="43" fontId="11" fillId="0" borderId="3" xfId="0" applyNumberFormat="1" applyFont="1" applyFill="1" applyBorder="1" applyProtection="1"/>
    <xf numFmtId="43" fontId="11" fillId="0" borderId="30" xfId="1" applyFont="1" applyFill="1" applyBorder="1" applyProtection="1"/>
    <xf numFmtId="0" fontId="13" fillId="14" borderId="13" xfId="0" applyFont="1" applyFill="1" applyBorder="1" applyProtection="1"/>
    <xf numFmtId="43" fontId="11" fillId="14" borderId="3" xfId="1" applyFont="1" applyFill="1" applyBorder="1" applyProtection="1"/>
    <xf numFmtId="0" fontId="13" fillId="14" borderId="19" xfId="0" applyFont="1" applyFill="1" applyBorder="1" applyProtection="1"/>
    <xf numFmtId="43" fontId="11" fillId="14" borderId="30" xfId="1" applyFont="1" applyFill="1" applyBorder="1" applyProtection="1"/>
    <xf numFmtId="0" fontId="11" fillId="18" borderId="20" xfId="0" applyFont="1" applyFill="1" applyBorder="1" applyProtection="1"/>
    <xf numFmtId="44" fontId="11" fillId="18" borderId="21" xfId="0" applyNumberFormat="1" applyFont="1" applyFill="1" applyBorder="1" applyProtection="1"/>
    <xf numFmtId="43" fontId="11" fillId="18" borderId="32" xfId="1" applyFont="1" applyFill="1" applyBorder="1" applyProtection="1"/>
    <xf numFmtId="0" fontId="11" fillId="4" borderId="15" xfId="0" applyFont="1" applyFill="1" applyBorder="1" applyProtection="1"/>
    <xf numFmtId="44" fontId="11" fillId="4" borderId="11" xfId="1" applyNumberFormat="1" applyFont="1" applyFill="1" applyBorder="1" applyProtection="1"/>
    <xf numFmtId="0" fontId="12" fillId="0" borderId="13" xfId="0" applyFont="1" applyFill="1" applyBorder="1" applyProtection="1"/>
    <xf numFmtId="43" fontId="11" fillId="0" borderId="30" xfId="0" applyNumberFormat="1" applyFont="1" applyFill="1" applyBorder="1" applyProtection="1"/>
    <xf numFmtId="0" fontId="12" fillId="0" borderId="15" xfId="0" applyFont="1" applyFill="1" applyBorder="1" applyProtection="1"/>
    <xf numFmtId="43" fontId="11" fillId="0" borderId="11" xfId="1" applyFont="1" applyFill="1" applyBorder="1" applyProtection="1"/>
    <xf numFmtId="43" fontId="11" fillId="7" borderId="30" xfId="1" applyFont="1" applyFill="1" applyBorder="1" applyProtection="1"/>
    <xf numFmtId="44" fontId="21" fillId="0" borderId="37" xfId="0" applyNumberFormat="1" applyFont="1" applyFill="1" applyBorder="1" applyProtection="1"/>
    <xf numFmtId="0" fontId="9" fillId="0" borderId="28" xfId="0" applyFont="1" applyFill="1" applyBorder="1" applyAlignment="1" applyProtection="1">
      <alignment horizontal="center"/>
    </xf>
    <xf numFmtId="0" fontId="9" fillId="0" borderId="29" xfId="0" applyFont="1" applyFill="1" applyBorder="1" applyAlignment="1" applyProtection="1">
      <alignment horizontal="center"/>
    </xf>
    <xf numFmtId="0" fontId="12" fillId="0" borderId="28" xfId="0" applyFont="1" applyFill="1" applyBorder="1" applyAlignment="1" applyProtection="1">
      <alignment horizontal="center"/>
    </xf>
    <xf numFmtId="0" fontId="12" fillId="0" borderId="29" xfId="0" applyFont="1" applyFill="1" applyBorder="1" applyAlignment="1" applyProtection="1">
      <alignment horizontal="center"/>
    </xf>
    <xf numFmtId="0" fontId="9" fillId="0" borderId="31" xfId="0" applyFont="1" applyFill="1" applyBorder="1" applyAlignment="1" applyProtection="1">
      <alignment horizontal="center"/>
    </xf>
    <xf numFmtId="44" fontId="12" fillId="0" borderId="40" xfId="0" applyNumberFormat="1" applyFont="1" applyFill="1" applyBorder="1" applyProtection="1"/>
    <xf numFmtId="165" fontId="12" fillId="0" borderId="46" xfId="1" applyNumberFormat="1" applyFont="1" applyFill="1" applyBorder="1" applyProtection="1"/>
    <xf numFmtId="44" fontId="12" fillId="0" borderId="53" xfId="0" applyNumberFormat="1" applyFont="1" applyFill="1" applyBorder="1" applyProtection="1"/>
    <xf numFmtId="44" fontId="12" fillId="0" borderId="54" xfId="0" applyNumberFormat="1" applyFont="1" applyFill="1" applyBorder="1" applyProtection="1"/>
    <xf numFmtId="44" fontId="12" fillId="0" borderId="48" xfId="0" applyNumberFormat="1" applyFont="1" applyFill="1" applyBorder="1" applyProtection="1"/>
    <xf numFmtId="44" fontId="12" fillId="0" borderId="49" xfId="0" applyNumberFormat="1" applyFont="1" applyFill="1" applyBorder="1" applyProtection="1"/>
    <xf numFmtId="44" fontId="12" fillId="0" borderId="55" xfId="0" applyNumberFormat="1" applyFont="1" applyFill="1" applyBorder="1" applyProtection="1"/>
    <xf numFmtId="44" fontId="12" fillId="0" borderId="56" xfId="0" applyNumberFormat="1" applyFont="1" applyFill="1" applyBorder="1" applyProtection="1"/>
    <xf numFmtId="44" fontId="12" fillId="0" borderId="41" xfId="0" applyNumberFormat="1" applyFont="1" applyFill="1" applyBorder="1" applyProtection="1"/>
    <xf numFmtId="44" fontId="13" fillId="12" borderId="52" xfId="0" applyNumberFormat="1" applyFont="1" applyFill="1" applyBorder="1" applyProtection="1"/>
    <xf numFmtId="44" fontId="13" fillId="12" borderId="5" xfId="0" applyNumberFormat="1" applyFont="1" applyFill="1" applyBorder="1" applyProtection="1"/>
    <xf numFmtId="44" fontId="13" fillId="12" borderId="17" xfId="0" applyNumberFormat="1" applyFont="1" applyFill="1" applyBorder="1" applyProtection="1"/>
    <xf numFmtId="44" fontId="13" fillId="12" borderId="49" xfId="0" applyNumberFormat="1" applyFont="1" applyFill="1" applyBorder="1" applyProtection="1"/>
    <xf numFmtId="44" fontId="13" fillId="12" borderId="38" xfId="0" applyNumberFormat="1" applyFont="1" applyFill="1" applyBorder="1" applyAlignment="1" applyProtection="1">
      <alignment horizontal="center"/>
    </xf>
    <xf numFmtId="44" fontId="11" fillId="14" borderId="38" xfId="0" applyNumberFormat="1" applyFont="1" applyFill="1" applyBorder="1" applyProtection="1"/>
    <xf numFmtId="44" fontId="13" fillId="12" borderId="61" xfId="0" applyNumberFormat="1" applyFont="1" applyFill="1" applyBorder="1" applyAlignment="1" applyProtection="1">
      <alignment horizontal="center"/>
    </xf>
    <xf numFmtId="0" fontId="13" fillId="14" borderId="61" xfId="0" applyFont="1" applyFill="1" applyBorder="1" applyProtection="1"/>
    <xf numFmtId="0" fontId="11" fillId="18" borderId="62" xfId="0" applyFont="1" applyFill="1" applyBorder="1" applyProtection="1"/>
    <xf numFmtId="44" fontId="11" fillId="18" borderId="63" xfId="0" applyNumberFormat="1" applyFont="1" applyFill="1" applyBorder="1" applyProtection="1"/>
    <xf numFmtId="44" fontId="22" fillId="5" borderId="70" xfId="0" applyNumberFormat="1" applyFont="1" applyFill="1" applyBorder="1" applyProtection="1"/>
    <xf numFmtId="44" fontId="13" fillId="15" borderId="38" xfId="0" applyNumberFormat="1" applyFont="1" applyFill="1" applyBorder="1" applyAlignment="1" applyProtection="1">
      <alignment horizontal="center"/>
    </xf>
    <xf numFmtId="44" fontId="12" fillId="0" borderId="39" xfId="0" applyNumberFormat="1" applyFont="1" applyFill="1" applyBorder="1" applyProtection="1"/>
    <xf numFmtId="166" fontId="12" fillId="0" borderId="39" xfId="1" applyNumberFormat="1" applyFont="1" applyFill="1" applyBorder="1" applyProtection="1"/>
    <xf numFmtId="166" fontId="12" fillId="0" borderId="40" xfId="1" applyNumberFormat="1" applyFont="1" applyFill="1" applyBorder="1" applyProtection="1"/>
    <xf numFmtId="44" fontId="13" fillId="12" borderId="38" xfId="0" applyNumberFormat="1" applyFont="1" applyFill="1" applyBorder="1" applyProtection="1"/>
    <xf numFmtId="44" fontId="13" fillId="12" borderId="61" xfId="0" applyNumberFormat="1" applyFont="1" applyFill="1" applyBorder="1" applyProtection="1"/>
    <xf numFmtId="44" fontId="13" fillId="12" borderId="60" xfId="0" applyNumberFormat="1" applyFont="1" applyFill="1" applyBorder="1" applyProtection="1"/>
    <xf numFmtId="44" fontId="12" fillId="0" borderId="44" xfId="0" applyNumberFormat="1" applyFont="1" applyFill="1" applyBorder="1" applyProtection="1"/>
    <xf numFmtId="44" fontId="12" fillId="0" borderId="45" xfId="0" applyNumberFormat="1" applyFont="1" applyFill="1" applyBorder="1" applyProtection="1"/>
    <xf numFmtId="44" fontId="12" fillId="0" borderId="46" xfId="0" applyNumberFormat="1" applyFont="1" applyFill="1" applyBorder="1" applyProtection="1"/>
    <xf numFmtId="44" fontId="12" fillId="0" borderId="47" xfId="0" applyNumberFormat="1" applyFont="1" applyFill="1" applyBorder="1" applyProtection="1"/>
    <xf numFmtId="44" fontId="13" fillId="15" borderId="74" xfId="0" applyNumberFormat="1" applyFont="1" applyFill="1" applyBorder="1" applyAlignment="1" applyProtection="1">
      <alignment horizontal="center"/>
    </xf>
    <xf numFmtId="44" fontId="13" fillId="15" borderId="75" xfId="0" applyNumberFormat="1" applyFont="1" applyFill="1" applyBorder="1" applyAlignment="1" applyProtection="1">
      <alignment horizontal="center"/>
    </xf>
    <xf numFmtId="0" fontId="10" fillId="0" borderId="76" xfId="0" applyFont="1" applyFill="1" applyBorder="1" applyProtection="1"/>
    <xf numFmtId="44" fontId="12" fillId="0" borderId="77" xfId="0" applyNumberFormat="1" applyFont="1" applyFill="1" applyBorder="1" applyProtection="1"/>
    <xf numFmtId="0" fontId="12" fillId="0" borderId="76" xfId="0" applyFont="1" applyFill="1" applyBorder="1" applyProtection="1"/>
    <xf numFmtId="0" fontId="10" fillId="0" borderId="78" xfId="0" applyFont="1" applyFill="1" applyBorder="1" applyProtection="1"/>
    <xf numFmtId="44" fontId="10" fillId="0" borderId="79" xfId="0" applyNumberFormat="1" applyFont="1" applyFill="1" applyBorder="1" applyProtection="1"/>
    <xf numFmtId="44" fontId="12" fillId="0" borderId="79" xfId="0" applyNumberFormat="1" applyFont="1" applyFill="1" applyBorder="1" applyProtection="1"/>
    <xf numFmtId="44" fontId="12" fillId="0" borderId="80" xfId="0" applyNumberFormat="1" applyFont="1" applyFill="1" applyBorder="1" applyProtection="1"/>
    <xf numFmtId="0" fontId="10" fillId="0" borderId="0" xfId="0" applyFont="1" applyFill="1" applyProtection="1"/>
    <xf numFmtId="0" fontId="18" fillId="11" borderId="25" xfId="0" applyFont="1" applyFill="1" applyBorder="1" applyAlignment="1">
      <alignment vertical="center"/>
    </xf>
    <xf numFmtId="0" fontId="16" fillId="8" borderId="8" xfId="0" applyFont="1" applyFill="1" applyBorder="1" applyAlignment="1" applyProtection="1">
      <alignment horizontal="center" vertical="center"/>
    </xf>
    <xf numFmtId="0" fontId="13" fillId="0" borderId="81" xfId="0" applyFont="1" applyFill="1" applyBorder="1" applyAlignment="1" applyProtection="1">
      <alignment horizontal="right"/>
    </xf>
    <xf numFmtId="0" fontId="16" fillId="8" borderId="81" xfId="0" applyFont="1" applyFill="1" applyBorder="1" applyAlignment="1" applyProtection="1">
      <alignment horizontal="right" vertical="center"/>
    </xf>
    <xf numFmtId="0" fontId="13" fillId="0" borderId="82" xfId="0" applyFont="1" applyFill="1" applyBorder="1" applyAlignment="1" applyProtection="1">
      <alignment horizontal="center"/>
    </xf>
    <xf numFmtId="0" fontId="16" fillId="8" borderId="83" xfId="0" applyFont="1" applyFill="1" applyBorder="1" applyAlignment="1" applyProtection="1">
      <alignment horizontal="center" vertical="center"/>
    </xf>
    <xf numFmtId="0" fontId="13" fillId="0" borderId="84" xfId="0" applyFont="1" applyFill="1" applyBorder="1" applyAlignment="1" applyProtection="1">
      <alignment horizontal="center"/>
    </xf>
    <xf numFmtId="0" fontId="16" fillId="8" borderId="85" xfId="0" applyFont="1" applyFill="1" applyBorder="1" applyAlignment="1" applyProtection="1">
      <alignment horizontal="center" vertical="center"/>
    </xf>
    <xf numFmtId="43" fontId="11" fillId="7" borderId="11" xfId="1" applyFont="1" applyFill="1" applyBorder="1" applyProtection="1"/>
    <xf numFmtId="43" fontId="11" fillId="0" borderId="86" xfId="1" applyFont="1" applyFill="1" applyBorder="1" applyProtection="1"/>
    <xf numFmtId="43" fontId="11" fillId="0" borderId="87" xfId="0" applyNumberFormat="1" applyFont="1" applyFill="1" applyBorder="1" applyProtection="1"/>
    <xf numFmtId="43" fontId="11" fillId="0" borderId="87" xfId="1" applyFont="1" applyFill="1" applyBorder="1" applyProtection="1"/>
    <xf numFmtId="43" fontId="11" fillId="0" borderId="88" xfId="1" applyFont="1" applyFill="1" applyBorder="1" applyProtection="1"/>
    <xf numFmtId="0" fontId="27" fillId="0" borderId="0" xfId="0" applyFont="1" applyFill="1" applyProtection="1"/>
    <xf numFmtId="0" fontId="24" fillId="6" borderId="33" xfId="0" applyFont="1" applyFill="1" applyBorder="1" applyAlignment="1" applyProtection="1">
      <alignment horizontal="center"/>
    </xf>
    <xf numFmtId="0" fontId="24" fillId="6" borderId="34" xfId="0" applyFont="1" applyFill="1" applyBorder="1" applyAlignment="1" applyProtection="1">
      <alignment horizontal="center"/>
    </xf>
    <xf numFmtId="0" fontId="24" fillId="6" borderId="35" xfId="0" applyFont="1" applyFill="1" applyBorder="1" applyAlignment="1" applyProtection="1">
      <alignment horizontal="center"/>
    </xf>
    <xf numFmtId="0" fontId="19" fillId="0" borderId="22" xfId="0" applyFont="1" applyBorder="1" applyAlignment="1">
      <alignment horizontal="center" vertical="center"/>
    </xf>
    <xf numFmtId="0" fontId="19" fillId="0" borderId="23" xfId="0" applyFont="1" applyBorder="1" applyAlignment="1">
      <alignment horizontal="center" vertical="center"/>
    </xf>
    <xf numFmtId="0" fontId="19" fillId="0" borderId="24" xfId="0" applyFont="1" applyBorder="1" applyAlignment="1">
      <alignment horizontal="center" vertical="center"/>
    </xf>
    <xf numFmtId="0" fontId="18" fillId="11" borderId="67" xfId="0" applyFont="1" applyFill="1" applyBorder="1" applyAlignment="1">
      <alignment horizontal="center" vertical="center"/>
    </xf>
    <xf numFmtId="0" fontId="18" fillId="11" borderId="65" xfId="0" applyFont="1" applyFill="1" applyBorder="1" applyAlignment="1">
      <alignment horizontal="center" vertical="center"/>
    </xf>
    <xf numFmtId="0" fontId="18" fillId="11" borderId="66" xfId="0" applyFont="1" applyFill="1" applyBorder="1" applyAlignment="1">
      <alignment horizontal="center" vertical="center"/>
    </xf>
    <xf numFmtId="0" fontId="23" fillId="19" borderId="50" xfId="0" applyFont="1" applyFill="1" applyBorder="1" applyAlignment="1" applyProtection="1">
      <alignment horizontal="center" vertical="center"/>
    </xf>
    <xf numFmtId="0" fontId="23" fillId="19" borderId="42" xfId="0" applyFont="1" applyFill="1" applyBorder="1" applyAlignment="1" applyProtection="1">
      <alignment horizontal="center" vertical="center"/>
    </xf>
    <xf numFmtId="0" fontId="23" fillId="19" borderId="43" xfId="0" applyFont="1" applyFill="1" applyBorder="1" applyAlignment="1" applyProtection="1">
      <alignment horizontal="center" vertical="center"/>
    </xf>
    <xf numFmtId="0" fontId="23" fillId="0" borderId="59" xfId="0" applyFont="1" applyFill="1" applyBorder="1" applyAlignment="1" applyProtection="1">
      <alignment horizontal="center" vertical="center"/>
    </xf>
    <xf numFmtId="0" fontId="23" fillId="0" borderId="49" xfId="0" applyFont="1" applyFill="1" applyBorder="1" applyAlignment="1" applyProtection="1">
      <alignment horizontal="center" vertical="center"/>
    </xf>
    <xf numFmtId="0" fontId="12" fillId="0" borderId="46" xfId="0" applyFont="1" applyFill="1" applyBorder="1" applyAlignment="1" applyProtection="1">
      <alignment horizontal="center"/>
    </xf>
    <xf numFmtId="0" fontId="12" fillId="0" borderId="40" xfId="0" applyFont="1" applyFill="1" applyBorder="1" applyAlignment="1" applyProtection="1">
      <alignment horizontal="center"/>
    </xf>
    <xf numFmtId="0" fontId="12" fillId="0" borderId="47" xfId="0" applyFont="1" applyFill="1" applyBorder="1" applyAlignment="1" applyProtection="1">
      <alignment horizontal="center"/>
    </xf>
    <xf numFmtId="0" fontId="23" fillId="19" borderId="61" xfId="0" applyFont="1" applyFill="1" applyBorder="1" applyAlignment="1" applyProtection="1">
      <alignment horizontal="center" vertical="center"/>
    </xf>
    <xf numFmtId="0" fontId="23" fillId="19" borderId="38" xfId="0" applyFont="1" applyFill="1" applyBorder="1" applyAlignment="1" applyProtection="1">
      <alignment horizontal="center" vertical="center"/>
    </xf>
    <xf numFmtId="0" fontId="23" fillId="19" borderId="60" xfId="0" applyFont="1" applyFill="1" applyBorder="1" applyAlignment="1" applyProtection="1">
      <alignment horizontal="center" vertical="center"/>
    </xf>
    <xf numFmtId="0" fontId="20" fillId="0" borderId="36" xfId="0" applyFont="1" applyFill="1" applyBorder="1" applyAlignment="1" applyProtection="1">
      <alignment horizontal="left"/>
    </xf>
    <xf numFmtId="0" fontId="20" fillId="0" borderId="0" xfId="0" applyFont="1" applyFill="1" applyAlignment="1" applyProtection="1">
      <alignment horizontal="left"/>
    </xf>
    <xf numFmtId="0" fontId="23" fillId="19" borderId="51" xfId="0" applyFont="1" applyFill="1" applyBorder="1" applyAlignment="1" applyProtection="1">
      <alignment horizontal="center" vertical="center"/>
    </xf>
    <xf numFmtId="0" fontId="7" fillId="13" borderId="50" xfId="0" applyFont="1" applyFill="1" applyBorder="1" applyAlignment="1" applyProtection="1">
      <alignment horizontal="center"/>
    </xf>
    <xf numFmtId="0" fontId="7" fillId="13" borderId="43" xfId="0" applyFont="1" applyFill="1" applyBorder="1" applyAlignment="1" applyProtection="1">
      <alignment horizontal="center"/>
    </xf>
    <xf numFmtId="0" fontId="7" fillId="0" borderId="59" xfId="0" applyFont="1" applyFill="1" applyBorder="1" applyAlignment="1" applyProtection="1">
      <alignment horizontal="center"/>
    </xf>
    <xf numFmtId="0" fontId="7" fillId="0" borderId="0" xfId="0" applyFont="1" applyFill="1" applyAlignment="1" applyProtection="1">
      <alignment horizontal="center"/>
    </xf>
    <xf numFmtId="0" fontId="7" fillId="0" borderId="49" xfId="0" applyFont="1" applyFill="1" applyBorder="1" applyAlignment="1" applyProtection="1">
      <alignment horizontal="center"/>
    </xf>
    <xf numFmtId="0" fontId="7" fillId="0" borderId="64" xfId="0" applyFont="1" applyFill="1" applyBorder="1" applyAlignment="1" applyProtection="1">
      <alignment horizontal="center"/>
    </xf>
    <xf numFmtId="0" fontId="7" fillId="0" borderId="57" xfId="0" applyFont="1" applyFill="1" applyBorder="1" applyAlignment="1" applyProtection="1">
      <alignment horizontal="center"/>
    </xf>
    <xf numFmtId="0" fontId="7" fillId="0" borderId="58" xfId="0" applyFont="1" applyFill="1" applyBorder="1" applyAlignment="1" applyProtection="1">
      <alignment horizontal="center"/>
    </xf>
    <xf numFmtId="44" fontId="12" fillId="0" borderId="53" xfId="0" applyNumberFormat="1" applyFont="1" applyFill="1" applyBorder="1" applyAlignment="1" applyProtection="1">
      <alignment horizontal="center"/>
    </xf>
    <xf numFmtId="44" fontId="12" fillId="0" borderId="4" xfId="0" applyNumberFormat="1" applyFont="1" applyFill="1" applyBorder="1" applyAlignment="1" applyProtection="1">
      <alignment horizontal="center"/>
    </xf>
    <xf numFmtId="44" fontId="12" fillId="0" borderId="54" xfId="0" applyNumberFormat="1" applyFont="1" applyFill="1" applyBorder="1" applyAlignment="1" applyProtection="1">
      <alignment horizontal="center"/>
    </xf>
    <xf numFmtId="0" fontId="20" fillId="5" borderId="68" xfId="0" applyFont="1" applyFill="1" applyBorder="1" applyAlignment="1" applyProtection="1">
      <alignment horizontal="left"/>
    </xf>
    <xf numFmtId="0" fontId="20" fillId="5" borderId="69" xfId="0" applyFont="1" applyFill="1" applyBorder="1" applyAlignment="1" applyProtection="1">
      <alignment horizontal="left"/>
    </xf>
    <xf numFmtId="44" fontId="12" fillId="0" borderId="48" xfId="0" applyNumberFormat="1" applyFont="1" applyFill="1" applyBorder="1" applyAlignment="1" applyProtection="1">
      <alignment horizontal="center"/>
    </xf>
    <xf numFmtId="44" fontId="12" fillId="0" borderId="0" xfId="0" applyNumberFormat="1" applyFont="1" applyFill="1" applyAlignment="1" applyProtection="1">
      <alignment horizontal="center"/>
    </xf>
    <xf numFmtId="44" fontId="12" fillId="0" borderId="49" xfId="0" applyNumberFormat="1" applyFont="1" applyFill="1" applyBorder="1" applyAlignment="1" applyProtection="1">
      <alignment horizontal="center"/>
    </xf>
    <xf numFmtId="0" fontId="14" fillId="10" borderId="76" xfId="0" applyFont="1" applyFill="1" applyBorder="1" applyAlignment="1" applyProtection="1">
      <alignment horizontal="center"/>
    </xf>
    <xf numFmtId="0" fontId="14" fillId="10" borderId="0" xfId="0" applyFont="1" applyFill="1" applyAlignment="1" applyProtection="1">
      <alignment horizontal="center"/>
    </xf>
    <xf numFmtId="0" fontId="14" fillId="10" borderId="77" xfId="0" applyFont="1" applyFill="1" applyBorder="1" applyAlignment="1" applyProtection="1">
      <alignment horizontal="center"/>
    </xf>
    <xf numFmtId="44" fontId="15" fillId="10" borderId="76" xfId="0" applyNumberFormat="1" applyFont="1" applyFill="1" applyBorder="1" applyAlignment="1" applyProtection="1">
      <alignment horizontal="center"/>
    </xf>
    <xf numFmtId="44" fontId="15" fillId="10" borderId="0" xfId="0" applyNumberFormat="1" applyFont="1" applyFill="1" applyAlignment="1" applyProtection="1">
      <alignment horizontal="center"/>
    </xf>
    <xf numFmtId="44" fontId="15" fillId="10" borderId="77" xfId="0" applyNumberFormat="1" applyFont="1" applyFill="1" applyBorder="1" applyAlignment="1" applyProtection="1">
      <alignment horizontal="center"/>
    </xf>
    <xf numFmtId="44" fontId="25" fillId="20" borderId="71" xfId="0" applyNumberFormat="1" applyFont="1" applyFill="1" applyBorder="1" applyAlignment="1" applyProtection="1">
      <alignment horizontal="center"/>
    </xf>
    <xf numFmtId="44" fontId="25" fillId="20" borderId="72" xfId="0" applyNumberFormat="1" applyFont="1" applyFill="1" applyBorder="1" applyAlignment="1" applyProtection="1">
      <alignment horizontal="center"/>
    </xf>
    <xf numFmtId="44" fontId="25" fillId="20" borderId="73" xfId="0" applyNumberFormat="1" applyFont="1" applyFill="1" applyBorder="1" applyAlignment="1" applyProtection="1">
      <alignment horizontal="center"/>
    </xf>
    <xf numFmtId="0" fontId="18" fillId="11" borderId="25" xfId="0" applyFont="1" applyFill="1" applyBorder="1" applyAlignment="1">
      <alignment horizontal="center" vertical="center"/>
    </xf>
    <xf numFmtId="0" fontId="18" fillId="11" borderId="26" xfId="0" applyFont="1" applyFill="1" applyBorder="1" applyAlignment="1">
      <alignment horizontal="center" vertical="center"/>
    </xf>
    <xf numFmtId="0" fontId="18" fillId="11" borderId="27" xfId="0" applyFont="1" applyFill="1" applyBorder="1" applyAlignment="1">
      <alignment horizontal="center" vertical="center"/>
    </xf>
    <xf numFmtId="0" fontId="23" fillId="9" borderId="28" xfId="0" applyFont="1" applyFill="1" applyBorder="1" applyAlignment="1" applyProtection="1">
      <alignment horizontal="left" vertical="center"/>
    </xf>
    <xf numFmtId="0" fontId="23" fillId="9" borderId="6" xfId="0" applyFont="1" applyFill="1" applyBorder="1" applyAlignment="1" applyProtection="1">
      <alignment horizontal="left" vertical="center"/>
    </xf>
    <xf numFmtId="0" fontId="23" fillId="9" borderId="29" xfId="0" applyFont="1" applyFill="1" applyBorder="1" applyAlignment="1" applyProtection="1">
      <alignment horizontal="left" vertical="center"/>
    </xf>
    <xf numFmtId="0" fontId="7" fillId="13" borderId="28" xfId="0" applyFont="1" applyFill="1" applyBorder="1" applyAlignment="1" applyProtection="1">
      <alignment horizontal="left"/>
    </xf>
    <xf numFmtId="0" fontId="7" fillId="13" borderId="6" xfId="0" applyFont="1" applyFill="1" applyBorder="1" applyAlignment="1" applyProtection="1">
      <alignment horizontal="left"/>
    </xf>
    <xf numFmtId="0" fontId="7" fillId="13" borderId="29" xfId="0" applyFont="1" applyFill="1" applyBorder="1" applyAlignment="1" applyProtection="1">
      <alignment horizontal="left"/>
    </xf>
    <xf numFmtId="43" fontId="16" fillId="8" borderId="29" xfId="1" applyFont="1" applyFill="1" applyBorder="1" applyAlignment="1" applyProtection="1">
      <alignment horizontal="center" wrapText="1"/>
    </xf>
    <xf numFmtId="0" fontId="9" fillId="0" borderId="28" xfId="0" applyFont="1" applyFill="1" applyBorder="1" applyAlignment="1" applyProtection="1">
      <alignment horizontal="center"/>
    </xf>
    <xf numFmtId="0" fontId="9" fillId="0" borderId="6" xfId="0" applyFont="1" applyFill="1" applyBorder="1" applyAlignment="1" applyProtection="1">
      <alignment horizontal="center"/>
    </xf>
    <xf numFmtId="0" fontId="9" fillId="0" borderId="29" xfId="0" applyFont="1" applyFill="1" applyBorder="1" applyAlignment="1" applyProtection="1">
      <alignment horizontal="center"/>
    </xf>
    <xf numFmtId="0" fontId="12" fillId="0" borderId="28" xfId="0" applyFont="1" applyFill="1" applyBorder="1" applyAlignment="1" applyProtection="1">
      <alignment horizontal="center"/>
    </xf>
    <xf numFmtId="0" fontId="12" fillId="0" borderId="6" xfId="0" applyFont="1" applyFill="1" applyBorder="1" applyAlignment="1" applyProtection="1">
      <alignment horizontal="center"/>
    </xf>
    <xf numFmtId="0" fontId="12" fillId="0" borderId="29" xfId="0" applyFont="1" applyFill="1" applyBorder="1" applyAlignment="1" applyProtection="1">
      <alignment horizontal="center"/>
    </xf>
    <xf numFmtId="43" fontId="16" fillId="8" borderId="3" xfId="1" applyFont="1" applyFill="1" applyBorder="1" applyAlignment="1" applyProtection="1">
      <alignment horizontal="center" wrapText="1"/>
    </xf>
    <xf numFmtId="43" fontId="16" fillId="8" borderId="11" xfId="1" applyFont="1" applyFill="1" applyBorder="1" applyAlignment="1" applyProtection="1">
      <alignment horizontal="center" wrapText="1"/>
    </xf>
    <xf numFmtId="0" fontId="3" fillId="17" borderId="12" xfId="0" applyFont="1" applyFill="1" applyBorder="1" applyAlignment="1" applyProtection="1">
      <alignment horizontal="center"/>
    </xf>
    <xf numFmtId="0" fontId="3" fillId="17" borderId="14" xfId="0" applyFont="1" applyFill="1" applyBorder="1" applyAlignment="1" applyProtection="1">
      <alignment horizontal="center"/>
    </xf>
    <xf numFmtId="0" fontId="3" fillId="0" borderId="0" xfId="0" applyFont="1" applyFill="1" applyAlignment="1" applyProtection="1">
      <alignment horizontal="center"/>
    </xf>
    <xf numFmtId="0" fontId="0" fillId="0" borderId="0" xfId="0" applyFill="1" applyProtection="1"/>
    <xf numFmtId="0" fontId="1" fillId="0" borderId="0" xfId="0" applyFont="1" applyFill="1" applyAlignment="1" applyProtection="1">
      <alignment horizontal="center"/>
    </xf>
    <xf numFmtId="0" fontId="28" fillId="6" borderId="33" xfId="0" applyFont="1" applyFill="1" applyBorder="1" applyAlignment="1" applyProtection="1">
      <alignment horizontal="center"/>
    </xf>
    <xf numFmtId="0" fontId="28" fillId="6" borderId="34" xfId="0" applyFont="1" applyFill="1" applyBorder="1" applyAlignment="1" applyProtection="1">
      <alignment horizontal="center"/>
    </xf>
    <xf numFmtId="0" fontId="28" fillId="6" borderId="35" xfId="0" applyFont="1" applyFill="1" applyBorder="1" applyAlignment="1" applyProtection="1">
      <alignment horizontal="center"/>
    </xf>
    <xf numFmtId="0" fontId="13" fillId="0" borderId="36" xfId="0" applyFont="1" applyFill="1" applyBorder="1" applyAlignment="1" applyProtection="1">
      <alignment horizontal="left"/>
    </xf>
    <xf numFmtId="44" fontId="12" fillId="0" borderId="37" xfId="0" applyNumberFormat="1" applyFont="1" applyFill="1" applyBorder="1" applyProtection="1"/>
    <xf numFmtId="0" fontId="13" fillId="5" borderId="68" xfId="0" applyFont="1" applyFill="1" applyBorder="1" applyAlignment="1" applyProtection="1">
      <alignment horizontal="left"/>
    </xf>
    <xf numFmtId="0" fontId="13" fillId="5" borderId="69" xfId="0" applyFont="1" applyFill="1" applyBorder="1" applyAlignment="1" applyProtection="1">
      <alignment horizontal="left"/>
    </xf>
    <xf numFmtId="44" fontId="29" fillId="5" borderId="70" xfId="0" applyNumberFormat="1" applyFont="1" applyFill="1" applyBorder="1" applyProtection="1"/>
    <xf numFmtId="0" fontId="30" fillId="0" borderId="0" xfId="0" applyFont="1" applyFill="1" applyAlignment="1" applyProtection="1"/>
    <xf numFmtId="0" fontId="30" fillId="0" borderId="0" xfId="0" applyFont="1" applyFill="1" applyAlignment="1" applyProtection="1">
      <alignment horizontal="left" vertical="top" wrapText="1"/>
    </xf>
    <xf numFmtId="0" fontId="26" fillId="11" borderId="12" xfId="0" applyFont="1" applyFill="1" applyBorder="1" applyAlignment="1">
      <alignment horizontal="center" vertical="center"/>
    </xf>
    <xf numFmtId="0" fontId="26" fillId="11" borderId="4" xfId="0" applyFont="1" applyFill="1" applyBorder="1" applyAlignment="1">
      <alignment horizontal="center" vertical="center"/>
    </xf>
    <xf numFmtId="0" fontId="26" fillId="11" borderId="14" xfId="0" applyFont="1" applyFill="1" applyBorder="1" applyAlignment="1">
      <alignment horizontal="center" vertical="center"/>
    </xf>
    <xf numFmtId="0" fontId="4" fillId="0" borderId="17" xfId="0" applyFont="1" applyFill="1" applyBorder="1" applyProtection="1"/>
    <xf numFmtId="0" fontId="4" fillId="0" borderId="0" xfId="0" applyFont="1" applyFill="1" applyBorder="1" applyProtection="1"/>
    <xf numFmtId="0" fontId="0" fillId="0" borderId="0" xfId="0" applyFill="1" applyBorder="1" applyProtection="1"/>
    <xf numFmtId="0" fontId="0" fillId="0" borderId="18" xfId="0" applyFill="1" applyBorder="1" applyProtection="1"/>
    <xf numFmtId="44" fontId="4" fillId="0" borderId="0" xfId="0" applyNumberFormat="1" applyFont="1" applyFill="1" applyBorder="1" applyProtection="1"/>
    <xf numFmtId="0" fontId="3" fillId="0" borderId="9" xfId="0" applyFont="1" applyFill="1" applyBorder="1" applyProtection="1"/>
    <xf numFmtId="44" fontId="3" fillId="0" borderId="8" xfId="0" applyNumberFormat="1" applyFont="1" applyFill="1" applyBorder="1" applyProtection="1"/>
    <xf numFmtId="0" fontId="0" fillId="0" borderId="8" xfId="0" applyFill="1" applyBorder="1" applyProtection="1"/>
    <xf numFmtId="0" fontId="0" fillId="0" borderId="16" xfId="0" applyFill="1" applyBorder="1" applyProtection="1"/>
    <xf numFmtId="0" fontId="4" fillId="0" borderId="0" xfId="0" applyNumberFormat="1" applyFont="1" applyFill="1" applyBorder="1" applyProtection="1"/>
    <xf numFmtId="0" fontId="13" fillId="0" borderId="89" xfId="0" applyFont="1" applyFill="1" applyBorder="1" applyAlignment="1" applyProtection="1">
      <alignment horizontal="left"/>
    </xf>
    <xf numFmtId="0" fontId="13" fillId="0" borderId="90" xfId="0" applyFont="1" applyFill="1" applyBorder="1" applyAlignment="1" applyProtection="1">
      <alignment horizontal="left"/>
    </xf>
    <xf numFmtId="0" fontId="13" fillId="0" borderId="0" xfId="0" applyFont="1" applyFill="1" applyBorder="1" applyAlignment="1" applyProtection="1">
      <alignment horizontal="left"/>
    </xf>
    <xf numFmtId="0" fontId="3" fillId="18" borderId="9" xfId="0" applyFont="1" applyFill="1" applyBorder="1" applyProtection="1"/>
    <xf numFmtId="44" fontId="3" fillId="18" borderId="8" xfId="0" applyNumberFormat="1" applyFont="1" applyFill="1" applyBorder="1" applyProtection="1"/>
    <xf numFmtId="0" fontId="10" fillId="0" borderId="0" xfId="0" applyFont="1" applyFill="1" applyBorder="1" applyProtection="1"/>
    <xf numFmtId="44" fontId="10" fillId="0" borderId="0" xfId="0" applyNumberFormat="1" applyFont="1" applyFill="1" applyBorder="1" applyProtection="1"/>
    <xf numFmtId="44" fontId="12" fillId="0" borderId="0" xfId="0" applyNumberFormat="1" applyFont="1" applyFill="1" applyBorder="1" applyProtection="1"/>
  </cellXfs>
  <cellStyles count="2">
    <cellStyle name="Comma" xfId="1" builtinId="3"/>
    <cellStyle name="Normal" xfId="0" builtinId="0"/>
  </cellStyles>
  <dxfs count="70">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numFmt numFmtId="35" formatCode="_(* #,##0.00_);_(* \(#,##0.00\);_(* &quot;-&quot;??_);_(@_)"/>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EAF1DD"/>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Reeya Randhawa" id="{35289A41-D87C-C644-9410-1FEB895EF276}" userId="S::reeyarandhawa@BERKELEY.EDU::ce95ec3b-487e-4fa4-8185-7dbb5bbd95a9"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eya Randhawa" refreshedDate="46205.522981018519" createdVersion="8" refreshedVersion="8" minRefreshableVersion="3" recordCount="1210" xr:uid="{C0506EFE-65D8-6147-A5D2-4FCAB9371B22}">
  <cacheSource type="worksheet">
    <worksheetSource ref="A8:CS1218" sheet="Raw Data"/>
  </cacheSource>
  <cacheFields count="100">
    <cacheField name="Territory" numFmtId="0">
      <sharedItems/>
    </cacheField>
    <cacheField name="Project Name" numFmtId="0">
      <sharedItems containsBlank="1"/>
    </cacheField>
    <cacheField name="Project Number" numFmtId="0">
      <sharedItems containsString="0" containsBlank="1" containsNumber="1" containsInteger="1" minValue="210784" maxValue="210784"/>
    </cacheField>
    <cacheField name="Work Phase" numFmtId="0">
      <sharedItems containsNonDate="0" containsString="0" containsBlank="1"/>
    </cacheField>
    <cacheField name="Type Of Building" numFmtId="0">
      <sharedItems containsBlank="1"/>
    </cacheField>
    <cacheField name="Udf_ProjectSquareFootage" numFmtId="0">
      <sharedItems containsString="0" containsBlank="1" containsNumber="1" containsInteger="1" minValue="368" maxValue="368"/>
    </cacheField>
    <cacheField name="Vendor" numFmtId="0">
      <sharedItems containsBlank="1"/>
    </cacheField>
    <cacheField name="Vendor Contact" numFmtId="0">
      <sharedItems containsBlank="1"/>
    </cacheField>
    <cacheField name="Facility" numFmtId="0">
      <sharedItems containsBlank="1"/>
    </cacheField>
    <cacheField name="Facility Address" numFmtId="0">
      <sharedItems containsBlank="1"/>
    </cacheField>
    <cacheField name="Container Number" numFmtId="0">
      <sharedItems containsNonDate="0" containsString="0" containsBlank="1"/>
    </cacheField>
    <cacheField name="Haul Date" numFmtId="0">
      <sharedItems containsBlank="1"/>
    </cacheField>
    <cacheField name="Month + Year" numFmtId="0">
      <sharedItems containsNonDate="0" containsDate="1" containsString="0" containsBlank="1" minDate="2022-11-01T00:00:00" maxDate="2026-06-02T00:00:00" count="42">
        <m/>
        <d v="2025-10-01T00:00:00"/>
        <d v="2025-06-01T00:00:00"/>
        <d v="2026-01-01T00:00:00"/>
        <d v="2026-02-01T00:00:00"/>
        <d v="2024-03-01T00:00:00"/>
        <d v="2024-02-01T00:00:00"/>
        <d v="2024-05-01T00:00:00"/>
        <d v="2025-07-01T00:00:00"/>
        <d v="2022-11-01T00:00:00"/>
        <d v="2023-04-01T00:00:00"/>
        <d v="2023-05-01T00:00:00"/>
        <d v="2023-06-01T00:00:00"/>
        <d v="2023-07-01T00:00:00"/>
        <d v="2023-08-01T00:00:00"/>
        <d v="2023-09-01T00:00:00"/>
        <d v="2023-10-01T00:00:00"/>
        <d v="2023-11-01T00:00:00"/>
        <d v="2023-12-01T00:00:00"/>
        <d v="2024-01-01T00:00:00"/>
        <d v="2024-06-01T00:00:00"/>
        <d v="2024-07-01T00:00:00"/>
        <d v="2024-08-01T00:00:00"/>
        <d v="2024-09-01T00:00:00"/>
        <d v="2024-10-01T00:00:00"/>
        <d v="2024-11-01T00:00:00"/>
        <d v="2024-12-01T00:00:00"/>
        <d v="2025-01-01T00:00:00"/>
        <d v="2025-02-01T00:00:00"/>
        <d v="2025-04-01T00:00:00"/>
        <d v="2025-05-01T00:00:00"/>
        <d v="2025-09-01T00:00:00"/>
        <d v="2025-12-01T00:00:00"/>
        <d v="2025-08-01T00:00:00"/>
        <d v="2026-03-01T00:00:00"/>
        <d v="2025-03-01T00:00:00"/>
        <d v="2025-11-01T00:00:00"/>
        <d v="2022-12-01T00:00:00"/>
        <d v="2024-04-01T00:00:00"/>
        <d v="2026-04-01T00:00:00"/>
        <d v="2026-05-01T00:00:00"/>
        <d v="2026-06-01T00:00:00"/>
      </sharedItems>
      <fieldGroup par="99"/>
    </cacheField>
    <cacheField name="Ticket Number" numFmtId="0">
      <sharedItems containsBlank="1" containsMixedTypes="1" containsNumber="1" minValue="0" maxValue="58444221"/>
    </cacheField>
    <cacheField name="Ticket Image" numFmtId="0">
      <sharedItems containsBlank="1"/>
    </cacheField>
    <cacheField name="Type" numFmtId="0">
      <sharedItems containsBlank="1"/>
    </cacheField>
    <cacheField name="Ticket Total Tons" numFmtId="0">
      <sharedItems containsString="0" containsBlank="1" containsNumber="1" minValue="1E-3" maxValue="67418.252899999759"/>
    </cacheField>
    <cacheField name="GM Diversion %" numFmtId="0">
      <sharedItems containsBlank="1" containsMixedTypes="1" containsNumber="1" minValue="0.92055215629672438" maxValue="0.92055215629672438"/>
    </cacheField>
    <cacheField name="GM Reused %" numFmtId="0">
      <sharedItems containsBlank="1" containsMixedTypes="1" containsNumber="1" containsInteger="1" minValue="0" maxValue="0"/>
    </cacheField>
    <cacheField name="GM Recycled %" numFmtId="0">
      <sharedItems containsBlank="1" containsMixedTypes="1" containsNumber="1" minValue="0.92055215629672438" maxValue="0.92055215629672438"/>
    </cacheField>
    <cacheField name="GM Disposed %" numFmtId="0">
      <sharedItems containsBlank="1" containsMixedTypes="1" containsNumber="1" minValue="7.9447843703275595E-2" maxValue="7.9447843703275595E-2"/>
    </cacheField>
    <cacheField name="GM Reused Tons" numFmtId="0">
      <sharedItems containsString="0" containsBlank="1" containsNumber="1" containsInteger="1" minValue="0" maxValue="0"/>
    </cacheField>
    <cacheField name="GM Recycled Tons" numFmtId="0">
      <sharedItems containsString="0" containsBlank="1" containsNumber="1" minValue="1E-3" maxValue="7578.9546"/>
    </cacheField>
    <cacheField name="GM Disposed Tons" numFmtId="0">
      <sharedItems containsString="0" containsBlank="1" containsNumber="1" minValue="1.3599999999999999E-2" maxValue="654.09829999999988"/>
    </cacheField>
    <cacheField name="GM Total Tons" numFmtId="0">
      <sharedItems containsString="0" containsBlank="1" containsNumber="1" minValue="1E-3" maxValue="8233.0529000000006"/>
    </cacheField>
    <cacheField name="Alternate Daily Cover (ADC)" numFmtId="0">
      <sharedItems containsString="0" containsBlank="1" containsNumber="1" minValue="2.5499999999999998E-2" maxValue="354.43390000000022"/>
    </cacheField>
    <cacheField name="Asphalt - Pavement &amp; Grinding" numFmtId="0">
      <sharedItems containsString="0" containsBlank="1" containsNumber="1" minValue="2.5" maxValue="380.42149999999992"/>
    </cacheField>
    <cacheField name="Cardboard &amp; Paper Products" numFmtId="0">
      <sharedItems containsString="0" containsBlank="1" containsNumber="1" minValue="0.11" maxValue="10.009"/>
    </cacheField>
    <cacheField name="Concrete" numFmtId="0">
      <sharedItems containsString="0" containsBlank="1" containsNumber="1" minValue="0.76" maxValue="4903.8496999999988"/>
    </cacheField>
    <cacheField name="Deconstructed &amp; Reuse Items" numFmtId="0">
      <sharedItems containsString="0" containsBlank="1" containsNumber="1" containsInteger="1" minValue="0" maxValue="0"/>
    </cacheField>
    <cacheField name="Drywall - Demo &amp; painted" numFmtId="0">
      <sharedItems containsString="0" containsBlank="1" containsNumber="1" minValue="1.66" maxValue="20.45"/>
    </cacheField>
    <cacheField name="Metal" numFmtId="0">
      <sharedItems containsString="0" containsBlank="1" containsNumber="1" minValue="1E-3" maxValue="244.36699999999999"/>
    </cacheField>
    <cacheField name="Mixed Recyclables" numFmtId="0">
      <sharedItems containsString="0" containsBlank="1" containsNumber="1" minValue="0.03" maxValue="302.32150000000001"/>
    </cacheField>
    <cacheField name="Plastics &amp; Plastic Packaging Materials" numFmtId="0">
      <sharedItems containsString="0" containsBlank="1" containsNumber="1" minValue="0.7" maxValue="3.6159999999999997"/>
    </cacheField>
    <cacheField name="Waste (Trash)" numFmtId="0">
      <sharedItems containsString="0" containsBlank="1" containsNumber="1" minValue="1.3599999999999999E-2" maxValue="288.34660000000008"/>
    </cacheField>
    <cacheField name="Appliances &amp; Equipment" numFmtId="0">
      <sharedItems containsString="0" containsBlank="1" containsNumber="1" containsInteger="1" minValue="0" maxValue="0"/>
    </cacheField>
    <cacheField name="Aritificial Grass/Synthetic Turf" numFmtId="0">
      <sharedItems containsString="0" containsBlank="1" containsNumber="1" containsInteger="1" minValue="0" maxValue="0"/>
    </cacheField>
    <cacheField name="Asphalt - Roofing" numFmtId="0">
      <sharedItems containsString="0" containsBlank="1" containsNumber="1" containsInteger="1" minValue="0" maxValue="0"/>
    </cacheField>
    <cacheField name="Bricks, Masonry &amp; Stone Products" numFmtId="0">
      <sharedItems containsString="0" containsBlank="1" containsNumber="1" containsInteger="1" minValue="0" maxValue="0"/>
    </cacheField>
    <cacheField name="Carpet &amp; Padding" numFmtId="0">
      <sharedItems containsString="0" containsBlank="1" containsNumber="1" containsInteger="1" minValue="0" maxValue="0"/>
    </cacheField>
    <cacheField name="Ceiling Tiles" numFmtId="0">
      <sharedItems containsString="0" containsBlank="1" containsNumber="1" containsInteger="1" minValue="0" maxValue="0"/>
    </cacheField>
    <cacheField name="Compost" numFmtId="0">
      <sharedItems containsString="0" containsBlank="1" containsNumber="1" minValue="0.375" maxValue="0.75"/>
    </cacheField>
    <cacheField name="Compostable Food Waste" numFmtId="0">
      <sharedItems containsString="0" containsBlank="1" containsNumber="1" containsInteger="1" minValue="0" maxValue="0"/>
    </cacheField>
    <cacheField name="Donated Food" numFmtId="0">
      <sharedItems containsString="0" containsBlank="1" containsNumber="1" containsInteger="1" minValue="0" maxValue="0"/>
    </cacheField>
    <cacheField name="Drywall - Clean/Unpainted" numFmtId="0">
      <sharedItems containsString="0" containsBlank="1" containsNumber="1" minValue="0.35" maxValue="939.56999999999948"/>
    </cacheField>
    <cacheField name="EPS Styrofoam" numFmtId="0">
      <sharedItems containsString="0" containsBlank="1" containsNumber="1" containsInteger="1" minValue="0" maxValue="0"/>
    </cacheField>
    <cacheField name="eWaste" numFmtId="0">
      <sharedItems containsString="0" containsBlank="1" containsNumber="1" containsInteger="1" minValue="0" maxValue="0"/>
    </cacheField>
    <cacheField name="Glass Bottles &amp; Containers" numFmtId="0">
      <sharedItems containsString="0" containsBlank="1" containsNumber="1" containsInteger="1" minValue="0" maxValue="0"/>
    </cacheField>
    <cacheField name="Glass Plate or Tempered" numFmtId="0">
      <sharedItems containsString="0" containsBlank="1" containsNumber="1" containsInteger="1" minValue="0" maxValue="0"/>
    </cacheField>
    <cacheField name="High-Density Polyethylene (HDPE)" numFmtId="0">
      <sharedItems containsString="0" containsBlank="1" containsNumber="1" containsInteger="1" minValue="0" maxValue="0"/>
    </cacheField>
    <cacheField name="Miscellaneous Debris" numFmtId="0">
      <sharedItems containsString="0" containsBlank="1" containsNumber="1" minValue="0.93840000000000001" maxValue="24.342600000000001"/>
    </cacheField>
    <cacheField name="Mixed Food Waste" numFmtId="0">
      <sharedItems containsString="0" containsBlank="1" containsNumber="1" containsInteger="1" minValue="0" maxValue="0"/>
    </cacheField>
    <cacheField name="Paint" numFmtId="0">
      <sharedItems containsString="0" containsBlank="1" containsNumber="1" containsInteger="1" minValue="0" maxValue="0"/>
    </cacheField>
    <cacheField name="Paint - oil based" numFmtId="0">
      <sharedItems containsString="0" containsBlank="1" containsNumber="1" containsInteger="1" minValue="0" maxValue="0"/>
    </cacheField>
    <cacheField name="Porcelain" numFmtId="0">
      <sharedItems containsString="0" containsBlank="1" containsNumber="1" containsInteger="1" minValue="0" maxValue="0"/>
    </cacheField>
    <cacheField name="Trash Sorted for Recovery" numFmtId="0">
      <sharedItems containsString="0" containsBlank="1" containsNumber="1" minValue="1.1020000000000001" maxValue="9.1001999999999992"/>
    </cacheField>
    <cacheField name="Wood - Clean" numFmtId="0">
      <sharedItems containsString="0" containsBlank="1" containsNumber="1" minValue="0.14000000000000001" maxValue="751.47489999999982"/>
    </cacheField>
    <cacheField name="Wood - Painted/Stained Recoverable" numFmtId="0">
      <sharedItems containsString="0" containsBlank="1" containsNumber="1" containsInteger="1" minValue="0" maxValue="0"/>
    </cacheField>
    <cacheField name="Wood - Pallets" numFmtId="0">
      <sharedItems containsString="0" containsBlank="1" containsNumber="1" containsInteger="1" minValue="0" maxValue="0"/>
    </cacheField>
    <cacheField name="EW Diversion %" numFmtId="0">
      <sharedItems containsBlank="1" containsMixedTypes="1" containsNumber="1" containsInteger="1" minValue="1" maxValue="1"/>
    </cacheField>
    <cacheField name="EW Reused %" numFmtId="0">
      <sharedItems containsBlank="1" containsMixedTypes="1" containsNumber="1" containsInteger="1" minValue="0" maxValue="0"/>
    </cacheField>
    <cacheField name="EW Recycled %" numFmtId="0">
      <sharedItems containsBlank="1" containsMixedTypes="1" containsNumber="1" containsInteger="1" minValue="1" maxValue="1"/>
    </cacheField>
    <cacheField name="EW Disposed %" numFmtId="0">
      <sharedItems containsBlank="1" containsMixedTypes="1" containsNumber="1" containsInteger="1" minValue="0" maxValue="0"/>
    </cacheField>
    <cacheField name="EW Reused Tons" numFmtId="0">
      <sharedItems containsString="0" containsBlank="1" containsNumber="1" containsInteger="1" minValue="0" maxValue="0"/>
    </cacheField>
    <cacheField name="EW Recycled Tons" numFmtId="0">
      <sharedItems containsString="0" containsBlank="1" containsNumber="1" minValue="6593.7" maxValue="59185.2"/>
    </cacheField>
    <cacheField name="EW Disposed Tons" numFmtId="0">
      <sharedItems containsString="0" containsBlank="1" containsNumber="1" containsInteger="1" minValue="0" maxValue="0"/>
    </cacheField>
    <cacheField name="EW Total Tons" numFmtId="0">
      <sharedItems containsString="0" containsBlank="1" containsNumber="1" minValue="6593.7" maxValue="59185.2"/>
    </cacheField>
    <cacheField name="Dirt/Soil-Clean Fill*" numFmtId="0">
      <sharedItems containsString="0" containsBlank="1" containsNumber="1" minValue="6593.7" maxValue="59185.2"/>
    </cacheField>
    <cacheField name="Green Waste*" numFmtId="0">
      <sharedItems containsString="0" containsBlank="1" containsNumber="1" containsInteger="1" minValue="0" maxValue="0"/>
    </cacheField>
    <cacheField name="Rock, Sand, Gravel &amp; other inerts*" numFmtId="0">
      <sharedItems containsString="0" containsBlank="1" containsNumber="1" containsInteger="1" minValue="0" maxValue="0"/>
    </cacheField>
    <cacheField name="Haz Diversion %" numFmtId="0">
      <sharedItems containsBlank="1" containsMixedTypes="1" containsNumber="1" containsInteger="1" minValue="0" maxValue="0"/>
    </cacheField>
    <cacheField name="Haz Reused %" numFmtId="0">
      <sharedItems containsBlank="1" containsMixedTypes="1" containsNumber="1" containsInteger="1" minValue="0" maxValue="0"/>
    </cacheField>
    <cacheField name="Haz Recycled %" numFmtId="0">
      <sharedItems containsBlank="1" containsMixedTypes="1" containsNumber="1" containsInteger="1" minValue="0" maxValue="0"/>
    </cacheField>
    <cacheField name="Haz Disposed %" numFmtId="0">
      <sharedItems containsBlank="1" containsMixedTypes="1" containsNumber="1" containsInteger="1" minValue="0" maxValue="0"/>
    </cacheField>
    <cacheField name="Haz Reused Tons" numFmtId="0">
      <sharedItems containsString="0" containsBlank="1" containsNumber="1" containsInteger="1" minValue="0" maxValue="0"/>
    </cacheField>
    <cacheField name="Haz Recycled Tons" numFmtId="0">
      <sharedItems containsString="0" containsBlank="1" containsNumber="1" containsInteger="1" minValue="0" maxValue="0"/>
    </cacheField>
    <cacheField name="Haz Disposed Tons" numFmtId="0">
      <sharedItems containsString="0" containsBlank="1" containsNumber="1" containsInteger="1" minValue="0" maxValue="0"/>
    </cacheField>
    <cacheField name="Haz Total Tons" numFmtId="0">
      <sharedItems containsString="0" containsBlank="1" containsNumber="1" containsInteger="1" minValue="0" maxValue="0"/>
    </cacheField>
    <cacheField name="Batteries*" numFmtId="0">
      <sharedItems containsString="0" containsBlank="1" containsNumber="1" containsInteger="1" minValue="0" maxValue="0"/>
    </cacheField>
    <cacheField name="Dirt/Soil-Contaminated Non-Hazardous*" numFmtId="0">
      <sharedItems containsString="0" containsBlank="1" containsNumber="1" containsInteger="1" minValue="0" maxValue="0"/>
    </cacheField>
    <cacheField name="Dirt/Soil-Contaminated, Hazardous*" numFmtId="0">
      <sharedItems containsString="0" containsBlank="1" containsNumber="1" containsInteger="1" minValue="0" maxValue="0"/>
    </cacheField>
    <cacheField name="Dirt/Soil-Hazardous*" numFmtId="0">
      <sharedItems containsString="0" containsBlank="1" containsNumber="1" containsInteger="1" minValue="0" maxValue="0"/>
    </cacheField>
    <cacheField name="Fluorescent Bulbs*" numFmtId="0">
      <sharedItems containsString="0" containsBlank="1" containsNumber="1" containsInteger="1" minValue="0" maxValue="0"/>
    </cacheField>
    <cacheField name="Materials Containing Asbestos*" numFmtId="0">
      <sharedItems containsString="0" containsBlank="1" containsNumber="1" containsInteger="1" minValue="0" maxValue="0"/>
    </cacheField>
    <cacheField name="Materials with Lead-Based Paint*" numFmtId="0">
      <sharedItems containsString="0" containsBlank="1" containsNumber="1" containsInteger="1" minValue="0" maxValue="0"/>
    </cacheField>
    <cacheField name="Other Hazardous Waste &amp; Materials*" numFmtId="0">
      <sharedItems containsString="0" containsBlank="1" containsNumber="1" containsInteger="1" minValue="0" maxValue="0"/>
    </cacheField>
    <cacheField name="PCBs - Polychlorinated Biphenyls*" numFmtId="0">
      <sharedItems containsString="0" containsBlank="1" containsNumber="1" containsInteger="1" minValue="0" maxValue="0"/>
    </cacheField>
    <cacheField name="Thermostats &amp; Mercury - Containing Equipment*" numFmtId="0">
      <sharedItems containsString="0" containsBlank="1" containsNumber="1" containsInteger="1" minValue="0" maxValue="0"/>
    </cacheField>
    <cacheField name="Universal Waste - Other*" numFmtId="0">
      <sharedItems containsString="0" containsBlank="1" containsNumber="1" containsInteger="1" minValue="0" maxValue="0"/>
    </cacheField>
    <cacheField name="Wood - Treated/Hazardous*" numFmtId="0">
      <sharedItems containsString="0" containsBlank="1" containsNumber="1" containsInteger="1" minValue="0" maxValue="0"/>
    </cacheField>
    <cacheField name="Hauler Comment" numFmtId="0">
      <sharedItems containsNonDate="0" containsString="0" containsBlank="1"/>
    </cacheField>
    <cacheField name="Submitted By" numFmtId="0">
      <sharedItems containsBlank="1"/>
    </cacheField>
    <cacheField name="Submitted Title" numFmtId="0">
      <sharedItems containsNonDate="0" containsString="0" containsBlank="1"/>
    </cacheField>
    <cacheField name="Submitted Date" numFmtId="0">
      <sharedItems containsBlank="1"/>
    </cacheField>
    <cacheField name="Verified by" numFmtId="0">
      <sharedItems containsBlank="1"/>
    </cacheField>
    <cacheField name="Verified Date" numFmtId="0">
      <sharedItems containsNonDate="0" containsString="0" containsBlank="1"/>
    </cacheField>
    <cacheField name="Review Comment" numFmtId="0">
      <sharedItems containsNonDate="0" containsString="0" containsBlank="1"/>
    </cacheField>
    <cacheField name="Months (Month + Year)" numFmtId="0" databaseField="0">
      <fieldGroup base="12">
        <rangePr groupBy="months" startDate="2022-11-01T00:00:00" endDate="2026-06-02T00:00:00"/>
        <groupItems count="14">
          <s v="&lt;11/1/22"/>
          <s v="Jan"/>
          <s v="Feb"/>
          <s v="Mar"/>
          <s v="Apr"/>
          <s v="May"/>
          <s v="Jun"/>
          <s v="Jul"/>
          <s v="Aug"/>
          <s v="Sep"/>
          <s v="Oct"/>
          <s v="Nov"/>
          <s v="Dec"/>
          <s v="&gt;6/2/26"/>
        </groupItems>
      </fieldGroup>
    </cacheField>
    <cacheField name="Quarters (Month + Year)" numFmtId="0" databaseField="0">
      <fieldGroup base="12">
        <rangePr groupBy="quarters" startDate="2022-11-01T00:00:00" endDate="2026-06-02T00:00:00"/>
        <groupItems count="6">
          <s v="&lt;11/1/22"/>
          <s v="Qtr1"/>
          <s v="Qtr2"/>
          <s v="Qtr3"/>
          <s v="Qtr4"/>
          <s v="&gt;6/2/26"/>
        </groupItems>
      </fieldGroup>
    </cacheField>
    <cacheField name="Years (Month + Year)" numFmtId="0" databaseField="0">
      <fieldGroup base="12">
        <rangePr groupBy="years" startDate="2022-11-01T00:00:00" endDate="2026-06-02T00:00:00"/>
        <groupItems count="7">
          <s v="&lt;11/1/22"/>
          <s v="2022"/>
          <s v="2023"/>
          <s v="2024"/>
          <s v="2025"/>
          <s v="2026"/>
          <s v="&gt;6/2/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10">
  <r>
    <s v="Grand Totals WO Hazardous (LEED)"/>
    <s v="Total Records: 1207"/>
    <m/>
    <m/>
    <m/>
    <m/>
    <m/>
    <m/>
    <m/>
    <m/>
    <m/>
    <s v="11/04/2022 - 06/12/2026"/>
    <x v="0"/>
    <m/>
    <m/>
    <m/>
    <n v="67418.252899999759"/>
    <n v="0.92055215629672438"/>
    <n v="0"/>
    <n v="0.92055215629672438"/>
    <n v="7.9447843703275595E-2"/>
    <n v="0"/>
    <n v="7578.9546"/>
    <n v="654.09829999999988"/>
    <n v="8233.0529000000006"/>
    <n v="354.43390000000022"/>
    <n v="380.42149999999992"/>
    <n v="10.009"/>
    <n v="4903.8496999999988"/>
    <n v="0"/>
    <n v="20.45"/>
    <n v="244.36699999999999"/>
    <n v="302.32150000000001"/>
    <n v="3.6159999999999997"/>
    <n v="288.34660000000008"/>
    <n v="0"/>
    <n v="0"/>
    <n v="0"/>
    <n v="0"/>
    <n v="0"/>
    <n v="0"/>
    <n v="0.75"/>
    <n v="0"/>
    <n v="0"/>
    <n v="939.56999999999948"/>
    <n v="0"/>
    <n v="0"/>
    <n v="0"/>
    <n v="0"/>
    <n v="0"/>
    <n v="24.342600000000001"/>
    <n v="0"/>
    <n v="0"/>
    <n v="0"/>
    <n v="0"/>
    <n v="9.1001999999999992"/>
    <n v="751.47489999999982"/>
    <n v="0"/>
    <n v="0"/>
    <n v="1"/>
    <n v="0"/>
    <n v="1"/>
    <n v="0"/>
    <n v="0"/>
    <n v="59185.2"/>
    <n v="0"/>
    <n v="59185.2"/>
    <n v="59185.2"/>
    <n v="0"/>
    <n v="0"/>
    <n v="0"/>
    <n v="0"/>
    <n v="0"/>
    <n v="0"/>
    <n v="0"/>
    <n v="0"/>
    <n v="0"/>
    <n v="0"/>
    <n v="0"/>
    <n v="0"/>
    <n v="0"/>
    <n v="0"/>
    <n v="0"/>
    <n v="0"/>
    <n v="0"/>
    <n v="0"/>
    <n v="0"/>
    <n v="0"/>
    <n v="0"/>
    <n v="0"/>
    <m/>
    <m/>
    <m/>
    <m/>
    <m/>
    <m/>
    <m/>
  </r>
  <r>
    <s v="All Material Totals Filtered"/>
    <m/>
    <m/>
    <m/>
    <m/>
    <m/>
    <m/>
    <m/>
    <m/>
    <m/>
    <m/>
    <m/>
    <x v="0"/>
    <m/>
    <m/>
    <m/>
    <m/>
    <m/>
    <m/>
    <m/>
    <m/>
    <m/>
    <m/>
    <m/>
    <m/>
    <m/>
    <m/>
    <m/>
    <m/>
    <m/>
    <m/>
    <m/>
    <m/>
    <m/>
    <m/>
    <m/>
    <m/>
    <m/>
    <m/>
    <m/>
    <m/>
    <m/>
    <m/>
    <m/>
    <m/>
    <m/>
    <m/>
    <m/>
    <m/>
    <m/>
    <m/>
    <m/>
    <m/>
    <m/>
    <m/>
    <m/>
    <m/>
    <m/>
    <m/>
    <m/>
    <m/>
    <m/>
    <m/>
    <m/>
    <m/>
    <m/>
    <m/>
    <m/>
    <m/>
    <m/>
    <m/>
    <m/>
    <m/>
    <m/>
    <m/>
    <m/>
    <m/>
    <m/>
    <m/>
    <m/>
    <m/>
    <m/>
    <m/>
    <m/>
    <m/>
    <m/>
    <m/>
    <m/>
    <m/>
    <m/>
    <m/>
    <m/>
    <m/>
    <m/>
    <m/>
    <m/>
    <m/>
  </r>
  <r>
    <s v="Oakland/San Francisco/San Jose"/>
    <s v="UCB Gateway"/>
    <n v="210784"/>
    <m/>
    <s v="Higher Education | Laboratory / Research | 005 | 004"/>
    <n v="368"/>
    <s v="Carone and Company Inc "/>
    <s v="Grant Carone"/>
    <s v="Diablo Valley Rock"/>
    <s v="925 Watrebird Way, Martinez, CA 94553"/>
    <m/>
    <s v="10/31/2025"/>
    <x v="1"/>
    <n v="135606"/>
    <s v="Click Here To View"/>
    <s v="Demolition"/>
    <n v="14.09"/>
    <s v="100.00%"/>
    <s v="0.00%"/>
    <s v="100.00%"/>
    <s v="0.00%"/>
    <m/>
    <n v="14.09"/>
    <m/>
    <n v="14.09"/>
    <m/>
    <n v="14.09"/>
    <m/>
    <m/>
    <m/>
    <m/>
    <m/>
    <m/>
    <m/>
    <m/>
    <m/>
    <m/>
    <m/>
    <m/>
    <m/>
    <m/>
    <m/>
    <m/>
    <m/>
    <m/>
    <m/>
    <m/>
    <m/>
    <m/>
    <m/>
    <m/>
    <m/>
    <m/>
    <m/>
    <m/>
    <m/>
    <m/>
    <m/>
    <m/>
    <s v="0.00%"/>
    <s v="0.00%"/>
    <s v="0.00%"/>
    <s v="0.00%"/>
    <m/>
    <m/>
    <m/>
    <m/>
    <m/>
    <m/>
    <m/>
    <s v="0.00%"/>
    <s v="0.00%"/>
    <s v="0.00%"/>
    <s v="0.00%"/>
    <m/>
    <m/>
    <m/>
    <m/>
    <m/>
    <m/>
    <m/>
    <m/>
    <m/>
    <m/>
    <m/>
    <m/>
    <m/>
    <m/>
    <m/>
    <m/>
    <m/>
    <s v="Heather Mello"/>
    <m/>
    <s v="12/18/2025"/>
    <s v="Heather Mello"/>
    <m/>
    <m/>
  </r>
  <r>
    <s v="Oakland/San Francisco/San Jose"/>
    <s v="UCB Gateway"/>
    <n v="210784"/>
    <m/>
    <s v="Higher Education | Laboratory / Research | 005 | 004"/>
    <n v="368"/>
    <s v="Carone and Company Inc "/>
    <s v="Grant Carone"/>
    <s v="Diablo Valley Rock"/>
    <s v="925 Watrebird Way, Martinez, CA 94553"/>
    <m/>
    <s v="06/06/2025"/>
    <x v="2"/>
    <n v="132637"/>
    <s v="Click Here To View"/>
    <s v="Demolition"/>
    <n v="17.420000000000002"/>
    <s v="100.00%"/>
    <s v="0.00%"/>
    <s v="100.00%"/>
    <s v="0.00%"/>
    <m/>
    <n v="17.420000000000002"/>
    <m/>
    <n v="17.420000000000002"/>
    <m/>
    <n v="17.420000000000002"/>
    <m/>
    <m/>
    <m/>
    <m/>
    <m/>
    <m/>
    <m/>
    <m/>
    <m/>
    <m/>
    <m/>
    <m/>
    <m/>
    <m/>
    <m/>
    <m/>
    <m/>
    <m/>
    <m/>
    <m/>
    <m/>
    <m/>
    <m/>
    <m/>
    <m/>
    <m/>
    <m/>
    <m/>
    <m/>
    <m/>
    <m/>
    <m/>
    <s v="0.00%"/>
    <s v="0.00%"/>
    <s v="0.00%"/>
    <s v="0.00%"/>
    <m/>
    <m/>
    <m/>
    <m/>
    <m/>
    <m/>
    <m/>
    <s v="0.00%"/>
    <s v="0.00%"/>
    <s v="0.00%"/>
    <s v="0.00%"/>
    <m/>
    <m/>
    <m/>
    <m/>
    <m/>
    <m/>
    <m/>
    <m/>
    <m/>
    <m/>
    <m/>
    <m/>
    <m/>
    <m/>
    <m/>
    <m/>
    <m/>
    <s v="Heather Mello"/>
    <m/>
    <s v="12/18/2025"/>
    <s v="Heather Mello"/>
    <m/>
    <m/>
  </r>
  <r>
    <s v="Oakland/San Francisco/San Jose"/>
    <s v="UCB Gateway"/>
    <n v="210784"/>
    <m/>
    <s v="Higher Education | Laboratory / Research | 005 | 004"/>
    <n v="368"/>
    <s v="Carone and Company Inc "/>
    <s v="Grant Carone"/>
    <s v="Diablo Valley Rock"/>
    <s v="925 Watrebird Way, Martinez, CA 94553"/>
    <m/>
    <s v="06/06/2025"/>
    <x v="2"/>
    <n v="132650"/>
    <s v="Click Here To View"/>
    <s v="Demolition"/>
    <n v="11.99"/>
    <s v="100.00%"/>
    <s v="0.00%"/>
    <s v="100.00%"/>
    <s v="0.00%"/>
    <m/>
    <n v="11.99"/>
    <m/>
    <n v="11.99"/>
    <m/>
    <n v="11.99"/>
    <m/>
    <m/>
    <m/>
    <m/>
    <m/>
    <m/>
    <m/>
    <m/>
    <m/>
    <m/>
    <m/>
    <m/>
    <m/>
    <m/>
    <m/>
    <m/>
    <m/>
    <m/>
    <m/>
    <m/>
    <m/>
    <m/>
    <m/>
    <m/>
    <m/>
    <m/>
    <m/>
    <m/>
    <m/>
    <m/>
    <m/>
    <m/>
    <s v="0.00%"/>
    <s v="0.00%"/>
    <s v="0.00%"/>
    <s v="0.00%"/>
    <m/>
    <m/>
    <m/>
    <m/>
    <m/>
    <m/>
    <m/>
    <s v="0.00%"/>
    <s v="0.00%"/>
    <s v="0.00%"/>
    <s v="0.00%"/>
    <m/>
    <m/>
    <m/>
    <m/>
    <m/>
    <m/>
    <m/>
    <m/>
    <m/>
    <m/>
    <m/>
    <m/>
    <m/>
    <m/>
    <m/>
    <m/>
    <m/>
    <s v="Heather Mello"/>
    <m/>
    <s v="12/18/2025"/>
    <s v="Heather Mello"/>
    <m/>
    <m/>
  </r>
  <r>
    <s v="Oakland/San Francisco/San Jose"/>
    <s v="UCB Gateway"/>
    <n v="210784"/>
    <m/>
    <s v="Higher Education | Laboratory / Research | 005 | 004"/>
    <n v="368"/>
    <s v="Carone and Company Inc "/>
    <s v="Grant Carone"/>
    <s v="Argent Materials Inc."/>
    <s v="8501 San Leandro St, Oakland, CA 94621"/>
    <m/>
    <s v="01/09/2026"/>
    <x v="3"/>
    <n v="7349991"/>
    <s v="Click Here To View"/>
    <s v="Demolition"/>
    <n v="16.59"/>
    <s v="100.00%"/>
    <s v="0.00%"/>
    <s v="100.00%"/>
    <s v="0.00%"/>
    <m/>
    <n v="16.59"/>
    <m/>
    <n v="16.59"/>
    <m/>
    <n v="16.59"/>
    <m/>
    <m/>
    <m/>
    <m/>
    <m/>
    <m/>
    <m/>
    <m/>
    <m/>
    <m/>
    <m/>
    <m/>
    <m/>
    <m/>
    <m/>
    <m/>
    <m/>
    <m/>
    <m/>
    <m/>
    <m/>
    <m/>
    <m/>
    <m/>
    <m/>
    <m/>
    <m/>
    <m/>
    <m/>
    <m/>
    <m/>
    <m/>
    <s v="0.00%"/>
    <s v="0.00%"/>
    <s v="0.00%"/>
    <s v="0.00%"/>
    <m/>
    <m/>
    <m/>
    <m/>
    <m/>
    <m/>
    <m/>
    <s v="0.00%"/>
    <s v="0.00%"/>
    <s v="0.00%"/>
    <s v="0.00%"/>
    <m/>
    <m/>
    <m/>
    <m/>
    <m/>
    <m/>
    <m/>
    <m/>
    <m/>
    <m/>
    <m/>
    <m/>
    <m/>
    <m/>
    <m/>
    <m/>
    <m/>
    <s v="Grant Carone"/>
    <m/>
    <s v="01/16/2026"/>
    <s v="Grant Carone"/>
    <m/>
    <m/>
  </r>
  <r>
    <s v="Oakland/San Francisco/San Jose"/>
    <s v="UCB Gateway"/>
    <n v="210784"/>
    <m/>
    <s v="Higher Education | Laboratory / Research | 005 | 004"/>
    <n v="368"/>
    <s v="Carone and Company Inc "/>
    <s v="Grant Carone"/>
    <s v="Argent Materials Inc."/>
    <s v="8501 San Leandro St, Oakland, CA 94621"/>
    <m/>
    <s v="01/09/2026"/>
    <x v="3"/>
    <n v="7349999"/>
    <s v="Click Here To View"/>
    <s v="Demolition"/>
    <n v="18.82"/>
    <s v="100.00%"/>
    <s v="0.00%"/>
    <s v="100.00%"/>
    <s v="0.00%"/>
    <m/>
    <n v="18.82"/>
    <m/>
    <n v="18.82"/>
    <m/>
    <n v="18.82"/>
    <m/>
    <m/>
    <m/>
    <m/>
    <m/>
    <m/>
    <m/>
    <m/>
    <m/>
    <m/>
    <m/>
    <m/>
    <m/>
    <m/>
    <m/>
    <m/>
    <m/>
    <m/>
    <m/>
    <m/>
    <m/>
    <m/>
    <m/>
    <m/>
    <m/>
    <m/>
    <m/>
    <m/>
    <m/>
    <m/>
    <m/>
    <m/>
    <s v="0.00%"/>
    <s v="0.00%"/>
    <s v="0.00%"/>
    <s v="0.00%"/>
    <m/>
    <m/>
    <m/>
    <m/>
    <m/>
    <m/>
    <m/>
    <s v="0.00%"/>
    <s v="0.00%"/>
    <s v="0.00%"/>
    <s v="0.00%"/>
    <m/>
    <m/>
    <m/>
    <m/>
    <m/>
    <m/>
    <m/>
    <m/>
    <m/>
    <m/>
    <m/>
    <m/>
    <m/>
    <m/>
    <m/>
    <m/>
    <m/>
    <s v="Grant Carone"/>
    <m/>
    <s v="01/16/2026"/>
    <s v="Grant Carone"/>
    <m/>
    <m/>
  </r>
  <r>
    <s v="Oakland/San Francisco/San Jose"/>
    <s v="UCB Gateway"/>
    <n v="210784"/>
    <m/>
    <s v="Higher Education | Laboratory / Research | 005 | 004"/>
    <n v="368"/>
    <s v="Carone and Company Inc "/>
    <s v="Grant Carone"/>
    <s v="Argent Materials Inc."/>
    <s v="8501 San Leandro St, Oakland, CA 94621"/>
    <m/>
    <s v="01/09/2026"/>
    <x v="3"/>
    <n v="7350062"/>
    <s v="Click Here To View"/>
    <s v="Demolition"/>
    <n v="17.190000000000001"/>
    <s v="100.00%"/>
    <s v="0.00%"/>
    <s v="100.00%"/>
    <s v="0.00%"/>
    <m/>
    <n v="17.190000000000001"/>
    <m/>
    <n v="17.190000000000001"/>
    <m/>
    <n v="17.190000000000001"/>
    <m/>
    <m/>
    <m/>
    <m/>
    <m/>
    <m/>
    <m/>
    <m/>
    <m/>
    <m/>
    <m/>
    <m/>
    <m/>
    <m/>
    <m/>
    <m/>
    <m/>
    <m/>
    <m/>
    <m/>
    <m/>
    <m/>
    <m/>
    <m/>
    <m/>
    <m/>
    <m/>
    <m/>
    <m/>
    <m/>
    <m/>
    <m/>
    <s v="0.00%"/>
    <s v="0.00%"/>
    <s v="0.00%"/>
    <s v="0.00%"/>
    <m/>
    <m/>
    <m/>
    <m/>
    <m/>
    <m/>
    <m/>
    <s v="0.00%"/>
    <s v="0.00%"/>
    <s v="0.00%"/>
    <s v="0.00%"/>
    <m/>
    <m/>
    <m/>
    <m/>
    <m/>
    <m/>
    <m/>
    <m/>
    <m/>
    <m/>
    <m/>
    <m/>
    <m/>
    <m/>
    <m/>
    <m/>
    <m/>
    <s v="Grant Carone"/>
    <m/>
    <s v="01/16/2026"/>
    <s v="Grant Carone"/>
    <m/>
    <m/>
  </r>
  <r>
    <s v="Oakland/San Francisco/San Jose"/>
    <s v="UCB Gateway"/>
    <n v="210784"/>
    <m/>
    <s v="Higher Education | Laboratory / Research | 005 | 004"/>
    <n v="368"/>
    <s v="Carone and Company Inc "/>
    <s v="Grant Carone"/>
    <s v="Argent Materials Inc."/>
    <s v="8501 San Leandro St, Oakland, CA 94621"/>
    <m/>
    <s v="01/09/2026"/>
    <x v="3"/>
    <n v="7350115"/>
    <s v="Click Here To View"/>
    <s v="Demolition"/>
    <n v="17.22"/>
    <s v="100.00%"/>
    <s v="0.00%"/>
    <s v="100.00%"/>
    <s v="0.00%"/>
    <m/>
    <n v="17.22"/>
    <m/>
    <n v="17.22"/>
    <m/>
    <n v="17.22"/>
    <m/>
    <m/>
    <m/>
    <m/>
    <m/>
    <m/>
    <m/>
    <m/>
    <m/>
    <m/>
    <m/>
    <m/>
    <m/>
    <m/>
    <m/>
    <m/>
    <m/>
    <m/>
    <m/>
    <m/>
    <m/>
    <m/>
    <m/>
    <m/>
    <m/>
    <m/>
    <m/>
    <m/>
    <m/>
    <m/>
    <m/>
    <m/>
    <s v="0.00%"/>
    <s v="0.00%"/>
    <s v="0.00%"/>
    <s v="0.00%"/>
    <m/>
    <m/>
    <m/>
    <m/>
    <m/>
    <m/>
    <m/>
    <s v="0.00%"/>
    <s v="0.00%"/>
    <s v="0.00%"/>
    <s v="0.00%"/>
    <m/>
    <m/>
    <m/>
    <m/>
    <m/>
    <m/>
    <m/>
    <m/>
    <m/>
    <m/>
    <m/>
    <m/>
    <m/>
    <m/>
    <m/>
    <m/>
    <m/>
    <s v="Grant Carone"/>
    <m/>
    <s v="01/16/2026"/>
    <s v="Grant Carone"/>
    <m/>
    <m/>
  </r>
  <r>
    <s v="Oakland/San Francisco/San Jose"/>
    <s v="UCB Gateway"/>
    <n v="210784"/>
    <m/>
    <s v="Higher Education | Laboratory / Research | 005 | 004"/>
    <n v="368"/>
    <s v="Carone and Company Inc "/>
    <s v="Grant Carone"/>
    <s v="Argent Materials Inc."/>
    <s v="8501 San Leandro St, Oakland, CA 94621"/>
    <m/>
    <s v="01/09/2026"/>
    <x v="3"/>
    <n v="7350129"/>
    <s v="Click Here To View"/>
    <s v="Demolition"/>
    <n v="16.32"/>
    <s v="100.00%"/>
    <s v="0.00%"/>
    <s v="100.00%"/>
    <s v="0.00%"/>
    <m/>
    <n v="16.32"/>
    <m/>
    <n v="16.32"/>
    <m/>
    <n v="16.32"/>
    <m/>
    <m/>
    <m/>
    <m/>
    <m/>
    <m/>
    <m/>
    <m/>
    <m/>
    <m/>
    <m/>
    <m/>
    <m/>
    <m/>
    <m/>
    <m/>
    <m/>
    <m/>
    <m/>
    <m/>
    <m/>
    <m/>
    <m/>
    <m/>
    <m/>
    <m/>
    <m/>
    <m/>
    <m/>
    <m/>
    <m/>
    <m/>
    <s v="0.00%"/>
    <s v="0.00%"/>
    <s v="0.00%"/>
    <s v="0.00%"/>
    <m/>
    <m/>
    <m/>
    <m/>
    <m/>
    <m/>
    <m/>
    <s v="0.00%"/>
    <s v="0.00%"/>
    <s v="0.00%"/>
    <s v="0.00%"/>
    <m/>
    <m/>
    <m/>
    <m/>
    <m/>
    <m/>
    <m/>
    <m/>
    <m/>
    <m/>
    <m/>
    <m/>
    <m/>
    <m/>
    <m/>
    <m/>
    <m/>
    <s v="Grant Carone"/>
    <m/>
    <s v="01/16/2026"/>
    <s v="Grant Carone"/>
    <m/>
    <m/>
  </r>
  <r>
    <s v="Oakland/San Francisco/San Jose"/>
    <s v="UCB Gateway"/>
    <n v="210784"/>
    <m/>
    <s v="Higher Education | Laboratory / Research | 005 | 004"/>
    <n v="368"/>
    <s v="Carone and Company Inc "/>
    <s v="Grant Carone"/>
    <s v="Argent Materials Inc."/>
    <s v="8501 San Leandro St, Oakland, CA 94621"/>
    <m/>
    <s v="01/09/2026"/>
    <x v="3"/>
    <n v="7350166"/>
    <s v="Click Here To View"/>
    <s v="Demolition"/>
    <n v="18.05"/>
    <s v="100.00%"/>
    <s v="0.00%"/>
    <s v="100.00%"/>
    <s v="0.00%"/>
    <m/>
    <n v="18.05"/>
    <m/>
    <n v="18.05"/>
    <m/>
    <n v="18.05"/>
    <m/>
    <m/>
    <m/>
    <m/>
    <m/>
    <m/>
    <m/>
    <m/>
    <m/>
    <m/>
    <m/>
    <m/>
    <m/>
    <m/>
    <m/>
    <m/>
    <m/>
    <m/>
    <m/>
    <m/>
    <m/>
    <m/>
    <m/>
    <m/>
    <m/>
    <m/>
    <m/>
    <m/>
    <m/>
    <m/>
    <m/>
    <m/>
    <s v="0.00%"/>
    <s v="0.00%"/>
    <s v="0.00%"/>
    <s v="0.00%"/>
    <m/>
    <m/>
    <m/>
    <m/>
    <m/>
    <m/>
    <m/>
    <s v="0.00%"/>
    <s v="0.00%"/>
    <s v="0.00%"/>
    <s v="0.00%"/>
    <m/>
    <m/>
    <m/>
    <m/>
    <m/>
    <m/>
    <m/>
    <m/>
    <m/>
    <m/>
    <m/>
    <m/>
    <m/>
    <m/>
    <m/>
    <m/>
    <m/>
    <s v="Grant Carone"/>
    <m/>
    <s v="01/16/2026"/>
    <s v="Grant Carone"/>
    <m/>
    <m/>
  </r>
  <r>
    <s v="Oakland/San Francisco/San Jose"/>
    <s v="UCB Gateway"/>
    <n v="210784"/>
    <m/>
    <s v="Higher Education | Laboratory / Research | 005 | 004"/>
    <n v="368"/>
    <s v="Carone and Company Inc "/>
    <s v="Grant Carone"/>
    <s v="Argent Materials Inc."/>
    <s v="8501 San Leandro St, Oakland, CA 94621"/>
    <m/>
    <s v="01/09/2026"/>
    <x v="3"/>
    <n v="7350178"/>
    <s v="Click Here To View"/>
    <s v="Demolition"/>
    <n v="15.54"/>
    <s v="100.00%"/>
    <s v="0.00%"/>
    <s v="100.00%"/>
    <s v="0.00%"/>
    <m/>
    <n v="15.54"/>
    <m/>
    <n v="15.54"/>
    <m/>
    <n v="15.54"/>
    <m/>
    <m/>
    <m/>
    <m/>
    <m/>
    <m/>
    <m/>
    <m/>
    <m/>
    <m/>
    <m/>
    <m/>
    <m/>
    <m/>
    <m/>
    <m/>
    <m/>
    <m/>
    <m/>
    <m/>
    <m/>
    <m/>
    <m/>
    <m/>
    <m/>
    <m/>
    <m/>
    <m/>
    <m/>
    <m/>
    <m/>
    <m/>
    <s v="0.00%"/>
    <s v="0.00%"/>
    <s v="0.00%"/>
    <s v="0.00%"/>
    <m/>
    <m/>
    <m/>
    <m/>
    <m/>
    <m/>
    <m/>
    <s v="0.00%"/>
    <s v="0.00%"/>
    <s v="0.00%"/>
    <s v="0.00%"/>
    <m/>
    <m/>
    <m/>
    <m/>
    <m/>
    <m/>
    <m/>
    <m/>
    <m/>
    <m/>
    <m/>
    <m/>
    <m/>
    <m/>
    <m/>
    <m/>
    <m/>
    <s v="Grant Carone"/>
    <m/>
    <s v="01/16/2026"/>
    <s v="Grant Carone"/>
    <m/>
    <m/>
  </r>
  <r>
    <s v="Oakland/San Francisco/San Jose"/>
    <s v="UCB Gateway"/>
    <n v="210784"/>
    <m/>
    <s v="Higher Education | Laboratory / Research | 005 | 004"/>
    <n v="368"/>
    <s v="Carone and Company Inc "/>
    <s v="Grant Carone"/>
    <s v="Diablo Valley Rock"/>
    <s v="925 Watrebird Way, Martinez, CA 94553"/>
    <m/>
    <s v="01/08/2026"/>
    <x v="3"/>
    <n v="136655"/>
    <s v="Click Here To View"/>
    <s v="Demolition"/>
    <n v="14.75"/>
    <s v="100.00%"/>
    <s v="0.00%"/>
    <s v="100.00%"/>
    <s v="0.00%"/>
    <m/>
    <n v="14.75"/>
    <m/>
    <n v="14.75"/>
    <m/>
    <n v="14.75"/>
    <m/>
    <m/>
    <m/>
    <m/>
    <m/>
    <m/>
    <m/>
    <m/>
    <m/>
    <m/>
    <m/>
    <m/>
    <m/>
    <m/>
    <m/>
    <m/>
    <m/>
    <m/>
    <m/>
    <m/>
    <m/>
    <m/>
    <m/>
    <m/>
    <m/>
    <m/>
    <m/>
    <m/>
    <m/>
    <m/>
    <m/>
    <m/>
    <s v="0.00%"/>
    <s v="0.00%"/>
    <s v="0.00%"/>
    <s v="0.00%"/>
    <m/>
    <m/>
    <m/>
    <m/>
    <m/>
    <m/>
    <m/>
    <s v="0.00%"/>
    <s v="0.00%"/>
    <s v="0.00%"/>
    <s v="0.00%"/>
    <m/>
    <m/>
    <m/>
    <m/>
    <m/>
    <m/>
    <m/>
    <m/>
    <m/>
    <m/>
    <m/>
    <m/>
    <m/>
    <m/>
    <m/>
    <m/>
    <m/>
    <s v="Grant Carone"/>
    <m/>
    <s v="01/16/2026"/>
    <s v="Grant Carone"/>
    <m/>
    <m/>
  </r>
  <r>
    <s v="Oakland/San Francisco/San Jose"/>
    <s v="UCB Gateway"/>
    <n v="210784"/>
    <m/>
    <s v="Higher Education | Laboratory / Research | 005 | 004"/>
    <n v="368"/>
    <s v="Carone and Company Inc "/>
    <s v="Grant Carone"/>
    <s v="Argent Materials Inc."/>
    <s v="8501 San Leandro St, Oakland, CA 94621"/>
    <m/>
    <s v="01/10/2026"/>
    <x v="3"/>
    <n v="7350217"/>
    <s v="Click Here To View"/>
    <s v="Demolition"/>
    <n v="16.420000000000002"/>
    <s v="100.00%"/>
    <s v="0.00%"/>
    <s v="100.00%"/>
    <s v="0.00%"/>
    <m/>
    <n v="16.420000000000002"/>
    <m/>
    <n v="16.420000000000002"/>
    <m/>
    <n v="16.420000000000002"/>
    <m/>
    <m/>
    <m/>
    <m/>
    <m/>
    <m/>
    <m/>
    <m/>
    <m/>
    <m/>
    <m/>
    <m/>
    <m/>
    <m/>
    <m/>
    <m/>
    <m/>
    <m/>
    <m/>
    <m/>
    <m/>
    <m/>
    <m/>
    <m/>
    <m/>
    <m/>
    <m/>
    <m/>
    <m/>
    <m/>
    <m/>
    <m/>
    <s v="0.00%"/>
    <s v="0.00%"/>
    <s v="0.00%"/>
    <s v="0.00%"/>
    <m/>
    <m/>
    <m/>
    <m/>
    <m/>
    <m/>
    <m/>
    <s v="0.00%"/>
    <s v="0.00%"/>
    <s v="0.00%"/>
    <s v="0.00%"/>
    <m/>
    <m/>
    <m/>
    <m/>
    <m/>
    <m/>
    <m/>
    <m/>
    <m/>
    <m/>
    <m/>
    <m/>
    <m/>
    <m/>
    <m/>
    <m/>
    <m/>
    <s v="Heather Mello"/>
    <m/>
    <s v="02/27/2026"/>
    <s v="Heather Mello"/>
    <m/>
    <m/>
  </r>
  <r>
    <s v="Oakland/San Francisco/San Jose"/>
    <s v="UCB Gateway"/>
    <n v="210784"/>
    <m/>
    <s v="Higher Education | Laboratory / Research | 005 | 004"/>
    <n v="368"/>
    <s v="Carone and Company Inc "/>
    <s v="Grant Carone"/>
    <s v="Diablo Valley Rock"/>
    <s v="925 Watrebird Way, Martinez, CA 94553"/>
    <m/>
    <s v="01/19/2026"/>
    <x v="3"/>
    <n v="136807"/>
    <s v="Click Here To View"/>
    <s v="Demolition"/>
    <n v="20.77"/>
    <s v="100.00%"/>
    <s v="0.00%"/>
    <s v="100.00%"/>
    <s v="0.00%"/>
    <m/>
    <n v="20.77"/>
    <m/>
    <n v="20.77"/>
    <m/>
    <n v="20.77"/>
    <m/>
    <m/>
    <m/>
    <m/>
    <m/>
    <m/>
    <m/>
    <m/>
    <m/>
    <m/>
    <m/>
    <m/>
    <m/>
    <m/>
    <m/>
    <m/>
    <m/>
    <m/>
    <m/>
    <m/>
    <m/>
    <m/>
    <m/>
    <m/>
    <m/>
    <m/>
    <m/>
    <m/>
    <m/>
    <m/>
    <m/>
    <m/>
    <s v="0.00%"/>
    <s v="0.00%"/>
    <s v="0.00%"/>
    <s v="0.00%"/>
    <m/>
    <m/>
    <m/>
    <m/>
    <m/>
    <m/>
    <m/>
    <s v="0.00%"/>
    <s v="0.00%"/>
    <s v="0.00%"/>
    <s v="0.00%"/>
    <m/>
    <m/>
    <m/>
    <m/>
    <m/>
    <m/>
    <m/>
    <m/>
    <m/>
    <m/>
    <m/>
    <m/>
    <m/>
    <m/>
    <m/>
    <m/>
    <m/>
    <s v="Heather Mello"/>
    <m/>
    <s v="02/27/2026"/>
    <s v="Heather Mello"/>
    <m/>
    <m/>
  </r>
  <r>
    <s v="Oakland/San Francisco/San Jose"/>
    <s v="UCB Gateway"/>
    <n v="210784"/>
    <m/>
    <s v="Higher Education | Laboratory / Research | 005 | 004"/>
    <n v="368"/>
    <s v="Carone and Company Inc "/>
    <s v="Grant Carone"/>
    <s v="Diablo Valley Rock"/>
    <s v="925 Watrebird Way, Martinez, CA 94553"/>
    <m/>
    <s v="01/26/2026"/>
    <x v="3"/>
    <n v="136936"/>
    <s v="Click Here To View"/>
    <s v="Demolition"/>
    <n v="7.33"/>
    <s v="100.00%"/>
    <s v="0.00%"/>
    <s v="100.00%"/>
    <s v="0.00%"/>
    <m/>
    <n v="7.33"/>
    <m/>
    <n v="7.33"/>
    <m/>
    <n v="7.33"/>
    <m/>
    <m/>
    <m/>
    <m/>
    <m/>
    <m/>
    <m/>
    <m/>
    <m/>
    <m/>
    <m/>
    <m/>
    <m/>
    <m/>
    <m/>
    <m/>
    <m/>
    <m/>
    <m/>
    <m/>
    <m/>
    <m/>
    <m/>
    <m/>
    <m/>
    <m/>
    <m/>
    <m/>
    <m/>
    <m/>
    <m/>
    <m/>
    <s v="0.00%"/>
    <s v="0.00%"/>
    <s v="0.00%"/>
    <s v="0.00%"/>
    <m/>
    <m/>
    <m/>
    <m/>
    <m/>
    <m/>
    <m/>
    <s v="0.00%"/>
    <s v="0.00%"/>
    <s v="0.00%"/>
    <s v="0.00%"/>
    <m/>
    <m/>
    <m/>
    <m/>
    <m/>
    <m/>
    <m/>
    <m/>
    <m/>
    <m/>
    <m/>
    <m/>
    <m/>
    <m/>
    <m/>
    <m/>
    <m/>
    <s v="Heather Mello"/>
    <m/>
    <s v="02/27/2026"/>
    <s v="Heather Mello"/>
    <m/>
    <m/>
  </r>
  <r>
    <s v="Oakland/San Francisco/San Jose"/>
    <s v="UCB Gateway"/>
    <n v="210784"/>
    <m/>
    <s v="Higher Education | Laboratory / Research | 005 | 004"/>
    <n v="368"/>
    <s v="Carone and Company Inc "/>
    <s v="Grant Carone"/>
    <s v="Diablo Valley Rock"/>
    <s v="925 Watrebird Way, Martinez, CA 94553"/>
    <m/>
    <s v="02/25/2026"/>
    <x v="4"/>
    <n v="137382"/>
    <s v="Click Here To View"/>
    <s v="Demolition"/>
    <n v="6.13"/>
    <s v="100.00%"/>
    <s v="0.00%"/>
    <s v="100.00%"/>
    <s v="0.00%"/>
    <m/>
    <n v="6.13"/>
    <m/>
    <n v="6.13"/>
    <m/>
    <n v="6.13"/>
    <m/>
    <m/>
    <m/>
    <m/>
    <m/>
    <m/>
    <m/>
    <m/>
    <m/>
    <m/>
    <m/>
    <m/>
    <m/>
    <m/>
    <m/>
    <m/>
    <m/>
    <m/>
    <m/>
    <m/>
    <m/>
    <m/>
    <m/>
    <m/>
    <m/>
    <m/>
    <m/>
    <m/>
    <m/>
    <m/>
    <m/>
    <m/>
    <s v="0.00%"/>
    <s v="0.00%"/>
    <s v="0.00%"/>
    <s v="0.00%"/>
    <m/>
    <m/>
    <m/>
    <m/>
    <m/>
    <m/>
    <m/>
    <s v="0.00%"/>
    <s v="0.00%"/>
    <s v="0.00%"/>
    <s v="0.00%"/>
    <m/>
    <m/>
    <m/>
    <m/>
    <m/>
    <m/>
    <m/>
    <m/>
    <m/>
    <m/>
    <m/>
    <m/>
    <m/>
    <m/>
    <m/>
    <m/>
    <m/>
    <s v="Heather Mello"/>
    <m/>
    <s v="04/01/2026"/>
    <s v="Heather Mello"/>
    <m/>
    <m/>
  </r>
  <r>
    <s v="Oakland/San Francisco/San Jose"/>
    <s v="UCB Gateway"/>
    <n v="210784"/>
    <m/>
    <s v="Higher Education | Laboratory / Research | 005 | 004"/>
    <n v="368"/>
    <s v="Carone and Company Inc "/>
    <s v="Grant Carone"/>
    <s v="Diablo Valley Rock"/>
    <s v="925 Watrebird Way, Martinez, CA 94553"/>
    <m/>
    <s v="02/25/2026"/>
    <x v="4"/>
    <n v="137394"/>
    <s v="Click Here To View"/>
    <s v="Demolition"/>
    <n v="3.72"/>
    <s v="100.00%"/>
    <s v="0.00%"/>
    <s v="100.00%"/>
    <s v="0.00%"/>
    <m/>
    <n v="3.72"/>
    <m/>
    <n v="3.72"/>
    <m/>
    <n v="3.72"/>
    <m/>
    <m/>
    <m/>
    <m/>
    <m/>
    <m/>
    <m/>
    <m/>
    <m/>
    <m/>
    <m/>
    <m/>
    <m/>
    <m/>
    <m/>
    <m/>
    <m/>
    <m/>
    <m/>
    <m/>
    <m/>
    <m/>
    <m/>
    <m/>
    <m/>
    <m/>
    <m/>
    <m/>
    <m/>
    <m/>
    <m/>
    <m/>
    <s v="0.00%"/>
    <s v="0.00%"/>
    <s v="0.00%"/>
    <s v="0.00%"/>
    <m/>
    <m/>
    <m/>
    <m/>
    <m/>
    <m/>
    <m/>
    <s v="0.00%"/>
    <s v="0.00%"/>
    <s v="0.00%"/>
    <s v="0.00%"/>
    <m/>
    <m/>
    <m/>
    <m/>
    <m/>
    <m/>
    <m/>
    <m/>
    <m/>
    <m/>
    <m/>
    <m/>
    <m/>
    <m/>
    <m/>
    <m/>
    <m/>
    <s v="Heather Mello"/>
    <m/>
    <s v="04/01/2026"/>
    <s v="Heather Mello"/>
    <m/>
    <m/>
  </r>
  <r>
    <s v="Oakland/San Francisco/San Jose"/>
    <s v="UCB Gateway"/>
    <n v="210784"/>
    <m/>
    <s v="Higher Education | Laboratory / Research | 005 | 004"/>
    <n v="368"/>
    <s v="Garden of Eden Landscapes, Inc."/>
    <s v="Silvia Teixeria"/>
    <s v="GreenPlanet 21"/>
    <s v="1221 3rd St.,Oakland CA 94607, Oakland, CA 94607"/>
    <m/>
    <s v="03/15/2024"/>
    <x v="5"/>
    <n v="2346"/>
    <s v="Click Here To View"/>
    <s v="Construction"/>
    <n v="0.21"/>
    <s v="100.00%"/>
    <s v="0.00%"/>
    <s v="100.00%"/>
    <s v="0.00%"/>
    <m/>
    <n v="0.21"/>
    <m/>
    <n v="0.21"/>
    <m/>
    <m/>
    <n v="0.21"/>
    <m/>
    <m/>
    <m/>
    <m/>
    <m/>
    <m/>
    <m/>
    <m/>
    <m/>
    <m/>
    <m/>
    <m/>
    <m/>
    <m/>
    <m/>
    <m/>
    <m/>
    <m/>
    <m/>
    <m/>
    <m/>
    <m/>
    <m/>
    <m/>
    <m/>
    <m/>
    <m/>
    <m/>
    <m/>
    <m/>
    <m/>
    <s v="0.00%"/>
    <s v="0.00%"/>
    <s v="0.00%"/>
    <s v="0.00%"/>
    <m/>
    <m/>
    <m/>
    <m/>
    <m/>
    <m/>
    <m/>
    <s v="0.00%"/>
    <s v="0.00%"/>
    <s v="0.00%"/>
    <s v="0.00%"/>
    <m/>
    <m/>
    <m/>
    <m/>
    <m/>
    <m/>
    <m/>
    <m/>
    <m/>
    <m/>
    <m/>
    <m/>
    <m/>
    <m/>
    <m/>
    <m/>
    <m/>
    <s v="Mike Teixeira"/>
    <m/>
    <s v="03/25/2024"/>
    <s v="Mike Teixeira"/>
    <m/>
    <m/>
  </r>
  <r>
    <s v="Oakland/San Francisco/San Jose"/>
    <s v="UCB Gateway"/>
    <n v="210784"/>
    <m/>
    <s v="Higher Education | Laboratory / Research | 005 | 004"/>
    <n v="368"/>
    <s v="Garden of Eden Landscapes, Inc."/>
    <s v="Silvia Teixeria"/>
    <s v="GreenPlanet 21"/>
    <s v="1221 3rd St.,Oakland CA 94607, Oakland, CA 94607"/>
    <m/>
    <s v="03/18/2024"/>
    <x v="5"/>
    <n v="2316"/>
    <s v="Click Here To View"/>
    <s v="Construction"/>
    <n v="0.31"/>
    <s v="100.00%"/>
    <s v="0.00%"/>
    <s v="100.00%"/>
    <s v="0.00%"/>
    <m/>
    <n v="0.31"/>
    <m/>
    <n v="0.31"/>
    <m/>
    <m/>
    <n v="0.31"/>
    <m/>
    <m/>
    <m/>
    <m/>
    <m/>
    <m/>
    <m/>
    <m/>
    <m/>
    <m/>
    <m/>
    <m/>
    <m/>
    <m/>
    <m/>
    <m/>
    <m/>
    <m/>
    <m/>
    <m/>
    <m/>
    <m/>
    <m/>
    <m/>
    <m/>
    <m/>
    <m/>
    <m/>
    <m/>
    <m/>
    <m/>
    <s v="0.00%"/>
    <s v="0.00%"/>
    <s v="0.00%"/>
    <s v="0.00%"/>
    <m/>
    <m/>
    <m/>
    <m/>
    <m/>
    <m/>
    <m/>
    <s v="0.00%"/>
    <s v="0.00%"/>
    <s v="0.00%"/>
    <s v="0.00%"/>
    <m/>
    <m/>
    <m/>
    <m/>
    <m/>
    <m/>
    <m/>
    <m/>
    <m/>
    <m/>
    <m/>
    <m/>
    <m/>
    <m/>
    <m/>
    <m/>
    <m/>
    <s v="Mike Teixeira"/>
    <m/>
    <s v="03/25/2024"/>
    <s v="Mike Teixeira"/>
    <m/>
    <m/>
  </r>
  <r>
    <s v="Oakland/San Francisco/San Jose"/>
    <s v="UCB Gateway"/>
    <n v="210784"/>
    <m/>
    <s v="Higher Education | Laboratory / Research | 005 | 004"/>
    <n v="368"/>
    <s v="Garden of Eden Landscapes, Inc."/>
    <s v="Silvia Teixeria"/>
    <s v="GreenPlanet 21"/>
    <s v="1221 3rd St.,Oakland CA 94607, Oakland, CA 94607"/>
    <m/>
    <s v="03/19/2024"/>
    <x v="5"/>
    <n v="105629"/>
    <s v="Click Here To View"/>
    <s v="Construction"/>
    <n v="0.47"/>
    <s v="100.00%"/>
    <s v="0.00%"/>
    <s v="100.00%"/>
    <s v="0.00%"/>
    <m/>
    <n v="0.47"/>
    <m/>
    <n v="0.47"/>
    <m/>
    <m/>
    <n v="0.47"/>
    <m/>
    <m/>
    <m/>
    <m/>
    <m/>
    <m/>
    <m/>
    <m/>
    <m/>
    <m/>
    <m/>
    <m/>
    <m/>
    <m/>
    <m/>
    <m/>
    <m/>
    <m/>
    <m/>
    <m/>
    <m/>
    <m/>
    <m/>
    <m/>
    <m/>
    <m/>
    <m/>
    <m/>
    <m/>
    <m/>
    <m/>
    <s v="0.00%"/>
    <s v="0.00%"/>
    <s v="0.00%"/>
    <s v="0.00%"/>
    <m/>
    <m/>
    <m/>
    <m/>
    <m/>
    <m/>
    <m/>
    <s v="0.00%"/>
    <s v="0.00%"/>
    <s v="0.00%"/>
    <s v="0.00%"/>
    <m/>
    <m/>
    <m/>
    <m/>
    <m/>
    <m/>
    <m/>
    <m/>
    <m/>
    <m/>
    <m/>
    <m/>
    <m/>
    <m/>
    <m/>
    <m/>
    <m/>
    <s v="Mike Teixeira"/>
    <m/>
    <s v="03/25/2024"/>
    <s v="Mike Teixeira"/>
    <m/>
    <m/>
  </r>
  <r>
    <s v="Oakland/San Francisco/San Jose"/>
    <s v="UCB Gateway"/>
    <n v="210784"/>
    <m/>
    <s v="Higher Education | Laboratory / Research | 005 | 004"/>
    <n v="368"/>
    <s v="Garden of Eden Landscapes, Inc."/>
    <s v="Silvia Teixeria"/>
    <s v="GreenPlanet 21"/>
    <s v="1221 3rd St.,Oakland CA 94607, Oakland, CA 94607"/>
    <m/>
    <s v="03/14/2024"/>
    <x v="5"/>
    <n v="2314"/>
    <s v="Click Here To View"/>
    <s v="Construction"/>
    <n v="0.12"/>
    <s v="100.00%"/>
    <s v="0.00%"/>
    <s v="100.00%"/>
    <s v="0.00%"/>
    <m/>
    <n v="0.12"/>
    <m/>
    <n v="0.12"/>
    <m/>
    <m/>
    <n v="0.12"/>
    <m/>
    <m/>
    <m/>
    <m/>
    <m/>
    <m/>
    <m/>
    <m/>
    <m/>
    <m/>
    <m/>
    <m/>
    <m/>
    <m/>
    <m/>
    <m/>
    <m/>
    <m/>
    <m/>
    <m/>
    <m/>
    <m/>
    <m/>
    <m/>
    <m/>
    <m/>
    <m/>
    <m/>
    <m/>
    <m/>
    <m/>
    <s v="0.00%"/>
    <s v="0.00%"/>
    <s v="0.00%"/>
    <s v="0.00%"/>
    <m/>
    <m/>
    <m/>
    <m/>
    <m/>
    <m/>
    <m/>
    <s v="0.00%"/>
    <s v="0.00%"/>
    <s v="0.00%"/>
    <s v="0.00%"/>
    <m/>
    <m/>
    <m/>
    <m/>
    <m/>
    <m/>
    <m/>
    <m/>
    <m/>
    <m/>
    <m/>
    <m/>
    <m/>
    <m/>
    <m/>
    <m/>
    <m/>
    <s v="Mike Teixeira"/>
    <m/>
    <s v="03/25/2024"/>
    <s v="Mike Teixeira"/>
    <m/>
    <m/>
  </r>
  <r>
    <s v="Oakland/San Francisco/San Jose"/>
    <s v="UCB Gateway"/>
    <n v="210784"/>
    <m/>
    <s v="Higher Education | Laboratory / Research | 005 | 004"/>
    <n v="368"/>
    <s v="Garden of Eden Landscapes, Inc."/>
    <s v="Silvia Teixeria"/>
    <s v="GreenPlanet 21"/>
    <s v="1221 3rd St.,Oakland CA 94607, Oakland, CA 94607"/>
    <m/>
    <s v="03/11/2024"/>
    <x v="5"/>
    <n v="2302"/>
    <s v="Click Here To View"/>
    <s v="Construction"/>
    <n v="0.3"/>
    <s v="100.00%"/>
    <s v="0.00%"/>
    <s v="100.00%"/>
    <s v="0.00%"/>
    <m/>
    <n v="0.3"/>
    <m/>
    <n v="0.3"/>
    <m/>
    <m/>
    <n v="0.3"/>
    <m/>
    <m/>
    <m/>
    <m/>
    <m/>
    <m/>
    <m/>
    <m/>
    <m/>
    <m/>
    <m/>
    <m/>
    <m/>
    <m/>
    <m/>
    <m/>
    <m/>
    <m/>
    <m/>
    <m/>
    <m/>
    <m/>
    <m/>
    <m/>
    <m/>
    <m/>
    <m/>
    <m/>
    <m/>
    <m/>
    <m/>
    <s v="0.00%"/>
    <s v="0.00%"/>
    <s v="0.00%"/>
    <s v="0.00%"/>
    <m/>
    <m/>
    <m/>
    <m/>
    <m/>
    <m/>
    <m/>
    <s v="0.00%"/>
    <s v="0.00%"/>
    <s v="0.00%"/>
    <s v="0.00%"/>
    <m/>
    <m/>
    <m/>
    <m/>
    <m/>
    <m/>
    <m/>
    <m/>
    <m/>
    <m/>
    <m/>
    <m/>
    <m/>
    <m/>
    <m/>
    <m/>
    <m/>
    <s v="Mike Teixeira"/>
    <m/>
    <s v="03/25/2024"/>
    <s v="Mike Teixeira"/>
    <m/>
    <m/>
  </r>
  <r>
    <s v="Oakland/San Francisco/San Jose"/>
    <s v="UCB Gateway"/>
    <n v="210784"/>
    <m/>
    <s v="Higher Education | Laboratory / Research | 005 | 004"/>
    <n v="368"/>
    <s v="Garden of Eden Landscapes, Inc."/>
    <s v="Silvia Teixeria"/>
    <s v="GreenPlanet 21"/>
    <s v="1221 3rd St.,Oakland CA 94607, Oakland, CA 94607"/>
    <m/>
    <s v="03/08/2024"/>
    <x v="5"/>
    <n v="12600"/>
    <s v="Click Here To View"/>
    <s v="Construction"/>
    <n v="0.19"/>
    <s v="100.00%"/>
    <s v="0.00%"/>
    <s v="100.00%"/>
    <s v="0.00%"/>
    <m/>
    <n v="0.19"/>
    <m/>
    <n v="0.19"/>
    <m/>
    <m/>
    <n v="0.19"/>
    <m/>
    <m/>
    <m/>
    <m/>
    <m/>
    <m/>
    <m/>
    <m/>
    <m/>
    <m/>
    <m/>
    <m/>
    <m/>
    <m/>
    <m/>
    <m/>
    <m/>
    <m/>
    <m/>
    <m/>
    <m/>
    <m/>
    <m/>
    <m/>
    <m/>
    <m/>
    <m/>
    <m/>
    <m/>
    <m/>
    <m/>
    <s v="0.00%"/>
    <s v="0.00%"/>
    <s v="0.00%"/>
    <s v="0.00%"/>
    <m/>
    <m/>
    <m/>
    <m/>
    <m/>
    <m/>
    <m/>
    <s v="0.00%"/>
    <s v="0.00%"/>
    <s v="0.00%"/>
    <s v="0.00%"/>
    <m/>
    <m/>
    <m/>
    <m/>
    <m/>
    <m/>
    <m/>
    <m/>
    <m/>
    <m/>
    <m/>
    <m/>
    <m/>
    <m/>
    <m/>
    <m/>
    <m/>
    <s v="Mike Teixeira"/>
    <m/>
    <s v="03/25/2024"/>
    <s v="Mike Teixeira"/>
    <m/>
    <m/>
  </r>
  <r>
    <s v="Oakland/San Francisco/San Jose"/>
    <s v="UCB Gateway"/>
    <n v="210784"/>
    <m/>
    <s v="Higher Education | Laboratory / Research | 005 | 004"/>
    <n v="368"/>
    <s v="Garden of Eden Landscapes, Inc."/>
    <s v="Silvia Teixeria"/>
    <s v="GreenPlanet 21"/>
    <s v="1221 3rd St.,Oakland CA 94607, Oakland, CA 94607"/>
    <m/>
    <s v="03/07/2024"/>
    <x v="5"/>
    <n v="12579"/>
    <s v="Click Here To View"/>
    <s v="Construction"/>
    <n v="0.25"/>
    <s v="100.00%"/>
    <s v="0.00%"/>
    <s v="100.00%"/>
    <s v="0.00%"/>
    <m/>
    <n v="0.25"/>
    <m/>
    <n v="0.25"/>
    <m/>
    <m/>
    <n v="0.25"/>
    <m/>
    <m/>
    <m/>
    <m/>
    <m/>
    <m/>
    <m/>
    <m/>
    <m/>
    <m/>
    <m/>
    <m/>
    <m/>
    <m/>
    <m/>
    <m/>
    <m/>
    <m/>
    <m/>
    <m/>
    <m/>
    <m/>
    <m/>
    <m/>
    <m/>
    <m/>
    <m/>
    <m/>
    <m/>
    <m/>
    <m/>
    <s v="0.00%"/>
    <s v="0.00%"/>
    <s v="0.00%"/>
    <s v="0.00%"/>
    <m/>
    <m/>
    <m/>
    <m/>
    <m/>
    <m/>
    <m/>
    <s v="0.00%"/>
    <s v="0.00%"/>
    <s v="0.00%"/>
    <s v="0.00%"/>
    <m/>
    <m/>
    <m/>
    <m/>
    <m/>
    <m/>
    <m/>
    <m/>
    <m/>
    <m/>
    <m/>
    <m/>
    <m/>
    <m/>
    <m/>
    <m/>
    <m/>
    <s v="Mike Teixeira"/>
    <m/>
    <s v="03/25/2024"/>
    <s v="Mike Teixeira"/>
    <m/>
    <m/>
  </r>
  <r>
    <s v="Oakland/San Francisco/San Jose"/>
    <s v="UCB Gateway"/>
    <n v="210784"/>
    <m/>
    <s v="Higher Education | Laboratory / Research | 005 | 004"/>
    <n v="368"/>
    <s v="Garden of Eden Landscapes, Inc."/>
    <s v="Silvia Teixeria"/>
    <s v="GreenPlanet 21"/>
    <s v="1221 3rd St.,Oakland CA 94607, Oakland, CA 94607"/>
    <m/>
    <s v="02/23/2024"/>
    <x v="6"/>
    <n v="2220"/>
    <s v="Click Here To View"/>
    <s v="Construction"/>
    <n v="0.26"/>
    <s v="100.00%"/>
    <s v="0.00%"/>
    <s v="100.00%"/>
    <s v="0.00%"/>
    <m/>
    <n v="0.26"/>
    <m/>
    <n v="0.26"/>
    <m/>
    <m/>
    <n v="0.26"/>
    <m/>
    <m/>
    <m/>
    <m/>
    <m/>
    <m/>
    <m/>
    <m/>
    <m/>
    <m/>
    <m/>
    <m/>
    <m/>
    <m/>
    <m/>
    <m/>
    <m/>
    <m/>
    <m/>
    <m/>
    <m/>
    <m/>
    <m/>
    <m/>
    <m/>
    <m/>
    <m/>
    <m/>
    <m/>
    <m/>
    <m/>
    <s v="0.00%"/>
    <s v="0.00%"/>
    <s v="0.00%"/>
    <s v="0.00%"/>
    <m/>
    <m/>
    <m/>
    <m/>
    <m/>
    <m/>
    <m/>
    <s v="0.00%"/>
    <s v="0.00%"/>
    <s v="0.00%"/>
    <s v="0.00%"/>
    <m/>
    <m/>
    <m/>
    <m/>
    <m/>
    <m/>
    <m/>
    <m/>
    <m/>
    <m/>
    <m/>
    <m/>
    <m/>
    <m/>
    <m/>
    <m/>
    <m/>
    <s v="Mike Teixeira"/>
    <m/>
    <s v="03/25/2024"/>
    <s v="Mike Teixeira"/>
    <m/>
    <m/>
  </r>
  <r>
    <s v="Oakland/San Francisco/San Jose"/>
    <s v="UCB Gateway"/>
    <n v="210784"/>
    <m/>
    <s v="Higher Education | Laboratory / Research | 005 | 004"/>
    <n v="368"/>
    <s v="Garden of Eden Landscapes, Inc."/>
    <s v="Silvia Teixeria"/>
    <s v="GreenPlanet 21"/>
    <s v="1221 3rd St.,Oakland CA 94607, Oakland, CA 94607"/>
    <m/>
    <s v="02/27/2024"/>
    <x v="6"/>
    <n v="104947"/>
    <s v="Click Here To View"/>
    <s v="Construction"/>
    <n v="0.36"/>
    <s v="100.00%"/>
    <s v="0.00%"/>
    <s v="100.00%"/>
    <s v="0.00%"/>
    <m/>
    <n v="0.36"/>
    <m/>
    <n v="0.36"/>
    <m/>
    <m/>
    <n v="0.36"/>
    <m/>
    <m/>
    <m/>
    <m/>
    <m/>
    <m/>
    <m/>
    <m/>
    <m/>
    <m/>
    <m/>
    <m/>
    <m/>
    <m/>
    <m/>
    <m/>
    <m/>
    <m/>
    <m/>
    <m/>
    <m/>
    <m/>
    <m/>
    <m/>
    <m/>
    <m/>
    <m/>
    <m/>
    <m/>
    <m/>
    <m/>
    <s v="0.00%"/>
    <s v="0.00%"/>
    <s v="0.00%"/>
    <s v="0.00%"/>
    <m/>
    <m/>
    <m/>
    <m/>
    <m/>
    <m/>
    <m/>
    <s v="0.00%"/>
    <s v="0.00%"/>
    <s v="0.00%"/>
    <s v="0.00%"/>
    <m/>
    <m/>
    <m/>
    <m/>
    <m/>
    <m/>
    <m/>
    <m/>
    <m/>
    <m/>
    <m/>
    <m/>
    <m/>
    <m/>
    <m/>
    <m/>
    <m/>
    <s v="Mike Teixeira"/>
    <m/>
    <s v="03/25/2024"/>
    <s v="Mike Teixeira"/>
    <m/>
    <m/>
  </r>
  <r>
    <s v="Oakland/San Francisco/San Jose"/>
    <s v="UCB Gateway"/>
    <n v="210784"/>
    <m/>
    <s v="Higher Education | Laboratory / Research | 005 | 004"/>
    <n v="368"/>
    <s v="Garden of Eden Landscapes, Inc."/>
    <s v="Silvia Teixeria"/>
    <s v="GreenPlanet 21"/>
    <s v="1221 3rd St.,Oakland CA 94607, Oakland, CA 94607"/>
    <m/>
    <s v="02/28/2024"/>
    <x v="6"/>
    <n v="104977"/>
    <s v="Click Here To View"/>
    <s v="Construction"/>
    <n v="0.38"/>
    <s v="100.00%"/>
    <s v="0.00%"/>
    <s v="100.00%"/>
    <s v="0.00%"/>
    <m/>
    <n v="0.38"/>
    <m/>
    <n v="0.38"/>
    <m/>
    <m/>
    <n v="0.38"/>
    <m/>
    <m/>
    <m/>
    <m/>
    <m/>
    <m/>
    <m/>
    <m/>
    <m/>
    <m/>
    <m/>
    <m/>
    <m/>
    <m/>
    <m/>
    <m/>
    <m/>
    <m/>
    <m/>
    <m/>
    <m/>
    <m/>
    <m/>
    <m/>
    <m/>
    <m/>
    <m/>
    <m/>
    <m/>
    <m/>
    <m/>
    <s v="0.00%"/>
    <s v="0.00%"/>
    <s v="0.00%"/>
    <s v="0.00%"/>
    <m/>
    <m/>
    <m/>
    <m/>
    <m/>
    <m/>
    <m/>
    <s v="0.00%"/>
    <s v="0.00%"/>
    <s v="0.00%"/>
    <s v="0.00%"/>
    <m/>
    <m/>
    <m/>
    <m/>
    <m/>
    <m/>
    <m/>
    <m/>
    <m/>
    <m/>
    <m/>
    <m/>
    <m/>
    <m/>
    <m/>
    <m/>
    <m/>
    <s v="Mike Teixeira"/>
    <m/>
    <s v="03/25/2024"/>
    <s v="Mike Teixeira"/>
    <m/>
    <m/>
  </r>
  <r>
    <s v="Oakland/San Francisco/San Jose"/>
    <s v="UCB Gateway"/>
    <n v="210784"/>
    <m/>
    <s v="Higher Education | Laboratory / Research | 005 | 004"/>
    <n v="368"/>
    <s v="Garden of Eden Landscapes, Inc."/>
    <s v="Silvia Teixeria"/>
    <s v="GreenPlanet 21"/>
    <s v="1221 3rd St.,Oakland CA 94607, Oakland, CA 94607"/>
    <m/>
    <s v="02/29/2024"/>
    <x v="6"/>
    <n v="12347"/>
    <s v="Click Here To View"/>
    <s v="Construction"/>
    <n v="0.25"/>
    <s v="100.00%"/>
    <s v="0.00%"/>
    <s v="100.00%"/>
    <s v="0.00%"/>
    <m/>
    <n v="0.25"/>
    <m/>
    <n v="0.25"/>
    <m/>
    <m/>
    <n v="0.25"/>
    <m/>
    <m/>
    <m/>
    <m/>
    <m/>
    <m/>
    <m/>
    <m/>
    <m/>
    <m/>
    <m/>
    <m/>
    <m/>
    <m/>
    <m/>
    <m/>
    <m/>
    <m/>
    <m/>
    <m/>
    <m/>
    <m/>
    <m/>
    <m/>
    <m/>
    <m/>
    <m/>
    <m/>
    <m/>
    <m/>
    <m/>
    <s v="0.00%"/>
    <s v="0.00%"/>
    <s v="0.00%"/>
    <s v="0.00%"/>
    <m/>
    <m/>
    <m/>
    <m/>
    <m/>
    <m/>
    <m/>
    <s v="0.00%"/>
    <s v="0.00%"/>
    <s v="0.00%"/>
    <s v="0.00%"/>
    <m/>
    <m/>
    <m/>
    <m/>
    <m/>
    <m/>
    <m/>
    <m/>
    <m/>
    <m/>
    <m/>
    <m/>
    <m/>
    <m/>
    <m/>
    <m/>
    <m/>
    <s v="Mike Teixeira"/>
    <m/>
    <s v="03/25/2024"/>
    <s v="Mike Teixeira"/>
    <m/>
    <m/>
  </r>
  <r>
    <s v="Oakland/San Francisco/San Jose"/>
    <s v="UCB Gateway"/>
    <n v="210784"/>
    <m/>
    <s v="Higher Education | Laboratory / Research | 005 | 004"/>
    <n v="368"/>
    <s v="Garden of Eden Landscapes, Inc."/>
    <s v="Silvia Teixeria"/>
    <s v="GreenPlanet 21"/>
    <s v="1221 3rd St.,Oakland CA 94607, Oakland, CA 94607"/>
    <m/>
    <s v="02/21/2024"/>
    <x v="6"/>
    <n v="2206"/>
    <s v="Click Here To View"/>
    <s v="Construction"/>
    <n v="0.23"/>
    <s v="100.00%"/>
    <s v="0.00%"/>
    <s v="100.00%"/>
    <s v="0.00%"/>
    <m/>
    <n v="0.23"/>
    <m/>
    <n v="0.23"/>
    <m/>
    <m/>
    <n v="0.23"/>
    <m/>
    <m/>
    <m/>
    <m/>
    <m/>
    <m/>
    <m/>
    <m/>
    <m/>
    <m/>
    <m/>
    <m/>
    <m/>
    <m/>
    <m/>
    <m/>
    <m/>
    <m/>
    <m/>
    <m/>
    <m/>
    <m/>
    <m/>
    <m/>
    <m/>
    <m/>
    <m/>
    <m/>
    <m/>
    <m/>
    <m/>
    <s v="0.00%"/>
    <s v="0.00%"/>
    <s v="0.00%"/>
    <s v="0.00%"/>
    <m/>
    <m/>
    <m/>
    <m/>
    <m/>
    <m/>
    <m/>
    <s v="0.00%"/>
    <s v="0.00%"/>
    <s v="0.00%"/>
    <s v="0.00%"/>
    <m/>
    <m/>
    <m/>
    <m/>
    <m/>
    <m/>
    <m/>
    <m/>
    <m/>
    <m/>
    <m/>
    <m/>
    <m/>
    <m/>
    <m/>
    <m/>
    <m/>
    <s v="Mike Teixeira"/>
    <m/>
    <s v="03/25/2024"/>
    <s v="Mike Teixeira"/>
    <m/>
    <m/>
  </r>
  <r>
    <s v="Oakland/San Francisco/San Jose"/>
    <s v="UCB Gateway"/>
    <n v="210784"/>
    <m/>
    <s v="Higher Education | Laboratory / Research | 005 | 004"/>
    <n v="368"/>
    <s v="Garden of Eden Landscapes, Inc."/>
    <s v="Silvia Teixeria"/>
    <s v="GreenPlanet 21"/>
    <s v="1221 3rd St.,Oakland CA 94607, Oakland, CA 94607"/>
    <m/>
    <s v="02/20/2024"/>
    <x v="6"/>
    <n v="2138"/>
    <s v="Click Here To View"/>
    <s v="Construction"/>
    <n v="0.21"/>
    <s v="100.00%"/>
    <s v="0.00%"/>
    <s v="100.00%"/>
    <s v="0.00%"/>
    <m/>
    <n v="0.21"/>
    <m/>
    <n v="0.21"/>
    <m/>
    <m/>
    <n v="0.21"/>
    <m/>
    <m/>
    <m/>
    <m/>
    <m/>
    <m/>
    <m/>
    <m/>
    <m/>
    <m/>
    <m/>
    <m/>
    <m/>
    <m/>
    <m/>
    <m/>
    <m/>
    <m/>
    <m/>
    <m/>
    <m/>
    <m/>
    <m/>
    <m/>
    <m/>
    <m/>
    <m/>
    <m/>
    <m/>
    <m/>
    <m/>
    <s v="0.00%"/>
    <s v="0.00%"/>
    <s v="0.00%"/>
    <s v="0.00%"/>
    <m/>
    <m/>
    <m/>
    <m/>
    <m/>
    <m/>
    <m/>
    <s v="0.00%"/>
    <s v="0.00%"/>
    <s v="0.00%"/>
    <s v="0.00%"/>
    <m/>
    <m/>
    <m/>
    <m/>
    <m/>
    <m/>
    <m/>
    <m/>
    <m/>
    <m/>
    <m/>
    <m/>
    <m/>
    <m/>
    <m/>
    <m/>
    <m/>
    <s v="Mike Teixeira"/>
    <m/>
    <s v="03/25/2024"/>
    <s v="Mike Teixeira"/>
    <m/>
    <m/>
  </r>
  <r>
    <s v="Oakland/San Francisco/San Jose"/>
    <s v="UCB Gateway"/>
    <n v="210784"/>
    <m/>
    <s v="Higher Education | Laboratory / Research | 005 | 004"/>
    <n v="368"/>
    <s v="Garden of Eden Landscapes, Inc."/>
    <s v="Silvia Teixeria"/>
    <s v="GreenPlanet 21"/>
    <s v="1221 3rd St.,Oakland CA 94607, Oakland, CA 94607"/>
    <m/>
    <s v="02/17/2024"/>
    <x v="6"/>
    <n v="2136"/>
    <s v="Click Here To View"/>
    <s v="Construction"/>
    <n v="0.32"/>
    <s v="100.00%"/>
    <s v="0.00%"/>
    <s v="100.00%"/>
    <s v="0.00%"/>
    <m/>
    <n v="0.32"/>
    <m/>
    <n v="0.32"/>
    <m/>
    <m/>
    <n v="0.32"/>
    <m/>
    <m/>
    <m/>
    <m/>
    <m/>
    <m/>
    <m/>
    <m/>
    <m/>
    <m/>
    <m/>
    <m/>
    <m/>
    <m/>
    <m/>
    <m/>
    <m/>
    <m/>
    <m/>
    <m/>
    <m/>
    <m/>
    <m/>
    <m/>
    <m/>
    <m/>
    <m/>
    <m/>
    <m/>
    <m/>
    <m/>
    <s v="0.00%"/>
    <s v="0.00%"/>
    <s v="0.00%"/>
    <s v="0.00%"/>
    <m/>
    <m/>
    <m/>
    <m/>
    <m/>
    <m/>
    <m/>
    <s v="0.00%"/>
    <s v="0.00%"/>
    <s v="0.00%"/>
    <s v="0.00%"/>
    <m/>
    <m/>
    <m/>
    <m/>
    <m/>
    <m/>
    <m/>
    <m/>
    <m/>
    <m/>
    <m/>
    <m/>
    <m/>
    <m/>
    <m/>
    <m/>
    <m/>
    <s v="Mike Teixeira"/>
    <m/>
    <s v="03/25/2024"/>
    <s v="Mike Teixeira"/>
    <m/>
    <m/>
  </r>
  <r>
    <s v="Oakland/San Francisco/San Jose"/>
    <s v="UCB Gateway"/>
    <n v="210784"/>
    <m/>
    <s v="Higher Education | Laboratory / Research | 005 | 004"/>
    <n v="368"/>
    <s v="Garden of Eden Landscapes, Inc."/>
    <s v="Silvia Teixeria"/>
    <s v="GreenPlanet 21"/>
    <s v="1221 3rd St.,Oakland CA 94607, Oakland, CA 94607"/>
    <m/>
    <s v="02/16/2024"/>
    <x v="6"/>
    <n v="2134"/>
    <s v="Click Here To View"/>
    <s v="Construction"/>
    <n v="0.21"/>
    <s v="100.00%"/>
    <s v="0.00%"/>
    <s v="100.00%"/>
    <s v="0.00%"/>
    <m/>
    <n v="0.21"/>
    <m/>
    <n v="0.21"/>
    <m/>
    <m/>
    <n v="0.21"/>
    <m/>
    <m/>
    <m/>
    <m/>
    <m/>
    <m/>
    <m/>
    <m/>
    <m/>
    <m/>
    <m/>
    <m/>
    <m/>
    <m/>
    <m/>
    <m/>
    <m/>
    <m/>
    <m/>
    <m/>
    <m/>
    <m/>
    <m/>
    <m/>
    <m/>
    <m/>
    <m/>
    <m/>
    <m/>
    <m/>
    <m/>
    <s v="0.00%"/>
    <s v="0.00%"/>
    <s v="0.00%"/>
    <s v="0.00%"/>
    <m/>
    <m/>
    <m/>
    <m/>
    <m/>
    <m/>
    <m/>
    <s v="0.00%"/>
    <s v="0.00%"/>
    <s v="0.00%"/>
    <s v="0.00%"/>
    <m/>
    <m/>
    <m/>
    <m/>
    <m/>
    <m/>
    <m/>
    <m/>
    <m/>
    <m/>
    <m/>
    <m/>
    <m/>
    <m/>
    <m/>
    <m/>
    <m/>
    <s v="Mike Teixeira"/>
    <m/>
    <s v="03/25/2024"/>
    <s v="Mike Teixeira"/>
    <m/>
    <m/>
  </r>
  <r>
    <s v="Oakland/San Francisco/San Jose"/>
    <s v="UCB Gateway"/>
    <n v="210784"/>
    <m/>
    <s v="Higher Education | Laboratory / Research | 005 | 004"/>
    <n v="368"/>
    <s v="Garden of Eden Landscapes, Inc."/>
    <s v="Silvia Teixeria"/>
    <s v="GreenPlanet 21"/>
    <s v="1221 3rd St.,Oakland CA 94607, Oakland, CA 94607"/>
    <m/>
    <s v="02/15/2024"/>
    <x v="6"/>
    <n v="2180"/>
    <s v="Click Here To View"/>
    <s v="Construction"/>
    <n v="0.27"/>
    <s v="100.00%"/>
    <s v="0.00%"/>
    <s v="100.00%"/>
    <s v="0.00%"/>
    <m/>
    <n v="0.27"/>
    <m/>
    <n v="0.27"/>
    <m/>
    <m/>
    <n v="0.27"/>
    <m/>
    <m/>
    <m/>
    <m/>
    <m/>
    <m/>
    <m/>
    <m/>
    <m/>
    <m/>
    <m/>
    <m/>
    <m/>
    <m/>
    <m/>
    <m/>
    <m/>
    <m/>
    <m/>
    <m/>
    <m/>
    <m/>
    <m/>
    <m/>
    <m/>
    <m/>
    <m/>
    <m/>
    <m/>
    <m/>
    <m/>
    <s v="0.00%"/>
    <s v="0.00%"/>
    <s v="0.00%"/>
    <s v="0.00%"/>
    <m/>
    <m/>
    <m/>
    <m/>
    <m/>
    <m/>
    <m/>
    <s v="0.00%"/>
    <s v="0.00%"/>
    <s v="0.00%"/>
    <s v="0.00%"/>
    <m/>
    <m/>
    <m/>
    <m/>
    <m/>
    <m/>
    <m/>
    <m/>
    <m/>
    <m/>
    <m/>
    <m/>
    <m/>
    <m/>
    <m/>
    <m/>
    <m/>
    <s v="Mike Teixeira"/>
    <m/>
    <s v="03/25/2024"/>
    <s v="Mike Teixeira"/>
    <m/>
    <m/>
  </r>
  <r>
    <s v="Oakland/San Francisco/San Jose"/>
    <s v="UCB Gateway"/>
    <n v="210784"/>
    <m/>
    <s v="Higher Education | Laboratory / Research | 005 | 004"/>
    <n v="368"/>
    <s v="Garden of Eden Landscapes, Inc."/>
    <s v="Silvia Teixeria"/>
    <s v="GreenPlanet 21"/>
    <s v="1221 3rd St.,Oakland CA 94607, Oakland, CA 94607"/>
    <m/>
    <s v="02/10/2024"/>
    <x v="6"/>
    <n v="2161"/>
    <s v="Click Here To View"/>
    <s v="Construction"/>
    <n v="0.2"/>
    <s v="100.00%"/>
    <s v="0.00%"/>
    <s v="100.00%"/>
    <s v="0.00%"/>
    <m/>
    <n v="0.2"/>
    <m/>
    <n v="0.2"/>
    <m/>
    <m/>
    <n v="0.2"/>
    <m/>
    <m/>
    <m/>
    <m/>
    <m/>
    <m/>
    <m/>
    <m/>
    <m/>
    <m/>
    <m/>
    <m/>
    <m/>
    <m/>
    <m/>
    <m/>
    <m/>
    <m/>
    <m/>
    <m/>
    <m/>
    <m/>
    <m/>
    <m/>
    <m/>
    <m/>
    <m/>
    <m/>
    <m/>
    <m/>
    <m/>
    <s v="0.00%"/>
    <s v="0.00%"/>
    <s v="0.00%"/>
    <s v="0.00%"/>
    <m/>
    <m/>
    <m/>
    <m/>
    <m/>
    <m/>
    <m/>
    <s v="0.00%"/>
    <s v="0.00%"/>
    <s v="0.00%"/>
    <s v="0.00%"/>
    <m/>
    <m/>
    <m/>
    <m/>
    <m/>
    <m/>
    <m/>
    <m/>
    <m/>
    <m/>
    <m/>
    <m/>
    <m/>
    <m/>
    <m/>
    <m/>
    <m/>
    <s v="Mike Teixeira"/>
    <m/>
    <s v="03/25/2024"/>
    <s v="Mike Teixeira"/>
    <m/>
    <m/>
  </r>
  <r>
    <s v="Oakland/San Francisco/San Jose"/>
    <s v="UCB Gateway"/>
    <n v="210784"/>
    <m/>
    <s v="Higher Education | Laboratory / Research | 005 | 004"/>
    <n v="368"/>
    <s v="Garden of Eden Landscapes, Inc."/>
    <s v="Silvia Teixeria"/>
    <s v="GreenPlanet 21"/>
    <s v="1221 3rd St.,Oakland CA 94607, Oakland, CA 94607"/>
    <m/>
    <s v="02/09/2024"/>
    <x v="6"/>
    <n v="2156"/>
    <s v="Click Here To View"/>
    <s v="Construction"/>
    <n v="0.18"/>
    <s v="100.00%"/>
    <s v="0.00%"/>
    <s v="100.00%"/>
    <s v="0.00%"/>
    <m/>
    <n v="0.18"/>
    <m/>
    <n v="0.18"/>
    <m/>
    <m/>
    <n v="0.18"/>
    <m/>
    <m/>
    <m/>
    <m/>
    <m/>
    <m/>
    <m/>
    <m/>
    <m/>
    <m/>
    <m/>
    <m/>
    <m/>
    <m/>
    <m/>
    <m/>
    <m/>
    <m/>
    <m/>
    <m/>
    <m/>
    <m/>
    <m/>
    <m/>
    <m/>
    <m/>
    <m/>
    <m/>
    <m/>
    <m/>
    <m/>
    <s v="0.00%"/>
    <s v="0.00%"/>
    <s v="0.00%"/>
    <s v="0.00%"/>
    <m/>
    <m/>
    <m/>
    <m/>
    <m/>
    <m/>
    <m/>
    <s v="0.00%"/>
    <s v="0.00%"/>
    <s v="0.00%"/>
    <s v="0.00%"/>
    <m/>
    <m/>
    <m/>
    <m/>
    <m/>
    <m/>
    <m/>
    <m/>
    <m/>
    <m/>
    <m/>
    <m/>
    <m/>
    <m/>
    <m/>
    <m/>
    <m/>
    <s v="Mike Teixeira"/>
    <m/>
    <s v="03/25/2024"/>
    <s v="Mike Teixeira"/>
    <m/>
    <m/>
  </r>
  <r>
    <s v="Oakland/San Francisco/San Jose"/>
    <s v="UCB Gateway"/>
    <n v="210784"/>
    <m/>
    <s v="Higher Education | Laboratory / Research | 005 | 004"/>
    <n v="368"/>
    <s v="Garden of Eden Landscapes, Inc."/>
    <s v="Silvia Teixeria"/>
    <s v="GreenPlanet 21"/>
    <s v="1221 3rd St.,Oakland CA 94607, Oakland, CA 94607"/>
    <m/>
    <s v="02/06/2024"/>
    <x v="6"/>
    <n v="2132"/>
    <s v="Click Here To View"/>
    <s v="Construction"/>
    <n v="0.23"/>
    <s v="100.00%"/>
    <s v="0.00%"/>
    <s v="100.00%"/>
    <s v="0.00%"/>
    <m/>
    <n v="0.23"/>
    <m/>
    <n v="0.23"/>
    <m/>
    <m/>
    <n v="0.23"/>
    <m/>
    <m/>
    <m/>
    <m/>
    <m/>
    <m/>
    <m/>
    <m/>
    <m/>
    <m/>
    <m/>
    <m/>
    <m/>
    <m/>
    <m/>
    <m/>
    <m/>
    <m/>
    <m/>
    <m/>
    <m/>
    <m/>
    <m/>
    <m/>
    <m/>
    <m/>
    <m/>
    <m/>
    <m/>
    <m/>
    <m/>
    <s v="0.00%"/>
    <s v="0.00%"/>
    <s v="0.00%"/>
    <s v="0.00%"/>
    <m/>
    <m/>
    <m/>
    <m/>
    <m/>
    <m/>
    <m/>
    <s v="0.00%"/>
    <s v="0.00%"/>
    <s v="0.00%"/>
    <s v="0.00%"/>
    <m/>
    <m/>
    <m/>
    <m/>
    <m/>
    <m/>
    <m/>
    <m/>
    <m/>
    <m/>
    <m/>
    <m/>
    <m/>
    <m/>
    <m/>
    <m/>
    <m/>
    <s v="Mike Teixeira"/>
    <m/>
    <s v="03/25/2024"/>
    <s v="Mike Teixeira"/>
    <m/>
    <m/>
  </r>
  <r>
    <s v="Oakland/San Francisco/San Jose"/>
    <s v="UCB Gateway"/>
    <n v="210784"/>
    <m/>
    <s v="Higher Education | Laboratory / Research | 005 | 004"/>
    <n v="368"/>
    <s v="Garden of Eden Landscapes, Inc."/>
    <s v="Silvia Teixeria"/>
    <s v="GreenPlanet 21"/>
    <s v="1221 3rd St.,Oakland CA 94607, Oakland, CA 94607"/>
    <m/>
    <s v="02/05/2024"/>
    <x v="6"/>
    <n v="2126"/>
    <s v="Click Here To View"/>
    <s v="Construction"/>
    <n v="0.28000000000000003"/>
    <s v="100.00%"/>
    <s v="0.00%"/>
    <s v="100.00%"/>
    <s v="0.00%"/>
    <m/>
    <n v="0.28000000000000003"/>
    <m/>
    <n v="0.28000000000000003"/>
    <m/>
    <m/>
    <n v="0.28000000000000003"/>
    <m/>
    <m/>
    <m/>
    <m/>
    <m/>
    <m/>
    <m/>
    <m/>
    <m/>
    <m/>
    <m/>
    <m/>
    <m/>
    <m/>
    <m/>
    <m/>
    <m/>
    <m/>
    <m/>
    <m/>
    <m/>
    <m/>
    <m/>
    <m/>
    <m/>
    <m/>
    <m/>
    <m/>
    <m/>
    <m/>
    <m/>
    <s v="0.00%"/>
    <s v="0.00%"/>
    <s v="0.00%"/>
    <s v="0.00%"/>
    <m/>
    <m/>
    <m/>
    <m/>
    <m/>
    <m/>
    <m/>
    <s v="0.00%"/>
    <s v="0.00%"/>
    <s v="0.00%"/>
    <s v="0.00%"/>
    <m/>
    <m/>
    <m/>
    <m/>
    <m/>
    <m/>
    <m/>
    <m/>
    <m/>
    <m/>
    <m/>
    <m/>
    <m/>
    <m/>
    <m/>
    <m/>
    <m/>
    <s v="Mike Teixeira"/>
    <m/>
    <s v="03/25/2024"/>
    <s v="Mike Teixeira"/>
    <m/>
    <m/>
  </r>
  <r>
    <s v="Oakland/San Francisco/San Jose"/>
    <s v="UCB Gateway"/>
    <n v="210784"/>
    <m/>
    <s v="Higher Education | Laboratory / Research | 005 | 004"/>
    <n v="368"/>
    <s v="Garden of Eden Landscapes, Inc."/>
    <s v="Silvia Teixeria"/>
    <s v="GreenPlanet 21"/>
    <s v="1221 3rd St.,Oakland CA 94607, Oakland, CA 94607"/>
    <m/>
    <s v="05/01/2024"/>
    <x v="7"/>
    <n v="106903"/>
    <s v="Click Here To View"/>
    <s v="Construction"/>
    <n v="0.28999999999999998"/>
    <s v="100.00%"/>
    <s v="0.00%"/>
    <s v="100.00%"/>
    <s v="0.00%"/>
    <m/>
    <n v="0.28999999999999998"/>
    <m/>
    <n v="0.28999999999999998"/>
    <m/>
    <m/>
    <n v="0.28999999999999998"/>
    <m/>
    <m/>
    <m/>
    <m/>
    <m/>
    <m/>
    <m/>
    <m/>
    <m/>
    <m/>
    <m/>
    <m/>
    <m/>
    <m/>
    <m/>
    <m/>
    <m/>
    <m/>
    <m/>
    <m/>
    <m/>
    <m/>
    <m/>
    <m/>
    <m/>
    <m/>
    <m/>
    <m/>
    <m/>
    <m/>
    <m/>
    <s v="0.00%"/>
    <s v="0.00%"/>
    <s v="0.00%"/>
    <s v="0.00%"/>
    <m/>
    <m/>
    <m/>
    <m/>
    <m/>
    <m/>
    <m/>
    <s v="0.00%"/>
    <s v="0.00%"/>
    <s v="0.00%"/>
    <s v="0.00%"/>
    <m/>
    <m/>
    <m/>
    <m/>
    <m/>
    <m/>
    <m/>
    <m/>
    <m/>
    <m/>
    <m/>
    <m/>
    <m/>
    <m/>
    <m/>
    <m/>
    <m/>
    <s v="Mike Teixeira"/>
    <m/>
    <s v="06/03/2024"/>
    <s v="Mike Teixeira"/>
    <m/>
    <m/>
  </r>
  <r>
    <s v="Oakland/San Francisco/San Jose"/>
    <s v="UCB Gateway"/>
    <n v="210784"/>
    <m/>
    <s v="Higher Education | Laboratory / Research | 005 | 004"/>
    <n v="368"/>
    <s v="Garden of Eden Landscapes, Inc."/>
    <s v="Silvia Teixeria"/>
    <s v="GreenPlanet 21"/>
    <s v="1221 3rd St.,Oakland CA 94607, Oakland, CA 94607"/>
    <m/>
    <s v="05/02/2024"/>
    <x v="7"/>
    <n v="106931"/>
    <s v="Click Here To View"/>
    <s v="Construction"/>
    <n v="0.11"/>
    <s v="100.00%"/>
    <s v="0.00%"/>
    <s v="100.00%"/>
    <s v="0.00%"/>
    <m/>
    <n v="0.11"/>
    <m/>
    <n v="0.11"/>
    <m/>
    <m/>
    <n v="0.11"/>
    <m/>
    <m/>
    <m/>
    <m/>
    <m/>
    <m/>
    <m/>
    <m/>
    <m/>
    <m/>
    <m/>
    <m/>
    <m/>
    <m/>
    <m/>
    <m/>
    <m/>
    <m/>
    <m/>
    <m/>
    <m/>
    <m/>
    <m/>
    <m/>
    <m/>
    <m/>
    <m/>
    <m/>
    <m/>
    <m/>
    <m/>
    <s v="0.00%"/>
    <s v="0.00%"/>
    <s v="0.00%"/>
    <s v="0.00%"/>
    <m/>
    <m/>
    <m/>
    <m/>
    <m/>
    <m/>
    <m/>
    <s v="0.00%"/>
    <s v="0.00%"/>
    <s v="0.00%"/>
    <s v="0.00%"/>
    <m/>
    <m/>
    <m/>
    <m/>
    <m/>
    <m/>
    <m/>
    <m/>
    <m/>
    <m/>
    <m/>
    <m/>
    <m/>
    <m/>
    <m/>
    <m/>
    <m/>
    <s v="Mike Teixeira"/>
    <m/>
    <s v="06/03/2024"/>
    <s v="Mike Teixeira"/>
    <m/>
    <m/>
  </r>
  <r>
    <s v="Oakland/San Francisco/San Jose"/>
    <s v="UCB Gateway"/>
    <n v="210784"/>
    <m/>
    <s v="Higher Education | Laboratory / Research | 005 | 004"/>
    <n v="368"/>
    <s v="Garden of Eden Landscapes, Inc."/>
    <s v="Silvia Teixeria"/>
    <s v="GreenPlanet 21"/>
    <s v="1221 3rd St.,Oakland CA 94607, Oakland, CA 94607"/>
    <m/>
    <s v="05/03/2024"/>
    <x v="7"/>
    <n v="106967"/>
    <s v="Click Here To View"/>
    <s v="Construction"/>
    <n v="0.23"/>
    <s v="100.00%"/>
    <s v="0.00%"/>
    <s v="100.00%"/>
    <s v="0.00%"/>
    <m/>
    <n v="0.23"/>
    <m/>
    <n v="0.23"/>
    <m/>
    <m/>
    <n v="0.23"/>
    <m/>
    <m/>
    <m/>
    <m/>
    <m/>
    <m/>
    <m/>
    <m/>
    <m/>
    <m/>
    <m/>
    <m/>
    <m/>
    <m/>
    <m/>
    <m/>
    <m/>
    <m/>
    <m/>
    <m/>
    <m/>
    <m/>
    <m/>
    <m/>
    <m/>
    <m/>
    <m/>
    <m/>
    <m/>
    <m/>
    <m/>
    <s v="0.00%"/>
    <s v="0.00%"/>
    <s v="0.00%"/>
    <s v="0.00%"/>
    <m/>
    <m/>
    <m/>
    <m/>
    <m/>
    <m/>
    <m/>
    <s v="0.00%"/>
    <s v="0.00%"/>
    <s v="0.00%"/>
    <s v="0.00%"/>
    <m/>
    <m/>
    <m/>
    <m/>
    <m/>
    <m/>
    <m/>
    <m/>
    <m/>
    <m/>
    <m/>
    <m/>
    <m/>
    <m/>
    <m/>
    <m/>
    <m/>
    <s v="Mike Teixeira"/>
    <m/>
    <s v="06/03/2024"/>
    <s v="Mike Teixeira"/>
    <m/>
    <m/>
  </r>
  <r>
    <s v="Oakland/San Francisco/San Jose"/>
    <s v="UCB Gateway"/>
    <n v="210784"/>
    <m/>
    <s v="Higher Education | Laboratory / Research | 005 | 004"/>
    <n v="368"/>
    <s v="Garden of Eden Landscapes, Inc."/>
    <s v="Silvia Teixeria"/>
    <s v="Super Link Plastic"/>
    <s v="888 92nd Ave, Oakland, CA 94603"/>
    <m/>
    <s v="07/01/2025"/>
    <x v="8"/>
    <n v="124365"/>
    <s v="Click Here To View"/>
    <s v="Construction"/>
    <n v="4.149"/>
    <s v="100.00%"/>
    <s v="0.00%"/>
    <s v="100.00%"/>
    <s v="0.00%"/>
    <m/>
    <n v="4.149"/>
    <m/>
    <n v="4.149"/>
    <m/>
    <m/>
    <n v="4.149"/>
    <m/>
    <m/>
    <m/>
    <m/>
    <m/>
    <m/>
    <m/>
    <m/>
    <m/>
    <m/>
    <m/>
    <m/>
    <m/>
    <m/>
    <m/>
    <m/>
    <m/>
    <m/>
    <m/>
    <m/>
    <m/>
    <m/>
    <m/>
    <m/>
    <m/>
    <m/>
    <m/>
    <m/>
    <m/>
    <m/>
    <m/>
    <s v="0.00%"/>
    <s v="0.00%"/>
    <s v="0.00%"/>
    <s v="0.00%"/>
    <m/>
    <m/>
    <m/>
    <m/>
    <m/>
    <m/>
    <m/>
    <s v="0.00%"/>
    <s v="0.00%"/>
    <s v="0.00%"/>
    <s v="0.00%"/>
    <m/>
    <m/>
    <m/>
    <m/>
    <m/>
    <m/>
    <m/>
    <m/>
    <m/>
    <m/>
    <m/>
    <m/>
    <m/>
    <m/>
    <m/>
    <m/>
    <m/>
    <s v="Mike Teixeira"/>
    <m/>
    <s v="08/04/2025"/>
    <s v="Mike Teixeira"/>
    <m/>
    <m/>
  </r>
  <r>
    <s v="Oakland/San Francisco/San Jose"/>
    <s v="UCB Gateway"/>
    <n v="210784"/>
    <m/>
    <s v="Higher Education | Laboratory / Research | 005 | 004"/>
    <n v="368"/>
    <s v="Silverado Contractors"/>
    <s v="Samantha  Chen"/>
    <s v="Argent Materials, Inc"/>
    <s v="8300 Baldwin St, Oakland, CA 94621"/>
    <m/>
    <s v="11/11/2022"/>
    <x v="9"/>
    <n v="7140424"/>
    <s v="Click Here To View"/>
    <s v="Demolition"/>
    <n v="13.53"/>
    <s v="100.00%"/>
    <s v="0.00%"/>
    <s v="100.00%"/>
    <s v="0.00%"/>
    <m/>
    <n v="13.53"/>
    <m/>
    <n v="13.53"/>
    <m/>
    <m/>
    <m/>
    <n v="13.53"/>
    <m/>
    <m/>
    <m/>
    <m/>
    <m/>
    <m/>
    <m/>
    <m/>
    <m/>
    <m/>
    <m/>
    <m/>
    <m/>
    <m/>
    <m/>
    <m/>
    <m/>
    <m/>
    <m/>
    <m/>
    <m/>
    <m/>
    <m/>
    <m/>
    <m/>
    <m/>
    <m/>
    <m/>
    <m/>
    <m/>
    <s v="0.00%"/>
    <s v="0.00%"/>
    <s v="0.00%"/>
    <s v="0.00%"/>
    <m/>
    <m/>
    <m/>
    <m/>
    <m/>
    <m/>
    <m/>
    <s v="0.00%"/>
    <s v="0.00%"/>
    <s v="0.00%"/>
    <s v="0.00%"/>
    <m/>
    <m/>
    <m/>
    <m/>
    <m/>
    <m/>
    <m/>
    <m/>
    <m/>
    <m/>
    <m/>
    <m/>
    <m/>
    <m/>
    <m/>
    <m/>
    <m/>
    <s v="Katherine Ibarra"/>
    <m/>
    <s v="08/01/2023"/>
    <s v="Katherine Ibarra"/>
    <m/>
    <m/>
  </r>
  <r>
    <s v="Oakland/San Francisco/San Jose"/>
    <s v="UCB Gateway"/>
    <n v="210784"/>
    <m/>
    <s v="Higher Education | Laboratory / Research | 005 | 004"/>
    <n v="368"/>
    <s v="Silverado Contractors"/>
    <s v="Samantha  Chen"/>
    <s v="Argent Materials, Inc"/>
    <s v="8300 Baldwin St, Oakland, CA 94621"/>
    <m/>
    <s v="11/04/2022"/>
    <x v="9"/>
    <n v="7140492"/>
    <s v="Click Here To View"/>
    <s v="Demolition"/>
    <n v="13.98"/>
    <s v="100.00%"/>
    <s v="0.00%"/>
    <s v="100.00%"/>
    <s v="0.00%"/>
    <m/>
    <n v="13.98"/>
    <m/>
    <n v="13.98"/>
    <m/>
    <m/>
    <m/>
    <n v="13.98"/>
    <m/>
    <m/>
    <m/>
    <m/>
    <m/>
    <m/>
    <m/>
    <m/>
    <m/>
    <m/>
    <m/>
    <m/>
    <m/>
    <m/>
    <m/>
    <m/>
    <m/>
    <m/>
    <m/>
    <m/>
    <m/>
    <m/>
    <m/>
    <m/>
    <m/>
    <m/>
    <m/>
    <m/>
    <m/>
    <m/>
    <s v="0.00%"/>
    <s v="0.00%"/>
    <s v="0.00%"/>
    <s v="0.00%"/>
    <m/>
    <m/>
    <m/>
    <m/>
    <m/>
    <m/>
    <m/>
    <s v="0.00%"/>
    <s v="0.00%"/>
    <s v="0.00%"/>
    <s v="0.00%"/>
    <m/>
    <m/>
    <m/>
    <m/>
    <m/>
    <m/>
    <m/>
    <m/>
    <m/>
    <m/>
    <m/>
    <m/>
    <m/>
    <m/>
    <m/>
    <m/>
    <m/>
    <s v="Katherine Ibarra"/>
    <m/>
    <s v="08/01/2023"/>
    <s v="Katherine Ibarra"/>
    <m/>
    <m/>
  </r>
  <r>
    <s v="Oakland/San Francisco/San Jose"/>
    <s v="UCB Gateway"/>
    <n v="210784"/>
    <m/>
    <s v="Higher Education | Laboratory / Research | 005 | 004"/>
    <n v="368"/>
    <s v="Silverado Contractors"/>
    <s v="Samantha  Chen"/>
    <s v="Argent Materials, Inc"/>
    <s v="8300 Baldwin St, Oakland, CA 94621"/>
    <m/>
    <s v="11/04/2022"/>
    <x v="9"/>
    <n v="7140546"/>
    <s v="Click Here To View"/>
    <s v="Demolition"/>
    <n v="14.01"/>
    <s v="100.00%"/>
    <s v="0.00%"/>
    <s v="100.00%"/>
    <s v="0.00%"/>
    <m/>
    <n v="14.01"/>
    <m/>
    <n v="14.01"/>
    <m/>
    <m/>
    <m/>
    <n v="14.01"/>
    <m/>
    <m/>
    <m/>
    <m/>
    <m/>
    <m/>
    <m/>
    <m/>
    <m/>
    <m/>
    <m/>
    <m/>
    <m/>
    <m/>
    <m/>
    <m/>
    <m/>
    <m/>
    <m/>
    <m/>
    <m/>
    <m/>
    <m/>
    <m/>
    <m/>
    <m/>
    <m/>
    <m/>
    <m/>
    <m/>
    <s v="0.00%"/>
    <s v="0.00%"/>
    <s v="0.00%"/>
    <s v="0.00%"/>
    <m/>
    <m/>
    <m/>
    <m/>
    <m/>
    <m/>
    <m/>
    <s v="0.00%"/>
    <s v="0.00%"/>
    <s v="0.00%"/>
    <s v="0.00%"/>
    <m/>
    <m/>
    <m/>
    <m/>
    <m/>
    <m/>
    <m/>
    <m/>
    <m/>
    <m/>
    <m/>
    <m/>
    <m/>
    <m/>
    <m/>
    <m/>
    <m/>
    <s v="Katherine Ibarra"/>
    <m/>
    <s v="08/01/2023"/>
    <s v="Katherine Ibarra"/>
    <m/>
    <m/>
  </r>
  <r>
    <s v="Oakland/San Francisco/San Jose"/>
    <s v="UCB Gateway"/>
    <n v="210784"/>
    <m/>
    <s v="Higher Education | Laboratory / Research | 005 | 004"/>
    <n v="368"/>
    <s v="Silverado Contractors"/>
    <s v="Samantha  Chen"/>
    <s v="Argent Materials, Inc"/>
    <s v="8300 Baldwin St, Oakland, CA 94621"/>
    <m/>
    <s v="11/07/2022"/>
    <x v="9"/>
    <n v="7140757"/>
    <s v="Click Here To View"/>
    <s v="Demolition"/>
    <n v="13.76"/>
    <s v="100.00%"/>
    <s v="0.00%"/>
    <s v="100.00%"/>
    <s v="0.00%"/>
    <m/>
    <n v="13.76"/>
    <m/>
    <n v="13.76"/>
    <m/>
    <m/>
    <m/>
    <n v="13.76"/>
    <m/>
    <m/>
    <m/>
    <m/>
    <m/>
    <m/>
    <m/>
    <m/>
    <m/>
    <m/>
    <m/>
    <m/>
    <m/>
    <m/>
    <m/>
    <m/>
    <m/>
    <m/>
    <m/>
    <m/>
    <m/>
    <m/>
    <m/>
    <m/>
    <m/>
    <m/>
    <m/>
    <m/>
    <m/>
    <m/>
    <s v="0.00%"/>
    <s v="0.00%"/>
    <s v="0.00%"/>
    <s v="0.00%"/>
    <m/>
    <m/>
    <m/>
    <m/>
    <m/>
    <m/>
    <m/>
    <s v="0.00%"/>
    <s v="0.00%"/>
    <s v="0.00%"/>
    <s v="0.00%"/>
    <m/>
    <m/>
    <m/>
    <m/>
    <m/>
    <m/>
    <m/>
    <m/>
    <m/>
    <m/>
    <m/>
    <m/>
    <m/>
    <m/>
    <m/>
    <m/>
    <m/>
    <s v="Katherine Ibarra"/>
    <m/>
    <s v="08/01/2023"/>
    <s v="Katherine Ibarra"/>
    <m/>
    <m/>
  </r>
  <r>
    <s v="Oakland/San Francisco/San Jose"/>
    <s v="UCB Gateway"/>
    <n v="210784"/>
    <m/>
    <s v="Higher Education | Laboratory / Research | 005 | 004"/>
    <n v="368"/>
    <s v="Silverado Contractors"/>
    <s v="Samantha  Chen"/>
    <s v="Argent Materials, Inc"/>
    <s v="8300 Baldwin St, Oakland, CA 94621"/>
    <m/>
    <s v="11/07/2022"/>
    <x v="9"/>
    <n v="7140808"/>
    <s v="Click Here To View"/>
    <s v="Demolition"/>
    <n v="17.420000000000002"/>
    <s v="100.00%"/>
    <s v="0.00%"/>
    <s v="100.00%"/>
    <s v="0.00%"/>
    <m/>
    <n v="17.420000000000002"/>
    <m/>
    <n v="17.420000000000002"/>
    <m/>
    <m/>
    <m/>
    <n v="17.420000000000002"/>
    <m/>
    <m/>
    <m/>
    <m/>
    <m/>
    <m/>
    <m/>
    <m/>
    <m/>
    <m/>
    <m/>
    <m/>
    <m/>
    <m/>
    <m/>
    <m/>
    <m/>
    <m/>
    <m/>
    <m/>
    <m/>
    <m/>
    <m/>
    <m/>
    <m/>
    <m/>
    <m/>
    <m/>
    <m/>
    <m/>
    <s v="0.00%"/>
    <s v="0.00%"/>
    <s v="0.00%"/>
    <s v="0.00%"/>
    <m/>
    <m/>
    <m/>
    <m/>
    <m/>
    <m/>
    <m/>
    <s v="0.00%"/>
    <s v="0.00%"/>
    <s v="0.00%"/>
    <s v="0.00%"/>
    <m/>
    <m/>
    <m/>
    <m/>
    <m/>
    <m/>
    <m/>
    <m/>
    <m/>
    <m/>
    <m/>
    <m/>
    <m/>
    <m/>
    <m/>
    <m/>
    <m/>
    <s v="Katherine Ibarra"/>
    <m/>
    <s v="08/01/2023"/>
    <s v="Katherine Ibarra"/>
    <m/>
    <m/>
  </r>
  <r>
    <s v="Oakland/San Francisco/San Jose"/>
    <s v="UCB Gateway"/>
    <n v="210784"/>
    <m/>
    <s v="Higher Education | Laboratory / Research | 005 | 004"/>
    <n v="368"/>
    <s v="Silverado Contractors"/>
    <s v="Samantha  Chen"/>
    <s v="Argent Materials, Inc"/>
    <s v="8300 Baldwin St, Oakland, CA 94621"/>
    <m/>
    <s v="11/21/2022"/>
    <x v="9"/>
    <n v="7142674"/>
    <s v="Click Here To View"/>
    <s v="Demolition"/>
    <n v="22.18"/>
    <s v="100.00%"/>
    <s v="0.00%"/>
    <s v="100.00%"/>
    <s v="0.00%"/>
    <m/>
    <n v="22.18"/>
    <m/>
    <n v="22.18"/>
    <m/>
    <m/>
    <m/>
    <n v="22.18"/>
    <m/>
    <m/>
    <m/>
    <m/>
    <m/>
    <m/>
    <m/>
    <m/>
    <m/>
    <m/>
    <m/>
    <m/>
    <m/>
    <m/>
    <m/>
    <m/>
    <m/>
    <m/>
    <m/>
    <m/>
    <m/>
    <m/>
    <m/>
    <m/>
    <m/>
    <m/>
    <m/>
    <m/>
    <m/>
    <m/>
    <s v="0.00%"/>
    <s v="0.00%"/>
    <s v="0.00%"/>
    <s v="0.00%"/>
    <m/>
    <m/>
    <m/>
    <m/>
    <m/>
    <m/>
    <m/>
    <s v="0.00%"/>
    <s v="0.00%"/>
    <s v="0.00%"/>
    <s v="0.00%"/>
    <m/>
    <m/>
    <m/>
    <m/>
    <m/>
    <m/>
    <m/>
    <m/>
    <m/>
    <m/>
    <m/>
    <m/>
    <m/>
    <m/>
    <m/>
    <m/>
    <m/>
    <s v="Katherine Ibarra"/>
    <m/>
    <s v="08/01/2023"/>
    <s v="Katherine Ibarra"/>
    <m/>
    <m/>
  </r>
  <r>
    <s v="Oakland/San Francisco/San Jose"/>
    <s v="UCB Gateway"/>
    <n v="210784"/>
    <m/>
    <s v="Higher Education | Laboratory / Research | 005 | 004"/>
    <n v="368"/>
    <s v="Silverado Contractors"/>
    <s v="Samantha  Chen"/>
    <s v="Argent Materials, Inc"/>
    <s v="8300 Baldwin St, Oakland, CA 94621"/>
    <m/>
    <s v="11/21/2022"/>
    <x v="9"/>
    <n v="7142683"/>
    <s v="Click Here To View"/>
    <s v="Demolition"/>
    <n v="18.12"/>
    <s v="100.00%"/>
    <s v="0.00%"/>
    <s v="100.00%"/>
    <s v="0.00%"/>
    <m/>
    <n v="18.12"/>
    <m/>
    <n v="18.12"/>
    <m/>
    <m/>
    <m/>
    <n v="18.12"/>
    <m/>
    <m/>
    <m/>
    <m/>
    <m/>
    <m/>
    <m/>
    <m/>
    <m/>
    <m/>
    <m/>
    <m/>
    <m/>
    <m/>
    <m/>
    <m/>
    <m/>
    <m/>
    <m/>
    <m/>
    <m/>
    <m/>
    <m/>
    <m/>
    <m/>
    <m/>
    <m/>
    <m/>
    <m/>
    <m/>
    <s v="0.00%"/>
    <s v="0.00%"/>
    <s v="0.00%"/>
    <s v="0.00%"/>
    <m/>
    <m/>
    <m/>
    <m/>
    <m/>
    <m/>
    <m/>
    <s v="0.00%"/>
    <s v="0.00%"/>
    <s v="0.00%"/>
    <s v="0.00%"/>
    <m/>
    <m/>
    <m/>
    <m/>
    <m/>
    <m/>
    <m/>
    <m/>
    <m/>
    <m/>
    <m/>
    <m/>
    <m/>
    <m/>
    <m/>
    <m/>
    <m/>
    <s v="Katherine Ibarra"/>
    <m/>
    <s v="08/01/2023"/>
    <s v="Katherine Ibarra"/>
    <m/>
    <m/>
  </r>
  <r>
    <s v="Oakland/San Francisco/San Jose"/>
    <s v="UCB Gateway"/>
    <n v="210784"/>
    <m/>
    <s v="Higher Education | Laboratory / Research | 005 | 004"/>
    <n v="368"/>
    <s v="Silverado Contractors"/>
    <s v="Samantha  Chen"/>
    <s v="Argent Materials, Inc"/>
    <s v="8300 Baldwin St, Oakland, CA 94621"/>
    <m/>
    <s v="11/21/2022"/>
    <x v="9"/>
    <n v="7142720"/>
    <s v="Click Here To View"/>
    <s v="Demolition"/>
    <n v="23.07"/>
    <s v="100.00%"/>
    <s v="0.00%"/>
    <s v="100.00%"/>
    <s v="0.00%"/>
    <m/>
    <n v="23.07"/>
    <m/>
    <n v="23.07"/>
    <m/>
    <m/>
    <m/>
    <n v="23.07"/>
    <m/>
    <m/>
    <m/>
    <m/>
    <m/>
    <m/>
    <m/>
    <m/>
    <m/>
    <m/>
    <m/>
    <m/>
    <m/>
    <m/>
    <m/>
    <m/>
    <m/>
    <m/>
    <m/>
    <m/>
    <m/>
    <m/>
    <m/>
    <m/>
    <m/>
    <m/>
    <m/>
    <m/>
    <m/>
    <m/>
    <s v="0.00%"/>
    <s v="0.00%"/>
    <s v="0.00%"/>
    <s v="0.00%"/>
    <m/>
    <m/>
    <m/>
    <m/>
    <m/>
    <m/>
    <m/>
    <s v="0.00%"/>
    <s v="0.00%"/>
    <s v="0.00%"/>
    <s v="0.00%"/>
    <m/>
    <m/>
    <m/>
    <m/>
    <m/>
    <m/>
    <m/>
    <m/>
    <m/>
    <m/>
    <m/>
    <m/>
    <m/>
    <m/>
    <m/>
    <m/>
    <m/>
    <s v="Katherine Ibarra"/>
    <m/>
    <s v="08/01/2023"/>
    <s v="Katherine Ibarra"/>
    <m/>
    <m/>
  </r>
  <r>
    <s v="Oakland/San Francisco/San Jose"/>
    <s v="UCB Gateway"/>
    <n v="210784"/>
    <m/>
    <s v="Higher Education | Laboratory / Research | 005 | 004"/>
    <n v="368"/>
    <s v="Silverado Contractors"/>
    <s v="Samantha  Chen"/>
    <s v="Argent Materials, Inc"/>
    <s v="8300 Baldwin St, Oakland, CA 94621"/>
    <m/>
    <s v="11/21/2022"/>
    <x v="9"/>
    <n v="7142734"/>
    <s v="Click Here To View"/>
    <s v="Demolition"/>
    <n v="21.46"/>
    <s v="100.00%"/>
    <s v="0.00%"/>
    <s v="100.00%"/>
    <s v="0.00%"/>
    <m/>
    <n v="21.46"/>
    <m/>
    <n v="21.46"/>
    <m/>
    <m/>
    <m/>
    <n v="21.46"/>
    <m/>
    <m/>
    <m/>
    <m/>
    <m/>
    <m/>
    <m/>
    <m/>
    <m/>
    <m/>
    <m/>
    <m/>
    <m/>
    <m/>
    <m/>
    <m/>
    <m/>
    <m/>
    <m/>
    <m/>
    <m/>
    <m/>
    <m/>
    <m/>
    <m/>
    <m/>
    <m/>
    <m/>
    <m/>
    <m/>
    <s v="0.00%"/>
    <s v="0.00%"/>
    <s v="0.00%"/>
    <s v="0.00%"/>
    <m/>
    <m/>
    <m/>
    <m/>
    <m/>
    <m/>
    <m/>
    <s v="0.00%"/>
    <s v="0.00%"/>
    <s v="0.00%"/>
    <s v="0.00%"/>
    <m/>
    <m/>
    <m/>
    <m/>
    <m/>
    <m/>
    <m/>
    <m/>
    <m/>
    <m/>
    <m/>
    <m/>
    <m/>
    <m/>
    <m/>
    <m/>
    <m/>
    <s v="Katherine Ibarra"/>
    <m/>
    <s v="08/01/2023"/>
    <s v="Katherine Ibarra"/>
    <m/>
    <m/>
  </r>
  <r>
    <s v="Oakland/San Francisco/San Jose"/>
    <s v="UCB Gateway"/>
    <n v="210784"/>
    <m/>
    <s v="Higher Education | Laboratory / Research | 005 | 004"/>
    <n v="368"/>
    <s v="Silverado Contractors"/>
    <s v="Samantha  Chen"/>
    <s v="Argent Materials, Inc"/>
    <s v="8300 Baldwin St, Oakland, CA 94621"/>
    <m/>
    <s v="11/21/2022"/>
    <x v="9"/>
    <n v="7142766"/>
    <s v="Click Here To View"/>
    <s v="Demolition"/>
    <n v="12.89"/>
    <s v="100.00%"/>
    <s v="0.00%"/>
    <s v="100.00%"/>
    <s v="0.00%"/>
    <m/>
    <n v="12.89"/>
    <m/>
    <n v="12.89"/>
    <m/>
    <m/>
    <m/>
    <n v="12.89"/>
    <m/>
    <m/>
    <m/>
    <m/>
    <m/>
    <m/>
    <m/>
    <m/>
    <m/>
    <m/>
    <m/>
    <m/>
    <m/>
    <m/>
    <m/>
    <m/>
    <m/>
    <m/>
    <m/>
    <m/>
    <m/>
    <m/>
    <m/>
    <m/>
    <m/>
    <m/>
    <m/>
    <m/>
    <m/>
    <m/>
    <s v="0.00%"/>
    <s v="0.00%"/>
    <s v="0.00%"/>
    <s v="0.00%"/>
    <m/>
    <m/>
    <m/>
    <m/>
    <m/>
    <m/>
    <m/>
    <s v="0.00%"/>
    <s v="0.00%"/>
    <s v="0.00%"/>
    <s v="0.00%"/>
    <m/>
    <m/>
    <m/>
    <m/>
    <m/>
    <m/>
    <m/>
    <m/>
    <m/>
    <m/>
    <m/>
    <m/>
    <m/>
    <m/>
    <m/>
    <m/>
    <m/>
    <s v="Katherine Ibarra"/>
    <m/>
    <s v="08/01/2023"/>
    <s v="Katherine Ibarra"/>
    <m/>
    <m/>
  </r>
  <r>
    <s v="Oakland/San Francisco/San Jose"/>
    <s v="UCB Gateway"/>
    <n v="210784"/>
    <m/>
    <s v="Higher Education | Laboratory / Research | 005 | 004"/>
    <n v="368"/>
    <s v="Silverado Contractors"/>
    <s v="Samantha  Chen"/>
    <s v="Argent Materials, Inc"/>
    <s v="8300 Baldwin St, Oakland, CA 94621"/>
    <m/>
    <s v="11/21/2022"/>
    <x v="9"/>
    <n v="7142770"/>
    <s v="Click Here To View"/>
    <s v="Demolition"/>
    <n v="19.48"/>
    <s v="100.00%"/>
    <s v="0.00%"/>
    <s v="100.00%"/>
    <s v="0.00%"/>
    <m/>
    <n v="19.48"/>
    <m/>
    <n v="19.48"/>
    <m/>
    <m/>
    <m/>
    <n v="19.48"/>
    <m/>
    <m/>
    <m/>
    <m/>
    <m/>
    <m/>
    <m/>
    <m/>
    <m/>
    <m/>
    <m/>
    <m/>
    <m/>
    <m/>
    <m/>
    <m/>
    <m/>
    <m/>
    <m/>
    <m/>
    <m/>
    <m/>
    <m/>
    <m/>
    <m/>
    <m/>
    <m/>
    <m/>
    <m/>
    <m/>
    <s v="0.00%"/>
    <s v="0.00%"/>
    <s v="0.00%"/>
    <s v="0.00%"/>
    <m/>
    <m/>
    <m/>
    <m/>
    <m/>
    <m/>
    <m/>
    <s v="0.00%"/>
    <s v="0.00%"/>
    <s v="0.00%"/>
    <s v="0.00%"/>
    <m/>
    <m/>
    <m/>
    <m/>
    <m/>
    <m/>
    <m/>
    <m/>
    <m/>
    <m/>
    <m/>
    <m/>
    <m/>
    <m/>
    <m/>
    <m/>
    <m/>
    <s v="Katherine Ibarra"/>
    <m/>
    <s v="08/01/2023"/>
    <s v="Katherine Ibarra"/>
    <m/>
    <m/>
  </r>
  <r>
    <s v="Oakland/San Francisco/San Jose"/>
    <s v="UCB Gateway"/>
    <n v="210784"/>
    <m/>
    <s v="Higher Education | Laboratory / Research | 005 | 004"/>
    <n v="368"/>
    <s v="Silverado Contractors"/>
    <s v="Samantha  Chen"/>
    <s v="Argent Materials, Inc"/>
    <s v="8300 Baldwin St, Oakland, CA 94621"/>
    <m/>
    <s v="11/21/2022"/>
    <x v="9"/>
    <n v="7142802"/>
    <s v="Click Here To View"/>
    <s v="Demolition"/>
    <n v="20.43"/>
    <s v="100.00%"/>
    <s v="0.00%"/>
    <s v="100.00%"/>
    <s v="0.00%"/>
    <m/>
    <n v="20.43"/>
    <m/>
    <n v="20.43"/>
    <m/>
    <m/>
    <m/>
    <n v="20.43"/>
    <m/>
    <m/>
    <m/>
    <m/>
    <m/>
    <m/>
    <m/>
    <m/>
    <m/>
    <m/>
    <m/>
    <m/>
    <m/>
    <m/>
    <m/>
    <m/>
    <m/>
    <m/>
    <m/>
    <m/>
    <m/>
    <m/>
    <m/>
    <m/>
    <m/>
    <m/>
    <m/>
    <m/>
    <m/>
    <m/>
    <s v="0.00%"/>
    <s v="0.00%"/>
    <s v="0.00%"/>
    <s v="0.00%"/>
    <m/>
    <m/>
    <m/>
    <m/>
    <m/>
    <m/>
    <m/>
    <s v="0.00%"/>
    <s v="0.00%"/>
    <s v="0.00%"/>
    <s v="0.00%"/>
    <m/>
    <m/>
    <m/>
    <m/>
    <m/>
    <m/>
    <m/>
    <m/>
    <m/>
    <m/>
    <m/>
    <m/>
    <m/>
    <m/>
    <m/>
    <m/>
    <m/>
    <s v="Katherine Ibarra"/>
    <m/>
    <s v="08/01/2023"/>
    <s v="Katherine Ibarra"/>
    <m/>
    <m/>
  </r>
  <r>
    <s v="Oakland/San Francisco/San Jose"/>
    <s v="UCB Gateway"/>
    <n v="210784"/>
    <m/>
    <s v="Higher Education | Laboratory / Research | 005 | 004"/>
    <n v="368"/>
    <s v="Silverado Contractors"/>
    <s v="Samantha  Chen"/>
    <s v="Argent Materials, Inc"/>
    <s v="8300 Baldwin St, Oakland, CA 94621"/>
    <m/>
    <s v="11/21/2022"/>
    <x v="9"/>
    <n v="7142809"/>
    <s v="Click Here To View"/>
    <s v="Demolition"/>
    <n v="18.89"/>
    <s v="100.00%"/>
    <s v="0.00%"/>
    <s v="100.00%"/>
    <s v="0.00%"/>
    <m/>
    <n v="18.89"/>
    <m/>
    <n v="18.89"/>
    <m/>
    <m/>
    <m/>
    <n v="18.89"/>
    <m/>
    <m/>
    <m/>
    <m/>
    <m/>
    <m/>
    <m/>
    <m/>
    <m/>
    <m/>
    <m/>
    <m/>
    <m/>
    <m/>
    <m/>
    <m/>
    <m/>
    <m/>
    <m/>
    <m/>
    <m/>
    <m/>
    <m/>
    <m/>
    <m/>
    <m/>
    <m/>
    <m/>
    <m/>
    <m/>
    <s v="0.00%"/>
    <s v="0.00%"/>
    <s v="0.00%"/>
    <s v="0.00%"/>
    <m/>
    <m/>
    <m/>
    <m/>
    <m/>
    <m/>
    <m/>
    <s v="0.00%"/>
    <s v="0.00%"/>
    <s v="0.00%"/>
    <s v="0.00%"/>
    <m/>
    <m/>
    <m/>
    <m/>
    <m/>
    <m/>
    <m/>
    <m/>
    <m/>
    <m/>
    <m/>
    <m/>
    <m/>
    <m/>
    <m/>
    <m/>
    <m/>
    <s v="Katherine Ibarra"/>
    <m/>
    <s v="08/01/2023"/>
    <s v="Katherine Ibarra"/>
    <m/>
    <m/>
  </r>
  <r>
    <s v="Oakland/San Francisco/San Jose"/>
    <s v="UCB Gateway"/>
    <n v="210784"/>
    <m/>
    <s v="Higher Education | Laboratory / Research | 005 | 004"/>
    <n v="368"/>
    <s v="Silverado Contractors"/>
    <s v="Samantha  Chen"/>
    <s v="Argent Materials, Inc"/>
    <s v="8300 Baldwin St, Oakland, CA 94621"/>
    <m/>
    <s v="11/22/2022"/>
    <x v="9"/>
    <n v="7142874"/>
    <s v="Click Here To View"/>
    <s v="Demolition"/>
    <n v="22.62"/>
    <s v="100.00%"/>
    <s v="0.00%"/>
    <s v="100.00%"/>
    <s v="0.00%"/>
    <m/>
    <n v="22.62"/>
    <m/>
    <n v="22.62"/>
    <m/>
    <m/>
    <m/>
    <n v="22.62"/>
    <m/>
    <m/>
    <m/>
    <m/>
    <m/>
    <m/>
    <m/>
    <m/>
    <m/>
    <m/>
    <m/>
    <m/>
    <m/>
    <m/>
    <m/>
    <m/>
    <m/>
    <m/>
    <m/>
    <m/>
    <m/>
    <m/>
    <m/>
    <m/>
    <m/>
    <m/>
    <m/>
    <m/>
    <m/>
    <m/>
    <s v="0.00%"/>
    <s v="0.00%"/>
    <s v="0.00%"/>
    <s v="0.00%"/>
    <m/>
    <m/>
    <m/>
    <m/>
    <m/>
    <m/>
    <m/>
    <s v="0.00%"/>
    <s v="0.00%"/>
    <s v="0.00%"/>
    <s v="0.00%"/>
    <m/>
    <m/>
    <m/>
    <m/>
    <m/>
    <m/>
    <m/>
    <m/>
    <m/>
    <m/>
    <m/>
    <m/>
    <m/>
    <m/>
    <m/>
    <m/>
    <m/>
    <s v="Katherine Ibarra"/>
    <m/>
    <s v="08/01/2023"/>
    <s v="Katherine Ibarra"/>
    <m/>
    <m/>
  </r>
  <r>
    <s v="Oakland/San Francisco/San Jose"/>
    <s v="UCB Gateway"/>
    <n v="210784"/>
    <m/>
    <s v="Higher Education | Laboratory / Research | 005 | 004"/>
    <n v="368"/>
    <s v="Silverado Contractors"/>
    <s v="Samantha  Chen"/>
    <s v="Argent Materials, Inc"/>
    <s v="8300 Baldwin St, Oakland, CA 94621"/>
    <m/>
    <s v="11/22/2022"/>
    <x v="9"/>
    <n v="7142883"/>
    <s v="Click Here To View"/>
    <s v="Demolition"/>
    <n v="20.94"/>
    <s v="100.00%"/>
    <s v="0.00%"/>
    <s v="100.00%"/>
    <s v="0.00%"/>
    <m/>
    <n v="20.94"/>
    <m/>
    <n v="20.94"/>
    <m/>
    <m/>
    <m/>
    <n v="20.94"/>
    <m/>
    <m/>
    <m/>
    <m/>
    <m/>
    <m/>
    <m/>
    <m/>
    <m/>
    <m/>
    <m/>
    <m/>
    <m/>
    <m/>
    <m/>
    <m/>
    <m/>
    <m/>
    <m/>
    <m/>
    <m/>
    <m/>
    <m/>
    <m/>
    <m/>
    <m/>
    <m/>
    <m/>
    <m/>
    <m/>
    <s v="0.00%"/>
    <s v="0.00%"/>
    <s v="0.00%"/>
    <s v="0.00%"/>
    <m/>
    <m/>
    <m/>
    <m/>
    <m/>
    <m/>
    <m/>
    <s v="0.00%"/>
    <s v="0.00%"/>
    <s v="0.00%"/>
    <s v="0.00%"/>
    <m/>
    <m/>
    <m/>
    <m/>
    <m/>
    <m/>
    <m/>
    <m/>
    <m/>
    <m/>
    <m/>
    <m/>
    <m/>
    <m/>
    <m/>
    <m/>
    <m/>
    <s v="Katherine Ibarra"/>
    <m/>
    <s v="08/01/2023"/>
    <s v="Katherine Ibarra"/>
    <m/>
    <m/>
  </r>
  <r>
    <s v="Oakland/San Francisco/San Jose"/>
    <s v="UCB Gateway"/>
    <n v="210784"/>
    <m/>
    <s v="Higher Education | Laboratory / Research | 005 | 004"/>
    <n v="368"/>
    <s v="Silverado Contractors"/>
    <s v="Samantha  Chen"/>
    <s v="Argent Materials, Inc"/>
    <s v="8300 Baldwin St, Oakland, CA 94621"/>
    <m/>
    <s v="11/22/2022"/>
    <x v="9"/>
    <n v="7142943"/>
    <s v="Click Here To View"/>
    <s v="Demolition"/>
    <n v="22.54"/>
    <s v="100.00%"/>
    <s v="0.00%"/>
    <s v="100.00%"/>
    <s v="0.00%"/>
    <m/>
    <n v="22.54"/>
    <m/>
    <n v="22.54"/>
    <m/>
    <m/>
    <m/>
    <n v="22.54"/>
    <m/>
    <m/>
    <m/>
    <m/>
    <m/>
    <m/>
    <m/>
    <m/>
    <m/>
    <m/>
    <m/>
    <m/>
    <m/>
    <m/>
    <m/>
    <m/>
    <m/>
    <m/>
    <m/>
    <m/>
    <m/>
    <m/>
    <m/>
    <m/>
    <m/>
    <m/>
    <m/>
    <m/>
    <m/>
    <m/>
    <s v="0.00%"/>
    <s v="0.00%"/>
    <s v="0.00%"/>
    <s v="0.00%"/>
    <m/>
    <m/>
    <m/>
    <m/>
    <m/>
    <m/>
    <m/>
    <s v="0.00%"/>
    <s v="0.00%"/>
    <s v="0.00%"/>
    <s v="0.00%"/>
    <m/>
    <m/>
    <m/>
    <m/>
    <m/>
    <m/>
    <m/>
    <m/>
    <m/>
    <m/>
    <m/>
    <m/>
    <m/>
    <m/>
    <m/>
    <m/>
    <m/>
    <s v="Katherine Ibarra"/>
    <m/>
    <s v="08/01/2023"/>
    <s v="Katherine Ibarra"/>
    <m/>
    <m/>
  </r>
  <r>
    <s v="Oakland/San Francisco/San Jose"/>
    <s v="UCB Gateway"/>
    <n v="210784"/>
    <m/>
    <s v="Higher Education | Laboratory / Research | 005 | 004"/>
    <n v="368"/>
    <s v="Silverado Contractors"/>
    <s v="Samantha  Chen"/>
    <s v="Argent Materials, Inc"/>
    <s v="8300 Baldwin St, Oakland, CA 94621"/>
    <m/>
    <s v="11/22/2022"/>
    <x v="9"/>
    <n v="7142948"/>
    <s v="Click Here To View"/>
    <s v="Demolition"/>
    <n v="22.03"/>
    <s v="100.00%"/>
    <s v="0.00%"/>
    <s v="100.00%"/>
    <s v="0.00%"/>
    <m/>
    <n v="22.03"/>
    <m/>
    <n v="22.03"/>
    <m/>
    <m/>
    <m/>
    <n v="22.03"/>
    <m/>
    <m/>
    <m/>
    <m/>
    <m/>
    <m/>
    <m/>
    <m/>
    <m/>
    <m/>
    <m/>
    <m/>
    <m/>
    <m/>
    <m/>
    <m/>
    <m/>
    <m/>
    <m/>
    <m/>
    <m/>
    <m/>
    <m/>
    <m/>
    <m/>
    <m/>
    <m/>
    <m/>
    <m/>
    <m/>
    <s v="0.00%"/>
    <s v="0.00%"/>
    <s v="0.00%"/>
    <s v="0.00%"/>
    <m/>
    <m/>
    <m/>
    <m/>
    <m/>
    <m/>
    <m/>
    <s v="0.00%"/>
    <s v="0.00%"/>
    <s v="0.00%"/>
    <s v="0.00%"/>
    <m/>
    <m/>
    <m/>
    <m/>
    <m/>
    <m/>
    <m/>
    <m/>
    <m/>
    <m/>
    <m/>
    <m/>
    <m/>
    <m/>
    <m/>
    <m/>
    <m/>
    <s v="Katherine Ibarra"/>
    <m/>
    <s v="08/01/2023"/>
    <s v="Katherine Ibarra"/>
    <m/>
    <m/>
  </r>
  <r>
    <s v="Oakland/San Francisco/San Jose"/>
    <s v="UCB Gateway"/>
    <n v="210784"/>
    <m/>
    <s v="Higher Education | Laboratory / Research | 005 | 004"/>
    <n v="368"/>
    <s v="Silverado Contractors"/>
    <s v="Samantha  Chen"/>
    <s v="Argent Materials, Inc"/>
    <s v="8300 Baldwin St, Oakland, CA 94621"/>
    <m/>
    <s v="11/22/2022"/>
    <x v="9"/>
    <n v="7143011"/>
    <s v="Click Here To View"/>
    <s v="Demolition"/>
    <n v="22.74"/>
    <s v="100.00%"/>
    <s v="0.00%"/>
    <s v="100.00%"/>
    <s v="0.00%"/>
    <m/>
    <n v="22.74"/>
    <m/>
    <n v="22.74"/>
    <m/>
    <m/>
    <m/>
    <n v="22.74"/>
    <m/>
    <m/>
    <m/>
    <m/>
    <m/>
    <m/>
    <m/>
    <m/>
    <m/>
    <m/>
    <m/>
    <m/>
    <m/>
    <m/>
    <m/>
    <m/>
    <m/>
    <m/>
    <m/>
    <m/>
    <m/>
    <m/>
    <m/>
    <m/>
    <m/>
    <m/>
    <m/>
    <m/>
    <m/>
    <m/>
    <s v="0.00%"/>
    <s v="0.00%"/>
    <s v="0.00%"/>
    <s v="0.00%"/>
    <m/>
    <m/>
    <m/>
    <m/>
    <m/>
    <m/>
    <m/>
    <s v="0.00%"/>
    <s v="0.00%"/>
    <s v="0.00%"/>
    <s v="0.00%"/>
    <m/>
    <m/>
    <m/>
    <m/>
    <m/>
    <m/>
    <m/>
    <m/>
    <m/>
    <m/>
    <m/>
    <m/>
    <m/>
    <m/>
    <m/>
    <m/>
    <m/>
    <s v="Katherine Ibarra"/>
    <m/>
    <s v="08/01/2023"/>
    <s v="Katherine Ibarra"/>
    <m/>
    <m/>
  </r>
  <r>
    <s v="Oakland/San Francisco/San Jose"/>
    <s v="UCB Gateway"/>
    <n v="210784"/>
    <m/>
    <s v="Higher Education | Laboratory / Research | 005 | 004"/>
    <n v="368"/>
    <s v="Silverado Contractors"/>
    <s v="Samantha  Chen"/>
    <s v="Argent Materials, Inc"/>
    <s v="8300 Baldwin St, Oakland, CA 94621"/>
    <m/>
    <s v="11/22/2022"/>
    <x v="9"/>
    <n v="7143039"/>
    <s v="Click Here To View"/>
    <s v="Demolition"/>
    <n v="20.309999999999999"/>
    <s v="100.00%"/>
    <s v="0.00%"/>
    <s v="100.00%"/>
    <s v="0.00%"/>
    <m/>
    <n v="20.309999999999999"/>
    <m/>
    <n v="20.309999999999999"/>
    <m/>
    <m/>
    <m/>
    <n v="20.309999999999999"/>
    <m/>
    <m/>
    <m/>
    <m/>
    <m/>
    <m/>
    <m/>
    <m/>
    <m/>
    <m/>
    <m/>
    <m/>
    <m/>
    <m/>
    <m/>
    <m/>
    <m/>
    <m/>
    <m/>
    <m/>
    <m/>
    <m/>
    <m/>
    <m/>
    <m/>
    <m/>
    <m/>
    <m/>
    <m/>
    <m/>
    <s v="0.00%"/>
    <s v="0.00%"/>
    <s v="0.00%"/>
    <s v="0.00%"/>
    <m/>
    <m/>
    <m/>
    <m/>
    <m/>
    <m/>
    <m/>
    <s v="0.00%"/>
    <s v="0.00%"/>
    <s v="0.00%"/>
    <s v="0.00%"/>
    <m/>
    <m/>
    <m/>
    <m/>
    <m/>
    <m/>
    <m/>
    <m/>
    <m/>
    <m/>
    <m/>
    <m/>
    <m/>
    <m/>
    <m/>
    <m/>
    <m/>
    <s v="Katherine Ibarra"/>
    <m/>
    <s v="08/01/2023"/>
    <s v="Katherine Ibarra"/>
    <m/>
    <m/>
  </r>
  <r>
    <s v="Oakland/San Francisco/San Jose"/>
    <s v="UCB Gateway"/>
    <n v="210784"/>
    <m/>
    <s v="Higher Education | Laboratory / Research | 005 | 004"/>
    <n v="368"/>
    <s v="Silverado Contractors"/>
    <s v="Samantha  Chen"/>
    <s v="Argent Materials, Inc"/>
    <s v="8300 Baldwin St, Oakland, CA 94621"/>
    <m/>
    <s v="11/22/2022"/>
    <x v="9"/>
    <n v="7143063"/>
    <s v="Click Here To View"/>
    <s v="Demolition"/>
    <n v="23.27"/>
    <s v="100.00%"/>
    <s v="0.00%"/>
    <s v="100.00%"/>
    <s v="0.00%"/>
    <m/>
    <n v="23.27"/>
    <m/>
    <n v="23.27"/>
    <m/>
    <m/>
    <m/>
    <n v="23.27"/>
    <m/>
    <m/>
    <m/>
    <m/>
    <m/>
    <m/>
    <m/>
    <m/>
    <m/>
    <m/>
    <m/>
    <m/>
    <m/>
    <m/>
    <m/>
    <m/>
    <m/>
    <m/>
    <m/>
    <m/>
    <m/>
    <m/>
    <m/>
    <m/>
    <m/>
    <m/>
    <m/>
    <m/>
    <m/>
    <m/>
    <s v="0.00%"/>
    <s v="0.00%"/>
    <s v="0.00%"/>
    <s v="0.00%"/>
    <m/>
    <m/>
    <m/>
    <m/>
    <m/>
    <m/>
    <m/>
    <s v="0.00%"/>
    <s v="0.00%"/>
    <s v="0.00%"/>
    <s v="0.00%"/>
    <m/>
    <m/>
    <m/>
    <m/>
    <m/>
    <m/>
    <m/>
    <m/>
    <m/>
    <m/>
    <m/>
    <m/>
    <m/>
    <m/>
    <m/>
    <m/>
    <m/>
    <s v="Katherine Ibarra"/>
    <m/>
    <s v="08/01/2023"/>
    <s v="Katherine Ibarra"/>
    <m/>
    <m/>
  </r>
  <r>
    <s v="Oakland/San Francisco/San Jose"/>
    <s v="UCB Gateway"/>
    <n v="210784"/>
    <m/>
    <s v="Higher Education | Laboratory / Research | 005 | 004"/>
    <n v="368"/>
    <s v="Silverado Contractors"/>
    <s v="Samantha  Chen"/>
    <s v="Argent Materials, Inc"/>
    <s v="8300 Baldwin St, Oakland, CA 94621"/>
    <m/>
    <s v="11/22/2022"/>
    <x v="9"/>
    <n v="7143071"/>
    <s v="Click Here To View"/>
    <s v="Demolition"/>
    <n v="19.760000000000002"/>
    <s v="100.00%"/>
    <s v="0.00%"/>
    <s v="100.00%"/>
    <s v="0.00%"/>
    <m/>
    <n v="19.760000000000002"/>
    <m/>
    <n v="19.760000000000002"/>
    <m/>
    <m/>
    <m/>
    <n v="19.760000000000002"/>
    <m/>
    <m/>
    <m/>
    <m/>
    <m/>
    <m/>
    <m/>
    <m/>
    <m/>
    <m/>
    <m/>
    <m/>
    <m/>
    <m/>
    <m/>
    <m/>
    <m/>
    <m/>
    <m/>
    <m/>
    <m/>
    <m/>
    <m/>
    <m/>
    <m/>
    <m/>
    <m/>
    <m/>
    <m/>
    <m/>
    <s v="0.00%"/>
    <s v="0.00%"/>
    <s v="0.00%"/>
    <s v="0.00%"/>
    <m/>
    <m/>
    <m/>
    <m/>
    <m/>
    <m/>
    <m/>
    <s v="0.00%"/>
    <s v="0.00%"/>
    <s v="0.00%"/>
    <s v="0.00%"/>
    <m/>
    <m/>
    <m/>
    <m/>
    <m/>
    <m/>
    <m/>
    <m/>
    <m/>
    <m/>
    <m/>
    <m/>
    <m/>
    <m/>
    <m/>
    <m/>
    <m/>
    <s v="Katherine Ibarra"/>
    <m/>
    <s v="08/01/2023"/>
    <s v="Katherine Ibarra"/>
    <m/>
    <m/>
  </r>
  <r>
    <s v="Oakland/San Francisco/San Jose"/>
    <s v="UCB Gateway"/>
    <n v="210784"/>
    <m/>
    <s v="Higher Education | Laboratory / Research | 005 | 004"/>
    <n v="368"/>
    <s v="Silverado Contractors"/>
    <s v="Samantha  Chen"/>
    <s v="Argent Materials, Inc"/>
    <s v="8300 Baldwin St, Oakland, CA 94621"/>
    <m/>
    <s v="11/23/2022"/>
    <x v="9"/>
    <n v="7143140"/>
    <s v="Click Here To View"/>
    <s v="Demolition"/>
    <n v="21.81"/>
    <s v="100.00%"/>
    <s v="0.00%"/>
    <s v="100.00%"/>
    <s v="0.00%"/>
    <m/>
    <n v="21.81"/>
    <m/>
    <n v="21.81"/>
    <m/>
    <m/>
    <m/>
    <n v="21.81"/>
    <m/>
    <m/>
    <m/>
    <m/>
    <m/>
    <m/>
    <m/>
    <m/>
    <m/>
    <m/>
    <m/>
    <m/>
    <m/>
    <m/>
    <m/>
    <m/>
    <m/>
    <m/>
    <m/>
    <m/>
    <m/>
    <m/>
    <m/>
    <m/>
    <m/>
    <m/>
    <m/>
    <m/>
    <m/>
    <m/>
    <s v="0.00%"/>
    <s v="0.00%"/>
    <s v="0.00%"/>
    <s v="0.00%"/>
    <m/>
    <m/>
    <m/>
    <m/>
    <m/>
    <m/>
    <m/>
    <s v="0.00%"/>
    <s v="0.00%"/>
    <s v="0.00%"/>
    <s v="0.00%"/>
    <m/>
    <m/>
    <m/>
    <m/>
    <m/>
    <m/>
    <m/>
    <m/>
    <m/>
    <m/>
    <m/>
    <m/>
    <m/>
    <m/>
    <m/>
    <m/>
    <m/>
    <s v="Katherine Ibarra"/>
    <m/>
    <s v="08/01/2023"/>
    <s v="Katherine Ibarra"/>
    <m/>
    <m/>
  </r>
  <r>
    <s v="Oakland/San Francisco/San Jose"/>
    <s v="UCB Gateway"/>
    <n v="210784"/>
    <m/>
    <s v="Higher Education | Laboratory / Research | 005 | 004"/>
    <n v="368"/>
    <s v="Silverado Contractors"/>
    <s v="Samantha  Chen"/>
    <s v="Argent Materials, Inc"/>
    <s v="8300 Baldwin St, Oakland, CA 94621"/>
    <m/>
    <s v="11/23/2022"/>
    <x v="9"/>
    <n v="7143142"/>
    <s v="Click Here To View"/>
    <s v="Demolition"/>
    <n v="20.63"/>
    <s v="100.00%"/>
    <s v="0.00%"/>
    <s v="100.00%"/>
    <s v="0.00%"/>
    <m/>
    <n v="20.63"/>
    <m/>
    <n v="20.63"/>
    <m/>
    <m/>
    <m/>
    <n v="20.63"/>
    <m/>
    <m/>
    <m/>
    <m/>
    <m/>
    <m/>
    <m/>
    <m/>
    <m/>
    <m/>
    <m/>
    <m/>
    <m/>
    <m/>
    <m/>
    <m/>
    <m/>
    <m/>
    <m/>
    <m/>
    <m/>
    <m/>
    <m/>
    <m/>
    <m/>
    <m/>
    <m/>
    <m/>
    <m/>
    <m/>
    <s v="0.00%"/>
    <s v="0.00%"/>
    <s v="0.00%"/>
    <s v="0.00%"/>
    <m/>
    <m/>
    <m/>
    <m/>
    <m/>
    <m/>
    <m/>
    <s v="0.00%"/>
    <s v="0.00%"/>
    <s v="0.00%"/>
    <s v="0.00%"/>
    <m/>
    <m/>
    <m/>
    <m/>
    <m/>
    <m/>
    <m/>
    <m/>
    <m/>
    <m/>
    <m/>
    <m/>
    <m/>
    <m/>
    <m/>
    <m/>
    <m/>
    <s v="Katherine Ibarra"/>
    <m/>
    <s v="08/01/2023"/>
    <s v="Katherine Ibarra"/>
    <m/>
    <m/>
  </r>
  <r>
    <s v="Oakland/San Francisco/San Jose"/>
    <s v="UCB Gateway"/>
    <n v="210784"/>
    <m/>
    <s v="Higher Education | Laboratory / Research | 005 | 004"/>
    <n v="368"/>
    <s v="Silverado Contractors"/>
    <s v="Samantha  Chen"/>
    <s v="Argent Materials, Inc"/>
    <s v="8300 Baldwin St, Oakland, CA 94621"/>
    <m/>
    <s v="11/23/2022"/>
    <x v="9"/>
    <n v="7143175"/>
    <s v="Click Here To View"/>
    <s v="Demolition"/>
    <n v="20.6"/>
    <s v="100.00%"/>
    <s v="0.00%"/>
    <s v="100.00%"/>
    <s v="0.00%"/>
    <m/>
    <n v="20.6"/>
    <m/>
    <n v="20.6"/>
    <m/>
    <m/>
    <m/>
    <n v="20.6"/>
    <m/>
    <m/>
    <m/>
    <m/>
    <m/>
    <m/>
    <m/>
    <m/>
    <m/>
    <m/>
    <m/>
    <m/>
    <m/>
    <m/>
    <m/>
    <m/>
    <m/>
    <m/>
    <m/>
    <m/>
    <m/>
    <m/>
    <m/>
    <m/>
    <m/>
    <m/>
    <m/>
    <m/>
    <m/>
    <m/>
    <s v="0.00%"/>
    <s v="0.00%"/>
    <s v="0.00%"/>
    <s v="0.00%"/>
    <m/>
    <m/>
    <m/>
    <m/>
    <m/>
    <m/>
    <m/>
    <s v="0.00%"/>
    <s v="0.00%"/>
    <s v="0.00%"/>
    <s v="0.00%"/>
    <m/>
    <m/>
    <m/>
    <m/>
    <m/>
    <m/>
    <m/>
    <m/>
    <m/>
    <m/>
    <m/>
    <m/>
    <m/>
    <m/>
    <m/>
    <m/>
    <m/>
    <s v="Katherine Ibarra"/>
    <m/>
    <s v="08/01/2023"/>
    <s v="Katherine Ibarra"/>
    <m/>
    <m/>
  </r>
  <r>
    <s v="Oakland/San Francisco/San Jose"/>
    <s v="UCB Gateway"/>
    <n v="210784"/>
    <m/>
    <s v="Higher Education | Laboratory / Research | 005 | 004"/>
    <n v="368"/>
    <s v="Silverado Contractors"/>
    <s v="Samantha  Chen"/>
    <s v="Argent Materials, Inc"/>
    <s v="8300 Baldwin St, Oakland, CA 94621"/>
    <m/>
    <s v="11/23/2022"/>
    <x v="9"/>
    <n v="7143180"/>
    <s v="Click Here To View"/>
    <s v="Demolition"/>
    <n v="21.11"/>
    <s v="100.00%"/>
    <s v="0.00%"/>
    <s v="100.00%"/>
    <s v="0.00%"/>
    <m/>
    <n v="21.11"/>
    <m/>
    <n v="21.11"/>
    <m/>
    <m/>
    <m/>
    <n v="21.11"/>
    <m/>
    <m/>
    <m/>
    <m/>
    <m/>
    <m/>
    <m/>
    <m/>
    <m/>
    <m/>
    <m/>
    <m/>
    <m/>
    <m/>
    <m/>
    <m/>
    <m/>
    <m/>
    <m/>
    <m/>
    <m/>
    <m/>
    <m/>
    <m/>
    <m/>
    <m/>
    <m/>
    <m/>
    <m/>
    <m/>
    <s v="0.00%"/>
    <s v="0.00%"/>
    <s v="0.00%"/>
    <s v="0.00%"/>
    <m/>
    <m/>
    <m/>
    <m/>
    <m/>
    <m/>
    <m/>
    <s v="0.00%"/>
    <s v="0.00%"/>
    <s v="0.00%"/>
    <s v="0.00%"/>
    <m/>
    <m/>
    <m/>
    <m/>
    <m/>
    <m/>
    <m/>
    <m/>
    <m/>
    <m/>
    <m/>
    <m/>
    <m/>
    <m/>
    <m/>
    <m/>
    <m/>
    <s v="Katherine Ibarra"/>
    <m/>
    <s v="08/01/2023"/>
    <s v="Katherine Ibarra"/>
    <m/>
    <m/>
  </r>
  <r>
    <s v="Oakland/San Francisco/San Jose"/>
    <s v="UCB Gateway"/>
    <n v="210784"/>
    <m/>
    <s v="Higher Education | Laboratory / Research | 005 | 004"/>
    <n v="368"/>
    <s v="Silverado Contractors"/>
    <s v="Samantha  Chen"/>
    <s v="Argent Materials, Inc"/>
    <s v="8300 Baldwin St, Oakland, CA 94621"/>
    <m/>
    <s v="11/23/2022"/>
    <x v="9"/>
    <n v="7143210"/>
    <s v="Click Here To View"/>
    <s v="Demolition"/>
    <n v="23.57"/>
    <s v="100.00%"/>
    <s v="0.00%"/>
    <s v="100.00%"/>
    <s v="0.00%"/>
    <m/>
    <n v="23.57"/>
    <m/>
    <n v="23.57"/>
    <m/>
    <m/>
    <m/>
    <n v="23.57"/>
    <m/>
    <m/>
    <m/>
    <m/>
    <m/>
    <m/>
    <m/>
    <m/>
    <m/>
    <m/>
    <m/>
    <m/>
    <m/>
    <m/>
    <m/>
    <m/>
    <m/>
    <m/>
    <m/>
    <m/>
    <m/>
    <m/>
    <m/>
    <m/>
    <m/>
    <m/>
    <m/>
    <m/>
    <m/>
    <m/>
    <s v="0.00%"/>
    <s v="0.00%"/>
    <s v="0.00%"/>
    <s v="0.00%"/>
    <m/>
    <m/>
    <m/>
    <m/>
    <m/>
    <m/>
    <m/>
    <s v="0.00%"/>
    <s v="0.00%"/>
    <s v="0.00%"/>
    <s v="0.00%"/>
    <m/>
    <m/>
    <m/>
    <m/>
    <m/>
    <m/>
    <m/>
    <m/>
    <m/>
    <m/>
    <m/>
    <m/>
    <m/>
    <m/>
    <m/>
    <m/>
    <m/>
    <s v="Katherine Ibarra"/>
    <m/>
    <s v="08/01/2023"/>
    <s v="Katherine Ibarra"/>
    <m/>
    <m/>
  </r>
  <r>
    <s v="Oakland/San Francisco/San Jose"/>
    <s v="UCB Gateway"/>
    <n v="210784"/>
    <m/>
    <s v="Higher Education | Laboratory / Research | 005 | 004"/>
    <n v="368"/>
    <s v="Silverado Contractors"/>
    <s v="Samantha  Chen"/>
    <s v="Argent Materials, Inc"/>
    <s v="8300 Baldwin St, Oakland, CA 94621"/>
    <m/>
    <s v="04/18/2023"/>
    <x v="10"/>
    <n v="7159481"/>
    <s v="Click Here To View"/>
    <s v="Demolition"/>
    <n v="13.37"/>
    <s v="100.00%"/>
    <s v="0.00%"/>
    <s v="100.00%"/>
    <s v="0.00%"/>
    <m/>
    <n v="13.37"/>
    <m/>
    <n v="13.37"/>
    <m/>
    <m/>
    <m/>
    <n v="13.37"/>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4/18/2023"/>
    <x v="10"/>
    <n v="7159445"/>
    <s v="Click Here To View"/>
    <s v="Demolition"/>
    <n v="21.53"/>
    <s v="100.00%"/>
    <s v="0.00%"/>
    <s v="100.00%"/>
    <s v="0.00%"/>
    <m/>
    <n v="21.53"/>
    <m/>
    <n v="21.53"/>
    <m/>
    <m/>
    <m/>
    <n v="21.53"/>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4/18/2023"/>
    <x v="10"/>
    <n v="7159451"/>
    <s v="Click Here To View"/>
    <s v="Demolition"/>
    <n v="22.82"/>
    <s v="100.00%"/>
    <s v="0.00%"/>
    <s v="100.00%"/>
    <s v="0.00%"/>
    <m/>
    <n v="22.82"/>
    <m/>
    <n v="22.82"/>
    <m/>
    <m/>
    <m/>
    <n v="22.82"/>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4/18/2023"/>
    <x v="10"/>
    <n v="7159462"/>
    <s v="Click Here To View"/>
    <s v="Demolition"/>
    <n v="14.22"/>
    <s v="100.00%"/>
    <s v="0.00%"/>
    <s v="100.00%"/>
    <s v="0.00%"/>
    <m/>
    <n v="14.22"/>
    <m/>
    <n v="14.22"/>
    <m/>
    <m/>
    <m/>
    <n v="14.22"/>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5/11/2023"/>
    <x v="11"/>
    <n v="7163221"/>
    <s v="Click Here To View"/>
    <s v="Demolition"/>
    <n v="19.28"/>
    <s v="100.00%"/>
    <s v="0.00%"/>
    <s v="100.00%"/>
    <s v="0.00%"/>
    <m/>
    <n v="19.28"/>
    <m/>
    <n v="19.28"/>
    <m/>
    <m/>
    <m/>
    <n v="19.28"/>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5/22/2023"/>
    <x v="11"/>
    <n v="7164757"/>
    <s v="Click Here To View"/>
    <s v="Demolition"/>
    <n v="18.690000000000001"/>
    <s v="100.00%"/>
    <s v="0.00%"/>
    <s v="100.00%"/>
    <s v="0.00%"/>
    <m/>
    <n v="18.690000000000001"/>
    <m/>
    <n v="18.690000000000001"/>
    <m/>
    <m/>
    <m/>
    <n v="18.690000000000001"/>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5/22/2023"/>
    <x v="11"/>
    <n v="7164758"/>
    <s v="Click Here To View"/>
    <s v="Demolition"/>
    <n v="19.13"/>
    <s v="100.00%"/>
    <s v="0.00%"/>
    <s v="100.00%"/>
    <s v="0.00%"/>
    <m/>
    <n v="19.13"/>
    <m/>
    <n v="19.13"/>
    <m/>
    <m/>
    <m/>
    <n v="19.13"/>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5/22/2023"/>
    <x v="11"/>
    <n v="7164762"/>
    <s v="Click Here To View"/>
    <s v="Demolition"/>
    <n v="21.84"/>
    <s v="100.00%"/>
    <s v="0.00%"/>
    <s v="100.00%"/>
    <s v="0.00%"/>
    <m/>
    <n v="21.84"/>
    <m/>
    <n v="21.84"/>
    <m/>
    <m/>
    <m/>
    <n v="21.84"/>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5/22/2023"/>
    <x v="11"/>
    <n v="7164786"/>
    <s v="Click Here To View"/>
    <s v="Demolition"/>
    <n v="22.75"/>
    <s v="100.00%"/>
    <s v="0.00%"/>
    <s v="100.00%"/>
    <s v="0.00%"/>
    <m/>
    <n v="22.75"/>
    <m/>
    <n v="22.75"/>
    <m/>
    <m/>
    <m/>
    <n v="22.75"/>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5/22/2023"/>
    <x v="11"/>
    <n v="7164787"/>
    <s v="Click Here To View"/>
    <s v="Demolition"/>
    <n v="23.16"/>
    <s v="100.00%"/>
    <s v="0.00%"/>
    <s v="100.00%"/>
    <s v="0.00%"/>
    <m/>
    <n v="23.16"/>
    <m/>
    <n v="23.16"/>
    <m/>
    <m/>
    <m/>
    <n v="23.16"/>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5/22/2023"/>
    <x v="11"/>
    <n v="7164789"/>
    <s v="Click Here To View"/>
    <s v="Demolition"/>
    <n v="22.2"/>
    <s v="100.00%"/>
    <s v="0.00%"/>
    <s v="100.00%"/>
    <s v="0.00%"/>
    <m/>
    <n v="22.2"/>
    <m/>
    <n v="22.2"/>
    <m/>
    <m/>
    <m/>
    <n v="22.2"/>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5/22/2023"/>
    <x v="11"/>
    <n v="7164814"/>
    <s v="Click Here To View"/>
    <s v="Demolition"/>
    <n v="21.12"/>
    <s v="100.00%"/>
    <s v="0.00%"/>
    <s v="100.00%"/>
    <s v="0.00%"/>
    <m/>
    <n v="21.12"/>
    <m/>
    <n v="21.12"/>
    <m/>
    <m/>
    <m/>
    <n v="21.12"/>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5/22/2023"/>
    <x v="11"/>
    <n v="7164816"/>
    <s v="Click Here To View"/>
    <s v="Demolition"/>
    <n v="22.65"/>
    <s v="100.00%"/>
    <s v="0.00%"/>
    <s v="100.00%"/>
    <s v="0.00%"/>
    <m/>
    <n v="22.65"/>
    <m/>
    <n v="22.65"/>
    <m/>
    <m/>
    <m/>
    <n v="22.65"/>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5/22/2023"/>
    <x v="11"/>
    <n v="7164818"/>
    <s v="Click Here To View"/>
    <s v="Demolition"/>
    <n v="16.88"/>
    <s v="100.00%"/>
    <s v="0.00%"/>
    <s v="100.00%"/>
    <s v="0.00%"/>
    <m/>
    <n v="16.88"/>
    <m/>
    <n v="16.88"/>
    <m/>
    <m/>
    <m/>
    <n v="16.88"/>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5/22/2023"/>
    <x v="11"/>
    <n v="7164863"/>
    <s v="Click Here To View"/>
    <s v="Demolition"/>
    <n v="18.21"/>
    <s v="100.00%"/>
    <s v="0.00%"/>
    <s v="100.00%"/>
    <s v="0.00%"/>
    <m/>
    <n v="18.21"/>
    <m/>
    <n v="18.21"/>
    <m/>
    <m/>
    <m/>
    <n v="18.21"/>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5/22/2023"/>
    <x v="11"/>
    <n v="7164864"/>
    <s v="Click Here To View"/>
    <s v="Demolition"/>
    <n v="20.149999999999999"/>
    <s v="100.00%"/>
    <s v="0.00%"/>
    <s v="100.00%"/>
    <s v="0.00%"/>
    <m/>
    <n v="20.149999999999999"/>
    <m/>
    <n v="20.149999999999999"/>
    <m/>
    <m/>
    <m/>
    <n v="20.149999999999999"/>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5/22/2023"/>
    <x v="11"/>
    <n v="7164865"/>
    <s v="Click Here To View"/>
    <s v="Demolition"/>
    <n v="21.11"/>
    <s v="100.00%"/>
    <s v="0.00%"/>
    <s v="100.00%"/>
    <s v="0.00%"/>
    <m/>
    <n v="21.11"/>
    <m/>
    <n v="21.11"/>
    <m/>
    <m/>
    <m/>
    <n v="21.11"/>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5/22/2023"/>
    <x v="11"/>
    <n v="7164873"/>
    <s v="Click Here To View"/>
    <s v="Demolition"/>
    <n v="26.15"/>
    <s v="100.00%"/>
    <s v="0.00%"/>
    <s v="100.00%"/>
    <s v="0.00%"/>
    <m/>
    <n v="26.15"/>
    <m/>
    <n v="26.15"/>
    <m/>
    <m/>
    <m/>
    <n v="26.15"/>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5/22/2023"/>
    <x v="11"/>
    <n v="7164874"/>
    <s v="Click Here To View"/>
    <s v="Demolition"/>
    <n v="21.1"/>
    <s v="100.00%"/>
    <s v="0.00%"/>
    <s v="100.00%"/>
    <s v="0.00%"/>
    <m/>
    <n v="21.1"/>
    <m/>
    <n v="21.1"/>
    <m/>
    <m/>
    <m/>
    <n v="21.1"/>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5/22/2023"/>
    <x v="11"/>
    <n v="7164878"/>
    <s v="Click Here To View"/>
    <s v="Demolition"/>
    <n v="22.61"/>
    <s v="100.00%"/>
    <s v="0.00%"/>
    <s v="100.00%"/>
    <s v="0.00%"/>
    <m/>
    <n v="22.61"/>
    <m/>
    <n v="22.61"/>
    <m/>
    <m/>
    <m/>
    <n v="22.61"/>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5/22/2023"/>
    <x v="11"/>
    <n v="7164898"/>
    <s v="Click Here To View"/>
    <s v="Demolition"/>
    <n v="22.05"/>
    <s v="100.00%"/>
    <s v="0.00%"/>
    <s v="100.00%"/>
    <s v="0.00%"/>
    <m/>
    <n v="22.05"/>
    <m/>
    <n v="22.05"/>
    <m/>
    <m/>
    <m/>
    <n v="22.05"/>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5/22/2023"/>
    <x v="11"/>
    <n v="7164902"/>
    <s v="Click Here To View"/>
    <s v="Demolition"/>
    <n v="24.43"/>
    <s v="100.00%"/>
    <s v="0.00%"/>
    <s v="100.00%"/>
    <s v="0.00%"/>
    <m/>
    <n v="24.43"/>
    <m/>
    <n v="24.43"/>
    <m/>
    <m/>
    <m/>
    <n v="24.43"/>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5/22/2023"/>
    <x v="11"/>
    <n v="7164909"/>
    <s v="Click Here To View"/>
    <s v="Demolition"/>
    <n v="24.16"/>
    <s v="100.00%"/>
    <s v="0.00%"/>
    <s v="100.00%"/>
    <s v="0.00%"/>
    <m/>
    <n v="24.16"/>
    <m/>
    <n v="24.16"/>
    <m/>
    <m/>
    <m/>
    <n v="24.16"/>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5/22/2023"/>
    <x v="11"/>
    <n v="7164904"/>
    <s v="Click Here To View"/>
    <s v="Demolition"/>
    <n v="25.6"/>
    <s v="100.00%"/>
    <s v="0.00%"/>
    <s v="100.00%"/>
    <s v="0.00%"/>
    <m/>
    <n v="25.6"/>
    <m/>
    <n v="25.6"/>
    <m/>
    <m/>
    <m/>
    <n v="25.6"/>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5/22/2023"/>
    <x v="11"/>
    <n v="7164910"/>
    <s v="Click Here To View"/>
    <s v="Demolition"/>
    <n v="22.85"/>
    <s v="100.00%"/>
    <s v="0.00%"/>
    <s v="100.00%"/>
    <s v="0.00%"/>
    <m/>
    <n v="22.85"/>
    <m/>
    <n v="22.85"/>
    <m/>
    <m/>
    <m/>
    <n v="22.85"/>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5/22/2023"/>
    <x v="11"/>
    <n v="7164912"/>
    <s v="Click Here To View"/>
    <s v="Demolition"/>
    <n v="4.57"/>
    <s v="100.00%"/>
    <s v="0.00%"/>
    <s v="100.00%"/>
    <s v="0.00%"/>
    <m/>
    <n v="4.57"/>
    <m/>
    <n v="4.57"/>
    <m/>
    <m/>
    <m/>
    <n v="4.57"/>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5/23/2023"/>
    <x v="11"/>
    <n v="7165033"/>
    <s v="Click Here To View"/>
    <s v="Demolition"/>
    <n v="21.83"/>
    <s v="100.00%"/>
    <s v="0.00%"/>
    <s v="100.00%"/>
    <s v="0.00%"/>
    <m/>
    <n v="21.83"/>
    <m/>
    <n v="21.83"/>
    <m/>
    <m/>
    <m/>
    <n v="21.83"/>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5/23/2023"/>
    <x v="11"/>
    <n v="7165035"/>
    <s v="Click Here To View"/>
    <s v="Demolition"/>
    <n v="20.84"/>
    <s v="100.00%"/>
    <s v="0.00%"/>
    <s v="100.00%"/>
    <s v="0.00%"/>
    <m/>
    <n v="20.84"/>
    <m/>
    <n v="20.84"/>
    <m/>
    <m/>
    <m/>
    <n v="20.84"/>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5/23/2023"/>
    <x v="11"/>
    <n v="7165038"/>
    <s v="Click Here To View"/>
    <s v="Demolition"/>
    <n v="21.66"/>
    <s v="100.00%"/>
    <s v="0.00%"/>
    <s v="100.00%"/>
    <s v="0.00%"/>
    <m/>
    <n v="21.66"/>
    <m/>
    <n v="21.66"/>
    <m/>
    <m/>
    <m/>
    <n v="21.66"/>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5/23/2023"/>
    <x v="11"/>
    <n v="7165041"/>
    <s v="Click Here To View"/>
    <s v="Demolition"/>
    <n v="19.04"/>
    <s v="100.00%"/>
    <s v="0.00%"/>
    <s v="100.00%"/>
    <s v="0.00%"/>
    <m/>
    <n v="19.04"/>
    <m/>
    <n v="19.04"/>
    <m/>
    <m/>
    <m/>
    <n v="19.04"/>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5/23/2023"/>
    <x v="11"/>
    <n v="7165069"/>
    <s v="Click Here To View"/>
    <s v="Demolition"/>
    <n v="21.31"/>
    <s v="100.00%"/>
    <s v="0.00%"/>
    <s v="100.00%"/>
    <s v="0.00%"/>
    <m/>
    <n v="21.31"/>
    <m/>
    <n v="21.31"/>
    <m/>
    <m/>
    <m/>
    <n v="21.31"/>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5/23/2023"/>
    <x v="11"/>
    <n v="7165070"/>
    <s v="Click Here To View"/>
    <s v="Demolition"/>
    <n v="20.51"/>
    <s v="100.00%"/>
    <s v="0.00%"/>
    <s v="100.00%"/>
    <s v="0.00%"/>
    <m/>
    <n v="20.51"/>
    <m/>
    <n v="20.51"/>
    <m/>
    <m/>
    <m/>
    <n v="20.51"/>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5/23/2023"/>
    <x v="11"/>
    <n v="7165074"/>
    <s v="Click Here To View"/>
    <s v="Demolition"/>
    <n v="20.14"/>
    <s v="100.00%"/>
    <s v="0.00%"/>
    <s v="100.00%"/>
    <s v="0.00%"/>
    <m/>
    <n v="20.14"/>
    <m/>
    <n v="20.14"/>
    <m/>
    <m/>
    <m/>
    <n v="20.14"/>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5/23/2023"/>
    <x v="11"/>
    <n v="7165075"/>
    <s v="Click Here To View"/>
    <s v="Demolition"/>
    <n v="22.93"/>
    <s v="100.00%"/>
    <s v="0.00%"/>
    <s v="100.00%"/>
    <s v="0.00%"/>
    <m/>
    <n v="22.93"/>
    <m/>
    <n v="22.93"/>
    <m/>
    <m/>
    <m/>
    <n v="22.93"/>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5/23/2023"/>
    <x v="11"/>
    <n v="7165076"/>
    <s v="Click Here To View"/>
    <s v="Demolition"/>
    <n v="17.25"/>
    <s v="100.00%"/>
    <s v="0.00%"/>
    <s v="100.00%"/>
    <s v="0.00%"/>
    <m/>
    <n v="17.25"/>
    <m/>
    <n v="17.25"/>
    <m/>
    <m/>
    <m/>
    <n v="17.25"/>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5/23/2023"/>
    <x v="11"/>
    <n v="7165090"/>
    <s v="Click Here To View"/>
    <s v="Demolition"/>
    <n v="24.27"/>
    <s v="100.00%"/>
    <s v="0.00%"/>
    <s v="100.00%"/>
    <s v="0.00%"/>
    <m/>
    <n v="24.27"/>
    <m/>
    <n v="24.27"/>
    <m/>
    <m/>
    <m/>
    <n v="24.27"/>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5/23/2023"/>
    <x v="11"/>
    <n v="7165110"/>
    <s v="Click Here To View"/>
    <s v="Demolition"/>
    <n v="23.81"/>
    <s v="100.00%"/>
    <s v="0.00%"/>
    <s v="100.00%"/>
    <s v="0.00%"/>
    <m/>
    <n v="23.81"/>
    <m/>
    <n v="23.81"/>
    <m/>
    <m/>
    <m/>
    <n v="23.81"/>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5/23/2023"/>
    <x v="11"/>
    <n v="7165111"/>
    <s v="Click Here To View"/>
    <s v="Demolition"/>
    <n v="19.68"/>
    <s v="100.00%"/>
    <s v="0.00%"/>
    <s v="100.00%"/>
    <s v="0.00%"/>
    <m/>
    <n v="19.68"/>
    <m/>
    <n v="19.68"/>
    <m/>
    <m/>
    <m/>
    <n v="19.68"/>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5/23/2023"/>
    <x v="11"/>
    <n v="7165114"/>
    <s v="Click Here To View"/>
    <s v="Demolition"/>
    <n v="18.899999999999999"/>
    <s v="100.00%"/>
    <s v="0.00%"/>
    <s v="100.00%"/>
    <s v="0.00%"/>
    <m/>
    <n v="18.899999999999999"/>
    <m/>
    <n v="18.899999999999999"/>
    <m/>
    <m/>
    <m/>
    <n v="18.899999999999999"/>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5/23/2023"/>
    <x v="11"/>
    <n v="7165115"/>
    <s v="Click Here To View"/>
    <s v="Demolition"/>
    <n v="19.309999999999999"/>
    <s v="100.00%"/>
    <s v="0.00%"/>
    <s v="100.00%"/>
    <s v="0.00%"/>
    <m/>
    <n v="19.309999999999999"/>
    <m/>
    <n v="19.309999999999999"/>
    <m/>
    <m/>
    <m/>
    <n v="19.309999999999999"/>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5/23/2023"/>
    <x v="11"/>
    <n v="7165118"/>
    <s v="Click Here To View"/>
    <s v="Demolition"/>
    <n v="21.95"/>
    <s v="100.00%"/>
    <s v="0.00%"/>
    <s v="100.00%"/>
    <s v="0.00%"/>
    <m/>
    <n v="21.95"/>
    <m/>
    <n v="21.95"/>
    <m/>
    <m/>
    <m/>
    <n v="21.95"/>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5/23/2023"/>
    <x v="11"/>
    <n v="7165122"/>
    <s v="Click Here To View"/>
    <s v="Demolition"/>
    <n v="22.62"/>
    <s v="100.00%"/>
    <s v="0.00%"/>
    <s v="100.00%"/>
    <s v="0.00%"/>
    <m/>
    <n v="22.62"/>
    <m/>
    <n v="22.62"/>
    <m/>
    <m/>
    <m/>
    <n v="22.62"/>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5/23/2023"/>
    <x v="11"/>
    <n v="7165146"/>
    <s v="Click Here To View"/>
    <s v="Demolition"/>
    <n v="22.43"/>
    <s v="100.00%"/>
    <s v="0.00%"/>
    <s v="100.00%"/>
    <s v="0.00%"/>
    <m/>
    <n v="22.43"/>
    <m/>
    <n v="22.43"/>
    <m/>
    <m/>
    <m/>
    <n v="22.43"/>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5/23/2023"/>
    <x v="11"/>
    <n v="7165147"/>
    <s v="Click Here To View"/>
    <s v="Demolition"/>
    <n v="24.39"/>
    <s v="100.00%"/>
    <s v="0.00%"/>
    <s v="100.00%"/>
    <s v="0.00%"/>
    <m/>
    <n v="24.39"/>
    <m/>
    <n v="24.39"/>
    <m/>
    <m/>
    <m/>
    <n v="24.39"/>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5/23/2023"/>
    <x v="11"/>
    <n v="7165158"/>
    <s v="Click Here To View"/>
    <s v="Demolition"/>
    <n v="24.87"/>
    <s v="100.00%"/>
    <s v="0.00%"/>
    <s v="100.00%"/>
    <s v="0.00%"/>
    <m/>
    <n v="24.87"/>
    <m/>
    <n v="24.87"/>
    <m/>
    <m/>
    <m/>
    <n v="24.87"/>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5/24/2023"/>
    <x v="11"/>
    <n v="7165261"/>
    <s v="Click Here To View"/>
    <s v="Demolition"/>
    <n v="21.87"/>
    <s v="100.00%"/>
    <s v="0.00%"/>
    <s v="100.00%"/>
    <s v="0.00%"/>
    <m/>
    <n v="21.87"/>
    <m/>
    <n v="21.87"/>
    <m/>
    <m/>
    <m/>
    <n v="21.87"/>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5/24/2023"/>
    <x v="11"/>
    <n v="7165287"/>
    <s v="Click Here To View"/>
    <s v="Demolition"/>
    <n v="24.97"/>
    <s v="100.00%"/>
    <s v="0.00%"/>
    <s v="100.00%"/>
    <s v="0.00%"/>
    <m/>
    <n v="24.97"/>
    <m/>
    <n v="24.97"/>
    <m/>
    <m/>
    <m/>
    <n v="24.97"/>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5/24/2023"/>
    <x v="11"/>
    <n v="7165292"/>
    <s v="Click Here To View"/>
    <s v="Demolition"/>
    <n v="24.81"/>
    <s v="100.00%"/>
    <s v="0.00%"/>
    <s v="100.00%"/>
    <s v="0.00%"/>
    <m/>
    <n v="24.81"/>
    <m/>
    <n v="24.81"/>
    <m/>
    <m/>
    <m/>
    <n v="24.81"/>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5/24/2023"/>
    <x v="11"/>
    <n v="7165294"/>
    <s v="Click Here To View"/>
    <s v="Demolition"/>
    <n v="27.77"/>
    <s v="100.00%"/>
    <s v="0.00%"/>
    <s v="100.00%"/>
    <s v="0.00%"/>
    <m/>
    <n v="27.77"/>
    <m/>
    <n v="27.77"/>
    <m/>
    <m/>
    <m/>
    <n v="27.77"/>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5/24/2023"/>
    <x v="11"/>
    <n v="7165295"/>
    <s v="Click Here To View"/>
    <s v="Demolition"/>
    <n v="24.34"/>
    <s v="100.00%"/>
    <s v="0.00%"/>
    <s v="100.00%"/>
    <s v="0.00%"/>
    <m/>
    <n v="24.34"/>
    <m/>
    <n v="24.34"/>
    <m/>
    <m/>
    <m/>
    <n v="24.34"/>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5/24/2023"/>
    <x v="11"/>
    <n v="7165301"/>
    <s v="Click Here To View"/>
    <s v="Demolition"/>
    <n v="22.61"/>
    <s v="100.00%"/>
    <s v="0.00%"/>
    <s v="100.00%"/>
    <s v="0.00%"/>
    <m/>
    <n v="22.61"/>
    <m/>
    <n v="22.61"/>
    <m/>
    <m/>
    <m/>
    <n v="22.61"/>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5/24/2023"/>
    <x v="11"/>
    <n v="7165305"/>
    <s v="Click Here To View"/>
    <s v="Demolition"/>
    <n v="22.86"/>
    <s v="100.00%"/>
    <s v="0.00%"/>
    <s v="100.00%"/>
    <s v="0.00%"/>
    <m/>
    <n v="22.86"/>
    <m/>
    <n v="22.86"/>
    <m/>
    <m/>
    <m/>
    <n v="22.86"/>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5/24/2023"/>
    <x v="11"/>
    <n v="7165309"/>
    <s v="Click Here To View"/>
    <s v="Demolition"/>
    <n v="19.7"/>
    <s v="100.00%"/>
    <s v="0.00%"/>
    <s v="100.00%"/>
    <s v="0.00%"/>
    <m/>
    <n v="19.7"/>
    <m/>
    <n v="19.7"/>
    <m/>
    <m/>
    <m/>
    <n v="19.7"/>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5/24/2023"/>
    <x v="11"/>
    <n v="7165312"/>
    <s v="Click Here To View"/>
    <s v="Demolition"/>
    <n v="21.17"/>
    <s v="100.00%"/>
    <s v="0.00%"/>
    <s v="100.00%"/>
    <s v="0.00%"/>
    <m/>
    <n v="21.17"/>
    <m/>
    <n v="21.17"/>
    <m/>
    <m/>
    <m/>
    <n v="21.17"/>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5/24/2023"/>
    <x v="11"/>
    <n v="7165313"/>
    <s v="Click Here To View"/>
    <s v="Demolition"/>
    <n v="22.15"/>
    <s v="100.00%"/>
    <s v="0.00%"/>
    <s v="100.00%"/>
    <s v="0.00%"/>
    <m/>
    <n v="22.15"/>
    <m/>
    <n v="22.15"/>
    <m/>
    <m/>
    <m/>
    <n v="22.15"/>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5/24/2023"/>
    <x v="11"/>
    <n v="7165317"/>
    <s v="Click Here To View"/>
    <s v="Demolition"/>
    <n v="22"/>
    <s v="100.00%"/>
    <s v="0.00%"/>
    <s v="100.00%"/>
    <s v="0.00%"/>
    <m/>
    <n v="22"/>
    <m/>
    <n v="22"/>
    <m/>
    <m/>
    <m/>
    <n v="22"/>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5/24/2023"/>
    <x v="11"/>
    <n v="7165326"/>
    <s v="Click Here To View"/>
    <s v="Demolition"/>
    <n v="24.37"/>
    <s v="100.00%"/>
    <s v="0.00%"/>
    <s v="100.00%"/>
    <s v="0.00%"/>
    <m/>
    <n v="24.37"/>
    <m/>
    <n v="24.37"/>
    <m/>
    <m/>
    <m/>
    <n v="24.37"/>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5/24/2023"/>
    <x v="11"/>
    <n v="7165335"/>
    <s v="Click Here To View"/>
    <s v="Demolition"/>
    <n v="24.1"/>
    <s v="100.00%"/>
    <s v="0.00%"/>
    <s v="100.00%"/>
    <s v="0.00%"/>
    <m/>
    <n v="24.1"/>
    <m/>
    <n v="24.1"/>
    <m/>
    <m/>
    <m/>
    <n v="24.1"/>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5/24/2023"/>
    <x v="11"/>
    <n v="7165344"/>
    <s v="Click Here To View"/>
    <s v="Demolition"/>
    <n v="23.66"/>
    <s v="100.00%"/>
    <s v="0.00%"/>
    <s v="100.00%"/>
    <s v="0.00%"/>
    <m/>
    <n v="23.66"/>
    <m/>
    <n v="23.66"/>
    <m/>
    <m/>
    <m/>
    <n v="23.66"/>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5/24/2023"/>
    <x v="11"/>
    <n v="7165349"/>
    <s v="Click Here To View"/>
    <s v="Demolition"/>
    <n v="15.92"/>
    <s v="100.00%"/>
    <s v="0.00%"/>
    <s v="100.00%"/>
    <s v="0.00%"/>
    <m/>
    <n v="15.92"/>
    <m/>
    <n v="15.92"/>
    <m/>
    <m/>
    <m/>
    <n v="15.92"/>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5/24/2023"/>
    <x v="11"/>
    <n v="7165350"/>
    <s v="Click Here To View"/>
    <s v="Demolition"/>
    <n v="22.72"/>
    <s v="100.00%"/>
    <s v="0.00%"/>
    <s v="100.00%"/>
    <s v="0.00%"/>
    <m/>
    <n v="22.72"/>
    <m/>
    <n v="22.72"/>
    <m/>
    <m/>
    <m/>
    <n v="22.72"/>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5/24/2023"/>
    <x v="11"/>
    <n v="7165351"/>
    <s v="Click Here To View"/>
    <s v="Demolition"/>
    <n v="23.15"/>
    <s v="100.00%"/>
    <s v="0.00%"/>
    <s v="100.00%"/>
    <s v="0.00%"/>
    <m/>
    <n v="23.15"/>
    <m/>
    <n v="23.15"/>
    <m/>
    <m/>
    <m/>
    <n v="23.15"/>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5/24/2023"/>
    <x v="11"/>
    <n v="7165352"/>
    <s v="Click Here To View"/>
    <s v="Demolition"/>
    <n v="19.45"/>
    <s v="100.00%"/>
    <s v="0.00%"/>
    <s v="100.00%"/>
    <s v="0.00%"/>
    <m/>
    <n v="19.45"/>
    <m/>
    <n v="19.45"/>
    <m/>
    <m/>
    <m/>
    <n v="19.45"/>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5/24/2023"/>
    <x v="11"/>
    <n v="7165358"/>
    <s v="Click Here To View"/>
    <s v="Demolition"/>
    <n v="22.35"/>
    <s v="100.00%"/>
    <s v="0.00%"/>
    <s v="100.00%"/>
    <s v="0.00%"/>
    <m/>
    <n v="22.35"/>
    <m/>
    <n v="22.35"/>
    <m/>
    <m/>
    <m/>
    <n v="22.35"/>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5/24/2023"/>
    <x v="11"/>
    <n v="7165361"/>
    <s v="Click Here To View"/>
    <s v="Demolition"/>
    <n v="22.75"/>
    <s v="100.00%"/>
    <s v="0.00%"/>
    <s v="100.00%"/>
    <s v="0.00%"/>
    <m/>
    <n v="22.75"/>
    <m/>
    <n v="22.75"/>
    <m/>
    <m/>
    <m/>
    <n v="22.75"/>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5/24/2023"/>
    <x v="11"/>
    <n v="7165369"/>
    <s v="Click Here To View"/>
    <s v="Demolition"/>
    <n v="21.11"/>
    <s v="100.00%"/>
    <s v="0.00%"/>
    <s v="100.00%"/>
    <s v="0.00%"/>
    <m/>
    <n v="21.11"/>
    <m/>
    <n v="21.11"/>
    <m/>
    <m/>
    <m/>
    <n v="21.11"/>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5/24/2023"/>
    <x v="11"/>
    <n v="7165370"/>
    <s v="Click Here To View"/>
    <s v="Demolition"/>
    <n v="22.95"/>
    <s v="100.00%"/>
    <s v="0.00%"/>
    <s v="100.00%"/>
    <s v="0.00%"/>
    <m/>
    <n v="22.95"/>
    <m/>
    <n v="22.95"/>
    <m/>
    <m/>
    <m/>
    <n v="22.95"/>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5/25/2023"/>
    <x v="11"/>
    <n v="7165493"/>
    <s v="Click Here To View"/>
    <s v="Demolition"/>
    <n v="23.31"/>
    <s v="100.00%"/>
    <s v="0.00%"/>
    <s v="100.00%"/>
    <s v="0.00%"/>
    <m/>
    <n v="23.31"/>
    <m/>
    <n v="23.31"/>
    <m/>
    <m/>
    <m/>
    <n v="23.31"/>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5/25/2023"/>
    <x v="11"/>
    <n v="7165494"/>
    <s v="Click Here To View"/>
    <s v="Demolition"/>
    <n v="22.17"/>
    <s v="100.00%"/>
    <s v="0.00%"/>
    <s v="100.00%"/>
    <s v="0.00%"/>
    <m/>
    <n v="22.17"/>
    <m/>
    <n v="22.17"/>
    <m/>
    <m/>
    <m/>
    <n v="22.17"/>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5/25/2023"/>
    <x v="11"/>
    <n v="7165501"/>
    <s v="Click Here To View"/>
    <s v="Demolition"/>
    <n v="25.6"/>
    <s v="100.00%"/>
    <s v="0.00%"/>
    <s v="100.00%"/>
    <s v="0.00%"/>
    <m/>
    <n v="25.6"/>
    <m/>
    <n v="25.6"/>
    <m/>
    <m/>
    <m/>
    <n v="25.6"/>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5/25/2023"/>
    <x v="11"/>
    <n v="7165507"/>
    <s v="Click Here To View"/>
    <s v="Demolition"/>
    <n v="23.02"/>
    <s v="100.00%"/>
    <s v="0.00%"/>
    <s v="100.00%"/>
    <s v="0.00%"/>
    <m/>
    <n v="23.02"/>
    <m/>
    <n v="23.02"/>
    <m/>
    <m/>
    <m/>
    <n v="23.02"/>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5/31/2023"/>
    <x v="11"/>
    <n v="7166347"/>
    <s v="Click Here To View"/>
    <s v="Demolition"/>
    <n v="21.21"/>
    <s v="100.00%"/>
    <s v="0.00%"/>
    <s v="100.00%"/>
    <s v="0.00%"/>
    <m/>
    <n v="21.21"/>
    <m/>
    <n v="21.21"/>
    <m/>
    <m/>
    <m/>
    <n v="21.21"/>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5/31/2023"/>
    <x v="11"/>
    <n v="7166349"/>
    <s v="Click Here To View"/>
    <s v="Demolition"/>
    <n v="18.87"/>
    <s v="100.00%"/>
    <s v="0.00%"/>
    <s v="100.00%"/>
    <s v="0.00%"/>
    <m/>
    <n v="18.87"/>
    <m/>
    <n v="18.87"/>
    <m/>
    <m/>
    <m/>
    <n v="18.87"/>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6/01/2023"/>
    <x v="12"/>
    <n v="7166430"/>
    <s v="Click Here To View"/>
    <s v="Demolition"/>
    <n v="14.33"/>
    <s v="100.00%"/>
    <s v="0.00%"/>
    <s v="100.00%"/>
    <s v="0.00%"/>
    <m/>
    <n v="14.33"/>
    <m/>
    <n v="14.33"/>
    <m/>
    <m/>
    <m/>
    <n v="14.33"/>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6/01/2023"/>
    <x v="12"/>
    <n v="7166440"/>
    <s v="Click Here To View"/>
    <s v="Demolition"/>
    <n v="15.42"/>
    <s v="100.00%"/>
    <s v="0.00%"/>
    <s v="100.00%"/>
    <s v="0.00%"/>
    <m/>
    <n v="15.42"/>
    <m/>
    <n v="15.42"/>
    <m/>
    <m/>
    <m/>
    <n v="15.42"/>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6/01/2023"/>
    <x v="12"/>
    <n v="7166450"/>
    <s v="Click Here To View"/>
    <s v="Demolition"/>
    <n v="17.82"/>
    <s v="100.00%"/>
    <s v="0.00%"/>
    <s v="100.00%"/>
    <s v="0.00%"/>
    <m/>
    <n v="17.82"/>
    <m/>
    <n v="17.82"/>
    <m/>
    <m/>
    <m/>
    <n v="17.82"/>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6/01/2023"/>
    <x v="12"/>
    <n v="7166517"/>
    <s v="Click Here To View"/>
    <s v="Demolition"/>
    <n v="21.57"/>
    <s v="100.00%"/>
    <s v="0.00%"/>
    <s v="100.00%"/>
    <s v="0.00%"/>
    <m/>
    <n v="21.57"/>
    <m/>
    <n v="21.57"/>
    <m/>
    <m/>
    <m/>
    <n v="21.57"/>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6/01/2023"/>
    <x v="12"/>
    <n v="7166520"/>
    <s v="Click Here To View"/>
    <s v="Demolition"/>
    <n v="18.46"/>
    <s v="100.00%"/>
    <s v="0.00%"/>
    <s v="100.00%"/>
    <s v="0.00%"/>
    <m/>
    <n v="18.46"/>
    <m/>
    <n v="18.46"/>
    <m/>
    <m/>
    <m/>
    <n v="18.46"/>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6/01/2023"/>
    <x v="12"/>
    <n v="7166534"/>
    <s v="Click Here To View"/>
    <s v="Demolition"/>
    <n v="17.68"/>
    <s v="100.00%"/>
    <s v="0.00%"/>
    <s v="100.00%"/>
    <s v="0.00%"/>
    <m/>
    <n v="17.68"/>
    <m/>
    <n v="17.68"/>
    <m/>
    <m/>
    <m/>
    <n v="17.68"/>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6/01/2023"/>
    <x v="12"/>
    <n v="7166555"/>
    <s v="Click Here To View"/>
    <s v="Demolition"/>
    <n v="18.39"/>
    <s v="100.00%"/>
    <s v="0.00%"/>
    <s v="100.00%"/>
    <s v="0.00%"/>
    <m/>
    <n v="18.39"/>
    <m/>
    <n v="18.39"/>
    <m/>
    <m/>
    <m/>
    <n v="18.39"/>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6/01/2023"/>
    <x v="12"/>
    <n v="7166574"/>
    <s v="Click Here To View"/>
    <s v="Demolition"/>
    <n v="16.63"/>
    <s v="100.00%"/>
    <s v="0.00%"/>
    <s v="100.00%"/>
    <s v="0.00%"/>
    <m/>
    <n v="16.63"/>
    <m/>
    <n v="16.63"/>
    <m/>
    <m/>
    <m/>
    <n v="16.63"/>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6/01/2023"/>
    <x v="12"/>
    <n v="7166576"/>
    <s v="Click Here To View"/>
    <s v="Demolition"/>
    <n v="18.690000000000001"/>
    <s v="100.00%"/>
    <s v="0.00%"/>
    <s v="100.00%"/>
    <s v="0.00%"/>
    <m/>
    <n v="18.690000000000001"/>
    <m/>
    <n v="18.690000000000001"/>
    <m/>
    <m/>
    <m/>
    <n v="18.690000000000001"/>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6/14/2023"/>
    <x v="12"/>
    <n v="7169038"/>
    <s v="Click Here To View"/>
    <s v="Demolition"/>
    <n v="23.45"/>
    <s v="100.00%"/>
    <s v="0.00%"/>
    <s v="100.00%"/>
    <s v="0.00%"/>
    <m/>
    <n v="23.45"/>
    <m/>
    <n v="23.45"/>
    <m/>
    <m/>
    <m/>
    <n v="23.45"/>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6/14/2023"/>
    <x v="12"/>
    <n v="7169074"/>
    <s v="Click Here To View"/>
    <s v="Demolition"/>
    <n v="26.07"/>
    <s v="100.00%"/>
    <s v="0.00%"/>
    <s v="100.00%"/>
    <s v="0.00%"/>
    <m/>
    <n v="26.07"/>
    <m/>
    <n v="26.07"/>
    <m/>
    <m/>
    <m/>
    <n v="26.07"/>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6/15/2023"/>
    <x v="12"/>
    <n v="7169135"/>
    <s v="Click Here To View"/>
    <s v="Demolition"/>
    <n v="20.18"/>
    <s v="100.00%"/>
    <s v="0.00%"/>
    <s v="100.00%"/>
    <s v="0.00%"/>
    <m/>
    <n v="20.18"/>
    <m/>
    <n v="20.18"/>
    <m/>
    <m/>
    <m/>
    <n v="20.18"/>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6/15/2023"/>
    <x v="12"/>
    <n v="7169137"/>
    <s v="Click Here To View"/>
    <s v="Demolition"/>
    <n v="20.88"/>
    <s v="100.00%"/>
    <s v="0.00%"/>
    <s v="100.00%"/>
    <s v="0.00%"/>
    <m/>
    <n v="20.88"/>
    <m/>
    <n v="20.88"/>
    <m/>
    <m/>
    <m/>
    <n v="20.88"/>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6/15/2023"/>
    <x v="12"/>
    <n v="7169213"/>
    <s v="Click Here To View"/>
    <s v="Demolition"/>
    <n v="23.81"/>
    <s v="100.00%"/>
    <s v="0.00%"/>
    <s v="100.00%"/>
    <s v="0.00%"/>
    <m/>
    <n v="23.81"/>
    <m/>
    <n v="23.81"/>
    <m/>
    <m/>
    <m/>
    <n v="23.81"/>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6/15/2023"/>
    <x v="12"/>
    <n v="7169217"/>
    <s v="Click Here To View"/>
    <s v="Demolition"/>
    <n v="19.41"/>
    <s v="100.00%"/>
    <s v="0.00%"/>
    <s v="100.00%"/>
    <s v="0.00%"/>
    <m/>
    <n v="19.41"/>
    <m/>
    <n v="19.41"/>
    <m/>
    <m/>
    <m/>
    <n v="19.41"/>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6/15/2023"/>
    <x v="12"/>
    <n v="7169281"/>
    <s v="Click Here To View"/>
    <s v="Demolition"/>
    <n v="19.079999999999998"/>
    <s v="100.00%"/>
    <s v="0.00%"/>
    <s v="100.00%"/>
    <s v="0.00%"/>
    <m/>
    <n v="19.079999999999998"/>
    <m/>
    <n v="19.079999999999998"/>
    <m/>
    <m/>
    <m/>
    <n v="19.079999999999998"/>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6/21/2023"/>
    <x v="12"/>
    <n v="7170189"/>
    <s v="Click Here To View"/>
    <s v="Demolition"/>
    <n v="41.73"/>
    <s v="100.00%"/>
    <s v="0.00%"/>
    <s v="100.00%"/>
    <s v="0.00%"/>
    <m/>
    <n v="41.73"/>
    <m/>
    <n v="41.73"/>
    <m/>
    <m/>
    <m/>
    <n v="41.73"/>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6/21/2023"/>
    <x v="12"/>
    <n v="7170252"/>
    <s v="Click Here To View"/>
    <s v="Demolition"/>
    <n v="34.6"/>
    <s v="100.00%"/>
    <s v="0.00%"/>
    <s v="100.00%"/>
    <s v="0.00%"/>
    <m/>
    <n v="34.6"/>
    <m/>
    <n v="34.6"/>
    <m/>
    <m/>
    <m/>
    <n v="34.6"/>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6/21/2023"/>
    <x v="12"/>
    <n v="7170259"/>
    <s v="Click Here To View"/>
    <s v="Demolition"/>
    <n v="18.920000000000002"/>
    <s v="100.00%"/>
    <s v="0.00%"/>
    <s v="100.00%"/>
    <s v="0.00%"/>
    <m/>
    <n v="18.920000000000002"/>
    <m/>
    <n v="18.920000000000002"/>
    <m/>
    <m/>
    <m/>
    <n v="18.920000000000002"/>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6/21/2023"/>
    <x v="12"/>
    <n v="7170297"/>
    <s v="Click Here To View"/>
    <s v="Demolition"/>
    <n v="23.36"/>
    <s v="100.00%"/>
    <s v="0.00%"/>
    <s v="100.00%"/>
    <s v="0.00%"/>
    <m/>
    <n v="23.36"/>
    <m/>
    <n v="23.36"/>
    <m/>
    <m/>
    <m/>
    <n v="23.36"/>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6/21/2023"/>
    <x v="12"/>
    <n v="7170310"/>
    <s v="Click Here To View"/>
    <s v="Demolition"/>
    <n v="38.03"/>
    <s v="100.00%"/>
    <s v="0.00%"/>
    <s v="100.00%"/>
    <s v="0.00%"/>
    <m/>
    <n v="38.03"/>
    <m/>
    <n v="38.03"/>
    <m/>
    <m/>
    <m/>
    <n v="38.03"/>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6/21/2023"/>
    <x v="12"/>
    <n v="7170315"/>
    <s v="Click Here To View"/>
    <s v="Demolition"/>
    <n v="19.29"/>
    <s v="100.00%"/>
    <s v="0.00%"/>
    <s v="100.00%"/>
    <s v="0.00%"/>
    <m/>
    <n v="19.29"/>
    <m/>
    <n v="19.29"/>
    <m/>
    <m/>
    <m/>
    <n v="19.29"/>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6/21/2023"/>
    <x v="12"/>
    <n v="7170344"/>
    <s v="Click Here To View"/>
    <s v="Demolition"/>
    <n v="38.61"/>
    <s v="100.00%"/>
    <s v="0.00%"/>
    <s v="100.00%"/>
    <s v="0.00%"/>
    <m/>
    <n v="38.61"/>
    <m/>
    <n v="38.61"/>
    <m/>
    <m/>
    <m/>
    <n v="38.61"/>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6/21/2023"/>
    <x v="12"/>
    <n v="7170353"/>
    <s v="Click Here To View"/>
    <s v="Demolition"/>
    <n v="24.57"/>
    <s v="100.00%"/>
    <s v="0.00%"/>
    <s v="100.00%"/>
    <s v="0.00%"/>
    <m/>
    <n v="24.57"/>
    <m/>
    <n v="24.57"/>
    <m/>
    <m/>
    <m/>
    <n v="24.57"/>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6/21/2023"/>
    <x v="12"/>
    <n v="7170359"/>
    <s v="Click Here To View"/>
    <s v="Demolition"/>
    <n v="26.43"/>
    <s v="100.00%"/>
    <s v="0.00%"/>
    <s v="100.00%"/>
    <s v="0.00%"/>
    <m/>
    <n v="26.43"/>
    <m/>
    <n v="26.43"/>
    <m/>
    <m/>
    <m/>
    <n v="26.43"/>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6/21/2023"/>
    <x v="12"/>
    <n v="7170363"/>
    <s v="Click Here To View"/>
    <s v="Demolition"/>
    <n v="42.12"/>
    <s v="100.00%"/>
    <s v="0.00%"/>
    <s v="100.00%"/>
    <s v="0.00%"/>
    <m/>
    <n v="42.12"/>
    <m/>
    <n v="42.12"/>
    <m/>
    <m/>
    <m/>
    <n v="42.12"/>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6/21/2023"/>
    <x v="12"/>
    <n v="7170367"/>
    <s v="Click Here To View"/>
    <s v="Demolition"/>
    <n v="25.3"/>
    <s v="100.00%"/>
    <s v="0.00%"/>
    <s v="100.00%"/>
    <s v="0.00%"/>
    <m/>
    <n v="25.3"/>
    <m/>
    <n v="25.3"/>
    <m/>
    <m/>
    <m/>
    <n v="25.3"/>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6/22/2023"/>
    <x v="12"/>
    <n v="7170593"/>
    <s v="Click Here To View"/>
    <s v="Demolition"/>
    <n v="20.57"/>
    <s v="100.00%"/>
    <s v="0.00%"/>
    <s v="100.00%"/>
    <s v="0.00%"/>
    <m/>
    <n v="20.57"/>
    <m/>
    <n v="20.57"/>
    <m/>
    <m/>
    <m/>
    <n v="20.57"/>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6/22/2023"/>
    <x v="12"/>
    <n v="7170594"/>
    <s v="Click Here To View"/>
    <s v="Demolition"/>
    <n v="19.239999999999998"/>
    <s v="100.00%"/>
    <s v="0.00%"/>
    <s v="100.00%"/>
    <s v="0.00%"/>
    <m/>
    <n v="19.239999999999998"/>
    <m/>
    <n v="19.239999999999998"/>
    <m/>
    <m/>
    <m/>
    <n v="19.239999999999998"/>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6/22/2023"/>
    <x v="12"/>
    <n v="717.59500000000003"/>
    <s v="Click Here To View"/>
    <s v="Demolition"/>
    <n v="23.77"/>
    <s v="100.00%"/>
    <s v="0.00%"/>
    <s v="100.00%"/>
    <s v="0.00%"/>
    <m/>
    <n v="23.77"/>
    <m/>
    <n v="23.77"/>
    <m/>
    <m/>
    <m/>
    <n v="23.77"/>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6/22/2023"/>
    <x v="12"/>
    <n v="7170599"/>
    <s v="Click Here To View"/>
    <s v="Demolition"/>
    <n v="20.83"/>
    <s v="100.00%"/>
    <s v="0.00%"/>
    <s v="100.00%"/>
    <s v="0.00%"/>
    <m/>
    <n v="20.83"/>
    <m/>
    <n v="20.83"/>
    <m/>
    <m/>
    <m/>
    <n v="20.83"/>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6/22/2023"/>
    <x v="12"/>
    <n v="7170603"/>
    <s v="Click Here To View"/>
    <s v="Demolition"/>
    <n v="22.08"/>
    <s v="100.00%"/>
    <s v="0.00%"/>
    <s v="100.00%"/>
    <s v="0.00%"/>
    <m/>
    <n v="22.08"/>
    <m/>
    <n v="22.08"/>
    <m/>
    <m/>
    <m/>
    <n v="22.08"/>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6/22/2023"/>
    <x v="12"/>
    <n v="7170604"/>
    <s v="Click Here To View"/>
    <s v="Demolition"/>
    <n v="19.309999999999999"/>
    <s v="100.00%"/>
    <s v="0.00%"/>
    <s v="100.00%"/>
    <s v="0.00%"/>
    <m/>
    <n v="19.309999999999999"/>
    <m/>
    <n v="19.309999999999999"/>
    <m/>
    <m/>
    <m/>
    <n v="19.309999999999999"/>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6/22/2023"/>
    <x v="12"/>
    <n v="7170606"/>
    <s v="Click Here To View"/>
    <s v="Demolition"/>
    <n v="20.440000000000001"/>
    <s v="100.00%"/>
    <s v="0.00%"/>
    <s v="100.00%"/>
    <s v="0.00%"/>
    <m/>
    <n v="20.440000000000001"/>
    <m/>
    <n v="20.440000000000001"/>
    <m/>
    <m/>
    <m/>
    <n v="20.440000000000001"/>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6/22/2023"/>
    <x v="12"/>
    <n v="7170607"/>
    <s v="Click Here To View"/>
    <s v="Demolition"/>
    <n v="20.53"/>
    <s v="100.00%"/>
    <s v="0.00%"/>
    <s v="100.00%"/>
    <s v="0.00%"/>
    <m/>
    <n v="20.53"/>
    <m/>
    <n v="20.53"/>
    <m/>
    <m/>
    <m/>
    <n v="20.53"/>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6/22/2023"/>
    <x v="12"/>
    <n v="7170608"/>
    <s v="Click Here To View"/>
    <s v="Demolition"/>
    <n v="20.43"/>
    <s v="100.00%"/>
    <s v="0.00%"/>
    <s v="100.00%"/>
    <s v="0.00%"/>
    <m/>
    <n v="20.43"/>
    <m/>
    <n v="20.43"/>
    <m/>
    <m/>
    <m/>
    <n v="20.43"/>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6/22/2023"/>
    <x v="12"/>
    <n v="7170610"/>
    <s v="Click Here To View"/>
    <s v="Demolition"/>
    <n v="18"/>
    <s v="100.00%"/>
    <s v="0.00%"/>
    <s v="100.00%"/>
    <s v="0.00%"/>
    <m/>
    <n v="18"/>
    <m/>
    <n v="18"/>
    <m/>
    <m/>
    <m/>
    <n v="18"/>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6/23/2023"/>
    <x v="12"/>
    <n v="7170828"/>
    <s v="Click Here To View"/>
    <s v="Demolition"/>
    <n v="21.14"/>
    <s v="100.00%"/>
    <s v="0.00%"/>
    <s v="100.00%"/>
    <s v="0.00%"/>
    <m/>
    <n v="21.14"/>
    <m/>
    <n v="21.14"/>
    <m/>
    <m/>
    <m/>
    <n v="21.14"/>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6/23/2023"/>
    <x v="12"/>
    <n v="7170835"/>
    <s v="Click Here To View"/>
    <s v="Demolition"/>
    <n v="18.440000000000001"/>
    <s v="100.00%"/>
    <s v="0.00%"/>
    <s v="100.00%"/>
    <s v="0.00%"/>
    <m/>
    <n v="18.440000000000001"/>
    <m/>
    <n v="18.440000000000001"/>
    <m/>
    <m/>
    <m/>
    <n v="18.440000000000001"/>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6/23/2023"/>
    <x v="12"/>
    <n v="7170840"/>
    <s v="Click Here To View"/>
    <s v="Demolition"/>
    <n v="16.21"/>
    <s v="100.00%"/>
    <s v="0.00%"/>
    <s v="100.00%"/>
    <s v="0.00%"/>
    <m/>
    <n v="16.21"/>
    <m/>
    <n v="16.21"/>
    <m/>
    <m/>
    <m/>
    <n v="16.21"/>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6/23/2023"/>
    <x v="12"/>
    <n v="7170843"/>
    <s v="Click Here To View"/>
    <s v="Demolition"/>
    <n v="19.170000000000002"/>
    <s v="100.00%"/>
    <s v="0.00%"/>
    <s v="100.00%"/>
    <s v="0.00%"/>
    <m/>
    <n v="19.170000000000002"/>
    <m/>
    <n v="19.170000000000002"/>
    <m/>
    <m/>
    <m/>
    <n v="19.170000000000002"/>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6/23/2023"/>
    <x v="12"/>
    <n v="7170846"/>
    <s v="Click Here To View"/>
    <s v="Demolition"/>
    <n v="17.45"/>
    <s v="100.00%"/>
    <s v="0.00%"/>
    <s v="100.00%"/>
    <s v="0.00%"/>
    <m/>
    <n v="17.45"/>
    <m/>
    <n v="17.45"/>
    <m/>
    <m/>
    <m/>
    <n v="17.45"/>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6/23/2023"/>
    <x v="12"/>
    <n v="7170853"/>
    <s v="Click Here To View"/>
    <s v="Demolition"/>
    <n v="21.92"/>
    <s v="100.00%"/>
    <s v="0.00%"/>
    <s v="100.00%"/>
    <s v="0.00%"/>
    <m/>
    <n v="21.92"/>
    <m/>
    <n v="21.92"/>
    <m/>
    <m/>
    <m/>
    <n v="21.92"/>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6/23/2023"/>
    <x v="12"/>
    <n v="7170854"/>
    <s v="Click Here To View"/>
    <s v="Demolition"/>
    <n v="18.100000000000001"/>
    <s v="100.00%"/>
    <s v="0.00%"/>
    <s v="100.00%"/>
    <s v="0.00%"/>
    <m/>
    <n v="18.100000000000001"/>
    <m/>
    <n v="18.100000000000001"/>
    <m/>
    <m/>
    <m/>
    <n v="18.100000000000001"/>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6/23/2023"/>
    <x v="12"/>
    <n v="7170858"/>
    <s v="Click Here To View"/>
    <s v="Demolition"/>
    <n v="38.619999999999997"/>
    <s v="100.00%"/>
    <s v="0.00%"/>
    <s v="100.00%"/>
    <s v="0.00%"/>
    <m/>
    <n v="38.619999999999997"/>
    <m/>
    <n v="38.619999999999997"/>
    <m/>
    <m/>
    <m/>
    <n v="38.619999999999997"/>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6/23/2023"/>
    <x v="12"/>
    <n v="7170859"/>
    <s v="Click Here To View"/>
    <s v="Demolition"/>
    <n v="21.49"/>
    <s v="100.00%"/>
    <s v="0.00%"/>
    <s v="100.00%"/>
    <s v="0.00%"/>
    <m/>
    <n v="21.49"/>
    <m/>
    <n v="21.49"/>
    <m/>
    <m/>
    <m/>
    <n v="21.49"/>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6/23/2023"/>
    <x v="12"/>
    <n v="7170863"/>
    <s v="Click Here To View"/>
    <s v="Demolition"/>
    <n v="20.73"/>
    <s v="100.00%"/>
    <s v="0.00%"/>
    <s v="100.00%"/>
    <s v="0.00%"/>
    <m/>
    <n v="20.73"/>
    <m/>
    <n v="20.73"/>
    <m/>
    <m/>
    <m/>
    <n v="20.73"/>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6/23/2023"/>
    <x v="12"/>
    <n v="7170864"/>
    <s v="Click Here To View"/>
    <s v="Demolition"/>
    <n v="19.93"/>
    <s v="100.00%"/>
    <s v="0.00%"/>
    <s v="100.00%"/>
    <s v="0.00%"/>
    <m/>
    <n v="19.93"/>
    <m/>
    <n v="19.93"/>
    <m/>
    <m/>
    <m/>
    <n v="19.93"/>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6/23/2023"/>
    <x v="12"/>
    <n v="7170866"/>
    <s v="Click Here To View"/>
    <s v="Demolition"/>
    <n v="20.420000000000002"/>
    <s v="100.00%"/>
    <s v="0.00%"/>
    <s v="100.00%"/>
    <s v="0.00%"/>
    <m/>
    <n v="20.420000000000002"/>
    <m/>
    <n v="20.420000000000002"/>
    <m/>
    <m/>
    <m/>
    <n v="20.420000000000002"/>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6/23/2023"/>
    <x v="12"/>
    <n v="7170872"/>
    <s v="Click Here To View"/>
    <s v="Demolition"/>
    <n v="20.36"/>
    <s v="100.00%"/>
    <s v="0.00%"/>
    <s v="100.00%"/>
    <s v="0.00%"/>
    <m/>
    <n v="20.36"/>
    <m/>
    <n v="20.36"/>
    <m/>
    <m/>
    <m/>
    <n v="20.36"/>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6/23/2023"/>
    <x v="12"/>
    <n v="7170884"/>
    <s v="Click Here To View"/>
    <s v="Demolition"/>
    <n v="18.91"/>
    <s v="100.00%"/>
    <s v="0.00%"/>
    <s v="100.00%"/>
    <s v="0.00%"/>
    <m/>
    <n v="18.91"/>
    <m/>
    <n v="18.91"/>
    <m/>
    <m/>
    <m/>
    <n v="18.91"/>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6/23/2023"/>
    <x v="12"/>
    <n v="7170885"/>
    <s v="Click Here To View"/>
    <s v="Demolition"/>
    <n v="19.239999999999998"/>
    <s v="100.00%"/>
    <s v="0.00%"/>
    <s v="100.00%"/>
    <s v="0.00%"/>
    <m/>
    <n v="19.239999999999998"/>
    <m/>
    <n v="19.239999999999998"/>
    <m/>
    <m/>
    <m/>
    <n v="19.239999999999998"/>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6/23/2023"/>
    <x v="12"/>
    <n v="7170890"/>
    <s v="Click Here To View"/>
    <s v="Demolition"/>
    <n v="18.75"/>
    <s v="100.00%"/>
    <s v="0.00%"/>
    <s v="100.00%"/>
    <s v="0.00%"/>
    <m/>
    <n v="18.75"/>
    <m/>
    <n v="18.75"/>
    <m/>
    <m/>
    <m/>
    <n v="18.75"/>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6/26/2023"/>
    <x v="12"/>
    <n v="7171018"/>
    <s v="Click Here To View"/>
    <s v="Demolition"/>
    <n v="20.78"/>
    <s v="100.00%"/>
    <s v="0.00%"/>
    <s v="100.00%"/>
    <s v="0.00%"/>
    <m/>
    <n v="20.78"/>
    <m/>
    <n v="20.78"/>
    <m/>
    <m/>
    <m/>
    <n v="20.78"/>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6/26/2023"/>
    <x v="12"/>
    <n v="7171020"/>
    <s v="Click Here To View"/>
    <s v="Demolition"/>
    <n v="19.760000000000002"/>
    <s v="100.00%"/>
    <s v="0.00%"/>
    <s v="100.00%"/>
    <s v="0.00%"/>
    <m/>
    <n v="19.760000000000002"/>
    <m/>
    <n v="19.760000000000002"/>
    <m/>
    <m/>
    <m/>
    <n v="19.760000000000002"/>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6/26/2023"/>
    <x v="12"/>
    <n v="7171021"/>
    <s v="Click Here To View"/>
    <s v="Demolition"/>
    <n v="34.020000000000003"/>
    <s v="100.00%"/>
    <s v="0.00%"/>
    <s v="100.00%"/>
    <s v="0.00%"/>
    <m/>
    <n v="34.020000000000003"/>
    <m/>
    <n v="34.020000000000003"/>
    <m/>
    <m/>
    <m/>
    <n v="34.020000000000003"/>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6/26/2023"/>
    <x v="12"/>
    <n v="7171030"/>
    <s v="Click Here To View"/>
    <s v="Demolition"/>
    <n v="22.9"/>
    <s v="100.00%"/>
    <s v="0.00%"/>
    <s v="100.00%"/>
    <s v="0.00%"/>
    <m/>
    <n v="22.9"/>
    <m/>
    <n v="22.9"/>
    <m/>
    <m/>
    <m/>
    <n v="22.9"/>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6/26/2023"/>
    <x v="12"/>
    <n v="7171033"/>
    <s v="Click Here To View"/>
    <s v="Demolition"/>
    <n v="21.31"/>
    <s v="100.00%"/>
    <s v="0.00%"/>
    <s v="100.00%"/>
    <s v="0.00%"/>
    <m/>
    <n v="21.31"/>
    <m/>
    <n v="21.31"/>
    <m/>
    <m/>
    <m/>
    <n v="21.31"/>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6/26/2023"/>
    <x v="12"/>
    <n v="7171036"/>
    <s v="Click Here To View"/>
    <s v="Demolition"/>
    <n v="19.66"/>
    <s v="100.00%"/>
    <s v="0.00%"/>
    <s v="100.00%"/>
    <s v="0.00%"/>
    <m/>
    <n v="19.66"/>
    <m/>
    <n v="19.66"/>
    <m/>
    <m/>
    <m/>
    <n v="19.66"/>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6/26/2023"/>
    <x v="12"/>
    <n v="7171037"/>
    <s v="Click Here To View"/>
    <s v="Demolition"/>
    <n v="20.63"/>
    <s v="100.00%"/>
    <s v="0.00%"/>
    <s v="100.00%"/>
    <s v="0.00%"/>
    <m/>
    <n v="20.63"/>
    <m/>
    <n v="20.63"/>
    <m/>
    <m/>
    <m/>
    <n v="20.63"/>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6/26/2023"/>
    <x v="12"/>
    <n v="7171038"/>
    <s v="Click Here To View"/>
    <s v="Demolition"/>
    <n v="21.49"/>
    <s v="100.00%"/>
    <s v="0.00%"/>
    <s v="100.00%"/>
    <s v="0.00%"/>
    <m/>
    <n v="21.49"/>
    <m/>
    <n v="21.49"/>
    <m/>
    <m/>
    <m/>
    <n v="21.49"/>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6/26/2023"/>
    <x v="12"/>
    <n v="7171044"/>
    <s v="Click Here To View"/>
    <s v="Demolition"/>
    <n v="23.19"/>
    <s v="100.00%"/>
    <s v="0.00%"/>
    <s v="100.00%"/>
    <s v="0.00%"/>
    <m/>
    <n v="23.19"/>
    <m/>
    <n v="23.19"/>
    <m/>
    <m/>
    <m/>
    <n v="23.19"/>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6/26/2023"/>
    <x v="12"/>
    <n v="7171048"/>
    <s v="Click Here To View"/>
    <s v="Demolition"/>
    <n v="25.81"/>
    <s v="100.00%"/>
    <s v="0.00%"/>
    <s v="100.00%"/>
    <s v="0.00%"/>
    <m/>
    <n v="25.81"/>
    <m/>
    <n v="25.81"/>
    <m/>
    <m/>
    <m/>
    <n v="25.81"/>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6/26/2023"/>
    <x v="12"/>
    <n v="7171056"/>
    <s v="Click Here To View"/>
    <s v="Demolition"/>
    <n v="17.39"/>
    <s v="100.00%"/>
    <s v="0.00%"/>
    <s v="100.00%"/>
    <s v="0.00%"/>
    <m/>
    <n v="17.39"/>
    <m/>
    <n v="17.39"/>
    <m/>
    <m/>
    <m/>
    <n v="17.39"/>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6/26/2023"/>
    <x v="12"/>
    <n v="7171057"/>
    <s v="Click Here To View"/>
    <s v="Demolition"/>
    <n v="22.15"/>
    <s v="100.00%"/>
    <s v="0.00%"/>
    <s v="100.00%"/>
    <s v="0.00%"/>
    <m/>
    <n v="22.15"/>
    <m/>
    <n v="22.15"/>
    <m/>
    <m/>
    <m/>
    <n v="22.15"/>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6/26/2023"/>
    <x v="12"/>
    <n v="7171077"/>
    <s v="Click Here To View"/>
    <s v="Demolition"/>
    <n v="21.5"/>
    <s v="100.00%"/>
    <s v="0.00%"/>
    <s v="100.00%"/>
    <s v="0.00%"/>
    <m/>
    <n v="21.5"/>
    <m/>
    <n v="21.5"/>
    <m/>
    <m/>
    <m/>
    <n v="21.5"/>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6/26/2023"/>
    <x v="12"/>
    <n v="7171103"/>
    <s v="Click Here To View"/>
    <s v="Demolition"/>
    <n v="20.89"/>
    <s v="100.00%"/>
    <s v="0.00%"/>
    <s v="100.00%"/>
    <s v="0.00%"/>
    <m/>
    <n v="20.89"/>
    <m/>
    <n v="20.89"/>
    <m/>
    <m/>
    <m/>
    <n v="20.89"/>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6/28/2023"/>
    <x v="12"/>
    <n v="7171438"/>
    <s v="Click Here To View"/>
    <s v="Demolition"/>
    <n v="19.2"/>
    <s v="100.00%"/>
    <s v="0.00%"/>
    <s v="100.00%"/>
    <s v="0.00%"/>
    <m/>
    <n v="19.2"/>
    <m/>
    <n v="19.2"/>
    <m/>
    <m/>
    <m/>
    <n v="19.2"/>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Argent Materials, Inc"/>
    <s v="8300 Baldwin St, Oakland, CA 94621"/>
    <m/>
    <s v="06/28/2023"/>
    <x v="12"/>
    <n v="7171493"/>
    <s v="Click Here To View"/>
    <s v="Demolition"/>
    <n v="15.41"/>
    <s v="100.00%"/>
    <s v="0.00%"/>
    <s v="100.00%"/>
    <s v="0.00%"/>
    <m/>
    <n v="15.41"/>
    <m/>
    <n v="15.41"/>
    <m/>
    <m/>
    <m/>
    <n v="15.41"/>
    <m/>
    <m/>
    <m/>
    <m/>
    <m/>
    <m/>
    <m/>
    <m/>
    <m/>
    <m/>
    <m/>
    <m/>
    <m/>
    <m/>
    <m/>
    <m/>
    <m/>
    <m/>
    <m/>
    <m/>
    <m/>
    <m/>
    <m/>
    <m/>
    <m/>
    <m/>
    <m/>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Garden of Eden Landscapes, Inc."/>
    <s v="Silvia Teixeria"/>
    <s v="Certified Blue Recycling "/>
    <s v="2075 Williams St, San Leandro, CA 94577"/>
    <m/>
    <s v="06/26/2023"/>
    <x v="12"/>
    <n v="89178"/>
    <s v="Click Here To View"/>
    <s v="Construction"/>
    <n v="8.31"/>
    <s v="100.00%"/>
    <s v="0.00%"/>
    <s v="100.00%"/>
    <s v="0.00%"/>
    <m/>
    <n v="8.31"/>
    <m/>
    <n v="8.31"/>
    <m/>
    <m/>
    <m/>
    <n v="8.31"/>
    <m/>
    <m/>
    <m/>
    <m/>
    <m/>
    <m/>
    <m/>
    <m/>
    <m/>
    <m/>
    <m/>
    <m/>
    <m/>
    <m/>
    <m/>
    <m/>
    <m/>
    <m/>
    <m/>
    <m/>
    <m/>
    <m/>
    <m/>
    <m/>
    <m/>
    <m/>
    <m/>
    <m/>
    <m/>
    <m/>
    <s v="0.00%"/>
    <s v="0.00%"/>
    <s v="0.00%"/>
    <s v="0.00%"/>
    <m/>
    <m/>
    <m/>
    <m/>
    <m/>
    <m/>
    <m/>
    <s v="0.00%"/>
    <s v="0.00%"/>
    <s v="0.00%"/>
    <s v="0.00%"/>
    <m/>
    <m/>
    <m/>
    <m/>
    <m/>
    <m/>
    <m/>
    <m/>
    <m/>
    <m/>
    <m/>
    <m/>
    <m/>
    <m/>
    <m/>
    <m/>
    <m/>
    <s v="Mike Teixeira"/>
    <m/>
    <s v="01/29/2024"/>
    <s v="Mike Teixeira"/>
    <m/>
    <m/>
  </r>
  <r>
    <s v="Oakland/San Francisco/San Jose"/>
    <s v="UCB Gateway"/>
    <n v="210784"/>
    <m/>
    <s v="Higher Education | Laboratory / Research | 005 | 004"/>
    <n v="368"/>
    <s v="Garden of Eden Landscapes, Inc."/>
    <s v="Silvia Teixeria"/>
    <s v="Certified Blue Recycling "/>
    <s v="2075 Williams St, San Leandro, CA 94577"/>
    <m/>
    <s v="07/25/2023"/>
    <x v="13"/>
    <n v="90256"/>
    <s v="Click Here To View"/>
    <s v="Construction"/>
    <n v="7.11"/>
    <s v="100.00%"/>
    <s v="0.00%"/>
    <s v="100.00%"/>
    <s v="0.00%"/>
    <m/>
    <n v="7.11"/>
    <m/>
    <n v="7.11"/>
    <m/>
    <m/>
    <m/>
    <n v="7.11"/>
    <m/>
    <m/>
    <m/>
    <m/>
    <m/>
    <m/>
    <m/>
    <m/>
    <m/>
    <m/>
    <m/>
    <m/>
    <m/>
    <m/>
    <m/>
    <m/>
    <m/>
    <m/>
    <m/>
    <m/>
    <m/>
    <m/>
    <m/>
    <m/>
    <m/>
    <m/>
    <m/>
    <m/>
    <m/>
    <m/>
    <s v="0.00%"/>
    <s v="0.00%"/>
    <s v="0.00%"/>
    <s v="0.00%"/>
    <m/>
    <m/>
    <m/>
    <m/>
    <m/>
    <m/>
    <m/>
    <s v="0.00%"/>
    <s v="0.00%"/>
    <s v="0.00%"/>
    <s v="0.00%"/>
    <m/>
    <m/>
    <m/>
    <m/>
    <m/>
    <m/>
    <m/>
    <m/>
    <m/>
    <m/>
    <m/>
    <m/>
    <m/>
    <m/>
    <m/>
    <m/>
    <m/>
    <s v="Mike Teixeira"/>
    <m/>
    <s v="01/29/2024"/>
    <s v="Mike Teixeira"/>
    <m/>
    <m/>
  </r>
  <r>
    <s v="Oakland/San Francisco/San Jose"/>
    <s v="UCB Gateway"/>
    <n v="210784"/>
    <m/>
    <s v="Higher Education | Laboratory / Research | 005 | 004"/>
    <n v="368"/>
    <s v="Garden of Eden Landscapes, Inc."/>
    <s v="Silvia Teixeria"/>
    <s v="Certified Blue Recycling "/>
    <s v="2075 Williams St, San Leandro, CA 94577"/>
    <m/>
    <s v="08/10/2023"/>
    <x v="14"/>
    <n v="90836"/>
    <s v="Click Here To View"/>
    <s v="Construction"/>
    <n v="8.5299999999999994"/>
    <s v="100.00%"/>
    <s v="0.00%"/>
    <s v="100.00%"/>
    <s v="0.00%"/>
    <m/>
    <n v="8.5299999999999994"/>
    <m/>
    <n v="8.5299999999999994"/>
    <m/>
    <m/>
    <m/>
    <n v="8.5299999999999994"/>
    <m/>
    <m/>
    <m/>
    <m/>
    <m/>
    <m/>
    <m/>
    <m/>
    <m/>
    <m/>
    <m/>
    <m/>
    <m/>
    <m/>
    <m/>
    <m/>
    <m/>
    <m/>
    <m/>
    <m/>
    <m/>
    <m/>
    <m/>
    <m/>
    <m/>
    <m/>
    <m/>
    <m/>
    <m/>
    <m/>
    <s v="0.00%"/>
    <s v="0.00%"/>
    <s v="0.00%"/>
    <s v="0.00%"/>
    <m/>
    <m/>
    <m/>
    <m/>
    <m/>
    <m/>
    <m/>
    <s v="0.00%"/>
    <s v="0.00%"/>
    <s v="0.00%"/>
    <s v="0.00%"/>
    <m/>
    <m/>
    <m/>
    <m/>
    <m/>
    <m/>
    <m/>
    <m/>
    <m/>
    <m/>
    <m/>
    <m/>
    <m/>
    <m/>
    <m/>
    <m/>
    <m/>
    <s v="Mike Teixeira"/>
    <m/>
    <s v="01/29/2024"/>
    <s v="Mike Teixeira"/>
    <m/>
    <m/>
  </r>
  <r>
    <s v="Oakland/San Francisco/San Jose"/>
    <s v="UCB Gateway"/>
    <n v="210784"/>
    <m/>
    <s v="Higher Education | Laboratory / Research | 005 | 004"/>
    <n v="368"/>
    <s v="Garden of Eden Landscapes, Inc."/>
    <s v="Silvia Teixeria"/>
    <s v="Certified Blue Recycling "/>
    <s v="2075 Williams St, San Leandro, CA 94577"/>
    <m/>
    <s v="08/30/2023"/>
    <x v="14"/>
    <n v="91497"/>
    <s v="Click Here To View"/>
    <s v="Construction"/>
    <n v="8.84"/>
    <s v="100.00%"/>
    <s v="0.00%"/>
    <s v="100.00%"/>
    <s v="0.00%"/>
    <m/>
    <n v="8.84"/>
    <m/>
    <n v="8.84"/>
    <m/>
    <m/>
    <m/>
    <n v="8.84"/>
    <m/>
    <m/>
    <m/>
    <m/>
    <m/>
    <m/>
    <m/>
    <m/>
    <m/>
    <m/>
    <m/>
    <m/>
    <m/>
    <m/>
    <m/>
    <m/>
    <m/>
    <m/>
    <m/>
    <m/>
    <m/>
    <m/>
    <m/>
    <m/>
    <m/>
    <m/>
    <m/>
    <m/>
    <m/>
    <m/>
    <s v="0.00%"/>
    <s v="0.00%"/>
    <s v="0.00%"/>
    <s v="0.00%"/>
    <m/>
    <m/>
    <m/>
    <m/>
    <m/>
    <m/>
    <m/>
    <s v="0.00%"/>
    <s v="0.00%"/>
    <s v="0.00%"/>
    <s v="0.00%"/>
    <m/>
    <m/>
    <m/>
    <m/>
    <m/>
    <m/>
    <m/>
    <m/>
    <m/>
    <m/>
    <m/>
    <m/>
    <m/>
    <m/>
    <m/>
    <m/>
    <m/>
    <s v="Mike Teixeira"/>
    <m/>
    <s v="01/29/2024"/>
    <s v="Mike Teixeira"/>
    <m/>
    <m/>
  </r>
  <r>
    <s v="Oakland/San Francisco/San Jose"/>
    <s v="UCB Gateway"/>
    <n v="210784"/>
    <m/>
    <s v="Higher Education | Laboratory / Research | 005 | 004"/>
    <n v="368"/>
    <s v="Garden of Eden Landscapes, Inc."/>
    <s v="Silvia Teixeria"/>
    <s v="Certified Blue Recycling "/>
    <s v="2075 Williams St, San Leandro, CA 94577"/>
    <m/>
    <s v="09/13/2023"/>
    <x v="15"/>
    <n v="91934"/>
    <s v="Click Here To View"/>
    <s v="Construction"/>
    <n v="7.92"/>
    <s v="100.00%"/>
    <s v="0.00%"/>
    <s v="100.00%"/>
    <s v="0.00%"/>
    <m/>
    <n v="7.92"/>
    <m/>
    <n v="7.92"/>
    <m/>
    <m/>
    <m/>
    <n v="7.92"/>
    <m/>
    <m/>
    <m/>
    <m/>
    <m/>
    <m/>
    <m/>
    <m/>
    <m/>
    <m/>
    <m/>
    <m/>
    <m/>
    <m/>
    <m/>
    <m/>
    <m/>
    <m/>
    <m/>
    <m/>
    <m/>
    <m/>
    <m/>
    <m/>
    <m/>
    <m/>
    <m/>
    <m/>
    <m/>
    <m/>
    <s v="0.00%"/>
    <s v="0.00%"/>
    <s v="0.00%"/>
    <s v="0.00%"/>
    <m/>
    <m/>
    <m/>
    <m/>
    <m/>
    <m/>
    <m/>
    <s v="0.00%"/>
    <s v="0.00%"/>
    <s v="0.00%"/>
    <s v="0.00%"/>
    <m/>
    <m/>
    <m/>
    <m/>
    <m/>
    <m/>
    <m/>
    <m/>
    <m/>
    <m/>
    <m/>
    <m/>
    <m/>
    <m/>
    <m/>
    <m/>
    <m/>
    <s v="Mike Teixeira"/>
    <m/>
    <s v="01/29/2024"/>
    <s v="Mike Teixeira"/>
    <m/>
    <m/>
  </r>
  <r>
    <s v="Oakland/San Francisco/San Jose"/>
    <s v="UCB Gateway"/>
    <n v="210784"/>
    <m/>
    <s v="Higher Education | Laboratory / Research | 005 | 004"/>
    <n v="368"/>
    <s v="Garden of Eden Landscapes, Inc."/>
    <s v="Silvia Teixeria"/>
    <s v="Certified Blue Recycling "/>
    <s v="2075 Williams St, San Leandro, CA 94577"/>
    <m/>
    <s v="09/28/2023"/>
    <x v="15"/>
    <n v="92512"/>
    <s v="Click Here To View"/>
    <s v="Construction"/>
    <n v="9.8800000000000008"/>
    <s v="100.00%"/>
    <s v="0.00%"/>
    <s v="100.00%"/>
    <s v="0.00%"/>
    <m/>
    <n v="9.8800000000000008"/>
    <m/>
    <n v="9.8800000000000008"/>
    <m/>
    <m/>
    <m/>
    <n v="9.8800000000000008"/>
    <m/>
    <m/>
    <m/>
    <m/>
    <m/>
    <m/>
    <m/>
    <m/>
    <m/>
    <m/>
    <m/>
    <m/>
    <m/>
    <m/>
    <m/>
    <m/>
    <m/>
    <m/>
    <m/>
    <m/>
    <m/>
    <m/>
    <m/>
    <m/>
    <m/>
    <m/>
    <m/>
    <m/>
    <m/>
    <m/>
    <s v="0.00%"/>
    <s v="0.00%"/>
    <s v="0.00%"/>
    <s v="0.00%"/>
    <m/>
    <m/>
    <m/>
    <m/>
    <m/>
    <m/>
    <m/>
    <s v="0.00%"/>
    <s v="0.00%"/>
    <s v="0.00%"/>
    <s v="0.00%"/>
    <m/>
    <m/>
    <m/>
    <m/>
    <m/>
    <m/>
    <m/>
    <m/>
    <m/>
    <m/>
    <m/>
    <m/>
    <m/>
    <m/>
    <m/>
    <m/>
    <m/>
    <s v="Mike Teixeira"/>
    <m/>
    <s v="01/29/2024"/>
    <s v="Mike Teixeira"/>
    <m/>
    <m/>
  </r>
  <r>
    <s v="Oakland/San Francisco/San Jose"/>
    <s v="UCB Gateway"/>
    <n v="210784"/>
    <m/>
    <s v="Higher Education | Laboratory / Research | 005 | 004"/>
    <n v="368"/>
    <s v="Garden of Eden Landscapes, Inc."/>
    <s v="Silvia Teixeria"/>
    <s v="Certified Blue Recycling "/>
    <s v="2075 Williams St, San Leandro, CA 94577"/>
    <m/>
    <s v="10/03/2023"/>
    <x v="16"/>
    <n v="92675"/>
    <s v="Click Here To View"/>
    <s v="Construction"/>
    <n v="13.16"/>
    <s v="100.00%"/>
    <s v="0.00%"/>
    <s v="100.00%"/>
    <s v="0.00%"/>
    <m/>
    <n v="13.16"/>
    <m/>
    <n v="13.16"/>
    <m/>
    <m/>
    <m/>
    <n v="13.16"/>
    <m/>
    <m/>
    <m/>
    <m/>
    <m/>
    <m/>
    <m/>
    <m/>
    <m/>
    <m/>
    <m/>
    <m/>
    <m/>
    <m/>
    <m/>
    <m/>
    <m/>
    <m/>
    <m/>
    <m/>
    <m/>
    <m/>
    <m/>
    <m/>
    <m/>
    <m/>
    <m/>
    <m/>
    <m/>
    <m/>
    <s v="0.00%"/>
    <s v="0.00%"/>
    <s v="0.00%"/>
    <s v="0.00%"/>
    <m/>
    <m/>
    <m/>
    <m/>
    <m/>
    <m/>
    <m/>
    <s v="0.00%"/>
    <s v="0.00%"/>
    <s v="0.00%"/>
    <s v="0.00%"/>
    <m/>
    <m/>
    <m/>
    <m/>
    <m/>
    <m/>
    <m/>
    <m/>
    <m/>
    <m/>
    <m/>
    <m/>
    <m/>
    <m/>
    <m/>
    <m/>
    <m/>
    <s v="Mike Teixeira"/>
    <m/>
    <s v="01/29/2024"/>
    <s v="Mike Teixeira"/>
    <m/>
    <m/>
  </r>
  <r>
    <s v="Oakland/San Francisco/San Jose"/>
    <s v="UCB Gateway"/>
    <n v="210784"/>
    <m/>
    <s v="Higher Education | Laboratory / Research | 005 | 004"/>
    <n v="368"/>
    <s v="Garden of Eden Landscapes, Inc."/>
    <s v="Silvia Teixeria"/>
    <s v="Certified Blue Recycling "/>
    <s v="2075 Williams St, San Leandro, CA 94577"/>
    <m/>
    <s v="10/18/2023"/>
    <x v="16"/>
    <n v="93334"/>
    <s v="Click Here To View"/>
    <s v="Construction"/>
    <n v="9.44"/>
    <s v="100.00%"/>
    <s v="0.00%"/>
    <s v="100.00%"/>
    <s v="0.00%"/>
    <m/>
    <n v="9.44"/>
    <m/>
    <n v="9.44"/>
    <m/>
    <m/>
    <m/>
    <n v="9.44"/>
    <m/>
    <m/>
    <m/>
    <m/>
    <m/>
    <m/>
    <m/>
    <m/>
    <m/>
    <m/>
    <m/>
    <m/>
    <m/>
    <m/>
    <m/>
    <m/>
    <m/>
    <m/>
    <m/>
    <m/>
    <m/>
    <m/>
    <m/>
    <m/>
    <m/>
    <m/>
    <m/>
    <m/>
    <m/>
    <m/>
    <s v="0.00%"/>
    <s v="0.00%"/>
    <s v="0.00%"/>
    <s v="0.00%"/>
    <m/>
    <m/>
    <m/>
    <m/>
    <m/>
    <m/>
    <m/>
    <s v="0.00%"/>
    <s v="0.00%"/>
    <s v="0.00%"/>
    <s v="0.00%"/>
    <m/>
    <m/>
    <m/>
    <m/>
    <m/>
    <m/>
    <m/>
    <m/>
    <m/>
    <m/>
    <m/>
    <m/>
    <m/>
    <m/>
    <m/>
    <m/>
    <m/>
    <s v="Mike Teixeira"/>
    <m/>
    <s v="01/29/2024"/>
    <s v="Mike Teixeira"/>
    <m/>
    <m/>
  </r>
  <r>
    <s v="Oakland/San Francisco/San Jose"/>
    <s v="UCB Gateway"/>
    <n v="210784"/>
    <m/>
    <s v="Higher Education | Laboratory / Research | 005 | 004"/>
    <n v="368"/>
    <s v="Garden of Eden Landscapes, Inc."/>
    <s v="Silvia Teixeria"/>
    <s v="Certified Blue Recycling "/>
    <s v="2075 Williams St, San Leandro, CA 94577"/>
    <m/>
    <s v="10/30/2023"/>
    <x v="16"/>
    <n v="93826"/>
    <s v="Click Here To View"/>
    <s v="Construction"/>
    <n v="8.74"/>
    <s v="100.00%"/>
    <s v="0.00%"/>
    <s v="100.00%"/>
    <s v="0.00%"/>
    <m/>
    <n v="8.74"/>
    <m/>
    <n v="8.74"/>
    <m/>
    <m/>
    <m/>
    <n v="8.74"/>
    <m/>
    <m/>
    <m/>
    <m/>
    <m/>
    <m/>
    <m/>
    <m/>
    <m/>
    <m/>
    <m/>
    <m/>
    <m/>
    <m/>
    <m/>
    <m/>
    <m/>
    <m/>
    <m/>
    <m/>
    <m/>
    <m/>
    <m/>
    <m/>
    <m/>
    <m/>
    <m/>
    <m/>
    <m/>
    <m/>
    <s v="0.00%"/>
    <s v="0.00%"/>
    <s v="0.00%"/>
    <s v="0.00%"/>
    <m/>
    <m/>
    <m/>
    <m/>
    <m/>
    <m/>
    <m/>
    <s v="0.00%"/>
    <s v="0.00%"/>
    <s v="0.00%"/>
    <s v="0.00%"/>
    <m/>
    <m/>
    <m/>
    <m/>
    <m/>
    <m/>
    <m/>
    <m/>
    <m/>
    <m/>
    <m/>
    <m/>
    <m/>
    <m/>
    <m/>
    <m/>
    <m/>
    <s v="Mike Teixeira"/>
    <m/>
    <s v="01/29/2024"/>
    <s v="Mike Teixeira"/>
    <m/>
    <m/>
  </r>
  <r>
    <s v="Oakland/San Francisco/San Jose"/>
    <s v="UCB Gateway"/>
    <n v="210784"/>
    <m/>
    <s v="Higher Education | Laboratory / Research | 005 | 004"/>
    <n v="368"/>
    <s v="Garden of Eden Landscapes, Inc."/>
    <s v="Silvia Teixeria"/>
    <s v="Certified Blue Recycling "/>
    <s v="2075 Williams St, San Leandro, CA 94577"/>
    <m/>
    <s v="11/10/2023"/>
    <x v="17"/>
    <n v="94360"/>
    <s v="Click Here To View"/>
    <s v="Construction"/>
    <n v="10.02"/>
    <s v="100.00%"/>
    <s v="0.00%"/>
    <s v="100.00%"/>
    <s v="0.00%"/>
    <m/>
    <n v="10.02"/>
    <m/>
    <n v="10.02"/>
    <m/>
    <m/>
    <m/>
    <n v="10.02"/>
    <m/>
    <m/>
    <m/>
    <m/>
    <m/>
    <m/>
    <m/>
    <m/>
    <m/>
    <m/>
    <m/>
    <m/>
    <m/>
    <m/>
    <m/>
    <m/>
    <m/>
    <m/>
    <m/>
    <m/>
    <m/>
    <m/>
    <m/>
    <m/>
    <m/>
    <m/>
    <m/>
    <m/>
    <m/>
    <m/>
    <s v="0.00%"/>
    <s v="0.00%"/>
    <s v="0.00%"/>
    <s v="0.00%"/>
    <m/>
    <m/>
    <m/>
    <m/>
    <m/>
    <m/>
    <m/>
    <s v="0.00%"/>
    <s v="0.00%"/>
    <s v="0.00%"/>
    <s v="0.00%"/>
    <m/>
    <m/>
    <m/>
    <m/>
    <m/>
    <m/>
    <m/>
    <m/>
    <m/>
    <m/>
    <m/>
    <m/>
    <m/>
    <m/>
    <m/>
    <m/>
    <m/>
    <s v="Mike Teixeira"/>
    <m/>
    <s v="01/29/2024"/>
    <s v="Mike Teixeira"/>
    <m/>
    <m/>
  </r>
  <r>
    <s v="Oakland/San Francisco/San Jose"/>
    <s v="UCB Gateway"/>
    <n v="210784"/>
    <m/>
    <s v="Higher Education | Laboratory / Research | 005 | 004"/>
    <n v="368"/>
    <s v="Garden of Eden Landscapes, Inc."/>
    <s v="Silvia Teixeria"/>
    <s v="Certified Blue Recycling "/>
    <s v="2075 Williams St, San Leandro, CA 94577"/>
    <m/>
    <s v="11/22/2023"/>
    <x v="17"/>
    <n v="94843"/>
    <s v="Click Here To View"/>
    <s v="Construction"/>
    <n v="6.3"/>
    <s v="100.00%"/>
    <s v="0.00%"/>
    <s v="100.00%"/>
    <s v="0.00%"/>
    <m/>
    <n v="6.3"/>
    <m/>
    <n v="6.3"/>
    <m/>
    <m/>
    <m/>
    <n v="6.3"/>
    <m/>
    <m/>
    <m/>
    <m/>
    <m/>
    <m/>
    <m/>
    <m/>
    <m/>
    <m/>
    <m/>
    <m/>
    <m/>
    <m/>
    <m/>
    <m/>
    <m/>
    <m/>
    <m/>
    <m/>
    <m/>
    <m/>
    <m/>
    <m/>
    <m/>
    <m/>
    <m/>
    <m/>
    <m/>
    <m/>
    <s v="0.00%"/>
    <s v="0.00%"/>
    <s v="0.00%"/>
    <s v="0.00%"/>
    <m/>
    <m/>
    <m/>
    <m/>
    <m/>
    <m/>
    <m/>
    <s v="0.00%"/>
    <s v="0.00%"/>
    <s v="0.00%"/>
    <s v="0.00%"/>
    <m/>
    <m/>
    <m/>
    <m/>
    <m/>
    <m/>
    <m/>
    <m/>
    <m/>
    <m/>
    <m/>
    <m/>
    <m/>
    <m/>
    <m/>
    <m/>
    <m/>
    <s v="Mike Teixeira"/>
    <m/>
    <s v="01/29/2024"/>
    <s v="Mike Teixeira"/>
    <m/>
    <m/>
  </r>
  <r>
    <s v="Oakland/San Francisco/San Jose"/>
    <s v="UCB Gateway"/>
    <n v="210784"/>
    <m/>
    <s v="Higher Education | Laboratory / Research | 005 | 004"/>
    <n v="368"/>
    <s v="Garden of Eden Landscapes, Inc."/>
    <s v="Silvia Teixeria"/>
    <s v="Certified Blue Recycling "/>
    <s v="2075 Williams St, San Leandro, CA 94577"/>
    <m/>
    <s v="12/11/2023"/>
    <x v="18"/>
    <n v="95488"/>
    <s v="Click Here To View"/>
    <s v="Construction"/>
    <n v="6.6"/>
    <s v="100.00%"/>
    <s v="0.00%"/>
    <s v="100.00%"/>
    <s v="0.00%"/>
    <m/>
    <n v="6.6"/>
    <m/>
    <n v="6.6"/>
    <m/>
    <m/>
    <m/>
    <n v="6.6"/>
    <m/>
    <m/>
    <m/>
    <m/>
    <m/>
    <m/>
    <m/>
    <m/>
    <m/>
    <m/>
    <m/>
    <m/>
    <m/>
    <m/>
    <m/>
    <m/>
    <m/>
    <m/>
    <m/>
    <m/>
    <m/>
    <m/>
    <m/>
    <m/>
    <m/>
    <m/>
    <m/>
    <m/>
    <m/>
    <m/>
    <s v="0.00%"/>
    <s v="0.00%"/>
    <s v="0.00%"/>
    <s v="0.00%"/>
    <m/>
    <m/>
    <m/>
    <m/>
    <m/>
    <m/>
    <m/>
    <s v="0.00%"/>
    <s v="0.00%"/>
    <s v="0.00%"/>
    <s v="0.00%"/>
    <m/>
    <m/>
    <m/>
    <m/>
    <m/>
    <m/>
    <m/>
    <m/>
    <m/>
    <m/>
    <m/>
    <m/>
    <m/>
    <m/>
    <m/>
    <m/>
    <m/>
    <s v="Mike Teixeira"/>
    <m/>
    <s v="01/29/2024"/>
    <s v="Mike Teixeira"/>
    <m/>
    <m/>
  </r>
  <r>
    <s v="Oakland/San Francisco/San Jose"/>
    <s v="UCB Gateway"/>
    <n v="210784"/>
    <m/>
    <s v="Higher Education | Laboratory / Research | 005 | 004"/>
    <n v="368"/>
    <s v="Garden of Eden Landscapes, Inc."/>
    <s v="Silvia Teixeria"/>
    <s v="Certified Blue Recycling "/>
    <s v="2075 Williams St, San Leandro, CA 94577"/>
    <m/>
    <s v="12/18/2023"/>
    <x v="18"/>
    <n v="95779"/>
    <s v="Click Here To View"/>
    <s v="Construction"/>
    <n v="0.76"/>
    <s v="100.00%"/>
    <s v="0.00%"/>
    <s v="100.00%"/>
    <s v="0.00%"/>
    <m/>
    <n v="0.76"/>
    <m/>
    <n v="0.76"/>
    <m/>
    <m/>
    <m/>
    <n v="0.76"/>
    <m/>
    <m/>
    <m/>
    <m/>
    <m/>
    <m/>
    <m/>
    <m/>
    <m/>
    <m/>
    <m/>
    <m/>
    <m/>
    <m/>
    <m/>
    <m/>
    <m/>
    <m/>
    <m/>
    <m/>
    <m/>
    <m/>
    <m/>
    <m/>
    <m/>
    <m/>
    <m/>
    <m/>
    <m/>
    <m/>
    <s v="0.00%"/>
    <s v="0.00%"/>
    <s v="0.00%"/>
    <s v="0.00%"/>
    <m/>
    <m/>
    <m/>
    <m/>
    <m/>
    <m/>
    <m/>
    <s v="0.00%"/>
    <s v="0.00%"/>
    <s v="0.00%"/>
    <s v="0.00%"/>
    <m/>
    <m/>
    <m/>
    <m/>
    <m/>
    <m/>
    <m/>
    <m/>
    <m/>
    <m/>
    <m/>
    <m/>
    <m/>
    <m/>
    <m/>
    <m/>
    <m/>
    <s v="Mike Teixeira"/>
    <m/>
    <s v="01/29/2024"/>
    <s v="Mike Teixeira"/>
    <m/>
    <m/>
  </r>
  <r>
    <s v="Oakland/San Francisco/San Jose"/>
    <s v="UCB Gateway"/>
    <n v="210784"/>
    <m/>
    <s v="Higher Education | Laboratory / Research | 005 | 004"/>
    <n v="368"/>
    <s v="Garden of Eden Landscapes, Inc."/>
    <s v="Silvia Teixeria"/>
    <s v="Certified Blue Recycling "/>
    <s v="2075 Williams St, San Leandro, CA 94577"/>
    <m/>
    <s v="12/28/2023"/>
    <x v="18"/>
    <n v="96160"/>
    <s v="Click Here To View"/>
    <s v="Construction"/>
    <n v="4.88"/>
    <s v="100.00%"/>
    <s v="0.00%"/>
    <s v="100.00%"/>
    <s v="0.00%"/>
    <m/>
    <n v="4.88"/>
    <m/>
    <n v="4.88"/>
    <m/>
    <m/>
    <m/>
    <n v="4.88"/>
    <m/>
    <m/>
    <m/>
    <m/>
    <m/>
    <m/>
    <m/>
    <m/>
    <m/>
    <m/>
    <m/>
    <m/>
    <m/>
    <m/>
    <m/>
    <m/>
    <m/>
    <m/>
    <m/>
    <m/>
    <m/>
    <m/>
    <m/>
    <m/>
    <m/>
    <m/>
    <m/>
    <m/>
    <m/>
    <m/>
    <s v="0.00%"/>
    <s v="0.00%"/>
    <s v="0.00%"/>
    <s v="0.00%"/>
    <m/>
    <m/>
    <m/>
    <m/>
    <m/>
    <m/>
    <m/>
    <s v="0.00%"/>
    <s v="0.00%"/>
    <s v="0.00%"/>
    <s v="0.00%"/>
    <m/>
    <m/>
    <m/>
    <m/>
    <m/>
    <m/>
    <m/>
    <m/>
    <m/>
    <m/>
    <m/>
    <m/>
    <m/>
    <m/>
    <m/>
    <m/>
    <m/>
    <s v="Mike Teixeira"/>
    <m/>
    <s v="01/29/2024"/>
    <s v="Mike Teixeira"/>
    <m/>
    <m/>
  </r>
  <r>
    <s v="Oakland/San Francisco/San Jose"/>
    <s v="UCB Gateway"/>
    <n v="210784"/>
    <m/>
    <s v="Higher Education | Laboratory / Research | 005 | 004"/>
    <n v="368"/>
    <s v="Garden of Eden Landscapes, Inc."/>
    <s v="Silvia Teixeria"/>
    <s v="Certified Blue Recycling "/>
    <s v="2075 Williams St, San Leandro, CA 94577"/>
    <m/>
    <s v="01/02/2024"/>
    <x v="19"/>
    <n v="96287"/>
    <s v="Click Here To View"/>
    <s v="Construction"/>
    <n v="2.4300000000000002"/>
    <s v="100.00%"/>
    <s v="0.00%"/>
    <s v="100.00%"/>
    <s v="0.00%"/>
    <m/>
    <n v="2.4300000000000002"/>
    <m/>
    <n v="2.4300000000000002"/>
    <m/>
    <m/>
    <m/>
    <n v="2.4300000000000002"/>
    <m/>
    <m/>
    <m/>
    <m/>
    <m/>
    <m/>
    <m/>
    <m/>
    <m/>
    <m/>
    <m/>
    <m/>
    <m/>
    <m/>
    <m/>
    <m/>
    <m/>
    <m/>
    <m/>
    <m/>
    <m/>
    <m/>
    <m/>
    <m/>
    <m/>
    <m/>
    <m/>
    <m/>
    <m/>
    <m/>
    <s v="0.00%"/>
    <s v="0.00%"/>
    <s v="0.00%"/>
    <s v="0.00%"/>
    <m/>
    <m/>
    <m/>
    <m/>
    <m/>
    <m/>
    <m/>
    <s v="0.00%"/>
    <s v="0.00%"/>
    <s v="0.00%"/>
    <s v="0.00%"/>
    <m/>
    <m/>
    <m/>
    <m/>
    <m/>
    <m/>
    <m/>
    <m/>
    <m/>
    <m/>
    <m/>
    <m/>
    <m/>
    <m/>
    <m/>
    <m/>
    <m/>
    <s v="Mike Teixeira"/>
    <m/>
    <s v="01/29/2024"/>
    <s v="Mike Teixeira"/>
    <m/>
    <m/>
  </r>
  <r>
    <s v="Oakland/San Francisco/San Jose"/>
    <s v="UCB Gateway"/>
    <n v="210784"/>
    <m/>
    <s v="Higher Education | Laboratory / Research | 005 | 004"/>
    <n v="368"/>
    <s v="Garden of Eden Landscapes, Inc."/>
    <s v="Silvia Teixeria"/>
    <s v="Certified Blue Recycling "/>
    <s v="2075 Williams St, San Leandro, CA 94577"/>
    <m/>
    <s v="01/02/2024"/>
    <x v="19"/>
    <n v="96269"/>
    <s v="Click Here To View"/>
    <s v="Construction"/>
    <n v="8.39"/>
    <s v="100.00%"/>
    <s v="0.00%"/>
    <s v="100.00%"/>
    <s v="0.00%"/>
    <m/>
    <n v="8.39"/>
    <m/>
    <n v="8.39"/>
    <m/>
    <m/>
    <m/>
    <n v="8.39"/>
    <m/>
    <m/>
    <m/>
    <m/>
    <m/>
    <m/>
    <m/>
    <m/>
    <m/>
    <m/>
    <m/>
    <m/>
    <m/>
    <m/>
    <m/>
    <m/>
    <m/>
    <m/>
    <m/>
    <m/>
    <m/>
    <m/>
    <m/>
    <m/>
    <m/>
    <m/>
    <m/>
    <m/>
    <m/>
    <m/>
    <s v="0.00%"/>
    <s v="0.00%"/>
    <s v="0.00%"/>
    <s v="0.00%"/>
    <m/>
    <m/>
    <m/>
    <m/>
    <m/>
    <m/>
    <m/>
    <s v="0.00%"/>
    <s v="0.00%"/>
    <s v="0.00%"/>
    <s v="0.00%"/>
    <m/>
    <m/>
    <m/>
    <m/>
    <m/>
    <m/>
    <m/>
    <m/>
    <m/>
    <m/>
    <m/>
    <m/>
    <m/>
    <m/>
    <m/>
    <m/>
    <m/>
    <s v="Mike Teixeira"/>
    <m/>
    <s v="01/29/2024"/>
    <s v="Mike Teixeira"/>
    <m/>
    <m/>
  </r>
  <r>
    <s v="Oakland/San Francisco/San Jose"/>
    <s v="UCB Gateway"/>
    <n v="210784"/>
    <m/>
    <s v="Higher Education | Laboratory / Research | 005 | 004"/>
    <n v="368"/>
    <s v="Garden of Eden Landscapes, Inc."/>
    <s v="Silvia Teixeria"/>
    <s v="Certified Blue Recycling "/>
    <s v="2075 Williams St, San Leandro, CA 94577"/>
    <m/>
    <s v="01/08/2024"/>
    <x v="19"/>
    <n v="96523"/>
    <s v="Click Here To View"/>
    <s v="Construction"/>
    <n v="8.8699999999999992"/>
    <s v="100.00%"/>
    <s v="0.00%"/>
    <s v="100.00%"/>
    <s v="0.00%"/>
    <m/>
    <n v="8.8699999999999992"/>
    <m/>
    <n v="8.8699999999999992"/>
    <m/>
    <m/>
    <m/>
    <n v="8.8699999999999992"/>
    <m/>
    <m/>
    <m/>
    <m/>
    <m/>
    <m/>
    <m/>
    <m/>
    <m/>
    <m/>
    <m/>
    <m/>
    <m/>
    <m/>
    <m/>
    <m/>
    <m/>
    <m/>
    <m/>
    <m/>
    <m/>
    <m/>
    <m/>
    <m/>
    <m/>
    <m/>
    <m/>
    <m/>
    <m/>
    <m/>
    <s v="0.00%"/>
    <s v="0.00%"/>
    <s v="0.00%"/>
    <s v="0.00%"/>
    <m/>
    <m/>
    <m/>
    <m/>
    <m/>
    <m/>
    <m/>
    <s v="0.00%"/>
    <s v="0.00%"/>
    <s v="0.00%"/>
    <s v="0.00%"/>
    <m/>
    <m/>
    <m/>
    <m/>
    <m/>
    <m/>
    <m/>
    <m/>
    <m/>
    <m/>
    <m/>
    <m/>
    <m/>
    <m/>
    <m/>
    <m/>
    <m/>
    <s v="Mike Teixeira"/>
    <m/>
    <s v="01/29/2024"/>
    <s v="Mike Teixeira"/>
    <m/>
    <m/>
  </r>
  <r>
    <s v="Oakland/San Francisco/San Jose"/>
    <s v="UCB Gateway"/>
    <n v="210784"/>
    <m/>
    <s v="Higher Education | Laboratory / Research | 005 | 004"/>
    <n v="368"/>
    <s v="Garden of Eden Landscapes, Inc."/>
    <s v="Silvia Teixeria"/>
    <s v="Certified Blue Recycling "/>
    <s v="2075 Williams St, San Leandro, CA 94577"/>
    <m/>
    <s v="01/05/2024"/>
    <x v="19"/>
    <n v="96429"/>
    <s v="Click Here To View"/>
    <s v="Construction"/>
    <n v="3.77"/>
    <s v="100.00%"/>
    <s v="0.00%"/>
    <s v="100.00%"/>
    <s v="0.00%"/>
    <m/>
    <n v="3.77"/>
    <m/>
    <n v="3.77"/>
    <m/>
    <m/>
    <m/>
    <n v="3.77"/>
    <m/>
    <m/>
    <m/>
    <m/>
    <m/>
    <m/>
    <m/>
    <m/>
    <m/>
    <m/>
    <m/>
    <m/>
    <m/>
    <m/>
    <m/>
    <m/>
    <m/>
    <m/>
    <m/>
    <m/>
    <m/>
    <m/>
    <m/>
    <m/>
    <m/>
    <m/>
    <m/>
    <m/>
    <m/>
    <m/>
    <s v="0.00%"/>
    <s v="0.00%"/>
    <s v="0.00%"/>
    <s v="0.00%"/>
    <m/>
    <m/>
    <m/>
    <m/>
    <m/>
    <m/>
    <m/>
    <s v="0.00%"/>
    <s v="0.00%"/>
    <s v="0.00%"/>
    <s v="0.00%"/>
    <m/>
    <m/>
    <m/>
    <m/>
    <m/>
    <m/>
    <m/>
    <m/>
    <m/>
    <m/>
    <m/>
    <m/>
    <m/>
    <m/>
    <m/>
    <m/>
    <m/>
    <s v="Mike Teixeira"/>
    <m/>
    <s v="01/29/2024"/>
    <s v="Mike Teixeira"/>
    <m/>
    <m/>
  </r>
  <r>
    <s v="Oakland/San Francisco/San Jose"/>
    <s v="UCB Gateway"/>
    <n v="210784"/>
    <m/>
    <s v="Higher Education | Laboratory / Research | 005 | 004"/>
    <n v="368"/>
    <s v="Garden of Eden Landscapes, Inc."/>
    <s v="Silvia Teixeria"/>
    <s v="Certified Blue Recycling "/>
    <s v="2075 Williams St, San Leandro, CA 94577"/>
    <m/>
    <s v="01/10/2024"/>
    <x v="19"/>
    <n v="96611"/>
    <s v="Click Here To View"/>
    <s v="Construction"/>
    <n v="8.59"/>
    <s v="100.00%"/>
    <s v="0.00%"/>
    <s v="100.00%"/>
    <s v="0.00%"/>
    <m/>
    <n v="8.59"/>
    <m/>
    <n v="8.59"/>
    <m/>
    <m/>
    <m/>
    <n v="8.59"/>
    <m/>
    <m/>
    <m/>
    <m/>
    <m/>
    <m/>
    <m/>
    <m/>
    <m/>
    <m/>
    <m/>
    <m/>
    <m/>
    <m/>
    <m/>
    <m/>
    <m/>
    <m/>
    <m/>
    <m/>
    <m/>
    <m/>
    <m/>
    <m/>
    <m/>
    <m/>
    <m/>
    <m/>
    <m/>
    <m/>
    <s v="0.00%"/>
    <s v="0.00%"/>
    <s v="0.00%"/>
    <s v="0.00%"/>
    <m/>
    <m/>
    <m/>
    <m/>
    <m/>
    <m/>
    <m/>
    <s v="0.00%"/>
    <s v="0.00%"/>
    <s v="0.00%"/>
    <s v="0.00%"/>
    <m/>
    <m/>
    <m/>
    <m/>
    <m/>
    <m/>
    <m/>
    <m/>
    <m/>
    <m/>
    <m/>
    <m/>
    <m/>
    <m/>
    <m/>
    <m/>
    <m/>
    <s v="Mike Teixeira"/>
    <m/>
    <s v="01/29/2024"/>
    <s v="Mike Teixeira"/>
    <m/>
    <m/>
  </r>
  <r>
    <s v="Oakland/San Francisco/San Jose"/>
    <s v="UCB Gateway"/>
    <n v="210784"/>
    <m/>
    <s v="Higher Education | Laboratory / Research | 005 | 004"/>
    <n v="368"/>
    <s v="Garden of Eden Landscapes, Inc."/>
    <s v="Silvia Teixeria"/>
    <s v="Certified Blue Recycling "/>
    <s v="2075 Williams St, San Leandro, CA 94577"/>
    <m/>
    <s v="01/11/2024"/>
    <x v="19"/>
    <n v="96659"/>
    <s v="Click Here To View"/>
    <s v="Construction"/>
    <n v="8"/>
    <s v="100.00%"/>
    <s v="0.00%"/>
    <s v="100.00%"/>
    <s v="0.00%"/>
    <m/>
    <n v="8"/>
    <m/>
    <n v="8"/>
    <m/>
    <m/>
    <m/>
    <n v="8"/>
    <m/>
    <m/>
    <m/>
    <m/>
    <m/>
    <m/>
    <m/>
    <m/>
    <m/>
    <m/>
    <m/>
    <m/>
    <m/>
    <m/>
    <m/>
    <m/>
    <m/>
    <m/>
    <m/>
    <m/>
    <m/>
    <m/>
    <m/>
    <m/>
    <m/>
    <m/>
    <m/>
    <m/>
    <m/>
    <m/>
    <s v="0.00%"/>
    <s v="0.00%"/>
    <s v="0.00%"/>
    <s v="0.00%"/>
    <m/>
    <m/>
    <m/>
    <m/>
    <m/>
    <m/>
    <m/>
    <s v="0.00%"/>
    <s v="0.00%"/>
    <s v="0.00%"/>
    <s v="0.00%"/>
    <m/>
    <m/>
    <m/>
    <m/>
    <m/>
    <m/>
    <m/>
    <m/>
    <m/>
    <m/>
    <m/>
    <m/>
    <m/>
    <m/>
    <m/>
    <m/>
    <m/>
    <s v="Mike Teixeira"/>
    <m/>
    <s v="01/29/2024"/>
    <s v="Mike Teixeira"/>
    <m/>
    <m/>
  </r>
  <r>
    <s v="Oakland/San Francisco/San Jose"/>
    <s v="UCB Gateway"/>
    <n v="210784"/>
    <m/>
    <s v="Higher Education | Laboratory / Research | 005 | 004"/>
    <n v="368"/>
    <s v="Garden of Eden Landscapes, Inc."/>
    <s v="Silvia Teixeria"/>
    <s v="Certified Blue Recycling "/>
    <s v="2075 Williams St, San Leandro, CA 94577"/>
    <m/>
    <s v="01/23/2024"/>
    <x v="19"/>
    <n v="96983"/>
    <s v="Click Here To View"/>
    <s v="Construction"/>
    <n v="7.66"/>
    <s v="100.00%"/>
    <s v="0.00%"/>
    <s v="100.00%"/>
    <s v="0.00%"/>
    <m/>
    <n v="7.66"/>
    <m/>
    <n v="7.66"/>
    <m/>
    <m/>
    <m/>
    <n v="7.66"/>
    <m/>
    <m/>
    <m/>
    <m/>
    <m/>
    <m/>
    <m/>
    <m/>
    <m/>
    <m/>
    <m/>
    <m/>
    <m/>
    <m/>
    <m/>
    <m/>
    <m/>
    <m/>
    <m/>
    <m/>
    <m/>
    <m/>
    <m/>
    <m/>
    <m/>
    <m/>
    <m/>
    <m/>
    <m/>
    <m/>
    <s v="0.00%"/>
    <s v="0.00%"/>
    <s v="0.00%"/>
    <s v="0.00%"/>
    <m/>
    <m/>
    <m/>
    <m/>
    <m/>
    <m/>
    <m/>
    <s v="0.00%"/>
    <s v="0.00%"/>
    <s v="0.00%"/>
    <s v="0.00%"/>
    <m/>
    <m/>
    <m/>
    <m/>
    <m/>
    <m/>
    <m/>
    <m/>
    <m/>
    <m/>
    <m/>
    <m/>
    <m/>
    <m/>
    <m/>
    <m/>
    <m/>
    <s v="Mike Teixeira"/>
    <m/>
    <s v="01/29/2024"/>
    <s v="Mike Teixeira"/>
    <m/>
    <m/>
  </r>
  <r>
    <s v="Oakland/San Francisco/San Jose"/>
    <s v="UCB Gateway"/>
    <n v="210784"/>
    <m/>
    <s v="Higher Education | Laboratory / Research | 005 | 004"/>
    <n v="368"/>
    <s v="Garden of Eden Landscapes, Inc."/>
    <s v="Silvia Teixeria"/>
    <s v="Certified Blue Recycling "/>
    <s v="2075 Williams St, San Leandro, CA 94577"/>
    <m/>
    <s v="02/08/2024"/>
    <x v="6"/>
    <n v="97667"/>
    <s v="Click Here To View"/>
    <s v="Construction"/>
    <n v="11.38"/>
    <s v="100.00%"/>
    <s v="0.00%"/>
    <s v="100.00%"/>
    <s v="0.00%"/>
    <m/>
    <n v="11.38"/>
    <m/>
    <n v="11.38"/>
    <m/>
    <m/>
    <m/>
    <n v="11.38"/>
    <m/>
    <m/>
    <m/>
    <m/>
    <m/>
    <m/>
    <m/>
    <m/>
    <m/>
    <m/>
    <m/>
    <m/>
    <m/>
    <m/>
    <m/>
    <m/>
    <m/>
    <m/>
    <m/>
    <m/>
    <m/>
    <m/>
    <m/>
    <m/>
    <m/>
    <m/>
    <m/>
    <m/>
    <m/>
    <m/>
    <s v="0.00%"/>
    <s v="0.00%"/>
    <s v="0.00%"/>
    <s v="0.00%"/>
    <m/>
    <m/>
    <m/>
    <m/>
    <m/>
    <m/>
    <m/>
    <s v="0.00%"/>
    <s v="0.00%"/>
    <s v="0.00%"/>
    <s v="0.00%"/>
    <m/>
    <m/>
    <m/>
    <m/>
    <m/>
    <m/>
    <m/>
    <m/>
    <m/>
    <m/>
    <m/>
    <m/>
    <m/>
    <m/>
    <m/>
    <m/>
    <m/>
    <s v="Mike Teixeira"/>
    <m/>
    <s v="02/19/2024"/>
    <s v="Mike Teixeira"/>
    <m/>
    <m/>
  </r>
  <r>
    <s v="Oakland/San Francisco/San Jose"/>
    <s v="UCB Gateway"/>
    <n v="210784"/>
    <m/>
    <s v="Higher Education | Laboratory / Research | 005 | 004"/>
    <n v="368"/>
    <s v="Garden of Eden Landscapes, Inc."/>
    <s v="Silvia Teixeria"/>
    <s v="Certified Blue Recycling "/>
    <s v="2075 Williams St, San Leandro, CA 94577"/>
    <m/>
    <s v="02/20/2024"/>
    <x v="6"/>
    <n v="98030"/>
    <s v="Click Here To View"/>
    <s v="Construction"/>
    <n v="7.01"/>
    <s v="100.00%"/>
    <s v="0.00%"/>
    <s v="100.00%"/>
    <s v="0.00%"/>
    <m/>
    <n v="7.01"/>
    <m/>
    <n v="7.01"/>
    <m/>
    <m/>
    <m/>
    <n v="7.01"/>
    <m/>
    <m/>
    <m/>
    <m/>
    <m/>
    <m/>
    <m/>
    <m/>
    <m/>
    <m/>
    <m/>
    <m/>
    <m/>
    <m/>
    <m/>
    <m/>
    <m/>
    <m/>
    <m/>
    <m/>
    <m/>
    <m/>
    <m/>
    <m/>
    <m/>
    <m/>
    <m/>
    <m/>
    <m/>
    <m/>
    <s v="0.00%"/>
    <s v="0.00%"/>
    <s v="0.00%"/>
    <s v="0.00%"/>
    <m/>
    <m/>
    <m/>
    <m/>
    <m/>
    <m/>
    <m/>
    <s v="0.00%"/>
    <s v="0.00%"/>
    <s v="0.00%"/>
    <s v="0.00%"/>
    <m/>
    <m/>
    <m/>
    <m/>
    <m/>
    <m/>
    <m/>
    <m/>
    <m/>
    <m/>
    <m/>
    <m/>
    <m/>
    <m/>
    <m/>
    <m/>
    <m/>
    <s v="Mike Teixeira"/>
    <m/>
    <s v="03/18/2024"/>
    <s v="Mike Teixeira"/>
    <m/>
    <m/>
  </r>
  <r>
    <s v="Oakland/San Francisco/San Jose"/>
    <s v="UCB Gateway"/>
    <n v="210784"/>
    <m/>
    <s v="Higher Education | Laboratory / Research | 005 | 004"/>
    <n v="368"/>
    <s v="Garden of Eden Landscapes, Inc."/>
    <s v="Silvia Teixeria"/>
    <s v="Certified Blue Recycling "/>
    <s v="2075 Williams St, San Leandro, CA 94577"/>
    <m/>
    <s v="02/29/2024"/>
    <x v="6"/>
    <n v="98481"/>
    <s v="Click Here To View"/>
    <s v="Construction"/>
    <n v="8.56"/>
    <s v="100.00%"/>
    <s v="0.00%"/>
    <s v="100.00%"/>
    <s v="0.00%"/>
    <m/>
    <n v="8.56"/>
    <m/>
    <n v="8.56"/>
    <m/>
    <m/>
    <m/>
    <n v="8.56"/>
    <m/>
    <m/>
    <m/>
    <m/>
    <m/>
    <m/>
    <m/>
    <m/>
    <m/>
    <m/>
    <m/>
    <m/>
    <m/>
    <m/>
    <m/>
    <m/>
    <m/>
    <m/>
    <m/>
    <m/>
    <m/>
    <m/>
    <m/>
    <m/>
    <m/>
    <m/>
    <m/>
    <m/>
    <m/>
    <m/>
    <s v="0.00%"/>
    <s v="0.00%"/>
    <s v="0.00%"/>
    <s v="0.00%"/>
    <m/>
    <m/>
    <m/>
    <m/>
    <m/>
    <m/>
    <m/>
    <s v="0.00%"/>
    <s v="0.00%"/>
    <s v="0.00%"/>
    <s v="0.00%"/>
    <m/>
    <m/>
    <m/>
    <m/>
    <m/>
    <m/>
    <m/>
    <m/>
    <m/>
    <m/>
    <m/>
    <m/>
    <m/>
    <m/>
    <m/>
    <m/>
    <m/>
    <s v="Mike Teixeira"/>
    <m/>
    <s v="03/18/2024"/>
    <s v="Mike Teixeira"/>
    <m/>
    <m/>
  </r>
  <r>
    <s v="Oakland/San Francisco/San Jose"/>
    <s v="UCB Gateway"/>
    <n v="210784"/>
    <m/>
    <s v="Higher Education | Laboratory / Research | 005 | 004"/>
    <n v="368"/>
    <s v="Garden of Eden Landscapes, Inc."/>
    <s v="Silvia Teixeria"/>
    <s v="Certified Blue Recycling "/>
    <s v="2075 Williams St, San Leandro, CA 94577"/>
    <m/>
    <s v="03/07/2024"/>
    <x v="5"/>
    <n v="98811"/>
    <s v="Click Here To View"/>
    <s v="Construction"/>
    <n v="7.18"/>
    <s v="100.00%"/>
    <s v="0.00%"/>
    <s v="100.00%"/>
    <s v="0.00%"/>
    <m/>
    <n v="7.18"/>
    <m/>
    <n v="7.18"/>
    <m/>
    <m/>
    <m/>
    <n v="7.18"/>
    <m/>
    <m/>
    <m/>
    <m/>
    <m/>
    <m/>
    <m/>
    <m/>
    <m/>
    <m/>
    <m/>
    <m/>
    <m/>
    <m/>
    <m/>
    <m/>
    <m/>
    <m/>
    <m/>
    <m/>
    <m/>
    <m/>
    <m/>
    <m/>
    <m/>
    <m/>
    <m/>
    <m/>
    <m/>
    <m/>
    <s v="0.00%"/>
    <s v="0.00%"/>
    <s v="0.00%"/>
    <s v="0.00%"/>
    <m/>
    <m/>
    <m/>
    <m/>
    <m/>
    <m/>
    <m/>
    <s v="0.00%"/>
    <s v="0.00%"/>
    <s v="0.00%"/>
    <s v="0.00%"/>
    <m/>
    <m/>
    <m/>
    <m/>
    <m/>
    <m/>
    <m/>
    <m/>
    <m/>
    <m/>
    <m/>
    <m/>
    <m/>
    <m/>
    <m/>
    <m/>
    <m/>
    <s v="Mike Teixeira"/>
    <m/>
    <s v="03/18/2024"/>
    <s v="Mike Teixeira"/>
    <m/>
    <m/>
  </r>
  <r>
    <s v="Oakland/San Francisco/San Jose"/>
    <s v="UCB Gateway"/>
    <n v="210784"/>
    <m/>
    <s v="Higher Education | Laboratory / Research | 005 | 004"/>
    <n v="368"/>
    <s v="Garden of Eden Landscapes, Inc."/>
    <s v="Silvia Teixeria"/>
    <s v="Certified Blue Recycling "/>
    <s v="2075 Williams St, San Leandro, CA 94577"/>
    <m/>
    <s v="03/13/2024"/>
    <x v="5"/>
    <n v="99048"/>
    <s v="Click Here To View"/>
    <s v="Construction"/>
    <n v="8.48"/>
    <s v="100.00%"/>
    <s v="0.00%"/>
    <s v="100.00%"/>
    <s v="0.00%"/>
    <m/>
    <n v="8.48"/>
    <m/>
    <n v="8.48"/>
    <m/>
    <m/>
    <m/>
    <n v="8.48"/>
    <m/>
    <m/>
    <m/>
    <m/>
    <m/>
    <m/>
    <m/>
    <m/>
    <m/>
    <m/>
    <m/>
    <m/>
    <m/>
    <m/>
    <m/>
    <m/>
    <m/>
    <m/>
    <m/>
    <m/>
    <m/>
    <m/>
    <m/>
    <m/>
    <m/>
    <m/>
    <m/>
    <m/>
    <m/>
    <m/>
    <s v="0.00%"/>
    <s v="0.00%"/>
    <s v="0.00%"/>
    <s v="0.00%"/>
    <m/>
    <m/>
    <m/>
    <m/>
    <m/>
    <m/>
    <m/>
    <s v="0.00%"/>
    <s v="0.00%"/>
    <s v="0.00%"/>
    <s v="0.00%"/>
    <m/>
    <m/>
    <m/>
    <m/>
    <m/>
    <m/>
    <m/>
    <m/>
    <m/>
    <m/>
    <m/>
    <m/>
    <m/>
    <m/>
    <m/>
    <m/>
    <m/>
    <s v="Mike Teixeira"/>
    <m/>
    <s v="03/18/2024"/>
    <s v="Mike Teixeira"/>
    <m/>
    <m/>
  </r>
  <r>
    <s v="Oakland/San Francisco/San Jose"/>
    <s v="UCB Gateway"/>
    <n v="210784"/>
    <m/>
    <s v="Higher Education | Laboratory / Research | 005 | 004"/>
    <n v="368"/>
    <s v="Largo Concrete"/>
    <s v="Oscar Romo"/>
    <s v="Certified Blue Recycling "/>
    <s v="2075 Williams St, San Leandro, CA 94577"/>
    <m/>
    <s v="02/08/2024"/>
    <x v="6"/>
    <n v="97667"/>
    <s v="Click Here To View"/>
    <s v="Construction"/>
    <n v="11.38"/>
    <s v="100.00%"/>
    <s v="0.00%"/>
    <s v="100.00%"/>
    <s v="0.00%"/>
    <m/>
    <n v="11.38"/>
    <m/>
    <n v="11.38"/>
    <m/>
    <m/>
    <m/>
    <n v="11.38"/>
    <m/>
    <m/>
    <m/>
    <m/>
    <m/>
    <m/>
    <m/>
    <m/>
    <m/>
    <m/>
    <m/>
    <m/>
    <m/>
    <m/>
    <m/>
    <m/>
    <m/>
    <m/>
    <m/>
    <m/>
    <m/>
    <m/>
    <m/>
    <m/>
    <m/>
    <m/>
    <m/>
    <m/>
    <m/>
    <m/>
    <s v="0.00%"/>
    <s v="0.00%"/>
    <s v="0.00%"/>
    <s v="0.00%"/>
    <m/>
    <m/>
    <m/>
    <m/>
    <m/>
    <m/>
    <m/>
    <s v="0.00%"/>
    <s v="0.00%"/>
    <s v="0.00%"/>
    <s v="0.00%"/>
    <m/>
    <m/>
    <m/>
    <m/>
    <m/>
    <m/>
    <m/>
    <m/>
    <m/>
    <m/>
    <m/>
    <m/>
    <m/>
    <m/>
    <m/>
    <m/>
    <m/>
    <s v="Oscar Romo"/>
    <m/>
    <s v="04/15/2024"/>
    <s v="Oscar Romo"/>
    <m/>
    <m/>
  </r>
  <r>
    <s v="Oakland/San Francisco/San Jose"/>
    <s v="UCB Gateway"/>
    <n v="210784"/>
    <m/>
    <s v="Higher Education | Laboratory / Research | 005 | 004"/>
    <n v="368"/>
    <s v="Largo Concrete"/>
    <s v="Oscar Romo"/>
    <s v="Certified Blue Recycling "/>
    <s v="2075 Williams St, San Leandro, CA 94577"/>
    <m/>
    <s v="02/20/2024"/>
    <x v="6"/>
    <n v="98030"/>
    <s v="Click Here To View"/>
    <s v="Construction"/>
    <n v="7.01"/>
    <s v="100.00%"/>
    <s v="0.00%"/>
    <s v="100.00%"/>
    <s v="0.00%"/>
    <m/>
    <n v="7.01"/>
    <m/>
    <n v="7.01"/>
    <m/>
    <m/>
    <m/>
    <n v="7.01"/>
    <m/>
    <m/>
    <m/>
    <m/>
    <m/>
    <m/>
    <m/>
    <m/>
    <m/>
    <m/>
    <m/>
    <m/>
    <m/>
    <m/>
    <m/>
    <m/>
    <m/>
    <m/>
    <m/>
    <m/>
    <m/>
    <m/>
    <m/>
    <m/>
    <m/>
    <m/>
    <m/>
    <m/>
    <m/>
    <m/>
    <s v="0.00%"/>
    <s v="0.00%"/>
    <s v="0.00%"/>
    <s v="0.00%"/>
    <m/>
    <m/>
    <m/>
    <m/>
    <m/>
    <m/>
    <m/>
    <s v="0.00%"/>
    <s v="0.00%"/>
    <s v="0.00%"/>
    <s v="0.00%"/>
    <m/>
    <m/>
    <m/>
    <m/>
    <m/>
    <m/>
    <m/>
    <m/>
    <m/>
    <m/>
    <m/>
    <m/>
    <m/>
    <m/>
    <m/>
    <m/>
    <m/>
    <s v="Oscar Romo"/>
    <m/>
    <s v="04/15/2024"/>
    <s v="Oscar Romo"/>
    <m/>
    <m/>
  </r>
  <r>
    <s v="Oakland/San Francisco/San Jose"/>
    <s v="UCB Gateway"/>
    <n v="210784"/>
    <m/>
    <s v="Higher Education | Laboratory / Research | 005 | 004"/>
    <n v="368"/>
    <s v="Largo Concrete"/>
    <s v="Oscar Romo"/>
    <s v="Certified Blue Recycling "/>
    <s v="2075 Williams St, San Leandro, CA 94577"/>
    <m/>
    <s v="02/29/2024"/>
    <x v="6"/>
    <n v="98481"/>
    <s v="Click Here To View"/>
    <s v="Construction"/>
    <n v="8.56"/>
    <s v="100.00%"/>
    <s v="0.00%"/>
    <s v="100.00%"/>
    <s v="0.00%"/>
    <m/>
    <n v="8.56"/>
    <m/>
    <n v="8.56"/>
    <m/>
    <m/>
    <m/>
    <n v="8.56"/>
    <m/>
    <m/>
    <m/>
    <m/>
    <m/>
    <m/>
    <m/>
    <m/>
    <m/>
    <m/>
    <m/>
    <m/>
    <m/>
    <m/>
    <m/>
    <m/>
    <m/>
    <m/>
    <m/>
    <m/>
    <m/>
    <m/>
    <m/>
    <m/>
    <m/>
    <m/>
    <m/>
    <m/>
    <m/>
    <m/>
    <s v="0.00%"/>
    <s v="0.00%"/>
    <s v="0.00%"/>
    <s v="0.00%"/>
    <m/>
    <m/>
    <m/>
    <m/>
    <m/>
    <m/>
    <m/>
    <s v="0.00%"/>
    <s v="0.00%"/>
    <s v="0.00%"/>
    <s v="0.00%"/>
    <m/>
    <m/>
    <m/>
    <m/>
    <m/>
    <m/>
    <m/>
    <m/>
    <m/>
    <m/>
    <m/>
    <m/>
    <m/>
    <m/>
    <m/>
    <m/>
    <m/>
    <s v="Oscar Romo"/>
    <m/>
    <s v="04/15/2024"/>
    <s v="Oscar Romo"/>
    <m/>
    <m/>
  </r>
  <r>
    <s v="Oakland/San Francisco/San Jose"/>
    <s v="UCB Gateway"/>
    <n v="210784"/>
    <m/>
    <s v="Higher Education | Laboratory / Research | 005 | 004"/>
    <n v="368"/>
    <s v="Largo Concrete"/>
    <s v="Oscar Romo"/>
    <s v="Certified Blue Recycling "/>
    <s v="2075 Williams St, San Leandro, CA 94577"/>
    <m/>
    <s v="03/07/2024"/>
    <x v="5"/>
    <n v="98811"/>
    <s v="Click Here To View"/>
    <s v="Construction"/>
    <n v="7.18"/>
    <s v="100.00%"/>
    <s v="0.00%"/>
    <s v="100.00%"/>
    <s v="0.00%"/>
    <m/>
    <n v="7.18"/>
    <m/>
    <n v="7.18"/>
    <m/>
    <m/>
    <m/>
    <n v="7.18"/>
    <m/>
    <m/>
    <m/>
    <m/>
    <m/>
    <m/>
    <m/>
    <m/>
    <m/>
    <m/>
    <m/>
    <m/>
    <m/>
    <m/>
    <m/>
    <m/>
    <m/>
    <m/>
    <m/>
    <m/>
    <m/>
    <m/>
    <m/>
    <m/>
    <m/>
    <m/>
    <m/>
    <m/>
    <m/>
    <m/>
    <s v="0.00%"/>
    <s v="0.00%"/>
    <s v="0.00%"/>
    <s v="0.00%"/>
    <m/>
    <m/>
    <m/>
    <m/>
    <m/>
    <m/>
    <m/>
    <s v="0.00%"/>
    <s v="0.00%"/>
    <s v="0.00%"/>
    <s v="0.00%"/>
    <m/>
    <m/>
    <m/>
    <m/>
    <m/>
    <m/>
    <m/>
    <m/>
    <m/>
    <m/>
    <m/>
    <m/>
    <m/>
    <m/>
    <m/>
    <m/>
    <m/>
    <s v="Oscar Romo"/>
    <m/>
    <s v="04/15/2024"/>
    <s v="Oscar Romo"/>
    <m/>
    <m/>
  </r>
  <r>
    <s v="Oakland/San Francisco/San Jose"/>
    <s v="UCB Gateway"/>
    <n v="210784"/>
    <m/>
    <s v="Higher Education | Laboratory / Research | 005 | 004"/>
    <n v="368"/>
    <s v="Largo Concrete"/>
    <s v="Oscar Romo"/>
    <s v="Certified Blue Recycling "/>
    <s v="2075 Williams St, San Leandro, CA 94577"/>
    <m/>
    <s v="03/13/2024"/>
    <x v="5"/>
    <n v="99048"/>
    <s v="Click Here To View"/>
    <s v="Construction"/>
    <n v="8.48"/>
    <s v="100.00%"/>
    <s v="0.00%"/>
    <s v="100.00%"/>
    <s v="0.00%"/>
    <m/>
    <n v="8.48"/>
    <m/>
    <n v="8.48"/>
    <m/>
    <m/>
    <m/>
    <n v="8.48"/>
    <m/>
    <m/>
    <m/>
    <m/>
    <m/>
    <m/>
    <m/>
    <m/>
    <m/>
    <m/>
    <m/>
    <m/>
    <m/>
    <m/>
    <m/>
    <m/>
    <m/>
    <m/>
    <m/>
    <m/>
    <m/>
    <m/>
    <m/>
    <m/>
    <m/>
    <m/>
    <m/>
    <m/>
    <m/>
    <m/>
    <s v="0.00%"/>
    <s v="0.00%"/>
    <s v="0.00%"/>
    <s v="0.00%"/>
    <m/>
    <m/>
    <m/>
    <m/>
    <m/>
    <m/>
    <m/>
    <s v="0.00%"/>
    <s v="0.00%"/>
    <s v="0.00%"/>
    <s v="0.00%"/>
    <m/>
    <m/>
    <m/>
    <m/>
    <m/>
    <m/>
    <m/>
    <m/>
    <m/>
    <m/>
    <m/>
    <m/>
    <m/>
    <m/>
    <m/>
    <m/>
    <m/>
    <s v="Oscar Romo"/>
    <m/>
    <s v="04/15/2024"/>
    <s v="Oscar Romo"/>
    <m/>
    <m/>
  </r>
  <r>
    <s v="Oakland/San Francisco/San Jose"/>
    <s v="UCB Gateway"/>
    <n v="210784"/>
    <m/>
    <s v="Higher Education | Laboratory / Research | 005 | 004"/>
    <n v="368"/>
    <s v="Largo Concrete"/>
    <s v="Oscar Romo"/>
    <s v="Certified Blue Recycling "/>
    <s v="2075 Williams St, San Leandro, CA 94577"/>
    <m/>
    <s v="03/20/2024"/>
    <x v="5"/>
    <n v="99405"/>
    <s v="Click Here To View"/>
    <s v="Construction"/>
    <n v="10.36"/>
    <s v="100.00%"/>
    <s v="0.00%"/>
    <s v="100.00%"/>
    <s v="0.00%"/>
    <m/>
    <n v="10.36"/>
    <m/>
    <n v="10.36"/>
    <m/>
    <m/>
    <m/>
    <n v="10.36"/>
    <m/>
    <m/>
    <m/>
    <m/>
    <m/>
    <m/>
    <m/>
    <m/>
    <m/>
    <m/>
    <m/>
    <m/>
    <m/>
    <m/>
    <m/>
    <m/>
    <m/>
    <m/>
    <m/>
    <m/>
    <m/>
    <m/>
    <m/>
    <m/>
    <m/>
    <m/>
    <m/>
    <m/>
    <m/>
    <m/>
    <s v="0.00%"/>
    <s v="0.00%"/>
    <s v="0.00%"/>
    <s v="0.00%"/>
    <m/>
    <m/>
    <m/>
    <m/>
    <m/>
    <m/>
    <m/>
    <s v="0.00%"/>
    <s v="0.00%"/>
    <s v="0.00%"/>
    <s v="0.00%"/>
    <m/>
    <m/>
    <m/>
    <m/>
    <m/>
    <m/>
    <m/>
    <m/>
    <m/>
    <m/>
    <m/>
    <m/>
    <m/>
    <m/>
    <m/>
    <m/>
    <m/>
    <s v="Oscar Romo"/>
    <m/>
    <s v="04/15/2024"/>
    <s v="Oscar Romo"/>
    <m/>
    <m/>
  </r>
  <r>
    <s v="Oakland/San Francisco/San Jose"/>
    <s v="UCB Gateway"/>
    <n v="210784"/>
    <m/>
    <s v="Higher Education | Laboratory / Research | 005 | 004"/>
    <n v="368"/>
    <s v="Largo Concrete"/>
    <s v="Oscar Romo"/>
    <s v="Certified Blue Recycling "/>
    <s v="2075 Williams St, San Leandro, CA 94577"/>
    <m/>
    <s v="03/25/2024"/>
    <x v="5"/>
    <n v="99602"/>
    <s v="Click Here To View"/>
    <s v="Construction"/>
    <n v="9.27"/>
    <s v="100.00%"/>
    <s v="0.00%"/>
    <s v="100.00%"/>
    <s v="0.00%"/>
    <m/>
    <n v="9.27"/>
    <m/>
    <n v="9.27"/>
    <m/>
    <m/>
    <m/>
    <n v="9.27"/>
    <m/>
    <m/>
    <m/>
    <m/>
    <m/>
    <m/>
    <m/>
    <m/>
    <m/>
    <m/>
    <m/>
    <m/>
    <m/>
    <m/>
    <m/>
    <m/>
    <m/>
    <m/>
    <m/>
    <m/>
    <m/>
    <m/>
    <m/>
    <m/>
    <m/>
    <m/>
    <m/>
    <m/>
    <m/>
    <m/>
    <s v="0.00%"/>
    <s v="0.00%"/>
    <s v="0.00%"/>
    <s v="0.00%"/>
    <m/>
    <m/>
    <m/>
    <m/>
    <m/>
    <m/>
    <m/>
    <s v="0.00%"/>
    <s v="0.00%"/>
    <s v="0.00%"/>
    <s v="0.00%"/>
    <m/>
    <m/>
    <m/>
    <m/>
    <m/>
    <m/>
    <m/>
    <m/>
    <m/>
    <m/>
    <m/>
    <m/>
    <m/>
    <m/>
    <m/>
    <m/>
    <m/>
    <s v="Oscar Romo"/>
    <m/>
    <s v="04/15/2024"/>
    <s v="Oscar Romo"/>
    <m/>
    <m/>
  </r>
  <r>
    <s v="Oakland/San Francisco/San Jose"/>
    <s v="UCB Gateway"/>
    <n v="210784"/>
    <m/>
    <s v="Higher Education | Laboratory / Research | 005 | 004"/>
    <n v="368"/>
    <s v="Largo Concrete"/>
    <s v="Oscar Romo"/>
    <s v="Certified Blue Recycling "/>
    <s v="2075 Williams St, San Leandro, CA 94577"/>
    <m/>
    <s v="03/29/2024"/>
    <x v="5"/>
    <n v="99831"/>
    <s v="Click Here To View"/>
    <s v="Construction"/>
    <n v="5.92"/>
    <s v="100.00%"/>
    <s v="0.00%"/>
    <s v="100.00%"/>
    <s v="0.00%"/>
    <m/>
    <n v="5.92"/>
    <m/>
    <n v="5.92"/>
    <m/>
    <m/>
    <m/>
    <n v="5.92"/>
    <m/>
    <m/>
    <m/>
    <m/>
    <m/>
    <m/>
    <m/>
    <m/>
    <m/>
    <m/>
    <m/>
    <m/>
    <m/>
    <m/>
    <m/>
    <m/>
    <m/>
    <m/>
    <m/>
    <m/>
    <m/>
    <m/>
    <m/>
    <m/>
    <m/>
    <m/>
    <m/>
    <m/>
    <m/>
    <m/>
    <s v="0.00%"/>
    <s v="0.00%"/>
    <s v="0.00%"/>
    <s v="0.00%"/>
    <m/>
    <m/>
    <m/>
    <m/>
    <m/>
    <m/>
    <m/>
    <s v="0.00%"/>
    <s v="0.00%"/>
    <s v="0.00%"/>
    <s v="0.00%"/>
    <m/>
    <m/>
    <m/>
    <m/>
    <m/>
    <m/>
    <m/>
    <m/>
    <m/>
    <m/>
    <m/>
    <m/>
    <m/>
    <m/>
    <m/>
    <m/>
    <m/>
    <s v="Oscar Romo"/>
    <m/>
    <s v="04/15/2024"/>
    <s v="Oscar Romo"/>
    <m/>
    <m/>
  </r>
  <r>
    <s v="Oakland/San Francisco/San Jose"/>
    <s v="UCB Gateway"/>
    <n v="210784"/>
    <m/>
    <s v="Higher Education | Laboratory / Research | 005 | 004"/>
    <n v="368"/>
    <s v="Largo Concrete"/>
    <s v="Oscar Romo"/>
    <s v="Certified Blue Recycling "/>
    <s v="2075 Williams St, San Leandro, CA 94577"/>
    <m/>
    <s v="06/03/2024"/>
    <x v="20"/>
    <n v="101395"/>
    <s v="Click Here To View"/>
    <s v="Construction"/>
    <n v="4.95"/>
    <s v="100.00%"/>
    <s v="0.00%"/>
    <s v="100.00%"/>
    <s v="0.00%"/>
    <m/>
    <n v="4.95"/>
    <m/>
    <n v="4.95"/>
    <m/>
    <m/>
    <m/>
    <n v="4.95"/>
    <m/>
    <m/>
    <m/>
    <m/>
    <m/>
    <m/>
    <m/>
    <m/>
    <m/>
    <m/>
    <m/>
    <m/>
    <m/>
    <m/>
    <m/>
    <m/>
    <m/>
    <m/>
    <m/>
    <m/>
    <m/>
    <m/>
    <m/>
    <m/>
    <m/>
    <m/>
    <m/>
    <m/>
    <m/>
    <m/>
    <s v="0.00%"/>
    <s v="0.00%"/>
    <s v="0.00%"/>
    <s v="0.00%"/>
    <m/>
    <m/>
    <m/>
    <m/>
    <m/>
    <m/>
    <m/>
    <s v="0.00%"/>
    <s v="0.00%"/>
    <s v="0.00%"/>
    <s v="0.00%"/>
    <m/>
    <m/>
    <m/>
    <m/>
    <m/>
    <m/>
    <m/>
    <m/>
    <m/>
    <m/>
    <m/>
    <m/>
    <m/>
    <m/>
    <m/>
    <m/>
    <m/>
    <s v="Oscar Romo"/>
    <m/>
    <s v="09/23/2024"/>
    <s v="Oscar Romo"/>
    <m/>
    <m/>
  </r>
  <r>
    <s v="Oakland/San Francisco/San Jose"/>
    <s v="UCB Gateway"/>
    <n v="210784"/>
    <m/>
    <s v="Higher Education | Laboratory / Research | 005 | 004"/>
    <n v="368"/>
    <s v="Largo Concrete"/>
    <s v="Oscar Romo"/>
    <s v="Certified Blue Recycling "/>
    <s v="2075 Williams St, San Leandro, CA 94577"/>
    <m/>
    <s v="07/06/2024"/>
    <x v="21"/>
    <n v="103120"/>
    <s v="Click Here To View"/>
    <s v="Construction"/>
    <n v="9.36"/>
    <s v="100.00%"/>
    <s v="0.00%"/>
    <s v="100.00%"/>
    <s v="0.00%"/>
    <m/>
    <n v="9.36"/>
    <m/>
    <n v="9.36"/>
    <m/>
    <m/>
    <m/>
    <n v="9.36"/>
    <m/>
    <m/>
    <m/>
    <m/>
    <m/>
    <m/>
    <m/>
    <m/>
    <m/>
    <m/>
    <m/>
    <m/>
    <m/>
    <m/>
    <m/>
    <m/>
    <m/>
    <m/>
    <m/>
    <m/>
    <m/>
    <m/>
    <m/>
    <m/>
    <m/>
    <m/>
    <m/>
    <m/>
    <m/>
    <m/>
    <s v="0.00%"/>
    <s v="0.00%"/>
    <s v="0.00%"/>
    <s v="0.00%"/>
    <m/>
    <m/>
    <m/>
    <m/>
    <m/>
    <m/>
    <m/>
    <s v="0.00%"/>
    <s v="0.00%"/>
    <s v="0.00%"/>
    <s v="0.00%"/>
    <m/>
    <m/>
    <m/>
    <m/>
    <m/>
    <m/>
    <m/>
    <m/>
    <m/>
    <m/>
    <m/>
    <m/>
    <m/>
    <m/>
    <m/>
    <m/>
    <m/>
    <s v="Oscar Romo"/>
    <m/>
    <s v="09/23/2024"/>
    <s v="Oscar Romo"/>
    <m/>
    <m/>
  </r>
  <r>
    <s v="Oakland/San Francisco/San Jose"/>
    <s v="UCB Gateway"/>
    <n v="210784"/>
    <m/>
    <s v="Higher Education | Laboratory / Research | 005 | 004"/>
    <n v="368"/>
    <s v="Largo Concrete"/>
    <s v="Oscar Romo"/>
    <s v="Certified Blue Recycling "/>
    <s v="2075 Williams St, San Leandro, CA 94577"/>
    <m/>
    <s v="07/25/2024"/>
    <x v="21"/>
    <n v="105952"/>
    <s v="Click Here To View"/>
    <s v="Construction"/>
    <n v="8.94"/>
    <s v="100.00%"/>
    <s v="0.00%"/>
    <s v="100.00%"/>
    <s v="0.00%"/>
    <m/>
    <n v="8.94"/>
    <m/>
    <n v="8.94"/>
    <m/>
    <m/>
    <m/>
    <n v="8.94"/>
    <m/>
    <m/>
    <m/>
    <m/>
    <m/>
    <m/>
    <m/>
    <m/>
    <m/>
    <m/>
    <m/>
    <m/>
    <m/>
    <m/>
    <m/>
    <m/>
    <m/>
    <m/>
    <m/>
    <m/>
    <m/>
    <m/>
    <m/>
    <m/>
    <m/>
    <m/>
    <m/>
    <m/>
    <m/>
    <m/>
    <s v="0.00%"/>
    <s v="0.00%"/>
    <s v="0.00%"/>
    <s v="0.00%"/>
    <m/>
    <m/>
    <m/>
    <m/>
    <m/>
    <m/>
    <m/>
    <s v="0.00%"/>
    <s v="0.00%"/>
    <s v="0.00%"/>
    <s v="0.00%"/>
    <m/>
    <m/>
    <m/>
    <m/>
    <m/>
    <m/>
    <m/>
    <m/>
    <m/>
    <m/>
    <m/>
    <m/>
    <m/>
    <m/>
    <m/>
    <m/>
    <m/>
    <s v="Oscar Romo"/>
    <m/>
    <s v="09/23/2024"/>
    <s v="Oscar Romo"/>
    <m/>
    <m/>
  </r>
  <r>
    <s v="Oakland/San Francisco/San Jose"/>
    <s v="UCB Gateway"/>
    <n v="210784"/>
    <m/>
    <s v="Higher Education | Laboratory / Research | 005 | 004"/>
    <n v="368"/>
    <s v="Largo Concrete"/>
    <s v="Oscar Romo"/>
    <s v="Certified Blue Recycling "/>
    <s v="2075 Williams St, San Leandro, CA 94577"/>
    <m/>
    <s v="08/12/2024"/>
    <x v="22"/>
    <n v="106894"/>
    <s v="Click Here To View"/>
    <s v="Construction"/>
    <n v="8.36"/>
    <s v="100.00%"/>
    <s v="0.00%"/>
    <s v="100.00%"/>
    <s v="0.00%"/>
    <m/>
    <n v="8.36"/>
    <m/>
    <n v="8.36"/>
    <m/>
    <m/>
    <m/>
    <n v="8.36"/>
    <m/>
    <m/>
    <m/>
    <m/>
    <m/>
    <m/>
    <m/>
    <m/>
    <m/>
    <m/>
    <m/>
    <m/>
    <m/>
    <m/>
    <m/>
    <m/>
    <m/>
    <m/>
    <m/>
    <m/>
    <m/>
    <m/>
    <m/>
    <m/>
    <m/>
    <m/>
    <m/>
    <m/>
    <m/>
    <m/>
    <s v="0.00%"/>
    <s v="0.00%"/>
    <s v="0.00%"/>
    <s v="0.00%"/>
    <m/>
    <m/>
    <m/>
    <m/>
    <m/>
    <m/>
    <m/>
    <s v="0.00%"/>
    <s v="0.00%"/>
    <s v="0.00%"/>
    <s v="0.00%"/>
    <m/>
    <m/>
    <m/>
    <m/>
    <m/>
    <m/>
    <m/>
    <m/>
    <m/>
    <m/>
    <m/>
    <m/>
    <m/>
    <m/>
    <m/>
    <m/>
    <m/>
    <s v="Oscar Romo"/>
    <m/>
    <s v="09/23/2024"/>
    <s v="Oscar Romo"/>
    <m/>
    <m/>
  </r>
  <r>
    <s v="Oakland/San Francisco/San Jose"/>
    <s v="UCB Gateway"/>
    <n v="210784"/>
    <m/>
    <s v="Higher Education | Laboratory / Research | 005 | 004"/>
    <n v="368"/>
    <s v="Largo Concrete"/>
    <s v="Oscar Romo"/>
    <s v="Certified Blue Recycling "/>
    <s v="2075 Williams St, San Leandro, CA 94577"/>
    <m/>
    <s v="08/26/2024"/>
    <x v="22"/>
    <n v="107730"/>
    <s v="Click Here To View"/>
    <s v="Construction"/>
    <n v="8.48"/>
    <s v="100.00%"/>
    <s v="0.00%"/>
    <s v="100.00%"/>
    <s v="0.00%"/>
    <m/>
    <n v="8.48"/>
    <m/>
    <n v="8.48"/>
    <m/>
    <m/>
    <m/>
    <n v="8.48"/>
    <m/>
    <m/>
    <m/>
    <m/>
    <m/>
    <m/>
    <m/>
    <m/>
    <m/>
    <m/>
    <m/>
    <m/>
    <m/>
    <m/>
    <m/>
    <m/>
    <m/>
    <m/>
    <m/>
    <m/>
    <m/>
    <m/>
    <m/>
    <m/>
    <m/>
    <m/>
    <m/>
    <m/>
    <m/>
    <m/>
    <s v="0.00%"/>
    <s v="0.00%"/>
    <s v="0.00%"/>
    <s v="0.00%"/>
    <m/>
    <m/>
    <m/>
    <m/>
    <m/>
    <m/>
    <m/>
    <s v="0.00%"/>
    <s v="0.00%"/>
    <s v="0.00%"/>
    <s v="0.00%"/>
    <m/>
    <m/>
    <m/>
    <m/>
    <m/>
    <m/>
    <m/>
    <m/>
    <m/>
    <m/>
    <m/>
    <m/>
    <m/>
    <m/>
    <m/>
    <m/>
    <m/>
    <s v="Oscar Romo"/>
    <m/>
    <s v="09/23/2024"/>
    <s v="Oscar Romo"/>
    <m/>
    <m/>
  </r>
  <r>
    <s v="Oakland/San Francisco/San Jose"/>
    <s v="UCB Gateway"/>
    <n v="210784"/>
    <m/>
    <s v="Higher Education | Laboratory / Research | 005 | 004"/>
    <n v="368"/>
    <s v="Largo Concrete"/>
    <s v="Oscar Romo"/>
    <s v="Certified Blue Recycling "/>
    <s v="2075 Williams St, San Leandro, CA 94577"/>
    <m/>
    <s v="09/09/2024"/>
    <x v="23"/>
    <n v="108449"/>
    <s v="Click Here To View"/>
    <s v="Construction"/>
    <n v="11.37"/>
    <s v="100.00%"/>
    <s v="0.00%"/>
    <s v="100.00%"/>
    <s v="0.00%"/>
    <m/>
    <n v="11.37"/>
    <m/>
    <n v="11.37"/>
    <m/>
    <m/>
    <m/>
    <n v="11.37"/>
    <m/>
    <m/>
    <m/>
    <m/>
    <m/>
    <m/>
    <m/>
    <m/>
    <m/>
    <m/>
    <m/>
    <m/>
    <m/>
    <m/>
    <m/>
    <m/>
    <m/>
    <m/>
    <m/>
    <m/>
    <m/>
    <m/>
    <m/>
    <m/>
    <m/>
    <m/>
    <m/>
    <m/>
    <m/>
    <m/>
    <s v="0.00%"/>
    <s v="0.00%"/>
    <s v="0.00%"/>
    <s v="0.00%"/>
    <m/>
    <m/>
    <m/>
    <m/>
    <m/>
    <m/>
    <m/>
    <s v="0.00%"/>
    <s v="0.00%"/>
    <s v="0.00%"/>
    <s v="0.00%"/>
    <m/>
    <m/>
    <m/>
    <m/>
    <m/>
    <m/>
    <m/>
    <m/>
    <m/>
    <m/>
    <m/>
    <m/>
    <m/>
    <m/>
    <m/>
    <m/>
    <m/>
    <s v="Oscar Romo"/>
    <m/>
    <s v="09/23/2024"/>
    <s v="Oscar Romo"/>
    <m/>
    <m/>
  </r>
  <r>
    <s v="Oakland/San Francisco/San Jose"/>
    <s v="UCB Gateway"/>
    <n v="210784"/>
    <m/>
    <s v="Higher Education | Laboratory / Research | 005 | 004"/>
    <n v="368"/>
    <s v="Largo Concrete"/>
    <s v="Oscar Romo"/>
    <s v="Certified Blue Recycling "/>
    <s v="2075 Williams St, San Leandro, CA 94577"/>
    <m/>
    <s v="09/13/2024"/>
    <x v="23"/>
    <n v="108750"/>
    <s v="Click Here To View"/>
    <s v="Construction"/>
    <n v="9.81"/>
    <s v="100.00%"/>
    <s v="0.00%"/>
    <s v="100.00%"/>
    <s v="0.00%"/>
    <m/>
    <n v="9.81"/>
    <m/>
    <n v="9.81"/>
    <m/>
    <m/>
    <m/>
    <n v="9.81"/>
    <m/>
    <m/>
    <m/>
    <m/>
    <m/>
    <m/>
    <m/>
    <m/>
    <m/>
    <m/>
    <m/>
    <m/>
    <m/>
    <m/>
    <m/>
    <m/>
    <m/>
    <m/>
    <m/>
    <m/>
    <m/>
    <m/>
    <m/>
    <m/>
    <m/>
    <m/>
    <m/>
    <m/>
    <m/>
    <m/>
    <s v="0.00%"/>
    <s v="0.00%"/>
    <s v="0.00%"/>
    <s v="0.00%"/>
    <m/>
    <m/>
    <m/>
    <m/>
    <m/>
    <m/>
    <m/>
    <s v="0.00%"/>
    <s v="0.00%"/>
    <s v="0.00%"/>
    <s v="0.00%"/>
    <m/>
    <m/>
    <m/>
    <m/>
    <m/>
    <m/>
    <m/>
    <m/>
    <m/>
    <m/>
    <m/>
    <m/>
    <m/>
    <m/>
    <m/>
    <m/>
    <m/>
    <s v="Oscar Romo"/>
    <m/>
    <s v="09/23/2024"/>
    <s v="Oscar Romo"/>
    <m/>
    <m/>
  </r>
  <r>
    <s v="Oakland/San Francisco/San Jose"/>
    <s v="UCB Gateway"/>
    <n v="210784"/>
    <m/>
    <s v="Higher Education | Laboratory / Research | 005 | 004"/>
    <n v="368"/>
    <s v="Largo Concrete"/>
    <s v="Oscar Romo"/>
    <s v="Certified Blue Recycling "/>
    <s v="2075 Williams St, San Leandro, CA 94577"/>
    <m/>
    <s v="10/01/2024"/>
    <x v="24"/>
    <n v="109739"/>
    <s v="Click Here To View"/>
    <s v="Construction"/>
    <n v="5.96"/>
    <s v="100.00%"/>
    <s v="0.00%"/>
    <s v="100.00%"/>
    <s v="0.00%"/>
    <m/>
    <n v="5.96"/>
    <m/>
    <n v="5.96"/>
    <m/>
    <m/>
    <m/>
    <n v="5.96"/>
    <m/>
    <m/>
    <m/>
    <m/>
    <m/>
    <m/>
    <m/>
    <m/>
    <m/>
    <m/>
    <m/>
    <m/>
    <m/>
    <m/>
    <m/>
    <m/>
    <m/>
    <m/>
    <m/>
    <m/>
    <m/>
    <m/>
    <m/>
    <m/>
    <m/>
    <m/>
    <m/>
    <m/>
    <m/>
    <m/>
    <s v="0.00%"/>
    <s v="0.00%"/>
    <s v="0.00%"/>
    <s v="0.00%"/>
    <m/>
    <m/>
    <m/>
    <m/>
    <m/>
    <m/>
    <m/>
    <s v="0.00%"/>
    <s v="0.00%"/>
    <s v="0.00%"/>
    <s v="0.00%"/>
    <m/>
    <m/>
    <m/>
    <m/>
    <m/>
    <m/>
    <m/>
    <m/>
    <m/>
    <m/>
    <m/>
    <m/>
    <m/>
    <m/>
    <m/>
    <m/>
    <m/>
    <s v="Oscar Romo"/>
    <m/>
    <s v="11/12/2024"/>
    <s v="Oscar Romo"/>
    <m/>
    <m/>
  </r>
  <r>
    <s v="Oakland/San Francisco/San Jose"/>
    <s v="UCB Gateway"/>
    <n v="210784"/>
    <m/>
    <s v="Higher Education | Laboratory / Research | 005 | 004"/>
    <n v="368"/>
    <s v="Largo Concrete"/>
    <s v="Oscar Romo"/>
    <s v="Certified Blue Recycling "/>
    <s v="2075 Williams St, San Leandro, CA 94577"/>
    <m/>
    <s v="10/03/2024"/>
    <x v="24"/>
    <n v="109893"/>
    <s v="Click Here To View"/>
    <s v="Construction"/>
    <n v="3.45"/>
    <s v="100.00%"/>
    <s v="0.00%"/>
    <s v="100.00%"/>
    <s v="0.00%"/>
    <m/>
    <n v="3.45"/>
    <m/>
    <n v="3.45"/>
    <m/>
    <m/>
    <m/>
    <n v="3.45"/>
    <m/>
    <m/>
    <m/>
    <m/>
    <m/>
    <m/>
    <m/>
    <m/>
    <m/>
    <m/>
    <m/>
    <m/>
    <m/>
    <m/>
    <m/>
    <m/>
    <m/>
    <m/>
    <m/>
    <m/>
    <m/>
    <m/>
    <m/>
    <m/>
    <m/>
    <m/>
    <m/>
    <m/>
    <m/>
    <m/>
    <s v="0.00%"/>
    <s v="0.00%"/>
    <s v="0.00%"/>
    <s v="0.00%"/>
    <m/>
    <m/>
    <m/>
    <m/>
    <m/>
    <m/>
    <m/>
    <s v="0.00%"/>
    <s v="0.00%"/>
    <s v="0.00%"/>
    <s v="0.00%"/>
    <m/>
    <m/>
    <m/>
    <m/>
    <m/>
    <m/>
    <m/>
    <m/>
    <m/>
    <m/>
    <m/>
    <m/>
    <m/>
    <m/>
    <m/>
    <m/>
    <m/>
    <s v="Oscar Romo"/>
    <m/>
    <s v="11/12/2024"/>
    <s v="Oscar Romo"/>
    <m/>
    <m/>
  </r>
  <r>
    <s v="Oakland/San Francisco/San Jose"/>
    <s v="UCB Gateway"/>
    <n v="210784"/>
    <m/>
    <s v="Higher Education | Laboratory / Research | 005 | 004"/>
    <n v="368"/>
    <s v="Largo Concrete"/>
    <s v="Oscar Romo"/>
    <s v="Certified Blue Recycling "/>
    <s v="2075 Williams St, San Leandro, CA 94577"/>
    <m/>
    <s v="10/07/2024"/>
    <x v="24"/>
    <n v="110020"/>
    <s v="Click Here To View"/>
    <s v="Construction"/>
    <n v="10.35"/>
    <s v="100.00%"/>
    <s v="0.00%"/>
    <s v="100.00%"/>
    <s v="0.00%"/>
    <m/>
    <n v="10.35"/>
    <m/>
    <n v="10.35"/>
    <m/>
    <m/>
    <m/>
    <n v="10.35"/>
    <m/>
    <m/>
    <m/>
    <m/>
    <m/>
    <m/>
    <m/>
    <m/>
    <m/>
    <m/>
    <m/>
    <m/>
    <m/>
    <m/>
    <m/>
    <m/>
    <m/>
    <m/>
    <m/>
    <m/>
    <m/>
    <m/>
    <m/>
    <m/>
    <m/>
    <m/>
    <m/>
    <m/>
    <m/>
    <m/>
    <s v="0.00%"/>
    <s v="0.00%"/>
    <s v="0.00%"/>
    <s v="0.00%"/>
    <m/>
    <m/>
    <m/>
    <m/>
    <m/>
    <m/>
    <m/>
    <s v="0.00%"/>
    <s v="0.00%"/>
    <s v="0.00%"/>
    <s v="0.00%"/>
    <m/>
    <m/>
    <m/>
    <m/>
    <m/>
    <m/>
    <m/>
    <m/>
    <m/>
    <m/>
    <m/>
    <m/>
    <m/>
    <m/>
    <m/>
    <m/>
    <m/>
    <s v="Oscar Romo"/>
    <m/>
    <s v="11/12/2024"/>
    <s v="Oscar Romo"/>
    <m/>
    <m/>
  </r>
  <r>
    <s v="Oakland/San Francisco/San Jose"/>
    <s v="UCB Gateway"/>
    <n v="210784"/>
    <m/>
    <s v="Higher Education | Laboratory / Research | 005 | 004"/>
    <n v="368"/>
    <s v="Largo Concrete"/>
    <s v="Oscar Romo"/>
    <s v="Certified Blue Recycling "/>
    <s v="2075 Williams St, San Leandro, CA 94577"/>
    <m/>
    <s v="10/07/2024"/>
    <x v="24"/>
    <n v="110064"/>
    <s v="Click Here To View"/>
    <s v="Construction"/>
    <n v="7.26"/>
    <s v="100.00%"/>
    <s v="0.00%"/>
    <s v="100.00%"/>
    <s v="0.00%"/>
    <m/>
    <n v="7.26"/>
    <m/>
    <n v="7.26"/>
    <m/>
    <m/>
    <m/>
    <n v="7.26"/>
    <m/>
    <m/>
    <m/>
    <m/>
    <m/>
    <m/>
    <m/>
    <m/>
    <m/>
    <m/>
    <m/>
    <m/>
    <m/>
    <m/>
    <m/>
    <m/>
    <m/>
    <m/>
    <m/>
    <m/>
    <m/>
    <m/>
    <m/>
    <m/>
    <m/>
    <m/>
    <m/>
    <m/>
    <m/>
    <m/>
    <s v="0.00%"/>
    <s v="0.00%"/>
    <s v="0.00%"/>
    <s v="0.00%"/>
    <m/>
    <m/>
    <m/>
    <m/>
    <m/>
    <m/>
    <m/>
    <s v="0.00%"/>
    <s v="0.00%"/>
    <s v="0.00%"/>
    <s v="0.00%"/>
    <m/>
    <m/>
    <m/>
    <m/>
    <m/>
    <m/>
    <m/>
    <m/>
    <m/>
    <m/>
    <m/>
    <m/>
    <m/>
    <m/>
    <m/>
    <m/>
    <m/>
    <s v="Oscar Romo"/>
    <m/>
    <s v="11/12/2024"/>
    <s v="Oscar Romo"/>
    <m/>
    <m/>
  </r>
  <r>
    <s v="Oakland/San Francisco/San Jose"/>
    <s v="UCB Gateway"/>
    <n v="210784"/>
    <m/>
    <s v="Higher Education | Laboratory / Research | 005 | 004"/>
    <n v="368"/>
    <s v="Largo Concrete"/>
    <s v="Oscar Romo"/>
    <s v="Certified Blue Recycling "/>
    <s v="2075 Williams St, San Leandro, CA 94577"/>
    <m/>
    <s v="10/08/2024"/>
    <x v="24"/>
    <n v="110175"/>
    <s v="Click Here To View"/>
    <s v="Construction"/>
    <n v="9.43"/>
    <s v="100.00%"/>
    <s v="0.00%"/>
    <s v="100.00%"/>
    <s v="0.00%"/>
    <m/>
    <n v="9.43"/>
    <m/>
    <n v="9.43"/>
    <m/>
    <m/>
    <m/>
    <n v="9.43"/>
    <m/>
    <m/>
    <m/>
    <m/>
    <m/>
    <m/>
    <m/>
    <m/>
    <m/>
    <m/>
    <m/>
    <m/>
    <m/>
    <m/>
    <m/>
    <m/>
    <m/>
    <m/>
    <m/>
    <m/>
    <m/>
    <m/>
    <m/>
    <m/>
    <m/>
    <m/>
    <m/>
    <m/>
    <m/>
    <m/>
    <s v="0.00%"/>
    <s v="0.00%"/>
    <s v="0.00%"/>
    <s v="0.00%"/>
    <m/>
    <m/>
    <m/>
    <m/>
    <m/>
    <m/>
    <m/>
    <s v="0.00%"/>
    <s v="0.00%"/>
    <s v="0.00%"/>
    <s v="0.00%"/>
    <m/>
    <m/>
    <m/>
    <m/>
    <m/>
    <m/>
    <m/>
    <m/>
    <m/>
    <m/>
    <m/>
    <m/>
    <m/>
    <m/>
    <m/>
    <m/>
    <m/>
    <s v="Oscar Romo"/>
    <m/>
    <s v="11/12/2024"/>
    <s v="Oscar Romo"/>
    <m/>
    <m/>
  </r>
  <r>
    <s v="Oakland/San Francisco/San Jose"/>
    <s v="UCB Gateway"/>
    <n v="210784"/>
    <m/>
    <s v="Higher Education | Laboratory / Research | 005 | 004"/>
    <n v="368"/>
    <s v="Largo Concrete"/>
    <s v="Oscar Romo"/>
    <s v="Certified Blue Recycling "/>
    <s v="2075 Williams St, San Leandro, CA 94577"/>
    <m/>
    <s v="10/09/2024"/>
    <x v="24"/>
    <n v="110254"/>
    <s v="Click Here To View"/>
    <s v="Construction"/>
    <n v="9"/>
    <s v="100.00%"/>
    <s v="0.00%"/>
    <s v="100.00%"/>
    <s v="0.00%"/>
    <m/>
    <n v="9"/>
    <m/>
    <n v="9"/>
    <m/>
    <m/>
    <m/>
    <n v="9"/>
    <m/>
    <m/>
    <m/>
    <m/>
    <m/>
    <m/>
    <m/>
    <m/>
    <m/>
    <m/>
    <m/>
    <m/>
    <m/>
    <m/>
    <m/>
    <m/>
    <m/>
    <m/>
    <m/>
    <m/>
    <m/>
    <m/>
    <m/>
    <m/>
    <m/>
    <m/>
    <m/>
    <m/>
    <m/>
    <m/>
    <s v="0.00%"/>
    <s v="0.00%"/>
    <s v="0.00%"/>
    <s v="0.00%"/>
    <m/>
    <m/>
    <m/>
    <m/>
    <m/>
    <m/>
    <m/>
    <s v="0.00%"/>
    <s v="0.00%"/>
    <s v="0.00%"/>
    <s v="0.00%"/>
    <m/>
    <m/>
    <m/>
    <m/>
    <m/>
    <m/>
    <m/>
    <m/>
    <m/>
    <m/>
    <m/>
    <m/>
    <m/>
    <m/>
    <m/>
    <m/>
    <m/>
    <s v="Oscar Romo"/>
    <m/>
    <s v="11/12/2024"/>
    <s v="Oscar Romo"/>
    <m/>
    <m/>
  </r>
  <r>
    <s v="Oakland/San Francisco/San Jose"/>
    <s v="UCB Gateway"/>
    <n v="210784"/>
    <m/>
    <s v="Higher Education | Laboratory / Research | 005 | 004"/>
    <n v="368"/>
    <s v="Largo Concrete"/>
    <s v="Oscar Romo"/>
    <s v="Certified Blue Recycling "/>
    <s v="2075 Williams St, San Leandro, CA 94577"/>
    <m/>
    <s v="10/09/2024"/>
    <x v="24"/>
    <n v="110208"/>
    <s v="Click Here To View"/>
    <s v="Construction"/>
    <n v="10.45"/>
    <s v="100.00%"/>
    <s v="0.00%"/>
    <s v="100.00%"/>
    <s v="0.00%"/>
    <m/>
    <n v="10.45"/>
    <m/>
    <n v="10.45"/>
    <m/>
    <m/>
    <m/>
    <n v="10.45"/>
    <m/>
    <m/>
    <m/>
    <m/>
    <m/>
    <m/>
    <m/>
    <m/>
    <m/>
    <m/>
    <m/>
    <m/>
    <m/>
    <m/>
    <m/>
    <m/>
    <m/>
    <m/>
    <m/>
    <m/>
    <m/>
    <m/>
    <m/>
    <m/>
    <m/>
    <m/>
    <m/>
    <m/>
    <m/>
    <m/>
    <s v="0.00%"/>
    <s v="0.00%"/>
    <s v="0.00%"/>
    <s v="0.00%"/>
    <m/>
    <m/>
    <m/>
    <m/>
    <m/>
    <m/>
    <m/>
    <s v="0.00%"/>
    <s v="0.00%"/>
    <s v="0.00%"/>
    <s v="0.00%"/>
    <m/>
    <m/>
    <m/>
    <m/>
    <m/>
    <m/>
    <m/>
    <m/>
    <m/>
    <m/>
    <m/>
    <m/>
    <m/>
    <m/>
    <m/>
    <m/>
    <m/>
    <s v="Oscar Romo"/>
    <m/>
    <s v="11/12/2024"/>
    <s v="Oscar Romo"/>
    <m/>
    <m/>
  </r>
  <r>
    <s v="Oakland/San Francisco/San Jose"/>
    <s v="UCB Gateway"/>
    <n v="210784"/>
    <m/>
    <s v="Higher Education | Laboratory / Research | 005 | 004"/>
    <n v="368"/>
    <s v="Largo Concrete"/>
    <s v="Oscar Romo"/>
    <s v="Certified Blue Recycling "/>
    <s v="2075 Williams St, San Leandro, CA 94577"/>
    <m/>
    <s v="10/10/2024"/>
    <x v="24"/>
    <n v="110305"/>
    <s v="Click Here To View"/>
    <s v="Construction"/>
    <n v="3.94"/>
    <s v="100.00%"/>
    <s v="0.00%"/>
    <s v="100.00%"/>
    <s v="0.00%"/>
    <m/>
    <n v="3.94"/>
    <m/>
    <n v="3.94"/>
    <m/>
    <m/>
    <m/>
    <n v="3.94"/>
    <m/>
    <m/>
    <m/>
    <m/>
    <m/>
    <m/>
    <m/>
    <m/>
    <m/>
    <m/>
    <m/>
    <m/>
    <m/>
    <m/>
    <m/>
    <m/>
    <m/>
    <m/>
    <m/>
    <m/>
    <m/>
    <m/>
    <m/>
    <m/>
    <m/>
    <m/>
    <m/>
    <m/>
    <m/>
    <m/>
    <s v="0.00%"/>
    <s v="0.00%"/>
    <s v="0.00%"/>
    <s v="0.00%"/>
    <m/>
    <m/>
    <m/>
    <m/>
    <m/>
    <m/>
    <m/>
    <s v="0.00%"/>
    <s v="0.00%"/>
    <s v="0.00%"/>
    <s v="0.00%"/>
    <m/>
    <m/>
    <m/>
    <m/>
    <m/>
    <m/>
    <m/>
    <m/>
    <m/>
    <m/>
    <m/>
    <m/>
    <m/>
    <m/>
    <m/>
    <m/>
    <m/>
    <s v="Oscar Romo"/>
    <m/>
    <s v="11/12/2024"/>
    <s v="Oscar Romo"/>
    <m/>
    <m/>
  </r>
  <r>
    <s v="Oakland/San Francisco/San Jose"/>
    <s v="UCB Gateway"/>
    <n v="210784"/>
    <m/>
    <s v="Higher Education | Laboratory / Research | 005 | 004"/>
    <n v="368"/>
    <s v="Largo Concrete"/>
    <s v="Oscar Romo"/>
    <s v="Certified Blue Recycling "/>
    <s v="2075 Williams St, San Leandro, CA 94577"/>
    <m/>
    <s v="10/11/2024"/>
    <x v="24"/>
    <n v="110395"/>
    <s v="Click Here To View"/>
    <s v="Construction"/>
    <n v="2"/>
    <s v="100.00%"/>
    <s v="0.00%"/>
    <s v="100.00%"/>
    <s v="0.00%"/>
    <m/>
    <n v="2"/>
    <m/>
    <n v="2"/>
    <m/>
    <m/>
    <m/>
    <n v="2"/>
    <m/>
    <m/>
    <m/>
    <m/>
    <m/>
    <m/>
    <m/>
    <m/>
    <m/>
    <m/>
    <m/>
    <m/>
    <m/>
    <m/>
    <m/>
    <m/>
    <m/>
    <m/>
    <m/>
    <m/>
    <m/>
    <m/>
    <m/>
    <m/>
    <m/>
    <m/>
    <m/>
    <m/>
    <m/>
    <m/>
    <s v="0.00%"/>
    <s v="0.00%"/>
    <s v="0.00%"/>
    <s v="0.00%"/>
    <m/>
    <m/>
    <m/>
    <m/>
    <m/>
    <m/>
    <m/>
    <s v="0.00%"/>
    <s v="0.00%"/>
    <s v="0.00%"/>
    <s v="0.00%"/>
    <m/>
    <m/>
    <m/>
    <m/>
    <m/>
    <m/>
    <m/>
    <m/>
    <m/>
    <m/>
    <m/>
    <m/>
    <m/>
    <m/>
    <m/>
    <m/>
    <m/>
    <s v="Oscar Romo"/>
    <m/>
    <s v="11/12/2024"/>
    <s v="Oscar Romo"/>
    <m/>
    <m/>
  </r>
  <r>
    <s v="Oakland/San Francisco/San Jose"/>
    <s v="UCB Gateway"/>
    <n v="210784"/>
    <m/>
    <s v="Higher Education | Laboratory / Research | 005 | 004"/>
    <n v="368"/>
    <s v="Largo Concrete"/>
    <s v="Oscar Romo"/>
    <s v="Certified Blue Recycling "/>
    <s v="2075 Williams St, San Leandro, CA 94577"/>
    <m/>
    <s v="10/10/2024"/>
    <x v="24"/>
    <n v="110336"/>
    <s v="Click Here To View"/>
    <s v="Construction"/>
    <n v="4.22"/>
    <s v="100.00%"/>
    <s v="0.00%"/>
    <s v="100.00%"/>
    <s v="0.00%"/>
    <m/>
    <n v="4.22"/>
    <m/>
    <n v="4.22"/>
    <m/>
    <m/>
    <m/>
    <n v="4.22"/>
    <m/>
    <m/>
    <m/>
    <m/>
    <m/>
    <m/>
    <m/>
    <m/>
    <m/>
    <m/>
    <m/>
    <m/>
    <m/>
    <m/>
    <m/>
    <m/>
    <m/>
    <m/>
    <m/>
    <m/>
    <m/>
    <m/>
    <m/>
    <m/>
    <m/>
    <m/>
    <m/>
    <m/>
    <m/>
    <m/>
    <s v="0.00%"/>
    <s v="0.00%"/>
    <s v="0.00%"/>
    <s v="0.00%"/>
    <m/>
    <m/>
    <m/>
    <m/>
    <m/>
    <m/>
    <m/>
    <s v="0.00%"/>
    <s v="0.00%"/>
    <s v="0.00%"/>
    <s v="0.00%"/>
    <m/>
    <m/>
    <m/>
    <m/>
    <m/>
    <m/>
    <m/>
    <m/>
    <m/>
    <m/>
    <m/>
    <m/>
    <m/>
    <m/>
    <m/>
    <m/>
    <m/>
    <s v="Oscar Romo"/>
    <m/>
    <s v="11/12/2024"/>
    <s v="Oscar Romo"/>
    <m/>
    <m/>
  </r>
  <r>
    <s v="Oakland/San Francisco/San Jose"/>
    <s v="UCB Gateway"/>
    <n v="210784"/>
    <m/>
    <s v="Higher Education | Laboratory / Research | 005 | 004"/>
    <n v="368"/>
    <s v="Largo Concrete"/>
    <s v="Oscar Romo"/>
    <s v="Certified Blue Recycling "/>
    <s v="2075 Williams St, San Leandro, CA 94577"/>
    <m/>
    <s v="10/11/2024"/>
    <x v="24"/>
    <n v="110409"/>
    <s v="Click Here To View"/>
    <s v="Construction"/>
    <n v="6.89"/>
    <s v="100.00%"/>
    <s v="0.00%"/>
    <s v="100.00%"/>
    <s v="0.00%"/>
    <m/>
    <n v="6.89"/>
    <m/>
    <n v="6.89"/>
    <m/>
    <m/>
    <m/>
    <n v="6.89"/>
    <m/>
    <m/>
    <m/>
    <m/>
    <m/>
    <m/>
    <m/>
    <m/>
    <m/>
    <m/>
    <m/>
    <m/>
    <m/>
    <m/>
    <m/>
    <m/>
    <m/>
    <m/>
    <m/>
    <m/>
    <m/>
    <m/>
    <m/>
    <m/>
    <m/>
    <m/>
    <m/>
    <m/>
    <m/>
    <m/>
    <s v="0.00%"/>
    <s v="0.00%"/>
    <s v="0.00%"/>
    <s v="0.00%"/>
    <m/>
    <m/>
    <m/>
    <m/>
    <m/>
    <m/>
    <m/>
    <s v="0.00%"/>
    <s v="0.00%"/>
    <s v="0.00%"/>
    <s v="0.00%"/>
    <m/>
    <m/>
    <m/>
    <m/>
    <m/>
    <m/>
    <m/>
    <m/>
    <m/>
    <m/>
    <m/>
    <m/>
    <m/>
    <m/>
    <m/>
    <m/>
    <m/>
    <s v="Oscar Romo"/>
    <m/>
    <s v="11/12/2024"/>
    <s v="Oscar Romo"/>
    <m/>
    <m/>
  </r>
  <r>
    <s v="Oakland/San Francisco/San Jose"/>
    <s v="UCB Gateway"/>
    <n v="210784"/>
    <m/>
    <s v="Higher Education | Laboratory / Research | 005 | 004"/>
    <n v="368"/>
    <s v="Largo Concrete"/>
    <s v="Oscar Romo"/>
    <s v="Certified Blue Recycling "/>
    <s v="2075 Williams St, San Leandro, CA 94577"/>
    <m/>
    <s v="10/11/2024"/>
    <x v="24"/>
    <n v="110419"/>
    <s v="Click Here To View"/>
    <s v="Construction"/>
    <n v="8.2799999999999994"/>
    <s v="100.00%"/>
    <s v="0.00%"/>
    <s v="100.00%"/>
    <s v="0.00%"/>
    <m/>
    <n v="8.2799999999999994"/>
    <m/>
    <n v="8.2799999999999994"/>
    <m/>
    <m/>
    <m/>
    <n v="8.2799999999999994"/>
    <m/>
    <m/>
    <m/>
    <m/>
    <m/>
    <m/>
    <m/>
    <m/>
    <m/>
    <m/>
    <m/>
    <m/>
    <m/>
    <m/>
    <m/>
    <m/>
    <m/>
    <m/>
    <m/>
    <m/>
    <m/>
    <m/>
    <m/>
    <m/>
    <m/>
    <m/>
    <m/>
    <m/>
    <m/>
    <m/>
    <s v="0.00%"/>
    <s v="0.00%"/>
    <s v="0.00%"/>
    <s v="0.00%"/>
    <m/>
    <m/>
    <m/>
    <m/>
    <m/>
    <m/>
    <m/>
    <s v="0.00%"/>
    <s v="0.00%"/>
    <s v="0.00%"/>
    <s v="0.00%"/>
    <m/>
    <m/>
    <m/>
    <m/>
    <m/>
    <m/>
    <m/>
    <m/>
    <m/>
    <m/>
    <m/>
    <m/>
    <m/>
    <m/>
    <m/>
    <m/>
    <m/>
    <s v="Oscar Romo"/>
    <m/>
    <s v="11/12/2024"/>
    <s v="Oscar Romo"/>
    <m/>
    <m/>
  </r>
  <r>
    <s v="Oakland/San Francisco/San Jose"/>
    <s v="UCB Gateway"/>
    <n v="210784"/>
    <m/>
    <s v="Higher Education | Laboratory / Research | 005 | 004"/>
    <n v="368"/>
    <s v="Largo Concrete"/>
    <s v="Oscar Romo"/>
    <s v="Certified Blue Recycling "/>
    <s v="2075 Williams St, San Leandro, CA 94577"/>
    <m/>
    <s v="10/12/2024"/>
    <x v="24"/>
    <s v="na"/>
    <s v="Click Here To View"/>
    <s v="Construction"/>
    <n v="8.4"/>
    <s v="100.00%"/>
    <s v="0.00%"/>
    <s v="100.00%"/>
    <s v="0.00%"/>
    <m/>
    <n v="8.4"/>
    <m/>
    <n v="8.4"/>
    <m/>
    <m/>
    <m/>
    <n v="8.4"/>
    <m/>
    <m/>
    <m/>
    <m/>
    <m/>
    <m/>
    <m/>
    <m/>
    <m/>
    <m/>
    <m/>
    <m/>
    <m/>
    <m/>
    <m/>
    <m/>
    <m/>
    <m/>
    <m/>
    <m/>
    <m/>
    <m/>
    <m/>
    <m/>
    <m/>
    <m/>
    <m/>
    <m/>
    <m/>
    <m/>
    <s v="0.00%"/>
    <s v="0.00%"/>
    <s v="0.00%"/>
    <s v="0.00%"/>
    <m/>
    <m/>
    <m/>
    <m/>
    <m/>
    <m/>
    <m/>
    <s v="0.00%"/>
    <s v="0.00%"/>
    <s v="0.00%"/>
    <s v="0.00%"/>
    <m/>
    <m/>
    <m/>
    <m/>
    <m/>
    <m/>
    <m/>
    <m/>
    <m/>
    <m/>
    <m/>
    <m/>
    <m/>
    <m/>
    <m/>
    <m/>
    <m/>
    <s v="Oscar Romo"/>
    <m/>
    <s v="11/12/2024"/>
    <s v="Oscar Romo"/>
    <m/>
    <m/>
  </r>
  <r>
    <s v="Oakland/San Francisco/San Jose"/>
    <s v="UCB Gateway"/>
    <n v="210784"/>
    <m/>
    <s v="Higher Education | Laboratory / Research | 005 | 004"/>
    <n v="368"/>
    <s v="Largo Concrete"/>
    <s v="Oscar Romo"/>
    <s v="Certified Blue Recycling "/>
    <s v="2075 Williams St, San Leandro, CA 94577"/>
    <m/>
    <s v="10/12/2024"/>
    <x v="24"/>
    <s v="10.14.2024"/>
    <s v="Click Here To View"/>
    <s v="Construction"/>
    <n v="9.93"/>
    <s v="100.00%"/>
    <s v="0.00%"/>
    <s v="100.00%"/>
    <s v="0.00%"/>
    <m/>
    <n v="9.93"/>
    <m/>
    <n v="9.93"/>
    <m/>
    <m/>
    <m/>
    <n v="9.93"/>
    <m/>
    <m/>
    <m/>
    <m/>
    <m/>
    <m/>
    <m/>
    <m/>
    <m/>
    <m/>
    <m/>
    <m/>
    <m/>
    <m/>
    <m/>
    <m/>
    <m/>
    <m/>
    <m/>
    <m/>
    <m/>
    <m/>
    <m/>
    <m/>
    <m/>
    <m/>
    <m/>
    <m/>
    <m/>
    <m/>
    <s v="0.00%"/>
    <s v="0.00%"/>
    <s v="0.00%"/>
    <s v="0.00%"/>
    <m/>
    <m/>
    <m/>
    <m/>
    <m/>
    <m/>
    <m/>
    <s v="0.00%"/>
    <s v="0.00%"/>
    <s v="0.00%"/>
    <s v="0.00%"/>
    <m/>
    <m/>
    <m/>
    <m/>
    <m/>
    <m/>
    <m/>
    <m/>
    <m/>
    <m/>
    <m/>
    <m/>
    <m/>
    <m/>
    <m/>
    <m/>
    <m/>
    <s v="Oscar Romo"/>
    <m/>
    <s v="11/12/2024"/>
    <s v="Oscar Romo"/>
    <m/>
    <m/>
  </r>
  <r>
    <s v="Oakland/San Francisco/San Jose"/>
    <s v="UCB Gateway"/>
    <n v="210784"/>
    <m/>
    <s v="Higher Education | Laboratory / Research | 005 | 004"/>
    <n v="368"/>
    <s v="Largo Concrete"/>
    <s v="Oscar Romo"/>
    <s v="Certified Blue Recycling "/>
    <s v="2075 Williams St, San Leandro, CA 94577"/>
    <m/>
    <s v="10/14/2024"/>
    <x v="24"/>
    <n v="0"/>
    <s v="Click Here To View"/>
    <s v="Construction"/>
    <n v="5.91"/>
    <s v="100.00%"/>
    <s v="0.00%"/>
    <s v="100.00%"/>
    <s v="0.00%"/>
    <m/>
    <n v="5.91"/>
    <m/>
    <n v="5.91"/>
    <m/>
    <m/>
    <m/>
    <n v="5.91"/>
    <m/>
    <m/>
    <m/>
    <m/>
    <m/>
    <m/>
    <m/>
    <m/>
    <m/>
    <m/>
    <m/>
    <m/>
    <m/>
    <m/>
    <m/>
    <m/>
    <m/>
    <m/>
    <m/>
    <m/>
    <m/>
    <m/>
    <m/>
    <m/>
    <m/>
    <m/>
    <m/>
    <m/>
    <m/>
    <m/>
    <s v="0.00%"/>
    <s v="0.00%"/>
    <s v="0.00%"/>
    <s v="0.00%"/>
    <m/>
    <m/>
    <m/>
    <m/>
    <m/>
    <m/>
    <m/>
    <s v="0.00%"/>
    <s v="0.00%"/>
    <s v="0.00%"/>
    <s v="0.00%"/>
    <m/>
    <m/>
    <m/>
    <m/>
    <m/>
    <m/>
    <m/>
    <m/>
    <m/>
    <m/>
    <m/>
    <m/>
    <m/>
    <m/>
    <m/>
    <m/>
    <m/>
    <s v="Oscar Romo"/>
    <m/>
    <s v="11/12/2024"/>
    <s v="Oscar Romo"/>
    <m/>
    <m/>
  </r>
  <r>
    <s v="Oakland/San Francisco/San Jose"/>
    <s v="UCB Gateway"/>
    <n v="210784"/>
    <m/>
    <s v="Higher Education | Laboratory / Research | 005 | 004"/>
    <n v="368"/>
    <s v="Largo Concrete"/>
    <s v="Oscar Romo"/>
    <s v="Certified Blue Recycling "/>
    <s v="2075 Williams St, San Leandro, CA 94577"/>
    <m/>
    <s v="10/15/2024"/>
    <x v="24"/>
    <n v="110580"/>
    <s v="Click Here To View"/>
    <s v="Construction"/>
    <n v="8.26"/>
    <s v="100.00%"/>
    <s v="0.00%"/>
    <s v="100.00%"/>
    <s v="0.00%"/>
    <m/>
    <n v="8.26"/>
    <m/>
    <n v="8.26"/>
    <m/>
    <m/>
    <m/>
    <n v="8.26"/>
    <m/>
    <m/>
    <m/>
    <m/>
    <m/>
    <m/>
    <m/>
    <m/>
    <m/>
    <m/>
    <m/>
    <m/>
    <m/>
    <m/>
    <m/>
    <m/>
    <m/>
    <m/>
    <m/>
    <m/>
    <m/>
    <m/>
    <m/>
    <m/>
    <m/>
    <m/>
    <m/>
    <m/>
    <m/>
    <m/>
    <s v="0.00%"/>
    <s v="0.00%"/>
    <s v="0.00%"/>
    <s v="0.00%"/>
    <m/>
    <m/>
    <m/>
    <m/>
    <m/>
    <m/>
    <m/>
    <s v="0.00%"/>
    <s v="0.00%"/>
    <s v="0.00%"/>
    <s v="0.00%"/>
    <m/>
    <m/>
    <m/>
    <m/>
    <m/>
    <m/>
    <m/>
    <m/>
    <m/>
    <m/>
    <m/>
    <m/>
    <m/>
    <m/>
    <m/>
    <m/>
    <m/>
    <s v="Oscar Romo"/>
    <m/>
    <s v="11/12/2024"/>
    <s v="Oscar Romo"/>
    <m/>
    <m/>
  </r>
  <r>
    <s v="Oakland/San Francisco/San Jose"/>
    <s v="UCB Gateway"/>
    <n v="210784"/>
    <m/>
    <s v="Higher Education | Laboratory / Research | 005 | 004"/>
    <n v="368"/>
    <s v="Largo Concrete"/>
    <s v="Oscar Romo"/>
    <s v="Certified Blue Recycling "/>
    <s v="2075 Williams St, San Leandro, CA 94577"/>
    <m/>
    <s v="10/18/2024"/>
    <x v="24"/>
    <n v="110839"/>
    <s v="Click Here To View"/>
    <s v="Construction"/>
    <n v="9.77"/>
    <s v="100.00%"/>
    <s v="0.00%"/>
    <s v="100.00%"/>
    <s v="0.00%"/>
    <m/>
    <n v="9.77"/>
    <m/>
    <n v="9.77"/>
    <m/>
    <m/>
    <m/>
    <n v="9.77"/>
    <m/>
    <m/>
    <m/>
    <m/>
    <m/>
    <m/>
    <m/>
    <m/>
    <m/>
    <m/>
    <m/>
    <m/>
    <m/>
    <m/>
    <m/>
    <m/>
    <m/>
    <m/>
    <m/>
    <m/>
    <m/>
    <m/>
    <m/>
    <m/>
    <m/>
    <m/>
    <m/>
    <m/>
    <m/>
    <m/>
    <s v="0.00%"/>
    <s v="0.00%"/>
    <s v="0.00%"/>
    <s v="0.00%"/>
    <m/>
    <m/>
    <m/>
    <m/>
    <m/>
    <m/>
    <m/>
    <s v="0.00%"/>
    <s v="0.00%"/>
    <s v="0.00%"/>
    <s v="0.00%"/>
    <m/>
    <m/>
    <m/>
    <m/>
    <m/>
    <m/>
    <m/>
    <m/>
    <m/>
    <m/>
    <m/>
    <m/>
    <m/>
    <m/>
    <m/>
    <m/>
    <m/>
    <s v="Oscar Romo"/>
    <m/>
    <s v="11/12/2024"/>
    <s v="Oscar Romo"/>
    <m/>
    <m/>
  </r>
  <r>
    <s v="Oakland/San Francisco/San Jose"/>
    <s v="UCB Gateway"/>
    <n v="210784"/>
    <m/>
    <s v="Higher Education | Laboratory / Research | 005 | 004"/>
    <n v="368"/>
    <s v="Largo Concrete"/>
    <s v="Oscar Romo"/>
    <s v="Certified Blue Recycling "/>
    <s v="2075 Williams St, San Leandro, CA 94577"/>
    <m/>
    <s v="10/22/2024"/>
    <x v="24"/>
    <n v="110988"/>
    <s v="Click Here To View"/>
    <s v="Construction"/>
    <n v="8.59"/>
    <s v="100.00%"/>
    <s v="0.00%"/>
    <s v="100.00%"/>
    <s v="0.00%"/>
    <m/>
    <n v="8.59"/>
    <m/>
    <n v="8.59"/>
    <m/>
    <m/>
    <m/>
    <n v="8.59"/>
    <m/>
    <m/>
    <m/>
    <m/>
    <m/>
    <m/>
    <m/>
    <m/>
    <m/>
    <m/>
    <m/>
    <m/>
    <m/>
    <m/>
    <m/>
    <m/>
    <m/>
    <m/>
    <m/>
    <m/>
    <m/>
    <m/>
    <m/>
    <m/>
    <m/>
    <m/>
    <m/>
    <m/>
    <m/>
    <m/>
    <s v="0.00%"/>
    <s v="0.00%"/>
    <s v="0.00%"/>
    <s v="0.00%"/>
    <m/>
    <m/>
    <m/>
    <m/>
    <m/>
    <m/>
    <m/>
    <s v="0.00%"/>
    <s v="0.00%"/>
    <s v="0.00%"/>
    <s v="0.00%"/>
    <m/>
    <m/>
    <m/>
    <m/>
    <m/>
    <m/>
    <m/>
    <m/>
    <m/>
    <m/>
    <m/>
    <m/>
    <m/>
    <m/>
    <m/>
    <m/>
    <m/>
    <s v="Oscar Romo"/>
    <m/>
    <s v="11/12/2024"/>
    <s v="Oscar Romo"/>
    <m/>
    <m/>
  </r>
  <r>
    <s v="Oakland/San Francisco/San Jose"/>
    <s v="UCB Gateway"/>
    <n v="210784"/>
    <m/>
    <s v="Higher Education | Laboratory / Research | 005 | 004"/>
    <n v="368"/>
    <s v="Largo Concrete"/>
    <s v="Oscar Romo"/>
    <s v="Certified Blue Recycling "/>
    <s v="2075 Williams St, San Leandro, CA 94577"/>
    <m/>
    <s v="10/24/2024"/>
    <x v="24"/>
    <n v="111102"/>
    <s v="Click Here To View"/>
    <s v="Construction"/>
    <n v="4.45"/>
    <s v="100.00%"/>
    <s v="0.00%"/>
    <s v="100.00%"/>
    <s v="0.00%"/>
    <m/>
    <n v="4.45"/>
    <m/>
    <n v="4.45"/>
    <m/>
    <m/>
    <m/>
    <n v="4.45"/>
    <m/>
    <m/>
    <m/>
    <m/>
    <m/>
    <m/>
    <m/>
    <m/>
    <m/>
    <m/>
    <m/>
    <m/>
    <m/>
    <m/>
    <m/>
    <m/>
    <m/>
    <m/>
    <m/>
    <m/>
    <m/>
    <m/>
    <m/>
    <m/>
    <m/>
    <m/>
    <m/>
    <m/>
    <m/>
    <m/>
    <s v="0.00%"/>
    <s v="0.00%"/>
    <s v="0.00%"/>
    <s v="0.00%"/>
    <m/>
    <m/>
    <m/>
    <m/>
    <m/>
    <m/>
    <m/>
    <s v="0.00%"/>
    <s v="0.00%"/>
    <s v="0.00%"/>
    <s v="0.00%"/>
    <m/>
    <m/>
    <m/>
    <m/>
    <m/>
    <m/>
    <m/>
    <m/>
    <m/>
    <m/>
    <m/>
    <m/>
    <m/>
    <m/>
    <m/>
    <m/>
    <m/>
    <s v="Oscar Romo"/>
    <m/>
    <s v="11/12/2024"/>
    <s v="Oscar Romo"/>
    <m/>
    <m/>
  </r>
  <r>
    <s v="Oakland/San Francisco/San Jose"/>
    <s v="UCB Gateway"/>
    <n v="210784"/>
    <m/>
    <s v="Higher Education | Laboratory / Research | 005 | 004"/>
    <n v="368"/>
    <s v="Largo Concrete"/>
    <s v="Oscar Romo"/>
    <s v="Certified Blue Recycling "/>
    <s v="2075 Williams St, San Leandro, CA 94577"/>
    <m/>
    <s v="10/30/2024"/>
    <x v="24"/>
    <n v="111412"/>
    <s v="Click Here To View"/>
    <s v="Construction"/>
    <n v="11.84"/>
    <s v="100.00%"/>
    <s v="0.00%"/>
    <s v="100.00%"/>
    <s v="0.00%"/>
    <m/>
    <n v="11.84"/>
    <m/>
    <n v="11.84"/>
    <m/>
    <m/>
    <m/>
    <n v="11.84"/>
    <m/>
    <m/>
    <m/>
    <m/>
    <m/>
    <m/>
    <m/>
    <m/>
    <m/>
    <m/>
    <m/>
    <m/>
    <m/>
    <m/>
    <m/>
    <m/>
    <m/>
    <m/>
    <m/>
    <m/>
    <m/>
    <m/>
    <m/>
    <m/>
    <m/>
    <m/>
    <m/>
    <m/>
    <m/>
    <m/>
    <s v="0.00%"/>
    <s v="0.00%"/>
    <s v="0.00%"/>
    <s v="0.00%"/>
    <m/>
    <m/>
    <m/>
    <m/>
    <m/>
    <m/>
    <m/>
    <s v="0.00%"/>
    <s v="0.00%"/>
    <s v="0.00%"/>
    <s v="0.00%"/>
    <m/>
    <m/>
    <m/>
    <m/>
    <m/>
    <m/>
    <m/>
    <m/>
    <m/>
    <m/>
    <m/>
    <m/>
    <m/>
    <m/>
    <m/>
    <m/>
    <m/>
    <s v="Oscar Romo"/>
    <m/>
    <s v="11/12/2024"/>
    <s v="Oscar Romo"/>
    <m/>
    <m/>
  </r>
  <r>
    <s v="Oakland/San Francisco/San Jose"/>
    <s v="UCB Gateway"/>
    <n v="210784"/>
    <m/>
    <s v="Higher Education | Laboratory / Research | 005 | 004"/>
    <n v="368"/>
    <s v="Garden of Eden Landscapes, Inc."/>
    <s v="Silvia Teixeria"/>
    <s v="Certified Blue Recycling "/>
    <s v="2075 Williams St, San Leandro, CA 94577"/>
    <m/>
    <s v="10/01/2024"/>
    <x v="24"/>
    <n v="109739"/>
    <s v="Click Here To View"/>
    <s v="Construction"/>
    <n v="5.96"/>
    <s v="100.00%"/>
    <s v="0.00%"/>
    <s v="100.00%"/>
    <s v="0.00%"/>
    <m/>
    <n v="5.96"/>
    <m/>
    <n v="5.96"/>
    <m/>
    <m/>
    <m/>
    <n v="5.96"/>
    <m/>
    <m/>
    <m/>
    <m/>
    <m/>
    <m/>
    <m/>
    <m/>
    <m/>
    <m/>
    <m/>
    <m/>
    <m/>
    <m/>
    <m/>
    <m/>
    <m/>
    <m/>
    <m/>
    <m/>
    <m/>
    <m/>
    <m/>
    <m/>
    <m/>
    <m/>
    <m/>
    <m/>
    <m/>
    <m/>
    <s v="0.00%"/>
    <s v="0.00%"/>
    <s v="0.00%"/>
    <s v="0.00%"/>
    <m/>
    <m/>
    <m/>
    <m/>
    <m/>
    <m/>
    <m/>
    <s v="0.00%"/>
    <s v="0.00%"/>
    <s v="0.00%"/>
    <s v="0.00%"/>
    <m/>
    <m/>
    <m/>
    <m/>
    <m/>
    <m/>
    <m/>
    <m/>
    <m/>
    <m/>
    <m/>
    <m/>
    <m/>
    <m/>
    <m/>
    <m/>
    <m/>
    <s v="Mike Teixeira"/>
    <m/>
    <s v="11/27/2024"/>
    <s v="Mike Teixeira"/>
    <m/>
    <m/>
  </r>
  <r>
    <s v="Oakland/San Francisco/San Jose"/>
    <s v="UCB Gateway"/>
    <n v="210784"/>
    <m/>
    <s v="Higher Education | Laboratory / Research | 005 | 004"/>
    <n v="368"/>
    <s v="Garden of Eden Landscapes, Inc."/>
    <s v="Silvia Teixeria"/>
    <s v="Casey Utility Services"/>
    <s v="3rd Street, San Francisco, CA 94130, San Francisco, CA 94130"/>
    <m/>
    <s v="10/02/2024"/>
    <x v="24"/>
    <n v="26526"/>
    <s v="Click Here To View"/>
    <s v="Construction"/>
    <n v="8"/>
    <s v="100.00%"/>
    <s v="0.00%"/>
    <s v="100.00%"/>
    <s v="0.00%"/>
    <m/>
    <n v="8"/>
    <m/>
    <n v="8"/>
    <m/>
    <m/>
    <m/>
    <n v="8"/>
    <m/>
    <m/>
    <m/>
    <m/>
    <m/>
    <m/>
    <m/>
    <m/>
    <m/>
    <m/>
    <m/>
    <m/>
    <m/>
    <m/>
    <m/>
    <m/>
    <m/>
    <m/>
    <m/>
    <m/>
    <m/>
    <m/>
    <m/>
    <m/>
    <m/>
    <m/>
    <m/>
    <m/>
    <m/>
    <m/>
    <s v="0.00%"/>
    <s v="0.00%"/>
    <s v="0.00%"/>
    <s v="0.00%"/>
    <m/>
    <m/>
    <m/>
    <m/>
    <m/>
    <m/>
    <m/>
    <s v="0.00%"/>
    <s v="0.00%"/>
    <s v="0.00%"/>
    <s v="0.00%"/>
    <m/>
    <m/>
    <m/>
    <m/>
    <m/>
    <m/>
    <m/>
    <m/>
    <m/>
    <m/>
    <m/>
    <m/>
    <m/>
    <m/>
    <m/>
    <m/>
    <m/>
    <s v="Mike Teixeira"/>
    <m/>
    <s v="11/27/2024"/>
    <s v="Mike Teixeira"/>
    <m/>
    <m/>
  </r>
  <r>
    <s v="Oakland/San Francisco/San Jose"/>
    <s v="UCB Gateway"/>
    <n v="210784"/>
    <m/>
    <s v="Higher Education | Laboratory / Research | 005 | 004"/>
    <n v="368"/>
    <s v="Garden of Eden Landscapes, Inc."/>
    <s v="Silvia Teixeria"/>
    <s v="Certified Blue Recycling "/>
    <s v="2075 Williams St, San Leandro, CA 94577"/>
    <m/>
    <s v="10/03/2024"/>
    <x v="24"/>
    <n v="109893"/>
    <s v="Click Here To View"/>
    <s v="Construction"/>
    <n v="3.45"/>
    <s v="100.00%"/>
    <s v="0.00%"/>
    <s v="100.00%"/>
    <s v="0.00%"/>
    <m/>
    <n v="3.45"/>
    <m/>
    <n v="3.45"/>
    <m/>
    <m/>
    <m/>
    <n v="3.45"/>
    <m/>
    <m/>
    <m/>
    <m/>
    <m/>
    <m/>
    <m/>
    <m/>
    <m/>
    <m/>
    <m/>
    <m/>
    <m/>
    <m/>
    <m/>
    <m/>
    <m/>
    <m/>
    <m/>
    <m/>
    <m/>
    <m/>
    <m/>
    <m/>
    <m/>
    <m/>
    <m/>
    <m/>
    <m/>
    <m/>
    <s v="0.00%"/>
    <s v="0.00%"/>
    <s v="0.00%"/>
    <s v="0.00%"/>
    <m/>
    <m/>
    <m/>
    <m/>
    <m/>
    <m/>
    <m/>
    <s v="0.00%"/>
    <s v="0.00%"/>
    <s v="0.00%"/>
    <s v="0.00%"/>
    <m/>
    <m/>
    <m/>
    <m/>
    <m/>
    <m/>
    <m/>
    <m/>
    <m/>
    <m/>
    <m/>
    <m/>
    <m/>
    <m/>
    <m/>
    <m/>
    <m/>
    <s v="Mike Teixeira"/>
    <m/>
    <s v="11/27/2024"/>
    <s v="Mike Teixeira"/>
    <m/>
    <m/>
  </r>
  <r>
    <s v="Oakland/San Francisco/San Jose"/>
    <s v="UCB Gateway"/>
    <n v="210784"/>
    <m/>
    <s v="Higher Education | Laboratory / Research | 005 | 004"/>
    <n v="368"/>
    <s v="Garden of Eden Landscapes, Inc."/>
    <s v="Silvia Teixeria"/>
    <s v="Certified Blue Recycling "/>
    <s v="2075 Williams St, San Leandro, CA 94577"/>
    <m/>
    <s v="10/07/2024"/>
    <x v="24"/>
    <n v="110020"/>
    <s v="Click Here To View"/>
    <s v="Construction"/>
    <n v="10.35"/>
    <s v="100.00%"/>
    <s v="0.00%"/>
    <s v="100.00%"/>
    <s v="0.00%"/>
    <m/>
    <n v="10.35"/>
    <m/>
    <n v="10.35"/>
    <m/>
    <m/>
    <m/>
    <n v="10.35"/>
    <m/>
    <m/>
    <m/>
    <m/>
    <m/>
    <m/>
    <m/>
    <m/>
    <m/>
    <m/>
    <m/>
    <m/>
    <m/>
    <m/>
    <m/>
    <m/>
    <m/>
    <m/>
    <m/>
    <m/>
    <m/>
    <m/>
    <m/>
    <m/>
    <m/>
    <m/>
    <m/>
    <m/>
    <m/>
    <m/>
    <s v="0.00%"/>
    <s v="0.00%"/>
    <s v="0.00%"/>
    <s v="0.00%"/>
    <m/>
    <m/>
    <m/>
    <m/>
    <m/>
    <m/>
    <m/>
    <s v="0.00%"/>
    <s v="0.00%"/>
    <s v="0.00%"/>
    <s v="0.00%"/>
    <m/>
    <m/>
    <m/>
    <m/>
    <m/>
    <m/>
    <m/>
    <m/>
    <m/>
    <m/>
    <m/>
    <m/>
    <m/>
    <m/>
    <m/>
    <m/>
    <m/>
    <s v="Mike Teixeira"/>
    <m/>
    <s v="11/27/2024"/>
    <s v="Mike Teixeira"/>
    <m/>
    <m/>
  </r>
  <r>
    <s v="Oakland/San Francisco/San Jose"/>
    <s v="UCB Gateway"/>
    <n v="210784"/>
    <m/>
    <s v="Higher Education | Laboratory / Research | 005 | 004"/>
    <n v="368"/>
    <s v="Garden of Eden Landscapes, Inc."/>
    <s v="Silvia Teixeria"/>
    <s v="Certified Blue Recycling "/>
    <s v="2075 Williams St, San Leandro, CA 94577"/>
    <m/>
    <s v="11/07/2024"/>
    <x v="25"/>
    <n v="110064"/>
    <s v="Click Here To View"/>
    <s v="Construction"/>
    <n v="7.26"/>
    <s v="100.00%"/>
    <s v="0.00%"/>
    <s v="100.00%"/>
    <s v="0.00%"/>
    <m/>
    <n v="7.26"/>
    <m/>
    <n v="7.26"/>
    <m/>
    <m/>
    <m/>
    <n v="7.26"/>
    <m/>
    <m/>
    <m/>
    <m/>
    <m/>
    <m/>
    <m/>
    <m/>
    <m/>
    <m/>
    <m/>
    <m/>
    <m/>
    <m/>
    <m/>
    <m/>
    <m/>
    <m/>
    <m/>
    <m/>
    <m/>
    <m/>
    <m/>
    <m/>
    <m/>
    <m/>
    <m/>
    <m/>
    <m/>
    <m/>
    <s v="0.00%"/>
    <s v="0.00%"/>
    <s v="0.00%"/>
    <s v="0.00%"/>
    <m/>
    <m/>
    <m/>
    <m/>
    <m/>
    <m/>
    <m/>
    <s v="0.00%"/>
    <s v="0.00%"/>
    <s v="0.00%"/>
    <s v="0.00%"/>
    <m/>
    <m/>
    <m/>
    <m/>
    <m/>
    <m/>
    <m/>
    <m/>
    <m/>
    <m/>
    <m/>
    <m/>
    <m/>
    <m/>
    <m/>
    <m/>
    <m/>
    <s v="Mike Teixeira"/>
    <m/>
    <s v="11/27/2024"/>
    <s v="Mike Teixeira"/>
    <m/>
    <m/>
  </r>
  <r>
    <s v="Oakland/San Francisco/San Jose"/>
    <s v="UCB Gateway"/>
    <n v="210784"/>
    <m/>
    <s v="Higher Education | Laboratory / Research | 005 | 004"/>
    <n v="368"/>
    <s v="Garden of Eden Landscapes, Inc."/>
    <s v="Silvia Teixeria"/>
    <s v="Certified Blue Recycling "/>
    <s v="2075 Williams St, San Leandro, CA 94577"/>
    <m/>
    <s v="10/08/2024"/>
    <x v="24"/>
    <n v="110175"/>
    <s v="Click Here To View"/>
    <s v="Construction"/>
    <n v="9.43"/>
    <s v="100.00%"/>
    <s v="0.00%"/>
    <s v="100.00%"/>
    <s v="0.00%"/>
    <m/>
    <n v="9.43"/>
    <m/>
    <n v="9.43"/>
    <m/>
    <m/>
    <m/>
    <n v="9.43"/>
    <m/>
    <m/>
    <m/>
    <m/>
    <m/>
    <m/>
    <m/>
    <m/>
    <m/>
    <m/>
    <m/>
    <m/>
    <m/>
    <m/>
    <m/>
    <m/>
    <m/>
    <m/>
    <m/>
    <m/>
    <m/>
    <m/>
    <m/>
    <m/>
    <m/>
    <m/>
    <m/>
    <m/>
    <m/>
    <m/>
    <s v="0.00%"/>
    <s v="0.00%"/>
    <s v="0.00%"/>
    <s v="0.00%"/>
    <m/>
    <m/>
    <m/>
    <m/>
    <m/>
    <m/>
    <m/>
    <s v="0.00%"/>
    <s v="0.00%"/>
    <s v="0.00%"/>
    <s v="0.00%"/>
    <m/>
    <m/>
    <m/>
    <m/>
    <m/>
    <m/>
    <m/>
    <m/>
    <m/>
    <m/>
    <m/>
    <m/>
    <m/>
    <m/>
    <m/>
    <m/>
    <m/>
    <s v="Mike Teixeira"/>
    <m/>
    <s v="11/27/2024"/>
    <s v="Mike Teixeira"/>
    <m/>
    <m/>
  </r>
  <r>
    <s v="Oakland/San Francisco/San Jose"/>
    <s v="UCB Gateway"/>
    <n v="210784"/>
    <m/>
    <s v="Higher Education | Laboratory / Research | 005 | 004"/>
    <n v="368"/>
    <s v="Garden of Eden Landscapes, Inc."/>
    <s v="Silvia Teixeria"/>
    <s v="Certified Blue Recycling "/>
    <s v="2075 Williams St, San Leandro, CA 94577"/>
    <m/>
    <s v="10/09/2024"/>
    <x v="24"/>
    <n v="110254"/>
    <s v="Click Here To View"/>
    <s v="Construction"/>
    <n v="9"/>
    <s v="100.00%"/>
    <s v="0.00%"/>
    <s v="100.00%"/>
    <s v="0.00%"/>
    <m/>
    <n v="9"/>
    <m/>
    <n v="9"/>
    <m/>
    <m/>
    <m/>
    <n v="9"/>
    <m/>
    <m/>
    <m/>
    <m/>
    <m/>
    <m/>
    <m/>
    <m/>
    <m/>
    <m/>
    <m/>
    <m/>
    <m/>
    <m/>
    <m/>
    <m/>
    <m/>
    <m/>
    <m/>
    <m/>
    <m/>
    <m/>
    <m/>
    <m/>
    <m/>
    <m/>
    <m/>
    <m/>
    <m/>
    <m/>
    <s v="0.00%"/>
    <s v="0.00%"/>
    <s v="0.00%"/>
    <s v="0.00%"/>
    <m/>
    <m/>
    <m/>
    <m/>
    <m/>
    <m/>
    <m/>
    <s v="0.00%"/>
    <s v="0.00%"/>
    <s v="0.00%"/>
    <s v="0.00%"/>
    <m/>
    <m/>
    <m/>
    <m/>
    <m/>
    <m/>
    <m/>
    <m/>
    <m/>
    <m/>
    <m/>
    <m/>
    <m/>
    <m/>
    <m/>
    <m/>
    <m/>
    <s v="Mike Teixeira"/>
    <m/>
    <s v="11/27/2024"/>
    <s v="Mike Teixeira"/>
    <m/>
    <m/>
  </r>
  <r>
    <s v="Oakland/San Francisco/San Jose"/>
    <s v="UCB Gateway"/>
    <n v="210784"/>
    <m/>
    <s v="Higher Education | Laboratory / Research | 005 | 004"/>
    <n v="368"/>
    <s v="Garden of Eden Landscapes, Inc."/>
    <s v="Silvia Teixeria"/>
    <s v="Certified Blue Recycling "/>
    <s v="2075 Williams St, San Leandro, CA 94577"/>
    <m/>
    <s v="10/09/2024"/>
    <x v="24"/>
    <n v="110208"/>
    <s v="Click Here To View"/>
    <s v="Construction"/>
    <n v="10.45"/>
    <s v="100.00%"/>
    <s v="0.00%"/>
    <s v="100.00%"/>
    <s v="0.00%"/>
    <m/>
    <n v="10.45"/>
    <m/>
    <n v="10.45"/>
    <m/>
    <m/>
    <m/>
    <n v="10.45"/>
    <m/>
    <m/>
    <m/>
    <m/>
    <m/>
    <m/>
    <m/>
    <m/>
    <m/>
    <m/>
    <m/>
    <m/>
    <m/>
    <m/>
    <m/>
    <m/>
    <m/>
    <m/>
    <m/>
    <m/>
    <m/>
    <m/>
    <m/>
    <m/>
    <m/>
    <m/>
    <m/>
    <m/>
    <m/>
    <m/>
    <s v="0.00%"/>
    <s v="0.00%"/>
    <s v="0.00%"/>
    <s v="0.00%"/>
    <m/>
    <m/>
    <m/>
    <m/>
    <m/>
    <m/>
    <m/>
    <s v="0.00%"/>
    <s v="0.00%"/>
    <s v="0.00%"/>
    <s v="0.00%"/>
    <m/>
    <m/>
    <m/>
    <m/>
    <m/>
    <m/>
    <m/>
    <m/>
    <m/>
    <m/>
    <m/>
    <m/>
    <m/>
    <m/>
    <m/>
    <m/>
    <m/>
    <s v="Mike Teixeira"/>
    <m/>
    <s v="11/27/2024"/>
    <s v="Mike Teixeira"/>
    <m/>
    <m/>
  </r>
  <r>
    <s v="Oakland/San Francisco/San Jose"/>
    <s v="UCB Gateway"/>
    <n v="210784"/>
    <m/>
    <s v="Higher Education | Laboratory / Research | 005 | 004"/>
    <n v="368"/>
    <s v="Garden of Eden Landscapes, Inc."/>
    <s v="Silvia Teixeria"/>
    <s v="Certified Blue Recycling "/>
    <s v="2075 Williams St, San Leandro, CA 94577"/>
    <m/>
    <s v="10/10/2024"/>
    <x v="24"/>
    <n v="110305"/>
    <s v="Click Here To View"/>
    <s v="Construction"/>
    <n v="3.94"/>
    <s v="100.00%"/>
    <s v="0.00%"/>
    <s v="100.00%"/>
    <s v="0.00%"/>
    <m/>
    <n v="3.94"/>
    <m/>
    <n v="3.94"/>
    <m/>
    <m/>
    <m/>
    <n v="3.94"/>
    <m/>
    <m/>
    <m/>
    <m/>
    <m/>
    <m/>
    <m/>
    <m/>
    <m/>
    <m/>
    <m/>
    <m/>
    <m/>
    <m/>
    <m/>
    <m/>
    <m/>
    <m/>
    <m/>
    <m/>
    <m/>
    <m/>
    <m/>
    <m/>
    <m/>
    <m/>
    <m/>
    <m/>
    <m/>
    <m/>
    <s v="0.00%"/>
    <s v="0.00%"/>
    <s v="0.00%"/>
    <s v="0.00%"/>
    <m/>
    <m/>
    <m/>
    <m/>
    <m/>
    <m/>
    <m/>
    <s v="0.00%"/>
    <s v="0.00%"/>
    <s v="0.00%"/>
    <s v="0.00%"/>
    <m/>
    <m/>
    <m/>
    <m/>
    <m/>
    <m/>
    <m/>
    <m/>
    <m/>
    <m/>
    <m/>
    <m/>
    <m/>
    <m/>
    <m/>
    <m/>
    <m/>
    <s v="Mike Teixeira"/>
    <m/>
    <s v="11/27/2024"/>
    <s v="Mike Teixeira"/>
    <m/>
    <m/>
  </r>
  <r>
    <s v="Oakland/San Francisco/San Jose"/>
    <s v="UCB Gateway"/>
    <n v="210784"/>
    <m/>
    <s v="Higher Education | Laboratory / Research | 005 | 004"/>
    <n v="368"/>
    <s v="Garden of Eden Landscapes, Inc."/>
    <s v="Silvia Teixeria"/>
    <s v="Certified Blue Recycling "/>
    <s v="2075 Williams St, San Leandro, CA 94577"/>
    <m/>
    <s v="10/11/2024"/>
    <x v="24"/>
    <n v="110395"/>
    <s v="Click Here To View"/>
    <s v="Construction"/>
    <n v="2"/>
    <s v="100.00%"/>
    <s v="0.00%"/>
    <s v="100.00%"/>
    <s v="0.00%"/>
    <m/>
    <n v="2"/>
    <m/>
    <n v="2"/>
    <m/>
    <m/>
    <m/>
    <n v="2"/>
    <m/>
    <m/>
    <m/>
    <m/>
    <m/>
    <m/>
    <m/>
    <m/>
    <m/>
    <m/>
    <m/>
    <m/>
    <m/>
    <m/>
    <m/>
    <m/>
    <m/>
    <m/>
    <m/>
    <m/>
    <m/>
    <m/>
    <m/>
    <m/>
    <m/>
    <m/>
    <m/>
    <m/>
    <m/>
    <m/>
    <s v="0.00%"/>
    <s v="0.00%"/>
    <s v="0.00%"/>
    <s v="0.00%"/>
    <m/>
    <m/>
    <m/>
    <m/>
    <m/>
    <m/>
    <m/>
    <s v="0.00%"/>
    <s v="0.00%"/>
    <s v="0.00%"/>
    <s v="0.00%"/>
    <m/>
    <m/>
    <m/>
    <m/>
    <m/>
    <m/>
    <m/>
    <m/>
    <m/>
    <m/>
    <m/>
    <m/>
    <m/>
    <m/>
    <m/>
    <m/>
    <m/>
    <s v="Mike Teixeira"/>
    <m/>
    <s v="11/27/2024"/>
    <s v="Mike Teixeira"/>
    <m/>
    <m/>
  </r>
  <r>
    <s v="Oakland/San Francisco/San Jose"/>
    <s v="UCB Gateway"/>
    <n v="210784"/>
    <m/>
    <s v="Higher Education | Laboratory / Research | 005 | 004"/>
    <n v="368"/>
    <s v="Garden of Eden Landscapes, Inc."/>
    <s v="Silvia Teixeria"/>
    <s v="Certified Blue Recycling "/>
    <s v="2075 Williams St, San Leandro, CA 94577"/>
    <m/>
    <s v="10/10/2024"/>
    <x v="24"/>
    <n v="110336"/>
    <s v="Click Here To View"/>
    <s v="Construction"/>
    <n v="4.22"/>
    <s v="100.00%"/>
    <s v="0.00%"/>
    <s v="100.00%"/>
    <s v="0.00%"/>
    <m/>
    <n v="4.22"/>
    <m/>
    <n v="4.22"/>
    <m/>
    <m/>
    <m/>
    <n v="4.22"/>
    <m/>
    <m/>
    <m/>
    <m/>
    <m/>
    <m/>
    <m/>
    <m/>
    <m/>
    <m/>
    <m/>
    <m/>
    <m/>
    <m/>
    <m/>
    <m/>
    <m/>
    <m/>
    <m/>
    <m/>
    <m/>
    <m/>
    <m/>
    <m/>
    <m/>
    <m/>
    <m/>
    <m/>
    <m/>
    <m/>
    <s v="0.00%"/>
    <s v="0.00%"/>
    <s v="0.00%"/>
    <s v="0.00%"/>
    <m/>
    <m/>
    <m/>
    <m/>
    <m/>
    <m/>
    <m/>
    <s v="0.00%"/>
    <s v="0.00%"/>
    <s v="0.00%"/>
    <s v="0.00%"/>
    <m/>
    <m/>
    <m/>
    <m/>
    <m/>
    <m/>
    <m/>
    <m/>
    <m/>
    <m/>
    <m/>
    <m/>
    <m/>
    <m/>
    <m/>
    <m/>
    <m/>
    <s v="Mike Teixeira"/>
    <m/>
    <s v="11/27/2024"/>
    <s v="Mike Teixeira"/>
    <m/>
    <m/>
  </r>
  <r>
    <s v="Oakland/San Francisco/San Jose"/>
    <s v="UCB Gateway"/>
    <n v="210784"/>
    <m/>
    <s v="Higher Education | Laboratory / Research | 005 | 004"/>
    <n v="368"/>
    <s v="Garden of Eden Landscapes, Inc."/>
    <s v="Silvia Teixeria"/>
    <s v="Certified Blue Recycling "/>
    <s v="2075 Williams St, San Leandro, CA 94577"/>
    <m/>
    <s v="10/11/2024"/>
    <x v="24"/>
    <n v="110409"/>
    <s v="Click Here To View"/>
    <s v="Construction"/>
    <n v="6.89"/>
    <s v="100.00%"/>
    <s v="0.00%"/>
    <s v="100.00%"/>
    <s v="0.00%"/>
    <m/>
    <n v="6.89"/>
    <m/>
    <n v="6.89"/>
    <m/>
    <m/>
    <m/>
    <n v="6.89"/>
    <m/>
    <m/>
    <m/>
    <m/>
    <m/>
    <m/>
    <m/>
    <m/>
    <m/>
    <m/>
    <m/>
    <m/>
    <m/>
    <m/>
    <m/>
    <m/>
    <m/>
    <m/>
    <m/>
    <m/>
    <m/>
    <m/>
    <m/>
    <m/>
    <m/>
    <m/>
    <m/>
    <m/>
    <m/>
    <m/>
    <s v="0.00%"/>
    <s v="0.00%"/>
    <s v="0.00%"/>
    <s v="0.00%"/>
    <m/>
    <m/>
    <m/>
    <m/>
    <m/>
    <m/>
    <m/>
    <s v="0.00%"/>
    <s v="0.00%"/>
    <s v="0.00%"/>
    <s v="0.00%"/>
    <m/>
    <m/>
    <m/>
    <m/>
    <m/>
    <m/>
    <m/>
    <m/>
    <m/>
    <m/>
    <m/>
    <m/>
    <m/>
    <m/>
    <m/>
    <m/>
    <m/>
    <s v="Mike Teixeira"/>
    <m/>
    <s v="11/27/2024"/>
    <s v="Mike Teixeira"/>
    <m/>
    <m/>
  </r>
  <r>
    <s v="Oakland/San Francisco/San Jose"/>
    <s v="UCB Gateway"/>
    <n v="210784"/>
    <m/>
    <s v="Higher Education | Laboratory / Research | 005 | 004"/>
    <n v="368"/>
    <s v="Garden of Eden Landscapes, Inc."/>
    <s v="Silvia Teixeria"/>
    <s v="Certified Blue Recycling "/>
    <s v="2075 Williams St, San Leandro, CA 94577"/>
    <m/>
    <s v="10/11/2024"/>
    <x v="24"/>
    <n v="110419"/>
    <s v="Click Here To View"/>
    <s v="Construction"/>
    <n v="8.2799999999999994"/>
    <s v="100.00%"/>
    <s v="0.00%"/>
    <s v="100.00%"/>
    <s v="0.00%"/>
    <m/>
    <n v="8.2799999999999994"/>
    <m/>
    <n v="8.2799999999999994"/>
    <m/>
    <m/>
    <m/>
    <n v="8.2799999999999994"/>
    <m/>
    <m/>
    <m/>
    <m/>
    <m/>
    <m/>
    <m/>
    <m/>
    <m/>
    <m/>
    <m/>
    <m/>
    <m/>
    <m/>
    <m/>
    <m/>
    <m/>
    <m/>
    <m/>
    <m/>
    <m/>
    <m/>
    <m/>
    <m/>
    <m/>
    <m/>
    <m/>
    <m/>
    <m/>
    <m/>
    <s v="0.00%"/>
    <s v="0.00%"/>
    <s v="0.00%"/>
    <s v="0.00%"/>
    <m/>
    <m/>
    <m/>
    <m/>
    <m/>
    <m/>
    <m/>
    <s v="0.00%"/>
    <s v="0.00%"/>
    <s v="0.00%"/>
    <s v="0.00%"/>
    <m/>
    <m/>
    <m/>
    <m/>
    <m/>
    <m/>
    <m/>
    <m/>
    <m/>
    <m/>
    <m/>
    <m/>
    <m/>
    <m/>
    <m/>
    <m/>
    <m/>
    <s v="Mike Teixeira"/>
    <m/>
    <s v="11/27/2024"/>
    <s v="Mike Teixeira"/>
    <m/>
    <m/>
  </r>
  <r>
    <s v="Oakland/San Francisco/San Jose"/>
    <s v="UCB Gateway"/>
    <n v="210784"/>
    <m/>
    <s v="Higher Education | Laboratory / Research | 005 | 004"/>
    <n v="368"/>
    <s v="Garden of Eden Landscapes, Inc."/>
    <s v="Silvia Teixeria"/>
    <s v="Casey Utility Services"/>
    <s v="3rd Street, San Francisco, CA 94130, San Francisco, CA 94130"/>
    <m/>
    <s v="10/15/2024"/>
    <x v="24"/>
    <n v="26737"/>
    <s v="Click Here To View"/>
    <s v="Construction"/>
    <n v="8"/>
    <s v="100.00%"/>
    <s v="0.00%"/>
    <s v="100.00%"/>
    <s v="0.00%"/>
    <m/>
    <n v="8"/>
    <m/>
    <n v="8"/>
    <m/>
    <m/>
    <m/>
    <n v="8"/>
    <m/>
    <m/>
    <m/>
    <m/>
    <m/>
    <m/>
    <m/>
    <m/>
    <m/>
    <m/>
    <m/>
    <m/>
    <m/>
    <m/>
    <m/>
    <m/>
    <m/>
    <m/>
    <m/>
    <m/>
    <m/>
    <m/>
    <m/>
    <m/>
    <m/>
    <m/>
    <m/>
    <m/>
    <m/>
    <m/>
    <s v="0.00%"/>
    <s v="0.00%"/>
    <s v="0.00%"/>
    <s v="0.00%"/>
    <m/>
    <m/>
    <m/>
    <m/>
    <m/>
    <m/>
    <m/>
    <s v="0.00%"/>
    <s v="0.00%"/>
    <s v="0.00%"/>
    <s v="0.00%"/>
    <m/>
    <m/>
    <m/>
    <m/>
    <m/>
    <m/>
    <m/>
    <m/>
    <m/>
    <m/>
    <m/>
    <m/>
    <m/>
    <m/>
    <m/>
    <m/>
    <m/>
    <s v="Mike Teixeira"/>
    <m/>
    <s v="11/27/2024"/>
    <s v="Mike Teixeira"/>
    <m/>
    <m/>
  </r>
  <r>
    <s v="Oakland/San Francisco/San Jose"/>
    <s v="UCB Gateway"/>
    <n v="210784"/>
    <m/>
    <s v="Higher Education | Laboratory / Research | 005 | 004"/>
    <n v="368"/>
    <s v="Garden of Eden Landscapes, Inc."/>
    <s v="Silvia Teixeria"/>
    <s v="Certified Blue Recycling "/>
    <s v="2075 Williams St, San Leandro, CA 94577"/>
    <m/>
    <s v="10/15/2024"/>
    <x v="24"/>
    <n v="110580"/>
    <s v="Click Here To View"/>
    <s v="Construction"/>
    <n v="8.26"/>
    <s v="100.00%"/>
    <s v="0.00%"/>
    <s v="100.00%"/>
    <s v="0.00%"/>
    <m/>
    <n v="8.26"/>
    <m/>
    <n v="8.26"/>
    <m/>
    <m/>
    <m/>
    <n v="8.26"/>
    <m/>
    <m/>
    <m/>
    <m/>
    <m/>
    <m/>
    <m/>
    <m/>
    <m/>
    <m/>
    <m/>
    <m/>
    <m/>
    <m/>
    <m/>
    <m/>
    <m/>
    <m/>
    <m/>
    <m/>
    <m/>
    <m/>
    <m/>
    <m/>
    <m/>
    <m/>
    <m/>
    <m/>
    <m/>
    <m/>
    <s v="0.00%"/>
    <s v="0.00%"/>
    <s v="0.00%"/>
    <s v="0.00%"/>
    <m/>
    <m/>
    <m/>
    <m/>
    <m/>
    <m/>
    <m/>
    <s v="0.00%"/>
    <s v="0.00%"/>
    <s v="0.00%"/>
    <s v="0.00%"/>
    <m/>
    <m/>
    <m/>
    <m/>
    <m/>
    <m/>
    <m/>
    <m/>
    <m/>
    <m/>
    <m/>
    <m/>
    <m/>
    <m/>
    <m/>
    <m/>
    <m/>
    <s v="Mike Teixeira"/>
    <m/>
    <s v="11/27/2024"/>
    <s v="Mike Teixeira"/>
    <m/>
    <m/>
  </r>
  <r>
    <s v="Oakland/San Francisco/San Jose"/>
    <s v="UCB Gateway"/>
    <n v="210784"/>
    <m/>
    <s v="Higher Education | Laboratory / Research | 005 | 004"/>
    <n v="368"/>
    <s v="Garden of Eden Landscapes, Inc."/>
    <s v="Silvia Teixeria"/>
    <s v="Certified Blue Recycling "/>
    <s v="2075 Williams St, San Leandro, CA 94577"/>
    <m/>
    <s v="10/18/2024"/>
    <x v="24"/>
    <n v="110839"/>
    <s v="Click Here To View"/>
    <s v="Construction"/>
    <n v="9.77"/>
    <s v="100.00%"/>
    <s v="0.00%"/>
    <s v="100.00%"/>
    <s v="0.00%"/>
    <m/>
    <n v="9.77"/>
    <m/>
    <n v="9.77"/>
    <m/>
    <m/>
    <m/>
    <n v="9.77"/>
    <m/>
    <m/>
    <m/>
    <m/>
    <m/>
    <m/>
    <m/>
    <m/>
    <m/>
    <m/>
    <m/>
    <m/>
    <m/>
    <m/>
    <m/>
    <m/>
    <m/>
    <m/>
    <m/>
    <m/>
    <m/>
    <m/>
    <m/>
    <m/>
    <m/>
    <m/>
    <m/>
    <m/>
    <m/>
    <m/>
    <s v="0.00%"/>
    <s v="0.00%"/>
    <s v="0.00%"/>
    <s v="0.00%"/>
    <m/>
    <m/>
    <m/>
    <m/>
    <m/>
    <m/>
    <m/>
    <s v="0.00%"/>
    <s v="0.00%"/>
    <s v="0.00%"/>
    <s v="0.00%"/>
    <m/>
    <m/>
    <m/>
    <m/>
    <m/>
    <m/>
    <m/>
    <m/>
    <m/>
    <m/>
    <m/>
    <m/>
    <m/>
    <m/>
    <m/>
    <m/>
    <m/>
    <s v="Mike Teixeira"/>
    <m/>
    <s v="11/27/2024"/>
    <s v="Mike Teixeira"/>
    <m/>
    <m/>
  </r>
  <r>
    <s v="Oakland/San Francisco/San Jose"/>
    <s v="UCB Gateway"/>
    <n v="210784"/>
    <m/>
    <s v="Higher Education | Laboratory / Research | 005 | 004"/>
    <n v="368"/>
    <s v="Garden of Eden Landscapes, Inc."/>
    <s v="Silvia Teixeria"/>
    <s v="Certified Blue Recycling "/>
    <s v="2075 Williams St, San Leandro, CA 94577"/>
    <m/>
    <s v="10/22/2024"/>
    <x v="24"/>
    <n v="110988"/>
    <s v="Click Here To View"/>
    <s v="Construction"/>
    <n v="8.59"/>
    <s v="100.00%"/>
    <s v="0.00%"/>
    <s v="100.00%"/>
    <s v="0.00%"/>
    <m/>
    <n v="8.59"/>
    <m/>
    <n v="8.59"/>
    <m/>
    <m/>
    <m/>
    <n v="8.59"/>
    <m/>
    <m/>
    <m/>
    <m/>
    <m/>
    <m/>
    <m/>
    <m/>
    <m/>
    <m/>
    <m/>
    <m/>
    <m/>
    <m/>
    <m/>
    <m/>
    <m/>
    <m/>
    <m/>
    <m/>
    <m/>
    <m/>
    <m/>
    <m/>
    <m/>
    <m/>
    <m/>
    <m/>
    <m/>
    <m/>
    <s v="0.00%"/>
    <s v="0.00%"/>
    <s v="0.00%"/>
    <s v="0.00%"/>
    <m/>
    <m/>
    <m/>
    <m/>
    <m/>
    <m/>
    <m/>
    <s v="0.00%"/>
    <s v="0.00%"/>
    <s v="0.00%"/>
    <s v="0.00%"/>
    <m/>
    <m/>
    <m/>
    <m/>
    <m/>
    <m/>
    <m/>
    <m/>
    <m/>
    <m/>
    <m/>
    <m/>
    <m/>
    <m/>
    <m/>
    <m/>
    <m/>
    <s v="Mike Teixeira"/>
    <m/>
    <s v="11/27/2024"/>
    <s v="Mike Teixeira"/>
    <m/>
    <m/>
  </r>
  <r>
    <s v="Oakland/San Francisco/San Jose"/>
    <s v="UCB Gateway"/>
    <n v="210784"/>
    <m/>
    <s v="Higher Education | Laboratory / Research | 005 | 004"/>
    <n v="368"/>
    <s v="Garden of Eden Landscapes, Inc."/>
    <s v="Silvia Teixeria"/>
    <s v="Certified Blue Recycling "/>
    <s v="2075 Williams St, San Leandro, CA 94577"/>
    <m/>
    <s v="10/24/2024"/>
    <x v="24"/>
    <n v="111102"/>
    <s v="Click Here To View"/>
    <s v="Construction"/>
    <n v="4.45"/>
    <s v="100.00%"/>
    <s v="0.00%"/>
    <s v="100.00%"/>
    <s v="0.00%"/>
    <m/>
    <n v="4.45"/>
    <m/>
    <n v="4.45"/>
    <m/>
    <m/>
    <m/>
    <n v="4.45"/>
    <m/>
    <m/>
    <m/>
    <m/>
    <m/>
    <m/>
    <m/>
    <m/>
    <m/>
    <m/>
    <m/>
    <m/>
    <m/>
    <m/>
    <m/>
    <m/>
    <m/>
    <m/>
    <m/>
    <m/>
    <m/>
    <m/>
    <m/>
    <m/>
    <m/>
    <m/>
    <m/>
    <m/>
    <m/>
    <m/>
    <s v="0.00%"/>
    <s v="0.00%"/>
    <s v="0.00%"/>
    <s v="0.00%"/>
    <m/>
    <m/>
    <m/>
    <m/>
    <m/>
    <m/>
    <m/>
    <s v="0.00%"/>
    <s v="0.00%"/>
    <s v="0.00%"/>
    <s v="0.00%"/>
    <m/>
    <m/>
    <m/>
    <m/>
    <m/>
    <m/>
    <m/>
    <m/>
    <m/>
    <m/>
    <m/>
    <m/>
    <m/>
    <m/>
    <m/>
    <m/>
    <m/>
    <s v="Mike Teixeira"/>
    <m/>
    <s v="11/27/2024"/>
    <s v="Mike Teixeira"/>
    <m/>
    <m/>
  </r>
  <r>
    <s v="Oakland/San Francisco/San Jose"/>
    <s v="UCB Gateway"/>
    <n v="210784"/>
    <m/>
    <s v="Higher Education | Laboratory / Research | 005 | 004"/>
    <n v="368"/>
    <s v="Garden of Eden Landscapes, Inc."/>
    <s v="Silvia Teixeria"/>
    <s v="Certified Blue Recycling "/>
    <s v="2075 Williams St, San Leandro, CA 94577"/>
    <m/>
    <s v="10/30/2024"/>
    <x v="24"/>
    <n v="111412"/>
    <s v="Click Here To View"/>
    <s v="Construction"/>
    <n v="11.84"/>
    <s v="100.00%"/>
    <s v="0.00%"/>
    <s v="100.00%"/>
    <s v="0.00%"/>
    <m/>
    <n v="11.84"/>
    <m/>
    <n v="11.84"/>
    <m/>
    <m/>
    <m/>
    <n v="11.84"/>
    <m/>
    <m/>
    <m/>
    <m/>
    <m/>
    <m/>
    <m/>
    <m/>
    <m/>
    <m/>
    <m/>
    <m/>
    <m/>
    <m/>
    <m/>
    <m/>
    <m/>
    <m/>
    <m/>
    <m/>
    <m/>
    <m/>
    <m/>
    <m/>
    <m/>
    <m/>
    <m/>
    <m/>
    <m/>
    <m/>
    <s v="0.00%"/>
    <s v="0.00%"/>
    <s v="0.00%"/>
    <s v="0.00%"/>
    <m/>
    <m/>
    <m/>
    <m/>
    <m/>
    <m/>
    <m/>
    <s v="0.00%"/>
    <s v="0.00%"/>
    <s v="0.00%"/>
    <s v="0.00%"/>
    <m/>
    <m/>
    <m/>
    <m/>
    <m/>
    <m/>
    <m/>
    <m/>
    <m/>
    <m/>
    <m/>
    <m/>
    <m/>
    <m/>
    <m/>
    <m/>
    <m/>
    <s v="Mike Teixeira"/>
    <m/>
    <s v="11/27/2024"/>
    <s v="Mike Teixeira"/>
    <m/>
    <m/>
  </r>
  <r>
    <s v="Oakland/San Francisco/San Jose"/>
    <s v="UCB Gateway"/>
    <n v="210784"/>
    <m/>
    <s v="Higher Education | Laboratory / Research | 005 | 004"/>
    <n v="368"/>
    <s v="Garden of Eden Landscapes, Inc."/>
    <s v="Silvia Teixeria"/>
    <s v="Certified Blue Recycling "/>
    <s v="2075 Williams St, San Leandro, CA 94577"/>
    <m/>
    <s v="11/01/2024"/>
    <x v="25"/>
    <n v="11657"/>
    <s v="Click Here To View"/>
    <s v="Construction"/>
    <n v="10.84"/>
    <s v="100.00%"/>
    <s v="0.00%"/>
    <s v="100.00%"/>
    <s v="0.00%"/>
    <m/>
    <n v="10.84"/>
    <m/>
    <n v="10.84"/>
    <m/>
    <m/>
    <m/>
    <n v="10.84"/>
    <m/>
    <m/>
    <m/>
    <m/>
    <m/>
    <m/>
    <m/>
    <m/>
    <m/>
    <m/>
    <m/>
    <m/>
    <m/>
    <m/>
    <m/>
    <m/>
    <m/>
    <m/>
    <m/>
    <m/>
    <m/>
    <m/>
    <m/>
    <m/>
    <m/>
    <m/>
    <m/>
    <m/>
    <m/>
    <m/>
    <s v="0.00%"/>
    <s v="0.00%"/>
    <s v="0.00%"/>
    <s v="0.00%"/>
    <m/>
    <m/>
    <m/>
    <m/>
    <m/>
    <m/>
    <m/>
    <s v="0.00%"/>
    <s v="0.00%"/>
    <s v="0.00%"/>
    <s v="0.00%"/>
    <m/>
    <m/>
    <m/>
    <m/>
    <m/>
    <m/>
    <m/>
    <m/>
    <m/>
    <m/>
    <m/>
    <m/>
    <m/>
    <m/>
    <m/>
    <m/>
    <m/>
    <s v="Mike Teixeira"/>
    <m/>
    <s v="11/27/2024"/>
    <s v="Mike Teixeira"/>
    <m/>
    <m/>
  </r>
  <r>
    <s v="Oakland/San Francisco/San Jose"/>
    <s v="UCB Gateway"/>
    <n v="210784"/>
    <m/>
    <s v="Higher Education | Laboratory / Research | 005 | 004"/>
    <n v="368"/>
    <s v="Garden of Eden Landscapes, Inc."/>
    <s v="Silvia Teixeria"/>
    <s v="Certified Blue Recycling "/>
    <s v="2075 Williams St, San Leandro, CA 94577"/>
    <m/>
    <s v="11/07/2024"/>
    <x v="25"/>
    <n v="111947"/>
    <s v="Click Here To View"/>
    <s v="Construction"/>
    <n v="10.34"/>
    <s v="100.00%"/>
    <s v="0.00%"/>
    <s v="100.00%"/>
    <s v="0.00%"/>
    <m/>
    <n v="10.34"/>
    <m/>
    <n v="10.34"/>
    <m/>
    <m/>
    <m/>
    <n v="10.34"/>
    <m/>
    <m/>
    <m/>
    <m/>
    <m/>
    <m/>
    <m/>
    <m/>
    <m/>
    <m/>
    <m/>
    <m/>
    <m/>
    <m/>
    <m/>
    <m/>
    <m/>
    <m/>
    <m/>
    <m/>
    <m/>
    <m/>
    <m/>
    <m/>
    <m/>
    <m/>
    <m/>
    <m/>
    <m/>
    <m/>
    <s v="0.00%"/>
    <s v="0.00%"/>
    <s v="0.00%"/>
    <s v="0.00%"/>
    <m/>
    <m/>
    <m/>
    <m/>
    <m/>
    <m/>
    <m/>
    <s v="0.00%"/>
    <s v="0.00%"/>
    <s v="0.00%"/>
    <s v="0.00%"/>
    <m/>
    <m/>
    <m/>
    <m/>
    <m/>
    <m/>
    <m/>
    <m/>
    <m/>
    <m/>
    <m/>
    <m/>
    <m/>
    <m/>
    <m/>
    <m/>
    <m/>
    <s v="Mike Teixeira"/>
    <m/>
    <s v="11/27/2024"/>
    <s v="Mike Teixeira"/>
    <m/>
    <m/>
  </r>
  <r>
    <s v="Oakland/San Francisco/San Jose"/>
    <s v="UCB Gateway"/>
    <n v="210784"/>
    <m/>
    <s v="Higher Education | Laboratory / Research | 005 | 004"/>
    <n v="368"/>
    <s v="Garden of Eden Landscapes, Inc."/>
    <s v="Silvia Teixeria"/>
    <s v="Certified Blue Recycling "/>
    <s v="2075 Williams St, San Leandro, CA 94577"/>
    <m/>
    <s v="11/21/2024"/>
    <x v="25"/>
    <n v="112719"/>
    <s v="Click Here To View"/>
    <s v="Construction"/>
    <n v="8.1999999999999993"/>
    <s v="100.00%"/>
    <s v="0.00%"/>
    <s v="100.00%"/>
    <s v="0.00%"/>
    <m/>
    <n v="8.1999999999999993"/>
    <m/>
    <n v="8.1999999999999993"/>
    <m/>
    <m/>
    <m/>
    <n v="8.1999999999999993"/>
    <m/>
    <m/>
    <m/>
    <m/>
    <m/>
    <m/>
    <m/>
    <m/>
    <m/>
    <m/>
    <m/>
    <m/>
    <m/>
    <m/>
    <m/>
    <m/>
    <m/>
    <m/>
    <m/>
    <m/>
    <m/>
    <m/>
    <m/>
    <m/>
    <m/>
    <m/>
    <m/>
    <m/>
    <m/>
    <m/>
    <s v="0.00%"/>
    <s v="0.00%"/>
    <s v="0.00%"/>
    <s v="0.00%"/>
    <m/>
    <m/>
    <m/>
    <m/>
    <m/>
    <m/>
    <m/>
    <s v="0.00%"/>
    <s v="0.00%"/>
    <s v="0.00%"/>
    <s v="0.00%"/>
    <m/>
    <m/>
    <m/>
    <m/>
    <m/>
    <m/>
    <m/>
    <m/>
    <m/>
    <m/>
    <m/>
    <m/>
    <m/>
    <m/>
    <m/>
    <m/>
    <m/>
    <s v="Mike Teixeira"/>
    <m/>
    <s v="11/27/2024"/>
    <s v="Mike Teixeira"/>
    <m/>
    <m/>
  </r>
  <r>
    <s v="Oakland/San Francisco/San Jose"/>
    <s v="UCB Gateway"/>
    <n v="210784"/>
    <m/>
    <s v="Higher Education | Laboratory / Research | 005 | 004"/>
    <n v="368"/>
    <s v="Garden of Eden Landscapes, Inc."/>
    <s v="Silvia Teixeria"/>
    <s v="Certified Blue Recycling "/>
    <s v="2075 Williams St, San Leandro, CA 94577"/>
    <m/>
    <s v="09/09/2024"/>
    <x v="23"/>
    <n v="108449"/>
    <s v="Click Here To View"/>
    <s v="Construction"/>
    <n v="11.37"/>
    <s v="100.00%"/>
    <s v="0.00%"/>
    <s v="100.00%"/>
    <s v="0.00%"/>
    <m/>
    <n v="11.37"/>
    <m/>
    <n v="11.37"/>
    <m/>
    <m/>
    <m/>
    <n v="11.37"/>
    <m/>
    <m/>
    <m/>
    <m/>
    <m/>
    <m/>
    <m/>
    <m/>
    <m/>
    <m/>
    <m/>
    <m/>
    <m/>
    <m/>
    <m/>
    <m/>
    <m/>
    <m/>
    <m/>
    <m/>
    <m/>
    <m/>
    <m/>
    <m/>
    <m/>
    <m/>
    <m/>
    <m/>
    <m/>
    <m/>
    <s v="0.00%"/>
    <s v="0.00%"/>
    <s v="0.00%"/>
    <s v="0.00%"/>
    <m/>
    <m/>
    <m/>
    <m/>
    <m/>
    <m/>
    <m/>
    <s v="0.00%"/>
    <s v="0.00%"/>
    <s v="0.00%"/>
    <s v="0.00%"/>
    <m/>
    <m/>
    <m/>
    <m/>
    <m/>
    <m/>
    <m/>
    <m/>
    <m/>
    <m/>
    <m/>
    <m/>
    <m/>
    <m/>
    <m/>
    <m/>
    <m/>
    <s v="Mike Teixeira"/>
    <m/>
    <s v="11/27/2024"/>
    <s v="Mike Teixeira"/>
    <m/>
    <m/>
  </r>
  <r>
    <s v="Oakland/San Francisco/San Jose"/>
    <s v="UCB Gateway"/>
    <n v="210784"/>
    <m/>
    <s v="Higher Education | Laboratory / Research | 005 | 004"/>
    <n v="368"/>
    <s v="Garden of Eden Landscapes, Inc."/>
    <s v="Silvia Teixeria"/>
    <s v="Certified Blue Recycling "/>
    <s v="2075 Williams St, San Leandro, CA 94577"/>
    <m/>
    <s v="09/13/2024"/>
    <x v="23"/>
    <n v="108750"/>
    <s v="Click Here To View"/>
    <s v="Construction"/>
    <n v="9.81"/>
    <s v="100.00%"/>
    <s v="0.00%"/>
    <s v="100.00%"/>
    <s v="0.00%"/>
    <m/>
    <n v="9.81"/>
    <m/>
    <n v="9.81"/>
    <m/>
    <m/>
    <m/>
    <n v="9.81"/>
    <m/>
    <m/>
    <m/>
    <m/>
    <m/>
    <m/>
    <m/>
    <m/>
    <m/>
    <m/>
    <m/>
    <m/>
    <m/>
    <m/>
    <m/>
    <m/>
    <m/>
    <m/>
    <m/>
    <m/>
    <m/>
    <m/>
    <m/>
    <m/>
    <m/>
    <m/>
    <m/>
    <m/>
    <m/>
    <m/>
    <s v="0.00%"/>
    <s v="0.00%"/>
    <s v="0.00%"/>
    <s v="0.00%"/>
    <m/>
    <m/>
    <m/>
    <m/>
    <m/>
    <m/>
    <m/>
    <s v="0.00%"/>
    <s v="0.00%"/>
    <s v="0.00%"/>
    <s v="0.00%"/>
    <m/>
    <m/>
    <m/>
    <m/>
    <m/>
    <m/>
    <m/>
    <m/>
    <m/>
    <m/>
    <m/>
    <m/>
    <m/>
    <m/>
    <m/>
    <m/>
    <m/>
    <s v="Mike Teixeira"/>
    <m/>
    <s v="11/27/2024"/>
    <s v="Mike Teixeira"/>
    <m/>
    <m/>
  </r>
  <r>
    <s v="Oakland/San Francisco/San Jose"/>
    <s v="UCB Gateway"/>
    <n v="210784"/>
    <m/>
    <s v="Higher Education | Laboratory / Research | 005 | 004"/>
    <n v="368"/>
    <s v="Garden of Eden Landscapes, Inc."/>
    <s v="Silvia Teixeria"/>
    <s v="Certified Blue Recycling "/>
    <s v="2075 Williams St, San Leandro, CA 94577"/>
    <m/>
    <s v="09/17/2024"/>
    <x v="23"/>
    <n v="108916"/>
    <s v="Click Here To View"/>
    <s v="Construction"/>
    <n v="9.07"/>
    <s v="100.00%"/>
    <s v="0.00%"/>
    <s v="100.00%"/>
    <s v="0.00%"/>
    <m/>
    <n v="9.07"/>
    <m/>
    <n v="9.07"/>
    <m/>
    <m/>
    <m/>
    <n v="9.07"/>
    <m/>
    <m/>
    <m/>
    <m/>
    <m/>
    <m/>
    <m/>
    <m/>
    <m/>
    <m/>
    <m/>
    <m/>
    <m/>
    <m/>
    <m/>
    <m/>
    <m/>
    <m/>
    <m/>
    <m/>
    <m/>
    <m/>
    <m/>
    <m/>
    <m/>
    <m/>
    <m/>
    <m/>
    <m/>
    <m/>
    <s v="0.00%"/>
    <s v="0.00%"/>
    <s v="0.00%"/>
    <s v="0.00%"/>
    <m/>
    <m/>
    <m/>
    <m/>
    <m/>
    <m/>
    <m/>
    <s v="0.00%"/>
    <s v="0.00%"/>
    <s v="0.00%"/>
    <s v="0.00%"/>
    <m/>
    <m/>
    <m/>
    <m/>
    <m/>
    <m/>
    <m/>
    <m/>
    <m/>
    <m/>
    <m/>
    <m/>
    <m/>
    <m/>
    <m/>
    <m/>
    <m/>
    <s v="Mike Teixeira"/>
    <m/>
    <s v="11/27/2024"/>
    <s v="Mike Teixeira"/>
    <m/>
    <m/>
  </r>
  <r>
    <s v="Oakland/San Francisco/San Jose"/>
    <s v="UCB Gateway"/>
    <n v="210784"/>
    <m/>
    <s v="Higher Education | Laboratory / Research | 005 | 004"/>
    <n v="368"/>
    <s v="Garden of Eden Landscapes, Inc."/>
    <s v="Silvia Teixeria"/>
    <s v="Casey Utility Services"/>
    <s v="3rd Street, San Francisco, CA 94130, San Francisco, CA 94130"/>
    <m/>
    <s v="09/18/2024"/>
    <x v="23"/>
    <n v="26044"/>
    <s v="Click Here To View"/>
    <s v="Construction"/>
    <n v="8"/>
    <s v="100.00%"/>
    <s v="0.00%"/>
    <s v="100.00%"/>
    <s v="0.00%"/>
    <m/>
    <n v="8"/>
    <m/>
    <n v="8"/>
    <m/>
    <m/>
    <m/>
    <n v="8"/>
    <m/>
    <m/>
    <m/>
    <m/>
    <m/>
    <m/>
    <m/>
    <m/>
    <m/>
    <m/>
    <m/>
    <m/>
    <m/>
    <m/>
    <m/>
    <m/>
    <m/>
    <m/>
    <m/>
    <m/>
    <m/>
    <m/>
    <m/>
    <m/>
    <m/>
    <m/>
    <m/>
    <m/>
    <m/>
    <m/>
    <s v="0.00%"/>
    <s v="0.00%"/>
    <s v="0.00%"/>
    <s v="0.00%"/>
    <m/>
    <m/>
    <m/>
    <m/>
    <m/>
    <m/>
    <m/>
    <s v="0.00%"/>
    <s v="0.00%"/>
    <s v="0.00%"/>
    <s v="0.00%"/>
    <m/>
    <m/>
    <m/>
    <m/>
    <m/>
    <m/>
    <m/>
    <m/>
    <m/>
    <m/>
    <m/>
    <m/>
    <m/>
    <m/>
    <m/>
    <m/>
    <m/>
    <s v="Mike Teixeira"/>
    <m/>
    <s v="11/27/2024"/>
    <s v="Mike Teixeira"/>
    <m/>
    <m/>
  </r>
  <r>
    <s v="Oakland/San Francisco/San Jose"/>
    <s v="UCB Gateway"/>
    <n v="210784"/>
    <m/>
    <s v="Higher Education | Laboratory / Research | 005 | 004"/>
    <n v="368"/>
    <s v="Garden of Eden Landscapes, Inc."/>
    <s v="Silvia Teixeria"/>
    <s v="Certified Blue Recycling "/>
    <s v="2075 Williams St, San Leandro, CA 94577"/>
    <m/>
    <s v="09/26/2024"/>
    <x v="23"/>
    <n v="109529"/>
    <s v="Click Here To View"/>
    <s v="Construction"/>
    <n v="5.8"/>
    <s v="100.00%"/>
    <s v="0.00%"/>
    <s v="100.00%"/>
    <s v="0.00%"/>
    <m/>
    <n v="5.8"/>
    <m/>
    <n v="5.8"/>
    <m/>
    <m/>
    <m/>
    <n v="5.8"/>
    <m/>
    <m/>
    <m/>
    <m/>
    <m/>
    <m/>
    <m/>
    <m/>
    <m/>
    <m/>
    <m/>
    <m/>
    <m/>
    <m/>
    <m/>
    <m/>
    <m/>
    <m/>
    <m/>
    <m/>
    <m/>
    <m/>
    <m/>
    <m/>
    <m/>
    <m/>
    <m/>
    <m/>
    <m/>
    <m/>
    <s v="0.00%"/>
    <s v="0.00%"/>
    <s v="0.00%"/>
    <s v="0.00%"/>
    <m/>
    <m/>
    <m/>
    <m/>
    <m/>
    <m/>
    <m/>
    <s v="0.00%"/>
    <s v="0.00%"/>
    <s v="0.00%"/>
    <s v="0.00%"/>
    <m/>
    <m/>
    <m/>
    <m/>
    <m/>
    <m/>
    <m/>
    <m/>
    <m/>
    <m/>
    <m/>
    <m/>
    <m/>
    <m/>
    <m/>
    <m/>
    <m/>
    <s v="Mike Teixeira"/>
    <m/>
    <s v="11/27/2024"/>
    <s v="Mike Teixeira"/>
    <m/>
    <m/>
  </r>
  <r>
    <s v="Oakland/San Francisco/San Jose"/>
    <s v="UCB Gateway"/>
    <n v="210784"/>
    <m/>
    <s v="Higher Education | Laboratory / Research | 005 | 004"/>
    <n v="368"/>
    <s v="Garden of Eden Landscapes, Inc."/>
    <s v="Silvia Teixeria"/>
    <s v="Certified Blue Recycling "/>
    <s v="2075 Williams St, San Leandro, CA 94577"/>
    <m/>
    <s v="09/27/2024"/>
    <x v="23"/>
    <n v="109594"/>
    <s v="Click Here To View"/>
    <s v="Construction"/>
    <n v="9.31"/>
    <s v="100.00%"/>
    <s v="0.00%"/>
    <s v="100.00%"/>
    <s v="0.00%"/>
    <m/>
    <n v="9.31"/>
    <m/>
    <n v="9.31"/>
    <m/>
    <m/>
    <m/>
    <n v="9.31"/>
    <m/>
    <m/>
    <m/>
    <m/>
    <m/>
    <m/>
    <m/>
    <m/>
    <m/>
    <m/>
    <m/>
    <m/>
    <m/>
    <m/>
    <m/>
    <m/>
    <m/>
    <m/>
    <m/>
    <m/>
    <m/>
    <m/>
    <m/>
    <m/>
    <m/>
    <m/>
    <m/>
    <m/>
    <m/>
    <m/>
    <s v="0.00%"/>
    <s v="0.00%"/>
    <s v="0.00%"/>
    <s v="0.00%"/>
    <m/>
    <m/>
    <m/>
    <m/>
    <m/>
    <m/>
    <m/>
    <s v="0.00%"/>
    <s v="0.00%"/>
    <s v="0.00%"/>
    <s v="0.00%"/>
    <m/>
    <m/>
    <m/>
    <m/>
    <m/>
    <m/>
    <m/>
    <m/>
    <m/>
    <m/>
    <m/>
    <m/>
    <m/>
    <m/>
    <m/>
    <m/>
    <m/>
    <s v="Mike Teixeira"/>
    <m/>
    <s v="11/27/2024"/>
    <s v="Mike Teixeira"/>
    <m/>
    <m/>
  </r>
  <r>
    <s v="Oakland/San Francisco/San Jose"/>
    <s v="UCB Gateway"/>
    <n v="210784"/>
    <m/>
    <s v="Higher Education | Laboratory / Research | 005 | 004"/>
    <n v="368"/>
    <s v="Garden of Eden Landscapes, Inc."/>
    <s v="Silvia Teixeria"/>
    <s v="Certified Blue Recycling "/>
    <s v="2075 Williams St, San Leandro, CA 94577"/>
    <m/>
    <s v="08/05/2024"/>
    <x v="22"/>
    <n v="106518"/>
    <s v="Click Here To View"/>
    <s v="Construction"/>
    <n v="8.4700000000000006"/>
    <s v="100.00%"/>
    <s v="0.00%"/>
    <s v="100.00%"/>
    <s v="0.00%"/>
    <m/>
    <n v="8.4700000000000006"/>
    <m/>
    <n v="8.4700000000000006"/>
    <m/>
    <m/>
    <m/>
    <n v="8.4700000000000006"/>
    <m/>
    <m/>
    <m/>
    <m/>
    <m/>
    <m/>
    <m/>
    <m/>
    <m/>
    <m/>
    <m/>
    <m/>
    <m/>
    <m/>
    <m/>
    <m/>
    <m/>
    <m/>
    <m/>
    <m/>
    <m/>
    <m/>
    <m/>
    <m/>
    <m/>
    <m/>
    <m/>
    <m/>
    <m/>
    <m/>
    <s v="0.00%"/>
    <s v="0.00%"/>
    <s v="0.00%"/>
    <s v="0.00%"/>
    <m/>
    <m/>
    <m/>
    <m/>
    <m/>
    <m/>
    <m/>
    <s v="0.00%"/>
    <s v="0.00%"/>
    <s v="0.00%"/>
    <s v="0.00%"/>
    <m/>
    <m/>
    <m/>
    <m/>
    <m/>
    <m/>
    <m/>
    <m/>
    <m/>
    <m/>
    <m/>
    <m/>
    <m/>
    <m/>
    <m/>
    <m/>
    <m/>
    <s v="Mike Teixeira"/>
    <m/>
    <s v="11/27/2024"/>
    <s v="Mike Teixeira"/>
    <m/>
    <m/>
  </r>
  <r>
    <s v="Oakland/San Francisco/San Jose"/>
    <s v="UCB Gateway"/>
    <n v="210784"/>
    <m/>
    <s v="Higher Education | Laboratory / Research | 005 | 004"/>
    <n v="368"/>
    <s v="Garden of Eden Landscapes, Inc."/>
    <s v="Silvia Teixeria"/>
    <s v="Certified Blue Recycling "/>
    <s v="2075 Williams St, San Leandro, CA 94577"/>
    <m/>
    <s v="08/12/2024"/>
    <x v="22"/>
    <n v="106897"/>
    <s v="Click Here To View"/>
    <s v="Construction"/>
    <n v="8.36"/>
    <s v="100.00%"/>
    <s v="0.00%"/>
    <s v="100.00%"/>
    <s v="0.00%"/>
    <m/>
    <n v="8.36"/>
    <m/>
    <n v="8.36"/>
    <m/>
    <m/>
    <m/>
    <n v="8.36"/>
    <m/>
    <m/>
    <m/>
    <m/>
    <m/>
    <m/>
    <m/>
    <m/>
    <m/>
    <m/>
    <m/>
    <m/>
    <m/>
    <m/>
    <m/>
    <m/>
    <m/>
    <m/>
    <m/>
    <m/>
    <m/>
    <m/>
    <m/>
    <m/>
    <m/>
    <m/>
    <m/>
    <m/>
    <m/>
    <m/>
    <s v="0.00%"/>
    <s v="0.00%"/>
    <s v="0.00%"/>
    <s v="0.00%"/>
    <m/>
    <m/>
    <m/>
    <m/>
    <m/>
    <m/>
    <m/>
    <s v="0.00%"/>
    <s v="0.00%"/>
    <s v="0.00%"/>
    <s v="0.00%"/>
    <m/>
    <m/>
    <m/>
    <m/>
    <m/>
    <m/>
    <m/>
    <m/>
    <m/>
    <m/>
    <m/>
    <m/>
    <m/>
    <m/>
    <m/>
    <m/>
    <m/>
    <s v="Mike Teixeira"/>
    <m/>
    <s v="11/27/2024"/>
    <s v="Mike Teixeira"/>
    <m/>
    <m/>
  </r>
  <r>
    <s v="Oakland/San Francisco/San Jose"/>
    <s v="UCB Gateway"/>
    <n v="210784"/>
    <m/>
    <s v="Higher Education | Laboratory / Research | 005 | 004"/>
    <n v="368"/>
    <s v="Garden of Eden Landscapes, Inc."/>
    <s v="Silvia Teixeria"/>
    <s v="Casey Utility Services"/>
    <s v="3rd Street, San Francisco, CA 94130, San Francisco, CA 94130"/>
    <m/>
    <s v="08/21/2024"/>
    <x v="22"/>
    <n v="25781"/>
    <s v="Click Here To View"/>
    <s v="Construction"/>
    <n v="8"/>
    <s v="100.00%"/>
    <s v="0.00%"/>
    <s v="100.00%"/>
    <s v="0.00%"/>
    <m/>
    <n v="8"/>
    <m/>
    <n v="8"/>
    <m/>
    <m/>
    <m/>
    <n v="8"/>
    <m/>
    <m/>
    <m/>
    <m/>
    <m/>
    <m/>
    <m/>
    <m/>
    <m/>
    <m/>
    <m/>
    <m/>
    <m/>
    <m/>
    <m/>
    <m/>
    <m/>
    <m/>
    <m/>
    <m/>
    <m/>
    <m/>
    <m/>
    <m/>
    <m/>
    <m/>
    <m/>
    <m/>
    <m/>
    <m/>
    <s v="0.00%"/>
    <s v="0.00%"/>
    <s v="0.00%"/>
    <s v="0.00%"/>
    <m/>
    <m/>
    <m/>
    <m/>
    <m/>
    <m/>
    <m/>
    <s v="0.00%"/>
    <s v="0.00%"/>
    <s v="0.00%"/>
    <s v="0.00%"/>
    <m/>
    <m/>
    <m/>
    <m/>
    <m/>
    <m/>
    <m/>
    <m/>
    <m/>
    <m/>
    <m/>
    <m/>
    <m/>
    <m/>
    <m/>
    <m/>
    <m/>
    <s v="Mike Teixeira"/>
    <m/>
    <s v="11/27/2024"/>
    <s v="Mike Teixeira"/>
    <m/>
    <m/>
  </r>
  <r>
    <s v="Oakland/San Francisco/San Jose"/>
    <s v="UCB Gateway"/>
    <n v="210784"/>
    <m/>
    <s v="Higher Education | Laboratory / Research | 005 | 004"/>
    <n v="368"/>
    <s v="Garden of Eden Landscapes, Inc."/>
    <s v="Silvia Teixeria"/>
    <s v="Certified Blue Recycling "/>
    <s v="2075 Williams St, San Leandro, CA 94577"/>
    <m/>
    <s v="08/26/2024"/>
    <x v="22"/>
    <n v="107730"/>
    <s v="Click Here To View"/>
    <s v="Construction"/>
    <n v="8.48"/>
    <s v="100.00%"/>
    <s v="0.00%"/>
    <s v="100.00%"/>
    <s v="0.00%"/>
    <m/>
    <n v="8.48"/>
    <m/>
    <n v="8.48"/>
    <m/>
    <m/>
    <m/>
    <n v="8.48"/>
    <m/>
    <m/>
    <m/>
    <m/>
    <m/>
    <m/>
    <m/>
    <m/>
    <m/>
    <m/>
    <m/>
    <m/>
    <m/>
    <m/>
    <m/>
    <m/>
    <m/>
    <m/>
    <m/>
    <m/>
    <m/>
    <m/>
    <m/>
    <m/>
    <m/>
    <m/>
    <m/>
    <m/>
    <m/>
    <m/>
    <s v="0.00%"/>
    <s v="0.00%"/>
    <s v="0.00%"/>
    <s v="0.00%"/>
    <m/>
    <m/>
    <m/>
    <m/>
    <m/>
    <m/>
    <m/>
    <s v="0.00%"/>
    <s v="0.00%"/>
    <s v="0.00%"/>
    <s v="0.00%"/>
    <m/>
    <m/>
    <m/>
    <m/>
    <m/>
    <m/>
    <m/>
    <m/>
    <m/>
    <m/>
    <m/>
    <m/>
    <m/>
    <m/>
    <m/>
    <m/>
    <m/>
    <s v="Mike Teixeira"/>
    <m/>
    <s v="11/27/2024"/>
    <s v="Mike Teixeira"/>
    <m/>
    <m/>
  </r>
  <r>
    <s v="Oakland/San Francisco/San Jose"/>
    <s v="UCB Gateway"/>
    <n v="210784"/>
    <m/>
    <s v="Higher Education | Laboratory / Research | 005 | 004"/>
    <n v="368"/>
    <s v="Garden of Eden Landscapes, Inc."/>
    <s v="Silvia Teixeria"/>
    <s v="Certified Blue Recycling "/>
    <s v="2075 Williams St, San Leandro, CA 94577"/>
    <m/>
    <s v="03/29/2024"/>
    <x v="5"/>
    <n v="99831"/>
    <s v="Click Here To View"/>
    <s v="Construction"/>
    <n v="5.92"/>
    <s v="100.00%"/>
    <s v="0.00%"/>
    <s v="100.00%"/>
    <s v="0.00%"/>
    <m/>
    <n v="5.92"/>
    <m/>
    <n v="5.92"/>
    <m/>
    <m/>
    <m/>
    <n v="5.92"/>
    <m/>
    <m/>
    <m/>
    <m/>
    <m/>
    <m/>
    <m/>
    <m/>
    <m/>
    <m/>
    <m/>
    <m/>
    <m/>
    <m/>
    <m/>
    <m/>
    <m/>
    <m/>
    <m/>
    <m/>
    <m/>
    <m/>
    <m/>
    <m/>
    <m/>
    <m/>
    <m/>
    <m/>
    <m/>
    <m/>
    <s v="0.00%"/>
    <s v="0.00%"/>
    <s v="0.00%"/>
    <s v="0.00%"/>
    <m/>
    <m/>
    <m/>
    <m/>
    <m/>
    <m/>
    <m/>
    <s v="0.00%"/>
    <s v="0.00%"/>
    <s v="0.00%"/>
    <s v="0.00%"/>
    <m/>
    <m/>
    <m/>
    <m/>
    <m/>
    <m/>
    <m/>
    <m/>
    <m/>
    <m/>
    <m/>
    <m/>
    <m/>
    <m/>
    <m/>
    <m/>
    <m/>
    <s v="Mike Teixeira"/>
    <m/>
    <s v="11/27/2024"/>
    <s v="Mike Teixeira"/>
    <m/>
    <m/>
  </r>
  <r>
    <s v="Oakland/San Francisco/San Jose"/>
    <s v="UCB Gateway"/>
    <n v="210784"/>
    <m/>
    <s v="Higher Education | Laboratory / Research | 005 | 004"/>
    <n v="368"/>
    <s v="Garden of Eden Landscapes, Inc."/>
    <s v="Silvia Teixeria"/>
    <s v="Certified Blue Recycling "/>
    <s v="2075 Williams St, San Leandro, CA 94577"/>
    <m/>
    <s v="03/25/2024"/>
    <x v="5"/>
    <n v="99586"/>
    <s v="Click Here To View"/>
    <s v="Construction"/>
    <n v="4.7"/>
    <s v="100.00%"/>
    <s v="0.00%"/>
    <s v="100.00%"/>
    <s v="0.00%"/>
    <m/>
    <n v="4.7"/>
    <m/>
    <n v="4.7"/>
    <m/>
    <m/>
    <m/>
    <n v="4.7"/>
    <m/>
    <m/>
    <m/>
    <m/>
    <m/>
    <m/>
    <m/>
    <m/>
    <m/>
    <m/>
    <m/>
    <m/>
    <m/>
    <m/>
    <m/>
    <m/>
    <m/>
    <m/>
    <m/>
    <m/>
    <m/>
    <m/>
    <m/>
    <m/>
    <m/>
    <m/>
    <m/>
    <m/>
    <m/>
    <m/>
    <s v="0.00%"/>
    <s v="0.00%"/>
    <s v="0.00%"/>
    <s v="0.00%"/>
    <m/>
    <m/>
    <m/>
    <m/>
    <m/>
    <m/>
    <m/>
    <s v="0.00%"/>
    <s v="0.00%"/>
    <s v="0.00%"/>
    <s v="0.00%"/>
    <m/>
    <m/>
    <m/>
    <m/>
    <m/>
    <m/>
    <m/>
    <m/>
    <m/>
    <m/>
    <m/>
    <m/>
    <m/>
    <m/>
    <m/>
    <m/>
    <m/>
    <s v="Mike Teixeira"/>
    <m/>
    <s v="11/27/2024"/>
    <s v="Mike Teixeira"/>
    <m/>
    <m/>
  </r>
  <r>
    <s v="Oakland/San Francisco/San Jose"/>
    <s v="UCB Gateway"/>
    <n v="210784"/>
    <m/>
    <s v="Higher Education | Laboratory / Research | 005 | 004"/>
    <n v="368"/>
    <s v="Garden of Eden Landscapes, Inc."/>
    <s v="Silvia Teixeria"/>
    <s v="Certified Blue Recycling "/>
    <s v="2075 Williams St, San Leandro, CA 94577"/>
    <m/>
    <s v="03/25/2024"/>
    <x v="5"/>
    <n v="99602"/>
    <s v="Click Here To View"/>
    <s v="Construction"/>
    <n v="9.27"/>
    <s v="100.00%"/>
    <s v="0.00%"/>
    <s v="100.00%"/>
    <s v="0.00%"/>
    <m/>
    <n v="9.27"/>
    <m/>
    <n v="9.27"/>
    <m/>
    <m/>
    <m/>
    <n v="9.27"/>
    <m/>
    <m/>
    <m/>
    <m/>
    <m/>
    <m/>
    <m/>
    <m/>
    <m/>
    <m/>
    <m/>
    <m/>
    <m/>
    <m/>
    <m/>
    <m/>
    <m/>
    <m/>
    <m/>
    <m/>
    <m/>
    <m/>
    <m/>
    <m/>
    <m/>
    <m/>
    <m/>
    <m/>
    <m/>
    <m/>
    <s v="0.00%"/>
    <s v="0.00%"/>
    <s v="0.00%"/>
    <s v="0.00%"/>
    <m/>
    <m/>
    <m/>
    <m/>
    <m/>
    <m/>
    <m/>
    <s v="0.00%"/>
    <s v="0.00%"/>
    <s v="0.00%"/>
    <s v="0.00%"/>
    <m/>
    <m/>
    <m/>
    <m/>
    <m/>
    <m/>
    <m/>
    <m/>
    <m/>
    <m/>
    <m/>
    <m/>
    <m/>
    <m/>
    <m/>
    <m/>
    <m/>
    <s v="Mike Teixeira"/>
    <m/>
    <s v="11/27/2024"/>
    <s v="Mike Teixeira"/>
    <m/>
    <m/>
  </r>
  <r>
    <s v="Oakland/San Francisco/San Jose"/>
    <s v="UCB Gateway"/>
    <n v="210784"/>
    <m/>
    <s v="Higher Education | Laboratory / Research | 005 | 004"/>
    <n v="368"/>
    <s v="Garden of Eden Landscapes, Inc."/>
    <s v="Silvia Teixeria"/>
    <s v="Certified Blue Recycling "/>
    <s v="2075 Williams St, San Leandro, CA 94577"/>
    <m/>
    <s v="03/20/2024"/>
    <x v="5"/>
    <n v="99405"/>
    <s v="Click Here To View"/>
    <s v="Construction"/>
    <n v="10.36"/>
    <s v="100.00%"/>
    <s v="0.00%"/>
    <s v="100.00%"/>
    <s v="0.00%"/>
    <m/>
    <n v="10.36"/>
    <m/>
    <n v="10.36"/>
    <m/>
    <m/>
    <m/>
    <n v="10.36"/>
    <m/>
    <m/>
    <m/>
    <m/>
    <m/>
    <m/>
    <m/>
    <m/>
    <m/>
    <m/>
    <m/>
    <m/>
    <m/>
    <m/>
    <m/>
    <m/>
    <m/>
    <m/>
    <m/>
    <m/>
    <m/>
    <m/>
    <m/>
    <m/>
    <m/>
    <m/>
    <m/>
    <m/>
    <m/>
    <m/>
    <s v="0.00%"/>
    <s v="0.00%"/>
    <s v="0.00%"/>
    <s v="0.00%"/>
    <m/>
    <m/>
    <m/>
    <m/>
    <m/>
    <m/>
    <m/>
    <s v="0.00%"/>
    <s v="0.00%"/>
    <s v="0.00%"/>
    <s v="0.00%"/>
    <m/>
    <m/>
    <m/>
    <m/>
    <m/>
    <m/>
    <m/>
    <m/>
    <m/>
    <m/>
    <m/>
    <m/>
    <m/>
    <m/>
    <m/>
    <m/>
    <m/>
    <s v="Mike Teixeira"/>
    <m/>
    <s v="11/27/2024"/>
    <s v="Mike Teixeira"/>
    <m/>
    <m/>
  </r>
  <r>
    <s v="Oakland/San Francisco/San Jose"/>
    <s v="UCB Gateway"/>
    <n v="210784"/>
    <m/>
    <s v="Higher Education | Laboratory / Research | 005 | 004"/>
    <n v="368"/>
    <s v="Garden of Eden Landscapes, Inc."/>
    <s v="Silvia Teixeria"/>
    <s v="Certified Blue Recycling "/>
    <s v="2075 Williams St, San Leandro, CA 94577"/>
    <m/>
    <s v="05/03/2024"/>
    <x v="7"/>
    <n v="101395"/>
    <s v="Click Here To View"/>
    <s v="Construction"/>
    <n v="4.95"/>
    <s v="100.00%"/>
    <s v="0.00%"/>
    <s v="100.00%"/>
    <s v="0.00%"/>
    <m/>
    <n v="4.95"/>
    <m/>
    <n v="4.95"/>
    <m/>
    <m/>
    <m/>
    <n v="4.95"/>
    <m/>
    <m/>
    <m/>
    <m/>
    <m/>
    <m/>
    <m/>
    <m/>
    <m/>
    <m/>
    <m/>
    <m/>
    <m/>
    <m/>
    <m/>
    <m/>
    <m/>
    <m/>
    <m/>
    <m/>
    <m/>
    <m/>
    <m/>
    <m/>
    <m/>
    <m/>
    <m/>
    <m/>
    <m/>
    <m/>
    <s v="0.00%"/>
    <s v="0.00%"/>
    <s v="0.00%"/>
    <s v="0.00%"/>
    <m/>
    <m/>
    <m/>
    <m/>
    <m/>
    <m/>
    <m/>
    <s v="0.00%"/>
    <s v="0.00%"/>
    <s v="0.00%"/>
    <s v="0.00%"/>
    <m/>
    <m/>
    <m/>
    <m/>
    <m/>
    <m/>
    <m/>
    <m/>
    <m/>
    <m/>
    <m/>
    <m/>
    <m/>
    <m/>
    <m/>
    <m/>
    <m/>
    <s v="Mike Teixeira"/>
    <m/>
    <s v="11/27/2024"/>
    <s v="Mike Teixeira"/>
    <m/>
    <m/>
  </r>
  <r>
    <s v="Oakland/San Francisco/San Jose"/>
    <s v="UCB Gateway"/>
    <n v="210784"/>
    <m/>
    <s v="Higher Education | Laboratory / Research | 005 | 004"/>
    <n v="368"/>
    <s v="Garden of Eden Landscapes, Inc."/>
    <s v="Silvia Teixeria"/>
    <s v="Certified Blue Recycling "/>
    <s v="2075 Williams St, San Leandro, CA 94577"/>
    <m/>
    <s v="06/06/2024"/>
    <x v="20"/>
    <n v="103120"/>
    <s v="Click Here To View"/>
    <s v="Construction"/>
    <n v="9.36"/>
    <s v="100.00%"/>
    <s v="0.00%"/>
    <s v="100.00%"/>
    <s v="0.00%"/>
    <m/>
    <n v="9.36"/>
    <m/>
    <n v="9.36"/>
    <m/>
    <m/>
    <m/>
    <n v="9.36"/>
    <m/>
    <m/>
    <m/>
    <m/>
    <m/>
    <m/>
    <m/>
    <m/>
    <m/>
    <m/>
    <m/>
    <m/>
    <m/>
    <m/>
    <m/>
    <m/>
    <m/>
    <m/>
    <m/>
    <m/>
    <m/>
    <m/>
    <m/>
    <m/>
    <m/>
    <m/>
    <m/>
    <m/>
    <m/>
    <m/>
    <s v="0.00%"/>
    <s v="0.00%"/>
    <s v="0.00%"/>
    <s v="0.00%"/>
    <m/>
    <m/>
    <m/>
    <m/>
    <m/>
    <m/>
    <m/>
    <s v="0.00%"/>
    <s v="0.00%"/>
    <s v="0.00%"/>
    <s v="0.00%"/>
    <m/>
    <m/>
    <m/>
    <m/>
    <m/>
    <m/>
    <m/>
    <m/>
    <m/>
    <m/>
    <m/>
    <m/>
    <m/>
    <m/>
    <m/>
    <m/>
    <m/>
    <s v="Mike Teixeira"/>
    <m/>
    <s v="11/27/2024"/>
    <s v="Mike Teixeira"/>
    <m/>
    <m/>
  </r>
  <r>
    <s v="Oakland/San Francisco/San Jose"/>
    <s v="UCB Gateway"/>
    <n v="210784"/>
    <m/>
    <s v="Higher Education | Laboratory / Research | 005 | 004"/>
    <n v="368"/>
    <s v="Garden of Eden Landscapes, Inc."/>
    <s v="Silvia Teixeria"/>
    <s v="Certified Blue Recycling "/>
    <s v="2075 Williams St, San Leandro, CA 94577"/>
    <m/>
    <s v="07/25/2024"/>
    <x v="21"/>
    <n v="105952"/>
    <s v="Click Here To View"/>
    <s v="Construction"/>
    <n v="8.94"/>
    <s v="100.00%"/>
    <s v="0.00%"/>
    <s v="100.00%"/>
    <s v="0.00%"/>
    <m/>
    <n v="8.94"/>
    <m/>
    <n v="8.94"/>
    <m/>
    <m/>
    <m/>
    <n v="8.94"/>
    <m/>
    <m/>
    <m/>
    <m/>
    <m/>
    <m/>
    <m/>
    <m/>
    <m/>
    <m/>
    <m/>
    <m/>
    <m/>
    <m/>
    <m/>
    <m/>
    <m/>
    <m/>
    <m/>
    <m/>
    <m/>
    <m/>
    <m/>
    <m/>
    <m/>
    <m/>
    <m/>
    <m/>
    <m/>
    <m/>
    <s v="0.00%"/>
    <s v="0.00%"/>
    <s v="0.00%"/>
    <s v="0.00%"/>
    <m/>
    <m/>
    <m/>
    <m/>
    <m/>
    <m/>
    <m/>
    <s v="0.00%"/>
    <s v="0.00%"/>
    <s v="0.00%"/>
    <s v="0.00%"/>
    <m/>
    <m/>
    <m/>
    <m/>
    <m/>
    <m/>
    <m/>
    <m/>
    <m/>
    <m/>
    <m/>
    <m/>
    <m/>
    <m/>
    <m/>
    <m/>
    <m/>
    <s v="Mike Teixeira"/>
    <m/>
    <s v="11/27/2024"/>
    <s v="Mike Teixeira"/>
    <m/>
    <m/>
  </r>
  <r>
    <s v="Oakland/San Francisco/San Jose"/>
    <s v="UCB Gateway"/>
    <n v="210784"/>
    <m/>
    <s v="Higher Education | Laboratory / Research | 005 | 004"/>
    <n v="368"/>
    <s v="Garden of Eden Landscapes, Inc."/>
    <s v="Silvia Teixeria"/>
    <s v="Casey Utility Services"/>
    <s v="3rd Street, San Francisco, CA 94130, San Francisco, CA 94130"/>
    <m/>
    <s v="12/06/2024"/>
    <x v="26"/>
    <n v="113461"/>
    <s v="Click Here To View"/>
    <s v="Construction"/>
    <n v="9.94"/>
    <s v="100.00%"/>
    <s v="0.00%"/>
    <s v="100.00%"/>
    <s v="0.00%"/>
    <m/>
    <n v="9.94"/>
    <m/>
    <n v="9.94"/>
    <m/>
    <m/>
    <m/>
    <n v="9.94"/>
    <m/>
    <m/>
    <m/>
    <m/>
    <m/>
    <m/>
    <m/>
    <m/>
    <m/>
    <m/>
    <m/>
    <m/>
    <m/>
    <m/>
    <m/>
    <m/>
    <m/>
    <m/>
    <m/>
    <m/>
    <m/>
    <m/>
    <m/>
    <m/>
    <m/>
    <m/>
    <m/>
    <m/>
    <m/>
    <m/>
    <s v="0.00%"/>
    <s v="0.00%"/>
    <s v="0.00%"/>
    <s v="0.00%"/>
    <m/>
    <m/>
    <m/>
    <m/>
    <m/>
    <m/>
    <m/>
    <s v="0.00%"/>
    <s v="0.00%"/>
    <s v="0.00%"/>
    <s v="0.00%"/>
    <m/>
    <m/>
    <m/>
    <m/>
    <m/>
    <m/>
    <m/>
    <m/>
    <m/>
    <m/>
    <m/>
    <m/>
    <m/>
    <m/>
    <m/>
    <m/>
    <m/>
    <s v="Mike Teixeira"/>
    <m/>
    <s v="12/24/2024"/>
    <s v="Mike Teixeira"/>
    <m/>
    <m/>
  </r>
  <r>
    <s v="Oakland/San Francisco/San Jose"/>
    <s v="UCB Gateway"/>
    <n v="210784"/>
    <m/>
    <s v="Higher Education | Laboratory / Research | 005 | 004"/>
    <n v="368"/>
    <s v="Garden of Eden Landscapes, Inc."/>
    <s v="Silvia Teixeria"/>
    <s v="Certified Blue Recycling "/>
    <s v="2075 Williams St, San Leandro, CA 94577"/>
    <m/>
    <s v="12/26/2024"/>
    <x v="26"/>
    <n v="114281"/>
    <s v="Click Here To View"/>
    <s v="Construction"/>
    <n v="3.72"/>
    <s v="100.00%"/>
    <s v="0.00%"/>
    <s v="100.00%"/>
    <s v="0.00%"/>
    <m/>
    <n v="3.72"/>
    <m/>
    <n v="3.72"/>
    <m/>
    <m/>
    <m/>
    <n v="3.72"/>
    <m/>
    <m/>
    <m/>
    <m/>
    <m/>
    <m/>
    <m/>
    <m/>
    <m/>
    <m/>
    <m/>
    <m/>
    <m/>
    <m/>
    <m/>
    <m/>
    <m/>
    <m/>
    <m/>
    <m/>
    <m/>
    <m/>
    <m/>
    <m/>
    <m/>
    <m/>
    <m/>
    <m/>
    <m/>
    <m/>
    <s v="0.00%"/>
    <s v="0.00%"/>
    <s v="0.00%"/>
    <s v="0.00%"/>
    <m/>
    <m/>
    <m/>
    <m/>
    <m/>
    <m/>
    <m/>
    <s v="0.00%"/>
    <s v="0.00%"/>
    <s v="0.00%"/>
    <s v="0.00%"/>
    <m/>
    <m/>
    <m/>
    <m/>
    <m/>
    <m/>
    <m/>
    <m/>
    <m/>
    <m/>
    <m/>
    <m/>
    <m/>
    <m/>
    <m/>
    <m/>
    <m/>
    <s v="Mike Teixeira"/>
    <m/>
    <s v="01/29/2025"/>
    <s v="Mike Teixeira"/>
    <m/>
    <m/>
  </r>
  <r>
    <s v="Oakland/San Francisco/San Jose"/>
    <s v="UCB Gateway"/>
    <n v="210784"/>
    <m/>
    <s v="Higher Education | Laboratory / Research | 005 | 004"/>
    <n v="368"/>
    <s v="Garden of Eden Landscapes, Inc."/>
    <s v="Silvia Teixeria"/>
    <s v="Certified Blue Recycling "/>
    <s v="2075 Williams St, San Leandro, CA 94577"/>
    <m/>
    <s v="01/21/2025"/>
    <x v="27"/>
    <n v="115442"/>
    <s v="Click Here To View"/>
    <s v="Construction"/>
    <n v="6.75"/>
    <s v="100.00%"/>
    <s v="0.00%"/>
    <s v="100.00%"/>
    <s v="0.00%"/>
    <m/>
    <n v="6.75"/>
    <m/>
    <n v="6.75"/>
    <m/>
    <m/>
    <m/>
    <n v="6.75"/>
    <m/>
    <m/>
    <m/>
    <m/>
    <m/>
    <m/>
    <m/>
    <m/>
    <m/>
    <m/>
    <m/>
    <m/>
    <m/>
    <m/>
    <m/>
    <m/>
    <m/>
    <m/>
    <m/>
    <m/>
    <m/>
    <m/>
    <m/>
    <m/>
    <m/>
    <m/>
    <m/>
    <m/>
    <m/>
    <m/>
    <s v="0.00%"/>
    <s v="0.00%"/>
    <s v="0.00%"/>
    <s v="0.00%"/>
    <m/>
    <m/>
    <m/>
    <m/>
    <m/>
    <m/>
    <m/>
    <s v="0.00%"/>
    <s v="0.00%"/>
    <s v="0.00%"/>
    <s v="0.00%"/>
    <m/>
    <m/>
    <m/>
    <m/>
    <m/>
    <m/>
    <m/>
    <m/>
    <m/>
    <m/>
    <m/>
    <m/>
    <m/>
    <m/>
    <m/>
    <m/>
    <m/>
    <s v="Mike Teixeira"/>
    <m/>
    <s v="01/29/2025"/>
    <s v="Mike Teixeira"/>
    <m/>
    <m/>
  </r>
  <r>
    <s v="Oakland/San Francisco/San Jose"/>
    <s v="UCB Gateway"/>
    <n v="210784"/>
    <m/>
    <s v="Higher Education | Laboratory / Research | 005 | 004"/>
    <n v="368"/>
    <s v="Garden of Eden Landscapes, Inc."/>
    <s v="Silvia Teixeria"/>
    <s v="Certified Blue Recycling "/>
    <s v="2075 Williams St, San Leandro, CA 94577"/>
    <m/>
    <s v="02/03/2025"/>
    <x v="28"/>
    <n v="116179"/>
    <s v="Click Here To View"/>
    <s v="Construction"/>
    <n v="9.7899999999999991"/>
    <s v="100.00%"/>
    <s v="0.00%"/>
    <s v="100.00%"/>
    <s v="0.00%"/>
    <m/>
    <n v="9.7899999999999991"/>
    <m/>
    <n v="9.7899999999999991"/>
    <m/>
    <m/>
    <m/>
    <n v="9.7899999999999991"/>
    <m/>
    <m/>
    <m/>
    <m/>
    <m/>
    <m/>
    <m/>
    <m/>
    <m/>
    <m/>
    <m/>
    <m/>
    <m/>
    <m/>
    <m/>
    <m/>
    <m/>
    <m/>
    <m/>
    <m/>
    <m/>
    <m/>
    <m/>
    <m/>
    <m/>
    <m/>
    <m/>
    <m/>
    <m/>
    <m/>
    <s v="0.00%"/>
    <s v="0.00%"/>
    <s v="0.00%"/>
    <s v="0.00%"/>
    <m/>
    <m/>
    <m/>
    <m/>
    <m/>
    <m/>
    <m/>
    <s v="0.00%"/>
    <s v="0.00%"/>
    <s v="0.00%"/>
    <s v="0.00%"/>
    <m/>
    <m/>
    <m/>
    <m/>
    <m/>
    <m/>
    <m/>
    <m/>
    <m/>
    <m/>
    <m/>
    <m/>
    <m/>
    <m/>
    <m/>
    <m/>
    <m/>
    <s v="Mike Teixeira"/>
    <m/>
    <s v="02/27/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2/24/2025"/>
    <x v="28"/>
    <n v="117387"/>
    <s v="Click Here To View"/>
    <s v="Construction"/>
    <n v="1.34"/>
    <s v="100.00%"/>
    <s v="0.00%"/>
    <s v="100.00%"/>
    <s v="0.00%"/>
    <m/>
    <n v="1.34"/>
    <m/>
    <n v="1.34"/>
    <m/>
    <m/>
    <m/>
    <n v="1.34"/>
    <m/>
    <m/>
    <m/>
    <m/>
    <m/>
    <m/>
    <m/>
    <m/>
    <m/>
    <m/>
    <m/>
    <m/>
    <m/>
    <m/>
    <m/>
    <m/>
    <m/>
    <m/>
    <m/>
    <m/>
    <m/>
    <m/>
    <m/>
    <m/>
    <m/>
    <m/>
    <m/>
    <m/>
    <m/>
    <m/>
    <s v="0.00%"/>
    <s v="0.00%"/>
    <s v="0.00%"/>
    <s v="0.00%"/>
    <m/>
    <m/>
    <m/>
    <m/>
    <m/>
    <m/>
    <m/>
    <s v="0.00%"/>
    <s v="0.00%"/>
    <s v="0.00%"/>
    <s v="0.00%"/>
    <m/>
    <m/>
    <m/>
    <m/>
    <m/>
    <m/>
    <m/>
    <m/>
    <m/>
    <m/>
    <m/>
    <m/>
    <m/>
    <m/>
    <m/>
    <m/>
    <m/>
    <s v="Mike Teixeira"/>
    <m/>
    <s v="02/27/2025"/>
    <s v="Mike Teixeira"/>
    <m/>
    <m/>
  </r>
  <r>
    <s v="Oakland/San Francisco/San Jose"/>
    <s v="UCB Gateway"/>
    <n v="210784"/>
    <m/>
    <s v="Higher Education | Laboratory / Research | 005 | 004"/>
    <n v="368"/>
    <s v="Garden of Eden Landscapes, Inc."/>
    <s v="Silvia Teixeria"/>
    <s v="Certified Blue Recycling "/>
    <s v="2075 Williams St, San Leandro, CA 94577"/>
    <m/>
    <s v="04/16/2025"/>
    <x v="29"/>
    <n v="120677"/>
    <s v="Click Here To View"/>
    <s v="Construction"/>
    <n v="7.59"/>
    <s v="100.00%"/>
    <s v="0.00%"/>
    <s v="100.00%"/>
    <s v="0.00%"/>
    <m/>
    <n v="7.59"/>
    <m/>
    <n v="7.59"/>
    <m/>
    <m/>
    <m/>
    <n v="7.59"/>
    <m/>
    <m/>
    <m/>
    <m/>
    <m/>
    <m/>
    <m/>
    <m/>
    <m/>
    <m/>
    <m/>
    <m/>
    <m/>
    <m/>
    <m/>
    <m/>
    <m/>
    <m/>
    <m/>
    <m/>
    <m/>
    <m/>
    <m/>
    <m/>
    <m/>
    <m/>
    <m/>
    <m/>
    <m/>
    <m/>
    <s v="0.00%"/>
    <s v="0.00%"/>
    <s v="0.00%"/>
    <s v="0.00%"/>
    <m/>
    <m/>
    <m/>
    <m/>
    <m/>
    <m/>
    <m/>
    <s v="0.00%"/>
    <s v="0.00%"/>
    <s v="0.00%"/>
    <s v="0.00%"/>
    <m/>
    <m/>
    <m/>
    <m/>
    <m/>
    <m/>
    <m/>
    <m/>
    <m/>
    <m/>
    <m/>
    <m/>
    <m/>
    <m/>
    <m/>
    <m/>
    <m/>
    <s v="Mike Teixeira"/>
    <m/>
    <s v="05/02/2025"/>
    <s v="Mike Teixeira"/>
    <m/>
    <m/>
  </r>
  <r>
    <s v="Oakland/San Francisco/San Jose"/>
    <s v="UCB Gateway"/>
    <n v="210784"/>
    <m/>
    <s v="Higher Education | Laboratory / Research | 005 | 004"/>
    <n v="368"/>
    <s v="Garden of Eden Landscapes, Inc."/>
    <s v="Silvia Teixeria"/>
    <s v="SFR Recovery Inc."/>
    <s v="2401 Ingalls St., San Francisco, CA 94124, San Francisco, CA 94124"/>
    <m/>
    <s v="05/23/2025"/>
    <x v="30"/>
    <n v="120262"/>
    <s v="Click Here To View"/>
    <s v="Construction"/>
    <n v="5.81"/>
    <s v="100.00%"/>
    <s v="0.00%"/>
    <s v="100.00%"/>
    <s v="0.00%"/>
    <m/>
    <n v="5.81"/>
    <m/>
    <n v="5.81"/>
    <m/>
    <m/>
    <m/>
    <n v="5.81"/>
    <m/>
    <m/>
    <m/>
    <m/>
    <m/>
    <m/>
    <m/>
    <m/>
    <m/>
    <m/>
    <m/>
    <m/>
    <m/>
    <m/>
    <m/>
    <m/>
    <m/>
    <m/>
    <m/>
    <m/>
    <m/>
    <m/>
    <m/>
    <m/>
    <m/>
    <m/>
    <m/>
    <m/>
    <m/>
    <m/>
    <s v="0.00%"/>
    <s v="0.00%"/>
    <s v="0.00%"/>
    <s v="0.00%"/>
    <m/>
    <m/>
    <m/>
    <m/>
    <m/>
    <m/>
    <m/>
    <s v="0.00%"/>
    <s v="0.00%"/>
    <s v="0.00%"/>
    <s v="0.00%"/>
    <m/>
    <m/>
    <m/>
    <m/>
    <m/>
    <m/>
    <m/>
    <m/>
    <m/>
    <m/>
    <m/>
    <m/>
    <m/>
    <m/>
    <m/>
    <m/>
    <m/>
    <s v="Mike Teixeira"/>
    <m/>
    <s v="08/04/2025"/>
    <s v="Mike Teixeira"/>
    <m/>
    <m/>
  </r>
  <r>
    <s v="Oakland/San Francisco/San Jose"/>
    <s v="UCB Gateway"/>
    <n v="210784"/>
    <m/>
    <s v="Higher Education | Laboratory / Research | 005 | 004"/>
    <n v="368"/>
    <s v="Garden of Eden Landscapes, Inc."/>
    <s v="Silvia Teixeria"/>
    <s v="SFR Recovery Inc."/>
    <s v="2401 Ingalls St., San Francisco, CA 94124, San Francisco, CA 94124"/>
    <m/>
    <s v="06/27/2025"/>
    <x v="2"/>
    <n v="121725"/>
    <s v="Click Here To View"/>
    <s v="Construction"/>
    <n v="5"/>
    <s v="100.00%"/>
    <s v="0.00%"/>
    <s v="100.00%"/>
    <s v="0.00%"/>
    <m/>
    <n v="5"/>
    <m/>
    <n v="5"/>
    <m/>
    <m/>
    <m/>
    <n v="5"/>
    <m/>
    <m/>
    <m/>
    <m/>
    <m/>
    <m/>
    <m/>
    <m/>
    <m/>
    <m/>
    <m/>
    <m/>
    <m/>
    <m/>
    <m/>
    <m/>
    <m/>
    <m/>
    <m/>
    <m/>
    <m/>
    <m/>
    <m/>
    <m/>
    <m/>
    <m/>
    <m/>
    <m/>
    <m/>
    <m/>
    <s v="0.00%"/>
    <s v="0.00%"/>
    <s v="0.00%"/>
    <s v="0.00%"/>
    <m/>
    <m/>
    <m/>
    <m/>
    <m/>
    <m/>
    <m/>
    <s v="0.00%"/>
    <s v="0.00%"/>
    <s v="0.00%"/>
    <s v="0.00%"/>
    <m/>
    <m/>
    <m/>
    <m/>
    <m/>
    <m/>
    <m/>
    <m/>
    <m/>
    <m/>
    <m/>
    <m/>
    <m/>
    <m/>
    <m/>
    <m/>
    <m/>
    <s v="Mike Teixeira"/>
    <m/>
    <s v="08/04/2025"/>
    <s v="Mike Teixeira"/>
    <m/>
    <m/>
  </r>
  <r>
    <s v="Oakland/San Francisco/San Jose"/>
    <s v="UCB Gateway"/>
    <n v="210784"/>
    <m/>
    <s v="Higher Education | Laboratory / Research | 005 | 004"/>
    <n v="368"/>
    <s v="Garden of Eden Landscapes, Inc."/>
    <s v="Silvia Teixeria"/>
    <s v="Argent Materials Inc."/>
    <s v="8501 San Leandro St, Oakland, CA 94621"/>
    <m/>
    <s v="05/28/2025"/>
    <x v="30"/>
    <n v="7310371"/>
    <s v="Click Here To View"/>
    <s v="Construction"/>
    <n v="13.19"/>
    <s v="100.00%"/>
    <s v="0.00%"/>
    <s v="100.00%"/>
    <s v="0.00%"/>
    <m/>
    <n v="13.19"/>
    <m/>
    <n v="13.19"/>
    <m/>
    <m/>
    <m/>
    <n v="13.19"/>
    <m/>
    <m/>
    <m/>
    <m/>
    <m/>
    <m/>
    <m/>
    <m/>
    <m/>
    <m/>
    <m/>
    <m/>
    <m/>
    <m/>
    <m/>
    <m/>
    <m/>
    <m/>
    <m/>
    <m/>
    <m/>
    <m/>
    <m/>
    <m/>
    <m/>
    <m/>
    <m/>
    <m/>
    <m/>
    <m/>
    <s v="0.00%"/>
    <s v="0.00%"/>
    <s v="0.00%"/>
    <s v="0.00%"/>
    <m/>
    <m/>
    <m/>
    <m/>
    <m/>
    <m/>
    <m/>
    <s v="0.00%"/>
    <s v="0.00%"/>
    <s v="0.00%"/>
    <s v="0.00%"/>
    <m/>
    <m/>
    <m/>
    <m/>
    <m/>
    <m/>
    <m/>
    <m/>
    <m/>
    <m/>
    <m/>
    <m/>
    <m/>
    <m/>
    <m/>
    <m/>
    <m/>
    <s v="Mike Teixeira"/>
    <m/>
    <s v="08/04/2025"/>
    <s v="Mike Teixeira"/>
    <m/>
    <m/>
  </r>
  <r>
    <s v="Oakland/San Francisco/San Jose"/>
    <s v="UCB Gateway"/>
    <n v="210784"/>
    <m/>
    <s v="Higher Education | Laboratory / Research | 005 | 004"/>
    <n v="368"/>
    <s v="Garden of Eden Landscapes, Inc."/>
    <s v="Silvia Teixeria"/>
    <s v="Argent Materials Inc."/>
    <s v="8501 San Leandro St, Oakland, CA 94621"/>
    <m/>
    <s v="06/02/2025"/>
    <x v="2"/>
    <n v="7311174"/>
    <s v="Click Here To View"/>
    <s v="Construction"/>
    <n v="10.57"/>
    <s v="100.00%"/>
    <s v="0.00%"/>
    <s v="100.00%"/>
    <s v="0.00%"/>
    <m/>
    <n v="10.57"/>
    <m/>
    <n v="10.57"/>
    <m/>
    <m/>
    <m/>
    <n v="10.57"/>
    <m/>
    <m/>
    <m/>
    <m/>
    <m/>
    <m/>
    <m/>
    <m/>
    <m/>
    <m/>
    <m/>
    <m/>
    <m/>
    <m/>
    <m/>
    <m/>
    <m/>
    <m/>
    <m/>
    <m/>
    <m/>
    <m/>
    <m/>
    <m/>
    <m/>
    <m/>
    <m/>
    <m/>
    <m/>
    <m/>
    <s v="0.00%"/>
    <s v="0.00%"/>
    <s v="0.00%"/>
    <s v="0.00%"/>
    <m/>
    <m/>
    <m/>
    <m/>
    <m/>
    <m/>
    <m/>
    <s v="0.00%"/>
    <s v="0.00%"/>
    <s v="0.00%"/>
    <s v="0.00%"/>
    <m/>
    <m/>
    <m/>
    <m/>
    <m/>
    <m/>
    <m/>
    <m/>
    <m/>
    <m/>
    <m/>
    <m/>
    <m/>
    <m/>
    <m/>
    <m/>
    <m/>
    <s v="Mike Teixeira"/>
    <m/>
    <s v="08/04/2025"/>
    <s v="Mike Teixeira"/>
    <m/>
    <m/>
  </r>
  <r>
    <s v="Oakland/San Francisco/San Jose"/>
    <s v="UCB Gateway"/>
    <n v="210784"/>
    <m/>
    <s v="Higher Education | Laboratory / Research | 005 | 004"/>
    <n v="368"/>
    <s v="Garden of Eden Landscapes, Inc."/>
    <s v="Silvia Teixeria"/>
    <s v="Argent Materials Inc."/>
    <s v="8501 San Leandro St, Oakland, CA 94621"/>
    <m/>
    <s v="05/21/2025"/>
    <x v="30"/>
    <n v="7309375"/>
    <s v="Click Here To View"/>
    <s v="Construction"/>
    <n v="11.1"/>
    <s v="100.00%"/>
    <s v="0.00%"/>
    <s v="100.00%"/>
    <s v="0.00%"/>
    <m/>
    <n v="11.1"/>
    <m/>
    <n v="11.1"/>
    <m/>
    <m/>
    <m/>
    <n v="11.1"/>
    <m/>
    <m/>
    <m/>
    <m/>
    <m/>
    <m/>
    <m/>
    <m/>
    <m/>
    <m/>
    <m/>
    <m/>
    <m/>
    <m/>
    <m/>
    <m/>
    <m/>
    <m/>
    <m/>
    <m/>
    <m/>
    <m/>
    <m/>
    <m/>
    <m/>
    <m/>
    <m/>
    <m/>
    <m/>
    <m/>
    <s v="0.00%"/>
    <s v="0.00%"/>
    <s v="0.00%"/>
    <s v="0.00%"/>
    <m/>
    <m/>
    <m/>
    <m/>
    <m/>
    <m/>
    <m/>
    <s v="0.00%"/>
    <s v="0.00%"/>
    <s v="0.00%"/>
    <s v="0.00%"/>
    <m/>
    <m/>
    <m/>
    <m/>
    <m/>
    <m/>
    <m/>
    <m/>
    <m/>
    <m/>
    <m/>
    <m/>
    <m/>
    <m/>
    <m/>
    <m/>
    <m/>
    <s v="Mike Teixeira"/>
    <m/>
    <s v="08/04/2025"/>
    <s v="Mike Teixeira"/>
    <m/>
    <m/>
  </r>
  <r>
    <s v="Oakland/San Francisco/San Jose"/>
    <s v="UCB Gateway"/>
    <n v="210784"/>
    <m/>
    <s v="Higher Education | Laboratory / Research | 005 | 004"/>
    <n v="368"/>
    <s v="Garden of Eden Landscapes, Inc."/>
    <s v="Silvia Teixeria"/>
    <s v="Argent Materials Inc."/>
    <s v="8501 San Leandro St, Oakland, CA 94621"/>
    <m/>
    <s v="07/10/2025"/>
    <x v="8"/>
    <n v="7318773"/>
    <s v="Click Here To View"/>
    <s v="Construction"/>
    <n v="12.32"/>
    <s v="100.00%"/>
    <s v="0.00%"/>
    <s v="100.00%"/>
    <s v="0.00%"/>
    <m/>
    <n v="12.32"/>
    <m/>
    <n v="12.32"/>
    <m/>
    <m/>
    <m/>
    <n v="12.32"/>
    <m/>
    <m/>
    <m/>
    <m/>
    <m/>
    <m/>
    <m/>
    <m/>
    <m/>
    <m/>
    <m/>
    <m/>
    <m/>
    <m/>
    <m/>
    <m/>
    <m/>
    <m/>
    <m/>
    <m/>
    <m/>
    <m/>
    <m/>
    <m/>
    <m/>
    <m/>
    <m/>
    <m/>
    <m/>
    <m/>
    <s v="0.00%"/>
    <s v="0.00%"/>
    <s v="0.00%"/>
    <s v="0.00%"/>
    <m/>
    <m/>
    <m/>
    <m/>
    <m/>
    <m/>
    <m/>
    <s v="0.00%"/>
    <s v="0.00%"/>
    <s v="0.00%"/>
    <s v="0.00%"/>
    <m/>
    <m/>
    <m/>
    <m/>
    <m/>
    <m/>
    <m/>
    <m/>
    <m/>
    <m/>
    <m/>
    <m/>
    <m/>
    <m/>
    <m/>
    <m/>
    <m/>
    <s v="Mike Teixeira"/>
    <m/>
    <s v="08/04/2025"/>
    <s v="Mike Teixeira"/>
    <m/>
    <m/>
  </r>
  <r>
    <s v="Oakland/San Francisco/San Jose"/>
    <s v="UCB Gateway"/>
    <n v="210784"/>
    <m/>
    <s v="Higher Education | Laboratory / Research | 005 | 004"/>
    <n v="368"/>
    <s v="Carone and Company Inc "/>
    <s v="Grant Carone"/>
    <s v="Diablo Valley Rock"/>
    <s v="925 Watrebird Way, Martinez, CA 94553"/>
    <m/>
    <s v="09/08/2025"/>
    <x v="31"/>
    <n v="134325"/>
    <s v="Click Here To View"/>
    <s v="Demolition"/>
    <n v="11.91"/>
    <s v="100.00%"/>
    <s v="0.00%"/>
    <s v="100.00%"/>
    <s v="0.00%"/>
    <m/>
    <n v="11.91"/>
    <m/>
    <n v="11.91"/>
    <m/>
    <m/>
    <m/>
    <n v="11.91"/>
    <m/>
    <m/>
    <m/>
    <m/>
    <m/>
    <m/>
    <m/>
    <m/>
    <m/>
    <m/>
    <m/>
    <m/>
    <m/>
    <m/>
    <m/>
    <m/>
    <m/>
    <m/>
    <m/>
    <m/>
    <m/>
    <m/>
    <m/>
    <m/>
    <m/>
    <m/>
    <m/>
    <m/>
    <m/>
    <m/>
    <s v="0.00%"/>
    <s v="0.00%"/>
    <s v="0.00%"/>
    <s v="0.00%"/>
    <m/>
    <m/>
    <m/>
    <m/>
    <m/>
    <m/>
    <m/>
    <s v="0.00%"/>
    <s v="0.00%"/>
    <s v="0.00%"/>
    <s v="0.00%"/>
    <m/>
    <m/>
    <m/>
    <m/>
    <m/>
    <m/>
    <m/>
    <m/>
    <m/>
    <m/>
    <m/>
    <m/>
    <m/>
    <m/>
    <m/>
    <m/>
    <m/>
    <s v="Heather Mello"/>
    <m/>
    <s v="12/18/2025"/>
    <s v="Heather Mello"/>
    <m/>
    <m/>
  </r>
  <r>
    <s v="Oakland/San Francisco/San Jose"/>
    <s v="UCB Gateway"/>
    <n v="210784"/>
    <m/>
    <s v="Higher Education | Laboratory / Research | 005 | 004"/>
    <n v="368"/>
    <s v="Carone and Company Inc "/>
    <s v="Grant Carone"/>
    <s v="Diablo Valley Rock"/>
    <s v="925 Watrebird Way, Martinez, CA 94553"/>
    <m/>
    <s v="09/08/2025"/>
    <x v="31"/>
    <n v="134326"/>
    <s v="Click Here To View"/>
    <s v="Demolition"/>
    <n v="13.31"/>
    <s v="100.00%"/>
    <s v="0.00%"/>
    <s v="100.00%"/>
    <s v="0.00%"/>
    <m/>
    <n v="13.31"/>
    <m/>
    <n v="13.31"/>
    <m/>
    <m/>
    <m/>
    <n v="13.31"/>
    <m/>
    <m/>
    <m/>
    <m/>
    <m/>
    <m/>
    <m/>
    <m/>
    <m/>
    <m/>
    <m/>
    <m/>
    <m/>
    <m/>
    <m/>
    <m/>
    <m/>
    <m/>
    <m/>
    <m/>
    <m/>
    <m/>
    <m/>
    <m/>
    <m/>
    <m/>
    <m/>
    <m/>
    <m/>
    <m/>
    <s v="0.00%"/>
    <s v="0.00%"/>
    <s v="0.00%"/>
    <s v="0.00%"/>
    <m/>
    <m/>
    <m/>
    <m/>
    <m/>
    <m/>
    <m/>
    <s v="0.00%"/>
    <s v="0.00%"/>
    <s v="0.00%"/>
    <s v="0.00%"/>
    <m/>
    <m/>
    <m/>
    <m/>
    <m/>
    <m/>
    <m/>
    <m/>
    <m/>
    <m/>
    <m/>
    <m/>
    <m/>
    <m/>
    <m/>
    <m/>
    <m/>
    <s v="Heather Mello"/>
    <m/>
    <s v="12/18/2025"/>
    <s v="Heather Mello"/>
    <m/>
    <m/>
  </r>
  <r>
    <s v="Oakland/San Francisco/San Jose"/>
    <s v="UCB Gateway"/>
    <n v="210784"/>
    <m/>
    <s v="Higher Education | Laboratory / Research | 005 | 004"/>
    <n v="368"/>
    <s v="Carone and Company Inc "/>
    <s v="Grant Carone"/>
    <s v="Diablo Valley Rock"/>
    <s v="925 Watrebird Way, Martinez, CA 94553"/>
    <m/>
    <s v="09/08/2025"/>
    <x v="31"/>
    <n v="134332"/>
    <s v="Click Here To View"/>
    <s v="Demolition"/>
    <n v="13.95"/>
    <s v="100.00%"/>
    <s v="0.00%"/>
    <s v="100.00%"/>
    <s v="0.00%"/>
    <m/>
    <n v="13.95"/>
    <m/>
    <n v="13.95"/>
    <m/>
    <m/>
    <m/>
    <n v="13.95"/>
    <m/>
    <m/>
    <m/>
    <m/>
    <m/>
    <m/>
    <m/>
    <m/>
    <m/>
    <m/>
    <m/>
    <m/>
    <m/>
    <m/>
    <m/>
    <m/>
    <m/>
    <m/>
    <m/>
    <m/>
    <m/>
    <m/>
    <m/>
    <m/>
    <m/>
    <m/>
    <m/>
    <m/>
    <m/>
    <m/>
    <s v="0.00%"/>
    <s v="0.00%"/>
    <s v="0.00%"/>
    <s v="0.00%"/>
    <m/>
    <m/>
    <m/>
    <m/>
    <m/>
    <m/>
    <m/>
    <s v="0.00%"/>
    <s v="0.00%"/>
    <s v="0.00%"/>
    <s v="0.00%"/>
    <m/>
    <m/>
    <m/>
    <m/>
    <m/>
    <m/>
    <m/>
    <m/>
    <m/>
    <m/>
    <m/>
    <m/>
    <m/>
    <m/>
    <m/>
    <m/>
    <m/>
    <s v="Heather Mello"/>
    <m/>
    <s v="12/18/2025"/>
    <s v="Heather Mello"/>
    <m/>
    <m/>
  </r>
  <r>
    <s v="Oakland/San Francisco/San Jose"/>
    <s v="UCB Gateway"/>
    <n v="210784"/>
    <m/>
    <s v="Higher Education | Laboratory / Research | 005 | 004"/>
    <n v="368"/>
    <s v="Carone and Company Inc "/>
    <s v="Grant Carone"/>
    <s v="Diablo Valley Rock"/>
    <s v="925 Watrebird Way, Martinez, CA 94553"/>
    <m/>
    <s v="09/08/2025"/>
    <x v="31"/>
    <n v="134347"/>
    <s v="Click Here To View"/>
    <s v="Demolition"/>
    <n v="13.86"/>
    <s v="100.00%"/>
    <s v="0.00%"/>
    <s v="100.00%"/>
    <s v="0.00%"/>
    <m/>
    <n v="13.86"/>
    <m/>
    <n v="13.86"/>
    <m/>
    <m/>
    <m/>
    <n v="13.86"/>
    <m/>
    <m/>
    <m/>
    <m/>
    <m/>
    <m/>
    <m/>
    <m/>
    <m/>
    <m/>
    <m/>
    <m/>
    <m/>
    <m/>
    <m/>
    <m/>
    <m/>
    <m/>
    <m/>
    <m/>
    <m/>
    <m/>
    <m/>
    <m/>
    <m/>
    <m/>
    <m/>
    <m/>
    <m/>
    <m/>
    <s v="0.00%"/>
    <s v="0.00%"/>
    <s v="0.00%"/>
    <s v="0.00%"/>
    <m/>
    <m/>
    <m/>
    <m/>
    <m/>
    <m/>
    <m/>
    <s v="0.00%"/>
    <s v="0.00%"/>
    <s v="0.00%"/>
    <s v="0.00%"/>
    <m/>
    <m/>
    <m/>
    <m/>
    <m/>
    <m/>
    <m/>
    <m/>
    <m/>
    <m/>
    <m/>
    <m/>
    <m/>
    <m/>
    <m/>
    <m/>
    <m/>
    <s v="Heather Mello"/>
    <m/>
    <s v="12/18/2025"/>
    <s v="Heather Mello"/>
    <m/>
    <m/>
  </r>
  <r>
    <s v="Oakland/San Francisco/San Jose"/>
    <s v="UCB Gateway"/>
    <n v="210784"/>
    <m/>
    <s v="Higher Education | Laboratory / Research | 005 | 004"/>
    <n v="368"/>
    <s v="Carone and Company Inc "/>
    <s v="Grant Carone"/>
    <s v="Diablo Valley Rock"/>
    <s v="925 Watrebird Way, Martinez, CA 94553"/>
    <m/>
    <s v="09/08/2025"/>
    <x v="31"/>
    <n v="134353"/>
    <s v="Click Here To View"/>
    <s v="Demolition"/>
    <n v="15.44"/>
    <s v="100.00%"/>
    <s v="0.00%"/>
    <s v="100.00%"/>
    <s v="0.00%"/>
    <m/>
    <n v="15.44"/>
    <m/>
    <n v="15.44"/>
    <m/>
    <m/>
    <m/>
    <n v="15.44"/>
    <m/>
    <m/>
    <m/>
    <m/>
    <m/>
    <m/>
    <m/>
    <m/>
    <m/>
    <m/>
    <m/>
    <m/>
    <m/>
    <m/>
    <m/>
    <m/>
    <m/>
    <m/>
    <m/>
    <m/>
    <m/>
    <m/>
    <m/>
    <m/>
    <m/>
    <m/>
    <m/>
    <m/>
    <m/>
    <m/>
    <s v="0.00%"/>
    <s v="0.00%"/>
    <s v="0.00%"/>
    <s v="0.00%"/>
    <m/>
    <m/>
    <m/>
    <m/>
    <m/>
    <m/>
    <m/>
    <s v="0.00%"/>
    <s v="0.00%"/>
    <s v="0.00%"/>
    <s v="0.00%"/>
    <m/>
    <m/>
    <m/>
    <m/>
    <m/>
    <m/>
    <m/>
    <m/>
    <m/>
    <m/>
    <m/>
    <m/>
    <m/>
    <m/>
    <m/>
    <m/>
    <m/>
    <s v="Heather Mello"/>
    <m/>
    <s v="12/18/2025"/>
    <s v="Heather Mello"/>
    <m/>
    <m/>
  </r>
  <r>
    <s v="Oakland/San Francisco/San Jose"/>
    <s v="UCB Gateway"/>
    <n v="210784"/>
    <m/>
    <s v="Higher Education | Laboratory / Research | 005 | 004"/>
    <n v="368"/>
    <s v="Carone and Company Inc "/>
    <s v="Grant Carone"/>
    <s v="Diablo Valley Rock"/>
    <s v="925 Watrebird Way, Martinez, CA 94553"/>
    <m/>
    <s v="09/08/2025"/>
    <x v="31"/>
    <n v="134357"/>
    <s v="Click Here To View"/>
    <s v="Demolition"/>
    <n v="17.28"/>
    <s v="100.00%"/>
    <s v="0.00%"/>
    <s v="100.00%"/>
    <s v="0.00%"/>
    <m/>
    <n v="17.28"/>
    <m/>
    <n v="17.28"/>
    <m/>
    <m/>
    <m/>
    <n v="17.28"/>
    <m/>
    <m/>
    <m/>
    <m/>
    <m/>
    <m/>
    <m/>
    <m/>
    <m/>
    <m/>
    <m/>
    <m/>
    <m/>
    <m/>
    <m/>
    <m/>
    <m/>
    <m/>
    <m/>
    <m/>
    <m/>
    <m/>
    <m/>
    <m/>
    <m/>
    <m/>
    <m/>
    <m/>
    <m/>
    <m/>
    <s v="0.00%"/>
    <s v="0.00%"/>
    <s v="0.00%"/>
    <s v="0.00%"/>
    <m/>
    <m/>
    <m/>
    <m/>
    <m/>
    <m/>
    <m/>
    <s v="0.00%"/>
    <s v="0.00%"/>
    <s v="0.00%"/>
    <s v="0.00%"/>
    <m/>
    <m/>
    <m/>
    <m/>
    <m/>
    <m/>
    <m/>
    <m/>
    <m/>
    <m/>
    <m/>
    <m/>
    <m/>
    <m/>
    <m/>
    <m/>
    <m/>
    <s v="Heather Mello"/>
    <m/>
    <s v="12/18/2025"/>
    <s v="Heather Mello"/>
    <m/>
    <m/>
  </r>
  <r>
    <s v="Oakland/San Francisco/San Jose"/>
    <s v="UCB Gateway"/>
    <n v="210784"/>
    <m/>
    <s v="Higher Education | Laboratory / Research | 005 | 004"/>
    <n v="368"/>
    <s v="Carone and Company Inc "/>
    <s v="Grant Carone"/>
    <s v="Diablo Valley Rock"/>
    <s v="925 Watrebird Way, Martinez, CA 94553"/>
    <m/>
    <s v="10/16/2025"/>
    <x v="1"/>
    <n v="135243"/>
    <s v="Click Here To View"/>
    <s v="Demolition"/>
    <n v="14.22"/>
    <s v="100.00%"/>
    <s v="0.00%"/>
    <s v="100.00%"/>
    <s v="0.00%"/>
    <m/>
    <n v="14.22"/>
    <m/>
    <n v="14.22"/>
    <m/>
    <m/>
    <m/>
    <n v="14.22"/>
    <m/>
    <m/>
    <m/>
    <m/>
    <m/>
    <m/>
    <m/>
    <m/>
    <m/>
    <m/>
    <m/>
    <m/>
    <m/>
    <m/>
    <m/>
    <m/>
    <m/>
    <m/>
    <m/>
    <m/>
    <m/>
    <m/>
    <m/>
    <m/>
    <m/>
    <m/>
    <m/>
    <m/>
    <m/>
    <m/>
    <s v="0.00%"/>
    <s v="0.00%"/>
    <s v="0.00%"/>
    <s v="0.00%"/>
    <m/>
    <m/>
    <m/>
    <m/>
    <m/>
    <m/>
    <m/>
    <s v="0.00%"/>
    <s v="0.00%"/>
    <s v="0.00%"/>
    <s v="0.00%"/>
    <m/>
    <m/>
    <m/>
    <m/>
    <m/>
    <m/>
    <m/>
    <m/>
    <m/>
    <m/>
    <m/>
    <m/>
    <m/>
    <m/>
    <m/>
    <m/>
    <m/>
    <s v="Heather Mello"/>
    <m/>
    <s v="12/18/2025"/>
    <s v="Heather Mello"/>
    <m/>
    <m/>
  </r>
  <r>
    <s v="Oakland/San Francisco/San Jose"/>
    <s v="UCB Gateway"/>
    <n v="210784"/>
    <m/>
    <s v="Higher Education | Laboratory / Research | 005 | 004"/>
    <n v="368"/>
    <s v="Carone and Company Inc "/>
    <s v="Grant Carone"/>
    <s v="Diablo Valley Rock"/>
    <s v="925 Watrebird Way, Martinez, CA 94553"/>
    <m/>
    <s v="10/16/2025"/>
    <x v="1"/>
    <n v="135252"/>
    <s v="Click Here To View"/>
    <s v="Demolition"/>
    <n v="13.87"/>
    <s v="100.00%"/>
    <s v="0.00%"/>
    <s v="100.00%"/>
    <s v="0.00%"/>
    <m/>
    <n v="13.87"/>
    <m/>
    <n v="13.87"/>
    <m/>
    <m/>
    <m/>
    <n v="13.87"/>
    <m/>
    <m/>
    <m/>
    <m/>
    <m/>
    <m/>
    <m/>
    <m/>
    <m/>
    <m/>
    <m/>
    <m/>
    <m/>
    <m/>
    <m/>
    <m/>
    <m/>
    <m/>
    <m/>
    <m/>
    <m/>
    <m/>
    <m/>
    <m/>
    <m/>
    <m/>
    <m/>
    <m/>
    <m/>
    <m/>
    <s v="0.00%"/>
    <s v="0.00%"/>
    <s v="0.00%"/>
    <s v="0.00%"/>
    <m/>
    <m/>
    <m/>
    <m/>
    <m/>
    <m/>
    <m/>
    <s v="0.00%"/>
    <s v="0.00%"/>
    <s v="0.00%"/>
    <s v="0.00%"/>
    <m/>
    <m/>
    <m/>
    <m/>
    <m/>
    <m/>
    <m/>
    <m/>
    <m/>
    <m/>
    <m/>
    <m/>
    <m/>
    <m/>
    <m/>
    <m/>
    <m/>
    <s v="Heather Mello"/>
    <m/>
    <s v="12/18/2025"/>
    <s v="Heather Mello"/>
    <m/>
    <m/>
  </r>
  <r>
    <s v="Oakland/San Francisco/San Jose"/>
    <s v="UCB Gateway"/>
    <n v="210784"/>
    <m/>
    <s v="Higher Education | Laboratory / Research | 005 | 004"/>
    <n v="368"/>
    <s v="Carone and Company Inc "/>
    <s v="Grant Carone"/>
    <s v="Diablo Valley Rock"/>
    <s v="925 Watrebird Way, Martinez, CA 94553"/>
    <m/>
    <s v="10/17/2025"/>
    <x v="1"/>
    <n v="135304"/>
    <s v="Click Here To View"/>
    <s v="Demolition"/>
    <n v="11.4"/>
    <s v="100.00%"/>
    <s v="0.00%"/>
    <s v="100.00%"/>
    <s v="0.00%"/>
    <m/>
    <n v="11.4"/>
    <m/>
    <n v="11.4"/>
    <m/>
    <m/>
    <m/>
    <n v="11.4"/>
    <m/>
    <m/>
    <m/>
    <m/>
    <m/>
    <m/>
    <m/>
    <m/>
    <m/>
    <m/>
    <m/>
    <m/>
    <m/>
    <m/>
    <m/>
    <m/>
    <m/>
    <m/>
    <m/>
    <m/>
    <m/>
    <m/>
    <m/>
    <m/>
    <m/>
    <m/>
    <m/>
    <m/>
    <m/>
    <m/>
    <s v="0.00%"/>
    <s v="0.00%"/>
    <s v="0.00%"/>
    <s v="0.00%"/>
    <m/>
    <m/>
    <m/>
    <m/>
    <m/>
    <m/>
    <m/>
    <s v="0.00%"/>
    <s v="0.00%"/>
    <s v="0.00%"/>
    <s v="0.00%"/>
    <m/>
    <m/>
    <m/>
    <m/>
    <m/>
    <m/>
    <m/>
    <m/>
    <m/>
    <m/>
    <m/>
    <m/>
    <m/>
    <m/>
    <m/>
    <m/>
    <m/>
    <s v="Heather Mello"/>
    <m/>
    <s v="12/18/2025"/>
    <s v="Heather Mello"/>
    <m/>
    <m/>
  </r>
  <r>
    <s v="Oakland/San Francisco/San Jose"/>
    <s v="UCB Gateway"/>
    <n v="210784"/>
    <m/>
    <s v="Higher Education | Laboratory / Research | 005 | 004"/>
    <n v="368"/>
    <s v="Carone and Company Inc "/>
    <s v="Grant Carone"/>
    <s v="Diablo Valley Rock"/>
    <s v="925 Watrebird Way, Martinez, CA 94553"/>
    <m/>
    <s v="10/22/2025"/>
    <x v="1"/>
    <n v="135444"/>
    <s v="Click Here To View"/>
    <s v="Demolition"/>
    <n v="12.22"/>
    <s v="100.00%"/>
    <s v="0.00%"/>
    <s v="100.00%"/>
    <s v="0.00%"/>
    <m/>
    <n v="12.22"/>
    <m/>
    <n v="12.22"/>
    <m/>
    <m/>
    <m/>
    <n v="12.22"/>
    <m/>
    <m/>
    <m/>
    <m/>
    <m/>
    <m/>
    <m/>
    <m/>
    <m/>
    <m/>
    <m/>
    <m/>
    <m/>
    <m/>
    <m/>
    <m/>
    <m/>
    <m/>
    <m/>
    <m/>
    <m/>
    <m/>
    <m/>
    <m/>
    <m/>
    <m/>
    <m/>
    <m/>
    <m/>
    <m/>
    <s v="0.00%"/>
    <s v="0.00%"/>
    <s v="0.00%"/>
    <s v="0.00%"/>
    <m/>
    <m/>
    <m/>
    <m/>
    <m/>
    <m/>
    <m/>
    <s v="0.00%"/>
    <s v="0.00%"/>
    <s v="0.00%"/>
    <s v="0.00%"/>
    <m/>
    <m/>
    <m/>
    <m/>
    <m/>
    <m/>
    <m/>
    <m/>
    <m/>
    <m/>
    <m/>
    <m/>
    <m/>
    <m/>
    <m/>
    <m/>
    <m/>
    <s v="Heather Mello"/>
    <m/>
    <s v="12/18/2025"/>
    <s v="Heather Mello"/>
    <m/>
    <m/>
  </r>
  <r>
    <s v="Oakland/San Francisco/San Jose"/>
    <s v="UCB Gateway"/>
    <n v="210784"/>
    <m/>
    <s v="Higher Education | Laboratory / Research | 005 | 004"/>
    <n v="368"/>
    <s v="Carone and Company Inc "/>
    <s v="Grant Carone"/>
    <s v="Diablo Valley Rock"/>
    <s v="925 Watrebird Way, Martinez, CA 94553"/>
    <m/>
    <s v="10/28/2025"/>
    <x v="1"/>
    <n v="135528"/>
    <s v="Click Here To View"/>
    <s v="Demolition"/>
    <n v="8.4499999999999993"/>
    <s v="100.00%"/>
    <s v="0.00%"/>
    <s v="100.00%"/>
    <s v="0.00%"/>
    <m/>
    <n v="8.4499999999999993"/>
    <m/>
    <n v="8.4499999999999993"/>
    <m/>
    <m/>
    <m/>
    <n v="8.4499999999999993"/>
    <m/>
    <m/>
    <m/>
    <m/>
    <m/>
    <m/>
    <m/>
    <m/>
    <m/>
    <m/>
    <m/>
    <m/>
    <m/>
    <m/>
    <m/>
    <m/>
    <m/>
    <m/>
    <m/>
    <m/>
    <m/>
    <m/>
    <m/>
    <m/>
    <m/>
    <m/>
    <m/>
    <m/>
    <m/>
    <m/>
    <s v="0.00%"/>
    <s v="0.00%"/>
    <s v="0.00%"/>
    <s v="0.00%"/>
    <m/>
    <m/>
    <m/>
    <m/>
    <m/>
    <m/>
    <m/>
    <s v="0.00%"/>
    <s v="0.00%"/>
    <s v="0.00%"/>
    <s v="0.00%"/>
    <m/>
    <m/>
    <m/>
    <m/>
    <m/>
    <m/>
    <m/>
    <m/>
    <m/>
    <m/>
    <m/>
    <m/>
    <m/>
    <m/>
    <m/>
    <m/>
    <m/>
    <s v="Heather Mello"/>
    <m/>
    <s v="12/18/2025"/>
    <s v="Heather Mello"/>
    <m/>
    <m/>
  </r>
  <r>
    <s v="Oakland/San Francisco/San Jose"/>
    <s v="UCB Gateway"/>
    <n v="210784"/>
    <m/>
    <s v="Higher Education | Laboratory / Research | 005 | 004"/>
    <n v="368"/>
    <s v="Carone and Company Inc "/>
    <s v="Grant Carone"/>
    <s v="Diablo Valley Rock"/>
    <s v="925 Watrebird Way, Martinez, CA 94553"/>
    <m/>
    <s v="12/11/2025"/>
    <x v="32"/>
    <n v="136416"/>
    <s v="Click Here To View"/>
    <s v="Demolition"/>
    <n v="10.220000000000001"/>
    <s v="100.00%"/>
    <s v="0.00%"/>
    <s v="100.00%"/>
    <s v="0.00%"/>
    <m/>
    <n v="10.220000000000001"/>
    <m/>
    <n v="10.220000000000001"/>
    <m/>
    <m/>
    <m/>
    <n v="10.220000000000001"/>
    <m/>
    <m/>
    <m/>
    <m/>
    <m/>
    <m/>
    <m/>
    <m/>
    <m/>
    <m/>
    <m/>
    <m/>
    <m/>
    <m/>
    <m/>
    <m/>
    <m/>
    <m/>
    <m/>
    <m/>
    <m/>
    <m/>
    <m/>
    <m/>
    <m/>
    <m/>
    <m/>
    <m/>
    <m/>
    <m/>
    <s v="0.00%"/>
    <s v="0.00%"/>
    <s v="0.00%"/>
    <s v="0.00%"/>
    <m/>
    <m/>
    <m/>
    <m/>
    <m/>
    <m/>
    <m/>
    <s v="0.00%"/>
    <s v="0.00%"/>
    <s v="0.00%"/>
    <s v="0.00%"/>
    <m/>
    <m/>
    <m/>
    <m/>
    <m/>
    <m/>
    <m/>
    <m/>
    <m/>
    <m/>
    <m/>
    <m/>
    <m/>
    <m/>
    <m/>
    <m/>
    <m/>
    <s v="Heather Mello"/>
    <m/>
    <s v="12/18/2025"/>
    <s v="Heather Mello"/>
    <m/>
    <m/>
  </r>
  <r>
    <s v="Oakland/San Francisco/San Jose"/>
    <s v="UCB Gateway"/>
    <n v="210784"/>
    <m/>
    <s v="Higher Education | Laboratory / Research | 005 | 004"/>
    <n v="368"/>
    <s v="Carone and Company Inc "/>
    <s v="Grant Carone"/>
    <s v="Diablo Valley Rock"/>
    <s v="925 Watrebird Way, Martinez, CA 94553"/>
    <m/>
    <s v="08/20/2025"/>
    <x v="33"/>
    <n v="134024"/>
    <s v="Click Here To View"/>
    <s v="Demolition"/>
    <n v="10.74"/>
    <s v="100.00%"/>
    <s v="0.00%"/>
    <s v="100.00%"/>
    <s v="0.00%"/>
    <m/>
    <n v="10.74"/>
    <m/>
    <n v="10.74"/>
    <m/>
    <m/>
    <m/>
    <n v="10.74"/>
    <m/>
    <m/>
    <m/>
    <m/>
    <m/>
    <m/>
    <m/>
    <m/>
    <m/>
    <m/>
    <m/>
    <m/>
    <m/>
    <m/>
    <m/>
    <m/>
    <m/>
    <m/>
    <m/>
    <m/>
    <m/>
    <m/>
    <m/>
    <m/>
    <m/>
    <m/>
    <m/>
    <m/>
    <m/>
    <m/>
    <s v="0.00%"/>
    <s v="0.00%"/>
    <s v="0.00%"/>
    <s v="0.00%"/>
    <m/>
    <m/>
    <m/>
    <m/>
    <m/>
    <m/>
    <m/>
    <s v="0.00%"/>
    <s v="0.00%"/>
    <s v="0.00%"/>
    <s v="0.00%"/>
    <m/>
    <m/>
    <m/>
    <m/>
    <m/>
    <m/>
    <m/>
    <m/>
    <m/>
    <m/>
    <m/>
    <m/>
    <m/>
    <m/>
    <m/>
    <m/>
    <m/>
    <s v="Heather Mello"/>
    <m/>
    <s v="12/18/2025"/>
    <s v="Heather Mello"/>
    <m/>
    <m/>
  </r>
  <r>
    <s v="Oakland/San Francisco/San Jose"/>
    <s v="UCB Gateway"/>
    <n v="210784"/>
    <m/>
    <s v="Higher Education | Laboratory / Research | 005 | 004"/>
    <n v="368"/>
    <s v="Carone and Company Inc "/>
    <s v="Grant Carone"/>
    <s v="Diablo Valley Rock"/>
    <s v="925 Watrebird Way, Martinez, CA 94553"/>
    <m/>
    <s v="08/22/2025"/>
    <x v="33"/>
    <n v="134066"/>
    <s v="Click Here To View"/>
    <s v="Demolition"/>
    <n v="11.28"/>
    <s v="100.00%"/>
    <s v="0.00%"/>
    <s v="100.00%"/>
    <s v="0.00%"/>
    <m/>
    <n v="11.28"/>
    <m/>
    <n v="11.28"/>
    <m/>
    <m/>
    <m/>
    <n v="11.28"/>
    <m/>
    <m/>
    <m/>
    <m/>
    <m/>
    <m/>
    <m/>
    <m/>
    <m/>
    <m/>
    <m/>
    <m/>
    <m/>
    <m/>
    <m/>
    <m/>
    <m/>
    <m/>
    <m/>
    <m/>
    <m/>
    <m/>
    <m/>
    <m/>
    <m/>
    <m/>
    <m/>
    <m/>
    <m/>
    <m/>
    <s v="0.00%"/>
    <s v="0.00%"/>
    <s v="0.00%"/>
    <s v="0.00%"/>
    <m/>
    <m/>
    <m/>
    <m/>
    <m/>
    <m/>
    <m/>
    <s v="0.00%"/>
    <s v="0.00%"/>
    <s v="0.00%"/>
    <s v="0.00%"/>
    <m/>
    <m/>
    <m/>
    <m/>
    <m/>
    <m/>
    <m/>
    <m/>
    <m/>
    <m/>
    <m/>
    <m/>
    <m/>
    <m/>
    <m/>
    <m/>
    <m/>
    <s v="Heather Mello"/>
    <m/>
    <s v="12/18/2025"/>
    <s v="Heather Mello"/>
    <m/>
    <m/>
  </r>
  <r>
    <s v="Oakland/San Francisco/San Jose"/>
    <s v="UCB Gateway"/>
    <n v="210784"/>
    <m/>
    <s v="Higher Education | Laboratory / Research | 005 | 004"/>
    <n v="368"/>
    <s v="Carone and Company Inc "/>
    <s v="Grant Carone"/>
    <s v="Diablo Valley Rock"/>
    <s v="925 Watrebird Way, Martinez, CA 94553"/>
    <m/>
    <s v="08/22/2025"/>
    <x v="33"/>
    <n v="134067"/>
    <s v="Click Here To View"/>
    <s v="Demolition"/>
    <n v="12.6"/>
    <s v="100.00%"/>
    <s v="0.00%"/>
    <s v="100.00%"/>
    <s v="0.00%"/>
    <m/>
    <n v="12.6"/>
    <m/>
    <n v="12.6"/>
    <m/>
    <m/>
    <m/>
    <n v="12.6"/>
    <m/>
    <m/>
    <m/>
    <m/>
    <m/>
    <m/>
    <m/>
    <m/>
    <m/>
    <m/>
    <m/>
    <m/>
    <m/>
    <m/>
    <m/>
    <m/>
    <m/>
    <m/>
    <m/>
    <m/>
    <m/>
    <m/>
    <m/>
    <m/>
    <m/>
    <m/>
    <m/>
    <m/>
    <m/>
    <m/>
    <s v="0.00%"/>
    <s v="0.00%"/>
    <s v="0.00%"/>
    <s v="0.00%"/>
    <m/>
    <m/>
    <m/>
    <m/>
    <m/>
    <m/>
    <m/>
    <s v="0.00%"/>
    <s v="0.00%"/>
    <s v="0.00%"/>
    <s v="0.00%"/>
    <m/>
    <m/>
    <m/>
    <m/>
    <m/>
    <m/>
    <m/>
    <m/>
    <m/>
    <m/>
    <m/>
    <m/>
    <m/>
    <m/>
    <m/>
    <m/>
    <m/>
    <s v="Heather Mello"/>
    <m/>
    <s v="12/18/2025"/>
    <s v="Heather Mello"/>
    <m/>
    <m/>
  </r>
  <r>
    <s v="Oakland/San Francisco/San Jose"/>
    <s v="UCB Gateway"/>
    <n v="210784"/>
    <m/>
    <s v="Higher Education | Laboratory / Research | 005 | 004"/>
    <n v="368"/>
    <s v="Carone and Company Inc "/>
    <s v="Grant Carone"/>
    <s v="Diablo Valley Rock"/>
    <s v="925 Watrebird Way, Martinez, CA 94553"/>
    <m/>
    <s v="08/22/2025"/>
    <x v="33"/>
    <n v="134080"/>
    <s v="Click Here To View"/>
    <s v="Demolition"/>
    <n v="13.04"/>
    <s v="100.00%"/>
    <s v="0.00%"/>
    <s v="100.00%"/>
    <s v="0.00%"/>
    <m/>
    <n v="13.04"/>
    <m/>
    <n v="13.04"/>
    <m/>
    <m/>
    <m/>
    <n v="13.04"/>
    <m/>
    <m/>
    <m/>
    <m/>
    <m/>
    <m/>
    <m/>
    <m/>
    <m/>
    <m/>
    <m/>
    <m/>
    <m/>
    <m/>
    <m/>
    <m/>
    <m/>
    <m/>
    <m/>
    <m/>
    <m/>
    <m/>
    <m/>
    <m/>
    <m/>
    <m/>
    <m/>
    <m/>
    <m/>
    <m/>
    <s v="0.00%"/>
    <s v="0.00%"/>
    <s v="0.00%"/>
    <s v="0.00%"/>
    <m/>
    <m/>
    <m/>
    <m/>
    <m/>
    <m/>
    <m/>
    <s v="0.00%"/>
    <s v="0.00%"/>
    <s v="0.00%"/>
    <s v="0.00%"/>
    <m/>
    <m/>
    <m/>
    <m/>
    <m/>
    <m/>
    <m/>
    <m/>
    <m/>
    <m/>
    <m/>
    <m/>
    <m/>
    <m/>
    <m/>
    <m/>
    <m/>
    <s v="Heather Mello"/>
    <m/>
    <s v="12/18/2025"/>
    <s v="Heather Mello"/>
    <m/>
    <m/>
  </r>
  <r>
    <s v="Oakland/San Francisco/San Jose"/>
    <s v="UCB Gateway"/>
    <n v="210784"/>
    <m/>
    <s v="Higher Education | Laboratory / Research | 005 | 004"/>
    <n v="368"/>
    <s v="Carone and Company Inc "/>
    <s v="Grant Carone"/>
    <s v="Diablo Valley Rock"/>
    <s v="925 Watrebird Way, Martinez, CA 94553"/>
    <m/>
    <s v="01/09/2026"/>
    <x v="3"/>
    <n v="136664"/>
    <s v="Click Here To View"/>
    <s v="Demolition"/>
    <n v="17.98"/>
    <s v="100.00%"/>
    <s v="0.00%"/>
    <s v="100.00%"/>
    <s v="0.00%"/>
    <m/>
    <n v="17.98"/>
    <m/>
    <n v="17.98"/>
    <m/>
    <m/>
    <m/>
    <n v="17.98"/>
    <m/>
    <m/>
    <m/>
    <m/>
    <m/>
    <m/>
    <m/>
    <m/>
    <m/>
    <m/>
    <m/>
    <m/>
    <m/>
    <m/>
    <m/>
    <m/>
    <m/>
    <m/>
    <m/>
    <m/>
    <m/>
    <m/>
    <m/>
    <m/>
    <m/>
    <m/>
    <m/>
    <m/>
    <m/>
    <m/>
    <s v="0.00%"/>
    <s v="0.00%"/>
    <s v="0.00%"/>
    <s v="0.00%"/>
    <m/>
    <m/>
    <m/>
    <m/>
    <m/>
    <m/>
    <m/>
    <s v="0.00%"/>
    <s v="0.00%"/>
    <s v="0.00%"/>
    <s v="0.00%"/>
    <m/>
    <m/>
    <m/>
    <m/>
    <m/>
    <m/>
    <m/>
    <m/>
    <m/>
    <m/>
    <m/>
    <m/>
    <m/>
    <m/>
    <m/>
    <m/>
    <m/>
    <s v="Grant Carone"/>
    <m/>
    <s v="01/16/2026"/>
    <s v="Grant Carone"/>
    <m/>
    <m/>
  </r>
  <r>
    <s v="Oakland/San Francisco/San Jose"/>
    <s v="UCB Gateway"/>
    <n v="210784"/>
    <m/>
    <s v="Higher Education | Laboratory / Research | 005 | 004"/>
    <n v="368"/>
    <s v="Carone and Company Inc "/>
    <s v="Grant Carone"/>
    <s v="Diablo Valley Rock"/>
    <s v="925 Watrebird Way, Martinez, CA 94553"/>
    <m/>
    <s v="01/19/2026"/>
    <x v="3"/>
    <n v="136805"/>
    <s v="Click Here To View"/>
    <s v="Demolition"/>
    <n v="13.51"/>
    <s v="100.00%"/>
    <s v="0.00%"/>
    <s v="100.00%"/>
    <s v="0.00%"/>
    <m/>
    <n v="13.51"/>
    <m/>
    <n v="13.51"/>
    <m/>
    <m/>
    <m/>
    <n v="13.51"/>
    <m/>
    <m/>
    <m/>
    <m/>
    <m/>
    <m/>
    <m/>
    <m/>
    <m/>
    <m/>
    <m/>
    <m/>
    <m/>
    <m/>
    <m/>
    <m/>
    <m/>
    <m/>
    <m/>
    <m/>
    <m/>
    <m/>
    <m/>
    <m/>
    <m/>
    <m/>
    <m/>
    <m/>
    <m/>
    <m/>
    <s v="0.00%"/>
    <s v="0.00%"/>
    <s v="0.00%"/>
    <s v="0.00%"/>
    <m/>
    <m/>
    <m/>
    <m/>
    <m/>
    <m/>
    <m/>
    <s v="0.00%"/>
    <s v="0.00%"/>
    <s v="0.00%"/>
    <s v="0.00%"/>
    <m/>
    <m/>
    <m/>
    <m/>
    <m/>
    <m/>
    <m/>
    <m/>
    <m/>
    <m/>
    <m/>
    <m/>
    <m/>
    <m/>
    <m/>
    <m/>
    <m/>
    <s v="Heather Mello"/>
    <m/>
    <s v="02/27/2026"/>
    <s v="Heather Mello"/>
    <m/>
    <m/>
  </r>
  <r>
    <s v="Oakland/San Francisco/San Jose"/>
    <s v="UCB Gateway"/>
    <n v="210784"/>
    <m/>
    <s v="Higher Education | Laboratory / Research | 005 | 004"/>
    <n v="368"/>
    <s v="Carone and Company Inc "/>
    <s v="Grant Carone"/>
    <s v="Diablo Valley Rock"/>
    <s v="925 Watrebird Way, Martinez, CA 94553"/>
    <m/>
    <s v="01/27/2026"/>
    <x v="3"/>
    <n v="136945"/>
    <s v="Click Here To View"/>
    <s v="Demolition"/>
    <n v="7.72"/>
    <s v="100.00%"/>
    <s v="0.00%"/>
    <s v="100.00%"/>
    <s v="0.00%"/>
    <m/>
    <n v="7.72"/>
    <m/>
    <n v="7.72"/>
    <m/>
    <m/>
    <m/>
    <n v="7.72"/>
    <m/>
    <m/>
    <m/>
    <m/>
    <m/>
    <m/>
    <m/>
    <m/>
    <m/>
    <m/>
    <m/>
    <m/>
    <m/>
    <m/>
    <m/>
    <m/>
    <m/>
    <m/>
    <m/>
    <m/>
    <m/>
    <m/>
    <m/>
    <m/>
    <m/>
    <m/>
    <m/>
    <m/>
    <m/>
    <m/>
    <s v="0.00%"/>
    <s v="0.00%"/>
    <s v="0.00%"/>
    <s v="0.00%"/>
    <m/>
    <m/>
    <m/>
    <m/>
    <m/>
    <m/>
    <m/>
    <s v="0.00%"/>
    <s v="0.00%"/>
    <s v="0.00%"/>
    <s v="0.00%"/>
    <m/>
    <m/>
    <m/>
    <m/>
    <m/>
    <m/>
    <m/>
    <m/>
    <m/>
    <m/>
    <m/>
    <m/>
    <m/>
    <m/>
    <m/>
    <m/>
    <m/>
    <s v="Heather Mello"/>
    <m/>
    <s v="02/27/2026"/>
    <s v="Heather Mello"/>
    <m/>
    <m/>
  </r>
  <r>
    <s v="Oakland/San Francisco/San Jose"/>
    <s v="UCB Gateway"/>
    <n v="210784"/>
    <m/>
    <s v="Higher Education | Laboratory / Research | 005 | 004"/>
    <n v="368"/>
    <s v="Garden of Eden Landscapes, Inc."/>
    <s v="Silvia Teixeria"/>
    <s v="Nor-Cal"/>
    <s v="477 Roland Way, Oakland, CA, Oakland, CA 94621"/>
    <m/>
    <s v="02/20/2026"/>
    <x v="4"/>
    <n v="118750"/>
    <s v="Click Here To View"/>
    <s v="Construction"/>
    <n v="8"/>
    <s v="100.00%"/>
    <s v="0.00%"/>
    <s v="100.00%"/>
    <s v="0.00%"/>
    <m/>
    <n v="8"/>
    <m/>
    <n v="8"/>
    <m/>
    <m/>
    <m/>
    <n v="8"/>
    <m/>
    <m/>
    <m/>
    <m/>
    <m/>
    <m/>
    <m/>
    <m/>
    <m/>
    <m/>
    <m/>
    <m/>
    <m/>
    <m/>
    <m/>
    <m/>
    <m/>
    <m/>
    <m/>
    <m/>
    <m/>
    <m/>
    <m/>
    <m/>
    <m/>
    <m/>
    <m/>
    <m/>
    <m/>
    <m/>
    <s v="0.00%"/>
    <s v="0.00%"/>
    <s v="0.00%"/>
    <s v="0.00%"/>
    <m/>
    <m/>
    <m/>
    <m/>
    <m/>
    <m/>
    <m/>
    <s v="0.00%"/>
    <s v="0.00%"/>
    <s v="0.00%"/>
    <s v="0.00%"/>
    <m/>
    <m/>
    <m/>
    <m/>
    <m/>
    <m/>
    <m/>
    <m/>
    <m/>
    <m/>
    <m/>
    <m/>
    <m/>
    <m/>
    <m/>
    <m/>
    <m/>
    <s v="Mike Teixeira"/>
    <m/>
    <s v="03/04/2026"/>
    <s v="Mike Teixeira"/>
    <m/>
    <m/>
  </r>
  <r>
    <s v="Oakland/San Francisco/San Jose"/>
    <s v="UCB Gateway"/>
    <n v="210784"/>
    <m/>
    <s v="Higher Education | Laboratory / Research | 005 | 004"/>
    <n v="368"/>
    <s v="Garden of Eden Landscapes, Inc."/>
    <s v="Silvia Teixeria"/>
    <s v="Zanker Site 1"/>
    <s v="705 Los Esteros Road, San Jose, CA 95134"/>
    <m/>
    <s v="03/02/2026"/>
    <x v="34"/>
    <n v="10957608"/>
    <s v="Click Here To View"/>
    <s v="Construction"/>
    <n v="4.95"/>
    <s v="100.00%"/>
    <s v="0.00%"/>
    <s v="100.00%"/>
    <s v="0.00%"/>
    <m/>
    <n v="4.95"/>
    <m/>
    <n v="4.95"/>
    <m/>
    <m/>
    <m/>
    <n v="4.95"/>
    <m/>
    <m/>
    <m/>
    <m/>
    <m/>
    <m/>
    <m/>
    <m/>
    <m/>
    <m/>
    <m/>
    <m/>
    <m/>
    <m/>
    <m/>
    <m/>
    <m/>
    <m/>
    <m/>
    <m/>
    <m/>
    <m/>
    <m/>
    <m/>
    <m/>
    <m/>
    <m/>
    <m/>
    <m/>
    <m/>
    <s v="0.00%"/>
    <s v="0.00%"/>
    <s v="0.00%"/>
    <s v="0.00%"/>
    <m/>
    <m/>
    <m/>
    <m/>
    <m/>
    <m/>
    <m/>
    <s v="0.00%"/>
    <s v="0.00%"/>
    <s v="0.00%"/>
    <s v="0.00%"/>
    <m/>
    <m/>
    <m/>
    <m/>
    <m/>
    <m/>
    <m/>
    <m/>
    <m/>
    <m/>
    <m/>
    <m/>
    <m/>
    <m/>
    <m/>
    <m/>
    <m/>
    <s v="Mike Teixeira"/>
    <m/>
    <s v="04/01/2026"/>
    <s v="Mike Teixeira"/>
    <m/>
    <m/>
  </r>
  <r>
    <s v="Oakland/San Francisco/San Jose"/>
    <s v="UCB Gateway"/>
    <n v="210784"/>
    <m/>
    <s v="Higher Education | Laboratory / Research | 005 | 004"/>
    <n v="368"/>
    <s v="Garden of Eden Landscapes, Inc."/>
    <s v="Silvia Teixeria"/>
    <s v="SFR Recovery Inc."/>
    <s v="2401 Ingalls St., San Francisco, CA 94124, San Francisco, CA 94124"/>
    <m/>
    <s v="03/11/2026"/>
    <x v="34"/>
    <n v="132520"/>
    <s v="Click Here To View"/>
    <s v="Construction"/>
    <n v="6.97"/>
    <s v="100.00%"/>
    <s v="0.00%"/>
    <s v="100.00%"/>
    <s v="0.00%"/>
    <m/>
    <n v="6.97"/>
    <m/>
    <n v="6.97"/>
    <m/>
    <m/>
    <m/>
    <n v="6.97"/>
    <m/>
    <m/>
    <m/>
    <m/>
    <m/>
    <m/>
    <m/>
    <m/>
    <m/>
    <m/>
    <m/>
    <m/>
    <m/>
    <m/>
    <m/>
    <m/>
    <m/>
    <m/>
    <m/>
    <m/>
    <m/>
    <m/>
    <m/>
    <m/>
    <m/>
    <m/>
    <m/>
    <m/>
    <m/>
    <m/>
    <s v="0.00%"/>
    <s v="0.00%"/>
    <s v="0.00%"/>
    <s v="0.00%"/>
    <m/>
    <m/>
    <m/>
    <m/>
    <m/>
    <m/>
    <m/>
    <s v="0.00%"/>
    <s v="0.00%"/>
    <s v="0.00%"/>
    <s v="0.00%"/>
    <m/>
    <m/>
    <m/>
    <m/>
    <m/>
    <m/>
    <m/>
    <m/>
    <m/>
    <m/>
    <m/>
    <m/>
    <m/>
    <m/>
    <m/>
    <m/>
    <m/>
    <s v="Mike Teixeira"/>
    <m/>
    <s v="04/01/2026"/>
    <s v="Mike Teixeira"/>
    <m/>
    <m/>
  </r>
  <r>
    <s v="Oakland/San Francisco/San Jose"/>
    <s v="UCB Gateway"/>
    <n v="210784"/>
    <m/>
    <s v="Higher Education | Laboratory / Research | 005 | 004"/>
    <n v="368"/>
    <s v="Garden of Eden Landscapes, Inc."/>
    <s v="Silvia Teixeria"/>
    <s v="Nor-Cal"/>
    <s v="477 Roland Way, Oakland, CA, Oakland, CA 94621"/>
    <m/>
    <s v="03/26/2026"/>
    <x v="34"/>
    <n v="124621"/>
    <s v="Click Here To View"/>
    <s v="Construction"/>
    <n v="8"/>
    <s v="100.00%"/>
    <s v="0.00%"/>
    <s v="100.00%"/>
    <s v="0.00%"/>
    <m/>
    <n v="8"/>
    <m/>
    <n v="8"/>
    <m/>
    <m/>
    <m/>
    <n v="8"/>
    <m/>
    <m/>
    <m/>
    <m/>
    <m/>
    <m/>
    <m/>
    <m/>
    <m/>
    <m/>
    <m/>
    <m/>
    <m/>
    <m/>
    <m/>
    <m/>
    <m/>
    <m/>
    <m/>
    <m/>
    <m/>
    <m/>
    <m/>
    <m/>
    <m/>
    <m/>
    <m/>
    <m/>
    <m/>
    <m/>
    <s v="0.00%"/>
    <s v="0.00%"/>
    <s v="0.00%"/>
    <s v="0.00%"/>
    <m/>
    <m/>
    <m/>
    <m/>
    <m/>
    <m/>
    <m/>
    <s v="0.00%"/>
    <s v="0.00%"/>
    <s v="0.00%"/>
    <s v="0.00%"/>
    <m/>
    <m/>
    <m/>
    <m/>
    <m/>
    <m/>
    <m/>
    <m/>
    <m/>
    <m/>
    <m/>
    <m/>
    <m/>
    <m/>
    <m/>
    <m/>
    <m/>
    <s v="Mike Teixeira"/>
    <m/>
    <s v="05/04/2026"/>
    <s v="Mike Teixeira"/>
    <m/>
    <m/>
  </r>
  <r>
    <s v="Oakland/San Francisco/San Jose"/>
    <s v="UCB Gateway"/>
    <n v="210784"/>
    <m/>
    <s v="Higher Education | Laboratory / Research | 005 | 004"/>
    <n v="368"/>
    <s v="Silverado Contractors"/>
    <s v="Samantha  Chen"/>
    <s v="Benecia Dirt Site"/>
    <s v="1 Lake Herman Road, Benicia, CA 94510"/>
    <m/>
    <s v="10/17/2023"/>
    <x v="16"/>
    <s v="N/A"/>
    <s v="Click Here To View"/>
    <s v="Demolition"/>
    <n v="40575.9"/>
    <s v="0.00%"/>
    <s v="0.00%"/>
    <s v="0.00%"/>
    <s v="0.00%"/>
    <m/>
    <m/>
    <m/>
    <m/>
    <m/>
    <m/>
    <m/>
    <m/>
    <m/>
    <m/>
    <m/>
    <m/>
    <m/>
    <m/>
    <m/>
    <m/>
    <m/>
    <m/>
    <m/>
    <m/>
    <m/>
    <m/>
    <m/>
    <m/>
    <m/>
    <m/>
    <m/>
    <m/>
    <m/>
    <m/>
    <m/>
    <m/>
    <m/>
    <m/>
    <m/>
    <m/>
    <m/>
    <m/>
    <s v="100.00%"/>
    <s v="0.00%"/>
    <s v="100.00%"/>
    <s v="0.00%"/>
    <m/>
    <n v="40575.9"/>
    <m/>
    <n v="40575.9"/>
    <n v="40575.9"/>
    <m/>
    <m/>
    <s v="0.00%"/>
    <s v="0.00%"/>
    <s v="0.00%"/>
    <s v="0.00%"/>
    <m/>
    <m/>
    <m/>
    <m/>
    <m/>
    <m/>
    <m/>
    <m/>
    <m/>
    <m/>
    <m/>
    <m/>
    <m/>
    <m/>
    <m/>
    <m/>
    <m/>
    <s v="Katherine Ibarra"/>
    <m/>
    <s v="10/18/2023"/>
    <s v="Katherine Ibarra"/>
    <m/>
    <m/>
  </r>
  <r>
    <s v="Oakland/San Francisco/San Jose"/>
    <s v="UCB Gateway"/>
    <n v="210784"/>
    <m/>
    <s v="Higher Education | Laboratory / Research | 005 | 004"/>
    <n v="368"/>
    <s v="Silverado Contractors"/>
    <s v="Samantha  Chen"/>
    <s v="Tandems Inc."/>
    <s v="4001 W Winton Ave, Hayward, Hayward, CA 94545"/>
    <m/>
    <s v="10/17/2023"/>
    <x v="16"/>
    <s v="N/A"/>
    <s v="Click Here To View"/>
    <s v="Demolition"/>
    <n v="12015.6"/>
    <s v="0.00%"/>
    <s v="0.00%"/>
    <s v="0.00%"/>
    <s v="0.00%"/>
    <m/>
    <m/>
    <m/>
    <m/>
    <m/>
    <m/>
    <m/>
    <m/>
    <m/>
    <m/>
    <m/>
    <m/>
    <m/>
    <m/>
    <m/>
    <m/>
    <m/>
    <m/>
    <m/>
    <m/>
    <m/>
    <m/>
    <m/>
    <m/>
    <m/>
    <m/>
    <m/>
    <m/>
    <m/>
    <m/>
    <m/>
    <m/>
    <m/>
    <m/>
    <m/>
    <m/>
    <m/>
    <m/>
    <s v="100.00%"/>
    <s v="0.00%"/>
    <s v="100.00%"/>
    <s v="0.00%"/>
    <m/>
    <n v="12015.6"/>
    <m/>
    <n v="12015.6"/>
    <n v="12015.6"/>
    <m/>
    <m/>
    <s v="0.00%"/>
    <s v="0.00%"/>
    <s v="0.00%"/>
    <s v="0.00%"/>
    <m/>
    <m/>
    <m/>
    <m/>
    <m/>
    <m/>
    <m/>
    <m/>
    <m/>
    <m/>
    <m/>
    <m/>
    <m/>
    <m/>
    <m/>
    <m/>
    <m/>
    <s v="Katherine Ibarra"/>
    <m/>
    <s v="10/18/2023"/>
    <s v="Katherine Ibarra"/>
    <m/>
    <m/>
  </r>
  <r>
    <s v="Oakland/San Francisco/San Jose"/>
    <s v="UCB Gateway"/>
    <n v="210784"/>
    <m/>
    <s v="Higher Education | Laboratory / Research | 005 | 004"/>
    <n v="368"/>
    <s v="Silverado Contractors"/>
    <s v="Samantha  Chen"/>
    <s v="Tracy Dirt Site"/>
    <s v="29272 Corral Hollow Rd, Tracy, Tracy, CA 95377"/>
    <m/>
    <s v="10/17/2023"/>
    <x v="16"/>
    <s v="N/A"/>
    <s v="Click Here To View"/>
    <s v="Demolition"/>
    <n v="6593.7"/>
    <s v="0.00%"/>
    <s v="0.00%"/>
    <s v="0.00%"/>
    <s v="0.00%"/>
    <m/>
    <m/>
    <m/>
    <m/>
    <m/>
    <m/>
    <m/>
    <m/>
    <m/>
    <m/>
    <m/>
    <m/>
    <m/>
    <m/>
    <m/>
    <m/>
    <m/>
    <m/>
    <m/>
    <m/>
    <m/>
    <m/>
    <m/>
    <m/>
    <m/>
    <m/>
    <m/>
    <m/>
    <m/>
    <m/>
    <m/>
    <m/>
    <m/>
    <m/>
    <m/>
    <m/>
    <m/>
    <m/>
    <s v="100.00%"/>
    <s v="0.00%"/>
    <s v="100.00%"/>
    <s v="0.00%"/>
    <m/>
    <n v="6593.7"/>
    <m/>
    <n v="6593.7"/>
    <n v="6593.7"/>
    <m/>
    <m/>
    <s v="0.00%"/>
    <s v="0.00%"/>
    <s v="0.00%"/>
    <s v="0.00%"/>
    <m/>
    <m/>
    <m/>
    <m/>
    <m/>
    <m/>
    <m/>
    <m/>
    <m/>
    <m/>
    <m/>
    <m/>
    <m/>
    <m/>
    <m/>
    <m/>
    <m/>
    <s v="Katherine Ibarra"/>
    <m/>
    <s v="10/18/2023"/>
    <s v="Katherine Ibarra"/>
    <m/>
    <m/>
  </r>
  <r>
    <s v="Oakland/San Francisco/San Jose"/>
    <s v="UCB Gateway"/>
    <n v="210784"/>
    <m/>
    <s v="Higher Education | Laboratory / Research | 005 | 004"/>
    <n v="368"/>
    <s v="Garden of Eden Landscapes, Inc."/>
    <s v="Silvia Teixeria"/>
    <s v="Waste Management"/>
    <s v="2615 Davis Street, San Leandro, San Leandro, CA 94577"/>
    <m/>
    <s v="09/05/2024"/>
    <x v="23"/>
    <n v="5567799"/>
    <s v="Click Here To View"/>
    <s v="Construction"/>
    <n v="1.29"/>
    <s v="100.00%"/>
    <s v="0.00%"/>
    <s v="100.00%"/>
    <s v="0.00%"/>
    <m/>
    <n v="1.29"/>
    <m/>
    <n v="1.29"/>
    <m/>
    <m/>
    <m/>
    <m/>
    <m/>
    <m/>
    <m/>
    <m/>
    <m/>
    <m/>
    <m/>
    <m/>
    <m/>
    <m/>
    <m/>
    <m/>
    <m/>
    <m/>
    <m/>
    <n v="1.29"/>
    <m/>
    <m/>
    <m/>
    <m/>
    <m/>
    <m/>
    <m/>
    <m/>
    <m/>
    <m/>
    <m/>
    <m/>
    <m/>
    <m/>
    <s v="0.00%"/>
    <s v="0.00%"/>
    <s v="0.00%"/>
    <s v="0.00%"/>
    <m/>
    <m/>
    <m/>
    <m/>
    <m/>
    <m/>
    <m/>
    <s v="0.00%"/>
    <s v="0.00%"/>
    <s v="0.00%"/>
    <s v="0.00%"/>
    <m/>
    <m/>
    <m/>
    <m/>
    <m/>
    <m/>
    <m/>
    <m/>
    <m/>
    <m/>
    <m/>
    <m/>
    <m/>
    <m/>
    <m/>
    <m/>
    <m/>
    <s v="Mike Teixeira"/>
    <m/>
    <s v="09/26/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9/17/2024"/>
    <x v="23"/>
    <n v="5575105"/>
    <s v="Click Here To View"/>
    <s v="Construction"/>
    <n v="3.66"/>
    <s v="100.00%"/>
    <s v="0.00%"/>
    <s v="100.00%"/>
    <s v="0.00%"/>
    <m/>
    <n v="3.66"/>
    <m/>
    <n v="3.66"/>
    <m/>
    <m/>
    <m/>
    <m/>
    <m/>
    <m/>
    <m/>
    <m/>
    <m/>
    <m/>
    <m/>
    <m/>
    <m/>
    <m/>
    <m/>
    <m/>
    <m/>
    <m/>
    <m/>
    <n v="3.66"/>
    <m/>
    <m/>
    <m/>
    <m/>
    <m/>
    <m/>
    <m/>
    <m/>
    <m/>
    <m/>
    <m/>
    <m/>
    <m/>
    <m/>
    <s v="0.00%"/>
    <s v="0.00%"/>
    <s v="0.00%"/>
    <s v="0.00%"/>
    <m/>
    <m/>
    <m/>
    <m/>
    <m/>
    <m/>
    <m/>
    <s v="0.00%"/>
    <s v="0.00%"/>
    <s v="0.00%"/>
    <s v="0.00%"/>
    <m/>
    <m/>
    <m/>
    <m/>
    <m/>
    <m/>
    <m/>
    <m/>
    <m/>
    <m/>
    <m/>
    <m/>
    <m/>
    <m/>
    <m/>
    <m/>
    <m/>
    <s v="Mike Teixeira"/>
    <m/>
    <s v="09/26/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9/19/2024"/>
    <x v="23"/>
    <n v="5576397"/>
    <s v="Click Here To View"/>
    <s v="Construction"/>
    <n v="1.89"/>
    <s v="100.00%"/>
    <s v="0.00%"/>
    <s v="100.00%"/>
    <s v="0.00%"/>
    <m/>
    <n v="1.89"/>
    <m/>
    <n v="1.89"/>
    <m/>
    <m/>
    <m/>
    <m/>
    <m/>
    <m/>
    <m/>
    <m/>
    <m/>
    <m/>
    <m/>
    <m/>
    <m/>
    <m/>
    <m/>
    <m/>
    <m/>
    <m/>
    <m/>
    <n v="1.89"/>
    <m/>
    <m/>
    <m/>
    <m/>
    <m/>
    <m/>
    <m/>
    <m/>
    <m/>
    <m/>
    <m/>
    <m/>
    <m/>
    <m/>
    <s v="0.00%"/>
    <s v="0.00%"/>
    <s v="0.00%"/>
    <s v="0.00%"/>
    <m/>
    <m/>
    <m/>
    <m/>
    <m/>
    <m/>
    <m/>
    <s v="0.00%"/>
    <s v="0.00%"/>
    <s v="0.00%"/>
    <s v="0.00%"/>
    <m/>
    <m/>
    <m/>
    <m/>
    <m/>
    <m/>
    <m/>
    <m/>
    <m/>
    <m/>
    <m/>
    <m/>
    <m/>
    <m/>
    <m/>
    <m/>
    <m/>
    <s v="Mike Teixeira"/>
    <m/>
    <s v="09/26/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9/23/2024"/>
    <x v="23"/>
    <n v="5578405"/>
    <s v="Click Here To View"/>
    <s v="Construction"/>
    <n v="0.48"/>
    <s v="100.00%"/>
    <s v="0.00%"/>
    <s v="100.00%"/>
    <s v="0.00%"/>
    <m/>
    <n v="0.48"/>
    <m/>
    <n v="0.48"/>
    <m/>
    <m/>
    <m/>
    <m/>
    <m/>
    <m/>
    <m/>
    <m/>
    <m/>
    <m/>
    <m/>
    <m/>
    <m/>
    <m/>
    <m/>
    <m/>
    <m/>
    <m/>
    <m/>
    <n v="0.48"/>
    <m/>
    <m/>
    <m/>
    <m/>
    <m/>
    <m/>
    <m/>
    <m/>
    <m/>
    <m/>
    <m/>
    <m/>
    <m/>
    <m/>
    <s v="0.00%"/>
    <s v="0.00%"/>
    <s v="0.00%"/>
    <s v="0.00%"/>
    <m/>
    <m/>
    <m/>
    <m/>
    <m/>
    <m/>
    <m/>
    <s v="0.00%"/>
    <s v="0.00%"/>
    <s v="0.00%"/>
    <s v="0.00%"/>
    <m/>
    <m/>
    <m/>
    <m/>
    <m/>
    <m/>
    <m/>
    <m/>
    <m/>
    <m/>
    <m/>
    <m/>
    <m/>
    <m/>
    <m/>
    <m/>
    <m/>
    <s v="Mike Teixeira"/>
    <m/>
    <s v="09/26/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9/25/2024"/>
    <x v="23"/>
    <n v="5580220"/>
    <s v="Click Here To View"/>
    <s v="Construction"/>
    <n v="3.65"/>
    <s v="100.00%"/>
    <s v="0.00%"/>
    <s v="100.00%"/>
    <s v="0.00%"/>
    <m/>
    <n v="3.65"/>
    <m/>
    <n v="3.65"/>
    <m/>
    <m/>
    <m/>
    <m/>
    <m/>
    <m/>
    <m/>
    <m/>
    <m/>
    <m/>
    <m/>
    <m/>
    <m/>
    <m/>
    <m/>
    <m/>
    <m/>
    <m/>
    <m/>
    <n v="3.65"/>
    <m/>
    <m/>
    <m/>
    <m/>
    <m/>
    <m/>
    <m/>
    <m/>
    <m/>
    <m/>
    <m/>
    <m/>
    <m/>
    <m/>
    <s v="0.00%"/>
    <s v="0.00%"/>
    <s v="0.00%"/>
    <s v="0.00%"/>
    <m/>
    <m/>
    <m/>
    <m/>
    <m/>
    <m/>
    <m/>
    <s v="0.00%"/>
    <s v="0.00%"/>
    <s v="0.00%"/>
    <s v="0.00%"/>
    <m/>
    <m/>
    <m/>
    <m/>
    <m/>
    <m/>
    <m/>
    <m/>
    <m/>
    <m/>
    <m/>
    <m/>
    <m/>
    <m/>
    <m/>
    <m/>
    <m/>
    <s v="Mike Teixeira"/>
    <m/>
    <s v="10/30/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9/27/2024"/>
    <x v="23"/>
    <n v="5582165"/>
    <s v="Click Here To View"/>
    <s v="Construction"/>
    <n v="2.33"/>
    <s v="100.00%"/>
    <s v="0.00%"/>
    <s v="100.00%"/>
    <s v="0.00%"/>
    <m/>
    <n v="2.33"/>
    <m/>
    <n v="2.33"/>
    <m/>
    <m/>
    <m/>
    <m/>
    <m/>
    <m/>
    <m/>
    <m/>
    <m/>
    <m/>
    <m/>
    <m/>
    <m/>
    <m/>
    <m/>
    <m/>
    <m/>
    <m/>
    <m/>
    <n v="2.33"/>
    <m/>
    <m/>
    <m/>
    <m/>
    <m/>
    <m/>
    <m/>
    <m/>
    <m/>
    <m/>
    <m/>
    <m/>
    <m/>
    <m/>
    <s v="0.00%"/>
    <s v="0.00%"/>
    <s v="0.00%"/>
    <s v="0.00%"/>
    <m/>
    <m/>
    <m/>
    <m/>
    <m/>
    <m/>
    <m/>
    <s v="0.00%"/>
    <s v="0.00%"/>
    <s v="0.00%"/>
    <s v="0.00%"/>
    <m/>
    <m/>
    <m/>
    <m/>
    <m/>
    <m/>
    <m/>
    <m/>
    <m/>
    <m/>
    <m/>
    <m/>
    <m/>
    <m/>
    <m/>
    <m/>
    <m/>
    <s v="Mike Teixeira"/>
    <m/>
    <s v="10/30/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9/28/2024"/>
    <x v="23"/>
    <n v="5582233"/>
    <s v="Click Here To View"/>
    <s v="Construction"/>
    <n v="1.07"/>
    <s v="100.00%"/>
    <s v="0.00%"/>
    <s v="100.00%"/>
    <s v="0.00%"/>
    <m/>
    <n v="1.07"/>
    <m/>
    <n v="1.07"/>
    <m/>
    <m/>
    <m/>
    <m/>
    <m/>
    <m/>
    <m/>
    <m/>
    <m/>
    <m/>
    <m/>
    <m/>
    <m/>
    <m/>
    <m/>
    <m/>
    <m/>
    <m/>
    <m/>
    <n v="1.07"/>
    <m/>
    <m/>
    <m/>
    <m/>
    <m/>
    <m/>
    <m/>
    <m/>
    <m/>
    <m/>
    <m/>
    <m/>
    <m/>
    <m/>
    <s v="0.00%"/>
    <s v="0.00%"/>
    <s v="0.00%"/>
    <s v="0.00%"/>
    <m/>
    <m/>
    <m/>
    <m/>
    <m/>
    <m/>
    <m/>
    <s v="0.00%"/>
    <s v="0.00%"/>
    <s v="0.00%"/>
    <s v="0.00%"/>
    <m/>
    <m/>
    <m/>
    <m/>
    <m/>
    <m/>
    <m/>
    <m/>
    <m/>
    <m/>
    <m/>
    <m/>
    <m/>
    <m/>
    <m/>
    <m/>
    <m/>
    <s v="Mike Teixeira"/>
    <m/>
    <s v="10/30/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0/02/2024"/>
    <x v="24"/>
    <n v="5584416"/>
    <s v="Click Here To View"/>
    <s v="Construction"/>
    <n v="1.4"/>
    <s v="100.00%"/>
    <s v="0.00%"/>
    <s v="100.00%"/>
    <s v="0.00%"/>
    <m/>
    <n v="1.4"/>
    <m/>
    <n v="1.4"/>
    <m/>
    <m/>
    <m/>
    <m/>
    <m/>
    <m/>
    <m/>
    <m/>
    <m/>
    <m/>
    <m/>
    <m/>
    <m/>
    <m/>
    <m/>
    <m/>
    <m/>
    <m/>
    <m/>
    <n v="1.4"/>
    <m/>
    <m/>
    <m/>
    <m/>
    <m/>
    <m/>
    <m/>
    <m/>
    <m/>
    <m/>
    <m/>
    <m/>
    <m/>
    <m/>
    <s v="0.00%"/>
    <s v="0.00%"/>
    <s v="0.00%"/>
    <s v="0.00%"/>
    <m/>
    <m/>
    <m/>
    <m/>
    <m/>
    <m/>
    <m/>
    <s v="0.00%"/>
    <s v="0.00%"/>
    <s v="0.00%"/>
    <s v="0.00%"/>
    <m/>
    <m/>
    <m/>
    <m/>
    <m/>
    <m/>
    <m/>
    <m/>
    <m/>
    <m/>
    <m/>
    <m/>
    <m/>
    <m/>
    <m/>
    <m/>
    <m/>
    <s v="Mike Teixeira"/>
    <m/>
    <s v="10/30/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0/03/2024"/>
    <x v="24"/>
    <n v="5585748"/>
    <s v="Click Here To View"/>
    <s v="Construction"/>
    <n v="1.07"/>
    <s v="100.00%"/>
    <s v="0.00%"/>
    <s v="100.00%"/>
    <s v="0.00%"/>
    <m/>
    <n v="1.07"/>
    <m/>
    <n v="1.07"/>
    <m/>
    <m/>
    <m/>
    <m/>
    <m/>
    <m/>
    <m/>
    <m/>
    <m/>
    <m/>
    <m/>
    <m/>
    <m/>
    <m/>
    <m/>
    <m/>
    <m/>
    <m/>
    <m/>
    <n v="1.07"/>
    <m/>
    <m/>
    <m/>
    <m/>
    <m/>
    <m/>
    <m/>
    <m/>
    <m/>
    <m/>
    <m/>
    <m/>
    <m/>
    <m/>
    <s v="0.00%"/>
    <s v="0.00%"/>
    <s v="0.00%"/>
    <s v="0.00%"/>
    <m/>
    <m/>
    <m/>
    <m/>
    <m/>
    <m/>
    <m/>
    <s v="0.00%"/>
    <s v="0.00%"/>
    <s v="0.00%"/>
    <s v="0.00%"/>
    <m/>
    <m/>
    <m/>
    <m/>
    <m/>
    <m/>
    <m/>
    <m/>
    <m/>
    <m/>
    <m/>
    <m/>
    <m/>
    <m/>
    <m/>
    <m/>
    <m/>
    <s v="Mike Teixeira"/>
    <m/>
    <s v="10/30/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0/05/2024"/>
    <x v="24"/>
    <n v="5586913"/>
    <s v="Click Here To View"/>
    <s v="Construction"/>
    <n v="3.79"/>
    <s v="100.00%"/>
    <s v="0.00%"/>
    <s v="100.00%"/>
    <s v="0.00%"/>
    <m/>
    <n v="3.79"/>
    <m/>
    <n v="3.79"/>
    <m/>
    <m/>
    <m/>
    <m/>
    <m/>
    <m/>
    <m/>
    <m/>
    <m/>
    <m/>
    <m/>
    <m/>
    <m/>
    <m/>
    <m/>
    <m/>
    <m/>
    <m/>
    <m/>
    <n v="3.79"/>
    <m/>
    <m/>
    <m/>
    <m/>
    <m/>
    <m/>
    <m/>
    <m/>
    <m/>
    <m/>
    <m/>
    <m/>
    <m/>
    <m/>
    <s v="0.00%"/>
    <s v="0.00%"/>
    <s v="0.00%"/>
    <s v="0.00%"/>
    <m/>
    <m/>
    <m/>
    <m/>
    <m/>
    <m/>
    <m/>
    <s v="0.00%"/>
    <s v="0.00%"/>
    <s v="0.00%"/>
    <s v="0.00%"/>
    <m/>
    <m/>
    <m/>
    <m/>
    <m/>
    <m/>
    <m/>
    <m/>
    <m/>
    <m/>
    <m/>
    <m/>
    <m/>
    <m/>
    <m/>
    <m/>
    <m/>
    <s v="Mike Teixeira"/>
    <m/>
    <s v="10/30/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0/07/2024"/>
    <x v="24"/>
    <n v="5587309"/>
    <s v="Click Here To View"/>
    <s v="Construction"/>
    <n v="1.08"/>
    <s v="100.00%"/>
    <s v="0.00%"/>
    <s v="100.00%"/>
    <s v="0.00%"/>
    <m/>
    <n v="1.08"/>
    <m/>
    <n v="1.08"/>
    <m/>
    <m/>
    <m/>
    <m/>
    <m/>
    <m/>
    <m/>
    <m/>
    <m/>
    <m/>
    <m/>
    <m/>
    <m/>
    <m/>
    <m/>
    <m/>
    <m/>
    <m/>
    <m/>
    <n v="1.08"/>
    <m/>
    <m/>
    <m/>
    <m/>
    <m/>
    <m/>
    <m/>
    <m/>
    <m/>
    <m/>
    <m/>
    <m/>
    <m/>
    <m/>
    <s v="0.00%"/>
    <s v="0.00%"/>
    <s v="0.00%"/>
    <s v="0.00%"/>
    <m/>
    <m/>
    <m/>
    <m/>
    <m/>
    <m/>
    <m/>
    <s v="0.00%"/>
    <s v="0.00%"/>
    <s v="0.00%"/>
    <s v="0.00%"/>
    <m/>
    <m/>
    <m/>
    <m/>
    <m/>
    <m/>
    <m/>
    <m/>
    <m/>
    <m/>
    <m/>
    <m/>
    <m/>
    <m/>
    <m/>
    <m/>
    <m/>
    <s v="Mike Teixeira"/>
    <m/>
    <s v="10/30/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0/09/2024"/>
    <x v="24"/>
    <n v="5589358"/>
    <s v="Click Here To View"/>
    <s v="Construction"/>
    <n v="1.19"/>
    <s v="100.00%"/>
    <s v="0.00%"/>
    <s v="100.00%"/>
    <s v="0.00%"/>
    <m/>
    <n v="1.19"/>
    <m/>
    <n v="1.19"/>
    <m/>
    <m/>
    <m/>
    <m/>
    <m/>
    <m/>
    <m/>
    <m/>
    <m/>
    <m/>
    <m/>
    <m/>
    <m/>
    <m/>
    <m/>
    <m/>
    <m/>
    <m/>
    <m/>
    <n v="1.19"/>
    <m/>
    <m/>
    <m/>
    <m/>
    <m/>
    <m/>
    <m/>
    <m/>
    <m/>
    <m/>
    <m/>
    <m/>
    <m/>
    <m/>
    <s v="0.00%"/>
    <s v="0.00%"/>
    <s v="0.00%"/>
    <s v="0.00%"/>
    <m/>
    <m/>
    <m/>
    <m/>
    <m/>
    <m/>
    <m/>
    <s v="0.00%"/>
    <s v="0.00%"/>
    <s v="0.00%"/>
    <s v="0.00%"/>
    <m/>
    <m/>
    <m/>
    <m/>
    <m/>
    <m/>
    <m/>
    <m/>
    <m/>
    <m/>
    <m/>
    <m/>
    <m/>
    <m/>
    <m/>
    <m/>
    <m/>
    <s v="Mike Teixeira"/>
    <m/>
    <s v="10/30/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0/10/2024"/>
    <x v="24"/>
    <n v="5590031"/>
    <s v="Click Here To View"/>
    <s v="Construction"/>
    <n v="1"/>
    <s v="100.00%"/>
    <s v="0.00%"/>
    <s v="100.00%"/>
    <s v="0.00%"/>
    <m/>
    <n v="1"/>
    <m/>
    <n v="1"/>
    <m/>
    <m/>
    <m/>
    <m/>
    <m/>
    <m/>
    <m/>
    <m/>
    <m/>
    <m/>
    <m/>
    <m/>
    <m/>
    <m/>
    <m/>
    <m/>
    <m/>
    <m/>
    <m/>
    <n v="1"/>
    <m/>
    <m/>
    <m/>
    <m/>
    <m/>
    <m/>
    <m/>
    <m/>
    <m/>
    <m/>
    <m/>
    <m/>
    <m/>
    <m/>
    <s v="0.00%"/>
    <s v="0.00%"/>
    <s v="0.00%"/>
    <s v="0.00%"/>
    <m/>
    <m/>
    <m/>
    <m/>
    <m/>
    <m/>
    <m/>
    <s v="0.00%"/>
    <s v="0.00%"/>
    <s v="0.00%"/>
    <s v="0.00%"/>
    <m/>
    <m/>
    <m/>
    <m/>
    <m/>
    <m/>
    <m/>
    <m/>
    <m/>
    <m/>
    <m/>
    <m/>
    <m/>
    <m/>
    <m/>
    <m/>
    <m/>
    <s v="Mike Teixeira"/>
    <m/>
    <s v="10/30/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0/10/2024"/>
    <x v="24"/>
    <n v="5590272"/>
    <s v="Click Here To View"/>
    <s v="Construction"/>
    <n v="2.72"/>
    <s v="100.00%"/>
    <s v="0.00%"/>
    <s v="100.00%"/>
    <s v="0.00%"/>
    <m/>
    <n v="2.72"/>
    <m/>
    <n v="2.72"/>
    <m/>
    <m/>
    <m/>
    <m/>
    <m/>
    <m/>
    <m/>
    <m/>
    <m/>
    <m/>
    <m/>
    <m/>
    <m/>
    <m/>
    <m/>
    <m/>
    <m/>
    <m/>
    <m/>
    <n v="2.72"/>
    <m/>
    <m/>
    <m/>
    <m/>
    <m/>
    <m/>
    <m/>
    <m/>
    <m/>
    <m/>
    <m/>
    <m/>
    <m/>
    <m/>
    <s v="0.00%"/>
    <s v="0.00%"/>
    <s v="0.00%"/>
    <s v="0.00%"/>
    <m/>
    <m/>
    <m/>
    <m/>
    <m/>
    <m/>
    <m/>
    <s v="0.00%"/>
    <s v="0.00%"/>
    <s v="0.00%"/>
    <s v="0.00%"/>
    <m/>
    <m/>
    <m/>
    <m/>
    <m/>
    <m/>
    <m/>
    <m/>
    <m/>
    <m/>
    <m/>
    <m/>
    <m/>
    <m/>
    <m/>
    <m/>
    <m/>
    <s v="Mike Teixeira"/>
    <m/>
    <s v="10/30/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0/15/2024"/>
    <x v="24"/>
    <n v="5592861"/>
    <s v="Click Here To View"/>
    <s v="Construction"/>
    <n v="1.84"/>
    <s v="100.00%"/>
    <s v="0.00%"/>
    <s v="100.00%"/>
    <s v="0.00%"/>
    <m/>
    <n v="1.84"/>
    <m/>
    <n v="1.84"/>
    <m/>
    <m/>
    <m/>
    <m/>
    <m/>
    <m/>
    <m/>
    <m/>
    <m/>
    <m/>
    <m/>
    <m/>
    <m/>
    <m/>
    <m/>
    <m/>
    <m/>
    <m/>
    <m/>
    <n v="1.84"/>
    <m/>
    <m/>
    <m/>
    <m/>
    <m/>
    <m/>
    <m/>
    <m/>
    <m/>
    <m/>
    <m/>
    <m/>
    <m/>
    <m/>
    <s v="0.00%"/>
    <s v="0.00%"/>
    <s v="0.00%"/>
    <s v="0.00%"/>
    <m/>
    <m/>
    <m/>
    <m/>
    <m/>
    <m/>
    <m/>
    <s v="0.00%"/>
    <s v="0.00%"/>
    <s v="0.00%"/>
    <s v="0.00%"/>
    <m/>
    <m/>
    <m/>
    <m/>
    <m/>
    <m/>
    <m/>
    <m/>
    <m/>
    <m/>
    <m/>
    <m/>
    <m/>
    <m/>
    <m/>
    <m/>
    <m/>
    <s v="Mike Teixeira"/>
    <m/>
    <s v="10/30/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0/16/2024"/>
    <x v="24"/>
    <n v="5593869"/>
    <s v="Click Here To View"/>
    <s v="Construction"/>
    <n v="1.84"/>
    <s v="100.00%"/>
    <s v="0.00%"/>
    <s v="100.00%"/>
    <s v="0.00%"/>
    <m/>
    <n v="1.84"/>
    <m/>
    <n v="1.84"/>
    <m/>
    <m/>
    <m/>
    <m/>
    <m/>
    <m/>
    <m/>
    <m/>
    <m/>
    <m/>
    <m/>
    <m/>
    <m/>
    <m/>
    <m/>
    <m/>
    <m/>
    <m/>
    <m/>
    <n v="1.84"/>
    <m/>
    <m/>
    <m/>
    <m/>
    <m/>
    <m/>
    <m/>
    <m/>
    <m/>
    <m/>
    <m/>
    <m/>
    <m/>
    <m/>
    <s v="0.00%"/>
    <s v="0.00%"/>
    <s v="0.00%"/>
    <s v="0.00%"/>
    <m/>
    <m/>
    <m/>
    <m/>
    <m/>
    <m/>
    <m/>
    <s v="0.00%"/>
    <s v="0.00%"/>
    <s v="0.00%"/>
    <s v="0.00%"/>
    <m/>
    <m/>
    <m/>
    <m/>
    <m/>
    <m/>
    <m/>
    <m/>
    <m/>
    <m/>
    <m/>
    <m/>
    <m/>
    <m/>
    <m/>
    <m/>
    <m/>
    <s v="Mike Teixeira"/>
    <m/>
    <s v="10/30/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0/16/2024"/>
    <x v="24"/>
    <n v="5593704"/>
    <s v="Click Here To View"/>
    <s v="Construction"/>
    <n v="3.18"/>
    <s v="100.00%"/>
    <s v="0.00%"/>
    <s v="100.00%"/>
    <s v="0.00%"/>
    <m/>
    <n v="3.18"/>
    <m/>
    <n v="3.18"/>
    <m/>
    <m/>
    <m/>
    <m/>
    <m/>
    <m/>
    <m/>
    <m/>
    <m/>
    <m/>
    <m/>
    <m/>
    <m/>
    <m/>
    <m/>
    <m/>
    <m/>
    <m/>
    <m/>
    <n v="3.18"/>
    <m/>
    <m/>
    <m/>
    <m/>
    <m/>
    <m/>
    <m/>
    <m/>
    <m/>
    <m/>
    <m/>
    <m/>
    <m/>
    <m/>
    <s v="0.00%"/>
    <s v="0.00%"/>
    <s v="0.00%"/>
    <s v="0.00%"/>
    <m/>
    <m/>
    <m/>
    <m/>
    <m/>
    <m/>
    <m/>
    <s v="0.00%"/>
    <s v="0.00%"/>
    <s v="0.00%"/>
    <s v="0.00%"/>
    <m/>
    <m/>
    <m/>
    <m/>
    <m/>
    <m/>
    <m/>
    <m/>
    <m/>
    <m/>
    <m/>
    <m/>
    <m/>
    <m/>
    <m/>
    <m/>
    <m/>
    <s v="Mike Teixeira"/>
    <m/>
    <s v="10/30/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0/19/2024"/>
    <x v="24"/>
    <n v="5595873"/>
    <s v="Click Here To View"/>
    <s v="Construction"/>
    <n v="1.31"/>
    <s v="100.00%"/>
    <s v="0.00%"/>
    <s v="100.00%"/>
    <s v="0.00%"/>
    <m/>
    <n v="1.31"/>
    <m/>
    <n v="1.31"/>
    <m/>
    <m/>
    <m/>
    <m/>
    <m/>
    <m/>
    <m/>
    <m/>
    <m/>
    <m/>
    <m/>
    <m/>
    <m/>
    <m/>
    <m/>
    <m/>
    <m/>
    <m/>
    <m/>
    <n v="1.31"/>
    <m/>
    <m/>
    <m/>
    <m/>
    <m/>
    <m/>
    <m/>
    <m/>
    <m/>
    <m/>
    <m/>
    <m/>
    <m/>
    <m/>
    <s v="0.00%"/>
    <s v="0.00%"/>
    <s v="0.00%"/>
    <s v="0.00%"/>
    <m/>
    <m/>
    <m/>
    <m/>
    <m/>
    <m/>
    <m/>
    <s v="0.00%"/>
    <s v="0.00%"/>
    <s v="0.00%"/>
    <s v="0.00%"/>
    <m/>
    <m/>
    <m/>
    <m/>
    <m/>
    <m/>
    <m/>
    <m/>
    <m/>
    <m/>
    <m/>
    <m/>
    <m/>
    <m/>
    <m/>
    <m/>
    <m/>
    <s v="Mike Teixeira"/>
    <m/>
    <s v="10/30/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0/18/2024"/>
    <x v="24"/>
    <n v="5595025"/>
    <s v="Click Here To View"/>
    <s v="Construction"/>
    <n v="1.81"/>
    <s v="100.00%"/>
    <s v="0.00%"/>
    <s v="100.00%"/>
    <s v="0.00%"/>
    <m/>
    <n v="1.81"/>
    <m/>
    <n v="1.81"/>
    <m/>
    <m/>
    <m/>
    <m/>
    <m/>
    <m/>
    <m/>
    <m/>
    <m/>
    <m/>
    <m/>
    <m/>
    <m/>
    <m/>
    <m/>
    <m/>
    <m/>
    <m/>
    <m/>
    <n v="1.81"/>
    <m/>
    <m/>
    <m/>
    <m/>
    <m/>
    <m/>
    <m/>
    <m/>
    <m/>
    <m/>
    <m/>
    <m/>
    <m/>
    <m/>
    <s v="0.00%"/>
    <s v="0.00%"/>
    <s v="0.00%"/>
    <s v="0.00%"/>
    <m/>
    <m/>
    <m/>
    <m/>
    <m/>
    <m/>
    <m/>
    <s v="0.00%"/>
    <s v="0.00%"/>
    <s v="0.00%"/>
    <s v="0.00%"/>
    <m/>
    <m/>
    <m/>
    <m/>
    <m/>
    <m/>
    <m/>
    <m/>
    <m/>
    <m/>
    <m/>
    <m/>
    <m/>
    <m/>
    <m/>
    <m/>
    <m/>
    <s v="Mike Teixeira"/>
    <m/>
    <s v="10/30/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0/23/2024"/>
    <x v="24"/>
    <n v="5598517"/>
    <s v="Click Here To View"/>
    <s v="Construction"/>
    <n v="3.29"/>
    <s v="100.00%"/>
    <s v="0.00%"/>
    <s v="100.00%"/>
    <s v="0.00%"/>
    <m/>
    <n v="3.29"/>
    <m/>
    <n v="3.29"/>
    <m/>
    <m/>
    <m/>
    <m/>
    <m/>
    <m/>
    <m/>
    <m/>
    <m/>
    <m/>
    <m/>
    <m/>
    <m/>
    <m/>
    <m/>
    <m/>
    <m/>
    <m/>
    <m/>
    <n v="3.29"/>
    <m/>
    <m/>
    <m/>
    <m/>
    <m/>
    <m/>
    <m/>
    <m/>
    <m/>
    <m/>
    <m/>
    <m/>
    <m/>
    <m/>
    <s v="0.00%"/>
    <s v="0.00%"/>
    <s v="0.00%"/>
    <s v="0.00%"/>
    <m/>
    <m/>
    <m/>
    <m/>
    <m/>
    <m/>
    <m/>
    <s v="0.00%"/>
    <s v="0.00%"/>
    <s v="0.00%"/>
    <s v="0.00%"/>
    <m/>
    <m/>
    <m/>
    <m/>
    <m/>
    <m/>
    <m/>
    <m/>
    <m/>
    <m/>
    <m/>
    <m/>
    <m/>
    <m/>
    <m/>
    <m/>
    <m/>
    <s v="Mike Teixeira"/>
    <m/>
    <s v="10/30/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0/24/2024"/>
    <x v="24"/>
    <n v="5599223"/>
    <s v="Click Here To View"/>
    <s v="Construction"/>
    <n v="2.0299999999999998"/>
    <s v="100.00%"/>
    <s v="0.00%"/>
    <s v="100.00%"/>
    <s v="0.00%"/>
    <m/>
    <n v="2.0299999999999998"/>
    <m/>
    <n v="2.0299999999999998"/>
    <m/>
    <m/>
    <m/>
    <m/>
    <m/>
    <m/>
    <m/>
    <m/>
    <m/>
    <m/>
    <m/>
    <m/>
    <m/>
    <m/>
    <m/>
    <m/>
    <m/>
    <m/>
    <m/>
    <n v="2.0299999999999998"/>
    <m/>
    <m/>
    <m/>
    <m/>
    <m/>
    <m/>
    <m/>
    <m/>
    <m/>
    <m/>
    <m/>
    <m/>
    <m/>
    <m/>
    <s v="0.00%"/>
    <s v="0.00%"/>
    <s v="0.00%"/>
    <s v="0.00%"/>
    <m/>
    <m/>
    <m/>
    <m/>
    <m/>
    <m/>
    <m/>
    <s v="0.00%"/>
    <s v="0.00%"/>
    <s v="0.00%"/>
    <s v="0.00%"/>
    <m/>
    <m/>
    <m/>
    <m/>
    <m/>
    <m/>
    <m/>
    <m/>
    <m/>
    <m/>
    <m/>
    <m/>
    <m/>
    <m/>
    <m/>
    <m/>
    <m/>
    <s v="Mike Teixeira"/>
    <m/>
    <s v="10/30/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0/25/2024"/>
    <x v="24"/>
    <n v="5599426"/>
    <s v="Click Here To View"/>
    <s v="Construction"/>
    <n v="1.8"/>
    <s v="100.00%"/>
    <s v="0.00%"/>
    <s v="100.00%"/>
    <s v="0.00%"/>
    <m/>
    <n v="1.8"/>
    <m/>
    <n v="1.8"/>
    <m/>
    <m/>
    <m/>
    <m/>
    <m/>
    <m/>
    <m/>
    <m/>
    <m/>
    <m/>
    <m/>
    <m/>
    <m/>
    <m/>
    <m/>
    <m/>
    <m/>
    <m/>
    <m/>
    <n v="1.8"/>
    <m/>
    <m/>
    <m/>
    <m/>
    <m/>
    <m/>
    <m/>
    <m/>
    <m/>
    <m/>
    <m/>
    <m/>
    <m/>
    <m/>
    <s v="0.00%"/>
    <s v="0.00%"/>
    <s v="0.00%"/>
    <s v="0.00%"/>
    <m/>
    <m/>
    <m/>
    <m/>
    <m/>
    <m/>
    <m/>
    <s v="0.00%"/>
    <s v="0.00%"/>
    <s v="0.00%"/>
    <s v="0.00%"/>
    <m/>
    <m/>
    <m/>
    <m/>
    <m/>
    <m/>
    <m/>
    <m/>
    <m/>
    <m/>
    <m/>
    <m/>
    <m/>
    <m/>
    <m/>
    <m/>
    <m/>
    <s v="Mike Teixeira"/>
    <m/>
    <s v="10/30/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0/25/2024"/>
    <x v="24"/>
    <n v="5600113"/>
    <s v="Click Here To View"/>
    <s v="Construction"/>
    <n v="2.4300000000000002"/>
    <s v="100.00%"/>
    <s v="0.00%"/>
    <s v="100.00%"/>
    <s v="0.00%"/>
    <m/>
    <n v="2.4300000000000002"/>
    <m/>
    <n v="2.4300000000000002"/>
    <m/>
    <m/>
    <m/>
    <m/>
    <m/>
    <m/>
    <m/>
    <m/>
    <m/>
    <m/>
    <m/>
    <m/>
    <m/>
    <m/>
    <m/>
    <m/>
    <m/>
    <m/>
    <m/>
    <n v="2.4300000000000002"/>
    <m/>
    <m/>
    <m/>
    <m/>
    <m/>
    <m/>
    <m/>
    <m/>
    <m/>
    <m/>
    <m/>
    <m/>
    <m/>
    <m/>
    <s v="0.00%"/>
    <s v="0.00%"/>
    <s v="0.00%"/>
    <s v="0.00%"/>
    <m/>
    <m/>
    <m/>
    <m/>
    <m/>
    <m/>
    <m/>
    <s v="0.00%"/>
    <s v="0.00%"/>
    <s v="0.00%"/>
    <s v="0.00%"/>
    <m/>
    <m/>
    <m/>
    <m/>
    <m/>
    <m/>
    <m/>
    <m/>
    <m/>
    <m/>
    <m/>
    <m/>
    <m/>
    <m/>
    <m/>
    <m/>
    <m/>
    <s v="Mike Teixeira"/>
    <m/>
    <s v="10/30/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0/29/2024"/>
    <x v="24"/>
    <n v="5601723"/>
    <s v="Click Here To View"/>
    <s v="Construction"/>
    <n v="2.57"/>
    <s v="100.00%"/>
    <s v="0.00%"/>
    <s v="100.00%"/>
    <s v="0.00%"/>
    <m/>
    <n v="2.57"/>
    <m/>
    <n v="2.57"/>
    <m/>
    <m/>
    <m/>
    <m/>
    <m/>
    <m/>
    <m/>
    <m/>
    <m/>
    <m/>
    <m/>
    <m/>
    <m/>
    <m/>
    <m/>
    <m/>
    <m/>
    <m/>
    <m/>
    <n v="2.57"/>
    <m/>
    <m/>
    <m/>
    <m/>
    <m/>
    <m/>
    <m/>
    <m/>
    <m/>
    <m/>
    <m/>
    <m/>
    <m/>
    <m/>
    <s v="0.00%"/>
    <s v="0.00%"/>
    <s v="0.00%"/>
    <s v="0.00%"/>
    <m/>
    <m/>
    <m/>
    <m/>
    <m/>
    <m/>
    <m/>
    <s v="0.00%"/>
    <s v="0.00%"/>
    <s v="0.00%"/>
    <s v="0.00%"/>
    <m/>
    <m/>
    <m/>
    <m/>
    <m/>
    <m/>
    <m/>
    <m/>
    <m/>
    <m/>
    <m/>
    <m/>
    <m/>
    <m/>
    <m/>
    <m/>
    <m/>
    <s v="Mike Teixeira"/>
    <m/>
    <s v="11/26/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0/29/2024"/>
    <x v="24"/>
    <n v="5601545"/>
    <s v="Click Here To View"/>
    <s v="Construction"/>
    <n v="2.75"/>
    <s v="100.00%"/>
    <s v="0.00%"/>
    <s v="100.00%"/>
    <s v="0.00%"/>
    <m/>
    <n v="2.75"/>
    <m/>
    <n v="2.75"/>
    <m/>
    <m/>
    <m/>
    <m/>
    <m/>
    <m/>
    <m/>
    <m/>
    <m/>
    <m/>
    <m/>
    <m/>
    <m/>
    <m/>
    <m/>
    <m/>
    <m/>
    <m/>
    <m/>
    <n v="2.75"/>
    <m/>
    <m/>
    <m/>
    <m/>
    <m/>
    <m/>
    <m/>
    <m/>
    <m/>
    <m/>
    <m/>
    <m/>
    <m/>
    <m/>
    <s v="0.00%"/>
    <s v="0.00%"/>
    <s v="0.00%"/>
    <s v="0.00%"/>
    <m/>
    <m/>
    <m/>
    <m/>
    <m/>
    <m/>
    <m/>
    <s v="0.00%"/>
    <s v="0.00%"/>
    <s v="0.00%"/>
    <s v="0.00%"/>
    <m/>
    <m/>
    <m/>
    <m/>
    <m/>
    <m/>
    <m/>
    <m/>
    <m/>
    <m/>
    <m/>
    <m/>
    <m/>
    <m/>
    <m/>
    <m/>
    <m/>
    <s v="Mike Teixeira"/>
    <m/>
    <s v="11/26/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1/01/2024"/>
    <x v="25"/>
    <n v="5604265"/>
    <s v="Click Here To View"/>
    <s v="Construction"/>
    <n v="2.08"/>
    <s v="100.00%"/>
    <s v="0.00%"/>
    <s v="100.00%"/>
    <s v="0.00%"/>
    <m/>
    <n v="2.08"/>
    <m/>
    <n v="2.08"/>
    <m/>
    <m/>
    <m/>
    <m/>
    <m/>
    <m/>
    <m/>
    <m/>
    <m/>
    <m/>
    <m/>
    <m/>
    <m/>
    <m/>
    <m/>
    <m/>
    <m/>
    <m/>
    <m/>
    <n v="2.08"/>
    <m/>
    <m/>
    <m/>
    <m/>
    <m/>
    <m/>
    <m/>
    <m/>
    <m/>
    <m/>
    <m/>
    <m/>
    <m/>
    <m/>
    <s v="0.00%"/>
    <s v="0.00%"/>
    <s v="0.00%"/>
    <s v="0.00%"/>
    <m/>
    <m/>
    <m/>
    <m/>
    <m/>
    <m/>
    <m/>
    <s v="0.00%"/>
    <s v="0.00%"/>
    <s v="0.00%"/>
    <s v="0.00%"/>
    <m/>
    <m/>
    <m/>
    <m/>
    <m/>
    <m/>
    <m/>
    <m/>
    <m/>
    <m/>
    <m/>
    <m/>
    <m/>
    <m/>
    <m/>
    <m/>
    <m/>
    <s v="Mike Teixeira"/>
    <m/>
    <s v="11/26/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1/01/2024"/>
    <x v="25"/>
    <n v="5604282"/>
    <s v="Click Here To View"/>
    <s v="Construction"/>
    <n v="4.68"/>
    <s v="100.00%"/>
    <s v="0.00%"/>
    <s v="100.00%"/>
    <s v="0.00%"/>
    <m/>
    <n v="4.68"/>
    <m/>
    <n v="4.68"/>
    <m/>
    <m/>
    <m/>
    <m/>
    <m/>
    <m/>
    <m/>
    <m/>
    <m/>
    <m/>
    <m/>
    <m/>
    <m/>
    <m/>
    <m/>
    <m/>
    <m/>
    <m/>
    <m/>
    <n v="4.68"/>
    <m/>
    <m/>
    <m/>
    <m/>
    <m/>
    <m/>
    <m/>
    <m/>
    <m/>
    <m/>
    <m/>
    <m/>
    <m/>
    <m/>
    <s v="0.00%"/>
    <s v="0.00%"/>
    <s v="0.00%"/>
    <s v="0.00%"/>
    <m/>
    <m/>
    <m/>
    <m/>
    <m/>
    <m/>
    <m/>
    <s v="0.00%"/>
    <s v="0.00%"/>
    <s v="0.00%"/>
    <s v="0.00%"/>
    <m/>
    <m/>
    <m/>
    <m/>
    <m/>
    <m/>
    <m/>
    <m/>
    <m/>
    <m/>
    <m/>
    <m/>
    <m/>
    <m/>
    <m/>
    <m/>
    <m/>
    <s v="Mike Teixeira"/>
    <m/>
    <s v="11/26/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1/04/2024"/>
    <x v="25"/>
    <n v="5605435"/>
    <s v="Click Here To View"/>
    <s v="Construction"/>
    <n v="3.5"/>
    <s v="100.00%"/>
    <s v="0.00%"/>
    <s v="100.00%"/>
    <s v="0.00%"/>
    <m/>
    <n v="3.5"/>
    <m/>
    <n v="3.5"/>
    <m/>
    <m/>
    <m/>
    <m/>
    <m/>
    <m/>
    <m/>
    <m/>
    <m/>
    <m/>
    <m/>
    <m/>
    <m/>
    <m/>
    <m/>
    <m/>
    <m/>
    <m/>
    <m/>
    <n v="3.5"/>
    <m/>
    <m/>
    <m/>
    <m/>
    <m/>
    <m/>
    <m/>
    <m/>
    <m/>
    <m/>
    <m/>
    <m/>
    <m/>
    <m/>
    <s v="0.00%"/>
    <s v="0.00%"/>
    <s v="0.00%"/>
    <s v="0.00%"/>
    <m/>
    <m/>
    <m/>
    <m/>
    <m/>
    <m/>
    <m/>
    <s v="0.00%"/>
    <s v="0.00%"/>
    <s v="0.00%"/>
    <s v="0.00%"/>
    <m/>
    <m/>
    <m/>
    <m/>
    <m/>
    <m/>
    <m/>
    <m/>
    <m/>
    <m/>
    <m/>
    <m/>
    <m/>
    <m/>
    <m/>
    <m/>
    <m/>
    <s v="Mike Teixeira"/>
    <m/>
    <s v="11/26/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1/04/2024"/>
    <x v="25"/>
    <n v="5605573"/>
    <s v="Click Here To View"/>
    <s v="Construction"/>
    <n v="1.4"/>
    <s v="100.00%"/>
    <s v="0.00%"/>
    <s v="100.00%"/>
    <s v="0.00%"/>
    <m/>
    <n v="1.4"/>
    <m/>
    <n v="1.4"/>
    <m/>
    <m/>
    <m/>
    <m/>
    <m/>
    <m/>
    <m/>
    <m/>
    <m/>
    <m/>
    <m/>
    <m/>
    <m/>
    <m/>
    <m/>
    <m/>
    <m/>
    <m/>
    <m/>
    <n v="1.4"/>
    <m/>
    <m/>
    <m/>
    <m/>
    <m/>
    <m/>
    <m/>
    <m/>
    <m/>
    <m/>
    <m/>
    <m/>
    <m/>
    <m/>
    <s v="0.00%"/>
    <s v="0.00%"/>
    <s v="0.00%"/>
    <s v="0.00%"/>
    <m/>
    <m/>
    <m/>
    <m/>
    <m/>
    <m/>
    <m/>
    <s v="0.00%"/>
    <s v="0.00%"/>
    <s v="0.00%"/>
    <s v="0.00%"/>
    <m/>
    <m/>
    <m/>
    <m/>
    <m/>
    <m/>
    <m/>
    <m/>
    <m/>
    <m/>
    <m/>
    <m/>
    <m/>
    <m/>
    <m/>
    <m/>
    <m/>
    <s v="Mike Teixeira"/>
    <m/>
    <s v="11/26/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1/06/2024"/>
    <x v="25"/>
    <n v="5607028"/>
    <s v="Click Here To View"/>
    <s v="Construction"/>
    <n v="4.4400000000000004"/>
    <s v="100.00%"/>
    <s v="0.00%"/>
    <s v="100.00%"/>
    <s v="0.00%"/>
    <m/>
    <n v="4.4400000000000004"/>
    <m/>
    <n v="4.4400000000000004"/>
    <m/>
    <m/>
    <m/>
    <m/>
    <m/>
    <m/>
    <m/>
    <m/>
    <m/>
    <m/>
    <m/>
    <m/>
    <m/>
    <m/>
    <m/>
    <m/>
    <m/>
    <m/>
    <m/>
    <n v="4.4400000000000004"/>
    <m/>
    <m/>
    <m/>
    <m/>
    <m/>
    <m/>
    <m/>
    <m/>
    <m/>
    <m/>
    <m/>
    <m/>
    <m/>
    <m/>
    <s v="0.00%"/>
    <s v="0.00%"/>
    <s v="0.00%"/>
    <s v="0.00%"/>
    <m/>
    <m/>
    <m/>
    <m/>
    <m/>
    <m/>
    <m/>
    <s v="0.00%"/>
    <s v="0.00%"/>
    <s v="0.00%"/>
    <s v="0.00%"/>
    <m/>
    <m/>
    <m/>
    <m/>
    <m/>
    <m/>
    <m/>
    <m/>
    <m/>
    <m/>
    <m/>
    <m/>
    <m/>
    <m/>
    <m/>
    <m/>
    <m/>
    <s v="Mike Teixeira"/>
    <m/>
    <s v="11/26/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1/06/2024"/>
    <x v="25"/>
    <n v="5607006"/>
    <s v="Click Here To View"/>
    <s v="Construction"/>
    <n v="1.64"/>
    <s v="100.00%"/>
    <s v="0.00%"/>
    <s v="100.00%"/>
    <s v="0.00%"/>
    <m/>
    <n v="1.64"/>
    <m/>
    <n v="1.64"/>
    <m/>
    <m/>
    <m/>
    <m/>
    <m/>
    <m/>
    <m/>
    <m/>
    <m/>
    <m/>
    <m/>
    <m/>
    <m/>
    <m/>
    <m/>
    <m/>
    <m/>
    <m/>
    <m/>
    <n v="1.64"/>
    <m/>
    <m/>
    <m/>
    <m/>
    <m/>
    <m/>
    <m/>
    <m/>
    <m/>
    <m/>
    <m/>
    <m/>
    <m/>
    <m/>
    <s v="0.00%"/>
    <s v="0.00%"/>
    <s v="0.00%"/>
    <s v="0.00%"/>
    <m/>
    <m/>
    <m/>
    <m/>
    <m/>
    <m/>
    <m/>
    <s v="0.00%"/>
    <s v="0.00%"/>
    <s v="0.00%"/>
    <s v="0.00%"/>
    <m/>
    <m/>
    <m/>
    <m/>
    <m/>
    <m/>
    <m/>
    <m/>
    <m/>
    <m/>
    <m/>
    <m/>
    <m/>
    <m/>
    <m/>
    <m/>
    <m/>
    <s v="Mike Teixeira"/>
    <m/>
    <s v="11/26/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1/07/2024"/>
    <x v="25"/>
    <n v="5608272"/>
    <s v="Click Here To View"/>
    <s v="Construction"/>
    <n v="1.1100000000000001"/>
    <s v="100.00%"/>
    <s v="0.00%"/>
    <s v="100.00%"/>
    <s v="0.00%"/>
    <m/>
    <n v="1.1100000000000001"/>
    <m/>
    <n v="1.1100000000000001"/>
    <m/>
    <m/>
    <m/>
    <m/>
    <m/>
    <m/>
    <m/>
    <m/>
    <m/>
    <m/>
    <m/>
    <m/>
    <m/>
    <m/>
    <m/>
    <m/>
    <m/>
    <m/>
    <m/>
    <n v="1.1100000000000001"/>
    <m/>
    <m/>
    <m/>
    <m/>
    <m/>
    <m/>
    <m/>
    <m/>
    <m/>
    <m/>
    <m/>
    <m/>
    <m/>
    <m/>
    <s v="0.00%"/>
    <s v="0.00%"/>
    <s v="0.00%"/>
    <s v="0.00%"/>
    <m/>
    <m/>
    <m/>
    <m/>
    <m/>
    <m/>
    <m/>
    <s v="0.00%"/>
    <s v="0.00%"/>
    <s v="0.00%"/>
    <s v="0.00%"/>
    <m/>
    <m/>
    <m/>
    <m/>
    <m/>
    <m/>
    <m/>
    <m/>
    <m/>
    <m/>
    <m/>
    <m/>
    <m/>
    <m/>
    <m/>
    <m/>
    <m/>
    <s v="Mike Teixeira"/>
    <m/>
    <s v="11/26/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1/07/2024"/>
    <x v="25"/>
    <n v="5608196"/>
    <s v="Click Here To View"/>
    <s v="Construction"/>
    <n v="4.2"/>
    <s v="100.00%"/>
    <s v="0.00%"/>
    <s v="100.00%"/>
    <s v="0.00%"/>
    <m/>
    <n v="4.2"/>
    <m/>
    <n v="4.2"/>
    <m/>
    <m/>
    <m/>
    <m/>
    <m/>
    <m/>
    <m/>
    <m/>
    <m/>
    <m/>
    <m/>
    <m/>
    <m/>
    <m/>
    <m/>
    <m/>
    <m/>
    <m/>
    <m/>
    <n v="4.2"/>
    <m/>
    <m/>
    <m/>
    <m/>
    <m/>
    <m/>
    <m/>
    <m/>
    <m/>
    <m/>
    <m/>
    <m/>
    <m/>
    <m/>
    <s v="0.00%"/>
    <s v="0.00%"/>
    <s v="0.00%"/>
    <s v="0.00%"/>
    <m/>
    <m/>
    <m/>
    <m/>
    <m/>
    <m/>
    <m/>
    <s v="0.00%"/>
    <s v="0.00%"/>
    <s v="0.00%"/>
    <s v="0.00%"/>
    <m/>
    <m/>
    <m/>
    <m/>
    <m/>
    <m/>
    <m/>
    <m/>
    <m/>
    <m/>
    <m/>
    <m/>
    <m/>
    <m/>
    <m/>
    <m/>
    <m/>
    <s v="Mike Teixeira"/>
    <m/>
    <s v="11/26/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1/08/2024"/>
    <x v="25"/>
    <n v="5609080"/>
    <s v="Click Here To View"/>
    <s v="Construction"/>
    <n v="3.59"/>
    <s v="100.00%"/>
    <s v="0.00%"/>
    <s v="100.00%"/>
    <s v="0.00%"/>
    <m/>
    <n v="3.59"/>
    <m/>
    <n v="3.59"/>
    <m/>
    <m/>
    <m/>
    <m/>
    <m/>
    <m/>
    <m/>
    <m/>
    <m/>
    <m/>
    <m/>
    <m/>
    <m/>
    <m/>
    <m/>
    <m/>
    <m/>
    <m/>
    <m/>
    <n v="3.59"/>
    <m/>
    <m/>
    <m/>
    <m/>
    <m/>
    <m/>
    <m/>
    <m/>
    <m/>
    <m/>
    <m/>
    <m/>
    <m/>
    <m/>
    <s v="0.00%"/>
    <s v="0.00%"/>
    <s v="0.00%"/>
    <s v="0.00%"/>
    <m/>
    <m/>
    <m/>
    <m/>
    <m/>
    <m/>
    <m/>
    <s v="0.00%"/>
    <s v="0.00%"/>
    <s v="0.00%"/>
    <s v="0.00%"/>
    <m/>
    <m/>
    <m/>
    <m/>
    <m/>
    <m/>
    <m/>
    <m/>
    <m/>
    <m/>
    <m/>
    <m/>
    <m/>
    <m/>
    <m/>
    <m/>
    <m/>
    <s v="Mike Teixeira"/>
    <m/>
    <s v="11/26/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1/12/2024"/>
    <x v="25"/>
    <n v="5619761"/>
    <s v="Click Here To View"/>
    <s v="Construction"/>
    <n v="3.79"/>
    <s v="100.00%"/>
    <s v="0.00%"/>
    <s v="100.00%"/>
    <s v="0.00%"/>
    <m/>
    <n v="3.79"/>
    <m/>
    <n v="3.79"/>
    <m/>
    <m/>
    <m/>
    <m/>
    <m/>
    <m/>
    <m/>
    <m/>
    <m/>
    <m/>
    <m/>
    <m/>
    <m/>
    <m/>
    <m/>
    <m/>
    <m/>
    <m/>
    <m/>
    <n v="3.79"/>
    <m/>
    <m/>
    <m/>
    <m/>
    <m/>
    <m/>
    <m/>
    <m/>
    <m/>
    <m/>
    <m/>
    <m/>
    <m/>
    <m/>
    <s v="0.00%"/>
    <s v="0.00%"/>
    <s v="0.00%"/>
    <s v="0.00%"/>
    <m/>
    <m/>
    <m/>
    <m/>
    <m/>
    <m/>
    <m/>
    <s v="0.00%"/>
    <s v="0.00%"/>
    <s v="0.00%"/>
    <s v="0.00%"/>
    <m/>
    <m/>
    <m/>
    <m/>
    <m/>
    <m/>
    <m/>
    <m/>
    <m/>
    <m/>
    <m/>
    <m/>
    <m/>
    <m/>
    <m/>
    <m/>
    <m/>
    <s v="Mike Teixeira"/>
    <m/>
    <s v="11/26/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1/12/2024"/>
    <x v="25"/>
    <n v="5610820"/>
    <s v="Click Here To View"/>
    <s v="Construction"/>
    <n v="0.84"/>
    <s v="100.00%"/>
    <s v="0.00%"/>
    <s v="100.00%"/>
    <s v="0.00%"/>
    <m/>
    <n v="0.84"/>
    <m/>
    <n v="0.84"/>
    <m/>
    <m/>
    <m/>
    <m/>
    <m/>
    <m/>
    <m/>
    <m/>
    <m/>
    <m/>
    <m/>
    <m/>
    <m/>
    <m/>
    <m/>
    <m/>
    <m/>
    <m/>
    <m/>
    <n v="0.84"/>
    <m/>
    <m/>
    <m/>
    <m/>
    <m/>
    <m/>
    <m/>
    <m/>
    <m/>
    <m/>
    <m/>
    <m/>
    <m/>
    <m/>
    <s v="0.00%"/>
    <s v="0.00%"/>
    <s v="0.00%"/>
    <s v="0.00%"/>
    <m/>
    <m/>
    <m/>
    <m/>
    <m/>
    <m/>
    <m/>
    <s v="0.00%"/>
    <s v="0.00%"/>
    <s v="0.00%"/>
    <s v="0.00%"/>
    <m/>
    <m/>
    <m/>
    <m/>
    <m/>
    <m/>
    <m/>
    <m/>
    <m/>
    <m/>
    <m/>
    <m/>
    <m/>
    <m/>
    <m/>
    <m/>
    <m/>
    <s v="Mike Teixeira"/>
    <m/>
    <s v="11/26/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1/13/2024"/>
    <x v="25"/>
    <n v="5611753"/>
    <s v="Click Here To View"/>
    <s v="Construction"/>
    <n v="2.37"/>
    <s v="100.00%"/>
    <s v="0.00%"/>
    <s v="100.00%"/>
    <s v="0.00%"/>
    <m/>
    <n v="2.37"/>
    <m/>
    <n v="2.37"/>
    <m/>
    <m/>
    <m/>
    <m/>
    <m/>
    <m/>
    <m/>
    <m/>
    <m/>
    <m/>
    <m/>
    <m/>
    <m/>
    <m/>
    <m/>
    <m/>
    <m/>
    <m/>
    <m/>
    <n v="2.37"/>
    <m/>
    <m/>
    <m/>
    <m/>
    <m/>
    <m/>
    <m/>
    <m/>
    <m/>
    <m/>
    <m/>
    <m/>
    <m/>
    <m/>
    <s v="0.00%"/>
    <s v="0.00%"/>
    <s v="0.00%"/>
    <s v="0.00%"/>
    <m/>
    <m/>
    <m/>
    <m/>
    <m/>
    <m/>
    <m/>
    <s v="0.00%"/>
    <s v="0.00%"/>
    <s v="0.00%"/>
    <s v="0.00%"/>
    <m/>
    <m/>
    <m/>
    <m/>
    <m/>
    <m/>
    <m/>
    <m/>
    <m/>
    <m/>
    <m/>
    <m/>
    <m/>
    <m/>
    <m/>
    <m/>
    <m/>
    <s v="Mike Teixeira"/>
    <m/>
    <s v="11/26/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1/14/2024"/>
    <x v="25"/>
    <n v="5612545"/>
    <s v="Click Here To View"/>
    <s v="Construction"/>
    <n v="3.51"/>
    <s v="100.00%"/>
    <s v="0.00%"/>
    <s v="100.00%"/>
    <s v="0.00%"/>
    <m/>
    <n v="3.51"/>
    <m/>
    <n v="3.51"/>
    <m/>
    <m/>
    <m/>
    <m/>
    <m/>
    <m/>
    <m/>
    <m/>
    <m/>
    <m/>
    <m/>
    <m/>
    <m/>
    <m/>
    <m/>
    <m/>
    <m/>
    <m/>
    <m/>
    <n v="3.51"/>
    <m/>
    <m/>
    <m/>
    <m/>
    <m/>
    <m/>
    <m/>
    <m/>
    <m/>
    <m/>
    <m/>
    <m/>
    <m/>
    <m/>
    <s v="0.00%"/>
    <s v="0.00%"/>
    <s v="0.00%"/>
    <s v="0.00%"/>
    <m/>
    <m/>
    <m/>
    <m/>
    <m/>
    <m/>
    <m/>
    <s v="0.00%"/>
    <s v="0.00%"/>
    <s v="0.00%"/>
    <s v="0.00%"/>
    <m/>
    <m/>
    <m/>
    <m/>
    <m/>
    <m/>
    <m/>
    <m/>
    <m/>
    <m/>
    <m/>
    <m/>
    <m/>
    <m/>
    <m/>
    <m/>
    <m/>
    <s v="Mike Teixeira"/>
    <m/>
    <s v="11/26/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1/15/2024"/>
    <x v="25"/>
    <n v="5613317"/>
    <s v="Click Here To View"/>
    <s v="Construction"/>
    <n v="2.5099999999999998"/>
    <s v="100.00%"/>
    <s v="0.00%"/>
    <s v="100.00%"/>
    <s v="0.00%"/>
    <m/>
    <n v="2.5099999999999998"/>
    <m/>
    <n v="2.5099999999999998"/>
    <m/>
    <m/>
    <m/>
    <m/>
    <m/>
    <m/>
    <m/>
    <m/>
    <m/>
    <m/>
    <m/>
    <m/>
    <m/>
    <m/>
    <m/>
    <m/>
    <m/>
    <m/>
    <m/>
    <n v="2.5099999999999998"/>
    <m/>
    <m/>
    <m/>
    <m/>
    <m/>
    <m/>
    <m/>
    <m/>
    <m/>
    <m/>
    <m/>
    <m/>
    <m/>
    <m/>
    <s v="0.00%"/>
    <s v="0.00%"/>
    <s v="0.00%"/>
    <s v="0.00%"/>
    <m/>
    <m/>
    <m/>
    <m/>
    <m/>
    <m/>
    <m/>
    <s v="0.00%"/>
    <s v="0.00%"/>
    <s v="0.00%"/>
    <s v="0.00%"/>
    <m/>
    <m/>
    <m/>
    <m/>
    <m/>
    <m/>
    <m/>
    <m/>
    <m/>
    <m/>
    <m/>
    <m/>
    <m/>
    <m/>
    <m/>
    <m/>
    <m/>
    <s v="Mike Teixeira"/>
    <m/>
    <s v="11/26/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1/18/2024"/>
    <x v="25"/>
    <n v="5614316"/>
    <s v="Click Here To View"/>
    <s v="Construction"/>
    <n v="3.01"/>
    <s v="100.00%"/>
    <s v="0.00%"/>
    <s v="100.00%"/>
    <s v="0.00%"/>
    <m/>
    <n v="3.01"/>
    <m/>
    <n v="3.01"/>
    <m/>
    <m/>
    <m/>
    <m/>
    <m/>
    <m/>
    <m/>
    <m/>
    <m/>
    <m/>
    <m/>
    <m/>
    <m/>
    <m/>
    <m/>
    <m/>
    <m/>
    <m/>
    <m/>
    <n v="3.01"/>
    <m/>
    <m/>
    <m/>
    <m/>
    <m/>
    <m/>
    <m/>
    <m/>
    <m/>
    <m/>
    <m/>
    <m/>
    <m/>
    <m/>
    <s v="0.00%"/>
    <s v="0.00%"/>
    <s v="0.00%"/>
    <s v="0.00%"/>
    <m/>
    <m/>
    <m/>
    <m/>
    <m/>
    <m/>
    <m/>
    <s v="0.00%"/>
    <s v="0.00%"/>
    <s v="0.00%"/>
    <s v="0.00%"/>
    <m/>
    <m/>
    <m/>
    <m/>
    <m/>
    <m/>
    <m/>
    <m/>
    <m/>
    <m/>
    <m/>
    <m/>
    <m/>
    <m/>
    <m/>
    <m/>
    <m/>
    <s v="Mike Teixeira"/>
    <m/>
    <s v="11/26/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1/19/2024"/>
    <x v="25"/>
    <n v="5614779"/>
    <s v="Click Here To View"/>
    <s v="Construction"/>
    <n v="1.72"/>
    <s v="100.00%"/>
    <s v="0.00%"/>
    <s v="100.00%"/>
    <s v="0.00%"/>
    <m/>
    <n v="1.72"/>
    <m/>
    <n v="1.72"/>
    <m/>
    <m/>
    <m/>
    <m/>
    <m/>
    <m/>
    <m/>
    <m/>
    <m/>
    <m/>
    <m/>
    <m/>
    <m/>
    <m/>
    <m/>
    <m/>
    <m/>
    <m/>
    <m/>
    <n v="1.72"/>
    <m/>
    <m/>
    <m/>
    <m/>
    <m/>
    <m/>
    <m/>
    <m/>
    <m/>
    <m/>
    <m/>
    <m/>
    <m/>
    <m/>
    <s v="0.00%"/>
    <s v="0.00%"/>
    <s v="0.00%"/>
    <s v="0.00%"/>
    <m/>
    <m/>
    <m/>
    <m/>
    <m/>
    <m/>
    <m/>
    <s v="0.00%"/>
    <s v="0.00%"/>
    <s v="0.00%"/>
    <s v="0.00%"/>
    <m/>
    <m/>
    <m/>
    <m/>
    <m/>
    <m/>
    <m/>
    <m/>
    <m/>
    <m/>
    <m/>
    <m/>
    <m/>
    <m/>
    <m/>
    <m/>
    <m/>
    <s v="Mike Teixeira"/>
    <m/>
    <s v="11/26/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1/19/2024"/>
    <x v="25"/>
    <n v="5615180"/>
    <s v="Click Here To View"/>
    <s v="Construction"/>
    <n v="5.57"/>
    <s v="100.00%"/>
    <s v="0.00%"/>
    <s v="100.00%"/>
    <s v="0.00%"/>
    <m/>
    <n v="5.57"/>
    <m/>
    <n v="5.57"/>
    <m/>
    <m/>
    <m/>
    <m/>
    <m/>
    <m/>
    <m/>
    <m/>
    <m/>
    <m/>
    <m/>
    <m/>
    <m/>
    <m/>
    <m/>
    <m/>
    <m/>
    <m/>
    <m/>
    <n v="5.57"/>
    <m/>
    <m/>
    <m/>
    <m/>
    <m/>
    <m/>
    <m/>
    <m/>
    <m/>
    <m/>
    <m/>
    <m/>
    <m/>
    <m/>
    <s v="0.00%"/>
    <s v="0.00%"/>
    <s v="0.00%"/>
    <s v="0.00%"/>
    <m/>
    <m/>
    <m/>
    <m/>
    <m/>
    <m/>
    <m/>
    <s v="0.00%"/>
    <s v="0.00%"/>
    <s v="0.00%"/>
    <s v="0.00%"/>
    <m/>
    <m/>
    <m/>
    <m/>
    <m/>
    <m/>
    <m/>
    <m/>
    <m/>
    <m/>
    <m/>
    <m/>
    <m/>
    <m/>
    <m/>
    <m/>
    <m/>
    <s v="Mike Teixeira"/>
    <m/>
    <s v="11/26/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1/21/2024"/>
    <x v="25"/>
    <n v="5616742"/>
    <s v="Click Here To View"/>
    <s v="Construction"/>
    <n v="2.48"/>
    <s v="100.00%"/>
    <s v="0.00%"/>
    <s v="100.00%"/>
    <s v="0.00%"/>
    <m/>
    <n v="2.48"/>
    <m/>
    <n v="2.48"/>
    <m/>
    <m/>
    <m/>
    <m/>
    <m/>
    <m/>
    <m/>
    <m/>
    <m/>
    <m/>
    <m/>
    <m/>
    <m/>
    <m/>
    <m/>
    <m/>
    <m/>
    <m/>
    <m/>
    <n v="2.48"/>
    <m/>
    <m/>
    <m/>
    <m/>
    <m/>
    <m/>
    <m/>
    <m/>
    <m/>
    <m/>
    <m/>
    <m/>
    <m/>
    <m/>
    <s v="0.00%"/>
    <s v="0.00%"/>
    <s v="0.00%"/>
    <s v="0.00%"/>
    <m/>
    <m/>
    <m/>
    <m/>
    <m/>
    <m/>
    <m/>
    <s v="0.00%"/>
    <s v="0.00%"/>
    <s v="0.00%"/>
    <s v="0.00%"/>
    <m/>
    <m/>
    <m/>
    <m/>
    <m/>
    <m/>
    <m/>
    <m/>
    <m/>
    <m/>
    <m/>
    <m/>
    <m/>
    <m/>
    <m/>
    <m/>
    <m/>
    <s v="Mike Teixeira"/>
    <m/>
    <s v="11/26/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1/22/2024"/>
    <x v="25"/>
    <n v="5617013"/>
    <s v="Click Here To View"/>
    <s v="Construction"/>
    <n v="4.82"/>
    <s v="100.00%"/>
    <s v="0.00%"/>
    <s v="100.00%"/>
    <s v="0.00%"/>
    <m/>
    <n v="4.82"/>
    <m/>
    <n v="4.82"/>
    <m/>
    <m/>
    <m/>
    <m/>
    <m/>
    <m/>
    <m/>
    <m/>
    <m/>
    <m/>
    <m/>
    <m/>
    <m/>
    <m/>
    <m/>
    <m/>
    <m/>
    <m/>
    <m/>
    <n v="4.82"/>
    <m/>
    <m/>
    <m/>
    <m/>
    <m/>
    <m/>
    <m/>
    <m/>
    <m/>
    <m/>
    <m/>
    <m/>
    <m/>
    <m/>
    <s v="0.00%"/>
    <s v="0.00%"/>
    <s v="0.00%"/>
    <s v="0.00%"/>
    <m/>
    <m/>
    <m/>
    <m/>
    <m/>
    <m/>
    <m/>
    <s v="0.00%"/>
    <s v="0.00%"/>
    <s v="0.00%"/>
    <s v="0.00%"/>
    <m/>
    <m/>
    <m/>
    <m/>
    <m/>
    <m/>
    <m/>
    <m/>
    <m/>
    <m/>
    <m/>
    <m/>
    <m/>
    <m/>
    <m/>
    <m/>
    <m/>
    <s v="Mike Teixeira"/>
    <m/>
    <s v="11/26/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1/22/2024"/>
    <x v="25"/>
    <n v="5617478"/>
    <s v="Click Here To View"/>
    <s v="Construction"/>
    <n v="0.38"/>
    <s v="100.00%"/>
    <s v="0.00%"/>
    <s v="100.00%"/>
    <s v="0.00%"/>
    <m/>
    <n v="0.38"/>
    <m/>
    <n v="0.38"/>
    <m/>
    <m/>
    <m/>
    <m/>
    <m/>
    <m/>
    <m/>
    <m/>
    <m/>
    <m/>
    <m/>
    <m/>
    <m/>
    <m/>
    <m/>
    <m/>
    <m/>
    <m/>
    <m/>
    <n v="0.38"/>
    <m/>
    <m/>
    <m/>
    <m/>
    <m/>
    <m/>
    <m/>
    <m/>
    <m/>
    <m/>
    <m/>
    <m/>
    <m/>
    <m/>
    <s v="0.00%"/>
    <s v="0.00%"/>
    <s v="0.00%"/>
    <s v="0.00%"/>
    <m/>
    <m/>
    <m/>
    <m/>
    <m/>
    <m/>
    <m/>
    <s v="0.00%"/>
    <s v="0.00%"/>
    <s v="0.00%"/>
    <s v="0.00%"/>
    <m/>
    <m/>
    <m/>
    <m/>
    <m/>
    <m/>
    <m/>
    <m/>
    <m/>
    <m/>
    <m/>
    <m/>
    <m/>
    <m/>
    <m/>
    <m/>
    <m/>
    <s v="Mike Teixeira"/>
    <m/>
    <s v="11/26/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1/25/2024"/>
    <x v="25"/>
    <n v="5618298"/>
    <s v="Click Here To View"/>
    <s v="Construction"/>
    <n v="0.99"/>
    <s v="100.00%"/>
    <s v="0.00%"/>
    <s v="100.00%"/>
    <s v="0.00%"/>
    <m/>
    <n v="0.99"/>
    <m/>
    <n v="0.99"/>
    <m/>
    <m/>
    <m/>
    <m/>
    <m/>
    <m/>
    <m/>
    <m/>
    <m/>
    <m/>
    <m/>
    <m/>
    <m/>
    <m/>
    <m/>
    <m/>
    <m/>
    <m/>
    <m/>
    <n v="0.99"/>
    <m/>
    <m/>
    <m/>
    <m/>
    <m/>
    <m/>
    <m/>
    <m/>
    <m/>
    <m/>
    <m/>
    <m/>
    <m/>
    <m/>
    <s v="0.00%"/>
    <s v="0.00%"/>
    <s v="0.00%"/>
    <s v="0.00%"/>
    <m/>
    <m/>
    <m/>
    <m/>
    <m/>
    <m/>
    <m/>
    <s v="0.00%"/>
    <s v="0.00%"/>
    <s v="0.00%"/>
    <s v="0.00%"/>
    <m/>
    <m/>
    <m/>
    <m/>
    <m/>
    <m/>
    <m/>
    <m/>
    <m/>
    <m/>
    <m/>
    <m/>
    <m/>
    <m/>
    <m/>
    <m/>
    <m/>
    <s v="Mike Teixeira"/>
    <m/>
    <s v="11/26/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1/25/2024"/>
    <x v="25"/>
    <n v="5618302"/>
    <s v="Click Here To View"/>
    <s v="Construction"/>
    <n v="1.27"/>
    <s v="100.00%"/>
    <s v="0.00%"/>
    <s v="100.00%"/>
    <s v="0.00%"/>
    <m/>
    <n v="1.27"/>
    <m/>
    <n v="1.27"/>
    <m/>
    <m/>
    <m/>
    <m/>
    <m/>
    <m/>
    <m/>
    <m/>
    <m/>
    <m/>
    <m/>
    <m/>
    <m/>
    <m/>
    <m/>
    <m/>
    <m/>
    <m/>
    <m/>
    <n v="1.27"/>
    <m/>
    <m/>
    <m/>
    <m/>
    <m/>
    <m/>
    <m/>
    <m/>
    <m/>
    <m/>
    <m/>
    <m/>
    <m/>
    <m/>
    <s v="0.00%"/>
    <s v="0.00%"/>
    <s v="0.00%"/>
    <s v="0.00%"/>
    <m/>
    <m/>
    <m/>
    <m/>
    <m/>
    <m/>
    <m/>
    <s v="0.00%"/>
    <s v="0.00%"/>
    <s v="0.00%"/>
    <s v="0.00%"/>
    <m/>
    <m/>
    <m/>
    <m/>
    <m/>
    <m/>
    <m/>
    <m/>
    <m/>
    <m/>
    <m/>
    <m/>
    <m/>
    <m/>
    <m/>
    <m/>
    <m/>
    <s v="Mike Teixeira"/>
    <m/>
    <s v="11/26/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1/25/2024"/>
    <x v="25"/>
    <n v="5618198"/>
    <s v="Click Here To View"/>
    <s v="Construction"/>
    <n v="4.91"/>
    <s v="100.00%"/>
    <s v="0.00%"/>
    <s v="100.00%"/>
    <s v="0.00%"/>
    <m/>
    <n v="4.91"/>
    <m/>
    <n v="4.91"/>
    <m/>
    <m/>
    <m/>
    <m/>
    <m/>
    <m/>
    <m/>
    <m/>
    <m/>
    <m/>
    <m/>
    <m/>
    <m/>
    <m/>
    <m/>
    <m/>
    <m/>
    <m/>
    <m/>
    <n v="4.91"/>
    <m/>
    <m/>
    <m/>
    <m/>
    <m/>
    <m/>
    <m/>
    <m/>
    <m/>
    <m/>
    <m/>
    <m/>
    <m/>
    <m/>
    <s v="0.00%"/>
    <s v="0.00%"/>
    <s v="0.00%"/>
    <s v="0.00%"/>
    <m/>
    <m/>
    <m/>
    <m/>
    <m/>
    <m/>
    <m/>
    <s v="0.00%"/>
    <s v="0.00%"/>
    <s v="0.00%"/>
    <s v="0.00%"/>
    <m/>
    <m/>
    <m/>
    <m/>
    <m/>
    <m/>
    <m/>
    <m/>
    <m/>
    <m/>
    <m/>
    <m/>
    <m/>
    <m/>
    <m/>
    <m/>
    <m/>
    <s v="Mike Teixeira"/>
    <m/>
    <s v="11/26/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1/27/2024"/>
    <x v="25"/>
    <n v="5619817"/>
    <s v="Click Here To View"/>
    <s v="Construction"/>
    <n v="5.85"/>
    <s v="100.00%"/>
    <s v="0.00%"/>
    <s v="100.00%"/>
    <s v="0.00%"/>
    <m/>
    <n v="5.85"/>
    <m/>
    <n v="5.85"/>
    <m/>
    <m/>
    <m/>
    <m/>
    <m/>
    <m/>
    <m/>
    <m/>
    <m/>
    <m/>
    <m/>
    <m/>
    <m/>
    <m/>
    <m/>
    <m/>
    <m/>
    <m/>
    <m/>
    <n v="5.85"/>
    <m/>
    <m/>
    <m/>
    <m/>
    <m/>
    <m/>
    <m/>
    <m/>
    <m/>
    <m/>
    <m/>
    <m/>
    <m/>
    <m/>
    <s v="0.00%"/>
    <s v="0.00%"/>
    <s v="0.00%"/>
    <s v="0.00%"/>
    <m/>
    <m/>
    <m/>
    <m/>
    <m/>
    <m/>
    <m/>
    <s v="0.00%"/>
    <s v="0.00%"/>
    <s v="0.00%"/>
    <s v="0.00%"/>
    <m/>
    <m/>
    <m/>
    <m/>
    <m/>
    <m/>
    <m/>
    <m/>
    <m/>
    <m/>
    <m/>
    <m/>
    <m/>
    <m/>
    <m/>
    <m/>
    <m/>
    <s v="Mike Teixeira"/>
    <m/>
    <s v="12/03/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2/02/2024"/>
    <x v="26"/>
    <n v="5621960"/>
    <s v="Click Here To View"/>
    <s v="Construction"/>
    <n v="6.49"/>
    <s v="100.00%"/>
    <s v="0.00%"/>
    <s v="100.00%"/>
    <s v="0.00%"/>
    <m/>
    <n v="6.49"/>
    <m/>
    <n v="6.49"/>
    <m/>
    <m/>
    <m/>
    <m/>
    <m/>
    <m/>
    <m/>
    <m/>
    <m/>
    <m/>
    <m/>
    <m/>
    <m/>
    <m/>
    <m/>
    <m/>
    <m/>
    <m/>
    <m/>
    <n v="6.49"/>
    <m/>
    <m/>
    <m/>
    <m/>
    <m/>
    <m/>
    <m/>
    <m/>
    <m/>
    <m/>
    <m/>
    <m/>
    <m/>
    <m/>
    <s v="0.00%"/>
    <s v="0.00%"/>
    <s v="0.00%"/>
    <s v="0.00%"/>
    <m/>
    <m/>
    <m/>
    <m/>
    <m/>
    <m/>
    <m/>
    <s v="0.00%"/>
    <s v="0.00%"/>
    <s v="0.00%"/>
    <s v="0.00%"/>
    <m/>
    <m/>
    <m/>
    <m/>
    <m/>
    <m/>
    <m/>
    <m/>
    <m/>
    <m/>
    <m/>
    <m/>
    <m/>
    <m/>
    <m/>
    <m/>
    <m/>
    <s v="Mike Teixeira"/>
    <m/>
    <s v="12/03/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2/04/2024"/>
    <x v="26"/>
    <n v="5623891"/>
    <s v="Click Here To View"/>
    <s v="Construction"/>
    <n v="0.35"/>
    <s v="100.00%"/>
    <s v="0.00%"/>
    <s v="100.00%"/>
    <s v="0.00%"/>
    <m/>
    <n v="0.35"/>
    <m/>
    <n v="0.35"/>
    <m/>
    <m/>
    <m/>
    <m/>
    <m/>
    <m/>
    <m/>
    <m/>
    <m/>
    <m/>
    <m/>
    <m/>
    <m/>
    <m/>
    <m/>
    <m/>
    <m/>
    <m/>
    <m/>
    <n v="0.35"/>
    <m/>
    <m/>
    <m/>
    <m/>
    <m/>
    <m/>
    <m/>
    <m/>
    <m/>
    <m/>
    <m/>
    <m/>
    <m/>
    <m/>
    <s v="0.00%"/>
    <s v="0.00%"/>
    <s v="0.00%"/>
    <s v="0.00%"/>
    <m/>
    <m/>
    <m/>
    <m/>
    <m/>
    <m/>
    <m/>
    <s v="0.00%"/>
    <s v="0.00%"/>
    <s v="0.00%"/>
    <s v="0.00%"/>
    <m/>
    <m/>
    <m/>
    <m/>
    <m/>
    <m/>
    <m/>
    <m/>
    <m/>
    <m/>
    <m/>
    <m/>
    <m/>
    <m/>
    <m/>
    <m/>
    <m/>
    <s v="Mike Teixeira"/>
    <m/>
    <s v="12/24/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2/04/2024"/>
    <x v="26"/>
    <n v="5623208"/>
    <s v="Click Here To View"/>
    <s v="Construction"/>
    <n v="5.17"/>
    <s v="100.00%"/>
    <s v="0.00%"/>
    <s v="100.00%"/>
    <s v="0.00%"/>
    <m/>
    <n v="5.17"/>
    <m/>
    <n v="5.17"/>
    <m/>
    <m/>
    <m/>
    <m/>
    <m/>
    <m/>
    <m/>
    <m/>
    <m/>
    <m/>
    <m/>
    <m/>
    <m/>
    <m/>
    <m/>
    <m/>
    <m/>
    <m/>
    <m/>
    <n v="5.17"/>
    <m/>
    <m/>
    <m/>
    <m/>
    <m/>
    <m/>
    <m/>
    <m/>
    <m/>
    <m/>
    <m/>
    <m/>
    <m/>
    <m/>
    <s v="0.00%"/>
    <s v="0.00%"/>
    <s v="0.00%"/>
    <s v="0.00%"/>
    <m/>
    <m/>
    <m/>
    <m/>
    <m/>
    <m/>
    <m/>
    <s v="0.00%"/>
    <s v="0.00%"/>
    <s v="0.00%"/>
    <s v="0.00%"/>
    <m/>
    <m/>
    <m/>
    <m/>
    <m/>
    <m/>
    <m/>
    <m/>
    <m/>
    <m/>
    <m/>
    <m/>
    <m/>
    <m/>
    <m/>
    <m/>
    <m/>
    <s v="Mike Teixeira"/>
    <m/>
    <s v="12/24/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2/06/2024"/>
    <x v="26"/>
    <n v="5625494"/>
    <s v="Click Here To View"/>
    <s v="Construction"/>
    <n v="4.9800000000000004"/>
    <s v="100.00%"/>
    <s v="0.00%"/>
    <s v="100.00%"/>
    <s v="0.00%"/>
    <m/>
    <n v="4.9800000000000004"/>
    <m/>
    <n v="4.9800000000000004"/>
    <m/>
    <m/>
    <m/>
    <m/>
    <m/>
    <m/>
    <m/>
    <m/>
    <m/>
    <m/>
    <m/>
    <m/>
    <m/>
    <m/>
    <m/>
    <m/>
    <m/>
    <m/>
    <m/>
    <n v="4.9800000000000004"/>
    <m/>
    <m/>
    <m/>
    <m/>
    <m/>
    <m/>
    <m/>
    <m/>
    <m/>
    <m/>
    <m/>
    <m/>
    <m/>
    <m/>
    <s v="0.00%"/>
    <s v="0.00%"/>
    <s v="0.00%"/>
    <s v="0.00%"/>
    <m/>
    <m/>
    <m/>
    <m/>
    <m/>
    <m/>
    <m/>
    <s v="0.00%"/>
    <s v="0.00%"/>
    <s v="0.00%"/>
    <s v="0.00%"/>
    <m/>
    <m/>
    <m/>
    <m/>
    <m/>
    <m/>
    <m/>
    <m/>
    <m/>
    <m/>
    <m/>
    <m/>
    <m/>
    <m/>
    <m/>
    <m/>
    <m/>
    <s v="Mike Teixeira"/>
    <m/>
    <s v="12/24/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2/06/2024"/>
    <x v="26"/>
    <n v="5625233"/>
    <s v="Click Here To View"/>
    <s v="Construction"/>
    <n v="1.8"/>
    <s v="100.00%"/>
    <s v="0.00%"/>
    <s v="100.00%"/>
    <s v="0.00%"/>
    <m/>
    <n v="1.8"/>
    <m/>
    <n v="1.8"/>
    <m/>
    <m/>
    <m/>
    <m/>
    <m/>
    <m/>
    <m/>
    <m/>
    <m/>
    <m/>
    <m/>
    <m/>
    <m/>
    <m/>
    <m/>
    <m/>
    <m/>
    <m/>
    <m/>
    <n v="1.8"/>
    <m/>
    <m/>
    <m/>
    <m/>
    <m/>
    <m/>
    <m/>
    <m/>
    <m/>
    <m/>
    <m/>
    <m/>
    <m/>
    <m/>
    <s v="0.00%"/>
    <s v="0.00%"/>
    <s v="0.00%"/>
    <s v="0.00%"/>
    <m/>
    <m/>
    <m/>
    <m/>
    <m/>
    <m/>
    <m/>
    <s v="0.00%"/>
    <s v="0.00%"/>
    <s v="0.00%"/>
    <s v="0.00%"/>
    <m/>
    <m/>
    <m/>
    <m/>
    <m/>
    <m/>
    <m/>
    <m/>
    <m/>
    <m/>
    <m/>
    <m/>
    <m/>
    <m/>
    <m/>
    <m/>
    <m/>
    <s v="Mike Teixeira"/>
    <m/>
    <s v="12/24/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2/10/2024"/>
    <x v="26"/>
    <n v="5627164"/>
    <s v="Click Here To View"/>
    <s v="Construction"/>
    <n v="1.72"/>
    <s v="100.00%"/>
    <s v="0.00%"/>
    <s v="100.00%"/>
    <s v="0.00%"/>
    <m/>
    <n v="1.72"/>
    <m/>
    <n v="1.72"/>
    <m/>
    <m/>
    <m/>
    <m/>
    <m/>
    <m/>
    <m/>
    <m/>
    <m/>
    <m/>
    <m/>
    <m/>
    <m/>
    <m/>
    <m/>
    <m/>
    <m/>
    <m/>
    <m/>
    <n v="1.72"/>
    <m/>
    <m/>
    <m/>
    <m/>
    <m/>
    <m/>
    <m/>
    <m/>
    <m/>
    <m/>
    <m/>
    <m/>
    <m/>
    <m/>
    <s v="0.00%"/>
    <s v="0.00%"/>
    <s v="0.00%"/>
    <s v="0.00%"/>
    <m/>
    <m/>
    <m/>
    <m/>
    <m/>
    <m/>
    <m/>
    <s v="0.00%"/>
    <s v="0.00%"/>
    <s v="0.00%"/>
    <s v="0.00%"/>
    <m/>
    <m/>
    <m/>
    <m/>
    <m/>
    <m/>
    <m/>
    <m/>
    <m/>
    <m/>
    <m/>
    <m/>
    <m/>
    <m/>
    <m/>
    <m/>
    <m/>
    <s v="Mike Teixeira"/>
    <m/>
    <s v="12/24/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2/11/2024"/>
    <x v="26"/>
    <n v="5628008"/>
    <s v="Click Here To View"/>
    <s v="Construction"/>
    <n v="5.84"/>
    <s v="100.00%"/>
    <s v="0.00%"/>
    <s v="100.00%"/>
    <s v="0.00%"/>
    <m/>
    <n v="5.84"/>
    <m/>
    <n v="5.84"/>
    <m/>
    <m/>
    <m/>
    <m/>
    <m/>
    <m/>
    <m/>
    <m/>
    <m/>
    <m/>
    <m/>
    <m/>
    <m/>
    <m/>
    <m/>
    <m/>
    <m/>
    <m/>
    <m/>
    <n v="5.84"/>
    <m/>
    <m/>
    <m/>
    <m/>
    <m/>
    <m/>
    <m/>
    <m/>
    <m/>
    <m/>
    <m/>
    <m/>
    <m/>
    <m/>
    <s v="0.00%"/>
    <s v="0.00%"/>
    <s v="0.00%"/>
    <s v="0.00%"/>
    <m/>
    <m/>
    <m/>
    <m/>
    <m/>
    <m/>
    <m/>
    <s v="0.00%"/>
    <s v="0.00%"/>
    <s v="0.00%"/>
    <s v="0.00%"/>
    <m/>
    <m/>
    <m/>
    <m/>
    <m/>
    <m/>
    <m/>
    <m/>
    <m/>
    <m/>
    <m/>
    <m/>
    <m/>
    <m/>
    <m/>
    <m/>
    <m/>
    <s v="Mike Teixeira"/>
    <m/>
    <s v="12/24/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2/12/2024"/>
    <x v="26"/>
    <n v="5628482"/>
    <s v="Click Here To View"/>
    <s v="Construction"/>
    <n v="0.88"/>
    <s v="100.00%"/>
    <s v="0.00%"/>
    <s v="100.00%"/>
    <s v="0.00%"/>
    <m/>
    <n v="0.88"/>
    <m/>
    <n v="0.88"/>
    <m/>
    <m/>
    <m/>
    <m/>
    <m/>
    <m/>
    <m/>
    <m/>
    <m/>
    <m/>
    <m/>
    <m/>
    <m/>
    <m/>
    <m/>
    <m/>
    <m/>
    <m/>
    <m/>
    <n v="0.88"/>
    <m/>
    <m/>
    <m/>
    <m/>
    <m/>
    <m/>
    <m/>
    <m/>
    <m/>
    <m/>
    <m/>
    <m/>
    <m/>
    <m/>
    <s v="0.00%"/>
    <s v="0.00%"/>
    <s v="0.00%"/>
    <s v="0.00%"/>
    <m/>
    <m/>
    <m/>
    <m/>
    <m/>
    <m/>
    <m/>
    <s v="0.00%"/>
    <s v="0.00%"/>
    <s v="0.00%"/>
    <s v="0.00%"/>
    <m/>
    <m/>
    <m/>
    <m/>
    <m/>
    <m/>
    <m/>
    <m/>
    <m/>
    <m/>
    <m/>
    <m/>
    <m/>
    <m/>
    <m/>
    <m/>
    <m/>
    <s v="Mike Teixeira"/>
    <m/>
    <s v="12/24/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2/13/2024"/>
    <x v="26"/>
    <n v="5629370"/>
    <s v="Click Here To View"/>
    <s v="Construction"/>
    <n v="3.3"/>
    <s v="100.00%"/>
    <s v="0.00%"/>
    <s v="100.00%"/>
    <s v="0.00%"/>
    <m/>
    <n v="3.3"/>
    <m/>
    <n v="3.3"/>
    <m/>
    <m/>
    <m/>
    <m/>
    <m/>
    <m/>
    <m/>
    <m/>
    <m/>
    <m/>
    <m/>
    <m/>
    <m/>
    <m/>
    <m/>
    <m/>
    <m/>
    <m/>
    <m/>
    <n v="3.3"/>
    <m/>
    <m/>
    <m/>
    <m/>
    <m/>
    <m/>
    <m/>
    <m/>
    <m/>
    <m/>
    <m/>
    <m/>
    <m/>
    <m/>
    <s v="0.00%"/>
    <s v="0.00%"/>
    <s v="0.00%"/>
    <s v="0.00%"/>
    <m/>
    <m/>
    <m/>
    <m/>
    <m/>
    <m/>
    <m/>
    <s v="0.00%"/>
    <s v="0.00%"/>
    <s v="0.00%"/>
    <s v="0.00%"/>
    <m/>
    <m/>
    <m/>
    <m/>
    <m/>
    <m/>
    <m/>
    <m/>
    <m/>
    <m/>
    <m/>
    <m/>
    <m/>
    <m/>
    <m/>
    <m/>
    <m/>
    <s v="Mike Teixeira"/>
    <m/>
    <s v="12/24/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2/14/2024"/>
    <x v="26"/>
    <n v="5629979"/>
    <s v="Click Here To View"/>
    <s v="Construction"/>
    <n v="4.25"/>
    <s v="100.00%"/>
    <s v="0.00%"/>
    <s v="100.00%"/>
    <s v="0.00%"/>
    <m/>
    <n v="4.25"/>
    <m/>
    <n v="4.25"/>
    <m/>
    <m/>
    <m/>
    <m/>
    <m/>
    <m/>
    <m/>
    <m/>
    <m/>
    <m/>
    <m/>
    <m/>
    <m/>
    <m/>
    <m/>
    <m/>
    <m/>
    <m/>
    <m/>
    <n v="4.25"/>
    <m/>
    <m/>
    <m/>
    <m/>
    <m/>
    <m/>
    <m/>
    <m/>
    <m/>
    <m/>
    <m/>
    <m/>
    <m/>
    <m/>
    <s v="0.00%"/>
    <s v="0.00%"/>
    <s v="0.00%"/>
    <s v="0.00%"/>
    <m/>
    <m/>
    <m/>
    <m/>
    <m/>
    <m/>
    <m/>
    <s v="0.00%"/>
    <s v="0.00%"/>
    <s v="0.00%"/>
    <s v="0.00%"/>
    <m/>
    <m/>
    <m/>
    <m/>
    <m/>
    <m/>
    <m/>
    <m/>
    <m/>
    <m/>
    <m/>
    <m/>
    <m/>
    <m/>
    <m/>
    <m/>
    <m/>
    <s v="Mike Teixeira"/>
    <m/>
    <s v="12/24/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2/16/2024"/>
    <x v="26"/>
    <n v="5630447"/>
    <s v="Click Here To View"/>
    <s v="Construction"/>
    <n v="3.82"/>
    <s v="100.00%"/>
    <s v="0.00%"/>
    <s v="100.00%"/>
    <s v="0.00%"/>
    <m/>
    <n v="3.82"/>
    <m/>
    <n v="3.82"/>
    <m/>
    <m/>
    <m/>
    <m/>
    <m/>
    <m/>
    <m/>
    <m/>
    <m/>
    <m/>
    <m/>
    <m/>
    <m/>
    <m/>
    <m/>
    <m/>
    <m/>
    <m/>
    <m/>
    <n v="3.82"/>
    <m/>
    <m/>
    <m/>
    <m/>
    <m/>
    <m/>
    <m/>
    <m/>
    <m/>
    <m/>
    <m/>
    <m/>
    <m/>
    <m/>
    <s v="0.00%"/>
    <s v="0.00%"/>
    <s v="0.00%"/>
    <s v="0.00%"/>
    <m/>
    <m/>
    <m/>
    <m/>
    <m/>
    <m/>
    <m/>
    <s v="0.00%"/>
    <s v="0.00%"/>
    <s v="0.00%"/>
    <s v="0.00%"/>
    <m/>
    <m/>
    <m/>
    <m/>
    <m/>
    <m/>
    <m/>
    <m/>
    <m/>
    <m/>
    <m/>
    <m/>
    <m/>
    <m/>
    <m/>
    <m/>
    <m/>
    <s v="Mike Teixeira"/>
    <m/>
    <s v="12/24/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2/16/2024"/>
    <x v="26"/>
    <n v="5630289"/>
    <s v="Click Here To View"/>
    <s v="Construction"/>
    <n v="3.29"/>
    <s v="100.00%"/>
    <s v="0.00%"/>
    <s v="100.00%"/>
    <s v="0.00%"/>
    <m/>
    <n v="3.29"/>
    <m/>
    <n v="3.29"/>
    <m/>
    <m/>
    <m/>
    <m/>
    <m/>
    <m/>
    <m/>
    <m/>
    <m/>
    <m/>
    <m/>
    <m/>
    <m/>
    <m/>
    <m/>
    <m/>
    <m/>
    <m/>
    <m/>
    <n v="3.29"/>
    <m/>
    <m/>
    <m/>
    <m/>
    <m/>
    <m/>
    <m/>
    <m/>
    <m/>
    <m/>
    <m/>
    <m/>
    <m/>
    <m/>
    <s v="0.00%"/>
    <s v="0.00%"/>
    <s v="0.00%"/>
    <s v="0.00%"/>
    <m/>
    <m/>
    <m/>
    <m/>
    <m/>
    <m/>
    <m/>
    <s v="0.00%"/>
    <s v="0.00%"/>
    <s v="0.00%"/>
    <s v="0.00%"/>
    <m/>
    <m/>
    <m/>
    <m/>
    <m/>
    <m/>
    <m/>
    <m/>
    <m/>
    <m/>
    <m/>
    <m/>
    <m/>
    <m/>
    <m/>
    <m/>
    <m/>
    <s v="Mike Teixeira"/>
    <m/>
    <s v="12/24/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2/16/2024"/>
    <x v="26"/>
    <n v="5630071"/>
    <s v="Click Here To View"/>
    <s v="Construction"/>
    <n v="2.73"/>
    <s v="100.00%"/>
    <s v="0.00%"/>
    <s v="100.00%"/>
    <s v="0.00%"/>
    <m/>
    <n v="2.73"/>
    <m/>
    <n v="2.73"/>
    <m/>
    <m/>
    <m/>
    <m/>
    <m/>
    <m/>
    <m/>
    <m/>
    <m/>
    <m/>
    <m/>
    <m/>
    <m/>
    <m/>
    <m/>
    <m/>
    <m/>
    <m/>
    <m/>
    <n v="2.73"/>
    <m/>
    <m/>
    <m/>
    <m/>
    <m/>
    <m/>
    <m/>
    <m/>
    <m/>
    <m/>
    <m/>
    <m/>
    <m/>
    <m/>
    <s v="0.00%"/>
    <s v="0.00%"/>
    <s v="0.00%"/>
    <s v="0.00%"/>
    <m/>
    <m/>
    <m/>
    <m/>
    <m/>
    <m/>
    <m/>
    <s v="0.00%"/>
    <s v="0.00%"/>
    <s v="0.00%"/>
    <s v="0.00%"/>
    <m/>
    <m/>
    <m/>
    <m/>
    <m/>
    <m/>
    <m/>
    <m/>
    <m/>
    <m/>
    <m/>
    <m/>
    <m/>
    <m/>
    <m/>
    <m/>
    <m/>
    <s v="Mike Teixeira"/>
    <m/>
    <s v="12/24/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2/17/2024"/>
    <x v="26"/>
    <n v="5631347"/>
    <s v="Click Here To View"/>
    <s v="Construction"/>
    <n v="3.76"/>
    <s v="100.00%"/>
    <s v="0.00%"/>
    <s v="100.00%"/>
    <s v="0.00%"/>
    <m/>
    <n v="3.76"/>
    <m/>
    <n v="3.76"/>
    <m/>
    <m/>
    <m/>
    <m/>
    <m/>
    <m/>
    <m/>
    <m/>
    <m/>
    <m/>
    <m/>
    <m/>
    <m/>
    <m/>
    <m/>
    <m/>
    <m/>
    <m/>
    <m/>
    <n v="3.76"/>
    <m/>
    <m/>
    <m/>
    <m/>
    <m/>
    <m/>
    <m/>
    <m/>
    <m/>
    <m/>
    <m/>
    <m/>
    <m/>
    <m/>
    <s v="0.00%"/>
    <s v="0.00%"/>
    <s v="0.00%"/>
    <s v="0.00%"/>
    <m/>
    <m/>
    <m/>
    <m/>
    <m/>
    <m/>
    <m/>
    <s v="0.00%"/>
    <s v="0.00%"/>
    <s v="0.00%"/>
    <s v="0.00%"/>
    <m/>
    <m/>
    <m/>
    <m/>
    <m/>
    <m/>
    <m/>
    <m/>
    <m/>
    <m/>
    <m/>
    <m/>
    <m/>
    <m/>
    <m/>
    <m/>
    <m/>
    <s v="Mike Teixeira"/>
    <m/>
    <s v="12/24/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2/18/2024"/>
    <x v="26"/>
    <n v="5632509"/>
    <s v="Click Here To View"/>
    <s v="Construction"/>
    <n v="4.76"/>
    <s v="100.00%"/>
    <s v="0.00%"/>
    <s v="100.00%"/>
    <s v="0.00%"/>
    <m/>
    <n v="4.76"/>
    <m/>
    <n v="4.76"/>
    <m/>
    <m/>
    <m/>
    <m/>
    <m/>
    <m/>
    <m/>
    <m/>
    <m/>
    <m/>
    <m/>
    <m/>
    <m/>
    <m/>
    <m/>
    <m/>
    <m/>
    <m/>
    <m/>
    <n v="4.76"/>
    <m/>
    <m/>
    <m/>
    <m/>
    <m/>
    <m/>
    <m/>
    <m/>
    <m/>
    <m/>
    <m/>
    <m/>
    <m/>
    <m/>
    <s v="0.00%"/>
    <s v="0.00%"/>
    <s v="0.00%"/>
    <s v="0.00%"/>
    <m/>
    <m/>
    <m/>
    <m/>
    <m/>
    <m/>
    <m/>
    <s v="0.00%"/>
    <s v="0.00%"/>
    <s v="0.00%"/>
    <s v="0.00%"/>
    <m/>
    <m/>
    <m/>
    <m/>
    <m/>
    <m/>
    <m/>
    <m/>
    <m/>
    <m/>
    <m/>
    <m/>
    <m/>
    <m/>
    <m/>
    <m/>
    <m/>
    <s v="Mike Teixeira"/>
    <m/>
    <s v="12/24/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2/20/2024"/>
    <x v="26"/>
    <n v="5633893"/>
    <s v="Click Here To View"/>
    <s v="Construction"/>
    <n v="5.85"/>
    <s v="100.00%"/>
    <s v="0.00%"/>
    <s v="100.00%"/>
    <s v="0.00%"/>
    <m/>
    <n v="5.85"/>
    <m/>
    <n v="5.85"/>
    <m/>
    <m/>
    <m/>
    <m/>
    <m/>
    <m/>
    <m/>
    <m/>
    <m/>
    <m/>
    <m/>
    <m/>
    <m/>
    <m/>
    <m/>
    <m/>
    <m/>
    <m/>
    <m/>
    <n v="5.85"/>
    <m/>
    <m/>
    <m/>
    <m/>
    <m/>
    <m/>
    <m/>
    <m/>
    <m/>
    <m/>
    <m/>
    <m/>
    <m/>
    <m/>
    <s v="0.00%"/>
    <s v="0.00%"/>
    <s v="0.00%"/>
    <s v="0.00%"/>
    <m/>
    <m/>
    <m/>
    <m/>
    <m/>
    <m/>
    <m/>
    <s v="0.00%"/>
    <s v="0.00%"/>
    <s v="0.00%"/>
    <s v="0.00%"/>
    <m/>
    <m/>
    <m/>
    <m/>
    <m/>
    <m/>
    <m/>
    <m/>
    <m/>
    <m/>
    <m/>
    <m/>
    <m/>
    <m/>
    <m/>
    <m/>
    <m/>
    <s v="Mike Teixeira"/>
    <m/>
    <s v="01/29/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2/21/2024"/>
    <x v="26"/>
    <n v="5634255"/>
    <s v="Click Here To View"/>
    <s v="Construction"/>
    <n v="2.92"/>
    <s v="100.00%"/>
    <s v="0.00%"/>
    <s v="100.00%"/>
    <s v="0.00%"/>
    <m/>
    <n v="2.92"/>
    <m/>
    <n v="2.92"/>
    <m/>
    <m/>
    <m/>
    <m/>
    <m/>
    <m/>
    <m/>
    <m/>
    <m/>
    <m/>
    <m/>
    <m/>
    <m/>
    <m/>
    <m/>
    <m/>
    <m/>
    <m/>
    <m/>
    <n v="2.92"/>
    <m/>
    <m/>
    <m/>
    <m/>
    <m/>
    <m/>
    <m/>
    <m/>
    <m/>
    <m/>
    <m/>
    <m/>
    <m/>
    <m/>
    <s v="0.00%"/>
    <s v="0.00%"/>
    <s v="0.00%"/>
    <s v="0.00%"/>
    <m/>
    <m/>
    <m/>
    <m/>
    <m/>
    <m/>
    <m/>
    <s v="0.00%"/>
    <s v="0.00%"/>
    <s v="0.00%"/>
    <s v="0.00%"/>
    <m/>
    <m/>
    <m/>
    <m/>
    <m/>
    <m/>
    <m/>
    <m/>
    <m/>
    <m/>
    <m/>
    <m/>
    <m/>
    <m/>
    <m/>
    <m/>
    <m/>
    <s v="Mike Teixeira"/>
    <m/>
    <s v="01/29/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2/21/2024"/>
    <x v="26"/>
    <n v="5634369"/>
    <s v="Click Here To View"/>
    <s v="Construction"/>
    <n v="2.81"/>
    <s v="100.00%"/>
    <s v="0.00%"/>
    <s v="100.00%"/>
    <s v="0.00%"/>
    <m/>
    <n v="2.81"/>
    <m/>
    <n v="2.81"/>
    <m/>
    <m/>
    <m/>
    <m/>
    <m/>
    <m/>
    <m/>
    <m/>
    <m/>
    <m/>
    <m/>
    <m/>
    <m/>
    <m/>
    <m/>
    <m/>
    <m/>
    <m/>
    <m/>
    <n v="2.81"/>
    <m/>
    <m/>
    <m/>
    <m/>
    <m/>
    <m/>
    <m/>
    <m/>
    <m/>
    <m/>
    <m/>
    <m/>
    <m/>
    <m/>
    <s v="0.00%"/>
    <s v="0.00%"/>
    <s v="0.00%"/>
    <s v="0.00%"/>
    <m/>
    <m/>
    <m/>
    <m/>
    <m/>
    <m/>
    <m/>
    <s v="0.00%"/>
    <s v="0.00%"/>
    <s v="0.00%"/>
    <s v="0.00%"/>
    <m/>
    <m/>
    <m/>
    <m/>
    <m/>
    <m/>
    <m/>
    <m/>
    <m/>
    <m/>
    <m/>
    <m/>
    <m/>
    <m/>
    <m/>
    <m/>
    <m/>
    <s v="Mike Teixeira"/>
    <m/>
    <s v="01/29/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2/26/2024"/>
    <x v="26"/>
    <n v="5636388"/>
    <s v="Click Here To View"/>
    <s v="Construction"/>
    <n v="6.56"/>
    <s v="100.00%"/>
    <s v="0.00%"/>
    <s v="100.00%"/>
    <s v="0.00%"/>
    <m/>
    <n v="6.56"/>
    <m/>
    <n v="6.56"/>
    <m/>
    <m/>
    <m/>
    <m/>
    <m/>
    <m/>
    <m/>
    <m/>
    <m/>
    <m/>
    <m/>
    <m/>
    <m/>
    <m/>
    <m/>
    <m/>
    <m/>
    <m/>
    <m/>
    <n v="6.56"/>
    <m/>
    <m/>
    <m/>
    <m/>
    <m/>
    <m/>
    <m/>
    <m/>
    <m/>
    <m/>
    <m/>
    <m/>
    <m/>
    <m/>
    <s v="0.00%"/>
    <s v="0.00%"/>
    <s v="0.00%"/>
    <s v="0.00%"/>
    <m/>
    <m/>
    <m/>
    <m/>
    <m/>
    <m/>
    <m/>
    <s v="0.00%"/>
    <s v="0.00%"/>
    <s v="0.00%"/>
    <s v="0.00%"/>
    <m/>
    <m/>
    <m/>
    <m/>
    <m/>
    <m/>
    <m/>
    <m/>
    <m/>
    <m/>
    <m/>
    <m/>
    <m/>
    <m/>
    <m/>
    <m/>
    <m/>
    <s v="Mike Teixeira"/>
    <m/>
    <s v="01/29/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2/27/2024"/>
    <x v="26"/>
    <n v="5637240"/>
    <s v="Click Here To View"/>
    <s v="Construction"/>
    <n v="3.03"/>
    <s v="100.00%"/>
    <s v="0.00%"/>
    <s v="100.00%"/>
    <s v="0.00%"/>
    <m/>
    <n v="3.03"/>
    <m/>
    <n v="3.03"/>
    <m/>
    <m/>
    <m/>
    <m/>
    <m/>
    <m/>
    <m/>
    <m/>
    <m/>
    <m/>
    <m/>
    <m/>
    <m/>
    <m/>
    <m/>
    <m/>
    <m/>
    <m/>
    <m/>
    <n v="3.03"/>
    <m/>
    <m/>
    <m/>
    <m/>
    <m/>
    <m/>
    <m/>
    <m/>
    <m/>
    <m/>
    <m/>
    <m/>
    <m/>
    <m/>
    <s v="0.00%"/>
    <s v="0.00%"/>
    <s v="0.00%"/>
    <s v="0.00%"/>
    <m/>
    <m/>
    <m/>
    <m/>
    <m/>
    <m/>
    <m/>
    <s v="0.00%"/>
    <s v="0.00%"/>
    <s v="0.00%"/>
    <s v="0.00%"/>
    <m/>
    <m/>
    <m/>
    <m/>
    <m/>
    <m/>
    <m/>
    <m/>
    <m/>
    <m/>
    <m/>
    <m/>
    <m/>
    <m/>
    <m/>
    <m/>
    <m/>
    <s v="Mike Teixeira"/>
    <m/>
    <s v="01/29/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2/28/2024"/>
    <x v="26"/>
    <n v="5637540"/>
    <s v="Click Here To View"/>
    <s v="Construction"/>
    <n v="1.23"/>
    <s v="100.00%"/>
    <s v="0.00%"/>
    <s v="100.00%"/>
    <s v="0.00%"/>
    <m/>
    <n v="1.23"/>
    <m/>
    <n v="1.23"/>
    <m/>
    <m/>
    <m/>
    <m/>
    <m/>
    <m/>
    <m/>
    <m/>
    <m/>
    <m/>
    <m/>
    <m/>
    <m/>
    <m/>
    <m/>
    <m/>
    <m/>
    <m/>
    <m/>
    <n v="1.23"/>
    <m/>
    <m/>
    <m/>
    <m/>
    <m/>
    <m/>
    <m/>
    <m/>
    <m/>
    <m/>
    <m/>
    <m/>
    <m/>
    <m/>
    <s v="0.00%"/>
    <s v="0.00%"/>
    <s v="0.00%"/>
    <s v="0.00%"/>
    <m/>
    <m/>
    <m/>
    <m/>
    <m/>
    <m/>
    <m/>
    <s v="0.00%"/>
    <s v="0.00%"/>
    <s v="0.00%"/>
    <s v="0.00%"/>
    <m/>
    <m/>
    <m/>
    <m/>
    <m/>
    <m/>
    <m/>
    <m/>
    <m/>
    <m/>
    <m/>
    <m/>
    <m/>
    <m/>
    <m/>
    <m/>
    <m/>
    <s v="Mike Teixeira"/>
    <m/>
    <s v="01/29/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2/31/2024"/>
    <x v="26"/>
    <n v="5639276"/>
    <s v="Click Here To View"/>
    <s v="Construction"/>
    <n v="6.16"/>
    <s v="100.00%"/>
    <s v="0.00%"/>
    <s v="100.00%"/>
    <s v="0.00%"/>
    <m/>
    <n v="6.16"/>
    <m/>
    <n v="6.16"/>
    <m/>
    <m/>
    <m/>
    <m/>
    <m/>
    <m/>
    <m/>
    <m/>
    <m/>
    <m/>
    <m/>
    <m/>
    <m/>
    <m/>
    <m/>
    <m/>
    <m/>
    <m/>
    <m/>
    <n v="6.16"/>
    <m/>
    <m/>
    <m/>
    <m/>
    <m/>
    <m/>
    <m/>
    <m/>
    <m/>
    <m/>
    <m/>
    <m/>
    <m/>
    <m/>
    <s v="0.00%"/>
    <s v="0.00%"/>
    <s v="0.00%"/>
    <s v="0.00%"/>
    <m/>
    <m/>
    <m/>
    <m/>
    <m/>
    <m/>
    <m/>
    <s v="0.00%"/>
    <s v="0.00%"/>
    <s v="0.00%"/>
    <s v="0.00%"/>
    <m/>
    <m/>
    <m/>
    <m/>
    <m/>
    <m/>
    <m/>
    <m/>
    <m/>
    <m/>
    <m/>
    <m/>
    <m/>
    <m/>
    <m/>
    <m/>
    <m/>
    <s v="Mike Teixeira"/>
    <m/>
    <s v="01/29/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1/02/2025"/>
    <x v="27"/>
    <n v="5639743"/>
    <s v="Click Here To View"/>
    <s v="Construction"/>
    <n v="2.5299999999999998"/>
    <s v="100.00%"/>
    <s v="0.00%"/>
    <s v="100.00%"/>
    <s v="0.00%"/>
    <m/>
    <n v="2.5299999999999998"/>
    <m/>
    <n v="2.5299999999999998"/>
    <m/>
    <m/>
    <m/>
    <m/>
    <m/>
    <m/>
    <m/>
    <m/>
    <m/>
    <m/>
    <m/>
    <m/>
    <m/>
    <m/>
    <m/>
    <m/>
    <m/>
    <m/>
    <m/>
    <n v="2.5299999999999998"/>
    <m/>
    <m/>
    <m/>
    <m/>
    <m/>
    <m/>
    <m/>
    <m/>
    <m/>
    <m/>
    <m/>
    <m/>
    <m/>
    <m/>
    <s v="0.00%"/>
    <s v="0.00%"/>
    <s v="0.00%"/>
    <s v="0.00%"/>
    <m/>
    <m/>
    <m/>
    <m/>
    <m/>
    <m/>
    <m/>
    <s v="0.00%"/>
    <s v="0.00%"/>
    <s v="0.00%"/>
    <s v="0.00%"/>
    <m/>
    <m/>
    <m/>
    <m/>
    <m/>
    <m/>
    <m/>
    <m/>
    <m/>
    <m/>
    <m/>
    <m/>
    <m/>
    <m/>
    <m/>
    <m/>
    <m/>
    <s v="Mike Teixeira"/>
    <m/>
    <s v="01/29/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1/03/2025"/>
    <x v="27"/>
    <n v="56406225"/>
    <s v="Click Here To View"/>
    <s v="Construction"/>
    <n v="3.54"/>
    <s v="100.00%"/>
    <s v="0.00%"/>
    <s v="100.00%"/>
    <s v="0.00%"/>
    <m/>
    <n v="3.54"/>
    <m/>
    <n v="3.54"/>
    <m/>
    <m/>
    <m/>
    <m/>
    <m/>
    <m/>
    <m/>
    <m/>
    <m/>
    <m/>
    <m/>
    <m/>
    <m/>
    <m/>
    <m/>
    <m/>
    <m/>
    <m/>
    <m/>
    <n v="3.54"/>
    <m/>
    <m/>
    <m/>
    <m/>
    <m/>
    <m/>
    <m/>
    <m/>
    <m/>
    <m/>
    <m/>
    <m/>
    <m/>
    <m/>
    <s v="0.00%"/>
    <s v="0.00%"/>
    <s v="0.00%"/>
    <s v="0.00%"/>
    <m/>
    <m/>
    <m/>
    <m/>
    <m/>
    <m/>
    <m/>
    <s v="0.00%"/>
    <s v="0.00%"/>
    <s v="0.00%"/>
    <s v="0.00%"/>
    <m/>
    <m/>
    <m/>
    <m/>
    <m/>
    <m/>
    <m/>
    <m/>
    <m/>
    <m/>
    <m/>
    <m/>
    <m/>
    <m/>
    <m/>
    <m/>
    <m/>
    <s v="Mike Teixeira"/>
    <m/>
    <s v="01/29/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1/06/2025"/>
    <x v="27"/>
    <n v="5642432"/>
    <s v="Click Here To View"/>
    <s v="Construction"/>
    <n v="1.85"/>
    <s v="100.00%"/>
    <s v="0.00%"/>
    <s v="100.00%"/>
    <s v="0.00%"/>
    <m/>
    <n v="1.85"/>
    <m/>
    <n v="1.85"/>
    <m/>
    <m/>
    <m/>
    <m/>
    <m/>
    <m/>
    <m/>
    <m/>
    <m/>
    <m/>
    <m/>
    <m/>
    <m/>
    <m/>
    <m/>
    <m/>
    <m/>
    <m/>
    <m/>
    <n v="1.85"/>
    <m/>
    <m/>
    <m/>
    <m/>
    <m/>
    <m/>
    <m/>
    <m/>
    <m/>
    <m/>
    <m/>
    <m/>
    <m/>
    <m/>
    <s v="0.00%"/>
    <s v="0.00%"/>
    <s v="0.00%"/>
    <s v="0.00%"/>
    <m/>
    <m/>
    <m/>
    <m/>
    <m/>
    <m/>
    <m/>
    <s v="0.00%"/>
    <s v="0.00%"/>
    <s v="0.00%"/>
    <s v="0.00%"/>
    <m/>
    <m/>
    <m/>
    <m/>
    <m/>
    <m/>
    <m/>
    <m/>
    <m/>
    <m/>
    <m/>
    <m/>
    <m/>
    <m/>
    <m/>
    <m/>
    <m/>
    <s v="Mike Teixeira"/>
    <m/>
    <s v="01/29/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1/07/2025"/>
    <x v="27"/>
    <n v="5643083"/>
    <s v="Click Here To View"/>
    <s v="Construction"/>
    <n v="4.34"/>
    <s v="100.00%"/>
    <s v="0.00%"/>
    <s v="100.00%"/>
    <s v="0.00%"/>
    <m/>
    <n v="4.34"/>
    <m/>
    <n v="4.34"/>
    <m/>
    <m/>
    <m/>
    <m/>
    <m/>
    <m/>
    <m/>
    <m/>
    <m/>
    <m/>
    <m/>
    <m/>
    <m/>
    <m/>
    <m/>
    <m/>
    <m/>
    <m/>
    <m/>
    <n v="4.34"/>
    <m/>
    <m/>
    <m/>
    <m/>
    <m/>
    <m/>
    <m/>
    <m/>
    <m/>
    <m/>
    <m/>
    <m/>
    <m/>
    <m/>
    <s v="0.00%"/>
    <s v="0.00%"/>
    <s v="0.00%"/>
    <s v="0.00%"/>
    <m/>
    <m/>
    <m/>
    <m/>
    <m/>
    <m/>
    <m/>
    <s v="0.00%"/>
    <s v="0.00%"/>
    <s v="0.00%"/>
    <s v="0.00%"/>
    <m/>
    <m/>
    <m/>
    <m/>
    <m/>
    <m/>
    <m/>
    <m/>
    <m/>
    <m/>
    <m/>
    <m/>
    <m/>
    <m/>
    <m/>
    <m/>
    <m/>
    <s v="Mike Teixeira"/>
    <m/>
    <s v="01/29/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1/08/2025"/>
    <x v="27"/>
    <n v="5644067"/>
    <s v="Click Here To View"/>
    <s v="Construction"/>
    <n v="3.99"/>
    <s v="100.00%"/>
    <s v="0.00%"/>
    <s v="100.00%"/>
    <s v="0.00%"/>
    <m/>
    <n v="3.99"/>
    <m/>
    <n v="3.99"/>
    <m/>
    <m/>
    <m/>
    <m/>
    <m/>
    <m/>
    <m/>
    <m/>
    <m/>
    <m/>
    <m/>
    <m/>
    <m/>
    <m/>
    <m/>
    <m/>
    <m/>
    <m/>
    <m/>
    <n v="3.99"/>
    <m/>
    <m/>
    <m/>
    <m/>
    <m/>
    <m/>
    <m/>
    <m/>
    <m/>
    <m/>
    <m/>
    <m/>
    <m/>
    <m/>
    <s v="0.00%"/>
    <s v="0.00%"/>
    <s v="0.00%"/>
    <s v="0.00%"/>
    <m/>
    <m/>
    <m/>
    <m/>
    <m/>
    <m/>
    <m/>
    <s v="0.00%"/>
    <s v="0.00%"/>
    <s v="0.00%"/>
    <s v="0.00%"/>
    <m/>
    <m/>
    <m/>
    <m/>
    <m/>
    <m/>
    <m/>
    <m/>
    <m/>
    <m/>
    <m/>
    <m/>
    <m/>
    <m/>
    <m/>
    <m/>
    <m/>
    <s v="Mike Teixeira"/>
    <m/>
    <s v="01/29/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1/09/2025"/>
    <x v="27"/>
    <n v="5645040"/>
    <s v="Click Here To View"/>
    <s v="Construction"/>
    <n v="5.23"/>
    <s v="100.00%"/>
    <s v="0.00%"/>
    <s v="100.00%"/>
    <s v="0.00%"/>
    <m/>
    <n v="5.23"/>
    <m/>
    <n v="5.23"/>
    <m/>
    <m/>
    <m/>
    <m/>
    <m/>
    <m/>
    <m/>
    <m/>
    <m/>
    <m/>
    <m/>
    <m/>
    <m/>
    <m/>
    <m/>
    <m/>
    <m/>
    <m/>
    <m/>
    <n v="5.23"/>
    <m/>
    <m/>
    <m/>
    <m/>
    <m/>
    <m/>
    <m/>
    <m/>
    <m/>
    <m/>
    <m/>
    <m/>
    <m/>
    <m/>
    <s v="0.00%"/>
    <s v="0.00%"/>
    <s v="0.00%"/>
    <s v="0.00%"/>
    <m/>
    <m/>
    <m/>
    <m/>
    <m/>
    <m/>
    <m/>
    <s v="0.00%"/>
    <s v="0.00%"/>
    <s v="0.00%"/>
    <s v="0.00%"/>
    <m/>
    <m/>
    <m/>
    <m/>
    <m/>
    <m/>
    <m/>
    <m/>
    <m/>
    <m/>
    <m/>
    <m/>
    <m/>
    <m/>
    <m/>
    <m/>
    <m/>
    <s v="Mike Teixeira"/>
    <m/>
    <s v="01/29/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1/11/2025"/>
    <x v="27"/>
    <n v="5646115"/>
    <s v="Click Here To View"/>
    <s v="Construction"/>
    <n v="0.38"/>
    <s v="100.00%"/>
    <s v="0.00%"/>
    <s v="100.00%"/>
    <s v="0.00%"/>
    <m/>
    <n v="0.38"/>
    <m/>
    <n v="0.38"/>
    <m/>
    <m/>
    <m/>
    <m/>
    <m/>
    <m/>
    <m/>
    <m/>
    <m/>
    <m/>
    <m/>
    <m/>
    <m/>
    <m/>
    <m/>
    <m/>
    <m/>
    <m/>
    <m/>
    <n v="0.38"/>
    <m/>
    <m/>
    <m/>
    <m/>
    <m/>
    <m/>
    <m/>
    <m/>
    <m/>
    <m/>
    <m/>
    <m/>
    <m/>
    <m/>
    <s v="0.00%"/>
    <s v="0.00%"/>
    <s v="0.00%"/>
    <s v="0.00%"/>
    <m/>
    <m/>
    <m/>
    <m/>
    <m/>
    <m/>
    <m/>
    <s v="0.00%"/>
    <s v="0.00%"/>
    <s v="0.00%"/>
    <s v="0.00%"/>
    <m/>
    <m/>
    <m/>
    <m/>
    <m/>
    <m/>
    <m/>
    <m/>
    <m/>
    <m/>
    <m/>
    <m/>
    <m/>
    <m/>
    <m/>
    <m/>
    <m/>
    <s v="Mike Teixeira"/>
    <m/>
    <s v="01/29/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1/13/2025"/>
    <x v="27"/>
    <n v="5646915"/>
    <s v="Click Here To View"/>
    <s v="Construction"/>
    <n v="4.5999999999999996"/>
    <s v="100.00%"/>
    <s v="0.00%"/>
    <s v="100.00%"/>
    <s v="0.00%"/>
    <m/>
    <n v="4.5999999999999996"/>
    <m/>
    <n v="4.5999999999999996"/>
    <m/>
    <m/>
    <m/>
    <m/>
    <m/>
    <m/>
    <m/>
    <m/>
    <m/>
    <m/>
    <m/>
    <m/>
    <m/>
    <m/>
    <m/>
    <m/>
    <m/>
    <m/>
    <m/>
    <n v="4.5999999999999996"/>
    <m/>
    <m/>
    <m/>
    <m/>
    <m/>
    <m/>
    <m/>
    <m/>
    <m/>
    <m/>
    <m/>
    <m/>
    <m/>
    <m/>
    <s v="0.00%"/>
    <s v="0.00%"/>
    <s v="0.00%"/>
    <s v="0.00%"/>
    <m/>
    <m/>
    <m/>
    <m/>
    <m/>
    <m/>
    <m/>
    <s v="0.00%"/>
    <s v="0.00%"/>
    <s v="0.00%"/>
    <s v="0.00%"/>
    <m/>
    <m/>
    <m/>
    <m/>
    <m/>
    <m/>
    <m/>
    <m/>
    <m/>
    <m/>
    <m/>
    <m/>
    <m/>
    <m/>
    <m/>
    <m/>
    <m/>
    <s v="Mike Teixeira"/>
    <m/>
    <s v="01/29/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1/15/2025"/>
    <x v="27"/>
    <n v="5648647"/>
    <s v="Click Here To View"/>
    <s v="Construction"/>
    <n v="4.07"/>
    <s v="100.00%"/>
    <s v="0.00%"/>
    <s v="100.00%"/>
    <s v="0.00%"/>
    <m/>
    <n v="4.07"/>
    <m/>
    <n v="4.07"/>
    <m/>
    <m/>
    <m/>
    <m/>
    <m/>
    <m/>
    <m/>
    <m/>
    <m/>
    <m/>
    <m/>
    <m/>
    <m/>
    <m/>
    <m/>
    <m/>
    <m/>
    <m/>
    <m/>
    <n v="4.07"/>
    <m/>
    <m/>
    <m/>
    <m/>
    <m/>
    <m/>
    <m/>
    <m/>
    <m/>
    <m/>
    <m/>
    <m/>
    <m/>
    <m/>
    <s v="0.00%"/>
    <s v="0.00%"/>
    <s v="0.00%"/>
    <s v="0.00%"/>
    <m/>
    <m/>
    <m/>
    <m/>
    <m/>
    <m/>
    <m/>
    <s v="0.00%"/>
    <s v="0.00%"/>
    <s v="0.00%"/>
    <s v="0.00%"/>
    <m/>
    <m/>
    <m/>
    <m/>
    <m/>
    <m/>
    <m/>
    <m/>
    <m/>
    <m/>
    <m/>
    <m/>
    <m/>
    <m/>
    <m/>
    <m/>
    <m/>
    <s v="Mike Teixeira"/>
    <m/>
    <s v="01/29/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1/16/2025"/>
    <x v="27"/>
    <n v="5648903"/>
    <s v="Click Here To View"/>
    <s v="Construction"/>
    <n v="4.49"/>
    <s v="100.00%"/>
    <s v="0.00%"/>
    <s v="100.00%"/>
    <s v="0.00%"/>
    <m/>
    <n v="4.49"/>
    <m/>
    <n v="4.49"/>
    <m/>
    <m/>
    <m/>
    <m/>
    <m/>
    <m/>
    <m/>
    <m/>
    <m/>
    <m/>
    <m/>
    <m/>
    <m/>
    <m/>
    <m/>
    <m/>
    <m/>
    <m/>
    <m/>
    <n v="4.49"/>
    <m/>
    <m/>
    <m/>
    <m/>
    <m/>
    <m/>
    <m/>
    <m/>
    <m/>
    <m/>
    <m/>
    <m/>
    <m/>
    <m/>
    <s v="0.00%"/>
    <s v="0.00%"/>
    <s v="0.00%"/>
    <s v="0.00%"/>
    <m/>
    <m/>
    <m/>
    <m/>
    <m/>
    <m/>
    <m/>
    <s v="0.00%"/>
    <s v="0.00%"/>
    <s v="0.00%"/>
    <s v="0.00%"/>
    <m/>
    <m/>
    <m/>
    <m/>
    <m/>
    <m/>
    <m/>
    <m/>
    <m/>
    <m/>
    <m/>
    <m/>
    <m/>
    <m/>
    <m/>
    <m/>
    <m/>
    <s v="Mike Teixeira"/>
    <m/>
    <s v="01/29/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1/16/2025"/>
    <x v="27"/>
    <n v="5649478"/>
    <s v="Click Here To View"/>
    <s v="Construction"/>
    <n v="1.98"/>
    <s v="100.00%"/>
    <s v="0.00%"/>
    <s v="100.00%"/>
    <s v="0.00%"/>
    <m/>
    <n v="1.98"/>
    <m/>
    <n v="1.98"/>
    <m/>
    <m/>
    <m/>
    <m/>
    <m/>
    <m/>
    <m/>
    <m/>
    <m/>
    <m/>
    <m/>
    <m/>
    <m/>
    <m/>
    <m/>
    <m/>
    <m/>
    <m/>
    <m/>
    <n v="1.98"/>
    <m/>
    <m/>
    <m/>
    <m/>
    <m/>
    <m/>
    <m/>
    <m/>
    <m/>
    <m/>
    <m/>
    <m/>
    <m/>
    <m/>
    <s v="0.00%"/>
    <s v="0.00%"/>
    <s v="0.00%"/>
    <s v="0.00%"/>
    <m/>
    <m/>
    <m/>
    <m/>
    <m/>
    <m/>
    <m/>
    <s v="0.00%"/>
    <s v="0.00%"/>
    <s v="0.00%"/>
    <s v="0.00%"/>
    <m/>
    <m/>
    <m/>
    <m/>
    <m/>
    <m/>
    <m/>
    <m/>
    <m/>
    <m/>
    <m/>
    <m/>
    <m/>
    <m/>
    <m/>
    <m/>
    <m/>
    <s v="Mike Teixeira"/>
    <m/>
    <s v="01/29/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1/17/2025"/>
    <x v="27"/>
    <n v="5650178"/>
    <s v="Click Here To View"/>
    <s v="Construction"/>
    <n v="1"/>
    <s v="100.00%"/>
    <s v="0.00%"/>
    <s v="100.00%"/>
    <s v="0.00%"/>
    <m/>
    <n v="1"/>
    <m/>
    <n v="1"/>
    <m/>
    <m/>
    <m/>
    <m/>
    <m/>
    <m/>
    <m/>
    <m/>
    <m/>
    <m/>
    <m/>
    <m/>
    <m/>
    <m/>
    <m/>
    <m/>
    <m/>
    <m/>
    <m/>
    <n v="1"/>
    <m/>
    <m/>
    <m/>
    <m/>
    <m/>
    <m/>
    <m/>
    <m/>
    <m/>
    <m/>
    <m/>
    <m/>
    <m/>
    <m/>
    <s v="0.00%"/>
    <s v="0.00%"/>
    <s v="0.00%"/>
    <s v="0.00%"/>
    <m/>
    <m/>
    <m/>
    <m/>
    <m/>
    <m/>
    <m/>
    <s v="0.00%"/>
    <s v="0.00%"/>
    <s v="0.00%"/>
    <s v="0.00%"/>
    <m/>
    <m/>
    <m/>
    <m/>
    <m/>
    <m/>
    <m/>
    <m/>
    <m/>
    <m/>
    <m/>
    <m/>
    <m/>
    <m/>
    <m/>
    <m/>
    <m/>
    <s v="Mike Teixeira"/>
    <m/>
    <s v="01/29/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1/21/2025"/>
    <x v="27"/>
    <n v="5652228"/>
    <s v="Click Here To View"/>
    <s v="Construction"/>
    <n v="8.85"/>
    <s v="100.00%"/>
    <s v="0.00%"/>
    <s v="100.00%"/>
    <s v="0.00%"/>
    <m/>
    <n v="8.85"/>
    <m/>
    <n v="8.85"/>
    <m/>
    <m/>
    <m/>
    <m/>
    <m/>
    <m/>
    <m/>
    <m/>
    <m/>
    <m/>
    <m/>
    <m/>
    <m/>
    <m/>
    <m/>
    <m/>
    <m/>
    <m/>
    <m/>
    <n v="8.85"/>
    <m/>
    <m/>
    <m/>
    <m/>
    <m/>
    <m/>
    <m/>
    <m/>
    <m/>
    <m/>
    <m/>
    <m/>
    <m/>
    <m/>
    <s v="0.00%"/>
    <s v="0.00%"/>
    <s v="0.00%"/>
    <s v="0.00%"/>
    <m/>
    <m/>
    <m/>
    <m/>
    <m/>
    <m/>
    <m/>
    <s v="0.00%"/>
    <s v="0.00%"/>
    <s v="0.00%"/>
    <s v="0.00%"/>
    <m/>
    <m/>
    <m/>
    <m/>
    <m/>
    <m/>
    <m/>
    <m/>
    <m/>
    <m/>
    <m/>
    <m/>
    <m/>
    <m/>
    <m/>
    <m/>
    <m/>
    <s v="Mike Teixeira"/>
    <m/>
    <s v="01/29/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1/23/2025"/>
    <x v="27"/>
    <n v="5653348"/>
    <s v="Click Here To View"/>
    <s v="Construction"/>
    <n v="2.04"/>
    <s v="100.00%"/>
    <s v="0.00%"/>
    <s v="100.00%"/>
    <s v="0.00%"/>
    <m/>
    <n v="2.04"/>
    <m/>
    <n v="2.04"/>
    <m/>
    <m/>
    <m/>
    <m/>
    <m/>
    <m/>
    <m/>
    <m/>
    <m/>
    <m/>
    <m/>
    <m/>
    <m/>
    <m/>
    <m/>
    <m/>
    <m/>
    <m/>
    <m/>
    <n v="2.04"/>
    <m/>
    <m/>
    <m/>
    <m/>
    <m/>
    <m/>
    <m/>
    <m/>
    <m/>
    <m/>
    <m/>
    <m/>
    <m/>
    <m/>
    <s v="0.00%"/>
    <s v="0.00%"/>
    <s v="0.00%"/>
    <s v="0.00%"/>
    <m/>
    <m/>
    <m/>
    <m/>
    <m/>
    <m/>
    <m/>
    <s v="0.00%"/>
    <s v="0.00%"/>
    <s v="0.00%"/>
    <s v="0.00%"/>
    <m/>
    <m/>
    <m/>
    <m/>
    <m/>
    <m/>
    <m/>
    <m/>
    <m/>
    <m/>
    <m/>
    <m/>
    <m/>
    <m/>
    <m/>
    <m/>
    <m/>
    <s v="Mike Teixeira"/>
    <m/>
    <s v="01/29/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1/24/2025"/>
    <x v="27"/>
    <n v="5654331"/>
    <s v="Click Here To View"/>
    <s v="Construction"/>
    <n v="4.13"/>
    <s v="100.00%"/>
    <s v="0.00%"/>
    <s v="100.00%"/>
    <s v="0.00%"/>
    <m/>
    <n v="4.13"/>
    <m/>
    <n v="4.13"/>
    <m/>
    <m/>
    <m/>
    <m/>
    <m/>
    <m/>
    <m/>
    <m/>
    <m/>
    <m/>
    <m/>
    <m/>
    <m/>
    <m/>
    <m/>
    <m/>
    <m/>
    <m/>
    <m/>
    <n v="4.13"/>
    <m/>
    <m/>
    <m/>
    <m/>
    <m/>
    <m/>
    <m/>
    <m/>
    <m/>
    <m/>
    <m/>
    <m/>
    <m/>
    <m/>
    <s v="0.00%"/>
    <s v="0.00%"/>
    <s v="0.00%"/>
    <s v="0.00%"/>
    <m/>
    <m/>
    <m/>
    <m/>
    <m/>
    <m/>
    <m/>
    <s v="0.00%"/>
    <s v="0.00%"/>
    <s v="0.00%"/>
    <s v="0.00%"/>
    <m/>
    <m/>
    <m/>
    <m/>
    <m/>
    <m/>
    <m/>
    <m/>
    <m/>
    <m/>
    <m/>
    <m/>
    <m/>
    <m/>
    <m/>
    <m/>
    <m/>
    <s v="Mike Teixeira"/>
    <m/>
    <s v="01/29/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1/27/2025"/>
    <x v="27"/>
    <n v="5655679"/>
    <s v="Click Here To View"/>
    <s v="Construction"/>
    <n v="1.41"/>
    <s v="100.00%"/>
    <s v="0.00%"/>
    <s v="100.00%"/>
    <s v="0.00%"/>
    <m/>
    <n v="1.41"/>
    <m/>
    <n v="1.41"/>
    <m/>
    <m/>
    <m/>
    <m/>
    <m/>
    <m/>
    <m/>
    <m/>
    <m/>
    <m/>
    <m/>
    <m/>
    <m/>
    <m/>
    <m/>
    <m/>
    <m/>
    <m/>
    <m/>
    <n v="1.41"/>
    <m/>
    <m/>
    <m/>
    <m/>
    <m/>
    <m/>
    <m/>
    <m/>
    <m/>
    <m/>
    <m/>
    <m/>
    <m/>
    <m/>
    <s v="0.00%"/>
    <s v="0.00%"/>
    <s v="0.00%"/>
    <s v="0.00%"/>
    <m/>
    <m/>
    <m/>
    <m/>
    <m/>
    <m/>
    <m/>
    <s v="0.00%"/>
    <s v="0.00%"/>
    <s v="0.00%"/>
    <s v="0.00%"/>
    <m/>
    <m/>
    <m/>
    <m/>
    <m/>
    <m/>
    <m/>
    <m/>
    <m/>
    <m/>
    <m/>
    <m/>
    <m/>
    <m/>
    <m/>
    <m/>
    <m/>
    <s v="Mike Teixeira"/>
    <m/>
    <s v="01/29/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1/27/2025"/>
    <x v="27"/>
    <n v="5655664"/>
    <s v="Click Here To View"/>
    <s v="Construction"/>
    <n v="5.23"/>
    <s v="100.00%"/>
    <s v="0.00%"/>
    <s v="100.00%"/>
    <s v="0.00%"/>
    <m/>
    <n v="5.23"/>
    <m/>
    <n v="5.23"/>
    <m/>
    <m/>
    <m/>
    <m/>
    <m/>
    <m/>
    <m/>
    <m/>
    <m/>
    <m/>
    <m/>
    <m/>
    <m/>
    <m/>
    <m/>
    <m/>
    <m/>
    <m/>
    <m/>
    <n v="5.23"/>
    <m/>
    <m/>
    <m/>
    <m/>
    <m/>
    <m/>
    <m/>
    <m/>
    <m/>
    <m/>
    <m/>
    <m/>
    <m/>
    <m/>
    <s v="0.00%"/>
    <s v="0.00%"/>
    <s v="0.00%"/>
    <s v="0.00%"/>
    <m/>
    <m/>
    <m/>
    <m/>
    <m/>
    <m/>
    <m/>
    <s v="0.00%"/>
    <s v="0.00%"/>
    <s v="0.00%"/>
    <s v="0.00%"/>
    <m/>
    <m/>
    <m/>
    <m/>
    <m/>
    <m/>
    <m/>
    <m/>
    <m/>
    <m/>
    <m/>
    <m/>
    <m/>
    <m/>
    <m/>
    <m/>
    <m/>
    <s v="Mike Teixeira"/>
    <m/>
    <s v="01/29/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1/29/2025"/>
    <x v="27"/>
    <n v="5657147"/>
    <s v="Click Here To View"/>
    <s v="Construction"/>
    <n v="3.21"/>
    <s v="100.00%"/>
    <s v="0.00%"/>
    <s v="100.00%"/>
    <s v="0.00%"/>
    <m/>
    <n v="3.21"/>
    <m/>
    <n v="3.21"/>
    <m/>
    <m/>
    <m/>
    <m/>
    <m/>
    <m/>
    <m/>
    <m/>
    <m/>
    <m/>
    <m/>
    <m/>
    <m/>
    <m/>
    <m/>
    <m/>
    <m/>
    <m/>
    <m/>
    <n v="3.21"/>
    <m/>
    <m/>
    <m/>
    <m/>
    <m/>
    <m/>
    <m/>
    <m/>
    <m/>
    <m/>
    <m/>
    <m/>
    <m/>
    <m/>
    <s v="0.00%"/>
    <s v="0.00%"/>
    <s v="0.00%"/>
    <s v="0.00%"/>
    <m/>
    <m/>
    <m/>
    <m/>
    <m/>
    <m/>
    <m/>
    <s v="0.00%"/>
    <s v="0.00%"/>
    <s v="0.00%"/>
    <s v="0.00%"/>
    <m/>
    <m/>
    <m/>
    <m/>
    <m/>
    <m/>
    <m/>
    <m/>
    <m/>
    <m/>
    <m/>
    <m/>
    <m/>
    <m/>
    <m/>
    <m/>
    <m/>
    <s v="Mike Teixeira"/>
    <m/>
    <s v="02/27/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1/30/2025"/>
    <x v="27"/>
    <n v="5657851"/>
    <s v="Click Here To View"/>
    <s v="Construction"/>
    <n v="5.59"/>
    <s v="100.00%"/>
    <s v="0.00%"/>
    <s v="100.00%"/>
    <s v="0.00%"/>
    <m/>
    <n v="5.59"/>
    <m/>
    <n v="5.59"/>
    <m/>
    <m/>
    <m/>
    <m/>
    <m/>
    <m/>
    <m/>
    <m/>
    <m/>
    <m/>
    <m/>
    <m/>
    <m/>
    <m/>
    <m/>
    <m/>
    <m/>
    <m/>
    <m/>
    <n v="5.59"/>
    <m/>
    <m/>
    <m/>
    <m/>
    <m/>
    <m/>
    <m/>
    <m/>
    <m/>
    <m/>
    <m/>
    <m/>
    <m/>
    <m/>
    <s v="0.00%"/>
    <s v="0.00%"/>
    <s v="0.00%"/>
    <s v="0.00%"/>
    <m/>
    <m/>
    <m/>
    <m/>
    <m/>
    <m/>
    <m/>
    <s v="0.00%"/>
    <s v="0.00%"/>
    <s v="0.00%"/>
    <s v="0.00%"/>
    <m/>
    <m/>
    <m/>
    <m/>
    <m/>
    <m/>
    <m/>
    <m/>
    <m/>
    <m/>
    <m/>
    <m/>
    <m/>
    <m/>
    <m/>
    <m/>
    <m/>
    <s v="Mike Teixeira"/>
    <m/>
    <s v="02/27/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2/03/2025"/>
    <x v="28"/>
    <n v="5659875"/>
    <s v="Click Here To View"/>
    <s v="Construction"/>
    <n v="2.09"/>
    <s v="100.00%"/>
    <s v="0.00%"/>
    <s v="100.00%"/>
    <s v="0.00%"/>
    <m/>
    <n v="2.09"/>
    <m/>
    <n v="2.09"/>
    <m/>
    <m/>
    <m/>
    <m/>
    <m/>
    <m/>
    <m/>
    <m/>
    <m/>
    <m/>
    <m/>
    <m/>
    <m/>
    <m/>
    <m/>
    <m/>
    <m/>
    <m/>
    <m/>
    <n v="2.09"/>
    <m/>
    <m/>
    <m/>
    <m/>
    <m/>
    <m/>
    <m/>
    <m/>
    <m/>
    <m/>
    <m/>
    <m/>
    <m/>
    <m/>
    <s v="0.00%"/>
    <s v="0.00%"/>
    <s v="0.00%"/>
    <s v="0.00%"/>
    <m/>
    <m/>
    <m/>
    <m/>
    <m/>
    <m/>
    <m/>
    <s v="0.00%"/>
    <s v="0.00%"/>
    <s v="0.00%"/>
    <s v="0.00%"/>
    <m/>
    <m/>
    <m/>
    <m/>
    <m/>
    <m/>
    <m/>
    <m/>
    <m/>
    <m/>
    <m/>
    <m/>
    <m/>
    <m/>
    <m/>
    <m/>
    <m/>
    <s v="Mike Teixeira"/>
    <m/>
    <s v="02/27/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2/03/2025"/>
    <x v="28"/>
    <n v="5659762"/>
    <s v="Click Here To View"/>
    <s v="Construction"/>
    <n v="7.7"/>
    <s v="100.00%"/>
    <s v="0.00%"/>
    <s v="100.00%"/>
    <s v="0.00%"/>
    <m/>
    <n v="7.7"/>
    <m/>
    <n v="7.7"/>
    <m/>
    <m/>
    <m/>
    <m/>
    <m/>
    <m/>
    <m/>
    <m/>
    <m/>
    <m/>
    <m/>
    <m/>
    <m/>
    <m/>
    <m/>
    <m/>
    <m/>
    <m/>
    <m/>
    <n v="7.7"/>
    <m/>
    <m/>
    <m/>
    <m/>
    <m/>
    <m/>
    <m/>
    <m/>
    <m/>
    <m/>
    <m/>
    <m/>
    <m/>
    <m/>
    <s v="0.00%"/>
    <s v="0.00%"/>
    <s v="0.00%"/>
    <s v="0.00%"/>
    <m/>
    <m/>
    <m/>
    <m/>
    <m/>
    <m/>
    <m/>
    <s v="0.00%"/>
    <s v="0.00%"/>
    <s v="0.00%"/>
    <s v="0.00%"/>
    <m/>
    <m/>
    <m/>
    <m/>
    <m/>
    <m/>
    <m/>
    <m/>
    <m/>
    <m/>
    <m/>
    <m/>
    <m/>
    <m/>
    <m/>
    <m/>
    <m/>
    <s v="Mike Teixeira"/>
    <m/>
    <s v="02/27/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2/06/2025"/>
    <x v="28"/>
    <n v="5661697"/>
    <s v="Click Here To View"/>
    <s v="Construction"/>
    <n v="5.32"/>
    <s v="100.00%"/>
    <s v="0.00%"/>
    <s v="100.00%"/>
    <s v="0.00%"/>
    <m/>
    <n v="5.32"/>
    <m/>
    <n v="5.32"/>
    <m/>
    <m/>
    <m/>
    <m/>
    <m/>
    <m/>
    <m/>
    <m/>
    <m/>
    <m/>
    <m/>
    <m/>
    <m/>
    <m/>
    <m/>
    <m/>
    <m/>
    <m/>
    <m/>
    <n v="5.32"/>
    <m/>
    <m/>
    <m/>
    <m/>
    <m/>
    <m/>
    <m/>
    <m/>
    <m/>
    <m/>
    <m/>
    <m/>
    <m/>
    <m/>
    <s v="0.00%"/>
    <s v="0.00%"/>
    <s v="0.00%"/>
    <s v="0.00%"/>
    <m/>
    <m/>
    <m/>
    <m/>
    <m/>
    <m/>
    <m/>
    <s v="0.00%"/>
    <s v="0.00%"/>
    <s v="0.00%"/>
    <s v="0.00%"/>
    <m/>
    <m/>
    <m/>
    <m/>
    <m/>
    <m/>
    <m/>
    <m/>
    <m/>
    <m/>
    <m/>
    <m/>
    <m/>
    <m/>
    <m/>
    <m/>
    <m/>
    <s v="Mike Teixeira"/>
    <m/>
    <s v="02/27/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2/07/2025"/>
    <x v="28"/>
    <n v="5662342"/>
    <s v="Click Here To View"/>
    <s v="Construction"/>
    <n v="1.34"/>
    <s v="100.00%"/>
    <s v="0.00%"/>
    <s v="100.00%"/>
    <s v="0.00%"/>
    <m/>
    <n v="1.34"/>
    <m/>
    <n v="1.34"/>
    <m/>
    <m/>
    <m/>
    <m/>
    <m/>
    <m/>
    <m/>
    <m/>
    <m/>
    <m/>
    <m/>
    <m/>
    <m/>
    <m/>
    <m/>
    <m/>
    <m/>
    <m/>
    <m/>
    <n v="1.34"/>
    <m/>
    <m/>
    <m/>
    <m/>
    <m/>
    <m/>
    <m/>
    <m/>
    <m/>
    <m/>
    <m/>
    <m/>
    <m/>
    <m/>
    <s v="0.00%"/>
    <s v="0.00%"/>
    <s v="0.00%"/>
    <s v="0.00%"/>
    <m/>
    <m/>
    <m/>
    <m/>
    <m/>
    <m/>
    <m/>
    <s v="0.00%"/>
    <s v="0.00%"/>
    <s v="0.00%"/>
    <s v="0.00%"/>
    <m/>
    <m/>
    <m/>
    <m/>
    <m/>
    <m/>
    <m/>
    <m/>
    <m/>
    <m/>
    <m/>
    <m/>
    <m/>
    <m/>
    <m/>
    <m/>
    <m/>
    <s v="Mike Teixeira"/>
    <m/>
    <s v="02/27/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2/08/2025"/>
    <x v="28"/>
    <n v="5663047"/>
    <s v="Click Here To View"/>
    <s v="Construction"/>
    <n v="2.77"/>
    <s v="100.00%"/>
    <s v="0.00%"/>
    <s v="100.00%"/>
    <s v="0.00%"/>
    <m/>
    <n v="2.77"/>
    <m/>
    <n v="2.77"/>
    <m/>
    <m/>
    <m/>
    <m/>
    <m/>
    <m/>
    <m/>
    <m/>
    <m/>
    <m/>
    <m/>
    <m/>
    <m/>
    <m/>
    <m/>
    <m/>
    <m/>
    <m/>
    <m/>
    <n v="2.77"/>
    <m/>
    <m/>
    <m/>
    <m/>
    <m/>
    <m/>
    <m/>
    <m/>
    <m/>
    <m/>
    <m/>
    <m/>
    <m/>
    <m/>
    <s v="0.00%"/>
    <s v="0.00%"/>
    <s v="0.00%"/>
    <s v="0.00%"/>
    <m/>
    <m/>
    <m/>
    <m/>
    <m/>
    <m/>
    <m/>
    <s v="0.00%"/>
    <s v="0.00%"/>
    <s v="0.00%"/>
    <s v="0.00%"/>
    <m/>
    <m/>
    <m/>
    <m/>
    <m/>
    <m/>
    <m/>
    <m/>
    <m/>
    <m/>
    <m/>
    <m/>
    <m/>
    <m/>
    <m/>
    <m/>
    <m/>
    <s v="Mike Teixeira"/>
    <m/>
    <s v="02/27/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2/10/2025"/>
    <x v="28"/>
    <n v="5663894"/>
    <s v="Click Here To View"/>
    <s v="Construction"/>
    <n v="1.1399999999999999"/>
    <s v="100.00%"/>
    <s v="0.00%"/>
    <s v="100.00%"/>
    <s v="0.00%"/>
    <m/>
    <n v="1.1399999999999999"/>
    <m/>
    <n v="1.1399999999999999"/>
    <m/>
    <m/>
    <m/>
    <m/>
    <m/>
    <m/>
    <m/>
    <m/>
    <m/>
    <m/>
    <m/>
    <m/>
    <m/>
    <m/>
    <m/>
    <m/>
    <m/>
    <m/>
    <m/>
    <n v="1.1399999999999999"/>
    <m/>
    <m/>
    <m/>
    <m/>
    <m/>
    <m/>
    <m/>
    <m/>
    <m/>
    <m/>
    <m/>
    <m/>
    <m/>
    <m/>
    <s v="0.00%"/>
    <s v="0.00%"/>
    <s v="0.00%"/>
    <s v="0.00%"/>
    <m/>
    <m/>
    <m/>
    <m/>
    <m/>
    <m/>
    <m/>
    <s v="0.00%"/>
    <s v="0.00%"/>
    <s v="0.00%"/>
    <s v="0.00%"/>
    <m/>
    <m/>
    <m/>
    <m/>
    <m/>
    <m/>
    <m/>
    <m/>
    <m/>
    <m/>
    <m/>
    <m/>
    <m/>
    <m/>
    <m/>
    <m/>
    <m/>
    <s v="Mike Teixeira"/>
    <m/>
    <s v="02/27/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2/10/2025"/>
    <x v="28"/>
    <n v="5663903"/>
    <s v="Click Here To View"/>
    <s v="Construction"/>
    <n v="3.18"/>
    <s v="100.00%"/>
    <s v="0.00%"/>
    <s v="100.00%"/>
    <s v="0.00%"/>
    <m/>
    <n v="3.18"/>
    <m/>
    <n v="3.18"/>
    <m/>
    <m/>
    <m/>
    <m/>
    <m/>
    <m/>
    <m/>
    <m/>
    <m/>
    <m/>
    <m/>
    <m/>
    <m/>
    <m/>
    <m/>
    <m/>
    <m/>
    <m/>
    <m/>
    <n v="3.18"/>
    <m/>
    <m/>
    <m/>
    <m/>
    <m/>
    <m/>
    <m/>
    <m/>
    <m/>
    <m/>
    <m/>
    <m/>
    <m/>
    <m/>
    <s v="0.00%"/>
    <s v="0.00%"/>
    <s v="0.00%"/>
    <s v="0.00%"/>
    <m/>
    <m/>
    <m/>
    <m/>
    <m/>
    <m/>
    <m/>
    <s v="0.00%"/>
    <s v="0.00%"/>
    <s v="0.00%"/>
    <s v="0.00%"/>
    <m/>
    <m/>
    <m/>
    <m/>
    <m/>
    <m/>
    <m/>
    <m/>
    <m/>
    <m/>
    <m/>
    <m/>
    <m/>
    <m/>
    <m/>
    <m/>
    <m/>
    <s v="Mike Teixeira"/>
    <m/>
    <s v="02/27/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2/10/2025"/>
    <x v="28"/>
    <n v="5663823"/>
    <s v="Click Here To View"/>
    <s v="Construction"/>
    <n v="7.96"/>
    <s v="100.00%"/>
    <s v="0.00%"/>
    <s v="100.00%"/>
    <s v="0.00%"/>
    <m/>
    <n v="7.96"/>
    <m/>
    <n v="7.96"/>
    <m/>
    <m/>
    <m/>
    <m/>
    <m/>
    <m/>
    <m/>
    <m/>
    <m/>
    <m/>
    <m/>
    <m/>
    <m/>
    <m/>
    <m/>
    <m/>
    <m/>
    <m/>
    <m/>
    <n v="7.96"/>
    <m/>
    <m/>
    <m/>
    <m/>
    <m/>
    <m/>
    <m/>
    <m/>
    <m/>
    <m/>
    <m/>
    <m/>
    <m/>
    <m/>
    <s v="0.00%"/>
    <s v="0.00%"/>
    <s v="0.00%"/>
    <s v="0.00%"/>
    <m/>
    <m/>
    <m/>
    <m/>
    <m/>
    <m/>
    <m/>
    <s v="0.00%"/>
    <s v="0.00%"/>
    <s v="0.00%"/>
    <s v="0.00%"/>
    <m/>
    <m/>
    <m/>
    <m/>
    <m/>
    <m/>
    <m/>
    <m/>
    <m/>
    <m/>
    <m/>
    <m/>
    <m/>
    <m/>
    <m/>
    <m/>
    <m/>
    <s v="Mike Teixeira"/>
    <m/>
    <s v="02/27/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2/12/2025"/>
    <x v="28"/>
    <n v="5665360"/>
    <s v="Click Here To View"/>
    <s v="Construction"/>
    <n v="4.43"/>
    <s v="100.00%"/>
    <s v="0.00%"/>
    <s v="100.00%"/>
    <s v="0.00%"/>
    <m/>
    <n v="4.43"/>
    <m/>
    <n v="4.43"/>
    <m/>
    <m/>
    <m/>
    <m/>
    <m/>
    <m/>
    <m/>
    <m/>
    <m/>
    <m/>
    <m/>
    <m/>
    <m/>
    <m/>
    <m/>
    <m/>
    <m/>
    <m/>
    <m/>
    <n v="4.43"/>
    <m/>
    <m/>
    <m/>
    <m/>
    <m/>
    <m/>
    <m/>
    <m/>
    <m/>
    <m/>
    <m/>
    <m/>
    <m/>
    <m/>
    <s v="0.00%"/>
    <s v="0.00%"/>
    <s v="0.00%"/>
    <s v="0.00%"/>
    <m/>
    <m/>
    <m/>
    <m/>
    <m/>
    <m/>
    <m/>
    <s v="0.00%"/>
    <s v="0.00%"/>
    <s v="0.00%"/>
    <s v="0.00%"/>
    <m/>
    <m/>
    <m/>
    <m/>
    <m/>
    <m/>
    <m/>
    <m/>
    <m/>
    <m/>
    <m/>
    <m/>
    <m/>
    <m/>
    <m/>
    <m/>
    <m/>
    <s v="Mike Teixeira"/>
    <m/>
    <s v="02/27/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2/13/2025"/>
    <x v="28"/>
    <n v="5665878"/>
    <s v="Click Here To View"/>
    <s v="Construction"/>
    <n v="8.18"/>
    <s v="100.00%"/>
    <s v="0.00%"/>
    <s v="100.00%"/>
    <s v="0.00%"/>
    <m/>
    <n v="8.18"/>
    <m/>
    <n v="8.18"/>
    <m/>
    <m/>
    <m/>
    <m/>
    <m/>
    <m/>
    <m/>
    <m/>
    <m/>
    <m/>
    <m/>
    <m/>
    <m/>
    <m/>
    <m/>
    <m/>
    <m/>
    <m/>
    <m/>
    <n v="8.18"/>
    <m/>
    <m/>
    <m/>
    <m/>
    <m/>
    <m/>
    <m/>
    <m/>
    <m/>
    <m/>
    <m/>
    <m/>
    <m/>
    <m/>
    <s v="0.00%"/>
    <s v="0.00%"/>
    <s v="0.00%"/>
    <s v="0.00%"/>
    <m/>
    <m/>
    <m/>
    <m/>
    <m/>
    <m/>
    <m/>
    <s v="0.00%"/>
    <s v="0.00%"/>
    <s v="0.00%"/>
    <s v="0.00%"/>
    <m/>
    <m/>
    <m/>
    <m/>
    <m/>
    <m/>
    <m/>
    <m/>
    <m/>
    <m/>
    <m/>
    <m/>
    <m/>
    <m/>
    <m/>
    <m/>
    <m/>
    <s v="Mike Teixeira"/>
    <m/>
    <s v="02/27/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2/14/2025"/>
    <x v="28"/>
    <n v="5666225"/>
    <s v="Click Here To View"/>
    <s v="Construction"/>
    <n v="3.46"/>
    <s v="100.00%"/>
    <s v="0.00%"/>
    <s v="100.00%"/>
    <s v="0.00%"/>
    <m/>
    <n v="3.46"/>
    <m/>
    <n v="3.46"/>
    <m/>
    <m/>
    <m/>
    <m/>
    <m/>
    <m/>
    <m/>
    <m/>
    <m/>
    <m/>
    <m/>
    <m/>
    <m/>
    <m/>
    <m/>
    <m/>
    <m/>
    <m/>
    <m/>
    <n v="3.46"/>
    <m/>
    <m/>
    <m/>
    <m/>
    <m/>
    <m/>
    <m/>
    <m/>
    <m/>
    <m/>
    <m/>
    <m/>
    <m/>
    <m/>
    <s v="0.00%"/>
    <s v="0.00%"/>
    <s v="0.00%"/>
    <s v="0.00%"/>
    <m/>
    <m/>
    <m/>
    <m/>
    <m/>
    <m/>
    <m/>
    <s v="0.00%"/>
    <s v="0.00%"/>
    <s v="0.00%"/>
    <s v="0.00%"/>
    <m/>
    <m/>
    <m/>
    <m/>
    <m/>
    <m/>
    <m/>
    <m/>
    <m/>
    <m/>
    <m/>
    <m/>
    <m/>
    <m/>
    <m/>
    <m/>
    <m/>
    <s v="Mike Teixeira"/>
    <m/>
    <s v="02/27/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2/17/2025"/>
    <x v="28"/>
    <n v="5667384"/>
    <s v="Click Here To View"/>
    <s v="Construction"/>
    <n v="3.24"/>
    <s v="100.00%"/>
    <s v="0.00%"/>
    <s v="100.00%"/>
    <s v="0.00%"/>
    <m/>
    <n v="3.24"/>
    <m/>
    <n v="3.24"/>
    <m/>
    <m/>
    <m/>
    <m/>
    <m/>
    <m/>
    <m/>
    <m/>
    <m/>
    <m/>
    <m/>
    <m/>
    <m/>
    <m/>
    <m/>
    <m/>
    <m/>
    <m/>
    <m/>
    <n v="3.24"/>
    <m/>
    <m/>
    <m/>
    <m/>
    <m/>
    <m/>
    <m/>
    <m/>
    <m/>
    <m/>
    <m/>
    <m/>
    <m/>
    <m/>
    <s v="0.00%"/>
    <s v="0.00%"/>
    <s v="0.00%"/>
    <s v="0.00%"/>
    <m/>
    <m/>
    <m/>
    <m/>
    <m/>
    <m/>
    <m/>
    <s v="0.00%"/>
    <s v="0.00%"/>
    <s v="0.00%"/>
    <s v="0.00%"/>
    <m/>
    <m/>
    <m/>
    <m/>
    <m/>
    <m/>
    <m/>
    <m/>
    <m/>
    <m/>
    <m/>
    <m/>
    <m/>
    <m/>
    <m/>
    <m/>
    <m/>
    <s v="Mike Teixeira"/>
    <m/>
    <s v="02/27/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2/17/2025"/>
    <x v="28"/>
    <n v="5667489"/>
    <s v="Click Here To View"/>
    <s v="Construction"/>
    <n v="1.74"/>
    <s v="100.00%"/>
    <s v="0.00%"/>
    <s v="100.00%"/>
    <s v="0.00%"/>
    <m/>
    <n v="1.74"/>
    <m/>
    <n v="1.74"/>
    <m/>
    <m/>
    <m/>
    <m/>
    <m/>
    <m/>
    <m/>
    <m/>
    <m/>
    <m/>
    <m/>
    <m/>
    <m/>
    <m/>
    <m/>
    <m/>
    <m/>
    <m/>
    <m/>
    <n v="1.74"/>
    <m/>
    <m/>
    <m/>
    <m/>
    <m/>
    <m/>
    <m/>
    <m/>
    <m/>
    <m/>
    <m/>
    <m/>
    <m/>
    <m/>
    <s v="0.00%"/>
    <s v="0.00%"/>
    <s v="0.00%"/>
    <s v="0.00%"/>
    <m/>
    <m/>
    <m/>
    <m/>
    <m/>
    <m/>
    <m/>
    <s v="0.00%"/>
    <s v="0.00%"/>
    <s v="0.00%"/>
    <s v="0.00%"/>
    <m/>
    <m/>
    <m/>
    <m/>
    <m/>
    <m/>
    <m/>
    <m/>
    <m/>
    <m/>
    <m/>
    <m/>
    <m/>
    <m/>
    <m/>
    <m/>
    <m/>
    <s v="Mike Teixeira"/>
    <m/>
    <s v="02/27/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2/17/2025"/>
    <x v="28"/>
    <n v="5667573"/>
    <s v="Click Here To View"/>
    <s v="Construction"/>
    <n v="5.29"/>
    <s v="100.00%"/>
    <s v="0.00%"/>
    <s v="100.00%"/>
    <s v="0.00%"/>
    <m/>
    <n v="5.29"/>
    <m/>
    <n v="5.29"/>
    <m/>
    <m/>
    <m/>
    <m/>
    <m/>
    <m/>
    <m/>
    <m/>
    <m/>
    <m/>
    <m/>
    <m/>
    <m/>
    <m/>
    <m/>
    <m/>
    <m/>
    <m/>
    <m/>
    <n v="5.29"/>
    <m/>
    <m/>
    <m/>
    <m/>
    <m/>
    <m/>
    <m/>
    <m/>
    <m/>
    <m/>
    <m/>
    <m/>
    <m/>
    <m/>
    <s v="0.00%"/>
    <s v="0.00%"/>
    <s v="0.00%"/>
    <s v="0.00%"/>
    <m/>
    <m/>
    <m/>
    <m/>
    <m/>
    <m/>
    <m/>
    <s v="0.00%"/>
    <s v="0.00%"/>
    <s v="0.00%"/>
    <s v="0.00%"/>
    <m/>
    <m/>
    <m/>
    <m/>
    <m/>
    <m/>
    <m/>
    <m/>
    <m/>
    <m/>
    <m/>
    <m/>
    <m/>
    <m/>
    <m/>
    <m/>
    <m/>
    <s v="Mike Teixeira"/>
    <m/>
    <s v="02/27/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2/18/2025"/>
    <x v="28"/>
    <n v="5668271"/>
    <s v="Click Here To View"/>
    <s v="Construction"/>
    <n v="1.55"/>
    <s v="100.00%"/>
    <s v="0.00%"/>
    <s v="100.00%"/>
    <s v="0.00%"/>
    <m/>
    <n v="1.55"/>
    <m/>
    <n v="1.55"/>
    <m/>
    <m/>
    <m/>
    <m/>
    <m/>
    <m/>
    <m/>
    <m/>
    <m/>
    <m/>
    <m/>
    <m/>
    <m/>
    <m/>
    <m/>
    <m/>
    <m/>
    <m/>
    <m/>
    <n v="1.55"/>
    <m/>
    <m/>
    <m/>
    <m/>
    <m/>
    <m/>
    <m/>
    <m/>
    <m/>
    <m/>
    <m/>
    <m/>
    <m/>
    <m/>
    <s v="0.00%"/>
    <s v="0.00%"/>
    <s v="0.00%"/>
    <s v="0.00%"/>
    <m/>
    <m/>
    <m/>
    <m/>
    <m/>
    <m/>
    <m/>
    <s v="0.00%"/>
    <s v="0.00%"/>
    <s v="0.00%"/>
    <s v="0.00%"/>
    <m/>
    <m/>
    <m/>
    <m/>
    <m/>
    <m/>
    <m/>
    <m/>
    <m/>
    <m/>
    <m/>
    <m/>
    <m/>
    <m/>
    <m/>
    <m/>
    <m/>
    <s v="Mike Teixeira"/>
    <m/>
    <s v="02/27/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2/20/2025"/>
    <x v="28"/>
    <n v="5669535"/>
    <s v="Click Here To View"/>
    <s v="Construction"/>
    <n v="4.2300000000000004"/>
    <s v="100.00%"/>
    <s v="0.00%"/>
    <s v="100.00%"/>
    <s v="0.00%"/>
    <m/>
    <n v="4.2300000000000004"/>
    <m/>
    <n v="4.2300000000000004"/>
    <m/>
    <m/>
    <m/>
    <m/>
    <m/>
    <m/>
    <m/>
    <m/>
    <m/>
    <m/>
    <m/>
    <m/>
    <m/>
    <m/>
    <m/>
    <m/>
    <m/>
    <m/>
    <m/>
    <n v="4.2300000000000004"/>
    <m/>
    <m/>
    <m/>
    <m/>
    <m/>
    <m/>
    <m/>
    <m/>
    <m/>
    <m/>
    <m/>
    <m/>
    <m/>
    <m/>
    <s v="0.00%"/>
    <s v="0.00%"/>
    <s v="0.00%"/>
    <s v="0.00%"/>
    <m/>
    <m/>
    <m/>
    <m/>
    <m/>
    <m/>
    <m/>
    <s v="0.00%"/>
    <s v="0.00%"/>
    <s v="0.00%"/>
    <s v="0.00%"/>
    <m/>
    <m/>
    <m/>
    <m/>
    <m/>
    <m/>
    <m/>
    <m/>
    <m/>
    <m/>
    <m/>
    <m/>
    <m/>
    <m/>
    <m/>
    <m/>
    <m/>
    <s v="Mike Teixeira"/>
    <m/>
    <s v="02/27/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2/20/2025"/>
    <x v="28"/>
    <n v="5669683"/>
    <s v="Click Here To View"/>
    <s v="Construction"/>
    <n v="5.44"/>
    <s v="100.00%"/>
    <s v="0.00%"/>
    <s v="100.00%"/>
    <s v="0.00%"/>
    <m/>
    <n v="5.44"/>
    <m/>
    <n v="5.44"/>
    <m/>
    <m/>
    <m/>
    <m/>
    <m/>
    <m/>
    <m/>
    <m/>
    <m/>
    <m/>
    <m/>
    <m/>
    <m/>
    <m/>
    <m/>
    <m/>
    <m/>
    <m/>
    <m/>
    <n v="5.44"/>
    <m/>
    <m/>
    <m/>
    <m/>
    <m/>
    <m/>
    <m/>
    <m/>
    <m/>
    <m/>
    <m/>
    <m/>
    <m/>
    <m/>
    <s v="0.00%"/>
    <s v="0.00%"/>
    <s v="0.00%"/>
    <s v="0.00%"/>
    <m/>
    <m/>
    <m/>
    <m/>
    <m/>
    <m/>
    <m/>
    <s v="0.00%"/>
    <s v="0.00%"/>
    <s v="0.00%"/>
    <s v="0.00%"/>
    <m/>
    <m/>
    <m/>
    <m/>
    <m/>
    <m/>
    <m/>
    <m/>
    <m/>
    <m/>
    <m/>
    <m/>
    <m/>
    <m/>
    <m/>
    <m/>
    <m/>
    <s v="Mike Teixeira"/>
    <m/>
    <s v="02/27/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2/21/2025"/>
    <x v="28"/>
    <n v="5670641"/>
    <s v="Click Here To View"/>
    <s v="Construction"/>
    <n v="3.74"/>
    <s v="100.00%"/>
    <s v="0.00%"/>
    <s v="100.00%"/>
    <s v="0.00%"/>
    <m/>
    <n v="3.74"/>
    <m/>
    <n v="3.74"/>
    <m/>
    <m/>
    <m/>
    <m/>
    <m/>
    <m/>
    <m/>
    <m/>
    <m/>
    <m/>
    <m/>
    <m/>
    <m/>
    <m/>
    <m/>
    <m/>
    <m/>
    <m/>
    <m/>
    <n v="3.74"/>
    <m/>
    <m/>
    <m/>
    <m/>
    <m/>
    <m/>
    <m/>
    <m/>
    <m/>
    <m/>
    <m/>
    <m/>
    <m/>
    <m/>
    <s v="0.00%"/>
    <s v="0.00%"/>
    <s v="0.00%"/>
    <s v="0.00%"/>
    <m/>
    <m/>
    <m/>
    <m/>
    <m/>
    <m/>
    <m/>
    <s v="0.00%"/>
    <s v="0.00%"/>
    <s v="0.00%"/>
    <s v="0.00%"/>
    <m/>
    <m/>
    <m/>
    <m/>
    <m/>
    <m/>
    <m/>
    <m/>
    <m/>
    <m/>
    <m/>
    <m/>
    <m/>
    <m/>
    <m/>
    <m/>
    <m/>
    <s v="Mike Teixeira"/>
    <m/>
    <s v="02/27/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2/24/2025"/>
    <x v="28"/>
    <n v="5671712"/>
    <s v="Click Here To View"/>
    <s v="Construction"/>
    <n v="6.69"/>
    <s v="100.00%"/>
    <s v="0.00%"/>
    <s v="100.00%"/>
    <s v="0.00%"/>
    <m/>
    <n v="6.69"/>
    <m/>
    <n v="6.69"/>
    <m/>
    <m/>
    <m/>
    <m/>
    <m/>
    <m/>
    <m/>
    <m/>
    <m/>
    <m/>
    <m/>
    <m/>
    <m/>
    <m/>
    <m/>
    <m/>
    <m/>
    <m/>
    <m/>
    <n v="6.69"/>
    <m/>
    <m/>
    <m/>
    <m/>
    <m/>
    <m/>
    <m/>
    <m/>
    <m/>
    <m/>
    <m/>
    <m/>
    <m/>
    <m/>
    <s v="0.00%"/>
    <s v="0.00%"/>
    <s v="0.00%"/>
    <s v="0.00%"/>
    <m/>
    <m/>
    <m/>
    <m/>
    <m/>
    <m/>
    <m/>
    <s v="0.00%"/>
    <s v="0.00%"/>
    <s v="0.00%"/>
    <s v="0.00%"/>
    <m/>
    <m/>
    <m/>
    <m/>
    <m/>
    <m/>
    <m/>
    <m/>
    <m/>
    <m/>
    <m/>
    <m/>
    <m/>
    <m/>
    <m/>
    <m/>
    <m/>
    <s v="Mike Teixeira"/>
    <m/>
    <s v="02/27/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2/26/2025"/>
    <x v="28"/>
    <n v="5672977"/>
    <s v="Click Here To View"/>
    <s v="Construction"/>
    <n v="4.17"/>
    <s v="100.00%"/>
    <s v="0.00%"/>
    <s v="100.00%"/>
    <s v="0.00%"/>
    <m/>
    <n v="4.17"/>
    <m/>
    <n v="4.17"/>
    <m/>
    <m/>
    <m/>
    <m/>
    <m/>
    <m/>
    <m/>
    <m/>
    <m/>
    <m/>
    <m/>
    <m/>
    <m/>
    <m/>
    <m/>
    <m/>
    <m/>
    <m/>
    <m/>
    <n v="4.17"/>
    <m/>
    <m/>
    <m/>
    <m/>
    <m/>
    <m/>
    <m/>
    <m/>
    <m/>
    <m/>
    <m/>
    <m/>
    <m/>
    <m/>
    <s v="0.00%"/>
    <s v="0.00%"/>
    <s v="0.00%"/>
    <s v="0.00%"/>
    <m/>
    <m/>
    <m/>
    <m/>
    <m/>
    <m/>
    <m/>
    <s v="0.00%"/>
    <s v="0.00%"/>
    <s v="0.00%"/>
    <s v="0.00%"/>
    <m/>
    <m/>
    <m/>
    <m/>
    <m/>
    <m/>
    <m/>
    <m/>
    <m/>
    <m/>
    <m/>
    <m/>
    <m/>
    <m/>
    <m/>
    <m/>
    <m/>
    <s v="Mike Teixeira"/>
    <m/>
    <s v="03/31/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2/27/2025"/>
    <x v="28"/>
    <n v="5674197"/>
    <s v="Click Here To View"/>
    <s v="Construction"/>
    <n v="2.3199999999999998"/>
    <s v="100.00%"/>
    <s v="0.00%"/>
    <s v="100.00%"/>
    <s v="0.00%"/>
    <m/>
    <n v="2.3199999999999998"/>
    <m/>
    <n v="2.3199999999999998"/>
    <m/>
    <m/>
    <m/>
    <m/>
    <m/>
    <m/>
    <m/>
    <m/>
    <m/>
    <m/>
    <m/>
    <m/>
    <m/>
    <m/>
    <m/>
    <m/>
    <m/>
    <m/>
    <m/>
    <n v="2.3199999999999998"/>
    <m/>
    <m/>
    <m/>
    <m/>
    <m/>
    <m/>
    <m/>
    <m/>
    <m/>
    <m/>
    <m/>
    <m/>
    <m/>
    <m/>
    <s v="0.00%"/>
    <s v="0.00%"/>
    <s v="0.00%"/>
    <s v="0.00%"/>
    <m/>
    <m/>
    <m/>
    <m/>
    <m/>
    <m/>
    <m/>
    <s v="0.00%"/>
    <s v="0.00%"/>
    <s v="0.00%"/>
    <s v="0.00%"/>
    <m/>
    <m/>
    <m/>
    <m/>
    <m/>
    <m/>
    <m/>
    <m/>
    <m/>
    <m/>
    <m/>
    <m/>
    <m/>
    <m/>
    <m/>
    <m/>
    <m/>
    <s v="Mike Teixeira"/>
    <m/>
    <s v="03/31/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2/27/2025"/>
    <x v="28"/>
    <n v="5673892"/>
    <s v="Click Here To View"/>
    <s v="Construction"/>
    <n v="1.9"/>
    <s v="100.00%"/>
    <s v="0.00%"/>
    <s v="100.00%"/>
    <s v="0.00%"/>
    <m/>
    <n v="1.9"/>
    <m/>
    <n v="1.9"/>
    <m/>
    <m/>
    <m/>
    <m/>
    <m/>
    <m/>
    <m/>
    <m/>
    <m/>
    <m/>
    <m/>
    <m/>
    <m/>
    <m/>
    <m/>
    <m/>
    <m/>
    <m/>
    <m/>
    <n v="1.9"/>
    <m/>
    <m/>
    <m/>
    <m/>
    <m/>
    <m/>
    <m/>
    <m/>
    <m/>
    <m/>
    <m/>
    <m/>
    <m/>
    <m/>
    <s v="0.00%"/>
    <s v="0.00%"/>
    <s v="0.00%"/>
    <s v="0.00%"/>
    <m/>
    <m/>
    <m/>
    <m/>
    <m/>
    <m/>
    <m/>
    <s v="0.00%"/>
    <s v="0.00%"/>
    <s v="0.00%"/>
    <s v="0.00%"/>
    <m/>
    <m/>
    <m/>
    <m/>
    <m/>
    <m/>
    <m/>
    <m/>
    <m/>
    <m/>
    <m/>
    <m/>
    <m/>
    <m/>
    <m/>
    <m/>
    <m/>
    <s v="Mike Teixeira"/>
    <m/>
    <s v="03/31/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2/27/2025"/>
    <x v="28"/>
    <n v="5673669"/>
    <s v="Click Here To View"/>
    <s v="Construction"/>
    <n v="5.19"/>
    <s v="100.00%"/>
    <s v="0.00%"/>
    <s v="100.00%"/>
    <s v="0.00%"/>
    <m/>
    <n v="5.19"/>
    <m/>
    <n v="5.19"/>
    <m/>
    <m/>
    <m/>
    <m/>
    <m/>
    <m/>
    <m/>
    <m/>
    <m/>
    <m/>
    <m/>
    <m/>
    <m/>
    <m/>
    <m/>
    <m/>
    <m/>
    <m/>
    <m/>
    <n v="5.19"/>
    <m/>
    <m/>
    <m/>
    <m/>
    <m/>
    <m/>
    <m/>
    <m/>
    <m/>
    <m/>
    <m/>
    <m/>
    <m/>
    <m/>
    <s v="0.00%"/>
    <s v="0.00%"/>
    <s v="0.00%"/>
    <s v="0.00%"/>
    <m/>
    <m/>
    <m/>
    <m/>
    <m/>
    <m/>
    <m/>
    <s v="0.00%"/>
    <s v="0.00%"/>
    <s v="0.00%"/>
    <s v="0.00%"/>
    <m/>
    <m/>
    <m/>
    <m/>
    <m/>
    <m/>
    <m/>
    <m/>
    <m/>
    <m/>
    <m/>
    <m/>
    <m/>
    <m/>
    <m/>
    <m/>
    <m/>
    <s v="Mike Teixeira"/>
    <m/>
    <s v="03/31/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3/04/2025"/>
    <x v="35"/>
    <n v="5676176"/>
    <s v="Click Here To View"/>
    <s v="Construction"/>
    <n v="2.21"/>
    <s v="100.00%"/>
    <s v="0.00%"/>
    <s v="100.00%"/>
    <s v="0.00%"/>
    <m/>
    <n v="2.21"/>
    <m/>
    <n v="2.21"/>
    <m/>
    <m/>
    <m/>
    <m/>
    <m/>
    <m/>
    <m/>
    <m/>
    <m/>
    <m/>
    <m/>
    <m/>
    <m/>
    <m/>
    <m/>
    <m/>
    <m/>
    <m/>
    <m/>
    <n v="2.21"/>
    <m/>
    <m/>
    <m/>
    <m/>
    <m/>
    <m/>
    <m/>
    <m/>
    <m/>
    <m/>
    <m/>
    <m/>
    <m/>
    <m/>
    <s v="0.00%"/>
    <s v="0.00%"/>
    <s v="0.00%"/>
    <s v="0.00%"/>
    <m/>
    <m/>
    <m/>
    <m/>
    <m/>
    <m/>
    <m/>
    <s v="0.00%"/>
    <s v="0.00%"/>
    <s v="0.00%"/>
    <s v="0.00%"/>
    <m/>
    <m/>
    <m/>
    <m/>
    <m/>
    <m/>
    <m/>
    <m/>
    <m/>
    <m/>
    <m/>
    <m/>
    <m/>
    <m/>
    <m/>
    <m/>
    <m/>
    <s v="Mike Teixeira"/>
    <m/>
    <s v="03/31/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3/03/2025"/>
    <x v="35"/>
    <n v="5675697"/>
    <s v="Click Here To View"/>
    <s v="Construction"/>
    <n v="8.11"/>
    <s v="100.00%"/>
    <s v="0.00%"/>
    <s v="100.00%"/>
    <s v="0.00%"/>
    <m/>
    <n v="8.11"/>
    <m/>
    <n v="8.11"/>
    <m/>
    <m/>
    <m/>
    <m/>
    <m/>
    <m/>
    <m/>
    <m/>
    <m/>
    <m/>
    <m/>
    <m/>
    <m/>
    <m/>
    <m/>
    <m/>
    <m/>
    <m/>
    <m/>
    <n v="8.11"/>
    <m/>
    <m/>
    <m/>
    <m/>
    <m/>
    <m/>
    <m/>
    <m/>
    <m/>
    <m/>
    <m/>
    <m/>
    <m/>
    <m/>
    <s v="0.00%"/>
    <s v="0.00%"/>
    <s v="0.00%"/>
    <s v="0.00%"/>
    <m/>
    <m/>
    <m/>
    <m/>
    <m/>
    <m/>
    <m/>
    <s v="0.00%"/>
    <s v="0.00%"/>
    <s v="0.00%"/>
    <s v="0.00%"/>
    <m/>
    <m/>
    <m/>
    <m/>
    <m/>
    <m/>
    <m/>
    <m/>
    <m/>
    <m/>
    <m/>
    <m/>
    <m/>
    <m/>
    <m/>
    <m/>
    <m/>
    <s v="Mike Teixeira"/>
    <m/>
    <s v="03/31/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3/04/2025"/>
    <x v="35"/>
    <n v="5676759"/>
    <s v="Click Here To View"/>
    <s v="Construction"/>
    <n v="5.09"/>
    <s v="100.00%"/>
    <s v="0.00%"/>
    <s v="100.00%"/>
    <s v="0.00%"/>
    <m/>
    <n v="5.09"/>
    <m/>
    <n v="5.09"/>
    <m/>
    <m/>
    <m/>
    <m/>
    <m/>
    <m/>
    <m/>
    <m/>
    <m/>
    <m/>
    <m/>
    <m/>
    <m/>
    <m/>
    <m/>
    <m/>
    <m/>
    <m/>
    <m/>
    <n v="5.09"/>
    <m/>
    <m/>
    <m/>
    <m/>
    <m/>
    <m/>
    <m/>
    <m/>
    <m/>
    <m/>
    <m/>
    <m/>
    <m/>
    <m/>
    <s v="0.00%"/>
    <s v="0.00%"/>
    <s v="0.00%"/>
    <s v="0.00%"/>
    <m/>
    <m/>
    <m/>
    <m/>
    <m/>
    <m/>
    <m/>
    <s v="0.00%"/>
    <s v="0.00%"/>
    <s v="0.00%"/>
    <s v="0.00%"/>
    <m/>
    <m/>
    <m/>
    <m/>
    <m/>
    <m/>
    <m/>
    <m/>
    <m/>
    <m/>
    <m/>
    <m/>
    <m/>
    <m/>
    <m/>
    <m/>
    <m/>
    <s v="Mike Teixeira"/>
    <m/>
    <s v="03/31/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3/06/2025"/>
    <x v="35"/>
    <n v="5677964"/>
    <s v="Click Here To View"/>
    <s v="Construction"/>
    <n v="2.58"/>
    <s v="100.00%"/>
    <s v="0.00%"/>
    <s v="100.00%"/>
    <s v="0.00%"/>
    <m/>
    <n v="2.58"/>
    <m/>
    <n v="2.58"/>
    <m/>
    <m/>
    <m/>
    <m/>
    <m/>
    <m/>
    <m/>
    <m/>
    <m/>
    <m/>
    <m/>
    <m/>
    <m/>
    <m/>
    <m/>
    <m/>
    <m/>
    <m/>
    <m/>
    <n v="2.58"/>
    <m/>
    <m/>
    <m/>
    <m/>
    <m/>
    <m/>
    <m/>
    <m/>
    <m/>
    <m/>
    <m/>
    <m/>
    <m/>
    <m/>
    <s v="0.00%"/>
    <s v="0.00%"/>
    <s v="0.00%"/>
    <s v="0.00%"/>
    <m/>
    <m/>
    <m/>
    <m/>
    <m/>
    <m/>
    <m/>
    <s v="0.00%"/>
    <s v="0.00%"/>
    <s v="0.00%"/>
    <s v="0.00%"/>
    <m/>
    <m/>
    <m/>
    <m/>
    <m/>
    <m/>
    <m/>
    <m/>
    <m/>
    <m/>
    <m/>
    <m/>
    <m/>
    <m/>
    <m/>
    <m/>
    <m/>
    <s v="Mike Teixeira"/>
    <m/>
    <s v="03/31/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3/06/2025"/>
    <x v="35"/>
    <n v="5678202"/>
    <s v="Click Here To View"/>
    <s v="Construction"/>
    <n v="5.41"/>
    <s v="100.00%"/>
    <s v="0.00%"/>
    <s v="100.00%"/>
    <s v="0.00%"/>
    <m/>
    <n v="5.41"/>
    <m/>
    <n v="5.41"/>
    <m/>
    <m/>
    <m/>
    <m/>
    <m/>
    <m/>
    <m/>
    <m/>
    <m/>
    <m/>
    <m/>
    <m/>
    <m/>
    <m/>
    <m/>
    <m/>
    <m/>
    <m/>
    <m/>
    <n v="5.41"/>
    <m/>
    <m/>
    <m/>
    <m/>
    <m/>
    <m/>
    <m/>
    <m/>
    <m/>
    <m/>
    <m/>
    <m/>
    <m/>
    <m/>
    <s v="0.00%"/>
    <s v="0.00%"/>
    <s v="0.00%"/>
    <s v="0.00%"/>
    <m/>
    <m/>
    <m/>
    <m/>
    <m/>
    <m/>
    <m/>
    <s v="0.00%"/>
    <s v="0.00%"/>
    <s v="0.00%"/>
    <s v="0.00%"/>
    <m/>
    <m/>
    <m/>
    <m/>
    <m/>
    <m/>
    <m/>
    <m/>
    <m/>
    <m/>
    <m/>
    <m/>
    <m/>
    <m/>
    <m/>
    <m/>
    <m/>
    <s v="Mike Teixeira"/>
    <m/>
    <s v="03/31/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3/07/2025"/>
    <x v="35"/>
    <n v="5679062"/>
    <s v="Click Here To View"/>
    <s v="Construction"/>
    <n v="5.0199999999999996"/>
    <s v="100.00%"/>
    <s v="0.00%"/>
    <s v="100.00%"/>
    <s v="0.00%"/>
    <m/>
    <n v="5.0199999999999996"/>
    <m/>
    <n v="5.0199999999999996"/>
    <m/>
    <m/>
    <m/>
    <m/>
    <m/>
    <m/>
    <m/>
    <m/>
    <m/>
    <m/>
    <m/>
    <m/>
    <m/>
    <m/>
    <m/>
    <m/>
    <m/>
    <m/>
    <m/>
    <n v="5.0199999999999996"/>
    <m/>
    <m/>
    <m/>
    <m/>
    <m/>
    <m/>
    <m/>
    <m/>
    <m/>
    <m/>
    <m/>
    <m/>
    <m/>
    <m/>
    <s v="0.00%"/>
    <s v="0.00%"/>
    <s v="0.00%"/>
    <s v="0.00%"/>
    <m/>
    <m/>
    <m/>
    <m/>
    <m/>
    <m/>
    <m/>
    <s v="0.00%"/>
    <s v="0.00%"/>
    <s v="0.00%"/>
    <s v="0.00%"/>
    <m/>
    <m/>
    <m/>
    <m/>
    <m/>
    <m/>
    <m/>
    <m/>
    <m/>
    <m/>
    <m/>
    <m/>
    <m/>
    <m/>
    <m/>
    <m/>
    <m/>
    <s v="Mike Teixeira"/>
    <m/>
    <s v="03/31/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3/10/2025"/>
    <x v="35"/>
    <n v="5679618"/>
    <s v="Click Here To View"/>
    <s v="Construction"/>
    <n v="2.4"/>
    <s v="100.00%"/>
    <s v="0.00%"/>
    <s v="100.00%"/>
    <s v="0.00%"/>
    <m/>
    <n v="2.4"/>
    <m/>
    <n v="2.4"/>
    <m/>
    <m/>
    <m/>
    <m/>
    <m/>
    <m/>
    <m/>
    <m/>
    <m/>
    <m/>
    <m/>
    <m/>
    <m/>
    <m/>
    <m/>
    <m/>
    <m/>
    <m/>
    <m/>
    <n v="2.4"/>
    <m/>
    <m/>
    <m/>
    <m/>
    <m/>
    <m/>
    <m/>
    <m/>
    <m/>
    <m/>
    <m/>
    <m/>
    <m/>
    <m/>
    <s v="0.00%"/>
    <s v="0.00%"/>
    <s v="0.00%"/>
    <s v="0.00%"/>
    <m/>
    <m/>
    <m/>
    <m/>
    <m/>
    <m/>
    <m/>
    <s v="0.00%"/>
    <s v="0.00%"/>
    <s v="0.00%"/>
    <s v="0.00%"/>
    <m/>
    <m/>
    <m/>
    <m/>
    <m/>
    <m/>
    <m/>
    <m/>
    <m/>
    <m/>
    <m/>
    <m/>
    <m/>
    <m/>
    <m/>
    <m/>
    <m/>
    <s v="Mike Teixeira"/>
    <m/>
    <s v="03/31/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3/11/2025"/>
    <x v="35"/>
    <n v="5680942"/>
    <s v="Click Here To View"/>
    <s v="Construction"/>
    <n v="5.91"/>
    <s v="100.00%"/>
    <s v="0.00%"/>
    <s v="100.00%"/>
    <s v="0.00%"/>
    <m/>
    <n v="5.91"/>
    <m/>
    <n v="5.91"/>
    <m/>
    <m/>
    <m/>
    <m/>
    <m/>
    <m/>
    <m/>
    <m/>
    <m/>
    <m/>
    <m/>
    <m/>
    <m/>
    <m/>
    <m/>
    <m/>
    <m/>
    <m/>
    <m/>
    <n v="5.91"/>
    <m/>
    <m/>
    <m/>
    <m/>
    <m/>
    <m/>
    <m/>
    <m/>
    <m/>
    <m/>
    <m/>
    <m/>
    <m/>
    <m/>
    <s v="0.00%"/>
    <s v="0.00%"/>
    <s v="0.00%"/>
    <s v="0.00%"/>
    <m/>
    <m/>
    <m/>
    <m/>
    <m/>
    <m/>
    <m/>
    <s v="0.00%"/>
    <s v="0.00%"/>
    <s v="0.00%"/>
    <s v="0.00%"/>
    <m/>
    <m/>
    <m/>
    <m/>
    <m/>
    <m/>
    <m/>
    <m/>
    <m/>
    <m/>
    <m/>
    <m/>
    <m/>
    <m/>
    <m/>
    <m/>
    <m/>
    <s v="Mike Teixeira"/>
    <m/>
    <s v="03/31/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3/12/2025"/>
    <x v="35"/>
    <n v="5681692"/>
    <s v="Click Here To View"/>
    <s v="Construction"/>
    <n v="3.21"/>
    <s v="100.00%"/>
    <s v="0.00%"/>
    <s v="100.00%"/>
    <s v="0.00%"/>
    <m/>
    <n v="3.21"/>
    <m/>
    <n v="3.21"/>
    <m/>
    <m/>
    <m/>
    <m/>
    <m/>
    <m/>
    <m/>
    <m/>
    <m/>
    <m/>
    <m/>
    <m/>
    <m/>
    <m/>
    <m/>
    <m/>
    <m/>
    <m/>
    <m/>
    <n v="3.21"/>
    <m/>
    <m/>
    <m/>
    <m/>
    <m/>
    <m/>
    <m/>
    <m/>
    <m/>
    <m/>
    <m/>
    <m/>
    <m/>
    <m/>
    <s v="0.00%"/>
    <s v="0.00%"/>
    <s v="0.00%"/>
    <s v="0.00%"/>
    <m/>
    <m/>
    <m/>
    <m/>
    <m/>
    <m/>
    <m/>
    <s v="0.00%"/>
    <s v="0.00%"/>
    <s v="0.00%"/>
    <s v="0.00%"/>
    <m/>
    <m/>
    <m/>
    <m/>
    <m/>
    <m/>
    <m/>
    <m/>
    <m/>
    <m/>
    <m/>
    <m/>
    <m/>
    <m/>
    <m/>
    <m/>
    <m/>
    <s v="Mike Teixeira"/>
    <m/>
    <s v="03/31/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3/13/2025"/>
    <x v="35"/>
    <n v="5682397"/>
    <s v="Click Here To View"/>
    <s v="Construction"/>
    <n v="4.55"/>
    <s v="100.00%"/>
    <s v="0.00%"/>
    <s v="100.00%"/>
    <s v="0.00%"/>
    <m/>
    <n v="4.55"/>
    <m/>
    <n v="4.55"/>
    <m/>
    <m/>
    <m/>
    <m/>
    <m/>
    <m/>
    <m/>
    <m/>
    <m/>
    <m/>
    <m/>
    <m/>
    <m/>
    <m/>
    <m/>
    <m/>
    <m/>
    <m/>
    <m/>
    <n v="4.55"/>
    <m/>
    <m/>
    <m/>
    <m/>
    <m/>
    <m/>
    <m/>
    <m/>
    <m/>
    <m/>
    <m/>
    <m/>
    <m/>
    <m/>
    <s v="0.00%"/>
    <s v="0.00%"/>
    <s v="0.00%"/>
    <s v="0.00%"/>
    <m/>
    <m/>
    <m/>
    <m/>
    <m/>
    <m/>
    <m/>
    <s v="0.00%"/>
    <s v="0.00%"/>
    <s v="0.00%"/>
    <s v="0.00%"/>
    <m/>
    <m/>
    <m/>
    <m/>
    <m/>
    <m/>
    <m/>
    <m/>
    <m/>
    <m/>
    <m/>
    <m/>
    <m/>
    <m/>
    <m/>
    <m/>
    <m/>
    <s v="Mike Teixeira"/>
    <m/>
    <s v="03/31/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3/13/2025"/>
    <x v="35"/>
    <n v="5682284"/>
    <s v="Click Here To View"/>
    <s v="Construction"/>
    <n v="2.62"/>
    <s v="100.00%"/>
    <s v="0.00%"/>
    <s v="100.00%"/>
    <s v="0.00%"/>
    <m/>
    <n v="2.62"/>
    <m/>
    <n v="2.62"/>
    <m/>
    <m/>
    <m/>
    <m/>
    <m/>
    <m/>
    <m/>
    <m/>
    <m/>
    <m/>
    <m/>
    <m/>
    <m/>
    <m/>
    <m/>
    <m/>
    <m/>
    <m/>
    <m/>
    <n v="2.62"/>
    <m/>
    <m/>
    <m/>
    <m/>
    <m/>
    <m/>
    <m/>
    <m/>
    <m/>
    <m/>
    <m/>
    <m/>
    <m/>
    <m/>
    <s v="0.00%"/>
    <s v="0.00%"/>
    <s v="0.00%"/>
    <s v="0.00%"/>
    <m/>
    <m/>
    <m/>
    <m/>
    <m/>
    <m/>
    <m/>
    <s v="0.00%"/>
    <s v="0.00%"/>
    <s v="0.00%"/>
    <s v="0.00%"/>
    <m/>
    <m/>
    <m/>
    <m/>
    <m/>
    <m/>
    <m/>
    <m/>
    <m/>
    <m/>
    <m/>
    <m/>
    <m/>
    <m/>
    <m/>
    <m/>
    <m/>
    <s v="Mike Teixeira"/>
    <m/>
    <s v="03/31/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3/14/2025"/>
    <x v="35"/>
    <n v="5682863"/>
    <s v="Click Here To View"/>
    <s v="Construction"/>
    <n v="2.02"/>
    <s v="100.00%"/>
    <s v="0.00%"/>
    <s v="100.00%"/>
    <s v="0.00%"/>
    <m/>
    <n v="2.02"/>
    <m/>
    <n v="2.02"/>
    <m/>
    <m/>
    <m/>
    <m/>
    <m/>
    <m/>
    <m/>
    <m/>
    <m/>
    <m/>
    <m/>
    <m/>
    <m/>
    <m/>
    <m/>
    <m/>
    <m/>
    <m/>
    <m/>
    <n v="2.02"/>
    <m/>
    <m/>
    <m/>
    <m/>
    <m/>
    <m/>
    <m/>
    <m/>
    <m/>
    <m/>
    <m/>
    <m/>
    <m/>
    <m/>
    <s v="0.00%"/>
    <s v="0.00%"/>
    <s v="0.00%"/>
    <s v="0.00%"/>
    <m/>
    <m/>
    <m/>
    <m/>
    <m/>
    <m/>
    <m/>
    <s v="0.00%"/>
    <s v="0.00%"/>
    <s v="0.00%"/>
    <s v="0.00%"/>
    <m/>
    <m/>
    <m/>
    <m/>
    <m/>
    <m/>
    <m/>
    <m/>
    <m/>
    <m/>
    <m/>
    <m/>
    <m/>
    <m/>
    <m/>
    <m/>
    <m/>
    <s v="Mike Teixeira"/>
    <m/>
    <s v="03/31/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3/14/2025"/>
    <x v="35"/>
    <n v="5683043"/>
    <s v="Click Here To View"/>
    <s v="Construction"/>
    <n v="4.17"/>
    <s v="100.00%"/>
    <s v="0.00%"/>
    <s v="100.00%"/>
    <s v="0.00%"/>
    <m/>
    <n v="4.17"/>
    <m/>
    <n v="4.17"/>
    <m/>
    <m/>
    <m/>
    <m/>
    <m/>
    <m/>
    <m/>
    <m/>
    <m/>
    <m/>
    <m/>
    <m/>
    <m/>
    <m/>
    <m/>
    <m/>
    <m/>
    <m/>
    <m/>
    <n v="4.17"/>
    <m/>
    <m/>
    <m/>
    <m/>
    <m/>
    <m/>
    <m/>
    <m/>
    <m/>
    <m/>
    <m/>
    <m/>
    <m/>
    <m/>
    <s v="0.00%"/>
    <s v="0.00%"/>
    <s v="0.00%"/>
    <s v="0.00%"/>
    <m/>
    <m/>
    <m/>
    <m/>
    <m/>
    <m/>
    <m/>
    <s v="0.00%"/>
    <s v="0.00%"/>
    <s v="0.00%"/>
    <s v="0.00%"/>
    <m/>
    <m/>
    <m/>
    <m/>
    <m/>
    <m/>
    <m/>
    <m/>
    <m/>
    <m/>
    <m/>
    <m/>
    <m/>
    <m/>
    <m/>
    <m/>
    <m/>
    <s v="Mike Teixeira"/>
    <m/>
    <s v="03/31/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3/18/2025"/>
    <x v="35"/>
    <n v="5684778"/>
    <s v="Click Here To View"/>
    <s v="Construction"/>
    <n v="3.93"/>
    <s v="100.00%"/>
    <s v="0.00%"/>
    <s v="100.00%"/>
    <s v="0.00%"/>
    <m/>
    <n v="3.93"/>
    <m/>
    <n v="3.93"/>
    <m/>
    <m/>
    <m/>
    <m/>
    <m/>
    <m/>
    <m/>
    <m/>
    <m/>
    <m/>
    <m/>
    <m/>
    <m/>
    <m/>
    <m/>
    <m/>
    <m/>
    <m/>
    <m/>
    <n v="3.93"/>
    <m/>
    <m/>
    <m/>
    <m/>
    <m/>
    <m/>
    <m/>
    <m/>
    <m/>
    <m/>
    <m/>
    <m/>
    <m/>
    <m/>
    <s v="0.00%"/>
    <s v="0.00%"/>
    <s v="0.00%"/>
    <s v="0.00%"/>
    <m/>
    <m/>
    <m/>
    <m/>
    <m/>
    <m/>
    <m/>
    <s v="0.00%"/>
    <s v="0.00%"/>
    <s v="0.00%"/>
    <s v="0.00%"/>
    <m/>
    <m/>
    <m/>
    <m/>
    <m/>
    <m/>
    <m/>
    <m/>
    <m/>
    <m/>
    <m/>
    <m/>
    <m/>
    <m/>
    <m/>
    <m/>
    <m/>
    <s v="Mike Teixeira"/>
    <m/>
    <s v="05/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3/18/2025"/>
    <x v="35"/>
    <n v="5684856"/>
    <s v="Click Here To View"/>
    <s v="Construction"/>
    <n v="4.57"/>
    <s v="100.00%"/>
    <s v="0.00%"/>
    <s v="100.00%"/>
    <s v="0.00%"/>
    <m/>
    <n v="4.57"/>
    <m/>
    <n v="4.57"/>
    <m/>
    <m/>
    <m/>
    <m/>
    <m/>
    <m/>
    <m/>
    <m/>
    <m/>
    <m/>
    <m/>
    <m/>
    <m/>
    <m/>
    <m/>
    <m/>
    <m/>
    <m/>
    <m/>
    <n v="4.57"/>
    <m/>
    <m/>
    <m/>
    <m/>
    <m/>
    <m/>
    <m/>
    <m/>
    <m/>
    <m/>
    <m/>
    <m/>
    <m/>
    <m/>
    <s v="0.00%"/>
    <s v="0.00%"/>
    <s v="0.00%"/>
    <s v="0.00%"/>
    <m/>
    <m/>
    <m/>
    <m/>
    <m/>
    <m/>
    <m/>
    <s v="0.00%"/>
    <s v="0.00%"/>
    <s v="0.00%"/>
    <s v="0.00%"/>
    <m/>
    <m/>
    <m/>
    <m/>
    <m/>
    <m/>
    <m/>
    <m/>
    <m/>
    <m/>
    <m/>
    <m/>
    <m/>
    <m/>
    <m/>
    <m/>
    <m/>
    <s v="Mike Teixeira"/>
    <m/>
    <s v="05/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3/19/2025"/>
    <x v="35"/>
    <n v="5685473"/>
    <s v="Click Here To View"/>
    <s v="Construction"/>
    <n v="1.87"/>
    <s v="100.00%"/>
    <s v="0.00%"/>
    <s v="100.00%"/>
    <s v="0.00%"/>
    <m/>
    <n v="1.87"/>
    <m/>
    <n v="1.87"/>
    <m/>
    <m/>
    <m/>
    <m/>
    <m/>
    <m/>
    <m/>
    <m/>
    <m/>
    <m/>
    <m/>
    <m/>
    <m/>
    <m/>
    <m/>
    <m/>
    <m/>
    <m/>
    <m/>
    <n v="1.87"/>
    <m/>
    <m/>
    <m/>
    <m/>
    <m/>
    <m/>
    <m/>
    <m/>
    <m/>
    <m/>
    <m/>
    <m/>
    <m/>
    <m/>
    <s v="0.00%"/>
    <s v="0.00%"/>
    <s v="0.00%"/>
    <s v="0.00%"/>
    <m/>
    <m/>
    <m/>
    <m/>
    <m/>
    <m/>
    <m/>
    <s v="0.00%"/>
    <s v="0.00%"/>
    <s v="0.00%"/>
    <s v="0.00%"/>
    <m/>
    <m/>
    <m/>
    <m/>
    <m/>
    <m/>
    <m/>
    <m/>
    <m/>
    <m/>
    <m/>
    <m/>
    <m/>
    <m/>
    <m/>
    <m/>
    <m/>
    <s v="Mike Teixeira"/>
    <m/>
    <s v="05/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3/19/2025"/>
    <x v="35"/>
    <n v="5685634"/>
    <s v="Click Here To View"/>
    <s v="Construction"/>
    <n v="3.4"/>
    <s v="100.00%"/>
    <s v="0.00%"/>
    <s v="100.00%"/>
    <s v="0.00%"/>
    <m/>
    <n v="3.4"/>
    <m/>
    <n v="3.4"/>
    <m/>
    <m/>
    <m/>
    <m/>
    <m/>
    <m/>
    <m/>
    <m/>
    <m/>
    <m/>
    <m/>
    <m/>
    <m/>
    <m/>
    <m/>
    <m/>
    <m/>
    <m/>
    <m/>
    <n v="3.4"/>
    <m/>
    <m/>
    <m/>
    <m/>
    <m/>
    <m/>
    <m/>
    <m/>
    <m/>
    <m/>
    <m/>
    <m/>
    <m/>
    <m/>
    <s v="0.00%"/>
    <s v="0.00%"/>
    <s v="0.00%"/>
    <s v="0.00%"/>
    <m/>
    <m/>
    <m/>
    <m/>
    <m/>
    <m/>
    <m/>
    <s v="0.00%"/>
    <s v="0.00%"/>
    <s v="0.00%"/>
    <s v="0.00%"/>
    <m/>
    <m/>
    <m/>
    <m/>
    <m/>
    <m/>
    <m/>
    <m/>
    <m/>
    <m/>
    <m/>
    <m/>
    <m/>
    <m/>
    <m/>
    <m/>
    <m/>
    <s v="Mike Teixeira"/>
    <m/>
    <s v="05/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3/20/2025"/>
    <x v="35"/>
    <n v="568072"/>
    <s v="Click Here To View"/>
    <s v="Construction"/>
    <n v="1.71"/>
    <s v="100.00%"/>
    <s v="0.00%"/>
    <s v="100.00%"/>
    <s v="0.00%"/>
    <m/>
    <n v="1.71"/>
    <m/>
    <n v="1.71"/>
    <m/>
    <m/>
    <m/>
    <m/>
    <m/>
    <m/>
    <m/>
    <m/>
    <m/>
    <m/>
    <m/>
    <m/>
    <m/>
    <m/>
    <m/>
    <m/>
    <m/>
    <m/>
    <m/>
    <n v="1.71"/>
    <m/>
    <m/>
    <m/>
    <m/>
    <m/>
    <m/>
    <m/>
    <m/>
    <m/>
    <m/>
    <m/>
    <m/>
    <m/>
    <m/>
    <s v="0.00%"/>
    <s v="0.00%"/>
    <s v="0.00%"/>
    <s v="0.00%"/>
    <m/>
    <m/>
    <m/>
    <m/>
    <m/>
    <m/>
    <m/>
    <s v="0.00%"/>
    <s v="0.00%"/>
    <s v="0.00%"/>
    <s v="0.00%"/>
    <m/>
    <m/>
    <m/>
    <m/>
    <m/>
    <m/>
    <m/>
    <m/>
    <m/>
    <m/>
    <m/>
    <m/>
    <m/>
    <m/>
    <m/>
    <m/>
    <m/>
    <s v="Mike Teixeira"/>
    <m/>
    <s v="05/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3/21/2025"/>
    <x v="35"/>
    <n v="5686938"/>
    <s v="Click Here To View"/>
    <s v="Construction"/>
    <n v="3.21"/>
    <s v="100.00%"/>
    <s v="0.00%"/>
    <s v="100.00%"/>
    <s v="0.00%"/>
    <m/>
    <n v="3.21"/>
    <m/>
    <n v="3.21"/>
    <m/>
    <m/>
    <m/>
    <m/>
    <m/>
    <m/>
    <m/>
    <m/>
    <m/>
    <m/>
    <m/>
    <m/>
    <m/>
    <m/>
    <m/>
    <m/>
    <m/>
    <m/>
    <m/>
    <n v="3.21"/>
    <m/>
    <m/>
    <m/>
    <m/>
    <m/>
    <m/>
    <m/>
    <m/>
    <m/>
    <m/>
    <m/>
    <m/>
    <m/>
    <m/>
    <s v="0.00%"/>
    <s v="0.00%"/>
    <s v="0.00%"/>
    <s v="0.00%"/>
    <m/>
    <m/>
    <m/>
    <m/>
    <m/>
    <m/>
    <m/>
    <s v="0.00%"/>
    <s v="0.00%"/>
    <s v="0.00%"/>
    <s v="0.00%"/>
    <m/>
    <m/>
    <m/>
    <m/>
    <m/>
    <m/>
    <m/>
    <m/>
    <m/>
    <m/>
    <m/>
    <m/>
    <m/>
    <m/>
    <m/>
    <m/>
    <m/>
    <s v="Mike Teixeira"/>
    <m/>
    <s v="05/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3/21/2025"/>
    <x v="35"/>
    <n v="5686625"/>
    <s v="Click Here To View"/>
    <s v="Construction"/>
    <n v="3.71"/>
    <s v="100.00%"/>
    <s v="0.00%"/>
    <s v="100.00%"/>
    <s v="0.00%"/>
    <m/>
    <n v="3.71"/>
    <m/>
    <n v="3.71"/>
    <m/>
    <m/>
    <m/>
    <m/>
    <m/>
    <m/>
    <m/>
    <m/>
    <m/>
    <m/>
    <m/>
    <m/>
    <m/>
    <m/>
    <m/>
    <m/>
    <m/>
    <m/>
    <m/>
    <n v="3.71"/>
    <m/>
    <m/>
    <m/>
    <m/>
    <m/>
    <m/>
    <m/>
    <m/>
    <m/>
    <m/>
    <m/>
    <m/>
    <m/>
    <m/>
    <s v="0.00%"/>
    <s v="0.00%"/>
    <s v="0.00%"/>
    <s v="0.00%"/>
    <m/>
    <m/>
    <m/>
    <m/>
    <m/>
    <m/>
    <m/>
    <s v="0.00%"/>
    <s v="0.00%"/>
    <s v="0.00%"/>
    <s v="0.00%"/>
    <m/>
    <m/>
    <m/>
    <m/>
    <m/>
    <m/>
    <m/>
    <m/>
    <m/>
    <m/>
    <m/>
    <m/>
    <m/>
    <m/>
    <m/>
    <m/>
    <m/>
    <s v="Mike Teixeira"/>
    <m/>
    <s v="05/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3/24/2025"/>
    <x v="35"/>
    <n v="5687527"/>
    <s v="Click Here To View"/>
    <s v="Construction"/>
    <n v="2.89"/>
    <s v="100.00%"/>
    <s v="0.00%"/>
    <s v="100.00%"/>
    <s v="0.00%"/>
    <m/>
    <n v="2.89"/>
    <m/>
    <n v="2.89"/>
    <m/>
    <m/>
    <m/>
    <m/>
    <m/>
    <m/>
    <m/>
    <m/>
    <m/>
    <m/>
    <m/>
    <m/>
    <m/>
    <m/>
    <m/>
    <m/>
    <m/>
    <m/>
    <m/>
    <n v="2.89"/>
    <m/>
    <m/>
    <m/>
    <m/>
    <m/>
    <m/>
    <m/>
    <m/>
    <m/>
    <m/>
    <m/>
    <m/>
    <m/>
    <m/>
    <s v="0.00%"/>
    <s v="0.00%"/>
    <s v="0.00%"/>
    <s v="0.00%"/>
    <m/>
    <m/>
    <m/>
    <m/>
    <m/>
    <m/>
    <m/>
    <s v="0.00%"/>
    <s v="0.00%"/>
    <s v="0.00%"/>
    <s v="0.00%"/>
    <m/>
    <m/>
    <m/>
    <m/>
    <m/>
    <m/>
    <m/>
    <m/>
    <m/>
    <m/>
    <m/>
    <m/>
    <m/>
    <m/>
    <m/>
    <m/>
    <m/>
    <s v="Mike Teixeira"/>
    <m/>
    <s v="05/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3/22/2025"/>
    <x v="35"/>
    <n v="5687426"/>
    <s v="Click Here To View"/>
    <s v="Construction"/>
    <n v="6.54"/>
    <s v="100.00%"/>
    <s v="0.00%"/>
    <s v="100.00%"/>
    <s v="0.00%"/>
    <m/>
    <n v="6.54"/>
    <m/>
    <n v="6.54"/>
    <m/>
    <m/>
    <m/>
    <m/>
    <m/>
    <m/>
    <m/>
    <m/>
    <m/>
    <m/>
    <m/>
    <m/>
    <m/>
    <m/>
    <m/>
    <m/>
    <m/>
    <m/>
    <m/>
    <n v="6.54"/>
    <m/>
    <m/>
    <m/>
    <m/>
    <m/>
    <m/>
    <m/>
    <m/>
    <m/>
    <m/>
    <m/>
    <m/>
    <m/>
    <m/>
    <s v="0.00%"/>
    <s v="0.00%"/>
    <s v="0.00%"/>
    <s v="0.00%"/>
    <m/>
    <m/>
    <m/>
    <m/>
    <m/>
    <m/>
    <m/>
    <s v="0.00%"/>
    <s v="0.00%"/>
    <s v="0.00%"/>
    <s v="0.00%"/>
    <m/>
    <m/>
    <m/>
    <m/>
    <m/>
    <m/>
    <m/>
    <m/>
    <m/>
    <m/>
    <m/>
    <m/>
    <m/>
    <m/>
    <m/>
    <m/>
    <m/>
    <s v="Mike Teixeira"/>
    <m/>
    <s v="05/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3/24/2025"/>
    <x v="35"/>
    <n v="5688164"/>
    <s v="Click Here To View"/>
    <s v="Construction"/>
    <n v="2.89"/>
    <s v="100.00%"/>
    <s v="0.00%"/>
    <s v="100.00%"/>
    <s v="0.00%"/>
    <m/>
    <n v="2.89"/>
    <m/>
    <n v="2.89"/>
    <m/>
    <m/>
    <m/>
    <m/>
    <m/>
    <m/>
    <m/>
    <m/>
    <m/>
    <m/>
    <m/>
    <m/>
    <m/>
    <m/>
    <m/>
    <m/>
    <m/>
    <m/>
    <m/>
    <n v="2.89"/>
    <m/>
    <m/>
    <m/>
    <m/>
    <m/>
    <m/>
    <m/>
    <m/>
    <m/>
    <m/>
    <m/>
    <m/>
    <m/>
    <m/>
    <s v="0.00%"/>
    <s v="0.00%"/>
    <s v="0.00%"/>
    <s v="0.00%"/>
    <m/>
    <m/>
    <m/>
    <m/>
    <m/>
    <m/>
    <m/>
    <s v="0.00%"/>
    <s v="0.00%"/>
    <s v="0.00%"/>
    <s v="0.00%"/>
    <m/>
    <m/>
    <m/>
    <m/>
    <m/>
    <m/>
    <m/>
    <m/>
    <m/>
    <m/>
    <m/>
    <m/>
    <m/>
    <m/>
    <m/>
    <m/>
    <m/>
    <s v="Mike Teixeira"/>
    <m/>
    <s v="05/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3/25/2025"/>
    <x v="35"/>
    <n v="5688785"/>
    <s v="Click Here To View"/>
    <s v="Construction"/>
    <n v="5.78"/>
    <s v="100.00%"/>
    <s v="0.00%"/>
    <s v="100.00%"/>
    <s v="0.00%"/>
    <m/>
    <n v="5.78"/>
    <m/>
    <n v="5.78"/>
    <m/>
    <m/>
    <m/>
    <m/>
    <m/>
    <m/>
    <m/>
    <m/>
    <m/>
    <m/>
    <m/>
    <m/>
    <m/>
    <m/>
    <m/>
    <m/>
    <m/>
    <m/>
    <m/>
    <n v="5.78"/>
    <m/>
    <m/>
    <m/>
    <m/>
    <m/>
    <m/>
    <m/>
    <m/>
    <m/>
    <m/>
    <m/>
    <m/>
    <m/>
    <m/>
    <s v="0.00%"/>
    <s v="0.00%"/>
    <s v="0.00%"/>
    <s v="0.00%"/>
    <m/>
    <m/>
    <m/>
    <m/>
    <m/>
    <m/>
    <m/>
    <s v="0.00%"/>
    <s v="0.00%"/>
    <s v="0.00%"/>
    <s v="0.00%"/>
    <m/>
    <m/>
    <m/>
    <m/>
    <m/>
    <m/>
    <m/>
    <m/>
    <m/>
    <m/>
    <m/>
    <m/>
    <m/>
    <m/>
    <m/>
    <m/>
    <m/>
    <s v="Mike Teixeira"/>
    <m/>
    <s v="05/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3/27/2025"/>
    <x v="35"/>
    <n v="5690083"/>
    <s v="Click Here To View"/>
    <s v="Construction"/>
    <n v="3.88"/>
    <s v="100.00%"/>
    <s v="0.00%"/>
    <s v="100.00%"/>
    <s v="0.00%"/>
    <m/>
    <n v="3.88"/>
    <m/>
    <n v="3.88"/>
    <m/>
    <m/>
    <m/>
    <m/>
    <m/>
    <m/>
    <m/>
    <m/>
    <m/>
    <m/>
    <m/>
    <m/>
    <m/>
    <m/>
    <m/>
    <m/>
    <m/>
    <m/>
    <m/>
    <n v="3.88"/>
    <m/>
    <m/>
    <m/>
    <m/>
    <m/>
    <m/>
    <m/>
    <m/>
    <m/>
    <m/>
    <m/>
    <m/>
    <m/>
    <m/>
    <s v="0.00%"/>
    <s v="0.00%"/>
    <s v="0.00%"/>
    <s v="0.00%"/>
    <m/>
    <m/>
    <m/>
    <m/>
    <m/>
    <m/>
    <m/>
    <s v="0.00%"/>
    <s v="0.00%"/>
    <s v="0.00%"/>
    <s v="0.00%"/>
    <m/>
    <m/>
    <m/>
    <m/>
    <m/>
    <m/>
    <m/>
    <m/>
    <m/>
    <m/>
    <m/>
    <m/>
    <m/>
    <m/>
    <m/>
    <m/>
    <m/>
    <s v="Mike Teixeira"/>
    <m/>
    <s v="05/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3/28/2025"/>
    <x v="35"/>
    <n v="5691383"/>
    <s v="Click Here To View"/>
    <s v="Construction"/>
    <n v="3.44"/>
    <s v="100.00%"/>
    <s v="0.00%"/>
    <s v="100.00%"/>
    <s v="0.00%"/>
    <m/>
    <n v="3.44"/>
    <m/>
    <n v="3.44"/>
    <m/>
    <m/>
    <m/>
    <m/>
    <m/>
    <m/>
    <m/>
    <m/>
    <m/>
    <m/>
    <m/>
    <m/>
    <m/>
    <m/>
    <m/>
    <m/>
    <m/>
    <m/>
    <m/>
    <n v="3.44"/>
    <m/>
    <m/>
    <m/>
    <m/>
    <m/>
    <m/>
    <m/>
    <m/>
    <m/>
    <m/>
    <m/>
    <m/>
    <m/>
    <m/>
    <s v="0.00%"/>
    <s v="0.00%"/>
    <s v="0.00%"/>
    <s v="0.00%"/>
    <m/>
    <m/>
    <m/>
    <m/>
    <m/>
    <m/>
    <m/>
    <s v="0.00%"/>
    <s v="0.00%"/>
    <s v="0.00%"/>
    <s v="0.00%"/>
    <m/>
    <m/>
    <m/>
    <m/>
    <m/>
    <m/>
    <m/>
    <m/>
    <m/>
    <m/>
    <m/>
    <m/>
    <m/>
    <m/>
    <m/>
    <m/>
    <m/>
    <s v="Mike Teixeira"/>
    <m/>
    <s v="05/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3/28/2025"/>
    <x v="35"/>
    <n v="5691482"/>
    <s v="Click Here To View"/>
    <s v="Construction"/>
    <n v="5.24"/>
    <s v="100.00%"/>
    <s v="0.00%"/>
    <s v="100.00%"/>
    <s v="0.00%"/>
    <m/>
    <n v="5.24"/>
    <m/>
    <n v="5.24"/>
    <m/>
    <m/>
    <m/>
    <m/>
    <m/>
    <m/>
    <m/>
    <m/>
    <m/>
    <m/>
    <m/>
    <m/>
    <m/>
    <m/>
    <m/>
    <m/>
    <m/>
    <m/>
    <m/>
    <n v="5.24"/>
    <m/>
    <m/>
    <m/>
    <m/>
    <m/>
    <m/>
    <m/>
    <m/>
    <m/>
    <m/>
    <m/>
    <m/>
    <m/>
    <m/>
    <s v="0.00%"/>
    <s v="0.00%"/>
    <s v="0.00%"/>
    <s v="0.00%"/>
    <m/>
    <m/>
    <m/>
    <m/>
    <m/>
    <m/>
    <m/>
    <s v="0.00%"/>
    <s v="0.00%"/>
    <s v="0.00%"/>
    <s v="0.00%"/>
    <m/>
    <m/>
    <m/>
    <m/>
    <m/>
    <m/>
    <m/>
    <m/>
    <m/>
    <m/>
    <m/>
    <m/>
    <m/>
    <m/>
    <m/>
    <m/>
    <m/>
    <s v="Mike Teixeira"/>
    <m/>
    <s v="05/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3/31/2025"/>
    <x v="35"/>
    <n v="5691866"/>
    <s v="Click Here To View"/>
    <s v="Construction"/>
    <n v="2.92"/>
    <s v="100.00%"/>
    <s v="0.00%"/>
    <s v="100.00%"/>
    <s v="0.00%"/>
    <m/>
    <n v="2.92"/>
    <m/>
    <n v="2.92"/>
    <m/>
    <m/>
    <m/>
    <m/>
    <m/>
    <m/>
    <m/>
    <m/>
    <m/>
    <m/>
    <m/>
    <m/>
    <m/>
    <m/>
    <m/>
    <m/>
    <m/>
    <m/>
    <m/>
    <n v="2.92"/>
    <m/>
    <m/>
    <m/>
    <m/>
    <m/>
    <m/>
    <m/>
    <m/>
    <m/>
    <m/>
    <m/>
    <m/>
    <m/>
    <m/>
    <s v="0.00%"/>
    <s v="0.00%"/>
    <s v="0.00%"/>
    <s v="0.00%"/>
    <m/>
    <m/>
    <m/>
    <m/>
    <m/>
    <m/>
    <m/>
    <s v="0.00%"/>
    <s v="0.00%"/>
    <s v="0.00%"/>
    <s v="0.00%"/>
    <m/>
    <m/>
    <m/>
    <m/>
    <m/>
    <m/>
    <m/>
    <m/>
    <m/>
    <m/>
    <m/>
    <m/>
    <m/>
    <m/>
    <m/>
    <m/>
    <m/>
    <s v="Mike Teixeira"/>
    <m/>
    <s v="05/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3/31/2025"/>
    <x v="35"/>
    <n v="5692512"/>
    <s v="Click Here To View"/>
    <s v="Construction"/>
    <n v="3.11"/>
    <s v="100.00%"/>
    <s v="0.00%"/>
    <s v="100.00%"/>
    <s v="0.00%"/>
    <m/>
    <n v="3.11"/>
    <m/>
    <n v="3.11"/>
    <m/>
    <m/>
    <m/>
    <m/>
    <m/>
    <m/>
    <m/>
    <m/>
    <m/>
    <m/>
    <m/>
    <m/>
    <m/>
    <m/>
    <m/>
    <m/>
    <m/>
    <m/>
    <m/>
    <n v="3.11"/>
    <m/>
    <m/>
    <m/>
    <m/>
    <m/>
    <m/>
    <m/>
    <m/>
    <m/>
    <m/>
    <m/>
    <m/>
    <m/>
    <m/>
    <s v="0.00%"/>
    <s v="0.00%"/>
    <s v="0.00%"/>
    <s v="0.00%"/>
    <m/>
    <m/>
    <m/>
    <m/>
    <m/>
    <m/>
    <m/>
    <s v="0.00%"/>
    <s v="0.00%"/>
    <s v="0.00%"/>
    <s v="0.00%"/>
    <m/>
    <m/>
    <m/>
    <m/>
    <m/>
    <m/>
    <m/>
    <m/>
    <m/>
    <m/>
    <m/>
    <m/>
    <m/>
    <m/>
    <m/>
    <m/>
    <m/>
    <s v="Mike Teixeira"/>
    <m/>
    <s v="05/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4/01/2025"/>
    <x v="29"/>
    <n v="5693047"/>
    <s v="Click Here To View"/>
    <s v="Construction"/>
    <n v="4.03"/>
    <s v="100.00%"/>
    <s v="0.00%"/>
    <s v="100.00%"/>
    <s v="0.00%"/>
    <m/>
    <n v="4.03"/>
    <m/>
    <n v="4.03"/>
    <m/>
    <m/>
    <m/>
    <m/>
    <m/>
    <m/>
    <m/>
    <m/>
    <m/>
    <m/>
    <m/>
    <m/>
    <m/>
    <m/>
    <m/>
    <m/>
    <m/>
    <m/>
    <m/>
    <n v="4.03"/>
    <m/>
    <m/>
    <m/>
    <m/>
    <m/>
    <m/>
    <m/>
    <m/>
    <m/>
    <m/>
    <m/>
    <m/>
    <m/>
    <m/>
    <s v="0.00%"/>
    <s v="0.00%"/>
    <s v="0.00%"/>
    <s v="0.00%"/>
    <m/>
    <m/>
    <m/>
    <m/>
    <m/>
    <m/>
    <m/>
    <s v="0.00%"/>
    <s v="0.00%"/>
    <s v="0.00%"/>
    <s v="0.00%"/>
    <m/>
    <m/>
    <m/>
    <m/>
    <m/>
    <m/>
    <m/>
    <m/>
    <m/>
    <m/>
    <m/>
    <m/>
    <m/>
    <m/>
    <m/>
    <m/>
    <m/>
    <s v="Mike Teixeira"/>
    <m/>
    <s v="05/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4/02/2025"/>
    <x v="29"/>
    <n v="5693665"/>
    <s v="Click Here To View"/>
    <s v="Construction"/>
    <n v="4.6900000000000004"/>
    <s v="100.00%"/>
    <s v="0.00%"/>
    <s v="100.00%"/>
    <s v="0.00%"/>
    <m/>
    <n v="4.6900000000000004"/>
    <m/>
    <n v="4.6900000000000004"/>
    <m/>
    <m/>
    <m/>
    <m/>
    <m/>
    <m/>
    <m/>
    <m/>
    <m/>
    <m/>
    <m/>
    <m/>
    <m/>
    <m/>
    <m/>
    <m/>
    <m/>
    <m/>
    <m/>
    <n v="4.6900000000000004"/>
    <m/>
    <m/>
    <m/>
    <m/>
    <m/>
    <m/>
    <m/>
    <m/>
    <m/>
    <m/>
    <m/>
    <m/>
    <m/>
    <m/>
    <s v="0.00%"/>
    <s v="0.00%"/>
    <s v="0.00%"/>
    <s v="0.00%"/>
    <m/>
    <m/>
    <m/>
    <m/>
    <m/>
    <m/>
    <m/>
    <s v="0.00%"/>
    <s v="0.00%"/>
    <s v="0.00%"/>
    <s v="0.00%"/>
    <m/>
    <m/>
    <m/>
    <m/>
    <m/>
    <m/>
    <m/>
    <m/>
    <m/>
    <m/>
    <m/>
    <m/>
    <m/>
    <m/>
    <m/>
    <m/>
    <m/>
    <s v="Mike Teixeira"/>
    <m/>
    <s v="05/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4/04/2025"/>
    <x v="29"/>
    <n v="5694989"/>
    <s v="Click Here To View"/>
    <s v="Construction"/>
    <n v="5.42"/>
    <s v="100.00%"/>
    <s v="0.00%"/>
    <s v="100.00%"/>
    <s v="0.00%"/>
    <m/>
    <n v="5.42"/>
    <m/>
    <n v="5.42"/>
    <m/>
    <m/>
    <m/>
    <m/>
    <m/>
    <m/>
    <m/>
    <m/>
    <m/>
    <m/>
    <m/>
    <m/>
    <m/>
    <m/>
    <m/>
    <m/>
    <m/>
    <m/>
    <m/>
    <n v="5.42"/>
    <m/>
    <m/>
    <m/>
    <m/>
    <m/>
    <m/>
    <m/>
    <m/>
    <m/>
    <m/>
    <m/>
    <m/>
    <m/>
    <m/>
    <s v="0.00%"/>
    <s v="0.00%"/>
    <s v="0.00%"/>
    <s v="0.00%"/>
    <m/>
    <m/>
    <m/>
    <m/>
    <m/>
    <m/>
    <m/>
    <s v="0.00%"/>
    <s v="0.00%"/>
    <s v="0.00%"/>
    <s v="0.00%"/>
    <m/>
    <m/>
    <m/>
    <m/>
    <m/>
    <m/>
    <m/>
    <m/>
    <m/>
    <m/>
    <m/>
    <m/>
    <m/>
    <m/>
    <m/>
    <m/>
    <m/>
    <s v="Mike Teixeira"/>
    <m/>
    <s v="05/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4/04/2025"/>
    <x v="29"/>
    <n v="5695385"/>
    <s v="Click Here To View"/>
    <s v="Construction"/>
    <n v="2.79"/>
    <s v="100.00%"/>
    <s v="0.00%"/>
    <s v="100.00%"/>
    <s v="0.00%"/>
    <m/>
    <n v="2.79"/>
    <m/>
    <n v="2.79"/>
    <m/>
    <m/>
    <m/>
    <m/>
    <m/>
    <m/>
    <m/>
    <m/>
    <m/>
    <m/>
    <m/>
    <m/>
    <m/>
    <m/>
    <m/>
    <m/>
    <m/>
    <m/>
    <m/>
    <n v="2.79"/>
    <m/>
    <m/>
    <m/>
    <m/>
    <m/>
    <m/>
    <m/>
    <m/>
    <m/>
    <m/>
    <m/>
    <m/>
    <m/>
    <m/>
    <s v="0.00%"/>
    <s v="0.00%"/>
    <s v="0.00%"/>
    <s v="0.00%"/>
    <m/>
    <m/>
    <m/>
    <m/>
    <m/>
    <m/>
    <m/>
    <s v="0.00%"/>
    <s v="0.00%"/>
    <s v="0.00%"/>
    <s v="0.00%"/>
    <m/>
    <m/>
    <m/>
    <m/>
    <m/>
    <m/>
    <m/>
    <m/>
    <m/>
    <m/>
    <m/>
    <m/>
    <m/>
    <m/>
    <m/>
    <m/>
    <m/>
    <s v="Mike Teixeira"/>
    <m/>
    <s v="05/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4/04/2025"/>
    <x v="29"/>
    <n v="5695611"/>
    <s v="Click Here To View"/>
    <s v="Construction"/>
    <n v="1.6"/>
    <s v="100.00%"/>
    <s v="0.00%"/>
    <s v="100.00%"/>
    <s v="0.00%"/>
    <m/>
    <n v="1.6"/>
    <m/>
    <n v="1.6"/>
    <m/>
    <m/>
    <m/>
    <m/>
    <m/>
    <m/>
    <m/>
    <m/>
    <m/>
    <m/>
    <m/>
    <m/>
    <m/>
    <m/>
    <m/>
    <m/>
    <m/>
    <m/>
    <m/>
    <n v="1.6"/>
    <m/>
    <m/>
    <m/>
    <m/>
    <m/>
    <m/>
    <m/>
    <m/>
    <m/>
    <m/>
    <m/>
    <m/>
    <m/>
    <m/>
    <s v="0.00%"/>
    <s v="0.00%"/>
    <s v="0.00%"/>
    <s v="0.00%"/>
    <m/>
    <m/>
    <m/>
    <m/>
    <m/>
    <m/>
    <m/>
    <s v="0.00%"/>
    <s v="0.00%"/>
    <s v="0.00%"/>
    <s v="0.00%"/>
    <m/>
    <m/>
    <m/>
    <m/>
    <m/>
    <m/>
    <m/>
    <m/>
    <m/>
    <m/>
    <m/>
    <m/>
    <m/>
    <m/>
    <m/>
    <m/>
    <m/>
    <s v="Mike Teixeira"/>
    <m/>
    <s v="05/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4/07/2025"/>
    <x v="29"/>
    <n v="5696677"/>
    <s v="Click Here To View"/>
    <s v="Construction"/>
    <n v="7.38"/>
    <s v="100.00%"/>
    <s v="0.00%"/>
    <s v="100.00%"/>
    <s v="0.00%"/>
    <m/>
    <n v="7.38"/>
    <m/>
    <n v="7.38"/>
    <m/>
    <m/>
    <m/>
    <m/>
    <m/>
    <m/>
    <m/>
    <m/>
    <m/>
    <m/>
    <m/>
    <m/>
    <m/>
    <m/>
    <m/>
    <m/>
    <m/>
    <m/>
    <m/>
    <n v="7.38"/>
    <m/>
    <m/>
    <m/>
    <m/>
    <m/>
    <m/>
    <m/>
    <m/>
    <m/>
    <m/>
    <m/>
    <m/>
    <m/>
    <m/>
    <s v="0.00%"/>
    <s v="0.00%"/>
    <s v="0.00%"/>
    <s v="0.00%"/>
    <m/>
    <m/>
    <m/>
    <m/>
    <m/>
    <m/>
    <m/>
    <s v="0.00%"/>
    <s v="0.00%"/>
    <s v="0.00%"/>
    <s v="0.00%"/>
    <m/>
    <m/>
    <m/>
    <m/>
    <m/>
    <m/>
    <m/>
    <m/>
    <m/>
    <m/>
    <m/>
    <m/>
    <m/>
    <m/>
    <m/>
    <m/>
    <m/>
    <s v="Mike Teixeira"/>
    <m/>
    <s v="05/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4/08/2025"/>
    <x v="29"/>
    <n v="5697116"/>
    <s v="Click Here To View"/>
    <s v="Construction"/>
    <n v="3.65"/>
    <s v="100.00%"/>
    <s v="0.00%"/>
    <s v="100.00%"/>
    <s v="0.00%"/>
    <m/>
    <n v="3.65"/>
    <m/>
    <n v="3.65"/>
    <m/>
    <m/>
    <m/>
    <m/>
    <m/>
    <m/>
    <m/>
    <m/>
    <m/>
    <m/>
    <m/>
    <m/>
    <m/>
    <m/>
    <m/>
    <m/>
    <m/>
    <m/>
    <m/>
    <n v="3.65"/>
    <m/>
    <m/>
    <m/>
    <m/>
    <m/>
    <m/>
    <m/>
    <m/>
    <m/>
    <m/>
    <m/>
    <m/>
    <m/>
    <m/>
    <s v="0.00%"/>
    <s v="0.00%"/>
    <s v="0.00%"/>
    <s v="0.00%"/>
    <m/>
    <m/>
    <m/>
    <m/>
    <m/>
    <m/>
    <m/>
    <s v="0.00%"/>
    <s v="0.00%"/>
    <s v="0.00%"/>
    <s v="0.00%"/>
    <m/>
    <m/>
    <m/>
    <m/>
    <m/>
    <m/>
    <m/>
    <m/>
    <m/>
    <m/>
    <m/>
    <m/>
    <m/>
    <m/>
    <m/>
    <m/>
    <m/>
    <s v="Mike Teixeira"/>
    <m/>
    <s v="05/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4/08/2025"/>
    <x v="29"/>
    <n v="5697505"/>
    <s v="Click Here To View"/>
    <s v="Construction"/>
    <n v="2.6"/>
    <s v="100.00%"/>
    <s v="0.00%"/>
    <s v="100.00%"/>
    <s v="0.00%"/>
    <m/>
    <n v="2.6"/>
    <m/>
    <n v="2.6"/>
    <m/>
    <m/>
    <m/>
    <m/>
    <m/>
    <m/>
    <m/>
    <m/>
    <m/>
    <m/>
    <m/>
    <m/>
    <m/>
    <m/>
    <m/>
    <m/>
    <m/>
    <m/>
    <m/>
    <n v="2.6"/>
    <m/>
    <m/>
    <m/>
    <m/>
    <m/>
    <m/>
    <m/>
    <m/>
    <m/>
    <m/>
    <m/>
    <m/>
    <m/>
    <m/>
    <s v="0.00%"/>
    <s v="0.00%"/>
    <s v="0.00%"/>
    <s v="0.00%"/>
    <m/>
    <m/>
    <m/>
    <m/>
    <m/>
    <m/>
    <m/>
    <s v="0.00%"/>
    <s v="0.00%"/>
    <s v="0.00%"/>
    <s v="0.00%"/>
    <m/>
    <m/>
    <m/>
    <m/>
    <m/>
    <m/>
    <m/>
    <m/>
    <m/>
    <m/>
    <m/>
    <m/>
    <m/>
    <m/>
    <m/>
    <m/>
    <m/>
    <s v="Mike Teixeira"/>
    <m/>
    <s v="05/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4/09/2025"/>
    <x v="29"/>
    <n v="5698013"/>
    <s v="Click Here To View"/>
    <s v="Construction"/>
    <n v="2.02"/>
    <s v="100.00%"/>
    <s v="0.00%"/>
    <s v="100.00%"/>
    <s v="0.00%"/>
    <m/>
    <n v="2.02"/>
    <m/>
    <n v="2.02"/>
    <m/>
    <m/>
    <m/>
    <m/>
    <m/>
    <m/>
    <m/>
    <m/>
    <m/>
    <m/>
    <m/>
    <m/>
    <m/>
    <m/>
    <m/>
    <m/>
    <m/>
    <m/>
    <m/>
    <n v="2.02"/>
    <m/>
    <m/>
    <m/>
    <m/>
    <m/>
    <m/>
    <m/>
    <m/>
    <m/>
    <m/>
    <m/>
    <m/>
    <m/>
    <m/>
    <s v="0.00%"/>
    <s v="0.00%"/>
    <s v="0.00%"/>
    <s v="0.00%"/>
    <m/>
    <m/>
    <m/>
    <m/>
    <m/>
    <m/>
    <m/>
    <s v="0.00%"/>
    <s v="0.00%"/>
    <s v="0.00%"/>
    <s v="0.00%"/>
    <m/>
    <m/>
    <m/>
    <m/>
    <m/>
    <m/>
    <m/>
    <m/>
    <m/>
    <m/>
    <m/>
    <m/>
    <m/>
    <m/>
    <m/>
    <m/>
    <m/>
    <s v="Mike Teixeira"/>
    <m/>
    <s v="05/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4/09/2025"/>
    <x v="29"/>
    <n v="5698176"/>
    <s v="Click Here To View"/>
    <s v="Construction"/>
    <n v="2.73"/>
    <s v="100.00%"/>
    <s v="0.00%"/>
    <s v="100.00%"/>
    <s v="0.00%"/>
    <m/>
    <n v="2.73"/>
    <m/>
    <n v="2.73"/>
    <m/>
    <m/>
    <m/>
    <m/>
    <m/>
    <m/>
    <m/>
    <m/>
    <m/>
    <m/>
    <m/>
    <m/>
    <m/>
    <m/>
    <m/>
    <m/>
    <m/>
    <m/>
    <m/>
    <n v="2.73"/>
    <m/>
    <m/>
    <m/>
    <m/>
    <m/>
    <m/>
    <m/>
    <m/>
    <m/>
    <m/>
    <m/>
    <m/>
    <m/>
    <m/>
    <s v="0.00%"/>
    <s v="0.00%"/>
    <s v="0.00%"/>
    <s v="0.00%"/>
    <m/>
    <m/>
    <m/>
    <m/>
    <m/>
    <m/>
    <m/>
    <s v="0.00%"/>
    <s v="0.00%"/>
    <s v="0.00%"/>
    <s v="0.00%"/>
    <m/>
    <m/>
    <m/>
    <m/>
    <m/>
    <m/>
    <m/>
    <m/>
    <m/>
    <m/>
    <m/>
    <m/>
    <m/>
    <m/>
    <m/>
    <m/>
    <m/>
    <s v="Mike Teixeira"/>
    <m/>
    <s v="05/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4/09/2025"/>
    <x v="29"/>
    <n v="5698277"/>
    <s v="Click Here To View"/>
    <s v="Construction"/>
    <n v="2.69"/>
    <s v="100.00%"/>
    <s v="0.00%"/>
    <s v="100.00%"/>
    <s v="0.00%"/>
    <m/>
    <n v="2.69"/>
    <m/>
    <n v="2.69"/>
    <m/>
    <m/>
    <m/>
    <m/>
    <m/>
    <m/>
    <m/>
    <m/>
    <m/>
    <m/>
    <m/>
    <m/>
    <m/>
    <m/>
    <m/>
    <m/>
    <m/>
    <m/>
    <m/>
    <n v="2.69"/>
    <m/>
    <m/>
    <m/>
    <m/>
    <m/>
    <m/>
    <m/>
    <m/>
    <m/>
    <m/>
    <m/>
    <m/>
    <m/>
    <m/>
    <s v="0.00%"/>
    <s v="0.00%"/>
    <s v="0.00%"/>
    <s v="0.00%"/>
    <m/>
    <m/>
    <m/>
    <m/>
    <m/>
    <m/>
    <m/>
    <s v="0.00%"/>
    <s v="0.00%"/>
    <s v="0.00%"/>
    <s v="0.00%"/>
    <m/>
    <m/>
    <m/>
    <m/>
    <m/>
    <m/>
    <m/>
    <m/>
    <m/>
    <m/>
    <m/>
    <m/>
    <m/>
    <m/>
    <m/>
    <m/>
    <m/>
    <s v="Mike Teixeira"/>
    <m/>
    <s v="05/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4/10/2025"/>
    <x v="29"/>
    <n v="5698999"/>
    <s v="Click Here To View"/>
    <s v="Construction"/>
    <n v="3.28"/>
    <s v="100.00%"/>
    <s v="0.00%"/>
    <s v="100.00%"/>
    <s v="0.00%"/>
    <m/>
    <n v="3.28"/>
    <m/>
    <n v="3.28"/>
    <m/>
    <m/>
    <m/>
    <m/>
    <m/>
    <m/>
    <m/>
    <m/>
    <m/>
    <m/>
    <m/>
    <m/>
    <m/>
    <m/>
    <m/>
    <m/>
    <m/>
    <m/>
    <m/>
    <n v="3.28"/>
    <m/>
    <m/>
    <m/>
    <m/>
    <m/>
    <m/>
    <m/>
    <m/>
    <m/>
    <m/>
    <m/>
    <m/>
    <m/>
    <m/>
    <s v="0.00%"/>
    <s v="0.00%"/>
    <s v="0.00%"/>
    <s v="0.00%"/>
    <m/>
    <m/>
    <m/>
    <m/>
    <m/>
    <m/>
    <m/>
    <s v="0.00%"/>
    <s v="0.00%"/>
    <s v="0.00%"/>
    <s v="0.00%"/>
    <m/>
    <m/>
    <m/>
    <m/>
    <m/>
    <m/>
    <m/>
    <m/>
    <m/>
    <m/>
    <m/>
    <m/>
    <m/>
    <m/>
    <m/>
    <m/>
    <m/>
    <s v="Mike Teixeira"/>
    <m/>
    <s v="05/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4/14/2025"/>
    <x v="29"/>
    <n v="5700482"/>
    <s v="Click Here To View"/>
    <s v="Construction"/>
    <n v="4.17"/>
    <s v="100.00%"/>
    <s v="0.00%"/>
    <s v="100.00%"/>
    <s v="0.00%"/>
    <m/>
    <n v="4.17"/>
    <m/>
    <n v="4.17"/>
    <m/>
    <m/>
    <m/>
    <m/>
    <m/>
    <m/>
    <m/>
    <m/>
    <m/>
    <m/>
    <m/>
    <m/>
    <m/>
    <m/>
    <m/>
    <m/>
    <m/>
    <m/>
    <m/>
    <n v="4.17"/>
    <m/>
    <m/>
    <m/>
    <m/>
    <m/>
    <m/>
    <m/>
    <m/>
    <m/>
    <m/>
    <m/>
    <m/>
    <m/>
    <m/>
    <s v="0.00%"/>
    <s v="0.00%"/>
    <s v="0.00%"/>
    <s v="0.00%"/>
    <m/>
    <m/>
    <m/>
    <m/>
    <m/>
    <m/>
    <m/>
    <s v="0.00%"/>
    <s v="0.00%"/>
    <s v="0.00%"/>
    <s v="0.00%"/>
    <m/>
    <m/>
    <m/>
    <m/>
    <m/>
    <m/>
    <m/>
    <m/>
    <m/>
    <m/>
    <m/>
    <m/>
    <m/>
    <m/>
    <m/>
    <m/>
    <m/>
    <s v="Mike Teixeira"/>
    <m/>
    <s v="05/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4/11/2025"/>
    <x v="29"/>
    <n v="5699448"/>
    <s v="Click Here To View"/>
    <s v="Construction"/>
    <n v="2.2200000000000002"/>
    <s v="100.00%"/>
    <s v="0.00%"/>
    <s v="100.00%"/>
    <s v="0.00%"/>
    <m/>
    <n v="2.2200000000000002"/>
    <m/>
    <n v="2.2200000000000002"/>
    <m/>
    <m/>
    <m/>
    <m/>
    <m/>
    <m/>
    <m/>
    <m/>
    <m/>
    <m/>
    <m/>
    <m/>
    <m/>
    <m/>
    <m/>
    <m/>
    <m/>
    <m/>
    <m/>
    <n v="2.2200000000000002"/>
    <m/>
    <m/>
    <m/>
    <m/>
    <m/>
    <m/>
    <m/>
    <m/>
    <m/>
    <m/>
    <m/>
    <m/>
    <m/>
    <m/>
    <s v="0.00%"/>
    <s v="0.00%"/>
    <s v="0.00%"/>
    <s v="0.00%"/>
    <m/>
    <m/>
    <m/>
    <m/>
    <m/>
    <m/>
    <m/>
    <s v="0.00%"/>
    <s v="0.00%"/>
    <s v="0.00%"/>
    <s v="0.00%"/>
    <m/>
    <m/>
    <m/>
    <m/>
    <m/>
    <m/>
    <m/>
    <m/>
    <m/>
    <m/>
    <m/>
    <m/>
    <m/>
    <m/>
    <m/>
    <m/>
    <m/>
    <s v="Mike Teixeira"/>
    <m/>
    <s v="05/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4/14/2025"/>
    <x v="29"/>
    <n v="5700814"/>
    <s v="Click Here To View"/>
    <s v="Construction"/>
    <n v="1.02"/>
    <s v="100.00%"/>
    <s v="0.00%"/>
    <s v="100.00%"/>
    <s v="0.00%"/>
    <m/>
    <n v="1.02"/>
    <m/>
    <n v="1.02"/>
    <m/>
    <m/>
    <m/>
    <m/>
    <m/>
    <m/>
    <m/>
    <m/>
    <m/>
    <m/>
    <m/>
    <m/>
    <m/>
    <m/>
    <m/>
    <m/>
    <m/>
    <m/>
    <m/>
    <n v="1.02"/>
    <m/>
    <m/>
    <m/>
    <m/>
    <m/>
    <m/>
    <m/>
    <m/>
    <m/>
    <m/>
    <m/>
    <m/>
    <m/>
    <m/>
    <s v="0.00%"/>
    <s v="0.00%"/>
    <s v="0.00%"/>
    <s v="0.00%"/>
    <m/>
    <m/>
    <m/>
    <m/>
    <m/>
    <m/>
    <m/>
    <s v="0.00%"/>
    <s v="0.00%"/>
    <s v="0.00%"/>
    <s v="0.00%"/>
    <m/>
    <m/>
    <m/>
    <m/>
    <m/>
    <m/>
    <m/>
    <m/>
    <m/>
    <m/>
    <m/>
    <m/>
    <m/>
    <m/>
    <m/>
    <m/>
    <m/>
    <s v="Mike Teixeira"/>
    <m/>
    <s v="05/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4/14/2025"/>
    <x v="29"/>
    <n v="5700302"/>
    <s v="Click Here To View"/>
    <s v="Construction"/>
    <n v="3.6"/>
    <s v="100.00%"/>
    <s v="0.00%"/>
    <s v="100.00%"/>
    <s v="0.00%"/>
    <m/>
    <n v="3.6"/>
    <m/>
    <n v="3.6"/>
    <m/>
    <m/>
    <m/>
    <m/>
    <m/>
    <m/>
    <m/>
    <m/>
    <m/>
    <m/>
    <m/>
    <m/>
    <m/>
    <m/>
    <m/>
    <m/>
    <m/>
    <m/>
    <m/>
    <n v="3.6"/>
    <m/>
    <m/>
    <m/>
    <m/>
    <m/>
    <m/>
    <m/>
    <m/>
    <m/>
    <m/>
    <m/>
    <m/>
    <m/>
    <m/>
    <s v="0.00%"/>
    <s v="0.00%"/>
    <s v="0.00%"/>
    <s v="0.00%"/>
    <m/>
    <m/>
    <m/>
    <m/>
    <m/>
    <m/>
    <m/>
    <s v="0.00%"/>
    <s v="0.00%"/>
    <s v="0.00%"/>
    <s v="0.00%"/>
    <m/>
    <m/>
    <m/>
    <m/>
    <m/>
    <m/>
    <m/>
    <m/>
    <m/>
    <m/>
    <m/>
    <m/>
    <m/>
    <m/>
    <m/>
    <m/>
    <m/>
    <s v="Mike Teixeira"/>
    <m/>
    <s v="05/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4/15/2025"/>
    <x v="29"/>
    <n v="5701495"/>
    <s v="Click Here To View"/>
    <s v="Construction"/>
    <n v="2.52"/>
    <s v="100.00%"/>
    <s v="0.00%"/>
    <s v="100.00%"/>
    <s v="0.00%"/>
    <m/>
    <n v="2.52"/>
    <m/>
    <n v="2.52"/>
    <m/>
    <m/>
    <m/>
    <m/>
    <m/>
    <m/>
    <m/>
    <m/>
    <m/>
    <m/>
    <m/>
    <m/>
    <m/>
    <m/>
    <m/>
    <m/>
    <m/>
    <m/>
    <m/>
    <n v="2.52"/>
    <m/>
    <m/>
    <m/>
    <m/>
    <m/>
    <m/>
    <m/>
    <m/>
    <m/>
    <m/>
    <m/>
    <m/>
    <m/>
    <m/>
    <s v="0.00%"/>
    <s v="0.00%"/>
    <s v="0.00%"/>
    <s v="0.00%"/>
    <m/>
    <m/>
    <m/>
    <m/>
    <m/>
    <m/>
    <m/>
    <s v="0.00%"/>
    <s v="0.00%"/>
    <s v="0.00%"/>
    <s v="0.00%"/>
    <m/>
    <m/>
    <m/>
    <m/>
    <m/>
    <m/>
    <m/>
    <m/>
    <m/>
    <m/>
    <m/>
    <m/>
    <m/>
    <m/>
    <m/>
    <m/>
    <m/>
    <s v="Mike Teixeira"/>
    <m/>
    <s v="05/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4/17/2025"/>
    <x v="29"/>
    <n v="5703131"/>
    <s v="Click Here To View"/>
    <s v="Construction"/>
    <n v="3.15"/>
    <s v="100.00%"/>
    <s v="0.00%"/>
    <s v="100.00%"/>
    <s v="0.00%"/>
    <m/>
    <n v="3.15"/>
    <m/>
    <n v="3.15"/>
    <m/>
    <m/>
    <m/>
    <m/>
    <m/>
    <m/>
    <m/>
    <m/>
    <m/>
    <m/>
    <m/>
    <m/>
    <m/>
    <m/>
    <m/>
    <m/>
    <m/>
    <m/>
    <m/>
    <n v="3.15"/>
    <m/>
    <m/>
    <m/>
    <m/>
    <m/>
    <m/>
    <m/>
    <m/>
    <m/>
    <m/>
    <m/>
    <m/>
    <m/>
    <m/>
    <s v="0.00%"/>
    <s v="0.00%"/>
    <s v="0.00%"/>
    <s v="0.00%"/>
    <m/>
    <m/>
    <m/>
    <m/>
    <m/>
    <m/>
    <m/>
    <s v="0.00%"/>
    <s v="0.00%"/>
    <s v="0.00%"/>
    <s v="0.00%"/>
    <m/>
    <m/>
    <m/>
    <m/>
    <m/>
    <m/>
    <m/>
    <m/>
    <m/>
    <m/>
    <m/>
    <m/>
    <m/>
    <m/>
    <m/>
    <m/>
    <m/>
    <s v="Mike Teixeira"/>
    <m/>
    <s v="05/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4/21/2025"/>
    <x v="29"/>
    <n v="5704867"/>
    <s v="Click Here To View"/>
    <s v="Construction"/>
    <n v="6.67"/>
    <s v="100.00%"/>
    <s v="0.00%"/>
    <s v="100.00%"/>
    <s v="0.00%"/>
    <m/>
    <n v="6.67"/>
    <m/>
    <n v="6.67"/>
    <m/>
    <m/>
    <m/>
    <m/>
    <m/>
    <m/>
    <m/>
    <m/>
    <m/>
    <m/>
    <m/>
    <m/>
    <m/>
    <m/>
    <m/>
    <m/>
    <m/>
    <m/>
    <m/>
    <n v="6.67"/>
    <m/>
    <m/>
    <m/>
    <m/>
    <m/>
    <m/>
    <m/>
    <m/>
    <m/>
    <m/>
    <m/>
    <m/>
    <m/>
    <m/>
    <s v="0.00%"/>
    <s v="0.00%"/>
    <s v="0.00%"/>
    <s v="0.00%"/>
    <m/>
    <m/>
    <m/>
    <m/>
    <m/>
    <m/>
    <m/>
    <s v="0.00%"/>
    <s v="0.00%"/>
    <s v="0.00%"/>
    <s v="0.00%"/>
    <m/>
    <m/>
    <m/>
    <m/>
    <m/>
    <m/>
    <m/>
    <m/>
    <m/>
    <m/>
    <m/>
    <m/>
    <m/>
    <m/>
    <m/>
    <m/>
    <m/>
    <s v="Mike Teixeira"/>
    <m/>
    <s v="05/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4/22/2025"/>
    <x v="29"/>
    <n v="5705638"/>
    <s v="Click Here To View"/>
    <s v="Construction"/>
    <n v="2.95"/>
    <s v="100.00%"/>
    <s v="0.00%"/>
    <s v="100.00%"/>
    <s v="0.00%"/>
    <m/>
    <n v="2.95"/>
    <m/>
    <n v="2.95"/>
    <m/>
    <m/>
    <m/>
    <m/>
    <m/>
    <m/>
    <m/>
    <m/>
    <m/>
    <m/>
    <m/>
    <m/>
    <m/>
    <m/>
    <m/>
    <m/>
    <m/>
    <m/>
    <m/>
    <n v="2.95"/>
    <m/>
    <m/>
    <m/>
    <m/>
    <m/>
    <m/>
    <m/>
    <m/>
    <m/>
    <m/>
    <m/>
    <m/>
    <m/>
    <m/>
    <s v="0.00%"/>
    <s v="0.00%"/>
    <s v="0.00%"/>
    <s v="0.00%"/>
    <m/>
    <m/>
    <m/>
    <m/>
    <m/>
    <m/>
    <m/>
    <s v="0.00%"/>
    <s v="0.00%"/>
    <s v="0.00%"/>
    <s v="0.00%"/>
    <m/>
    <m/>
    <m/>
    <m/>
    <m/>
    <m/>
    <m/>
    <m/>
    <m/>
    <m/>
    <m/>
    <m/>
    <m/>
    <m/>
    <m/>
    <m/>
    <m/>
    <s v="Mike Teixeira"/>
    <m/>
    <s v="05/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4/25/2025"/>
    <x v="29"/>
    <n v="5707047"/>
    <s v="Click Here To View"/>
    <s v="Construction"/>
    <n v="6.47"/>
    <s v="100.00%"/>
    <s v="0.00%"/>
    <s v="100.00%"/>
    <s v="0.00%"/>
    <m/>
    <n v="6.47"/>
    <m/>
    <n v="6.47"/>
    <m/>
    <m/>
    <m/>
    <m/>
    <m/>
    <m/>
    <m/>
    <m/>
    <m/>
    <m/>
    <m/>
    <m/>
    <m/>
    <m/>
    <m/>
    <m/>
    <m/>
    <m/>
    <m/>
    <n v="6.47"/>
    <m/>
    <m/>
    <m/>
    <m/>
    <m/>
    <m/>
    <m/>
    <m/>
    <m/>
    <m/>
    <m/>
    <m/>
    <m/>
    <m/>
    <s v="0.00%"/>
    <s v="0.00%"/>
    <s v="0.00%"/>
    <s v="0.00%"/>
    <m/>
    <m/>
    <m/>
    <m/>
    <m/>
    <m/>
    <m/>
    <s v="0.00%"/>
    <s v="0.00%"/>
    <s v="0.00%"/>
    <s v="0.00%"/>
    <m/>
    <m/>
    <m/>
    <m/>
    <m/>
    <m/>
    <m/>
    <m/>
    <m/>
    <m/>
    <m/>
    <m/>
    <m/>
    <m/>
    <m/>
    <m/>
    <m/>
    <s v="Mike Teixeira"/>
    <m/>
    <s v="05/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4/25/2025"/>
    <x v="29"/>
    <n v="5707660"/>
    <s v="Click Here To View"/>
    <s v="Construction"/>
    <n v="4.63"/>
    <s v="100.00%"/>
    <s v="0.00%"/>
    <s v="100.00%"/>
    <s v="0.00%"/>
    <m/>
    <n v="4.63"/>
    <m/>
    <n v="4.63"/>
    <m/>
    <m/>
    <m/>
    <m/>
    <m/>
    <m/>
    <m/>
    <m/>
    <m/>
    <m/>
    <m/>
    <m/>
    <m/>
    <m/>
    <m/>
    <m/>
    <m/>
    <m/>
    <m/>
    <n v="4.63"/>
    <m/>
    <m/>
    <m/>
    <m/>
    <m/>
    <m/>
    <m/>
    <m/>
    <m/>
    <m/>
    <m/>
    <m/>
    <m/>
    <m/>
    <s v="0.00%"/>
    <s v="0.00%"/>
    <s v="0.00%"/>
    <s v="0.00%"/>
    <m/>
    <m/>
    <m/>
    <m/>
    <m/>
    <m/>
    <m/>
    <s v="0.00%"/>
    <s v="0.00%"/>
    <s v="0.00%"/>
    <s v="0.00%"/>
    <m/>
    <m/>
    <m/>
    <m/>
    <m/>
    <m/>
    <m/>
    <m/>
    <m/>
    <m/>
    <m/>
    <m/>
    <m/>
    <m/>
    <m/>
    <m/>
    <m/>
    <s v="Mike Teixeira"/>
    <m/>
    <s v="05/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4/28/2025"/>
    <x v="29"/>
    <n v="5708911"/>
    <s v="Click Here To View"/>
    <s v="Construction"/>
    <n v="5.85"/>
    <s v="100.00%"/>
    <s v="0.00%"/>
    <s v="100.00%"/>
    <s v="0.00%"/>
    <m/>
    <n v="5.85"/>
    <m/>
    <n v="5.85"/>
    <m/>
    <m/>
    <m/>
    <m/>
    <m/>
    <m/>
    <m/>
    <m/>
    <m/>
    <m/>
    <m/>
    <m/>
    <m/>
    <m/>
    <m/>
    <m/>
    <m/>
    <m/>
    <m/>
    <n v="5.85"/>
    <m/>
    <m/>
    <m/>
    <m/>
    <m/>
    <m/>
    <m/>
    <m/>
    <m/>
    <m/>
    <m/>
    <m/>
    <m/>
    <m/>
    <s v="0.00%"/>
    <s v="0.00%"/>
    <s v="0.00%"/>
    <s v="0.00%"/>
    <m/>
    <m/>
    <m/>
    <m/>
    <m/>
    <m/>
    <m/>
    <s v="0.00%"/>
    <s v="0.00%"/>
    <s v="0.00%"/>
    <s v="0.00%"/>
    <m/>
    <m/>
    <m/>
    <m/>
    <m/>
    <m/>
    <m/>
    <m/>
    <m/>
    <m/>
    <m/>
    <m/>
    <m/>
    <m/>
    <m/>
    <m/>
    <m/>
    <s v="Mike Teixeira"/>
    <m/>
    <s v="06/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4/28/2025"/>
    <x v="29"/>
    <n v="5708801"/>
    <s v="Click Here To View"/>
    <s v="Construction"/>
    <n v="1.89"/>
    <s v="100.00%"/>
    <s v="0.00%"/>
    <s v="100.00%"/>
    <s v="0.00%"/>
    <m/>
    <n v="1.89"/>
    <m/>
    <n v="1.89"/>
    <m/>
    <m/>
    <m/>
    <m/>
    <m/>
    <m/>
    <m/>
    <m/>
    <m/>
    <m/>
    <m/>
    <m/>
    <m/>
    <m/>
    <m/>
    <m/>
    <m/>
    <m/>
    <m/>
    <n v="1.89"/>
    <m/>
    <m/>
    <m/>
    <m/>
    <m/>
    <m/>
    <m/>
    <m/>
    <m/>
    <m/>
    <m/>
    <m/>
    <m/>
    <m/>
    <s v="0.00%"/>
    <s v="0.00%"/>
    <s v="0.00%"/>
    <s v="0.00%"/>
    <m/>
    <m/>
    <m/>
    <m/>
    <m/>
    <m/>
    <m/>
    <s v="0.00%"/>
    <s v="0.00%"/>
    <s v="0.00%"/>
    <s v="0.00%"/>
    <m/>
    <m/>
    <m/>
    <m/>
    <m/>
    <m/>
    <m/>
    <m/>
    <m/>
    <m/>
    <m/>
    <m/>
    <m/>
    <m/>
    <m/>
    <m/>
    <m/>
    <s v="Mike Teixeira"/>
    <m/>
    <s v="06/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4/29/2025"/>
    <x v="29"/>
    <n v="5709752"/>
    <s v="Click Here To View"/>
    <s v="Construction"/>
    <n v="2.78"/>
    <s v="100.00%"/>
    <s v="0.00%"/>
    <s v="100.00%"/>
    <s v="0.00%"/>
    <m/>
    <n v="2.78"/>
    <m/>
    <n v="2.78"/>
    <m/>
    <m/>
    <m/>
    <m/>
    <m/>
    <m/>
    <m/>
    <m/>
    <m/>
    <m/>
    <m/>
    <m/>
    <m/>
    <m/>
    <m/>
    <m/>
    <m/>
    <m/>
    <m/>
    <n v="2.78"/>
    <m/>
    <m/>
    <m/>
    <m/>
    <m/>
    <m/>
    <m/>
    <m/>
    <m/>
    <m/>
    <m/>
    <m/>
    <m/>
    <m/>
    <s v="0.00%"/>
    <s v="0.00%"/>
    <s v="0.00%"/>
    <s v="0.00%"/>
    <m/>
    <m/>
    <m/>
    <m/>
    <m/>
    <m/>
    <m/>
    <s v="0.00%"/>
    <s v="0.00%"/>
    <s v="0.00%"/>
    <s v="0.00%"/>
    <m/>
    <m/>
    <m/>
    <m/>
    <m/>
    <m/>
    <m/>
    <m/>
    <m/>
    <m/>
    <m/>
    <m/>
    <m/>
    <m/>
    <m/>
    <m/>
    <m/>
    <s v="Mike Teixeira"/>
    <m/>
    <s v="06/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5/01/2025"/>
    <x v="30"/>
    <n v="5711141"/>
    <s v="Click Here To View"/>
    <s v="Construction"/>
    <n v="2.5"/>
    <s v="100.00%"/>
    <s v="0.00%"/>
    <s v="100.00%"/>
    <s v="0.00%"/>
    <m/>
    <n v="2.5"/>
    <m/>
    <n v="2.5"/>
    <m/>
    <m/>
    <m/>
    <m/>
    <m/>
    <m/>
    <m/>
    <m/>
    <m/>
    <m/>
    <m/>
    <m/>
    <m/>
    <m/>
    <m/>
    <m/>
    <m/>
    <m/>
    <m/>
    <n v="2.5"/>
    <m/>
    <m/>
    <m/>
    <m/>
    <m/>
    <m/>
    <m/>
    <m/>
    <m/>
    <m/>
    <m/>
    <m/>
    <m/>
    <m/>
    <s v="0.00%"/>
    <s v="0.00%"/>
    <s v="0.00%"/>
    <s v="0.00%"/>
    <m/>
    <m/>
    <m/>
    <m/>
    <m/>
    <m/>
    <m/>
    <s v="0.00%"/>
    <s v="0.00%"/>
    <s v="0.00%"/>
    <s v="0.00%"/>
    <m/>
    <m/>
    <m/>
    <m/>
    <m/>
    <m/>
    <m/>
    <m/>
    <m/>
    <m/>
    <m/>
    <m/>
    <m/>
    <m/>
    <m/>
    <m/>
    <m/>
    <s v="Mike Teixeira"/>
    <m/>
    <s v="06/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5/02/2025"/>
    <x v="30"/>
    <n v="5711940"/>
    <s v="Click Here To View"/>
    <s v="Construction"/>
    <n v="3.39"/>
    <s v="100.00%"/>
    <s v="0.00%"/>
    <s v="100.00%"/>
    <s v="0.00%"/>
    <m/>
    <n v="3.39"/>
    <m/>
    <n v="3.39"/>
    <m/>
    <m/>
    <m/>
    <m/>
    <m/>
    <m/>
    <m/>
    <m/>
    <m/>
    <m/>
    <m/>
    <m/>
    <m/>
    <m/>
    <m/>
    <m/>
    <m/>
    <m/>
    <m/>
    <n v="3.39"/>
    <m/>
    <m/>
    <m/>
    <m/>
    <m/>
    <m/>
    <m/>
    <m/>
    <m/>
    <m/>
    <m/>
    <m/>
    <m/>
    <m/>
    <s v="0.00%"/>
    <s v="0.00%"/>
    <s v="0.00%"/>
    <s v="0.00%"/>
    <m/>
    <m/>
    <m/>
    <m/>
    <m/>
    <m/>
    <m/>
    <s v="0.00%"/>
    <s v="0.00%"/>
    <s v="0.00%"/>
    <s v="0.00%"/>
    <m/>
    <m/>
    <m/>
    <m/>
    <m/>
    <m/>
    <m/>
    <m/>
    <m/>
    <m/>
    <m/>
    <m/>
    <m/>
    <m/>
    <m/>
    <m/>
    <m/>
    <s v="Mike Teixeira"/>
    <m/>
    <s v="06/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5/02/2025"/>
    <x v="30"/>
    <n v="5711420"/>
    <s v="Click Here To View"/>
    <s v="Construction"/>
    <n v="4.5999999999999996"/>
    <s v="100.00%"/>
    <s v="0.00%"/>
    <s v="100.00%"/>
    <s v="0.00%"/>
    <m/>
    <n v="4.5999999999999996"/>
    <m/>
    <n v="4.5999999999999996"/>
    <m/>
    <m/>
    <m/>
    <m/>
    <m/>
    <m/>
    <m/>
    <m/>
    <m/>
    <m/>
    <m/>
    <m/>
    <m/>
    <m/>
    <m/>
    <m/>
    <m/>
    <m/>
    <m/>
    <n v="4.5999999999999996"/>
    <m/>
    <m/>
    <m/>
    <m/>
    <m/>
    <m/>
    <m/>
    <m/>
    <m/>
    <m/>
    <m/>
    <m/>
    <m/>
    <m/>
    <s v="0.00%"/>
    <s v="0.00%"/>
    <s v="0.00%"/>
    <s v="0.00%"/>
    <m/>
    <m/>
    <m/>
    <m/>
    <m/>
    <m/>
    <m/>
    <s v="0.00%"/>
    <s v="0.00%"/>
    <s v="0.00%"/>
    <s v="0.00%"/>
    <m/>
    <m/>
    <m/>
    <m/>
    <m/>
    <m/>
    <m/>
    <m/>
    <m/>
    <m/>
    <m/>
    <m/>
    <m/>
    <m/>
    <m/>
    <m/>
    <m/>
    <s v="Mike Teixeira"/>
    <m/>
    <s v="06/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5/02/2025"/>
    <x v="30"/>
    <n v="5712076"/>
    <s v="Click Here To View"/>
    <s v="Construction"/>
    <n v="1.67"/>
    <s v="100.00%"/>
    <s v="0.00%"/>
    <s v="100.00%"/>
    <s v="0.00%"/>
    <m/>
    <n v="1.67"/>
    <m/>
    <n v="1.67"/>
    <m/>
    <m/>
    <m/>
    <m/>
    <m/>
    <m/>
    <m/>
    <m/>
    <m/>
    <m/>
    <m/>
    <m/>
    <m/>
    <m/>
    <m/>
    <m/>
    <m/>
    <m/>
    <m/>
    <n v="1.67"/>
    <m/>
    <m/>
    <m/>
    <m/>
    <m/>
    <m/>
    <m/>
    <m/>
    <m/>
    <m/>
    <m/>
    <m/>
    <m/>
    <m/>
    <s v="0.00%"/>
    <s v="0.00%"/>
    <s v="0.00%"/>
    <s v="0.00%"/>
    <m/>
    <m/>
    <m/>
    <m/>
    <m/>
    <m/>
    <m/>
    <s v="0.00%"/>
    <s v="0.00%"/>
    <s v="0.00%"/>
    <s v="0.00%"/>
    <m/>
    <m/>
    <m/>
    <m/>
    <m/>
    <m/>
    <m/>
    <m/>
    <m/>
    <m/>
    <m/>
    <m/>
    <m/>
    <m/>
    <m/>
    <m/>
    <m/>
    <s v="Mike Teixeira"/>
    <m/>
    <s v="06/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5/05/2025"/>
    <x v="30"/>
    <n v="5712985"/>
    <s v="Click Here To View"/>
    <s v="Construction"/>
    <n v="5.57"/>
    <s v="100.00%"/>
    <s v="0.00%"/>
    <s v="100.00%"/>
    <s v="0.00%"/>
    <m/>
    <n v="5.57"/>
    <m/>
    <n v="5.57"/>
    <m/>
    <m/>
    <m/>
    <m/>
    <m/>
    <m/>
    <m/>
    <m/>
    <m/>
    <m/>
    <m/>
    <m/>
    <m/>
    <m/>
    <m/>
    <m/>
    <m/>
    <m/>
    <m/>
    <n v="5.57"/>
    <m/>
    <m/>
    <m/>
    <m/>
    <m/>
    <m/>
    <m/>
    <m/>
    <m/>
    <m/>
    <m/>
    <m/>
    <m/>
    <m/>
    <s v="0.00%"/>
    <s v="0.00%"/>
    <s v="0.00%"/>
    <s v="0.00%"/>
    <m/>
    <m/>
    <m/>
    <m/>
    <m/>
    <m/>
    <m/>
    <s v="0.00%"/>
    <s v="0.00%"/>
    <s v="0.00%"/>
    <s v="0.00%"/>
    <m/>
    <m/>
    <m/>
    <m/>
    <m/>
    <m/>
    <m/>
    <m/>
    <m/>
    <m/>
    <m/>
    <m/>
    <m/>
    <m/>
    <m/>
    <m/>
    <m/>
    <s v="Mike Teixeira"/>
    <m/>
    <s v="06/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5/05/2025"/>
    <x v="30"/>
    <n v="5713153"/>
    <s v="Click Here To View"/>
    <s v="Construction"/>
    <n v="1.27"/>
    <s v="100.00%"/>
    <s v="0.00%"/>
    <s v="100.00%"/>
    <s v="0.00%"/>
    <m/>
    <n v="1.27"/>
    <m/>
    <n v="1.27"/>
    <m/>
    <m/>
    <m/>
    <m/>
    <m/>
    <m/>
    <m/>
    <m/>
    <m/>
    <m/>
    <m/>
    <m/>
    <m/>
    <m/>
    <m/>
    <m/>
    <m/>
    <m/>
    <m/>
    <n v="1.27"/>
    <m/>
    <m/>
    <m/>
    <m/>
    <m/>
    <m/>
    <m/>
    <m/>
    <m/>
    <m/>
    <m/>
    <m/>
    <m/>
    <m/>
    <s v="0.00%"/>
    <s v="0.00%"/>
    <s v="0.00%"/>
    <s v="0.00%"/>
    <m/>
    <m/>
    <m/>
    <m/>
    <m/>
    <m/>
    <m/>
    <s v="0.00%"/>
    <s v="0.00%"/>
    <s v="0.00%"/>
    <s v="0.00%"/>
    <m/>
    <m/>
    <m/>
    <m/>
    <m/>
    <m/>
    <m/>
    <m/>
    <m/>
    <m/>
    <m/>
    <m/>
    <m/>
    <m/>
    <m/>
    <m/>
    <m/>
    <s v="Mike Teixeira"/>
    <m/>
    <s v="06/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5/07/2025"/>
    <x v="30"/>
    <n v="5714468"/>
    <s v="Click Here To View"/>
    <s v="Construction"/>
    <n v="5.56"/>
    <s v="100.00%"/>
    <s v="0.00%"/>
    <s v="100.00%"/>
    <s v="0.00%"/>
    <m/>
    <n v="5.56"/>
    <m/>
    <n v="5.56"/>
    <m/>
    <m/>
    <m/>
    <m/>
    <m/>
    <m/>
    <m/>
    <m/>
    <m/>
    <m/>
    <m/>
    <m/>
    <m/>
    <m/>
    <m/>
    <m/>
    <m/>
    <m/>
    <m/>
    <n v="5.56"/>
    <m/>
    <m/>
    <m/>
    <m/>
    <m/>
    <m/>
    <m/>
    <m/>
    <m/>
    <m/>
    <m/>
    <m/>
    <m/>
    <m/>
    <s v="0.00%"/>
    <s v="0.00%"/>
    <s v="0.00%"/>
    <s v="0.00%"/>
    <m/>
    <m/>
    <m/>
    <m/>
    <m/>
    <m/>
    <m/>
    <s v="0.00%"/>
    <s v="0.00%"/>
    <s v="0.00%"/>
    <s v="0.00%"/>
    <m/>
    <m/>
    <m/>
    <m/>
    <m/>
    <m/>
    <m/>
    <m/>
    <m/>
    <m/>
    <m/>
    <m/>
    <m/>
    <m/>
    <m/>
    <m/>
    <m/>
    <s v="Mike Teixeira"/>
    <m/>
    <s v="06/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5/08/2025"/>
    <x v="30"/>
    <n v="5715113"/>
    <s v="Click Here To View"/>
    <s v="Construction"/>
    <n v="3.16"/>
    <s v="100.00%"/>
    <s v="0.00%"/>
    <s v="100.00%"/>
    <s v="0.00%"/>
    <m/>
    <n v="3.16"/>
    <m/>
    <n v="3.16"/>
    <m/>
    <m/>
    <m/>
    <m/>
    <m/>
    <m/>
    <m/>
    <m/>
    <m/>
    <m/>
    <m/>
    <m/>
    <m/>
    <m/>
    <m/>
    <m/>
    <m/>
    <m/>
    <m/>
    <n v="3.16"/>
    <m/>
    <m/>
    <m/>
    <m/>
    <m/>
    <m/>
    <m/>
    <m/>
    <m/>
    <m/>
    <m/>
    <m/>
    <m/>
    <m/>
    <s v="0.00%"/>
    <s v="0.00%"/>
    <s v="0.00%"/>
    <s v="0.00%"/>
    <m/>
    <m/>
    <m/>
    <m/>
    <m/>
    <m/>
    <m/>
    <s v="0.00%"/>
    <s v="0.00%"/>
    <s v="0.00%"/>
    <s v="0.00%"/>
    <m/>
    <m/>
    <m/>
    <m/>
    <m/>
    <m/>
    <m/>
    <m/>
    <m/>
    <m/>
    <m/>
    <m/>
    <m/>
    <m/>
    <m/>
    <m/>
    <m/>
    <s v="Mike Teixeira"/>
    <m/>
    <s v="06/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5/09/2025"/>
    <x v="30"/>
    <n v="5716220"/>
    <s v="Click Here To View"/>
    <s v="Construction"/>
    <n v="6.16"/>
    <s v="100.00%"/>
    <s v="0.00%"/>
    <s v="100.00%"/>
    <s v="0.00%"/>
    <m/>
    <n v="6.16"/>
    <m/>
    <n v="6.16"/>
    <m/>
    <m/>
    <m/>
    <m/>
    <m/>
    <m/>
    <m/>
    <m/>
    <m/>
    <m/>
    <m/>
    <m/>
    <m/>
    <m/>
    <m/>
    <m/>
    <m/>
    <m/>
    <m/>
    <n v="6.16"/>
    <m/>
    <m/>
    <m/>
    <m/>
    <m/>
    <m/>
    <m/>
    <m/>
    <m/>
    <m/>
    <m/>
    <m/>
    <m/>
    <m/>
    <s v="0.00%"/>
    <s v="0.00%"/>
    <s v="0.00%"/>
    <s v="0.00%"/>
    <m/>
    <m/>
    <m/>
    <m/>
    <m/>
    <m/>
    <m/>
    <s v="0.00%"/>
    <s v="0.00%"/>
    <s v="0.00%"/>
    <s v="0.00%"/>
    <m/>
    <m/>
    <m/>
    <m/>
    <m/>
    <m/>
    <m/>
    <m/>
    <m/>
    <m/>
    <m/>
    <m/>
    <m/>
    <m/>
    <m/>
    <m/>
    <m/>
    <s v="Mike Teixeira"/>
    <m/>
    <s v="06/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5/10/2025"/>
    <x v="30"/>
    <n v="5716410"/>
    <s v="Click Here To View"/>
    <s v="Construction"/>
    <n v="2"/>
    <s v="100.00%"/>
    <s v="0.00%"/>
    <s v="100.00%"/>
    <s v="0.00%"/>
    <m/>
    <n v="2"/>
    <m/>
    <n v="2"/>
    <m/>
    <m/>
    <m/>
    <m/>
    <m/>
    <m/>
    <m/>
    <m/>
    <m/>
    <m/>
    <m/>
    <m/>
    <m/>
    <m/>
    <m/>
    <m/>
    <m/>
    <m/>
    <m/>
    <n v="2"/>
    <m/>
    <m/>
    <m/>
    <m/>
    <m/>
    <m/>
    <m/>
    <m/>
    <m/>
    <m/>
    <m/>
    <m/>
    <m/>
    <m/>
    <s v="0.00%"/>
    <s v="0.00%"/>
    <s v="0.00%"/>
    <s v="0.00%"/>
    <m/>
    <m/>
    <m/>
    <m/>
    <m/>
    <m/>
    <m/>
    <s v="0.00%"/>
    <s v="0.00%"/>
    <s v="0.00%"/>
    <s v="0.00%"/>
    <m/>
    <m/>
    <m/>
    <m/>
    <m/>
    <m/>
    <m/>
    <m/>
    <m/>
    <m/>
    <m/>
    <m/>
    <m/>
    <m/>
    <m/>
    <m/>
    <m/>
    <s v="Mike Teixeira"/>
    <m/>
    <s v="06/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5/12/2025"/>
    <x v="30"/>
    <n v="5717250"/>
    <s v="Click Here To View"/>
    <s v="Construction"/>
    <n v="3.92"/>
    <s v="100.00%"/>
    <s v="0.00%"/>
    <s v="100.00%"/>
    <s v="0.00%"/>
    <m/>
    <n v="3.92"/>
    <m/>
    <n v="3.92"/>
    <m/>
    <m/>
    <m/>
    <m/>
    <m/>
    <m/>
    <m/>
    <m/>
    <m/>
    <m/>
    <m/>
    <m/>
    <m/>
    <m/>
    <m/>
    <m/>
    <m/>
    <m/>
    <m/>
    <n v="3.92"/>
    <m/>
    <m/>
    <m/>
    <m/>
    <m/>
    <m/>
    <m/>
    <m/>
    <m/>
    <m/>
    <m/>
    <m/>
    <m/>
    <m/>
    <s v="0.00%"/>
    <s v="0.00%"/>
    <s v="0.00%"/>
    <s v="0.00%"/>
    <m/>
    <m/>
    <m/>
    <m/>
    <m/>
    <m/>
    <m/>
    <s v="0.00%"/>
    <s v="0.00%"/>
    <s v="0.00%"/>
    <s v="0.00%"/>
    <m/>
    <m/>
    <m/>
    <m/>
    <m/>
    <m/>
    <m/>
    <m/>
    <m/>
    <m/>
    <m/>
    <m/>
    <m/>
    <m/>
    <m/>
    <m/>
    <m/>
    <s v="Mike Teixeira"/>
    <m/>
    <s v="06/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5/13/2025"/>
    <x v="30"/>
    <n v="5718040"/>
    <s v="Click Here To View"/>
    <s v="Construction"/>
    <n v="3.12"/>
    <s v="100.00%"/>
    <s v="0.00%"/>
    <s v="100.00%"/>
    <s v="0.00%"/>
    <m/>
    <n v="3.12"/>
    <m/>
    <n v="3.12"/>
    <m/>
    <m/>
    <m/>
    <m/>
    <m/>
    <m/>
    <m/>
    <m/>
    <m/>
    <m/>
    <m/>
    <m/>
    <m/>
    <m/>
    <m/>
    <m/>
    <m/>
    <m/>
    <m/>
    <n v="3.12"/>
    <m/>
    <m/>
    <m/>
    <m/>
    <m/>
    <m/>
    <m/>
    <m/>
    <m/>
    <m/>
    <m/>
    <m/>
    <m/>
    <m/>
    <s v="0.00%"/>
    <s v="0.00%"/>
    <s v="0.00%"/>
    <s v="0.00%"/>
    <m/>
    <m/>
    <m/>
    <m/>
    <m/>
    <m/>
    <m/>
    <s v="0.00%"/>
    <s v="0.00%"/>
    <s v="0.00%"/>
    <s v="0.00%"/>
    <m/>
    <m/>
    <m/>
    <m/>
    <m/>
    <m/>
    <m/>
    <m/>
    <m/>
    <m/>
    <m/>
    <m/>
    <m/>
    <m/>
    <m/>
    <m/>
    <m/>
    <s v="Mike Teixeira"/>
    <m/>
    <s v="06/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5/14/2025"/>
    <x v="30"/>
    <n v="5718612"/>
    <s v="Click Here To View"/>
    <s v="Construction"/>
    <n v="6.5"/>
    <s v="100.00%"/>
    <s v="0.00%"/>
    <s v="100.00%"/>
    <s v="0.00%"/>
    <m/>
    <n v="6.5"/>
    <m/>
    <n v="6.5"/>
    <m/>
    <m/>
    <m/>
    <m/>
    <m/>
    <m/>
    <m/>
    <m/>
    <m/>
    <m/>
    <m/>
    <m/>
    <m/>
    <m/>
    <m/>
    <m/>
    <m/>
    <m/>
    <m/>
    <n v="6.5"/>
    <m/>
    <m/>
    <m/>
    <m/>
    <m/>
    <m/>
    <m/>
    <m/>
    <m/>
    <m/>
    <m/>
    <m/>
    <m/>
    <m/>
    <s v="0.00%"/>
    <s v="0.00%"/>
    <s v="0.00%"/>
    <s v="0.00%"/>
    <m/>
    <m/>
    <m/>
    <m/>
    <m/>
    <m/>
    <m/>
    <s v="0.00%"/>
    <s v="0.00%"/>
    <s v="0.00%"/>
    <s v="0.00%"/>
    <m/>
    <m/>
    <m/>
    <m/>
    <m/>
    <m/>
    <m/>
    <m/>
    <m/>
    <m/>
    <m/>
    <m/>
    <m/>
    <m/>
    <m/>
    <m/>
    <m/>
    <s v="Mike Teixeira"/>
    <m/>
    <s v="06/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5/16/2025"/>
    <x v="30"/>
    <n v="5719927"/>
    <s v="Click Here To View"/>
    <s v="Construction"/>
    <n v="5.81"/>
    <s v="100.00%"/>
    <s v="0.00%"/>
    <s v="100.00%"/>
    <s v="0.00%"/>
    <m/>
    <n v="5.81"/>
    <m/>
    <n v="5.81"/>
    <m/>
    <m/>
    <m/>
    <m/>
    <m/>
    <m/>
    <m/>
    <m/>
    <m/>
    <m/>
    <m/>
    <m/>
    <m/>
    <m/>
    <m/>
    <m/>
    <m/>
    <m/>
    <m/>
    <n v="5.81"/>
    <m/>
    <m/>
    <m/>
    <m/>
    <m/>
    <m/>
    <m/>
    <m/>
    <m/>
    <m/>
    <m/>
    <m/>
    <m/>
    <m/>
    <s v="0.00%"/>
    <s v="0.00%"/>
    <s v="0.00%"/>
    <s v="0.00%"/>
    <m/>
    <m/>
    <m/>
    <m/>
    <m/>
    <m/>
    <m/>
    <s v="0.00%"/>
    <s v="0.00%"/>
    <s v="0.00%"/>
    <s v="0.00%"/>
    <m/>
    <m/>
    <m/>
    <m/>
    <m/>
    <m/>
    <m/>
    <m/>
    <m/>
    <m/>
    <m/>
    <m/>
    <m/>
    <m/>
    <m/>
    <m/>
    <m/>
    <s v="Mike Teixeira"/>
    <m/>
    <s v="06/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5/16/2025"/>
    <x v="30"/>
    <n v="5720114"/>
    <s v="Click Here To View"/>
    <s v="Construction"/>
    <n v="7.53"/>
    <s v="100.00%"/>
    <s v="0.00%"/>
    <s v="100.00%"/>
    <s v="0.00%"/>
    <m/>
    <n v="7.53"/>
    <m/>
    <n v="7.53"/>
    <m/>
    <m/>
    <m/>
    <m/>
    <m/>
    <m/>
    <m/>
    <m/>
    <m/>
    <m/>
    <m/>
    <m/>
    <m/>
    <m/>
    <m/>
    <m/>
    <m/>
    <m/>
    <m/>
    <n v="7.53"/>
    <m/>
    <m/>
    <m/>
    <m/>
    <m/>
    <m/>
    <m/>
    <m/>
    <m/>
    <m/>
    <m/>
    <m/>
    <m/>
    <m/>
    <s v="0.00%"/>
    <s v="0.00%"/>
    <s v="0.00%"/>
    <s v="0.00%"/>
    <m/>
    <m/>
    <m/>
    <m/>
    <m/>
    <m/>
    <m/>
    <s v="0.00%"/>
    <s v="0.00%"/>
    <s v="0.00%"/>
    <s v="0.00%"/>
    <m/>
    <m/>
    <m/>
    <m/>
    <m/>
    <m/>
    <m/>
    <m/>
    <m/>
    <m/>
    <m/>
    <m/>
    <m/>
    <m/>
    <m/>
    <m/>
    <m/>
    <s v="Mike Teixeira"/>
    <m/>
    <s v="06/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5/17/2025"/>
    <x v="30"/>
    <n v="5720462"/>
    <s v="Click Here To View"/>
    <s v="Construction"/>
    <n v="3.72"/>
    <s v="100.00%"/>
    <s v="0.00%"/>
    <s v="100.00%"/>
    <s v="0.00%"/>
    <m/>
    <n v="3.72"/>
    <m/>
    <n v="3.72"/>
    <m/>
    <m/>
    <m/>
    <m/>
    <m/>
    <m/>
    <m/>
    <m/>
    <m/>
    <m/>
    <m/>
    <m/>
    <m/>
    <m/>
    <m/>
    <m/>
    <m/>
    <m/>
    <m/>
    <n v="3.72"/>
    <m/>
    <m/>
    <m/>
    <m/>
    <m/>
    <m/>
    <m/>
    <m/>
    <m/>
    <m/>
    <m/>
    <m/>
    <m/>
    <m/>
    <s v="0.00%"/>
    <s v="0.00%"/>
    <s v="0.00%"/>
    <s v="0.00%"/>
    <m/>
    <m/>
    <m/>
    <m/>
    <m/>
    <m/>
    <m/>
    <s v="0.00%"/>
    <s v="0.00%"/>
    <s v="0.00%"/>
    <s v="0.00%"/>
    <m/>
    <m/>
    <m/>
    <m/>
    <m/>
    <m/>
    <m/>
    <m/>
    <m/>
    <m/>
    <m/>
    <m/>
    <m/>
    <m/>
    <m/>
    <m/>
    <m/>
    <s v="Mike Teixeira"/>
    <m/>
    <s v="06/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5/17/2025"/>
    <x v="30"/>
    <n v="5720561"/>
    <s v="Click Here To View"/>
    <s v="Construction"/>
    <n v="2.44"/>
    <s v="100.00%"/>
    <s v="0.00%"/>
    <s v="100.00%"/>
    <s v="0.00%"/>
    <m/>
    <n v="2.44"/>
    <m/>
    <n v="2.44"/>
    <m/>
    <m/>
    <m/>
    <m/>
    <m/>
    <m/>
    <m/>
    <m/>
    <m/>
    <m/>
    <m/>
    <m/>
    <m/>
    <m/>
    <m/>
    <m/>
    <m/>
    <m/>
    <m/>
    <n v="2.44"/>
    <m/>
    <m/>
    <m/>
    <m/>
    <m/>
    <m/>
    <m/>
    <m/>
    <m/>
    <m/>
    <m/>
    <m/>
    <m/>
    <m/>
    <s v="0.00%"/>
    <s v="0.00%"/>
    <s v="0.00%"/>
    <s v="0.00%"/>
    <m/>
    <m/>
    <m/>
    <m/>
    <m/>
    <m/>
    <m/>
    <s v="0.00%"/>
    <s v="0.00%"/>
    <s v="0.00%"/>
    <s v="0.00%"/>
    <m/>
    <m/>
    <m/>
    <m/>
    <m/>
    <m/>
    <m/>
    <m/>
    <m/>
    <m/>
    <m/>
    <m/>
    <m/>
    <m/>
    <m/>
    <m/>
    <m/>
    <s v="Mike Teixeira"/>
    <m/>
    <s v="06/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5/20/2025"/>
    <x v="30"/>
    <n v="5722060"/>
    <s v="Click Here To View"/>
    <s v="Construction"/>
    <n v="3.59"/>
    <s v="100.00%"/>
    <s v="0.00%"/>
    <s v="100.00%"/>
    <s v="0.00%"/>
    <m/>
    <n v="3.59"/>
    <m/>
    <n v="3.59"/>
    <m/>
    <m/>
    <m/>
    <m/>
    <m/>
    <m/>
    <m/>
    <m/>
    <m/>
    <m/>
    <m/>
    <m/>
    <m/>
    <m/>
    <m/>
    <m/>
    <m/>
    <m/>
    <m/>
    <n v="3.59"/>
    <m/>
    <m/>
    <m/>
    <m/>
    <m/>
    <m/>
    <m/>
    <m/>
    <m/>
    <m/>
    <m/>
    <m/>
    <m/>
    <m/>
    <s v="0.00%"/>
    <s v="0.00%"/>
    <s v="0.00%"/>
    <s v="0.00%"/>
    <m/>
    <m/>
    <m/>
    <m/>
    <m/>
    <m/>
    <m/>
    <s v="0.00%"/>
    <s v="0.00%"/>
    <s v="0.00%"/>
    <s v="0.00%"/>
    <m/>
    <m/>
    <m/>
    <m/>
    <m/>
    <m/>
    <m/>
    <m/>
    <m/>
    <m/>
    <m/>
    <m/>
    <m/>
    <m/>
    <m/>
    <m/>
    <m/>
    <s v="Mike Teixeira"/>
    <m/>
    <s v="06/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5/20/2025"/>
    <x v="30"/>
    <n v="5722151"/>
    <s v="Click Here To View"/>
    <s v="Construction"/>
    <n v="3.81"/>
    <s v="100.00%"/>
    <s v="0.00%"/>
    <s v="100.00%"/>
    <s v="0.00%"/>
    <m/>
    <n v="3.81"/>
    <m/>
    <n v="3.81"/>
    <m/>
    <m/>
    <m/>
    <m/>
    <m/>
    <m/>
    <m/>
    <m/>
    <m/>
    <m/>
    <m/>
    <m/>
    <m/>
    <m/>
    <m/>
    <m/>
    <m/>
    <m/>
    <m/>
    <n v="3.81"/>
    <m/>
    <m/>
    <m/>
    <m/>
    <m/>
    <m/>
    <m/>
    <m/>
    <m/>
    <m/>
    <m/>
    <m/>
    <m/>
    <m/>
    <s v="0.00%"/>
    <s v="0.00%"/>
    <s v="0.00%"/>
    <s v="0.00%"/>
    <m/>
    <m/>
    <m/>
    <m/>
    <m/>
    <m/>
    <m/>
    <s v="0.00%"/>
    <s v="0.00%"/>
    <s v="0.00%"/>
    <s v="0.00%"/>
    <m/>
    <m/>
    <m/>
    <m/>
    <m/>
    <m/>
    <m/>
    <m/>
    <m/>
    <m/>
    <m/>
    <m/>
    <m/>
    <m/>
    <m/>
    <m/>
    <m/>
    <s v="Mike Teixeira"/>
    <m/>
    <s v="06/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5/23/2025"/>
    <x v="30"/>
    <n v="5724497"/>
    <s v="Click Here To View"/>
    <s v="Construction"/>
    <n v="3.92"/>
    <s v="100.00%"/>
    <s v="0.00%"/>
    <s v="100.00%"/>
    <s v="0.00%"/>
    <m/>
    <n v="3.92"/>
    <m/>
    <n v="3.92"/>
    <m/>
    <m/>
    <m/>
    <m/>
    <m/>
    <m/>
    <m/>
    <m/>
    <m/>
    <m/>
    <m/>
    <m/>
    <m/>
    <m/>
    <m/>
    <m/>
    <m/>
    <m/>
    <m/>
    <n v="3.92"/>
    <m/>
    <m/>
    <m/>
    <m/>
    <m/>
    <m/>
    <m/>
    <m/>
    <m/>
    <m/>
    <m/>
    <m/>
    <m/>
    <m/>
    <s v="0.00%"/>
    <s v="0.00%"/>
    <s v="0.00%"/>
    <s v="0.00%"/>
    <m/>
    <m/>
    <m/>
    <m/>
    <m/>
    <m/>
    <m/>
    <s v="0.00%"/>
    <s v="0.00%"/>
    <s v="0.00%"/>
    <s v="0.00%"/>
    <m/>
    <m/>
    <m/>
    <m/>
    <m/>
    <m/>
    <m/>
    <m/>
    <m/>
    <m/>
    <m/>
    <m/>
    <m/>
    <m/>
    <m/>
    <m/>
    <m/>
    <s v="Mike Teixeira"/>
    <m/>
    <s v="06/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6/25/2025"/>
    <x v="2"/>
    <n v="5743498"/>
    <s v="Click Here To View"/>
    <s v="Construction"/>
    <n v="4.25"/>
    <s v="100.00%"/>
    <s v="0.00%"/>
    <s v="100.00%"/>
    <s v="0.00%"/>
    <m/>
    <n v="4.25"/>
    <m/>
    <n v="4.25"/>
    <m/>
    <m/>
    <m/>
    <m/>
    <m/>
    <m/>
    <m/>
    <m/>
    <m/>
    <m/>
    <m/>
    <m/>
    <m/>
    <m/>
    <m/>
    <m/>
    <m/>
    <m/>
    <m/>
    <n v="4.25"/>
    <m/>
    <m/>
    <m/>
    <m/>
    <m/>
    <m/>
    <m/>
    <m/>
    <m/>
    <m/>
    <m/>
    <m/>
    <m/>
    <m/>
    <s v="0.00%"/>
    <s v="0.00%"/>
    <s v="0.00%"/>
    <s v="0.00%"/>
    <m/>
    <m/>
    <m/>
    <m/>
    <m/>
    <m/>
    <m/>
    <s v="0.00%"/>
    <s v="0.00%"/>
    <s v="0.00%"/>
    <s v="0.00%"/>
    <m/>
    <m/>
    <m/>
    <m/>
    <m/>
    <m/>
    <m/>
    <m/>
    <m/>
    <m/>
    <m/>
    <m/>
    <m/>
    <m/>
    <m/>
    <m/>
    <m/>
    <s v="Mike Teixeira"/>
    <m/>
    <s v="07/31/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6/27/2025"/>
    <x v="2"/>
    <n v="5744997"/>
    <s v="Click Here To View"/>
    <s v="Construction"/>
    <n v="3.27"/>
    <s v="100.00%"/>
    <s v="0.00%"/>
    <s v="100.00%"/>
    <s v="0.00%"/>
    <m/>
    <n v="3.27"/>
    <m/>
    <n v="3.27"/>
    <m/>
    <m/>
    <m/>
    <m/>
    <m/>
    <m/>
    <m/>
    <m/>
    <m/>
    <m/>
    <m/>
    <m/>
    <m/>
    <m/>
    <m/>
    <m/>
    <m/>
    <m/>
    <m/>
    <n v="3.27"/>
    <m/>
    <m/>
    <m/>
    <m/>
    <m/>
    <m/>
    <m/>
    <m/>
    <m/>
    <m/>
    <m/>
    <m/>
    <m/>
    <m/>
    <s v="0.00%"/>
    <s v="0.00%"/>
    <s v="0.00%"/>
    <s v="0.00%"/>
    <m/>
    <m/>
    <m/>
    <m/>
    <m/>
    <m/>
    <m/>
    <s v="0.00%"/>
    <s v="0.00%"/>
    <s v="0.00%"/>
    <s v="0.00%"/>
    <m/>
    <m/>
    <m/>
    <m/>
    <m/>
    <m/>
    <m/>
    <m/>
    <m/>
    <m/>
    <m/>
    <m/>
    <m/>
    <m/>
    <m/>
    <m/>
    <m/>
    <s v="Mike Teixeira"/>
    <m/>
    <s v="07/31/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6/30/2025"/>
    <x v="2"/>
    <n v="5746149"/>
    <s v="Click Here To View"/>
    <s v="Construction"/>
    <n v="3.11"/>
    <s v="100.00%"/>
    <s v="0.00%"/>
    <s v="100.00%"/>
    <s v="0.00%"/>
    <m/>
    <n v="3.11"/>
    <m/>
    <n v="3.11"/>
    <m/>
    <m/>
    <m/>
    <m/>
    <m/>
    <m/>
    <m/>
    <m/>
    <m/>
    <m/>
    <m/>
    <m/>
    <m/>
    <m/>
    <m/>
    <m/>
    <m/>
    <m/>
    <m/>
    <n v="3.11"/>
    <m/>
    <m/>
    <m/>
    <m/>
    <m/>
    <m/>
    <m/>
    <m/>
    <m/>
    <m/>
    <m/>
    <m/>
    <m/>
    <m/>
    <s v="0.00%"/>
    <s v="0.00%"/>
    <s v="0.00%"/>
    <s v="0.00%"/>
    <m/>
    <m/>
    <m/>
    <m/>
    <m/>
    <m/>
    <m/>
    <s v="0.00%"/>
    <s v="0.00%"/>
    <s v="0.00%"/>
    <s v="0.00%"/>
    <m/>
    <m/>
    <m/>
    <m/>
    <m/>
    <m/>
    <m/>
    <m/>
    <m/>
    <m/>
    <m/>
    <m/>
    <m/>
    <m/>
    <m/>
    <m/>
    <m/>
    <s v="Mike Teixeira"/>
    <m/>
    <s v="07/31/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7/09/2025"/>
    <x v="8"/>
    <n v="5751489"/>
    <s v="Click Here To View"/>
    <s v="Construction"/>
    <n v="3.4"/>
    <s v="100.00%"/>
    <s v="0.00%"/>
    <s v="100.00%"/>
    <s v="0.00%"/>
    <m/>
    <n v="3.4"/>
    <m/>
    <n v="3.4"/>
    <m/>
    <m/>
    <m/>
    <m/>
    <m/>
    <m/>
    <m/>
    <m/>
    <m/>
    <m/>
    <m/>
    <m/>
    <m/>
    <m/>
    <m/>
    <m/>
    <m/>
    <m/>
    <m/>
    <n v="3.4"/>
    <m/>
    <m/>
    <m/>
    <m/>
    <m/>
    <m/>
    <m/>
    <m/>
    <m/>
    <m/>
    <m/>
    <m/>
    <m/>
    <m/>
    <s v="0.00%"/>
    <s v="0.00%"/>
    <s v="0.00%"/>
    <s v="0.00%"/>
    <m/>
    <m/>
    <m/>
    <m/>
    <m/>
    <m/>
    <m/>
    <s v="0.00%"/>
    <s v="0.00%"/>
    <s v="0.00%"/>
    <s v="0.00%"/>
    <m/>
    <m/>
    <m/>
    <m/>
    <m/>
    <m/>
    <m/>
    <m/>
    <m/>
    <m/>
    <m/>
    <m/>
    <m/>
    <m/>
    <m/>
    <m/>
    <m/>
    <s v="Mike Teixeira"/>
    <m/>
    <s v="07/31/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7/14/2025"/>
    <x v="8"/>
    <n v="5754129"/>
    <s v="Click Here To View"/>
    <s v="Construction"/>
    <n v="3.18"/>
    <s v="100.00%"/>
    <s v="0.00%"/>
    <s v="100.00%"/>
    <s v="0.00%"/>
    <m/>
    <n v="3.18"/>
    <m/>
    <n v="3.18"/>
    <m/>
    <m/>
    <m/>
    <m/>
    <m/>
    <m/>
    <m/>
    <m/>
    <m/>
    <m/>
    <m/>
    <m/>
    <m/>
    <m/>
    <m/>
    <m/>
    <m/>
    <m/>
    <m/>
    <n v="3.18"/>
    <m/>
    <m/>
    <m/>
    <m/>
    <m/>
    <m/>
    <m/>
    <m/>
    <m/>
    <m/>
    <m/>
    <m/>
    <m/>
    <m/>
    <s v="0.00%"/>
    <s v="0.00%"/>
    <s v="0.00%"/>
    <s v="0.00%"/>
    <m/>
    <m/>
    <m/>
    <m/>
    <m/>
    <m/>
    <m/>
    <s v="0.00%"/>
    <s v="0.00%"/>
    <s v="0.00%"/>
    <s v="0.00%"/>
    <m/>
    <m/>
    <m/>
    <m/>
    <m/>
    <m/>
    <m/>
    <m/>
    <m/>
    <m/>
    <m/>
    <m/>
    <m/>
    <m/>
    <m/>
    <m/>
    <m/>
    <s v="Mike Teixeira"/>
    <m/>
    <s v="07/31/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7/16/2025"/>
    <x v="8"/>
    <n v="5755592"/>
    <s v="Click Here To View"/>
    <s v="Construction"/>
    <n v="1.33"/>
    <s v="100.00%"/>
    <s v="0.00%"/>
    <s v="100.00%"/>
    <s v="0.00%"/>
    <m/>
    <n v="1.33"/>
    <m/>
    <n v="1.33"/>
    <m/>
    <m/>
    <m/>
    <m/>
    <m/>
    <m/>
    <m/>
    <m/>
    <m/>
    <m/>
    <m/>
    <m/>
    <m/>
    <m/>
    <m/>
    <m/>
    <m/>
    <m/>
    <m/>
    <n v="1.33"/>
    <m/>
    <m/>
    <m/>
    <m/>
    <m/>
    <m/>
    <m/>
    <m/>
    <m/>
    <m/>
    <m/>
    <m/>
    <m/>
    <m/>
    <s v="0.00%"/>
    <s v="0.00%"/>
    <s v="0.00%"/>
    <s v="0.00%"/>
    <m/>
    <m/>
    <m/>
    <m/>
    <m/>
    <m/>
    <m/>
    <s v="0.00%"/>
    <s v="0.00%"/>
    <s v="0.00%"/>
    <s v="0.00%"/>
    <m/>
    <m/>
    <m/>
    <m/>
    <m/>
    <m/>
    <m/>
    <m/>
    <m/>
    <m/>
    <m/>
    <m/>
    <m/>
    <m/>
    <m/>
    <m/>
    <m/>
    <s v="Mike Teixeira"/>
    <m/>
    <s v="07/31/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7/18/2025"/>
    <x v="8"/>
    <n v="5756663"/>
    <s v="Click Here To View"/>
    <s v="Construction"/>
    <n v="4.71"/>
    <s v="100.00%"/>
    <s v="0.00%"/>
    <s v="100.00%"/>
    <s v="0.00%"/>
    <m/>
    <n v="4.71"/>
    <m/>
    <n v="4.71"/>
    <m/>
    <m/>
    <m/>
    <m/>
    <m/>
    <m/>
    <m/>
    <m/>
    <m/>
    <m/>
    <m/>
    <m/>
    <m/>
    <m/>
    <m/>
    <m/>
    <m/>
    <m/>
    <m/>
    <n v="4.71"/>
    <m/>
    <m/>
    <m/>
    <m/>
    <m/>
    <m/>
    <m/>
    <m/>
    <m/>
    <m/>
    <m/>
    <m/>
    <m/>
    <m/>
    <s v="0.00%"/>
    <s v="0.00%"/>
    <s v="0.00%"/>
    <s v="0.00%"/>
    <m/>
    <m/>
    <m/>
    <m/>
    <m/>
    <m/>
    <m/>
    <s v="0.00%"/>
    <s v="0.00%"/>
    <s v="0.00%"/>
    <s v="0.00%"/>
    <m/>
    <m/>
    <m/>
    <m/>
    <m/>
    <m/>
    <m/>
    <m/>
    <m/>
    <m/>
    <m/>
    <m/>
    <m/>
    <m/>
    <m/>
    <m/>
    <m/>
    <s v="Mike Teixeira"/>
    <m/>
    <s v="07/31/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7/21/2025"/>
    <x v="8"/>
    <n v="5757648"/>
    <s v="Click Here To View"/>
    <s v="Construction"/>
    <n v="4.78"/>
    <s v="100.00%"/>
    <s v="0.00%"/>
    <s v="100.00%"/>
    <s v="0.00%"/>
    <m/>
    <n v="4.78"/>
    <m/>
    <n v="4.78"/>
    <m/>
    <m/>
    <m/>
    <m/>
    <m/>
    <m/>
    <m/>
    <m/>
    <m/>
    <m/>
    <m/>
    <m/>
    <m/>
    <m/>
    <m/>
    <m/>
    <m/>
    <m/>
    <m/>
    <n v="4.78"/>
    <m/>
    <m/>
    <m/>
    <m/>
    <m/>
    <m/>
    <m/>
    <m/>
    <m/>
    <m/>
    <m/>
    <m/>
    <m/>
    <m/>
    <s v="0.00%"/>
    <s v="0.00%"/>
    <s v="0.00%"/>
    <s v="0.00%"/>
    <m/>
    <m/>
    <m/>
    <m/>
    <m/>
    <m/>
    <m/>
    <s v="0.00%"/>
    <s v="0.00%"/>
    <s v="0.00%"/>
    <s v="0.00%"/>
    <m/>
    <m/>
    <m/>
    <m/>
    <m/>
    <m/>
    <m/>
    <m/>
    <m/>
    <m/>
    <m/>
    <m/>
    <m/>
    <m/>
    <m/>
    <m/>
    <m/>
    <s v="Mike Teixeira"/>
    <m/>
    <s v="07/31/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7/21/2025"/>
    <x v="8"/>
    <n v="5758310"/>
    <s v="Click Here To View"/>
    <s v="Construction"/>
    <n v="4.92"/>
    <s v="100.00%"/>
    <s v="0.00%"/>
    <s v="100.00%"/>
    <s v="0.00%"/>
    <m/>
    <n v="4.92"/>
    <m/>
    <n v="4.92"/>
    <m/>
    <m/>
    <m/>
    <m/>
    <m/>
    <m/>
    <m/>
    <m/>
    <m/>
    <m/>
    <m/>
    <m/>
    <m/>
    <m/>
    <m/>
    <m/>
    <m/>
    <m/>
    <m/>
    <n v="4.92"/>
    <m/>
    <m/>
    <m/>
    <m/>
    <m/>
    <m/>
    <m/>
    <m/>
    <m/>
    <m/>
    <m/>
    <m/>
    <m/>
    <m/>
    <s v="0.00%"/>
    <s v="0.00%"/>
    <s v="0.00%"/>
    <s v="0.00%"/>
    <m/>
    <m/>
    <m/>
    <m/>
    <m/>
    <m/>
    <m/>
    <s v="0.00%"/>
    <s v="0.00%"/>
    <s v="0.00%"/>
    <s v="0.00%"/>
    <m/>
    <m/>
    <m/>
    <m/>
    <m/>
    <m/>
    <m/>
    <m/>
    <m/>
    <m/>
    <m/>
    <m/>
    <m/>
    <m/>
    <m/>
    <m/>
    <m/>
    <s v="Mike Teixeira"/>
    <m/>
    <s v="07/31/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7/22/2025"/>
    <x v="8"/>
    <n v="5759020"/>
    <s v="Click Here To View"/>
    <s v="Construction"/>
    <n v="3.78"/>
    <s v="100.00%"/>
    <s v="0.00%"/>
    <s v="100.00%"/>
    <s v="0.00%"/>
    <m/>
    <n v="3.78"/>
    <m/>
    <n v="3.78"/>
    <m/>
    <m/>
    <m/>
    <m/>
    <m/>
    <m/>
    <m/>
    <m/>
    <m/>
    <m/>
    <m/>
    <m/>
    <m/>
    <m/>
    <m/>
    <m/>
    <m/>
    <m/>
    <m/>
    <n v="3.78"/>
    <m/>
    <m/>
    <m/>
    <m/>
    <m/>
    <m/>
    <m/>
    <m/>
    <m/>
    <m/>
    <m/>
    <m/>
    <m/>
    <m/>
    <s v="0.00%"/>
    <s v="0.00%"/>
    <s v="0.00%"/>
    <s v="0.00%"/>
    <m/>
    <m/>
    <m/>
    <m/>
    <m/>
    <m/>
    <m/>
    <s v="0.00%"/>
    <s v="0.00%"/>
    <s v="0.00%"/>
    <s v="0.00%"/>
    <m/>
    <m/>
    <m/>
    <m/>
    <m/>
    <m/>
    <m/>
    <m/>
    <m/>
    <m/>
    <m/>
    <m/>
    <m/>
    <m/>
    <m/>
    <m/>
    <m/>
    <s v="Mike Teixeira"/>
    <m/>
    <s v="07/31/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7/25/2025"/>
    <x v="8"/>
    <n v="5760789"/>
    <s v="Click Here To View"/>
    <s v="Construction"/>
    <n v="2.4300000000000002"/>
    <s v="100.00%"/>
    <s v="0.00%"/>
    <s v="100.00%"/>
    <s v="0.00%"/>
    <m/>
    <n v="2.4300000000000002"/>
    <m/>
    <n v="2.4300000000000002"/>
    <m/>
    <m/>
    <m/>
    <m/>
    <m/>
    <m/>
    <m/>
    <m/>
    <m/>
    <m/>
    <m/>
    <m/>
    <m/>
    <m/>
    <m/>
    <m/>
    <m/>
    <m/>
    <m/>
    <n v="2.4300000000000002"/>
    <m/>
    <m/>
    <m/>
    <m/>
    <m/>
    <m/>
    <m/>
    <m/>
    <m/>
    <m/>
    <m/>
    <m/>
    <m/>
    <m/>
    <s v="0.00%"/>
    <s v="0.00%"/>
    <s v="0.00%"/>
    <s v="0.00%"/>
    <m/>
    <m/>
    <m/>
    <m/>
    <m/>
    <m/>
    <m/>
    <s v="0.00%"/>
    <s v="0.00%"/>
    <s v="0.00%"/>
    <s v="0.00%"/>
    <m/>
    <m/>
    <m/>
    <m/>
    <m/>
    <m/>
    <m/>
    <m/>
    <m/>
    <m/>
    <m/>
    <m/>
    <m/>
    <m/>
    <m/>
    <m/>
    <m/>
    <s v="Mike Teixeira"/>
    <m/>
    <s v="07/31/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7/25/2025"/>
    <x v="8"/>
    <n v="5761394"/>
    <s v="Click Here To View"/>
    <s v="Construction"/>
    <n v="4.04"/>
    <s v="100.00%"/>
    <s v="0.00%"/>
    <s v="100.00%"/>
    <s v="0.00%"/>
    <m/>
    <n v="4.04"/>
    <m/>
    <n v="4.04"/>
    <m/>
    <m/>
    <m/>
    <m/>
    <m/>
    <m/>
    <m/>
    <m/>
    <m/>
    <m/>
    <m/>
    <m/>
    <m/>
    <m/>
    <m/>
    <m/>
    <m/>
    <m/>
    <m/>
    <n v="4.04"/>
    <m/>
    <m/>
    <m/>
    <m/>
    <m/>
    <m/>
    <m/>
    <m/>
    <m/>
    <m/>
    <m/>
    <m/>
    <m/>
    <m/>
    <s v="0.00%"/>
    <s v="0.00%"/>
    <s v="0.00%"/>
    <s v="0.00%"/>
    <m/>
    <m/>
    <m/>
    <m/>
    <m/>
    <m/>
    <m/>
    <s v="0.00%"/>
    <s v="0.00%"/>
    <s v="0.00%"/>
    <s v="0.00%"/>
    <m/>
    <m/>
    <m/>
    <m/>
    <m/>
    <m/>
    <m/>
    <m/>
    <m/>
    <m/>
    <m/>
    <m/>
    <m/>
    <m/>
    <m/>
    <m/>
    <m/>
    <s v="Mike Teixeira"/>
    <m/>
    <s v="07/31/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7/28/2025"/>
    <x v="8"/>
    <n v="5762375"/>
    <s v="Click Here To View"/>
    <s v="Construction"/>
    <n v="5.63"/>
    <s v="100.00%"/>
    <s v="0.00%"/>
    <s v="100.00%"/>
    <s v="0.00%"/>
    <m/>
    <n v="5.63"/>
    <m/>
    <n v="5.63"/>
    <m/>
    <m/>
    <m/>
    <m/>
    <m/>
    <m/>
    <m/>
    <m/>
    <m/>
    <m/>
    <m/>
    <m/>
    <m/>
    <m/>
    <m/>
    <m/>
    <m/>
    <m/>
    <m/>
    <n v="5.63"/>
    <m/>
    <m/>
    <m/>
    <m/>
    <m/>
    <m/>
    <m/>
    <m/>
    <m/>
    <m/>
    <m/>
    <m/>
    <m/>
    <m/>
    <s v="0.00%"/>
    <s v="0.00%"/>
    <s v="0.00%"/>
    <s v="0.00%"/>
    <m/>
    <m/>
    <m/>
    <m/>
    <m/>
    <m/>
    <m/>
    <s v="0.00%"/>
    <s v="0.00%"/>
    <s v="0.00%"/>
    <s v="0.00%"/>
    <m/>
    <m/>
    <m/>
    <m/>
    <m/>
    <m/>
    <m/>
    <m/>
    <m/>
    <m/>
    <m/>
    <m/>
    <m/>
    <m/>
    <m/>
    <m/>
    <m/>
    <s v="Mike Teixeira"/>
    <m/>
    <s v="07/31/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7/29/2025"/>
    <x v="8"/>
    <n v="5763284"/>
    <s v="Click Here To View"/>
    <s v="Construction"/>
    <n v="4.5199999999999996"/>
    <s v="100.00%"/>
    <s v="0.00%"/>
    <s v="100.00%"/>
    <s v="0.00%"/>
    <m/>
    <n v="4.5199999999999996"/>
    <m/>
    <n v="4.5199999999999996"/>
    <m/>
    <m/>
    <m/>
    <m/>
    <m/>
    <m/>
    <m/>
    <m/>
    <m/>
    <m/>
    <m/>
    <m/>
    <m/>
    <m/>
    <m/>
    <m/>
    <m/>
    <m/>
    <m/>
    <n v="4.5199999999999996"/>
    <m/>
    <m/>
    <m/>
    <m/>
    <m/>
    <m/>
    <m/>
    <m/>
    <m/>
    <m/>
    <m/>
    <m/>
    <m/>
    <m/>
    <s v="0.00%"/>
    <s v="0.00%"/>
    <s v="0.00%"/>
    <s v="0.00%"/>
    <m/>
    <m/>
    <m/>
    <m/>
    <m/>
    <m/>
    <m/>
    <s v="0.00%"/>
    <s v="0.00%"/>
    <s v="0.00%"/>
    <s v="0.00%"/>
    <m/>
    <m/>
    <m/>
    <m/>
    <m/>
    <m/>
    <m/>
    <m/>
    <m/>
    <m/>
    <m/>
    <m/>
    <m/>
    <m/>
    <m/>
    <m/>
    <m/>
    <s v="Mike Teixeira"/>
    <m/>
    <s v="08/28/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8/04/2025"/>
    <x v="33"/>
    <n v="5766780"/>
    <s v="Click Here To View"/>
    <s v="Construction"/>
    <n v="1.1200000000000001"/>
    <s v="100.00%"/>
    <s v="0.00%"/>
    <s v="100.00%"/>
    <s v="0.00%"/>
    <m/>
    <n v="1.1200000000000001"/>
    <m/>
    <n v="1.1200000000000001"/>
    <m/>
    <m/>
    <m/>
    <m/>
    <m/>
    <m/>
    <m/>
    <m/>
    <m/>
    <m/>
    <m/>
    <m/>
    <m/>
    <m/>
    <m/>
    <m/>
    <m/>
    <m/>
    <m/>
    <n v="1.1200000000000001"/>
    <m/>
    <m/>
    <m/>
    <m/>
    <m/>
    <m/>
    <m/>
    <m/>
    <m/>
    <m/>
    <m/>
    <m/>
    <m/>
    <m/>
    <s v="0.00%"/>
    <s v="0.00%"/>
    <s v="0.00%"/>
    <s v="0.00%"/>
    <m/>
    <m/>
    <m/>
    <m/>
    <m/>
    <m/>
    <m/>
    <s v="0.00%"/>
    <s v="0.00%"/>
    <s v="0.00%"/>
    <s v="0.00%"/>
    <m/>
    <m/>
    <m/>
    <m/>
    <m/>
    <m/>
    <m/>
    <m/>
    <m/>
    <m/>
    <m/>
    <m/>
    <m/>
    <m/>
    <m/>
    <m/>
    <m/>
    <s v="Mike Teixeira"/>
    <m/>
    <s v="08/28/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8/06/2025"/>
    <x v="33"/>
    <n v="5768325"/>
    <s v="Click Here To View"/>
    <s v="Construction"/>
    <n v="3.9"/>
    <s v="100.00%"/>
    <s v="0.00%"/>
    <s v="100.00%"/>
    <s v="0.00%"/>
    <m/>
    <n v="3.9"/>
    <m/>
    <n v="3.9"/>
    <m/>
    <m/>
    <m/>
    <m/>
    <m/>
    <m/>
    <m/>
    <m/>
    <m/>
    <m/>
    <m/>
    <m/>
    <m/>
    <m/>
    <m/>
    <m/>
    <m/>
    <m/>
    <m/>
    <n v="3.9"/>
    <m/>
    <m/>
    <m/>
    <m/>
    <m/>
    <m/>
    <m/>
    <m/>
    <m/>
    <m/>
    <m/>
    <m/>
    <m/>
    <m/>
    <s v="0.00%"/>
    <s v="0.00%"/>
    <s v="0.00%"/>
    <s v="0.00%"/>
    <m/>
    <m/>
    <m/>
    <m/>
    <m/>
    <m/>
    <m/>
    <s v="0.00%"/>
    <s v="0.00%"/>
    <s v="0.00%"/>
    <s v="0.00%"/>
    <m/>
    <m/>
    <m/>
    <m/>
    <m/>
    <m/>
    <m/>
    <m/>
    <m/>
    <m/>
    <m/>
    <m/>
    <m/>
    <m/>
    <m/>
    <m/>
    <m/>
    <s v="Mike Teixeira"/>
    <m/>
    <s v="08/28/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8/07/2025"/>
    <x v="33"/>
    <n v="5769247"/>
    <s v="Click Here To View"/>
    <s v="Construction"/>
    <n v="3.51"/>
    <s v="100.00%"/>
    <s v="0.00%"/>
    <s v="100.00%"/>
    <s v="0.00%"/>
    <m/>
    <n v="3.51"/>
    <m/>
    <n v="3.51"/>
    <m/>
    <m/>
    <m/>
    <m/>
    <m/>
    <m/>
    <m/>
    <m/>
    <m/>
    <m/>
    <m/>
    <m/>
    <m/>
    <m/>
    <m/>
    <m/>
    <m/>
    <m/>
    <m/>
    <n v="3.51"/>
    <m/>
    <m/>
    <m/>
    <m/>
    <m/>
    <m/>
    <m/>
    <m/>
    <m/>
    <m/>
    <m/>
    <m/>
    <m/>
    <m/>
    <s v="0.00%"/>
    <s v="0.00%"/>
    <s v="0.00%"/>
    <s v="0.00%"/>
    <m/>
    <m/>
    <m/>
    <m/>
    <m/>
    <m/>
    <m/>
    <s v="0.00%"/>
    <s v="0.00%"/>
    <s v="0.00%"/>
    <s v="0.00%"/>
    <m/>
    <m/>
    <m/>
    <m/>
    <m/>
    <m/>
    <m/>
    <m/>
    <m/>
    <m/>
    <m/>
    <m/>
    <m/>
    <m/>
    <m/>
    <m/>
    <m/>
    <s v="Mike Teixeira"/>
    <m/>
    <s v="08/28/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8/08/2025"/>
    <x v="33"/>
    <n v="5770098"/>
    <s v="Click Here To View"/>
    <s v="Construction"/>
    <n v="4.59"/>
    <s v="100.00%"/>
    <s v="0.00%"/>
    <s v="100.00%"/>
    <s v="0.00%"/>
    <m/>
    <n v="4.59"/>
    <m/>
    <n v="4.59"/>
    <m/>
    <m/>
    <m/>
    <m/>
    <m/>
    <m/>
    <m/>
    <m/>
    <m/>
    <m/>
    <m/>
    <m/>
    <m/>
    <m/>
    <m/>
    <m/>
    <m/>
    <m/>
    <m/>
    <n v="4.59"/>
    <m/>
    <m/>
    <m/>
    <m/>
    <m/>
    <m/>
    <m/>
    <m/>
    <m/>
    <m/>
    <m/>
    <m/>
    <m/>
    <m/>
    <s v="0.00%"/>
    <s v="0.00%"/>
    <s v="0.00%"/>
    <s v="0.00%"/>
    <m/>
    <m/>
    <m/>
    <m/>
    <m/>
    <m/>
    <m/>
    <s v="0.00%"/>
    <s v="0.00%"/>
    <s v="0.00%"/>
    <s v="0.00%"/>
    <m/>
    <m/>
    <m/>
    <m/>
    <m/>
    <m/>
    <m/>
    <m/>
    <m/>
    <m/>
    <m/>
    <m/>
    <m/>
    <m/>
    <m/>
    <m/>
    <m/>
    <s v="Mike Teixeira"/>
    <m/>
    <s v="08/28/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8/09/2025"/>
    <x v="33"/>
    <n v="5770327"/>
    <s v="Click Here To View"/>
    <s v="Construction"/>
    <n v="3.64"/>
    <s v="100.00%"/>
    <s v="0.00%"/>
    <s v="100.00%"/>
    <s v="0.00%"/>
    <m/>
    <n v="3.64"/>
    <m/>
    <n v="3.64"/>
    <m/>
    <m/>
    <m/>
    <m/>
    <m/>
    <m/>
    <m/>
    <m/>
    <m/>
    <m/>
    <m/>
    <m/>
    <m/>
    <m/>
    <m/>
    <m/>
    <m/>
    <m/>
    <m/>
    <n v="3.64"/>
    <m/>
    <m/>
    <m/>
    <m/>
    <m/>
    <m/>
    <m/>
    <m/>
    <m/>
    <m/>
    <m/>
    <m/>
    <m/>
    <m/>
    <s v="0.00%"/>
    <s v="0.00%"/>
    <s v="0.00%"/>
    <s v="0.00%"/>
    <m/>
    <m/>
    <m/>
    <m/>
    <m/>
    <m/>
    <m/>
    <s v="0.00%"/>
    <s v="0.00%"/>
    <s v="0.00%"/>
    <s v="0.00%"/>
    <m/>
    <m/>
    <m/>
    <m/>
    <m/>
    <m/>
    <m/>
    <m/>
    <m/>
    <m/>
    <m/>
    <m/>
    <m/>
    <m/>
    <m/>
    <m/>
    <m/>
    <s v="Mike Teixeira"/>
    <m/>
    <s v="08/28/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8/11/2025"/>
    <x v="33"/>
    <n v="5770693"/>
    <s v="Click Here To View"/>
    <s v="Construction"/>
    <n v="5.9"/>
    <s v="100.00%"/>
    <s v="0.00%"/>
    <s v="100.00%"/>
    <s v="0.00%"/>
    <m/>
    <n v="5.9"/>
    <m/>
    <n v="5.9"/>
    <m/>
    <m/>
    <m/>
    <m/>
    <m/>
    <m/>
    <m/>
    <m/>
    <m/>
    <m/>
    <m/>
    <m/>
    <m/>
    <m/>
    <m/>
    <m/>
    <m/>
    <m/>
    <m/>
    <n v="5.9"/>
    <m/>
    <m/>
    <m/>
    <m/>
    <m/>
    <m/>
    <m/>
    <m/>
    <m/>
    <m/>
    <m/>
    <m/>
    <m/>
    <m/>
    <s v="0.00%"/>
    <s v="0.00%"/>
    <s v="0.00%"/>
    <s v="0.00%"/>
    <m/>
    <m/>
    <m/>
    <m/>
    <m/>
    <m/>
    <m/>
    <s v="0.00%"/>
    <s v="0.00%"/>
    <s v="0.00%"/>
    <s v="0.00%"/>
    <m/>
    <m/>
    <m/>
    <m/>
    <m/>
    <m/>
    <m/>
    <m/>
    <m/>
    <m/>
    <m/>
    <m/>
    <m/>
    <m/>
    <m/>
    <m/>
    <m/>
    <s v="Mike Teixeira"/>
    <m/>
    <s v="08/28/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8/12/2025"/>
    <x v="33"/>
    <n v="5771299"/>
    <s v="Click Here To View"/>
    <s v="Construction"/>
    <n v="2.82"/>
    <s v="100.00%"/>
    <s v="0.00%"/>
    <s v="100.00%"/>
    <s v="0.00%"/>
    <m/>
    <n v="2.82"/>
    <m/>
    <n v="2.82"/>
    <m/>
    <m/>
    <m/>
    <m/>
    <m/>
    <m/>
    <m/>
    <m/>
    <m/>
    <m/>
    <m/>
    <m/>
    <m/>
    <m/>
    <m/>
    <m/>
    <m/>
    <m/>
    <m/>
    <n v="2.82"/>
    <m/>
    <m/>
    <m/>
    <m/>
    <m/>
    <m/>
    <m/>
    <m/>
    <m/>
    <m/>
    <m/>
    <m/>
    <m/>
    <m/>
    <s v="0.00%"/>
    <s v="0.00%"/>
    <s v="0.00%"/>
    <s v="0.00%"/>
    <m/>
    <m/>
    <m/>
    <m/>
    <m/>
    <m/>
    <m/>
    <s v="0.00%"/>
    <s v="0.00%"/>
    <s v="0.00%"/>
    <s v="0.00%"/>
    <m/>
    <m/>
    <m/>
    <m/>
    <m/>
    <m/>
    <m/>
    <m/>
    <m/>
    <m/>
    <m/>
    <m/>
    <m/>
    <m/>
    <m/>
    <m/>
    <m/>
    <s v="Mike Teixeira"/>
    <m/>
    <s v="08/28/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8/12/2025"/>
    <x v="33"/>
    <n v="5771997"/>
    <s v="Click Here To View"/>
    <s v="Construction"/>
    <n v="3.68"/>
    <s v="100.00%"/>
    <s v="0.00%"/>
    <s v="100.00%"/>
    <s v="0.00%"/>
    <m/>
    <n v="3.68"/>
    <m/>
    <n v="3.68"/>
    <m/>
    <m/>
    <m/>
    <m/>
    <m/>
    <m/>
    <m/>
    <m/>
    <m/>
    <m/>
    <m/>
    <m/>
    <m/>
    <m/>
    <m/>
    <m/>
    <m/>
    <m/>
    <m/>
    <n v="3.68"/>
    <m/>
    <m/>
    <m/>
    <m/>
    <m/>
    <m/>
    <m/>
    <m/>
    <m/>
    <m/>
    <m/>
    <m/>
    <m/>
    <m/>
    <s v="0.00%"/>
    <s v="0.00%"/>
    <s v="0.00%"/>
    <s v="0.00%"/>
    <m/>
    <m/>
    <m/>
    <m/>
    <m/>
    <m/>
    <m/>
    <s v="0.00%"/>
    <s v="0.00%"/>
    <s v="0.00%"/>
    <s v="0.00%"/>
    <m/>
    <m/>
    <m/>
    <m/>
    <m/>
    <m/>
    <m/>
    <m/>
    <m/>
    <m/>
    <m/>
    <m/>
    <m/>
    <m/>
    <m/>
    <m/>
    <m/>
    <s v="Mike Teixeira"/>
    <m/>
    <s v="08/28/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8/13/2025"/>
    <x v="33"/>
    <n v="5772794"/>
    <s v="Click Here To View"/>
    <s v="Construction"/>
    <n v="3.39"/>
    <s v="100.00%"/>
    <s v="0.00%"/>
    <s v="100.00%"/>
    <s v="0.00%"/>
    <m/>
    <n v="3.39"/>
    <m/>
    <n v="3.39"/>
    <m/>
    <m/>
    <m/>
    <m/>
    <m/>
    <m/>
    <m/>
    <m/>
    <m/>
    <m/>
    <m/>
    <m/>
    <m/>
    <m/>
    <m/>
    <m/>
    <m/>
    <m/>
    <m/>
    <n v="3.39"/>
    <m/>
    <m/>
    <m/>
    <m/>
    <m/>
    <m/>
    <m/>
    <m/>
    <m/>
    <m/>
    <m/>
    <m/>
    <m/>
    <m/>
    <s v="0.00%"/>
    <s v="0.00%"/>
    <s v="0.00%"/>
    <s v="0.00%"/>
    <m/>
    <m/>
    <m/>
    <m/>
    <m/>
    <m/>
    <m/>
    <s v="0.00%"/>
    <s v="0.00%"/>
    <s v="0.00%"/>
    <s v="0.00%"/>
    <m/>
    <m/>
    <m/>
    <m/>
    <m/>
    <m/>
    <m/>
    <m/>
    <m/>
    <m/>
    <m/>
    <m/>
    <m/>
    <m/>
    <m/>
    <m/>
    <m/>
    <s v="Mike Teixeira"/>
    <m/>
    <s v="08/28/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8/14/2025"/>
    <x v="33"/>
    <n v="5773528"/>
    <s v="Click Here To View"/>
    <s v="Construction"/>
    <n v="5.36"/>
    <s v="100.00%"/>
    <s v="0.00%"/>
    <s v="100.00%"/>
    <s v="0.00%"/>
    <m/>
    <n v="5.36"/>
    <m/>
    <n v="5.36"/>
    <m/>
    <m/>
    <m/>
    <m/>
    <m/>
    <m/>
    <m/>
    <m/>
    <m/>
    <m/>
    <m/>
    <m/>
    <m/>
    <m/>
    <m/>
    <m/>
    <m/>
    <m/>
    <m/>
    <n v="5.36"/>
    <m/>
    <m/>
    <m/>
    <m/>
    <m/>
    <m/>
    <m/>
    <m/>
    <m/>
    <m/>
    <m/>
    <m/>
    <m/>
    <m/>
    <s v="0.00%"/>
    <s v="0.00%"/>
    <s v="0.00%"/>
    <s v="0.00%"/>
    <m/>
    <m/>
    <m/>
    <m/>
    <m/>
    <m/>
    <m/>
    <s v="0.00%"/>
    <s v="0.00%"/>
    <s v="0.00%"/>
    <s v="0.00%"/>
    <m/>
    <m/>
    <m/>
    <m/>
    <m/>
    <m/>
    <m/>
    <m/>
    <m/>
    <m/>
    <m/>
    <m/>
    <m/>
    <m/>
    <m/>
    <m/>
    <m/>
    <s v="Mike Teixeira"/>
    <m/>
    <s v="08/28/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8/15/2025"/>
    <x v="33"/>
    <n v="5774383"/>
    <s v="Click Here To View"/>
    <s v="Construction"/>
    <n v="3.59"/>
    <s v="100.00%"/>
    <s v="0.00%"/>
    <s v="100.00%"/>
    <s v="0.00%"/>
    <m/>
    <n v="3.59"/>
    <m/>
    <n v="3.59"/>
    <m/>
    <m/>
    <m/>
    <m/>
    <m/>
    <m/>
    <m/>
    <m/>
    <m/>
    <m/>
    <m/>
    <m/>
    <m/>
    <m/>
    <m/>
    <m/>
    <m/>
    <m/>
    <m/>
    <n v="3.59"/>
    <m/>
    <m/>
    <m/>
    <m/>
    <m/>
    <m/>
    <m/>
    <m/>
    <m/>
    <m/>
    <m/>
    <m/>
    <m/>
    <m/>
    <s v="0.00%"/>
    <s v="0.00%"/>
    <s v="0.00%"/>
    <s v="0.00%"/>
    <m/>
    <m/>
    <m/>
    <m/>
    <m/>
    <m/>
    <m/>
    <s v="0.00%"/>
    <s v="0.00%"/>
    <s v="0.00%"/>
    <s v="0.00%"/>
    <m/>
    <m/>
    <m/>
    <m/>
    <m/>
    <m/>
    <m/>
    <m/>
    <m/>
    <m/>
    <m/>
    <m/>
    <m/>
    <m/>
    <m/>
    <m/>
    <m/>
    <s v="Mike Teixeira"/>
    <m/>
    <s v="08/28/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8/16/2025"/>
    <x v="33"/>
    <n v="5774603"/>
    <s v="Click Here To View"/>
    <s v="Construction"/>
    <n v="2.77"/>
    <s v="100.00%"/>
    <s v="0.00%"/>
    <s v="100.00%"/>
    <s v="0.00%"/>
    <m/>
    <n v="2.77"/>
    <m/>
    <n v="2.77"/>
    <m/>
    <m/>
    <m/>
    <m/>
    <m/>
    <m/>
    <m/>
    <m/>
    <m/>
    <m/>
    <m/>
    <m/>
    <m/>
    <m/>
    <m/>
    <m/>
    <m/>
    <m/>
    <m/>
    <n v="2.77"/>
    <m/>
    <m/>
    <m/>
    <m/>
    <m/>
    <m/>
    <m/>
    <m/>
    <m/>
    <m/>
    <m/>
    <m/>
    <m/>
    <m/>
    <s v="0.00%"/>
    <s v="0.00%"/>
    <s v="0.00%"/>
    <s v="0.00%"/>
    <m/>
    <m/>
    <m/>
    <m/>
    <m/>
    <m/>
    <m/>
    <s v="0.00%"/>
    <s v="0.00%"/>
    <s v="0.00%"/>
    <s v="0.00%"/>
    <m/>
    <m/>
    <m/>
    <m/>
    <m/>
    <m/>
    <m/>
    <m/>
    <m/>
    <m/>
    <m/>
    <m/>
    <m/>
    <m/>
    <m/>
    <m/>
    <m/>
    <s v="Mike Teixeira"/>
    <m/>
    <s v="08/28/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8/19/2025"/>
    <x v="33"/>
    <n v="5776091"/>
    <s v="Click Here To View"/>
    <s v="Construction"/>
    <n v="3.59"/>
    <s v="100.00%"/>
    <s v="0.00%"/>
    <s v="100.00%"/>
    <s v="0.00%"/>
    <m/>
    <n v="3.59"/>
    <m/>
    <n v="3.59"/>
    <m/>
    <m/>
    <m/>
    <m/>
    <m/>
    <m/>
    <m/>
    <m/>
    <m/>
    <m/>
    <m/>
    <m/>
    <m/>
    <m/>
    <m/>
    <m/>
    <m/>
    <m/>
    <m/>
    <n v="3.59"/>
    <m/>
    <m/>
    <m/>
    <m/>
    <m/>
    <m/>
    <m/>
    <m/>
    <m/>
    <m/>
    <m/>
    <m/>
    <m/>
    <m/>
    <s v="0.00%"/>
    <s v="0.00%"/>
    <s v="0.00%"/>
    <s v="0.00%"/>
    <m/>
    <m/>
    <m/>
    <m/>
    <m/>
    <m/>
    <m/>
    <s v="0.00%"/>
    <s v="0.00%"/>
    <s v="0.00%"/>
    <s v="0.00%"/>
    <m/>
    <m/>
    <m/>
    <m/>
    <m/>
    <m/>
    <m/>
    <m/>
    <m/>
    <m/>
    <m/>
    <m/>
    <m/>
    <m/>
    <m/>
    <m/>
    <m/>
    <s v="Mike Teixeira"/>
    <m/>
    <s v="08/28/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8/20/2025"/>
    <x v="33"/>
    <n v="5776875"/>
    <s v="Click Here To View"/>
    <s v="Construction"/>
    <n v="5.74"/>
    <s v="100.00%"/>
    <s v="0.00%"/>
    <s v="100.00%"/>
    <s v="0.00%"/>
    <m/>
    <n v="5.74"/>
    <m/>
    <n v="5.74"/>
    <m/>
    <m/>
    <m/>
    <m/>
    <m/>
    <m/>
    <m/>
    <m/>
    <m/>
    <m/>
    <m/>
    <m/>
    <m/>
    <m/>
    <m/>
    <m/>
    <m/>
    <m/>
    <m/>
    <n v="5.74"/>
    <m/>
    <m/>
    <m/>
    <m/>
    <m/>
    <m/>
    <m/>
    <m/>
    <m/>
    <m/>
    <m/>
    <m/>
    <m/>
    <m/>
    <s v="0.00%"/>
    <s v="0.00%"/>
    <s v="0.00%"/>
    <s v="0.00%"/>
    <m/>
    <m/>
    <m/>
    <m/>
    <m/>
    <m/>
    <m/>
    <s v="0.00%"/>
    <s v="0.00%"/>
    <s v="0.00%"/>
    <s v="0.00%"/>
    <m/>
    <m/>
    <m/>
    <m/>
    <m/>
    <m/>
    <m/>
    <m/>
    <m/>
    <m/>
    <m/>
    <m/>
    <m/>
    <m/>
    <m/>
    <m/>
    <m/>
    <s v="Mike Teixeira"/>
    <m/>
    <s v="08/28/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8/21/2025"/>
    <x v="33"/>
    <n v="5777713"/>
    <s v="Click Here To View"/>
    <s v="Construction"/>
    <n v="5.07"/>
    <s v="100.00%"/>
    <s v="0.00%"/>
    <s v="100.00%"/>
    <s v="0.00%"/>
    <m/>
    <n v="5.07"/>
    <m/>
    <n v="5.07"/>
    <m/>
    <m/>
    <m/>
    <m/>
    <m/>
    <m/>
    <m/>
    <m/>
    <m/>
    <m/>
    <m/>
    <m/>
    <m/>
    <m/>
    <m/>
    <m/>
    <m/>
    <m/>
    <m/>
    <n v="5.07"/>
    <m/>
    <m/>
    <m/>
    <m/>
    <m/>
    <m/>
    <m/>
    <m/>
    <m/>
    <m/>
    <m/>
    <m/>
    <m/>
    <m/>
    <s v="0.00%"/>
    <s v="0.00%"/>
    <s v="0.00%"/>
    <s v="0.00%"/>
    <m/>
    <m/>
    <m/>
    <m/>
    <m/>
    <m/>
    <m/>
    <s v="0.00%"/>
    <s v="0.00%"/>
    <s v="0.00%"/>
    <s v="0.00%"/>
    <m/>
    <m/>
    <m/>
    <m/>
    <m/>
    <m/>
    <m/>
    <m/>
    <m/>
    <m/>
    <m/>
    <m/>
    <m/>
    <m/>
    <m/>
    <m/>
    <m/>
    <s v="Mike Teixeira"/>
    <m/>
    <s v="08/28/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8/26/2025"/>
    <x v="33"/>
    <n v="5780518"/>
    <s v="Click Here To View"/>
    <s v="Construction"/>
    <n v="1.35"/>
    <s v="100.00%"/>
    <s v="0.00%"/>
    <s v="100.00%"/>
    <s v="0.00%"/>
    <m/>
    <n v="1.35"/>
    <m/>
    <n v="1.35"/>
    <m/>
    <m/>
    <m/>
    <m/>
    <m/>
    <m/>
    <m/>
    <m/>
    <m/>
    <m/>
    <m/>
    <m/>
    <m/>
    <m/>
    <m/>
    <m/>
    <m/>
    <m/>
    <m/>
    <n v="1.35"/>
    <m/>
    <m/>
    <m/>
    <m/>
    <m/>
    <m/>
    <m/>
    <m/>
    <m/>
    <m/>
    <m/>
    <m/>
    <m/>
    <m/>
    <s v="0.00%"/>
    <s v="0.00%"/>
    <s v="0.00%"/>
    <s v="0.00%"/>
    <m/>
    <m/>
    <m/>
    <m/>
    <m/>
    <m/>
    <m/>
    <s v="0.00%"/>
    <s v="0.00%"/>
    <s v="0.00%"/>
    <s v="0.00%"/>
    <m/>
    <m/>
    <m/>
    <m/>
    <m/>
    <m/>
    <m/>
    <m/>
    <m/>
    <m/>
    <m/>
    <m/>
    <m/>
    <m/>
    <m/>
    <m/>
    <m/>
    <s v="Mike Teixeira"/>
    <m/>
    <s v="08/28/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9/03/2025"/>
    <x v="31"/>
    <n v="5785214"/>
    <s v="Click Here To View"/>
    <s v="Construction"/>
    <n v="2.5499999999999998"/>
    <s v="100.00%"/>
    <s v="0.00%"/>
    <s v="100.00%"/>
    <s v="0.00%"/>
    <m/>
    <n v="2.5499999999999998"/>
    <m/>
    <n v="2.5499999999999998"/>
    <m/>
    <m/>
    <m/>
    <m/>
    <m/>
    <m/>
    <m/>
    <m/>
    <m/>
    <m/>
    <m/>
    <m/>
    <m/>
    <m/>
    <m/>
    <m/>
    <m/>
    <m/>
    <m/>
    <n v="2.5499999999999998"/>
    <m/>
    <m/>
    <m/>
    <m/>
    <m/>
    <m/>
    <m/>
    <m/>
    <m/>
    <m/>
    <m/>
    <m/>
    <m/>
    <m/>
    <s v="0.00%"/>
    <s v="0.00%"/>
    <s v="0.00%"/>
    <s v="0.00%"/>
    <m/>
    <m/>
    <m/>
    <m/>
    <m/>
    <m/>
    <m/>
    <s v="0.00%"/>
    <s v="0.00%"/>
    <s v="0.00%"/>
    <s v="0.00%"/>
    <m/>
    <m/>
    <m/>
    <m/>
    <m/>
    <m/>
    <m/>
    <m/>
    <m/>
    <m/>
    <m/>
    <m/>
    <m/>
    <m/>
    <m/>
    <m/>
    <m/>
    <s v="Mike Teixeira"/>
    <m/>
    <s v="09/29/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9/05/2025"/>
    <x v="31"/>
    <n v="5786792"/>
    <s v="Click Here To View"/>
    <s v="Construction"/>
    <n v="3.2"/>
    <s v="100.00%"/>
    <s v="0.00%"/>
    <s v="100.00%"/>
    <s v="0.00%"/>
    <m/>
    <n v="3.2"/>
    <m/>
    <n v="3.2"/>
    <m/>
    <m/>
    <m/>
    <m/>
    <m/>
    <m/>
    <m/>
    <m/>
    <m/>
    <m/>
    <m/>
    <m/>
    <m/>
    <m/>
    <m/>
    <m/>
    <m/>
    <m/>
    <m/>
    <n v="3.2"/>
    <m/>
    <m/>
    <m/>
    <m/>
    <m/>
    <m/>
    <m/>
    <m/>
    <m/>
    <m/>
    <m/>
    <m/>
    <m/>
    <m/>
    <s v="0.00%"/>
    <s v="0.00%"/>
    <s v="0.00%"/>
    <s v="0.00%"/>
    <m/>
    <m/>
    <m/>
    <m/>
    <m/>
    <m/>
    <m/>
    <s v="0.00%"/>
    <s v="0.00%"/>
    <s v="0.00%"/>
    <s v="0.00%"/>
    <m/>
    <m/>
    <m/>
    <m/>
    <m/>
    <m/>
    <m/>
    <m/>
    <m/>
    <m/>
    <m/>
    <m/>
    <m/>
    <m/>
    <m/>
    <m/>
    <m/>
    <s v="Mike Teixeira"/>
    <m/>
    <s v="09/29/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9/09/2025"/>
    <x v="31"/>
    <n v="5788062"/>
    <s v="Click Here To View"/>
    <s v="Construction"/>
    <n v="5.61"/>
    <s v="100.00%"/>
    <s v="0.00%"/>
    <s v="100.00%"/>
    <s v="0.00%"/>
    <m/>
    <n v="5.61"/>
    <m/>
    <n v="5.61"/>
    <m/>
    <m/>
    <m/>
    <m/>
    <m/>
    <m/>
    <m/>
    <m/>
    <m/>
    <m/>
    <m/>
    <m/>
    <m/>
    <m/>
    <m/>
    <m/>
    <m/>
    <m/>
    <m/>
    <n v="5.61"/>
    <m/>
    <m/>
    <m/>
    <m/>
    <m/>
    <m/>
    <m/>
    <m/>
    <m/>
    <m/>
    <m/>
    <m/>
    <m/>
    <m/>
    <s v="0.00%"/>
    <s v="0.00%"/>
    <s v="0.00%"/>
    <s v="0.00%"/>
    <m/>
    <m/>
    <m/>
    <m/>
    <m/>
    <m/>
    <m/>
    <s v="0.00%"/>
    <s v="0.00%"/>
    <s v="0.00%"/>
    <s v="0.00%"/>
    <m/>
    <m/>
    <m/>
    <m/>
    <m/>
    <m/>
    <m/>
    <m/>
    <m/>
    <m/>
    <m/>
    <m/>
    <m/>
    <m/>
    <m/>
    <m/>
    <m/>
    <s v="Mike Teixeira"/>
    <m/>
    <s v="09/29/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9/11/2025"/>
    <x v="31"/>
    <n v="5789929"/>
    <s v="Click Here To View"/>
    <s v="Construction"/>
    <n v="5.21"/>
    <s v="100.00%"/>
    <s v="0.00%"/>
    <s v="100.00%"/>
    <s v="0.00%"/>
    <m/>
    <n v="5.21"/>
    <m/>
    <n v="5.21"/>
    <m/>
    <m/>
    <m/>
    <m/>
    <m/>
    <m/>
    <m/>
    <m/>
    <m/>
    <m/>
    <m/>
    <m/>
    <m/>
    <m/>
    <m/>
    <m/>
    <m/>
    <m/>
    <m/>
    <n v="5.21"/>
    <m/>
    <m/>
    <m/>
    <m/>
    <m/>
    <m/>
    <m/>
    <m/>
    <m/>
    <m/>
    <m/>
    <m/>
    <m/>
    <m/>
    <s v="0.00%"/>
    <s v="0.00%"/>
    <s v="0.00%"/>
    <s v="0.00%"/>
    <m/>
    <m/>
    <m/>
    <m/>
    <m/>
    <m/>
    <m/>
    <s v="0.00%"/>
    <s v="0.00%"/>
    <s v="0.00%"/>
    <s v="0.00%"/>
    <m/>
    <m/>
    <m/>
    <m/>
    <m/>
    <m/>
    <m/>
    <m/>
    <m/>
    <m/>
    <m/>
    <m/>
    <m/>
    <m/>
    <m/>
    <m/>
    <m/>
    <s v="Mike Teixeira"/>
    <m/>
    <s v="09/29/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9/12/2025"/>
    <x v="31"/>
    <n v="5790961"/>
    <s v="Click Here To View"/>
    <s v="Construction"/>
    <n v="5.18"/>
    <s v="100.00%"/>
    <s v="0.00%"/>
    <s v="100.00%"/>
    <s v="0.00%"/>
    <m/>
    <n v="5.18"/>
    <m/>
    <n v="5.18"/>
    <m/>
    <m/>
    <m/>
    <m/>
    <m/>
    <m/>
    <m/>
    <m/>
    <m/>
    <m/>
    <m/>
    <m/>
    <m/>
    <m/>
    <m/>
    <m/>
    <m/>
    <m/>
    <m/>
    <n v="5.18"/>
    <m/>
    <m/>
    <m/>
    <m/>
    <m/>
    <m/>
    <m/>
    <m/>
    <m/>
    <m/>
    <m/>
    <m/>
    <m/>
    <m/>
    <s v="0.00%"/>
    <s v="0.00%"/>
    <s v="0.00%"/>
    <s v="0.00%"/>
    <m/>
    <m/>
    <m/>
    <m/>
    <m/>
    <m/>
    <m/>
    <s v="0.00%"/>
    <s v="0.00%"/>
    <s v="0.00%"/>
    <s v="0.00%"/>
    <m/>
    <m/>
    <m/>
    <m/>
    <m/>
    <m/>
    <m/>
    <m/>
    <m/>
    <m/>
    <m/>
    <m/>
    <m/>
    <m/>
    <m/>
    <m/>
    <m/>
    <s v="Mike Teixeira"/>
    <m/>
    <s v="09/29/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9/12/2025"/>
    <x v="31"/>
    <n v="5791183"/>
    <s v="Click Here To View"/>
    <s v="Construction"/>
    <n v="3.5"/>
    <s v="100.00%"/>
    <s v="0.00%"/>
    <s v="100.00%"/>
    <s v="0.00%"/>
    <m/>
    <n v="3.5"/>
    <m/>
    <n v="3.5"/>
    <m/>
    <m/>
    <m/>
    <m/>
    <m/>
    <m/>
    <m/>
    <m/>
    <m/>
    <m/>
    <m/>
    <m/>
    <m/>
    <m/>
    <m/>
    <m/>
    <m/>
    <m/>
    <m/>
    <n v="3.5"/>
    <m/>
    <m/>
    <m/>
    <m/>
    <m/>
    <m/>
    <m/>
    <m/>
    <m/>
    <m/>
    <m/>
    <m/>
    <m/>
    <m/>
    <s v="0.00%"/>
    <s v="0.00%"/>
    <s v="0.00%"/>
    <s v="0.00%"/>
    <m/>
    <m/>
    <m/>
    <m/>
    <m/>
    <m/>
    <m/>
    <s v="0.00%"/>
    <s v="0.00%"/>
    <s v="0.00%"/>
    <s v="0.00%"/>
    <m/>
    <m/>
    <m/>
    <m/>
    <m/>
    <m/>
    <m/>
    <m/>
    <m/>
    <m/>
    <m/>
    <m/>
    <m/>
    <m/>
    <m/>
    <m/>
    <m/>
    <s v="Mike Teixeira"/>
    <m/>
    <s v="09/29/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9/15/2025"/>
    <x v="31"/>
    <n v="5791955"/>
    <s v="Click Here To View"/>
    <s v="Construction"/>
    <n v="3.69"/>
    <s v="100.00%"/>
    <s v="0.00%"/>
    <s v="100.00%"/>
    <s v="0.00%"/>
    <m/>
    <n v="3.69"/>
    <m/>
    <n v="3.69"/>
    <m/>
    <m/>
    <m/>
    <m/>
    <m/>
    <m/>
    <m/>
    <m/>
    <m/>
    <m/>
    <m/>
    <m/>
    <m/>
    <m/>
    <m/>
    <m/>
    <m/>
    <m/>
    <m/>
    <n v="3.69"/>
    <m/>
    <m/>
    <m/>
    <m/>
    <m/>
    <m/>
    <m/>
    <m/>
    <m/>
    <m/>
    <m/>
    <m/>
    <m/>
    <m/>
    <s v="0.00%"/>
    <s v="0.00%"/>
    <s v="0.00%"/>
    <s v="0.00%"/>
    <m/>
    <m/>
    <m/>
    <m/>
    <m/>
    <m/>
    <m/>
    <s v="0.00%"/>
    <s v="0.00%"/>
    <s v="0.00%"/>
    <s v="0.00%"/>
    <m/>
    <m/>
    <m/>
    <m/>
    <m/>
    <m/>
    <m/>
    <m/>
    <m/>
    <m/>
    <m/>
    <m/>
    <m/>
    <m/>
    <m/>
    <m/>
    <m/>
    <s v="Mike Teixeira"/>
    <m/>
    <s v="09/29/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9/15/2025"/>
    <x v="31"/>
    <n v="5792261"/>
    <s v="Click Here To View"/>
    <s v="Construction"/>
    <n v="3.35"/>
    <s v="100.00%"/>
    <s v="0.00%"/>
    <s v="100.00%"/>
    <s v="0.00%"/>
    <m/>
    <n v="3.35"/>
    <m/>
    <n v="3.35"/>
    <m/>
    <m/>
    <m/>
    <m/>
    <m/>
    <m/>
    <m/>
    <m/>
    <m/>
    <m/>
    <m/>
    <m/>
    <m/>
    <m/>
    <m/>
    <m/>
    <m/>
    <m/>
    <m/>
    <n v="3.35"/>
    <m/>
    <m/>
    <m/>
    <m/>
    <m/>
    <m/>
    <m/>
    <m/>
    <m/>
    <m/>
    <m/>
    <m/>
    <m/>
    <m/>
    <s v="0.00%"/>
    <s v="0.00%"/>
    <s v="0.00%"/>
    <s v="0.00%"/>
    <m/>
    <m/>
    <m/>
    <m/>
    <m/>
    <m/>
    <m/>
    <s v="0.00%"/>
    <s v="0.00%"/>
    <s v="0.00%"/>
    <s v="0.00%"/>
    <m/>
    <m/>
    <m/>
    <m/>
    <m/>
    <m/>
    <m/>
    <m/>
    <m/>
    <m/>
    <m/>
    <m/>
    <m/>
    <m/>
    <m/>
    <m/>
    <m/>
    <s v="Mike Teixeira"/>
    <m/>
    <s v="09/29/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9/16/2025"/>
    <x v="31"/>
    <n v="5792680"/>
    <s v="Click Here To View"/>
    <s v="Construction"/>
    <n v="4"/>
    <s v="100.00%"/>
    <s v="0.00%"/>
    <s v="100.00%"/>
    <s v="0.00%"/>
    <m/>
    <n v="4"/>
    <m/>
    <n v="4"/>
    <m/>
    <m/>
    <m/>
    <m/>
    <m/>
    <m/>
    <m/>
    <m/>
    <m/>
    <m/>
    <m/>
    <m/>
    <m/>
    <m/>
    <m/>
    <m/>
    <m/>
    <m/>
    <m/>
    <n v="4"/>
    <m/>
    <m/>
    <m/>
    <m/>
    <m/>
    <m/>
    <m/>
    <m/>
    <m/>
    <m/>
    <m/>
    <m/>
    <m/>
    <m/>
    <s v="0.00%"/>
    <s v="0.00%"/>
    <s v="0.00%"/>
    <s v="0.00%"/>
    <m/>
    <m/>
    <m/>
    <m/>
    <m/>
    <m/>
    <m/>
    <s v="0.00%"/>
    <s v="0.00%"/>
    <s v="0.00%"/>
    <s v="0.00%"/>
    <m/>
    <m/>
    <m/>
    <m/>
    <m/>
    <m/>
    <m/>
    <m/>
    <m/>
    <m/>
    <m/>
    <m/>
    <m/>
    <m/>
    <m/>
    <m/>
    <m/>
    <s v="Mike Teixeira"/>
    <m/>
    <s v="09/29/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9/16/2025"/>
    <x v="31"/>
    <n v="5793110"/>
    <s v="Click Here To View"/>
    <s v="Construction"/>
    <n v="1.92"/>
    <s v="100.00%"/>
    <s v="0.00%"/>
    <s v="100.00%"/>
    <s v="0.00%"/>
    <m/>
    <n v="1.92"/>
    <m/>
    <n v="1.92"/>
    <m/>
    <m/>
    <m/>
    <m/>
    <m/>
    <m/>
    <m/>
    <m/>
    <m/>
    <m/>
    <m/>
    <m/>
    <m/>
    <m/>
    <m/>
    <m/>
    <m/>
    <m/>
    <m/>
    <n v="1.92"/>
    <m/>
    <m/>
    <m/>
    <m/>
    <m/>
    <m/>
    <m/>
    <m/>
    <m/>
    <m/>
    <m/>
    <m/>
    <m/>
    <m/>
    <s v="0.00%"/>
    <s v="0.00%"/>
    <s v="0.00%"/>
    <s v="0.00%"/>
    <m/>
    <m/>
    <m/>
    <m/>
    <m/>
    <m/>
    <m/>
    <s v="0.00%"/>
    <s v="0.00%"/>
    <s v="0.00%"/>
    <s v="0.00%"/>
    <m/>
    <m/>
    <m/>
    <m/>
    <m/>
    <m/>
    <m/>
    <m/>
    <m/>
    <m/>
    <m/>
    <m/>
    <m/>
    <m/>
    <m/>
    <m/>
    <m/>
    <s v="Mike Teixeira"/>
    <m/>
    <s v="09/29/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9/17/2025"/>
    <x v="31"/>
    <n v="5793814"/>
    <s v="Click Here To View"/>
    <s v="Construction"/>
    <n v="3.6"/>
    <s v="100.00%"/>
    <s v="0.00%"/>
    <s v="100.00%"/>
    <s v="0.00%"/>
    <m/>
    <n v="3.6"/>
    <m/>
    <n v="3.6"/>
    <m/>
    <m/>
    <m/>
    <m/>
    <m/>
    <m/>
    <m/>
    <m/>
    <m/>
    <m/>
    <m/>
    <m/>
    <m/>
    <m/>
    <m/>
    <m/>
    <m/>
    <m/>
    <m/>
    <n v="3.6"/>
    <m/>
    <m/>
    <m/>
    <m/>
    <m/>
    <m/>
    <m/>
    <m/>
    <m/>
    <m/>
    <m/>
    <m/>
    <m/>
    <m/>
    <s v="0.00%"/>
    <s v="0.00%"/>
    <s v="0.00%"/>
    <s v="0.00%"/>
    <m/>
    <m/>
    <m/>
    <m/>
    <m/>
    <m/>
    <m/>
    <s v="0.00%"/>
    <s v="0.00%"/>
    <s v="0.00%"/>
    <s v="0.00%"/>
    <m/>
    <m/>
    <m/>
    <m/>
    <m/>
    <m/>
    <m/>
    <m/>
    <m/>
    <m/>
    <m/>
    <m/>
    <m/>
    <m/>
    <m/>
    <m/>
    <m/>
    <s v="Mike Teixeira"/>
    <m/>
    <s v="09/29/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9/18/2025"/>
    <x v="31"/>
    <n v="5794643"/>
    <s v="Click Here To View"/>
    <s v="Construction"/>
    <n v="4.08"/>
    <s v="100.00%"/>
    <s v="0.00%"/>
    <s v="100.00%"/>
    <s v="0.00%"/>
    <m/>
    <n v="4.08"/>
    <m/>
    <n v="4.08"/>
    <m/>
    <m/>
    <m/>
    <m/>
    <m/>
    <m/>
    <m/>
    <m/>
    <m/>
    <m/>
    <m/>
    <m/>
    <m/>
    <m/>
    <m/>
    <m/>
    <m/>
    <m/>
    <m/>
    <n v="4.08"/>
    <m/>
    <m/>
    <m/>
    <m/>
    <m/>
    <m/>
    <m/>
    <m/>
    <m/>
    <m/>
    <m/>
    <m/>
    <m/>
    <m/>
    <s v="0.00%"/>
    <s v="0.00%"/>
    <s v="0.00%"/>
    <s v="0.00%"/>
    <m/>
    <m/>
    <m/>
    <m/>
    <m/>
    <m/>
    <m/>
    <s v="0.00%"/>
    <s v="0.00%"/>
    <s v="0.00%"/>
    <s v="0.00%"/>
    <m/>
    <m/>
    <m/>
    <m/>
    <m/>
    <m/>
    <m/>
    <m/>
    <m/>
    <m/>
    <m/>
    <m/>
    <m/>
    <m/>
    <m/>
    <m/>
    <m/>
    <s v="Mike Teixeira"/>
    <m/>
    <s v="09/29/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9/19/2025"/>
    <x v="31"/>
    <n v="5795419"/>
    <s v="Click Here To View"/>
    <s v="Construction"/>
    <n v="4.66"/>
    <s v="100.00%"/>
    <s v="0.00%"/>
    <s v="100.00%"/>
    <s v="0.00%"/>
    <m/>
    <n v="4.66"/>
    <m/>
    <n v="4.66"/>
    <m/>
    <m/>
    <m/>
    <m/>
    <m/>
    <m/>
    <m/>
    <m/>
    <m/>
    <m/>
    <m/>
    <m/>
    <m/>
    <m/>
    <m/>
    <m/>
    <m/>
    <m/>
    <m/>
    <n v="4.66"/>
    <m/>
    <m/>
    <m/>
    <m/>
    <m/>
    <m/>
    <m/>
    <m/>
    <m/>
    <m/>
    <m/>
    <m/>
    <m/>
    <m/>
    <s v="0.00%"/>
    <s v="0.00%"/>
    <s v="0.00%"/>
    <s v="0.00%"/>
    <m/>
    <m/>
    <m/>
    <m/>
    <m/>
    <m/>
    <m/>
    <s v="0.00%"/>
    <s v="0.00%"/>
    <s v="0.00%"/>
    <s v="0.00%"/>
    <m/>
    <m/>
    <m/>
    <m/>
    <m/>
    <m/>
    <m/>
    <m/>
    <m/>
    <m/>
    <m/>
    <m/>
    <m/>
    <m/>
    <m/>
    <m/>
    <m/>
    <s v="Mike Teixeira"/>
    <m/>
    <s v="09/29/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9/22/2025"/>
    <x v="31"/>
    <n v="5796138"/>
    <s v="Click Here To View"/>
    <s v="Construction"/>
    <n v="4.4800000000000004"/>
    <s v="100.00%"/>
    <s v="0.00%"/>
    <s v="100.00%"/>
    <s v="0.00%"/>
    <m/>
    <n v="4.4800000000000004"/>
    <m/>
    <n v="4.4800000000000004"/>
    <m/>
    <m/>
    <m/>
    <m/>
    <m/>
    <m/>
    <m/>
    <m/>
    <m/>
    <m/>
    <m/>
    <m/>
    <m/>
    <m/>
    <m/>
    <m/>
    <m/>
    <m/>
    <m/>
    <n v="4.4800000000000004"/>
    <m/>
    <m/>
    <m/>
    <m/>
    <m/>
    <m/>
    <m/>
    <m/>
    <m/>
    <m/>
    <m/>
    <m/>
    <m/>
    <m/>
    <s v="0.00%"/>
    <s v="0.00%"/>
    <s v="0.00%"/>
    <s v="0.00%"/>
    <m/>
    <m/>
    <m/>
    <m/>
    <m/>
    <m/>
    <m/>
    <s v="0.00%"/>
    <s v="0.00%"/>
    <s v="0.00%"/>
    <s v="0.00%"/>
    <m/>
    <m/>
    <m/>
    <m/>
    <m/>
    <m/>
    <m/>
    <m/>
    <m/>
    <m/>
    <m/>
    <m/>
    <m/>
    <m/>
    <m/>
    <m/>
    <m/>
    <s v="Mike Teixeira"/>
    <m/>
    <s v="09/29/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9/25/2025"/>
    <x v="31"/>
    <n v="5798882"/>
    <s v="Click Here To View"/>
    <s v="Construction"/>
    <n v="5.08"/>
    <s v="100.00%"/>
    <s v="0.00%"/>
    <s v="100.00%"/>
    <s v="0.00%"/>
    <m/>
    <n v="5.08"/>
    <m/>
    <n v="5.08"/>
    <m/>
    <m/>
    <m/>
    <m/>
    <m/>
    <m/>
    <m/>
    <m/>
    <m/>
    <m/>
    <m/>
    <m/>
    <m/>
    <m/>
    <m/>
    <m/>
    <m/>
    <m/>
    <m/>
    <n v="5.08"/>
    <m/>
    <m/>
    <m/>
    <m/>
    <m/>
    <m/>
    <m/>
    <m/>
    <m/>
    <m/>
    <m/>
    <m/>
    <m/>
    <m/>
    <s v="0.00%"/>
    <s v="0.00%"/>
    <s v="0.00%"/>
    <s v="0.00%"/>
    <m/>
    <m/>
    <m/>
    <m/>
    <m/>
    <m/>
    <m/>
    <s v="0.00%"/>
    <s v="0.00%"/>
    <s v="0.00%"/>
    <s v="0.00%"/>
    <m/>
    <m/>
    <m/>
    <m/>
    <m/>
    <m/>
    <m/>
    <m/>
    <m/>
    <m/>
    <m/>
    <m/>
    <m/>
    <m/>
    <m/>
    <m/>
    <m/>
    <s v="Mike Teixeira"/>
    <m/>
    <s v="11/03/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9/25/2025"/>
    <x v="31"/>
    <n v="5798962"/>
    <s v="Click Here To View"/>
    <s v="Construction"/>
    <n v="2.65"/>
    <s v="100.00%"/>
    <s v="0.00%"/>
    <s v="100.00%"/>
    <s v="0.00%"/>
    <m/>
    <n v="2.65"/>
    <m/>
    <n v="2.65"/>
    <m/>
    <m/>
    <m/>
    <m/>
    <m/>
    <m/>
    <m/>
    <m/>
    <m/>
    <m/>
    <m/>
    <m/>
    <m/>
    <m/>
    <m/>
    <m/>
    <m/>
    <m/>
    <m/>
    <n v="2.65"/>
    <m/>
    <m/>
    <m/>
    <m/>
    <m/>
    <m/>
    <m/>
    <m/>
    <m/>
    <m/>
    <m/>
    <m/>
    <m/>
    <m/>
    <s v="0.00%"/>
    <s v="0.00%"/>
    <s v="0.00%"/>
    <s v="0.00%"/>
    <m/>
    <m/>
    <m/>
    <m/>
    <m/>
    <m/>
    <m/>
    <s v="0.00%"/>
    <s v="0.00%"/>
    <s v="0.00%"/>
    <s v="0.00%"/>
    <m/>
    <m/>
    <m/>
    <m/>
    <m/>
    <m/>
    <m/>
    <m/>
    <m/>
    <m/>
    <m/>
    <m/>
    <m/>
    <m/>
    <m/>
    <m/>
    <m/>
    <s v="Mike Teixeira"/>
    <m/>
    <s v="11/03/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9/26/2025"/>
    <x v="31"/>
    <n v="5799644"/>
    <s v="Click Here To View"/>
    <s v="Construction"/>
    <n v="5.08"/>
    <s v="100.00%"/>
    <s v="0.00%"/>
    <s v="100.00%"/>
    <s v="0.00%"/>
    <m/>
    <n v="5.08"/>
    <m/>
    <n v="5.08"/>
    <m/>
    <m/>
    <m/>
    <m/>
    <m/>
    <m/>
    <m/>
    <m/>
    <m/>
    <m/>
    <m/>
    <m/>
    <m/>
    <m/>
    <m/>
    <m/>
    <m/>
    <m/>
    <m/>
    <n v="5.08"/>
    <m/>
    <m/>
    <m/>
    <m/>
    <m/>
    <m/>
    <m/>
    <m/>
    <m/>
    <m/>
    <m/>
    <m/>
    <m/>
    <m/>
    <s v="0.00%"/>
    <s v="0.00%"/>
    <s v="0.00%"/>
    <s v="0.00%"/>
    <m/>
    <m/>
    <m/>
    <m/>
    <m/>
    <m/>
    <m/>
    <s v="0.00%"/>
    <s v="0.00%"/>
    <s v="0.00%"/>
    <s v="0.00%"/>
    <m/>
    <m/>
    <m/>
    <m/>
    <m/>
    <m/>
    <m/>
    <m/>
    <m/>
    <m/>
    <m/>
    <m/>
    <m/>
    <m/>
    <m/>
    <m/>
    <m/>
    <s v="Mike Teixeira"/>
    <m/>
    <s v="11/03/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0/01/2025"/>
    <x v="1"/>
    <n v="5801804"/>
    <s v="Click Here To View"/>
    <s v="Construction"/>
    <n v="3.16"/>
    <s v="100.00%"/>
    <s v="0.00%"/>
    <s v="100.00%"/>
    <s v="0.00%"/>
    <m/>
    <n v="3.16"/>
    <m/>
    <n v="3.16"/>
    <m/>
    <m/>
    <m/>
    <m/>
    <m/>
    <m/>
    <m/>
    <m/>
    <m/>
    <m/>
    <m/>
    <m/>
    <m/>
    <m/>
    <m/>
    <m/>
    <m/>
    <m/>
    <m/>
    <n v="3.16"/>
    <m/>
    <m/>
    <m/>
    <m/>
    <m/>
    <m/>
    <m/>
    <m/>
    <m/>
    <m/>
    <m/>
    <m/>
    <m/>
    <m/>
    <s v="0.00%"/>
    <s v="0.00%"/>
    <s v="0.00%"/>
    <s v="0.00%"/>
    <m/>
    <m/>
    <m/>
    <m/>
    <m/>
    <m/>
    <m/>
    <s v="0.00%"/>
    <s v="0.00%"/>
    <s v="0.00%"/>
    <s v="0.00%"/>
    <m/>
    <m/>
    <m/>
    <m/>
    <m/>
    <m/>
    <m/>
    <m/>
    <m/>
    <m/>
    <m/>
    <m/>
    <m/>
    <m/>
    <m/>
    <m/>
    <m/>
    <s v="Mike Teixeira"/>
    <m/>
    <s v="11/03/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0/01/2025"/>
    <x v="1"/>
    <n v="5802055"/>
    <s v="Click Here To View"/>
    <s v="Construction"/>
    <n v="2.88"/>
    <s v="100.00%"/>
    <s v="0.00%"/>
    <s v="100.00%"/>
    <s v="0.00%"/>
    <m/>
    <n v="2.88"/>
    <m/>
    <n v="2.88"/>
    <m/>
    <m/>
    <m/>
    <m/>
    <m/>
    <m/>
    <m/>
    <m/>
    <m/>
    <m/>
    <m/>
    <m/>
    <m/>
    <m/>
    <m/>
    <m/>
    <m/>
    <m/>
    <m/>
    <n v="2.88"/>
    <m/>
    <m/>
    <m/>
    <m/>
    <m/>
    <m/>
    <m/>
    <m/>
    <m/>
    <m/>
    <m/>
    <m/>
    <m/>
    <m/>
    <s v="0.00%"/>
    <s v="0.00%"/>
    <s v="0.00%"/>
    <s v="0.00%"/>
    <m/>
    <m/>
    <m/>
    <m/>
    <m/>
    <m/>
    <m/>
    <s v="0.00%"/>
    <s v="0.00%"/>
    <s v="0.00%"/>
    <s v="0.00%"/>
    <m/>
    <m/>
    <m/>
    <m/>
    <m/>
    <m/>
    <m/>
    <m/>
    <m/>
    <m/>
    <m/>
    <m/>
    <m/>
    <m/>
    <m/>
    <m/>
    <m/>
    <s v="Mike Teixeira"/>
    <m/>
    <s v="11/03/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0/03/2025"/>
    <x v="1"/>
    <n v="5803283"/>
    <s v="Click Here To View"/>
    <s v="Construction"/>
    <n v="5.18"/>
    <s v="100.00%"/>
    <s v="0.00%"/>
    <s v="100.00%"/>
    <s v="0.00%"/>
    <m/>
    <n v="5.18"/>
    <m/>
    <n v="5.18"/>
    <m/>
    <m/>
    <m/>
    <m/>
    <m/>
    <m/>
    <m/>
    <m/>
    <m/>
    <m/>
    <m/>
    <m/>
    <m/>
    <m/>
    <m/>
    <m/>
    <m/>
    <m/>
    <m/>
    <n v="5.18"/>
    <m/>
    <m/>
    <m/>
    <m/>
    <m/>
    <m/>
    <m/>
    <m/>
    <m/>
    <m/>
    <m/>
    <m/>
    <m/>
    <m/>
    <s v="0.00%"/>
    <s v="0.00%"/>
    <s v="0.00%"/>
    <s v="0.00%"/>
    <m/>
    <m/>
    <m/>
    <m/>
    <m/>
    <m/>
    <m/>
    <s v="0.00%"/>
    <s v="0.00%"/>
    <s v="0.00%"/>
    <s v="0.00%"/>
    <m/>
    <m/>
    <m/>
    <m/>
    <m/>
    <m/>
    <m/>
    <m/>
    <m/>
    <m/>
    <m/>
    <m/>
    <m/>
    <m/>
    <m/>
    <m/>
    <m/>
    <s v="Mike Teixeira"/>
    <m/>
    <s v="11/03/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0/03/2025"/>
    <x v="1"/>
    <n v="5803397"/>
    <s v="Click Here To View"/>
    <s v="Construction"/>
    <n v="4.38"/>
    <s v="100.00%"/>
    <s v="0.00%"/>
    <s v="100.00%"/>
    <s v="0.00%"/>
    <m/>
    <n v="4.38"/>
    <m/>
    <n v="4.38"/>
    <m/>
    <m/>
    <m/>
    <m/>
    <m/>
    <m/>
    <m/>
    <m/>
    <m/>
    <m/>
    <m/>
    <m/>
    <m/>
    <m/>
    <m/>
    <m/>
    <m/>
    <m/>
    <m/>
    <n v="4.38"/>
    <m/>
    <m/>
    <m/>
    <m/>
    <m/>
    <m/>
    <m/>
    <m/>
    <m/>
    <m/>
    <m/>
    <m/>
    <m/>
    <m/>
    <s v="0.00%"/>
    <s v="0.00%"/>
    <s v="0.00%"/>
    <s v="0.00%"/>
    <m/>
    <m/>
    <m/>
    <m/>
    <m/>
    <m/>
    <m/>
    <s v="0.00%"/>
    <s v="0.00%"/>
    <s v="0.00%"/>
    <s v="0.00%"/>
    <m/>
    <m/>
    <m/>
    <m/>
    <m/>
    <m/>
    <m/>
    <m/>
    <m/>
    <m/>
    <m/>
    <m/>
    <m/>
    <m/>
    <m/>
    <m/>
    <m/>
    <s v="Mike Teixeira"/>
    <m/>
    <s v="11/03/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0/09/2025"/>
    <x v="1"/>
    <n v="5807487"/>
    <s v="Click Here To View"/>
    <s v="Construction"/>
    <n v="3.89"/>
    <s v="100.00%"/>
    <s v="0.00%"/>
    <s v="100.00%"/>
    <s v="0.00%"/>
    <m/>
    <n v="3.89"/>
    <m/>
    <n v="3.89"/>
    <m/>
    <m/>
    <m/>
    <m/>
    <m/>
    <m/>
    <m/>
    <m/>
    <m/>
    <m/>
    <m/>
    <m/>
    <m/>
    <m/>
    <m/>
    <m/>
    <m/>
    <m/>
    <m/>
    <n v="3.89"/>
    <m/>
    <m/>
    <m/>
    <m/>
    <m/>
    <m/>
    <m/>
    <m/>
    <m/>
    <m/>
    <m/>
    <m/>
    <m/>
    <m/>
    <s v="0.00%"/>
    <s v="0.00%"/>
    <s v="0.00%"/>
    <s v="0.00%"/>
    <m/>
    <m/>
    <m/>
    <m/>
    <m/>
    <m/>
    <m/>
    <s v="0.00%"/>
    <s v="0.00%"/>
    <s v="0.00%"/>
    <s v="0.00%"/>
    <m/>
    <m/>
    <m/>
    <m/>
    <m/>
    <m/>
    <m/>
    <m/>
    <m/>
    <m/>
    <m/>
    <m/>
    <m/>
    <m/>
    <m/>
    <m/>
    <m/>
    <s v="Mike Teixeira"/>
    <m/>
    <s v="11/03/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0/10/2025"/>
    <x v="1"/>
    <n v="5808200"/>
    <s v="Click Here To View"/>
    <s v="Construction"/>
    <n v="4.87"/>
    <s v="100.00%"/>
    <s v="0.00%"/>
    <s v="100.00%"/>
    <s v="0.00%"/>
    <m/>
    <n v="4.87"/>
    <m/>
    <n v="4.87"/>
    <m/>
    <m/>
    <m/>
    <m/>
    <m/>
    <m/>
    <m/>
    <m/>
    <m/>
    <m/>
    <m/>
    <m/>
    <m/>
    <m/>
    <m/>
    <m/>
    <m/>
    <m/>
    <m/>
    <n v="4.87"/>
    <m/>
    <m/>
    <m/>
    <m/>
    <m/>
    <m/>
    <m/>
    <m/>
    <m/>
    <m/>
    <m/>
    <m/>
    <m/>
    <m/>
    <s v="0.00%"/>
    <s v="0.00%"/>
    <s v="0.00%"/>
    <s v="0.00%"/>
    <m/>
    <m/>
    <m/>
    <m/>
    <m/>
    <m/>
    <m/>
    <s v="0.00%"/>
    <s v="0.00%"/>
    <s v="0.00%"/>
    <s v="0.00%"/>
    <m/>
    <m/>
    <m/>
    <m/>
    <m/>
    <m/>
    <m/>
    <m/>
    <m/>
    <m/>
    <m/>
    <m/>
    <m/>
    <m/>
    <m/>
    <m/>
    <m/>
    <s v="Mike Teixeira"/>
    <m/>
    <s v="11/03/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0/16/2025"/>
    <x v="1"/>
    <n v="5811084"/>
    <s v="Click Here To View"/>
    <s v="Construction"/>
    <n v="0.56000000000000005"/>
    <s v="100.00%"/>
    <s v="0.00%"/>
    <s v="100.00%"/>
    <s v="0.00%"/>
    <m/>
    <n v="0.56000000000000005"/>
    <m/>
    <n v="0.56000000000000005"/>
    <m/>
    <m/>
    <m/>
    <m/>
    <m/>
    <m/>
    <m/>
    <m/>
    <m/>
    <m/>
    <m/>
    <m/>
    <m/>
    <m/>
    <m/>
    <m/>
    <m/>
    <m/>
    <m/>
    <n v="0.56000000000000005"/>
    <m/>
    <m/>
    <m/>
    <m/>
    <m/>
    <m/>
    <m/>
    <m/>
    <m/>
    <m/>
    <m/>
    <m/>
    <m/>
    <m/>
    <s v="0.00%"/>
    <s v="0.00%"/>
    <s v="0.00%"/>
    <s v="0.00%"/>
    <m/>
    <m/>
    <m/>
    <m/>
    <m/>
    <m/>
    <m/>
    <s v="0.00%"/>
    <s v="0.00%"/>
    <s v="0.00%"/>
    <s v="0.00%"/>
    <m/>
    <m/>
    <m/>
    <m/>
    <m/>
    <m/>
    <m/>
    <m/>
    <m/>
    <m/>
    <m/>
    <m/>
    <m/>
    <m/>
    <m/>
    <m/>
    <m/>
    <s v="Mike Teixeira"/>
    <m/>
    <s v="11/03/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0/24/2025"/>
    <x v="1"/>
    <n v="5816514"/>
    <s v="Click Here To View"/>
    <s v="Construction"/>
    <n v="2.99"/>
    <s v="100.00%"/>
    <s v="0.00%"/>
    <s v="100.00%"/>
    <s v="0.00%"/>
    <m/>
    <n v="2.99"/>
    <m/>
    <n v="2.99"/>
    <m/>
    <m/>
    <m/>
    <m/>
    <m/>
    <m/>
    <m/>
    <m/>
    <m/>
    <m/>
    <m/>
    <m/>
    <m/>
    <m/>
    <m/>
    <m/>
    <m/>
    <m/>
    <m/>
    <n v="2.99"/>
    <m/>
    <m/>
    <m/>
    <m/>
    <m/>
    <m/>
    <m/>
    <m/>
    <m/>
    <m/>
    <m/>
    <m/>
    <m/>
    <m/>
    <s v="0.00%"/>
    <s v="0.00%"/>
    <s v="0.00%"/>
    <s v="0.00%"/>
    <m/>
    <m/>
    <m/>
    <m/>
    <m/>
    <m/>
    <m/>
    <s v="0.00%"/>
    <s v="0.00%"/>
    <s v="0.00%"/>
    <s v="0.00%"/>
    <m/>
    <m/>
    <m/>
    <m/>
    <m/>
    <m/>
    <m/>
    <m/>
    <m/>
    <m/>
    <m/>
    <m/>
    <m/>
    <m/>
    <m/>
    <m/>
    <m/>
    <s v="Mike Teixeira"/>
    <m/>
    <s v="12/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0/25/2025"/>
    <x v="1"/>
    <n v="5816883"/>
    <s v="Click Here To View"/>
    <s v="Construction"/>
    <n v="1.68"/>
    <s v="100.00%"/>
    <s v="0.00%"/>
    <s v="100.00%"/>
    <s v="0.00%"/>
    <m/>
    <n v="1.68"/>
    <m/>
    <n v="1.68"/>
    <m/>
    <m/>
    <m/>
    <m/>
    <m/>
    <m/>
    <m/>
    <m/>
    <m/>
    <m/>
    <m/>
    <m/>
    <m/>
    <m/>
    <m/>
    <m/>
    <m/>
    <m/>
    <m/>
    <n v="1.68"/>
    <m/>
    <m/>
    <m/>
    <m/>
    <m/>
    <m/>
    <m/>
    <m/>
    <m/>
    <m/>
    <m/>
    <m/>
    <m/>
    <m/>
    <s v="0.00%"/>
    <s v="0.00%"/>
    <s v="0.00%"/>
    <s v="0.00%"/>
    <m/>
    <m/>
    <m/>
    <m/>
    <m/>
    <m/>
    <m/>
    <s v="0.00%"/>
    <s v="0.00%"/>
    <s v="0.00%"/>
    <s v="0.00%"/>
    <m/>
    <m/>
    <m/>
    <m/>
    <m/>
    <m/>
    <m/>
    <m/>
    <m/>
    <m/>
    <m/>
    <m/>
    <m/>
    <m/>
    <m/>
    <m/>
    <m/>
    <s v="Mike Teixeira"/>
    <m/>
    <s v="12/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0/29/2025"/>
    <x v="1"/>
    <n v="5819496"/>
    <s v="Click Here To View"/>
    <s v="Construction"/>
    <n v="2.73"/>
    <s v="100.00%"/>
    <s v="0.00%"/>
    <s v="100.00%"/>
    <s v="0.00%"/>
    <m/>
    <n v="2.73"/>
    <m/>
    <n v="2.73"/>
    <m/>
    <m/>
    <m/>
    <m/>
    <m/>
    <m/>
    <m/>
    <m/>
    <m/>
    <m/>
    <m/>
    <m/>
    <m/>
    <m/>
    <m/>
    <m/>
    <m/>
    <m/>
    <m/>
    <n v="2.73"/>
    <m/>
    <m/>
    <m/>
    <m/>
    <m/>
    <m/>
    <m/>
    <m/>
    <m/>
    <m/>
    <m/>
    <m/>
    <m/>
    <m/>
    <s v="0.00%"/>
    <s v="0.00%"/>
    <s v="0.00%"/>
    <s v="0.00%"/>
    <m/>
    <m/>
    <m/>
    <m/>
    <m/>
    <m/>
    <m/>
    <s v="0.00%"/>
    <s v="0.00%"/>
    <s v="0.00%"/>
    <s v="0.00%"/>
    <m/>
    <m/>
    <m/>
    <m/>
    <m/>
    <m/>
    <m/>
    <m/>
    <m/>
    <m/>
    <m/>
    <m/>
    <m/>
    <m/>
    <m/>
    <m/>
    <m/>
    <s v="Mike Teixeira"/>
    <m/>
    <s v="12/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1/05/2025"/>
    <x v="36"/>
    <n v="5823114"/>
    <s v="Click Here To View"/>
    <s v="Construction"/>
    <n v="2.66"/>
    <s v="100.00%"/>
    <s v="0.00%"/>
    <s v="100.00%"/>
    <s v="0.00%"/>
    <m/>
    <n v="2.66"/>
    <m/>
    <n v="2.66"/>
    <m/>
    <m/>
    <m/>
    <m/>
    <m/>
    <m/>
    <m/>
    <m/>
    <m/>
    <m/>
    <m/>
    <m/>
    <m/>
    <m/>
    <m/>
    <m/>
    <m/>
    <m/>
    <m/>
    <n v="2.66"/>
    <m/>
    <m/>
    <m/>
    <m/>
    <m/>
    <m/>
    <m/>
    <m/>
    <m/>
    <m/>
    <m/>
    <m/>
    <m/>
    <m/>
    <s v="0.00%"/>
    <s v="0.00%"/>
    <s v="0.00%"/>
    <s v="0.00%"/>
    <m/>
    <m/>
    <m/>
    <m/>
    <m/>
    <m/>
    <m/>
    <s v="0.00%"/>
    <s v="0.00%"/>
    <s v="0.00%"/>
    <s v="0.00%"/>
    <m/>
    <m/>
    <m/>
    <m/>
    <m/>
    <m/>
    <m/>
    <m/>
    <m/>
    <m/>
    <m/>
    <m/>
    <m/>
    <m/>
    <m/>
    <m/>
    <m/>
    <s v="Mike Teixeira"/>
    <m/>
    <s v="12/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1/04/2025"/>
    <x v="36"/>
    <n v="5822962"/>
    <s v="Click Here To View"/>
    <s v="Construction"/>
    <n v="5.4"/>
    <s v="100.00%"/>
    <s v="0.00%"/>
    <s v="100.00%"/>
    <s v="0.00%"/>
    <m/>
    <n v="5.4"/>
    <m/>
    <n v="5.4"/>
    <m/>
    <m/>
    <m/>
    <m/>
    <m/>
    <m/>
    <m/>
    <m/>
    <m/>
    <m/>
    <m/>
    <m/>
    <m/>
    <m/>
    <m/>
    <m/>
    <m/>
    <m/>
    <m/>
    <n v="5.4"/>
    <m/>
    <m/>
    <m/>
    <m/>
    <m/>
    <m/>
    <m/>
    <m/>
    <m/>
    <m/>
    <m/>
    <m/>
    <m/>
    <m/>
    <s v="0.00%"/>
    <s v="0.00%"/>
    <s v="0.00%"/>
    <s v="0.00%"/>
    <m/>
    <m/>
    <m/>
    <m/>
    <m/>
    <m/>
    <m/>
    <s v="0.00%"/>
    <s v="0.00%"/>
    <s v="0.00%"/>
    <s v="0.00%"/>
    <m/>
    <m/>
    <m/>
    <m/>
    <m/>
    <m/>
    <m/>
    <m/>
    <m/>
    <m/>
    <m/>
    <m/>
    <m/>
    <m/>
    <m/>
    <m/>
    <m/>
    <s v="Mike Teixeira"/>
    <m/>
    <s v="12/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1/11/2025"/>
    <x v="36"/>
    <n v="5826644"/>
    <s v="Click Here To View"/>
    <s v="Construction"/>
    <n v="6.1"/>
    <s v="100.00%"/>
    <s v="0.00%"/>
    <s v="100.00%"/>
    <s v="0.00%"/>
    <m/>
    <n v="6.1"/>
    <m/>
    <n v="6.1"/>
    <m/>
    <m/>
    <m/>
    <m/>
    <m/>
    <m/>
    <m/>
    <m/>
    <m/>
    <m/>
    <m/>
    <m/>
    <m/>
    <m/>
    <m/>
    <m/>
    <m/>
    <m/>
    <m/>
    <n v="6.1"/>
    <m/>
    <m/>
    <m/>
    <m/>
    <m/>
    <m/>
    <m/>
    <m/>
    <m/>
    <m/>
    <m/>
    <m/>
    <m/>
    <m/>
    <s v="0.00%"/>
    <s v="0.00%"/>
    <s v="0.00%"/>
    <s v="0.00%"/>
    <m/>
    <m/>
    <m/>
    <m/>
    <m/>
    <m/>
    <m/>
    <s v="0.00%"/>
    <s v="0.00%"/>
    <s v="0.00%"/>
    <s v="0.00%"/>
    <m/>
    <m/>
    <m/>
    <m/>
    <m/>
    <m/>
    <m/>
    <m/>
    <m/>
    <m/>
    <m/>
    <m/>
    <m/>
    <m/>
    <m/>
    <m/>
    <m/>
    <s v="Mike Teixeira"/>
    <m/>
    <s v="12/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1/10/2025"/>
    <x v="36"/>
    <n v="5826054"/>
    <s v="Click Here To View"/>
    <s v="Construction"/>
    <n v="6.24"/>
    <s v="100.00%"/>
    <s v="0.00%"/>
    <s v="100.00%"/>
    <s v="0.00%"/>
    <m/>
    <n v="6.24"/>
    <m/>
    <n v="6.24"/>
    <m/>
    <m/>
    <m/>
    <m/>
    <m/>
    <m/>
    <m/>
    <m/>
    <m/>
    <m/>
    <m/>
    <m/>
    <m/>
    <m/>
    <m/>
    <m/>
    <m/>
    <m/>
    <m/>
    <n v="6.24"/>
    <m/>
    <m/>
    <m/>
    <m/>
    <m/>
    <m/>
    <m/>
    <m/>
    <m/>
    <m/>
    <m/>
    <m/>
    <m/>
    <m/>
    <s v="0.00%"/>
    <s v="0.00%"/>
    <s v="0.00%"/>
    <s v="0.00%"/>
    <m/>
    <m/>
    <m/>
    <m/>
    <m/>
    <m/>
    <m/>
    <s v="0.00%"/>
    <s v="0.00%"/>
    <s v="0.00%"/>
    <s v="0.00%"/>
    <m/>
    <m/>
    <m/>
    <m/>
    <m/>
    <m/>
    <m/>
    <m/>
    <m/>
    <m/>
    <m/>
    <m/>
    <m/>
    <m/>
    <m/>
    <m/>
    <m/>
    <s v="Mike Teixeira"/>
    <m/>
    <s v="12/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1/21/2025"/>
    <x v="36"/>
    <n v="5833552"/>
    <s v="Click Here To View"/>
    <s v="Construction"/>
    <n v="4.34"/>
    <s v="100.00%"/>
    <s v="0.00%"/>
    <s v="100.00%"/>
    <s v="0.00%"/>
    <m/>
    <n v="4.34"/>
    <m/>
    <n v="4.34"/>
    <m/>
    <m/>
    <m/>
    <m/>
    <m/>
    <m/>
    <m/>
    <m/>
    <m/>
    <m/>
    <m/>
    <m/>
    <m/>
    <m/>
    <m/>
    <m/>
    <m/>
    <m/>
    <m/>
    <n v="4.34"/>
    <m/>
    <m/>
    <m/>
    <m/>
    <m/>
    <m/>
    <m/>
    <m/>
    <m/>
    <m/>
    <m/>
    <m/>
    <m/>
    <m/>
    <s v="0.00%"/>
    <s v="0.00%"/>
    <s v="0.00%"/>
    <s v="0.00%"/>
    <m/>
    <m/>
    <m/>
    <m/>
    <m/>
    <m/>
    <m/>
    <s v="0.00%"/>
    <s v="0.00%"/>
    <s v="0.00%"/>
    <s v="0.00%"/>
    <m/>
    <m/>
    <m/>
    <m/>
    <m/>
    <m/>
    <m/>
    <m/>
    <m/>
    <m/>
    <m/>
    <m/>
    <m/>
    <m/>
    <m/>
    <m/>
    <m/>
    <s v="Mike Teixeira"/>
    <m/>
    <s v="12/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1/24/2025"/>
    <x v="36"/>
    <n v="5834291"/>
    <s v="Click Here To View"/>
    <s v="Construction"/>
    <n v="6.76"/>
    <s v="100.00%"/>
    <s v="0.00%"/>
    <s v="100.00%"/>
    <s v="0.00%"/>
    <m/>
    <n v="6.76"/>
    <m/>
    <n v="6.76"/>
    <m/>
    <m/>
    <m/>
    <m/>
    <m/>
    <m/>
    <m/>
    <m/>
    <m/>
    <m/>
    <m/>
    <m/>
    <m/>
    <m/>
    <m/>
    <m/>
    <m/>
    <m/>
    <m/>
    <n v="6.76"/>
    <m/>
    <m/>
    <m/>
    <m/>
    <m/>
    <m/>
    <m/>
    <m/>
    <m/>
    <m/>
    <m/>
    <m/>
    <m/>
    <m/>
    <s v="0.00%"/>
    <s v="0.00%"/>
    <s v="0.00%"/>
    <s v="0.00%"/>
    <m/>
    <m/>
    <m/>
    <m/>
    <m/>
    <m/>
    <m/>
    <s v="0.00%"/>
    <s v="0.00%"/>
    <s v="0.00%"/>
    <s v="0.00%"/>
    <m/>
    <m/>
    <m/>
    <m/>
    <m/>
    <m/>
    <m/>
    <m/>
    <m/>
    <m/>
    <m/>
    <m/>
    <m/>
    <m/>
    <m/>
    <m/>
    <m/>
    <s v="Mike Teixeira"/>
    <m/>
    <s v="12/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2/08/2025"/>
    <x v="32"/>
    <n v="5841870"/>
    <s v="Click Here To View"/>
    <s v="Construction"/>
    <n v="6.59"/>
    <s v="100.00%"/>
    <s v="0.00%"/>
    <s v="100.00%"/>
    <s v="0.00%"/>
    <m/>
    <n v="6.59"/>
    <m/>
    <n v="6.59"/>
    <m/>
    <m/>
    <m/>
    <m/>
    <m/>
    <m/>
    <m/>
    <m/>
    <m/>
    <m/>
    <m/>
    <m/>
    <m/>
    <m/>
    <m/>
    <m/>
    <m/>
    <m/>
    <m/>
    <n v="6.59"/>
    <m/>
    <m/>
    <m/>
    <m/>
    <m/>
    <m/>
    <m/>
    <m/>
    <m/>
    <m/>
    <m/>
    <m/>
    <m/>
    <m/>
    <s v="0.00%"/>
    <s v="0.00%"/>
    <s v="0.00%"/>
    <s v="0.00%"/>
    <m/>
    <m/>
    <m/>
    <m/>
    <m/>
    <m/>
    <m/>
    <s v="0.00%"/>
    <s v="0.00%"/>
    <s v="0.00%"/>
    <s v="0.00%"/>
    <m/>
    <m/>
    <m/>
    <m/>
    <m/>
    <m/>
    <m/>
    <m/>
    <m/>
    <m/>
    <m/>
    <m/>
    <m/>
    <m/>
    <m/>
    <m/>
    <m/>
    <s v="Mike Teixeira"/>
    <m/>
    <s v="12/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2/09/2025"/>
    <x v="32"/>
    <n v="5842823"/>
    <s v="Click Here To View"/>
    <s v="Construction"/>
    <n v="7.23"/>
    <s v="100.00%"/>
    <s v="0.00%"/>
    <s v="100.00%"/>
    <s v="0.00%"/>
    <m/>
    <n v="7.23"/>
    <m/>
    <n v="7.23"/>
    <m/>
    <m/>
    <m/>
    <m/>
    <m/>
    <m/>
    <m/>
    <m/>
    <m/>
    <m/>
    <m/>
    <m/>
    <m/>
    <m/>
    <m/>
    <m/>
    <m/>
    <m/>
    <m/>
    <n v="7.23"/>
    <m/>
    <m/>
    <m/>
    <m/>
    <m/>
    <m/>
    <m/>
    <m/>
    <m/>
    <m/>
    <m/>
    <m/>
    <m/>
    <m/>
    <s v="0.00%"/>
    <s v="0.00%"/>
    <s v="0.00%"/>
    <s v="0.00%"/>
    <m/>
    <m/>
    <m/>
    <m/>
    <m/>
    <m/>
    <m/>
    <s v="0.00%"/>
    <s v="0.00%"/>
    <s v="0.00%"/>
    <s v="0.00%"/>
    <m/>
    <m/>
    <m/>
    <m/>
    <m/>
    <m/>
    <m/>
    <m/>
    <m/>
    <m/>
    <m/>
    <m/>
    <m/>
    <m/>
    <m/>
    <m/>
    <m/>
    <s v="Mike Teixeira"/>
    <m/>
    <s v="12/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2/11/2025"/>
    <x v="32"/>
    <n v="5844027"/>
    <s v="Click Here To View"/>
    <s v="Construction"/>
    <n v="4.21"/>
    <s v="100.00%"/>
    <s v="0.00%"/>
    <s v="100.00%"/>
    <s v="0.00%"/>
    <m/>
    <n v="4.21"/>
    <m/>
    <n v="4.21"/>
    <m/>
    <m/>
    <m/>
    <m/>
    <m/>
    <m/>
    <m/>
    <m/>
    <m/>
    <m/>
    <m/>
    <m/>
    <m/>
    <m/>
    <m/>
    <m/>
    <m/>
    <m/>
    <m/>
    <n v="4.21"/>
    <m/>
    <m/>
    <m/>
    <m/>
    <m/>
    <m/>
    <m/>
    <m/>
    <m/>
    <m/>
    <m/>
    <m/>
    <m/>
    <m/>
    <s v="0.00%"/>
    <s v="0.00%"/>
    <s v="0.00%"/>
    <s v="0.00%"/>
    <m/>
    <m/>
    <m/>
    <m/>
    <m/>
    <m/>
    <m/>
    <s v="0.00%"/>
    <s v="0.00%"/>
    <s v="0.00%"/>
    <s v="0.00%"/>
    <m/>
    <m/>
    <m/>
    <m/>
    <m/>
    <m/>
    <m/>
    <m/>
    <m/>
    <m/>
    <m/>
    <m/>
    <m/>
    <m/>
    <m/>
    <m/>
    <m/>
    <s v="Mike Teixeira"/>
    <m/>
    <s v="12/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2/12/2025"/>
    <x v="32"/>
    <n v="5844846"/>
    <s v="Click Here To View"/>
    <s v="Construction"/>
    <n v="6.28"/>
    <s v="100.00%"/>
    <s v="0.00%"/>
    <s v="100.00%"/>
    <s v="0.00%"/>
    <m/>
    <n v="6.28"/>
    <m/>
    <n v="6.28"/>
    <m/>
    <m/>
    <m/>
    <m/>
    <m/>
    <m/>
    <m/>
    <m/>
    <m/>
    <m/>
    <m/>
    <m/>
    <m/>
    <m/>
    <m/>
    <m/>
    <m/>
    <m/>
    <m/>
    <n v="6.28"/>
    <m/>
    <m/>
    <m/>
    <m/>
    <m/>
    <m/>
    <m/>
    <m/>
    <m/>
    <m/>
    <m/>
    <m/>
    <m/>
    <m/>
    <s v="0.00%"/>
    <s v="0.00%"/>
    <s v="0.00%"/>
    <s v="0.00%"/>
    <m/>
    <m/>
    <m/>
    <m/>
    <m/>
    <m/>
    <m/>
    <s v="0.00%"/>
    <s v="0.00%"/>
    <s v="0.00%"/>
    <s v="0.00%"/>
    <m/>
    <m/>
    <m/>
    <m/>
    <m/>
    <m/>
    <m/>
    <m/>
    <m/>
    <m/>
    <m/>
    <m/>
    <m/>
    <m/>
    <m/>
    <m/>
    <m/>
    <s v="Mike Teixeira"/>
    <m/>
    <s v="12/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2/15/2025"/>
    <x v="32"/>
    <n v="5846280"/>
    <s v="Click Here To View"/>
    <s v="Construction"/>
    <n v="4.82"/>
    <s v="100.00%"/>
    <s v="0.00%"/>
    <s v="100.00%"/>
    <s v="0.00%"/>
    <m/>
    <n v="4.82"/>
    <m/>
    <n v="4.82"/>
    <m/>
    <m/>
    <m/>
    <m/>
    <m/>
    <m/>
    <m/>
    <m/>
    <m/>
    <m/>
    <m/>
    <m/>
    <m/>
    <m/>
    <m/>
    <m/>
    <m/>
    <m/>
    <m/>
    <n v="4.82"/>
    <m/>
    <m/>
    <m/>
    <m/>
    <m/>
    <m/>
    <m/>
    <m/>
    <m/>
    <m/>
    <m/>
    <m/>
    <m/>
    <m/>
    <s v="0.00%"/>
    <s v="0.00%"/>
    <s v="0.00%"/>
    <s v="0.00%"/>
    <m/>
    <m/>
    <m/>
    <m/>
    <m/>
    <m/>
    <m/>
    <s v="0.00%"/>
    <s v="0.00%"/>
    <s v="0.00%"/>
    <s v="0.00%"/>
    <m/>
    <m/>
    <m/>
    <m/>
    <m/>
    <m/>
    <m/>
    <m/>
    <m/>
    <m/>
    <m/>
    <m/>
    <m/>
    <m/>
    <m/>
    <m/>
    <m/>
    <s v="Mike Teixeira"/>
    <m/>
    <s v="12/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2/18/2025"/>
    <x v="32"/>
    <n v="5848673"/>
    <s v="Click Here To View"/>
    <s v="Construction"/>
    <n v="5.82"/>
    <s v="100.00%"/>
    <s v="0.00%"/>
    <s v="100.00%"/>
    <s v="0.00%"/>
    <m/>
    <n v="5.82"/>
    <m/>
    <n v="5.82"/>
    <m/>
    <m/>
    <m/>
    <m/>
    <m/>
    <m/>
    <m/>
    <m/>
    <m/>
    <m/>
    <m/>
    <m/>
    <m/>
    <m/>
    <m/>
    <m/>
    <m/>
    <m/>
    <m/>
    <n v="5.82"/>
    <m/>
    <m/>
    <m/>
    <m/>
    <m/>
    <m/>
    <m/>
    <m/>
    <m/>
    <m/>
    <m/>
    <m/>
    <m/>
    <m/>
    <s v="0.00%"/>
    <s v="0.00%"/>
    <s v="0.00%"/>
    <s v="0.00%"/>
    <m/>
    <m/>
    <m/>
    <m/>
    <m/>
    <m/>
    <m/>
    <s v="0.00%"/>
    <s v="0.00%"/>
    <s v="0.00%"/>
    <s v="0.00%"/>
    <m/>
    <m/>
    <m/>
    <m/>
    <m/>
    <m/>
    <m/>
    <m/>
    <m/>
    <m/>
    <m/>
    <m/>
    <m/>
    <m/>
    <m/>
    <m/>
    <m/>
    <s v="Mike Teixeira"/>
    <m/>
    <s v="12/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1/10/2026"/>
    <x v="3"/>
    <n v="5861133"/>
    <s v="Click Here To View"/>
    <s v="Construction"/>
    <n v="6.24"/>
    <s v="100.00%"/>
    <s v="0.00%"/>
    <s v="100.00%"/>
    <s v="0.00%"/>
    <m/>
    <n v="6.24"/>
    <m/>
    <n v="6.24"/>
    <m/>
    <m/>
    <m/>
    <m/>
    <m/>
    <m/>
    <m/>
    <m/>
    <m/>
    <m/>
    <m/>
    <m/>
    <m/>
    <m/>
    <m/>
    <m/>
    <m/>
    <m/>
    <m/>
    <n v="6.24"/>
    <m/>
    <m/>
    <m/>
    <m/>
    <m/>
    <m/>
    <m/>
    <m/>
    <m/>
    <m/>
    <m/>
    <m/>
    <m/>
    <m/>
    <s v="0.00%"/>
    <s v="0.00%"/>
    <s v="0.00%"/>
    <s v="0.00%"/>
    <m/>
    <m/>
    <m/>
    <m/>
    <m/>
    <m/>
    <m/>
    <s v="0.00%"/>
    <s v="0.00%"/>
    <s v="0.00%"/>
    <s v="0.00%"/>
    <m/>
    <m/>
    <m/>
    <m/>
    <m/>
    <m/>
    <m/>
    <m/>
    <m/>
    <m/>
    <m/>
    <m/>
    <m/>
    <m/>
    <m/>
    <m/>
    <m/>
    <s v="Mike Teixeira"/>
    <m/>
    <s v="02/02/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1/14/2026"/>
    <x v="3"/>
    <n v="5863450"/>
    <s v="Click Here To View"/>
    <s v="Construction"/>
    <n v="4.5599999999999996"/>
    <s v="100.00%"/>
    <s v="0.00%"/>
    <s v="100.00%"/>
    <s v="0.00%"/>
    <m/>
    <n v="4.5599999999999996"/>
    <m/>
    <n v="4.5599999999999996"/>
    <m/>
    <m/>
    <m/>
    <m/>
    <m/>
    <m/>
    <m/>
    <m/>
    <m/>
    <m/>
    <m/>
    <m/>
    <m/>
    <m/>
    <m/>
    <m/>
    <m/>
    <m/>
    <m/>
    <n v="4.5599999999999996"/>
    <m/>
    <m/>
    <m/>
    <m/>
    <m/>
    <m/>
    <m/>
    <m/>
    <m/>
    <m/>
    <m/>
    <m/>
    <m/>
    <m/>
    <s v="0.00%"/>
    <s v="0.00%"/>
    <s v="0.00%"/>
    <s v="0.00%"/>
    <m/>
    <m/>
    <m/>
    <m/>
    <m/>
    <m/>
    <m/>
    <s v="0.00%"/>
    <s v="0.00%"/>
    <s v="0.00%"/>
    <s v="0.00%"/>
    <m/>
    <m/>
    <m/>
    <m/>
    <m/>
    <m/>
    <m/>
    <m/>
    <m/>
    <m/>
    <m/>
    <m/>
    <m/>
    <m/>
    <m/>
    <m/>
    <m/>
    <s v="Mike Teixeira"/>
    <m/>
    <s v="02/02/2026"/>
    <s v="Mike Teixeira"/>
    <m/>
    <m/>
  </r>
  <r>
    <s v="Oakland/San Francisco/San Jose"/>
    <s v="UCB Gateway"/>
    <n v="210784"/>
    <m/>
    <s v="Higher Education | Laboratory / Research | 005 | 004"/>
    <n v="368"/>
    <s v="Silverado Contractors"/>
    <s v="Samantha  Chen"/>
    <s v="Schnitzer Steel - Oakland"/>
    <s v="1101 Embarcadero West, Oakland CA, Oakland, CA 94607"/>
    <m/>
    <s v="05/10/2023"/>
    <x v="11"/>
    <s v="TAXPLY"/>
    <s v="Click Here To View"/>
    <s v="Demolition"/>
    <n v="3.29"/>
    <s v="100.00%"/>
    <s v="0.00%"/>
    <s v="100.00%"/>
    <s v="0.00%"/>
    <m/>
    <n v="3.29"/>
    <m/>
    <n v="3.29"/>
    <m/>
    <m/>
    <m/>
    <m/>
    <m/>
    <m/>
    <n v="3.29"/>
    <m/>
    <m/>
    <m/>
    <m/>
    <m/>
    <m/>
    <m/>
    <m/>
    <m/>
    <m/>
    <m/>
    <m/>
    <m/>
    <m/>
    <m/>
    <m/>
    <m/>
    <m/>
    <m/>
    <m/>
    <m/>
    <m/>
    <m/>
    <m/>
    <m/>
    <m/>
    <m/>
    <s v="0.00%"/>
    <s v="0.00%"/>
    <s v="0.00%"/>
    <s v="0.00%"/>
    <m/>
    <m/>
    <m/>
    <m/>
    <m/>
    <m/>
    <m/>
    <s v="0.00%"/>
    <s v="0.00%"/>
    <s v="0.00%"/>
    <s v="0.00%"/>
    <m/>
    <m/>
    <m/>
    <m/>
    <m/>
    <m/>
    <m/>
    <m/>
    <m/>
    <m/>
    <m/>
    <m/>
    <m/>
    <m/>
    <m/>
    <m/>
    <m/>
    <s v="Katherine Ibarra"/>
    <m/>
    <s v="08/01/2023"/>
    <s v="Katherine Ibarra"/>
    <m/>
    <m/>
  </r>
  <r>
    <s v="Oakland/San Francisco/San Jose"/>
    <s v="UCB Gateway"/>
    <n v="210784"/>
    <m/>
    <s v="Higher Education | Laboratory / Research | 005 | 004"/>
    <n v="368"/>
    <s v="Silverado Contractors"/>
    <s v="Samantha  Chen"/>
    <s v="Schnitzer Steel - Oakland"/>
    <s v="1101 Embarcadero West, Oakland CA, Oakland, CA 94607"/>
    <m/>
    <s v="05/19/2023"/>
    <x v="11"/>
    <s v="TAYYQZ"/>
    <s v="Click Here To View"/>
    <s v="Demolition"/>
    <n v="4.68"/>
    <s v="100.00%"/>
    <s v="0.00%"/>
    <s v="100.00%"/>
    <s v="0.00%"/>
    <m/>
    <n v="4.68"/>
    <m/>
    <n v="4.68"/>
    <m/>
    <m/>
    <m/>
    <m/>
    <m/>
    <m/>
    <n v="4.68"/>
    <m/>
    <m/>
    <m/>
    <m/>
    <m/>
    <m/>
    <m/>
    <m/>
    <m/>
    <m/>
    <m/>
    <m/>
    <m/>
    <m/>
    <m/>
    <m/>
    <m/>
    <m/>
    <m/>
    <m/>
    <m/>
    <m/>
    <m/>
    <m/>
    <m/>
    <m/>
    <m/>
    <s v="0.00%"/>
    <s v="0.00%"/>
    <s v="0.00%"/>
    <s v="0.00%"/>
    <m/>
    <m/>
    <m/>
    <m/>
    <m/>
    <m/>
    <m/>
    <s v="0.00%"/>
    <s v="0.00%"/>
    <s v="0.00%"/>
    <s v="0.00%"/>
    <m/>
    <m/>
    <m/>
    <m/>
    <m/>
    <m/>
    <m/>
    <m/>
    <m/>
    <m/>
    <m/>
    <m/>
    <m/>
    <m/>
    <m/>
    <m/>
    <m/>
    <s v="Katherine Ibarra"/>
    <m/>
    <s v="08/01/2023"/>
    <s v="Katherine Ibarra"/>
    <m/>
    <m/>
  </r>
  <r>
    <s v="Oakland/San Francisco/San Jose"/>
    <s v="UCB Gateway"/>
    <n v="210784"/>
    <m/>
    <s v="Higher Education | Laboratory / Research | 005 | 004"/>
    <n v="368"/>
    <s v="Silverado Contractors"/>
    <s v="Samantha  Chen"/>
    <s v="Schnitzer Steel - Oakland"/>
    <s v="1101 Embarcadero West, Oakland CA, Oakland, CA 94607"/>
    <m/>
    <s v="05/23/2023"/>
    <x v="11"/>
    <s v="TAZKHJ"/>
    <s v="Click Here To View"/>
    <s v="Demolition"/>
    <n v="3.77"/>
    <s v="100.00%"/>
    <s v="0.00%"/>
    <s v="100.00%"/>
    <s v="0.00%"/>
    <m/>
    <n v="3.77"/>
    <m/>
    <n v="3.77"/>
    <m/>
    <m/>
    <m/>
    <m/>
    <m/>
    <m/>
    <n v="3.77"/>
    <m/>
    <m/>
    <m/>
    <m/>
    <m/>
    <m/>
    <m/>
    <m/>
    <m/>
    <m/>
    <m/>
    <m/>
    <m/>
    <m/>
    <m/>
    <m/>
    <m/>
    <m/>
    <m/>
    <m/>
    <m/>
    <m/>
    <m/>
    <m/>
    <m/>
    <m/>
    <m/>
    <s v="0.00%"/>
    <s v="0.00%"/>
    <s v="0.00%"/>
    <s v="0.00%"/>
    <m/>
    <m/>
    <m/>
    <m/>
    <m/>
    <m/>
    <m/>
    <s v="0.00%"/>
    <s v="0.00%"/>
    <s v="0.00%"/>
    <s v="0.00%"/>
    <m/>
    <m/>
    <m/>
    <m/>
    <m/>
    <m/>
    <m/>
    <m/>
    <m/>
    <m/>
    <m/>
    <m/>
    <m/>
    <m/>
    <m/>
    <m/>
    <m/>
    <s v="Katherine Ibarra"/>
    <m/>
    <s v="08/01/2023"/>
    <s v="Katherine Ibarra"/>
    <m/>
    <m/>
  </r>
  <r>
    <s v="Oakland/San Francisco/San Jose"/>
    <s v="UCB Gateway"/>
    <n v="210784"/>
    <m/>
    <s v="Higher Education | Laboratory / Research | 005 | 004"/>
    <n v="368"/>
    <s v="Silverado Contractors"/>
    <s v="Samantha  Chen"/>
    <s v="Schnitzer Steel - Oakland"/>
    <s v="1101 Embarcadero West, Oakland CA, Oakland, CA 94607"/>
    <m/>
    <s v="05/24/2023"/>
    <x v="11"/>
    <s v="TAZPNH"/>
    <s v="Click Here To View"/>
    <s v="Demolition"/>
    <n v="2.97"/>
    <s v="100.00%"/>
    <s v="0.00%"/>
    <s v="100.00%"/>
    <s v="0.00%"/>
    <m/>
    <n v="2.97"/>
    <m/>
    <n v="2.97"/>
    <m/>
    <m/>
    <m/>
    <m/>
    <m/>
    <m/>
    <n v="2.97"/>
    <m/>
    <m/>
    <m/>
    <m/>
    <m/>
    <m/>
    <m/>
    <m/>
    <m/>
    <m/>
    <m/>
    <m/>
    <m/>
    <m/>
    <m/>
    <m/>
    <m/>
    <m/>
    <m/>
    <m/>
    <m/>
    <m/>
    <m/>
    <m/>
    <m/>
    <m/>
    <m/>
    <s v="0.00%"/>
    <s v="0.00%"/>
    <s v="0.00%"/>
    <s v="0.00%"/>
    <m/>
    <m/>
    <m/>
    <m/>
    <m/>
    <m/>
    <m/>
    <s v="0.00%"/>
    <s v="0.00%"/>
    <s v="0.00%"/>
    <s v="0.00%"/>
    <m/>
    <m/>
    <m/>
    <m/>
    <m/>
    <m/>
    <m/>
    <m/>
    <m/>
    <m/>
    <m/>
    <m/>
    <m/>
    <m/>
    <m/>
    <m/>
    <m/>
    <s v="Katherine Ibarra"/>
    <m/>
    <s v="08/01/2023"/>
    <s v="Katherine Ibarra"/>
    <m/>
    <m/>
  </r>
  <r>
    <s v="Oakland/San Francisco/San Jose"/>
    <s v="UCB Gateway"/>
    <n v="210784"/>
    <m/>
    <s v="Higher Education | Laboratory / Research | 005 | 004"/>
    <n v="368"/>
    <s v="Silverado Contractors"/>
    <s v="Samantha  Chen"/>
    <s v="Schnitzer Steel - Oakland"/>
    <s v="1101 Embarcadero West, Oakland CA, Oakland, CA 94607"/>
    <m/>
    <s v="06/01/2023"/>
    <x v="12"/>
    <s v="TBARTR"/>
    <s v="Click Here To View"/>
    <s v="Demolition"/>
    <n v="5.7"/>
    <s v="100.00%"/>
    <s v="0.00%"/>
    <s v="100.00%"/>
    <s v="0.00%"/>
    <m/>
    <n v="5.7"/>
    <m/>
    <n v="5.7"/>
    <m/>
    <m/>
    <m/>
    <m/>
    <m/>
    <m/>
    <n v="5.7"/>
    <m/>
    <m/>
    <m/>
    <m/>
    <m/>
    <m/>
    <m/>
    <m/>
    <m/>
    <m/>
    <m/>
    <m/>
    <m/>
    <m/>
    <m/>
    <m/>
    <m/>
    <m/>
    <m/>
    <m/>
    <m/>
    <m/>
    <m/>
    <m/>
    <m/>
    <m/>
    <m/>
    <s v="0.00%"/>
    <s v="0.00%"/>
    <s v="0.00%"/>
    <s v="0.00%"/>
    <m/>
    <m/>
    <m/>
    <m/>
    <m/>
    <m/>
    <m/>
    <s v="0.00%"/>
    <s v="0.00%"/>
    <s v="0.00%"/>
    <s v="0.00%"/>
    <m/>
    <m/>
    <m/>
    <m/>
    <m/>
    <m/>
    <m/>
    <m/>
    <m/>
    <m/>
    <m/>
    <m/>
    <m/>
    <m/>
    <m/>
    <m/>
    <m/>
    <s v="Katherine Ibarra"/>
    <m/>
    <s v="08/01/2023"/>
    <s v="Katherine Ibarra"/>
    <m/>
    <m/>
  </r>
  <r>
    <s v="Oakland/San Francisco/San Jose"/>
    <s v="UCB Gateway"/>
    <n v="210784"/>
    <m/>
    <s v="Higher Education | Laboratory / Research | 005 | 004"/>
    <n v="368"/>
    <s v="Silverado Contractors"/>
    <s v="Samantha  Chen"/>
    <s v="Schnitzer Steel - Oakland"/>
    <s v="1101 Embarcadero West, Oakland CA, Oakland, CA 94607"/>
    <m/>
    <s v="06/07/2023"/>
    <x v="12"/>
    <s v="TBBLHQ"/>
    <s v="Click Here To View"/>
    <s v="Demolition"/>
    <n v="3.49"/>
    <s v="100.00%"/>
    <s v="0.00%"/>
    <s v="100.00%"/>
    <s v="0.00%"/>
    <m/>
    <n v="3.49"/>
    <m/>
    <n v="3.49"/>
    <m/>
    <m/>
    <m/>
    <m/>
    <m/>
    <m/>
    <n v="3.49"/>
    <m/>
    <m/>
    <m/>
    <m/>
    <m/>
    <m/>
    <m/>
    <m/>
    <m/>
    <m/>
    <m/>
    <m/>
    <m/>
    <m/>
    <m/>
    <m/>
    <m/>
    <m/>
    <m/>
    <m/>
    <m/>
    <m/>
    <m/>
    <m/>
    <m/>
    <m/>
    <m/>
    <s v="0.00%"/>
    <s v="0.00%"/>
    <s v="0.00%"/>
    <s v="0.00%"/>
    <m/>
    <m/>
    <m/>
    <m/>
    <m/>
    <m/>
    <m/>
    <s v="0.00%"/>
    <s v="0.00%"/>
    <s v="0.00%"/>
    <s v="0.00%"/>
    <m/>
    <m/>
    <m/>
    <m/>
    <m/>
    <m/>
    <m/>
    <m/>
    <m/>
    <m/>
    <m/>
    <m/>
    <m/>
    <m/>
    <m/>
    <m/>
    <m/>
    <s v="Katherine Ibarra"/>
    <m/>
    <s v="08/01/2023"/>
    <s v="Katherine Ibarra"/>
    <m/>
    <m/>
  </r>
  <r>
    <s v="Oakland/San Francisco/San Jose"/>
    <s v="UCB Gateway"/>
    <n v="210784"/>
    <m/>
    <s v="Higher Education | Laboratory / Research | 005 | 004"/>
    <n v="368"/>
    <s v="Silverado Contractors"/>
    <s v="Samantha  Chen"/>
    <s v="Schnitzer Steel - Oakland"/>
    <s v="1101 Embarcadero West, Oakland CA, Oakland, CA 94607"/>
    <m/>
    <s v="06/16/2023"/>
    <x v="12"/>
    <s v="TBCXBU"/>
    <s v="Click Here To View"/>
    <s v="Demolition"/>
    <n v="7.05"/>
    <s v="100.00%"/>
    <s v="0.00%"/>
    <s v="100.00%"/>
    <s v="0.00%"/>
    <m/>
    <n v="7.05"/>
    <m/>
    <n v="7.05"/>
    <m/>
    <m/>
    <m/>
    <m/>
    <m/>
    <m/>
    <n v="7.05"/>
    <m/>
    <m/>
    <m/>
    <m/>
    <m/>
    <m/>
    <m/>
    <m/>
    <m/>
    <m/>
    <m/>
    <m/>
    <m/>
    <m/>
    <m/>
    <m/>
    <m/>
    <m/>
    <m/>
    <m/>
    <m/>
    <m/>
    <m/>
    <m/>
    <m/>
    <m/>
    <m/>
    <s v="0.00%"/>
    <s v="0.00%"/>
    <s v="0.00%"/>
    <s v="0.00%"/>
    <m/>
    <m/>
    <m/>
    <m/>
    <m/>
    <m/>
    <m/>
    <s v="0.00%"/>
    <s v="0.00%"/>
    <s v="0.00%"/>
    <s v="0.00%"/>
    <m/>
    <m/>
    <m/>
    <m/>
    <m/>
    <m/>
    <m/>
    <m/>
    <m/>
    <m/>
    <m/>
    <m/>
    <m/>
    <m/>
    <m/>
    <m/>
    <m/>
    <s v="Katherine Ibarra"/>
    <m/>
    <s v="08/01/2023"/>
    <s v="Katherine Ibarra"/>
    <m/>
    <m/>
  </r>
  <r>
    <s v="Oakland/San Francisco/San Jose"/>
    <s v="UCB Gateway"/>
    <n v="210784"/>
    <m/>
    <s v="Higher Education | Laboratory / Research | 005 | 004"/>
    <n v="368"/>
    <s v="Silverado Contractors"/>
    <s v="Samantha  Chen"/>
    <s v="Schnitzer Steel - Oakland"/>
    <s v="1101 Embarcadero West, Oakland CA, Oakland, CA 94607"/>
    <m/>
    <s v="06/23/2023"/>
    <x v="12"/>
    <s v="TBDVPA"/>
    <s v="Click Here To View"/>
    <s v="Demolition"/>
    <n v="6.87"/>
    <s v="100.00%"/>
    <s v="0.00%"/>
    <s v="100.00%"/>
    <s v="0.00%"/>
    <m/>
    <n v="6.87"/>
    <m/>
    <n v="6.87"/>
    <m/>
    <m/>
    <m/>
    <m/>
    <m/>
    <m/>
    <n v="6.87"/>
    <m/>
    <m/>
    <m/>
    <m/>
    <m/>
    <m/>
    <m/>
    <m/>
    <m/>
    <m/>
    <m/>
    <m/>
    <m/>
    <m/>
    <m/>
    <m/>
    <m/>
    <m/>
    <m/>
    <m/>
    <m/>
    <m/>
    <m/>
    <m/>
    <m/>
    <m/>
    <m/>
    <s v="0.00%"/>
    <s v="0.00%"/>
    <s v="0.00%"/>
    <s v="0.00%"/>
    <m/>
    <m/>
    <m/>
    <m/>
    <m/>
    <m/>
    <m/>
    <s v="0.00%"/>
    <s v="0.00%"/>
    <s v="0.00%"/>
    <s v="0.00%"/>
    <m/>
    <m/>
    <m/>
    <m/>
    <m/>
    <m/>
    <m/>
    <m/>
    <m/>
    <m/>
    <m/>
    <m/>
    <m/>
    <m/>
    <m/>
    <m/>
    <m/>
    <s v="Katherine Ibarra"/>
    <m/>
    <s v="08/01/2023"/>
    <s v="Katherine Ibarra"/>
    <m/>
    <m/>
  </r>
  <r>
    <s v="Oakland/San Francisco/San Jose"/>
    <s v="UCB Gateway"/>
    <n v="210784"/>
    <m/>
    <s v="Higher Education | Laboratory / Research | 005 | 004"/>
    <n v="368"/>
    <s v="Silverado Contractors"/>
    <s v="Samantha  Chen"/>
    <s v="Schnitzer Steel - Oakland"/>
    <s v="1101 Embarcadero West, Oakland CA, Oakland, CA 94607"/>
    <m/>
    <s v="11/17/2022"/>
    <x v="9"/>
    <s v="TABHVS"/>
    <s v="Click Here To View"/>
    <s v="Demolition"/>
    <n v="3.52"/>
    <s v="100.00%"/>
    <s v="0.00%"/>
    <s v="100.00%"/>
    <s v="0.00%"/>
    <m/>
    <n v="3.52"/>
    <m/>
    <n v="3.52"/>
    <m/>
    <m/>
    <m/>
    <m/>
    <m/>
    <m/>
    <n v="3.52"/>
    <m/>
    <m/>
    <m/>
    <m/>
    <m/>
    <m/>
    <m/>
    <m/>
    <m/>
    <m/>
    <m/>
    <m/>
    <m/>
    <m/>
    <m/>
    <m/>
    <m/>
    <m/>
    <m/>
    <m/>
    <m/>
    <m/>
    <m/>
    <m/>
    <m/>
    <m/>
    <m/>
    <s v="0.00%"/>
    <s v="0.00%"/>
    <s v="0.00%"/>
    <s v="0.00%"/>
    <m/>
    <m/>
    <m/>
    <m/>
    <m/>
    <m/>
    <m/>
    <s v="0.00%"/>
    <s v="0.00%"/>
    <s v="0.00%"/>
    <s v="0.00%"/>
    <m/>
    <m/>
    <m/>
    <m/>
    <m/>
    <m/>
    <m/>
    <m/>
    <m/>
    <m/>
    <m/>
    <m/>
    <m/>
    <m/>
    <m/>
    <m/>
    <m/>
    <s v="Katherine Ibarra"/>
    <m/>
    <s v="08/01/2023"/>
    <s v="Katherine Ibarra"/>
    <m/>
    <m/>
  </r>
  <r>
    <s v="Oakland/San Francisco/San Jose"/>
    <s v="UCB Gateway"/>
    <n v="210784"/>
    <m/>
    <s v="Higher Education | Laboratory / Research | 005 | 004"/>
    <n v="368"/>
    <s v="Silverado Contractors"/>
    <s v="Samantha  Chen"/>
    <s v="Schnitzer Steel - Oakland"/>
    <s v="1101 Embarcadero West, Oakland CA, Oakland, CA 94607"/>
    <m/>
    <s v="12/14/2022"/>
    <x v="37"/>
    <s v="TAEIPJ"/>
    <s v="Click Here To View"/>
    <s v="Demolition"/>
    <n v="8.92"/>
    <s v="100.00%"/>
    <s v="0.00%"/>
    <s v="100.00%"/>
    <s v="0.00%"/>
    <m/>
    <n v="8.92"/>
    <m/>
    <n v="8.92"/>
    <m/>
    <m/>
    <m/>
    <m/>
    <m/>
    <m/>
    <n v="8.92"/>
    <m/>
    <m/>
    <m/>
    <m/>
    <m/>
    <m/>
    <m/>
    <m/>
    <m/>
    <m/>
    <m/>
    <m/>
    <m/>
    <m/>
    <m/>
    <m/>
    <m/>
    <m/>
    <m/>
    <m/>
    <m/>
    <m/>
    <m/>
    <m/>
    <m/>
    <m/>
    <m/>
    <s v="0.00%"/>
    <s v="0.00%"/>
    <s v="0.00%"/>
    <s v="0.00%"/>
    <m/>
    <m/>
    <m/>
    <m/>
    <m/>
    <m/>
    <m/>
    <s v="0.00%"/>
    <s v="0.00%"/>
    <s v="0.00%"/>
    <s v="0.00%"/>
    <m/>
    <m/>
    <m/>
    <m/>
    <m/>
    <m/>
    <m/>
    <m/>
    <m/>
    <m/>
    <m/>
    <m/>
    <m/>
    <m/>
    <m/>
    <m/>
    <m/>
    <s v="Katherine Ibarra"/>
    <m/>
    <s v="08/01/2023"/>
    <s v="Katherine Ibarra"/>
    <m/>
    <m/>
  </r>
  <r>
    <s v="Oakland/San Francisco/San Jose"/>
    <s v="UCB Gateway"/>
    <n v="210784"/>
    <m/>
    <s v="Higher Education | Laboratory / Research | 005 | 004"/>
    <n v="368"/>
    <s v="Silverado Contractors"/>
    <s v="Samantha  Chen"/>
    <s v="CASS, Inc"/>
    <s v="2730 Peralta Street Oakland CA 94607, Oakland, CA 94607"/>
    <m/>
    <s v="01/15/2024"/>
    <x v="19"/>
    <n v="342025"/>
    <s v="Click Here To View"/>
    <s v="Demolition"/>
    <n v="1.96"/>
    <s v="100.00%"/>
    <s v="0.00%"/>
    <s v="100.00%"/>
    <s v="0.00%"/>
    <m/>
    <n v="1.96"/>
    <m/>
    <n v="1.96"/>
    <m/>
    <m/>
    <m/>
    <m/>
    <m/>
    <m/>
    <n v="1.96"/>
    <m/>
    <m/>
    <m/>
    <m/>
    <m/>
    <m/>
    <m/>
    <m/>
    <m/>
    <m/>
    <m/>
    <m/>
    <m/>
    <m/>
    <m/>
    <m/>
    <m/>
    <m/>
    <m/>
    <m/>
    <m/>
    <m/>
    <m/>
    <m/>
    <m/>
    <m/>
    <m/>
    <s v="0.00%"/>
    <s v="0.00%"/>
    <s v="0.00%"/>
    <s v="0.00%"/>
    <m/>
    <m/>
    <m/>
    <m/>
    <m/>
    <m/>
    <m/>
    <s v="0.00%"/>
    <s v="0.00%"/>
    <s v="0.00%"/>
    <s v="0.00%"/>
    <m/>
    <m/>
    <m/>
    <m/>
    <m/>
    <m/>
    <m/>
    <m/>
    <m/>
    <m/>
    <m/>
    <m/>
    <m/>
    <m/>
    <m/>
    <m/>
    <m/>
    <s v="Katherine Ibarra"/>
    <m/>
    <s v="01/08/2025"/>
    <s v="Katherine Ibarra"/>
    <m/>
    <m/>
  </r>
  <r>
    <s v="Oakland/San Francisco/San Jose"/>
    <s v="UCB Gateway"/>
    <n v="210784"/>
    <m/>
    <s v="Higher Education | Laboratory / Research | 005 | 004"/>
    <n v="368"/>
    <s v="Silverado Contractors"/>
    <s v="Samantha  Chen"/>
    <s v="CASS, Inc"/>
    <s v="2730 Peralta Street Oakland CA 94607, Oakland, CA 94607"/>
    <m/>
    <s v="02/07/2024"/>
    <x v="6"/>
    <n v="343260"/>
    <s v="Click Here To View"/>
    <s v="Demolition"/>
    <n v="1.87"/>
    <s v="100.00%"/>
    <s v="0.00%"/>
    <s v="100.00%"/>
    <s v="0.00%"/>
    <m/>
    <n v="1.87"/>
    <m/>
    <n v="1.87"/>
    <m/>
    <m/>
    <m/>
    <m/>
    <m/>
    <m/>
    <n v="1.87"/>
    <m/>
    <m/>
    <m/>
    <m/>
    <m/>
    <m/>
    <m/>
    <m/>
    <m/>
    <m/>
    <m/>
    <m/>
    <m/>
    <m/>
    <m/>
    <m/>
    <m/>
    <m/>
    <m/>
    <m/>
    <m/>
    <m/>
    <m/>
    <m/>
    <m/>
    <m/>
    <m/>
    <s v="0.00%"/>
    <s v="0.00%"/>
    <s v="0.00%"/>
    <s v="0.00%"/>
    <m/>
    <m/>
    <m/>
    <m/>
    <m/>
    <m/>
    <m/>
    <s v="0.00%"/>
    <s v="0.00%"/>
    <s v="0.00%"/>
    <s v="0.00%"/>
    <m/>
    <m/>
    <m/>
    <m/>
    <m/>
    <m/>
    <m/>
    <m/>
    <m/>
    <m/>
    <m/>
    <m/>
    <m/>
    <m/>
    <m/>
    <m/>
    <m/>
    <s v="Katherine Ibarra"/>
    <m/>
    <s v="01/08/2025"/>
    <s v="Katherine Ibarra"/>
    <m/>
    <m/>
  </r>
  <r>
    <s v="Oakland/San Francisco/San Jose"/>
    <s v="UCB Gateway"/>
    <n v="210784"/>
    <m/>
    <s v="Higher Education | Laboratory / Research | 005 | 004"/>
    <n v="368"/>
    <s v="Silverado Contractors"/>
    <s v="Samantha  Chen"/>
    <s v="CASS, Inc"/>
    <s v="2730 Peralta Street Oakland CA 94607, Oakland, CA 94607"/>
    <m/>
    <s v="03/28/2024"/>
    <x v="5"/>
    <n v="345942"/>
    <s v="Click Here To View"/>
    <s v="Demolition"/>
    <n v="1.57"/>
    <s v="100.00%"/>
    <s v="0.00%"/>
    <s v="100.00%"/>
    <s v="0.00%"/>
    <m/>
    <n v="1.57"/>
    <m/>
    <n v="1.57"/>
    <m/>
    <m/>
    <m/>
    <m/>
    <m/>
    <m/>
    <n v="1.57"/>
    <m/>
    <m/>
    <m/>
    <m/>
    <m/>
    <m/>
    <m/>
    <m/>
    <m/>
    <m/>
    <m/>
    <m/>
    <m/>
    <m/>
    <m/>
    <m/>
    <m/>
    <m/>
    <m/>
    <m/>
    <m/>
    <m/>
    <m/>
    <m/>
    <m/>
    <m/>
    <m/>
    <s v="0.00%"/>
    <s v="0.00%"/>
    <s v="0.00%"/>
    <s v="0.00%"/>
    <m/>
    <m/>
    <m/>
    <m/>
    <m/>
    <m/>
    <m/>
    <s v="0.00%"/>
    <s v="0.00%"/>
    <s v="0.00%"/>
    <s v="0.00%"/>
    <m/>
    <m/>
    <m/>
    <m/>
    <m/>
    <m/>
    <m/>
    <m/>
    <m/>
    <m/>
    <m/>
    <m/>
    <m/>
    <m/>
    <m/>
    <m/>
    <m/>
    <s v="Katherine Ibarra"/>
    <m/>
    <s v="01/08/2025"/>
    <s v="Katherine Ibarra"/>
    <m/>
    <m/>
  </r>
  <r>
    <s v="Oakland/San Francisco/San Jose"/>
    <s v="UCB Gateway"/>
    <n v="210784"/>
    <m/>
    <s v="Higher Education | Laboratory / Research | 005 | 004"/>
    <n v="368"/>
    <s v="N/A"/>
    <s v="Oakland/San Francisco/San Jose"/>
    <s v="ALCO Metals - San Leandro"/>
    <s v="1091 Doolittle Dr Gate C, San Leandro, CA 94577"/>
    <m/>
    <s v="11/26/2024"/>
    <x v="25"/>
    <s v="210784 All Metal 202"/>
    <s v="Click Here To View"/>
    <s v="Construction"/>
    <n v="61.91"/>
    <s v="100.00%"/>
    <s v="0.00%"/>
    <s v="100.00%"/>
    <s v="0.00%"/>
    <m/>
    <n v="61.91"/>
    <m/>
    <n v="61.91"/>
    <m/>
    <m/>
    <m/>
    <m/>
    <m/>
    <m/>
    <n v="61.91"/>
    <m/>
    <m/>
    <m/>
    <m/>
    <m/>
    <m/>
    <m/>
    <m/>
    <m/>
    <m/>
    <m/>
    <m/>
    <m/>
    <m/>
    <m/>
    <m/>
    <m/>
    <m/>
    <m/>
    <m/>
    <m/>
    <m/>
    <m/>
    <m/>
    <m/>
    <m/>
    <m/>
    <s v="0.00%"/>
    <s v="0.00%"/>
    <s v="0.00%"/>
    <s v="0.00%"/>
    <m/>
    <m/>
    <m/>
    <m/>
    <m/>
    <m/>
    <m/>
    <s v="0.00%"/>
    <s v="0.00%"/>
    <s v="0.00%"/>
    <s v="0.00%"/>
    <m/>
    <m/>
    <m/>
    <m/>
    <m/>
    <m/>
    <m/>
    <m/>
    <m/>
    <m/>
    <m/>
    <m/>
    <m/>
    <m/>
    <m/>
    <m/>
    <m/>
    <s v="Domenica Gachet"/>
    <m/>
    <s v="04/02/2025"/>
    <s v="Domenica Gachet"/>
    <m/>
    <m/>
  </r>
  <r>
    <s v="Oakland/San Francisco/San Jose"/>
    <s v="UCB Gateway"/>
    <n v="210784"/>
    <m/>
    <s v="Higher Education | Laboratory / Research | 005 | 004"/>
    <n v="368"/>
    <s v="Garden of Eden Landscapes, Inc."/>
    <s v="Silvia Teixeria"/>
    <s v="The Buy-Back"/>
    <s v="669 Gilman Street, Berkeley, CA 94710, Berkeley, CA 94710"/>
    <m/>
    <s v="06/19/2025"/>
    <x v="2"/>
    <n v="610172"/>
    <s v="Click Here To View"/>
    <s v="Construction"/>
    <n v="4.3"/>
    <s v="100.00%"/>
    <s v="0.00%"/>
    <s v="100.00%"/>
    <s v="0.00%"/>
    <m/>
    <n v="4.3"/>
    <m/>
    <n v="4.3"/>
    <m/>
    <m/>
    <m/>
    <m/>
    <m/>
    <m/>
    <n v="4.3"/>
    <m/>
    <m/>
    <m/>
    <m/>
    <m/>
    <m/>
    <m/>
    <m/>
    <m/>
    <m/>
    <m/>
    <m/>
    <m/>
    <m/>
    <m/>
    <m/>
    <m/>
    <m/>
    <m/>
    <m/>
    <m/>
    <m/>
    <m/>
    <m/>
    <m/>
    <m/>
    <m/>
    <s v="0.00%"/>
    <s v="0.00%"/>
    <s v="0.00%"/>
    <s v="0.00%"/>
    <m/>
    <m/>
    <m/>
    <m/>
    <m/>
    <m/>
    <m/>
    <s v="0.00%"/>
    <s v="0.00%"/>
    <s v="0.00%"/>
    <s v="0.00%"/>
    <m/>
    <m/>
    <m/>
    <m/>
    <m/>
    <m/>
    <m/>
    <m/>
    <m/>
    <m/>
    <m/>
    <m/>
    <m/>
    <m/>
    <m/>
    <m/>
    <m/>
    <s v="Mike Teixeira"/>
    <m/>
    <s v="06/30/2025"/>
    <s v="Mike Teixeira"/>
    <m/>
    <m/>
  </r>
  <r>
    <s v="Oakland/San Francisco/San Jose"/>
    <s v="UCB Gateway"/>
    <n v="210784"/>
    <m/>
    <s v="Higher Education | Laboratory / Research | 005 | 004"/>
    <n v="368"/>
    <s v="Garden of Eden Landscapes, Inc."/>
    <s v="Silvia Teixeria"/>
    <s v="The Buy-Back"/>
    <s v="669 Gilman Street, Berkeley, CA 94710, Berkeley, CA 94710"/>
    <m/>
    <s v="09/10/2025"/>
    <x v="31"/>
    <s v="78N25883"/>
    <s v="Click Here To View"/>
    <s v="Construction"/>
    <n v="1E-3"/>
    <s v="100.00%"/>
    <s v="0.00%"/>
    <s v="100.00%"/>
    <s v="0.00%"/>
    <m/>
    <n v="1E-3"/>
    <m/>
    <n v="1E-3"/>
    <m/>
    <m/>
    <m/>
    <m/>
    <m/>
    <m/>
    <n v="1E-3"/>
    <m/>
    <m/>
    <m/>
    <m/>
    <m/>
    <m/>
    <m/>
    <m/>
    <m/>
    <m/>
    <m/>
    <m/>
    <m/>
    <m/>
    <m/>
    <m/>
    <m/>
    <m/>
    <m/>
    <m/>
    <m/>
    <m/>
    <m/>
    <m/>
    <m/>
    <m/>
    <m/>
    <s v="0.00%"/>
    <s v="0.00%"/>
    <s v="0.00%"/>
    <s v="0.00%"/>
    <m/>
    <m/>
    <m/>
    <m/>
    <m/>
    <m/>
    <m/>
    <s v="0.00%"/>
    <s v="0.00%"/>
    <s v="0.00%"/>
    <s v="0.00%"/>
    <m/>
    <m/>
    <m/>
    <m/>
    <m/>
    <m/>
    <m/>
    <m/>
    <m/>
    <m/>
    <m/>
    <m/>
    <m/>
    <m/>
    <m/>
    <m/>
    <m/>
    <s v="Mike Teixeira"/>
    <m/>
    <s v="09/11/2025"/>
    <s v="Mike Teixeira"/>
    <m/>
    <m/>
  </r>
  <r>
    <s v="Oakland/San Francisco/San Jose"/>
    <s v="UCB Gateway"/>
    <n v="210784"/>
    <m/>
    <s v="Higher Education | Laboratory / Research | 005 | 004"/>
    <n v="368"/>
    <s v="N/A"/>
    <s v="Oakland/San Francisco/San Jose"/>
    <s v="ALCO Metals - San Leandro"/>
    <s v="1091 Doolittle Dr Gate C, San Leandro, CA 94577"/>
    <m/>
    <s v="11/18/2025"/>
    <x v="36"/>
    <s v="ALCO-400757-440649"/>
    <s v="Click Here To View"/>
    <s v="Construction"/>
    <n v="121.94"/>
    <s v="100.00%"/>
    <s v="0.00%"/>
    <s v="100.00%"/>
    <s v="0.00%"/>
    <m/>
    <n v="121.94"/>
    <m/>
    <n v="121.94"/>
    <m/>
    <m/>
    <m/>
    <m/>
    <m/>
    <m/>
    <n v="121.94"/>
    <m/>
    <m/>
    <m/>
    <m/>
    <m/>
    <m/>
    <m/>
    <m/>
    <m/>
    <m/>
    <m/>
    <m/>
    <m/>
    <m/>
    <m/>
    <m/>
    <m/>
    <m/>
    <m/>
    <m/>
    <m/>
    <m/>
    <m/>
    <m/>
    <m/>
    <m/>
    <m/>
    <s v="0.00%"/>
    <s v="0.00%"/>
    <s v="0.00%"/>
    <s v="0.00%"/>
    <m/>
    <m/>
    <m/>
    <m/>
    <m/>
    <m/>
    <m/>
    <s v="0.00%"/>
    <s v="0.00%"/>
    <s v="0.00%"/>
    <s v="0.00%"/>
    <m/>
    <m/>
    <m/>
    <m/>
    <m/>
    <m/>
    <m/>
    <m/>
    <m/>
    <m/>
    <m/>
    <m/>
    <m/>
    <m/>
    <m/>
    <m/>
    <m/>
    <s v="Mayur Kale"/>
    <m/>
    <s v="04/21/2026"/>
    <s v="Mayur Kale"/>
    <m/>
    <m/>
  </r>
  <r>
    <s v="Oakland/San Francisco/San Jose"/>
    <s v="UCB Gateway"/>
    <n v="210784"/>
    <m/>
    <s v="Higher Education | Laboratory / Research | 005 | 004"/>
    <n v="368"/>
    <s v="Certified Blue Recycling"/>
    <s v="S Barron"/>
    <s v="Certified Blue Recycling Without ADC (LEED)"/>
    <s v="2075 Williams St, San Leandro, CA 94577"/>
    <m/>
    <s v="12/22/2022"/>
    <x v="37"/>
    <n v="82815"/>
    <s v="Click Here To View"/>
    <s v="Demolition"/>
    <n v="0.88480000000000003"/>
    <s v="31.65%"/>
    <s v="0.00%"/>
    <s v="31.65%"/>
    <s v="68.35%"/>
    <m/>
    <n v="0.28000000000000003"/>
    <n v="0.6048"/>
    <n v="0.88480000000000003"/>
    <n v="0.33479999999999999"/>
    <m/>
    <m/>
    <m/>
    <m/>
    <m/>
    <m/>
    <n v="0.28000000000000003"/>
    <m/>
    <n v="0.27"/>
    <m/>
    <m/>
    <m/>
    <m/>
    <m/>
    <m/>
    <m/>
    <m/>
    <m/>
    <m/>
    <m/>
    <m/>
    <m/>
    <m/>
    <m/>
    <m/>
    <m/>
    <m/>
    <m/>
    <m/>
    <m/>
    <m/>
    <m/>
    <m/>
    <s v="0.00%"/>
    <s v="0.00%"/>
    <s v="0.00%"/>
    <s v="0.00%"/>
    <m/>
    <m/>
    <m/>
    <m/>
    <m/>
    <m/>
    <m/>
    <s v="0.00%"/>
    <s v="0.00%"/>
    <s v="0.00%"/>
    <s v="0.00%"/>
    <m/>
    <m/>
    <m/>
    <m/>
    <m/>
    <m/>
    <m/>
    <m/>
    <m/>
    <m/>
    <m/>
    <m/>
    <m/>
    <m/>
    <m/>
    <m/>
    <m/>
    <s v="Mahek Pathak"/>
    <m/>
    <s v="02/21/2023"/>
    <s v="Mahek Pathak"/>
    <m/>
    <m/>
  </r>
  <r>
    <s v="Oakland/San Francisco/San Jose"/>
    <s v="UCB Gateway"/>
    <n v="210784"/>
    <m/>
    <s v="Higher Education | Laboratory / Research | 005 | 004"/>
    <n v="368"/>
    <s v="Certified Blue Recycling"/>
    <s v="S Barron"/>
    <s v="Certified Blue Recycling Without ADC (LEED)"/>
    <s v="2075 Williams St, San Leandro, CA 94577"/>
    <m/>
    <s v="11/30/2022"/>
    <x v="9"/>
    <n v="82097"/>
    <s v="Click Here To View"/>
    <s v="Demolition"/>
    <n v="1.08"/>
    <s v="30.56%"/>
    <s v="0.00%"/>
    <s v="30.56%"/>
    <s v="69.44%"/>
    <m/>
    <n v="0.33"/>
    <n v="0.75"/>
    <n v="1.08"/>
    <n v="0.41"/>
    <m/>
    <m/>
    <m/>
    <m/>
    <m/>
    <m/>
    <n v="0.33"/>
    <m/>
    <n v="0.34"/>
    <m/>
    <m/>
    <m/>
    <m/>
    <m/>
    <m/>
    <m/>
    <m/>
    <m/>
    <m/>
    <m/>
    <m/>
    <m/>
    <m/>
    <m/>
    <m/>
    <m/>
    <m/>
    <m/>
    <m/>
    <m/>
    <m/>
    <m/>
    <m/>
    <s v="0.00%"/>
    <s v="0.00%"/>
    <s v="0.00%"/>
    <s v="0.00%"/>
    <m/>
    <m/>
    <m/>
    <m/>
    <m/>
    <m/>
    <m/>
    <s v="0.00%"/>
    <s v="0.00%"/>
    <s v="0.00%"/>
    <s v="0.00%"/>
    <m/>
    <m/>
    <m/>
    <m/>
    <m/>
    <m/>
    <m/>
    <m/>
    <m/>
    <m/>
    <m/>
    <m/>
    <m/>
    <m/>
    <m/>
    <m/>
    <m/>
    <s v="Mahek Pathak"/>
    <m/>
    <s v="02/21/2023"/>
    <s v="Mahek Pathak"/>
    <m/>
    <m/>
  </r>
  <r>
    <s v="Oakland/San Francisco/San Jose"/>
    <s v="UCB Gateway"/>
    <n v="210784"/>
    <m/>
    <s v="Higher Education | Laboratory / Research | 005 | 004"/>
    <n v="368"/>
    <s v="Garden of Eden Landscapes, Inc."/>
    <s v="Silvia Teixeria"/>
    <s v="Waste Management"/>
    <s v="2615 Davis Street, San Leandro, San Leandro, CA 94577"/>
    <m/>
    <s v="06/05/2023"/>
    <x v="12"/>
    <n v="5267850"/>
    <s v="Click Here To View"/>
    <s v="Construction"/>
    <n v="0.66"/>
    <s v="30.30%"/>
    <s v="0.00%"/>
    <s v="30.30%"/>
    <s v="69.70%"/>
    <m/>
    <n v="0.2"/>
    <n v="0.45999999999999996"/>
    <n v="0.66"/>
    <n v="0.25"/>
    <m/>
    <m/>
    <m/>
    <m/>
    <m/>
    <m/>
    <n v="0.2"/>
    <m/>
    <n v="0.21"/>
    <m/>
    <m/>
    <m/>
    <m/>
    <m/>
    <m/>
    <m/>
    <m/>
    <m/>
    <m/>
    <m/>
    <m/>
    <m/>
    <m/>
    <m/>
    <m/>
    <m/>
    <m/>
    <m/>
    <m/>
    <m/>
    <m/>
    <m/>
    <m/>
    <s v="0.00%"/>
    <s v="0.00%"/>
    <s v="0.00%"/>
    <s v="0.00%"/>
    <m/>
    <m/>
    <m/>
    <m/>
    <m/>
    <m/>
    <m/>
    <s v="0.00%"/>
    <s v="0.00%"/>
    <s v="0.00%"/>
    <s v="0.00%"/>
    <m/>
    <m/>
    <m/>
    <m/>
    <m/>
    <m/>
    <m/>
    <m/>
    <m/>
    <m/>
    <m/>
    <m/>
    <m/>
    <m/>
    <m/>
    <m/>
    <m/>
    <s v="Silvia Teixeira"/>
    <m/>
    <s v="06/21/2023"/>
    <s v="Silvia Teixeira"/>
    <m/>
    <m/>
  </r>
  <r>
    <s v="Oakland/San Francisco/San Jose"/>
    <s v="UCB Gateway"/>
    <n v="210784"/>
    <m/>
    <s v="Higher Education | Laboratory / Research | 005 | 004"/>
    <n v="368"/>
    <s v="Garden of Eden Landscapes, Inc."/>
    <s v="Silvia Teixeria"/>
    <s v="Waste Management"/>
    <s v="2615 Davis Street, San Leandro, San Leandro, CA 94577"/>
    <m/>
    <s v="06/20/2023"/>
    <x v="12"/>
    <n v="5278580"/>
    <s v="Click Here To View"/>
    <s v="Construction"/>
    <n v="1.5299999999999998"/>
    <s v="30.72%"/>
    <s v="0.00%"/>
    <s v="30.72%"/>
    <s v="69.28%"/>
    <m/>
    <n v="0.47"/>
    <n v="1.06"/>
    <n v="1.5299999999999998"/>
    <n v="0.57999999999999996"/>
    <m/>
    <m/>
    <m/>
    <m/>
    <m/>
    <m/>
    <n v="0.47"/>
    <m/>
    <n v="0.48"/>
    <m/>
    <m/>
    <m/>
    <m/>
    <m/>
    <m/>
    <m/>
    <m/>
    <m/>
    <m/>
    <m/>
    <m/>
    <m/>
    <m/>
    <m/>
    <m/>
    <m/>
    <m/>
    <m/>
    <m/>
    <m/>
    <m/>
    <m/>
    <m/>
    <s v="0.00%"/>
    <s v="0.00%"/>
    <s v="0.00%"/>
    <s v="0.00%"/>
    <m/>
    <m/>
    <m/>
    <m/>
    <m/>
    <m/>
    <m/>
    <s v="0.00%"/>
    <s v="0.00%"/>
    <s v="0.00%"/>
    <s v="0.00%"/>
    <m/>
    <m/>
    <m/>
    <m/>
    <m/>
    <m/>
    <m/>
    <m/>
    <m/>
    <m/>
    <m/>
    <m/>
    <m/>
    <m/>
    <m/>
    <m/>
    <m/>
    <s v="Silvia Teixeira"/>
    <m/>
    <s v="06/21/2023"/>
    <s v="Silvia Teixeira"/>
    <m/>
    <m/>
  </r>
  <r>
    <s v="Oakland/San Francisco/San Jose"/>
    <s v="UCB Gateway"/>
    <n v="210784"/>
    <m/>
    <s v="Higher Education | Laboratory / Research | 005 | 004"/>
    <n v="368"/>
    <s v="Silverado Contractors"/>
    <s v="Samantha  Chen"/>
    <s v="Excess Recovery, INC."/>
    <s v="1801 Evans Avenue, San Francisco, CA 94124, San Francisco, CA 94124"/>
    <m/>
    <s v="04/10/2023"/>
    <x v="10"/>
    <n v="40293"/>
    <s v="Click Here To View"/>
    <s v="Demolition"/>
    <n v="5.9"/>
    <s v="71.00%"/>
    <s v="0.00%"/>
    <s v="71.00%"/>
    <s v="29.00%"/>
    <m/>
    <n v="4.1890000000000001"/>
    <n v="1.7110000000000001"/>
    <n v="5.9"/>
    <m/>
    <m/>
    <m/>
    <m/>
    <m/>
    <m/>
    <m/>
    <m/>
    <m/>
    <m/>
    <m/>
    <m/>
    <m/>
    <m/>
    <m/>
    <m/>
    <m/>
    <m/>
    <m/>
    <m/>
    <m/>
    <m/>
    <m/>
    <m/>
    <m/>
    <n v="4.1890000000000001"/>
    <m/>
    <m/>
    <m/>
    <m/>
    <n v="1.7110000000000001"/>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Excess Recovery, INC."/>
    <s v="1801 Evans Avenue, San Francisco, CA 94124, San Francisco, CA 94124"/>
    <m/>
    <s v="04/20/2023"/>
    <x v="10"/>
    <n v="39843"/>
    <s v="Click Here To View"/>
    <s v="Demolition"/>
    <n v="10.050000000000001"/>
    <s v="71.00%"/>
    <s v="0.00%"/>
    <s v="71.00%"/>
    <s v="29.00%"/>
    <m/>
    <n v="7.1355000000000004"/>
    <n v="2.9144999999999999"/>
    <n v="10.050000000000001"/>
    <m/>
    <m/>
    <m/>
    <m/>
    <m/>
    <m/>
    <m/>
    <m/>
    <m/>
    <m/>
    <m/>
    <m/>
    <m/>
    <m/>
    <m/>
    <m/>
    <m/>
    <m/>
    <m/>
    <m/>
    <m/>
    <m/>
    <m/>
    <m/>
    <m/>
    <n v="7.1355000000000004"/>
    <m/>
    <m/>
    <m/>
    <m/>
    <n v="2.9144999999999999"/>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Excess Recovery, INC."/>
    <s v="1801 Evans Avenue, San Francisco, CA 94124, San Francisco, CA 94124"/>
    <m/>
    <s v="05/08/2023"/>
    <x v="11"/>
    <n v="39430"/>
    <s v="Click Here To View"/>
    <s v="Demolition"/>
    <n v="6.35"/>
    <s v="71.00%"/>
    <s v="0.00%"/>
    <s v="71.00%"/>
    <s v="29.00%"/>
    <m/>
    <n v="4.5084999999999997"/>
    <n v="1.8414999999999999"/>
    <n v="6.35"/>
    <m/>
    <m/>
    <m/>
    <m/>
    <m/>
    <m/>
    <m/>
    <m/>
    <m/>
    <m/>
    <m/>
    <m/>
    <m/>
    <m/>
    <m/>
    <m/>
    <m/>
    <m/>
    <m/>
    <m/>
    <m/>
    <m/>
    <m/>
    <m/>
    <m/>
    <n v="4.5084999999999997"/>
    <m/>
    <m/>
    <m/>
    <m/>
    <n v="1.8414999999999999"/>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Excess Recovery, INC."/>
    <s v="1801 Evans Avenue, San Francisco, CA 94124, San Francisco, CA 94124"/>
    <m/>
    <s v="05/22/2023"/>
    <x v="11"/>
    <n v="40542"/>
    <s v="Click Here To View"/>
    <s v="Demolition"/>
    <n v="3.8"/>
    <s v="71.00%"/>
    <s v="0.00%"/>
    <s v="71.00%"/>
    <s v="29.00%"/>
    <m/>
    <n v="2.698"/>
    <n v="1.1020000000000001"/>
    <n v="3.8"/>
    <m/>
    <m/>
    <m/>
    <m/>
    <m/>
    <m/>
    <m/>
    <m/>
    <m/>
    <m/>
    <m/>
    <m/>
    <m/>
    <m/>
    <m/>
    <m/>
    <m/>
    <m/>
    <m/>
    <m/>
    <m/>
    <m/>
    <m/>
    <m/>
    <m/>
    <n v="2.698"/>
    <m/>
    <m/>
    <m/>
    <m/>
    <n v="1.1020000000000001"/>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Silverado Contractors"/>
    <s v="Samantha  Chen"/>
    <s v="Excess Recovery, INC."/>
    <s v="1801 Evans Avenue, San Francisco, CA 94124, San Francisco, CA 94124"/>
    <m/>
    <s v="07/05/2023"/>
    <x v="13"/>
    <n v="42099"/>
    <s v="Click Here To View"/>
    <s v="Demolition"/>
    <n v="5.28"/>
    <s v="29.00%"/>
    <s v="0.00%"/>
    <s v="29.00%"/>
    <s v="71.00%"/>
    <m/>
    <n v="1.5311999999999999"/>
    <n v="3.7488000000000001"/>
    <n v="5.28"/>
    <m/>
    <m/>
    <m/>
    <m/>
    <m/>
    <m/>
    <m/>
    <m/>
    <m/>
    <m/>
    <m/>
    <m/>
    <m/>
    <m/>
    <m/>
    <m/>
    <m/>
    <m/>
    <m/>
    <m/>
    <m/>
    <m/>
    <m/>
    <m/>
    <m/>
    <n v="3.7488000000000001"/>
    <m/>
    <m/>
    <m/>
    <m/>
    <n v="1.5311999999999999"/>
    <m/>
    <m/>
    <m/>
    <s v="0.00%"/>
    <s v="0.00%"/>
    <s v="0.00%"/>
    <s v="0.00%"/>
    <m/>
    <m/>
    <m/>
    <m/>
    <m/>
    <m/>
    <m/>
    <s v="0.00%"/>
    <s v="0.00%"/>
    <s v="0.00%"/>
    <s v="0.00%"/>
    <m/>
    <m/>
    <m/>
    <m/>
    <m/>
    <m/>
    <m/>
    <m/>
    <m/>
    <m/>
    <m/>
    <m/>
    <m/>
    <m/>
    <m/>
    <m/>
    <m/>
    <s v="Katherine Ibarra"/>
    <m/>
    <s v="08/02/2023"/>
    <s v="Katherine Ibarra"/>
    <m/>
    <m/>
  </r>
  <r>
    <s v="Oakland/San Francisco/San Jose"/>
    <s v="UCB Gateway"/>
    <n v="210784"/>
    <m/>
    <s v="Higher Education | Laboratory / Research | 005 | 004"/>
    <n v="368"/>
    <s v="Garden of Eden Landscapes, Inc."/>
    <s v="Silvia Teixeria"/>
    <s v="Waste Management"/>
    <s v="2615 Davis Street, San Leandro, San Leandro, CA 94577"/>
    <m/>
    <s v="06/22/2023"/>
    <x v="12"/>
    <n v="5279929"/>
    <s v="Click Here To View"/>
    <s v="Construction"/>
    <n v="0.77"/>
    <s v="31.17%"/>
    <s v="0.00%"/>
    <s v="31.17%"/>
    <s v="68.83%"/>
    <m/>
    <n v="0.24"/>
    <n v="0.53"/>
    <n v="0.77"/>
    <n v="0.28999999999999998"/>
    <m/>
    <m/>
    <m/>
    <m/>
    <m/>
    <m/>
    <n v="0.24"/>
    <m/>
    <n v="0.24"/>
    <m/>
    <m/>
    <m/>
    <m/>
    <m/>
    <m/>
    <m/>
    <m/>
    <m/>
    <m/>
    <m/>
    <m/>
    <m/>
    <m/>
    <m/>
    <m/>
    <m/>
    <m/>
    <m/>
    <m/>
    <m/>
    <m/>
    <m/>
    <m/>
    <s v="0.00%"/>
    <s v="0.00%"/>
    <s v="0.00%"/>
    <s v="0.00%"/>
    <m/>
    <m/>
    <m/>
    <m/>
    <m/>
    <m/>
    <m/>
    <s v="0.00%"/>
    <s v="0.00%"/>
    <s v="0.00%"/>
    <s v="0.00%"/>
    <m/>
    <m/>
    <m/>
    <m/>
    <m/>
    <m/>
    <m/>
    <m/>
    <m/>
    <m/>
    <m/>
    <m/>
    <m/>
    <m/>
    <m/>
    <m/>
    <m/>
    <s v="Silvia Teixeira"/>
    <m/>
    <s v="10/02/2023"/>
    <s v="Silvia Teixeira"/>
    <m/>
    <m/>
  </r>
  <r>
    <s v="Oakland/San Francisco/San Jose"/>
    <s v="UCB Gateway"/>
    <n v="210784"/>
    <m/>
    <s v="Higher Education | Laboratory / Research | 005 | 004"/>
    <n v="368"/>
    <s v="Garden of Eden Landscapes, Inc."/>
    <s v="Silvia Teixeria"/>
    <s v="Waste Management"/>
    <s v="2615 Davis Street, San Leandro, San Leandro, CA 94577"/>
    <m/>
    <s v="10/17/2023"/>
    <x v="16"/>
    <n v="5358330"/>
    <s v="Click Here To View"/>
    <s v="Construction"/>
    <n v="3.93"/>
    <s v="100.00%"/>
    <s v="0.00%"/>
    <s v="100.00%"/>
    <s v="0.00%"/>
    <m/>
    <n v="3.93"/>
    <m/>
    <n v="3.93"/>
    <m/>
    <m/>
    <m/>
    <m/>
    <m/>
    <m/>
    <m/>
    <n v="2.8056000000000001"/>
    <m/>
    <m/>
    <m/>
    <m/>
    <m/>
    <m/>
    <m/>
    <m/>
    <m/>
    <m/>
    <m/>
    <m/>
    <m/>
    <m/>
    <m/>
    <m/>
    <m/>
    <n v="1.1244000000000001"/>
    <m/>
    <m/>
    <m/>
    <m/>
    <m/>
    <m/>
    <m/>
    <m/>
    <s v="0.00%"/>
    <s v="0.00%"/>
    <s v="0.00%"/>
    <s v="0.00%"/>
    <m/>
    <m/>
    <m/>
    <m/>
    <m/>
    <m/>
    <m/>
    <s v="0.00%"/>
    <s v="0.00%"/>
    <s v="0.00%"/>
    <s v="0.00%"/>
    <m/>
    <m/>
    <m/>
    <m/>
    <m/>
    <m/>
    <m/>
    <m/>
    <m/>
    <m/>
    <m/>
    <m/>
    <m/>
    <m/>
    <m/>
    <m/>
    <m/>
    <s v="Mike Teixeira"/>
    <m/>
    <s v="11/28/2023"/>
    <s v="Mike Teixeira"/>
    <m/>
    <m/>
  </r>
  <r>
    <s v="Oakland/San Francisco/San Jose"/>
    <s v="UCB Gateway"/>
    <n v="210784"/>
    <m/>
    <s v="Higher Education | Laboratory / Research | 005 | 004"/>
    <n v="368"/>
    <s v="Garden of Eden Landscapes, Inc."/>
    <s v="Silvia Teixeria"/>
    <s v="Waste Management"/>
    <s v="2615 Davis Street, San Leandro, San Leandro, CA 94577"/>
    <m/>
    <s v="11/02/2023"/>
    <x v="17"/>
    <n v="5369002"/>
    <s v="Click Here To View"/>
    <s v="Construction"/>
    <n v="1.5899999999999999"/>
    <s v="30.82%"/>
    <s v="0.00%"/>
    <s v="30.82%"/>
    <s v="69.18%"/>
    <m/>
    <n v="0.49"/>
    <n v="1.1000000000000001"/>
    <n v="1.5899999999999999"/>
    <n v="0.6"/>
    <m/>
    <m/>
    <m/>
    <m/>
    <m/>
    <m/>
    <n v="0.49"/>
    <m/>
    <n v="0.5"/>
    <m/>
    <m/>
    <m/>
    <m/>
    <m/>
    <m/>
    <m/>
    <m/>
    <m/>
    <m/>
    <m/>
    <m/>
    <m/>
    <m/>
    <m/>
    <m/>
    <m/>
    <m/>
    <m/>
    <m/>
    <m/>
    <m/>
    <m/>
    <m/>
    <s v="0.00%"/>
    <s v="0.00%"/>
    <s v="0.00%"/>
    <s v="0.00%"/>
    <m/>
    <m/>
    <m/>
    <m/>
    <m/>
    <m/>
    <m/>
    <s v="0.00%"/>
    <s v="0.00%"/>
    <s v="0.00%"/>
    <s v="0.00%"/>
    <m/>
    <m/>
    <m/>
    <m/>
    <m/>
    <m/>
    <m/>
    <m/>
    <m/>
    <m/>
    <m/>
    <m/>
    <m/>
    <m/>
    <m/>
    <m/>
    <m/>
    <s v="Mike Teixeira"/>
    <m/>
    <s v="01/02/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1/13/2023"/>
    <x v="17"/>
    <n v="5375602"/>
    <s v="Click Here To View"/>
    <s v="Construction"/>
    <n v="1.7100000000000002"/>
    <s v="30.99%"/>
    <s v="0.00%"/>
    <s v="30.99%"/>
    <s v="69.01%"/>
    <m/>
    <n v="0.53"/>
    <n v="1.1800000000000002"/>
    <n v="1.7100000000000002"/>
    <n v="0.65"/>
    <m/>
    <m/>
    <m/>
    <m/>
    <m/>
    <m/>
    <n v="0.53"/>
    <m/>
    <n v="0.53"/>
    <m/>
    <m/>
    <m/>
    <m/>
    <m/>
    <m/>
    <m/>
    <m/>
    <m/>
    <m/>
    <m/>
    <m/>
    <m/>
    <m/>
    <m/>
    <m/>
    <m/>
    <m/>
    <m/>
    <m/>
    <m/>
    <m/>
    <m/>
    <m/>
    <s v="0.00%"/>
    <s v="0.00%"/>
    <s v="0.00%"/>
    <s v="0.00%"/>
    <m/>
    <m/>
    <m/>
    <m/>
    <m/>
    <m/>
    <m/>
    <s v="0.00%"/>
    <s v="0.00%"/>
    <s v="0.00%"/>
    <s v="0.00%"/>
    <m/>
    <m/>
    <m/>
    <m/>
    <m/>
    <m/>
    <m/>
    <m/>
    <m/>
    <m/>
    <m/>
    <m/>
    <m/>
    <m/>
    <m/>
    <m/>
    <m/>
    <s v="Mike Teixeira"/>
    <m/>
    <s v="01/02/2024"/>
    <s v="Mike Teixeira"/>
    <m/>
    <m/>
  </r>
  <r>
    <s v="Oakland/San Francisco/San Jose"/>
    <s v="UCB Gateway"/>
    <n v="210784"/>
    <m/>
    <s v="Higher Education | Laboratory / Research | 005 | 004"/>
    <n v="368"/>
    <s v="Garden of Eden Landscapes, Inc."/>
    <s v="Silvia Teixeria"/>
    <s v="Zanker Processing Facility"/>
    <s v="675 Los Esteros Road, San Jose, CA 95134"/>
    <m/>
    <s v="11/17/2023"/>
    <x v="17"/>
    <n v="20885342"/>
    <s v="Click Here To View"/>
    <s v="Construction"/>
    <n v="3.37"/>
    <s v="30.86%"/>
    <s v="0.00%"/>
    <s v="30.86%"/>
    <s v="69.14%"/>
    <m/>
    <n v="1.04"/>
    <n v="2.33"/>
    <n v="3.37"/>
    <n v="1.28"/>
    <m/>
    <m/>
    <m/>
    <m/>
    <m/>
    <m/>
    <n v="1.04"/>
    <m/>
    <n v="1.05"/>
    <m/>
    <m/>
    <m/>
    <m/>
    <m/>
    <m/>
    <m/>
    <m/>
    <m/>
    <m/>
    <m/>
    <m/>
    <m/>
    <m/>
    <m/>
    <m/>
    <m/>
    <m/>
    <m/>
    <m/>
    <m/>
    <m/>
    <m/>
    <m/>
    <s v="0.00%"/>
    <s v="0.00%"/>
    <s v="0.00%"/>
    <s v="0.00%"/>
    <m/>
    <m/>
    <m/>
    <m/>
    <m/>
    <m/>
    <m/>
    <s v="0.00%"/>
    <s v="0.00%"/>
    <s v="0.00%"/>
    <s v="0.00%"/>
    <m/>
    <m/>
    <m/>
    <m/>
    <m/>
    <m/>
    <m/>
    <m/>
    <m/>
    <m/>
    <m/>
    <m/>
    <m/>
    <m/>
    <m/>
    <m/>
    <m/>
    <s v="Mike Teixeira"/>
    <m/>
    <s v="01/02/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1/17/2023"/>
    <x v="17"/>
    <n v="5378512"/>
    <s v="Click Here To View"/>
    <s v="Construction"/>
    <n v="1.43"/>
    <s v="30.77%"/>
    <s v="0.00%"/>
    <s v="30.77%"/>
    <s v="69.23%"/>
    <m/>
    <n v="0.44"/>
    <n v="0.99"/>
    <n v="1.43"/>
    <n v="0.54"/>
    <m/>
    <m/>
    <m/>
    <m/>
    <m/>
    <m/>
    <n v="0.44"/>
    <m/>
    <n v="0.45"/>
    <m/>
    <m/>
    <m/>
    <m/>
    <m/>
    <m/>
    <m/>
    <m/>
    <m/>
    <m/>
    <m/>
    <m/>
    <m/>
    <m/>
    <m/>
    <m/>
    <m/>
    <m/>
    <m/>
    <m/>
    <m/>
    <m/>
    <m/>
    <m/>
    <s v="0.00%"/>
    <s v="0.00%"/>
    <s v="0.00%"/>
    <s v="0.00%"/>
    <m/>
    <m/>
    <m/>
    <m/>
    <m/>
    <m/>
    <m/>
    <s v="0.00%"/>
    <s v="0.00%"/>
    <s v="0.00%"/>
    <s v="0.00%"/>
    <m/>
    <m/>
    <m/>
    <m/>
    <m/>
    <m/>
    <m/>
    <m/>
    <m/>
    <m/>
    <m/>
    <m/>
    <m/>
    <m/>
    <m/>
    <m/>
    <m/>
    <s v="Mike Teixeira"/>
    <m/>
    <s v="01/02/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1/29/2023"/>
    <x v="17"/>
    <n v="5385024"/>
    <s v="Click Here To View"/>
    <s v="Construction"/>
    <n v="2.2799999999999998"/>
    <s v="30.70%"/>
    <s v="0.00%"/>
    <s v="30.70%"/>
    <s v="69.30%"/>
    <m/>
    <n v="0.7"/>
    <n v="1.58"/>
    <n v="2.2799999999999998"/>
    <n v="0.87"/>
    <m/>
    <m/>
    <m/>
    <m/>
    <m/>
    <m/>
    <n v="0.7"/>
    <m/>
    <n v="0.71"/>
    <m/>
    <m/>
    <m/>
    <m/>
    <m/>
    <m/>
    <m/>
    <m/>
    <m/>
    <m/>
    <m/>
    <m/>
    <m/>
    <m/>
    <m/>
    <m/>
    <m/>
    <m/>
    <m/>
    <m/>
    <m/>
    <m/>
    <m/>
    <m/>
    <s v="0.00%"/>
    <s v="0.00%"/>
    <s v="0.00%"/>
    <s v="0.00%"/>
    <m/>
    <m/>
    <m/>
    <m/>
    <m/>
    <m/>
    <m/>
    <s v="0.00%"/>
    <s v="0.00%"/>
    <s v="0.00%"/>
    <s v="0.00%"/>
    <m/>
    <m/>
    <m/>
    <m/>
    <m/>
    <m/>
    <m/>
    <m/>
    <m/>
    <m/>
    <m/>
    <m/>
    <m/>
    <m/>
    <m/>
    <m/>
    <m/>
    <s v="Mike Teixeira"/>
    <m/>
    <s v="01/02/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1/29/2023"/>
    <x v="17"/>
    <n v="5385401"/>
    <s v="Click Here To View"/>
    <s v="Construction"/>
    <n v="3.6100000000000003"/>
    <s v="30.75%"/>
    <s v="0.00%"/>
    <s v="30.75%"/>
    <s v="69.25%"/>
    <m/>
    <n v="1.1100000000000001"/>
    <n v="2.5"/>
    <n v="3.6100000000000003"/>
    <n v="1.38"/>
    <m/>
    <m/>
    <m/>
    <m/>
    <m/>
    <m/>
    <n v="1.1100000000000001"/>
    <m/>
    <n v="1.1200000000000001"/>
    <m/>
    <m/>
    <m/>
    <m/>
    <m/>
    <m/>
    <m/>
    <m/>
    <m/>
    <m/>
    <m/>
    <m/>
    <m/>
    <m/>
    <m/>
    <m/>
    <m/>
    <m/>
    <m/>
    <m/>
    <m/>
    <m/>
    <m/>
    <m/>
    <s v="0.00%"/>
    <s v="0.00%"/>
    <s v="0.00%"/>
    <s v="0.00%"/>
    <m/>
    <m/>
    <m/>
    <m/>
    <m/>
    <m/>
    <m/>
    <s v="0.00%"/>
    <s v="0.00%"/>
    <s v="0.00%"/>
    <s v="0.00%"/>
    <m/>
    <m/>
    <m/>
    <m/>
    <m/>
    <m/>
    <m/>
    <m/>
    <m/>
    <m/>
    <m/>
    <m/>
    <m/>
    <m/>
    <m/>
    <m/>
    <m/>
    <s v="Mike Teixeira"/>
    <m/>
    <s v="01/02/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2/28/2023"/>
    <x v="18"/>
    <n v="5403953"/>
    <s v="Click Here To View"/>
    <s v="Construction"/>
    <n v="1.8199999999999998"/>
    <s v="30.77%"/>
    <s v="0.00%"/>
    <s v="30.77%"/>
    <s v="69.23%"/>
    <m/>
    <n v="0.56000000000000005"/>
    <n v="1.2599999999999998"/>
    <n v="1.8199999999999998"/>
    <n v="0.69"/>
    <m/>
    <m/>
    <m/>
    <m/>
    <m/>
    <m/>
    <n v="0.56000000000000005"/>
    <m/>
    <n v="0.56999999999999995"/>
    <m/>
    <m/>
    <m/>
    <m/>
    <m/>
    <m/>
    <m/>
    <m/>
    <m/>
    <m/>
    <m/>
    <m/>
    <m/>
    <m/>
    <m/>
    <m/>
    <m/>
    <m/>
    <m/>
    <m/>
    <m/>
    <m/>
    <m/>
    <m/>
    <s v="0.00%"/>
    <s v="0.00%"/>
    <s v="0.00%"/>
    <s v="0.00%"/>
    <m/>
    <m/>
    <m/>
    <m/>
    <m/>
    <m/>
    <m/>
    <s v="0.00%"/>
    <s v="0.00%"/>
    <s v="0.00%"/>
    <s v="0.00%"/>
    <m/>
    <m/>
    <m/>
    <m/>
    <m/>
    <m/>
    <m/>
    <m/>
    <m/>
    <m/>
    <m/>
    <m/>
    <m/>
    <m/>
    <m/>
    <m/>
    <m/>
    <s v="Mike Teixeira"/>
    <m/>
    <s v="01/02/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2/18/2023"/>
    <x v="18"/>
    <n v="5397028"/>
    <s v="Click Here To View"/>
    <s v="Construction"/>
    <n v="2.9200000000000004"/>
    <s v="30.82%"/>
    <s v="0.00%"/>
    <s v="30.82%"/>
    <s v="69.18%"/>
    <m/>
    <n v="0.9"/>
    <n v="2.02"/>
    <n v="2.9200000000000004"/>
    <n v="1.1100000000000001"/>
    <m/>
    <m/>
    <m/>
    <m/>
    <m/>
    <m/>
    <n v="0.9"/>
    <m/>
    <n v="0.91"/>
    <m/>
    <m/>
    <m/>
    <m/>
    <m/>
    <m/>
    <m/>
    <m/>
    <m/>
    <m/>
    <m/>
    <m/>
    <m/>
    <m/>
    <m/>
    <m/>
    <m/>
    <m/>
    <m/>
    <m/>
    <m/>
    <m/>
    <m/>
    <m/>
    <s v="0.00%"/>
    <s v="0.00%"/>
    <s v="0.00%"/>
    <s v="0.00%"/>
    <m/>
    <m/>
    <m/>
    <m/>
    <m/>
    <m/>
    <m/>
    <s v="0.00%"/>
    <s v="0.00%"/>
    <s v="0.00%"/>
    <s v="0.00%"/>
    <m/>
    <m/>
    <m/>
    <m/>
    <m/>
    <m/>
    <m/>
    <m/>
    <m/>
    <m/>
    <m/>
    <m/>
    <m/>
    <m/>
    <m/>
    <m/>
    <m/>
    <s v="Mike Teixeira"/>
    <m/>
    <s v="01/02/2024"/>
    <s v="Mike Teixeira"/>
    <m/>
    <m/>
  </r>
  <r>
    <s v="Oakland/San Francisco/San Jose"/>
    <s v="UCB Gateway"/>
    <n v="210784"/>
    <m/>
    <s v="Higher Education | Laboratory / Research | 005 | 004"/>
    <n v="368"/>
    <s v="Garden of Eden Landscapes, Inc."/>
    <s v="Silvia Teixeria"/>
    <s v="SFR Recovery Inc."/>
    <s v="2401 Ingalls St., San Francisco, CA 94124, San Francisco, CA 94124"/>
    <m/>
    <s v="01/05/2024"/>
    <x v="19"/>
    <n v="98576"/>
    <s v="Click Here To View"/>
    <s v="Construction"/>
    <n v="6.06"/>
    <s v="100.00%"/>
    <s v="0.00%"/>
    <s v="100.00%"/>
    <s v="0.00%"/>
    <m/>
    <n v="6.06"/>
    <m/>
    <n v="6.06"/>
    <m/>
    <m/>
    <m/>
    <m/>
    <m/>
    <m/>
    <m/>
    <n v="0.60599999999999998"/>
    <m/>
    <m/>
    <m/>
    <m/>
    <m/>
    <m/>
    <m/>
    <m/>
    <m/>
    <m/>
    <m/>
    <m/>
    <m/>
    <m/>
    <m/>
    <m/>
    <m/>
    <m/>
    <m/>
    <m/>
    <m/>
    <m/>
    <m/>
    <n v="5.4539999999999997"/>
    <m/>
    <m/>
    <s v="0.00%"/>
    <s v="0.00%"/>
    <s v="0.00%"/>
    <s v="0.00%"/>
    <m/>
    <m/>
    <m/>
    <m/>
    <m/>
    <m/>
    <m/>
    <s v="0.00%"/>
    <s v="0.00%"/>
    <s v="0.00%"/>
    <s v="0.00%"/>
    <m/>
    <m/>
    <m/>
    <m/>
    <m/>
    <m/>
    <m/>
    <m/>
    <m/>
    <m/>
    <m/>
    <m/>
    <m/>
    <m/>
    <m/>
    <m/>
    <m/>
    <s v="Mike Teixeira"/>
    <m/>
    <s v="01/26/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1/05/2024"/>
    <x v="19"/>
    <n v="5409006"/>
    <s v="Click Here To View"/>
    <s v="Construction"/>
    <n v="2.36"/>
    <s v="30.93%"/>
    <s v="0.00%"/>
    <s v="30.93%"/>
    <s v="69.07%"/>
    <m/>
    <n v="0.73"/>
    <n v="1.63"/>
    <n v="2.36"/>
    <n v="0.9"/>
    <m/>
    <m/>
    <m/>
    <m/>
    <m/>
    <m/>
    <n v="0.73"/>
    <m/>
    <n v="0.73"/>
    <m/>
    <m/>
    <m/>
    <m/>
    <m/>
    <m/>
    <m/>
    <m/>
    <m/>
    <m/>
    <m/>
    <m/>
    <m/>
    <m/>
    <m/>
    <m/>
    <m/>
    <m/>
    <m/>
    <m/>
    <m/>
    <m/>
    <m/>
    <m/>
    <s v="0.00%"/>
    <s v="0.00%"/>
    <s v="0.00%"/>
    <s v="0.00%"/>
    <m/>
    <m/>
    <m/>
    <m/>
    <m/>
    <m/>
    <m/>
    <s v="0.00%"/>
    <s v="0.00%"/>
    <s v="0.00%"/>
    <s v="0.00%"/>
    <m/>
    <m/>
    <m/>
    <m/>
    <m/>
    <m/>
    <m/>
    <m/>
    <m/>
    <m/>
    <m/>
    <m/>
    <m/>
    <m/>
    <m/>
    <m/>
    <m/>
    <s v="Mike Teixeira"/>
    <m/>
    <s v="01/26/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1/16/2024"/>
    <x v="19"/>
    <n v="5415494"/>
    <s v="Click Here To View"/>
    <s v="Construction"/>
    <n v="3.05"/>
    <s v="30.82%"/>
    <s v="0.00%"/>
    <s v="30.82%"/>
    <s v="69.18%"/>
    <m/>
    <n v="0.94"/>
    <n v="2.11"/>
    <n v="3.05"/>
    <n v="1.1599999999999999"/>
    <m/>
    <m/>
    <m/>
    <m/>
    <m/>
    <m/>
    <n v="0.94"/>
    <m/>
    <n v="0.95"/>
    <m/>
    <m/>
    <m/>
    <m/>
    <m/>
    <m/>
    <m/>
    <m/>
    <m/>
    <m/>
    <m/>
    <m/>
    <m/>
    <m/>
    <m/>
    <m/>
    <m/>
    <m/>
    <m/>
    <m/>
    <m/>
    <m/>
    <m/>
    <m/>
    <s v="0.00%"/>
    <s v="0.00%"/>
    <s v="0.00%"/>
    <s v="0.00%"/>
    <m/>
    <m/>
    <m/>
    <m/>
    <m/>
    <m/>
    <m/>
    <s v="0.00%"/>
    <s v="0.00%"/>
    <s v="0.00%"/>
    <s v="0.00%"/>
    <m/>
    <m/>
    <m/>
    <m/>
    <m/>
    <m/>
    <m/>
    <m/>
    <m/>
    <m/>
    <m/>
    <m/>
    <m/>
    <m/>
    <m/>
    <m/>
    <m/>
    <s v="Mike Teixeira"/>
    <m/>
    <s v="01/26/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1/22/2024"/>
    <x v="19"/>
    <n v="5418288"/>
    <s v="Click Here To View"/>
    <s v="Construction"/>
    <n v="3.09"/>
    <s v="30.74%"/>
    <s v="0.00%"/>
    <s v="30.74%"/>
    <s v="69.26%"/>
    <m/>
    <n v="0.95"/>
    <n v="2.1399999999999997"/>
    <n v="3.09"/>
    <n v="1.18"/>
    <m/>
    <m/>
    <m/>
    <m/>
    <m/>
    <m/>
    <n v="0.95"/>
    <m/>
    <n v="0.96"/>
    <m/>
    <m/>
    <m/>
    <m/>
    <m/>
    <m/>
    <m/>
    <m/>
    <m/>
    <m/>
    <m/>
    <m/>
    <m/>
    <m/>
    <m/>
    <m/>
    <m/>
    <m/>
    <m/>
    <m/>
    <m/>
    <m/>
    <m/>
    <m/>
    <s v="0.00%"/>
    <s v="0.00%"/>
    <s v="0.00%"/>
    <s v="0.00%"/>
    <m/>
    <m/>
    <m/>
    <m/>
    <m/>
    <m/>
    <m/>
    <s v="0.00%"/>
    <s v="0.00%"/>
    <s v="0.00%"/>
    <s v="0.00%"/>
    <m/>
    <m/>
    <m/>
    <m/>
    <m/>
    <m/>
    <m/>
    <m/>
    <m/>
    <m/>
    <m/>
    <m/>
    <m/>
    <m/>
    <m/>
    <m/>
    <m/>
    <s v="Mike Teixeira"/>
    <m/>
    <s v="01/26/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1/29/2024"/>
    <x v="19"/>
    <n v="5422927"/>
    <s v="Click Here To View"/>
    <s v="Construction"/>
    <n v="3.2800000000000002"/>
    <s v="100.00%"/>
    <s v="0.00%"/>
    <s v="100.00%"/>
    <s v="0.00%"/>
    <m/>
    <n v="3.2800000000000002"/>
    <m/>
    <n v="3.2800000000000002"/>
    <m/>
    <m/>
    <m/>
    <m/>
    <m/>
    <m/>
    <m/>
    <n v="2.3416000000000001"/>
    <m/>
    <m/>
    <m/>
    <m/>
    <m/>
    <m/>
    <m/>
    <m/>
    <m/>
    <m/>
    <m/>
    <m/>
    <m/>
    <m/>
    <m/>
    <m/>
    <m/>
    <n v="0.93840000000000001"/>
    <m/>
    <m/>
    <m/>
    <m/>
    <m/>
    <m/>
    <m/>
    <m/>
    <s v="0.00%"/>
    <s v="0.00%"/>
    <s v="0.00%"/>
    <s v="0.00%"/>
    <m/>
    <m/>
    <m/>
    <m/>
    <m/>
    <m/>
    <m/>
    <s v="0.00%"/>
    <s v="0.00%"/>
    <s v="0.00%"/>
    <s v="0.00%"/>
    <m/>
    <m/>
    <m/>
    <m/>
    <m/>
    <m/>
    <m/>
    <m/>
    <m/>
    <m/>
    <m/>
    <m/>
    <m/>
    <m/>
    <m/>
    <m/>
    <m/>
    <s v="Mike Teixeira"/>
    <m/>
    <s v="02/19/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2/02/2024"/>
    <x v="6"/>
    <n v="5426317"/>
    <s v="Click Here To View"/>
    <s v="Construction"/>
    <n v="2.14"/>
    <s v="30.84%"/>
    <s v="0.00%"/>
    <s v="30.84%"/>
    <s v="69.16%"/>
    <m/>
    <n v="0.66"/>
    <n v="1.48"/>
    <n v="2.14"/>
    <n v="0.81"/>
    <m/>
    <m/>
    <m/>
    <m/>
    <m/>
    <m/>
    <n v="0.66"/>
    <m/>
    <n v="0.67"/>
    <m/>
    <m/>
    <m/>
    <m/>
    <m/>
    <m/>
    <m/>
    <m/>
    <m/>
    <m/>
    <m/>
    <m/>
    <m/>
    <m/>
    <m/>
    <m/>
    <m/>
    <m/>
    <m/>
    <m/>
    <m/>
    <m/>
    <m/>
    <m/>
    <s v="0.00%"/>
    <s v="0.00%"/>
    <s v="0.00%"/>
    <s v="0.00%"/>
    <m/>
    <m/>
    <m/>
    <m/>
    <m/>
    <m/>
    <m/>
    <s v="0.00%"/>
    <s v="0.00%"/>
    <s v="0.00%"/>
    <s v="0.00%"/>
    <m/>
    <m/>
    <m/>
    <m/>
    <m/>
    <m/>
    <m/>
    <m/>
    <m/>
    <m/>
    <m/>
    <m/>
    <m/>
    <m/>
    <m/>
    <m/>
    <m/>
    <s v="Mike Teixeira"/>
    <m/>
    <s v="02/19/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2/09/2024"/>
    <x v="6"/>
    <n v="5430795"/>
    <s v="Click Here To View"/>
    <s v="Construction"/>
    <n v="3.03"/>
    <s v="30.69%"/>
    <s v="0.00%"/>
    <s v="30.69%"/>
    <s v="69.31%"/>
    <m/>
    <n v="0.93"/>
    <n v="2.0999999999999996"/>
    <n v="3.03"/>
    <n v="1.1599999999999999"/>
    <m/>
    <m/>
    <m/>
    <m/>
    <m/>
    <m/>
    <n v="0.93"/>
    <m/>
    <n v="0.94"/>
    <m/>
    <m/>
    <m/>
    <m/>
    <m/>
    <m/>
    <m/>
    <m/>
    <m/>
    <m/>
    <m/>
    <m/>
    <m/>
    <m/>
    <m/>
    <m/>
    <m/>
    <m/>
    <m/>
    <m/>
    <m/>
    <m/>
    <m/>
    <m/>
    <s v="0.00%"/>
    <s v="0.00%"/>
    <s v="0.00%"/>
    <s v="0.00%"/>
    <m/>
    <m/>
    <m/>
    <m/>
    <m/>
    <m/>
    <m/>
    <s v="0.00%"/>
    <s v="0.00%"/>
    <s v="0.00%"/>
    <s v="0.00%"/>
    <m/>
    <m/>
    <m/>
    <m/>
    <m/>
    <m/>
    <m/>
    <m/>
    <m/>
    <m/>
    <m/>
    <m/>
    <m/>
    <m/>
    <m/>
    <m/>
    <m/>
    <s v="Mike Teixeira"/>
    <m/>
    <s v="02/19/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2/05/2024"/>
    <x v="6"/>
    <n v="5427316"/>
    <s v="Click Here To View"/>
    <s v="Construction"/>
    <n v="3.81"/>
    <s v="30.71%"/>
    <s v="0.00%"/>
    <s v="30.71%"/>
    <s v="69.29%"/>
    <m/>
    <n v="1.17"/>
    <n v="2.6399999999999997"/>
    <n v="3.81"/>
    <n v="1.45"/>
    <m/>
    <m/>
    <m/>
    <m/>
    <m/>
    <m/>
    <n v="1.17"/>
    <m/>
    <n v="1.19"/>
    <m/>
    <m/>
    <m/>
    <m/>
    <m/>
    <m/>
    <m/>
    <m/>
    <m/>
    <m/>
    <m/>
    <m/>
    <m/>
    <m/>
    <m/>
    <m/>
    <m/>
    <m/>
    <m/>
    <m/>
    <m/>
    <m/>
    <m/>
    <m/>
    <s v="0.00%"/>
    <s v="0.00%"/>
    <s v="0.00%"/>
    <s v="0.00%"/>
    <m/>
    <m/>
    <m/>
    <m/>
    <m/>
    <m/>
    <m/>
    <s v="0.00%"/>
    <s v="0.00%"/>
    <s v="0.00%"/>
    <s v="0.00%"/>
    <m/>
    <m/>
    <m/>
    <m/>
    <m/>
    <m/>
    <m/>
    <m/>
    <m/>
    <m/>
    <m/>
    <m/>
    <m/>
    <m/>
    <m/>
    <m/>
    <m/>
    <s v="Mike Teixeira"/>
    <m/>
    <s v="02/19/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2/22/2024"/>
    <x v="6"/>
    <n v="5438121"/>
    <s v="Click Here To View"/>
    <s v="Construction"/>
    <n v="2.2799999999999998"/>
    <s v="30.70%"/>
    <s v="0.00%"/>
    <s v="30.70%"/>
    <s v="69.30%"/>
    <m/>
    <n v="0.7"/>
    <n v="1.58"/>
    <n v="2.2799999999999998"/>
    <n v="0.87"/>
    <m/>
    <m/>
    <m/>
    <m/>
    <m/>
    <m/>
    <n v="0.7"/>
    <m/>
    <n v="0.71"/>
    <m/>
    <m/>
    <m/>
    <m/>
    <m/>
    <m/>
    <m/>
    <m/>
    <m/>
    <m/>
    <m/>
    <m/>
    <m/>
    <m/>
    <m/>
    <m/>
    <m/>
    <m/>
    <m/>
    <m/>
    <m/>
    <m/>
    <m/>
    <m/>
    <s v="0.00%"/>
    <s v="0.00%"/>
    <s v="0.00%"/>
    <s v="0.00%"/>
    <m/>
    <m/>
    <m/>
    <m/>
    <m/>
    <m/>
    <m/>
    <s v="0.00%"/>
    <s v="0.00%"/>
    <s v="0.00%"/>
    <s v="0.00%"/>
    <m/>
    <m/>
    <m/>
    <m/>
    <m/>
    <m/>
    <m/>
    <m/>
    <m/>
    <m/>
    <m/>
    <m/>
    <m/>
    <m/>
    <m/>
    <m/>
    <m/>
    <s v="Mike Teixeira"/>
    <m/>
    <s v="03/18/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2/27/2024"/>
    <x v="6"/>
    <n v="5441142"/>
    <s v="Click Here To View"/>
    <s v="Construction"/>
    <n v="5.03"/>
    <s v="30.82%"/>
    <s v="0.00%"/>
    <s v="30.82%"/>
    <s v="69.18%"/>
    <m/>
    <n v="1.55"/>
    <n v="3.48"/>
    <n v="5.03"/>
    <n v="1.91"/>
    <m/>
    <m/>
    <m/>
    <m/>
    <m/>
    <m/>
    <n v="1.55"/>
    <m/>
    <n v="1.57"/>
    <m/>
    <m/>
    <m/>
    <m/>
    <m/>
    <m/>
    <m/>
    <m/>
    <m/>
    <m/>
    <m/>
    <m/>
    <m/>
    <m/>
    <m/>
    <m/>
    <m/>
    <m/>
    <m/>
    <m/>
    <m/>
    <m/>
    <m/>
    <m/>
    <s v="0.00%"/>
    <s v="0.00%"/>
    <s v="0.00%"/>
    <s v="0.00%"/>
    <m/>
    <m/>
    <m/>
    <m/>
    <m/>
    <m/>
    <m/>
    <s v="0.00%"/>
    <s v="0.00%"/>
    <s v="0.00%"/>
    <s v="0.00%"/>
    <m/>
    <m/>
    <m/>
    <m/>
    <m/>
    <m/>
    <m/>
    <m/>
    <m/>
    <m/>
    <m/>
    <m/>
    <m/>
    <m/>
    <m/>
    <m/>
    <m/>
    <s v="Mike Teixeira"/>
    <m/>
    <s v="03/18/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3/01/2024"/>
    <x v="5"/>
    <n v="5443827"/>
    <s v="Click Here To View"/>
    <s v="Construction"/>
    <n v="2.5"/>
    <s v="30.80%"/>
    <s v="0.00%"/>
    <s v="30.80%"/>
    <s v="69.20%"/>
    <m/>
    <n v="0.77"/>
    <n v="1.73"/>
    <n v="2.5"/>
    <n v="0.95"/>
    <m/>
    <m/>
    <m/>
    <m/>
    <m/>
    <m/>
    <n v="0.77"/>
    <m/>
    <n v="0.78"/>
    <m/>
    <m/>
    <m/>
    <m/>
    <m/>
    <m/>
    <m/>
    <m/>
    <m/>
    <m/>
    <m/>
    <m/>
    <m/>
    <m/>
    <m/>
    <m/>
    <m/>
    <m/>
    <m/>
    <m/>
    <m/>
    <m/>
    <m/>
    <m/>
    <s v="0.00%"/>
    <s v="0.00%"/>
    <s v="0.00%"/>
    <s v="0.00%"/>
    <m/>
    <m/>
    <m/>
    <m/>
    <m/>
    <m/>
    <m/>
    <s v="0.00%"/>
    <s v="0.00%"/>
    <s v="0.00%"/>
    <s v="0.00%"/>
    <m/>
    <m/>
    <m/>
    <m/>
    <m/>
    <m/>
    <m/>
    <m/>
    <m/>
    <m/>
    <m/>
    <m/>
    <m/>
    <m/>
    <m/>
    <m/>
    <m/>
    <s v="Mike Teixeira"/>
    <m/>
    <s v="03/18/2024"/>
    <s v="Mike Teixeira"/>
    <m/>
    <m/>
  </r>
  <r>
    <s v="Oakland/San Francisco/San Jose"/>
    <s v="UCB Gateway"/>
    <n v="210784"/>
    <m/>
    <s v="Higher Education | Laboratory / Research | 005 | 004"/>
    <n v="368"/>
    <s v="Garden of Eden Landscapes, Inc."/>
    <s v="Silvia Teixeria"/>
    <s v="Certified Blue Recycling "/>
    <s v="2075 Williams St, San Leandro, CA 94577"/>
    <m/>
    <s v="03/07/2024"/>
    <x v="5"/>
    <n v="88"/>
    <s v="Click Here To View"/>
    <s v="Construction"/>
    <n v="2.82"/>
    <s v="30.85%"/>
    <s v="0.00%"/>
    <s v="30.85%"/>
    <s v="69.15%"/>
    <m/>
    <n v="0.87"/>
    <n v="1.9500000000000002"/>
    <n v="2.82"/>
    <n v="1.07"/>
    <m/>
    <m/>
    <m/>
    <m/>
    <m/>
    <m/>
    <n v="0.87"/>
    <m/>
    <n v="0.88"/>
    <m/>
    <m/>
    <m/>
    <m/>
    <m/>
    <m/>
    <m/>
    <m/>
    <m/>
    <m/>
    <m/>
    <m/>
    <m/>
    <m/>
    <m/>
    <m/>
    <m/>
    <m/>
    <m/>
    <m/>
    <m/>
    <m/>
    <m/>
    <m/>
    <s v="0.00%"/>
    <s v="0.00%"/>
    <s v="0.00%"/>
    <s v="0.00%"/>
    <m/>
    <m/>
    <m/>
    <m/>
    <m/>
    <m/>
    <m/>
    <s v="0.00%"/>
    <s v="0.00%"/>
    <s v="0.00%"/>
    <s v="0.00%"/>
    <m/>
    <m/>
    <m/>
    <m/>
    <m/>
    <m/>
    <m/>
    <m/>
    <m/>
    <m/>
    <m/>
    <m/>
    <m/>
    <m/>
    <m/>
    <m/>
    <m/>
    <s v="Mike Teixeira"/>
    <m/>
    <s v="03/18/2024"/>
    <s v="Mike Teixeira"/>
    <m/>
    <m/>
  </r>
  <r>
    <s v="Oakland/San Francisco/San Jose"/>
    <s v="UCB Gateway"/>
    <n v="210784"/>
    <m/>
    <s v="Higher Education | Laboratory / Research | 005 | 004"/>
    <n v="368"/>
    <s v="Garden of Eden Landscapes, Inc."/>
    <s v="Silvia Teixeria"/>
    <s v="SFR Recovery Inc."/>
    <s v="2401 Ingalls St., San Francisco, CA 94124, San Francisco, CA 94124"/>
    <m/>
    <s v="03/13/2024"/>
    <x v="5"/>
    <n v="101625"/>
    <s v="Click Here To View"/>
    <s v="Construction"/>
    <n v="2.7800000000000002"/>
    <s v="100.00%"/>
    <s v="0.00%"/>
    <s v="100.00%"/>
    <s v="0.00%"/>
    <m/>
    <n v="2.7800000000000002"/>
    <m/>
    <n v="2.7800000000000002"/>
    <m/>
    <m/>
    <m/>
    <m/>
    <m/>
    <m/>
    <n v="0.55600000000000005"/>
    <n v="0.83399999999999996"/>
    <m/>
    <m/>
    <m/>
    <m/>
    <m/>
    <m/>
    <m/>
    <m/>
    <m/>
    <m/>
    <m/>
    <m/>
    <m/>
    <m/>
    <m/>
    <m/>
    <m/>
    <m/>
    <m/>
    <m/>
    <m/>
    <m/>
    <m/>
    <n v="1.39"/>
    <m/>
    <m/>
    <s v="0.00%"/>
    <s v="0.00%"/>
    <s v="0.00%"/>
    <s v="0.00%"/>
    <m/>
    <m/>
    <m/>
    <m/>
    <m/>
    <m/>
    <m/>
    <s v="0.00%"/>
    <s v="0.00%"/>
    <s v="0.00%"/>
    <s v="0.00%"/>
    <m/>
    <m/>
    <m/>
    <m/>
    <m/>
    <m/>
    <m/>
    <m/>
    <m/>
    <m/>
    <m/>
    <m/>
    <m/>
    <m/>
    <m/>
    <m/>
    <m/>
    <s v="Mike Teixeira"/>
    <m/>
    <s v="03/18/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3/19/2024"/>
    <x v="5"/>
    <n v="5455133"/>
    <s v="Click Here To View"/>
    <s v="Construction"/>
    <n v="3.49"/>
    <s v="30.95%"/>
    <s v="0.00%"/>
    <s v="30.95%"/>
    <s v="69.05%"/>
    <m/>
    <n v="1.08"/>
    <n v="2.41"/>
    <n v="3.49"/>
    <n v="1.32"/>
    <m/>
    <m/>
    <m/>
    <m/>
    <m/>
    <m/>
    <n v="1.08"/>
    <m/>
    <n v="1.0900000000000001"/>
    <m/>
    <m/>
    <m/>
    <m/>
    <m/>
    <m/>
    <m/>
    <m/>
    <m/>
    <m/>
    <m/>
    <m/>
    <m/>
    <m/>
    <m/>
    <m/>
    <m/>
    <m/>
    <m/>
    <m/>
    <m/>
    <m/>
    <m/>
    <m/>
    <s v="0.00%"/>
    <s v="0.00%"/>
    <s v="0.00%"/>
    <s v="0.00%"/>
    <m/>
    <m/>
    <m/>
    <m/>
    <m/>
    <m/>
    <m/>
    <s v="0.00%"/>
    <s v="0.00%"/>
    <s v="0.00%"/>
    <s v="0.00%"/>
    <m/>
    <m/>
    <m/>
    <m/>
    <m/>
    <m/>
    <m/>
    <m/>
    <m/>
    <m/>
    <m/>
    <m/>
    <m/>
    <m/>
    <m/>
    <m/>
    <m/>
    <s v="Mike Teixeira"/>
    <m/>
    <s v="03/25/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3/25/2024"/>
    <x v="5"/>
    <n v="5458262"/>
    <s v="Click Here To View"/>
    <s v="Construction"/>
    <n v="2.59"/>
    <s v="30.89%"/>
    <s v="0.00%"/>
    <s v="30.89%"/>
    <s v="69.11%"/>
    <m/>
    <n v="0.8"/>
    <n v="1.79"/>
    <n v="2.59"/>
    <n v="0.98"/>
    <m/>
    <m/>
    <m/>
    <m/>
    <m/>
    <m/>
    <n v="0.8"/>
    <m/>
    <n v="0.81"/>
    <m/>
    <m/>
    <m/>
    <m/>
    <m/>
    <m/>
    <m/>
    <m/>
    <m/>
    <m/>
    <m/>
    <m/>
    <m/>
    <m/>
    <m/>
    <m/>
    <m/>
    <m/>
    <m/>
    <m/>
    <m/>
    <m/>
    <m/>
    <m/>
    <s v="0.00%"/>
    <s v="0.00%"/>
    <s v="0.00%"/>
    <s v="0.00%"/>
    <m/>
    <m/>
    <m/>
    <m/>
    <m/>
    <m/>
    <m/>
    <s v="0.00%"/>
    <s v="0.00%"/>
    <s v="0.00%"/>
    <s v="0.00%"/>
    <m/>
    <m/>
    <m/>
    <m/>
    <m/>
    <m/>
    <m/>
    <m/>
    <m/>
    <m/>
    <m/>
    <m/>
    <m/>
    <m/>
    <m/>
    <m/>
    <m/>
    <s v="Mike Teixeira"/>
    <m/>
    <s v="04/30/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3/26/2024"/>
    <x v="5"/>
    <n v="5459647"/>
    <s v="Click Here To View"/>
    <s v="Construction"/>
    <n v="4.12"/>
    <s v="30.83%"/>
    <s v="0.00%"/>
    <s v="30.83%"/>
    <s v="69.17%"/>
    <m/>
    <n v="1.27"/>
    <n v="2.85"/>
    <n v="4.12"/>
    <n v="1.57"/>
    <m/>
    <m/>
    <m/>
    <m/>
    <m/>
    <m/>
    <n v="1.27"/>
    <m/>
    <n v="1.28"/>
    <m/>
    <m/>
    <m/>
    <m/>
    <m/>
    <m/>
    <m/>
    <m/>
    <m/>
    <m/>
    <m/>
    <m/>
    <m/>
    <m/>
    <m/>
    <m/>
    <m/>
    <m/>
    <m/>
    <m/>
    <m/>
    <m/>
    <m/>
    <m/>
    <s v="0.00%"/>
    <s v="0.00%"/>
    <s v="0.00%"/>
    <s v="0.00%"/>
    <m/>
    <m/>
    <m/>
    <m/>
    <m/>
    <m/>
    <m/>
    <s v="0.00%"/>
    <s v="0.00%"/>
    <s v="0.00%"/>
    <s v="0.00%"/>
    <m/>
    <m/>
    <m/>
    <m/>
    <m/>
    <m/>
    <m/>
    <m/>
    <m/>
    <m/>
    <m/>
    <m/>
    <m/>
    <m/>
    <m/>
    <m/>
    <m/>
    <s v="Mike Teixeira"/>
    <m/>
    <s v="04/30/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3/29/2024"/>
    <x v="5"/>
    <n v="5462110"/>
    <s v="Click Here To View"/>
    <s v="Construction"/>
    <n v="2.8650000000000002"/>
    <s v="30.72%"/>
    <s v="0.00%"/>
    <s v="30.72%"/>
    <s v="69.28%"/>
    <m/>
    <n v="0.88"/>
    <n v="1.9849999999999999"/>
    <n v="2.8650000000000002"/>
    <n v="1.095"/>
    <m/>
    <m/>
    <m/>
    <m/>
    <m/>
    <m/>
    <n v="0.88"/>
    <m/>
    <n v="0.89"/>
    <m/>
    <m/>
    <m/>
    <m/>
    <m/>
    <m/>
    <m/>
    <m/>
    <m/>
    <m/>
    <m/>
    <m/>
    <m/>
    <m/>
    <m/>
    <m/>
    <m/>
    <m/>
    <m/>
    <m/>
    <m/>
    <m/>
    <m/>
    <m/>
    <s v="0.00%"/>
    <s v="0.00%"/>
    <s v="0.00%"/>
    <s v="0.00%"/>
    <m/>
    <m/>
    <m/>
    <m/>
    <m/>
    <m/>
    <m/>
    <s v="0.00%"/>
    <s v="0.00%"/>
    <s v="0.00%"/>
    <s v="0.00%"/>
    <m/>
    <m/>
    <m/>
    <m/>
    <m/>
    <m/>
    <m/>
    <m/>
    <m/>
    <m/>
    <m/>
    <m/>
    <m/>
    <m/>
    <m/>
    <m/>
    <m/>
    <s v="Mike Teixeira"/>
    <m/>
    <s v="04/30/2024"/>
    <s v="Mike Teixeira"/>
    <m/>
    <m/>
  </r>
  <r>
    <s v="Oakland/San Francisco/San Jose"/>
    <s v="UCB Gateway"/>
    <n v="210784"/>
    <m/>
    <s v="Higher Education | Laboratory / Research | 005 | 004"/>
    <n v="368"/>
    <s v="Garden of Eden Landscapes, Inc."/>
    <s v="Silvia Teixeria"/>
    <s v="SFR Recovery Inc."/>
    <s v="2401 Ingalls St., San Francisco, CA 94124, San Francisco, CA 94124"/>
    <m/>
    <s v="04/03/2024"/>
    <x v="38"/>
    <n v="102567"/>
    <s v="Click Here To View"/>
    <s v="Construction"/>
    <n v="2.79"/>
    <s v="30.82%"/>
    <s v="0.00%"/>
    <s v="30.82%"/>
    <s v="69.18%"/>
    <m/>
    <n v="0.86"/>
    <n v="1.9300000000000002"/>
    <n v="2.79"/>
    <n v="1.06"/>
    <m/>
    <m/>
    <m/>
    <m/>
    <m/>
    <m/>
    <n v="0.86"/>
    <m/>
    <n v="0.87"/>
    <m/>
    <m/>
    <m/>
    <m/>
    <m/>
    <m/>
    <m/>
    <m/>
    <m/>
    <m/>
    <m/>
    <m/>
    <m/>
    <m/>
    <m/>
    <m/>
    <m/>
    <m/>
    <m/>
    <m/>
    <m/>
    <m/>
    <m/>
    <m/>
    <s v="0.00%"/>
    <s v="0.00%"/>
    <s v="0.00%"/>
    <s v="0.00%"/>
    <m/>
    <m/>
    <m/>
    <m/>
    <m/>
    <m/>
    <m/>
    <s v="0.00%"/>
    <s v="0.00%"/>
    <s v="0.00%"/>
    <s v="0.00%"/>
    <m/>
    <m/>
    <m/>
    <m/>
    <m/>
    <m/>
    <m/>
    <m/>
    <m/>
    <m/>
    <m/>
    <m/>
    <m/>
    <m/>
    <m/>
    <m/>
    <m/>
    <s v="Mike Teixeira"/>
    <m/>
    <s v="04/30/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4/05/2024"/>
    <x v="38"/>
    <n v="5466161"/>
    <s v="Click Here To View"/>
    <s v="Construction"/>
    <n v="2.74"/>
    <s v="30.66%"/>
    <s v="0.00%"/>
    <s v="30.66%"/>
    <s v="69.34%"/>
    <m/>
    <n v="0.84"/>
    <n v="1.9"/>
    <n v="2.74"/>
    <n v="1.05"/>
    <m/>
    <m/>
    <m/>
    <m/>
    <m/>
    <m/>
    <n v="0.84"/>
    <m/>
    <n v="0.85"/>
    <m/>
    <m/>
    <m/>
    <m/>
    <m/>
    <m/>
    <m/>
    <m/>
    <m/>
    <m/>
    <m/>
    <m/>
    <m/>
    <m/>
    <m/>
    <m/>
    <m/>
    <m/>
    <m/>
    <m/>
    <m/>
    <m/>
    <m/>
    <m/>
    <s v="0.00%"/>
    <s v="0.00%"/>
    <s v="0.00%"/>
    <s v="0.00%"/>
    <m/>
    <m/>
    <m/>
    <m/>
    <m/>
    <m/>
    <m/>
    <s v="0.00%"/>
    <s v="0.00%"/>
    <s v="0.00%"/>
    <s v="0.00%"/>
    <m/>
    <m/>
    <m/>
    <m/>
    <m/>
    <m/>
    <m/>
    <m/>
    <m/>
    <m/>
    <m/>
    <m/>
    <m/>
    <m/>
    <m/>
    <m/>
    <m/>
    <s v="Mike Teixeira"/>
    <m/>
    <s v="04/30/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4/11/2024"/>
    <x v="38"/>
    <n v="5470365"/>
    <s v="Click Here To View"/>
    <s v="Construction"/>
    <n v="3.12"/>
    <s v="30.77%"/>
    <s v="0.00%"/>
    <s v="30.77%"/>
    <s v="69.23%"/>
    <m/>
    <n v="0.96"/>
    <n v="2.16"/>
    <n v="3.12"/>
    <n v="1.19"/>
    <m/>
    <m/>
    <m/>
    <m/>
    <m/>
    <m/>
    <n v="0.96"/>
    <m/>
    <n v="0.97"/>
    <m/>
    <m/>
    <m/>
    <m/>
    <m/>
    <m/>
    <m/>
    <m/>
    <m/>
    <m/>
    <m/>
    <m/>
    <m/>
    <m/>
    <m/>
    <m/>
    <m/>
    <m/>
    <m/>
    <m/>
    <m/>
    <m/>
    <m/>
    <m/>
    <s v="0.00%"/>
    <s v="0.00%"/>
    <s v="0.00%"/>
    <s v="0.00%"/>
    <m/>
    <m/>
    <m/>
    <m/>
    <m/>
    <m/>
    <m/>
    <s v="0.00%"/>
    <s v="0.00%"/>
    <s v="0.00%"/>
    <s v="0.00%"/>
    <m/>
    <m/>
    <m/>
    <m/>
    <m/>
    <m/>
    <m/>
    <m/>
    <m/>
    <m/>
    <m/>
    <m/>
    <m/>
    <m/>
    <m/>
    <m/>
    <m/>
    <s v="Mike Teixeira"/>
    <m/>
    <s v="04/30/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4/12/2024"/>
    <x v="38"/>
    <n v="5470983"/>
    <s v="Click Here To View"/>
    <s v="Construction"/>
    <n v="3.4400000000000004"/>
    <s v="30.81%"/>
    <s v="0.00%"/>
    <s v="30.81%"/>
    <s v="69.19%"/>
    <m/>
    <n v="1.06"/>
    <n v="2.38"/>
    <n v="3.4400000000000004"/>
    <n v="1.31"/>
    <m/>
    <m/>
    <m/>
    <m/>
    <m/>
    <m/>
    <n v="1.06"/>
    <m/>
    <n v="1.07"/>
    <m/>
    <m/>
    <m/>
    <m/>
    <m/>
    <m/>
    <m/>
    <m/>
    <m/>
    <m/>
    <m/>
    <m/>
    <m/>
    <m/>
    <m/>
    <m/>
    <m/>
    <m/>
    <m/>
    <m/>
    <m/>
    <m/>
    <m/>
    <m/>
    <s v="0.00%"/>
    <s v="0.00%"/>
    <s v="0.00%"/>
    <s v="0.00%"/>
    <m/>
    <m/>
    <m/>
    <m/>
    <m/>
    <m/>
    <m/>
    <s v="0.00%"/>
    <s v="0.00%"/>
    <s v="0.00%"/>
    <s v="0.00%"/>
    <m/>
    <m/>
    <m/>
    <m/>
    <m/>
    <m/>
    <m/>
    <m/>
    <m/>
    <m/>
    <m/>
    <m/>
    <m/>
    <m/>
    <m/>
    <m/>
    <m/>
    <s v="Mike Teixeira"/>
    <m/>
    <s v="04/30/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4/22/2024"/>
    <x v="38"/>
    <n v="5476990"/>
    <s v="Click Here To View"/>
    <s v="Construction"/>
    <n v="2.84"/>
    <s v="30.99%"/>
    <s v="0.00%"/>
    <s v="30.99%"/>
    <s v="69.01%"/>
    <m/>
    <n v="0.88"/>
    <n v="1.96"/>
    <n v="2.84"/>
    <n v="1.08"/>
    <m/>
    <m/>
    <m/>
    <m/>
    <m/>
    <m/>
    <n v="0.88"/>
    <m/>
    <n v="0.88"/>
    <m/>
    <m/>
    <m/>
    <m/>
    <m/>
    <m/>
    <m/>
    <m/>
    <m/>
    <m/>
    <m/>
    <m/>
    <m/>
    <m/>
    <m/>
    <m/>
    <m/>
    <m/>
    <m/>
    <m/>
    <m/>
    <m/>
    <m/>
    <m/>
    <s v="0.00%"/>
    <s v="0.00%"/>
    <s v="0.00%"/>
    <s v="0.00%"/>
    <m/>
    <m/>
    <m/>
    <m/>
    <m/>
    <m/>
    <m/>
    <s v="0.00%"/>
    <s v="0.00%"/>
    <s v="0.00%"/>
    <s v="0.00%"/>
    <m/>
    <m/>
    <m/>
    <m/>
    <m/>
    <m/>
    <m/>
    <m/>
    <m/>
    <m/>
    <m/>
    <m/>
    <m/>
    <m/>
    <m/>
    <m/>
    <m/>
    <s v="Mike Teixeira"/>
    <m/>
    <s v="04/30/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5/02/2024"/>
    <x v="7"/>
    <n v="5483879"/>
    <s v="Click Here To View"/>
    <s v="Construction"/>
    <n v="3.45"/>
    <s v="30.72%"/>
    <s v="0.00%"/>
    <s v="30.72%"/>
    <s v="69.28%"/>
    <m/>
    <n v="1.06"/>
    <n v="2.39"/>
    <n v="3.45"/>
    <n v="1.32"/>
    <m/>
    <m/>
    <m/>
    <m/>
    <m/>
    <m/>
    <n v="1.06"/>
    <m/>
    <n v="1.07"/>
    <m/>
    <m/>
    <m/>
    <m/>
    <m/>
    <m/>
    <m/>
    <m/>
    <m/>
    <m/>
    <m/>
    <m/>
    <m/>
    <m/>
    <m/>
    <m/>
    <m/>
    <m/>
    <m/>
    <m/>
    <m/>
    <m/>
    <m/>
    <m/>
    <s v="0.00%"/>
    <s v="0.00%"/>
    <s v="0.00%"/>
    <s v="0.00%"/>
    <m/>
    <m/>
    <m/>
    <m/>
    <m/>
    <m/>
    <m/>
    <s v="0.00%"/>
    <s v="0.00%"/>
    <s v="0.00%"/>
    <s v="0.00%"/>
    <m/>
    <m/>
    <m/>
    <m/>
    <m/>
    <m/>
    <m/>
    <m/>
    <m/>
    <m/>
    <m/>
    <m/>
    <m/>
    <m/>
    <m/>
    <m/>
    <m/>
    <s v="Mike Teixeira"/>
    <m/>
    <s v="06/03/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5/09/2024"/>
    <x v="7"/>
    <n v="5489114"/>
    <s v="Click Here To View"/>
    <s v="Construction"/>
    <n v="3.8"/>
    <s v="30.79%"/>
    <s v="0.00%"/>
    <s v="30.79%"/>
    <s v="69.21%"/>
    <m/>
    <n v="1.17"/>
    <n v="2.63"/>
    <n v="3.8"/>
    <n v="1.45"/>
    <m/>
    <m/>
    <m/>
    <m/>
    <m/>
    <m/>
    <n v="1.17"/>
    <m/>
    <n v="1.18"/>
    <m/>
    <m/>
    <m/>
    <m/>
    <m/>
    <m/>
    <m/>
    <m/>
    <m/>
    <m/>
    <m/>
    <m/>
    <m/>
    <m/>
    <m/>
    <m/>
    <m/>
    <m/>
    <m/>
    <m/>
    <m/>
    <m/>
    <m/>
    <m/>
    <s v="0.00%"/>
    <s v="0.00%"/>
    <s v="0.00%"/>
    <s v="0.00%"/>
    <m/>
    <m/>
    <m/>
    <m/>
    <m/>
    <m/>
    <m/>
    <s v="0.00%"/>
    <s v="0.00%"/>
    <s v="0.00%"/>
    <s v="0.00%"/>
    <m/>
    <m/>
    <m/>
    <m/>
    <m/>
    <m/>
    <m/>
    <m/>
    <m/>
    <m/>
    <m/>
    <m/>
    <m/>
    <m/>
    <m/>
    <m/>
    <m/>
    <s v="Mike Teixeira"/>
    <m/>
    <s v="06/03/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5/16/2024"/>
    <x v="7"/>
    <n v="5494101"/>
    <s v="Click Here To View"/>
    <s v="Construction"/>
    <n v="3.47"/>
    <s v="30.84%"/>
    <s v="0.00%"/>
    <s v="30.84%"/>
    <s v="69.16%"/>
    <m/>
    <n v="1.07"/>
    <n v="2.4000000000000004"/>
    <n v="3.47"/>
    <n v="1.32"/>
    <m/>
    <m/>
    <m/>
    <m/>
    <m/>
    <m/>
    <n v="1.07"/>
    <m/>
    <n v="1.08"/>
    <m/>
    <m/>
    <m/>
    <m/>
    <m/>
    <m/>
    <m/>
    <m/>
    <m/>
    <m/>
    <m/>
    <m/>
    <m/>
    <m/>
    <m/>
    <m/>
    <m/>
    <m/>
    <m/>
    <m/>
    <m/>
    <m/>
    <m/>
    <m/>
    <s v="0.00%"/>
    <s v="0.00%"/>
    <s v="0.00%"/>
    <s v="0.00%"/>
    <m/>
    <m/>
    <m/>
    <m/>
    <m/>
    <m/>
    <m/>
    <s v="0.00%"/>
    <s v="0.00%"/>
    <s v="0.00%"/>
    <s v="0.00%"/>
    <m/>
    <m/>
    <m/>
    <m/>
    <m/>
    <m/>
    <m/>
    <m/>
    <m/>
    <m/>
    <m/>
    <m/>
    <m/>
    <m/>
    <m/>
    <m/>
    <m/>
    <s v="Mike Teixeira"/>
    <m/>
    <s v="06/03/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5/29/2024"/>
    <x v="7"/>
    <n v="5501197"/>
    <s v="Click Here To View"/>
    <s v="Construction"/>
    <n v="2.67"/>
    <s v="30.71%"/>
    <s v="0.00%"/>
    <s v="30.71%"/>
    <s v="69.29%"/>
    <m/>
    <n v="0.82"/>
    <n v="1.85"/>
    <n v="2.67"/>
    <n v="1.02"/>
    <m/>
    <m/>
    <m/>
    <m/>
    <m/>
    <m/>
    <n v="0.82"/>
    <m/>
    <n v="0.83"/>
    <m/>
    <m/>
    <m/>
    <m/>
    <m/>
    <m/>
    <m/>
    <m/>
    <m/>
    <m/>
    <m/>
    <m/>
    <m/>
    <m/>
    <m/>
    <m/>
    <m/>
    <m/>
    <m/>
    <m/>
    <m/>
    <m/>
    <m/>
    <m/>
    <s v="0.00%"/>
    <s v="0.00%"/>
    <s v="0.00%"/>
    <s v="0.00%"/>
    <m/>
    <m/>
    <m/>
    <m/>
    <m/>
    <m/>
    <m/>
    <s v="0.00%"/>
    <s v="0.00%"/>
    <s v="0.00%"/>
    <s v="0.00%"/>
    <m/>
    <m/>
    <m/>
    <m/>
    <m/>
    <m/>
    <m/>
    <m/>
    <m/>
    <m/>
    <m/>
    <m/>
    <m/>
    <m/>
    <m/>
    <m/>
    <m/>
    <s v="Mike Teixeira"/>
    <m/>
    <s v="06/03/2024"/>
    <s v="Mike Teixeira"/>
    <m/>
    <m/>
  </r>
  <r>
    <s v="Oakland/San Francisco/San Jose"/>
    <s v="UCB Gateway"/>
    <n v="210784"/>
    <m/>
    <s v="Higher Education | Laboratory / Research | 005 | 004"/>
    <n v="368"/>
    <s v="Garden of Eden Landscapes, Inc."/>
    <s v="Silvia Teixeria"/>
    <s v="SFR Recovery Inc."/>
    <s v="2401 Ingalls St., San Francisco, CA 94124, San Francisco, CA 94124"/>
    <m/>
    <s v="05/30/2024"/>
    <x v="7"/>
    <n v="105361"/>
    <s v="Click Here To View"/>
    <s v="Construction"/>
    <n v="3.7"/>
    <s v="100.00%"/>
    <s v="0.00%"/>
    <s v="100.00%"/>
    <s v="0.00%"/>
    <m/>
    <n v="3.7"/>
    <m/>
    <n v="3.7"/>
    <m/>
    <m/>
    <m/>
    <m/>
    <m/>
    <m/>
    <m/>
    <n v="0.37"/>
    <m/>
    <m/>
    <m/>
    <m/>
    <m/>
    <m/>
    <m/>
    <m/>
    <m/>
    <m/>
    <m/>
    <m/>
    <m/>
    <m/>
    <m/>
    <m/>
    <m/>
    <m/>
    <m/>
    <m/>
    <m/>
    <m/>
    <m/>
    <n v="3.33"/>
    <m/>
    <m/>
    <s v="0.00%"/>
    <s v="0.00%"/>
    <s v="0.00%"/>
    <s v="0.00%"/>
    <m/>
    <m/>
    <m/>
    <m/>
    <m/>
    <m/>
    <m/>
    <s v="0.00%"/>
    <s v="0.00%"/>
    <s v="0.00%"/>
    <s v="0.00%"/>
    <m/>
    <m/>
    <m/>
    <m/>
    <m/>
    <m/>
    <m/>
    <m/>
    <m/>
    <m/>
    <m/>
    <m/>
    <m/>
    <m/>
    <m/>
    <m/>
    <m/>
    <s v="Mike Teixeira"/>
    <m/>
    <s v="06/27/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6/06/2024"/>
    <x v="20"/>
    <n v="5507101"/>
    <s v="Click Here To View"/>
    <s v="Construction"/>
    <n v="1.7400000000000002"/>
    <s v="31.03%"/>
    <s v="0.00%"/>
    <s v="31.03%"/>
    <s v="68.97%"/>
    <m/>
    <n v="0.54"/>
    <n v="1.2000000000000002"/>
    <n v="1.7400000000000002"/>
    <n v="0.66"/>
    <m/>
    <m/>
    <m/>
    <m/>
    <m/>
    <m/>
    <n v="0.54"/>
    <m/>
    <n v="0.54"/>
    <m/>
    <m/>
    <m/>
    <m/>
    <m/>
    <m/>
    <m/>
    <m/>
    <m/>
    <m/>
    <m/>
    <m/>
    <m/>
    <m/>
    <m/>
    <m/>
    <m/>
    <m/>
    <m/>
    <m/>
    <m/>
    <m/>
    <m/>
    <m/>
    <s v="0.00%"/>
    <s v="0.00%"/>
    <s v="0.00%"/>
    <s v="0.00%"/>
    <m/>
    <m/>
    <m/>
    <m/>
    <m/>
    <m/>
    <m/>
    <s v="0.00%"/>
    <s v="0.00%"/>
    <s v="0.00%"/>
    <s v="0.00%"/>
    <m/>
    <m/>
    <m/>
    <m/>
    <m/>
    <m/>
    <m/>
    <m/>
    <m/>
    <m/>
    <m/>
    <m/>
    <m/>
    <m/>
    <m/>
    <m/>
    <m/>
    <s v="Mike Teixeira"/>
    <m/>
    <s v="06/27/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6/12/2024"/>
    <x v="20"/>
    <n v="5511043"/>
    <s v="Click Here To View"/>
    <s v="Construction"/>
    <n v="2.62"/>
    <s v="30.92%"/>
    <s v="0.00%"/>
    <s v="30.92%"/>
    <s v="69.08%"/>
    <m/>
    <n v="0.81"/>
    <n v="1.81"/>
    <n v="2.62"/>
    <n v="1"/>
    <m/>
    <m/>
    <m/>
    <m/>
    <m/>
    <m/>
    <n v="0.81"/>
    <m/>
    <n v="0.81"/>
    <m/>
    <m/>
    <m/>
    <m/>
    <m/>
    <m/>
    <m/>
    <m/>
    <m/>
    <m/>
    <m/>
    <m/>
    <m/>
    <m/>
    <m/>
    <m/>
    <m/>
    <m/>
    <m/>
    <m/>
    <m/>
    <m/>
    <m/>
    <m/>
    <s v="0.00%"/>
    <s v="0.00%"/>
    <s v="0.00%"/>
    <s v="0.00%"/>
    <m/>
    <m/>
    <m/>
    <m/>
    <m/>
    <m/>
    <m/>
    <s v="0.00%"/>
    <s v="0.00%"/>
    <s v="0.00%"/>
    <s v="0.00%"/>
    <m/>
    <m/>
    <m/>
    <m/>
    <m/>
    <m/>
    <m/>
    <m/>
    <m/>
    <m/>
    <m/>
    <m/>
    <m/>
    <m/>
    <m/>
    <m/>
    <m/>
    <s v="Mike Teixeira"/>
    <m/>
    <s v="06/27/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6/13/2024"/>
    <x v="20"/>
    <n v="5512534"/>
    <s v="Click Here To View"/>
    <s v="Construction"/>
    <n v="2.9"/>
    <s v="30.69%"/>
    <s v="0.00%"/>
    <s v="30.69%"/>
    <s v="69.31%"/>
    <m/>
    <n v="0.89"/>
    <n v="2.0100000000000002"/>
    <n v="2.9"/>
    <n v="1.1100000000000001"/>
    <m/>
    <m/>
    <m/>
    <m/>
    <m/>
    <m/>
    <n v="0.89"/>
    <m/>
    <n v="0.9"/>
    <m/>
    <m/>
    <m/>
    <m/>
    <m/>
    <m/>
    <m/>
    <m/>
    <m/>
    <m/>
    <m/>
    <m/>
    <m/>
    <m/>
    <m/>
    <m/>
    <m/>
    <m/>
    <m/>
    <m/>
    <m/>
    <m/>
    <m/>
    <m/>
    <s v="0.00%"/>
    <s v="0.00%"/>
    <s v="0.00%"/>
    <s v="0.00%"/>
    <m/>
    <m/>
    <m/>
    <m/>
    <m/>
    <m/>
    <m/>
    <s v="0.00%"/>
    <s v="0.00%"/>
    <s v="0.00%"/>
    <s v="0.00%"/>
    <m/>
    <m/>
    <m/>
    <m/>
    <m/>
    <m/>
    <m/>
    <m/>
    <m/>
    <m/>
    <m/>
    <m/>
    <m/>
    <m/>
    <m/>
    <m/>
    <m/>
    <s v="Mike Teixeira"/>
    <m/>
    <s v="06/27/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6/24/2024"/>
    <x v="20"/>
    <n v="5518854"/>
    <s v="Click Here To View"/>
    <s v="Construction"/>
    <n v="3.3200000000000003"/>
    <s v="30.72%"/>
    <s v="0.00%"/>
    <s v="30.72%"/>
    <s v="69.28%"/>
    <m/>
    <n v="1.02"/>
    <n v="2.2999999999999998"/>
    <n v="3.3200000000000003"/>
    <n v="1.27"/>
    <m/>
    <m/>
    <m/>
    <m/>
    <m/>
    <m/>
    <n v="1.02"/>
    <m/>
    <n v="1.03"/>
    <m/>
    <m/>
    <m/>
    <m/>
    <m/>
    <m/>
    <m/>
    <m/>
    <m/>
    <m/>
    <m/>
    <m/>
    <m/>
    <m/>
    <m/>
    <m/>
    <m/>
    <m/>
    <m/>
    <m/>
    <m/>
    <m/>
    <m/>
    <m/>
    <s v="0.00%"/>
    <s v="0.00%"/>
    <s v="0.00%"/>
    <s v="0.00%"/>
    <m/>
    <m/>
    <m/>
    <m/>
    <m/>
    <m/>
    <m/>
    <s v="0.00%"/>
    <s v="0.00%"/>
    <s v="0.00%"/>
    <s v="0.00%"/>
    <m/>
    <m/>
    <m/>
    <m/>
    <m/>
    <m/>
    <m/>
    <m/>
    <m/>
    <m/>
    <m/>
    <m/>
    <m/>
    <m/>
    <m/>
    <m/>
    <m/>
    <s v="Mike Teixeira"/>
    <m/>
    <s v="06/27/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7/13/2024"/>
    <x v="21"/>
    <n v="5532321"/>
    <s v="Click Here To View"/>
    <s v="Construction"/>
    <n v="3.2600000000000002"/>
    <s v="30.67%"/>
    <s v="0.00%"/>
    <s v="30.67%"/>
    <s v="69.33%"/>
    <m/>
    <n v="1"/>
    <n v="2.2599999999999998"/>
    <n v="3.2600000000000002"/>
    <n v="1.24"/>
    <m/>
    <m/>
    <m/>
    <m/>
    <m/>
    <m/>
    <n v="1"/>
    <m/>
    <n v="1.02"/>
    <m/>
    <m/>
    <m/>
    <m/>
    <m/>
    <m/>
    <m/>
    <m/>
    <m/>
    <m/>
    <m/>
    <m/>
    <m/>
    <m/>
    <m/>
    <m/>
    <m/>
    <m/>
    <m/>
    <m/>
    <m/>
    <m/>
    <m/>
    <m/>
    <s v="0.00%"/>
    <s v="0.00%"/>
    <s v="0.00%"/>
    <s v="0.00%"/>
    <m/>
    <m/>
    <m/>
    <m/>
    <m/>
    <m/>
    <m/>
    <s v="0.00%"/>
    <s v="0.00%"/>
    <s v="0.00%"/>
    <s v="0.00%"/>
    <m/>
    <m/>
    <m/>
    <m/>
    <m/>
    <m/>
    <m/>
    <m/>
    <m/>
    <m/>
    <m/>
    <m/>
    <m/>
    <m/>
    <m/>
    <m/>
    <m/>
    <s v="Mike Teixeira"/>
    <m/>
    <s v="07/31/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7/13/2024"/>
    <x v="21"/>
    <n v="5532250"/>
    <s v="Click Here To View"/>
    <s v="Construction"/>
    <n v="3.62"/>
    <s v="30.94%"/>
    <s v="0.00%"/>
    <s v="30.94%"/>
    <s v="69.06%"/>
    <m/>
    <n v="1.1200000000000001"/>
    <n v="2.5"/>
    <n v="3.62"/>
    <n v="1.37"/>
    <m/>
    <m/>
    <m/>
    <m/>
    <m/>
    <m/>
    <n v="1.1200000000000001"/>
    <m/>
    <n v="1.1299999999999999"/>
    <m/>
    <m/>
    <m/>
    <m/>
    <m/>
    <m/>
    <m/>
    <m/>
    <m/>
    <m/>
    <m/>
    <m/>
    <m/>
    <m/>
    <m/>
    <m/>
    <m/>
    <m/>
    <m/>
    <m/>
    <m/>
    <m/>
    <m/>
    <m/>
    <s v="0.00%"/>
    <s v="0.00%"/>
    <s v="0.00%"/>
    <s v="0.00%"/>
    <m/>
    <m/>
    <m/>
    <m/>
    <m/>
    <m/>
    <m/>
    <s v="0.00%"/>
    <s v="0.00%"/>
    <s v="0.00%"/>
    <s v="0.00%"/>
    <m/>
    <m/>
    <m/>
    <m/>
    <m/>
    <m/>
    <m/>
    <m/>
    <m/>
    <m/>
    <m/>
    <m/>
    <m/>
    <m/>
    <m/>
    <m/>
    <m/>
    <s v="Mike Teixeira"/>
    <m/>
    <s v="07/31/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7/22/2024"/>
    <x v="21"/>
    <n v="5537900"/>
    <s v="Click Here To View"/>
    <s v="Construction"/>
    <n v="2.96"/>
    <s v="30.74%"/>
    <s v="0.00%"/>
    <s v="30.74%"/>
    <s v="69.26%"/>
    <m/>
    <n v="0.91"/>
    <n v="2.0499999999999998"/>
    <n v="2.96"/>
    <n v="1.1299999999999999"/>
    <m/>
    <m/>
    <m/>
    <m/>
    <m/>
    <m/>
    <n v="0.91"/>
    <m/>
    <n v="0.92"/>
    <m/>
    <m/>
    <m/>
    <m/>
    <m/>
    <m/>
    <m/>
    <m/>
    <m/>
    <m/>
    <m/>
    <m/>
    <m/>
    <m/>
    <m/>
    <m/>
    <m/>
    <m/>
    <m/>
    <m/>
    <m/>
    <m/>
    <m/>
    <m/>
    <s v="0.00%"/>
    <s v="0.00%"/>
    <s v="0.00%"/>
    <s v="0.00%"/>
    <m/>
    <m/>
    <m/>
    <m/>
    <m/>
    <m/>
    <m/>
    <s v="0.00%"/>
    <s v="0.00%"/>
    <s v="0.00%"/>
    <s v="0.00%"/>
    <m/>
    <m/>
    <m/>
    <m/>
    <m/>
    <m/>
    <m/>
    <m/>
    <m/>
    <m/>
    <m/>
    <m/>
    <m/>
    <m/>
    <m/>
    <m/>
    <m/>
    <s v="Mike Teixeira"/>
    <m/>
    <s v="07/31/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8/06/2024"/>
    <x v="22"/>
    <n v="5547817"/>
    <s v="Click Here To View"/>
    <s v="Construction"/>
    <n v="3.4"/>
    <s v="30.88%"/>
    <s v="0.00%"/>
    <s v="30.88%"/>
    <s v="69.12%"/>
    <m/>
    <n v="1.05"/>
    <n v="2.35"/>
    <n v="3.4"/>
    <n v="1.29"/>
    <m/>
    <m/>
    <m/>
    <m/>
    <m/>
    <m/>
    <n v="1.05"/>
    <m/>
    <n v="1.06"/>
    <m/>
    <m/>
    <m/>
    <m/>
    <m/>
    <m/>
    <m/>
    <m/>
    <m/>
    <m/>
    <m/>
    <m/>
    <m/>
    <m/>
    <m/>
    <m/>
    <m/>
    <m/>
    <m/>
    <m/>
    <m/>
    <m/>
    <m/>
    <m/>
    <s v="0.00%"/>
    <s v="0.00%"/>
    <s v="0.00%"/>
    <s v="0.00%"/>
    <m/>
    <m/>
    <m/>
    <m/>
    <m/>
    <m/>
    <m/>
    <s v="0.00%"/>
    <s v="0.00%"/>
    <s v="0.00%"/>
    <s v="0.00%"/>
    <m/>
    <m/>
    <m/>
    <m/>
    <m/>
    <m/>
    <m/>
    <m/>
    <m/>
    <m/>
    <m/>
    <m/>
    <m/>
    <m/>
    <m/>
    <m/>
    <m/>
    <s v="Mike Teixeira"/>
    <m/>
    <s v="08/26/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8/14/2024"/>
    <x v="22"/>
    <n v="5553320"/>
    <s v="Click Here To View"/>
    <s v="Construction"/>
    <n v="0.73"/>
    <s v="30.14%"/>
    <s v="0.00%"/>
    <s v="30.14%"/>
    <s v="69.86%"/>
    <m/>
    <n v="0.22"/>
    <n v="0.51"/>
    <n v="0.73"/>
    <n v="0.28000000000000003"/>
    <m/>
    <m/>
    <m/>
    <m/>
    <m/>
    <m/>
    <n v="0.22"/>
    <m/>
    <n v="0.23"/>
    <m/>
    <m/>
    <m/>
    <m/>
    <m/>
    <m/>
    <m/>
    <m/>
    <m/>
    <m/>
    <m/>
    <m/>
    <m/>
    <m/>
    <m/>
    <m/>
    <m/>
    <m/>
    <m/>
    <m/>
    <m/>
    <m/>
    <m/>
    <m/>
    <s v="0.00%"/>
    <s v="0.00%"/>
    <s v="0.00%"/>
    <s v="0.00%"/>
    <m/>
    <m/>
    <m/>
    <m/>
    <m/>
    <m/>
    <m/>
    <s v="0.00%"/>
    <s v="0.00%"/>
    <s v="0.00%"/>
    <s v="0.00%"/>
    <m/>
    <m/>
    <m/>
    <m/>
    <m/>
    <m/>
    <m/>
    <m/>
    <m/>
    <m/>
    <m/>
    <m/>
    <m/>
    <m/>
    <m/>
    <m/>
    <m/>
    <s v="Mike Teixeira"/>
    <m/>
    <s v="08/26/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8/14/2024"/>
    <x v="22"/>
    <n v="5553250"/>
    <s v="Click Here To View"/>
    <s v="Construction"/>
    <n v="4.17"/>
    <s v="30.94%"/>
    <s v="0.00%"/>
    <s v="30.94%"/>
    <s v="69.06%"/>
    <m/>
    <n v="1.29"/>
    <n v="2.88"/>
    <n v="4.17"/>
    <n v="1.58"/>
    <m/>
    <m/>
    <m/>
    <m/>
    <m/>
    <m/>
    <n v="1.29"/>
    <m/>
    <n v="1.3"/>
    <m/>
    <m/>
    <m/>
    <m/>
    <m/>
    <m/>
    <m/>
    <m/>
    <m/>
    <m/>
    <m/>
    <m/>
    <m/>
    <m/>
    <m/>
    <m/>
    <m/>
    <m/>
    <m/>
    <m/>
    <m/>
    <m/>
    <m/>
    <m/>
    <s v="0.00%"/>
    <s v="0.00%"/>
    <s v="0.00%"/>
    <s v="0.00%"/>
    <m/>
    <m/>
    <m/>
    <m/>
    <m/>
    <m/>
    <m/>
    <s v="0.00%"/>
    <s v="0.00%"/>
    <s v="0.00%"/>
    <s v="0.00%"/>
    <m/>
    <m/>
    <m/>
    <m/>
    <m/>
    <m/>
    <m/>
    <m/>
    <m/>
    <m/>
    <m/>
    <m/>
    <m/>
    <m/>
    <m/>
    <m/>
    <m/>
    <s v="Mike Teixeira"/>
    <m/>
    <s v="08/26/2024"/>
    <s v="Mike Teixeira"/>
    <m/>
    <m/>
  </r>
  <r>
    <s v="Oakland/San Francisco/San Jose"/>
    <s v="UCB Gateway"/>
    <n v="210784"/>
    <m/>
    <s v="Higher Education | Laboratory / Research | 005 | 004"/>
    <n v="368"/>
    <s v="Garden of Eden Landscapes, Inc."/>
    <s v="Silvia Teixeria"/>
    <s v="SFR Recovery Inc."/>
    <s v="2401 Ingalls St., San Francisco, CA 94124, San Francisco, CA 94124"/>
    <m/>
    <s v="08/16/2024"/>
    <x v="22"/>
    <n v="109045"/>
    <s v="Click Here To View"/>
    <s v="Construction"/>
    <n v="1.3499999999999999"/>
    <s v="31.11%"/>
    <s v="0.00%"/>
    <s v="31.11%"/>
    <s v="68.89%"/>
    <m/>
    <n v="0.42"/>
    <n v="0.92999999999999994"/>
    <n v="1.3499999999999999"/>
    <n v="0.51"/>
    <m/>
    <m/>
    <m/>
    <m/>
    <m/>
    <m/>
    <n v="0.42"/>
    <m/>
    <n v="0.42"/>
    <m/>
    <m/>
    <m/>
    <m/>
    <m/>
    <m/>
    <m/>
    <m/>
    <m/>
    <m/>
    <m/>
    <m/>
    <m/>
    <m/>
    <m/>
    <m/>
    <m/>
    <m/>
    <m/>
    <m/>
    <m/>
    <m/>
    <m/>
    <m/>
    <s v="0.00%"/>
    <s v="0.00%"/>
    <s v="0.00%"/>
    <s v="0.00%"/>
    <m/>
    <m/>
    <m/>
    <m/>
    <m/>
    <m/>
    <m/>
    <s v="0.00%"/>
    <s v="0.00%"/>
    <s v="0.00%"/>
    <s v="0.00%"/>
    <m/>
    <m/>
    <m/>
    <m/>
    <m/>
    <m/>
    <m/>
    <m/>
    <m/>
    <m/>
    <m/>
    <m/>
    <m/>
    <m/>
    <m/>
    <m/>
    <m/>
    <s v="Mike Teixeira"/>
    <m/>
    <s v="08/26/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8/19/2024"/>
    <x v="22"/>
    <n v="5555743"/>
    <s v="Click Here To View"/>
    <s v="Construction"/>
    <n v="3.3"/>
    <s v="30.91%"/>
    <s v="0.00%"/>
    <s v="30.91%"/>
    <s v="69.09%"/>
    <m/>
    <n v="1.02"/>
    <n v="2.2800000000000002"/>
    <n v="3.3"/>
    <n v="1.25"/>
    <m/>
    <m/>
    <m/>
    <m/>
    <m/>
    <m/>
    <n v="1.02"/>
    <m/>
    <n v="1.03"/>
    <m/>
    <m/>
    <m/>
    <m/>
    <m/>
    <m/>
    <m/>
    <m/>
    <m/>
    <m/>
    <m/>
    <m/>
    <m/>
    <m/>
    <m/>
    <m/>
    <m/>
    <m/>
    <m/>
    <m/>
    <m/>
    <m/>
    <m/>
    <m/>
    <s v="0.00%"/>
    <s v="0.00%"/>
    <s v="0.00%"/>
    <s v="0.00%"/>
    <m/>
    <m/>
    <m/>
    <m/>
    <m/>
    <m/>
    <m/>
    <s v="0.00%"/>
    <s v="0.00%"/>
    <s v="0.00%"/>
    <s v="0.00%"/>
    <m/>
    <m/>
    <m/>
    <m/>
    <m/>
    <m/>
    <m/>
    <m/>
    <m/>
    <m/>
    <m/>
    <m/>
    <m/>
    <m/>
    <m/>
    <m/>
    <m/>
    <s v="Mike Teixeira"/>
    <m/>
    <s v="08/26/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8/22/2024"/>
    <x v="22"/>
    <n v="5558915"/>
    <s v="Click Here To View"/>
    <s v="Construction"/>
    <n v="1.44"/>
    <s v="30.56%"/>
    <s v="0.00%"/>
    <s v="30.56%"/>
    <s v="69.44%"/>
    <m/>
    <n v="0.44"/>
    <n v="1"/>
    <n v="1.44"/>
    <n v="0.55000000000000004"/>
    <m/>
    <m/>
    <m/>
    <m/>
    <m/>
    <m/>
    <n v="0.44"/>
    <m/>
    <n v="0.45"/>
    <m/>
    <m/>
    <m/>
    <m/>
    <m/>
    <m/>
    <m/>
    <m/>
    <m/>
    <m/>
    <m/>
    <m/>
    <m/>
    <m/>
    <m/>
    <m/>
    <m/>
    <m/>
    <m/>
    <m/>
    <m/>
    <m/>
    <m/>
    <m/>
    <s v="0.00%"/>
    <s v="0.00%"/>
    <s v="0.00%"/>
    <s v="0.00%"/>
    <m/>
    <m/>
    <m/>
    <m/>
    <m/>
    <m/>
    <m/>
    <s v="0.00%"/>
    <s v="0.00%"/>
    <s v="0.00%"/>
    <s v="0.00%"/>
    <m/>
    <m/>
    <m/>
    <m/>
    <m/>
    <m/>
    <m/>
    <m/>
    <m/>
    <m/>
    <m/>
    <m/>
    <m/>
    <m/>
    <m/>
    <m/>
    <m/>
    <s v="Mike Teixeira"/>
    <m/>
    <s v="08/26/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8/23/2024"/>
    <x v="22"/>
    <n v="5559685"/>
    <s v="Click Here To View"/>
    <s v="Construction"/>
    <n v="1.0900000000000001"/>
    <s v="31.19%"/>
    <s v="0.00%"/>
    <s v="31.19%"/>
    <s v="68.81%"/>
    <m/>
    <n v="0.34"/>
    <n v="0.75"/>
    <n v="1.0900000000000001"/>
    <n v="0.41"/>
    <m/>
    <m/>
    <m/>
    <m/>
    <m/>
    <m/>
    <n v="0.34"/>
    <m/>
    <n v="0.34"/>
    <m/>
    <m/>
    <m/>
    <m/>
    <m/>
    <m/>
    <m/>
    <m/>
    <m/>
    <m/>
    <m/>
    <m/>
    <m/>
    <m/>
    <m/>
    <m/>
    <m/>
    <m/>
    <m/>
    <m/>
    <m/>
    <m/>
    <m/>
    <m/>
    <s v="0.00%"/>
    <s v="0.00%"/>
    <s v="0.00%"/>
    <s v="0.00%"/>
    <m/>
    <m/>
    <m/>
    <m/>
    <m/>
    <m/>
    <m/>
    <s v="0.00%"/>
    <s v="0.00%"/>
    <s v="0.00%"/>
    <s v="0.00%"/>
    <m/>
    <m/>
    <m/>
    <m/>
    <m/>
    <m/>
    <m/>
    <m/>
    <m/>
    <m/>
    <m/>
    <m/>
    <m/>
    <m/>
    <m/>
    <m/>
    <m/>
    <s v="Mike Teixeira"/>
    <m/>
    <s v="08/26/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8/27/2024"/>
    <x v="22"/>
    <n v="5561893"/>
    <s v="Click Here To View"/>
    <s v="Construction"/>
    <n v="1.5799999999999998"/>
    <s v="31.01%"/>
    <s v="0.00%"/>
    <s v="31.01%"/>
    <s v="68.99%"/>
    <m/>
    <n v="0.49"/>
    <n v="1.0899999999999999"/>
    <n v="1.5799999999999998"/>
    <n v="0.6"/>
    <m/>
    <m/>
    <m/>
    <m/>
    <m/>
    <m/>
    <n v="0.49"/>
    <m/>
    <n v="0.49"/>
    <m/>
    <m/>
    <m/>
    <m/>
    <m/>
    <m/>
    <m/>
    <m/>
    <m/>
    <m/>
    <m/>
    <m/>
    <m/>
    <m/>
    <m/>
    <m/>
    <m/>
    <m/>
    <m/>
    <m/>
    <m/>
    <m/>
    <m/>
    <m/>
    <s v="0.00%"/>
    <s v="0.00%"/>
    <s v="0.00%"/>
    <s v="0.00%"/>
    <m/>
    <m/>
    <m/>
    <m/>
    <m/>
    <m/>
    <m/>
    <s v="0.00%"/>
    <s v="0.00%"/>
    <s v="0.00%"/>
    <s v="0.00%"/>
    <m/>
    <m/>
    <m/>
    <m/>
    <m/>
    <m/>
    <m/>
    <m/>
    <m/>
    <m/>
    <m/>
    <m/>
    <m/>
    <m/>
    <m/>
    <m/>
    <m/>
    <s v="Mike Teixeira"/>
    <m/>
    <s v="08/30/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8/27/2024"/>
    <x v="22"/>
    <n v="5561750"/>
    <s v="Click Here To View"/>
    <s v="Construction"/>
    <n v="2.36"/>
    <s v="30.93%"/>
    <s v="0.00%"/>
    <s v="30.93%"/>
    <s v="69.07%"/>
    <m/>
    <n v="0.73"/>
    <n v="1.63"/>
    <n v="2.36"/>
    <n v="0.9"/>
    <m/>
    <m/>
    <m/>
    <m/>
    <m/>
    <m/>
    <n v="0.73"/>
    <m/>
    <n v="0.73"/>
    <m/>
    <m/>
    <m/>
    <m/>
    <m/>
    <m/>
    <m/>
    <m/>
    <m/>
    <m/>
    <m/>
    <m/>
    <m/>
    <m/>
    <m/>
    <m/>
    <m/>
    <m/>
    <m/>
    <m/>
    <m/>
    <m/>
    <m/>
    <m/>
    <s v="0.00%"/>
    <s v="0.00%"/>
    <s v="0.00%"/>
    <s v="0.00%"/>
    <m/>
    <m/>
    <m/>
    <m/>
    <m/>
    <m/>
    <m/>
    <s v="0.00%"/>
    <s v="0.00%"/>
    <s v="0.00%"/>
    <s v="0.00%"/>
    <m/>
    <m/>
    <m/>
    <m/>
    <m/>
    <m/>
    <m/>
    <m/>
    <m/>
    <m/>
    <m/>
    <m/>
    <m/>
    <m/>
    <m/>
    <m/>
    <m/>
    <s v="Mike Teixeira"/>
    <m/>
    <s v="08/30/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8/27/2024"/>
    <x v="22"/>
    <n v="5561844"/>
    <s v="Click Here To View"/>
    <s v="Construction"/>
    <n v="2.06"/>
    <s v="30.58%"/>
    <s v="0.00%"/>
    <s v="30.58%"/>
    <s v="69.42%"/>
    <m/>
    <n v="0.63"/>
    <n v="1.4300000000000002"/>
    <n v="2.06"/>
    <n v="0.79"/>
    <m/>
    <m/>
    <m/>
    <m/>
    <m/>
    <m/>
    <n v="0.63"/>
    <m/>
    <n v="0.64"/>
    <m/>
    <m/>
    <m/>
    <m/>
    <m/>
    <m/>
    <m/>
    <m/>
    <m/>
    <m/>
    <m/>
    <m/>
    <m/>
    <m/>
    <m/>
    <m/>
    <m/>
    <m/>
    <m/>
    <m/>
    <m/>
    <m/>
    <m/>
    <m/>
    <s v="0.00%"/>
    <s v="0.00%"/>
    <s v="0.00%"/>
    <s v="0.00%"/>
    <m/>
    <m/>
    <m/>
    <m/>
    <m/>
    <m/>
    <m/>
    <s v="0.00%"/>
    <s v="0.00%"/>
    <s v="0.00%"/>
    <s v="0.00%"/>
    <m/>
    <m/>
    <m/>
    <m/>
    <m/>
    <m/>
    <m/>
    <m/>
    <m/>
    <m/>
    <m/>
    <m/>
    <m/>
    <m/>
    <m/>
    <m/>
    <m/>
    <s v="Mike Teixeira"/>
    <m/>
    <s v="08/30/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8/30/2024"/>
    <x v="22"/>
    <n v="5564235"/>
    <s v="Click Here To View"/>
    <s v="Construction"/>
    <n v="1.1600000000000001"/>
    <s v="31.03%"/>
    <s v="0.00%"/>
    <s v="31.03%"/>
    <s v="68.97%"/>
    <m/>
    <n v="0.36"/>
    <n v="0.8"/>
    <n v="1.1600000000000001"/>
    <n v="0.44"/>
    <m/>
    <m/>
    <m/>
    <m/>
    <m/>
    <m/>
    <n v="0.36"/>
    <m/>
    <n v="0.36"/>
    <m/>
    <m/>
    <m/>
    <m/>
    <m/>
    <m/>
    <m/>
    <m/>
    <m/>
    <m/>
    <m/>
    <m/>
    <m/>
    <m/>
    <m/>
    <m/>
    <m/>
    <m/>
    <m/>
    <m/>
    <m/>
    <m/>
    <m/>
    <m/>
    <s v="0.00%"/>
    <s v="0.00%"/>
    <s v="0.00%"/>
    <s v="0.00%"/>
    <m/>
    <m/>
    <m/>
    <m/>
    <m/>
    <m/>
    <m/>
    <s v="0.00%"/>
    <s v="0.00%"/>
    <s v="0.00%"/>
    <s v="0.00%"/>
    <m/>
    <m/>
    <m/>
    <m/>
    <m/>
    <m/>
    <m/>
    <m/>
    <m/>
    <m/>
    <m/>
    <m/>
    <m/>
    <m/>
    <m/>
    <m/>
    <m/>
    <s v="Mike Teixeira"/>
    <m/>
    <s v="09/26/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9/21/2024"/>
    <x v="23"/>
    <n v="5577895"/>
    <s v="Click Here To View"/>
    <s v="Construction"/>
    <n v="2.8600000000000003"/>
    <s v="30.77%"/>
    <s v="0.00%"/>
    <s v="30.77%"/>
    <s v="69.23%"/>
    <m/>
    <n v="0.88"/>
    <n v="1.98"/>
    <n v="2.8600000000000003"/>
    <n v="1.0900000000000001"/>
    <m/>
    <m/>
    <m/>
    <m/>
    <m/>
    <m/>
    <n v="0.88"/>
    <m/>
    <n v="0.89"/>
    <m/>
    <m/>
    <m/>
    <m/>
    <m/>
    <m/>
    <m/>
    <m/>
    <m/>
    <m/>
    <m/>
    <m/>
    <m/>
    <m/>
    <m/>
    <m/>
    <m/>
    <m/>
    <m/>
    <m/>
    <m/>
    <m/>
    <m/>
    <m/>
    <s v="0.00%"/>
    <s v="0.00%"/>
    <s v="0.00%"/>
    <s v="0.00%"/>
    <m/>
    <m/>
    <m/>
    <m/>
    <m/>
    <m/>
    <m/>
    <s v="0.00%"/>
    <s v="0.00%"/>
    <s v="0.00%"/>
    <s v="0.00%"/>
    <m/>
    <m/>
    <m/>
    <m/>
    <m/>
    <m/>
    <m/>
    <m/>
    <m/>
    <m/>
    <m/>
    <m/>
    <m/>
    <m/>
    <m/>
    <m/>
    <m/>
    <s v="Mike Teixeira"/>
    <m/>
    <s v="09/26/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9/26/2024"/>
    <x v="23"/>
    <n v="5580736"/>
    <s v="Click Here To View"/>
    <s v="Construction"/>
    <n v="1.27"/>
    <s v="30.71%"/>
    <s v="0.00%"/>
    <s v="30.71%"/>
    <s v="69.29%"/>
    <m/>
    <n v="0.39"/>
    <n v="0.88"/>
    <n v="1.27"/>
    <n v="0.48"/>
    <m/>
    <m/>
    <m/>
    <m/>
    <m/>
    <m/>
    <n v="0.39"/>
    <m/>
    <n v="0.4"/>
    <m/>
    <m/>
    <m/>
    <m/>
    <m/>
    <m/>
    <m/>
    <m/>
    <m/>
    <m/>
    <m/>
    <m/>
    <m/>
    <m/>
    <m/>
    <m/>
    <m/>
    <m/>
    <m/>
    <m/>
    <m/>
    <m/>
    <m/>
    <m/>
    <s v="0.00%"/>
    <s v="0.00%"/>
    <s v="0.00%"/>
    <s v="0.00%"/>
    <m/>
    <m/>
    <m/>
    <m/>
    <m/>
    <m/>
    <m/>
    <s v="0.00%"/>
    <s v="0.00%"/>
    <s v="0.00%"/>
    <s v="0.00%"/>
    <m/>
    <m/>
    <m/>
    <m/>
    <m/>
    <m/>
    <m/>
    <m/>
    <m/>
    <m/>
    <m/>
    <m/>
    <m/>
    <m/>
    <m/>
    <m/>
    <m/>
    <s v="Mike Teixeira"/>
    <m/>
    <s v="10/30/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9/27/2024"/>
    <x v="23"/>
    <n v="5582109"/>
    <s v="Click Here To View"/>
    <s v="Construction"/>
    <n v="3.2299999999999995"/>
    <s v="30.96%"/>
    <s v="0.00%"/>
    <s v="30.96%"/>
    <s v="69.04%"/>
    <m/>
    <n v="1"/>
    <n v="2.23"/>
    <n v="3.2299999999999995"/>
    <n v="1.22"/>
    <m/>
    <m/>
    <m/>
    <m/>
    <m/>
    <m/>
    <n v="1"/>
    <m/>
    <n v="1.01"/>
    <m/>
    <m/>
    <m/>
    <m/>
    <m/>
    <m/>
    <m/>
    <m/>
    <m/>
    <m/>
    <m/>
    <m/>
    <m/>
    <m/>
    <m/>
    <m/>
    <m/>
    <m/>
    <m/>
    <m/>
    <m/>
    <m/>
    <m/>
    <m/>
    <s v="0.00%"/>
    <s v="0.00%"/>
    <s v="0.00%"/>
    <s v="0.00%"/>
    <m/>
    <m/>
    <m/>
    <m/>
    <m/>
    <m/>
    <m/>
    <s v="0.00%"/>
    <s v="0.00%"/>
    <s v="0.00%"/>
    <s v="0.00%"/>
    <m/>
    <m/>
    <m/>
    <m/>
    <m/>
    <m/>
    <m/>
    <m/>
    <m/>
    <m/>
    <m/>
    <m/>
    <m/>
    <m/>
    <m/>
    <m/>
    <m/>
    <s v="Mike Teixeira"/>
    <m/>
    <s v="10/30/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0/02/2024"/>
    <x v="24"/>
    <n v="5584613"/>
    <s v="Click Here To View"/>
    <s v="Construction"/>
    <n v="1.43"/>
    <s v="30.77%"/>
    <s v="0.00%"/>
    <s v="30.77%"/>
    <s v="69.23%"/>
    <m/>
    <n v="0.44"/>
    <n v="0.99"/>
    <n v="1.43"/>
    <n v="0.54"/>
    <m/>
    <m/>
    <m/>
    <m/>
    <m/>
    <m/>
    <n v="0.44"/>
    <m/>
    <n v="0.45"/>
    <m/>
    <m/>
    <m/>
    <m/>
    <m/>
    <m/>
    <m/>
    <m/>
    <m/>
    <m/>
    <m/>
    <m/>
    <m/>
    <m/>
    <m/>
    <m/>
    <m/>
    <m/>
    <m/>
    <m/>
    <m/>
    <m/>
    <m/>
    <m/>
    <s v="0.00%"/>
    <s v="0.00%"/>
    <s v="0.00%"/>
    <s v="0.00%"/>
    <m/>
    <m/>
    <m/>
    <m/>
    <m/>
    <m/>
    <m/>
    <s v="0.00%"/>
    <s v="0.00%"/>
    <s v="0.00%"/>
    <s v="0.00%"/>
    <m/>
    <m/>
    <m/>
    <m/>
    <m/>
    <m/>
    <m/>
    <m/>
    <m/>
    <m/>
    <m/>
    <m/>
    <m/>
    <m/>
    <m/>
    <m/>
    <m/>
    <s v="Mike Teixeira"/>
    <m/>
    <s v="10/30/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1/16/2024"/>
    <x v="25"/>
    <n v="5613599"/>
    <s v="Click Here To View"/>
    <s v="Construction"/>
    <n v="0.82000000000000006"/>
    <s v="30.49%"/>
    <s v="0.00%"/>
    <s v="30.49%"/>
    <s v="69.51%"/>
    <m/>
    <n v="0.25"/>
    <n v="0.57000000000000006"/>
    <n v="0.82000000000000006"/>
    <n v="0.31"/>
    <m/>
    <m/>
    <m/>
    <m/>
    <m/>
    <m/>
    <n v="0.25"/>
    <m/>
    <n v="0.26"/>
    <m/>
    <m/>
    <m/>
    <m/>
    <m/>
    <m/>
    <m/>
    <m/>
    <m/>
    <m/>
    <m/>
    <m/>
    <m/>
    <m/>
    <m/>
    <m/>
    <m/>
    <m/>
    <m/>
    <m/>
    <m/>
    <m/>
    <m/>
    <m/>
    <s v="0.00%"/>
    <s v="0.00%"/>
    <s v="0.00%"/>
    <s v="0.00%"/>
    <m/>
    <m/>
    <m/>
    <m/>
    <m/>
    <m/>
    <m/>
    <s v="0.00%"/>
    <s v="0.00%"/>
    <s v="0.00%"/>
    <s v="0.00%"/>
    <m/>
    <m/>
    <m/>
    <m/>
    <m/>
    <m/>
    <m/>
    <m/>
    <m/>
    <m/>
    <m/>
    <m/>
    <m/>
    <m/>
    <m/>
    <m/>
    <m/>
    <s v="Mike Teixeira"/>
    <m/>
    <s v="11/26/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1/22/2024"/>
    <x v="25"/>
    <n v="5617555"/>
    <s v="Click Here To View"/>
    <s v="Construction"/>
    <n v="2.1"/>
    <s v="30.95%"/>
    <s v="0.00%"/>
    <s v="30.95%"/>
    <s v="69.05%"/>
    <m/>
    <n v="0.65"/>
    <n v="1.4500000000000002"/>
    <n v="2.1"/>
    <n v="0.8"/>
    <m/>
    <m/>
    <m/>
    <m/>
    <m/>
    <m/>
    <n v="0.65"/>
    <m/>
    <n v="0.65"/>
    <m/>
    <m/>
    <m/>
    <m/>
    <m/>
    <m/>
    <m/>
    <m/>
    <m/>
    <m/>
    <m/>
    <m/>
    <m/>
    <m/>
    <m/>
    <m/>
    <m/>
    <m/>
    <m/>
    <m/>
    <m/>
    <m/>
    <m/>
    <m/>
    <s v="0.00%"/>
    <s v="0.00%"/>
    <s v="0.00%"/>
    <s v="0.00%"/>
    <m/>
    <m/>
    <m/>
    <m/>
    <m/>
    <m/>
    <m/>
    <s v="0.00%"/>
    <s v="0.00%"/>
    <s v="0.00%"/>
    <s v="0.00%"/>
    <m/>
    <m/>
    <m/>
    <m/>
    <m/>
    <m/>
    <m/>
    <m/>
    <m/>
    <m/>
    <m/>
    <m/>
    <m/>
    <m/>
    <m/>
    <m/>
    <m/>
    <s v="Mike Teixeira"/>
    <m/>
    <s v="11/26/2024"/>
    <s v="Mike Teixeira"/>
    <m/>
    <m/>
  </r>
  <r>
    <s v="Oakland/San Francisco/San Jose"/>
    <s v="UCB Gateway"/>
    <n v="210784"/>
    <m/>
    <s v="Higher Education | Laboratory / Research | 005 | 004"/>
    <n v="368"/>
    <s v="Garden of Eden Landscapes, Inc."/>
    <s v="Silvia Teixeria"/>
    <s v="SFR Recovery Inc."/>
    <s v="2401 Ingalls St., San Francisco, CA 94124, San Francisco, CA 94124"/>
    <m/>
    <s v="11/26/2024"/>
    <x v="25"/>
    <n v="113417"/>
    <s v="Click Here To View"/>
    <s v="Construction"/>
    <n v="0.51"/>
    <s v="95.00%"/>
    <s v="0.00%"/>
    <s v="95.00%"/>
    <s v="5.00%"/>
    <m/>
    <n v="0.48449999999999999"/>
    <n v="2.5499999999999998E-2"/>
    <n v="0.51"/>
    <n v="2.5499999999999998E-2"/>
    <m/>
    <m/>
    <m/>
    <m/>
    <m/>
    <m/>
    <m/>
    <m/>
    <m/>
    <m/>
    <m/>
    <m/>
    <m/>
    <m/>
    <m/>
    <m/>
    <m/>
    <m/>
    <m/>
    <m/>
    <m/>
    <m/>
    <m/>
    <m/>
    <m/>
    <m/>
    <m/>
    <m/>
    <m/>
    <m/>
    <n v="0.48449999999999999"/>
    <m/>
    <m/>
    <s v="0.00%"/>
    <s v="0.00%"/>
    <s v="0.00%"/>
    <s v="0.00%"/>
    <m/>
    <m/>
    <m/>
    <m/>
    <m/>
    <m/>
    <m/>
    <s v="0.00%"/>
    <s v="0.00%"/>
    <s v="0.00%"/>
    <s v="0.00%"/>
    <m/>
    <m/>
    <m/>
    <m/>
    <m/>
    <m/>
    <m/>
    <m/>
    <m/>
    <m/>
    <m/>
    <m/>
    <m/>
    <m/>
    <m/>
    <m/>
    <m/>
    <s v="Mike Teixeira"/>
    <m/>
    <s v="12/03/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2/04/2024"/>
    <x v="26"/>
    <n v="5623631"/>
    <s v="Click Here To View"/>
    <s v="Construction"/>
    <n v="3.5700000000000003"/>
    <s v="30.81%"/>
    <s v="0.00%"/>
    <s v="30.81%"/>
    <s v="69.19%"/>
    <m/>
    <n v="1.1000000000000001"/>
    <n v="2.4700000000000002"/>
    <n v="3.5700000000000003"/>
    <n v="1.36"/>
    <m/>
    <m/>
    <m/>
    <m/>
    <m/>
    <m/>
    <n v="1.1000000000000001"/>
    <m/>
    <n v="1.1100000000000001"/>
    <m/>
    <m/>
    <m/>
    <m/>
    <m/>
    <m/>
    <m/>
    <m/>
    <m/>
    <m/>
    <m/>
    <m/>
    <m/>
    <m/>
    <m/>
    <m/>
    <m/>
    <m/>
    <m/>
    <m/>
    <m/>
    <m/>
    <m/>
    <m/>
    <s v="0.00%"/>
    <s v="0.00%"/>
    <s v="0.00%"/>
    <s v="0.00%"/>
    <m/>
    <m/>
    <m/>
    <m/>
    <m/>
    <m/>
    <m/>
    <s v="0.00%"/>
    <s v="0.00%"/>
    <s v="0.00%"/>
    <s v="0.00%"/>
    <m/>
    <m/>
    <m/>
    <m/>
    <m/>
    <m/>
    <m/>
    <m/>
    <m/>
    <m/>
    <m/>
    <m/>
    <m/>
    <m/>
    <m/>
    <m/>
    <m/>
    <s v="Mike Teixeira"/>
    <m/>
    <s v="12/24/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2/11/2024"/>
    <x v="26"/>
    <n v="5628274"/>
    <s v="Click Here To View"/>
    <s v="Construction"/>
    <n v="1.17"/>
    <s v="30.77%"/>
    <s v="0.00%"/>
    <s v="30.77%"/>
    <s v="69.23%"/>
    <m/>
    <n v="0.36"/>
    <n v="0.81"/>
    <n v="1.17"/>
    <n v="0.45"/>
    <m/>
    <m/>
    <m/>
    <m/>
    <m/>
    <m/>
    <n v="0.36"/>
    <m/>
    <n v="0.36"/>
    <m/>
    <m/>
    <m/>
    <m/>
    <m/>
    <m/>
    <m/>
    <m/>
    <m/>
    <m/>
    <m/>
    <m/>
    <m/>
    <m/>
    <m/>
    <m/>
    <m/>
    <m/>
    <m/>
    <m/>
    <m/>
    <m/>
    <m/>
    <m/>
    <s v="0.00%"/>
    <s v="0.00%"/>
    <s v="0.00%"/>
    <s v="0.00%"/>
    <m/>
    <m/>
    <m/>
    <m/>
    <m/>
    <m/>
    <m/>
    <s v="0.00%"/>
    <s v="0.00%"/>
    <s v="0.00%"/>
    <s v="0.00%"/>
    <m/>
    <m/>
    <m/>
    <m/>
    <m/>
    <m/>
    <m/>
    <m/>
    <m/>
    <m/>
    <m/>
    <m/>
    <m/>
    <m/>
    <m/>
    <m/>
    <m/>
    <s v="Mike Teixeira"/>
    <m/>
    <s v="12/24/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2/23/2024"/>
    <x v="26"/>
    <n v="5634984"/>
    <s v="Click Here To View"/>
    <s v="Construction"/>
    <n v="2.19"/>
    <s v="30.59%"/>
    <s v="0.00%"/>
    <s v="30.59%"/>
    <s v="69.41%"/>
    <m/>
    <n v="0.67"/>
    <n v="1.52"/>
    <n v="2.19"/>
    <n v="0.84"/>
    <m/>
    <m/>
    <m/>
    <m/>
    <m/>
    <m/>
    <n v="0.67"/>
    <m/>
    <n v="0.68"/>
    <m/>
    <m/>
    <m/>
    <m/>
    <m/>
    <m/>
    <m/>
    <m/>
    <m/>
    <m/>
    <m/>
    <m/>
    <m/>
    <m/>
    <m/>
    <m/>
    <m/>
    <m/>
    <m/>
    <m/>
    <m/>
    <m/>
    <m/>
    <m/>
    <s v="0.00%"/>
    <s v="0.00%"/>
    <s v="0.00%"/>
    <s v="0.00%"/>
    <m/>
    <m/>
    <m/>
    <m/>
    <m/>
    <m/>
    <m/>
    <s v="0.00%"/>
    <s v="0.00%"/>
    <s v="0.00%"/>
    <s v="0.00%"/>
    <m/>
    <m/>
    <m/>
    <m/>
    <m/>
    <m/>
    <m/>
    <m/>
    <m/>
    <m/>
    <m/>
    <m/>
    <m/>
    <m/>
    <m/>
    <m/>
    <m/>
    <s v="Mike Teixeira"/>
    <m/>
    <s v="01/29/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2/31/2024"/>
    <x v="26"/>
    <n v="5638854"/>
    <s v="Click Here To View"/>
    <s v="Construction"/>
    <n v="1.19"/>
    <s v="31.09%"/>
    <s v="0.00%"/>
    <s v="31.09%"/>
    <s v="68.91%"/>
    <m/>
    <n v="0.37"/>
    <n v="0.82000000000000006"/>
    <n v="1.19"/>
    <n v="0.45"/>
    <m/>
    <m/>
    <m/>
    <m/>
    <m/>
    <m/>
    <n v="0.37"/>
    <m/>
    <n v="0.37"/>
    <m/>
    <m/>
    <m/>
    <m/>
    <m/>
    <m/>
    <m/>
    <m/>
    <m/>
    <m/>
    <m/>
    <m/>
    <m/>
    <m/>
    <m/>
    <m/>
    <m/>
    <m/>
    <m/>
    <m/>
    <m/>
    <m/>
    <m/>
    <m/>
    <s v="0.00%"/>
    <s v="0.00%"/>
    <s v="0.00%"/>
    <s v="0.00%"/>
    <m/>
    <m/>
    <m/>
    <m/>
    <m/>
    <m/>
    <m/>
    <s v="0.00%"/>
    <s v="0.00%"/>
    <s v="0.00%"/>
    <s v="0.00%"/>
    <m/>
    <m/>
    <m/>
    <m/>
    <m/>
    <m/>
    <m/>
    <m/>
    <m/>
    <m/>
    <m/>
    <m/>
    <m/>
    <m/>
    <m/>
    <m/>
    <m/>
    <s v="Mike Teixeira"/>
    <m/>
    <s v="01/29/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2/31/2024"/>
    <x v="26"/>
    <n v="5638982"/>
    <s v="Click Here To View"/>
    <s v="Construction"/>
    <n v="1.62"/>
    <s v="30.86%"/>
    <s v="0.00%"/>
    <s v="30.86%"/>
    <s v="69.14%"/>
    <m/>
    <n v="0.5"/>
    <n v="1.1200000000000001"/>
    <n v="1.62"/>
    <n v="0.62"/>
    <m/>
    <m/>
    <m/>
    <m/>
    <m/>
    <m/>
    <n v="0.5"/>
    <m/>
    <n v="0.5"/>
    <m/>
    <m/>
    <m/>
    <m/>
    <m/>
    <m/>
    <m/>
    <m/>
    <m/>
    <m/>
    <m/>
    <m/>
    <m/>
    <m/>
    <m/>
    <m/>
    <m/>
    <m/>
    <m/>
    <m/>
    <m/>
    <m/>
    <m/>
    <m/>
    <s v="0.00%"/>
    <s v="0.00%"/>
    <s v="0.00%"/>
    <s v="0.00%"/>
    <m/>
    <m/>
    <m/>
    <m/>
    <m/>
    <m/>
    <m/>
    <s v="0.00%"/>
    <s v="0.00%"/>
    <s v="0.00%"/>
    <s v="0.00%"/>
    <m/>
    <m/>
    <m/>
    <m/>
    <m/>
    <m/>
    <m/>
    <m/>
    <m/>
    <m/>
    <m/>
    <m/>
    <m/>
    <m/>
    <m/>
    <m/>
    <m/>
    <s v="Mike Teixeira"/>
    <m/>
    <s v="01/29/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1/07/2025"/>
    <x v="27"/>
    <n v="5642440"/>
    <s v="Click Here To View"/>
    <s v="Construction"/>
    <n v="1.5299999999999998"/>
    <s v="30.72%"/>
    <s v="0.00%"/>
    <s v="30.72%"/>
    <s v="69.28%"/>
    <m/>
    <n v="0.47"/>
    <n v="1.06"/>
    <n v="1.5299999999999998"/>
    <n v="0.57999999999999996"/>
    <m/>
    <m/>
    <m/>
    <m/>
    <m/>
    <m/>
    <n v="0.47"/>
    <m/>
    <n v="0.48"/>
    <m/>
    <m/>
    <m/>
    <m/>
    <m/>
    <m/>
    <m/>
    <m/>
    <m/>
    <m/>
    <m/>
    <m/>
    <m/>
    <m/>
    <m/>
    <m/>
    <m/>
    <m/>
    <m/>
    <m/>
    <m/>
    <m/>
    <m/>
    <m/>
    <s v="0.00%"/>
    <s v="0.00%"/>
    <s v="0.00%"/>
    <s v="0.00%"/>
    <m/>
    <m/>
    <m/>
    <m/>
    <m/>
    <m/>
    <m/>
    <s v="0.00%"/>
    <s v="0.00%"/>
    <s v="0.00%"/>
    <s v="0.00%"/>
    <m/>
    <m/>
    <m/>
    <m/>
    <m/>
    <m/>
    <m/>
    <m/>
    <m/>
    <m/>
    <m/>
    <m/>
    <m/>
    <m/>
    <m/>
    <m/>
    <m/>
    <s v="Mike Teixeira"/>
    <m/>
    <s v="01/29/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1/13/2025"/>
    <x v="27"/>
    <n v="5646722"/>
    <s v="Click Here To View"/>
    <s v="Construction"/>
    <n v="3.6599999999999993"/>
    <s v="30.87%"/>
    <s v="0.00%"/>
    <s v="30.87%"/>
    <s v="69.13%"/>
    <m/>
    <n v="1.1299999999999999"/>
    <n v="2.5299999999999998"/>
    <n v="3.6599999999999993"/>
    <n v="1.39"/>
    <m/>
    <m/>
    <m/>
    <m/>
    <m/>
    <m/>
    <n v="1.1299999999999999"/>
    <m/>
    <n v="1.1399999999999999"/>
    <m/>
    <m/>
    <m/>
    <m/>
    <m/>
    <m/>
    <m/>
    <m/>
    <m/>
    <m/>
    <m/>
    <m/>
    <m/>
    <m/>
    <m/>
    <m/>
    <m/>
    <m/>
    <m/>
    <m/>
    <m/>
    <m/>
    <m/>
    <m/>
    <s v="0.00%"/>
    <s v="0.00%"/>
    <s v="0.00%"/>
    <s v="0.00%"/>
    <m/>
    <m/>
    <m/>
    <m/>
    <m/>
    <m/>
    <m/>
    <s v="0.00%"/>
    <s v="0.00%"/>
    <s v="0.00%"/>
    <s v="0.00%"/>
    <m/>
    <m/>
    <m/>
    <m/>
    <m/>
    <m/>
    <m/>
    <m/>
    <m/>
    <m/>
    <m/>
    <m/>
    <m/>
    <m/>
    <m/>
    <m/>
    <m/>
    <s v="Mike Teixeira"/>
    <m/>
    <s v="01/29/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1/21/2025"/>
    <x v="27"/>
    <n v="5651885"/>
    <s v="Click Here To View"/>
    <s v="Construction"/>
    <n v="4.4000000000000004"/>
    <s v="30.91%"/>
    <s v="0.00%"/>
    <s v="30.91%"/>
    <s v="69.09%"/>
    <m/>
    <n v="1.36"/>
    <n v="3.04"/>
    <n v="4.4000000000000004"/>
    <n v="1.67"/>
    <m/>
    <m/>
    <m/>
    <m/>
    <m/>
    <m/>
    <n v="1.36"/>
    <m/>
    <n v="1.37"/>
    <m/>
    <m/>
    <m/>
    <m/>
    <m/>
    <m/>
    <m/>
    <m/>
    <m/>
    <m/>
    <m/>
    <m/>
    <m/>
    <m/>
    <m/>
    <m/>
    <m/>
    <m/>
    <m/>
    <m/>
    <m/>
    <m/>
    <m/>
    <m/>
    <s v="0.00%"/>
    <s v="0.00%"/>
    <s v="0.00%"/>
    <s v="0.00%"/>
    <m/>
    <m/>
    <m/>
    <m/>
    <m/>
    <m/>
    <m/>
    <s v="0.00%"/>
    <s v="0.00%"/>
    <s v="0.00%"/>
    <s v="0.00%"/>
    <m/>
    <m/>
    <m/>
    <m/>
    <m/>
    <m/>
    <m/>
    <m/>
    <m/>
    <m/>
    <m/>
    <m/>
    <m/>
    <m/>
    <m/>
    <m/>
    <m/>
    <s v="Mike Teixeira"/>
    <m/>
    <s v="01/29/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1/24/2025"/>
    <x v="27"/>
    <n v="5654343"/>
    <s v="Click Here To View"/>
    <s v="Construction"/>
    <n v="1.6099999999999999"/>
    <s v="31.06%"/>
    <s v="0.00%"/>
    <s v="31.06%"/>
    <s v="68.94%"/>
    <m/>
    <n v="0.5"/>
    <n v="1.1099999999999999"/>
    <n v="1.6099999999999999"/>
    <n v="0.61"/>
    <m/>
    <m/>
    <m/>
    <m/>
    <m/>
    <m/>
    <n v="0.5"/>
    <m/>
    <n v="0.5"/>
    <m/>
    <m/>
    <m/>
    <m/>
    <m/>
    <m/>
    <m/>
    <m/>
    <m/>
    <m/>
    <m/>
    <m/>
    <m/>
    <m/>
    <m/>
    <m/>
    <m/>
    <m/>
    <m/>
    <m/>
    <m/>
    <m/>
    <m/>
    <m/>
    <s v="0.00%"/>
    <s v="0.00%"/>
    <s v="0.00%"/>
    <s v="0.00%"/>
    <m/>
    <m/>
    <m/>
    <m/>
    <m/>
    <m/>
    <m/>
    <s v="0.00%"/>
    <s v="0.00%"/>
    <s v="0.00%"/>
    <s v="0.00%"/>
    <m/>
    <m/>
    <m/>
    <m/>
    <m/>
    <m/>
    <m/>
    <m/>
    <m/>
    <m/>
    <m/>
    <m/>
    <m/>
    <m/>
    <m/>
    <m/>
    <m/>
    <s v="Mike Teixeira"/>
    <m/>
    <s v="01/29/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1/27/2025"/>
    <x v="27"/>
    <n v="5655483"/>
    <s v="Click Here To View"/>
    <s v="Construction"/>
    <n v="3.84"/>
    <s v="30.73%"/>
    <s v="0.00%"/>
    <s v="30.73%"/>
    <s v="69.27%"/>
    <m/>
    <n v="1.18"/>
    <n v="2.66"/>
    <n v="3.84"/>
    <n v="1.46"/>
    <m/>
    <m/>
    <m/>
    <m/>
    <m/>
    <m/>
    <n v="1.18"/>
    <m/>
    <n v="1.2"/>
    <m/>
    <m/>
    <m/>
    <m/>
    <m/>
    <m/>
    <m/>
    <m/>
    <m/>
    <m/>
    <m/>
    <m/>
    <m/>
    <m/>
    <m/>
    <m/>
    <m/>
    <m/>
    <m/>
    <m/>
    <m/>
    <m/>
    <m/>
    <m/>
    <s v="0.00%"/>
    <s v="0.00%"/>
    <s v="0.00%"/>
    <s v="0.00%"/>
    <m/>
    <m/>
    <m/>
    <m/>
    <m/>
    <m/>
    <m/>
    <s v="0.00%"/>
    <s v="0.00%"/>
    <s v="0.00%"/>
    <s v="0.00%"/>
    <m/>
    <m/>
    <m/>
    <m/>
    <m/>
    <m/>
    <m/>
    <m/>
    <m/>
    <m/>
    <m/>
    <m/>
    <m/>
    <m/>
    <m/>
    <m/>
    <m/>
    <s v="Mike Teixeira"/>
    <m/>
    <s v="01/29/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1/31/2025"/>
    <x v="27"/>
    <n v="5659014"/>
    <s v="Click Here To View"/>
    <s v="Construction"/>
    <n v="2.4400000000000004"/>
    <s v="30.74%"/>
    <s v="0.00%"/>
    <s v="30.74%"/>
    <s v="69.26%"/>
    <m/>
    <n v="0.75"/>
    <n v="1.69"/>
    <n v="2.4400000000000004"/>
    <n v="0.93"/>
    <m/>
    <m/>
    <m/>
    <m/>
    <m/>
    <m/>
    <n v="0.75"/>
    <m/>
    <n v="0.76"/>
    <m/>
    <m/>
    <m/>
    <m/>
    <m/>
    <m/>
    <m/>
    <m/>
    <m/>
    <m/>
    <m/>
    <m/>
    <m/>
    <m/>
    <m/>
    <m/>
    <m/>
    <m/>
    <m/>
    <m/>
    <m/>
    <m/>
    <m/>
    <m/>
    <s v="0.00%"/>
    <s v="0.00%"/>
    <s v="0.00%"/>
    <s v="0.00%"/>
    <m/>
    <m/>
    <m/>
    <m/>
    <m/>
    <m/>
    <m/>
    <s v="0.00%"/>
    <s v="0.00%"/>
    <s v="0.00%"/>
    <s v="0.00%"/>
    <m/>
    <m/>
    <m/>
    <m/>
    <m/>
    <m/>
    <m/>
    <m/>
    <m/>
    <m/>
    <m/>
    <m/>
    <m/>
    <m/>
    <m/>
    <m/>
    <m/>
    <s v="Mike Teixeira"/>
    <m/>
    <s v="02/27/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2/03/2025"/>
    <x v="28"/>
    <n v="5659887"/>
    <s v="Click Here To View"/>
    <s v="Construction"/>
    <n v="3.51"/>
    <s v="30.77%"/>
    <s v="0.00%"/>
    <s v="30.77%"/>
    <s v="69.23%"/>
    <m/>
    <n v="1.08"/>
    <n v="2.4300000000000002"/>
    <n v="3.51"/>
    <n v="1.34"/>
    <m/>
    <m/>
    <m/>
    <m/>
    <m/>
    <m/>
    <n v="1.08"/>
    <m/>
    <n v="1.0900000000000001"/>
    <m/>
    <m/>
    <m/>
    <m/>
    <m/>
    <m/>
    <m/>
    <m/>
    <m/>
    <m/>
    <m/>
    <m/>
    <m/>
    <m/>
    <m/>
    <m/>
    <m/>
    <m/>
    <m/>
    <m/>
    <m/>
    <m/>
    <m/>
    <m/>
    <s v="0.00%"/>
    <s v="0.00%"/>
    <s v="0.00%"/>
    <s v="0.00%"/>
    <m/>
    <m/>
    <m/>
    <m/>
    <m/>
    <m/>
    <m/>
    <s v="0.00%"/>
    <s v="0.00%"/>
    <s v="0.00%"/>
    <s v="0.00%"/>
    <m/>
    <m/>
    <m/>
    <m/>
    <m/>
    <m/>
    <m/>
    <m/>
    <m/>
    <m/>
    <m/>
    <m/>
    <m/>
    <m/>
    <m/>
    <m/>
    <m/>
    <s v="Mike Teixeira"/>
    <m/>
    <s v="02/27/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2/05/2025"/>
    <x v="28"/>
    <n v="5662397"/>
    <s v="Click Here To View"/>
    <s v="Construction"/>
    <n v="2.75"/>
    <s v="30.91%"/>
    <s v="0.00%"/>
    <s v="30.91%"/>
    <s v="69.09%"/>
    <m/>
    <n v="0.85"/>
    <n v="1.9"/>
    <n v="2.75"/>
    <n v="1.04"/>
    <m/>
    <m/>
    <m/>
    <m/>
    <m/>
    <m/>
    <n v="0.85"/>
    <m/>
    <n v="0.86"/>
    <m/>
    <m/>
    <m/>
    <m/>
    <m/>
    <m/>
    <m/>
    <m/>
    <m/>
    <m/>
    <m/>
    <m/>
    <m/>
    <m/>
    <m/>
    <m/>
    <m/>
    <m/>
    <m/>
    <m/>
    <m/>
    <m/>
    <m/>
    <m/>
    <s v="0.00%"/>
    <s v="0.00%"/>
    <s v="0.00%"/>
    <s v="0.00%"/>
    <m/>
    <m/>
    <m/>
    <m/>
    <m/>
    <m/>
    <m/>
    <s v="0.00%"/>
    <s v="0.00%"/>
    <s v="0.00%"/>
    <s v="0.00%"/>
    <m/>
    <m/>
    <m/>
    <m/>
    <m/>
    <m/>
    <m/>
    <m/>
    <m/>
    <m/>
    <m/>
    <m/>
    <m/>
    <m/>
    <m/>
    <m/>
    <m/>
    <s v="Mike Teixeira"/>
    <m/>
    <s v="02/27/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2/18/2025"/>
    <x v="28"/>
    <n v="5668425"/>
    <s v="Click Here To View"/>
    <s v="Construction"/>
    <n v="1.45"/>
    <s v="31.03%"/>
    <s v="0.00%"/>
    <s v="31.03%"/>
    <s v="68.97%"/>
    <m/>
    <n v="0.45"/>
    <n v="1"/>
    <n v="1.45"/>
    <n v="0.55000000000000004"/>
    <m/>
    <m/>
    <m/>
    <m/>
    <m/>
    <m/>
    <n v="0.45"/>
    <m/>
    <n v="0.45"/>
    <m/>
    <m/>
    <m/>
    <m/>
    <m/>
    <m/>
    <m/>
    <m/>
    <m/>
    <m/>
    <m/>
    <m/>
    <m/>
    <m/>
    <m/>
    <m/>
    <m/>
    <m/>
    <m/>
    <m/>
    <m/>
    <m/>
    <m/>
    <m/>
    <s v="0.00%"/>
    <s v="0.00%"/>
    <s v="0.00%"/>
    <s v="0.00%"/>
    <m/>
    <m/>
    <m/>
    <m/>
    <m/>
    <m/>
    <m/>
    <s v="0.00%"/>
    <s v="0.00%"/>
    <s v="0.00%"/>
    <s v="0.00%"/>
    <m/>
    <m/>
    <m/>
    <m/>
    <m/>
    <m/>
    <m/>
    <m/>
    <m/>
    <m/>
    <m/>
    <m/>
    <m/>
    <m/>
    <m/>
    <m/>
    <m/>
    <s v="Mike Teixeira"/>
    <m/>
    <s v="02/27/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3/06/2025"/>
    <x v="35"/>
    <n v="5677793"/>
    <s v="Click Here To View"/>
    <s v="Construction"/>
    <n v="0.69"/>
    <s v="30.43%"/>
    <s v="0.00%"/>
    <s v="30.43%"/>
    <s v="69.57%"/>
    <m/>
    <n v="0.21"/>
    <n v="0.48"/>
    <n v="0.69"/>
    <n v="0.27"/>
    <m/>
    <m/>
    <m/>
    <m/>
    <m/>
    <m/>
    <n v="0.21"/>
    <m/>
    <n v="0.21"/>
    <m/>
    <m/>
    <m/>
    <m/>
    <m/>
    <m/>
    <m/>
    <m/>
    <m/>
    <m/>
    <m/>
    <m/>
    <m/>
    <m/>
    <m/>
    <m/>
    <m/>
    <m/>
    <m/>
    <m/>
    <m/>
    <m/>
    <m/>
    <m/>
    <s v="0.00%"/>
    <s v="0.00%"/>
    <s v="0.00%"/>
    <s v="0.00%"/>
    <m/>
    <m/>
    <m/>
    <m/>
    <m/>
    <m/>
    <m/>
    <s v="0.00%"/>
    <s v="0.00%"/>
    <s v="0.00%"/>
    <s v="0.00%"/>
    <m/>
    <m/>
    <m/>
    <m/>
    <m/>
    <m/>
    <m/>
    <m/>
    <m/>
    <m/>
    <m/>
    <m/>
    <m/>
    <m/>
    <m/>
    <m/>
    <m/>
    <s v="Mike Teixeira"/>
    <m/>
    <s v="03/31/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3/06/2025"/>
    <x v="35"/>
    <n v="5677720"/>
    <s v="Click Here To View"/>
    <s v="Construction"/>
    <n v="3"/>
    <s v="30.67%"/>
    <s v="0.00%"/>
    <s v="30.67%"/>
    <s v="69.33%"/>
    <m/>
    <n v="0.92"/>
    <n v="2.08"/>
    <n v="3"/>
    <n v="1.1499999999999999"/>
    <m/>
    <m/>
    <m/>
    <m/>
    <m/>
    <m/>
    <n v="0.92"/>
    <m/>
    <n v="0.93"/>
    <m/>
    <m/>
    <m/>
    <m/>
    <m/>
    <m/>
    <m/>
    <m/>
    <m/>
    <m/>
    <m/>
    <m/>
    <m/>
    <m/>
    <m/>
    <m/>
    <m/>
    <m/>
    <m/>
    <m/>
    <m/>
    <m/>
    <m/>
    <m/>
    <s v="0.00%"/>
    <s v="0.00%"/>
    <s v="0.00%"/>
    <s v="0.00%"/>
    <m/>
    <m/>
    <m/>
    <m/>
    <m/>
    <m/>
    <m/>
    <s v="0.00%"/>
    <s v="0.00%"/>
    <s v="0.00%"/>
    <s v="0.00%"/>
    <m/>
    <m/>
    <m/>
    <m/>
    <m/>
    <m/>
    <m/>
    <m/>
    <m/>
    <m/>
    <m/>
    <m/>
    <m/>
    <m/>
    <m/>
    <m/>
    <m/>
    <s v="Mike Teixeira"/>
    <m/>
    <s v="03/31/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3/07/2025"/>
    <x v="35"/>
    <n v="5678758"/>
    <s v="Click Here To View"/>
    <s v="Construction"/>
    <n v="2.4500000000000002"/>
    <s v="31.02%"/>
    <s v="0.00%"/>
    <s v="31.02%"/>
    <s v="68.98%"/>
    <m/>
    <n v="0.76"/>
    <n v="1.69"/>
    <n v="2.4500000000000002"/>
    <n v="0.93"/>
    <m/>
    <m/>
    <m/>
    <m/>
    <m/>
    <m/>
    <n v="0.76"/>
    <m/>
    <n v="0.76"/>
    <m/>
    <m/>
    <m/>
    <m/>
    <m/>
    <m/>
    <m/>
    <m/>
    <m/>
    <m/>
    <m/>
    <m/>
    <m/>
    <m/>
    <m/>
    <m/>
    <m/>
    <m/>
    <m/>
    <m/>
    <m/>
    <m/>
    <m/>
    <m/>
    <s v="0.00%"/>
    <s v="0.00%"/>
    <s v="0.00%"/>
    <s v="0.00%"/>
    <m/>
    <m/>
    <m/>
    <m/>
    <m/>
    <m/>
    <m/>
    <s v="0.00%"/>
    <s v="0.00%"/>
    <s v="0.00%"/>
    <s v="0.00%"/>
    <m/>
    <m/>
    <m/>
    <m/>
    <m/>
    <m/>
    <m/>
    <m/>
    <m/>
    <m/>
    <m/>
    <m/>
    <m/>
    <m/>
    <m/>
    <m/>
    <m/>
    <s v="Mike Teixeira"/>
    <m/>
    <s v="03/31/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3/10/2025"/>
    <x v="35"/>
    <n v="5679800"/>
    <s v="Click Here To View"/>
    <s v="Construction"/>
    <n v="1.04"/>
    <s v="30.77%"/>
    <s v="0.00%"/>
    <s v="30.77%"/>
    <s v="69.23%"/>
    <m/>
    <n v="0.32"/>
    <n v="0.72"/>
    <n v="1.04"/>
    <n v="0.4"/>
    <m/>
    <m/>
    <m/>
    <m/>
    <m/>
    <m/>
    <n v="0.32"/>
    <m/>
    <n v="0.32"/>
    <m/>
    <m/>
    <m/>
    <m/>
    <m/>
    <m/>
    <m/>
    <m/>
    <m/>
    <m/>
    <m/>
    <m/>
    <m/>
    <m/>
    <m/>
    <m/>
    <m/>
    <m/>
    <m/>
    <m/>
    <m/>
    <m/>
    <m/>
    <m/>
    <s v="0.00%"/>
    <s v="0.00%"/>
    <s v="0.00%"/>
    <s v="0.00%"/>
    <m/>
    <m/>
    <m/>
    <m/>
    <m/>
    <m/>
    <m/>
    <s v="0.00%"/>
    <s v="0.00%"/>
    <s v="0.00%"/>
    <s v="0.00%"/>
    <m/>
    <m/>
    <m/>
    <m/>
    <m/>
    <m/>
    <m/>
    <m/>
    <m/>
    <m/>
    <m/>
    <m/>
    <m/>
    <m/>
    <m/>
    <m/>
    <m/>
    <s v="Mike Teixeira"/>
    <m/>
    <s v="03/31/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3/12/2025"/>
    <x v="35"/>
    <n v="5681113"/>
    <s v="Click Here To View"/>
    <s v="Construction"/>
    <n v="3.8299999999999996"/>
    <s v="30.81%"/>
    <s v="0.00%"/>
    <s v="30.81%"/>
    <s v="69.19%"/>
    <m/>
    <n v="1.18"/>
    <n v="2.65"/>
    <n v="3.8299999999999996"/>
    <n v="1.46"/>
    <m/>
    <m/>
    <m/>
    <m/>
    <m/>
    <m/>
    <n v="1.18"/>
    <m/>
    <n v="1.19"/>
    <m/>
    <m/>
    <m/>
    <m/>
    <m/>
    <m/>
    <m/>
    <m/>
    <m/>
    <m/>
    <m/>
    <m/>
    <m/>
    <m/>
    <m/>
    <m/>
    <m/>
    <m/>
    <m/>
    <m/>
    <m/>
    <m/>
    <m/>
    <m/>
    <s v="0.00%"/>
    <s v="0.00%"/>
    <s v="0.00%"/>
    <s v="0.00%"/>
    <m/>
    <m/>
    <m/>
    <m/>
    <m/>
    <m/>
    <m/>
    <s v="0.00%"/>
    <s v="0.00%"/>
    <s v="0.00%"/>
    <s v="0.00%"/>
    <m/>
    <m/>
    <m/>
    <m/>
    <m/>
    <m/>
    <m/>
    <m/>
    <m/>
    <m/>
    <m/>
    <m/>
    <m/>
    <m/>
    <m/>
    <m/>
    <m/>
    <s v="Mike Teixeira"/>
    <m/>
    <s v="03/31/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4/02/2025"/>
    <x v="29"/>
    <n v="5693914"/>
    <s v="Click Here To View"/>
    <s v="Construction"/>
    <n v="1"/>
    <s v="31.00%"/>
    <s v="0.00%"/>
    <s v="31.00%"/>
    <s v="69.00%"/>
    <m/>
    <n v="0.31"/>
    <n v="0.69"/>
    <n v="1"/>
    <n v="0.38"/>
    <m/>
    <m/>
    <m/>
    <m/>
    <m/>
    <m/>
    <n v="0.31"/>
    <m/>
    <n v="0.31"/>
    <m/>
    <m/>
    <m/>
    <m/>
    <m/>
    <m/>
    <m/>
    <m/>
    <m/>
    <m/>
    <m/>
    <m/>
    <m/>
    <m/>
    <m/>
    <m/>
    <m/>
    <m/>
    <m/>
    <m/>
    <m/>
    <m/>
    <m/>
    <m/>
    <s v="0.00%"/>
    <s v="0.00%"/>
    <s v="0.00%"/>
    <s v="0.00%"/>
    <m/>
    <m/>
    <m/>
    <m/>
    <m/>
    <m/>
    <m/>
    <s v="0.00%"/>
    <s v="0.00%"/>
    <s v="0.00%"/>
    <s v="0.00%"/>
    <m/>
    <m/>
    <m/>
    <m/>
    <m/>
    <m/>
    <m/>
    <m/>
    <m/>
    <m/>
    <m/>
    <m/>
    <m/>
    <m/>
    <m/>
    <m/>
    <m/>
    <s v="Mike Teixeira"/>
    <m/>
    <s v="05/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4/02/2025"/>
    <x v="29"/>
    <n v="5693945"/>
    <s v="Click Here To View"/>
    <s v="Construction"/>
    <n v="1.9099999999999997"/>
    <s v="30.89%"/>
    <s v="0.00%"/>
    <s v="30.89%"/>
    <s v="69.11%"/>
    <m/>
    <n v="0.59"/>
    <n v="1.3199999999999998"/>
    <n v="1.9099999999999997"/>
    <n v="0.73"/>
    <m/>
    <m/>
    <m/>
    <m/>
    <m/>
    <m/>
    <n v="0.59"/>
    <m/>
    <n v="0.59"/>
    <m/>
    <m/>
    <m/>
    <m/>
    <m/>
    <m/>
    <m/>
    <m/>
    <m/>
    <m/>
    <m/>
    <m/>
    <m/>
    <m/>
    <m/>
    <m/>
    <m/>
    <m/>
    <m/>
    <m/>
    <m/>
    <m/>
    <m/>
    <m/>
    <s v="0.00%"/>
    <s v="0.00%"/>
    <s v="0.00%"/>
    <s v="0.00%"/>
    <m/>
    <m/>
    <m/>
    <m/>
    <m/>
    <m/>
    <m/>
    <s v="0.00%"/>
    <s v="0.00%"/>
    <s v="0.00%"/>
    <s v="0.00%"/>
    <m/>
    <m/>
    <m/>
    <m/>
    <m/>
    <m/>
    <m/>
    <m/>
    <m/>
    <m/>
    <m/>
    <m/>
    <m/>
    <m/>
    <m/>
    <m/>
    <m/>
    <s v="Mike Teixeira"/>
    <m/>
    <s v="05/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4/07/2025"/>
    <x v="29"/>
    <n v="5696060"/>
    <s v="Click Here To View"/>
    <s v="Construction"/>
    <n v="6.14"/>
    <s v="30.78%"/>
    <s v="0.00%"/>
    <s v="30.78%"/>
    <s v="69.22%"/>
    <m/>
    <n v="1.89"/>
    <n v="4.25"/>
    <n v="6.14"/>
    <n v="2.34"/>
    <m/>
    <m/>
    <m/>
    <m/>
    <m/>
    <m/>
    <n v="1.89"/>
    <m/>
    <n v="1.91"/>
    <m/>
    <m/>
    <m/>
    <m/>
    <m/>
    <m/>
    <m/>
    <m/>
    <m/>
    <m/>
    <m/>
    <m/>
    <m/>
    <m/>
    <m/>
    <m/>
    <m/>
    <m/>
    <m/>
    <m/>
    <m/>
    <m/>
    <m/>
    <m/>
    <s v="0.00%"/>
    <s v="0.00%"/>
    <s v="0.00%"/>
    <s v="0.00%"/>
    <m/>
    <m/>
    <m/>
    <m/>
    <m/>
    <m/>
    <m/>
    <s v="0.00%"/>
    <s v="0.00%"/>
    <s v="0.00%"/>
    <s v="0.00%"/>
    <m/>
    <m/>
    <m/>
    <m/>
    <m/>
    <m/>
    <m/>
    <m/>
    <m/>
    <m/>
    <m/>
    <m/>
    <m/>
    <m/>
    <m/>
    <m/>
    <m/>
    <s v="Mike Teixeira"/>
    <m/>
    <s v="05/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4/14/2025"/>
    <x v="29"/>
    <n v="1850594"/>
    <s v="Click Here To View"/>
    <s v="Construction"/>
    <n v="2.66"/>
    <s v="30.83%"/>
    <s v="0.00%"/>
    <s v="30.83%"/>
    <s v="69.17%"/>
    <m/>
    <n v="0.82"/>
    <n v="1.8399999999999999"/>
    <n v="2.66"/>
    <n v="1.01"/>
    <m/>
    <m/>
    <m/>
    <m/>
    <m/>
    <m/>
    <n v="0.82"/>
    <m/>
    <n v="0.83"/>
    <m/>
    <m/>
    <m/>
    <m/>
    <m/>
    <m/>
    <m/>
    <m/>
    <m/>
    <m/>
    <m/>
    <m/>
    <m/>
    <m/>
    <m/>
    <m/>
    <m/>
    <m/>
    <m/>
    <m/>
    <m/>
    <m/>
    <m/>
    <m/>
    <s v="0.00%"/>
    <s v="0.00%"/>
    <s v="0.00%"/>
    <s v="0.00%"/>
    <m/>
    <m/>
    <m/>
    <m/>
    <m/>
    <m/>
    <m/>
    <s v="0.00%"/>
    <s v="0.00%"/>
    <s v="0.00%"/>
    <s v="0.00%"/>
    <m/>
    <m/>
    <m/>
    <m/>
    <m/>
    <m/>
    <m/>
    <m/>
    <m/>
    <m/>
    <m/>
    <m/>
    <m/>
    <m/>
    <m/>
    <m/>
    <m/>
    <s v="Mike Teixeira"/>
    <m/>
    <s v="05/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4/18/2025"/>
    <x v="29"/>
    <n v="5703750"/>
    <s v="Click Here To View"/>
    <s v="Construction"/>
    <n v="4"/>
    <s v="30.75%"/>
    <s v="0.00%"/>
    <s v="30.75%"/>
    <s v="69.25%"/>
    <m/>
    <n v="1.23"/>
    <n v="2.77"/>
    <n v="4"/>
    <n v="1.52"/>
    <m/>
    <m/>
    <m/>
    <m/>
    <m/>
    <m/>
    <n v="1.23"/>
    <m/>
    <n v="1.25"/>
    <m/>
    <m/>
    <m/>
    <m/>
    <m/>
    <m/>
    <m/>
    <m/>
    <m/>
    <m/>
    <m/>
    <m/>
    <m/>
    <m/>
    <m/>
    <m/>
    <m/>
    <m/>
    <m/>
    <m/>
    <m/>
    <m/>
    <m/>
    <m/>
    <s v="0.00%"/>
    <s v="0.00%"/>
    <s v="0.00%"/>
    <s v="0.00%"/>
    <m/>
    <m/>
    <m/>
    <m/>
    <m/>
    <m/>
    <m/>
    <s v="0.00%"/>
    <s v="0.00%"/>
    <s v="0.00%"/>
    <s v="0.00%"/>
    <m/>
    <m/>
    <m/>
    <m/>
    <m/>
    <m/>
    <m/>
    <m/>
    <m/>
    <m/>
    <m/>
    <m/>
    <m/>
    <m/>
    <m/>
    <m/>
    <m/>
    <s v="Mike Teixeira"/>
    <m/>
    <s v="05/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4/19/2025"/>
    <x v="29"/>
    <n v="5703995"/>
    <s v="Click Here To View"/>
    <s v="Construction"/>
    <n v="2.2400000000000002"/>
    <s v="30.80%"/>
    <s v="0.00%"/>
    <s v="30.80%"/>
    <s v="69.20%"/>
    <m/>
    <n v="0.69"/>
    <n v="1.5499999999999998"/>
    <n v="2.2400000000000002"/>
    <n v="0.85"/>
    <m/>
    <m/>
    <m/>
    <m/>
    <m/>
    <m/>
    <n v="0.69"/>
    <m/>
    <n v="0.7"/>
    <m/>
    <m/>
    <m/>
    <m/>
    <m/>
    <m/>
    <m/>
    <m/>
    <m/>
    <m/>
    <m/>
    <m/>
    <m/>
    <m/>
    <m/>
    <m/>
    <m/>
    <m/>
    <m/>
    <m/>
    <m/>
    <m/>
    <m/>
    <m/>
    <s v="0.00%"/>
    <s v="0.00%"/>
    <s v="0.00%"/>
    <s v="0.00%"/>
    <m/>
    <m/>
    <m/>
    <m/>
    <m/>
    <m/>
    <m/>
    <s v="0.00%"/>
    <s v="0.00%"/>
    <s v="0.00%"/>
    <s v="0.00%"/>
    <m/>
    <m/>
    <m/>
    <m/>
    <m/>
    <m/>
    <m/>
    <m/>
    <m/>
    <m/>
    <m/>
    <m/>
    <m/>
    <m/>
    <m/>
    <m/>
    <m/>
    <s v="Mike Teixeira"/>
    <m/>
    <s v="05/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4/23/2025"/>
    <x v="29"/>
    <n v="5706312"/>
    <s v="Click Here To View"/>
    <s v="Construction"/>
    <n v="2.09"/>
    <s v="30.62%"/>
    <s v="0.00%"/>
    <s v="30.62%"/>
    <s v="69.38%"/>
    <m/>
    <n v="0.64"/>
    <n v="1.4500000000000002"/>
    <n v="2.09"/>
    <n v="0.8"/>
    <m/>
    <m/>
    <m/>
    <m/>
    <m/>
    <m/>
    <n v="0.64"/>
    <m/>
    <n v="0.65"/>
    <m/>
    <m/>
    <m/>
    <m/>
    <m/>
    <m/>
    <m/>
    <m/>
    <m/>
    <m/>
    <m/>
    <m/>
    <m/>
    <m/>
    <m/>
    <m/>
    <m/>
    <m/>
    <m/>
    <m/>
    <m/>
    <m/>
    <m/>
    <m/>
    <s v="0.00%"/>
    <s v="0.00%"/>
    <s v="0.00%"/>
    <s v="0.00%"/>
    <m/>
    <m/>
    <m/>
    <m/>
    <m/>
    <m/>
    <m/>
    <s v="0.00%"/>
    <s v="0.00%"/>
    <s v="0.00%"/>
    <s v="0.00%"/>
    <m/>
    <m/>
    <m/>
    <m/>
    <m/>
    <m/>
    <m/>
    <m/>
    <m/>
    <m/>
    <m/>
    <m/>
    <m/>
    <m/>
    <m/>
    <m/>
    <m/>
    <s v="Mike Teixeira"/>
    <m/>
    <s v="05/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4/28/2025"/>
    <x v="29"/>
    <n v="570892"/>
    <s v="Click Here To View"/>
    <s v="Construction"/>
    <n v="2.08"/>
    <s v="30.77%"/>
    <s v="0.00%"/>
    <s v="30.77%"/>
    <s v="69.23%"/>
    <m/>
    <n v="0.64"/>
    <n v="1.44"/>
    <n v="2.08"/>
    <n v="0.79"/>
    <m/>
    <m/>
    <m/>
    <m/>
    <m/>
    <m/>
    <n v="0.64"/>
    <m/>
    <n v="0.65"/>
    <m/>
    <m/>
    <m/>
    <m/>
    <m/>
    <m/>
    <m/>
    <m/>
    <m/>
    <m/>
    <m/>
    <m/>
    <m/>
    <m/>
    <m/>
    <m/>
    <m/>
    <m/>
    <m/>
    <m/>
    <m/>
    <m/>
    <m/>
    <m/>
    <s v="0.00%"/>
    <s v="0.00%"/>
    <s v="0.00%"/>
    <s v="0.00%"/>
    <m/>
    <m/>
    <m/>
    <m/>
    <m/>
    <m/>
    <m/>
    <s v="0.00%"/>
    <s v="0.00%"/>
    <s v="0.00%"/>
    <s v="0.00%"/>
    <m/>
    <m/>
    <m/>
    <m/>
    <m/>
    <m/>
    <m/>
    <m/>
    <m/>
    <m/>
    <m/>
    <m/>
    <m/>
    <m/>
    <m/>
    <m/>
    <m/>
    <s v="Mike Teixeira"/>
    <m/>
    <s v="06/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4/30/2025"/>
    <x v="29"/>
    <n v="5710343"/>
    <s v="Click Here To View"/>
    <s v="Construction"/>
    <n v="4.01"/>
    <s v="30.92%"/>
    <s v="0.00%"/>
    <s v="30.92%"/>
    <s v="69.08%"/>
    <m/>
    <n v="1.24"/>
    <n v="2.77"/>
    <n v="4.01"/>
    <n v="1.52"/>
    <m/>
    <m/>
    <m/>
    <m/>
    <m/>
    <m/>
    <n v="1.24"/>
    <m/>
    <n v="1.25"/>
    <m/>
    <m/>
    <m/>
    <m/>
    <m/>
    <m/>
    <m/>
    <m/>
    <m/>
    <m/>
    <m/>
    <m/>
    <m/>
    <m/>
    <m/>
    <m/>
    <m/>
    <m/>
    <m/>
    <m/>
    <m/>
    <m/>
    <m/>
    <m/>
    <s v="0.00%"/>
    <s v="0.00%"/>
    <s v="0.00%"/>
    <s v="0.00%"/>
    <m/>
    <m/>
    <m/>
    <m/>
    <m/>
    <m/>
    <m/>
    <s v="0.00%"/>
    <s v="0.00%"/>
    <s v="0.00%"/>
    <s v="0.00%"/>
    <m/>
    <m/>
    <m/>
    <m/>
    <m/>
    <m/>
    <m/>
    <m/>
    <m/>
    <m/>
    <m/>
    <m/>
    <m/>
    <m/>
    <m/>
    <m/>
    <m/>
    <s v="Mike Teixeira"/>
    <m/>
    <s v="06/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4/30/2025"/>
    <x v="29"/>
    <n v="5710512"/>
    <s v="Click Here To View"/>
    <s v="Construction"/>
    <n v="1.0900000000000001"/>
    <s v="31.19%"/>
    <s v="0.00%"/>
    <s v="31.19%"/>
    <s v="68.81%"/>
    <m/>
    <n v="0.34"/>
    <n v="0.75"/>
    <n v="1.0900000000000001"/>
    <n v="0.41"/>
    <m/>
    <m/>
    <m/>
    <m/>
    <m/>
    <m/>
    <n v="0.34"/>
    <m/>
    <n v="0.34"/>
    <m/>
    <m/>
    <m/>
    <m/>
    <m/>
    <m/>
    <m/>
    <m/>
    <m/>
    <m/>
    <m/>
    <m/>
    <m/>
    <m/>
    <m/>
    <m/>
    <m/>
    <m/>
    <m/>
    <m/>
    <m/>
    <m/>
    <m/>
    <m/>
    <s v="0.00%"/>
    <s v="0.00%"/>
    <s v="0.00%"/>
    <s v="0.00%"/>
    <m/>
    <m/>
    <m/>
    <m/>
    <m/>
    <m/>
    <m/>
    <s v="0.00%"/>
    <s v="0.00%"/>
    <s v="0.00%"/>
    <s v="0.00%"/>
    <m/>
    <m/>
    <m/>
    <m/>
    <m/>
    <m/>
    <m/>
    <m/>
    <m/>
    <m/>
    <m/>
    <m/>
    <m/>
    <m/>
    <m/>
    <m/>
    <m/>
    <s v="Mike Teixeira"/>
    <m/>
    <s v="06/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5/05/2025"/>
    <x v="30"/>
    <n v="5712460"/>
    <s v="Click Here To View"/>
    <s v="Construction"/>
    <n v="2.21"/>
    <s v="30.77%"/>
    <s v="0.00%"/>
    <s v="30.77%"/>
    <s v="69.23%"/>
    <m/>
    <n v="0.68"/>
    <n v="1.5299999999999998"/>
    <n v="2.21"/>
    <n v="0.84"/>
    <m/>
    <m/>
    <m/>
    <m/>
    <m/>
    <m/>
    <n v="0.68"/>
    <m/>
    <n v="0.69"/>
    <m/>
    <m/>
    <m/>
    <m/>
    <m/>
    <m/>
    <m/>
    <m/>
    <m/>
    <m/>
    <m/>
    <m/>
    <m/>
    <m/>
    <m/>
    <m/>
    <m/>
    <m/>
    <m/>
    <m/>
    <m/>
    <m/>
    <m/>
    <m/>
    <s v="0.00%"/>
    <s v="0.00%"/>
    <s v="0.00%"/>
    <s v="0.00%"/>
    <m/>
    <m/>
    <m/>
    <m/>
    <m/>
    <m/>
    <m/>
    <s v="0.00%"/>
    <s v="0.00%"/>
    <s v="0.00%"/>
    <s v="0.00%"/>
    <m/>
    <m/>
    <m/>
    <m/>
    <m/>
    <m/>
    <m/>
    <m/>
    <m/>
    <m/>
    <m/>
    <m/>
    <m/>
    <m/>
    <m/>
    <m/>
    <m/>
    <s v="Mike Teixeira"/>
    <m/>
    <s v="06/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5/06/2025"/>
    <x v="30"/>
    <n v="5713699"/>
    <s v="Click Here To View"/>
    <s v="Construction"/>
    <n v="4.34"/>
    <s v="30.88%"/>
    <s v="0.00%"/>
    <s v="30.88%"/>
    <s v="69.12%"/>
    <m/>
    <n v="1.34"/>
    <n v="3"/>
    <n v="4.34"/>
    <n v="1.65"/>
    <m/>
    <m/>
    <m/>
    <m/>
    <m/>
    <m/>
    <n v="1.34"/>
    <m/>
    <n v="1.35"/>
    <m/>
    <m/>
    <m/>
    <m/>
    <m/>
    <m/>
    <m/>
    <m/>
    <m/>
    <m/>
    <m/>
    <m/>
    <m/>
    <m/>
    <m/>
    <m/>
    <m/>
    <m/>
    <m/>
    <m/>
    <m/>
    <m/>
    <m/>
    <m/>
    <s v="0.00%"/>
    <s v="0.00%"/>
    <s v="0.00%"/>
    <s v="0.00%"/>
    <m/>
    <m/>
    <m/>
    <m/>
    <m/>
    <m/>
    <m/>
    <s v="0.00%"/>
    <s v="0.00%"/>
    <s v="0.00%"/>
    <s v="0.00%"/>
    <m/>
    <m/>
    <m/>
    <m/>
    <m/>
    <m/>
    <m/>
    <m/>
    <m/>
    <m/>
    <m/>
    <m/>
    <m/>
    <m/>
    <m/>
    <m/>
    <m/>
    <s v="Mike Teixeira"/>
    <m/>
    <s v="06/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5/07/2025"/>
    <x v="30"/>
    <n v="5714566"/>
    <s v="Click Here To View"/>
    <s v="Construction"/>
    <n v="2.95"/>
    <s v="30.85%"/>
    <s v="0.00%"/>
    <s v="30.85%"/>
    <s v="69.15%"/>
    <m/>
    <n v="0.91"/>
    <n v="2.04"/>
    <n v="2.95"/>
    <n v="1.1200000000000001"/>
    <m/>
    <m/>
    <m/>
    <m/>
    <m/>
    <m/>
    <n v="0.91"/>
    <m/>
    <n v="0.92"/>
    <m/>
    <m/>
    <m/>
    <m/>
    <m/>
    <m/>
    <m/>
    <m/>
    <m/>
    <m/>
    <m/>
    <m/>
    <m/>
    <m/>
    <m/>
    <m/>
    <m/>
    <m/>
    <m/>
    <m/>
    <m/>
    <m/>
    <m/>
    <m/>
    <s v="0.00%"/>
    <s v="0.00%"/>
    <s v="0.00%"/>
    <s v="0.00%"/>
    <m/>
    <m/>
    <m/>
    <m/>
    <m/>
    <m/>
    <m/>
    <s v="0.00%"/>
    <s v="0.00%"/>
    <s v="0.00%"/>
    <s v="0.00%"/>
    <m/>
    <m/>
    <m/>
    <m/>
    <m/>
    <m/>
    <m/>
    <m/>
    <m/>
    <m/>
    <m/>
    <m/>
    <m/>
    <m/>
    <m/>
    <m/>
    <m/>
    <s v="Mike Teixeira"/>
    <m/>
    <s v="06/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5/15/2025"/>
    <x v="30"/>
    <n v="5719040"/>
    <s v="Click Here To View"/>
    <s v="Construction"/>
    <n v="3.87"/>
    <s v="30.75%"/>
    <s v="0.00%"/>
    <s v="30.75%"/>
    <s v="69.25%"/>
    <m/>
    <n v="1.19"/>
    <n v="2.6799999999999997"/>
    <n v="3.87"/>
    <n v="1.47"/>
    <m/>
    <m/>
    <m/>
    <m/>
    <m/>
    <m/>
    <n v="1.19"/>
    <m/>
    <n v="1.21"/>
    <m/>
    <m/>
    <m/>
    <m/>
    <m/>
    <m/>
    <m/>
    <m/>
    <m/>
    <m/>
    <m/>
    <m/>
    <m/>
    <m/>
    <m/>
    <m/>
    <m/>
    <m/>
    <m/>
    <m/>
    <m/>
    <m/>
    <m/>
    <m/>
    <s v="0.00%"/>
    <s v="0.00%"/>
    <s v="0.00%"/>
    <s v="0.00%"/>
    <m/>
    <m/>
    <m/>
    <m/>
    <m/>
    <m/>
    <m/>
    <s v="0.00%"/>
    <s v="0.00%"/>
    <s v="0.00%"/>
    <s v="0.00%"/>
    <m/>
    <m/>
    <m/>
    <m/>
    <m/>
    <m/>
    <m/>
    <m/>
    <m/>
    <m/>
    <m/>
    <m/>
    <m/>
    <m/>
    <m/>
    <m/>
    <m/>
    <s v="Mike Teixeira"/>
    <m/>
    <s v="06/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5/19/2025"/>
    <x v="30"/>
    <n v="5721203"/>
    <s v="Click Here To View"/>
    <s v="Construction"/>
    <n v="1.3"/>
    <s v="30.77%"/>
    <s v="0.00%"/>
    <s v="30.77%"/>
    <s v="69.23%"/>
    <m/>
    <n v="0.4"/>
    <n v="0.9"/>
    <n v="1.3"/>
    <n v="0.5"/>
    <m/>
    <m/>
    <m/>
    <m/>
    <m/>
    <m/>
    <n v="0.4"/>
    <m/>
    <n v="0.4"/>
    <m/>
    <m/>
    <m/>
    <m/>
    <m/>
    <m/>
    <m/>
    <m/>
    <m/>
    <m/>
    <m/>
    <m/>
    <m/>
    <m/>
    <m/>
    <m/>
    <m/>
    <m/>
    <m/>
    <m/>
    <m/>
    <m/>
    <m/>
    <m/>
    <s v="0.00%"/>
    <s v="0.00%"/>
    <s v="0.00%"/>
    <s v="0.00%"/>
    <m/>
    <m/>
    <m/>
    <m/>
    <m/>
    <m/>
    <m/>
    <s v="0.00%"/>
    <s v="0.00%"/>
    <s v="0.00%"/>
    <s v="0.00%"/>
    <m/>
    <m/>
    <m/>
    <m/>
    <m/>
    <m/>
    <m/>
    <m/>
    <m/>
    <m/>
    <m/>
    <m/>
    <m/>
    <m/>
    <m/>
    <m/>
    <m/>
    <s v="Mike Teixeira"/>
    <m/>
    <s v="06/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5/21/2025"/>
    <x v="30"/>
    <n v="5722686"/>
    <s v="Click Here To View"/>
    <s v="Construction"/>
    <n v="3.13"/>
    <s v="30.67%"/>
    <s v="0.00%"/>
    <s v="30.67%"/>
    <s v="69.33%"/>
    <m/>
    <n v="0.96"/>
    <n v="2.17"/>
    <n v="3.13"/>
    <n v="1.2"/>
    <m/>
    <m/>
    <m/>
    <m/>
    <m/>
    <m/>
    <n v="0.96"/>
    <m/>
    <n v="0.97"/>
    <m/>
    <m/>
    <m/>
    <m/>
    <m/>
    <m/>
    <m/>
    <m/>
    <m/>
    <m/>
    <m/>
    <m/>
    <m/>
    <m/>
    <m/>
    <m/>
    <m/>
    <m/>
    <m/>
    <m/>
    <m/>
    <m/>
    <m/>
    <m/>
    <s v="0.00%"/>
    <s v="0.00%"/>
    <s v="0.00%"/>
    <s v="0.00%"/>
    <m/>
    <m/>
    <m/>
    <m/>
    <m/>
    <m/>
    <m/>
    <s v="0.00%"/>
    <s v="0.00%"/>
    <s v="0.00%"/>
    <s v="0.00%"/>
    <m/>
    <m/>
    <m/>
    <m/>
    <m/>
    <m/>
    <m/>
    <m/>
    <m/>
    <m/>
    <m/>
    <m/>
    <m/>
    <m/>
    <m/>
    <m/>
    <m/>
    <s v="Mike Teixeira"/>
    <m/>
    <s v="06/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5/22/2025"/>
    <x v="30"/>
    <n v="5723247"/>
    <s v="Click Here To View"/>
    <s v="Construction"/>
    <n v="2.9200000000000004"/>
    <s v="30.82%"/>
    <s v="0.00%"/>
    <s v="30.82%"/>
    <s v="69.18%"/>
    <m/>
    <n v="0.9"/>
    <n v="2.02"/>
    <n v="2.9200000000000004"/>
    <n v="1.1100000000000001"/>
    <m/>
    <m/>
    <m/>
    <m/>
    <m/>
    <m/>
    <n v="0.9"/>
    <m/>
    <n v="0.91"/>
    <m/>
    <m/>
    <m/>
    <m/>
    <m/>
    <m/>
    <m/>
    <m/>
    <m/>
    <m/>
    <m/>
    <m/>
    <m/>
    <m/>
    <m/>
    <m/>
    <m/>
    <m/>
    <m/>
    <m/>
    <m/>
    <m/>
    <m/>
    <m/>
    <s v="0.00%"/>
    <s v="0.00%"/>
    <s v="0.00%"/>
    <s v="0.00%"/>
    <m/>
    <m/>
    <m/>
    <m/>
    <m/>
    <m/>
    <m/>
    <s v="0.00%"/>
    <s v="0.00%"/>
    <s v="0.00%"/>
    <s v="0.00%"/>
    <m/>
    <m/>
    <m/>
    <m/>
    <m/>
    <m/>
    <m/>
    <m/>
    <m/>
    <m/>
    <m/>
    <m/>
    <m/>
    <m/>
    <m/>
    <m/>
    <m/>
    <s v="Mike Teixeira"/>
    <m/>
    <s v="06/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5/24/2025"/>
    <x v="30"/>
    <n v="5724759"/>
    <s v="Click Here To View"/>
    <s v="Construction"/>
    <n v="1.7"/>
    <s v="30.59%"/>
    <s v="0.00%"/>
    <s v="30.59%"/>
    <s v="69.41%"/>
    <m/>
    <n v="0.52"/>
    <n v="1.1800000000000002"/>
    <n v="1.7"/>
    <n v="0.65"/>
    <m/>
    <m/>
    <m/>
    <m/>
    <m/>
    <m/>
    <n v="0.52"/>
    <m/>
    <n v="0.53"/>
    <m/>
    <m/>
    <m/>
    <m/>
    <m/>
    <m/>
    <m/>
    <m/>
    <m/>
    <m/>
    <m/>
    <m/>
    <m/>
    <m/>
    <m/>
    <m/>
    <m/>
    <m/>
    <m/>
    <m/>
    <m/>
    <m/>
    <m/>
    <m/>
    <s v="0.00%"/>
    <s v="0.00%"/>
    <s v="0.00%"/>
    <s v="0.00%"/>
    <m/>
    <m/>
    <m/>
    <m/>
    <m/>
    <m/>
    <m/>
    <s v="0.00%"/>
    <s v="0.00%"/>
    <s v="0.00%"/>
    <s v="0.00%"/>
    <m/>
    <m/>
    <m/>
    <m/>
    <m/>
    <m/>
    <m/>
    <m/>
    <m/>
    <m/>
    <m/>
    <m/>
    <m/>
    <m/>
    <m/>
    <m/>
    <m/>
    <s v="Mike Teixeira"/>
    <m/>
    <s v="06/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5/27/2025"/>
    <x v="30"/>
    <n v="5726019"/>
    <s v="Click Here To View"/>
    <s v="Construction"/>
    <n v="2.16"/>
    <s v="31.02%"/>
    <s v="0.00%"/>
    <s v="31.02%"/>
    <s v="68.98%"/>
    <m/>
    <n v="0.67"/>
    <n v="1.49"/>
    <n v="2.16"/>
    <n v="0.82"/>
    <m/>
    <m/>
    <m/>
    <m/>
    <m/>
    <m/>
    <n v="0.67"/>
    <m/>
    <n v="0.67"/>
    <m/>
    <m/>
    <m/>
    <m/>
    <m/>
    <m/>
    <m/>
    <m/>
    <m/>
    <m/>
    <m/>
    <m/>
    <m/>
    <m/>
    <m/>
    <m/>
    <m/>
    <m/>
    <m/>
    <m/>
    <m/>
    <m/>
    <m/>
    <m/>
    <s v="0.00%"/>
    <s v="0.00%"/>
    <s v="0.00%"/>
    <s v="0.00%"/>
    <m/>
    <m/>
    <m/>
    <m/>
    <m/>
    <m/>
    <m/>
    <s v="0.00%"/>
    <s v="0.00%"/>
    <s v="0.00%"/>
    <s v="0.00%"/>
    <m/>
    <m/>
    <m/>
    <m/>
    <m/>
    <m/>
    <m/>
    <m/>
    <m/>
    <m/>
    <m/>
    <m/>
    <m/>
    <m/>
    <m/>
    <m/>
    <m/>
    <s v="Mike Teixeira"/>
    <m/>
    <s v="06/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5/27/2025"/>
    <x v="30"/>
    <n v="5725957"/>
    <s v="Click Here To View"/>
    <s v="Construction"/>
    <n v="4.71"/>
    <s v="30.79%"/>
    <s v="0.00%"/>
    <s v="30.79%"/>
    <s v="69.21%"/>
    <m/>
    <n v="1.45"/>
    <n v="3.26"/>
    <n v="4.71"/>
    <n v="1.79"/>
    <m/>
    <m/>
    <m/>
    <m/>
    <m/>
    <m/>
    <n v="1.45"/>
    <m/>
    <n v="1.47"/>
    <m/>
    <m/>
    <m/>
    <m/>
    <m/>
    <m/>
    <m/>
    <m/>
    <m/>
    <m/>
    <m/>
    <m/>
    <m/>
    <m/>
    <m/>
    <m/>
    <m/>
    <m/>
    <m/>
    <m/>
    <m/>
    <m/>
    <m/>
    <m/>
    <s v="0.00%"/>
    <s v="0.00%"/>
    <s v="0.00%"/>
    <s v="0.00%"/>
    <m/>
    <m/>
    <m/>
    <m/>
    <m/>
    <m/>
    <m/>
    <s v="0.00%"/>
    <s v="0.00%"/>
    <s v="0.00%"/>
    <s v="0.00%"/>
    <m/>
    <m/>
    <m/>
    <m/>
    <m/>
    <m/>
    <m/>
    <m/>
    <m/>
    <m/>
    <m/>
    <m/>
    <m/>
    <m/>
    <m/>
    <m/>
    <m/>
    <s v="Mike Teixeira"/>
    <m/>
    <s v="06/30/2025"/>
    <s v="Mike Teixeira"/>
    <m/>
    <m/>
  </r>
  <r>
    <s v="Oakland/San Francisco/San Jose"/>
    <s v="UCB Gateway"/>
    <n v="210784"/>
    <m/>
    <s v="Higher Education | Laboratory / Research | 005 | 004"/>
    <n v="368"/>
    <s v="Garden of Eden Landscapes, Inc."/>
    <s v="Silvia Teixeria"/>
    <s v="SFR Recovery Inc."/>
    <s v="2401 Ingalls St., San Francisco, CA 94124, San Francisco, CA 94124"/>
    <m/>
    <s v="05/28/2025"/>
    <x v="30"/>
    <n v="120434"/>
    <s v="Click Here To View"/>
    <s v="Construction"/>
    <n v="0.67999999999999994"/>
    <s v="98.00%"/>
    <s v="0.00%"/>
    <s v="98.00%"/>
    <s v="2.00%"/>
    <m/>
    <n v="0.66639999999999999"/>
    <n v="1.3599999999999999E-2"/>
    <n v="0.67999999999999994"/>
    <m/>
    <m/>
    <m/>
    <m/>
    <m/>
    <m/>
    <m/>
    <m/>
    <m/>
    <n v="1.3599999999999999E-2"/>
    <m/>
    <m/>
    <m/>
    <m/>
    <m/>
    <m/>
    <m/>
    <m/>
    <m/>
    <m/>
    <m/>
    <m/>
    <m/>
    <m/>
    <m/>
    <m/>
    <m/>
    <m/>
    <m/>
    <m/>
    <m/>
    <n v="0.66639999999999999"/>
    <m/>
    <m/>
    <s v="0.00%"/>
    <s v="0.00%"/>
    <s v="0.00%"/>
    <s v="0.00%"/>
    <m/>
    <m/>
    <m/>
    <m/>
    <m/>
    <m/>
    <m/>
    <s v="0.00%"/>
    <s v="0.00%"/>
    <s v="0.00%"/>
    <s v="0.00%"/>
    <m/>
    <m/>
    <m/>
    <m/>
    <m/>
    <m/>
    <m/>
    <m/>
    <m/>
    <m/>
    <m/>
    <m/>
    <m/>
    <m/>
    <m/>
    <m/>
    <m/>
    <s v="Mike Teixeira"/>
    <m/>
    <s v="06/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5/28/2025"/>
    <x v="30"/>
    <n v="5726739"/>
    <s v="Click Here To View"/>
    <s v="Construction"/>
    <n v="3.3200000000000003"/>
    <s v="30.72%"/>
    <s v="0.00%"/>
    <s v="30.72%"/>
    <s v="69.28%"/>
    <m/>
    <n v="1.02"/>
    <n v="2.2999999999999998"/>
    <n v="3.3200000000000003"/>
    <n v="1.27"/>
    <m/>
    <m/>
    <m/>
    <m/>
    <m/>
    <m/>
    <n v="1.02"/>
    <m/>
    <n v="1.03"/>
    <m/>
    <m/>
    <m/>
    <m/>
    <m/>
    <m/>
    <m/>
    <m/>
    <m/>
    <m/>
    <m/>
    <m/>
    <m/>
    <m/>
    <m/>
    <m/>
    <m/>
    <m/>
    <m/>
    <m/>
    <m/>
    <m/>
    <m/>
    <m/>
    <s v="0.00%"/>
    <s v="0.00%"/>
    <s v="0.00%"/>
    <s v="0.00%"/>
    <m/>
    <m/>
    <m/>
    <m/>
    <m/>
    <m/>
    <m/>
    <s v="0.00%"/>
    <s v="0.00%"/>
    <s v="0.00%"/>
    <s v="0.00%"/>
    <m/>
    <m/>
    <m/>
    <m/>
    <m/>
    <m/>
    <m/>
    <m/>
    <m/>
    <m/>
    <m/>
    <m/>
    <m/>
    <m/>
    <m/>
    <m/>
    <m/>
    <s v="Mike Teixeira"/>
    <m/>
    <s v="06/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5/29/2025"/>
    <x v="30"/>
    <n v="5727458"/>
    <s v="Click Here To View"/>
    <s v="Construction"/>
    <n v="4.97"/>
    <s v="30.78%"/>
    <s v="0.00%"/>
    <s v="30.78%"/>
    <s v="69.22%"/>
    <m/>
    <n v="1.53"/>
    <n v="3.44"/>
    <n v="4.97"/>
    <n v="1.89"/>
    <m/>
    <m/>
    <m/>
    <m/>
    <m/>
    <m/>
    <n v="1.53"/>
    <m/>
    <n v="1.55"/>
    <m/>
    <m/>
    <m/>
    <m/>
    <m/>
    <m/>
    <m/>
    <m/>
    <m/>
    <m/>
    <m/>
    <m/>
    <m/>
    <m/>
    <m/>
    <m/>
    <m/>
    <m/>
    <m/>
    <m/>
    <m/>
    <m/>
    <m/>
    <m/>
    <s v="0.00%"/>
    <s v="0.00%"/>
    <s v="0.00%"/>
    <s v="0.00%"/>
    <m/>
    <m/>
    <m/>
    <m/>
    <m/>
    <m/>
    <m/>
    <s v="0.00%"/>
    <s v="0.00%"/>
    <s v="0.00%"/>
    <s v="0.00%"/>
    <m/>
    <m/>
    <m/>
    <m/>
    <m/>
    <m/>
    <m/>
    <m/>
    <m/>
    <m/>
    <m/>
    <m/>
    <m/>
    <m/>
    <m/>
    <m/>
    <m/>
    <s v="Mike Teixeira"/>
    <m/>
    <s v="06/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5/31/2025"/>
    <x v="30"/>
    <n v="5728359"/>
    <s v="Click Here To View"/>
    <s v="Construction"/>
    <n v="0.96"/>
    <s v="31.25%"/>
    <s v="0.00%"/>
    <s v="31.25%"/>
    <s v="68.75%"/>
    <m/>
    <n v="0.3"/>
    <n v="0.65999999999999992"/>
    <n v="0.96"/>
    <n v="0.36"/>
    <m/>
    <m/>
    <m/>
    <m/>
    <m/>
    <m/>
    <n v="0.3"/>
    <m/>
    <n v="0.3"/>
    <m/>
    <m/>
    <m/>
    <m/>
    <m/>
    <m/>
    <m/>
    <m/>
    <m/>
    <m/>
    <m/>
    <m/>
    <m/>
    <m/>
    <m/>
    <m/>
    <m/>
    <m/>
    <m/>
    <m/>
    <m/>
    <m/>
    <m/>
    <m/>
    <s v="0.00%"/>
    <s v="0.00%"/>
    <s v="0.00%"/>
    <s v="0.00%"/>
    <m/>
    <m/>
    <m/>
    <m/>
    <m/>
    <m/>
    <m/>
    <s v="0.00%"/>
    <s v="0.00%"/>
    <s v="0.00%"/>
    <s v="0.00%"/>
    <m/>
    <m/>
    <m/>
    <m/>
    <m/>
    <m/>
    <m/>
    <m/>
    <m/>
    <m/>
    <m/>
    <m/>
    <m/>
    <m/>
    <m/>
    <m/>
    <m/>
    <s v="Mike Teixeira"/>
    <m/>
    <s v="06/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5/31/2025"/>
    <x v="30"/>
    <n v="5728533"/>
    <s v="Click Here To View"/>
    <s v="Construction"/>
    <n v="0.42000000000000004"/>
    <s v="30.95%"/>
    <s v="0.00%"/>
    <s v="30.95%"/>
    <s v="69.05%"/>
    <m/>
    <n v="0.13"/>
    <n v="0.29000000000000004"/>
    <n v="0.42000000000000004"/>
    <n v="0.16"/>
    <m/>
    <m/>
    <m/>
    <m/>
    <m/>
    <m/>
    <n v="0.13"/>
    <m/>
    <n v="0.13"/>
    <m/>
    <m/>
    <m/>
    <m/>
    <m/>
    <m/>
    <m/>
    <m/>
    <m/>
    <m/>
    <m/>
    <m/>
    <m/>
    <m/>
    <m/>
    <m/>
    <m/>
    <m/>
    <m/>
    <m/>
    <m/>
    <m/>
    <m/>
    <m/>
    <s v="0.00%"/>
    <s v="0.00%"/>
    <s v="0.00%"/>
    <s v="0.00%"/>
    <m/>
    <m/>
    <m/>
    <m/>
    <m/>
    <m/>
    <m/>
    <s v="0.00%"/>
    <s v="0.00%"/>
    <s v="0.00%"/>
    <s v="0.00%"/>
    <m/>
    <m/>
    <m/>
    <m/>
    <m/>
    <m/>
    <m/>
    <m/>
    <m/>
    <m/>
    <m/>
    <m/>
    <m/>
    <m/>
    <m/>
    <m/>
    <m/>
    <s v="Mike Teixeira"/>
    <m/>
    <s v="06/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5/31/2025"/>
    <x v="30"/>
    <n v="5728530"/>
    <s v="Click Here To View"/>
    <s v="Construction"/>
    <n v="0.78"/>
    <s v="30.77%"/>
    <s v="0.00%"/>
    <s v="30.77%"/>
    <s v="69.23%"/>
    <m/>
    <n v="0.24"/>
    <n v="0.54"/>
    <n v="0.78"/>
    <n v="0.3"/>
    <m/>
    <m/>
    <m/>
    <m/>
    <m/>
    <m/>
    <n v="0.24"/>
    <m/>
    <n v="0.24"/>
    <m/>
    <m/>
    <m/>
    <m/>
    <m/>
    <m/>
    <m/>
    <m/>
    <m/>
    <m/>
    <m/>
    <m/>
    <m/>
    <m/>
    <m/>
    <m/>
    <m/>
    <m/>
    <m/>
    <m/>
    <m/>
    <m/>
    <m/>
    <m/>
    <s v="0.00%"/>
    <s v="0.00%"/>
    <s v="0.00%"/>
    <s v="0.00%"/>
    <m/>
    <m/>
    <m/>
    <m/>
    <m/>
    <m/>
    <m/>
    <s v="0.00%"/>
    <s v="0.00%"/>
    <s v="0.00%"/>
    <s v="0.00%"/>
    <m/>
    <m/>
    <m/>
    <m/>
    <m/>
    <m/>
    <m/>
    <m/>
    <m/>
    <m/>
    <m/>
    <m/>
    <m/>
    <m/>
    <m/>
    <m/>
    <m/>
    <s v="Mike Teixeira"/>
    <m/>
    <s v="06/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6/02/2025"/>
    <x v="2"/>
    <n v="5729013"/>
    <s v="Click Here To View"/>
    <s v="Construction"/>
    <n v="1.28"/>
    <s v="30.47%"/>
    <s v="0.00%"/>
    <s v="30.47%"/>
    <s v="69.53%"/>
    <m/>
    <n v="0.39"/>
    <n v="0.89"/>
    <n v="1.28"/>
    <n v="0.49"/>
    <m/>
    <m/>
    <m/>
    <m/>
    <m/>
    <m/>
    <n v="0.39"/>
    <m/>
    <n v="0.4"/>
    <m/>
    <m/>
    <m/>
    <m/>
    <m/>
    <m/>
    <m/>
    <m/>
    <m/>
    <m/>
    <m/>
    <m/>
    <m/>
    <m/>
    <m/>
    <m/>
    <m/>
    <m/>
    <m/>
    <m/>
    <m/>
    <m/>
    <m/>
    <m/>
    <s v="0.00%"/>
    <s v="0.00%"/>
    <s v="0.00%"/>
    <s v="0.00%"/>
    <m/>
    <m/>
    <m/>
    <m/>
    <m/>
    <m/>
    <m/>
    <s v="0.00%"/>
    <s v="0.00%"/>
    <s v="0.00%"/>
    <s v="0.00%"/>
    <m/>
    <m/>
    <m/>
    <m/>
    <m/>
    <m/>
    <m/>
    <m/>
    <m/>
    <m/>
    <m/>
    <m/>
    <m/>
    <m/>
    <m/>
    <m/>
    <m/>
    <s v="Mike Teixeira"/>
    <m/>
    <s v="06/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6/03/2025"/>
    <x v="2"/>
    <n v="5730232"/>
    <s v="Click Here To View"/>
    <s v="Construction"/>
    <n v="7.09"/>
    <s v="30.89%"/>
    <s v="0.00%"/>
    <s v="30.89%"/>
    <s v="69.11%"/>
    <m/>
    <n v="2.19"/>
    <n v="4.9000000000000004"/>
    <n v="7.09"/>
    <n v="2.69"/>
    <m/>
    <m/>
    <m/>
    <m/>
    <m/>
    <m/>
    <n v="2.19"/>
    <m/>
    <n v="2.21"/>
    <m/>
    <m/>
    <m/>
    <m/>
    <m/>
    <m/>
    <m/>
    <m/>
    <m/>
    <m/>
    <m/>
    <m/>
    <m/>
    <m/>
    <m/>
    <m/>
    <m/>
    <m/>
    <m/>
    <m/>
    <m/>
    <m/>
    <m/>
    <m/>
    <s v="0.00%"/>
    <s v="0.00%"/>
    <s v="0.00%"/>
    <s v="0.00%"/>
    <m/>
    <m/>
    <m/>
    <m/>
    <m/>
    <m/>
    <m/>
    <s v="0.00%"/>
    <s v="0.00%"/>
    <s v="0.00%"/>
    <s v="0.00%"/>
    <m/>
    <m/>
    <m/>
    <m/>
    <m/>
    <m/>
    <m/>
    <m/>
    <m/>
    <m/>
    <m/>
    <m/>
    <m/>
    <m/>
    <m/>
    <m/>
    <m/>
    <s v="Mike Teixeira"/>
    <m/>
    <s v="06/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6/03/2025"/>
    <x v="2"/>
    <n v="5729986"/>
    <s v="Click Here To View"/>
    <s v="Construction"/>
    <n v="3.84"/>
    <s v="30.73%"/>
    <s v="0.00%"/>
    <s v="30.73%"/>
    <s v="69.27%"/>
    <m/>
    <n v="1.18"/>
    <n v="2.66"/>
    <n v="3.84"/>
    <n v="1.46"/>
    <m/>
    <m/>
    <m/>
    <m/>
    <m/>
    <m/>
    <n v="1.18"/>
    <m/>
    <n v="1.2"/>
    <m/>
    <m/>
    <m/>
    <m/>
    <m/>
    <m/>
    <m/>
    <m/>
    <m/>
    <m/>
    <m/>
    <m/>
    <m/>
    <m/>
    <m/>
    <m/>
    <m/>
    <m/>
    <m/>
    <m/>
    <m/>
    <m/>
    <m/>
    <m/>
    <s v="0.00%"/>
    <s v="0.00%"/>
    <s v="0.00%"/>
    <s v="0.00%"/>
    <m/>
    <m/>
    <m/>
    <m/>
    <m/>
    <m/>
    <m/>
    <s v="0.00%"/>
    <s v="0.00%"/>
    <s v="0.00%"/>
    <s v="0.00%"/>
    <m/>
    <m/>
    <m/>
    <m/>
    <m/>
    <m/>
    <m/>
    <m/>
    <m/>
    <m/>
    <m/>
    <m/>
    <m/>
    <m/>
    <m/>
    <m/>
    <m/>
    <s v="Mike Teixeira"/>
    <m/>
    <s v="06/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6/04/2025"/>
    <x v="2"/>
    <n v="5730764"/>
    <s v="Click Here To View"/>
    <s v="Construction"/>
    <n v="2.79"/>
    <s v="30.82%"/>
    <s v="0.00%"/>
    <s v="30.82%"/>
    <s v="69.18%"/>
    <m/>
    <n v="0.86"/>
    <n v="1.9300000000000002"/>
    <n v="2.79"/>
    <n v="1.06"/>
    <m/>
    <m/>
    <m/>
    <m/>
    <m/>
    <m/>
    <n v="0.86"/>
    <m/>
    <n v="0.87"/>
    <m/>
    <m/>
    <m/>
    <m/>
    <m/>
    <m/>
    <m/>
    <m/>
    <m/>
    <m/>
    <m/>
    <m/>
    <m/>
    <m/>
    <m/>
    <m/>
    <m/>
    <m/>
    <m/>
    <m/>
    <m/>
    <m/>
    <m/>
    <m/>
    <s v="0.00%"/>
    <s v="0.00%"/>
    <s v="0.00%"/>
    <s v="0.00%"/>
    <m/>
    <m/>
    <m/>
    <m/>
    <m/>
    <m/>
    <m/>
    <s v="0.00%"/>
    <s v="0.00%"/>
    <s v="0.00%"/>
    <s v="0.00%"/>
    <m/>
    <m/>
    <m/>
    <m/>
    <m/>
    <m/>
    <m/>
    <m/>
    <m/>
    <m/>
    <m/>
    <m/>
    <m/>
    <m/>
    <m/>
    <m/>
    <m/>
    <s v="Mike Teixeira"/>
    <m/>
    <s v="06/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6/04/2025"/>
    <x v="2"/>
    <n v="5731082"/>
    <s v="Click Here To View"/>
    <s v="Construction"/>
    <n v="2.2599999999999998"/>
    <s v="30.97%"/>
    <s v="0.00%"/>
    <s v="30.97%"/>
    <s v="69.03%"/>
    <m/>
    <n v="0.7"/>
    <n v="1.56"/>
    <n v="2.2599999999999998"/>
    <n v="0.86"/>
    <m/>
    <m/>
    <m/>
    <m/>
    <m/>
    <m/>
    <n v="0.7"/>
    <m/>
    <n v="0.7"/>
    <m/>
    <m/>
    <m/>
    <m/>
    <m/>
    <m/>
    <m/>
    <m/>
    <m/>
    <m/>
    <m/>
    <m/>
    <m/>
    <m/>
    <m/>
    <m/>
    <m/>
    <m/>
    <m/>
    <m/>
    <m/>
    <m/>
    <m/>
    <m/>
    <s v="0.00%"/>
    <s v="0.00%"/>
    <s v="0.00%"/>
    <s v="0.00%"/>
    <m/>
    <m/>
    <m/>
    <m/>
    <m/>
    <m/>
    <m/>
    <s v="0.00%"/>
    <s v="0.00%"/>
    <s v="0.00%"/>
    <s v="0.00%"/>
    <m/>
    <m/>
    <m/>
    <m/>
    <m/>
    <m/>
    <m/>
    <m/>
    <m/>
    <m/>
    <m/>
    <m/>
    <m/>
    <m/>
    <m/>
    <m/>
    <m/>
    <s v="Mike Teixeira"/>
    <m/>
    <s v="06/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6/05/2025"/>
    <x v="2"/>
    <n v="5731689"/>
    <s v="Click Here To View"/>
    <s v="Construction"/>
    <n v="2.6"/>
    <s v="30.77%"/>
    <s v="0.00%"/>
    <s v="30.77%"/>
    <s v="69.23%"/>
    <m/>
    <n v="0.8"/>
    <n v="1.8"/>
    <n v="2.6"/>
    <n v="0.99"/>
    <m/>
    <m/>
    <m/>
    <m/>
    <m/>
    <m/>
    <n v="0.8"/>
    <m/>
    <n v="0.81"/>
    <m/>
    <m/>
    <m/>
    <m/>
    <m/>
    <m/>
    <m/>
    <m/>
    <m/>
    <m/>
    <m/>
    <m/>
    <m/>
    <m/>
    <m/>
    <m/>
    <m/>
    <m/>
    <m/>
    <m/>
    <m/>
    <m/>
    <m/>
    <m/>
    <s v="0.00%"/>
    <s v="0.00%"/>
    <s v="0.00%"/>
    <s v="0.00%"/>
    <m/>
    <m/>
    <m/>
    <m/>
    <m/>
    <m/>
    <m/>
    <s v="0.00%"/>
    <s v="0.00%"/>
    <s v="0.00%"/>
    <s v="0.00%"/>
    <m/>
    <m/>
    <m/>
    <m/>
    <m/>
    <m/>
    <m/>
    <m/>
    <m/>
    <m/>
    <m/>
    <m/>
    <m/>
    <m/>
    <m/>
    <m/>
    <m/>
    <s v="Mike Teixeira"/>
    <m/>
    <s v="06/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6/06/2025"/>
    <x v="2"/>
    <n v="5732269"/>
    <s v="Click Here To View"/>
    <s v="Construction"/>
    <n v="3.4300000000000006"/>
    <s v="30.90%"/>
    <s v="0.00%"/>
    <s v="30.90%"/>
    <s v="69.10%"/>
    <m/>
    <n v="1.06"/>
    <n v="2.37"/>
    <n v="3.4300000000000006"/>
    <n v="1.3"/>
    <m/>
    <m/>
    <m/>
    <m/>
    <m/>
    <m/>
    <n v="1.06"/>
    <m/>
    <n v="1.07"/>
    <m/>
    <m/>
    <m/>
    <m/>
    <m/>
    <m/>
    <m/>
    <m/>
    <m/>
    <m/>
    <m/>
    <m/>
    <m/>
    <m/>
    <m/>
    <m/>
    <m/>
    <m/>
    <m/>
    <m/>
    <m/>
    <m/>
    <m/>
    <m/>
    <s v="0.00%"/>
    <s v="0.00%"/>
    <s v="0.00%"/>
    <s v="0.00%"/>
    <m/>
    <m/>
    <m/>
    <m/>
    <m/>
    <m/>
    <m/>
    <s v="0.00%"/>
    <s v="0.00%"/>
    <s v="0.00%"/>
    <s v="0.00%"/>
    <m/>
    <m/>
    <m/>
    <m/>
    <m/>
    <m/>
    <m/>
    <m/>
    <m/>
    <m/>
    <m/>
    <m/>
    <m/>
    <m/>
    <m/>
    <m/>
    <m/>
    <s v="Mike Teixeira"/>
    <m/>
    <s v="06/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6/06/2025"/>
    <x v="2"/>
    <n v="5732366"/>
    <s v="Click Here To View"/>
    <s v="Construction"/>
    <n v="0.17"/>
    <s v="29.41%"/>
    <s v="0.00%"/>
    <s v="29.41%"/>
    <s v="70.59%"/>
    <m/>
    <n v="0.05"/>
    <n v="0.12000000000000001"/>
    <n v="0.17"/>
    <n v="7.0000000000000007E-2"/>
    <m/>
    <m/>
    <m/>
    <m/>
    <m/>
    <m/>
    <n v="0.05"/>
    <m/>
    <n v="0.05"/>
    <m/>
    <m/>
    <m/>
    <m/>
    <m/>
    <m/>
    <m/>
    <m/>
    <m/>
    <m/>
    <m/>
    <m/>
    <m/>
    <m/>
    <m/>
    <m/>
    <m/>
    <m/>
    <m/>
    <m/>
    <m/>
    <m/>
    <m/>
    <m/>
    <s v="0.00%"/>
    <s v="0.00%"/>
    <s v="0.00%"/>
    <s v="0.00%"/>
    <m/>
    <m/>
    <m/>
    <m/>
    <m/>
    <m/>
    <m/>
    <s v="0.00%"/>
    <s v="0.00%"/>
    <s v="0.00%"/>
    <s v="0.00%"/>
    <m/>
    <m/>
    <m/>
    <m/>
    <m/>
    <m/>
    <m/>
    <m/>
    <m/>
    <m/>
    <m/>
    <m/>
    <m/>
    <m/>
    <m/>
    <m/>
    <m/>
    <s v="Mike Teixeira"/>
    <m/>
    <s v="06/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6/06/2025"/>
    <x v="2"/>
    <n v="5732383"/>
    <s v="Click Here To View"/>
    <s v="Construction"/>
    <n v="3.7699999999999996"/>
    <s v="30.77%"/>
    <s v="0.00%"/>
    <s v="30.77%"/>
    <s v="69.23%"/>
    <m/>
    <n v="1.1599999999999999"/>
    <n v="2.61"/>
    <n v="3.7699999999999996"/>
    <n v="1.44"/>
    <m/>
    <m/>
    <m/>
    <m/>
    <m/>
    <m/>
    <n v="1.1599999999999999"/>
    <m/>
    <n v="1.17"/>
    <m/>
    <m/>
    <m/>
    <m/>
    <m/>
    <m/>
    <m/>
    <m/>
    <m/>
    <m/>
    <m/>
    <m/>
    <m/>
    <m/>
    <m/>
    <m/>
    <m/>
    <m/>
    <m/>
    <m/>
    <m/>
    <m/>
    <m/>
    <m/>
    <s v="0.00%"/>
    <s v="0.00%"/>
    <s v="0.00%"/>
    <s v="0.00%"/>
    <m/>
    <m/>
    <m/>
    <m/>
    <m/>
    <m/>
    <m/>
    <s v="0.00%"/>
    <s v="0.00%"/>
    <s v="0.00%"/>
    <s v="0.00%"/>
    <m/>
    <m/>
    <m/>
    <m/>
    <m/>
    <m/>
    <m/>
    <m/>
    <m/>
    <m/>
    <m/>
    <m/>
    <m/>
    <m/>
    <m/>
    <m/>
    <m/>
    <s v="Mike Teixeira"/>
    <m/>
    <s v="06/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6/07/2025"/>
    <x v="2"/>
    <n v="5732850"/>
    <s v="Click Here To View"/>
    <s v="Construction"/>
    <n v="1.24"/>
    <s v="30.65%"/>
    <s v="0.00%"/>
    <s v="30.65%"/>
    <s v="69.35%"/>
    <m/>
    <n v="0.38"/>
    <n v="0.86"/>
    <n v="1.24"/>
    <n v="0.47"/>
    <m/>
    <m/>
    <m/>
    <m/>
    <m/>
    <m/>
    <n v="0.38"/>
    <m/>
    <n v="0.39"/>
    <m/>
    <m/>
    <m/>
    <m/>
    <m/>
    <m/>
    <m/>
    <m/>
    <m/>
    <m/>
    <m/>
    <m/>
    <m/>
    <m/>
    <m/>
    <m/>
    <m/>
    <m/>
    <m/>
    <m/>
    <m/>
    <m/>
    <m/>
    <m/>
    <s v="0.00%"/>
    <s v="0.00%"/>
    <s v="0.00%"/>
    <s v="0.00%"/>
    <m/>
    <m/>
    <m/>
    <m/>
    <m/>
    <m/>
    <m/>
    <s v="0.00%"/>
    <s v="0.00%"/>
    <s v="0.00%"/>
    <s v="0.00%"/>
    <m/>
    <m/>
    <m/>
    <m/>
    <m/>
    <m/>
    <m/>
    <m/>
    <m/>
    <m/>
    <m/>
    <m/>
    <m/>
    <m/>
    <m/>
    <m/>
    <m/>
    <s v="Mike Teixeira"/>
    <m/>
    <s v="06/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6/09/2025"/>
    <x v="2"/>
    <n v="5733458"/>
    <s v="Click Here To View"/>
    <s v="Construction"/>
    <n v="3.7299999999999995"/>
    <s v="30.83%"/>
    <s v="0.00%"/>
    <s v="30.83%"/>
    <s v="69.17%"/>
    <m/>
    <n v="1.1499999999999999"/>
    <n v="2.58"/>
    <n v="3.7299999999999995"/>
    <n v="1.42"/>
    <m/>
    <m/>
    <m/>
    <m/>
    <m/>
    <m/>
    <n v="1.1499999999999999"/>
    <m/>
    <n v="1.1599999999999999"/>
    <m/>
    <m/>
    <m/>
    <m/>
    <m/>
    <m/>
    <m/>
    <m/>
    <m/>
    <m/>
    <m/>
    <m/>
    <m/>
    <m/>
    <m/>
    <m/>
    <m/>
    <m/>
    <m/>
    <m/>
    <m/>
    <m/>
    <m/>
    <m/>
    <s v="0.00%"/>
    <s v="0.00%"/>
    <s v="0.00%"/>
    <s v="0.00%"/>
    <m/>
    <m/>
    <m/>
    <m/>
    <m/>
    <m/>
    <m/>
    <s v="0.00%"/>
    <s v="0.00%"/>
    <s v="0.00%"/>
    <s v="0.00%"/>
    <m/>
    <m/>
    <m/>
    <m/>
    <m/>
    <m/>
    <m/>
    <m/>
    <m/>
    <m/>
    <m/>
    <m/>
    <m/>
    <m/>
    <m/>
    <m/>
    <m/>
    <s v="Mike Teixeira"/>
    <m/>
    <s v="06/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6/10/2025"/>
    <x v="2"/>
    <n v="5734017"/>
    <s v="Click Here To View"/>
    <s v="Construction"/>
    <n v="3.6799999999999997"/>
    <s v="30.71%"/>
    <s v="0.00%"/>
    <s v="30.71%"/>
    <s v="69.29%"/>
    <m/>
    <n v="1.1299999999999999"/>
    <n v="2.5499999999999998"/>
    <n v="3.6799999999999997"/>
    <n v="1.4"/>
    <m/>
    <m/>
    <m/>
    <m/>
    <m/>
    <m/>
    <n v="1.1299999999999999"/>
    <m/>
    <n v="1.1499999999999999"/>
    <m/>
    <m/>
    <m/>
    <m/>
    <m/>
    <m/>
    <m/>
    <m/>
    <m/>
    <m/>
    <m/>
    <m/>
    <m/>
    <m/>
    <m/>
    <m/>
    <m/>
    <m/>
    <m/>
    <m/>
    <m/>
    <m/>
    <m/>
    <m/>
    <s v="0.00%"/>
    <s v="0.00%"/>
    <s v="0.00%"/>
    <s v="0.00%"/>
    <m/>
    <m/>
    <m/>
    <m/>
    <m/>
    <m/>
    <m/>
    <s v="0.00%"/>
    <s v="0.00%"/>
    <s v="0.00%"/>
    <s v="0.00%"/>
    <m/>
    <m/>
    <m/>
    <m/>
    <m/>
    <m/>
    <m/>
    <m/>
    <m/>
    <m/>
    <m/>
    <m/>
    <m/>
    <m/>
    <m/>
    <m/>
    <m/>
    <s v="Mike Teixeira"/>
    <m/>
    <s v="06/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6/11/2025"/>
    <x v="2"/>
    <n v="5735100"/>
    <s v="Click Here To View"/>
    <s v="Construction"/>
    <n v="3.05"/>
    <s v="30.82%"/>
    <s v="0.00%"/>
    <s v="30.82%"/>
    <s v="69.18%"/>
    <m/>
    <n v="0.94"/>
    <n v="2.11"/>
    <n v="3.05"/>
    <n v="1.1599999999999999"/>
    <m/>
    <m/>
    <m/>
    <m/>
    <m/>
    <m/>
    <n v="0.94"/>
    <m/>
    <n v="0.95"/>
    <m/>
    <m/>
    <m/>
    <m/>
    <m/>
    <m/>
    <m/>
    <m/>
    <m/>
    <m/>
    <m/>
    <m/>
    <m/>
    <m/>
    <m/>
    <m/>
    <m/>
    <m/>
    <m/>
    <m/>
    <m/>
    <m/>
    <m/>
    <m/>
    <s v="0.00%"/>
    <s v="0.00%"/>
    <s v="0.00%"/>
    <s v="0.00%"/>
    <m/>
    <m/>
    <m/>
    <m/>
    <m/>
    <m/>
    <m/>
    <s v="0.00%"/>
    <s v="0.00%"/>
    <s v="0.00%"/>
    <s v="0.00%"/>
    <m/>
    <m/>
    <m/>
    <m/>
    <m/>
    <m/>
    <m/>
    <m/>
    <m/>
    <m/>
    <m/>
    <m/>
    <m/>
    <m/>
    <m/>
    <m/>
    <m/>
    <s v="Mike Teixeira"/>
    <m/>
    <s v="06/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6/11/2025"/>
    <x v="2"/>
    <n v="5734976"/>
    <s v="Click Here To View"/>
    <s v="Construction"/>
    <n v="2.5"/>
    <s v="30.80%"/>
    <s v="0.00%"/>
    <s v="30.80%"/>
    <s v="69.20%"/>
    <m/>
    <n v="0.77"/>
    <n v="1.73"/>
    <n v="2.5"/>
    <n v="0.95"/>
    <m/>
    <m/>
    <m/>
    <m/>
    <m/>
    <m/>
    <n v="0.77"/>
    <m/>
    <n v="0.78"/>
    <m/>
    <m/>
    <m/>
    <m/>
    <m/>
    <m/>
    <m/>
    <m/>
    <m/>
    <m/>
    <m/>
    <m/>
    <m/>
    <m/>
    <m/>
    <m/>
    <m/>
    <m/>
    <m/>
    <m/>
    <m/>
    <m/>
    <m/>
    <m/>
    <s v="0.00%"/>
    <s v="0.00%"/>
    <s v="0.00%"/>
    <s v="0.00%"/>
    <m/>
    <m/>
    <m/>
    <m/>
    <m/>
    <m/>
    <m/>
    <s v="0.00%"/>
    <s v="0.00%"/>
    <s v="0.00%"/>
    <s v="0.00%"/>
    <m/>
    <m/>
    <m/>
    <m/>
    <m/>
    <m/>
    <m/>
    <m/>
    <m/>
    <m/>
    <m/>
    <m/>
    <m/>
    <m/>
    <m/>
    <m/>
    <m/>
    <s v="Mike Teixeira"/>
    <m/>
    <s v="06/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6/12/2025"/>
    <x v="2"/>
    <n v="5736035"/>
    <s v="Click Here To View"/>
    <s v="Construction"/>
    <n v="1.9099999999999997"/>
    <s v="30.89%"/>
    <s v="0.00%"/>
    <s v="30.89%"/>
    <s v="69.11%"/>
    <m/>
    <n v="0.59"/>
    <n v="1.3199999999999998"/>
    <n v="1.9099999999999997"/>
    <n v="0.73"/>
    <m/>
    <m/>
    <m/>
    <m/>
    <m/>
    <m/>
    <n v="0.59"/>
    <m/>
    <n v="0.59"/>
    <m/>
    <m/>
    <m/>
    <m/>
    <m/>
    <m/>
    <m/>
    <m/>
    <m/>
    <m/>
    <m/>
    <m/>
    <m/>
    <m/>
    <m/>
    <m/>
    <m/>
    <m/>
    <m/>
    <m/>
    <m/>
    <m/>
    <m/>
    <m/>
    <s v="0.00%"/>
    <s v="0.00%"/>
    <s v="0.00%"/>
    <s v="0.00%"/>
    <m/>
    <m/>
    <m/>
    <m/>
    <m/>
    <m/>
    <m/>
    <s v="0.00%"/>
    <s v="0.00%"/>
    <s v="0.00%"/>
    <s v="0.00%"/>
    <m/>
    <m/>
    <m/>
    <m/>
    <m/>
    <m/>
    <m/>
    <m/>
    <m/>
    <m/>
    <m/>
    <m/>
    <m/>
    <m/>
    <m/>
    <m/>
    <m/>
    <s v="Mike Teixeira"/>
    <m/>
    <s v="06/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6/12/2025"/>
    <x v="2"/>
    <n v="5736090"/>
    <s v="Click Here To View"/>
    <s v="Construction"/>
    <n v="2.96"/>
    <s v="30.74%"/>
    <s v="0.00%"/>
    <s v="30.74%"/>
    <s v="69.26%"/>
    <m/>
    <n v="0.91"/>
    <n v="2.0499999999999998"/>
    <n v="2.96"/>
    <n v="1.1299999999999999"/>
    <m/>
    <m/>
    <m/>
    <m/>
    <m/>
    <m/>
    <n v="0.91"/>
    <m/>
    <n v="0.92"/>
    <m/>
    <m/>
    <m/>
    <m/>
    <m/>
    <m/>
    <m/>
    <m/>
    <m/>
    <m/>
    <m/>
    <m/>
    <m/>
    <m/>
    <m/>
    <m/>
    <m/>
    <m/>
    <m/>
    <m/>
    <m/>
    <m/>
    <m/>
    <m/>
    <s v="0.00%"/>
    <s v="0.00%"/>
    <s v="0.00%"/>
    <s v="0.00%"/>
    <m/>
    <m/>
    <m/>
    <m/>
    <m/>
    <m/>
    <m/>
    <s v="0.00%"/>
    <s v="0.00%"/>
    <s v="0.00%"/>
    <s v="0.00%"/>
    <m/>
    <m/>
    <m/>
    <m/>
    <m/>
    <m/>
    <m/>
    <m/>
    <m/>
    <m/>
    <m/>
    <m/>
    <m/>
    <m/>
    <m/>
    <m/>
    <m/>
    <s v="Mike Teixeira"/>
    <m/>
    <s v="06/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6/13/2025"/>
    <x v="2"/>
    <n v="5736870"/>
    <s v="Click Here To View"/>
    <s v="Construction"/>
    <n v="3.01"/>
    <s v="30.90%"/>
    <s v="0.00%"/>
    <s v="30.90%"/>
    <s v="69.10%"/>
    <m/>
    <n v="0.93"/>
    <n v="2.08"/>
    <n v="3.01"/>
    <n v="1.1399999999999999"/>
    <m/>
    <m/>
    <m/>
    <m/>
    <m/>
    <m/>
    <n v="0.93"/>
    <m/>
    <n v="0.94"/>
    <m/>
    <m/>
    <m/>
    <m/>
    <m/>
    <m/>
    <m/>
    <m/>
    <m/>
    <m/>
    <m/>
    <m/>
    <m/>
    <m/>
    <m/>
    <m/>
    <m/>
    <m/>
    <m/>
    <m/>
    <m/>
    <m/>
    <m/>
    <m/>
    <s v="0.00%"/>
    <s v="0.00%"/>
    <s v="0.00%"/>
    <s v="0.00%"/>
    <m/>
    <m/>
    <m/>
    <m/>
    <m/>
    <m/>
    <m/>
    <s v="0.00%"/>
    <s v="0.00%"/>
    <s v="0.00%"/>
    <s v="0.00%"/>
    <m/>
    <m/>
    <m/>
    <m/>
    <m/>
    <m/>
    <m/>
    <m/>
    <m/>
    <m/>
    <m/>
    <m/>
    <m/>
    <m/>
    <m/>
    <m/>
    <m/>
    <s v="Mike Teixeira"/>
    <m/>
    <s v="06/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6/16/2025"/>
    <x v="2"/>
    <n v="5737910"/>
    <s v="Click Here To View"/>
    <s v="Construction"/>
    <n v="3.1099999999999994"/>
    <s v="30.87%"/>
    <s v="0.00%"/>
    <s v="30.87%"/>
    <s v="69.13%"/>
    <m/>
    <n v="0.96"/>
    <n v="2.15"/>
    <n v="3.1099999999999994"/>
    <n v="1.18"/>
    <m/>
    <m/>
    <m/>
    <m/>
    <m/>
    <m/>
    <n v="0.96"/>
    <m/>
    <n v="0.97"/>
    <m/>
    <m/>
    <m/>
    <m/>
    <m/>
    <m/>
    <m/>
    <m/>
    <m/>
    <m/>
    <m/>
    <m/>
    <m/>
    <m/>
    <m/>
    <m/>
    <m/>
    <m/>
    <m/>
    <m/>
    <m/>
    <m/>
    <m/>
    <m/>
    <s v="0.00%"/>
    <s v="0.00%"/>
    <s v="0.00%"/>
    <s v="0.00%"/>
    <m/>
    <m/>
    <m/>
    <m/>
    <m/>
    <m/>
    <m/>
    <s v="0.00%"/>
    <s v="0.00%"/>
    <s v="0.00%"/>
    <s v="0.00%"/>
    <m/>
    <m/>
    <m/>
    <m/>
    <m/>
    <m/>
    <m/>
    <m/>
    <m/>
    <m/>
    <m/>
    <m/>
    <m/>
    <m/>
    <m/>
    <m/>
    <m/>
    <s v="Mike Teixeira"/>
    <m/>
    <s v="06/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6/17/2025"/>
    <x v="2"/>
    <n v="5738575"/>
    <s v="Click Here To View"/>
    <s v="Construction"/>
    <n v="2.73"/>
    <s v="30.77%"/>
    <s v="0.00%"/>
    <s v="30.77%"/>
    <s v="69.23%"/>
    <m/>
    <n v="0.84"/>
    <n v="1.8900000000000001"/>
    <n v="2.73"/>
    <n v="1.04"/>
    <m/>
    <m/>
    <m/>
    <m/>
    <m/>
    <m/>
    <n v="0.84"/>
    <m/>
    <n v="0.85"/>
    <m/>
    <m/>
    <m/>
    <m/>
    <m/>
    <m/>
    <m/>
    <m/>
    <m/>
    <m/>
    <m/>
    <m/>
    <m/>
    <m/>
    <m/>
    <m/>
    <m/>
    <m/>
    <m/>
    <m/>
    <m/>
    <m/>
    <m/>
    <m/>
    <s v="0.00%"/>
    <s v="0.00%"/>
    <s v="0.00%"/>
    <s v="0.00%"/>
    <m/>
    <m/>
    <m/>
    <m/>
    <m/>
    <m/>
    <m/>
    <s v="0.00%"/>
    <s v="0.00%"/>
    <s v="0.00%"/>
    <s v="0.00%"/>
    <m/>
    <m/>
    <m/>
    <m/>
    <m/>
    <m/>
    <m/>
    <m/>
    <m/>
    <m/>
    <m/>
    <m/>
    <m/>
    <m/>
    <m/>
    <m/>
    <m/>
    <s v="Mike Teixeira"/>
    <m/>
    <s v="06/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6/17/2025"/>
    <x v="2"/>
    <n v="5738630"/>
    <s v="Click Here To View"/>
    <s v="Construction"/>
    <n v="4.3499999999999996"/>
    <s v="30.80%"/>
    <s v="0.00%"/>
    <s v="30.80%"/>
    <s v="69.20%"/>
    <m/>
    <n v="1.34"/>
    <n v="3.01"/>
    <n v="4.3499999999999996"/>
    <n v="1.66"/>
    <m/>
    <m/>
    <m/>
    <m/>
    <m/>
    <m/>
    <n v="1.34"/>
    <m/>
    <n v="1.35"/>
    <m/>
    <m/>
    <m/>
    <m/>
    <m/>
    <m/>
    <m/>
    <m/>
    <m/>
    <m/>
    <m/>
    <m/>
    <m/>
    <m/>
    <m/>
    <m/>
    <m/>
    <m/>
    <m/>
    <m/>
    <m/>
    <m/>
    <m/>
    <m/>
    <s v="0.00%"/>
    <s v="0.00%"/>
    <s v="0.00%"/>
    <s v="0.00%"/>
    <m/>
    <m/>
    <m/>
    <m/>
    <m/>
    <m/>
    <m/>
    <s v="0.00%"/>
    <s v="0.00%"/>
    <s v="0.00%"/>
    <s v="0.00%"/>
    <m/>
    <m/>
    <m/>
    <m/>
    <m/>
    <m/>
    <m/>
    <m/>
    <m/>
    <m/>
    <m/>
    <m/>
    <m/>
    <m/>
    <m/>
    <m/>
    <m/>
    <s v="Mike Teixeira"/>
    <m/>
    <s v="06/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6/18/2025"/>
    <x v="2"/>
    <n v="5739363"/>
    <s v="Click Here To View"/>
    <s v="Construction"/>
    <n v="2.0500000000000003"/>
    <s v="30.73%"/>
    <s v="0.00%"/>
    <s v="30.73%"/>
    <s v="69.27%"/>
    <m/>
    <n v="0.63"/>
    <n v="1.42"/>
    <n v="2.0500000000000003"/>
    <n v="0.78"/>
    <m/>
    <m/>
    <m/>
    <m/>
    <m/>
    <m/>
    <n v="0.63"/>
    <m/>
    <n v="0.64"/>
    <m/>
    <m/>
    <m/>
    <m/>
    <m/>
    <m/>
    <m/>
    <m/>
    <m/>
    <m/>
    <m/>
    <m/>
    <m/>
    <m/>
    <m/>
    <m/>
    <m/>
    <m/>
    <m/>
    <m/>
    <m/>
    <m/>
    <m/>
    <m/>
    <s v="0.00%"/>
    <s v="0.00%"/>
    <s v="0.00%"/>
    <s v="0.00%"/>
    <m/>
    <m/>
    <m/>
    <m/>
    <m/>
    <m/>
    <m/>
    <s v="0.00%"/>
    <s v="0.00%"/>
    <s v="0.00%"/>
    <s v="0.00%"/>
    <m/>
    <m/>
    <m/>
    <m/>
    <m/>
    <m/>
    <m/>
    <m/>
    <m/>
    <m/>
    <m/>
    <m/>
    <m/>
    <m/>
    <m/>
    <m/>
    <m/>
    <s v="Mike Teixeira"/>
    <m/>
    <s v="06/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6/19/2025"/>
    <x v="2"/>
    <n v="5740145"/>
    <s v="Click Here To View"/>
    <s v="Construction"/>
    <n v="4.4800000000000004"/>
    <s v="30.80%"/>
    <s v="0.00%"/>
    <s v="30.80%"/>
    <s v="69.20%"/>
    <m/>
    <n v="1.38"/>
    <n v="3.0999999999999996"/>
    <n v="4.4800000000000004"/>
    <n v="1.7"/>
    <m/>
    <m/>
    <m/>
    <m/>
    <m/>
    <m/>
    <n v="1.38"/>
    <m/>
    <n v="1.4"/>
    <m/>
    <m/>
    <m/>
    <m/>
    <m/>
    <m/>
    <m/>
    <m/>
    <m/>
    <m/>
    <m/>
    <m/>
    <m/>
    <m/>
    <m/>
    <m/>
    <m/>
    <m/>
    <m/>
    <m/>
    <m/>
    <m/>
    <m/>
    <m/>
    <s v="0.00%"/>
    <s v="0.00%"/>
    <s v="0.00%"/>
    <s v="0.00%"/>
    <m/>
    <m/>
    <m/>
    <m/>
    <m/>
    <m/>
    <m/>
    <s v="0.00%"/>
    <s v="0.00%"/>
    <s v="0.00%"/>
    <s v="0.00%"/>
    <m/>
    <m/>
    <m/>
    <m/>
    <m/>
    <m/>
    <m/>
    <m/>
    <m/>
    <m/>
    <m/>
    <m/>
    <m/>
    <m/>
    <m/>
    <m/>
    <m/>
    <s v="Mike Teixeira"/>
    <m/>
    <s v="06/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6/20/2025"/>
    <x v="2"/>
    <n v="5740779"/>
    <s v="Click Here To View"/>
    <s v="Construction"/>
    <n v="2.02"/>
    <s v="30.69%"/>
    <s v="0.00%"/>
    <s v="30.69%"/>
    <s v="69.31%"/>
    <m/>
    <n v="0.62"/>
    <n v="1.4"/>
    <n v="2.02"/>
    <n v="0.77"/>
    <m/>
    <m/>
    <m/>
    <m/>
    <m/>
    <m/>
    <n v="0.62"/>
    <m/>
    <n v="0.63"/>
    <m/>
    <m/>
    <m/>
    <m/>
    <m/>
    <m/>
    <m/>
    <m/>
    <m/>
    <m/>
    <m/>
    <m/>
    <m/>
    <m/>
    <m/>
    <m/>
    <m/>
    <m/>
    <m/>
    <m/>
    <m/>
    <m/>
    <m/>
    <m/>
    <s v="0.00%"/>
    <s v="0.00%"/>
    <s v="0.00%"/>
    <s v="0.00%"/>
    <m/>
    <m/>
    <m/>
    <m/>
    <m/>
    <m/>
    <m/>
    <s v="0.00%"/>
    <s v="0.00%"/>
    <s v="0.00%"/>
    <s v="0.00%"/>
    <m/>
    <m/>
    <m/>
    <m/>
    <m/>
    <m/>
    <m/>
    <m/>
    <m/>
    <m/>
    <m/>
    <m/>
    <m/>
    <m/>
    <m/>
    <m/>
    <m/>
    <s v="Mike Teixeira"/>
    <m/>
    <s v="06/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6/20/2025"/>
    <x v="2"/>
    <n v="5740896"/>
    <s v="Click Here To View"/>
    <s v="Construction"/>
    <n v="4.42"/>
    <s v="30.77%"/>
    <s v="0.00%"/>
    <s v="30.77%"/>
    <s v="69.23%"/>
    <m/>
    <n v="1.36"/>
    <n v="3.0599999999999996"/>
    <n v="4.42"/>
    <n v="1.68"/>
    <m/>
    <m/>
    <m/>
    <m/>
    <m/>
    <m/>
    <n v="1.36"/>
    <m/>
    <n v="1.38"/>
    <m/>
    <m/>
    <m/>
    <m/>
    <m/>
    <m/>
    <m/>
    <m/>
    <m/>
    <m/>
    <m/>
    <m/>
    <m/>
    <m/>
    <m/>
    <m/>
    <m/>
    <m/>
    <m/>
    <m/>
    <m/>
    <m/>
    <m/>
    <m/>
    <s v="0.00%"/>
    <s v="0.00%"/>
    <s v="0.00%"/>
    <s v="0.00%"/>
    <m/>
    <m/>
    <m/>
    <m/>
    <m/>
    <m/>
    <m/>
    <s v="0.00%"/>
    <s v="0.00%"/>
    <s v="0.00%"/>
    <s v="0.00%"/>
    <m/>
    <m/>
    <m/>
    <m/>
    <m/>
    <m/>
    <m/>
    <m/>
    <m/>
    <m/>
    <m/>
    <m/>
    <m/>
    <m/>
    <m/>
    <m/>
    <m/>
    <s v="Mike Teixeira"/>
    <m/>
    <s v="06/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6/23/2025"/>
    <x v="2"/>
    <n v="5741389"/>
    <s v="Click Here To View"/>
    <s v="Construction"/>
    <n v="3.6599999999999993"/>
    <s v="30.87%"/>
    <s v="0.00%"/>
    <s v="30.87%"/>
    <s v="69.13%"/>
    <m/>
    <n v="1.1299999999999999"/>
    <n v="2.5299999999999998"/>
    <n v="3.6599999999999993"/>
    <n v="1.39"/>
    <m/>
    <m/>
    <m/>
    <m/>
    <m/>
    <m/>
    <n v="1.1299999999999999"/>
    <m/>
    <n v="1.1399999999999999"/>
    <m/>
    <m/>
    <m/>
    <m/>
    <m/>
    <m/>
    <m/>
    <m/>
    <m/>
    <m/>
    <m/>
    <m/>
    <m/>
    <m/>
    <m/>
    <m/>
    <m/>
    <m/>
    <m/>
    <m/>
    <m/>
    <m/>
    <m/>
    <m/>
    <s v="0.00%"/>
    <s v="0.00%"/>
    <s v="0.00%"/>
    <s v="0.00%"/>
    <m/>
    <m/>
    <m/>
    <m/>
    <m/>
    <m/>
    <m/>
    <s v="0.00%"/>
    <s v="0.00%"/>
    <s v="0.00%"/>
    <s v="0.00%"/>
    <m/>
    <m/>
    <m/>
    <m/>
    <m/>
    <m/>
    <m/>
    <m/>
    <m/>
    <m/>
    <m/>
    <m/>
    <m/>
    <m/>
    <m/>
    <m/>
    <m/>
    <s v="Mike Teixeira"/>
    <m/>
    <s v="06/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6/23/2025"/>
    <x v="2"/>
    <n v="5741708"/>
    <s v="Click Here To View"/>
    <s v="Construction"/>
    <n v="2.68"/>
    <s v="30.97%"/>
    <s v="0.00%"/>
    <s v="30.97%"/>
    <s v="69.03%"/>
    <m/>
    <n v="0.83"/>
    <n v="1.85"/>
    <n v="2.68"/>
    <n v="1.02"/>
    <m/>
    <m/>
    <m/>
    <m/>
    <m/>
    <m/>
    <n v="0.83"/>
    <m/>
    <n v="0.83"/>
    <m/>
    <m/>
    <m/>
    <m/>
    <m/>
    <m/>
    <m/>
    <m/>
    <m/>
    <m/>
    <m/>
    <m/>
    <m/>
    <m/>
    <m/>
    <m/>
    <m/>
    <m/>
    <m/>
    <m/>
    <m/>
    <m/>
    <m/>
    <m/>
    <s v="0.00%"/>
    <s v="0.00%"/>
    <s v="0.00%"/>
    <s v="0.00%"/>
    <m/>
    <m/>
    <m/>
    <m/>
    <m/>
    <m/>
    <m/>
    <s v="0.00%"/>
    <s v="0.00%"/>
    <s v="0.00%"/>
    <s v="0.00%"/>
    <m/>
    <m/>
    <m/>
    <m/>
    <m/>
    <m/>
    <m/>
    <m/>
    <m/>
    <m/>
    <m/>
    <m/>
    <m/>
    <m/>
    <m/>
    <m/>
    <m/>
    <s v="Mike Teixeira"/>
    <m/>
    <s v="06/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6/24/2025"/>
    <x v="2"/>
    <n v="5742457"/>
    <s v="Click Here To View"/>
    <s v="Construction"/>
    <n v="4.8100000000000005"/>
    <s v="30.77%"/>
    <s v="0.00%"/>
    <s v="30.77%"/>
    <s v="69.23%"/>
    <m/>
    <n v="1.48"/>
    <n v="3.33"/>
    <n v="4.8100000000000005"/>
    <n v="1.83"/>
    <m/>
    <m/>
    <m/>
    <m/>
    <m/>
    <m/>
    <n v="1.48"/>
    <m/>
    <n v="1.5"/>
    <m/>
    <m/>
    <m/>
    <m/>
    <m/>
    <m/>
    <m/>
    <m/>
    <m/>
    <m/>
    <m/>
    <m/>
    <m/>
    <m/>
    <m/>
    <m/>
    <m/>
    <m/>
    <m/>
    <m/>
    <m/>
    <m/>
    <m/>
    <m/>
    <s v="0.00%"/>
    <s v="0.00%"/>
    <s v="0.00%"/>
    <s v="0.00%"/>
    <m/>
    <m/>
    <m/>
    <m/>
    <m/>
    <m/>
    <m/>
    <s v="0.00%"/>
    <s v="0.00%"/>
    <s v="0.00%"/>
    <s v="0.00%"/>
    <m/>
    <m/>
    <m/>
    <m/>
    <m/>
    <m/>
    <m/>
    <m/>
    <m/>
    <m/>
    <m/>
    <m/>
    <m/>
    <m/>
    <m/>
    <m/>
    <m/>
    <s v="Mike Teixeira"/>
    <m/>
    <s v="06/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6/25/2025"/>
    <x v="2"/>
    <n v="5743014"/>
    <s v="Click Here To View"/>
    <s v="Construction"/>
    <n v="2.72"/>
    <s v="30.88%"/>
    <s v="0.00%"/>
    <s v="30.88%"/>
    <s v="69.12%"/>
    <m/>
    <n v="0.84"/>
    <n v="1.88"/>
    <n v="2.72"/>
    <n v="1.03"/>
    <m/>
    <m/>
    <m/>
    <m/>
    <m/>
    <m/>
    <n v="0.84"/>
    <m/>
    <n v="0.85"/>
    <m/>
    <m/>
    <m/>
    <m/>
    <m/>
    <m/>
    <m/>
    <m/>
    <m/>
    <m/>
    <m/>
    <m/>
    <m/>
    <m/>
    <m/>
    <m/>
    <m/>
    <m/>
    <m/>
    <m/>
    <m/>
    <m/>
    <m/>
    <m/>
    <s v="0.00%"/>
    <s v="0.00%"/>
    <s v="0.00%"/>
    <s v="0.00%"/>
    <m/>
    <m/>
    <m/>
    <m/>
    <m/>
    <m/>
    <m/>
    <s v="0.00%"/>
    <s v="0.00%"/>
    <s v="0.00%"/>
    <s v="0.00%"/>
    <m/>
    <m/>
    <m/>
    <m/>
    <m/>
    <m/>
    <m/>
    <m/>
    <m/>
    <m/>
    <m/>
    <m/>
    <m/>
    <m/>
    <m/>
    <m/>
    <m/>
    <s v="Mike Teixeira"/>
    <m/>
    <s v="07/31/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6/26/2025"/>
    <x v="2"/>
    <n v="5744142"/>
    <s v="Click Here To View"/>
    <s v="Construction"/>
    <n v="2.84"/>
    <s v="30.99%"/>
    <s v="0.00%"/>
    <s v="30.99%"/>
    <s v="69.01%"/>
    <m/>
    <n v="0.88"/>
    <n v="1.96"/>
    <n v="2.84"/>
    <n v="1.08"/>
    <m/>
    <m/>
    <m/>
    <m/>
    <m/>
    <m/>
    <n v="0.88"/>
    <m/>
    <n v="0.88"/>
    <m/>
    <m/>
    <m/>
    <m/>
    <m/>
    <m/>
    <m/>
    <m/>
    <m/>
    <m/>
    <m/>
    <m/>
    <m/>
    <m/>
    <m/>
    <m/>
    <m/>
    <m/>
    <m/>
    <m/>
    <m/>
    <m/>
    <m/>
    <m/>
    <s v="0.00%"/>
    <s v="0.00%"/>
    <s v="0.00%"/>
    <s v="0.00%"/>
    <m/>
    <m/>
    <m/>
    <m/>
    <m/>
    <m/>
    <m/>
    <s v="0.00%"/>
    <s v="0.00%"/>
    <s v="0.00%"/>
    <s v="0.00%"/>
    <m/>
    <m/>
    <m/>
    <m/>
    <m/>
    <m/>
    <m/>
    <m/>
    <m/>
    <m/>
    <m/>
    <m/>
    <m/>
    <m/>
    <m/>
    <m/>
    <m/>
    <s v="Mike Teixeira"/>
    <m/>
    <s v="07/31/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6/27/2025"/>
    <x v="2"/>
    <n v="5744849"/>
    <s v="Click Here To View"/>
    <s v="Construction"/>
    <n v="3.96"/>
    <s v="30.81%"/>
    <s v="0.00%"/>
    <s v="30.81%"/>
    <s v="69.19%"/>
    <m/>
    <n v="1.22"/>
    <n v="2.74"/>
    <n v="3.96"/>
    <n v="1.51"/>
    <m/>
    <m/>
    <m/>
    <m/>
    <m/>
    <m/>
    <n v="1.22"/>
    <m/>
    <n v="1.23"/>
    <m/>
    <m/>
    <m/>
    <m/>
    <m/>
    <m/>
    <m/>
    <m/>
    <m/>
    <m/>
    <m/>
    <m/>
    <m/>
    <m/>
    <m/>
    <m/>
    <m/>
    <m/>
    <m/>
    <m/>
    <m/>
    <m/>
    <m/>
    <m/>
    <s v="0.00%"/>
    <s v="0.00%"/>
    <s v="0.00%"/>
    <s v="0.00%"/>
    <m/>
    <m/>
    <m/>
    <m/>
    <m/>
    <m/>
    <m/>
    <s v="0.00%"/>
    <s v="0.00%"/>
    <s v="0.00%"/>
    <s v="0.00%"/>
    <m/>
    <m/>
    <m/>
    <m/>
    <m/>
    <m/>
    <m/>
    <m/>
    <m/>
    <m/>
    <m/>
    <m/>
    <m/>
    <m/>
    <m/>
    <m/>
    <m/>
    <s v="Mike Teixeira"/>
    <m/>
    <s v="07/31/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6/30/2025"/>
    <x v="2"/>
    <n v="5745979"/>
    <s v="Click Here To View"/>
    <s v="Construction"/>
    <n v="4.01"/>
    <s v="30.92%"/>
    <s v="0.00%"/>
    <s v="30.92%"/>
    <s v="69.08%"/>
    <m/>
    <n v="1.24"/>
    <n v="2.77"/>
    <n v="4.01"/>
    <n v="1.52"/>
    <m/>
    <m/>
    <m/>
    <m/>
    <m/>
    <m/>
    <n v="1.24"/>
    <m/>
    <n v="1.25"/>
    <m/>
    <m/>
    <m/>
    <m/>
    <m/>
    <m/>
    <m/>
    <m/>
    <m/>
    <m/>
    <m/>
    <m/>
    <m/>
    <m/>
    <m/>
    <m/>
    <m/>
    <m/>
    <m/>
    <m/>
    <m/>
    <m/>
    <m/>
    <m/>
    <s v="0.00%"/>
    <s v="0.00%"/>
    <s v="0.00%"/>
    <s v="0.00%"/>
    <m/>
    <m/>
    <m/>
    <m/>
    <m/>
    <m/>
    <m/>
    <s v="0.00%"/>
    <s v="0.00%"/>
    <s v="0.00%"/>
    <s v="0.00%"/>
    <m/>
    <m/>
    <m/>
    <m/>
    <m/>
    <m/>
    <m/>
    <m/>
    <m/>
    <m/>
    <m/>
    <m/>
    <m/>
    <m/>
    <m/>
    <m/>
    <m/>
    <s v="Mike Teixeira"/>
    <m/>
    <s v="07/31/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7/02/2025"/>
    <x v="8"/>
    <n v="5747081"/>
    <s v="Click Here To View"/>
    <s v="Construction"/>
    <n v="5.74"/>
    <s v="30.84%"/>
    <s v="0.00%"/>
    <s v="30.84%"/>
    <s v="69.16%"/>
    <m/>
    <n v="1.77"/>
    <n v="3.97"/>
    <n v="5.74"/>
    <n v="2.1800000000000002"/>
    <m/>
    <m/>
    <m/>
    <m/>
    <m/>
    <m/>
    <n v="1.77"/>
    <m/>
    <n v="1.79"/>
    <m/>
    <m/>
    <m/>
    <m/>
    <m/>
    <m/>
    <m/>
    <m/>
    <m/>
    <m/>
    <m/>
    <m/>
    <m/>
    <m/>
    <m/>
    <m/>
    <m/>
    <m/>
    <m/>
    <m/>
    <m/>
    <m/>
    <m/>
    <m/>
    <s v="0.00%"/>
    <s v="0.00%"/>
    <s v="0.00%"/>
    <s v="0.00%"/>
    <m/>
    <m/>
    <m/>
    <m/>
    <m/>
    <m/>
    <m/>
    <s v="0.00%"/>
    <s v="0.00%"/>
    <s v="0.00%"/>
    <s v="0.00%"/>
    <m/>
    <m/>
    <m/>
    <m/>
    <m/>
    <m/>
    <m/>
    <m/>
    <m/>
    <m/>
    <m/>
    <m/>
    <m/>
    <m/>
    <m/>
    <m/>
    <m/>
    <s v="Mike Teixeira"/>
    <m/>
    <s v="07/31/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7/02/2025"/>
    <x v="8"/>
    <n v="5747634"/>
    <s v="Click Here To View"/>
    <s v="Construction"/>
    <n v="2.4900000000000002"/>
    <s v="30.92%"/>
    <s v="0.00%"/>
    <s v="30.92%"/>
    <s v="69.08%"/>
    <m/>
    <n v="0.77"/>
    <n v="1.72"/>
    <n v="2.4900000000000002"/>
    <n v="0.94"/>
    <m/>
    <m/>
    <m/>
    <m/>
    <m/>
    <m/>
    <n v="0.77"/>
    <m/>
    <n v="0.78"/>
    <m/>
    <m/>
    <m/>
    <m/>
    <m/>
    <m/>
    <m/>
    <m/>
    <m/>
    <m/>
    <m/>
    <m/>
    <m/>
    <m/>
    <m/>
    <m/>
    <m/>
    <m/>
    <m/>
    <m/>
    <m/>
    <m/>
    <m/>
    <m/>
    <s v="0.00%"/>
    <s v="0.00%"/>
    <s v="0.00%"/>
    <s v="0.00%"/>
    <m/>
    <m/>
    <m/>
    <m/>
    <m/>
    <m/>
    <m/>
    <s v="0.00%"/>
    <s v="0.00%"/>
    <s v="0.00%"/>
    <s v="0.00%"/>
    <m/>
    <m/>
    <m/>
    <m/>
    <m/>
    <m/>
    <m/>
    <m/>
    <m/>
    <m/>
    <m/>
    <m/>
    <m/>
    <m/>
    <m/>
    <m/>
    <m/>
    <s v="Mike Teixeira"/>
    <m/>
    <s v="07/31/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7/07/2025"/>
    <x v="8"/>
    <n v="5749840"/>
    <s v="Click Here To View"/>
    <s v="Construction"/>
    <n v="2.6"/>
    <s v="30.77%"/>
    <s v="0.00%"/>
    <s v="30.77%"/>
    <s v="69.23%"/>
    <m/>
    <n v="0.8"/>
    <n v="1.8"/>
    <n v="2.6"/>
    <n v="0.99"/>
    <m/>
    <m/>
    <m/>
    <m/>
    <m/>
    <m/>
    <n v="0.8"/>
    <m/>
    <n v="0.81"/>
    <m/>
    <m/>
    <m/>
    <m/>
    <m/>
    <m/>
    <m/>
    <m/>
    <m/>
    <m/>
    <m/>
    <m/>
    <m/>
    <m/>
    <m/>
    <m/>
    <m/>
    <m/>
    <m/>
    <m/>
    <m/>
    <m/>
    <m/>
    <m/>
    <s v="0.00%"/>
    <s v="0.00%"/>
    <s v="0.00%"/>
    <s v="0.00%"/>
    <m/>
    <m/>
    <m/>
    <m/>
    <m/>
    <m/>
    <m/>
    <s v="0.00%"/>
    <s v="0.00%"/>
    <s v="0.00%"/>
    <s v="0.00%"/>
    <m/>
    <m/>
    <m/>
    <m/>
    <m/>
    <m/>
    <m/>
    <m/>
    <m/>
    <m/>
    <m/>
    <m/>
    <m/>
    <m/>
    <m/>
    <m/>
    <m/>
    <s v="Mike Teixeira"/>
    <m/>
    <s v="07/31/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7/08/2025"/>
    <x v="8"/>
    <n v="5750768"/>
    <s v="Click Here To View"/>
    <s v="Construction"/>
    <n v="3.3"/>
    <s v="30.91%"/>
    <s v="0.00%"/>
    <s v="30.91%"/>
    <s v="69.09%"/>
    <m/>
    <n v="1.02"/>
    <n v="2.2800000000000002"/>
    <n v="3.3"/>
    <n v="1.25"/>
    <m/>
    <m/>
    <m/>
    <m/>
    <m/>
    <m/>
    <n v="1.02"/>
    <m/>
    <n v="1.03"/>
    <m/>
    <m/>
    <m/>
    <m/>
    <m/>
    <m/>
    <m/>
    <m/>
    <m/>
    <m/>
    <m/>
    <m/>
    <m/>
    <m/>
    <m/>
    <m/>
    <m/>
    <m/>
    <m/>
    <m/>
    <m/>
    <m/>
    <m/>
    <m/>
    <s v="0.00%"/>
    <s v="0.00%"/>
    <s v="0.00%"/>
    <s v="0.00%"/>
    <m/>
    <m/>
    <m/>
    <m/>
    <m/>
    <m/>
    <m/>
    <s v="0.00%"/>
    <s v="0.00%"/>
    <s v="0.00%"/>
    <s v="0.00%"/>
    <m/>
    <m/>
    <m/>
    <m/>
    <m/>
    <m/>
    <m/>
    <m/>
    <m/>
    <m/>
    <m/>
    <m/>
    <m/>
    <m/>
    <m/>
    <m/>
    <m/>
    <s v="Mike Teixeira"/>
    <m/>
    <s v="07/31/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7/10/2025"/>
    <x v="8"/>
    <n v="5752257"/>
    <s v="Click Here To View"/>
    <s v="Construction"/>
    <n v="3.7299999999999995"/>
    <s v="30.83%"/>
    <s v="0.00%"/>
    <s v="30.83%"/>
    <s v="69.17%"/>
    <m/>
    <n v="1.1499999999999999"/>
    <n v="2.58"/>
    <n v="3.7299999999999995"/>
    <n v="1.42"/>
    <m/>
    <m/>
    <m/>
    <m/>
    <m/>
    <m/>
    <n v="1.1499999999999999"/>
    <m/>
    <n v="1.1599999999999999"/>
    <m/>
    <m/>
    <m/>
    <m/>
    <m/>
    <m/>
    <m/>
    <m/>
    <m/>
    <m/>
    <m/>
    <m/>
    <m/>
    <m/>
    <m/>
    <m/>
    <m/>
    <m/>
    <m/>
    <m/>
    <m/>
    <m/>
    <m/>
    <m/>
    <s v="0.00%"/>
    <s v="0.00%"/>
    <s v="0.00%"/>
    <s v="0.00%"/>
    <m/>
    <m/>
    <m/>
    <m/>
    <m/>
    <m/>
    <m/>
    <s v="0.00%"/>
    <s v="0.00%"/>
    <s v="0.00%"/>
    <s v="0.00%"/>
    <m/>
    <m/>
    <m/>
    <m/>
    <m/>
    <m/>
    <m/>
    <m/>
    <m/>
    <m/>
    <m/>
    <m/>
    <m/>
    <m/>
    <m/>
    <m/>
    <m/>
    <s v="Mike Teixeira"/>
    <m/>
    <s v="07/31/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7/14/2025"/>
    <x v="8"/>
    <n v="5753447"/>
    <s v="Click Here To View"/>
    <s v="Construction"/>
    <n v="3.91"/>
    <s v="30.95%"/>
    <s v="0.00%"/>
    <s v="30.95%"/>
    <s v="69.05%"/>
    <m/>
    <n v="1.21"/>
    <n v="2.7"/>
    <n v="3.91"/>
    <n v="1.48"/>
    <m/>
    <m/>
    <m/>
    <m/>
    <m/>
    <m/>
    <n v="1.21"/>
    <m/>
    <n v="1.22"/>
    <m/>
    <m/>
    <m/>
    <m/>
    <m/>
    <m/>
    <m/>
    <m/>
    <m/>
    <m/>
    <m/>
    <m/>
    <m/>
    <m/>
    <m/>
    <m/>
    <m/>
    <m/>
    <m/>
    <m/>
    <m/>
    <m/>
    <m/>
    <m/>
    <s v="0.00%"/>
    <s v="0.00%"/>
    <s v="0.00%"/>
    <s v="0.00%"/>
    <m/>
    <m/>
    <m/>
    <m/>
    <m/>
    <m/>
    <m/>
    <s v="0.00%"/>
    <s v="0.00%"/>
    <s v="0.00%"/>
    <s v="0.00%"/>
    <m/>
    <m/>
    <m/>
    <m/>
    <m/>
    <m/>
    <m/>
    <m/>
    <m/>
    <m/>
    <m/>
    <m/>
    <m/>
    <m/>
    <m/>
    <m/>
    <m/>
    <s v="Mike Teixeira"/>
    <m/>
    <s v="07/31/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7/14/2025"/>
    <x v="8"/>
    <n v="5754040"/>
    <s v="Click Here To View"/>
    <s v="Construction"/>
    <n v="4.6199999999999992"/>
    <s v="30.74%"/>
    <s v="0.00%"/>
    <s v="30.74%"/>
    <s v="69.26%"/>
    <m/>
    <n v="1.42"/>
    <n v="3.2"/>
    <n v="4.6199999999999992"/>
    <n v="1.76"/>
    <m/>
    <m/>
    <m/>
    <m/>
    <m/>
    <m/>
    <n v="1.42"/>
    <m/>
    <n v="1.44"/>
    <m/>
    <m/>
    <m/>
    <m/>
    <m/>
    <m/>
    <m/>
    <m/>
    <m/>
    <m/>
    <m/>
    <m/>
    <m/>
    <m/>
    <m/>
    <m/>
    <m/>
    <m/>
    <m/>
    <m/>
    <m/>
    <m/>
    <m/>
    <m/>
    <s v="0.00%"/>
    <s v="0.00%"/>
    <s v="0.00%"/>
    <s v="0.00%"/>
    <m/>
    <m/>
    <m/>
    <m/>
    <m/>
    <m/>
    <m/>
    <s v="0.00%"/>
    <s v="0.00%"/>
    <s v="0.00%"/>
    <s v="0.00%"/>
    <m/>
    <m/>
    <m/>
    <m/>
    <m/>
    <m/>
    <m/>
    <m/>
    <m/>
    <m/>
    <m/>
    <m/>
    <m/>
    <m/>
    <m/>
    <m/>
    <m/>
    <s v="Mike Teixeira"/>
    <m/>
    <s v="07/31/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7/14/2025"/>
    <x v="8"/>
    <n v="5753692"/>
    <s v="Click Here To View"/>
    <s v="Construction"/>
    <n v="0.09"/>
    <s v="33.33%"/>
    <s v="0.00%"/>
    <s v="33.33%"/>
    <s v="66.67%"/>
    <m/>
    <n v="0.03"/>
    <n v="0.06"/>
    <n v="0.09"/>
    <n v="0.03"/>
    <m/>
    <m/>
    <m/>
    <m/>
    <m/>
    <m/>
    <n v="0.03"/>
    <m/>
    <n v="0.03"/>
    <m/>
    <m/>
    <m/>
    <m/>
    <m/>
    <m/>
    <m/>
    <m/>
    <m/>
    <m/>
    <m/>
    <m/>
    <m/>
    <m/>
    <m/>
    <m/>
    <m/>
    <m/>
    <m/>
    <m/>
    <m/>
    <m/>
    <m/>
    <m/>
    <s v="0.00%"/>
    <s v="0.00%"/>
    <s v="0.00%"/>
    <s v="0.00%"/>
    <m/>
    <m/>
    <m/>
    <m/>
    <m/>
    <m/>
    <m/>
    <s v="0.00%"/>
    <s v="0.00%"/>
    <s v="0.00%"/>
    <s v="0.00%"/>
    <m/>
    <m/>
    <m/>
    <m/>
    <m/>
    <m/>
    <m/>
    <m/>
    <m/>
    <m/>
    <m/>
    <m/>
    <m/>
    <m/>
    <m/>
    <m/>
    <m/>
    <s v="Mike Teixeira"/>
    <m/>
    <s v="07/31/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7/15/2025"/>
    <x v="8"/>
    <n v="5754905"/>
    <s v="Click Here To View"/>
    <s v="Construction"/>
    <n v="3.2"/>
    <s v="30.94%"/>
    <s v="0.00%"/>
    <s v="30.94%"/>
    <s v="69.06%"/>
    <m/>
    <n v="0.99"/>
    <n v="2.21"/>
    <n v="3.2"/>
    <n v="1.21"/>
    <m/>
    <m/>
    <m/>
    <m/>
    <m/>
    <m/>
    <n v="0.99"/>
    <m/>
    <n v="1"/>
    <m/>
    <m/>
    <m/>
    <m/>
    <m/>
    <m/>
    <m/>
    <m/>
    <m/>
    <m/>
    <m/>
    <m/>
    <m/>
    <m/>
    <m/>
    <m/>
    <m/>
    <m/>
    <m/>
    <m/>
    <m/>
    <m/>
    <m/>
    <m/>
    <s v="0.00%"/>
    <s v="0.00%"/>
    <s v="0.00%"/>
    <s v="0.00%"/>
    <m/>
    <m/>
    <m/>
    <m/>
    <m/>
    <m/>
    <m/>
    <s v="0.00%"/>
    <s v="0.00%"/>
    <s v="0.00%"/>
    <s v="0.00%"/>
    <m/>
    <m/>
    <m/>
    <m/>
    <m/>
    <m/>
    <m/>
    <m/>
    <m/>
    <m/>
    <m/>
    <m/>
    <m/>
    <m/>
    <m/>
    <m/>
    <m/>
    <s v="Mike Teixeira"/>
    <m/>
    <s v="07/31/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7/17/2025"/>
    <x v="8"/>
    <n v="5756544"/>
    <s v="Click Here To View"/>
    <s v="Construction"/>
    <n v="5.55"/>
    <s v="30.81%"/>
    <s v="0.00%"/>
    <s v="30.81%"/>
    <s v="69.19%"/>
    <m/>
    <n v="1.71"/>
    <n v="3.84"/>
    <n v="5.55"/>
    <n v="2.11"/>
    <m/>
    <m/>
    <m/>
    <m/>
    <m/>
    <m/>
    <n v="1.71"/>
    <m/>
    <n v="1.73"/>
    <m/>
    <m/>
    <m/>
    <m/>
    <m/>
    <m/>
    <m/>
    <m/>
    <m/>
    <m/>
    <m/>
    <m/>
    <m/>
    <m/>
    <m/>
    <m/>
    <m/>
    <m/>
    <m/>
    <m/>
    <m/>
    <m/>
    <m/>
    <m/>
    <s v="0.00%"/>
    <s v="0.00%"/>
    <s v="0.00%"/>
    <s v="0.00%"/>
    <m/>
    <m/>
    <m/>
    <m/>
    <m/>
    <m/>
    <m/>
    <s v="0.00%"/>
    <s v="0.00%"/>
    <s v="0.00%"/>
    <s v="0.00%"/>
    <m/>
    <m/>
    <m/>
    <m/>
    <m/>
    <m/>
    <m/>
    <m/>
    <m/>
    <m/>
    <m/>
    <m/>
    <m/>
    <m/>
    <m/>
    <m/>
    <m/>
    <s v="Mike Teixeira"/>
    <m/>
    <s v="07/31/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7/18/2025"/>
    <x v="8"/>
    <n v="5757034"/>
    <s v="Click Here To View"/>
    <s v="Construction"/>
    <n v="4.76"/>
    <s v="30.88%"/>
    <s v="0.00%"/>
    <s v="30.88%"/>
    <s v="69.12%"/>
    <m/>
    <n v="1.47"/>
    <n v="3.29"/>
    <n v="4.76"/>
    <n v="1.81"/>
    <m/>
    <m/>
    <m/>
    <m/>
    <m/>
    <m/>
    <n v="1.47"/>
    <m/>
    <n v="1.48"/>
    <m/>
    <m/>
    <m/>
    <m/>
    <m/>
    <m/>
    <m/>
    <m/>
    <m/>
    <m/>
    <m/>
    <m/>
    <m/>
    <m/>
    <m/>
    <m/>
    <m/>
    <m/>
    <m/>
    <m/>
    <m/>
    <m/>
    <m/>
    <m/>
    <s v="0.00%"/>
    <s v="0.00%"/>
    <s v="0.00%"/>
    <s v="0.00%"/>
    <m/>
    <m/>
    <m/>
    <m/>
    <m/>
    <m/>
    <m/>
    <s v="0.00%"/>
    <s v="0.00%"/>
    <s v="0.00%"/>
    <s v="0.00%"/>
    <m/>
    <m/>
    <m/>
    <m/>
    <m/>
    <m/>
    <m/>
    <m/>
    <m/>
    <m/>
    <m/>
    <m/>
    <m/>
    <m/>
    <m/>
    <m/>
    <m/>
    <s v="Mike Teixeira"/>
    <m/>
    <s v="07/31/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7/18/2025"/>
    <x v="8"/>
    <n v="5757300"/>
    <s v="Click Here To View"/>
    <s v="Construction"/>
    <n v="2"/>
    <s v="31.00%"/>
    <s v="0.00%"/>
    <s v="31.00%"/>
    <s v="69.00%"/>
    <m/>
    <n v="0.62"/>
    <n v="1.38"/>
    <n v="2"/>
    <n v="0.76"/>
    <m/>
    <m/>
    <m/>
    <m/>
    <m/>
    <m/>
    <n v="0.62"/>
    <m/>
    <n v="0.62"/>
    <m/>
    <m/>
    <m/>
    <m/>
    <m/>
    <m/>
    <m/>
    <m/>
    <m/>
    <m/>
    <m/>
    <m/>
    <m/>
    <m/>
    <m/>
    <m/>
    <m/>
    <m/>
    <m/>
    <m/>
    <m/>
    <m/>
    <m/>
    <m/>
    <s v="0.00%"/>
    <s v="0.00%"/>
    <s v="0.00%"/>
    <s v="0.00%"/>
    <m/>
    <m/>
    <m/>
    <m/>
    <m/>
    <m/>
    <m/>
    <s v="0.00%"/>
    <s v="0.00%"/>
    <s v="0.00%"/>
    <s v="0.00%"/>
    <m/>
    <m/>
    <m/>
    <m/>
    <m/>
    <m/>
    <m/>
    <m/>
    <m/>
    <m/>
    <m/>
    <m/>
    <m/>
    <m/>
    <m/>
    <m/>
    <m/>
    <s v="Mike Teixeira"/>
    <m/>
    <s v="07/31/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7/19/2025"/>
    <x v="8"/>
    <n v="5757377"/>
    <s v="Click Here To View"/>
    <s v="Construction"/>
    <n v="4.17"/>
    <s v="30.94%"/>
    <s v="0.00%"/>
    <s v="30.94%"/>
    <s v="69.06%"/>
    <m/>
    <n v="1.29"/>
    <n v="2.88"/>
    <n v="4.17"/>
    <n v="1.58"/>
    <m/>
    <m/>
    <m/>
    <m/>
    <m/>
    <m/>
    <n v="1.29"/>
    <m/>
    <n v="1.3"/>
    <m/>
    <m/>
    <m/>
    <m/>
    <m/>
    <m/>
    <m/>
    <m/>
    <m/>
    <m/>
    <m/>
    <m/>
    <m/>
    <m/>
    <m/>
    <m/>
    <m/>
    <m/>
    <m/>
    <m/>
    <m/>
    <m/>
    <m/>
    <m/>
    <s v="0.00%"/>
    <s v="0.00%"/>
    <s v="0.00%"/>
    <s v="0.00%"/>
    <m/>
    <m/>
    <m/>
    <m/>
    <m/>
    <m/>
    <m/>
    <s v="0.00%"/>
    <s v="0.00%"/>
    <s v="0.00%"/>
    <s v="0.00%"/>
    <m/>
    <m/>
    <m/>
    <m/>
    <m/>
    <m/>
    <m/>
    <m/>
    <m/>
    <m/>
    <m/>
    <m/>
    <m/>
    <m/>
    <m/>
    <m/>
    <m/>
    <s v="Mike Teixeira"/>
    <m/>
    <s v="07/31/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7/21/2025"/>
    <x v="8"/>
    <n v="5758251"/>
    <s v="Click Here To View"/>
    <s v="Construction"/>
    <n v="2.4699999999999998"/>
    <s v="30.77%"/>
    <s v="0.00%"/>
    <s v="30.77%"/>
    <s v="69.23%"/>
    <m/>
    <n v="0.76"/>
    <n v="1.71"/>
    <n v="2.4699999999999998"/>
    <n v="0.94"/>
    <m/>
    <m/>
    <m/>
    <m/>
    <m/>
    <m/>
    <n v="0.76"/>
    <m/>
    <n v="0.77"/>
    <m/>
    <m/>
    <m/>
    <m/>
    <m/>
    <m/>
    <m/>
    <m/>
    <m/>
    <m/>
    <m/>
    <m/>
    <m/>
    <m/>
    <m/>
    <m/>
    <m/>
    <m/>
    <m/>
    <m/>
    <m/>
    <m/>
    <m/>
    <m/>
    <s v="0.00%"/>
    <s v="0.00%"/>
    <s v="0.00%"/>
    <s v="0.00%"/>
    <m/>
    <m/>
    <m/>
    <m/>
    <m/>
    <m/>
    <m/>
    <s v="0.00%"/>
    <s v="0.00%"/>
    <s v="0.00%"/>
    <s v="0.00%"/>
    <m/>
    <m/>
    <m/>
    <m/>
    <m/>
    <m/>
    <m/>
    <m/>
    <m/>
    <m/>
    <m/>
    <m/>
    <m/>
    <m/>
    <m/>
    <m/>
    <m/>
    <s v="Mike Teixeira"/>
    <m/>
    <s v="07/31/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7/23/2025"/>
    <x v="8"/>
    <n v="5759879"/>
    <s v="Click Here To View"/>
    <s v="Construction"/>
    <n v="4.17"/>
    <s v="30.94%"/>
    <s v="0.00%"/>
    <s v="30.94%"/>
    <s v="69.06%"/>
    <m/>
    <n v="1.29"/>
    <n v="2.88"/>
    <n v="4.17"/>
    <n v="1.58"/>
    <m/>
    <m/>
    <m/>
    <m/>
    <m/>
    <m/>
    <n v="1.29"/>
    <m/>
    <n v="1.3"/>
    <m/>
    <m/>
    <m/>
    <m/>
    <m/>
    <m/>
    <m/>
    <m/>
    <m/>
    <m/>
    <m/>
    <m/>
    <m/>
    <m/>
    <m/>
    <m/>
    <m/>
    <m/>
    <m/>
    <m/>
    <m/>
    <m/>
    <m/>
    <m/>
    <s v="0.00%"/>
    <s v="0.00%"/>
    <s v="0.00%"/>
    <s v="0.00%"/>
    <m/>
    <m/>
    <m/>
    <m/>
    <m/>
    <m/>
    <m/>
    <s v="0.00%"/>
    <s v="0.00%"/>
    <s v="0.00%"/>
    <s v="0.00%"/>
    <m/>
    <m/>
    <m/>
    <m/>
    <m/>
    <m/>
    <m/>
    <m/>
    <m/>
    <m/>
    <m/>
    <m/>
    <m/>
    <m/>
    <m/>
    <m/>
    <m/>
    <s v="Mike Teixeira"/>
    <m/>
    <s v="07/31/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7/31/2025"/>
    <x v="8"/>
    <n v="5764726"/>
    <s v="Click Here To View"/>
    <s v="Construction"/>
    <n v="4.1000000000000005"/>
    <s v="30.73%"/>
    <s v="0.00%"/>
    <s v="30.73%"/>
    <s v="69.27%"/>
    <m/>
    <n v="1.26"/>
    <n v="2.84"/>
    <n v="4.1000000000000005"/>
    <n v="1.56"/>
    <m/>
    <m/>
    <m/>
    <m/>
    <m/>
    <m/>
    <n v="1.26"/>
    <m/>
    <n v="1.28"/>
    <m/>
    <m/>
    <m/>
    <m/>
    <m/>
    <m/>
    <m/>
    <m/>
    <m/>
    <m/>
    <m/>
    <m/>
    <m/>
    <m/>
    <m/>
    <m/>
    <m/>
    <m/>
    <m/>
    <m/>
    <m/>
    <m/>
    <m/>
    <m/>
    <s v="0.00%"/>
    <s v="0.00%"/>
    <s v="0.00%"/>
    <s v="0.00%"/>
    <m/>
    <m/>
    <m/>
    <m/>
    <m/>
    <m/>
    <m/>
    <s v="0.00%"/>
    <s v="0.00%"/>
    <s v="0.00%"/>
    <s v="0.00%"/>
    <m/>
    <m/>
    <m/>
    <m/>
    <m/>
    <m/>
    <m/>
    <m/>
    <m/>
    <m/>
    <m/>
    <m/>
    <m/>
    <m/>
    <m/>
    <m/>
    <m/>
    <s v="Mike Teixeira"/>
    <m/>
    <s v="08/28/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7/31/2025"/>
    <x v="8"/>
    <n v="5764777"/>
    <s v="Click Here To View"/>
    <s v="Construction"/>
    <n v="4.1000000000000005"/>
    <s v="30.73%"/>
    <s v="0.00%"/>
    <s v="30.73%"/>
    <s v="69.27%"/>
    <m/>
    <n v="1.26"/>
    <n v="2.84"/>
    <n v="4.1000000000000005"/>
    <n v="1.56"/>
    <m/>
    <m/>
    <m/>
    <m/>
    <m/>
    <m/>
    <n v="1.26"/>
    <m/>
    <n v="1.28"/>
    <m/>
    <m/>
    <m/>
    <m/>
    <m/>
    <m/>
    <m/>
    <m/>
    <m/>
    <m/>
    <m/>
    <m/>
    <m/>
    <m/>
    <m/>
    <m/>
    <m/>
    <m/>
    <m/>
    <m/>
    <m/>
    <m/>
    <m/>
    <m/>
    <s v="0.00%"/>
    <s v="0.00%"/>
    <s v="0.00%"/>
    <s v="0.00%"/>
    <m/>
    <m/>
    <m/>
    <m/>
    <m/>
    <m/>
    <m/>
    <s v="0.00%"/>
    <s v="0.00%"/>
    <s v="0.00%"/>
    <s v="0.00%"/>
    <m/>
    <m/>
    <m/>
    <m/>
    <m/>
    <m/>
    <m/>
    <m/>
    <m/>
    <m/>
    <m/>
    <m/>
    <m/>
    <m/>
    <m/>
    <m/>
    <m/>
    <s v="Mike Teixeira"/>
    <m/>
    <s v="08/28/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7/31/2025"/>
    <x v="8"/>
    <n v="5764889"/>
    <s v="Click Here To View"/>
    <s v="Construction"/>
    <n v="3.3200000000000003"/>
    <s v="30.72%"/>
    <s v="0.00%"/>
    <s v="30.72%"/>
    <s v="69.28%"/>
    <m/>
    <n v="1.02"/>
    <n v="2.2999999999999998"/>
    <n v="3.3200000000000003"/>
    <n v="1.27"/>
    <m/>
    <m/>
    <m/>
    <m/>
    <m/>
    <m/>
    <n v="1.02"/>
    <m/>
    <n v="1.03"/>
    <m/>
    <m/>
    <m/>
    <m/>
    <m/>
    <m/>
    <m/>
    <m/>
    <m/>
    <m/>
    <m/>
    <m/>
    <m/>
    <m/>
    <m/>
    <m/>
    <m/>
    <m/>
    <m/>
    <m/>
    <m/>
    <m/>
    <m/>
    <m/>
    <s v="0.00%"/>
    <s v="0.00%"/>
    <s v="0.00%"/>
    <s v="0.00%"/>
    <m/>
    <m/>
    <m/>
    <m/>
    <m/>
    <m/>
    <m/>
    <s v="0.00%"/>
    <s v="0.00%"/>
    <s v="0.00%"/>
    <s v="0.00%"/>
    <m/>
    <m/>
    <m/>
    <m/>
    <m/>
    <m/>
    <m/>
    <m/>
    <m/>
    <m/>
    <m/>
    <m/>
    <m/>
    <m/>
    <m/>
    <m/>
    <m/>
    <s v="Mike Teixeira"/>
    <m/>
    <s v="08/28/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8/01/2025"/>
    <x v="33"/>
    <n v="5765738"/>
    <s v="Click Here To View"/>
    <s v="Construction"/>
    <n v="3.96"/>
    <s v="30.81%"/>
    <s v="0.00%"/>
    <s v="30.81%"/>
    <s v="69.19%"/>
    <m/>
    <n v="1.22"/>
    <n v="2.74"/>
    <n v="3.96"/>
    <n v="1.51"/>
    <m/>
    <m/>
    <m/>
    <m/>
    <m/>
    <m/>
    <n v="1.22"/>
    <m/>
    <n v="1.23"/>
    <m/>
    <m/>
    <m/>
    <m/>
    <m/>
    <m/>
    <m/>
    <m/>
    <m/>
    <m/>
    <m/>
    <m/>
    <m/>
    <m/>
    <m/>
    <m/>
    <m/>
    <m/>
    <m/>
    <m/>
    <m/>
    <m/>
    <m/>
    <m/>
    <s v="0.00%"/>
    <s v="0.00%"/>
    <s v="0.00%"/>
    <s v="0.00%"/>
    <m/>
    <m/>
    <m/>
    <m/>
    <m/>
    <m/>
    <m/>
    <s v="0.00%"/>
    <s v="0.00%"/>
    <s v="0.00%"/>
    <s v="0.00%"/>
    <m/>
    <m/>
    <m/>
    <m/>
    <m/>
    <m/>
    <m/>
    <m/>
    <m/>
    <m/>
    <m/>
    <m/>
    <m/>
    <m/>
    <m/>
    <m/>
    <m/>
    <s v="Mike Teixeira"/>
    <m/>
    <s v="08/28/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8/02/2025"/>
    <x v="33"/>
    <n v="5765895"/>
    <s v="Click Here To View"/>
    <s v="Construction"/>
    <n v="5.9399999999999995"/>
    <s v="30.81%"/>
    <s v="0.00%"/>
    <s v="30.81%"/>
    <s v="69.19%"/>
    <m/>
    <n v="1.83"/>
    <n v="4.1099999999999994"/>
    <n v="5.9399999999999995"/>
    <n v="2.2599999999999998"/>
    <m/>
    <m/>
    <m/>
    <m/>
    <m/>
    <m/>
    <n v="1.83"/>
    <m/>
    <n v="1.85"/>
    <m/>
    <m/>
    <m/>
    <m/>
    <m/>
    <m/>
    <m/>
    <m/>
    <m/>
    <m/>
    <m/>
    <m/>
    <m/>
    <m/>
    <m/>
    <m/>
    <m/>
    <m/>
    <m/>
    <m/>
    <m/>
    <m/>
    <m/>
    <m/>
    <s v="0.00%"/>
    <s v="0.00%"/>
    <s v="0.00%"/>
    <s v="0.00%"/>
    <m/>
    <m/>
    <m/>
    <m/>
    <m/>
    <m/>
    <m/>
    <s v="0.00%"/>
    <s v="0.00%"/>
    <s v="0.00%"/>
    <s v="0.00%"/>
    <m/>
    <m/>
    <m/>
    <m/>
    <m/>
    <m/>
    <m/>
    <m/>
    <m/>
    <m/>
    <m/>
    <m/>
    <m/>
    <m/>
    <m/>
    <m/>
    <m/>
    <s v="Mike Teixeira"/>
    <m/>
    <s v="08/28/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8/07/2025"/>
    <x v="33"/>
    <n v="5768551"/>
    <s v="Click Here To View"/>
    <s v="Construction"/>
    <n v="3.99"/>
    <s v="30.83%"/>
    <s v="0.00%"/>
    <s v="30.83%"/>
    <s v="69.17%"/>
    <m/>
    <n v="1.23"/>
    <n v="2.76"/>
    <n v="3.99"/>
    <n v="1.52"/>
    <m/>
    <m/>
    <m/>
    <m/>
    <m/>
    <m/>
    <n v="1.23"/>
    <m/>
    <n v="1.24"/>
    <m/>
    <m/>
    <m/>
    <m/>
    <m/>
    <m/>
    <m/>
    <m/>
    <m/>
    <m/>
    <m/>
    <m/>
    <m/>
    <m/>
    <m/>
    <m/>
    <m/>
    <m/>
    <m/>
    <m/>
    <m/>
    <m/>
    <m/>
    <m/>
    <s v="0.00%"/>
    <s v="0.00%"/>
    <s v="0.00%"/>
    <s v="0.00%"/>
    <m/>
    <m/>
    <m/>
    <m/>
    <m/>
    <m/>
    <m/>
    <s v="0.00%"/>
    <s v="0.00%"/>
    <s v="0.00%"/>
    <s v="0.00%"/>
    <m/>
    <m/>
    <m/>
    <m/>
    <m/>
    <m/>
    <m/>
    <m/>
    <m/>
    <m/>
    <m/>
    <m/>
    <m/>
    <m/>
    <m/>
    <m/>
    <m/>
    <s v="Mike Teixeira"/>
    <m/>
    <s v="08/28/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8/11/2025"/>
    <x v="33"/>
    <n v="5771178"/>
    <s v="Click Here To View"/>
    <s v="Construction"/>
    <n v="4.09"/>
    <s v="30.81%"/>
    <s v="0.00%"/>
    <s v="30.81%"/>
    <s v="69.19%"/>
    <m/>
    <n v="1.26"/>
    <n v="2.83"/>
    <n v="4.09"/>
    <n v="1.56"/>
    <m/>
    <m/>
    <m/>
    <m/>
    <m/>
    <m/>
    <n v="1.26"/>
    <m/>
    <n v="1.27"/>
    <m/>
    <m/>
    <m/>
    <m/>
    <m/>
    <m/>
    <m/>
    <m/>
    <m/>
    <m/>
    <m/>
    <m/>
    <m/>
    <m/>
    <m/>
    <m/>
    <m/>
    <m/>
    <m/>
    <m/>
    <m/>
    <m/>
    <m/>
    <m/>
    <s v="0.00%"/>
    <s v="0.00%"/>
    <s v="0.00%"/>
    <s v="0.00%"/>
    <m/>
    <m/>
    <m/>
    <m/>
    <m/>
    <m/>
    <m/>
    <s v="0.00%"/>
    <s v="0.00%"/>
    <s v="0.00%"/>
    <s v="0.00%"/>
    <m/>
    <m/>
    <m/>
    <m/>
    <m/>
    <m/>
    <m/>
    <m/>
    <m/>
    <m/>
    <m/>
    <m/>
    <m/>
    <m/>
    <m/>
    <m/>
    <m/>
    <s v="Mike Teixeira"/>
    <m/>
    <s v="08/28/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8/15/2025"/>
    <x v="33"/>
    <n v="5773785"/>
    <s v="Click Here To View"/>
    <s v="Construction"/>
    <n v="3.2"/>
    <s v="30.94%"/>
    <s v="0.00%"/>
    <s v="30.94%"/>
    <s v="69.06%"/>
    <m/>
    <n v="0.99"/>
    <n v="2.21"/>
    <n v="3.2"/>
    <n v="1.21"/>
    <m/>
    <m/>
    <m/>
    <m/>
    <m/>
    <m/>
    <n v="0.99"/>
    <m/>
    <n v="1"/>
    <m/>
    <m/>
    <m/>
    <m/>
    <m/>
    <m/>
    <m/>
    <m/>
    <m/>
    <m/>
    <m/>
    <m/>
    <m/>
    <m/>
    <m/>
    <m/>
    <m/>
    <m/>
    <m/>
    <m/>
    <m/>
    <m/>
    <m/>
    <m/>
    <s v="0.00%"/>
    <s v="0.00%"/>
    <s v="0.00%"/>
    <s v="0.00%"/>
    <m/>
    <m/>
    <m/>
    <m/>
    <m/>
    <m/>
    <m/>
    <s v="0.00%"/>
    <s v="0.00%"/>
    <s v="0.00%"/>
    <s v="0.00%"/>
    <m/>
    <m/>
    <m/>
    <m/>
    <m/>
    <m/>
    <m/>
    <m/>
    <m/>
    <m/>
    <m/>
    <m/>
    <m/>
    <m/>
    <m/>
    <m/>
    <m/>
    <s v="Mike Teixeira"/>
    <m/>
    <s v="08/28/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8/19/2025"/>
    <x v="33"/>
    <n v="5775583"/>
    <s v="Click Here To View"/>
    <s v="Construction"/>
    <n v="3.47"/>
    <s v="30.84%"/>
    <s v="0.00%"/>
    <s v="30.84%"/>
    <s v="69.16%"/>
    <m/>
    <n v="1.07"/>
    <n v="2.4000000000000004"/>
    <n v="3.47"/>
    <n v="1.32"/>
    <m/>
    <m/>
    <m/>
    <m/>
    <m/>
    <m/>
    <n v="1.07"/>
    <m/>
    <n v="1.08"/>
    <m/>
    <m/>
    <m/>
    <m/>
    <m/>
    <m/>
    <m/>
    <m/>
    <m/>
    <m/>
    <m/>
    <m/>
    <m/>
    <m/>
    <m/>
    <m/>
    <m/>
    <m/>
    <m/>
    <m/>
    <m/>
    <m/>
    <m/>
    <m/>
    <s v="0.00%"/>
    <s v="0.00%"/>
    <s v="0.00%"/>
    <s v="0.00%"/>
    <m/>
    <m/>
    <m/>
    <m/>
    <m/>
    <m/>
    <m/>
    <s v="0.00%"/>
    <s v="0.00%"/>
    <s v="0.00%"/>
    <s v="0.00%"/>
    <m/>
    <m/>
    <m/>
    <m/>
    <m/>
    <m/>
    <m/>
    <m/>
    <m/>
    <m/>
    <m/>
    <m/>
    <m/>
    <m/>
    <m/>
    <m/>
    <m/>
    <s v="Mike Teixeira"/>
    <m/>
    <s v="08/28/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8/19/2025"/>
    <x v="33"/>
    <n v="5776193"/>
    <s v="Click Here To View"/>
    <s v="Construction"/>
    <n v="1.31"/>
    <s v="30.53%"/>
    <s v="0.00%"/>
    <s v="30.53%"/>
    <s v="69.47%"/>
    <m/>
    <n v="0.4"/>
    <n v="0.90999999999999992"/>
    <n v="1.31"/>
    <n v="0.5"/>
    <m/>
    <m/>
    <m/>
    <m/>
    <m/>
    <m/>
    <n v="0.4"/>
    <m/>
    <n v="0.41"/>
    <m/>
    <m/>
    <m/>
    <m/>
    <m/>
    <m/>
    <m/>
    <m/>
    <m/>
    <m/>
    <m/>
    <m/>
    <m/>
    <m/>
    <m/>
    <m/>
    <m/>
    <m/>
    <m/>
    <m/>
    <m/>
    <m/>
    <m/>
    <m/>
    <s v="0.00%"/>
    <s v="0.00%"/>
    <s v="0.00%"/>
    <s v="0.00%"/>
    <m/>
    <m/>
    <m/>
    <m/>
    <m/>
    <m/>
    <m/>
    <s v="0.00%"/>
    <s v="0.00%"/>
    <s v="0.00%"/>
    <s v="0.00%"/>
    <m/>
    <m/>
    <m/>
    <m/>
    <m/>
    <m/>
    <m/>
    <m/>
    <m/>
    <m/>
    <m/>
    <m/>
    <m/>
    <m/>
    <m/>
    <m/>
    <m/>
    <s v="Mike Teixeira"/>
    <m/>
    <s v="08/28/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8/25/2025"/>
    <x v="33"/>
    <n v="5779094"/>
    <s v="Click Here To View"/>
    <s v="Construction"/>
    <n v="3.75"/>
    <s v="30.93%"/>
    <s v="0.00%"/>
    <s v="30.93%"/>
    <s v="69.07%"/>
    <m/>
    <n v="1.1599999999999999"/>
    <n v="2.59"/>
    <n v="3.75"/>
    <n v="1.42"/>
    <m/>
    <m/>
    <m/>
    <m/>
    <m/>
    <m/>
    <n v="1.1599999999999999"/>
    <m/>
    <n v="1.17"/>
    <m/>
    <m/>
    <m/>
    <m/>
    <m/>
    <m/>
    <m/>
    <m/>
    <m/>
    <m/>
    <m/>
    <m/>
    <m/>
    <m/>
    <m/>
    <m/>
    <m/>
    <m/>
    <m/>
    <m/>
    <m/>
    <m/>
    <m/>
    <m/>
    <s v="0.00%"/>
    <s v="0.00%"/>
    <s v="0.00%"/>
    <s v="0.00%"/>
    <m/>
    <m/>
    <m/>
    <m/>
    <m/>
    <m/>
    <m/>
    <s v="0.00%"/>
    <s v="0.00%"/>
    <s v="0.00%"/>
    <s v="0.00%"/>
    <m/>
    <m/>
    <m/>
    <m/>
    <m/>
    <m/>
    <m/>
    <m/>
    <m/>
    <m/>
    <m/>
    <m/>
    <m/>
    <m/>
    <m/>
    <m/>
    <m/>
    <s v="Mike Teixeira"/>
    <m/>
    <s v="08/28/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8/25/2025"/>
    <x v="33"/>
    <n v="5779514"/>
    <s v="Click Here To View"/>
    <s v="Construction"/>
    <n v="4.1100000000000003"/>
    <s v="30.90%"/>
    <s v="0.00%"/>
    <s v="30.90%"/>
    <s v="69.10%"/>
    <m/>
    <n v="1.27"/>
    <n v="2.84"/>
    <n v="4.1100000000000003"/>
    <n v="1.56"/>
    <m/>
    <m/>
    <m/>
    <m/>
    <m/>
    <m/>
    <n v="1.27"/>
    <m/>
    <n v="1.28"/>
    <m/>
    <m/>
    <m/>
    <m/>
    <m/>
    <m/>
    <m/>
    <m/>
    <m/>
    <m/>
    <m/>
    <m/>
    <m/>
    <m/>
    <m/>
    <m/>
    <m/>
    <m/>
    <m/>
    <m/>
    <m/>
    <m/>
    <m/>
    <m/>
    <s v="0.00%"/>
    <s v="0.00%"/>
    <s v="0.00%"/>
    <s v="0.00%"/>
    <m/>
    <m/>
    <m/>
    <m/>
    <m/>
    <m/>
    <m/>
    <s v="0.00%"/>
    <s v="0.00%"/>
    <s v="0.00%"/>
    <s v="0.00%"/>
    <m/>
    <m/>
    <m/>
    <m/>
    <m/>
    <m/>
    <m/>
    <m/>
    <m/>
    <m/>
    <m/>
    <m/>
    <m/>
    <m/>
    <m/>
    <m/>
    <m/>
    <s v="Mike Teixeira"/>
    <m/>
    <s v="08/28/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8/27/2025"/>
    <x v="33"/>
    <n v="5781175"/>
    <s v="Click Here To View"/>
    <s v="Construction"/>
    <n v="3.41"/>
    <s v="30.79%"/>
    <s v="0.00%"/>
    <s v="30.79%"/>
    <s v="69.21%"/>
    <m/>
    <n v="1.05"/>
    <n v="2.3600000000000003"/>
    <n v="3.41"/>
    <n v="1.3"/>
    <m/>
    <m/>
    <m/>
    <m/>
    <m/>
    <m/>
    <n v="1.05"/>
    <m/>
    <n v="1.06"/>
    <m/>
    <m/>
    <m/>
    <m/>
    <m/>
    <m/>
    <m/>
    <m/>
    <m/>
    <m/>
    <m/>
    <m/>
    <m/>
    <m/>
    <m/>
    <m/>
    <m/>
    <m/>
    <m/>
    <m/>
    <m/>
    <m/>
    <m/>
    <m/>
    <s v="0.00%"/>
    <s v="0.00%"/>
    <s v="0.00%"/>
    <s v="0.00%"/>
    <m/>
    <m/>
    <m/>
    <m/>
    <m/>
    <m/>
    <m/>
    <s v="0.00%"/>
    <s v="0.00%"/>
    <s v="0.00%"/>
    <s v="0.00%"/>
    <m/>
    <m/>
    <m/>
    <m/>
    <m/>
    <m/>
    <m/>
    <m/>
    <m/>
    <m/>
    <m/>
    <m/>
    <m/>
    <m/>
    <m/>
    <m/>
    <m/>
    <s v="Mike Teixeira"/>
    <m/>
    <s v="09/29/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8/28/2025"/>
    <x v="33"/>
    <n v="5782071"/>
    <s v="Click Here To View"/>
    <s v="Construction"/>
    <n v="5.39"/>
    <s v="30.80%"/>
    <s v="0.00%"/>
    <s v="30.80%"/>
    <s v="69.20%"/>
    <m/>
    <n v="1.66"/>
    <n v="3.7299999999999995"/>
    <n v="5.39"/>
    <n v="2.0499999999999998"/>
    <m/>
    <m/>
    <m/>
    <m/>
    <m/>
    <m/>
    <n v="1.66"/>
    <m/>
    <n v="1.68"/>
    <m/>
    <m/>
    <m/>
    <m/>
    <m/>
    <m/>
    <m/>
    <m/>
    <m/>
    <m/>
    <m/>
    <m/>
    <m/>
    <m/>
    <m/>
    <m/>
    <m/>
    <m/>
    <m/>
    <m/>
    <m/>
    <m/>
    <m/>
    <m/>
    <s v="0.00%"/>
    <s v="0.00%"/>
    <s v="0.00%"/>
    <s v="0.00%"/>
    <m/>
    <m/>
    <m/>
    <m/>
    <m/>
    <m/>
    <m/>
    <s v="0.00%"/>
    <s v="0.00%"/>
    <s v="0.00%"/>
    <s v="0.00%"/>
    <m/>
    <m/>
    <m/>
    <m/>
    <m/>
    <m/>
    <m/>
    <m/>
    <m/>
    <m/>
    <m/>
    <m/>
    <m/>
    <m/>
    <m/>
    <m/>
    <m/>
    <s v="Mike Teixeira"/>
    <m/>
    <s v="09/29/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8/29/2025"/>
    <x v="33"/>
    <n v="5782852"/>
    <s v="Click Here To View"/>
    <s v="Construction"/>
    <n v="3.82"/>
    <s v="30.89%"/>
    <s v="0.00%"/>
    <s v="30.89%"/>
    <s v="69.11%"/>
    <m/>
    <n v="1.18"/>
    <n v="2.6399999999999997"/>
    <n v="3.82"/>
    <n v="1.45"/>
    <m/>
    <m/>
    <m/>
    <m/>
    <m/>
    <m/>
    <n v="1.18"/>
    <m/>
    <n v="1.19"/>
    <m/>
    <m/>
    <m/>
    <m/>
    <m/>
    <m/>
    <m/>
    <m/>
    <m/>
    <m/>
    <m/>
    <m/>
    <m/>
    <m/>
    <m/>
    <m/>
    <m/>
    <m/>
    <m/>
    <m/>
    <m/>
    <m/>
    <m/>
    <m/>
    <s v="0.00%"/>
    <s v="0.00%"/>
    <s v="0.00%"/>
    <s v="0.00%"/>
    <m/>
    <m/>
    <m/>
    <m/>
    <m/>
    <m/>
    <m/>
    <s v="0.00%"/>
    <s v="0.00%"/>
    <s v="0.00%"/>
    <s v="0.00%"/>
    <m/>
    <m/>
    <m/>
    <m/>
    <m/>
    <m/>
    <m/>
    <m/>
    <m/>
    <m/>
    <m/>
    <m/>
    <m/>
    <m/>
    <m/>
    <m/>
    <m/>
    <s v="Mike Teixeira"/>
    <m/>
    <s v="09/29/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9/03/2025"/>
    <x v="31"/>
    <n v="5785297"/>
    <s v="Click Here To View"/>
    <s v="Construction"/>
    <n v="4.07"/>
    <s v="30.71%"/>
    <s v="0.00%"/>
    <s v="30.71%"/>
    <s v="69.29%"/>
    <m/>
    <n v="1.25"/>
    <n v="2.8200000000000003"/>
    <n v="4.07"/>
    <n v="1.55"/>
    <m/>
    <m/>
    <m/>
    <m/>
    <m/>
    <m/>
    <n v="1.25"/>
    <m/>
    <n v="1.27"/>
    <m/>
    <m/>
    <m/>
    <m/>
    <m/>
    <m/>
    <m/>
    <m/>
    <m/>
    <m/>
    <m/>
    <m/>
    <m/>
    <m/>
    <m/>
    <m/>
    <m/>
    <m/>
    <m/>
    <m/>
    <m/>
    <m/>
    <m/>
    <m/>
    <s v="0.00%"/>
    <s v="0.00%"/>
    <s v="0.00%"/>
    <s v="0.00%"/>
    <m/>
    <m/>
    <m/>
    <m/>
    <m/>
    <m/>
    <m/>
    <s v="0.00%"/>
    <s v="0.00%"/>
    <s v="0.00%"/>
    <s v="0.00%"/>
    <m/>
    <m/>
    <m/>
    <m/>
    <m/>
    <m/>
    <m/>
    <m/>
    <m/>
    <m/>
    <m/>
    <m/>
    <m/>
    <m/>
    <m/>
    <m/>
    <m/>
    <s v="Mike Teixeira"/>
    <m/>
    <s v="09/29/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9/08/2025"/>
    <x v="31"/>
    <n v="5787892"/>
    <s v="Click Here To View"/>
    <s v="Construction"/>
    <n v="4.2"/>
    <s v="30.71%"/>
    <s v="0.00%"/>
    <s v="30.71%"/>
    <s v="69.29%"/>
    <m/>
    <n v="1.29"/>
    <n v="2.91"/>
    <n v="4.2"/>
    <n v="1.6"/>
    <m/>
    <m/>
    <m/>
    <m/>
    <m/>
    <m/>
    <n v="1.29"/>
    <m/>
    <n v="1.31"/>
    <m/>
    <m/>
    <m/>
    <m/>
    <m/>
    <m/>
    <m/>
    <m/>
    <m/>
    <m/>
    <m/>
    <m/>
    <m/>
    <m/>
    <m/>
    <m/>
    <m/>
    <m/>
    <m/>
    <m/>
    <m/>
    <m/>
    <m/>
    <m/>
    <s v="0.00%"/>
    <s v="0.00%"/>
    <s v="0.00%"/>
    <s v="0.00%"/>
    <m/>
    <m/>
    <m/>
    <m/>
    <m/>
    <m/>
    <m/>
    <s v="0.00%"/>
    <s v="0.00%"/>
    <s v="0.00%"/>
    <s v="0.00%"/>
    <m/>
    <m/>
    <m/>
    <m/>
    <m/>
    <m/>
    <m/>
    <m/>
    <m/>
    <m/>
    <m/>
    <m/>
    <m/>
    <m/>
    <m/>
    <m/>
    <m/>
    <s v="Mike Teixeira"/>
    <m/>
    <s v="09/29/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9/09/2025"/>
    <x v="31"/>
    <n v="5788719"/>
    <s v="Click Here To View"/>
    <s v="Construction"/>
    <n v="3.49"/>
    <s v="30.95%"/>
    <s v="0.00%"/>
    <s v="30.95%"/>
    <s v="69.05%"/>
    <m/>
    <n v="1.08"/>
    <n v="2.41"/>
    <n v="3.49"/>
    <n v="1.0900000000000001"/>
    <m/>
    <m/>
    <m/>
    <m/>
    <m/>
    <m/>
    <n v="1.08"/>
    <m/>
    <n v="1.32"/>
    <m/>
    <m/>
    <m/>
    <m/>
    <m/>
    <m/>
    <m/>
    <m/>
    <m/>
    <m/>
    <m/>
    <m/>
    <m/>
    <m/>
    <m/>
    <m/>
    <m/>
    <m/>
    <m/>
    <m/>
    <m/>
    <m/>
    <m/>
    <m/>
    <s v="0.00%"/>
    <s v="0.00%"/>
    <s v="0.00%"/>
    <s v="0.00%"/>
    <m/>
    <m/>
    <m/>
    <m/>
    <m/>
    <m/>
    <m/>
    <s v="0.00%"/>
    <s v="0.00%"/>
    <s v="0.00%"/>
    <s v="0.00%"/>
    <m/>
    <m/>
    <m/>
    <m/>
    <m/>
    <m/>
    <m/>
    <m/>
    <m/>
    <m/>
    <m/>
    <m/>
    <m/>
    <m/>
    <m/>
    <m/>
    <m/>
    <s v="Mike Teixeira"/>
    <m/>
    <s v="09/29/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9/11/2025"/>
    <x v="31"/>
    <n v="578913"/>
    <s v="Click Here To View"/>
    <s v="Construction"/>
    <n v="6.65"/>
    <s v="61.95%"/>
    <s v="0.00%"/>
    <s v="61.95%"/>
    <s v="38.05%"/>
    <m/>
    <n v="4.1199999999999992"/>
    <n v="2.5299999999999998"/>
    <n v="6.65"/>
    <n v="2.5299999999999998"/>
    <m/>
    <m/>
    <m/>
    <m/>
    <m/>
    <m/>
    <n v="2.0499999999999998"/>
    <n v="2.0699999999999998"/>
    <m/>
    <m/>
    <m/>
    <m/>
    <m/>
    <m/>
    <m/>
    <m/>
    <m/>
    <m/>
    <m/>
    <m/>
    <m/>
    <m/>
    <m/>
    <m/>
    <m/>
    <m/>
    <m/>
    <m/>
    <m/>
    <m/>
    <m/>
    <m/>
    <m/>
    <s v="0.00%"/>
    <s v="0.00%"/>
    <s v="0.00%"/>
    <s v="0.00%"/>
    <m/>
    <m/>
    <m/>
    <m/>
    <m/>
    <m/>
    <m/>
    <s v="0.00%"/>
    <s v="0.00%"/>
    <s v="0.00%"/>
    <s v="0.00%"/>
    <m/>
    <m/>
    <m/>
    <m/>
    <m/>
    <m/>
    <m/>
    <m/>
    <m/>
    <m/>
    <m/>
    <m/>
    <m/>
    <m/>
    <m/>
    <m/>
    <m/>
    <s v="Mike Teixeira"/>
    <m/>
    <s v="09/29/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9/11/2025"/>
    <x v="31"/>
    <n v="5790297"/>
    <s v="Click Here To View"/>
    <s v="Construction"/>
    <n v="3.24"/>
    <s v="30.86%"/>
    <s v="0.00%"/>
    <s v="30.86%"/>
    <s v="69.14%"/>
    <m/>
    <n v="1"/>
    <n v="2.2400000000000002"/>
    <n v="3.24"/>
    <n v="1.23"/>
    <m/>
    <m/>
    <m/>
    <m/>
    <m/>
    <m/>
    <n v="1"/>
    <m/>
    <n v="1.01"/>
    <m/>
    <m/>
    <m/>
    <m/>
    <m/>
    <m/>
    <m/>
    <m/>
    <m/>
    <m/>
    <m/>
    <m/>
    <m/>
    <m/>
    <m/>
    <m/>
    <m/>
    <m/>
    <m/>
    <m/>
    <m/>
    <m/>
    <m/>
    <m/>
    <s v="0.00%"/>
    <s v="0.00%"/>
    <s v="0.00%"/>
    <s v="0.00%"/>
    <m/>
    <m/>
    <m/>
    <m/>
    <m/>
    <m/>
    <m/>
    <s v="0.00%"/>
    <s v="0.00%"/>
    <s v="0.00%"/>
    <s v="0.00%"/>
    <m/>
    <m/>
    <m/>
    <m/>
    <m/>
    <m/>
    <m/>
    <m/>
    <m/>
    <m/>
    <m/>
    <m/>
    <m/>
    <m/>
    <m/>
    <m/>
    <m/>
    <s v="Mike Teixeira"/>
    <m/>
    <s v="09/29/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9/23/2025"/>
    <x v="31"/>
    <n v="5796801"/>
    <s v="Click Here To View"/>
    <s v="Construction"/>
    <n v="5.76"/>
    <s v="30.90%"/>
    <s v="0.00%"/>
    <s v="30.90%"/>
    <s v="69.10%"/>
    <m/>
    <n v="1.78"/>
    <n v="3.98"/>
    <n v="5.76"/>
    <n v="2.19"/>
    <m/>
    <m/>
    <m/>
    <m/>
    <m/>
    <m/>
    <n v="1.78"/>
    <m/>
    <n v="1.79"/>
    <m/>
    <m/>
    <m/>
    <m/>
    <m/>
    <m/>
    <m/>
    <m/>
    <m/>
    <m/>
    <m/>
    <m/>
    <m/>
    <m/>
    <m/>
    <m/>
    <m/>
    <m/>
    <m/>
    <m/>
    <m/>
    <m/>
    <m/>
    <m/>
    <s v="0.00%"/>
    <s v="0.00%"/>
    <s v="0.00%"/>
    <s v="0.00%"/>
    <m/>
    <m/>
    <m/>
    <m/>
    <m/>
    <m/>
    <m/>
    <s v="0.00%"/>
    <s v="0.00%"/>
    <s v="0.00%"/>
    <s v="0.00%"/>
    <m/>
    <m/>
    <m/>
    <m/>
    <m/>
    <m/>
    <m/>
    <m/>
    <m/>
    <m/>
    <m/>
    <m/>
    <m/>
    <m/>
    <m/>
    <m/>
    <m/>
    <s v="Mike Teixeira"/>
    <m/>
    <s v="09/29/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9/24/2025"/>
    <x v="31"/>
    <n v="5798128"/>
    <s v="Click Here To View"/>
    <s v="Construction"/>
    <n v="5.62"/>
    <s v="30.78%"/>
    <s v="0.00%"/>
    <s v="30.78%"/>
    <s v="69.22%"/>
    <m/>
    <n v="1.73"/>
    <n v="3.89"/>
    <n v="5.62"/>
    <n v="2.14"/>
    <m/>
    <m/>
    <m/>
    <m/>
    <m/>
    <m/>
    <n v="1.73"/>
    <m/>
    <n v="1.75"/>
    <m/>
    <m/>
    <m/>
    <m/>
    <m/>
    <m/>
    <m/>
    <m/>
    <m/>
    <m/>
    <m/>
    <m/>
    <m/>
    <m/>
    <m/>
    <m/>
    <m/>
    <m/>
    <m/>
    <m/>
    <m/>
    <m/>
    <m/>
    <m/>
    <s v="0.00%"/>
    <s v="0.00%"/>
    <s v="0.00%"/>
    <s v="0.00%"/>
    <m/>
    <m/>
    <m/>
    <m/>
    <m/>
    <m/>
    <m/>
    <s v="0.00%"/>
    <s v="0.00%"/>
    <s v="0.00%"/>
    <s v="0.00%"/>
    <m/>
    <m/>
    <m/>
    <m/>
    <m/>
    <m/>
    <m/>
    <m/>
    <m/>
    <m/>
    <m/>
    <m/>
    <m/>
    <m/>
    <m/>
    <m/>
    <m/>
    <s v="Mike Teixeira"/>
    <m/>
    <s v="11/03/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0/01/2025"/>
    <x v="1"/>
    <n v="5802518"/>
    <s v="Click Here To View"/>
    <s v="Construction"/>
    <n v="5.04"/>
    <s v="30.75%"/>
    <s v="0.00%"/>
    <s v="30.75%"/>
    <s v="69.25%"/>
    <m/>
    <n v="1.55"/>
    <n v="3.49"/>
    <n v="5.04"/>
    <n v="1.92"/>
    <m/>
    <m/>
    <m/>
    <m/>
    <m/>
    <m/>
    <n v="1.55"/>
    <m/>
    <n v="1.57"/>
    <m/>
    <m/>
    <m/>
    <m/>
    <m/>
    <m/>
    <m/>
    <m/>
    <m/>
    <m/>
    <m/>
    <m/>
    <m/>
    <m/>
    <m/>
    <m/>
    <m/>
    <m/>
    <m/>
    <m/>
    <m/>
    <m/>
    <m/>
    <m/>
    <s v="0.00%"/>
    <s v="0.00%"/>
    <s v="0.00%"/>
    <s v="0.00%"/>
    <m/>
    <m/>
    <m/>
    <m/>
    <m/>
    <m/>
    <m/>
    <s v="0.00%"/>
    <s v="0.00%"/>
    <s v="0.00%"/>
    <s v="0.00%"/>
    <m/>
    <m/>
    <m/>
    <m/>
    <m/>
    <m/>
    <m/>
    <m/>
    <m/>
    <m/>
    <m/>
    <m/>
    <m/>
    <m/>
    <m/>
    <m/>
    <m/>
    <s v="Mike Teixeira"/>
    <m/>
    <s v="11/03/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0/03/2025"/>
    <x v="1"/>
    <n v="5803928"/>
    <s v="Click Here To View"/>
    <s v="Construction"/>
    <n v="4.29"/>
    <s v="30.77%"/>
    <s v="0.00%"/>
    <s v="30.77%"/>
    <s v="69.23%"/>
    <m/>
    <n v="1.32"/>
    <n v="2.9699999999999998"/>
    <n v="4.29"/>
    <n v="1.63"/>
    <m/>
    <m/>
    <m/>
    <m/>
    <m/>
    <m/>
    <n v="1.32"/>
    <m/>
    <n v="1.34"/>
    <m/>
    <m/>
    <m/>
    <m/>
    <m/>
    <m/>
    <m/>
    <m/>
    <m/>
    <m/>
    <m/>
    <m/>
    <m/>
    <m/>
    <m/>
    <m/>
    <m/>
    <m/>
    <m/>
    <m/>
    <m/>
    <m/>
    <m/>
    <m/>
    <s v="0.00%"/>
    <s v="0.00%"/>
    <s v="0.00%"/>
    <s v="0.00%"/>
    <m/>
    <m/>
    <m/>
    <m/>
    <m/>
    <m/>
    <m/>
    <s v="0.00%"/>
    <s v="0.00%"/>
    <s v="0.00%"/>
    <s v="0.00%"/>
    <m/>
    <m/>
    <m/>
    <m/>
    <m/>
    <m/>
    <m/>
    <m/>
    <m/>
    <m/>
    <m/>
    <m/>
    <m/>
    <m/>
    <m/>
    <m/>
    <m/>
    <s v="Mike Teixeira"/>
    <m/>
    <s v="11/03/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0/07/2025"/>
    <x v="1"/>
    <n v="5805910"/>
    <s v="Click Here To View"/>
    <s v="Construction"/>
    <n v="5.8900000000000006"/>
    <s v="30.90%"/>
    <s v="0.00%"/>
    <s v="30.90%"/>
    <s v="69.10%"/>
    <m/>
    <n v="1.82"/>
    <n v="4.07"/>
    <n v="5.8900000000000006"/>
    <n v="2.2400000000000002"/>
    <m/>
    <m/>
    <m/>
    <m/>
    <m/>
    <m/>
    <n v="1.82"/>
    <m/>
    <n v="1.83"/>
    <m/>
    <m/>
    <m/>
    <m/>
    <m/>
    <m/>
    <m/>
    <m/>
    <m/>
    <m/>
    <m/>
    <m/>
    <m/>
    <m/>
    <m/>
    <m/>
    <m/>
    <m/>
    <m/>
    <m/>
    <m/>
    <m/>
    <m/>
    <m/>
    <s v="0.00%"/>
    <s v="0.00%"/>
    <s v="0.00%"/>
    <s v="0.00%"/>
    <m/>
    <m/>
    <m/>
    <m/>
    <m/>
    <m/>
    <m/>
    <s v="0.00%"/>
    <s v="0.00%"/>
    <s v="0.00%"/>
    <s v="0.00%"/>
    <m/>
    <m/>
    <m/>
    <m/>
    <m/>
    <m/>
    <m/>
    <m/>
    <m/>
    <m/>
    <m/>
    <m/>
    <m/>
    <m/>
    <m/>
    <m/>
    <m/>
    <s v="Mike Teixeira"/>
    <m/>
    <s v="11/03/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0/08/2025"/>
    <x v="1"/>
    <n v="5806673"/>
    <s v="Click Here To View"/>
    <s v="Construction"/>
    <n v="2.75"/>
    <s v="30.91%"/>
    <s v="0.00%"/>
    <s v="30.91%"/>
    <s v="69.09%"/>
    <m/>
    <n v="0.85"/>
    <n v="1.9"/>
    <n v="2.75"/>
    <n v="1.04"/>
    <m/>
    <m/>
    <m/>
    <m/>
    <m/>
    <m/>
    <n v="0.85"/>
    <m/>
    <n v="0.86"/>
    <m/>
    <m/>
    <m/>
    <m/>
    <m/>
    <m/>
    <m/>
    <m/>
    <m/>
    <m/>
    <m/>
    <m/>
    <m/>
    <m/>
    <m/>
    <m/>
    <m/>
    <m/>
    <m/>
    <m/>
    <m/>
    <m/>
    <m/>
    <m/>
    <s v="0.00%"/>
    <s v="0.00%"/>
    <s v="0.00%"/>
    <s v="0.00%"/>
    <m/>
    <m/>
    <m/>
    <m/>
    <m/>
    <m/>
    <m/>
    <s v="0.00%"/>
    <s v="0.00%"/>
    <s v="0.00%"/>
    <s v="0.00%"/>
    <m/>
    <m/>
    <m/>
    <m/>
    <m/>
    <m/>
    <m/>
    <m/>
    <m/>
    <m/>
    <m/>
    <m/>
    <m/>
    <m/>
    <m/>
    <m/>
    <m/>
    <s v="Mike Teixeira"/>
    <m/>
    <s v="11/03/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0/08/2025"/>
    <x v="1"/>
    <n v="5806754"/>
    <s v="Click Here To View"/>
    <s v="Construction"/>
    <n v="1.8574999999999999"/>
    <s v="30.69%"/>
    <s v="0.00%"/>
    <s v="30.69%"/>
    <s v="69.31%"/>
    <m/>
    <n v="0.56999999999999995"/>
    <n v="1.2875000000000001"/>
    <n v="1.8574999999999999"/>
    <n v="0.70750000000000002"/>
    <m/>
    <m/>
    <m/>
    <m/>
    <m/>
    <m/>
    <n v="0.56999999999999995"/>
    <m/>
    <n v="0.57999999999999996"/>
    <m/>
    <m/>
    <m/>
    <m/>
    <m/>
    <m/>
    <m/>
    <m/>
    <m/>
    <m/>
    <m/>
    <m/>
    <m/>
    <m/>
    <m/>
    <m/>
    <m/>
    <m/>
    <m/>
    <m/>
    <m/>
    <m/>
    <m/>
    <m/>
    <s v="0.00%"/>
    <s v="0.00%"/>
    <s v="0.00%"/>
    <s v="0.00%"/>
    <m/>
    <m/>
    <m/>
    <m/>
    <m/>
    <m/>
    <m/>
    <s v="0.00%"/>
    <s v="0.00%"/>
    <s v="0.00%"/>
    <s v="0.00%"/>
    <m/>
    <m/>
    <m/>
    <m/>
    <m/>
    <m/>
    <m/>
    <m/>
    <m/>
    <m/>
    <m/>
    <m/>
    <m/>
    <m/>
    <m/>
    <m/>
    <m/>
    <s v="Mike Teixeira"/>
    <m/>
    <s v="11/03/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0/17/2025"/>
    <x v="1"/>
    <n v="5812367"/>
    <s v="Click Here To View"/>
    <s v="Construction"/>
    <n v="2.6657000000000002"/>
    <s v="30.76%"/>
    <s v="0.00%"/>
    <s v="30.76%"/>
    <s v="69.24%"/>
    <m/>
    <n v="0.82"/>
    <n v="1.8456999999999999"/>
    <n v="2.6657000000000002"/>
    <n v="1.0157"/>
    <m/>
    <m/>
    <m/>
    <m/>
    <m/>
    <m/>
    <n v="0.82"/>
    <m/>
    <n v="0.83"/>
    <m/>
    <m/>
    <m/>
    <m/>
    <m/>
    <m/>
    <m/>
    <m/>
    <m/>
    <m/>
    <m/>
    <m/>
    <m/>
    <m/>
    <m/>
    <m/>
    <m/>
    <m/>
    <m/>
    <m/>
    <m/>
    <m/>
    <m/>
    <m/>
    <s v="0.00%"/>
    <s v="0.00%"/>
    <s v="0.00%"/>
    <s v="0.00%"/>
    <m/>
    <m/>
    <m/>
    <m/>
    <m/>
    <m/>
    <m/>
    <s v="0.00%"/>
    <s v="0.00%"/>
    <s v="0.00%"/>
    <s v="0.00%"/>
    <m/>
    <m/>
    <m/>
    <m/>
    <m/>
    <m/>
    <m/>
    <m/>
    <m/>
    <m/>
    <m/>
    <m/>
    <m/>
    <m/>
    <m/>
    <m/>
    <m/>
    <s v="Mike Teixeira"/>
    <m/>
    <s v="11/03/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0/15/2025"/>
    <x v="1"/>
    <n v="5810880"/>
    <s v="Click Here To View"/>
    <s v="Construction"/>
    <n v="2.0299999999999998"/>
    <s v="31.03%"/>
    <s v="0.00%"/>
    <s v="31.03%"/>
    <s v="68.97%"/>
    <m/>
    <n v="0.63"/>
    <n v="1.4"/>
    <n v="2.0299999999999998"/>
    <n v="0.77"/>
    <m/>
    <m/>
    <m/>
    <m/>
    <m/>
    <m/>
    <n v="0.63"/>
    <m/>
    <n v="0.63"/>
    <m/>
    <m/>
    <m/>
    <m/>
    <m/>
    <m/>
    <m/>
    <m/>
    <m/>
    <m/>
    <m/>
    <m/>
    <m/>
    <m/>
    <m/>
    <m/>
    <m/>
    <m/>
    <m/>
    <m/>
    <m/>
    <m/>
    <m/>
    <m/>
    <s v="0.00%"/>
    <s v="0.00%"/>
    <s v="0.00%"/>
    <s v="0.00%"/>
    <m/>
    <m/>
    <m/>
    <m/>
    <m/>
    <m/>
    <m/>
    <s v="0.00%"/>
    <s v="0.00%"/>
    <s v="0.00%"/>
    <s v="0.00%"/>
    <m/>
    <m/>
    <m/>
    <m/>
    <m/>
    <m/>
    <m/>
    <m/>
    <m/>
    <m/>
    <m/>
    <m/>
    <m/>
    <m/>
    <m/>
    <m/>
    <m/>
    <s v="Mike Teixeira"/>
    <m/>
    <s v="11/03/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0/16/2025"/>
    <x v="1"/>
    <n v="5811398"/>
    <s v="Click Here To View"/>
    <s v="Construction"/>
    <n v="1.75"/>
    <s v="30.86%"/>
    <s v="0.00%"/>
    <s v="30.86%"/>
    <s v="69.14%"/>
    <m/>
    <n v="0.54"/>
    <n v="1.21"/>
    <n v="1.75"/>
    <n v="0.67"/>
    <m/>
    <m/>
    <m/>
    <m/>
    <m/>
    <m/>
    <n v="0.54"/>
    <m/>
    <n v="0.54"/>
    <m/>
    <m/>
    <m/>
    <m/>
    <m/>
    <m/>
    <m/>
    <m/>
    <m/>
    <m/>
    <m/>
    <m/>
    <m/>
    <m/>
    <m/>
    <m/>
    <m/>
    <m/>
    <m/>
    <m/>
    <m/>
    <m/>
    <m/>
    <m/>
    <s v="0.00%"/>
    <s v="0.00%"/>
    <s v="0.00%"/>
    <s v="0.00%"/>
    <m/>
    <m/>
    <m/>
    <m/>
    <m/>
    <m/>
    <m/>
    <s v="0.00%"/>
    <s v="0.00%"/>
    <s v="0.00%"/>
    <s v="0.00%"/>
    <m/>
    <m/>
    <m/>
    <m/>
    <m/>
    <m/>
    <m/>
    <m/>
    <m/>
    <m/>
    <m/>
    <m/>
    <m/>
    <m/>
    <m/>
    <m/>
    <m/>
    <s v="Mike Teixeira"/>
    <m/>
    <s v="11/03/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0/16/2025"/>
    <x v="1"/>
    <n v="5811416"/>
    <s v="Click Here To View"/>
    <s v="Construction"/>
    <n v="0.1295"/>
    <s v="30.89%"/>
    <s v="0.00%"/>
    <s v="30.89%"/>
    <s v="69.11%"/>
    <m/>
    <n v="0.04"/>
    <n v="8.9499999999999996E-2"/>
    <n v="0.1295"/>
    <n v="4.9500000000000002E-2"/>
    <m/>
    <m/>
    <m/>
    <m/>
    <m/>
    <m/>
    <n v="0.04"/>
    <m/>
    <n v="0.04"/>
    <m/>
    <m/>
    <m/>
    <m/>
    <m/>
    <m/>
    <m/>
    <m/>
    <m/>
    <m/>
    <m/>
    <m/>
    <m/>
    <m/>
    <m/>
    <m/>
    <m/>
    <m/>
    <m/>
    <m/>
    <m/>
    <m/>
    <m/>
    <m/>
    <s v="0.00%"/>
    <s v="0.00%"/>
    <s v="0.00%"/>
    <s v="0.00%"/>
    <m/>
    <m/>
    <m/>
    <m/>
    <m/>
    <m/>
    <m/>
    <s v="0.00%"/>
    <s v="0.00%"/>
    <s v="0.00%"/>
    <s v="0.00%"/>
    <m/>
    <m/>
    <m/>
    <m/>
    <m/>
    <m/>
    <m/>
    <m/>
    <m/>
    <m/>
    <m/>
    <m/>
    <m/>
    <m/>
    <m/>
    <m/>
    <m/>
    <s v="Mike Teixeira"/>
    <m/>
    <s v="11/03/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0/16/2025"/>
    <x v="1"/>
    <n v="5811599"/>
    <s v="Click Here To View"/>
    <s v="Construction"/>
    <n v="5.7610999999999999"/>
    <s v="30.90%"/>
    <s v="0.00%"/>
    <s v="30.90%"/>
    <s v="69.10%"/>
    <m/>
    <n v="1.78"/>
    <n v="3.9811000000000001"/>
    <n v="5.7610999999999999"/>
    <n v="2.1911"/>
    <m/>
    <m/>
    <m/>
    <m/>
    <m/>
    <m/>
    <n v="1.78"/>
    <m/>
    <n v="1.79"/>
    <m/>
    <m/>
    <m/>
    <m/>
    <m/>
    <m/>
    <m/>
    <m/>
    <m/>
    <m/>
    <m/>
    <m/>
    <m/>
    <m/>
    <m/>
    <m/>
    <m/>
    <m/>
    <m/>
    <m/>
    <m/>
    <m/>
    <m/>
    <m/>
    <s v="0.00%"/>
    <s v="0.00%"/>
    <s v="0.00%"/>
    <s v="0.00%"/>
    <m/>
    <m/>
    <m/>
    <m/>
    <m/>
    <m/>
    <m/>
    <s v="0.00%"/>
    <s v="0.00%"/>
    <s v="0.00%"/>
    <s v="0.00%"/>
    <m/>
    <m/>
    <m/>
    <m/>
    <m/>
    <m/>
    <m/>
    <m/>
    <m/>
    <m/>
    <m/>
    <m/>
    <m/>
    <m/>
    <m/>
    <m/>
    <m/>
    <s v="Mike Teixeira"/>
    <m/>
    <s v="11/03/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0/16/2025"/>
    <x v="1"/>
    <n v="5811410"/>
    <s v="Click Here To View"/>
    <s v="Construction"/>
    <n v="2.8540999999999999"/>
    <s v="31.18%"/>
    <s v="0.00%"/>
    <s v="31.18%"/>
    <s v="68.82%"/>
    <m/>
    <n v="0.89"/>
    <n v="1.9641000000000002"/>
    <n v="2.8540999999999999"/>
    <n v="1.0841000000000001"/>
    <m/>
    <m/>
    <m/>
    <m/>
    <m/>
    <m/>
    <n v="0.89"/>
    <m/>
    <n v="0.88"/>
    <m/>
    <m/>
    <m/>
    <m/>
    <m/>
    <m/>
    <m/>
    <m/>
    <m/>
    <m/>
    <m/>
    <m/>
    <m/>
    <m/>
    <m/>
    <m/>
    <m/>
    <m/>
    <m/>
    <m/>
    <m/>
    <m/>
    <m/>
    <m/>
    <s v="0.00%"/>
    <s v="0.00%"/>
    <s v="0.00%"/>
    <s v="0.00%"/>
    <m/>
    <m/>
    <m/>
    <m/>
    <m/>
    <m/>
    <m/>
    <s v="0.00%"/>
    <s v="0.00%"/>
    <s v="0.00%"/>
    <s v="0.00%"/>
    <m/>
    <m/>
    <m/>
    <m/>
    <m/>
    <m/>
    <m/>
    <m/>
    <m/>
    <m/>
    <m/>
    <m/>
    <m/>
    <m/>
    <m/>
    <m/>
    <m/>
    <s v="Mike Teixeira"/>
    <m/>
    <s v="11/03/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0/17/2025"/>
    <x v="1"/>
    <n v="5812455"/>
    <s v="Click Here To View"/>
    <s v="Construction"/>
    <n v="4.6802999999999999"/>
    <s v="30.98%"/>
    <s v="0.00%"/>
    <s v="30.98%"/>
    <s v="69.02%"/>
    <m/>
    <n v="1.45"/>
    <n v="3.2302999999999997"/>
    <n v="4.6802999999999999"/>
    <n v="1.7803"/>
    <m/>
    <m/>
    <m/>
    <m/>
    <m/>
    <m/>
    <n v="1.45"/>
    <m/>
    <n v="1.45"/>
    <m/>
    <m/>
    <m/>
    <m/>
    <m/>
    <m/>
    <m/>
    <m/>
    <m/>
    <m/>
    <m/>
    <m/>
    <m/>
    <m/>
    <m/>
    <m/>
    <m/>
    <m/>
    <m/>
    <m/>
    <m/>
    <m/>
    <m/>
    <m/>
    <s v="0.00%"/>
    <s v="0.00%"/>
    <s v="0.00%"/>
    <s v="0.00%"/>
    <m/>
    <m/>
    <m/>
    <m/>
    <m/>
    <m/>
    <m/>
    <s v="0.00%"/>
    <s v="0.00%"/>
    <s v="0.00%"/>
    <s v="0.00%"/>
    <m/>
    <m/>
    <m/>
    <m/>
    <m/>
    <m/>
    <m/>
    <m/>
    <m/>
    <m/>
    <m/>
    <m/>
    <m/>
    <m/>
    <m/>
    <m/>
    <m/>
    <s v="Mike Teixeira"/>
    <m/>
    <s v="11/03/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0/22/2025"/>
    <x v="1"/>
    <n v="5814936"/>
    <s v="Click Here To View"/>
    <s v="Construction"/>
    <n v="4.5683999999999996"/>
    <s v="30.86%"/>
    <s v="0.00%"/>
    <s v="30.86%"/>
    <s v="69.14%"/>
    <m/>
    <n v="1.41"/>
    <n v="3.1583999999999999"/>
    <n v="4.5683999999999996"/>
    <n v="1.7383999999999999"/>
    <m/>
    <m/>
    <m/>
    <m/>
    <m/>
    <m/>
    <n v="1.41"/>
    <m/>
    <n v="1.42"/>
    <m/>
    <m/>
    <m/>
    <m/>
    <m/>
    <m/>
    <m/>
    <m/>
    <m/>
    <m/>
    <m/>
    <m/>
    <m/>
    <m/>
    <m/>
    <m/>
    <m/>
    <m/>
    <m/>
    <m/>
    <m/>
    <m/>
    <m/>
    <m/>
    <s v="0.00%"/>
    <s v="0.00%"/>
    <s v="0.00%"/>
    <s v="0.00%"/>
    <m/>
    <m/>
    <m/>
    <m/>
    <m/>
    <m/>
    <m/>
    <s v="0.00%"/>
    <s v="0.00%"/>
    <s v="0.00%"/>
    <s v="0.00%"/>
    <m/>
    <m/>
    <m/>
    <m/>
    <m/>
    <m/>
    <m/>
    <m/>
    <m/>
    <m/>
    <m/>
    <m/>
    <m/>
    <m/>
    <m/>
    <m/>
    <m/>
    <s v="Mike Teixeira"/>
    <m/>
    <s v="12/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0/22/2025"/>
    <x v="1"/>
    <n v="5815064"/>
    <s v="Click Here To View"/>
    <s v="Construction"/>
    <n v="2.8264999999999998"/>
    <s v="30.78%"/>
    <s v="0.00%"/>
    <s v="30.78%"/>
    <s v="69.22%"/>
    <m/>
    <n v="0.87"/>
    <n v="1.9565000000000001"/>
    <n v="2.8264999999999998"/>
    <n v="1.0765"/>
    <m/>
    <m/>
    <m/>
    <m/>
    <m/>
    <m/>
    <n v="0.87"/>
    <m/>
    <n v="0.88"/>
    <m/>
    <m/>
    <m/>
    <m/>
    <m/>
    <m/>
    <m/>
    <m/>
    <m/>
    <m/>
    <m/>
    <m/>
    <m/>
    <m/>
    <m/>
    <m/>
    <m/>
    <m/>
    <m/>
    <m/>
    <m/>
    <m/>
    <m/>
    <m/>
    <s v="0.00%"/>
    <s v="0.00%"/>
    <s v="0.00%"/>
    <s v="0.00%"/>
    <m/>
    <m/>
    <m/>
    <m/>
    <m/>
    <m/>
    <m/>
    <s v="0.00%"/>
    <s v="0.00%"/>
    <s v="0.00%"/>
    <s v="0.00%"/>
    <m/>
    <m/>
    <m/>
    <m/>
    <m/>
    <m/>
    <m/>
    <m/>
    <m/>
    <m/>
    <m/>
    <m/>
    <m/>
    <m/>
    <m/>
    <m/>
    <m/>
    <s v="Mike Teixeira"/>
    <m/>
    <s v="12/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0/23/2025"/>
    <x v="1"/>
    <n v="5815310"/>
    <s v="Click Here To View"/>
    <s v="Construction"/>
    <n v="4.26"/>
    <s v="30.75%"/>
    <s v="0.00%"/>
    <s v="30.75%"/>
    <s v="69.25%"/>
    <m/>
    <n v="1.31"/>
    <n v="2.95"/>
    <n v="4.26"/>
    <n v="1.62"/>
    <m/>
    <m/>
    <m/>
    <m/>
    <m/>
    <m/>
    <n v="1.31"/>
    <m/>
    <n v="1.33"/>
    <m/>
    <m/>
    <m/>
    <m/>
    <m/>
    <m/>
    <m/>
    <m/>
    <m/>
    <m/>
    <m/>
    <m/>
    <m/>
    <m/>
    <m/>
    <m/>
    <m/>
    <m/>
    <m/>
    <m/>
    <m/>
    <m/>
    <m/>
    <m/>
    <s v="0.00%"/>
    <s v="0.00%"/>
    <s v="0.00%"/>
    <s v="0.00%"/>
    <m/>
    <m/>
    <m/>
    <m/>
    <m/>
    <m/>
    <m/>
    <s v="0.00%"/>
    <s v="0.00%"/>
    <s v="0.00%"/>
    <s v="0.00%"/>
    <m/>
    <m/>
    <m/>
    <m/>
    <m/>
    <m/>
    <m/>
    <m/>
    <m/>
    <m/>
    <m/>
    <m/>
    <m/>
    <m/>
    <m/>
    <m/>
    <m/>
    <s v="Mike Teixeira"/>
    <m/>
    <s v="12/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0/23/2025"/>
    <x v="1"/>
    <n v="5815416"/>
    <s v="Click Here To View"/>
    <s v="Construction"/>
    <n v="6.1946999999999992"/>
    <s v="30.99%"/>
    <s v="0.00%"/>
    <s v="30.99%"/>
    <s v="69.01%"/>
    <m/>
    <n v="1.92"/>
    <n v="4.2746999999999993"/>
    <n v="6.1946999999999992"/>
    <n v="2.3546999999999998"/>
    <m/>
    <m/>
    <m/>
    <m/>
    <m/>
    <m/>
    <n v="1.92"/>
    <m/>
    <n v="1.92"/>
    <m/>
    <m/>
    <m/>
    <m/>
    <m/>
    <m/>
    <m/>
    <m/>
    <m/>
    <m/>
    <m/>
    <m/>
    <m/>
    <m/>
    <m/>
    <m/>
    <m/>
    <m/>
    <m/>
    <m/>
    <m/>
    <m/>
    <m/>
    <m/>
    <s v="0.00%"/>
    <s v="0.00%"/>
    <s v="0.00%"/>
    <s v="0.00%"/>
    <m/>
    <m/>
    <m/>
    <m/>
    <m/>
    <m/>
    <m/>
    <s v="0.00%"/>
    <s v="0.00%"/>
    <s v="0.00%"/>
    <s v="0.00%"/>
    <m/>
    <m/>
    <m/>
    <m/>
    <m/>
    <m/>
    <m/>
    <m/>
    <m/>
    <m/>
    <m/>
    <m/>
    <m/>
    <m/>
    <m/>
    <m/>
    <m/>
    <s v="Mike Teixeira"/>
    <m/>
    <s v="12/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0/24/2025"/>
    <x v="1"/>
    <n v="5816110"/>
    <s v="Click Here To View"/>
    <s v="Construction"/>
    <n v="2.7599"/>
    <s v="30.80%"/>
    <s v="0.00%"/>
    <s v="30.80%"/>
    <s v="69.20%"/>
    <m/>
    <n v="0.85"/>
    <n v="1.9098999999999999"/>
    <n v="2.7599"/>
    <n v="1.0499000000000001"/>
    <m/>
    <m/>
    <m/>
    <m/>
    <m/>
    <m/>
    <n v="0.85"/>
    <m/>
    <n v="0.86"/>
    <m/>
    <m/>
    <m/>
    <m/>
    <m/>
    <m/>
    <m/>
    <m/>
    <m/>
    <m/>
    <m/>
    <m/>
    <m/>
    <m/>
    <m/>
    <m/>
    <m/>
    <m/>
    <m/>
    <m/>
    <m/>
    <m/>
    <m/>
    <m/>
    <s v="0.00%"/>
    <s v="0.00%"/>
    <s v="0.00%"/>
    <s v="0.00%"/>
    <m/>
    <m/>
    <m/>
    <m/>
    <m/>
    <m/>
    <m/>
    <s v="0.00%"/>
    <s v="0.00%"/>
    <s v="0.00%"/>
    <s v="0.00%"/>
    <m/>
    <m/>
    <m/>
    <m/>
    <m/>
    <m/>
    <m/>
    <m/>
    <m/>
    <m/>
    <m/>
    <m/>
    <m/>
    <m/>
    <m/>
    <m/>
    <m/>
    <s v="Mike Teixeira"/>
    <m/>
    <s v="12/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0/27/2025"/>
    <x v="1"/>
    <n v="5817826"/>
    <s v="Click Here To View"/>
    <s v="Construction"/>
    <n v="6.1004000000000005"/>
    <s v="30.82%"/>
    <s v="0.00%"/>
    <s v="30.82%"/>
    <s v="69.18%"/>
    <m/>
    <n v="1.88"/>
    <n v="4.2203999999999997"/>
    <n v="6.1004000000000005"/>
    <n v="2.3203999999999998"/>
    <m/>
    <m/>
    <m/>
    <m/>
    <m/>
    <m/>
    <n v="1.88"/>
    <m/>
    <n v="1.9"/>
    <m/>
    <m/>
    <m/>
    <m/>
    <m/>
    <m/>
    <m/>
    <m/>
    <m/>
    <m/>
    <m/>
    <m/>
    <m/>
    <m/>
    <m/>
    <m/>
    <m/>
    <m/>
    <m/>
    <m/>
    <m/>
    <m/>
    <m/>
    <m/>
    <s v="0.00%"/>
    <s v="0.00%"/>
    <s v="0.00%"/>
    <s v="0.00%"/>
    <m/>
    <m/>
    <m/>
    <m/>
    <m/>
    <m/>
    <m/>
    <s v="0.00%"/>
    <s v="0.00%"/>
    <s v="0.00%"/>
    <s v="0.00%"/>
    <m/>
    <m/>
    <m/>
    <m/>
    <m/>
    <m/>
    <m/>
    <m/>
    <m/>
    <m/>
    <m/>
    <m/>
    <m/>
    <m/>
    <m/>
    <m/>
    <m/>
    <s v="Mike Teixeira"/>
    <m/>
    <s v="12/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0/28/2025"/>
    <x v="1"/>
    <n v="5818669"/>
    <s v="Click Here To View"/>
    <s v="Construction"/>
    <n v="2.8089"/>
    <s v="30.97%"/>
    <s v="0.00%"/>
    <s v="30.97%"/>
    <s v="69.03%"/>
    <m/>
    <n v="0.87"/>
    <n v="1.9388999999999998"/>
    <n v="2.8089"/>
    <n v="1.0689"/>
    <m/>
    <m/>
    <m/>
    <m/>
    <m/>
    <m/>
    <n v="0.87"/>
    <m/>
    <n v="0.87"/>
    <m/>
    <m/>
    <m/>
    <m/>
    <m/>
    <m/>
    <m/>
    <m/>
    <m/>
    <m/>
    <m/>
    <m/>
    <m/>
    <m/>
    <m/>
    <m/>
    <m/>
    <m/>
    <m/>
    <m/>
    <m/>
    <m/>
    <m/>
    <m/>
    <s v="0.00%"/>
    <s v="0.00%"/>
    <s v="0.00%"/>
    <s v="0.00%"/>
    <m/>
    <m/>
    <m/>
    <m/>
    <m/>
    <m/>
    <m/>
    <s v="0.00%"/>
    <s v="0.00%"/>
    <s v="0.00%"/>
    <s v="0.00%"/>
    <m/>
    <m/>
    <m/>
    <m/>
    <m/>
    <m/>
    <m/>
    <m/>
    <m/>
    <m/>
    <m/>
    <m/>
    <m/>
    <m/>
    <m/>
    <m/>
    <m/>
    <s v="Mike Teixeira"/>
    <m/>
    <s v="12/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0/28/2025"/>
    <x v="1"/>
    <n v="5817973"/>
    <s v="Click Here To View"/>
    <s v="Construction"/>
    <n v="4.42"/>
    <s v="30.77%"/>
    <s v="0.00%"/>
    <s v="30.77%"/>
    <s v="69.23%"/>
    <m/>
    <n v="1.36"/>
    <n v="3.0599999999999996"/>
    <n v="4.42"/>
    <n v="1.68"/>
    <m/>
    <m/>
    <m/>
    <m/>
    <m/>
    <m/>
    <n v="1.36"/>
    <m/>
    <n v="1.38"/>
    <m/>
    <m/>
    <m/>
    <m/>
    <m/>
    <m/>
    <m/>
    <m/>
    <m/>
    <m/>
    <m/>
    <m/>
    <m/>
    <m/>
    <m/>
    <m/>
    <m/>
    <m/>
    <m/>
    <m/>
    <m/>
    <m/>
    <m/>
    <m/>
    <s v="0.00%"/>
    <s v="0.00%"/>
    <s v="0.00%"/>
    <s v="0.00%"/>
    <m/>
    <m/>
    <m/>
    <m/>
    <m/>
    <m/>
    <m/>
    <s v="0.00%"/>
    <s v="0.00%"/>
    <s v="0.00%"/>
    <s v="0.00%"/>
    <m/>
    <m/>
    <m/>
    <m/>
    <m/>
    <m/>
    <m/>
    <m/>
    <m/>
    <m/>
    <m/>
    <m/>
    <m/>
    <m/>
    <m/>
    <m/>
    <m/>
    <s v="Mike Teixeira"/>
    <m/>
    <s v="12/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1/04/2025"/>
    <x v="36"/>
    <n v="5822312"/>
    <s v="Click Here To View"/>
    <s v="Construction"/>
    <n v="4.42"/>
    <s v="30.77%"/>
    <s v="0.00%"/>
    <s v="30.77%"/>
    <s v="69.23%"/>
    <m/>
    <n v="1.36"/>
    <n v="3.0599999999999996"/>
    <n v="4.42"/>
    <n v="1.68"/>
    <m/>
    <m/>
    <m/>
    <m/>
    <m/>
    <m/>
    <n v="1.36"/>
    <m/>
    <n v="1.38"/>
    <m/>
    <m/>
    <m/>
    <m/>
    <m/>
    <m/>
    <m/>
    <m/>
    <m/>
    <m/>
    <m/>
    <m/>
    <m/>
    <m/>
    <m/>
    <m/>
    <m/>
    <m/>
    <m/>
    <m/>
    <m/>
    <m/>
    <m/>
    <m/>
    <s v="0.00%"/>
    <s v="0.00%"/>
    <s v="0.00%"/>
    <s v="0.00%"/>
    <m/>
    <m/>
    <m/>
    <m/>
    <m/>
    <m/>
    <m/>
    <s v="0.00%"/>
    <s v="0.00%"/>
    <s v="0.00%"/>
    <s v="0.00%"/>
    <m/>
    <m/>
    <m/>
    <m/>
    <m/>
    <m/>
    <m/>
    <m/>
    <m/>
    <m/>
    <m/>
    <m/>
    <m/>
    <m/>
    <m/>
    <m/>
    <m/>
    <s v="Mike Teixeira"/>
    <m/>
    <s v="12/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1/07/2025"/>
    <x v="36"/>
    <n v="5824677"/>
    <s v="Click Here To View"/>
    <s v="Construction"/>
    <n v="3.12"/>
    <s v="30.77%"/>
    <s v="0.00%"/>
    <s v="30.77%"/>
    <s v="69.23%"/>
    <m/>
    <n v="0.96"/>
    <n v="2.16"/>
    <n v="3.12"/>
    <n v="1.19"/>
    <m/>
    <m/>
    <m/>
    <m/>
    <m/>
    <m/>
    <n v="0.96"/>
    <m/>
    <n v="0.97"/>
    <m/>
    <m/>
    <m/>
    <m/>
    <m/>
    <m/>
    <m/>
    <m/>
    <m/>
    <m/>
    <m/>
    <m/>
    <m/>
    <m/>
    <m/>
    <m/>
    <m/>
    <m/>
    <m/>
    <m/>
    <m/>
    <m/>
    <m/>
    <m/>
    <s v="0.00%"/>
    <s v="0.00%"/>
    <s v="0.00%"/>
    <s v="0.00%"/>
    <m/>
    <m/>
    <m/>
    <m/>
    <m/>
    <m/>
    <m/>
    <s v="0.00%"/>
    <s v="0.00%"/>
    <s v="0.00%"/>
    <s v="0.00%"/>
    <m/>
    <m/>
    <m/>
    <m/>
    <m/>
    <m/>
    <m/>
    <m/>
    <m/>
    <m/>
    <m/>
    <m/>
    <m/>
    <m/>
    <m/>
    <m/>
    <m/>
    <s v="Mike Teixeira"/>
    <m/>
    <s v="12/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1/11/2025"/>
    <x v="36"/>
    <n v="5826776"/>
    <s v="Click Here To View"/>
    <s v="Construction"/>
    <n v="5.25"/>
    <s v="30.86%"/>
    <s v="0.00%"/>
    <s v="30.86%"/>
    <s v="69.14%"/>
    <m/>
    <n v="1.62"/>
    <n v="3.63"/>
    <n v="5.25"/>
    <n v="2"/>
    <m/>
    <m/>
    <m/>
    <m/>
    <m/>
    <m/>
    <n v="1.62"/>
    <m/>
    <n v="1.63"/>
    <m/>
    <m/>
    <m/>
    <m/>
    <m/>
    <m/>
    <m/>
    <m/>
    <m/>
    <m/>
    <m/>
    <m/>
    <m/>
    <m/>
    <m/>
    <m/>
    <m/>
    <m/>
    <m/>
    <m/>
    <m/>
    <m/>
    <m/>
    <m/>
    <s v="0.00%"/>
    <s v="0.00%"/>
    <s v="0.00%"/>
    <s v="0.00%"/>
    <m/>
    <m/>
    <m/>
    <m/>
    <m/>
    <m/>
    <m/>
    <s v="0.00%"/>
    <s v="0.00%"/>
    <s v="0.00%"/>
    <s v="0.00%"/>
    <m/>
    <m/>
    <m/>
    <m/>
    <m/>
    <m/>
    <m/>
    <m/>
    <m/>
    <m/>
    <m/>
    <m/>
    <m/>
    <m/>
    <m/>
    <m/>
    <m/>
    <s v="Mike Teixeira"/>
    <m/>
    <s v="12/02/2025"/>
    <s v="Mike Teixeira"/>
    <m/>
    <m/>
  </r>
  <r>
    <s v="Oakland/San Francisco/San Jose"/>
    <s v="UCB Gateway"/>
    <n v="210784"/>
    <m/>
    <s v="Higher Education | Laboratory / Research | 005 | 004"/>
    <n v="368"/>
    <s v="Carone and Company Inc "/>
    <s v="Grant Carone"/>
    <s v="Diablo Valley Rock"/>
    <s v="925 Watrebird Way, Martinez, CA 94553"/>
    <m/>
    <s v="10/15/2025"/>
    <x v="1"/>
    <n v="135194"/>
    <s v="Click Here To View"/>
    <s v="Demolition"/>
    <n v="14.66"/>
    <s v="100.00%"/>
    <s v="0.00%"/>
    <s v="100.00%"/>
    <s v="0.00%"/>
    <m/>
    <n v="14.66"/>
    <m/>
    <n v="14.66"/>
    <m/>
    <n v="7.33"/>
    <m/>
    <n v="7.33"/>
    <m/>
    <m/>
    <m/>
    <m/>
    <m/>
    <m/>
    <m/>
    <m/>
    <m/>
    <m/>
    <m/>
    <m/>
    <m/>
    <m/>
    <m/>
    <m/>
    <m/>
    <m/>
    <m/>
    <m/>
    <m/>
    <m/>
    <m/>
    <m/>
    <m/>
    <m/>
    <m/>
    <m/>
    <m/>
    <m/>
    <s v="0.00%"/>
    <s v="0.00%"/>
    <s v="0.00%"/>
    <s v="0.00%"/>
    <m/>
    <m/>
    <m/>
    <m/>
    <m/>
    <m/>
    <m/>
    <s v="0.00%"/>
    <s v="0.00%"/>
    <s v="0.00%"/>
    <s v="0.00%"/>
    <m/>
    <m/>
    <m/>
    <m/>
    <m/>
    <m/>
    <m/>
    <m/>
    <m/>
    <m/>
    <m/>
    <m/>
    <m/>
    <m/>
    <m/>
    <m/>
    <m/>
    <s v="Heather Mello"/>
    <m/>
    <s v="12/18/2025"/>
    <s v="Heather Mello"/>
    <m/>
    <m/>
  </r>
  <r>
    <s v="Oakland/San Francisco/San Jose"/>
    <s v="UCB Gateway"/>
    <n v="210784"/>
    <m/>
    <s v="Higher Education | Laboratory / Research | 005 | 004"/>
    <n v="368"/>
    <s v="Carone and Company Inc "/>
    <s v="Grant Carone"/>
    <s v="Diablo Valley Rock"/>
    <s v="925 Watrebird Way, Martinez, CA 94553"/>
    <m/>
    <s v="12/03/2025"/>
    <x v="32"/>
    <n v="136142"/>
    <s v="Click Here To View"/>
    <s v="Demolition"/>
    <n v="14.6106"/>
    <s v="100.00%"/>
    <s v="0.00%"/>
    <s v="100.00%"/>
    <s v="0.00%"/>
    <m/>
    <n v="14.6106"/>
    <m/>
    <n v="14.6106"/>
    <m/>
    <n v="7.3006000000000002"/>
    <m/>
    <n v="7.31"/>
    <m/>
    <m/>
    <m/>
    <m/>
    <m/>
    <m/>
    <m/>
    <m/>
    <m/>
    <m/>
    <m/>
    <m/>
    <m/>
    <m/>
    <m/>
    <m/>
    <m/>
    <m/>
    <m/>
    <m/>
    <m/>
    <m/>
    <m/>
    <m/>
    <m/>
    <m/>
    <m/>
    <m/>
    <m/>
    <m/>
    <s v="0.00%"/>
    <s v="0.00%"/>
    <s v="0.00%"/>
    <s v="0.00%"/>
    <m/>
    <m/>
    <m/>
    <m/>
    <m/>
    <m/>
    <m/>
    <s v="0.00%"/>
    <s v="0.00%"/>
    <s v="0.00%"/>
    <s v="0.00%"/>
    <m/>
    <m/>
    <m/>
    <m/>
    <m/>
    <m/>
    <m/>
    <m/>
    <m/>
    <m/>
    <m/>
    <m/>
    <m/>
    <m/>
    <m/>
    <m/>
    <m/>
    <s v="Heather Mello"/>
    <m/>
    <s v="12/18/2025"/>
    <s v="Heather Mello"/>
    <m/>
    <m/>
  </r>
  <r>
    <s v="Oakland/San Francisco/San Jose"/>
    <s v="UCB Gateway"/>
    <n v="210784"/>
    <m/>
    <s v="Higher Education | Laboratory / Research | 005 | 004"/>
    <n v="368"/>
    <s v="Carone and Company Inc "/>
    <s v="Grant Carone"/>
    <s v="Argent Materials Inc."/>
    <s v="8501 San Leandro St, Oakland, CA 94621"/>
    <m/>
    <s v="11/25/2025"/>
    <x v="36"/>
    <n v="7343722"/>
    <s v="Click Here To View"/>
    <s v="Demolition"/>
    <n v="5.7"/>
    <s v="100.00%"/>
    <s v="0.00%"/>
    <s v="100.00%"/>
    <s v="0.00%"/>
    <m/>
    <n v="5.7"/>
    <m/>
    <n v="5.7"/>
    <m/>
    <n v="2.5"/>
    <m/>
    <n v="3.2"/>
    <m/>
    <m/>
    <m/>
    <m/>
    <m/>
    <m/>
    <m/>
    <m/>
    <m/>
    <m/>
    <m/>
    <m/>
    <m/>
    <m/>
    <m/>
    <m/>
    <m/>
    <m/>
    <m/>
    <m/>
    <m/>
    <m/>
    <m/>
    <m/>
    <m/>
    <m/>
    <m/>
    <m/>
    <m/>
    <m/>
    <s v="0.00%"/>
    <s v="0.00%"/>
    <s v="0.00%"/>
    <s v="0.00%"/>
    <m/>
    <m/>
    <m/>
    <m/>
    <m/>
    <m/>
    <m/>
    <s v="0.00%"/>
    <s v="0.00%"/>
    <s v="0.00%"/>
    <s v="0.00%"/>
    <m/>
    <m/>
    <m/>
    <m/>
    <m/>
    <m/>
    <m/>
    <m/>
    <m/>
    <m/>
    <m/>
    <m/>
    <m/>
    <m/>
    <m/>
    <m/>
    <m/>
    <s v="Heather Mello"/>
    <m/>
    <s v="12/18/2025"/>
    <s v="Heather Mello"/>
    <m/>
    <m/>
  </r>
  <r>
    <s v="Oakland/San Francisco/San Jose"/>
    <s v="UCB Gateway"/>
    <n v="210784"/>
    <m/>
    <s v="Higher Education | Laboratory / Research | 005 | 004"/>
    <n v="368"/>
    <s v="Carone and Company Inc "/>
    <s v="Grant Carone"/>
    <s v="Argent Materials Inc."/>
    <s v="8501 San Leandro St, Oakland, CA 94621"/>
    <m/>
    <s v="12/01/2025"/>
    <x v="32"/>
    <n v="7344375"/>
    <s v="Click Here To View"/>
    <s v="Demolition"/>
    <n v="12.5404"/>
    <s v="100.00%"/>
    <s v="0.00%"/>
    <s v="100.00%"/>
    <s v="0.00%"/>
    <m/>
    <n v="12.5404"/>
    <m/>
    <n v="12.5404"/>
    <m/>
    <n v="6.0004"/>
    <m/>
    <n v="6.54"/>
    <m/>
    <m/>
    <m/>
    <m/>
    <m/>
    <m/>
    <m/>
    <m/>
    <m/>
    <m/>
    <m/>
    <m/>
    <m/>
    <m/>
    <m/>
    <m/>
    <m/>
    <m/>
    <m/>
    <m/>
    <m/>
    <m/>
    <m/>
    <m/>
    <m/>
    <m/>
    <m/>
    <m/>
    <m/>
    <m/>
    <s v="0.00%"/>
    <s v="0.00%"/>
    <s v="0.00%"/>
    <s v="0.00%"/>
    <m/>
    <m/>
    <m/>
    <m/>
    <m/>
    <m/>
    <m/>
    <s v="0.00%"/>
    <s v="0.00%"/>
    <s v="0.00%"/>
    <s v="0.00%"/>
    <m/>
    <m/>
    <m/>
    <m/>
    <m/>
    <m/>
    <m/>
    <m/>
    <m/>
    <m/>
    <m/>
    <m/>
    <m/>
    <m/>
    <m/>
    <m/>
    <m/>
    <s v="Heather Mello"/>
    <m/>
    <s v="12/18/2025"/>
    <s v="Heather Mello"/>
    <m/>
    <m/>
  </r>
  <r>
    <s v="Oakland/San Francisco/San Jose"/>
    <s v="UCB Gateway"/>
    <n v="210784"/>
    <m/>
    <s v="Higher Education | Laboratory / Research | 005 | 004"/>
    <n v="368"/>
    <s v="Carone and Company Inc "/>
    <s v="Grant Carone"/>
    <s v="Argent Materials Inc."/>
    <s v="8501 San Leandro St, Oakland, CA 94621"/>
    <m/>
    <s v="12/01/2025"/>
    <x v="32"/>
    <n v="7344275"/>
    <s v="Click Here To View"/>
    <s v="Demolition"/>
    <n v="16.480600000000003"/>
    <s v="100.00%"/>
    <s v="0.00%"/>
    <s v="100.00%"/>
    <s v="0.00%"/>
    <m/>
    <n v="16.480600000000003"/>
    <m/>
    <n v="16.480600000000003"/>
    <m/>
    <n v="8"/>
    <m/>
    <n v="8.4806000000000008"/>
    <m/>
    <m/>
    <m/>
    <m/>
    <m/>
    <m/>
    <m/>
    <m/>
    <m/>
    <m/>
    <m/>
    <m/>
    <m/>
    <m/>
    <m/>
    <m/>
    <m/>
    <m/>
    <m/>
    <m/>
    <m/>
    <m/>
    <m/>
    <m/>
    <m/>
    <m/>
    <m/>
    <m/>
    <m/>
    <m/>
    <s v="0.00%"/>
    <s v="0.00%"/>
    <s v="0.00%"/>
    <s v="0.00%"/>
    <m/>
    <m/>
    <m/>
    <m/>
    <m/>
    <m/>
    <m/>
    <s v="0.00%"/>
    <s v="0.00%"/>
    <s v="0.00%"/>
    <s v="0.00%"/>
    <m/>
    <m/>
    <m/>
    <m/>
    <m/>
    <m/>
    <m/>
    <m/>
    <m/>
    <m/>
    <m/>
    <m/>
    <m/>
    <m/>
    <m/>
    <m/>
    <m/>
    <s v="Heather"/>
    <m/>
    <s v="12/18/2025"/>
    <s v="Heather"/>
    <m/>
    <m/>
  </r>
  <r>
    <s v="Oakland/San Francisco/San Jose"/>
    <s v="UCB Gateway"/>
    <n v="210784"/>
    <m/>
    <s v="Higher Education | Laboratory / Research | 005 | 004"/>
    <n v="368"/>
    <s v="Carone and Company Inc "/>
    <s v="Grant Carone"/>
    <s v="Argent Materials Inc."/>
    <s v="8501 San Leandro St, Oakland, CA 94621"/>
    <m/>
    <s v="12/01/2025"/>
    <x v="32"/>
    <n v="7344431"/>
    <s v="Click Here To View"/>
    <s v="Demolition"/>
    <n v="6.04"/>
    <s v="100.00%"/>
    <s v="0.00%"/>
    <s v="100.00%"/>
    <s v="0.00%"/>
    <m/>
    <n v="6.04"/>
    <m/>
    <n v="6.04"/>
    <m/>
    <n v="3.0001000000000002"/>
    <m/>
    <n v="3.0398999999999998"/>
    <m/>
    <m/>
    <m/>
    <m/>
    <m/>
    <m/>
    <m/>
    <m/>
    <m/>
    <m/>
    <m/>
    <m/>
    <m/>
    <m/>
    <m/>
    <m/>
    <m/>
    <m/>
    <m/>
    <m/>
    <m/>
    <m/>
    <m/>
    <m/>
    <m/>
    <m/>
    <m/>
    <m/>
    <m/>
    <m/>
    <s v="0.00%"/>
    <s v="0.00%"/>
    <s v="0.00%"/>
    <s v="0.00%"/>
    <m/>
    <m/>
    <m/>
    <m/>
    <m/>
    <m/>
    <m/>
    <s v="0.00%"/>
    <s v="0.00%"/>
    <s v="0.00%"/>
    <s v="0.00%"/>
    <m/>
    <m/>
    <m/>
    <m/>
    <m/>
    <m/>
    <m/>
    <m/>
    <m/>
    <m/>
    <m/>
    <m/>
    <m/>
    <m/>
    <m/>
    <m/>
    <m/>
    <s v="Heather Mello"/>
    <m/>
    <s v="12/18/2025"/>
    <s v="Heather Mello"/>
    <m/>
    <m/>
  </r>
  <r>
    <s v="Oakland/San Francisco/San Jose"/>
    <s v="UCB Gateway"/>
    <n v="210784"/>
    <m/>
    <s v="Higher Education | Laboratory / Research | 005 | 004"/>
    <n v="368"/>
    <s v="Carone and Company Inc "/>
    <s v="Grant Carone"/>
    <s v="Argent Materials Inc."/>
    <s v="8501 San Leandro St, Oakland, CA 94621"/>
    <m/>
    <s v="12/02/2025"/>
    <x v="32"/>
    <n v="7344548"/>
    <s v="Click Here To View"/>
    <s v="Demolition"/>
    <n v="10.73"/>
    <s v="100.00%"/>
    <s v="0.00%"/>
    <s v="100.00%"/>
    <s v="0.00%"/>
    <m/>
    <n v="10.73"/>
    <m/>
    <n v="10.73"/>
    <m/>
    <n v="5.0002000000000004"/>
    <m/>
    <n v="5.7298"/>
    <m/>
    <m/>
    <m/>
    <m/>
    <m/>
    <m/>
    <m/>
    <m/>
    <m/>
    <m/>
    <m/>
    <m/>
    <m/>
    <m/>
    <m/>
    <m/>
    <m/>
    <m/>
    <m/>
    <m/>
    <m/>
    <m/>
    <m/>
    <m/>
    <m/>
    <m/>
    <m/>
    <m/>
    <m/>
    <m/>
    <s v="0.00%"/>
    <s v="0.00%"/>
    <s v="0.00%"/>
    <s v="0.00%"/>
    <m/>
    <m/>
    <m/>
    <m/>
    <m/>
    <m/>
    <m/>
    <s v="0.00%"/>
    <s v="0.00%"/>
    <s v="0.00%"/>
    <s v="0.00%"/>
    <m/>
    <m/>
    <m/>
    <m/>
    <m/>
    <m/>
    <m/>
    <m/>
    <m/>
    <m/>
    <m/>
    <m/>
    <m/>
    <m/>
    <m/>
    <m/>
    <m/>
    <s v="Heather Mello"/>
    <m/>
    <s v="12/18/2025"/>
    <s v="Heather Mello"/>
    <m/>
    <m/>
  </r>
  <r>
    <s v="Oakland/San Francisco/San Jose"/>
    <s v="UCB Gateway"/>
    <n v="210784"/>
    <m/>
    <s v="Higher Education | Laboratory / Research | 005 | 004"/>
    <n v="368"/>
    <s v="Carone and Company Inc "/>
    <s v="Grant Carone"/>
    <s v="Argent Materials Inc."/>
    <s v="8501 San Leandro St, Oakland, CA 94621"/>
    <m/>
    <s v="12/02/2025"/>
    <x v="32"/>
    <n v="7344656"/>
    <s v="Click Here To View"/>
    <s v="Demolition"/>
    <n v="13.68"/>
    <s v="100.00%"/>
    <s v="0.00%"/>
    <s v="100.00%"/>
    <s v="0.00%"/>
    <m/>
    <n v="13.68"/>
    <m/>
    <n v="13.68"/>
    <m/>
    <n v="6"/>
    <m/>
    <n v="7.68"/>
    <m/>
    <m/>
    <m/>
    <m/>
    <m/>
    <m/>
    <m/>
    <m/>
    <m/>
    <m/>
    <m/>
    <m/>
    <m/>
    <m/>
    <m/>
    <m/>
    <m/>
    <m/>
    <m/>
    <m/>
    <m/>
    <m/>
    <m/>
    <m/>
    <m/>
    <m/>
    <m/>
    <m/>
    <m/>
    <m/>
    <s v="0.00%"/>
    <s v="0.00%"/>
    <s v="0.00%"/>
    <s v="0.00%"/>
    <m/>
    <m/>
    <m/>
    <m/>
    <m/>
    <m/>
    <m/>
    <s v="0.00%"/>
    <s v="0.00%"/>
    <s v="0.00%"/>
    <s v="0.00%"/>
    <m/>
    <m/>
    <m/>
    <m/>
    <m/>
    <m/>
    <m/>
    <m/>
    <m/>
    <m/>
    <m/>
    <m/>
    <m/>
    <m/>
    <m/>
    <m/>
    <m/>
    <s v="Heather Mello"/>
    <m/>
    <s v="12/18/2025"/>
    <s v="Heather Mello"/>
    <m/>
    <m/>
  </r>
  <r>
    <s v="Oakland/San Francisco/San Jose"/>
    <s v="UCB Gateway"/>
    <n v="210784"/>
    <m/>
    <s v="Higher Education | Laboratory / Research | 005 | 004"/>
    <n v="368"/>
    <s v="Garden of Eden Landscapes, Inc."/>
    <s v="Silvia Teixeria"/>
    <s v="Waste Management"/>
    <s v="2615 Davis Street, San Leandro, San Leandro, CA 94577"/>
    <m/>
    <s v="11/14/2025"/>
    <x v="36"/>
    <n v="5829416"/>
    <s v="Click Here To View"/>
    <s v="Construction"/>
    <n v="2.2999999999999998"/>
    <s v="30.87%"/>
    <s v="0.00%"/>
    <s v="30.87%"/>
    <s v="69.13%"/>
    <m/>
    <n v="0.71"/>
    <n v="1.5899999999999999"/>
    <n v="2.2999999999999998"/>
    <n v="0.87"/>
    <m/>
    <m/>
    <m/>
    <m/>
    <m/>
    <m/>
    <n v="0.71"/>
    <m/>
    <n v="0.72"/>
    <m/>
    <m/>
    <m/>
    <m/>
    <m/>
    <m/>
    <m/>
    <m/>
    <m/>
    <m/>
    <m/>
    <m/>
    <m/>
    <m/>
    <m/>
    <m/>
    <m/>
    <m/>
    <m/>
    <m/>
    <m/>
    <m/>
    <m/>
    <m/>
    <s v="0.00%"/>
    <s v="0.00%"/>
    <s v="0.00%"/>
    <s v="0.00%"/>
    <m/>
    <m/>
    <m/>
    <m/>
    <m/>
    <m/>
    <m/>
    <s v="0.00%"/>
    <s v="0.00%"/>
    <s v="0.00%"/>
    <s v="0.00%"/>
    <m/>
    <m/>
    <m/>
    <m/>
    <m/>
    <m/>
    <m/>
    <m/>
    <m/>
    <m/>
    <m/>
    <m/>
    <m/>
    <m/>
    <m/>
    <m/>
    <m/>
    <s v="Mike Teixeira"/>
    <m/>
    <s v="12/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1/15/2025"/>
    <x v="36"/>
    <n v="5829494"/>
    <s v="Click Here To View"/>
    <s v="Construction"/>
    <n v="0.51"/>
    <s v="31.37%"/>
    <s v="0.00%"/>
    <s v="31.37%"/>
    <s v="68.63%"/>
    <m/>
    <n v="0.16"/>
    <n v="0.35"/>
    <n v="0.51"/>
    <n v="0.19"/>
    <m/>
    <m/>
    <m/>
    <m/>
    <m/>
    <m/>
    <n v="0.16"/>
    <m/>
    <n v="0.16"/>
    <m/>
    <m/>
    <m/>
    <m/>
    <m/>
    <m/>
    <m/>
    <m/>
    <m/>
    <m/>
    <m/>
    <m/>
    <m/>
    <m/>
    <m/>
    <m/>
    <m/>
    <m/>
    <m/>
    <m/>
    <m/>
    <m/>
    <m/>
    <m/>
    <s v="0.00%"/>
    <s v="0.00%"/>
    <s v="0.00%"/>
    <s v="0.00%"/>
    <m/>
    <m/>
    <m/>
    <m/>
    <m/>
    <m/>
    <m/>
    <s v="0.00%"/>
    <s v="0.00%"/>
    <s v="0.00%"/>
    <s v="0.00%"/>
    <m/>
    <m/>
    <m/>
    <m/>
    <m/>
    <m/>
    <m/>
    <m/>
    <m/>
    <m/>
    <m/>
    <m/>
    <m/>
    <m/>
    <m/>
    <m/>
    <m/>
    <s v="Mike Teixeira"/>
    <m/>
    <s v="12/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2/02/2025"/>
    <x v="32"/>
    <n v="5838919"/>
    <s v="Click Here To View"/>
    <s v="Construction"/>
    <n v="4.6500000000000004"/>
    <s v="30.75%"/>
    <s v="0.00%"/>
    <s v="30.75%"/>
    <s v="69.25%"/>
    <m/>
    <n v="1.43"/>
    <n v="3.2199999999999998"/>
    <n v="4.6500000000000004"/>
    <n v="1.77"/>
    <m/>
    <m/>
    <m/>
    <m/>
    <m/>
    <m/>
    <n v="1.43"/>
    <m/>
    <n v="1.45"/>
    <m/>
    <m/>
    <m/>
    <m/>
    <m/>
    <m/>
    <m/>
    <m/>
    <m/>
    <m/>
    <m/>
    <m/>
    <m/>
    <m/>
    <m/>
    <m/>
    <m/>
    <m/>
    <m/>
    <m/>
    <m/>
    <m/>
    <m/>
    <m/>
    <s v="0.00%"/>
    <s v="0.00%"/>
    <s v="0.00%"/>
    <s v="0.00%"/>
    <m/>
    <m/>
    <m/>
    <m/>
    <m/>
    <m/>
    <m/>
    <s v="0.00%"/>
    <s v="0.00%"/>
    <s v="0.00%"/>
    <s v="0.00%"/>
    <m/>
    <m/>
    <m/>
    <m/>
    <m/>
    <m/>
    <m/>
    <m/>
    <m/>
    <m/>
    <m/>
    <m/>
    <m/>
    <m/>
    <m/>
    <m/>
    <m/>
    <s v="Mike Teixeira"/>
    <m/>
    <s v="12/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2/05/2025"/>
    <x v="32"/>
    <n v="5841619"/>
    <s v="Click Here To View"/>
    <s v="Construction"/>
    <n v="5.9848000000000008"/>
    <s v="30.91%"/>
    <s v="0.00%"/>
    <s v="30.91%"/>
    <s v="69.09%"/>
    <m/>
    <n v="1.85"/>
    <n v="4.1348000000000003"/>
    <n v="5.9848000000000008"/>
    <n v="2.2747999999999999"/>
    <m/>
    <m/>
    <m/>
    <m/>
    <m/>
    <m/>
    <n v="1.85"/>
    <m/>
    <n v="1.86"/>
    <m/>
    <m/>
    <m/>
    <m/>
    <m/>
    <m/>
    <m/>
    <m/>
    <m/>
    <m/>
    <m/>
    <m/>
    <m/>
    <m/>
    <m/>
    <m/>
    <m/>
    <m/>
    <m/>
    <m/>
    <m/>
    <m/>
    <m/>
    <m/>
    <s v="0.00%"/>
    <s v="0.00%"/>
    <s v="0.00%"/>
    <s v="0.00%"/>
    <m/>
    <m/>
    <m/>
    <m/>
    <m/>
    <m/>
    <m/>
    <s v="0.00%"/>
    <s v="0.00%"/>
    <s v="0.00%"/>
    <s v="0.00%"/>
    <m/>
    <m/>
    <m/>
    <m/>
    <m/>
    <m/>
    <m/>
    <m/>
    <m/>
    <m/>
    <m/>
    <m/>
    <m/>
    <m/>
    <m/>
    <m/>
    <m/>
    <s v="Mike Teixeira"/>
    <m/>
    <s v="12/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2/08/2025"/>
    <x v="32"/>
    <n v="5841610"/>
    <s v="Click Here To View"/>
    <s v="Construction"/>
    <n v="6.73"/>
    <s v="30.76%"/>
    <s v="0.00%"/>
    <s v="30.76%"/>
    <s v="69.24%"/>
    <m/>
    <n v="2.0699999999999998"/>
    <n v="4.66"/>
    <n v="6.73"/>
    <n v="2.56"/>
    <m/>
    <m/>
    <m/>
    <m/>
    <m/>
    <m/>
    <n v="2.0699999999999998"/>
    <m/>
    <n v="2.1"/>
    <m/>
    <m/>
    <m/>
    <m/>
    <m/>
    <m/>
    <m/>
    <m/>
    <m/>
    <m/>
    <m/>
    <m/>
    <m/>
    <m/>
    <m/>
    <m/>
    <m/>
    <m/>
    <m/>
    <m/>
    <m/>
    <m/>
    <m/>
    <m/>
    <s v="0.00%"/>
    <s v="0.00%"/>
    <s v="0.00%"/>
    <s v="0.00%"/>
    <m/>
    <m/>
    <m/>
    <m/>
    <m/>
    <m/>
    <m/>
    <s v="0.00%"/>
    <s v="0.00%"/>
    <s v="0.00%"/>
    <s v="0.00%"/>
    <m/>
    <m/>
    <m/>
    <m/>
    <m/>
    <m/>
    <m/>
    <m/>
    <m/>
    <m/>
    <m/>
    <m/>
    <m/>
    <m/>
    <m/>
    <m/>
    <m/>
    <s v="Mike Teixeira"/>
    <m/>
    <s v="12/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2/10/2025"/>
    <x v="32"/>
    <n v="5843872"/>
    <s v="Click Here To View"/>
    <s v="Construction"/>
    <n v="5.1943000000000001"/>
    <s v="30.80%"/>
    <s v="0.00%"/>
    <s v="30.80%"/>
    <s v="69.20%"/>
    <m/>
    <n v="1.6"/>
    <n v="3.5943000000000001"/>
    <n v="5.1943000000000001"/>
    <n v="1.9742999999999999"/>
    <m/>
    <m/>
    <m/>
    <m/>
    <m/>
    <m/>
    <n v="1.6"/>
    <m/>
    <n v="1.62"/>
    <m/>
    <m/>
    <m/>
    <m/>
    <m/>
    <m/>
    <m/>
    <m/>
    <m/>
    <m/>
    <m/>
    <m/>
    <m/>
    <m/>
    <m/>
    <m/>
    <m/>
    <m/>
    <m/>
    <m/>
    <m/>
    <m/>
    <m/>
    <m/>
    <s v="0.00%"/>
    <s v="0.00%"/>
    <s v="0.00%"/>
    <s v="0.00%"/>
    <m/>
    <m/>
    <m/>
    <m/>
    <m/>
    <m/>
    <m/>
    <s v="0.00%"/>
    <s v="0.00%"/>
    <s v="0.00%"/>
    <s v="0.00%"/>
    <m/>
    <m/>
    <m/>
    <m/>
    <m/>
    <m/>
    <m/>
    <m/>
    <m/>
    <m/>
    <m/>
    <m/>
    <m/>
    <m/>
    <m/>
    <m/>
    <m/>
    <s v="Mike Teixeira"/>
    <m/>
    <s v="12/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2/15/2025"/>
    <x v="32"/>
    <n v="5846125"/>
    <s v="Click Here To View"/>
    <s v="Construction"/>
    <n v="5.63"/>
    <s v="30.91%"/>
    <s v="0.00%"/>
    <s v="30.91%"/>
    <s v="69.09%"/>
    <m/>
    <n v="1.74"/>
    <n v="3.89"/>
    <n v="5.63"/>
    <n v="2.14"/>
    <m/>
    <m/>
    <m/>
    <m/>
    <m/>
    <m/>
    <n v="1.74"/>
    <m/>
    <n v="1.75"/>
    <m/>
    <m/>
    <m/>
    <m/>
    <m/>
    <m/>
    <m/>
    <m/>
    <m/>
    <m/>
    <m/>
    <m/>
    <m/>
    <m/>
    <m/>
    <m/>
    <m/>
    <m/>
    <m/>
    <m/>
    <m/>
    <m/>
    <m/>
    <m/>
    <s v="0.00%"/>
    <s v="0.00%"/>
    <s v="0.00%"/>
    <s v="0.00%"/>
    <m/>
    <m/>
    <m/>
    <m/>
    <m/>
    <m/>
    <m/>
    <s v="0.00%"/>
    <s v="0.00%"/>
    <s v="0.00%"/>
    <s v="0.00%"/>
    <m/>
    <m/>
    <m/>
    <m/>
    <m/>
    <m/>
    <m/>
    <m/>
    <m/>
    <m/>
    <m/>
    <m/>
    <m/>
    <m/>
    <m/>
    <m/>
    <m/>
    <s v="Mike Teixeira"/>
    <m/>
    <s v="12/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2/16/2025"/>
    <x v="32"/>
    <n v="5847101"/>
    <s v="Click Here To View"/>
    <s v="Construction"/>
    <n v="1.8574999999999999"/>
    <s v="30.69%"/>
    <s v="0.00%"/>
    <s v="30.69%"/>
    <s v="69.31%"/>
    <m/>
    <n v="0.56999999999999995"/>
    <n v="1.2875000000000001"/>
    <n v="1.8574999999999999"/>
    <n v="0.70750000000000002"/>
    <m/>
    <m/>
    <m/>
    <m/>
    <m/>
    <m/>
    <n v="0.56999999999999995"/>
    <m/>
    <n v="0.57999999999999996"/>
    <m/>
    <m/>
    <m/>
    <m/>
    <m/>
    <m/>
    <m/>
    <m/>
    <m/>
    <m/>
    <m/>
    <m/>
    <m/>
    <m/>
    <m/>
    <m/>
    <m/>
    <m/>
    <m/>
    <m/>
    <m/>
    <m/>
    <m/>
    <m/>
    <s v="0.00%"/>
    <s v="0.00%"/>
    <s v="0.00%"/>
    <s v="0.00%"/>
    <m/>
    <m/>
    <m/>
    <m/>
    <m/>
    <m/>
    <m/>
    <s v="0.00%"/>
    <s v="0.00%"/>
    <s v="0.00%"/>
    <s v="0.00%"/>
    <m/>
    <m/>
    <m/>
    <m/>
    <m/>
    <m/>
    <m/>
    <m/>
    <m/>
    <m/>
    <m/>
    <m/>
    <m/>
    <m/>
    <m/>
    <m/>
    <m/>
    <s v="Mike Teixeira"/>
    <m/>
    <s v="12/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2/16/2025"/>
    <x v="32"/>
    <n v="5847195"/>
    <s v="Click Here To View"/>
    <s v="Construction"/>
    <n v="2.036"/>
    <s v="30.94%"/>
    <s v="0.00%"/>
    <s v="30.94%"/>
    <s v="69.06%"/>
    <m/>
    <n v="0.63"/>
    <n v="1.4060000000000001"/>
    <n v="2.036"/>
    <n v="0.77600000000000002"/>
    <m/>
    <m/>
    <m/>
    <m/>
    <m/>
    <m/>
    <n v="0.63"/>
    <m/>
    <n v="0.63"/>
    <m/>
    <m/>
    <m/>
    <m/>
    <m/>
    <m/>
    <m/>
    <m/>
    <m/>
    <m/>
    <m/>
    <m/>
    <m/>
    <m/>
    <m/>
    <m/>
    <m/>
    <m/>
    <m/>
    <m/>
    <m/>
    <m/>
    <m/>
    <m/>
    <s v="0.00%"/>
    <s v="0.00%"/>
    <s v="0.00%"/>
    <s v="0.00%"/>
    <m/>
    <m/>
    <m/>
    <m/>
    <m/>
    <m/>
    <m/>
    <s v="0.00%"/>
    <s v="0.00%"/>
    <s v="0.00%"/>
    <s v="0.00%"/>
    <m/>
    <m/>
    <m/>
    <m/>
    <m/>
    <m/>
    <m/>
    <m/>
    <m/>
    <m/>
    <m/>
    <m/>
    <m/>
    <m/>
    <m/>
    <m/>
    <m/>
    <s v="Mike Teixeira"/>
    <m/>
    <s v="12/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2/19/2025"/>
    <x v="32"/>
    <n v="5849073"/>
    <s v="Click Here To View"/>
    <s v="Construction"/>
    <n v="0.96900000000000008"/>
    <s v="30.96%"/>
    <s v="0.00%"/>
    <s v="30.96%"/>
    <s v="69.04%"/>
    <m/>
    <n v="0.3"/>
    <n v="0.66900000000000004"/>
    <n v="0.96900000000000008"/>
    <n v="0.36899999999999999"/>
    <m/>
    <m/>
    <m/>
    <m/>
    <m/>
    <m/>
    <n v="0.3"/>
    <m/>
    <n v="0.3"/>
    <m/>
    <m/>
    <m/>
    <m/>
    <m/>
    <m/>
    <m/>
    <m/>
    <m/>
    <m/>
    <m/>
    <m/>
    <m/>
    <m/>
    <m/>
    <m/>
    <m/>
    <m/>
    <m/>
    <m/>
    <m/>
    <m/>
    <m/>
    <m/>
    <s v="0.00%"/>
    <s v="0.00%"/>
    <s v="0.00%"/>
    <s v="0.00%"/>
    <m/>
    <m/>
    <m/>
    <m/>
    <m/>
    <m/>
    <m/>
    <s v="0.00%"/>
    <s v="0.00%"/>
    <s v="0.00%"/>
    <s v="0.00%"/>
    <m/>
    <m/>
    <m/>
    <m/>
    <m/>
    <m/>
    <m/>
    <m/>
    <m/>
    <m/>
    <m/>
    <m/>
    <m/>
    <m/>
    <m/>
    <m/>
    <m/>
    <s v="Mike Teixeira"/>
    <m/>
    <s v="12/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2/23/2025"/>
    <x v="32"/>
    <n v="5850582"/>
    <s v="Click Here To View"/>
    <s v="Construction"/>
    <n v="0.76750000000000007"/>
    <s v="30.92%"/>
    <s v="0.00%"/>
    <s v="30.92%"/>
    <s v="69.08%"/>
    <m/>
    <n v="0.23730000000000001"/>
    <n v="0.5302"/>
    <n v="0.76750000000000007"/>
    <n v="0.29289999999999999"/>
    <m/>
    <m/>
    <m/>
    <m/>
    <m/>
    <m/>
    <n v="0.23730000000000001"/>
    <m/>
    <n v="0.23730000000000001"/>
    <m/>
    <m/>
    <m/>
    <m/>
    <m/>
    <m/>
    <m/>
    <m/>
    <m/>
    <m/>
    <m/>
    <m/>
    <m/>
    <m/>
    <m/>
    <m/>
    <m/>
    <m/>
    <m/>
    <m/>
    <m/>
    <m/>
    <m/>
    <m/>
    <s v="0.00%"/>
    <s v="0.00%"/>
    <s v="0.00%"/>
    <s v="0.00%"/>
    <m/>
    <m/>
    <m/>
    <m/>
    <m/>
    <m/>
    <m/>
    <s v="0.00%"/>
    <s v="0.00%"/>
    <s v="0.00%"/>
    <s v="0.00%"/>
    <m/>
    <m/>
    <m/>
    <m/>
    <m/>
    <m/>
    <m/>
    <m/>
    <m/>
    <m/>
    <m/>
    <m/>
    <m/>
    <m/>
    <m/>
    <m/>
    <m/>
    <s v="Mike Teixeira"/>
    <m/>
    <s v="12/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2/23/2025"/>
    <x v="32"/>
    <n v="5850604"/>
    <s v="Click Here To View"/>
    <s v="Construction"/>
    <n v="5.15"/>
    <s v="30.87%"/>
    <s v="0.00%"/>
    <s v="30.87%"/>
    <s v="69.13%"/>
    <m/>
    <n v="1.59"/>
    <n v="3.56"/>
    <n v="5.15"/>
    <n v="1.96"/>
    <m/>
    <m/>
    <m/>
    <m/>
    <m/>
    <m/>
    <n v="1.59"/>
    <m/>
    <n v="1.6"/>
    <m/>
    <m/>
    <m/>
    <m/>
    <m/>
    <m/>
    <m/>
    <m/>
    <m/>
    <m/>
    <m/>
    <m/>
    <m/>
    <m/>
    <m/>
    <m/>
    <m/>
    <m/>
    <m/>
    <m/>
    <m/>
    <m/>
    <m/>
    <m/>
    <s v="0.00%"/>
    <s v="0.00%"/>
    <s v="0.00%"/>
    <s v="0.00%"/>
    <m/>
    <m/>
    <m/>
    <m/>
    <m/>
    <m/>
    <m/>
    <s v="0.00%"/>
    <s v="0.00%"/>
    <s v="0.00%"/>
    <s v="0.00%"/>
    <m/>
    <m/>
    <m/>
    <m/>
    <m/>
    <m/>
    <m/>
    <m/>
    <m/>
    <m/>
    <m/>
    <m/>
    <m/>
    <m/>
    <m/>
    <m/>
    <m/>
    <s v="Mike Teixeira"/>
    <m/>
    <s v="12/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2/23/2025"/>
    <x v="32"/>
    <n v="5851264"/>
    <s v="Click Here To View"/>
    <s v="Construction"/>
    <n v="0.98"/>
    <s v="30.61%"/>
    <s v="0.00%"/>
    <s v="30.61%"/>
    <s v="69.39%"/>
    <m/>
    <n v="0.3"/>
    <n v="0.67999999999999994"/>
    <n v="0.98"/>
    <n v="0.37"/>
    <m/>
    <m/>
    <m/>
    <m/>
    <m/>
    <m/>
    <n v="0.3"/>
    <m/>
    <n v="0.31"/>
    <m/>
    <m/>
    <m/>
    <m/>
    <m/>
    <m/>
    <m/>
    <m/>
    <m/>
    <m/>
    <m/>
    <m/>
    <m/>
    <m/>
    <m/>
    <m/>
    <m/>
    <m/>
    <m/>
    <m/>
    <m/>
    <m/>
    <m/>
    <m/>
    <s v="0.00%"/>
    <s v="0.00%"/>
    <s v="0.00%"/>
    <s v="0.00%"/>
    <m/>
    <m/>
    <m/>
    <m/>
    <m/>
    <m/>
    <m/>
    <s v="0.00%"/>
    <s v="0.00%"/>
    <s v="0.00%"/>
    <s v="0.00%"/>
    <m/>
    <m/>
    <m/>
    <m/>
    <m/>
    <m/>
    <m/>
    <m/>
    <m/>
    <m/>
    <m/>
    <m/>
    <m/>
    <m/>
    <m/>
    <m/>
    <m/>
    <s v="Mike Teixeira"/>
    <m/>
    <s v="12/30/2025"/>
    <s v="Mike Teixeira"/>
    <m/>
    <m/>
  </r>
  <r>
    <s v="Oakland/San Francisco/San Jose"/>
    <s v="UCB Gateway"/>
    <n v="210784"/>
    <m/>
    <s v="Higher Education | Laboratory / Research | 005 | 004"/>
    <n v="368"/>
    <s v="Carone and Company Inc "/>
    <s v="Grant Carone"/>
    <s v="Argent Materials Inc."/>
    <s v="8501 San Leandro St, Oakland, CA 94621"/>
    <m/>
    <s v="01/09/2026"/>
    <x v="3"/>
    <n v="7349987"/>
    <s v="Click Here To View"/>
    <s v="Construction"/>
    <n v="16.3"/>
    <s v="100.00%"/>
    <s v="0.00%"/>
    <s v="100.00%"/>
    <s v="0.00%"/>
    <m/>
    <n v="16.3"/>
    <m/>
    <n v="16.3"/>
    <m/>
    <n v="7"/>
    <m/>
    <n v="9.3000000000000007"/>
    <m/>
    <m/>
    <m/>
    <m/>
    <m/>
    <m/>
    <m/>
    <m/>
    <m/>
    <m/>
    <m/>
    <m/>
    <m/>
    <m/>
    <m/>
    <m/>
    <m/>
    <m/>
    <m/>
    <m/>
    <m/>
    <m/>
    <m/>
    <m/>
    <m/>
    <m/>
    <m/>
    <m/>
    <m/>
    <m/>
    <s v="0.00%"/>
    <s v="0.00%"/>
    <s v="0.00%"/>
    <s v="0.00%"/>
    <m/>
    <m/>
    <m/>
    <m/>
    <m/>
    <m/>
    <m/>
    <s v="0.00%"/>
    <s v="0.00%"/>
    <s v="0.00%"/>
    <s v="0.00%"/>
    <m/>
    <m/>
    <m/>
    <m/>
    <m/>
    <m/>
    <m/>
    <m/>
    <m/>
    <m/>
    <m/>
    <m/>
    <m/>
    <m/>
    <m/>
    <m/>
    <m/>
    <s v="Heather Mello"/>
    <m/>
    <s v="01/16/2026"/>
    <s v="Heather Mello"/>
    <m/>
    <m/>
  </r>
  <r>
    <s v="Oakland/San Francisco/San Jose"/>
    <s v="UCB Gateway"/>
    <n v="210784"/>
    <m/>
    <s v="Higher Education | Laboratory / Research | 005 | 004"/>
    <n v="368"/>
    <s v="Carone and Company Inc "/>
    <s v="Grant Carone"/>
    <s v="Argent Materials Inc."/>
    <s v="8501 San Leandro St, Oakland, CA 94621"/>
    <m/>
    <s v="01/09/2026"/>
    <x v="3"/>
    <n v="7350014"/>
    <s v="Click Here To View"/>
    <s v="Demolition"/>
    <n v="14.08"/>
    <s v="100.00%"/>
    <s v="0.00%"/>
    <s v="100.00%"/>
    <s v="0.00%"/>
    <m/>
    <n v="14.08"/>
    <m/>
    <n v="14.08"/>
    <m/>
    <n v="7.0006000000000004"/>
    <m/>
    <n v="7.0793999999999997"/>
    <m/>
    <m/>
    <m/>
    <m/>
    <m/>
    <m/>
    <m/>
    <m/>
    <m/>
    <m/>
    <m/>
    <m/>
    <m/>
    <m/>
    <m/>
    <m/>
    <m/>
    <m/>
    <m/>
    <m/>
    <m/>
    <m/>
    <m/>
    <m/>
    <m/>
    <m/>
    <m/>
    <m/>
    <m/>
    <m/>
    <s v="0.00%"/>
    <s v="0.00%"/>
    <s v="0.00%"/>
    <s v="0.00%"/>
    <m/>
    <m/>
    <m/>
    <m/>
    <m/>
    <m/>
    <m/>
    <s v="0.00%"/>
    <s v="0.00%"/>
    <s v="0.00%"/>
    <s v="0.00%"/>
    <m/>
    <m/>
    <m/>
    <m/>
    <m/>
    <m/>
    <m/>
    <m/>
    <m/>
    <m/>
    <m/>
    <m/>
    <m/>
    <m/>
    <m/>
    <m/>
    <m/>
    <s v="Grant Carone"/>
    <m/>
    <s v="01/16/2026"/>
    <s v="Grant Carone"/>
    <m/>
    <m/>
  </r>
  <r>
    <s v="Oakland/San Francisco/San Jose"/>
    <s v="UCB Gateway"/>
    <n v="210784"/>
    <m/>
    <s v="Higher Education | Laboratory / Research | 005 | 004"/>
    <n v="368"/>
    <s v="Carone and Company Inc "/>
    <s v="Grant Carone"/>
    <s v="Argent Materials Inc."/>
    <s v="8501 San Leandro St, Oakland, CA 94621"/>
    <m/>
    <s v="01/09/2026"/>
    <x v="3"/>
    <n v="7350033"/>
    <s v="Click Here To View"/>
    <s v="Demolition"/>
    <n v="15.18"/>
    <s v="100.00%"/>
    <s v="0.00%"/>
    <s v="100.00%"/>
    <s v="0.00%"/>
    <m/>
    <n v="15.18"/>
    <m/>
    <n v="15.18"/>
    <m/>
    <n v="10"/>
    <m/>
    <n v="5.18"/>
    <m/>
    <m/>
    <m/>
    <m/>
    <m/>
    <m/>
    <m/>
    <m/>
    <m/>
    <m/>
    <m/>
    <m/>
    <m/>
    <m/>
    <m/>
    <m/>
    <m/>
    <m/>
    <m/>
    <m/>
    <m/>
    <m/>
    <m/>
    <m/>
    <m/>
    <m/>
    <m/>
    <m/>
    <m/>
    <m/>
    <s v="0.00%"/>
    <s v="0.00%"/>
    <s v="0.00%"/>
    <s v="0.00%"/>
    <m/>
    <m/>
    <m/>
    <m/>
    <m/>
    <m/>
    <m/>
    <s v="0.00%"/>
    <s v="0.00%"/>
    <s v="0.00%"/>
    <s v="0.00%"/>
    <m/>
    <m/>
    <m/>
    <m/>
    <m/>
    <m/>
    <m/>
    <m/>
    <m/>
    <m/>
    <m/>
    <m/>
    <m/>
    <m/>
    <m/>
    <m/>
    <m/>
    <s v="Grant Carone"/>
    <m/>
    <s v="01/16/2026"/>
    <s v="Grant Carone"/>
    <m/>
    <m/>
  </r>
  <r>
    <s v="Oakland/San Francisco/San Jose"/>
    <s v="UCB Gateway"/>
    <n v="210784"/>
    <m/>
    <s v="Higher Education | Laboratory / Research | 005 | 004"/>
    <n v="368"/>
    <s v="Carone and Company Inc "/>
    <s v="Grant Carone"/>
    <s v="Argent Materials Inc."/>
    <s v="8501 San Leandro St, Oakland, CA 94621"/>
    <m/>
    <s v="01/09/2026"/>
    <x v="3"/>
    <n v="7350050"/>
    <s v="Click Here To View"/>
    <s v="Demolition"/>
    <n v="16.84"/>
    <s v="100.00%"/>
    <s v="0.00%"/>
    <s v="100.00%"/>
    <s v="0.00%"/>
    <m/>
    <n v="16.84"/>
    <m/>
    <n v="16.84"/>
    <m/>
    <n v="7"/>
    <m/>
    <n v="9.84"/>
    <m/>
    <m/>
    <m/>
    <m/>
    <m/>
    <m/>
    <m/>
    <m/>
    <m/>
    <m/>
    <m/>
    <m/>
    <m/>
    <m/>
    <m/>
    <m/>
    <m/>
    <m/>
    <m/>
    <m/>
    <m/>
    <m/>
    <m/>
    <m/>
    <m/>
    <m/>
    <m/>
    <m/>
    <m/>
    <m/>
    <s v="0.00%"/>
    <s v="0.00%"/>
    <s v="0.00%"/>
    <s v="0.00%"/>
    <m/>
    <m/>
    <m/>
    <m/>
    <m/>
    <m/>
    <m/>
    <s v="0.00%"/>
    <s v="0.00%"/>
    <s v="0.00%"/>
    <s v="0.00%"/>
    <m/>
    <m/>
    <m/>
    <m/>
    <m/>
    <m/>
    <m/>
    <m/>
    <m/>
    <m/>
    <m/>
    <m/>
    <m/>
    <m/>
    <m/>
    <m/>
    <m/>
    <s v="Grant Carone"/>
    <m/>
    <s v="01/16/2026"/>
    <s v="Grant Carone"/>
    <m/>
    <m/>
  </r>
  <r>
    <s v="Oakland/San Francisco/San Jose"/>
    <s v="UCB Gateway"/>
    <n v="210784"/>
    <m/>
    <s v="Higher Education | Laboratory / Research | 005 | 004"/>
    <n v="368"/>
    <s v="Carone and Company Inc "/>
    <s v="Grant Carone"/>
    <s v="Argent Materials Inc."/>
    <s v="8501 San Leandro St, Oakland, CA 94621"/>
    <m/>
    <s v="01/09/2026"/>
    <x v="3"/>
    <n v="7350067"/>
    <s v="Click Here To View"/>
    <s v="Demolition"/>
    <n v="16.439999999999998"/>
    <s v="100.00%"/>
    <s v="0.00%"/>
    <s v="100.00%"/>
    <s v="0.00%"/>
    <m/>
    <n v="16.439999999999998"/>
    <m/>
    <n v="16.439999999999998"/>
    <m/>
    <n v="8"/>
    <m/>
    <n v="8.44"/>
    <m/>
    <m/>
    <m/>
    <m/>
    <m/>
    <m/>
    <m/>
    <m/>
    <m/>
    <m/>
    <m/>
    <m/>
    <m/>
    <m/>
    <m/>
    <m/>
    <m/>
    <m/>
    <m/>
    <m/>
    <m/>
    <m/>
    <m/>
    <m/>
    <m/>
    <m/>
    <m/>
    <m/>
    <m/>
    <m/>
    <s v="0.00%"/>
    <s v="0.00%"/>
    <s v="0.00%"/>
    <s v="0.00%"/>
    <m/>
    <m/>
    <m/>
    <m/>
    <m/>
    <m/>
    <m/>
    <s v="0.00%"/>
    <s v="0.00%"/>
    <s v="0.00%"/>
    <s v="0.00%"/>
    <m/>
    <m/>
    <m/>
    <m/>
    <m/>
    <m/>
    <m/>
    <m/>
    <m/>
    <m/>
    <m/>
    <m/>
    <m/>
    <m/>
    <m/>
    <m/>
    <m/>
    <s v="Grant Carone"/>
    <m/>
    <s v="01/16/2026"/>
    <s v="Grant Carone"/>
    <m/>
    <m/>
  </r>
  <r>
    <s v="Oakland/San Francisco/San Jose"/>
    <s v="UCB Gateway"/>
    <n v="210784"/>
    <m/>
    <s v="Higher Education | Laboratory / Research | 005 | 004"/>
    <n v="368"/>
    <s v="Carone and Company Inc "/>
    <s v="Grant Carone"/>
    <s v="Argent Materials Inc."/>
    <s v="8501 San Leandro St, Oakland, CA 94621"/>
    <m/>
    <s v="01/09/2026"/>
    <x v="3"/>
    <n v="7350119"/>
    <s v="Click Here To View"/>
    <s v="Demolition"/>
    <n v="15.950299999999999"/>
    <s v="100.00%"/>
    <s v="0.00%"/>
    <s v="100.00%"/>
    <s v="0.00%"/>
    <m/>
    <n v="15.950299999999999"/>
    <m/>
    <n v="15.950299999999999"/>
    <m/>
    <n v="10.95"/>
    <m/>
    <n v="5.0003000000000002"/>
    <m/>
    <m/>
    <m/>
    <m/>
    <m/>
    <m/>
    <m/>
    <m/>
    <m/>
    <m/>
    <m/>
    <m/>
    <m/>
    <m/>
    <m/>
    <m/>
    <m/>
    <m/>
    <m/>
    <m/>
    <m/>
    <m/>
    <m/>
    <m/>
    <m/>
    <m/>
    <m/>
    <m/>
    <m/>
    <m/>
    <s v="0.00%"/>
    <s v="0.00%"/>
    <s v="0.00%"/>
    <s v="0.00%"/>
    <m/>
    <m/>
    <m/>
    <m/>
    <m/>
    <m/>
    <m/>
    <s v="0.00%"/>
    <s v="0.00%"/>
    <s v="0.00%"/>
    <s v="0.00%"/>
    <m/>
    <m/>
    <m/>
    <m/>
    <m/>
    <m/>
    <m/>
    <m/>
    <m/>
    <m/>
    <m/>
    <m/>
    <m/>
    <m/>
    <m/>
    <m/>
    <m/>
    <s v="Grant Carone"/>
    <m/>
    <s v="01/16/2026"/>
    <s v="Grant Carone"/>
    <m/>
    <m/>
  </r>
  <r>
    <s v="Oakland/San Francisco/San Jose"/>
    <s v="UCB Gateway"/>
    <n v="210784"/>
    <m/>
    <s v="Higher Education | Laboratory / Research | 005 | 004"/>
    <n v="368"/>
    <s v="Carone and Company Inc "/>
    <s v="Grant Carone"/>
    <s v="Argent Materials Inc."/>
    <s v="8501 San Leandro St, Oakland, CA 94621"/>
    <m/>
    <s v="01/09/2026"/>
    <x v="3"/>
    <n v="7350161"/>
    <s v="Click Here To View"/>
    <s v="Demolition"/>
    <n v="16.699400000000001"/>
    <s v="100.00%"/>
    <s v="0.00%"/>
    <s v="100.00%"/>
    <s v="0.00%"/>
    <m/>
    <n v="16.699400000000001"/>
    <m/>
    <n v="16.699400000000001"/>
    <m/>
    <n v="7"/>
    <m/>
    <n v="9.6994000000000007"/>
    <m/>
    <m/>
    <m/>
    <m/>
    <m/>
    <m/>
    <m/>
    <m/>
    <m/>
    <m/>
    <m/>
    <m/>
    <m/>
    <m/>
    <m/>
    <m/>
    <m/>
    <m/>
    <m/>
    <m/>
    <m/>
    <m/>
    <m/>
    <m/>
    <m/>
    <m/>
    <m/>
    <m/>
    <m/>
    <m/>
    <s v="0.00%"/>
    <s v="0.00%"/>
    <s v="0.00%"/>
    <s v="0.00%"/>
    <m/>
    <m/>
    <m/>
    <m/>
    <m/>
    <m/>
    <m/>
    <s v="0.00%"/>
    <s v="0.00%"/>
    <s v="0.00%"/>
    <s v="0.00%"/>
    <m/>
    <m/>
    <m/>
    <m/>
    <m/>
    <m/>
    <m/>
    <m/>
    <m/>
    <m/>
    <m/>
    <m/>
    <m/>
    <m/>
    <m/>
    <m/>
    <m/>
    <s v="Grant Carone"/>
    <m/>
    <s v="01/16/2026"/>
    <s v="Grant Carone"/>
    <m/>
    <m/>
  </r>
  <r>
    <s v="Oakland/San Francisco/San Jose"/>
    <s v="UCB Gateway"/>
    <n v="210784"/>
    <m/>
    <s v="Higher Education | Laboratory / Research | 005 | 004"/>
    <n v="368"/>
    <s v="Carone and Company Inc "/>
    <s v="Grant Carone"/>
    <s v="Argent Materials Inc."/>
    <s v="8501 San Leandro St, Oakland, CA 94621"/>
    <m/>
    <s v="01/09/2026"/>
    <x v="3"/>
    <n v="7350170"/>
    <s v="Click Here To View"/>
    <s v="Demolition"/>
    <n v="17.34"/>
    <s v="100.00%"/>
    <s v="0.00%"/>
    <s v="100.00%"/>
    <s v="0.00%"/>
    <m/>
    <n v="17.34"/>
    <m/>
    <n v="17.34"/>
    <m/>
    <n v="10.34"/>
    <m/>
    <n v="7"/>
    <m/>
    <m/>
    <m/>
    <m/>
    <m/>
    <m/>
    <m/>
    <m/>
    <m/>
    <m/>
    <m/>
    <m/>
    <m/>
    <m/>
    <m/>
    <m/>
    <m/>
    <m/>
    <m/>
    <m/>
    <m/>
    <m/>
    <m/>
    <m/>
    <m/>
    <m/>
    <m/>
    <m/>
    <m/>
    <m/>
    <s v="0.00%"/>
    <s v="0.00%"/>
    <s v="0.00%"/>
    <s v="0.00%"/>
    <m/>
    <m/>
    <m/>
    <m/>
    <m/>
    <m/>
    <m/>
    <s v="0.00%"/>
    <s v="0.00%"/>
    <s v="0.00%"/>
    <s v="0.00%"/>
    <m/>
    <m/>
    <m/>
    <m/>
    <m/>
    <m/>
    <m/>
    <m/>
    <m/>
    <m/>
    <m/>
    <m/>
    <m/>
    <m/>
    <m/>
    <m/>
    <m/>
    <s v="Grant Carone"/>
    <m/>
    <s v="01/16/2026"/>
    <s v="Grant Carone"/>
    <m/>
    <m/>
  </r>
  <r>
    <s v="Oakland/San Francisco/San Jose"/>
    <s v="UCB Gateway"/>
    <n v="210784"/>
    <m/>
    <s v="Higher Education | Laboratory / Research | 005 | 004"/>
    <n v="368"/>
    <s v="Garden of Eden Landscapes, Inc."/>
    <s v="Silvia Teixeria"/>
    <s v="Waste Management"/>
    <s v="2615 Davis Street, San Leandro, San Leandro, CA 94577"/>
    <m/>
    <s v="12/29/2025"/>
    <x v="32"/>
    <n v="5853562"/>
    <s v="Click Here To View"/>
    <s v="Construction"/>
    <n v="1.6901000000000002"/>
    <s v="30.82%"/>
    <s v="0.00%"/>
    <s v="30.82%"/>
    <s v="69.18%"/>
    <m/>
    <n v="0.52090000000000003"/>
    <n v="1.1692"/>
    <n v="1.6901000000000002"/>
    <n v="0.64290000000000003"/>
    <m/>
    <m/>
    <m/>
    <m/>
    <m/>
    <m/>
    <n v="0.52090000000000003"/>
    <m/>
    <n v="0.52629999999999999"/>
    <m/>
    <m/>
    <m/>
    <m/>
    <m/>
    <m/>
    <m/>
    <m/>
    <m/>
    <m/>
    <m/>
    <m/>
    <m/>
    <m/>
    <m/>
    <m/>
    <m/>
    <m/>
    <m/>
    <m/>
    <m/>
    <m/>
    <m/>
    <m/>
    <s v="0.00%"/>
    <s v="0.00%"/>
    <s v="0.00%"/>
    <s v="0.00%"/>
    <m/>
    <m/>
    <m/>
    <m/>
    <m/>
    <m/>
    <m/>
    <s v="0.00%"/>
    <s v="0.00%"/>
    <s v="0.00%"/>
    <s v="0.00%"/>
    <m/>
    <m/>
    <m/>
    <m/>
    <m/>
    <m/>
    <m/>
    <m/>
    <m/>
    <m/>
    <m/>
    <m/>
    <m/>
    <m/>
    <m/>
    <m/>
    <m/>
    <s v="Mike Teixeira"/>
    <m/>
    <s v="02/02/2026"/>
    <s v="Mike Teixeira"/>
    <m/>
    <m/>
  </r>
  <r>
    <s v="Oakland/San Francisco/San Jose"/>
    <s v="UCB Gateway"/>
    <n v="210784"/>
    <m/>
    <s v="Higher Education | Laboratory / Research | 005 | 004"/>
    <n v="368"/>
    <s v="Garden of Eden Landscapes, Inc."/>
    <s v="Silvia Teixeria"/>
    <s v="Waste Management"/>
    <s v="2615 Davis Street, San Leandro, San Leandro, CA 94577"/>
    <m/>
    <s v="12/30/2025"/>
    <x v="32"/>
    <n v="5854840"/>
    <s v="Click Here To View"/>
    <s v="Construction"/>
    <n v="6.58"/>
    <s v="30.82%"/>
    <s v="0.00%"/>
    <s v="30.82%"/>
    <s v="69.18%"/>
    <m/>
    <n v="2.028"/>
    <n v="4.5519999999999996"/>
    <n v="6.58"/>
    <n v="2.5030000000000001"/>
    <m/>
    <m/>
    <m/>
    <m/>
    <m/>
    <m/>
    <n v="2.028"/>
    <m/>
    <n v="2.0489999999999999"/>
    <m/>
    <m/>
    <m/>
    <m/>
    <m/>
    <m/>
    <m/>
    <m/>
    <m/>
    <m/>
    <m/>
    <m/>
    <m/>
    <m/>
    <m/>
    <m/>
    <m/>
    <m/>
    <m/>
    <m/>
    <m/>
    <m/>
    <m/>
    <m/>
    <s v="0.00%"/>
    <s v="0.00%"/>
    <s v="0.00%"/>
    <s v="0.00%"/>
    <m/>
    <m/>
    <m/>
    <m/>
    <m/>
    <m/>
    <m/>
    <s v="0.00%"/>
    <s v="0.00%"/>
    <s v="0.00%"/>
    <s v="0.00%"/>
    <m/>
    <m/>
    <m/>
    <m/>
    <m/>
    <m/>
    <m/>
    <m/>
    <m/>
    <m/>
    <m/>
    <m/>
    <m/>
    <m/>
    <m/>
    <m/>
    <m/>
    <s v="Mike Teixeira"/>
    <m/>
    <s v="02/02/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1/02/2026"/>
    <x v="3"/>
    <n v="5855904"/>
    <s v="Click Here To View"/>
    <s v="Construction"/>
    <n v="2.84"/>
    <s v="30.82%"/>
    <s v="0.00%"/>
    <s v="30.82%"/>
    <s v="69.18%"/>
    <m/>
    <n v="0.87529999999999997"/>
    <n v="1.9647000000000001"/>
    <n v="2.84"/>
    <n v="1.0803"/>
    <m/>
    <m/>
    <m/>
    <m/>
    <m/>
    <m/>
    <n v="0.87529999999999997"/>
    <m/>
    <n v="0.88439999999999996"/>
    <m/>
    <m/>
    <m/>
    <m/>
    <m/>
    <m/>
    <m/>
    <m/>
    <m/>
    <m/>
    <m/>
    <m/>
    <m/>
    <m/>
    <m/>
    <m/>
    <m/>
    <m/>
    <m/>
    <m/>
    <m/>
    <m/>
    <m/>
    <m/>
    <s v="0.00%"/>
    <s v="0.00%"/>
    <s v="0.00%"/>
    <s v="0.00%"/>
    <m/>
    <m/>
    <m/>
    <m/>
    <m/>
    <m/>
    <m/>
    <s v="0.00%"/>
    <s v="0.00%"/>
    <s v="0.00%"/>
    <s v="0.00%"/>
    <m/>
    <m/>
    <m/>
    <m/>
    <m/>
    <m/>
    <m/>
    <m/>
    <m/>
    <m/>
    <m/>
    <m/>
    <m/>
    <m/>
    <m/>
    <m/>
    <m/>
    <s v="Mike Teixeira"/>
    <m/>
    <s v="02/02/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1/05/2026"/>
    <x v="3"/>
    <n v="5957516"/>
    <s v="Click Here To View"/>
    <s v="Construction"/>
    <n v="5.8800000000000008"/>
    <s v="30.82%"/>
    <s v="0.00%"/>
    <s v="30.82%"/>
    <s v="69.18%"/>
    <m/>
    <n v="1.8122"/>
    <n v="4.0678000000000001"/>
    <n v="5.8800000000000008"/>
    <n v="2.2368000000000001"/>
    <m/>
    <m/>
    <m/>
    <m/>
    <m/>
    <m/>
    <n v="1.8122"/>
    <m/>
    <n v="1.831"/>
    <m/>
    <m/>
    <m/>
    <m/>
    <m/>
    <m/>
    <m/>
    <m/>
    <m/>
    <m/>
    <m/>
    <m/>
    <m/>
    <m/>
    <m/>
    <m/>
    <m/>
    <m/>
    <m/>
    <m/>
    <m/>
    <m/>
    <m/>
    <m/>
    <s v="0.00%"/>
    <s v="0.00%"/>
    <s v="0.00%"/>
    <s v="0.00%"/>
    <m/>
    <m/>
    <m/>
    <m/>
    <m/>
    <m/>
    <m/>
    <s v="0.00%"/>
    <s v="0.00%"/>
    <s v="0.00%"/>
    <s v="0.00%"/>
    <m/>
    <m/>
    <m/>
    <m/>
    <m/>
    <m/>
    <m/>
    <m/>
    <m/>
    <m/>
    <m/>
    <m/>
    <m/>
    <m/>
    <m/>
    <m/>
    <m/>
    <s v="Mike Teixeira"/>
    <m/>
    <s v="02/02/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1/05/2026"/>
    <x v="3"/>
    <n v="5857578"/>
    <s v="Click Here To View"/>
    <s v="Construction"/>
    <n v="2.88"/>
    <s v="30.82%"/>
    <s v="0.00%"/>
    <s v="30.82%"/>
    <s v="69.18%"/>
    <m/>
    <n v="0.88759999999999994"/>
    <n v="1.9923999999999999"/>
    <n v="2.88"/>
    <n v="1.0955999999999999"/>
    <m/>
    <m/>
    <m/>
    <m/>
    <m/>
    <m/>
    <n v="0.88759999999999994"/>
    <m/>
    <n v="0.89680000000000004"/>
    <m/>
    <m/>
    <m/>
    <m/>
    <m/>
    <m/>
    <m/>
    <m/>
    <m/>
    <m/>
    <m/>
    <m/>
    <m/>
    <m/>
    <m/>
    <m/>
    <m/>
    <m/>
    <m/>
    <m/>
    <m/>
    <m/>
    <m/>
    <m/>
    <s v="0.00%"/>
    <s v="0.00%"/>
    <s v="0.00%"/>
    <s v="0.00%"/>
    <m/>
    <m/>
    <m/>
    <m/>
    <m/>
    <m/>
    <m/>
    <s v="0.00%"/>
    <s v="0.00%"/>
    <s v="0.00%"/>
    <s v="0.00%"/>
    <m/>
    <m/>
    <m/>
    <m/>
    <m/>
    <m/>
    <m/>
    <m/>
    <m/>
    <m/>
    <m/>
    <m/>
    <m/>
    <m/>
    <m/>
    <m/>
    <m/>
    <s v="Mike Teixeira"/>
    <m/>
    <s v="02/02/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1/06/2026"/>
    <x v="3"/>
    <n v="5858284"/>
    <s v="Click Here To View"/>
    <s v="Construction"/>
    <n v="2.58"/>
    <s v="30.82%"/>
    <s v="0.00%"/>
    <s v="30.82%"/>
    <s v="69.18%"/>
    <m/>
    <n v="0.79520000000000002"/>
    <n v="1.7848000000000002"/>
    <n v="2.58"/>
    <n v="0.98140000000000005"/>
    <m/>
    <m/>
    <m/>
    <m/>
    <m/>
    <m/>
    <n v="0.79520000000000002"/>
    <m/>
    <n v="0.8034"/>
    <m/>
    <m/>
    <m/>
    <m/>
    <m/>
    <m/>
    <m/>
    <m/>
    <m/>
    <m/>
    <m/>
    <m/>
    <m/>
    <m/>
    <m/>
    <m/>
    <m/>
    <m/>
    <m/>
    <m/>
    <m/>
    <m/>
    <m/>
    <m/>
    <s v="0.00%"/>
    <s v="0.00%"/>
    <s v="0.00%"/>
    <s v="0.00%"/>
    <m/>
    <m/>
    <m/>
    <m/>
    <m/>
    <m/>
    <m/>
    <s v="0.00%"/>
    <s v="0.00%"/>
    <s v="0.00%"/>
    <s v="0.00%"/>
    <m/>
    <m/>
    <m/>
    <m/>
    <m/>
    <m/>
    <m/>
    <m/>
    <m/>
    <m/>
    <m/>
    <m/>
    <m/>
    <m/>
    <m/>
    <m/>
    <m/>
    <s v="Mike Teixeira"/>
    <m/>
    <s v="02/02/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1/07/2026"/>
    <x v="3"/>
    <n v="5859235"/>
    <s v="Click Here To View"/>
    <s v="Construction"/>
    <n v="1.7399999999999998"/>
    <s v="30.82%"/>
    <s v="0.00%"/>
    <s v="30.82%"/>
    <s v="69.18%"/>
    <m/>
    <n v="0.5363"/>
    <n v="1.2037"/>
    <n v="1.7399999999999998"/>
    <n v="0.66190000000000004"/>
    <m/>
    <m/>
    <m/>
    <m/>
    <m/>
    <m/>
    <n v="0.5363"/>
    <m/>
    <n v="0.54179999999999995"/>
    <m/>
    <m/>
    <m/>
    <m/>
    <m/>
    <m/>
    <m/>
    <m/>
    <m/>
    <m/>
    <m/>
    <m/>
    <m/>
    <m/>
    <m/>
    <m/>
    <m/>
    <m/>
    <m/>
    <m/>
    <m/>
    <m/>
    <m/>
    <m/>
    <s v="0.00%"/>
    <s v="0.00%"/>
    <s v="0.00%"/>
    <s v="0.00%"/>
    <m/>
    <m/>
    <m/>
    <m/>
    <m/>
    <m/>
    <m/>
    <s v="0.00%"/>
    <s v="0.00%"/>
    <s v="0.00%"/>
    <s v="0.00%"/>
    <m/>
    <m/>
    <m/>
    <m/>
    <m/>
    <m/>
    <m/>
    <m/>
    <m/>
    <m/>
    <m/>
    <m/>
    <m/>
    <m/>
    <m/>
    <m/>
    <m/>
    <s v="Mike Teixeira"/>
    <m/>
    <s v="02/02/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1/08/2026"/>
    <x v="3"/>
    <n v="5859943"/>
    <s v="Click Here To View"/>
    <s v="Construction"/>
    <n v="2.8098999999999998"/>
    <s v="30.82%"/>
    <s v="0.00%"/>
    <s v="30.82%"/>
    <s v="69.18%"/>
    <m/>
    <n v="0.86599999999999999"/>
    <n v="1.9439"/>
    <n v="2.8098999999999998"/>
    <n v="1.0689"/>
    <m/>
    <m/>
    <m/>
    <m/>
    <m/>
    <m/>
    <n v="0.86599999999999999"/>
    <m/>
    <n v="0.875"/>
    <m/>
    <m/>
    <m/>
    <m/>
    <m/>
    <m/>
    <m/>
    <m/>
    <m/>
    <m/>
    <m/>
    <m/>
    <m/>
    <m/>
    <m/>
    <m/>
    <m/>
    <m/>
    <m/>
    <m/>
    <m/>
    <m/>
    <m/>
    <m/>
    <s v="0.00%"/>
    <s v="0.00%"/>
    <s v="0.00%"/>
    <s v="0.00%"/>
    <m/>
    <m/>
    <m/>
    <m/>
    <m/>
    <m/>
    <m/>
    <s v="0.00%"/>
    <s v="0.00%"/>
    <s v="0.00%"/>
    <s v="0.00%"/>
    <m/>
    <m/>
    <m/>
    <m/>
    <m/>
    <m/>
    <m/>
    <m/>
    <m/>
    <m/>
    <m/>
    <m/>
    <m/>
    <m/>
    <m/>
    <m/>
    <m/>
    <s v="Mike Teixeira"/>
    <m/>
    <s v="02/02/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1/10/2026"/>
    <x v="3"/>
    <n v="5860854"/>
    <s v="Click Here To View"/>
    <s v="Construction"/>
    <n v="6.0400000000000009"/>
    <s v="30.82%"/>
    <s v="0.00%"/>
    <s v="30.82%"/>
    <s v="69.18%"/>
    <m/>
    <n v="1.8614999999999999"/>
    <n v="4.1784999999999997"/>
    <n v="6.0400000000000009"/>
    <n v="2.2976000000000001"/>
    <m/>
    <m/>
    <m/>
    <m/>
    <m/>
    <m/>
    <n v="1.8614999999999999"/>
    <m/>
    <n v="1.8809"/>
    <m/>
    <m/>
    <m/>
    <m/>
    <m/>
    <m/>
    <m/>
    <m/>
    <m/>
    <m/>
    <m/>
    <m/>
    <m/>
    <m/>
    <m/>
    <m/>
    <m/>
    <m/>
    <m/>
    <m/>
    <m/>
    <m/>
    <m/>
    <m/>
    <s v="0.00%"/>
    <s v="0.00%"/>
    <s v="0.00%"/>
    <s v="0.00%"/>
    <m/>
    <m/>
    <m/>
    <m/>
    <m/>
    <m/>
    <m/>
    <s v="0.00%"/>
    <s v="0.00%"/>
    <s v="0.00%"/>
    <s v="0.00%"/>
    <m/>
    <m/>
    <m/>
    <m/>
    <m/>
    <m/>
    <m/>
    <m/>
    <m/>
    <m/>
    <m/>
    <m/>
    <m/>
    <m/>
    <m/>
    <m/>
    <m/>
    <s v="Mike Teixeira"/>
    <m/>
    <s v="02/02/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1/12/2026"/>
    <x v="3"/>
    <n v="5861777"/>
    <s v="Click Here To View"/>
    <s v="Construction"/>
    <n v="4.79"/>
    <s v="30.82%"/>
    <s v="0.00%"/>
    <s v="30.82%"/>
    <s v="69.18%"/>
    <m/>
    <n v="1.4762999999999999"/>
    <n v="3.3136999999999999"/>
    <n v="4.79"/>
    <n v="1.8221000000000001"/>
    <m/>
    <m/>
    <m/>
    <m/>
    <m/>
    <m/>
    <n v="1.4762999999999999"/>
    <m/>
    <n v="1.4916"/>
    <m/>
    <m/>
    <m/>
    <m/>
    <m/>
    <m/>
    <m/>
    <m/>
    <m/>
    <m/>
    <m/>
    <m/>
    <m/>
    <m/>
    <m/>
    <m/>
    <m/>
    <m/>
    <m/>
    <m/>
    <m/>
    <m/>
    <m/>
    <m/>
    <s v="0.00%"/>
    <s v="0.00%"/>
    <s v="0.00%"/>
    <s v="0.00%"/>
    <m/>
    <m/>
    <m/>
    <m/>
    <m/>
    <m/>
    <m/>
    <s v="0.00%"/>
    <s v="0.00%"/>
    <s v="0.00%"/>
    <s v="0.00%"/>
    <m/>
    <m/>
    <m/>
    <m/>
    <m/>
    <m/>
    <m/>
    <m/>
    <m/>
    <m/>
    <m/>
    <m/>
    <m/>
    <m/>
    <m/>
    <m/>
    <m/>
    <s v="Mike Teixeira"/>
    <m/>
    <s v="02/02/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1/16/2026"/>
    <x v="3"/>
    <n v="5865513"/>
    <s v="Click Here To View"/>
    <s v="Construction"/>
    <n v="3.3199000000000005"/>
    <s v="30.82%"/>
    <s v="0.00%"/>
    <s v="30.82%"/>
    <s v="69.18%"/>
    <m/>
    <n v="1.0232000000000001"/>
    <n v="2.2967"/>
    <n v="3.3199000000000005"/>
    <n v="1.2628999999999999"/>
    <m/>
    <m/>
    <m/>
    <m/>
    <m/>
    <m/>
    <n v="1.0232000000000001"/>
    <m/>
    <n v="1.0338000000000001"/>
    <m/>
    <m/>
    <m/>
    <m/>
    <m/>
    <m/>
    <m/>
    <m/>
    <m/>
    <m/>
    <m/>
    <m/>
    <m/>
    <m/>
    <m/>
    <m/>
    <m/>
    <m/>
    <m/>
    <m/>
    <m/>
    <m/>
    <m/>
    <m/>
    <s v="0.00%"/>
    <s v="0.00%"/>
    <s v="0.00%"/>
    <s v="0.00%"/>
    <m/>
    <m/>
    <m/>
    <m/>
    <m/>
    <m/>
    <m/>
    <s v="0.00%"/>
    <s v="0.00%"/>
    <s v="0.00%"/>
    <s v="0.00%"/>
    <m/>
    <m/>
    <m/>
    <m/>
    <m/>
    <m/>
    <m/>
    <m/>
    <m/>
    <m/>
    <m/>
    <m/>
    <m/>
    <m/>
    <m/>
    <m/>
    <m/>
    <s v="Mike Teixeira"/>
    <m/>
    <s v="02/02/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1/16/2026"/>
    <x v="3"/>
    <n v="5864307"/>
    <s v="Click Here To View"/>
    <s v="Construction"/>
    <n v="3.1301000000000001"/>
    <s v="30.82%"/>
    <s v="0.00%"/>
    <s v="30.82%"/>
    <s v="69.18%"/>
    <m/>
    <n v="0.9647"/>
    <n v="2.1654"/>
    <n v="3.1301000000000001"/>
    <n v="1.1907000000000001"/>
    <m/>
    <m/>
    <m/>
    <m/>
    <m/>
    <m/>
    <n v="0.9647"/>
    <m/>
    <n v="0.97470000000000001"/>
    <m/>
    <m/>
    <m/>
    <m/>
    <m/>
    <m/>
    <m/>
    <m/>
    <m/>
    <m/>
    <m/>
    <m/>
    <m/>
    <m/>
    <m/>
    <m/>
    <m/>
    <m/>
    <m/>
    <m/>
    <m/>
    <m/>
    <m/>
    <m/>
    <s v="0.00%"/>
    <s v="0.00%"/>
    <s v="0.00%"/>
    <s v="0.00%"/>
    <m/>
    <m/>
    <m/>
    <m/>
    <m/>
    <m/>
    <m/>
    <s v="0.00%"/>
    <s v="0.00%"/>
    <s v="0.00%"/>
    <s v="0.00%"/>
    <m/>
    <m/>
    <m/>
    <m/>
    <m/>
    <m/>
    <m/>
    <m/>
    <m/>
    <m/>
    <m/>
    <m/>
    <m/>
    <m/>
    <m/>
    <m/>
    <m/>
    <s v="Mike Teixeira"/>
    <m/>
    <s v="02/02/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1/17/2026"/>
    <x v="3"/>
    <n v="5865333"/>
    <s v="Click Here To View"/>
    <s v="Construction"/>
    <n v="2.17"/>
    <s v="30.82%"/>
    <s v="0.00%"/>
    <s v="30.82%"/>
    <s v="69.18%"/>
    <m/>
    <n v="0.66879999999999995"/>
    <n v="1.5011999999999999"/>
    <n v="2.17"/>
    <n v="0.82550000000000001"/>
    <m/>
    <m/>
    <m/>
    <m/>
    <m/>
    <m/>
    <n v="0.66879999999999995"/>
    <m/>
    <n v="0.67569999999999997"/>
    <m/>
    <m/>
    <m/>
    <m/>
    <m/>
    <m/>
    <m/>
    <m/>
    <m/>
    <m/>
    <m/>
    <m/>
    <m/>
    <m/>
    <m/>
    <m/>
    <m/>
    <m/>
    <m/>
    <m/>
    <m/>
    <m/>
    <m/>
    <m/>
    <s v="0.00%"/>
    <s v="0.00%"/>
    <s v="0.00%"/>
    <s v="0.00%"/>
    <m/>
    <m/>
    <m/>
    <m/>
    <m/>
    <m/>
    <m/>
    <s v="0.00%"/>
    <s v="0.00%"/>
    <s v="0.00%"/>
    <s v="0.00%"/>
    <m/>
    <m/>
    <m/>
    <m/>
    <m/>
    <m/>
    <m/>
    <m/>
    <m/>
    <m/>
    <m/>
    <m/>
    <m/>
    <m/>
    <m/>
    <m/>
    <m/>
    <s v="Mike Teixeira"/>
    <m/>
    <s v="02/02/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1/19/2026"/>
    <x v="3"/>
    <n v="5865657"/>
    <s v="Click Here To View"/>
    <s v="Construction"/>
    <n v="7.26"/>
    <s v="30.82%"/>
    <s v="0.00%"/>
    <s v="30.82%"/>
    <s v="69.18%"/>
    <m/>
    <n v="2.2374999999999998"/>
    <n v="5.0225"/>
    <n v="7.26"/>
    <n v="2.7616999999999998"/>
    <m/>
    <m/>
    <m/>
    <m/>
    <m/>
    <m/>
    <n v="2.2374999999999998"/>
    <m/>
    <n v="2.2608000000000001"/>
    <m/>
    <m/>
    <m/>
    <m/>
    <m/>
    <m/>
    <m/>
    <m/>
    <m/>
    <m/>
    <m/>
    <m/>
    <m/>
    <m/>
    <m/>
    <m/>
    <m/>
    <m/>
    <m/>
    <m/>
    <m/>
    <m/>
    <m/>
    <m/>
    <s v="0.00%"/>
    <s v="0.00%"/>
    <s v="0.00%"/>
    <s v="0.00%"/>
    <m/>
    <m/>
    <m/>
    <m/>
    <m/>
    <m/>
    <m/>
    <s v="0.00%"/>
    <s v="0.00%"/>
    <s v="0.00%"/>
    <s v="0.00%"/>
    <m/>
    <m/>
    <m/>
    <m/>
    <m/>
    <m/>
    <m/>
    <m/>
    <m/>
    <m/>
    <m/>
    <m/>
    <m/>
    <m/>
    <m/>
    <m/>
    <m/>
    <s v="Mike Teixeira"/>
    <m/>
    <s v="02/02/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1/20/2026"/>
    <x v="3"/>
    <n v="5866969"/>
    <s v="Click Here To View"/>
    <s v="Construction"/>
    <n v="5.6900999999999993"/>
    <s v="30.82%"/>
    <s v="0.00%"/>
    <s v="30.82%"/>
    <s v="69.18%"/>
    <m/>
    <n v="1.7537"/>
    <n v="3.9363999999999999"/>
    <n v="5.6900999999999993"/>
    <n v="2.1644999999999999"/>
    <m/>
    <m/>
    <m/>
    <m/>
    <m/>
    <m/>
    <n v="1.7537"/>
    <m/>
    <n v="1.7719"/>
    <m/>
    <m/>
    <m/>
    <m/>
    <m/>
    <m/>
    <m/>
    <m/>
    <m/>
    <m/>
    <m/>
    <m/>
    <m/>
    <m/>
    <m/>
    <m/>
    <m/>
    <m/>
    <m/>
    <m/>
    <m/>
    <m/>
    <m/>
    <m/>
    <s v="0.00%"/>
    <s v="0.00%"/>
    <s v="0.00%"/>
    <s v="0.00%"/>
    <m/>
    <m/>
    <m/>
    <m/>
    <m/>
    <m/>
    <m/>
    <s v="0.00%"/>
    <s v="0.00%"/>
    <s v="0.00%"/>
    <s v="0.00%"/>
    <m/>
    <m/>
    <m/>
    <m/>
    <m/>
    <m/>
    <m/>
    <m/>
    <m/>
    <m/>
    <m/>
    <m/>
    <m/>
    <m/>
    <m/>
    <m/>
    <m/>
    <s v="Mike Teixeira"/>
    <m/>
    <s v="02/02/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1/20/2026"/>
    <x v="3"/>
    <n v="5866897"/>
    <s v="Click Here To View"/>
    <s v="Construction"/>
    <n v="4.78"/>
    <s v="30.82%"/>
    <s v="0.00%"/>
    <s v="30.82%"/>
    <s v="69.18%"/>
    <m/>
    <n v="1.4732000000000001"/>
    <n v="3.3068"/>
    <n v="4.78"/>
    <n v="1.8183"/>
    <m/>
    <m/>
    <m/>
    <m/>
    <m/>
    <m/>
    <n v="1.4732000000000001"/>
    <m/>
    <n v="1.4884999999999999"/>
    <m/>
    <m/>
    <m/>
    <m/>
    <m/>
    <m/>
    <m/>
    <m/>
    <m/>
    <m/>
    <m/>
    <m/>
    <m/>
    <m/>
    <m/>
    <m/>
    <m/>
    <m/>
    <m/>
    <m/>
    <m/>
    <m/>
    <m/>
    <m/>
    <s v="0.00%"/>
    <s v="0.00%"/>
    <s v="0.00%"/>
    <s v="0.00%"/>
    <m/>
    <m/>
    <m/>
    <m/>
    <m/>
    <m/>
    <m/>
    <s v="0.00%"/>
    <s v="0.00%"/>
    <s v="0.00%"/>
    <s v="0.00%"/>
    <m/>
    <m/>
    <m/>
    <m/>
    <m/>
    <m/>
    <m/>
    <m/>
    <m/>
    <m/>
    <m/>
    <m/>
    <m/>
    <m/>
    <m/>
    <m/>
    <m/>
    <s v="Mike Teixeira"/>
    <m/>
    <s v="02/02/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1/21/2026"/>
    <x v="3"/>
    <n v="5867766"/>
    <s v="Click Here To View"/>
    <s v="Construction"/>
    <n v="0.76"/>
    <s v="30.82%"/>
    <s v="0.00%"/>
    <s v="30.82%"/>
    <s v="69.18%"/>
    <m/>
    <n v="0.23419999999999999"/>
    <n v="0.52580000000000005"/>
    <n v="0.76"/>
    <n v="0.28910000000000002"/>
    <m/>
    <m/>
    <m/>
    <m/>
    <m/>
    <m/>
    <n v="0.23419999999999999"/>
    <m/>
    <n v="0.23669999999999999"/>
    <m/>
    <m/>
    <m/>
    <m/>
    <m/>
    <m/>
    <m/>
    <m/>
    <m/>
    <m/>
    <m/>
    <m/>
    <m/>
    <m/>
    <m/>
    <m/>
    <m/>
    <m/>
    <m/>
    <m/>
    <m/>
    <m/>
    <m/>
    <m/>
    <s v="0.00%"/>
    <s v="0.00%"/>
    <s v="0.00%"/>
    <s v="0.00%"/>
    <m/>
    <m/>
    <m/>
    <m/>
    <m/>
    <m/>
    <m/>
    <s v="0.00%"/>
    <s v="0.00%"/>
    <s v="0.00%"/>
    <s v="0.00%"/>
    <m/>
    <m/>
    <m/>
    <m/>
    <m/>
    <m/>
    <m/>
    <m/>
    <m/>
    <m/>
    <m/>
    <m/>
    <m/>
    <m/>
    <m/>
    <m/>
    <m/>
    <s v="Mike Teixeira"/>
    <m/>
    <s v="02/02/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1/22/2026"/>
    <x v="3"/>
    <n v="5868276"/>
    <s v="Click Here To View"/>
    <s v="Construction"/>
    <n v="5.55"/>
    <s v="30.82%"/>
    <s v="0.00%"/>
    <s v="30.82%"/>
    <s v="69.18%"/>
    <m/>
    <n v="1.7104999999999999"/>
    <n v="3.8395000000000001"/>
    <n v="5.55"/>
    <n v="2.1112000000000002"/>
    <m/>
    <m/>
    <m/>
    <m/>
    <m/>
    <m/>
    <n v="1.7104999999999999"/>
    <m/>
    <n v="1.7282999999999999"/>
    <m/>
    <m/>
    <m/>
    <m/>
    <m/>
    <m/>
    <m/>
    <m/>
    <m/>
    <m/>
    <m/>
    <m/>
    <m/>
    <m/>
    <m/>
    <m/>
    <m/>
    <m/>
    <m/>
    <m/>
    <m/>
    <m/>
    <m/>
    <m/>
    <s v="0.00%"/>
    <s v="0.00%"/>
    <s v="0.00%"/>
    <s v="0.00%"/>
    <m/>
    <m/>
    <m/>
    <m/>
    <m/>
    <m/>
    <m/>
    <s v="0.00%"/>
    <s v="0.00%"/>
    <s v="0.00%"/>
    <s v="0.00%"/>
    <m/>
    <m/>
    <m/>
    <m/>
    <m/>
    <m/>
    <m/>
    <m/>
    <m/>
    <m/>
    <m/>
    <m/>
    <m/>
    <m/>
    <m/>
    <m/>
    <m/>
    <s v="Mike Teixeira"/>
    <m/>
    <s v="02/02/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1/22/2026"/>
    <x v="3"/>
    <n v="5868623"/>
    <s v="Click Here To View"/>
    <s v="Construction"/>
    <n v="3.89"/>
    <s v="30.82%"/>
    <s v="0.00%"/>
    <s v="30.82%"/>
    <s v="69.18%"/>
    <m/>
    <n v="1.1989000000000001"/>
    <n v="2.6911"/>
    <n v="3.89"/>
    <n v="1.4798"/>
    <m/>
    <m/>
    <m/>
    <m/>
    <m/>
    <m/>
    <n v="1.1989000000000001"/>
    <m/>
    <n v="1.2113"/>
    <m/>
    <m/>
    <m/>
    <m/>
    <m/>
    <m/>
    <m/>
    <m/>
    <m/>
    <m/>
    <m/>
    <m/>
    <m/>
    <m/>
    <m/>
    <m/>
    <m/>
    <m/>
    <m/>
    <m/>
    <m/>
    <m/>
    <m/>
    <m/>
    <s v="0.00%"/>
    <s v="0.00%"/>
    <s v="0.00%"/>
    <s v="0.00%"/>
    <m/>
    <m/>
    <m/>
    <m/>
    <m/>
    <m/>
    <m/>
    <s v="0.00%"/>
    <s v="0.00%"/>
    <s v="0.00%"/>
    <s v="0.00%"/>
    <m/>
    <m/>
    <m/>
    <m/>
    <m/>
    <m/>
    <m/>
    <m/>
    <m/>
    <m/>
    <m/>
    <m/>
    <m/>
    <m/>
    <m/>
    <m/>
    <m/>
    <s v="Mike Teixeira"/>
    <m/>
    <s v="02/02/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1/23/2026"/>
    <x v="3"/>
    <n v="5869389"/>
    <s v="Click Here To View"/>
    <s v="Construction"/>
    <n v="4.7700000000000005"/>
    <s v="30.82%"/>
    <s v="0.00%"/>
    <s v="30.82%"/>
    <s v="69.18%"/>
    <m/>
    <n v="1.4701"/>
    <n v="3.2999000000000001"/>
    <n v="4.7700000000000005"/>
    <n v="1.8145"/>
    <m/>
    <m/>
    <m/>
    <m/>
    <m/>
    <m/>
    <n v="1.4701"/>
    <m/>
    <n v="1.4854000000000001"/>
    <m/>
    <m/>
    <m/>
    <m/>
    <m/>
    <m/>
    <m/>
    <m/>
    <m/>
    <m/>
    <m/>
    <m/>
    <m/>
    <m/>
    <m/>
    <m/>
    <m/>
    <m/>
    <m/>
    <m/>
    <m/>
    <m/>
    <m/>
    <m/>
    <s v="0.00%"/>
    <s v="0.00%"/>
    <s v="0.00%"/>
    <s v="0.00%"/>
    <m/>
    <m/>
    <m/>
    <m/>
    <m/>
    <m/>
    <m/>
    <s v="0.00%"/>
    <s v="0.00%"/>
    <s v="0.00%"/>
    <s v="0.00%"/>
    <m/>
    <m/>
    <m/>
    <m/>
    <m/>
    <m/>
    <m/>
    <m/>
    <m/>
    <m/>
    <m/>
    <m/>
    <m/>
    <m/>
    <m/>
    <m/>
    <m/>
    <s v="Mike Teixeira"/>
    <m/>
    <s v="02/02/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1/26/2026"/>
    <x v="3"/>
    <n v="5870638"/>
    <s v="Click Here To View"/>
    <s v="Construction"/>
    <n v="5.0298999999999996"/>
    <s v="30.82%"/>
    <s v="0.00%"/>
    <s v="30.82%"/>
    <s v="69.18%"/>
    <m/>
    <n v="1.5502"/>
    <n v="3.4797000000000002"/>
    <n v="5.0298999999999996"/>
    <n v="1.9134"/>
    <m/>
    <m/>
    <m/>
    <m/>
    <m/>
    <m/>
    <n v="1.5502"/>
    <m/>
    <n v="1.5663"/>
    <m/>
    <m/>
    <m/>
    <m/>
    <m/>
    <m/>
    <m/>
    <m/>
    <m/>
    <m/>
    <m/>
    <m/>
    <m/>
    <m/>
    <m/>
    <m/>
    <m/>
    <m/>
    <m/>
    <m/>
    <m/>
    <m/>
    <m/>
    <m/>
    <s v="0.00%"/>
    <s v="0.00%"/>
    <s v="0.00%"/>
    <s v="0.00%"/>
    <m/>
    <m/>
    <m/>
    <m/>
    <m/>
    <m/>
    <m/>
    <s v="0.00%"/>
    <s v="0.00%"/>
    <s v="0.00%"/>
    <s v="0.00%"/>
    <m/>
    <m/>
    <m/>
    <m/>
    <m/>
    <m/>
    <m/>
    <m/>
    <m/>
    <m/>
    <m/>
    <m/>
    <m/>
    <m/>
    <m/>
    <m/>
    <m/>
    <s v="Mike Teixeira"/>
    <m/>
    <s v="02/02/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1/26/2026"/>
    <x v="3"/>
    <n v="5870359"/>
    <s v="Click Here To View"/>
    <s v="Construction"/>
    <n v="7.67"/>
    <s v="30.82%"/>
    <s v="0.00%"/>
    <s v="30.82%"/>
    <s v="69.18%"/>
    <m/>
    <n v="2.3639000000000001"/>
    <n v="5.3060999999999998"/>
    <n v="7.67"/>
    <n v="2.9177"/>
    <m/>
    <m/>
    <m/>
    <m/>
    <m/>
    <m/>
    <n v="2.3639000000000001"/>
    <m/>
    <n v="2.3883999999999999"/>
    <m/>
    <m/>
    <m/>
    <m/>
    <m/>
    <m/>
    <m/>
    <m/>
    <m/>
    <m/>
    <m/>
    <m/>
    <m/>
    <m/>
    <m/>
    <m/>
    <m/>
    <m/>
    <m/>
    <m/>
    <m/>
    <m/>
    <m/>
    <m/>
    <s v="0.00%"/>
    <s v="0.00%"/>
    <s v="0.00%"/>
    <s v="0.00%"/>
    <m/>
    <m/>
    <m/>
    <m/>
    <m/>
    <m/>
    <m/>
    <s v="0.00%"/>
    <s v="0.00%"/>
    <s v="0.00%"/>
    <s v="0.00%"/>
    <m/>
    <m/>
    <m/>
    <m/>
    <m/>
    <m/>
    <m/>
    <m/>
    <m/>
    <m/>
    <m/>
    <m/>
    <m/>
    <m/>
    <m/>
    <m/>
    <m/>
    <s v="Mike Teixeira"/>
    <m/>
    <s v="02/02/2026"/>
    <s v="Mike Teixeira"/>
    <m/>
    <m/>
  </r>
  <r>
    <s v="Oakland/San Francisco/San Jose"/>
    <s v="UCB Gateway"/>
    <n v="210784"/>
    <m/>
    <s v="Higher Education | Laboratory / Research | 005 | 004"/>
    <n v="368"/>
    <s v="Carone and Company Inc "/>
    <s v="Grant Carone"/>
    <s v="Argent Materials Inc."/>
    <s v="8501 San Leandro St, Oakland, CA 94621"/>
    <m/>
    <s v="12/10/2025"/>
    <x v="32"/>
    <n v="7346397"/>
    <s v="Click Here To View"/>
    <s v="Demolition"/>
    <n v="15.870000000000001"/>
    <s v="100.00%"/>
    <s v="0.00%"/>
    <s v="100.00%"/>
    <s v="0.00%"/>
    <m/>
    <n v="15.870000000000001"/>
    <m/>
    <n v="15.870000000000001"/>
    <m/>
    <n v="5.87"/>
    <m/>
    <n v="10"/>
    <m/>
    <m/>
    <m/>
    <m/>
    <m/>
    <m/>
    <m/>
    <m/>
    <m/>
    <m/>
    <m/>
    <m/>
    <m/>
    <m/>
    <m/>
    <m/>
    <m/>
    <m/>
    <m/>
    <m/>
    <m/>
    <m/>
    <m/>
    <m/>
    <m/>
    <m/>
    <m/>
    <m/>
    <m/>
    <m/>
    <s v="0.00%"/>
    <s v="0.00%"/>
    <s v="0.00%"/>
    <s v="0.00%"/>
    <m/>
    <m/>
    <m/>
    <m/>
    <m/>
    <m/>
    <m/>
    <s v="0.00%"/>
    <s v="0.00%"/>
    <s v="0.00%"/>
    <s v="0.00%"/>
    <m/>
    <m/>
    <m/>
    <m/>
    <m/>
    <m/>
    <m/>
    <m/>
    <m/>
    <m/>
    <m/>
    <m/>
    <m/>
    <m/>
    <m/>
    <m/>
    <m/>
    <s v="Heather Mello"/>
    <m/>
    <s v="02/27/2026"/>
    <s v="Heather Mello"/>
    <m/>
    <m/>
  </r>
  <r>
    <s v="Oakland/San Francisco/San Jose"/>
    <s v="UCB Gateway"/>
    <n v="210784"/>
    <m/>
    <s v="Higher Education | Laboratory / Research | 005 | 004"/>
    <n v="368"/>
    <s v="Carone and Company Inc "/>
    <s v="Grant Carone"/>
    <s v="Argent Materials Inc."/>
    <s v="8501 San Leandro St, Oakland, CA 94621"/>
    <m/>
    <s v="12/11/2025"/>
    <x v="32"/>
    <n v="7346616"/>
    <s v="Click Here To View"/>
    <s v="Demolition"/>
    <n v="10.17"/>
    <s v="100.00%"/>
    <s v="0.00%"/>
    <s v="100.00%"/>
    <s v="0.00%"/>
    <m/>
    <n v="10.17"/>
    <m/>
    <n v="10.17"/>
    <m/>
    <n v="4.9996"/>
    <m/>
    <n v="5.1703999999999999"/>
    <m/>
    <m/>
    <m/>
    <m/>
    <m/>
    <m/>
    <m/>
    <m/>
    <m/>
    <m/>
    <m/>
    <m/>
    <m/>
    <m/>
    <m/>
    <m/>
    <m/>
    <m/>
    <m/>
    <m/>
    <m/>
    <m/>
    <m/>
    <m/>
    <m/>
    <m/>
    <m/>
    <m/>
    <m/>
    <m/>
    <s v="0.00%"/>
    <s v="0.00%"/>
    <s v="0.00%"/>
    <s v="0.00%"/>
    <m/>
    <m/>
    <m/>
    <m/>
    <m/>
    <m/>
    <m/>
    <s v="0.00%"/>
    <s v="0.00%"/>
    <s v="0.00%"/>
    <s v="0.00%"/>
    <m/>
    <m/>
    <m/>
    <m/>
    <m/>
    <m/>
    <m/>
    <m/>
    <m/>
    <m/>
    <m/>
    <m/>
    <m/>
    <m/>
    <m/>
    <m/>
    <m/>
    <s v="Heather Mello"/>
    <m/>
    <s v="02/27/2026"/>
    <s v="Heather Mello"/>
    <m/>
    <m/>
  </r>
  <r>
    <s v="Oakland/San Francisco/San Jose"/>
    <s v="UCB Gateway"/>
    <n v="210784"/>
    <m/>
    <s v="Higher Education | Laboratory / Research | 005 | 004"/>
    <n v="368"/>
    <s v="Carone and Company Inc "/>
    <s v="Grant Carone"/>
    <s v="Argent Materials Inc."/>
    <s v="8501 San Leandro St, Oakland, CA 94621"/>
    <m/>
    <s v="01/10/2026"/>
    <x v="3"/>
    <n v="7350213"/>
    <s v="Click Here To View"/>
    <s v="Demolition"/>
    <n v="18.939999999999998"/>
    <s v="100.00%"/>
    <s v="0.00%"/>
    <s v="100.00%"/>
    <s v="0.00%"/>
    <m/>
    <n v="18.939999999999998"/>
    <m/>
    <n v="18.939999999999998"/>
    <m/>
    <n v="8.94"/>
    <m/>
    <n v="10"/>
    <m/>
    <m/>
    <m/>
    <m/>
    <m/>
    <m/>
    <m/>
    <m/>
    <m/>
    <m/>
    <m/>
    <m/>
    <m/>
    <m/>
    <m/>
    <m/>
    <m/>
    <m/>
    <m/>
    <m/>
    <m/>
    <m/>
    <m/>
    <m/>
    <m/>
    <m/>
    <m/>
    <m/>
    <m/>
    <m/>
    <s v="0.00%"/>
    <s v="0.00%"/>
    <s v="0.00%"/>
    <s v="0.00%"/>
    <m/>
    <m/>
    <m/>
    <m/>
    <m/>
    <m/>
    <m/>
    <s v="0.00%"/>
    <s v="0.00%"/>
    <s v="0.00%"/>
    <s v="0.00%"/>
    <m/>
    <m/>
    <m/>
    <m/>
    <m/>
    <m/>
    <m/>
    <m/>
    <m/>
    <m/>
    <m/>
    <m/>
    <m/>
    <m/>
    <m/>
    <m/>
    <m/>
    <s v="Heather Mello"/>
    <m/>
    <s v="02/27/2026"/>
    <s v="Heather Mello"/>
    <m/>
    <m/>
  </r>
  <r>
    <s v="Oakland/San Francisco/San Jose"/>
    <s v="UCB Gateway"/>
    <n v="210784"/>
    <m/>
    <s v="Higher Education | Laboratory / Research | 005 | 004"/>
    <n v="368"/>
    <s v="Carone and Company Inc "/>
    <s v="Grant Carone"/>
    <s v="Argent Materials Inc."/>
    <s v="8501 San Leandro St, Oakland, CA 94621"/>
    <m/>
    <s v="01/10/2026"/>
    <x v="3"/>
    <n v="7350242"/>
    <s v="Click Here To View"/>
    <s v="Demolition"/>
    <n v="17.8399"/>
    <s v="100.00%"/>
    <s v="0.00%"/>
    <s v="100.00%"/>
    <s v="0.00%"/>
    <m/>
    <n v="17.8399"/>
    <m/>
    <n v="17.8399"/>
    <m/>
    <n v="15.84"/>
    <m/>
    <n v="1.9999"/>
    <m/>
    <m/>
    <m/>
    <m/>
    <m/>
    <m/>
    <m/>
    <m/>
    <m/>
    <m/>
    <m/>
    <m/>
    <m/>
    <m/>
    <m/>
    <m/>
    <m/>
    <m/>
    <m/>
    <m/>
    <m/>
    <m/>
    <m/>
    <m/>
    <m/>
    <m/>
    <m/>
    <m/>
    <m/>
    <m/>
    <s v="0.00%"/>
    <s v="0.00%"/>
    <s v="0.00%"/>
    <s v="0.00%"/>
    <m/>
    <m/>
    <m/>
    <m/>
    <m/>
    <m/>
    <m/>
    <s v="0.00%"/>
    <s v="0.00%"/>
    <s v="0.00%"/>
    <s v="0.00%"/>
    <m/>
    <m/>
    <m/>
    <m/>
    <m/>
    <m/>
    <m/>
    <m/>
    <m/>
    <m/>
    <m/>
    <m/>
    <m/>
    <m/>
    <m/>
    <m/>
    <m/>
    <s v="Heather Mello"/>
    <m/>
    <s v="02/27/2026"/>
    <s v="Heather Mello"/>
    <m/>
    <m/>
  </r>
  <r>
    <s v="Oakland/San Francisco/San Jose"/>
    <s v="UCB Gateway"/>
    <n v="210784"/>
    <m/>
    <s v="Higher Education | Laboratory / Research | 005 | 004"/>
    <n v="368"/>
    <s v="Garden of Eden Landscapes, Inc."/>
    <s v="Silvia Teixeria"/>
    <s v="Waste Management"/>
    <s v="2615 Davis Street, San Leandro, San Leandro, CA 94577"/>
    <m/>
    <s v="01/29/2026"/>
    <x v="3"/>
    <n v="5873002"/>
    <s v="Click Here To View"/>
    <s v="Construction"/>
    <n v="4.6100000000000003"/>
    <s v="30.82%"/>
    <s v="0.00%"/>
    <s v="30.82%"/>
    <s v="69.18%"/>
    <m/>
    <n v="1.4208000000000001"/>
    <n v="3.1892"/>
    <n v="4.6100000000000003"/>
    <n v="1.7536"/>
    <m/>
    <m/>
    <m/>
    <m/>
    <m/>
    <m/>
    <n v="1.4208000000000001"/>
    <m/>
    <n v="1.4356"/>
    <m/>
    <m/>
    <m/>
    <m/>
    <m/>
    <m/>
    <m/>
    <m/>
    <m/>
    <m/>
    <m/>
    <m/>
    <m/>
    <m/>
    <m/>
    <m/>
    <m/>
    <m/>
    <m/>
    <m/>
    <m/>
    <m/>
    <m/>
    <m/>
    <s v="0.00%"/>
    <s v="0.00%"/>
    <s v="0.00%"/>
    <s v="0.00%"/>
    <m/>
    <m/>
    <m/>
    <m/>
    <m/>
    <m/>
    <m/>
    <s v="0.00%"/>
    <s v="0.00%"/>
    <s v="0.00%"/>
    <s v="0.00%"/>
    <m/>
    <m/>
    <m/>
    <m/>
    <m/>
    <m/>
    <m/>
    <m/>
    <m/>
    <m/>
    <m/>
    <m/>
    <m/>
    <m/>
    <m/>
    <m/>
    <m/>
    <s v="Mike Teixeira"/>
    <m/>
    <s v="03/04/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1/30/2026"/>
    <x v="3"/>
    <n v="5873666"/>
    <s v="Click Here To View"/>
    <s v="Construction"/>
    <n v="4.79"/>
    <s v="30.82%"/>
    <s v="0.00%"/>
    <s v="30.82%"/>
    <s v="69.18%"/>
    <m/>
    <n v="1.4762999999999999"/>
    <n v="3.3136999999999999"/>
    <n v="4.79"/>
    <n v="1.8221000000000001"/>
    <m/>
    <m/>
    <m/>
    <m/>
    <m/>
    <m/>
    <n v="1.4762999999999999"/>
    <m/>
    <n v="1.4916"/>
    <m/>
    <m/>
    <m/>
    <m/>
    <m/>
    <m/>
    <m/>
    <m/>
    <m/>
    <m/>
    <m/>
    <m/>
    <m/>
    <m/>
    <m/>
    <m/>
    <m/>
    <m/>
    <m/>
    <m/>
    <m/>
    <m/>
    <m/>
    <m/>
    <s v="0.00%"/>
    <s v="0.00%"/>
    <s v="0.00%"/>
    <s v="0.00%"/>
    <m/>
    <m/>
    <m/>
    <m/>
    <m/>
    <m/>
    <m/>
    <s v="0.00%"/>
    <s v="0.00%"/>
    <s v="0.00%"/>
    <s v="0.00%"/>
    <m/>
    <m/>
    <m/>
    <m/>
    <m/>
    <m/>
    <m/>
    <m/>
    <m/>
    <m/>
    <m/>
    <m/>
    <m/>
    <m/>
    <m/>
    <m/>
    <m/>
    <s v="Mike Teixeira"/>
    <m/>
    <s v="03/04/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2/02/2026"/>
    <x v="4"/>
    <n v="5874570"/>
    <s v="Click Here To View"/>
    <s v="Construction"/>
    <n v="5.3098999999999998"/>
    <s v="30.82%"/>
    <s v="0.00%"/>
    <s v="30.82%"/>
    <s v="69.18%"/>
    <m/>
    <n v="1.6365000000000001"/>
    <n v="3.6734"/>
    <n v="5.3098999999999998"/>
    <n v="2.0198999999999998"/>
    <m/>
    <m/>
    <m/>
    <m/>
    <m/>
    <m/>
    <n v="1.6365000000000001"/>
    <m/>
    <n v="1.6535"/>
    <m/>
    <m/>
    <m/>
    <m/>
    <m/>
    <m/>
    <m/>
    <m/>
    <m/>
    <m/>
    <m/>
    <m/>
    <m/>
    <m/>
    <m/>
    <m/>
    <m/>
    <m/>
    <m/>
    <m/>
    <m/>
    <m/>
    <m/>
    <m/>
    <s v="0.00%"/>
    <s v="0.00%"/>
    <s v="0.00%"/>
    <s v="0.00%"/>
    <m/>
    <m/>
    <m/>
    <m/>
    <m/>
    <m/>
    <m/>
    <s v="0.00%"/>
    <s v="0.00%"/>
    <s v="0.00%"/>
    <s v="0.00%"/>
    <m/>
    <m/>
    <m/>
    <m/>
    <m/>
    <m/>
    <m/>
    <m/>
    <m/>
    <m/>
    <m/>
    <m/>
    <m/>
    <m/>
    <m/>
    <m/>
    <m/>
    <s v="Mike Teixeira"/>
    <m/>
    <s v="03/04/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2/02/2026"/>
    <x v="4"/>
    <n v="5874727"/>
    <s v="Click Here To View"/>
    <s v="Construction"/>
    <n v="3.79"/>
    <s v="30.82%"/>
    <s v="0.00%"/>
    <s v="30.82%"/>
    <s v="69.18%"/>
    <m/>
    <n v="1.1680999999999999"/>
    <n v="2.6219000000000001"/>
    <n v="3.79"/>
    <n v="1.4417"/>
    <m/>
    <m/>
    <m/>
    <m/>
    <m/>
    <m/>
    <n v="1.1680999999999999"/>
    <m/>
    <n v="1.1801999999999999"/>
    <m/>
    <m/>
    <m/>
    <m/>
    <m/>
    <m/>
    <m/>
    <m/>
    <m/>
    <m/>
    <m/>
    <m/>
    <m/>
    <m/>
    <m/>
    <m/>
    <m/>
    <m/>
    <m/>
    <m/>
    <m/>
    <m/>
    <m/>
    <m/>
    <s v="0.00%"/>
    <s v="0.00%"/>
    <s v="0.00%"/>
    <s v="0.00%"/>
    <m/>
    <m/>
    <m/>
    <m/>
    <m/>
    <m/>
    <m/>
    <s v="0.00%"/>
    <s v="0.00%"/>
    <s v="0.00%"/>
    <s v="0.00%"/>
    <m/>
    <m/>
    <m/>
    <m/>
    <m/>
    <m/>
    <m/>
    <m/>
    <m/>
    <m/>
    <m/>
    <m/>
    <m/>
    <m/>
    <m/>
    <m/>
    <m/>
    <s v="Mike Teixeira"/>
    <m/>
    <s v="03/04/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2/03/2026"/>
    <x v="4"/>
    <n v="5875532"/>
    <s v="Click Here To View"/>
    <s v="Construction"/>
    <n v="4.7700000000000005"/>
    <s v="30.82%"/>
    <s v="0.00%"/>
    <s v="30.82%"/>
    <s v="69.18%"/>
    <m/>
    <n v="1.4701"/>
    <n v="3.2999000000000001"/>
    <n v="4.7700000000000005"/>
    <n v="1.8145"/>
    <m/>
    <m/>
    <m/>
    <m/>
    <m/>
    <m/>
    <n v="1.4701"/>
    <m/>
    <n v="1.4854000000000001"/>
    <m/>
    <m/>
    <m/>
    <m/>
    <m/>
    <m/>
    <m/>
    <m/>
    <m/>
    <m/>
    <m/>
    <m/>
    <m/>
    <m/>
    <m/>
    <m/>
    <m/>
    <m/>
    <m/>
    <m/>
    <m/>
    <m/>
    <m/>
    <m/>
    <s v="0.00%"/>
    <s v="0.00%"/>
    <s v="0.00%"/>
    <s v="0.00%"/>
    <m/>
    <m/>
    <m/>
    <m/>
    <m/>
    <m/>
    <m/>
    <s v="0.00%"/>
    <s v="0.00%"/>
    <s v="0.00%"/>
    <s v="0.00%"/>
    <m/>
    <m/>
    <m/>
    <m/>
    <m/>
    <m/>
    <m/>
    <m/>
    <m/>
    <m/>
    <m/>
    <m/>
    <m/>
    <m/>
    <m/>
    <m/>
    <m/>
    <s v="Mike Teixeira"/>
    <m/>
    <s v="03/04/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2/04/2026"/>
    <x v="4"/>
    <n v="5876499"/>
    <s v="Click Here To View"/>
    <s v="Construction"/>
    <n v="1.7000000000000002"/>
    <s v="30.82%"/>
    <s v="0.00%"/>
    <s v="30.82%"/>
    <s v="69.18%"/>
    <m/>
    <n v="0.52390000000000003"/>
    <n v="1.1760999999999999"/>
    <n v="1.7000000000000002"/>
    <n v="0.64670000000000005"/>
    <m/>
    <m/>
    <m/>
    <m/>
    <m/>
    <m/>
    <n v="0.52390000000000003"/>
    <m/>
    <n v="0.52939999999999998"/>
    <m/>
    <m/>
    <m/>
    <m/>
    <m/>
    <m/>
    <m/>
    <m/>
    <m/>
    <m/>
    <m/>
    <m/>
    <m/>
    <m/>
    <m/>
    <m/>
    <m/>
    <m/>
    <m/>
    <m/>
    <m/>
    <m/>
    <m/>
    <m/>
    <s v="0.00%"/>
    <s v="0.00%"/>
    <s v="0.00%"/>
    <s v="0.00%"/>
    <m/>
    <m/>
    <m/>
    <m/>
    <m/>
    <m/>
    <m/>
    <s v="0.00%"/>
    <s v="0.00%"/>
    <s v="0.00%"/>
    <s v="0.00%"/>
    <m/>
    <m/>
    <m/>
    <m/>
    <m/>
    <m/>
    <m/>
    <m/>
    <m/>
    <m/>
    <m/>
    <m/>
    <m/>
    <m/>
    <m/>
    <m/>
    <m/>
    <s v="Mike Teixeira"/>
    <m/>
    <s v="03/04/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2/05/2026"/>
    <x v="4"/>
    <n v="5877268"/>
    <s v="Click Here To View"/>
    <s v="Construction"/>
    <n v="4.1199999999999992"/>
    <s v="30.82%"/>
    <s v="0.00%"/>
    <s v="30.82%"/>
    <s v="69.18%"/>
    <m/>
    <n v="1.2698"/>
    <n v="2.8502000000000001"/>
    <n v="4.1199999999999992"/>
    <n v="1.5671999999999999"/>
    <m/>
    <m/>
    <m/>
    <m/>
    <m/>
    <m/>
    <n v="1.2698"/>
    <m/>
    <n v="1.2829999999999999"/>
    <m/>
    <m/>
    <m/>
    <m/>
    <m/>
    <m/>
    <m/>
    <m/>
    <m/>
    <m/>
    <m/>
    <m/>
    <m/>
    <m/>
    <m/>
    <m/>
    <m/>
    <m/>
    <m/>
    <m/>
    <m/>
    <m/>
    <m/>
    <m/>
    <s v="0.00%"/>
    <s v="0.00%"/>
    <s v="0.00%"/>
    <s v="0.00%"/>
    <m/>
    <m/>
    <m/>
    <m/>
    <m/>
    <m/>
    <m/>
    <s v="0.00%"/>
    <s v="0.00%"/>
    <s v="0.00%"/>
    <s v="0.00%"/>
    <m/>
    <m/>
    <m/>
    <m/>
    <m/>
    <m/>
    <m/>
    <m/>
    <m/>
    <m/>
    <m/>
    <m/>
    <m/>
    <m/>
    <m/>
    <m/>
    <m/>
    <s v="Mike Teixeira"/>
    <m/>
    <s v="03/04/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2/06/2026"/>
    <x v="4"/>
    <n v="5878048"/>
    <s v="Click Here To View"/>
    <s v="Construction"/>
    <n v="3.4100999999999999"/>
    <s v="30.82%"/>
    <s v="0.00%"/>
    <s v="30.82%"/>
    <s v="69.18%"/>
    <m/>
    <n v="1.0509999999999999"/>
    <n v="2.3590999999999998"/>
    <n v="3.4100999999999999"/>
    <n v="1.2971999999999999"/>
    <m/>
    <m/>
    <m/>
    <m/>
    <m/>
    <m/>
    <n v="1.0509999999999999"/>
    <m/>
    <n v="1.0619000000000001"/>
    <m/>
    <m/>
    <m/>
    <m/>
    <m/>
    <m/>
    <m/>
    <m/>
    <m/>
    <m/>
    <m/>
    <m/>
    <m/>
    <m/>
    <m/>
    <m/>
    <m/>
    <m/>
    <m/>
    <m/>
    <m/>
    <m/>
    <m/>
    <m/>
    <s v="0.00%"/>
    <s v="0.00%"/>
    <s v="0.00%"/>
    <s v="0.00%"/>
    <m/>
    <m/>
    <m/>
    <m/>
    <m/>
    <m/>
    <m/>
    <s v="0.00%"/>
    <s v="0.00%"/>
    <s v="0.00%"/>
    <s v="0.00%"/>
    <m/>
    <m/>
    <m/>
    <m/>
    <m/>
    <m/>
    <m/>
    <m/>
    <m/>
    <m/>
    <m/>
    <m/>
    <m/>
    <m/>
    <m/>
    <m/>
    <m/>
    <s v="Mike Teixeira"/>
    <m/>
    <s v="03/04/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2/09/2026"/>
    <x v="4"/>
    <n v="5879173"/>
    <s v="Click Here To View"/>
    <s v="Construction"/>
    <n v="3.3499999999999996"/>
    <s v="30.82%"/>
    <s v="0.00%"/>
    <s v="30.82%"/>
    <s v="69.18%"/>
    <m/>
    <n v="1.0325"/>
    <n v="2.3174999999999999"/>
    <n v="3.3499999999999996"/>
    <n v="1.2743"/>
    <m/>
    <m/>
    <m/>
    <m/>
    <m/>
    <m/>
    <n v="1.0325"/>
    <m/>
    <n v="1.0431999999999999"/>
    <m/>
    <m/>
    <m/>
    <m/>
    <m/>
    <m/>
    <m/>
    <m/>
    <m/>
    <m/>
    <m/>
    <m/>
    <m/>
    <m/>
    <m/>
    <m/>
    <m/>
    <m/>
    <m/>
    <m/>
    <m/>
    <m/>
    <m/>
    <m/>
    <s v="0.00%"/>
    <s v="0.00%"/>
    <s v="0.00%"/>
    <s v="0.00%"/>
    <m/>
    <m/>
    <m/>
    <m/>
    <m/>
    <m/>
    <m/>
    <s v="0.00%"/>
    <s v="0.00%"/>
    <s v="0.00%"/>
    <s v="0.00%"/>
    <m/>
    <m/>
    <m/>
    <m/>
    <m/>
    <m/>
    <m/>
    <m/>
    <m/>
    <m/>
    <m/>
    <m/>
    <m/>
    <m/>
    <m/>
    <m/>
    <m/>
    <s v="Mike Teixeira"/>
    <m/>
    <s v="03/04/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2/12/2026"/>
    <x v="4"/>
    <n v="5880924"/>
    <s v="Click Here To View"/>
    <s v="Construction"/>
    <n v="2.8499999999999996"/>
    <s v="30.82%"/>
    <s v="0.00%"/>
    <s v="30.82%"/>
    <s v="69.18%"/>
    <m/>
    <n v="0.87839999999999996"/>
    <n v="1.9716"/>
    <n v="2.8499999999999996"/>
    <n v="1.0841000000000001"/>
    <m/>
    <m/>
    <m/>
    <m/>
    <m/>
    <m/>
    <n v="0.87839999999999996"/>
    <m/>
    <n v="0.88749999999999996"/>
    <m/>
    <m/>
    <m/>
    <m/>
    <m/>
    <m/>
    <m/>
    <m/>
    <m/>
    <m/>
    <m/>
    <m/>
    <m/>
    <m/>
    <m/>
    <m/>
    <m/>
    <m/>
    <m/>
    <m/>
    <m/>
    <m/>
    <m/>
    <m/>
    <s v="0.00%"/>
    <s v="0.00%"/>
    <s v="0.00%"/>
    <s v="0.00%"/>
    <m/>
    <m/>
    <m/>
    <m/>
    <m/>
    <m/>
    <m/>
    <s v="0.00%"/>
    <s v="0.00%"/>
    <s v="0.00%"/>
    <s v="0.00%"/>
    <m/>
    <m/>
    <m/>
    <m/>
    <m/>
    <m/>
    <m/>
    <m/>
    <m/>
    <m/>
    <m/>
    <m/>
    <m/>
    <m/>
    <m/>
    <m/>
    <m/>
    <s v="Mike Teixeira"/>
    <m/>
    <s v="03/04/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2/12/2026"/>
    <x v="4"/>
    <n v="5881380"/>
    <s v="Click Here To View"/>
    <s v="Construction"/>
    <n v="2.35"/>
    <s v="30.82%"/>
    <s v="0.00%"/>
    <s v="30.82%"/>
    <s v="69.18%"/>
    <m/>
    <n v="0.72430000000000005"/>
    <n v="1.6257000000000001"/>
    <n v="2.35"/>
    <n v="0.89390000000000003"/>
    <m/>
    <m/>
    <m/>
    <m/>
    <m/>
    <m/>
    <n v="0.72430000000000005"/>
    <m/>
    <n v="0.73180000000000001"/>
    <m/>
    <m/>
    <m/>
    <m/>
    <m/>
    <m/>
    <m/>
    <m/>
    <m/>
    <m/>
    <m/>
    <m/>
    <m/>
    <m/>
    <m/>
    <m/>
    <m/>
    <m/>
    <m/>
    <m/>
    <m/>
    <m/>
    <m/>
    <m/>
    <s v="0.00%"/>
    <s v="0.00%"/>
    <s v="0.00%"/>
    <s v="0.00%"/>
    <m/>
    <m/>
    <m/>
    <m/>
    <m/>
    <m/>
    <m/>
    <s v="0.00%"/>
    <s v="0.00%"/>
    <s v="0.00%"/>
    <s v="0.00%"/>
    <m/>
    <m/>
    <m/>
    <m/>
    <m/>
    <m/>
    <m/>
    <m/>
    <m/>
    <m/>
    <m/>
    <m/>
    <m/>
    <m/>
    <m/>
    <m/>
    <m/>
    <s v="Mike Teixeira"/>
    <m/>
    <s v="03/04/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2/12/2026"/>
    <x v="4"/>
    <n v="5884278"/>
    <s v="Click Here To View"/>
    <s v="Construction"/>
    <n v="7.8000000000000007"/>
    <s v="30.82%"/>
    <s v="0.00%"/>
    <s v="30.82%"/>
    <s v="69.18%"/>
    <m/>
    <n v="2.4039999999999999"/>
    <n v="5.3959999999999999"/>
    <n v="7.8000000000000007"/>
    <n v="2.9670999999999998"/>
    <m/>
    <m/>
    <m/>
    <m/>
    <m/>
    <m/>
    <n v="2.4039999999999999"/>
    <m/>
    <n v="2.4289000000000001"/>
    <m/>
    <m/>
    <m/>
    <m/>
    <m/>
    <m/>
    <m/>
    <m/>
    <m/>
    <m/>
    <m/>
    <m/>
    <m/>
    <m/>
    <m/>
    <m/>
    <m/>
    <m/>
    <m/>
    <m/>
    <m/>
    <m/>
    <m/>
    <m/>
    <s v="0.00%"/>
    <s v="0.00%"/>
    <s v="0.00%"/>
    <s v="0.00%"/>
    <m/>
    <m/>
    <m/>
    <m/>
    <m/>
    <m/>
    <m/>
    <s v="0.00%"/>
    <s v="0.00%"/>
    <s v="0.00%"/>
    <s v="0.00%"/>
    <m/>
    <m/>
    <m/>
    <m/>
    <m/>
    <m/>
    <m/>
    <m/>
    <m/>
    <m/>
    <m/>
    <m/>
    <m/>
    <m/>
    <m/>
    <m/>
    <m/>
    <s v="Mike Teixeira"/>
    <m/>
    <s v="03/04/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2/13/2026"/>
    <x v="4"/>
    <n v="5882114"/>
    <s v="Click Here To View"/>
    <s v="Construction"/>
    <n v="2.17"/>
    <s v="30.82%"/>
    <s v="0.00%"/>
    <s v="30.82%"/>
    <s v="69.18%"/>
    <m/>
    <n v="0.66879999999999995"/>
    <n v="1.5011999999999999"/>
    <n v="2.17"/>
    <n v="0.82550000000000001"/>
    <m/>
    <m/>
    <m/>
    <m/>
    <m/>
    <m/>
    <n v="0.66879999999999995"/>
    <m/>
    <n v="0.67569999999999997"/>
    <m/>
    <m/>
    <m/>
    <m/>
    <m/>
    <m/>
    <m/>
    <m/>
    <m/>
    <m/>
    <m/>
    <m/>
    <m/>
    <m/>
    <m/>
    <m/>
    <m/>
    <m/>
    <m/>
    <m/>
    <m/>
    <m/>
    <m/>
    <m/>
    <s v="0.00%"/>
    <s v="0.00%"/>
    <s v="0.00%"/>
    <s v="0.00%"/>
    <m/>
    <m/>
    <m/>
    <m/>
    <m/>
    <m/>
    <m/>
    <s v="0.00%"/>
    <s v="0.00%"/>
    <s v="0.00%"/>
    <s v="0.00%"/>
    <m/>
    <m/>
    <m/>
    <m/>
    <m/>
    <m/>
    <m/>
    <m/>
    <m/>
    <m/>
    <m/>
    <m/>
    <m/>
    <m/>
    <m/>
    <m/>
    <m/>
    <s v="Mike Teixeira"/>
    <m/>
    <s v="03/04/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2/17/2026"/>
    <x v="4"/>
    <n v="5883775"/>
    <s v="Click Here To View"/>
    <s v="Construction"/>
    <n v="3.5199999999999996"/>
    <s v="30.82%"/>
    <s v="0.00%"/>
    <s v="30.82%"/>
    <s v="69.18%"/>
    <m/>
    <n v="1.0849"/>
    <n v="2.4351000000000003"/>
    <n v="3.5199999999999996"/>
    <n v="1.339"/>
    <m/>
    <m/>
    <m/>
    <m/>
    <m/>
    <m/>
    <n v="1.0849"/>
    <m/>
    <n v="1.0961000000000001"/>
    <m/>
    <m/>
    <m/>
    <m/>
    <m/>
    <m/>
    <m/>
    <m/>
    <m/>
    <m/>
    <m/>
    <m/>
    <m/>
    <m/>
    <m/>
    <m/>
    <m/>
    <m/>
    <m/>
    <m/>
    <m/>
    <m/>
    <m/>
    <m/>
    <s v="0.00%"/>
    <s v="0.00%"/>
    <s v="0.00%"/>
    <s v="0.00%"/>
    <m/>
    <m/>
    <m/>
    <m/>
    <m/>
    <m/>
    <m/>
    <s v="0.00%"/>
    <s v="0.00%"/>
    <s v="0.00%"/>
    <s v="0.00%"/>
    <m/>
    <m/>
    <m/>
    <m/>
    <m/>
    <m/>
    <m/>
    <m/>
    <m/>
    <m/>
    <m/>
    <m/>
    <m/>
    <m/>
    <m/>
    <m/>
    <m/>
    <s v="Mike Teixeira"/>
    <m/>
    <s v="03/04/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2/18/2026"/>
    <x v="4"/>
    <n v="5884229"/>
    <s v="Click Here To View"/>
    <s v="Construction"/>
    <n v="3.8699000000000003"/>
    <s v="30.82%"/>
    <s v="0.00%"/>
    <s v="30.82%"/>
    <s v="69.18%"/>
    <m/>
    <n v="1.1927000000000001"/>
    <n v="2.6772"/>
    <n v="3.8699000000000003"/>
    <n v="1.4721"/>
    <m/>
    <m/>
    <m/>
    <m/>
    <m/>
    <m/>
    <n v="1.1927000000000001"/>
    <m/>
    <n v="1.2051000000000001"/>
    <m/>
    <m/>
    <m/>
    <m/>
    <m/>
    <m/>
    <m/>
    <m/>
    <m/>
    <m/>
    <m/>
    <m/>
    <m/>
    <m/>
    <m/>
    <m/>
    <m/>
    <m/>
    <m/>
    <m/>
    <m/>
    <m/>
    <m/>
    <m/>
    <s v="0.00%"/>
    <s v="0.00%"/>
    <s v="0.00%"/>
    <s v="0.00%"/>
    <m/>
    <m/>
    <m/>
    <m/>
    <m/>
    <m/>
    <m/>
    <s v="0.00%"/>
    <s v="0.00%"/>
    <s v="0.00%"/>
    <s v="0.00%"/>
    <m/>
    <m/>
    <m/>
    <m/>
    <m/>
    <m/>
    <m/>
    <m/>
    <m/>
    <m/>
    <m/>
    <m/>
    <m/>
    <m/>
    <m/>
    <m/>
    <m/>
    <s v="Mike Teixeira"/>
    <m/>
    <s v="03/04/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2/19/2026"/>
    <x v="4"/>
    <n v="5884870"/>
    <s v="Click Here To View"/>
    <s v="Construction"/>
    <n v="2.02"/>
    <s v="30.82%"/>
    <s v="0.00%"/>
    <s v="30.82%"/>
    <s v="69.18%"/>
    <m/>
    <n v="0.62260000000000004"/>
    <n v="1.3974"/>
    <n v="2.02"/>
    <n v="0.76839999999999997"/>
    <m/>
    <m/>
    <m/>
    <m/>
    <m/>
    <m/>
    <n v="0.62260000000000004"/>
    <m/>
    <n v="0.629"/>
    <m/>
    <m/>
    <m/>
    <m/>
    <m/>
    <m/>
    <m/>
    <m/>
    <m/>
    <m/>
    <m/>
    <m/>
    <m/>
    <m/>
    <m/>
    <m/>
    <m/>
    <m/>
    <m/>
    <m/>
    <m/>
    <m/>
    <m/>
    <m/>
    <s v="0.00%"/>
    <s v="0.00%"/>
    <s v="0.00%"/>
    <s v="0.00%"/>
    <m/>
    <m/>
    <m/>
    <m/>
    <m/>
    <m/>
    <m/>
    <s v="0.00%"/>
    <s v="0.00%"/>
    <s v="0.00%"/>
    <s v="0.00%"/>
    <m/>
    <m/>
    <m/>
    <m/>
    <m/>
    <m/>
    <m/>
    <m/>
    <m/>
    <m/>
    <m/>
    <m/>
    <m/>
    <m/>
    <m/>
    <m/>
    <m/>
    <s v="Mike Teixeira"/>
    <m/>
    <s v="03/04/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2/19/2026"/>
    <x v="4"/>
    <n v="5886185"/>
    <s v="Click Here To View"/>
    <s v="Construction"/>
    <n v="1.26"/>
    <s v="30.82%"/>
    <s v="0.00%"/>
    <s v="30.82%"/>
    <s v="69.18%"/>
    <m/>
    <n v="0.38829999999999998"/>
    <n v="0.87170000000000003"/>
    <n v="1.26"/>
    <n v="0.4793"/>
    <m/>
    <m/>
    <m/>
    <m/>
    <m/>
    <m/>
    <n v="0.38829999999999998"/>
    <m/>
    <n v="0.39240000000000003"/>
    <m/>
    <m/>
    <m/>
    <m/>
    <m/>
    <m/>
    <m/>
    <m/>
    <m/>
    <m/>
    <m/>
    <m/>
    <m/>
    <m/>
    <m/>
    <m/>
    <m/>
    <m/>
    <m/>
    <m/>
    <m/>
    <m/>
    <m/>
    <m/>
    <s v="0.00%"/>
    <s v="0.00%"/>
    <s v="0.00%"/>
    <s v="0.00%"/>
    <m/>
    <m/>
    <m/>
    <m/>
    <m/>
    <m/>
    <m/>
    <s v="0.00%"/>
    <s v="0.00%"/>
    <s v="0.00%"/>
    <s v="0.00%"/>
    <m/>
    <m/>
    <m/>
    <m/>
    <m/>
    <m/>
    <m/>
    <m/>
    <m/>
    <m/>
    <m/>
    <m/>
    <m/>
    <m/>
    <m/>
    <m/>
    <m/>
    <s v="Mike Teixeira"/>
    <m/>
    <s v="03/04/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2/23/2026"/>
    <x v="4"/>
    <n v="5886873"/>
    <s v="Click Here To View"/>
    <s v="Construction"/>
    <n v="5.07"/>
    <s v="30.82%"/>
    <s v="0.00%"/>
    <s v="30.82%"/>
    <s v="69.18%"/>
    <m/>
    <n v="1.5626"/>
    <n v="3.5074000000000001"/>
    <n v="5.07"/>
    <n v="1.9286000000000001"/>
    <m/>
    <m/>
    <m/>
    <m/>
    <m/>
    <m/>
    <n v="1.5626"/>
    <m/>
    <n v="1.5788"/>
    <m/>
    <m/>
    <m/>
    <m/>
    <m/>
    <m/>
    <m/>
    <m/>
    <m/>
    <m/>
    <m/>
    <m/>
    <m/>
    <m/>
    <m/>
    <m/>
    <m/>
    <m/>
    <m/>
    <m/>
    <m/>
    <m/>
    <m/>
    <m/>
    <s v="0.00%"/>
    <s v="0.00%"/>
    <s v="0.00%"/>
    <s v="0.00%"/>
    <m/>
    <m/>
    <m/>
    <m/>
    <m/>
    <m/>
    <m/>
    <s v="0.00%"/>
    <s v="0.00%"/>
    <s v="0.00%"/>
    <s v="0.00%"/>
    <m/>
    <m/>
    <m/>
    <m/>
    <m/>
    <m/>
    <m/>
    <m/>
    <m/>
    <m/>
    <m/>
    <m/>
    <m/>
    <m/>
    <m/>
    <m/>
    <m/>
    <s v="Mike Teixeira"/>
    <m/>
    <s v="03/04/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2/23/2026"/>
    <x v="4"/>
    <n v="5886863"/>
    <s v="Click Here To View"/>
    <s v="Construction"/>
    <n v="1.8199000000000001"/>
    <s v="30.82%"/>
    <s v="0.00%"/>
    <s v="30.82%"/>
    <s v="69.18%"/>
    <m/>
    <n v="0.56089999999999995"/>
    <n v="1.2589999999999999"/>
    <n v="1.8199000000000001"/>
    <n v="0.69230000000000003"/>
    <m/>
    <m/>
    <m/>
    <m/>
    <m/>
    <m/>
    <n v="0.56089999999999995"/>
    <m/>
    <n v="0.56669999999999998"/>
    <m/>
    <m/>
    <m/>
    <m/>
    <m/>
    <m/>
    <m/>
    <m/>
    <m/>
    <m/>
    <m/>
    <m/>
    <m/>
    <m/>
    <m/>
    <m/>
    <m/>
    <m/>
    <m/>
    <m/>
    <m/>
    <m/>
    <m/>
    <m/>
    <s v="0.00%"/>
    <s v="0.00%"/>
    <s v="0.00%"/>
    <s v="0.00%"/>
    <m/>
    <m/>
    <m/>
    <m/>
    <m/>
    <m/>
    <m/>
    <s v="0.00%"/>
    <s v="0.00%"/>
    <s v="0.00%"/>
    <s v="0.00%"/>
    <m/>
    <m/>
    <m/>
    <m/>
    <m/>
    <m/>
    <m/>
    <m/>
    <m/>
    <m/>
    <m/>
    <m/>
    <m/>
    <m/>
    <m/>
    <m/>
    <m/>
    <s v="Mike Teixeira"/>
    <m/>
    <s v="03/04/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2/24/2026"/>
    <x v="4"/>
    <n v="5887522"/>
    <s v="Click Here To View"/>
    <s v="Construction"/>
    <n v="5.8599999999999994"/>
    <s v="30.82%"/>
    <s v="0.00%"/>
    <s v="30.82%"/>
    <s v="69.18%"/>
    <m/>
    <n v="1.8061"/>
    <n v="4.0538999999999996"/>
    <n v="5.8599999999999994"/>
    <n v="2.2290999999999999"/>
    <m/>
    <m/>
    <m/>
    <m/>
    <m/>
    <m/>
    <n v="1.8061"/>
    <m/>
    <n v="1.8248"/>
    <m/>
    <m/>
    <m/>
    <m/>
    <m/>
    <m/>
    <m/>
    <m/>
    <m/>
    <m/>
    <m/>
    <m/>
    <m/>
    <m/>
    <m/>
    <m/>
    <m/>
    <m/>
    <m/>
    <m/>
    <m/>
    <m/>
    <m/>
    <m/>
    <s v="0.00%"/>
    <s v="0.00%"/>
    <s v="0.00%"/>
    <s v="0.00%"/>
    <m/>
    <m/>
    <m/>
    <m/>
    <m/>
    <m/>
    <m/>
    <s v="0.00%"/>
    <s v="0.00%"/>
    <s v="0.00%"/>
    <s v="0.00%"/>
    <m/>
    <m/>
    <m/>
    <m/>
    <m/>
    <m/>
    <m/>
    <m/>
    <m/>
    <m/>
    <m/>
    <m/>
    <m/>
    <m/>
    <m/>
    <m/>
    <m/>
    <s v="Mike Teixeira"/>
    <m/>
    <s v="03/04/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2/25/2026"/>
    <x v="4"/>
    <n v="5888217"/>
    <s v="Click Here To View"/>
    <s v="Construction"/>
    <n v="1.48"/>
    <s v="30.82%"/>
    <s v="0.00%"/>
    <s v="30.82%"/>
    <s v="69.18%"/>
    <m/>
    <n v="0.45610000000000001"/>
    <n v="1.0238999999999998"/>
    <n v="1.48"/>
    <n v="0.56299999999999994"/>
    <m/>
    <m/>
    <m/>
    <m/>
    <m/>
    <m/>
    <n v="0.45610000000000001"/>
    <m/>
    <n v="0.46089999999999998"/>
    <m/>
    <m/>
    <m/>
    <m/>
    <m/>
    <m/>
    <m/>
    <m/>
    <m/>
    <m/>
    <m/>
    <m/>
    <m/>
    <m/>
    <m/>
    <m/>
    <m/>
    <m/>
    <m/>
    <m/>
    <m/>
    <m/>
    <m/>
    <m/>
    <s v="0.00%"/>
    <s v="0.00%"/>
    <s v="0.00%"/>
    <s v="0.00%"/>
    <m/>
    <m/>
    <m/>
    <m/>
    <m/>
    <m/>
    <m/>
    <s v="0.00%"/>
    <s v="0.00%"/>
    <s v="0.00%"/>
    <s v="0.00%"/>
    <m/>
    <m/>
    <m/>
    <m/>
    <m/>
    <m/>
    <m/>
    <m/>
    <m/>
    <m/>
    <m/>
    <m/>
    <m/>
    <m/>
    <m/>
    <m/>
    <m/>
    <s v="Mike Teixeira"/>
    <m/>
    <s v="04/01/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2/27/2026"/>
    <x v="4"/>
    <n v="5889875"/>
    <s v="Click Here To View"/>
    <s v="Construction"/>
    <n v="3.5700000000000003"/>
    <s v="30.82%"/>
    <s v="0.00%"/>
    <s v="30.82%"/>
    <s v="69.18%"/>
    <m/>
    <n v="1.1003000000000001"/>
    <n v="2.4697"/>
    <n v="3.5700000000000003"/>
    <n v="1.3580000000000001"/>
    <m/>
    <m/>
    <m/>
    <m/>
    <m/>
    <m/>
    <n v="1.1003000000000001"/>
    <m/>
    <n v="1.1116999999999999"/>
    <m/>
    <m/>
    <m/>
    <m/>
    <m/>
    <m/>
    <m/>
    <m/>
    <m/>
    <m/>
    <m/>
    <m/>
    <m/>
    <m/>
    <m/>
    <m/>
    <m/>
    <m/>
    <m/>
    <m/>
    <m/>
    <m/>
    <m/>
    <m/>
    <s v="0.00%"/>
    <s v="0.00%"/>
    <s v="0.00%"/>
    <s v="0.00%"/>
    <m/>
    <m/>
    <m/>
    <m/>
    <m/>
    <m/>
    <m/>
    <s v="0.00%"/>
    <s v="0.00%"/>
    <s v="0.00%"/>
    <s v="0.00%"/>
    <m/>
    <m/>
    <m/>
    <m/>
    <m/>
    <m/>
    <m/>
    <m/>
    <m/>
    <m/>
    <m/>
    <m/>
    <m/>
    <m/>
    <m/>
    <m/>
    <m/>
    <s v="Mike Teixeira"/>
    <m/>
    <s v="04/01/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3/04/2026"/>
    <x v="34"/>
    <n v="5893441"/>
    <s v="Click Here To View"/>
    <s v="Construction"/>
    <n v="3.7"/>
    <s v="30.82%"/>
    <s v="0.00%"/>
    <s v="30.82%"/>
    <s v="69.18%"/>
    <m/>
    <n v="1.1403000000000001"/>
    <n v="2.5596999999999999"/>
    <n v="3.7"/>
    <n v="1.4075"/>
    <m/>
    <m/>
    <m/>
    <m/>
    <m/>
    <m/>
    <n v="1.1403000000000001"/>
    <m/>
    <n v="1.1521999999999999"/>
    <m/>
    <m/>
    <m/>
    <m/>
    <m/>
    <m/>
    <m/>
    <m/>
    <m/>
    <m/>
    <m/>
    <m/>
    <m/>
    <m/>
    <m/>
    <m/>
    <m/>
    <m/>
    <m/>
    <m/>
    <m/>
    <m/>
    <m/>
    <m/>
    <s v="0.00%"/>
    <s v="0.00%"/>
    <s v="0.00%"/>
    <s v="0.00%"/>
    <m/>
    <m/>
    <m/>
    <m/>
    <m/>
    <m/>
    <m/>
    <s v="0.00%"/>
    <s v="0.00%"/>
    <s v="0.00%"/>
    <s v="0.00%"/>
    <m/>
    <m/>
    <m/>
    <m/>
    <m/>
    <m/>
    <m/>
    <m/>
    <m/>
    <m/>
    <m/>
    <m/>
    <m/>
    <m/>
    <m/>
    <m/>
    <m/>
    <s v="Mike Teixeira"/>
    <m/>
    <s v="04/01/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3/04/2026"/>
    <x v="34"/>
    <n v="5892500"/>
    <s v="Click Here To View"/>
    <s v="Construction"/>
    <n v="2.0299"/>
    <s v="30.82%"/>
    <s v="0.00%"/>
    <s v="30.82%"/>
    <s v="69.18%"/>
    <m/>
    <n v="0.62560000000000004"/>
    <n v="1.4043000000000001"/>
    <n v="2.0299"/>
    <n v="0.7722"/>
    <m/>
    <m/>
    <m/>
    <m/>
    <m/>
    <m/>
    <n v="0.62560000000000004"/>
    <m/>
    <n v="0.6321"/>
    <m/>
    <m/>
    <m/>
    <m/>
    <m/>
    <m/>
    <m/>
    <m/>
    <m/>
    <m/>
    <m/>
    <m/>
    <m/>
    <m/>
    <m/>
    <m/>
    <m/>
    <m/>
    <m/>
    <m/>
    <m/>
    <m/>
    <m/>
    <m/>
    <s v="0.00%"/>
    <s v="0.00%"/>
    <s v="0.00%"/>
    <s v="0.00%"/>
    <m/>
    <m/>
    <m/>
    <m/>
    <m/>
    <m/>
    <m/>
    <s v="0.00%"/>
    <s v="0.00%"/>
    <s v="0.00%"/>
    <s v="0.00%"/>
    <m/>
    <m/>
    <m/>
    <m/>
    <m/>
    <m/>
    <m/>
    <m/>
    <m/>
    <m/>
    <m/>
    <m/>
    <m/>
    <m/>
    <m/>
    <m/>
    <m/>
    <s v="Mike Teixeira"/>
    <m/>
    <s v="04/01/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3/09/2026"/>
    <x v="34"/>
    <n v="5895203"/>
    <s v="Click Here To View"/>
    <s v="Construction"/>
    <n v="2.73"/>
    <s v="30.82%"/>
    <s v="0.00%"/>
    <s v="30.82%"/>
    <s v="69.18%"/>
    <m/>
    <n v="0.84140000000000004"/>
    <n v="1.8885999999999998"/>
    <n v="2.73"/>
    <n v="1.0385"/>
    <m/>
    <m/>
    <m/>
    <m/>
    <m/>
    <m/>
    <n v="0.84140000000000004"/>
    <m/>
    <n v="0.85009999999999997"/>
    <m/>
    <m/>
    <m/>
    <m/>
    <m/>
    <m/>
    <m/>
    <m/>
    <m/>
    <m/>
    <m/>
    <m/>
    <m/>
    <m/>
    <m/>
    <m/>
    <m/>
    <m/>
    <m/>
    <m/>
    <m/>
    <m/>
    <m/>
    <m/>
    <s v="0.00%"/>
    <s v="0.00%"/>
    <s v="0.00%"/>
    <s v="0.00%"/>
    <m/>
    <m/>
    <m/>
    <m/>
    <m/>
    <m/>
    <m/>
    <s v="0.00%"/>
    <s v="0.00%"/>
    <s v="0.00%"/>
    <s v="0.00%"/>
    <m/>
    <m/>
    <m/>
    <m/>
    <m/>
    <m/>
    <m/>
    <m/>
    <m/>
    <m/>
    <m/>
    <m/>
    <m/>
    <m/>
    <m/>
    <m/>
    <m/>
    <s v="Mike Teixeira"/>
    <m/>
    <s v="04/01/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3/11/2026"/>
    <x v="34"/>
    <n v="5896744"/>
    <s v="Click Here To View"/>
    <s v="Construction"/>
    <n v="2.6800999999999999"/>
    <s v="30.82%"/>
    <s v="0.00%"/>
    <s v="30.82%"/>
    <s v="69.18%"/>
    <m/>
    <n v="0.82599999999999996"/>
    <n v="1.8541000000000001"/>
    <n v="2.6800999999999999"/>
    <n v="1.0195000000000001"/>
    <m/>
    <m/>
    <m/>
    <m/>
    <m/>
    <m/>
    <n v="0.82599999999999996"/>
    <m/>
    <n v="0.83460000000000001"/>
    <m/>
    <m/>
    <m/>
    <m/>
    <m/>
    <m/>
    <m/>
    <m/>
    <m/>
    <m/>
    <m/>
    <m/>
    <m/>
    <m/>
    <m/>
    <m/>
    <m/>
    <m/>
    <m/>
    <m/>
    <m/>
    <m/>
    <m/>
    <m/>
    <s v="0.00%"/>
    <s v="0.00%"/>
    <s v="0.00%"/>
    <s v="0.00%"/>
    <m/>
    <m/>
    <m/>
    <m/>
    <m/>
    <m/>
    <m/>
    <s v="0.00%"/>
    <s v="0.00%"/>
    <s v="0.00%"/>
    <s v="0.00%"/>
    <m/>
    <m/>
    <m/>
    <m/>
    <m/>
    <m/>
    <m/>
    <m/>
    <m/>
    <m/>
    <m/>
    <m/>
    <m/>
    <m/>
    <m/>
    <m/>
    <m/>
    <s v="Mike Teixeira"/>
    <m/>
    <s v="04/01/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3/12/2026"/>
    <x v="34"/>
    <n v="5897594"/>
    <s v="Click Here To View"/>
    <s v="Construction"/>
    <n v="4.8"/>
    <s v="30.82%"/>
    <s v="0.00%"/>
    <s v="30.82%"/>
    <s v="69.18%"/>
    <m/>
    <n v="1.4794"/>
    <n v="3.3205999999999998"/>
    <n v="4.8"/>
    <n v="1.8259000000000001"/>
    <m/>
    <m/>
    <m/>
    <m/>
    <m/>
    <m/>
    <n v="1.4794"/>
    <m/>
    <n v="1.4946999999999999"/>
    <m/>
    <m/>
    <m/>
    <m/>
    <m/>
    <m/>
    <m/>
    <m/>
    <m/>
    <m/>
    <m/>
    <m/>
    <m/>
    <m/>
    <m/>
    <m/>
    <m/>
    <m/>
    <m/>
    <m/>
    <m/>
    <m/>
    <m/>
    <m/>
    <s v="0.00%"/>
    <s v="0.00%"/>
    <s v="0.00%"/>
    <s v="0.00%"/>
    <m/>
    <m/>
    <m/>
    <m/>
    <m/>
    <m/>
    <m/>
    <s v="0.00%"/>
    <s v="0.00%"/>
    <s v="0.00%"/>
    <s v="0.00%"/>
    <m/>
    <m/>
    <m/>
    <m/>
    <m/>
    <m/>
    <m/>
    <m/>
    <m/>
    <m/>
    <m/>
    <m/>
    <m/>
    <m/>
    <m/>
    <m/>
    <m/>
    <s v="Mike Teixeira"/>
    <m/>
    <s v="04/01/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3/16/2026"/>
    <x v="34"/>
    <n v="5899386"/>
    <s v="Click Here To View"/>
    <s v="Construction"/>
    <n v="4.6901000000000002"/>
    <s v="30.82%"/>
    <s v="0.00%"/>
    <s v="30.82%"/>
    <s v="69.18%"/>
    <m/>
    <n v="1.4455"/>
    <n v="3.2446000000000002"/>
    <n v="4.6901000000000002"/>
    <n v="1.7841"/>
    <m/>
    <m/>
    <m/>
    <m/>
    <m/>
    <m/>
    <n v="1.4455"/>
    <m/>
    <n v="1.4604999999999999"/>
    <m/>
    <m/>
    <m/>
    <m/>
    <m/>
    <m/>
    <m/>
    <m/>
    <m/>
    <m/>
    <m/>
    <m/>
    <m/>
    <m/>
    <m/>
    <m/>
    <m/>
    <m/>
    <m/>
    <m/>
    <m/>
    <m/>
    <m/>
    <m/>
    <s v="0.00%"/>
    <s v="0.00%"/>
    <s v="0.00%"/>
    <s v="0.00%"/>
    <m/>
    <m/>
    <m/>
    <m/>
    <m/>
    <m/>
    <m/>
    <s v="0.00%"/>
    <s v="0.00%"/>
    <s v="0.00%"/>
    <s v="0.00%"/>
    <m/>
    <m/>
    <m/>
    <m/>
    <m/>
    <m/>
    <m/>
    <m/>
    <m/>
    <m/>
    <m/>
    <m/>
    <m/>
    <m/>
    <m/>
    <m/>
    <m/>
    <s v="Mike Teixeira"/>
    <m/>
    <s v="04/01/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3/17/2026"/>
    <x v="34"/>
    <n v="5900037"/>
    <s v="Click Here To View"/>
    <s v="Construction"/>
    <n v="1.0299"/>
    <s v="30.82%"/>
    <s v="0.00%"/>
    <s v="30.82%"/>
    <s v="69.18%"/>
    <m/>
    <n v="0.31740000000000002"/>
    <n v="0.71249999999999991"/>
    <n v="1.0299"/>
    <n v="0.39179999999999998"/>
    <m/>
    <m/>
    <m/>
    <m/>
    <m/>
    <m/>
    <n v="0.31740000000000002"/>
    <m/>
    <n v="0.32069999999999999"/>
    <m/>
    <m/>
    <m/>
    <m/>
    <m/>
    <m/>
    <m/>
    <m/>
    <m/>
    <m/>
    <m/>
    <m/>
    <m/>
    <m/>
    <m/>
    <m/>
    <m/>
    <m/>
    <m/>
    <m/>
    <m/>
    <m/>
    <m/>
    <m/>
    <s v="0.00%"/>
    <s v="0.00%"/>
    <s v="0.00%"/>
    <s v="0.00%"/>
    <m/>
    <m/>
    <m/>
    <m/>
    <m/>
    <m/>
    <m/>
    <s v="0.00%"/>
    <s v="0.00%"/>
    <s v="0.00%"/>
    <s v="0.00%"/>
    <m/>
    <m/>
    <m/>
    <m/>
    <m/>
    <m/>
    <m/>
    <m/>
    <m/>
    <m/>
    <m/>
    <m/>
    <m/>
    <m/>
    <m/>
    <m/>
    <m/>
    <s v="Mike Teixeira"/>
    <m/>
    <s v="04/01/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3/18/2026"/>
    <x v="34"/>
    <n v="5901116"/>
    <s v="Click Here To View"/>
    <s v="Construction"/>
    <n v="1.4000999999999999"/>
    <s v="30.82%"/>
    <s v="0.00%"/>
    <s v="30.82%"/>
    <s v="69.18%"/>
    <m/>
    <n v="0.43149999999999999"/>
    <n v="0.96859999999999991"/>
    <n v="1.4000999999999999"/>
    <n v="0.53259999999999996"/>
    <m/>
    <m/>
    <m/>
    <m/>
    <m/>
    <m/>
    <n v="0.43149999999999999"/>
    <m/>
    <n v="0.436"/>
    <m/>
    <m/>
    <m/>
    <m/>
    <m/>
    <m/>
    <m/>
    <m/>
    <m/>
    <m/>
    <m/>
    <m/>
    <m/>
    <m/>
    <m/>
    <m/>
    <m/>
    <m/>
    <m/>
    <m/>
    <m/>
    <m/>
    <m/>
    <m/>
    <s v="0.00%"/>
    <s v="0.00%"/>
    <s v="0.00%"/>
    <s v="0.00%"/>
    <m/>
    <m/>
    <m/>
    <m/>
    <m/>
    <m/>
    <m/>
    <s v="0.00%"/>
    <s v="0.00%"/>
    <s v="0.00%"/>
    <s v="0.00%"/>
    <m/>
    <m/>
    <m/>
    <m/>
    <m/>
    <m/>
    <m/>
    <m/>
    <m/>
    <m/>
    <m/>
    <m/>
    <m/>
    <m/>
    <m/>
    <m/>
    <m/>
    <s v="Mike Teixeira"/>
    <m/>
    <s v="04/01/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3/19/2026"/>
    <x v="34"/>
    <n v="5901741"/>
    <s v="Click Here To View"/>
    <s v="Construction"/>
    <n v="0.84999999999999987"/>
    <s v="30.82%"/>
    <s v="0.00%"/>
    <s v="30.82%"/>
    <s v="69.18%"/>
    <m/>
    <n v="0.26200000000000001"/>
    <n v="0.58799999999999997"/>
    <n v="0.84999999999999987"/>
    <n v="0.32329999999999998"/>
    <m/>
    <m/>
    <m/>
    <m/>
    <m/>
    <m/>
    <n v="0.26200000000000001"/>
    <m/>
    <n v="0.26469999999999999"/>
    <m/>
    <m/>
    <m/>
    <m/>
    <m/>
    <m/>
    <m/>
    <m/>
    <m/>
    <m/>
    <m/>
    <m/>
    <m/>
    <m/>
    <m/>
    <m/>
    <m/>
    <m/>
    <m/>
    <m/>
    <m/>
    <m/>
    <m/>
    <m/>
    <s v="0.00%"/>
    <s v="0.00%"/>
    <s v="0.00%"/>
    <s v="0.00%"/>
    <m/>
    <m/>
    <m/>
    <m/>
    <m/>
    <m/>
    <m/>
    <s v="0.00%"/>
    <s v="0.00%"/>
    <s v="0.00%"/>
    <s v="0.00%"/>
    <m/>
    <m/>
    <m/>
    <m/>
    <m/>
    <m/>
    <m/>
    <m/>
    <m/>
    <m/>
    <m/>
    <m/>
    <m/>
    <m/>
    <m/>
    <m/>
    <m/>
    <s v="Mike Teixeira"/>
    <m/>
    <s v="04/01/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3/20/2026"/>
    <x v="34"/>
    <n v="5902930"/>
    <s v="Click Here To View"/>
    <s v="Construction"/>
    <n v="3.38"/>
    <s v="30.82%"/>
    <s v="0.00%"/>
    <s v="30.82%"/>
    <s v="69.18%"/>
    <m/>
    <n v="1.0417000000000001"/>
    <n v="2.3383000000000003"/>
    <n v="3.38"/>
    <n v="1.2858000000000001"/>
    <m/>
    <m/>
    <m/>
    <m/>
    <m/>
    <m/>
    <n v="1.0417000000000001"/>
    <m/>
    <n v="1.0525"/>
    <m/>
    <m/>
    <m/>
    <m/>
    <m/>
    <m/>
    <m/>
    <m/>
    <m/>
    <m/>
    <m/>
    <m/>
    <m/>
    <m/>
    <m/>
    <m/>
    <m/>
    <m/>
    <m/>
    <m/>
    <m/>
    <m/>
    <m/>
    <m/>
    <s v="0.00%"/>
    <s v="0.00%"/>
    <s v="0.00%"/>
    <s v="0.00%"/>
    <m/>
    <m/>
    <m/>
    <m/>
    <m/>
    <m/>
    <m/>
    <s v="0.00%"/>
    <s v="0.00%"/>
    <s v="0.00%"/>
    <s v="0.00%"/>
    <m/>
    <m/>
    <m/>
    <m/>
    <m/>
    <m/>
    <m/>
    <m/>
    <m/>
    <m/>
    <m/>
    <m/>
    <m/>
    <m/>
    <m/>
    <m/>
    <m/>
    <s v="Mike Teixeira"/>
    <m/>
    <s v="04/01/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3/23/2026"/>
    <x v="34"/>
    <n v="5903940"/>
    <s v="Click Here To View"/>
    <s v="Construction"/>
    <n v="4.1801000000000004"/>
    <s v="30.82%"/>
    <s v="0.00%"/>
    <s v="30.82%"/>
    <s v="69.18%"/>
    <m/>
    <n v="1.2883"/>
    <n v="2.8917999999999999"/>
    <n v="4.1801000000000004"/>
    <n v="1.5901000000000001"/>
    <m/>
    <m/>
    <m/>
    <m/>
    <m/>
    <m/>
    <n v="1.2883"/>
    <m/>
    <n v="1.3017000000000001"/>
    <m/>
    <m/>
    <m/>
    <m/>
    <m/>
    <m/>
    <m/>
    <m/>
    <m/>
    <m/>
    <m/>
    <m/>
    <m/>
    <m/>
    <m/>
    <m/>
    <m/>
    <m/>
    <m/>
    <m/>
    <m/>
    <m/>
    <m/>
    <m/>
    <s v="0.00%"/>
    <s v="0.00%"/>
    <s v="0.00%"/>
    <s v="0.00%"/>
    <m/>
    <m/>
    <m/>
    <m/>
    <m/>
    <m/>
    <m/>
    <s v="0.00%"/>
    <s v="0.00%"/>
    <s v="0.00%"/>
    <s v="0.00%"/>
    <m/>
    <m/>
    <m/>
    <m/>
    <m/>
    <m/>
    <m/>
    <m/>
    <m/>
    <m/>
    <m/>
    <m/>
    <m/>
    <m/>
    <m/>
    <m/>
    <m/>
    <s v="Mike Teixeira"/>
    <m/>
    <s v="04/01/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3/24/2026"/>
    <x v="34"/>
    <n v="5904536"/>
    <s v="Click Here To View"/>
    <s v="Construction"/>
    <n v="2.79"/>
    <s v="30.82%"/>
    <s v="0.00%"/>
    <s v="30.82%"/>
    <s v="69.18%"/>
    <m/>
    <n v="0.8599"/>
    <n v="1.9300999999999999"/>
    <n v="2.79"/>
    <n v="1.0612999999999999"/>
    <m/>
    <m/>
    <m/>
    <m/>
    <m/>
    <m/>
    <n v="0.8599"/>
    <m/>
    <n v="0.86880000000000002"/>
    <m/>
    <m/>
    <m/>
    <m/>
    <m/>
    <m/>
    <m/>
    <m/>
    <m/>
    <m/>
    <m/>
    <m/>
    <m/>
    <m/>
    <m/>
    <m/>
    <m/>
    <m/>
    <m/>
    <m/>
    <m/>
    <m/>
    <m/>
    <m/>
    <s v="0.00%"/>
    <s v="0.00%"/>
    <s v="0.00%"/>
    <s v="0.00%"/>
    <m/>
    <m/>
    <m/>
    <m/>
    <m/>
    <m/>
    <m/>
    <s v="0.00%"/>
    <s v="0.00%"/>
    <s v="0.00%"/>
    <s v="0.00%"/>
    <m/>
    <m/>
    <m/>
    <m/>
    <m/>
    <m/>
    <m/>
    <m/>
    <m/>
    <m/>
    <m/>
    <m/>
    <m/>
    <m/>
    <m/>
    <m/>
    <m/>
    <s v="Mike Teixeira"/>
    <m/>
    <s v="04/01/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3/27/2026"/>
    <x v="34"/>
    <n v="5906730"/>
    <s v="Click Here To View"/>
    <s v="Construction"/>
    <n v="0.48"/>
    <s v="30.81%"/>
    <s v="0.00%"/>
    <s v="30.81%"/>
    <s v="69.19%"/>
    <m/>
    <n v="0.1479"/>
    <n v="0.33210000000000001"/>
    <n v="0.48"/>
    <n v="0.18260000000000001"/>
    <m/>
    <m/>
    <m/>
    <m/>
    <m/>
    <m/>
    <n v="0.1479"/>
    <m/>
    <n v="0.14949999999999999"/>
    <m/>
    <m/>
    <m/>
    <m/>
    <m/>
    <m/>
    <m/>
    <m/>
    <m/>
    <m/>
    <m/>
    <m/>
    <m/>
    <m/>
    <m/>
    <m/>
    <m/>
    <m/>
    <m/>
    <m/>
    <m/>
    <m/>
    <m/>
    <m/>
    <s v="0.00%"/>
    <s v="0.00%"/>
    <s v="0.00%"/>
    <s v="0.00%"/>
    <m/>
    <m/>
    <m/>
    <m/>
    <m/>
    <m/>
    <m/>
    <s v="0.00%"/>
    <s v="0.00%"/>
    <s v="0.00%"/>
    <s v="0.00%"/>
    <m/>
    <m/>
    <m/>
    <m/>
    <m/>
    <m/>
    <m/>
    <m/>
    <m/>
    <m/>
    <m/>
    <m/>
    <m/>
    <m/>
    <m/>
    <m/>
    <m/>
    <s v="Mike Teixeira"/>
    <m/>
    <s v="05/04/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4/03/2026"/>
    <x v="39"/>
    <n v="5910640"/>
    <s v="Click Here To View"/>
    <s v="Construction"/>
    <n v="1.5899000000000001"/>
    <s v="30.82%"/>
    <s v="0.00%"/>
    <s v="30.82%"/>
    <s v="69.18%"/>
    <m/>
    <n v="0.49"/>
    <n v="1.0998999999999999"/>
    <n v="1.5899000000000001"/>
    <n v="0.6048"/>
    <m/>
    <m/>
    <m/>
    <m/>
    <m/>
    <m/>
    <n v="0.49"/>
    <m/>
    <n v="0.49509999999999998"/>
    <m/>
    <m/>
    <m/>
    <m/>
    <m/>
    <m/>
    <m/>
    <m/>
    <m/>
    <m/>
    <m/>
    <m/>
    <m/>
    <m/>
    <m/>
    <m/>
    <m/>
    <m/>
    <m/>
    <m/>
    <m/>
    <m/>
    <m/>
    <m/>
    <s v="0.00%"/>
    <s v="0.00%"/>
    <s v="0.00%"/>
    <s v="0.00%"/>
    <m/>
    <m/>
    <m/>
    <m/>
    <m/>
    <m/>
    <m/>
    <s v="0.00%"/>
    <s v="0.00%"/>
    <s v="0.00%"/>
    <s v="0.00%"/>
    <m/>
    <m/>
    <m/>
    <m/>
    <m/>
    <m/>
    <m/>
    <m/>
    <m/>
    <m/>
    <m/>
    <m/>
    <m/>
    <m/>
    <m/>
    <m/>
    <m/>
    <s v="Mike Teixeira"/>
    <m/>
    <s v="05/04/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4/07/2026"/>
    <x v="39"/>
    <n v="5912334"/>
    <s v="Click Here To View"/>
    <s v="Construction"/>
    <n v="2.17"/>
    <s v="30.82%"/>
    <s v="0.00%"/>
    <s v="30.82%"/>
    <s v="69.18%"/>
    <m/>
    <n v="0.66879999999999995"/>
    <n v="1.5011999999999999"/>
    <n v="2.17"/>
    <n v="0.82550000000000001"/>
    <m/>
    <m/>
    <m/>
    <m/>
    <m/>
    <m/>
    <n v="0.66879999999999995"/>
    <m/>
    <n v="0.67569999999999997"/>
    <m/>
    <m/>
    <m/>
    <m/>
    <m/>
    <m/>
    <m/>
    <m/>
    <m/>
    <m/>
    <m/>
    <m/>
    <m/>
    <m/>
    <m/>
    <m/>
    <m/>
    <m/>
    <m/>
    <m/>
    <m/>
    <m/>
    <m/>
    <m/>
    <s v="0.00%"/>
    <s v="0.00%"/>
    <s v="0.00%"/>
    <s v="0.00%"/>
    <m/>
    <m/>
    <m/>
    <m/>
    <m/>
    <m/>
    <m/>
    <s v="0.00%"/>
    <s v="0.00%"/>
    <s v="0.00%"/>
    <s v="0.00%"/>
    <m/>
    <m/>
    <m/>
    <m/>
    <m/>
    <m/>
    <m/>
    <m/>
    <m/>
    <m/>
    <m/>
    <m/>
    <m/>
    <m/>
    <m/>
    <m/>
    <m/>
    <s v="Mike Teixeira"/>
    <m/>
    <s v="05/04/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4/09/2026"/>
    <x v="39"/>
    <n v="5914156"/>
    <s v="Click Here To View"/>
    <s v="Construction"/>
    <n v="1.6400000000000001"/>
    <s v="30.82%"/>
    <s v="0.00%"/>
    <s v="30.82%"/>
    <s v="69.18%"/>
    <m/>
    <n v="0.50539999999999996"/>
    <n v="1.1346000000000001"/>
    <n v="1.6400000000000001"/>
    <n v="0.62390000000000001"/>
    <m/>
    <m/>
    <m/>
    <m/>
    <m/>
    <m/>
    <n v="0.50539999999999996"/>
    <m/>
    <n v="0.51070000000000004"/>
    <m/>
    <m/>
    <m/>
    <m/>
    <m/>
    <m/>
    <m/>
    <m/>
    <m/>
    <m/>
    <m/>
    <m/>
    <m/>
    <m/>
    <m/>
    <m/>
    <m/>
    <m/>
    <m/>
    <m/>
    <m/>
    <m/>
    <m/>
    <m/>
    <s v="0.00%"/>
    <s v="0.00%"/>
    <s v="0.00%"/>
    <s v="0.00%"/>
    <m/>
    <m/>
    <m/>
    <m/>
    <m/>
    <m/>
    <m/>
    <s v="0.00%"/>
    <s v="0.00%"/>
    <s v="0.00%"/>
    <s v="0.00%"/>
    <m/>
    <m/>
    <m/>
    <m/>
    <m/>
    <m/>
    <m/>
    <m/>
    <m/>
    <m/>
    <m/>
    <m/>
    <m/>
    <m/>
    <m/>
    <m/>
    <m/>
    <s v="Mike Teixeira"/>
    <m/>
    <s v="05/04/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4/14/2026"/>
    <x v="39"/>
    <n v="5916699"/>
    <s v="Click Here To View"/>
    <s v="Construction"/>
    <n v="3.9299999999999997"/>
    <s v="30.82%"/>
    <s v="0.00%"/>
    <s v="30.82%"/>
    <s v="69.18%"/>
    <m/>
    <n v="1.2112000000000001"/>
    <n v="2.7187999999999999"/>
    <n v="3.9299999999999997"/>
    <n v="1.4950000000000001"/>
    <m/>
    <m/>
    <m/>
    <m/>
    <m/>
    <m/>
    <n v="1.2112000000000001"/>
    <m/>
    <n v="1.2238"/>
    <m/>
    <m/>
    <m/>
    <m/>
    <m/>
    <m/>
    <m/>
    <m/>
    <m/>
    <m/>
    <m/>
    <m/>
    <m/>
    <m/>
    <m/>
    <m/>
    <m/>
    <m/>
    <m/>
    <m/>
    <m/>
    <m/>
    <m/>
    <m/>
    <s v="0.00%"/>
    <s v="0.00%"/>
    <s v="0.00%"/>
    <s v="0.00%"/>
    <m/>
    <m/>
    <m/>
    <m/>
    <m/>
    <m/>
    <m/>
    <s v="0.00%"/>
    <s v="0.00%"/>
    <s v="0.00%"/>
    <s v="0.00%"/>
    <m/>
    <m/>
    <m/>
    <m/>
    <m/>
    <m/>
    <m/>
    <m/>
    <m/>
    <m/>
    <m/>
    <m/>
    <m/>
    <m/>
    <m/>
    <m/>
    <m/>
    <s v="Mike Teixeira"/>
    <m/>
    <s v="05/04/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4/17/2026"/>
    <x v="39"/>
    <n v="5921018"/>
    <s v="Click Here To View"/>
    <s v="Construction"/>
    <n v="7.57"/>
    <s v="30.82%"/>
    <s v="0.00%"/>
    <s v="30.82%"/>
    <s v="69.18%"/>
    <m/>
    <n v="2.3331"/>
    <n v="5.2369000000000003"/>
    <n v="7.57"/>
    <n v="2.8795999999999999"/>
    <m/>
    <m/>
    <m/>
    <m/>
    <m/>
    <m/>
    <n v="2.3331"/>
    <m/>
    <n v="2.3573"/>
    <m/>
    <m/>
    <m/>
    <m/>
    <m/>
    <m/>
    <m/>
    <m/>
    <m/>
    <m/>
    <m/>
    <m/>
    <m/>
    <m/>
    <m/>
    <m/>
    <m/>
    <m/>
    <m/>
    <m/>
    <m/>
    <m/>
    <m/>
    <m/>
    <s v="0.00%"/>
    <s v="0.00%"/>
    <s v="0.00%"/>
    <s v="0.00%"/>
    <m/>
    <m/>
    <m/>
    <m/>
    <m/>
    <m/>
    <m/>
    <s v="0.00%"/>
    <s v="0.00%"/>
    <s v="0.00%"/>
    <s v="0.00%"/>
    <m/>
    <m/>
    <m/>
    <m/>
    <m/>
    <m/>
    <m/>
    <m/>
    <m/>
    <m/>
    <m/>
    <m/>
    <m/>
    <m/>
    <m/>
    <m/>
    <m/>
    <s v="Mike Teixeira"/>
    <m/>
    <s v="05/04/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4/21/2026"/>
    <x v="39"/>
    <n v="5920915"/>
    <s v="Click Here To View"/>
    <s v="Construction"/>
    <n v="1.4000999999999999"/>
    <s v="30.82%"/>
    <s v="0.00%"/>
    <s v="30.82%"/>
    <s v="69.18%"/>
    <m/>
    <n v="0.43149999999999999"/>
    <n v="0.96859999999999991"/>
    <n v="1.4000999999999999"/>
    <n v="0.53259999999999996"/>
    <m/>
    <m/>
    <m/>
    <m/>
    <m/>
    <m/>
    <n v="0.43149999999999999"/>
    <m/>
    <n v="0.436"/>
    <m/>
    <m/>
    <m/>
    <m/>
    <m/>
    <m/>
    <m/>
    <m/>
    <m/>
    <m/>
    <m/>
    <m/>
    <m/>
    <m/>
    <m/>
    <m/>
    <m/>
    <m/>
    <m/>
    <m/>
    <m/>
    <m/>
    <m/>
    <m/>
    <s v="0.00%"/>
    <s v="0.00%"/>
    <s v="0.00%"/>
    <s v="0.00%"/>
    <m/>
    <m/>
    <m/>
    <m/>
    <m/>
    <m/>
    <m/>
    <s v="0.00%"/>
    <s v="0.00%"/>
    <s v="0.00%"/>
    <s v="0.00%"/>
    <m/>
    <m/>
    <m/>
    <m/>
    <m/>
    <m/>
    <m/>
    <m/>
    <m/>
    <m/>
    <m/>
    <m/>
    <m/>
    <m/>
    <m/>
    <m/>
    <m/>
    <s v="Mike Teixeira"/>
    <m/>
    <s v="05/04/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4/24/2026"/>
    <x v="39"/>
    <n v="5923079"/>
    <s v="Click Here To View"/>
    <s v="Construction"/>
    <n v="4.07"/>
    <s v="30.82%"/>
    <s v="0.00%"/>
    <s v="30.82%"/>
    <s v="69.18%"/>
    <m/>
    <n v="1.2544"/>
    <n v="2.8155999999999999"/>
    <n v="4.07"/>
    <n v="1.5482"/>
    <m/>
    <m/>
    <m/>
    <m/>
    <m/>
    <m/>
    <n v="1.2544"/>
    <m/>
    <n v="1.2674000000000001"/>
    <m/>
    <m/>
    <m/>
    <m/>
    <m/>
    <m/>
    <m/>
    <m/>
    <m/>
    <m/>
    <m/>
    <m/>
    <m/>
    <m/>
    <m/>
    <m/>
    <m/>
    <m/>
    <m/>
    <m/>
    <m/>
    <m/>
    <m/>
    <m/>
    <s v="0.00%"/>
    <s v="0.00%"/>
    <s v="0.00%"/>
    <s v="0.00%"/>
    <m/>
    <m/>
    <m/>
    <m/>
    <m/>
    <m/>
    <m/>
    <s v="0.00%"/>
    <s v="0.00%"/>
    <s v="0.00%"/>
    <s v="0.00%"/>
    <m/>
    <m/>
    <m/>
    <m/>
    <m/>
    <m/>
    <m/>
    <m/>
    <m/>
    <m/>
    <m/>
    <m/>
    <m/>
    <m/>
    <m/>
    <m/>
    <m/>
    <s v="Mike Teixeira"/>
    <m/>
    <s v="05/04/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4/27/2026"/>
    <x v="39"/>
    <n v="5924839"/>
    <s v="Click Here To View"/>
    <s v="Construction"/>
    <n v="1.76"/>
    <s v="30.82%"/>
    <s v="0.00%"/>
    <s v="30.82%"/>
    <s v="69.18%"/>
    <m/>
    <n v="0.54239999999999999"/>
    <n v="1.2176"/>
    <n v="1.76"/>
    <n v="0.66949999999999998"/>
    <m/>
    <m/>
    <m/>
    <m/>
    <m/>
    <m/>
    <n v="0.54239999999999999"/>
    <m/>
    <n v="0.54810000000000003"/>
    <m/>
    <m/>
    <m/>
    <m/>
    <m/>
    <m/>
    <m/>
    <m/>
    <m/>
    <m/>
    <m/>
    <m/>
    <m/>
    <m/>
    <m/>
    <m/>
    <m/>
    <m/>
    <m/>
    <m/>
    <m/>
    <m/>
    <m/>
    <m/>
    <s v="0.00%"/>
    <s v="0.00%"/>
    <s v="0.00%"/>
    <s v="0.00%"/>
    <m/>
    <m/>
    <m/>
    <m/>
    <m/>
    <m/>
    <m/>
    <s v="0.00%"/>
    <s v="0.00%"/>
    <s v="0.00%"/>
    <s v="0.00%"/>
    <m/>
    <m/>
    <m/>
    <m/>
    <m/>
    <m/>
    <m/>
    <m/>
    <m/>
    <m/>
    <m/>
    <m/>
    <m/>
    <m/>
    <m/>
    <m/>
    <m/>
    <s v="Mike Teixeira"/>
    <m/>
    <s v="06/02/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4/29/2026"/>
    <x v="39"/>
    <n v="5925691"/>
    <s v="Click Here To View"/>
    <s v="Construction"/>
    <n v="5.0899000000000001"/>
    <s v="30.82%"/>
    <s v="0.00%"/>
    <s v="30.82%"/>
    <s v="69.18%"/>
    <m/>
    <n v="1.5687"/>
    <n v="3.5211999999999999"/>
    <n v="5.0899000000000001"/>
    <n v="1.9361999999999999"/>
    <m/>
    <m/>
    <m/>
    <m/>
    <m/>
    <m/>
    <n v="1.5687"/>
    <m/>
    <n v="1.585"/>
    <m/>
    <m/>
    <m/>
    <m/>
    <m/>
    <m/>
    <m/>
    <m/>
    <m/>
    <m/>
    <m/>
    <m/>
    <m/>
    <m/>
    <m/>
    <m/>
    <m/>
    <m/>
    <m/>
    <m/>
    <m/>
    <m/>
    <m/>
    <m/>
    <s v="0.00%"/>
    <s v="0.00%"/>
    <s v="0.00%"/>
    <s v="0.00%"/>
    <m/>
    <m/>
    <m/>
    <m/>
    <m/>
    <m/>
    <m/>
    <s v="0.00%"/>
    <s v="0.00%"/>
    <s v="0.00%"/>
    <s v="0.00%"/>
    <m/>
    <m/>
    <m/>
    <m/>
    <m/>
    <m/>
    <m/>
    <m/>
    <m/>
    <m/>
    <m/>
    <m/>
    <m/>
    <m/>
    <m/>
    <m/>
    <m/>
    <s v="Mike Teixeira"/>
    <m/>
    <s v="06/02/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4/30/2026"/>
    <x v="39"/>
    <n v="5926801"/>
    <s v="Click Here To View"/>
    <s v="Construction"/>
    <n v="5"/>
    <s v="30.82%"/>
    <s v="0.00%"/>
    <s v="30.82%"/>
    <s v="69.18%"/>
    <m/>
    <n v="1.5409999999999999"/>
    <n v="3.4589999999999996"/>
    <n v="5"/>
    <n v="1.9019999999999999"/>
    <m/>
    <m/>
    <m/>
    <m/>
    <m/>
    <m/>
    <n v="1.5409999999999999"/>
    <m/>
    <n v="1.5569999999999999"/>
    <m/>
    <m/>
    <m/>
    <m/>
    <m/>
    <m/>
    <m/>
    <m/>
    <m/>
    <m/>
    <m/>
    <m/>
    <m/>
    <m/>
    <m/>
    <m/>
    <m/>
    <m/>
    <m/>
    <m/>
    <m/>
    <m/>
    <m/>
    <m/>
    <s v="0.00%"/>
    <s v="0.00%"/>
    <s v="0.00%"/>
    <s v="0.00%"/>
    <m/>
    <m/>
    <m/>
    <m/>
    <m/>
    <m/>
    <m/>
    <s v="0.00%"/>
    <s v="0.00%"/>
    <s v="0.00%"/>
    <s v="0.00%"/>
    <m/>
    <m/>
    <m/>
    <m/>
    <m/>
    <m/>
    <m/>
    <m/>
    <m/>
    <m/>
    <m/>
    <m/>
    <m/>
    <m/>
    <m/>
    <m/>
    <m/>
    <s v="Mike Teixeira"/>
    <m/>
    <s v="06/02/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5/04/2026"/>
    <x v="40"/>
    <n v="5928494"/>
    <s v="Click Here To View"/>
    <s v="Construction"/>
    <n v="5.0199999999999996"/>
    <s v="30.82%"/>
    <s v="0.00%"/>
    <s v="30.82%"/>
    <s v="69.18%"/>
    <m/>
    <n v="1.5471999999999999"/>
    <n v="3.4727999999999999"/>
    <n v="5.0199999999999996"/>
    <n v="1.9096"/>
    <m/>
    <m/>
    <m/>
    <m/>
    <m/>
    <m/>
    <n v="1.5471999999999999"/>
    <m/>
    <n v="1.5631999999999999"/>
    <m/>
    <m/>
    <m/>
    <m/>
    <m/>
    <m/>
    <m/>
    <m/>
    <m/>
    <m/>
    <m/>
    <m/>
    <m/>
    <m/>
    <m/>
    <m/>
    <m/>
    <m/>
    <m/>
    <m/>
    <m/>
    <m/>
    <m/>
    <m/>
    <s v="0.00%"/>
    <s v="0.00%"/>
    <s v="0.00%"/>
    <s v="0.00%"/>
    <m/>
    <m/>
    <m/>
    <m/>
    <m/>
    <m/>
    <m/>
    <s v="0.00%"/>
    <s v="0.00%"/>
    <s v="0.00%"/>
    <s v="0.00%"/>
    <m/>
    <m/>
    <m/>
    <m/>
    <m/>
    <m/>
    <m/>
    <m/>
    <m/>
    <m/>
    <m/>
    <m/>
    <m/>
    <m/>
    <m/>
    <m/>
    <m/>
    <s v="Mike Teixeira"/>
    <m/>
    <s v="06/02/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5/05/2026"/>
    <x v="40"/>
    <n v="5929437"/>
    <s v="Click Here To View"/>
    <s v="Construction"/>
    <n v="9.73"/>
    <s v="30.82%"/>
    <s v="0.00%"/>
    <s v="30.82%"/>
    <s v="69.18%"/>
    <m/>
    <n v="2.9988000000000001"/>
    <n v="6.7311999999999994"/>
    <n v="9.73"/>
    <n v="3.7012999999999998"/>
    <m/>
    <m/>
    <m/>
    <m/>
    <m/>
    <m/>
    <n v="2.9988000000000001"/>
    <m/>
    <n v="3.0299"/>
    <m/>
    <m/>
    <m/>
    <m/>
    <m/>
    <m/>
    <m/>
    <m/>
    <m/>
    <m/>
    <m/>
    <m/>
    <m/>
    <m/>
    <m/>
    <m/>
    <m/>
    <m/>
    <m/>
    <m/>
    <m/>
    <m/>
    <m/>
    <m/>
    <s v="0.00%"/>
    <s v="0.00%"/>
    <s v="0.00%"/>
    <s v="0.00%"/>
    <m/>
    <m/>
    <m/>
    <m/>
    <m/>
    <m/>
    <m/>
    <s v="0.00%"/>
    <s v="0.00%"/>
    <s v="0.00%"/>
    <s v="0.00%"/>
    <m/>
    <m/>
    <m/>
    <m/>
    <m/>
    <m/>
    <m/>
    <m/>
    <m/>
    <m/>
    <m/>
    <m/>
    <m/>
    <m/>
    <m/>
    <m/>
    <m/>
    <s v="Mike Teixeira"/>
    <m/>
    <s v="06/02/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5/06/2026"/>
    <x v="40"/>
    <n v="5930198"/>
    <s v="Click Here To View"/>
    <s v="Construction"/>
    <n v="1.67"/>
    <s v="30.82%"/>
    <s v="0.00%"/>
    <s v="30.82%"/>
    <s v="69.18%"/>
    <m/>
    <n v="0.51470000000000005"/>
    <n v="1.1553"/>
    <n v="1.67"/>
    <n v="0.63529999999999998"/>
    <m/>
    <m/>
    <m/>
    <m/>
    <m/>
    <m/>
    <n v="0.51470000000000005"/>
    <m/>
    <n v="0.52"/>
    <m/>
    <m/>
    <m/>
    <m/>
    <m/>
    <m/>
    <m/>
    <m/>
    <m/>
    <m/>
    <m/>
    <m/>
    <m/>
    <m/>
    <m/>
    <m/>
    <m/>
    <m/>
    <m/>
    <m/>
    <m/>
    <m/>
    <m/>
    <m/>
    <s v="0.00%"/>
    <s v="0.00%"/>
    <s v="0.00%"/>
    <s v="0.00%"/>
    <m/>
    <m/>
    <m/>
    <m/>
    <m/>
    <m/>
    <m/>
    <s v="0.00%"/>
    <s v="0.00%"/>
    <s v="0.00%"/>
    <s v="0.00%"/>
    <m/>
    <m/>
    <m/>
    <m/>
    <m/>
    <m/>
    <m/>
    <m/>
    <m/>
    <m/>
    <m/>
    <m/>
    <m/>
    <m/>
    <m/>
    <m/>
    <m/>
    <s v="Mike Teixeira"/>
    <m/>
    <s v="06/02/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5/11/2026"/>
    <x v="40"/>
    <n v="5932534"/>
    <s v="Click Here To View"/>
    <s v="Construction"/>
    <n v="4.5599999999999996"/>
    <s v="30.82%"/>
    <s v="0.00%"/>
    <s v="30.82%"/>
    <s v="69.18%"/>
    <m/>
    <n v="1.4054"/>
    <n v="3.1545999999999998"/>
    <n v="4.5599999999999996"/>
    <n v="1.7345999999999999"/>
    <m/>
    <m/>
    <m/>
    <m/>
    <m/>
    <m/>
    <n v="1.4054"/>
    <m/>
    <n v="1.42"/>
    <m/>
    <m/>
    <m/>
    <m/>
    <m/>
    <m/>
    <m/>
    <m/>
    <m/>
    <m/>
    <m/>
    <m/>
    <m/>
    <m/>
    <m/>
    <m/>
    <m/>
    <m/>
    <m/>
    <m/>
    <m/>
    <m/>
    <m/>
    <m/>
    <s v="0.00%"/>
    <s v="0.00%"/>
    <s v="0.00%"/>
    <s v="0.00%"/>
    <m/>
    <m/>
    <m/>
    <m/>
    <m/>
    <m/>
    <m/>
    <s v="0.00%"/>
    <s v="0.00%"/>
    <s v="0.00%"/>
    <s v="0.00%"/>
    <m/>
    <m/>
    <m/>
    <m/>
    <m/>
    <m/>
    <m/>
    <m/>
    <m/>
    <m/>
    <m/>
    <m/>
    <m/>
    <m/>
    <m/>
    <m/>
    <m/>
    <s v="Mike Teixeira"/>
    <m/>
    <s v="06/02/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5/12/2026"/>
    <x v="40"/>
    <n v="5933636"/>
    <s v="Click Here To View"/>
    <s v="Construction"/>
    <n v="4.3599999999999994"/>
    <s v="30.82%"/>
    <s v="0.00%"/>
    <s v="30.82%"/>
    <s v="69.18%"/>
    <m/>
    <n v="1.3438000000000001"/>
    <n v="3.0162"/>
    <n v="4.3599999999999994"/>
    <n v="1.6585000000000001"/>
    <m/>
    <m/>
    <m/>
    <m/>
    <m/>
    <m/>
    <n v="1.3438000000000001"/>
    <m/>
    <n v="1.3576999999999999"/>
    <m/>
    <m/>
    <m/>
    <m/>
    <m/>
    <m/>
    <m/>
    <m/>
    <m/>
    <m/>
    <m/>
    <m/>
    <m/>
    <m/>
    <m/>
    <m/>
    <m/>
    <m/>
    <m/>
    <m/>
    <m/>
    <m/>
    <m/>
    <m/>
    <s v="0.00%"/>
    <s v="0.00%"/>
    <s v="0.00%"/>
    <s v="0.00%"/>
    <m/>
    <m/>
    <m/>
    <m/>
    <m/>
    <m/>
    <m/>
    <s v="0.00%"/>
    <s v="0.00%"/>
    <s v="0.00%"/>
    <s v="0.00%"/>
    <m/>
    <m/>
    <m/>
    <m/>
    <m/>
    <m/>
    <m/>
    <m/>
    <m/>
    <m/>
    <m/>
    <m/>
    <m/>
    <m/>
    <m/>
    <m/>
    <m/>
    <s v="Mike Teixeira"/>
    <m/>
    <s v="06/02/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5/14/2026"/>
    <x v="40"/>
    <n v="5935732"/>
    <s v="Click Here To View"/>
    <s v="Construction"/>
    <n v="2.0299"/>
    <s v="30.82%"/>
    <s v="0.00%"/>
    <s v="30.82%"/>
    <s v="69.18%"/>
    <m/>
    <n v="0.62560000000000004"/>
    <n v="1.4043000000000001"/>
    <n v="2.0299"/>
    <n v="0.7722"/>
    <m/>
    <m/>
    <m/>
    <m/>
    <m/>
    <m/>
    <n v="0.62560000000000004"/>
    <m/>
    <n v="0.6321"/>
    <m/>
    <m/>
    <m/>
    <m/>
    <m/>
    <m/>
    <m/>
    <m/>
    <m/>
    <m/>
    <m/>
    <m/>
    <m/>
    <m/>
    <m/>
    <m/>
    <m/>
    <m/>
    <m/>
    <m/>
    <m/>
    <m/>
    <m/>
    <m/>
    <s v="0.00%"/>
    <s v="0.00%"/>
    <s v="0.00%"/>
    <s v="0.00%"/>
    <m/>
    <m/>
    <m/>
    <m/>
    <m/>
    <m/>
    <m/>
    <s v="0.00%"/>
    <s v="0.00%"/>
    <s v="0.00%"/>
    <s v="0.00%"/>
    <m/>
    <m/>
    <m/>
    <m/>
    <m/>
    <m/>
    <m/>
    <m/>
    <m/>
    <m/>
    <m/>
    <m/>
    <m/>
    <m/>
    <m/>
    <m/>
    <m/>
    <s v="Mike Teixeira"/>
    <m/>
    <s v="06/02/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5/19/2026"/>
    <x v="40"/>
    <n v="5937884"/>
    <s v="Click Here To View"/>
    <s v="Construction"/>
    <n v="3.51"/>
    <s v="30.82%"/>
    <s v="0.00%"/>
    <s v="30.82%"/>
    <s v="69.18%"/>
    <m/>
    <n v="1.0818000000000001"/>
    <n v="2.4281999999999999"/>
    <n v="3.51"/>
    <n v="1.3351999999999999"/>
    <m/>
    <m/>
    <m/>
    <m/>
    <m/>
    <m/>
    <n v="1.0818000000000001"/>
    <m/>
    <n v="1.093"/>
    <m/>
    <m/>
    <m/>
    <m/>
    <m/>
    <m/>
    <m/>
    <m/>
    <m/>
    <m/>
    <m/>
    <m/>
    <m/>
    <m/>
    <m/>
    <m/>
    <m/>
    <m/>
    <m/>
    <m/>
    <m/>
    <m/>
    <m/>
    <m/>
    <s v="0.00%"/>
    <s v="0.00%"/>
    <s v="0.00%"/>
    <s v="0.00%"/>
    <m/>
    <m/>
    <m/>
    <m/>
    <m/>
    <m/>
    <m/>
    <s v="0.00%"/>
    <s v="0.00%"/>
    <s v="0.00%"/>
    <s v="0.00%"/>
    <m/>
    <m/>
    <m/>
    <m/>
    <m/>
    <m/>
    <m/>
    <m/>
    <m/>
    <m/>
    <m/>
    <m/>
    <m/>
    <m/>
    <m/>
    <m/>
    <m/>
    <s v="Mike Teixeira"/>
    <m/>
    <s v="06/02/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5/22/2026"/>
    <x v="40"/>
    <n v="5940159"/>
    <s v="Click Here To View"/>
    <s v="Construction"/>
    <n v="7.06"/>
    <s v="30.82%"/>
    <s v="0.00%"/>
    <s v="30.82%"/>
    <s v="69.18%"/>
    <m/>
    <n v="2.1758999999999999"/>
    <n v="4.8841000000000001"/>
    <n v="7.06"/>
    <n v="2.6856"/>
    <m/>
    <m/>
    <m/>
    <m/>
    <m/>
    <m/>
    <n v="2.1758999999999999"/>
    <m/>
    <n v="2.1985000000000001"/>
    <m/>
    <m/>
    <m/>
    <m/>
    <m/>
    <m/>
    <m/>
    <m/>
    <m/>
    <m/>
    <m/>
    <m/>
    <m/>
    <m/>
    <m/>
    <m/>
    <m/>
    <m/>
    <m/>
    <m/>
    <m/>
    <m/>
    <m/>
    <m/>
    <s v="0.00%"/>
    <s v="0.00%"/>
    <s v="0.00%"/>
    <s v="0.00%"/>
    <m/>
    <m/>
    <m/>
    <m/>
    <m/>
    <m/>
    <m/>
    <s v="0.00%"/>
    <s v="0.00%"/>
    <s v="0.00%"/>
    <s v="0.00%"/>
    <m/>
    <m/>
    <m/>
    <m/>
    <m/>
    <m/>
    <m/>
    <m/>
    <m/>
    <m/>
    <m/>
    <m/>
    <m/>
    <m/>
    <m/>
    <m/>
    <m/>
    <s v="Mike Teixeira"/>
    <m/>
    <s v="06/02/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5/27/2026"/>
    <x v="40"/>
    <n v="5942596"/>
    <s v="Click Here To View"/>
    <s v="Construction"/>
    <n v="5.2"/>
    <s v="30.82%"/>
    <s v="0.00%"/>
    <s v="30.82%"/>
    <s v="69.18%"/>
    <m/>
    <n v="1.6026"/>
    <n v="3.5973999999999999"/>
    <n v="5.2"/>
    <n v="1.9781"/>
    <m/>
    <m/>
    <m/>
    <m/>
    <m/>
    <m/>
    <n v="1.6026"/>
    <m/>
    <n v="1.6193"/>
    <m/>
    <m/>
    <m/>
    <m/>
    <m/>
    <m/>
    <m/>
    <m/>
    <m/>
    <m/>
    <m/>
    <m/>
    <m/>
    <m/>
    <m/>
    <m/>
    <m/>
    <m/>
    <m/>
    <m/>
    <m/>
    <m/>
    <m/>
    <m/>
    <s v="0.00%"/>
    <s v="0.00%"/>
    <s v="0.00%"/>
    <s v="0.00%"/>
    <m/>
    <m/>
    <m/>
    <m/>
    <m/>
    <m/>
    <m/>
    <s v="0.00%"/>
    <s v="0.00%"/>
    <s v="0.00%"/>
    <s v="0.00%"/>
    <m/>
    <m/>
    <m/>
    <m/>
    <m/>
    <m/>
    <m/>
    <m/>
    <m/>
    <m/>
    <m/>
    <m/>
    <m/>
    <m/>
    <m/>
    <m/>
    <m/>
    <s v="Mike Teixeira"/>
    <m/>
    <s v="06/02/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5/29/2026"/>
    <x v="40"/>
    <n v="5943942"/>
    <s v="Click Here To View"/>
    <s v="Construction"/>
    <n v="5.71"/>
    <s v="30.82%"/>
    <s v="0.00%"/>
    <s v="30.82%"/>
    <s v="69.18%"/>
    <m/>
    <n v="1.76"/>
    <n v="3.95"/>
    <n v="5.71"/>
    <n v="2.25"/>
    <m/>
    <m/>
    <m/>
    <m/>
    <m/>
    <m/>
    <n v="1.76"/>
    <m/>
    <n v="1.7"/>
    <m/>
    <m/>
    <m/>
    <m/>
    <m/>
    <m/>
    <m/>
    <m/>
    <m/>
    <m/>
    <m/>
    <m/>
    <m/>
    <m/>
    <m/>
    <m/>
    <m/>
    <m/>
    <m/>
    <m/>
    <m/>
    <m/>
    <m/>
    <m/>
    <s v="0.00%"/>
    <s v="0.00%"/>
    <s v="0.00%"/>
    <s v="0.00%"/>
    <m/>
    <m/>
    <m/>
    <m/>
    <m/>
    <m/>
    <m/>
    <s v="0.00%"/>
    <s v="0.00%"/>
    <s v="0.00%"/>
    <s v="0.00%"/>
    <m/>
    <m/>
    <m/>
    <m/>
    <m/>
    <m/>
    <m/>
    <m/>
    <m/>
    <m/>
    <m/>
    <m/>
    <m/>
    <m/>
    <m/>
    <m/>
    <m/>
    <s v="Mike Teixeira"/>
    <m/>
    <s v="06/22/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6/05/2026"/>
    <x v="41"/>
    <n v="5948631"/>
    <s v="Click Here To View"/>
    <s v="Construction"/>
    <n v="2.5099999999999998"/>
    <s v="30.82%"/>
    <s v="0.00%"/>
    <s v="30.82%"/>
    <s v="69.18%"/>
    <m/>
    <n v="0.77359999999999995"/>
    <n v="1.7363999999999999"/>
    <n v="2.5099999999999998"/>
    <n v="0.95479999999999998"/>
    <m/>
    <m/>
    <m/>
    <m/>
    <m/>
    <m/>
    <n v="0.77359999999999995"/>
    <m/>
    <n v="0.78159999999999996"/>
    <m/>
    <m/>
    <m/>
    <m/>
    <m/>
    <m/>
    <m/>
    <m/>
    <m/>
    <m/>
    <m/>
    <m/>
    <m/>
    <m/>
    <m/>
    <m/>
    <m/>
    <m/>
    <m/>
    <m/>
    <m/>
    <m/>
    <m/>
    <m/>
    <s v="0.00%"/>
    <s v="0.00%"/>
    <s v="0.00%"/>
    <s v="0.00%"/>
    <m/>
    <m/>
    <m/>
    <m/>
    <m/>
    <m/>
    <m/>
    <s v="0.00%"/>
    <s v="0.00%"/>
    <s v="0.00%"/>
    <s v="0.00%"/>
    <m/>
    <m/>
    <m/>
    <m/>
    <m/>
    <m/>
    <m/>
    <m/>
    <m/>
    <m/>
    <m/>
    <m/>
    <m/>
    <m/>
    <m/>
    <m/>
    <m/>
    <s v="Mike Teixeira"/>
    <m/>
    <s v="06/22/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6/09/2026"/>
    <x v="41"/>
    <n v="5950358"/>
    <s v="Click Here To View"/>
    <s v="Construction"/>
    <n v="3.02"/>
    <s v="30.82%"/>
    <s v="0.00%"/>
    <s v="30.82%"/>
    <s v="69.18%"/>
    <m/>
    <n v="0.93079999999999996"/>
    <n v="2.0891999999999999"/>
    <n v="3.02"/>
    <n v="1.1488"/>
    <m/>
    <m/>
    <m/>
    <m/>
    <m/>
    <m/>
    <n v="0.93079999999999996"/>
    <m/>
    <n v="0.94040000000000001"/>
    <m/>
    <m/>
    <m/>
    <m/>
    <m/>
    <m/>
    <m/>
    <m/>
    <m/>
    <m/>
    <m/>
    <m/>
    <m/>
    <m/>
    <m/>
    <m/>
    <m/>
    <m/>
    <m/>
    <m/>
    <m/>
    <m/>
    <m/>
    <m/>
    <s v="0.00%"/>
    <s v="0.00%"/>
    <s v="0.00%"/>
    <s v="0.00%"/>
    <m/>
    <m/>
    <m/>
    <m/>
    <m/>
    <m/>
    <m/>
    <s v="0.00%"/>
    <s v="0.00%"/>
    <s v="0.00%"/>
    <s v="0.00%"/>
    <m/>
    <m/>
    <m/>
    <m/>
    <m/>
    <m/>
    <m/>
    <m/>
    <m/>
    <m/>
    <m/>
    <m/>
    <m/>
    <m/>
    <m/>
    <m/>
    <m/>
    <s v="Mike Teixeira"/>
    <m/>
    <s v="06/22/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6/11/2026"/>
    <x v="41"/>
    <n v="5952010"/>
    <s v="Click Here To View"/>
    <s v="Construction"/>
    <n v="2.79"/>
    <s v="30.82%"/>
    <s v="0.00%"/>
    <s v="30.82%"/>
    <s v="69.18%"/>
    <m/>
    <n v="0.8599"/>
    <n v="1.9300999999999999"/>
    <n v="2.79"/>
    <n v="1.0612999999999999"/>
    <m/>
    <m/>
    <m/>
    <m/>
    <m/>
    <m/>
    <n v="0.8599"/>
    <m/>
    <n v="0.86880000000000002"/>
    <m/>
    <m/>
    <m/>
    <m/>
    <m/>
    <m/>
    <m/>
    <m/>
    <m/>
    <m/>
    <m/>
    <m/>
    <m/>
    <m/>
    <m/>
    <m/>
    <m/>
    <m/>
    <m/>
    <m/>
    <m/>
    <m/>
    <m/>
    <m/>
    <s v="0.00%"/>
    <s v="0.00%"/>
    <s v="0.00%"/>
    <s v="0.00%"/>
    <m/>
    <m/>
    <m/>
    <m/>
    <m/>
    <m/>
    <m/>
    <s v="0.00%"/>
    <s v="0.00%"/>
    <s v="0.00%"/>
    <s v="0.00%"/>
    <m/>
    <m/>
    <m/>
    <m/>
    <m/>
    <m/>
    <m/>
    <m/>
    <m/>
    <m/>
    <m/>
    <m/>
    <m/>
    <m/>
    <m/>
    <m/>
    <m/>
    <s v="Mike Teixeira"/>
    <m/>
    <s v="06/22/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6/12/2026"/>
    <x v="41"/>
    <n v="5953005"/>
    <s v="Click Here To View"/>
    <s v="Construction"/>
    <n v="1.7399999999999998"/>
    <s v="30.82%"/>
    <s v="0.00%"/>
    <s v="30.82%"/>
    <s v="69.18%"/>
    <m/>
    <n v="0.5363"/>
    <n v="1.2037"/>
    <n v="1.7399999999999998"/>
    <n v="0.66190000000000004"/>
    <m/>
    <m/>
    <m/>
    <m/>
    <m/>
    <m/>
    <n v="0.5363"/>
    <m/>
    <n v="0.54179999999999995"/>
    <m/>
    <m/>
    <m/>
    <m/>
    <m/>
    <m/>
    <m/>
    <m/>
    <m/>
    <m/>
    <m/>
    <m/>
    <m/>
    <m/>
    <m/>
    <m/>
    <m/>
    <m/>
    <m/>
    <m/>
    <m/>
    <m/>
    <m/>
    <m/>
    <s v="0.00%"/>
    <s v="0.00%"/>
    <s v="0.00%"/>
    <s v="0.00%"/>
    <m/>
    <m/>
    <m/>
    <m/>
    <m/>
    <m/>
    <m/>
    <s v="0.00%"/>
    <s v="0.00%"/>
    <s v="0.00%"/>
    <s v="0.00%"/>
    <m/>
    <m/>
    <m/>
    <m/>
    <m/>
    <m/>
    <m/>
    <m/>
    <m/>
    <m/>
    <m/>
    <m/>
    <m/>
    <m/>
    <m/>
    <m/>
    <m/>
    <s v="Mike Teixeira"/>
    <m/>
    <s v="06/22/2026"/>
    <s v="Mike Teixeira"/>
    <m/>
    <m/>
  </r>
  <r>
    <s v="Oakland/San Francisco/San Jose"/>
    <s v="UCB Gateway"/>
    <n v="210784"/>
    <m/>
    <s v="Higher Education | Laboratory / Research | 005 | 004"/>
    <n v="368"/>
    <s v="Certified Blue Recycling"/>
    <s v="S Barron"/>
    <s v="Certified Blue Recycling Without ADC (LEED)"/>
    <s v="2075 Williams St, San Leandro, CA 94577"/>
    <m/>
    <s v="12/01/2022"/>
    <x v="37"/>
    <n v="82137"/>
    <s v="Click Here To View"/>
    <s v="Demolition"/>
    <n v="1.31"/>
    <s v="100.00%"/>
    <s v="0.00%"/>
    <s v="100.00%"/>
    <s v="0.00%"/>
    <m/>
    <n v="1.31"/>
    <m/>
    <n v="1.31"/>
    <m/>
    <m/>
    <m/>
    <m/>
    <m/>
    <m/>
    <m/>
    <m/>
    <m/>
    <m/>
    <m/>
    <m/>
    <m/>
    <m/>
    <m/>
    <m/>
    <m/>
    <m/>
    <m/>
    <m/>
    <m/>
    <m/>
    <m/>
    <m/>
    <m/>
    <m/>
    <m/>
    <m/>
    <m/>
    <m/>
    <m/>
    <n v="1.31"/>
    <m/>
    <m/>
    <s v="0.00%"/>
    <s v="0.00%"/>
    <s v="0.00%"/>
    <s v="0.00%"/>
    <m/>
    <m/>
    <m/>
    <m/>
    <m/>
    <m/>
    <m/>
    <s v="0.00%"/>
    <s v="0.00%"/>
    <s v="0.00%"/>
    <s v="0.00%"/>
    <m/>
    <m/>
    <m/>
    <m/>
    <m/>
    <m/>
    <m/>
    <m/>
    <m/>
    <m/>
    <m/>
    <m/>
    <m/>
    <m/>
    <m/>
    <m/>
    <m/>
    <s v="Mahek Pathak"/>
    <m/>
    <s v="02/21/2023"/>
    <s v="Mahek Pathak"/>
    <m/>
    <m/>
  </r>
  <r>
    <s v="Oakland/San Francisco/San Jose"/>
    <s v="UCB Gateway"/>
    <n v="210784"/>
    <m/>
    <s v="Higher Education | Laboratory / Research | 005 | 004"/>
    <n v="368"/>
    <s v="Garden of Eden Landscapes, Inc."/>
    <s v="Silvia Teixeria"/>
    <s v="Waste Management"/>
    <s v="2615 Davis Street, San Leandro, San Leandro, CA 94577"/>
    <m/>
    <s v="07/05/2023"/>
    <x v="13"/>
    <n v="5288699"/>
    <s v="Click Here To View"/>
    <s v="Construction"/>
    <n v="3.61"/>
    <s v="100.00%"/>
    <s v="0.00%"/>
    <s v="100.00%"/>
    <s v="0.00%"/>
    <m/>
    <n v="3.61"/>
    <m/>
    <n v="3.61"/>
    <m/>
    <m/>
    <m/>
    <m/>
    <m/>
    <m/>
    <m/>
    <m/>
    <m/>
    <m/>
    <m/>
    <m/>
    <m/>
    <m/>
    <m/>
    <m/>
    <m/>
    <m/>
    <m/>
    <m/>
    <m/>
    <m/>
    <m/>
    <m/>
    <m/>
    <m/>
    <m/>
    <m/>
    <m/>
    <m/>
    <m/>
    <n v="3.61"/>
    <m/>
    <m/>
    <s v="0.00%"/>
    <s v="0.00%"/>
    <s v="0.00%"/>
    <s v="0.00%"/>
    <m/>
    <m/>
    <m/>
    <m/>
    <m/>
    <m/>
    <m/>
    <s v="0.00%"/>
    <s v="0.00%"/>
    <s v="0.00%"/>
    <s v="0.00%"/>
    <m/>
    <m/>
    <m/>
    <m/>
    <m/>
    <m/>
    <m/>
    <m/>
    <m/>
    <m/>
    <m/>
    <m/>
    <m/>
    <m/>
    <m/>
    <m/>
    <m/>
    <s v="Silvia Teixeira"/>
    <m/>
    <s v="07/13/2023"/>
    <s v="Silvia Teixeira"/>
    <m/>
    <m/>
  </r>
  <r>
    <s v="Oakland/San Francisco/San Jose"/>
    <s v="UCB Gateway"/>
    <n v="210784"/>
    <m/>
    <s v="Higher Education | Laboratory / Research | 005 | 004"/>
    <n v="368"/>
    <s v="Garden of Eden Landscapes, Inc."/>
    <s v="Silvia Teixeria"/>
    <s v="Waste Management"/>
    <s v="2615 Davis Street, San Leandro, San Leandro, CA 94577"/>
    <m/>
    <s v="07/25/2023"/>
    <x v="13"/>
    <n v="5302161"/>
    <s v="Click Here To View"/>
    <s v="Construction"/>
    <n v="4.3099999999999996"/>
    <s v="100.00%"/>
    <s v="0.00%"/>
    <s v="100.00%"/>
    <s v="0.00%"/>
    <m/>
    <n v="4.3099999999999996"/>
    <m/>
    <n v="4.3099999999999996"/>
    <m/>
    <m/>
    <m/>
    <m/>
    <m/>
    <m/>
    <m/>
    <m/>
    <m/>
    <m/>
    <m/>
    <m/>
    <m/>
    <m/>
    <m/>
    <m/>
    <m/>
    <m/>
    <m/>
    <m/>
    <m/>
    <m/>
    <m/>
    <m/>
    <m/>
    <m/>
    <m/>
    <m/>
    <m/>
    <m/>
    <m/>
    <n v="4.3099999999999996"/>
    <m/>
    <m/>
    <s v="0.00%"/>
    <s v="0.00%"/>
    <s v="0.00%"/>
    <s v="0.00%"/>
    <m/>
    <m/>
    <m/>
    <m/>
    <m/>
    <m/>
    <m/>
    <s v="0.00%"/>
    <s v="0.00%"/>
    <s v="0.00%"/>
    <s v="0.00%"/>
    <m/>
    <m/>
    <m/>
    <m/>
    <m/>
    <m/>
    <m/>
    <m/>
    <m/>
    <m/>
    <m/>
    <m/>
    <m/>
    <m/>
    <m/>
    <m/>
    <m/>
    <s v="Mike Teixeira"/>
    <m/>
    <s v="10/02/2023"/>
    <s v="Mike Teixeira"/>
    <m/>
    <m/>
  </r>
  <r>
    <s v="Oakland/San Francisco/San Jose"/>
    <s v="UCB Gateway"/>
    <n v="210784"/>
    <m/>
    <s v="Higher Education | Laboratory / Research | 005 | 004"/>
    <n v="368"/>
    <s v="Garden of Eden Landscapes, Inc."/>
    <s v="Silvia Teixeria"/>
    <s v="Waste Management"/>
    <s v="2615 Davis Street, San Leandro, San Leandro, CA 94577"/>
    <m/>
    <s v="08/02/2023"/>
    <x v="14"/>
    <n v="5307622"/>
    <s v="Click Here To View"/>
    <s v="Construction"/>
    <n v="4.01"/>
    <s v="100.00%"/>
    <s v="0.00%"/>
    <s v="100.00%"/>
    <s v="0.00%"/>
    <m/>
    <n v="4.01"/>
    <m/>
    <n v="4.01"/>
    <m/>
    <m/>
    <m/>
    <m/>
    <m/>
    <m/>
    <m/>
    <m/>
    <m/>
    <m/>
    <m/>
    <m/>
    <m/>
    <m/>
    <m/>
    <m/>
    <m/>
    <m/>
    <m/>
    <m/>
    <m/>
    <m/>
    <m/>
    <m/>
    <m/>
    <m/>
    <m/>
    <m/>
    <m/>
    <m/>
    <m/>
    <n v="4.01"/>
    <m/>
    <m/>
    <s v="0.00%"/>
    <s v="0.00%"/>
    <s v="0.00%"/>
    <s v="0.00%"/>
    <m/>
    <m/>
    <m/>
    <m/>
    <m/>
    <m/>
    <m/>
    <s v="0.00%"/>
    <s v="0.00%"/>
    <s v="0.00%"/>
    <s v="0.00%"/>
    <m/>
    <m/>
    <m/>
    <m/>
    <m/>
    <m/>
    <m/>
    <m/>
    <m/>
    <m/>
    <m/>
    <m/>
    <m/>
    <m/>
    <m/>
    <m/>
    <m/>
    <s v="Mike Teixeira"/>
    <m/>
    <s v="10/02/2023"/>
    <s v="Mike Teixeira"/>
    <m/>
    <m/>
  </r>
  <r>
    <s v="Oakland/San Francisco/San Jose"/>
    <s v="UCB Gateway"/>
    <n v="210784"/>
    <m/>
    <s v="Higher Education | Laboratory / Research | 005 | 004"/>
    <n v="368"/>
    <s v="Garden of Eden Landscapes, Inc."/>
    <s v="Silvia Teixeria"/>
    <s v="Waste Management"/>
    <s v="2615 Davis Street, San Leandro, San Leandro, CA 94577"/>
    <m/>
    <s v="08/09/2023"/>
    <x v="14"/>
    <n v="5312631"/>
    <s v="Click Here To View"/>
    <s v="Construction"/>
    <n v="4.04"/>
    <s v="100.00%"/>
    <s v="0.00%"/>
    <s v="100.00%"/>
    <s v="0.00%"/>
    <m/>
    <n v="4.04"/>
    <m/>
    <n v="4.04"/>
    <m/>
    <m/>
    <m/>
    <m/>
    <m/>
    <m/>
    <m/>
    <m/>
    <m/>
    <m/>
    <m/>
    <m/>
    <m/>
    <m/>
    <m/>
    <m/>
    <m/>
    <m/>
    <m/>
    <m/>
    <m/>
    <m/>
    <m/>
    <m/>
    <m/>
    <m/>
    <m/>
    <m/>
    <m/>
    <m/>
    <m/>
    <n v="4.04"/>
    <m/>
    <m/>
    <s v="0.00%"/>
    <s v="0.00%"/>
    <s v="0.00%"/>
    <s v="0.00%"/>
    <m/>
    <m/>
    <m/>
    <m/>
    <m/>
    <m/>
    <m/>
    <s v="0.00%"/>
    <s v="0.00%"/>
    <s v="0.00%"/>
    <s v="0.00%"/>
    <m/>
    <m/>
    <m/>
    <m/>
    <m/>
    <m/>
    <m/>
    <m/>
    <m/>
    <m/>
    <m/>
    <m/>
    <m/>
    <m/>
    <m/>
    <m/>
    <m/>
    <s v="Mike Teixeira"/>
    <m/>
    <s v="10/02/2023"/>
    <s v="Mike Teixeira"/>
    <m/>
    <m/>
  </r>
  <r>
    <s v="Oakland/San Francisco/San Jose"/>
    <s v="UCB Gateway"/>
    <n v="210784"/>
    <m/>
    <s v="Higher Education | Laboratory / Research | 005 | 004"/>
    <n v="368"/>
    <s v="Garden of Eden Landscapes, Inc."/>
    <s v="Silvia Teixeria"/>
    <s v="Waste Management"/>
    <s v="2615 Davis Street, San Leandro, San Leandro, CA 94577"/>
    <m/>
    <s v="08/17/2023"/>
    <x v="14"/>
    <n v="5317934"/>
    <s v="Click Here To View"/>
    <s v="Construction"/>
    <n v="4.3899999999999997"/>
    <s v="100.00%"/>
    <s v="0.00%"/>
    <s v="100.00%"/>
    <s v="0.00%"/>
    <m/>
    <n v="4.3899999999999997"/>
    <m/>
    <n v="4.3899999999999997"/>
    <m/>
    <m/>
    <m/>
    <m/>
    <m/>
    <m/>
    <m/>
    <m/>
    <m/>
    <m/>
    <m/>
    <m/>
    <m/>
    <m/>
    <m/>
    <m/>
    <m/>
    <m/>
    <m/>
    <m/>
    <m/>
    <m/>
    <m/>
    <m/>
    <m/>
    <m/>
    <m/>
    <m/>
    <m/>
    <m/>
    <m/>
    <n v="4.3899999999999997"/>
    <m/>
    <m/>
    <s v="0.00%"/>
    <s v="0.00%"/>
    <s v="0.00%"/>
    <s v="0.00%"/>
    <m/>
    <m/>
    <m/>
    <m/>
    <m/>
    <m/>
    <m/>
    <s v="0.00%"/>
    <s v="0.00%"/>
    <s v="0.00%"/>
    <s v="0.00%"/>
    <m/>
    <m/>
    <m/>
    <m/>
    <m/>
    <m/>
    <m/>
    <m/>
    <m/>
    <m/>
    <m/>
    <m/>
    <m/>
    <m/>
    <m/>
    <m/>
    <m/>
    <s v="Mike Teixeira"/>
    <m/>
    <s v="10/02/2023"/>
    <s v="Mike Teixeira"/>
    <m/>
    <m/>
  </r>
  <r>
    <s v="Oakland/San Francisco/San Jose"/>
    <s v="UCB Gateway"/>
    <n v="210784"/>
    <m/>
    <s v="Higher Education | Laboratory / Research | 005 | 004"/>
    <n v="368"/>
    <s v="Garden of Eden Landscapes, Inc."/>
    <s v="Silvia Teixeria"/>
    <s v="Waste Management"/>
    <s v="2615 Davis Street, San Leandro, San Leandro, CA 94577"/>
    <m/>
    <s v="08/23/2023"/>
    <x v="14"/>
    <n v="5321900"/>
    <s v="Click Here To View"/>
    <s v="Construction"/>
    <n v="3.82"/>
    <s v="100.00%"/>
    <s v="0.00%"/>
    <s v="100.00%"/>
    <s v="0.00%"/>
    <m/>
    <n v="3.82"/>
    <m/>
    <n v="3.82"/>
    <m/>
    <m/>
    <m/>
    <m/>
    <m/>
    <m/>
    <m/>
    <m/>
    <m/>
    <m/>
    <m/>
    <m/>
    <m/>
    <m/>
    <m/>
    <m/>
    <m/>
    <m/>
    <m/>
    <m/>
    <m/>
    <m/>
    <m/>
    <m/>
    <m/>
    <m/>
    <m/>
    <m/>
    <m/>
    <m/>
    <m/>
    <n v="3.82"/>
    <m/>
    <m/>
    <s v="0.00%"/>
    <s v="0.00%"/>
    <s v="0.00%"/>
    <s v="0.00%"/>
    <m/>
    <m/>
    <m/>
    <m/>
    <m/>
    <m/>
    <m/>
    <s v="0.00%"/>
    <s v="0.00%"/>
    <s v="0.00%"/>
    <s v="0.00%"/>
    <m/>
    <m/>
    <m/>
    <m/>
    <m/>
    <m/>
    <m/>
    <m/>
    <m/>
    <m/>
    <m/>
    <m/>
    <m/>
    <m/>
    <m/>
    <m/>
    <m/>
    <s v="Mike Teixeira"/>
    <m/>
    <s v="10/02/2023"/>
    <s v="Mike Teixeira"/>
    <m/>
    <m/>
  </r>
  <r>
    <s v="Oakland/San Francisco/San Jose"/>
    <s v="UCB Gateway"/>
    <n v="210784"/>
    <m/>
    <s v="Higher Education | Laboratory / Research | 005 | 004"/>
    <n v="368"/>
    <s v="Garden of Eden Landscapes, Inc."/>
    <s v="Silvia Teixeria"/>
    <s v="Waste Management"/>
    <s v="2615 Davis Street, San Leandro, San Leandro, CA 94577"/>
    <m/>
    <s v="08/28/2023"/>
    <x v="14"/>
    <n v="5324791"/>
    <s v="Click Here To View"/>
    <s v="Construction"/>
    <n v="3.14"/>
    <s v="100.00%"/>
    <s v="0.00%"/>
    <s v="100.00%"/>
    <s v="0.00%"/>
    <m/>
    <n v="3.14"/>
    <m/>
    <n v="3.14"/>
    <m/>
    <m/>
    <m/>
    <m/>
    <m/>
    <m/>
    <m/>
    <m/>
    <m/>
    <m/>
    <m/>
    <m/>
    <m/>
    <m/>
    <m/>
    <m/>
    <m/>
    <m/>
    <m/>
    <m/>
    <m/>
    <m/>
    <m/>
    <m/>
    <m/>
    <m/>
    <m/>
    <m/>
    <m/>
    <m/>
    <m/>
    <n v="3.14"/>
    <m/>
    <m/>
    <s v="0.00%"/>
    <s v="0.00%"/>
    <s v="0.00%"/>
    <s v="0.00%"/>
    <m/>
    <m/>
    <m/>
    <m/>
    <m/>
    <m/>
    <m/>
    <s v="0.00%"/>
    <s v="0.00%"/>
    <s v="0.00%"/>
    <s v="0.00%"/>
    <m/>
    <m/>
    <m/>
    <m/>
    <m/>
    <m/>
    <m/>
    <m/>
    <m/>
    <m/>
    <m/>
    <m/>
    <m/>
    <m/>
    <m/>
    <m/>
    <m/>
    <s v="Mike Teixeira"/>
    <m/>
    <s v="10/02/2023"/>
    <s v="Mike Teixeira"/>
    <m/>
    <m/>
  </r>
  <r>
    <s v="Oakland/San Francisco/San Jose"/>
    <s v="UCB Gateway"/>
    <n v="210784"/>
    <m/>
    <s v="Higher Education | Laboratory / Research | 005 | 004"/>
    <n v="368"/>
    <s v="Garden of Eden Landscapes, Inc."/>
    <s v="Silvia Teixeria"/>
    <s v="Waste Management"/>
    <s v="2615 Davis Street, San Leandro, San Leandro, CA 94577"/>
    <m/>
    <s v="09/07/2023"/>
    <x v="15"/>
    <n v="5331804"/>
    <s v="Click Here To View"/>
    <s v="Construction"/>
    <n v="3.53"/>
    <s v="100.00%"/>
    <s v="0.00%"/>
    <s v="100.00%"/>
    <s v="0.00%"/>
    <m/>
    <n v="3.53"/>
    <m/>
    <n v="3.53"/>
    <m/>
    <m/>
    <m/>
    <m/>
    <m/>
    <m/>
    <m/>
    <m/>
    <m/>
    <m/>
    <m/>
    <m/>
    <m/>
    <m/>
    <m/>
    <m/>
    <m/>
    <m/>
    <m/>
    <m/>
    <m/>
    <m/>
    <m/>
    <m/>
    <m/>
    <m/>
    <m/>
    <m/>
    <m/>
    <m/>
    <m/>
    <n v="3.53"/>
    <m/>
    <m/>
    <s v="0.00%"/>
    <s v="0.00%"/>
    <s v="0.00%"/>
    <s v="0.00%"/>
    <m/>
    <m/>
    <m/>
    <m/>
    <m/>
    <m/>
    <m/>
    <s v="0.00%"/>
    <s v="0.00%"/>
    <s v="0.00%"/>
    <s v="0.00%"/>
    <m/>
    <m/>
    <m/>
    <m/>
    <m/>
    <m/>
    <m/>
    <m/>
    <m/>
    <m/>
    <m/>
    <m/>
    <m/>
    <m/>
    <m/>
    <m/>
    <m/>
    <s v="Mike Teixeira"/>
    <m/>
    <s v="10/02/2023"/>
    <s v="Mike Teixeira"/>
    <m/>
    <m/>
  </r>
  <r>
    <s v="Oakland/San Francisco/San Jose"/>
    <s v="UCB Gateway"/>
    <n v="210784"/>
    <m/>
    <s v="Higher Education | Laboratory / Research | 005 | 004"/>
    <n v="368"/>
    <s v="Garden of Eden Landscapes, Inc."/>
    <s v="Silvia Teixeria"/>
    <s v="Waste Management"/>
    <s v="2615 Davis Street, San Leandro, San Leandro, CA 94577"/>
    <m/>
    <s v="09/12/2023"/>
    <x v="15"/>
    <n v="5335115"/>
    <s v="Click Here To View"/>
    <s v="Construction"/>
    <n v="3.1"/>
    <s v="100.00%"/>
    <s v="0.00%"/>
    <s v="100.00%"/>
    <s v="0.00%"/>
    <m/>
    <n v="3.1"/>
    <m/>
    <n v="3.1"/>
    <m/>
    <m/>
    <m/>
    <m/>
    <m/>
    <m/>
    <m/>
    <m/>
    <m/>
    <m/>
    <m/>
    <m/>
    <m/>
    <m/>
    <m/>
    <m/>
    <m/>
    <m/>
    <m/>
    <m/>
    <m/>
    <m/>
    <m/>
    <m/>
    <m/>
    <m/>
    <m/>
    <m/>
    <m/>
    <m/>
    <m/>
    <n v="3.1"/>
    <m/>
    <m/>
    <s v="0.00%"/>
    <s v="0.00%"/>
    <s v="0.00%"/>
    <s v="0.00%"/>
    <m/>
    <m/>
    <m/>
    <m/>
    <m/>
    <m/>
    <m/>
    <s v="0.00%"/>
    <s v="0.00%"/>
    <s v="0.00%"/>
    <s v="0.00%"/>
    <m/>
    <m/>
    <m/>
    <m/>
    <m/>
    <m/>
    <m/>
    <m/>
    <m/>
    <m/>
    <m/>
    <m/>
    <m/>
    <m/>
    <m/>
    <m/>
    <m/>
    <s v="Mike Teixeira"/>
    <m/>
    <s v="10/02/2023"/>
    <s v="Mike Teixeira"/>
    <m/>
    <m/>
  </r>
  <r>
    <s v="Oakland/San Francisco/San Jose"/>
    <s v="UCB Gateway"/>
    <n v="210784"/>
    <m/>
    <s v="Higher Education | Laboratory / Research | 005 | 004"/>
    <n v="368"/>
    <s v="Garden of Eden Landscapes, Inc."/>
    <s v="Silvia Teixeria"/>
    <s v="Waste Management"/>
    <s v="2615 Davis Street, San Leandro, San Leandro, CA 94577"/>
    <m/>
    <s v="09/15/2023"/>
    <x v="15"/>
    <n v="5337769"/>
    <s v="Click Here To View"/>
    <s v="Construction"/>
    <n v="2.66"/>
    <s v="100.00%"/>
    <s v="0.00%"/>
    <s v="100.00%"/>
    <s v="0.00%"/>
    <m/>
    <n v="2.66"/>
    <m/>
    <n v="2.66"/>
    <m/>
    <m/>
    <m/>
    <m/>
    <m/>
    <m/>
    <m/>
    <m/>
    <m/>
    <m/>
    <m/>
    <m/>
    <m/>
    <m/>
    <m/>
    <m/>
    <m/>
    <m/>
    <m/>
    <m/>
    <m/>
    <m/>
    <m/>
    <m/>
    <m/>
    <m/>
    <m/>
    <m/>
    <m/>
    <m/>
    <m/>
    <n v="2.66"/>
    <m/>
    <m/>
    <s v="0.00%"/>
    <s v="0.00%"/>
    <s v="0.00%"/>
    <s v="0.00%"/>
    <m/>
    <m/>
    <m/>
    <m/>
    <m/>
    <m/>
    <m/>
    <s v="0.00%"/>
    <s v="0.00%"/>
    <s v="0.00%"/>
    <s v="0.00%"/>
    <m/>
    <m/>
    <m/>
    <m/>
    <m/>
    <m/>
    <m/>
    <m/>
    <m/>
    <m/>
    <m/>
    <m/>
    <m/>
    <m/>
    <m/>
    <m/>
    <m/>
    <s v="Mike Teixeira"/>
    <m/>
    <s v="10/02/2023"/>
    <s v="Mike Teixeira"/>
    <m/>
    <m/>
  </r>
  <r>
    <s v="Oakland/San Francisco/San Jose"/>
    <s v="UCB Gateway"/>
    <n v="210784"/>
    <m/>
    <s v="Higher Education | Laboratory / Research | 005 | 004"/>
    <n v="368"/>
    <s v="Garden of Eden Landscapes, Inc."/>
    <s v="Silvia Teixeria"/>
    <s v="Waste Management"/>
    <s v="2615 Davis Street, San Leandro, San Leandro, CA 94577"/>
    <m/>
    <s v="09/22/2023"/>
    <x v="15"/>
    <n v="5342159"/>
    <s v="Click Here To View"/>
    <s v="Construction"/>
    <n v="3.46"/>
    <s v="100.00%"/>
    <s v="0.00%"/>
    <s v="100.00%"/>
    <s v="0.00%"/>
    <m/>
    <n v="3.46"/>
    <m/>
    <n v="3.46"/>
    <m/>
    <m/>
    <m/>
    <m/>
    <m/>
    <m/>
    <m/>
    <m/>
    <m/>
    <m/>
    <m/>
    <m/>
    <m/>
    <m/>
    <m/>
    <m/>
    <m/>
    <m/>
    <m/>
    <m/>
    <m/>
    <m/>
    <m/>
    <m/>
    <m/>
    <m/>
    <m/>
    <m/>
    <m/>
    <m/>
    <m/>
    <n v="3.46"/>
    <m/>
    <m/>
    <s v="0.00%"/>
    <s v="0.00%"/>
    <s v="0.00%"/>
    <s v="0.00%"/>
    <m/>
    <m/>
    <m/>
    <m/>
    <m/>
    <m/>
    <m/>
    <s v="0.00%"/>
    <s v="0.00%"/>
    <s v="0.00%"/>
    <s v="0.00%"/>
    <m/>
    <m/>
    <m/>
    <m/>
    <m/>
    <m/>
    <m/>
    <m/>
    <m/>
    <m/>
    <m/>
    <m/>
    <m/>
    <m/>
    <m/>
    <m/>
    <m/>
    <s v="Mike Teixeira"/>
    <m/>
    <s v="10/02/2023"/>
    <s v="Mike Teixeira"/>
    <m/>
    <m/>
  </r>
  <r>
    <s v="Oakland/San Francisco/San Jose"/>
    <s v="UCB Gateway"/>
    <n v="210784"/>
    <m/>
    <s v="Higher Education | Laboratory / Research | 005 | 004"/>
    <n v="368"/>
    <s v="Garden of Eden Landscapes, Inc."/>
    <s v="Silvia Teixeria"/>
    <s v="Waste Management"/>
    <s v="2615 Davis Street, San Leandro, San Leandro, CA 94577"/>
    <m/>
    <s v="09/28/2023"/>
    <x v="15"/>
    <n v="5345896"/>
    <s v="Click Here To View"/>
    <s v="Construction"/>
    <n v="3.39"/>
    <s v="100.00%"/>
    <s v="0.00%"/>
    <s v="100.00%"/>
    <s v="0.00%"/>
    <m/>
    <n v="3.39"/>
    <m/>
    <n v="3.39"/>
    <m/>
    <m/>
    <m/>
    <m/>
    <m/>
    <m/>
    <m/>
    <m/>
    <m/>
    <m/>
    <m/>
    <m/>
    <m/>
    <m/>
    <m/>
    <m/>
    <m/>
    <m/>
    <m/>
    <m/>
    <m/>
    <m/>
    <m/>
    <m/>
    <m/>
    <m/>
    <m/>
    <m/>
    <m/>
    <m/>
    <m/>
    <n v="3.39"/>
    <m/>
    <m/>
    <s v="0.00%"/>
    <s v="0.00%"/>
    <s v="0.00%"/>
    <s v="0.00%"/>
    <m/>
    <m/>
    <m/>
    <m/>
    <m/>
    <m/>
    <m/>
    <s v="0.00%"/>
    <s v="0.00%"/>
    <s v="0.00%"/>
    <s v="0.00%"/>
    <m/>
    <m/>
    <m/>
    <m/>
    <m/>
    <m/>
    <m/>
    <m/>
    <m/>
    <m/>
    <m/>
    <m/>
    <m/>
    <m/>
    <m/>
    <m/>
    <m/>
    <s v="Mike Teixeira"/>
    <m/>
    <s v="10/02/2023"/>
    <s v="Mike Teixeira"/>
    <m/>
    <m/>
  </r>
  <r>
    <s v="Oakland/San Francisco/San Jose"/>
    <s v="UCB Gateway"/>
    <n v="210784"/>
    <m/>
    <s v="Higher Education | Laboratory / Research | 005 | 004"/>
    <n v="368"/>
    <s v="Garden of Eden Landscapes, Inc."/>
    <s v="Silvia Teixeria"/>
    <s v="Waste Management"/>
    <s v="2615 Davis Street, San Leandro, San Leandro, CA 94577"/>
    <m/>
    <s v="10/03/2023"/>
    <x v="16"/>
    <n v="5349320"/>
    <s v="Click Here To View"/>
    <s v="Construction"/>
    <n v="2.86"/>
    <s v="100.00%"/>
    <s v="0.00%"/>
    <s v="100.00%"/>
    <s v="0.00%"/>
    <m/>
    <n v="2.86"/>
    <m/>
    <n v="2.86"/>
    <m/>
    <m/>
    <m/>
    <m/>
    <m/>
    <m/>
    <m/>
    <m/>
    <m/>
    <m/>
    <m/>
    <m/>
    <m/>
    <m/>
    <m/>
    <m/>
    <m/>
    <m/>
    <m/>
    <m/>
    <m/>
    <m/>
    <m/>
    <m/>
    <m/>
    <m/>
    <m/>
    <m/>
    <m/>
    <m/>
    <m/>
    <n v="2.86"/>
    <m/>
    <m/>
    <s v="0.00%"/>
    <s v="0.00%"/>
    <s v="0.00%"/>
    <s v="0.00%"/>
    <m/>
    <m/>
    <m/>
    <m/>
    <m/>
    <m/>
    <m/>
    <s v="0.00%"/>
    <s v="0.00%"/>
    <s v="0.00%"/>
    <s v="0.00%"/>
    <m/>
    <m/>
    <m/>
    <m/>
    <m/>
    <m/>
    <m/>
    <m/>
    <m/>
    <m/>
    <m/>
    <m/>
    <m/>
    <m/>
    <m/>
    <m/>
    <m/>
    <s v="Mike Teixeira"/>
    <m/>
    <s v="11/28/2023"/>
    <s v="Mike Teixeira"/>
    <m/>
    <m/>
  </r>
  <r>
    <s v="Oakland/San Francisco/San Jose"/>
    <s v="UCB Gateway"/>
    <n v="210784"/>
    <m/>
    <s v="Higher Education | Laboratory / Research | 005 | 004"/>
    <n v="368"/>
    <s v="Garden of Eden Landscapes, Inc."/>
    <s v="Silvia Teixeria"/>
    <s v="Waste Management"/>
    <s v="2615 Davis Street, San Leandro, San Leandro, CA 94577"/>
    <m/>
    <s v="10/07/2023"/>
    <x v="16"/>
    <n v="5352192"/>
    <s v="Click Here To View"/>
    <s v="Construction"/>
    <n v="3.05"/>
    <s v="100.00%"/>
    <s v="0.00%"/>
    <s v="100.00%"/>
    <s v="0.00%"/>
    <m/>
    <n v="3.05"/>
    <m/>
    <n v="3.05"/>
    <m/>
    <m/>
    <m/>
    <m/>
    <m/>
    <m/>
    <m/>
    <m/>
    <m/>
    <m/>
    <m/>
    <m/>
    <m/>
    <m/>
    <m/>
    <m/>
    <m/>
    <m/>
    <m/>
    <m/>
    <m/>
    <m/>
    <m/>
    <m/>
    <m/>
    <m/>
    <m/>
    <m/>
    <m/>
    <m/>
    <m/>
    <n v="3.05"/>
    <m/>
    <m/>
    <s v="0.00%"/>
    <s v="0.00%"/>
    <s v="0.00%"/>
    <s v="0.00%"/>
    <m/>
    <m/>
    <m/>
    <m/>
    <m/>
    <m/>
    <m/>
    <s v="0.00%"/>
    <s v="0.00%"/>
    <s v="0.00%"/>
    <s v="0.00%"/>
    <m/>
    <m/>
    <m/>
    <m/>
    <m/>
    <m/>
    <m/>
    <m/>
    <m/>
    <m/>
    <m/>
    <m/>
    <m/>
    <m/>
    <m/>
    <m/>
    <m/>
    <s v="Mike Teixeira"/>
    <m/>
    <s v="11/28/2023"/>
    <s v="Mike Teixeira"/>
    <m/>
    <m/>
  </r>
  <r>
    <s v="Oakland/San Francisco/San Jose"/>
    <s v="UCB Gateway"/>
    <n v="210784"/>
    <m/>
    <s v="Higher Education | Laboratory / Research | 005 | 004"/>
    <n v="368"/>
    <s v="Garden of Eden Landscapes, Inc."/>
    <s v="Silvia Teixeria"/>
    <s v="Waste Management"/>
    <s v="2615 Davis Street, San Leandro, San Leandro, CA 94577"/>
    <m/>
    <s v="10/11/2023"/>
    <x v="16"/>
    <n v="5354344"/>
    <s v="Click Here To View"/>
    <s v="Construction"/>
    <n v="3.37"/>
    <s v="100.00%"/>
    <s v="0.00%"/>
    <s v="100.00%"/>
    <s v="0.00%"/>
    <m/>
    <n v="3.37"/>
    <m/>
    <n v="3.37"/>
    <m/>
    <m/>
    <m/>
    <m/>
    <m/>
    <m/>
    <m/>
    <m/>
    <m/>
    <m/>
    <m/>
    <m/>
    <m/>
    <m/>
    <m/>
    <m/>
    <m/>
    <m/>
    <m/>
    <m/>
    <m/>
    <m/>
    <m/>
    <m/>
    <m/>
    <m/>
    <m/>
    <m/>
    <m/>
    <m/>
    <m/>
    <n v="3.37"/>
    <m/>
    <m/>
    <s v="0.00%"/>
    <s v="0.00%"/>
    <s v="0.00%"/>
    <s v="0.00%"/>
    <m/>
    <m/>
    <m/>
    <m/>
    <m/>
    <m/>
    <m/>
    <s v="0.00%"/>
    <s v="0.00%"/>
    <s v="0.00%"/>
    <s v="0.00%"/>
    <m/>
    <m/>
    <m/>
    <m/>
    <m/>
    <m/>
    <m/>
    <m/>
    <m/>
    <m/>
    <m/>
    <m/>
    <m/>
    <m/>
    <m/>
    <m/>
    <m/>
    <s v="Mike Teixeira"/>
    <m/>
    <s v="11/28/2023"/>
    <s v="Mike Teixeira"/>
    <m/>
    <m/>
  </r>
  <r>
    <s v="Oakland/San Francisco/San Jose"/>
    <s v="UCB Gateway"/>
    <n v="210784"/>
    <m/>
    <s v="Higher Education | Laboratory / Research | 005 | 004"/>
    <n v="368"/>
    <s v="Garden of Eden Landscapes, Inc."/>
    <s v="Silvia Teixeria"/>
    <s v="Waste Management"/>
    <s v="2615 Davis Street, San Leandro, San Leandro, CA 94577"/>
    <m/>
    <s v="10/21/2023"/>
    <x v="16"/>
    <n v="5361249"/>
    <s v="Click Here To View"/>
    <s v="Construction"/>
    <n v="3.51"/>
    <s v="100.00%"/>
    <s v="0.00%"/>
    <s v="100.00%"/>
    <s v="0.00%"/>
    <m/>
    <n v="3.51"/>
    <m/>
    <n v="3.51"/>
    <m/>
    <m/>
    <m/>
    <m/>
    <m/>
    <m/>
    <m/>
    <m/>
    <m/>
    <m/>
    <m/>
    <m/>
    <m/>
    <m/>
    <m/>
    <m/>
    <m/>
    <m/>
    <m/>
    <m/>
    <m/>
    <m/>
    <m/>
    <m/>
    <m/>
    <m/>
    <m/>
    <m/>
    <m/>
    <m/>
    <m/>
    <n v="3.51"/>
    <m/>
    <m/>
    <s v="0.00%"/>
    <s v="0.00%"/>
    <s v="0.00%"/>
    <s v="0.00%"/>
    <m/>
    <m/>
    <m/>
    <m/>
    <m/>
    <m/>
    <m/>
    <s v="0.00%"/>
    <s v="0.00%"/>
    <s v="0.00%"/>
    <s v="0.00%"/>
    <m/>
    <m/>
    <m/>
    <m/>
    <m/>
    <m/>
    <m/>
    <m/>
    <m/>
    <m/>
    <m/>
    <m/>
    <m/>
    <m/>
    <m/>
    <m/>
    <m/>
    <s v="Mike Teixeira"/>
    <m/>
    <s v="01/02/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0/24/2023"/>
    <x v="16"/>
    <n v="5362709"/>
    <s v="Click Here To View"/>
    <s v="Construction"/>
    <n v="4.34"/>
    <s v="100.00%"/>
    <s v="0.00%"/>
    <s v="100.00%"/>
    <s v="0.00%"/>
    <m/>
    <n v="4.34"/>
    <m/>
    <n v="4.34"/>
    <m/>
    <m/>
    <m/>
    <m/>
    <m/>
    <m/>
    <m/>
    <m/>
    <m/>
    <m/>
    <m/>
    <m/>
    <m/>
    <m/>
    <m/>
    <m/>
    <m/>
    <m/>
    <m/>
    <m/>
    <m/>
    <m/>
    <m/>
    <m/>
    <m/>
    <m/>
    <m/>
    <m/>
    <m/>
    <m/>
    <m/>
    <n v="4.34"/>
    <m/>
    <m/>
    <s v="0.00%"/>
    <s v="0.00%"/>
    <s v="0.00%"/>
    <s v="0.00%"/>
    <m/>
    <m/>
    <m/>
    <m/>
    <m/>
    <m/>
    <m/>
    <s v="0.00%"/>
    <s v="0.00%"/>
    <s v="0.00%"/>
    <s v="0.00%"/>
    <m/>
    <m/>
    <m/>
    <m/>
    <m/>
    <m/>
    <m/>
    <m/>
    <m/>
    <m/>
    <m/>
    <m/>
    <m/>
    <m/>
    <m/>
    <m/>
    <m/>
    <s v="Mike Teixeira"/>
    <m/>
    <s v="01/02/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0/25/2023"/>
    <x v="16"/>
    <n v="5363736"/>
    <s v="Click Here To View"/>
    <s v="Construction"/>
    <n v="4.7300000000000004"/>
    <s v="100.00%"/>
    <s v="0.00%"/>
    <s v="100.00%"/>
    <s v="0.00%"/>
    <m/>
    <n v="4.7300000000000004"/>
    <m/>
    <n v="4.7300000000000004"/>
    <m/>
    <m/>
    <m/>
    <m/>
    <m/>
    <m/>
    <m/>
    <m/>
    <m/>
    <m/>
    <m/>
    <m/>
    <m/>
    <m/>
    <m/>
    <m/>
    <m/>
    <m/>
    <m/>
    <m/>
    <m/>
    <m/>
    <m/>
    <m/>
    <m/>
    <m/>
    <m/>
    <m/>
    <m/>
    <m/>
    <m/>
    <n v="4.7300000000000004"/>
    <m/>
    <m/>
    <s v="0.00%"/>
    <s v="0.00%"/>
    <s v="0.00%"/>
    <s v="0.00%"/>
    <m/>
    <m/>
    <m/>
    <m/>
    <m/>
    <m/>
    <m/>
    <s v="0.00%"/>
    <s v="0.00%"/>
    <s v="0.00%"/>
    <s v="0.00%"/>
    <m/>
    <m/>
    <m/>
    <m/>
    <m/>
    <m/>
    <m/>
    <m/>
    <m/>
    <m/>
    <m/>
    <m/>
    <m/>
    <m/>
    <m/>
    <m/>
    <m/>
    <s v="Mike Teixeira"/>
    <m/>
    <s v="01/02/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0/26/2023"/>
    <x v="16"/>
    <n v="5364344"/>
    <s v="Click Here To View"/>
    <s v="Construction"/>
    <n v="3.83"/>
    <s v="100.00%"/>
    <s v="0.00%"/>
    <s v="100.00%"/>
    <s v="0.00%"/>
    <m/>
    <n v="3.83"/>
    <m/>
    <n v="3.83"/>
    <m/>
    <m/>
    <m/>
    <m/>
    <m/>
    <m/>
    <m/>
    <m/>
    <m/>
    <m/>
    <m/>
    <m/>
    <m/>
    <m/>
    <m/>
    <m/>
    <m/>
    <m/>
    <m/>
    <m/>
    <m/>
    <m/>
    <m/>
    <m/>
    <m/>
    <m/>
    <m/>
    <m/>
    <m/>
    <m/>
    <m/>
    <n v="3.83"/>
    <m/>
    <m/>
    <s v="0.00%"/>
    <s v="0.00%"/>
    <s v="0.00%"/>
    <s v="0.00%"/>
    <m/>
    <m/>
    <m/>
    <m/>
    <m/>
    <m/>
    <m/>
    <s v="0.00%"/>
    <s v="0.00%"/>
    <s v="0.00%"/>
    <s v="0.00%"/>
    <m/>
    <m/>
    <m/>
    <m/>
    <m/>
    <m/>
    <m/>
    <m/>
    <m/>
    <m/>
    <m/>
    <m/>
    <m/>
    <m/>
    <m/>
    <m/>
    <m/>
    <s v="Mike Teixeira"/>
    <m/>
    <s v="01/02/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0/25/2023"/>
    <x v="16"/>
    <n v="5363685"/>
    <s v="Click Here To View"/>
    <s v="Construction"/>
    <n v="2.4300000000000002"/>
    <s v="100.00%"/>
    <s v="0.00%"/>
    <s v="100.00%"/>
    <s v="0.00%"/>
    <m/>
    <n v="2.4300000000000002"/>
    <m/>
    <n v="2.4300000000000002"/>
    <m/>
    <m/>
    <m/>
    <m/>
    <m/>
    <m/>
    <m/>
    <m/>
    <m/>
    <m/>
    <m/>
    <m/>
    <m/>
    <m/>
    <m/>
    <m/>
    <m/>
    <m/>
    <m/>
    <m/>
    <m/>
    <m/>
    <m/>
    <m/>
    <m/>
    <m/>
    <m/>
    <m/>
    <m/>
    <m/>
    <m/>
    <n v="2.4300000000000002"/>
    <m/>
    <m/>
    <s v="0.00%"/>
    <s v="0.00%"/>
    <s v="0.00%"/>
    <s v="0.00%"/>
    <m/>
    <m/>
    <m/>
    <m/>
    <m/>
    <m/>
    <m/>
    <s v="0.00%"/>
    <s v="0.00%"/>
    <s v="0.00%"/>
    <s v="0.00%"/>
    <m/>
    <m/>
    <m/>
    <m/>
    <m/>
    <m/>
    <m/>
    <m/>
    <m/>
    <m/>
    <m/>
    <m/>
    <m/>
    <m/>
    <m/>
    <m/>
    <m/>
    <s v="Mike Teixeira"/>
    <m/>
    <s v="01/02/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0/27/2023"/>
    <x v="16"/>
    <n v="5365090"/>
    <s v="Click Here To View"/>
    <s v="Construction"/>
    <n v="0.93"/>
    <s v="100.00%"/>
    <s v="0.00%"/>
    <s v="100.00%"/>
    <s v="0.00%"/>
    <m/>
    <n v="0.93"/>
    <m/>
    <n v="0.93"/>
    <m/>
    <m/>
    <m/>
    <m/>
    <m/>
    <m/>
    <m/>
    <m/>
    <m/>
    <m/>
    <m/>
    <m/>
    <m/>
    <m/>
    <m/>
    <m/>
    <m/>
    <m/>
    <m/>
    <m/>
    <m/>
    <m/>
    <m/>
    <m/>
    <m/>
    <m/>
    <m/>
    <m/>
    <m/>
    <m/>
    <m/>
    <n v="0.93"/>
    <m/>
    <m/>
    <s v="0.00%"/>
    <s v="0.00%"/>
    <s v="0.00%"/>
    <s v="0.00%"/>
    <m/>
    <m/>
    <m/>
    <m/>
    <m/>
    <m/>
    <m/>
    <s v="0.00%"/>
    <s v="0.00%"/>
    <s v="0.00%"/>
    <s v="0.00%"/>
    <m/>
    <m/>
    <m/>
    <m/>
    <m/>
    <m/>
    <m/>
    <m/>
    <m/>
    <m/>
    <m/>
    <m/>
    <m/>
    <m/>
    <m/>
    <m/>
    <m/>
    <s v="Mike Teixeira"/>
    <m/>
    <s v="01/02/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0/27/2023"/>
    <x v="16"/>
    <n v="5365222"/>
    <s v="Click Here To View"/>
    <s v="Construction"/>
    <n v="3.45"/>
    <s v="100.00%"/>
    <s v="0.00%"/>
    <s v="100.00%"/>
    <s v="0.00%"/>
    <m/>
    <n v="3.45"/>
    <m/>
    <n v="3.45"/>
    <m/>
    <m/>
    <m/>
    <m/>
    <m/>
    <m/>
    <m/>
    <m/>
    <m/>
    <m/>
    <m/>
    <m/>
    <m/>
    <m/>
    <m/>
    <m/>
    <m/>
    <m/>
    <m/>
    <m/>
    <m/>
    <m/>
    <m/>
    <m/>
    <m/>
    <m/>
    <m/>
    <m/>
    <m/>
    <m/>
    <m/>
    <n v="3.45"/>
    <m/>
    <m/>
    <s v="0.00%"/>
    <s v="0.00%"/>
    <s v="0.00%"/>
    <s v="0.00%"/>
    <m/>
    <m/>
    <m/>
    <m/>
    <m/>
    <m/>
    <m/>
    <s v="0.00%"/>
    <s v="0.00%"/>
    <s v="0.00%"/>
    <s v="0.00%"/>
    <m/>
    <m/>
    <m/>
    <m/>
    <m/>
    <m/>
    <m/>
    <m/>
    <m/>
    <m/>
    <m/>
    <m/>
    <m/>
    <m/>
    <m/>
    <m/>
    <m/>
    <s v="Mike Teixeira"/>
    <m/>
    <s v="01/02/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1/07/2023"/>
    <x v="17"/>
    <n v="5372050"/>
    <s v="Click Here To View"/>
    <s v="Construction"/>
    <n v="2.2799999999999998"/>
    <s v="100.00%"/>
    <s v="0.00%"/>
    <s v="100.00%"/>
    <s v="0.00%"/>
    <m/>
    <n v="2.2799999999999998"/>
    <m/>
    <n v="2.2799999999999998"/>
    <m/>
    <m/>
    <m/>
    <m/>
    <m/>
    <m/>
    <m/>
    <m/>
    <m/>
    <m/>
    <m/>
    <m/>
    <m/>
    <m/>
    <m/>
    <m/>
    <m/>
    <m/>
    <m/>
    <m/>
    <m/>
    <m/>
    <m/>
    <m/>
    <m/>
    <m/>
    <m/>
    <m/>
    <m/>
    <m/>
    <m/>
    <n v="2.2799999999999998"/>
    <m/>
    <m/>
    <s v="0.00%"/>
    <s v="0.00%"/>
    <s v="0.00%"/>
    <s v="0.00%"/>
    <m/>
    <m/>
    <m/>
    <m/>
    <m/>
    <m/>
    <m/>
    <s v="0.00%"/>
    <s v="0.00%"/>
    <s v="0.00%"/>
    <s v="0.00%"/>
    <m/>
    <m/>
    <m/>
    <m/>
    <m/>
    <m/>
    <m/>
    <m/>
    <m/>
    <m/>
    <m/>
    <m/>
    <m/>
    <m/>
    <m/>
    <m/>
    <m/>
    <s v="Mike Teixeira"/>
    <m/>
    <s v="01/02/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1/13/2023"/>
    <x v="17"/>
    <n v="5375684"/>
    <s v="Click Here To View"/>
    <s v="Construction"/>
    <n v="2.74"/>
    <s v="100.00%"/>
    <s v="0.00%"/>
    <s v="100.00%"/>
    <s v="0.00%"/>
    <m/>
    <n v="2.74"/>
    <m/>
    <n v="2.74"/>
    <m/>
    <m/>
    <m/>
    <m/>
    <m/>
    <m/>
    <m/>
    <m/>
    <m/>
    <m/>
    <m/>
    <m/>
    <m/>
    <m/>
    <m/>
    <m/>
    <m/>
    <m/>
    <m/>
    <m/>
    <m/>
    <m/>
    <m/>
    <m/>
    <m/>
    <m/>
    <m/>
    <m/>
    <m/>
    <m/>
    <m/>
    <n v="2.74"/>
    <m/>
    <m/>
    <s v="0.00%"/>
    <s v="0.00%"/>
    <s v="0.00%"/>
    <s v="0.00%"/>
    <m/>
    <m/>
    <m/>
    <m/>
    <m/>
    <m/>
    <m/>
    <s v="0.00%"/>
    <s v="0.00%"/>
    <s v="0.00%"/>
    <s v="0.00%"/>
    <m/>
    <m/>
    <m/>
    <m/>
    <m/>
    <m/>
    <m/>
    <m/>
    <m/>
    <m/>
    <m/>
    <m/>
    <m/>
    <m/>
    <m/>
    <m/>
    <m/>
    <s v="Mike Teixeira"/>
    <m/>
    <s v="01/02/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2/16/2023"/>
    <x v="18"/>
    <n v="5396677"/>
    <s v="Click Here To View"/>
    <s v="Construction"/>
    <n v="3.88"/>
    <s v="100.00%"/>
    <s v="0.00%"/>
    <s v="100.00%"/>
    <s v="0.00%"/>
    <m/>
    <n v="3.88"/>
    <m/>
    <n v="3.88"/>
    <m/>
    <m/>
    <m/>
    <m/>
    <m/>
    <m/>
    <m/>
    <m/>
    <m/>
    <m/>
    <m/>
    <m/>
    <m/>
    <m/>
    <m/>
    <m/>
    <m/>
    <m/>
    <m/>
    <m/>
    <m/>
    <m/>
    <m/>
    <m/>
    <m/>
    <m/>
    <m/>
    <m/>
    <m/>
    <m/>
    <m/>
    <n v="3.88"/>
    <m/>
    <m/>
    <s v="0.00%"/>
    <s v="0.00%"/>
    <s v="0.00%"/>
    <s v="0.00%"/>
    <m/>
    <m/>
    <m/>
    <m/>
    <m/>
    <m/>
    <m/>
    <s v="0.00%"/>
    <s v="0.00%"/>
    <s v="0.00%"/>
    <s v="0.00%"/>
    <m/>
    <m/>
    <m/>
    <m/>
    <m/>
    <m/>
    <m/>
    <m/>
    <m/>
    <m/>
    <m/>
    <m/>
    <m/>
    <m/>
    <m/>
    <m/>
    <m/>
    <s v="Mike Teixeira"/>
    <m/>
    <s v="01/02/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1/09/2024"/>
    <x v="19"/>
    <n v="5410968"/>
    <s v="Click Here To View"/>
    <s v="Construction"/>
    <n v="1.52"/>
    <s v="100.00%"/>
    <s v="0.00%"/>
    <s v="100.00%"/>
    <s v="0.00%"/>
    <m/>
    <n v="1.52"/>
    <m/>
    <n v="1.52"/>
    <m/>
    <m/>
    <m/>
    <m/>
    <m/>
    <m/>
    <m/>
    <m/>
    <m/>
    <m/>
    <m/>
    <m/>
    <m/>
    <m/>
    <m/>
    <m/>
    <m/>
    <m/>
    <m/>
    <m/>
    <m/>
    <m/>
    <m/>
    <m/>
    <m/>
    <m/>
    <m/>
    <m/>
    <m/>
    <m/>
    <m/>
    <n v="1.52"/>
    <m/>
    <m/>
    <s v="0.00%"/>
    <s v="0.00%"/>
    <s v="0.00%"/>
    <s v="0.00%"/>
    <m/>
    <m/>
    <m/>
    <m/>
    <m/>
    <m/>
    <m/>
    <s v="0.00%"/>
    <s v="0.00%"/>
    <s v="0.00%"/>
    <s v="0.00%"/>
    <m/>
    <m/>
    <m/>
    <m/>
    <m/>
    <m/>
    <m/>
    <m/>
    <m/>
    <m/>
    <m/>
    <m/>
    <m/>
    <m/>
    <m/>
    <m/>
    <m/>
    <s v="Mike Teixeira"/>
    <m/>
    <s v="01/26/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1/12/2024"/>
    <x v="19"/>
    <n v="5413482"/>
    <s v="Click Here To View"/>
    <s v="Construction"/>
    <n v="4.72"/>
    <s v="100.00%"/>
    <s v="0.00%"/>
    <s v="100.00%"/>
    <s v="0.00%"/>
    <m/>
    <n v="4.72"/>
    <m/>
    <n v="4.72"/>
    <m/>
    <m/>
    <m/>
    <m/>
    <m/>
    <m/>
    <m/>
    <m/>
    <m/>
    <m/>
    <m/>
    <m/>
    <m/>
    <m/>
    <m/>
    <m/>
    <m/>
    <m/>
    <m/>
    <m/>
    <m/>
    <m/>
    <m/>
    <m/>
    <m/>
    <m/>
    <m/>
    <m/>
    <m/>
    <m/>
    <m/>
    <n v="4.72"/>
    <m/>
    <m/>
    <s v="0.00%"/>
    <s v="0.00%"/>
    <s v="0.00%"/>
    <s v="0.00%"/>
    <m/>
    <m/>
    <m/>
    <m/>
    <m/>
    <m/>
    <m/>
    <s v="0.00%"/>
    <s v="0.00%"/>
    <s v="0.00%"/>
    <s v="0.00%"/>
    <m/>
    <m/>
    <m/>
    <m/>
    <m/>
    <m/>
    <m/>
    <m/>
    <m/>
    <m/>
    <m/>
    <m/>
    <m/>
    <m/>
    <m/>
    <m/>
    <m/>
    <s v="Mike Teixeira"/>
    <m/>
    <s v="01/26/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1/12/2024"/>
    <x v="19"/>
    <n v="5413378"/>
    <s v="Click Here To View"/>
    <s v="Construction"/>
    <n v="2.29"/>
    <s v="100.00%"/>
    <s v="0.00%"/>
    <s v="100.00%"/>
    <s v="0.00%"/>
    <m/>
    <n v="2.29"/>
    <m/>
    <n v="2.29"/>
    <m/>
    <m/>
    <m/>
    <m/>
    <m/>
    <m/>
    <m/>
    <m/>
    <m/>
    <m/>
    <m/>
    <m/>
    <m/>
    <m/>
    <m/>
    <m/>
    <m/>
    <m/>
    <m/>
    <m/>
    <m/>
    <m/>
    <m/>
    <m/>
    <m/>
    <m/>
    <m/>
    <m/>
    <m/>
    <m/>
    <m/>
    <n v="2.29"/>
    <m/>
    <m/>
    <s v="0.00%"/>
    <s v="0.00%"/>
    <s v="0.00%"/>
    <s v="0.00%"/>
    <m/>
    <m/>
    <m/>
    <m/>
    <m/>
    <m/>
    <m/>
    <s v="0.00%"/>
    <s v="0.00%"/>
    <s v="0.00%"/>
    <s v="0.00%"/>
    <m/>
    <m/>
    <m/>
    <m/>
    <m/>
    <m/>
    <m/>
    <m/>
    <m/>
    <m/>
    <m/>
    <m/>
    <m/>
    <m/>
    <m/>
    <m/>
    <m/>
    <s v="Mike Teixeira"/>
    <m/>
    <s v="01/26/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1/16/2024"/>
    <x v="19"/>
    <n v="5415388"/>
    <s v="Click Here To View"/>
    <s v="Construction"/>
    <n v="6.93"/>
    <s v="100.00%"/>
    <s v="0.00%"/>
    <s v="100.00%"/>
    <s v="0.00%"/>
    <m/>
    <n v="6.93"/>
    <m/>
    <n v="6.93"/>
    <m/>
    <m/>
    <m/>
    <m/>
    <m/>
    <m/>
    <m/>
    <m/>
    <m/>
    <m/>
    <m/>
    <m/>
    <m/>
    <m/>
    <m/>
    <m/>
    <m/>
    <m/>
    <m/>
    <m/>
    <m/>
    <m/>
    <m/>
    <m/>
    <m/>
    <m/>
    <m/>
    <m/>
    <m/>
    <m/>
    <m/>
    <n v="6.93"/>
    <m/>
    <m/>
    <s v="0.00%"/>
    <s v="0.00%"/>
    <s v="0.00%"/>
    <s v="0.00%"/>
    <m/>
    <m/>
    <m/>
    <m/>
    <m/>
    <m/>
    <m/>
    <s v="0.00%"/>
    <s v="0.00%"/>
    <s v="0.00%"/>
    <s v="0.00%"/>
    <m/>
    <m/>
    <m/>
    <m/>
    <m/>
    <m/>
    <m/>
    <m/>
    <m/>
    <m/>
    <m/>
    <m/>
    <m/>
    <m/>
    <m/>
    <m/>
    <m/>
    <s v="Mike Teixeira"/>
    <m/>
    <s v="01/26/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1/20/2024"/>
    <x v="19"/>
    <n v="5418042"/>
    <s v="Click Here To View"/>
    <s v="Construction"/>
    <n v="4.04"/>
    <s v="100.00%"/>
    <s v="0.00%"/>
    <s v="100.00%"/>
    <s v="0.00%"/>
    <m/>
    <n v="4.04"/>
    <m/>
    <n v="4.04"/>
    <m/>
    <m/>
    <m/>
    <m/>
    <m/>
    <m/>
    <m/>
    <m/>
    <m/>
    <m/>
    <m/>
    <m/>
    <m/>
    <m/>
    <m/>
    <m/>
    <m/>
    <m/>
    <m/>
    <m/>
    <m/>
    <m/>
    <m/>
    <m/>
    <m/>
    <m/>
    <m/>
    <m/>
    <m/>
    <m/>
    <m/>
    <n v="4.04"/>
    <m/>
    <m/>
    <s v="0.00%"/>
    <s v="0.00%"/>
    <s v="0.00%"/>
    <s v="0.00%"/>
    <m/>
    <m/>
    <m/>
    <m/>
    <m/>
    <m/>
    <m/>
    <s v="0.00%"/>
    <s v="0.00%"/>
    <s v="0.00%"/>
    <s v="0.00%"/>
    <m/>
    <m/>
    <m/>
    <m/>
    <m/>
    <m/>
    <m/>
    <m/>
    <m/>
    <m/>
    <m/>
    <m/>
    <m/>
    <m/>
    <m/>
    <m/>
    <m/>
    <s v="Mike Teixeira"/>
    <m/>
    <s v="01/26/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1/24/2024"/>
    <x v="19"/>
    <n v="5420399"/>
    <s v="Click Here To View"/>
    <s v="Construction"/>
    <n v="1.9"/>
    <s v="100.00%"/>
    <s v="0.00%"/>
    <s v="100.00%"/>
    <s v="0.00%"/>
    <m/>
    <n v="1.9"/>
    <m/>
    <n v="1.9"/>
    <m/>
    <m/>
    <m/>
    <m/>
    <m/>
    <m/>
    <m/>
    <m/>
    <m/>
    <m/>
    <m/>
    <m/>
    <m/>
    <m/>
    <m/>
    <m/>
    <m/>
    <m/>
    <m/>
    <m/>
    <m/>
    <m/>
    <m/>
    <m/>
    <m/>
    <m/>
    <m/>
    <m/>
    <m/>
    <m/>
    <m/>
    <n v="1.9"/>
    <m/>
    <m/>
    <s v="0.00%"/>
    <s v="0.00%"/>
    <s v="0.00%"/>
    <s v="0.00%"/>
    <m/>
    <m/>
    <m/>
    <m/>
    <m/>
    <m/>
    <m/>
    <s v="0.00%"/>
    <s v="0.00%"/>
    <s v="0.00%"/>
    <s v="0.00%"/>
    <m/>
    <m/>
    <m/>
    <m/>
    <m/>
    <m/>
    <m/>
    <m/>
    <m/>
    <m/>
    <m/>
    <m/>
    <m/>
    <m/>
    <m/>
    <m/>
    <m/>
    <s v="Mike Teixeira"/>
    <m/>
    <s v="01/26/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1/29/2024"/>
    <x v="19"/>
    <n v="5423049"/>
    <s v="Click Here To View"/>
    <s v="Construction"/>
    <n v="3.57"/>
    <s v="100.00%"/>
    <s v="0.00%"/>
    <s v="100.00%"/>
    <s v="0.00%"/>
    <m/>
    <n v="3.57"/>
    <m/>
    <n v="3.57"/>
    <m/>
    <m/>
    <m/>
    <m/>
    <m/>
    <m/>
    <m/>
    <m/>
    <m/>
    <m/>
    <m/>
    <m/>
    <m/>
    <m/>
    <m/>
    <m/>
    <m/>
    <m/>
    <m/>
    <m/>
    <m/>
    <m/>
    <m/>
    <m/>
    <m/>
    <m/>
    <m/>
    <m/>
    <m/>
    <m/>
    <m/>
    <n v="3.57"/>
    <m/>
    <m/>
    <s v="0.00%"/>
    <s v="0.00%"/>
    <s v="0.00%"/>
    <s v="0.00%"/>
    <m/>
    <m/>
    <m/>
    <m/>
    <m/>
    <m/>
    <m/>
    <s v="0.00%"/>
    <s v="0.00%"/>
    <s v="0.00%"/>
    <s v="0.00%"/>
    <m/>
    <m/>
    <m/>
    <m/>
    <m/>
    <m/>
    <m/>
    <m/>
    <m/>
    <m/>
    <m/>
    <m/>
    <m/>
    <m/>
    <m/>
    <m/>
    <m/>
    <s v="Mike Teixeira"/>
    <m/>
    <s v="02/19/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1/26/2024"/>
    <x v="19"/>
    <n v="5421879"/>
    <s v="Click Here To View"/>
    <s v="Construction"/>
    <n v="4.38"/>
    <s v="100.00%"/>
    <s v="0.00%"/>
    <s v="100.00%"/>
    <s v="0.00%"/>
    <m/>
    <n v="4.38"/>
    <m/>
    <n v="4.38"/>
    <m/>
    <m/>
    <m/>
    <m/>
    <m/>
    <m/>
    <m/>
    <m/>
    <m/>
    <m/>
    <m/>
    <m/>
    <m/>
    <m/>
    <m/>
    <m/>
    <m/>
    <m/>
    <m/>
    <m/>
    <m/>
    <m/>
    <m/>
    <m/>
    <m/>
    <m/>
    <m/>
    <m/>
    <m/>
    <m/>
    <m/>
    <n v="4.38"/>
    <m/>
    <m/>
    <s v="0.00%"/>
    <s v="0.00%"/>
    <s v="0.00%"/>
    <s v="0.00%"/>
    <m/>
    <m/>
    <m/>
    <m/>
    <m/>
    <m/>
    <m/>
    <s v="0.00%"/>
    <s v="0.00%"/>
    <s v="0.00%"/>
    <s v="0.00%"/>
    <m/>
    <m/>
    <m/>
    <m/>
    <m/>
    <m/>
    <m/>
    <m/>
    <m/>
    <m/>
    <m/>
    <m/>
    <m/>
    <m/>
    <m/>
    <m/>
    <m/>
    <s v="Mike Teixeira"/>
    <m/>
    <s v="02/19/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2/05/2024"/>
    <x v="6"/>
    <n v="5427444"/>
    <s v="Click Here To View"/>
    <s v="Construction"/>
    <n v="4.17"/>
    <s v="100.00%"/>
    <s v="0.00%"/>
    <s v="100.00%"/>
    <s v="0.00%"/>
    <m/>
    <n v="4.17"/>
    <m/>
    <n v="4.17"/>
    <m/>
    <m/>
    <m/>
    <m/>
    <m/>
    <m/>
    <m/>
    <m/>
    <m/>
    <m/>
    <m/>
    <m/>
    <m/>
    <m/>
    <m/>
    <m/>
    <m/>
    <m/>
    <m/>
    <m/>
    <m/>
    <m/>
    <m/>
    <m/>
    <m/>
    <m/>
    <m/>
    <m/>
    <m/>
    <m/>
    <m/>
    <n v="4.17"/>
    <m/>
    <m/>
    <s v="0.00%"/>
    <s v="0.00%"/>
    <s v="0.00%"/>
    <s v="0.00%"/>
    <m/>
    <m/>
    <m/>
    <m/>
    <m/>
    <m/>
    <m/>
    <s v="0.00%"/>
    <s v="0.00%"/>
    <s v="0.00%"/>
    <s v="0.00%"/>
    <m/>
    <m/>
    <m/>
    <m/>
    <m/>
    <m/>
    <m/>
    <m/>
    <m/>
    <m/>
    <m/>
    <m/>
    <m/>
    <m/>
    <m/>
    <m/>
    <m/>
    <s v="Mike Teixeira"/>
    <m/>
    <s v="02/19/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2/15/2024"/>
    <x v="6"/>
    <n v="5434315"/>
    <s v="Click Here To View"/>
    <s v="Construction"/>
    <n v="1.96"/>
    <s v="100.00%"/>
    <s v="0.00%"/>
    <s v="100.00%"/>
    <s v="0.00%"/>
    <m/>
    <n v="1.96"/>
    <m/>
    <n v="1.96"/>
    <m/>
    <m/>
    <m/>
    <m/>
    <m/>
    <m/>
    <m/>
    <m/>
    <m/>
    <m/>
    <m/>
    <m/>
    <m/>
    <m/>
    <m/>
    <m/>
    <m/>
    <m/>
    <m/>
    <m/>
    <m/>
    <m/>
    <m/>
    <m/>
    <m/>
    <m/>
    <m/>
    <m/>
    <m/>
    <m/>
    <m/>
    <n v="1.96"/>
    <m/>
    <m/>
    <s v="0.00%"/>
    <s v="0.00%"/>
    <s v="0.00%"/>
    <s v="0.00%"/>
    <m/>
    <m/>
    <m/>
    <m/>
    <m/>
    <m/>
    <m/>
    <s v="0.00%"/>
    <s v="0.00%"/>
    <s v="0.00%"/>
    <s v="0.00%"/>
    <m/>
    <m/>
    <m/>
    <m/>
    <m/>
    <m/>
    <m/>
    <m/>
    <m/>
    <m/>
    <m/>
    <m/>
    <m/>
    <m/>
    <m/>
    <m/>
    <m/>
    <s v="Mike Teixeira"/>
    <m/>
    <s v="03/18/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3/07/2024"/>
    <x v="5"/>
    <n v="5447683"/>
    <s v="Click Here To View"/>
    <s v="Construction"/>
    <n v="4.49"/>
    <s v="100.00%"/>
    <s v="0.00%"/>
    <s v="100.00%"/>
    <s v="0.00%"/>
    <m/>
    <n v="4.49"/>
    <m/>
    <n v="4.49"/>
    <m/>
    <m/>
    <m/>
    <m/>
    <m/>
    <m/>
    <m/>
    <m/>
    <m/>
    <m/>
    <m/>
    <m/>
    <m/>
    <m/>
    <m/>
    <m/>
    <m/>
    <m/>
    <m/>
    <m/>
    <m/>
    <m/>
    <m/>
    <m/>
    <m/>
    <m/>
    <m/>
    <m/>
    <m/>
    <m/>
    <m/>
    <n v="4.49"/>
    <m/>
    <m/>
    <s v="0.00%"/>
    <s v="0.00%"/>
    <s v="0.00%"/>
    <s v="0.00%"/>
    <m/>
    <m/>
    <m/>
    <m/>
    <m/>
    <m/>
    <m/>
    <s v="0.00%"/>
    <s v="0.00%"/>
    <s v="0.00%"/>
    <s v="0.00%"/>
    <m/>
    <m/>
    <m/>
    <m/>
    <m/>
    <m/>
    <m/>
    <m/>
    <m/>
    <m/>
    <m/>
    <m/>
    <m/>
    <m/>
    <m/>
    <m/>
    <m/>
    <s v="Mike Teixeira"/>
    <m/>
    <s v="03/18/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3/11/2024"/>
    <x v="5"/>
    <n v="5449654"/>
    <s v="Click Here To View"/>
    <s v="Construction"/>
    <n v="4.46"/>
    <s v="100.00%"/>
    <s v="0.00%"/>
    <s v="100.00%"/>
    <s v="0.00%"/>
    <m/>
    <n v="4.46"/>
    <m/>
    <n v="4.46"/>
    <m/>
    <m/>
    <m/>
    <m/>
    <m/>
    <m/>
    <m/>
    <m/>
    <m/>
    <m/>
    <m/>
    <m/>
    <m/>
    <m/>
    <m/>
    <m/>
    <m/>
    <m/>
    <m/>
    <m/>
    <m/>
    <m/>
    <m/>
    <m/>
    <m/>
    <m/>
    <m/>
    <m/>
    <m/>
    <m/>
    <m/>
    <n v="4.46"/>
    <m/>
    <m/>
    <s v="0.00%"/>
    <s v="0.00%"/>
    <s v="0.00%"/>
    <s v="0.00%"/>
    <m/>
    <m/>
    <m/>
    <m/>
    <m/>
    <m/>
    <m/>
    <s v="0.00%"/>
    <s v="0.00%"/>
    <s v="0.00%"/>
    <s v="0.00%"/>
    <m/>
    <m/>
    <m/>
    <m/>
    <m/>
    <m/>
    <m/>
    <m/>
    <m/>
    <m/>
    <m/>
    <m/>
    <m/>
    <m/>
    <m/>
    <m/>
    <m/>
    <s v="Mike Teixeira"/>
    <m/>
    <s v="03/18/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3/14/2024"/>
    <x v="5"/>
    <n v="5452127"/>
    <s v="Click Here To View"/>
    <s v="Construction"/>
    <n v="5.36"/>
    <s v="100.00%"/>
    <s v="0.00%"/>
    <s v="100.00%"/>
    <s v="0.00%"/>
    <m/>
    <n v="5.36"/>
    <m/>
    <n v="5.36"/>
    <m/>
    <m/>
    <m/>
    <m/>
    <m/>
    <m/>
    <m/>
    <m/>
    <m/>
    <m/>
    <m/>
    <m/>
    <m/>
    <m/>
    <m/>
    <m/>
    <m/>
    <m/>
    <m/>
    <m/>
    <m/>
    <m/>
    <m/>
    <m/>
    <m/>
    <m/>
    <m/>
    <m/>
    <m/>
    <m/>
    <m/>
    <n v="5.36"/>
    <m/>
    <m/>
    <s v="0.00%"/>
    <s v="0.00%"/>
    <s v="0.00%"/>
    <s v="0.00%"/>
    <m/>
    <m/>
    <m/>
    <m/>
    <m/>
    <m/>
    <m/>
    <s v="0.00%"/>
    <s v="0.00%"/>
    <s v="0.00%"/>
    <s v="0.00%"/>
    <m/>
    <m/>
    <m/>
    <m/>
    <m/>
    <m/>
    <m/>
    <m/>
    <m/>
    <m/>
    <m/>
    <m/>
    <m/>
    <m/>
    <m/>
    <m/>
    <m/>
    <s v="Mike Teixeira"/>
    <m/>
    <s v="03/18/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3/18/2024"/>
    <x v="5"/>
    <n v="5454057"/>
    <s v="Click Here To View"/>
    <s v="Construction"/>
    <n v="3.31"/>
    <s v="100.00%"/>
    <s v="0.00%"/>
    <s v="100.00%"/>
    <s v="0.00%"/>
    <m/>
    <n v="3.31"/>
    <m/>
    <n v="3.31"/>
    <m/>
    <m/>
    <m/>
    <m/>
    <m/>
    <m/>
    <m/>
    <m/>
    <m/>
    <m/>
    <m/>
    <m/>
    <m/>
    <m/>
    <m/>
    <m/>
    <m/>
    <m/>
    <m/>
    <m/>
    <m/>
    <m/>
    <m/>
    <m/>
    <m/>
    <m/>
    <m/>
    <m/>
    <m/>
    <m/>
    <m/>
    <n v="3.31"/>
    <m/>
    <m/>
    <s v="0.00%"/>
    <s v="0.00%"/>
    <s v="0.00%"/>
    <s v="0.00%"/>
    <m/>
    <m/>
    <m/>
    <m/>
    <m/>
    <m/>
    <m/>
    <s v="0.00%"/>
    <s v="0.00%"/>
    <s v="0.00%"/>
    <s v="0.00%"/>
    <m/>
    <m/>
    <m/>
    <m/>
    <m/>
    <m/>
    <m/>
    <m/>
    <m/>
    <m/>
    <m/>
    <m/>
    <m/>
    <m/>
    <m/>
    <m/>
    <m/>
    <s v="Mike Teixeira"/>
    <m/>
    <s v="03/25/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3/19/2024"/>
    <x v="5"/>
    <n v="5455113"/>
    <s v="Click Here To View"/>
    <s v="Construction"/>
    <n v="3.56"/>
    <s v="100.00%"/>
    <s v="0.00%"/>
    <s v="100.00%"/>
    <s v="0.00%"/>
    <m/>
    <n v="3.56"/>
    <m/>
    <n v="3.56"/>
    <m/>
    <m/>
    <m/>
    <m/>
    <m/>
    <m/>
    <m/>
    <m/>
    <m/>
    <m/>
    <m/>
    <m/>
    <m/>
    <m/>
    <m/>
    <m/>
    <m/>
    <m/>
    <m/>
    <m/>
    <m/>
    <m/>
    <m/>
    <m/>
    <m/>
    <m/>
    <m/>
    <m/>
    <m/>
    <m/>
    <m/>
    <n v="3.56"/>
    <m/>
    <m/>
    <s v="0.00%"/>
    <s v="0.00%"/>
    <s v="0.00%"/>
    <s v="0.00%"/>
    <m/>
    <m/>
    <m/>
    <m/>
    <m/>
    <m/>
    <m/>
    <s v="0.00%"/>
    <s v="0.00%"/>
    <s v="0.00%"/>
    <s v="0.00%"/>
    <m/>
    <m/>
    <m/>
    <m/>
    <m/>
    <m/>
    <m/>
    <m/>
    <m/>
    <m/>
    <m/>
    <m/>
    <m/>
    <m/>
    <m/>
    <m/>
    <m/>
    <s v="Mike Teixeira"/>
    <m/>
    <s v="03/25/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3/20/2024"/>
    <x v="5"/>
    <n v="5455972"/>
    <s v="Click Here To View"/>
    <s v="Construction"/>
    <n v="2.36"/>
    <s v="100.00%"/>
    <s v="0.00%"/>
    <s v="100.00%"/>
    <s v="0.00%"/>
    <m/>
    <n v="2.36"/>
    <m/>
    <n v="2.36"/>
    <m/>
    <m/>
    <m/>
    <m/>
    <m/>
    <m/>
    <m/>
    <m/>
    <m/>
    <m/>
    <m/>
    <m/>
    <m/>
    <m/>
    <m/>
    <m/>
    <m/>
    <m/>
    <m/>
    <m/>
    <m/>
    <m/>
    <m/>
    <m/>
    <m/>
    <m/>
    <m/>
    <m/>
    <m/>
    <m/>
    <m/>
    <n v="2.36"/>
    <m/>
    <m/>
    <s v="0.00%"/>
    <s v="0.00%"/>
    <s v="0.00%"/>
    <s v="0.00%"/>
    <m/>
    <m/>
    <m/>
    <m/>
    <m/>
    <m/>
    <m/>
    <s v="0.00%"/>
    <s v="0.00%"/>
    <s v="0.00%"/>
    <s v="0.00%"/>
    <m/>
    <m/>
    <m/>
    <m/>
    <m/>
    <m/>
    <m/>
    <m/>
    <m/>
    <m/>
    <m/>
    <m/>
    <m/>
    <m/>
    <m/>
    <m/>
    <m/>
    <s v="Mike Teixeira"/>
    <m/>
    <s v="03/25/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3/25/2024"/>
    <x v="5"/>
    <n v="5458514"/>
    <s v="Click Here To View"/>
    <s v="Construction"/>
    <n v="4.2300000000000004"/>
    <s v="100.00%"/>
    <s v="0.00%"/>
    <s v="100.00%"/>
    <s v="0.00%"/>
    <m/>
    <n v="4.2300000000000004"/>
    <m/>
    <n v="4.2300000000000004"/>
    <m/>
    <m/>
    <m/>
    <m/>
    <m/>
    <m/>
    <m/>
    <m/>
    <m/>
    <m/>
    <m/>
    <m/>
    <m/>
    <m/>
    <m/>
    <m/>
    <m/>
    <m/>
    <m/>
    <m/>
    <m/>
    <m/>
    <m/>
    <m/>
    <m/>
    <m/>
    <m/>
    <m/>
    <m/>
    <m/>
    <m/>
    <n v="4.2300000000000004"/>
    <m/>
    <m/>
    <s v="0.00%"/>
    <s v="0.00%"/>
    <s v="0.00%"/>
    <s v="0.00%"/>
    <m/>
    <m/>
    <m/>
    <m/>
    <m/>
    <m/>
    <m/>
    <s v="0.00%"/>
    <s v="0.00%"/>
    <s v="0.00%"/>
    <s v="0.00%"/>
    <m/>
    <m/>
    <m/>
    <m/>
    <m/>
    <m/>
    <m/>
    <m/>
    <m/>
    <m/>
    <m/>
    <m/>
    <m/>
    <m/>
    <m/>
    <m/>
    <m/>
    <s v="Mike Teixeira"/>
    <m/>
    <s v="04/30/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3/27/2024"/>
    <x v="5"/>
    <n v="5459935"/>
    <s v="Click Here To View"/>
    <s v="Construction"/>
    <n v="2.7"/>
    <s v="100.00%"/>
    <s v="0.00%"/>
    <s v="100.00%"/>
    <s v="0.00%"/>
    <m/>
    <n v="2.7"/>
    <m/>
    <n v="2.7"/>
    <m/>
    <m/>
    <m/>
    <m/>
    <m/>
    <m/>
    <m/>
    <m/>
    <m/>
    <m/>
    <m/>
    <m/>
    <m/>
    <m/>
    <m/>
    <m/>
    <m/>
    <m/>
    <m/>
    <m/>
    <m/>
    <m/>
    <m/>
    <m/>
    <m/>
    <m/>
    <m/>
    <m/>
    <m/>
    <m/>
    <m/>
    <n v="2.7"/>
    <m/>
    <m/>
    <s v="0.00%"/>
    <s v="0.00%"/>
    <s v="0.00%"/>
    <s v="0.00%"/>
    <m/>
    <m/>
    <m/>
    <m/>
    <m/>
    <m/>
    <m/>
    <s v="0.00%"/>
    <s v="0.00%"/>
    <s v="0.00%"/>
    <s v="0.00%"/>
    <m/>
    <m/>
    <m/>
    <m/>
    <m/>
    <m/>
    <m/>
    <m/>
    <m/>
    <m/>
    <m/>
    <m/>
    <m/>
    <m/>
    <m/>
    <m/>
    <m/>
    <s v="Mike Teixeira"/>
    <m/>
    <s v="04/30/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3/27/2024"/>
    <x v="5"/>
    <n v="5460334"/>
    <s v="Click Here To View"/>
    <s v="Construction"/>
    <n v="1.92"/>
    <s v="100.00%"/>
    <s v="0.00%"/>
    <s v="100.00%"/>
    <s v="0.00%"/>
    <m/>
    <n v="1.92"/>
    <m/>
    <n v="1.92"/>
    <m/>
    <m/>
    <m/>
    <m/>
    <m/>
    <m/>
    <m/>
    <m/>
    <m/>
    <m/>
    <m/>
    <m/>
    <m/>
    <m/>
    <m/>
    <m/>
    <m/>
    <m/>
    <m/>
    <m/>
    <m/>
    <m/>
    <m/>
    <m/>
    <m/>
    <m/>
    <m/>
    <m/>
    <m/>
    <m/>
    <m/>
    <n v="1.92"/>
    <m/>
    <m/>
    <s v="0.00%"/>
    <s v="0.00%"/>
    <s v="0.00%"/>
    <s v="0.00%"/>
    <m/>
    <m/>
    <m/>
    <m/>
    <m/>
    <m/>
    <m/>
    <s v="0.00%"/>
    <s v="0.00%"/>
    <s v="0.00%"/>
    <s v="0.00%"/>
    <m/>
    <m/>
    <m/>
    <m/>
    <m/>
    <m/>
    <m/>
    <m/>
    <m/>
    <m/>
    <m/>
    <m/>
    <m/>
    <m/>
    <m/>
    <m/>
    <m/>
    <s v="Mike Teixeira"/>
    <m/>
    <s v="04/30/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3/28/2024"/>
    <x v="5"/>
    <n v="5461198"/>
    <s v="Click Here To View"/>
    <s v="Construction"/>
    <n v="4.0199999999999996"/>
    <s v="100.00%"/>
    <s v="0.00%"/>
    <s v="100.00%"/>
    <s v="0.00%"/>
    <m/>
    <n v="4.0199999999999996"/>
    <m/>
    <n v="4.0199999999999996"/>
    <m/>
    <m/>
    <m/>
    <m/>
    <m/>
    <m/>
    <m/>
    <m/>
    <m/>
    <m/>
    <m/>
    <m/>
    <m/>
    <m/>
    <m/>
    <m/>
    <m/>
    <m/>
    <m/>
    <m/>
    <m/>
    <m/>
    <m/>
    <m/>
    <m/>
    <m/>
    <m/>
    <m/>
    <m/>
    <m/>
    <m/>
    <n v="4.0199999999999996"/>
    <m/>
    <m/>
    <s v="0.00%"/>
    <s v="0.00%"/>
    <s v="0.00%"/>
    <s v="0.00%"/>
    <m/>
    <m/>
    <m/>
    <m/>
    <m/>
    <m/>
    <m/>
    <s v="0.00%"/>
    <s v="0.00%"/>
    <s v="0.00%"/>
    <s v="0.00%"/>
    <m/>
    <m/>
    <m/>
    <m/>
    <m/>
    <m/>
    <m/>
    <m/>
    <m/>
    <m/>
    <m/>
    <m/>
    <m/>
    <m/>
    <m/>
    <m/>
    <m/>
    <s v="Mike Teixeira"/>
    <m/>
    <s v="04/30/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3/29/2024"/>
    <x v="5"/>
    <n v="5461932"/>
    <s v="Click Here To View"/>
    <s v="Construction"/>
    <n v="3.39"/>
    <s v="100.00%"/>
    <s v="0.00%"/>
    <s v="100.00%"/>
    <s v="0.00%"/>
    <m/>
    <n v="3.39"/>
    <m/>
    <n v="3.39"/>
    <m/>
    <m/>
    <m/>
    <m/>
    <m/>
    <m/>
    <m/>
    <m/>
    <m/>
    <m/>
    <m/>
    <m/>
    <m/>
    <m/>
    <m/>
    <m/>
    <m/>
    <m/>
    <m/>
    <m/>
    <m/>
    <m/>
    <m/>
    <m/>
    <m/>
    <m/>
    <m/>
    <m/>
    <m/>
    <m/>
    <m/>
    <n v="3.39"/>
    <m/>
    <m/>
    <s v="0.00%"/>
    <s v="0.00%"/>
    <s v="0.00%"/>
    <s v="0.00%"/>
    <m/>
    <m/>
    <m/>
    <m/>
    <m/>
    <m/>
    <m/>
    <s v="0.00%"/>
    <s v="0.00%"/>
    <s v="0.00%"/>
    <s v="0.00%"/>
    <m/>
    <m/>
    <m/>
    <m/>
    <m/>
    <m/>
    <m/>
    <m/>
    <m/>
    <m/>
    <m/>
    <m/>
    <m/>
    <m/>
    <m/>
    <m/>
    <m/>
    <s v="Mike Teixeira"/>
    <m/>
    <s v="04/30/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4/01/2024"/>
    <x v="38"/>
    <n v="5463105"/>
    <s v="Click Here To View"/>
    <s v="Construction"/>
    <n v="4.6500000000000004"/>
    <s v="100.00%"/>
    <s v="0.00%"/>
    <s v="100.00%"/>
    <s v="0.00%"/>
    <m/>
    <n v="4.6500000000000004"/>
    <m/>
    <n v="4.6500000000000004"/>
    <m/>
    <m/>
    <m/>
    <m/>
    <m/>
    <m/>
    <m/>
    <m/>
    <m/>
    <m/>
    <m/>
    <m/>
    <m/>
    <m/>
    <m/>
    <m/>
    <m/>
    <m/>
    <m/>
    <m/>
    <m/>
    <m/>
    <m/>
    <m/>
    <m/>
    <m/>
    <m/>
    <m/>
    <m/>
    <m/>
    <m/>
    <n v="4.6500000000000004"/>
    <m/>
    <m/>
    <s v="0.00%"/>
    <s v="0.00%"/>
    <s v="0.00%"/>
    <s v="0.00%"/>
    <m/>
    <m/>
    <m/>
    <m/>
    <m/>
    <m/>
    <m/>
    <s v="0.00%"/>
    <s v="0.00%"/>
    <s v="0.00%"/>
    <s v="0.00%"/>
    <m/>
    <m/>
    <m/>
    <m/>
    <m/>
    <m/>
    <m/>
    <m/>
    <m/>
    <m/>
    <m/>
    <m/>
    <m/>
    <m/>
    <m/>
    <m/>
    <m/>
    <s v="Mike Teixeira"/>
    <m/>
    <s v="04/30/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4/02/2024"/>
    <x v="38"/>
    <n v="5463440"/>
    <s v="Click Here To View"/>
    <s v="Construction"/>
    <n v="2.15"/>
    <s v="100.00%"/>
    <s v="0.00%"/>
    <s v="100.00%"/>
    <s v="0.00%"/>
    <m/>
    <n v="2.15"/>
    <m/>
    <n v="2.15"/>
    <m/>
    <m/>
    <m/>
    <m/>
    <m/>
    <m/>
    <m/>
    <m/>
    <m/>
    <m/>
    <m/>
    <m/>
    <m/>
    <m/>
    <m/>
    <m/>
    <m/>
    <m/>
    <m/>
    <m/>
    <m/>
    <m/>
    <m/>
    <m/>
    <m/>
    <m/>
    <m/>
    <m/>
    <m/>
    <m/>
    <m/>
    <n v="2.15"/>
    <m/>
    <m/>
    <s v="0.00%"/>
    <s v="0.00%"/>
    <s v="0.00%"/>
    <s v="0.00%"/>
    <m/>
    <m/>
    <m/>
    <m/>
    <m/>
    <m/>
    <m/>
    <s v="0.00%"/>
    <s v="0.00%"/>
    <s v="0.00%"/>
    <s v="0.00%"/>
    <m/>
    <m/>
    <m/>
    <m/>
    <m/>
    <m/>
    <m/>
    <m/>
    <m/>
    <m/>
    <m/>
    <m/>
    <m/>
    <m/>
    <m/>
    <m/>
    <m/>
    <s v="Mike Teixeira"/>
    <m/>
    <s v="04/30/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4/03/2024"/>
    <x v="38"/>
    <n v="5464398"/>
    <s v="Click Here To View"/>
    <s v="Construction"/>
    <n v="5.1100000000000003"/>
    <s v="100.00%"/>
    <s v="0.00%"/>
    <s v="100.00%"/>
    <s v="0.00%"/>
    <m/>
    <n v="5.1100000000000003"/>
    <m/>
    <n v="5.1100000000000003"/>
    <m/>
    <m/>
    <m/>
    <m/>
    <m/>
    <m/>
    <m/>
    <m/>
    <m/>
    <m/>
    <m/>
    <m/>
    <m/>
    <m/>
    <m/>
    <m/>
    <m/>
    <m/>
    <m/>
    <m/>
    <m/>
    <m/>
    <m/>
    <m/>
    <m/>
    <m/>
    <m/>
    <m/>
    <m/>
    <m/>
    <m/>
    <n v="5.1100000000000003"/>
    <m/>
    <m/>
    <s v="0.00%"/>
    <s v="0.00%"/>
    <s v="0.00%"/>
    <s v="0.00%"/>
    <m/>
    <m/>
    <m/>
    <m/>
    <m/>
    <m/>
    <m/>
    <s v="0.00%"/>
    <s v="0.00%"/>
    <s v="0.00%"/>
    <s v="0.00%"/>
    <m/>
    <m/>
    <m/>
    <m/>
    <m/>
    <m/>
    <m/>
    <m/>
    <m/>
    <m/>
    <m/>
    <m/>
    <m/>
    <m/>
    <m/>
    <m/>
    <m/>
    <s v="Mike Teixeira"/>
    <m/>
    <s v="04/30/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4/04/2024"/>
    <x v="38"/>
    <n v="5464664"/>
    <s v="Click Here To View"/>
    <s v="Construction"/>
    <n v="4.66"/>
    <s v="100.00%"/>
    <s v="0.00%"/>
    <s v="100.00%"/>
    <s v="0.00%"/>
    <m/>
    <n v="4.66"/>
    <m/>
    <n v="4.66"/>
    <m/>
    <m/>
    <m/>
    <m/>
    <m/>
    <m/>
    <m/>
    <m/>
    <m/>
    <m/>
    <m/>
    <m/>
    <m/>
    <m/>
    <m/>
    <m/>
    <m/>
    <m/>
    <m/>
    <m/>
    <m/>
    <m/>
    <m/>
    <m/>
    <m/>
    <m/>
    <m/>
    <m/>
    <m/>
    <m/>
    <m/>
    <n v="4.66"/>
    <m/>
    <m/>
    <s v="0.00%"/>
    <s v="0.00%"/>
    <s v="0.00%"/>
    <s v="0.00%"/>
    <m/>
    <m/>
    <m/>
    <m/>
    <m/>
    <m/>
    <m/>
    <s v="0.00%"/>
    <s v="0.00%"/>
    <s v="0.00%"/>
    <s v="0.00%"/>
    <m/>
    <m/>
    <m/>
    <m/>
    <m/>
    <m/>
    <m/>
    <m/>
    <m/>
    <m/>
    <m/>
    <m/>
    <m/>
    <m/>
    <m/>
    <m/>
    <m/>
    <s v="Mike Teixeira"/>
    <m/>
    <s v="04/30/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4/22/2024"/>
    <x v="38"/>
    <n v="5476649"/>
    <s v="Click Here To View"/>
    <s v="Construction"/>
    <n v="5.98"/>
    <s v="100.00%"/>
    <s v="0.00%"/>
    <s v="100.00%"/>
    <s v="0.00%"/>
    <m/>
    <n v="5.98"/>
    <m/>
    <n v="5.98"/>
    <m/>
    <m/>
    <m/>
    <m/>
    <m/>
    <m/>
    <m/>
    <m/>
    <m/>
    <m/>
    <m/>
    <m/>
    <m/>
    <m/>
    <m/>
    <m/>
    <m/>
    <m/>
    <m/>
    <m/>
    <m/>
    <m/>
    <m/>
    <m/>
    <m/>
    <m/>
    <m/>
    <m/>
    <m/>
    <m/>
    <m/>
    <n v="5.98"/>
    <m/>
    <m/>
    <s v="0.00%"/>
    <s v="0.00%"/>
    <s v="0.00%"/>
    <s v="0.00%"/>
    <m/>
    <m/>
    <m/>
    <m/>
    <m/>
    <m/>
    <m/>
    <s v="0.00%"/>
    <s v="0.00%"/>
    <s v="0.00%"/>
    <s v="0.00%"/>
    <m/>
    <m/>
    <m/>
    <m/>
    <m/>
    <m/>
    <m/>
    <m/>
    <m/>
    <m/>
    <m/>
    <m/>
    <m/>
    <m/>
    <m/>
    <m/>
    <m/>
    <s v="Mike Teixeira"/>
    <m/>
    <s v="04/30/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5/02/2024"/>
    <x v="7"/>
    <n v="5483922"/>
    <s v="Click Here To View"/>
    <s v="Construction"/>
    <n v="3.33"/>
    <s v="100.00%"/>
    <s v="0.00%"/>
    <s v="100.00%"/>
    <s v="0.00%"/>
    <m/>
    <n v="3.33"/>
    <m/>
    <n v="3.33"/>
    <m/>
    <m/>
    <m/>
    <m/>
    <m/>
    <m/>
    <m/>
    <m/>
    <m/>
    <m/>
    <m/>
    <m/>
    <m/>
    <m/>
    <m/>
    <m/>
    <m/>
    <m/>
    <m/>
    <m/>
    <m/>
    <m/>
    <m/>
    <m/>
    <m/>
    <m/>
    <m/>
    <m/>
    <m/>
    <m/>
    <m/>
    <n v="3.33"/>
    <m/>
    <m/>
    <s v="0.00%"/>
    <s v="0.00%"/>
    <s v="0.00%"/>
    <s v="0.00%"/>
    <m/>
    <m/>
    <m/>
    <m/>
    <m/>
    <m/>
    <m/>
    <s v="0.00%"/>
    <s v="0.00%"/>
    <s v="0.00%"/>
    <s v="0.00%"/>
    <m/>
    <m/>
    <m/>
    <m/>
    <m/>
    <m/>
    <m/>
    <m/>
    <m/>
    <m/>
    <m/>
    <m/>
    <m/>
    <m/>
    <m/>
    <m/>
    <m/>
    <s v="Mike Teixeira"/>
    <m/>
    <s v="06/03/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5/18/2024"/>
    <x v="7"/>
    <n v="5495038"/>
    <s v="Click Here To View"/>
    <s v="Construction"/>
    <n v="5.4"/>
    <s v="100.00%"/>
    <s v="0.00%"/>
    <s v="100.00%"/>
    <s v="0.00%"/>
    <m/>
    <n v="5.4"/>
    <m/>
    <n v="5.4"/>
    <m/>
    <m/>
    <m/>
    <m/>
    <m/>
    <m/>
    <m/>
    <m/>
    <m/>
    <m/>
    <m/>
    <m/>
    <m/>
    <m/>
    <m/>
    <m/>
    <m/>
    <m/>
    <m/>
    <m/>
    <m/>
    <m/>
    <m/>
    <m/>
    <m/>
    <m/>
    <m/>
    <m/>
    <m/>
    <m/>
    <m/>
    <n v="5.4"/>
    <m/>
    <m/>
    <s v="0.00%"/>
    <s v="0.00%"/>
    <s v="0.00%"/>
    <s v="0.00%"/>
    <m/>
    <m/>
    <m/>
    <m/>
    <m/>
    <m/>
    <m/>
    <s v="0.00%"/>
    <s v="0.00%"/>
    <s v="0.00%"/>
    <s v="0.00%"/>
    <m/>
    <m/>
    <m/>
    <m/>
    <m/>
    <m/>
    <m/>
    <m/>
    <m/>
    <m/>
    <m/>
    <m/>
    <m/>
    <m/>
    <m/>
    <m/>
    <m/>
    <s v="Mike Teixeira"/>
    <m/>
    <s v="06/03/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5/18/2024"/>
    <x v="7"/>
    <n v="5494985"/>
    <s v="Click Here To View"/>
    <s v="Construction"/>
    <n v="2.2799999999999998"/>
    <s v="100.00%"/>
    <s v="0.00%"/>
    <s v="100.00%"/>
    <s v="0.00%"/>
    <m/>
    <n v="2.2799999999999998"/>
    <m/>
    <n v="2.2799999999999998"/>
    <m/>
    <m/>
    <m/>
    <m/>
    <m/>
    <m/>
    <m/>
    <m/>
    <m/>
    <m/>
    <m/>
    <m/>
    <m/>
    <m/>
    <m/>
    <m/>
    <m/>
    <m/>
    <m/>
    <m/>
    <m/>
    <m/>
    <m/>
    <m/>
    <m/>
    <m/>
    <m/>
    <m/>
    <m/>
    <m/>
    <m/>
    <n v="2.2799999999999998"/>
    <m/>
    <m/>
    <s v="0.00%"/>
    <s v="0.00%"/>
    <s v="0.00%"/>
    <s v="0.00%"/>
    <m/>
    <m/>
    <m/>
    <m/>
    <m/>
    <m/>
    <m/>
    <s v="0.00%"/>
    <s v="0.00%"/>
    <s v="0.00%"/>
    <s v="0.00%"/>
    <m/>
    <m/>
    <m/>
    <m/>
    <m/>
    <m/>
    <m/>
    <m/>
    <m/>
    <m/>
    <m/>
    <m/>
    <m/>
    <m/>
    <m/>
    <m/>
    <m/>
    <s v="Mike Teixeira"/>
    <m/>
    <s v="06/03/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6/06/2024"/>
    <x v="20"/>
    <n v="5507285"/>
    <s v="Click Here To View"/>
    <s v="Construction"/>
    <n v="3.85"/>
    <s v="100.00%"/>
    <s v="0.00%"/>
    <s v="100.00%"/>
    <s v="0.00%"/>
    <m/>
    <n v="3.85"/>
    <m/>
    <n v="3.85"/>
    <m/>
    <m/>
    <m/>
    <m/>
    <m/>
    <m/>
    <m/>
    <m/>
    <m/>
    <m/>
    <m/>
    <m/>
    <m/>
    <m/>
    <m/>
    <m/>
    <m/>
    <m/>
    <m/>
    <m/>
    <m/>
    <m/>
    <m/>
    <m/>
    <m/>
    <m/>
    <m/>
    <m/>
    <m/>
    <m/>
    <m/>
    <n v="3.85"/>
    <m/>
    <m/>
    <s v="0.00%"/>
    <s v="0.00%"/>
    <s v="0.00%"/>
    <s v="0.00%"/>
    <m/>
    <m/>
    <m/>
    <m/>
    <m/>
    <m/>
    <m/>
    <s v="0.00%"/>
    <s v="0.00%"/>
    <s v="0.00%"/>
    <s v="0.00%"/>
    <m/>
    <m/>
    <m/>
    <m/>
    <m/>
    <m/>
    <m/>
    <m/>
    <m/>
    <m/>
    <m/>
    <m/>
    <m/>
    <m/>
    <m/>
    <m/>
    <m/>
    <s v="Mike Teixeira"/>
    <m/>
    <s v="06/27/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6/19/2024"/>
    <x v="20"/>
    <n v="5515805"/>
    <s v="Click Here To View"/>
    <s v="Construction"/>
    <n v="1.94"/>
    <s v="100.00%"/>
    <s v="0.00%"/>
    <s v="100.00%"/>
    <s v="0.00%"/>
    <m/>
    <n v="1.94"/>
    <m/>
    <n v="1.94"/>
    <m/>
    <m/>
    <m/>
    <m/>
    <m/>
    <m/>
    <m/>
    <m/>
    <m/>
    <m/>
    <m/>
    <m/>
    <m/>
    <m/>
    <m/>
    <m/>
    <m/>
    <m/>
    <m/>
    <m/>
    <m/>
    <m/>
    <m/>
    <m/>
    <m/>
    <m/>
    <m/>
    <m/>
    <m/>
    <m/>
    <m/>
    <n v="1.94"/>
    <m/>
    <m/>
    <s v="0.00%"/>
    <s v="0.00%"/>
    <s v="0.00%"/>
    <s v="0.00%"/>
    <m/>
    <m/>
    <m/>
    <m/>
    <m/>
    <m/>
    <m/>
    <s v="0.00%"/>
    <s v="0.00%"/>
    <s v="0.00%"/>
    <s v="0.00%"/>
    <m/>
    <m/>
    <m/>
    <m/>
    <m/>
    <m/>
    <m/>
    <m/>
    <m/>
    <m/>
    <m/>
    <m/>
    <m/>
    <m/>
    <m/>
    <m/>
    <m/>
    <s v="Mike Teixeira"/>
    <m/>
    <s v="06/27/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6/24/2024"/>
    <x v="20"/>
    <n v="5519030"/>
    <s v="Click Here To View"/>
    <s v="Construction"/>
    <n v="4.5599999999999996"/>
    <s v="100.00%"/>
    <s v="0.00%"/>
    <s v="100.00%"/>
    <s v="0.00%"/>
    <m/>
    <n v="4.5599999999999996"/>
    <m/>
    <n v="4.5599999999999996"/>
    <m/>
    <m/>
    <m/>
    <m/>
    <m/>
    <m/>
    <m/>
    <m/>
    <m/>
    <m/>
    <m/>
    <m/>
    <m/>
    <m/>
    <m/>
    <m/>
    <m/>
    <m/>
    <m/>
    <m/>
    <m/>
    <m/>
    <m/>
    <m/>
    <m/>
    <m/>
    <m/>
    <m/>
    <m/>
    <m/>
    <m/>
    <n v="4.5599999999999996"/>
    <m/>
    <m/>
    <s v="0.00%"/>
    <s v="0.00%"/>
    <s v="0.00%"/>
    <s v="0.00%"/>
    <m/>
    <m/>
    <m/>
    <m/>
    <m/>
    <m/>
    <m/>
    <s v="0.00%"/>
    <s v="0.00%"/>
    <s v="0.00%"/>
    <s v="0.00%"/>
    <m/>
    <m/>
    <m/>
    <m/>
    <m/>
    <m/>
    <m/>
    <m/>
    <m/>
    <m/>
    <m/>
    <m/>
    <m/>
    <m/>
    <m/>
    <m/>
    <m/>
    <s v="Mike Teixeira"/>
    <m/>
    <s v="06/27/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6/28/2024"/>
    <x v="20"/>
    <n v="5522560"/>
    <s v="Click Here To View"/>
    <s v="Construction"/>
    <n v="2.87"/>
    <s v="100.00%"/>
    <s v="0.00%"/>
    <s v="100.00%"/>
    <s v="0.00%"/>
    <m/>
    <n v="2.87"/>
    <m/>
    <n v="2.87"/>
    <m/>
    <m/>
    <m/>
    <m/>
    <m/>
    <m/>
    <m/>
    <m/>
    <m/>
    <m/>
    <m/>
    <m/>
    <m/>
    <m/>
    <m/>
    <m/>
    <m/>
    <m/>
    <m/>
    <m/>
    <m/>
    <m/>
    <m/>
    <m/>
    <m/>
    <m/>
    <m/>
    <m/>
    <m/>
    <m/>
    <m/>
    <n v="2.87"/>
    <m/>
    <m/>
    <s v="0.00%"/>
    <s v="0.00%"/>
    <s v="0.00%"/>
    <s v="0.00%"/>
    <m/>
    <m/>
    <m/>
    <m/>
    <m/>
    <m/>
    <m/>
    <s v="0.00%"/>
    <s v="0.00%"/>
    <s v="0.00%"/>
    <s v="0.00%"/>
    <m/>
    <m/>
    <m/>
    <m/>
    <m/>
    <m/>
    <m/>
    <m/>
    <m/>
    <m/>
    <m/>
    <m/>
    <m/>
    <m/>
    <m/>
    <m/>
    <m/>
    <s v="Mike Teixeira"/>
    <m/>
    <s v="07/31/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7/01/2024"/>
    <x v="21"/>
    <n v="5524202"/>
    <s v="Click Here To View"/>
    <s v="Construction"/>
    <n v="3.93"/>
    <s v="100.00%"/>
    <s v="0.00%"/>
    <s v="100.00%"/>
    <s v="0.00%"/>
    <m/>
    <n v="3.93"/>
    <m/>
    <n v="3.93"/>
    <m/>
    <m/>
    <m/>
    <m/>
    <m/>
    <m/>
    <m/>
    <m/>
    <m/>
    <m/>
    <m/>
    <m/>
    <m/>
    <m/>
    <m/>
    <m/>
    <m/>
    <m/>
    <m/>
    <m/>
    <m/>
    <m/>
    <m/>
    <m/>
    <m/>
    <m/>
    <m/>
    <m/>
    <m/>
    <m/>
    <m/>
    <n v="3.93"/>
    <m/>
    <m/>
    <s v="0.00%"/>
    <s v="0.00%"/>
    <s v="0.00%"/>
    <s v="0.00%"/>
    <m/>
    <m/>
    <m/>
    <m/>
    <m/>
    <m/>
    <m/>
    <s v="0.00%"/>
    <s v="0.00%"/>
    <s v="0.00%"/>
    <s v="0.00%"/>
    <m/>
    <m/>
    <m/>
    <m/>
    <m/>
    <m/>
    <m/>
    <m/>
    <m/>
    <m/>
    <m/>
    <m/>
    <m/>
    <m/>
    <m/>
    <m/>
    <m/>
    <s v="Mike Teixeira"/>
    <m/>
    <s v="07/31/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7/02/2024"/>
    <x v="21"/>
    <n v="5524856"/>
    <s v="Click Here To View"/>
    <s v="Construction"/>
    <n v="2.38"/>
    <s v="100.00%"/>
    <s v="0.00%"/>
    <s v="100.00%"/>
    <s v="0.00%"/>
    <m/>
    <n v="2.38"/>
    <m/>
    <n v="2.38"/>
    <m/>
    <m/>
    <m/>
    <m/>
    <m/>
    <m/>
    <m/>
    <m/>
    <m/>
    <m/>
    <m/>
    <m/>
    <m/>
    <m/>
    <m/>
    <m/>
    <m/>
    <m/>
    <m/>
    <m/>
    <m/>
    <m/>
    <m/>
    <m/>
    <m/>
    <m/>
    <m/>
    <m/>
    <m/>
    <m/>
    <m/>
    <n v="2.38"/>
    <m/>
    <m/>
    <s v="0.00%"/>
    <s v="0.00%"/>
    <s v="0.00%"/>
    <s v="0.00%"/>
    <m/>
    <m/>
    <m/>
    <m/>
    <m/>
    <m/>
    <m/>
    <s v="0.00%"/>
    <s v="0.00%"/>
    <s v="0.00%"/>
    <s v="0.00%"/>
    <m/>
    <m/>
    <m/>
    <m/>
    <m/>
    <m/>
    <m/>
    <m/>
    <m/>
    <m/>
    <m/>
    <m/>
    <m/>
    <m/>
    <m/>
    <m/>
    <m/>
    <s v="Mike Teixeira"/>
    <m/>
    <s v="07/31/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7/08/2024"/>
    <x v="21"/>
    <n v="5528300"/>
    <s v="Click Here To View"/>
    <s v="Construction"/>
    <n v="1.2"/>
    <s v="100.00%"/>
    <s v="0.00%"/>
    <s v="100.00%"/>
    <s v="0.00%"/>
    <m/>
    <n v="1.2"/>
    <m/>
    <n v="1.2"/>
    <m/>
    <m/>
    <m/>
    <m/>
    <m/>
    <m/>
    <m/>
    <m/>
    <m/>
    <m/>
    <m/>
    <m/>
    <m/>
    <m/>
    <m/>
    <m/>
    <m/>
    <m/>
    <m/>
    <m/>
    <m/>
    <m/>
    <m/>
    <m/>
    <m/>
    <m/>
    <m/>
    <m/>
    <m/>
    <m/>
    <m/>
    <n v="1.2"/>
    <m/>
    <m/>
    <s v="0.00%"/>
    <s v="0.00%"/>
    <s v="0.00%"/>
    <s v="0.00%"/>
    <m/>
    <m/>
    <m/>
    <m/>
    <m/>
    <m/>
    <m/>
    <s v="0.00%"/>
    <s v="0.00%"/>
    <s v="0.00%"/>
    <s v="0.00%"/>
    <m/>
    <m/>
    <m/>
    <m/>
    <m/>
    <m/>
    <m/>
    <m/>
    <m/>
    <m/>
    <m/>
    <m/>
    <m/>
    <m/>
    <m/>
    <m/>
    <m/>
    <s v="Mike Teixeira"/>
    <m/>
    <s v="07/31/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7/23/2024"/>
    <x v="21"/>
    <n v="5538471"/>
    <s v="Click Here To View"/>
    <s v="Construction"/>
    <n v="4.13"/>
    <s v="100.00%"/>
    <s v="0.00%"/>
    <s v="100.00%"/>
    <s v="0.00%"/>
    <m/>
    <n v="4.13"/>
    <m/>
    <n v="4.13"/>
    <m/>
    <m/>
    <m/>
    <m/>
    <m/>
    <m/>
    <m/>
    <m/>
    <m/>
    <m/>
    <m/>
    <m/>
    <m/>
    <m/>
    <m/>
    <m/>
    <m/>
    <m/>
    <m/>
    <m/>
    <m/>
    <m/>
    <m/>
    <m/>
    <m/>
    <m/>
    <m/>
    <m/>
    <m/>
    <m/>
    <m/>
    <n v="4.13"/>
    <m/>
    <m/>
    <s v="0.00%"/>
    <s v="0.00%"/>
    <s v="0.00%"/>
    <s v="0.00%"/>
    <m/>
    <m/>
    <m/>
    <m/>
    <m/>
    <m/>
    <m/>
    <s v="0.00%"/>
    <s v="0.00%"/>
    <s v="0.00%"/>
    <s v="0.00%"/>
    <m/>
    <m/>
    <m/>
    <m/>
    <m/>
    <m/>
    <m/>
    <m/>
    <m/>
    <m/>
    <m/>
    <m/>
    <m/>
    <m/>
    <m/>
    <m/>
    <m/>
    <s v="Mike Teixeira"/>
    <m/>
    <s v="07/31/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8/06/2024"/>
    <x v="22"/>
    <n v="5547957"/>
    <s v="Click Here To View"/>
    <s v="Construction"/>
    <n v="3.85"/>
    <s v="100.00%"/>
    <s v="0.00%"/>
    <s v="100.00%"/>
    <s v="0.00%"/>
    <m/>
    <n v="3.85"/>
    <m/>
    <n v="3.85"/>
    <m/>
    <m/>
    <m/>
    <m/>
    <m/>
    <m/>
    <m/>
    <m/>
    <m/>
    <m/>
    <m/>
    <m/>
    <m/>
    <m/>
    <m/>
    <m/>
    <m/>
    <m/>
    <m/>
    <m/>
    <m/>
    <m/>
    <m/>
    <m/>
    <m/>
    <m/>
    <m/>
    <m/>
    <m/>
    <m/>
    <m/>
    <n v="3.85"/>
    <m/>
    <m/>
    <s v="0.00%"/>
    <s v="0.00%"/>
    <s v="0.00%"/>
    <s v="0.00%"/>
    <m/>
    <m/>
    <m/>
    <m/>
    <m/>
    <m/>
    <m/>
    <s v="0.00%"/>
    <s v="0.00%"/>
    <s v="0.00%"/>
    <s v="0.00%"/>
    <m/>
    <m/>
    <m/>
    <m/>
    <m/>
    <m/>
    <m/>
    <m/>
    <m/>
    <m/>
    <m/>
    <m/>
    <m/>
    <m/>
    <m/>
    <m/>
    <m/>
    <s v="Mike Teixeira"/>
    <m/>
    <s v="08/26/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8/12/2024"/>
    <x v="22"/>
    <n v="5551703"/>
    <s v="Click Here To View"/>
    <s v="Construction"/>
    <n v="3.86"/>
    <s v="100.00%"/>
    <s v="0.00%"/>
    <s v="100.00%"/>
    <s v="0.00%"/>
    <m/>
    <n v="3.86"/>
    <m/>
    <n v="3.86"/>
    <m/>
    <m/>
    <m/>
    <m/>
    <m/>
    <m/>
    <m/>
    <m/>
    <m/>
    <m/>
    <m/>
    <m/>
    <m/>
    <m/>
    <m/>
    <m/>
    <m/>
    <m/>
    <m/>
    <m/>
    <m/>
    <m/>
    <m/>
    <m/>
    <m/>
    <m/>
    <m/>
    <m/>
    <m/>
    <m/>
    <m/>
    <n v="3.86"/>
    <m/>
    <m/>
    <s v="0.00%"/>
    <s v="0.00%"/>
    <s v="0.00%"/>
    <s v="0.00%"/>
    <m/>
    <m/>
    <m/>
    <m/>
    <m/>
    <m/>
    <m/>
    <s v="0.00%"/>
    <s v="0.00%"/>
    <s v="0.00%"/>
    <s v="0.00%"/>
    <m/>
    <m/>
    <m/>
    <m/>
    <m/>
    <m/>
    <m/>
    <m/>
    <m/>
    <m/>
    <m/>
    <m/>
    <m/>
    <m/>
    <m/>
    <m/>
    <m/>
    <s v="Mike Teixeira"/>
    <m/>
    <s v="08/26/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8/15/2024"/>
    <x v="22"/>
    <n v="5554175"/>
    <s v="Click Here To View"/>
    <s v="Construction"/>
    <n v="2.79"/>
    <s v="100.00%"/>
    <s v="0.00%"/>
    <s v="100.00%"/>
    <s v="0.00%"/>
    <m/>
    <n v="2.79"/>
    <m/>
    <n v="2.79"/>
    <m/>
    <m/>
    <m/>
    <m/>
    <m/>
    <m/>
    <m/>
    <m/>
    <m/>
    <m/>
    <m/>
    <m/>
    <m/>
    <m/>
    <m/>
    <m/>
    <m/>
    <m/>
    <m/>
    <m/>
    <m/>
    <m/>
    <m/>
    <m/>
    <m/>
    <m/>
    <m/>
    <m/>
    <m/>
    <m/>
    <m/>
    <n v="2.79"/>
    <m/>
    <m/>
    <s v="0.00%"/>
    <s v="0.00%"/>
    <s v="0.00%"/>
    <s v="0.00%"/>
    <m/>
    <m/>
    <m/>
    <m/>
    <m/>
    <m/>
    <m/>
    <s v="0.00%"/>
    <s v="0.00%"/>
    <s v="0.00%"/>
    <s v="0.00%"/>
    <m/>
    <m/>
    <m/>
    <m/>
    <m/>
    <m/>
    <m/>
    <m/>
    <m/>
    <m/>
    <m/>
    <m/>
    <m/>
    <m/>
    <m/>
    <m/>
    <m/>
    <s v="Mike Teixeira"/>
    <m/>
    <s v="08/26/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8/22/2024"/>
    <x v="22"/>
    <n v="5558849"/>
    <s v="Click Here To View"/>
    <s v="Construction"/>
    <n v="5.19"/>
    <s v="100.00%"/>
    <s v="0.00%"/>
    <s v="100.00%"/>
    <s v="0.00%"/>
    <m/>
    <n v="5.19"/>
    <m/>
    <n v="5.19"/>
    <m/>
    <m/>
    <m/>
    <m/>
    <m/>
    <m/>
    <m/>
    <m/>
    <m/>
    <m/>
    <m/>
    <m/>
    <m/>
    <m/>
    <m/>
    <m/>
    <m/>
    <m/>
    <m/>
    <m/>
    <m/>
    <m/>
    <m/>
    <m/>
    <m/>
    <m/>
    <m/>
    <m/>
    <m/>
    <m/>
    <m/>
    <n v="5.19"/>
    <m/>
    <m/>
    <s v="0.00%"/>
    <s v="0.00%"/>
    <s v="0.00%"/>
    <s v="0.00%"/>
    <m/>
    <m/>
    <m/>
    <m/>
    <m/>
    <m/>
    <m/>
    <s v="0.00%"/>
    <s v="0.00%"/>
    <s v="0.00%"/>
    <s v="0.00%"/>
    <m/>
    <m/>
    <m/>
    <m/>
    <m/>
    <m/>
    <m/>
    <m/>
    <m/>
    <m/>
    <m/>
    <m/>
    <m/>
    <m/>
    <m/>
    <m/>
    <m/>
    <s v="Mike Teixeira"/>
    <m/>
    <s v="08/26/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8/23/2024"/>
    <x v="22"/>
    <n v="5559791"/>
    <s v="Click Here To View"/>
    <s v="Construction"/>
    <n v="2.15"/>
    <s v="100.00%"/>
    <s v="0.00%"/>
    <s v="100.00%"/>
    <s v="0.00%"/>
    <m/>
    <n v="2.15"/>
    <m/>
    <n v="2.15"/>
    <m/>
    <m/>
    <m/>
    <m/>
    <m/>
    <m/>
    <m/>
    <m/>
    <m/>
    <m/>
    <m/>
    <m/>
    <m/>
    <m/>
    <m/>
    <m/>
    <m/>
    <m/>
    <m/>
    <m/>
    <m/>
    <m/>
    <m/>
    <m/>
    <m/>
    <m/>
    <m/>
    <m/>
    <m/>
    <m/>
    <m/>
    <n v="2.15"/>
    <m/>
    <m/>
    <s v="0.00%"/>
    <s v="0.00%"/>
    <s v="0.00%"/>
    <s v="0.00%"/>
    <m/>
    <m/>
    <m/>
    <m/>
    <m/>
    <m/>
    <m/>
    <s v="0.00%"/>
    <s v="0.00%"/>
    <s v="0.00%"/>
    <s v="0.00%"/>
    <m/>
    <m/>
    <m/>
    <m/>
    <m/>
    <m/>
    <m/>
    <m/>
    <m/>
    <m/>
    <m/>
    <m/>
    <m/>
    <m/>
    <m/>
    <m/>
    <m/>
    <s v="Mike Teixeira"/>
    <m/>
    <s v="08/26/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8/27/2024"/>
    <x v="22"/>
    <n v="5561829"/>
    <s v="Click Here To View"/>
    <s v="Construction"/>
    <n v="5.72"/>
    <s v="100.00%"/>
    <s v="0.00%"/>
    <s v="100.00%"/>
    <s v="0.00%"/>
    <m/>
    <n v="5.72"/>
    <m/>
    <n v="5.72"/>
    <m/>
    <m/>
    <m/>
    <m/>
    <m/>
    <m/>
    <m/>
    <m/>
    <m/>
    <m/>
    <m/>
    <m/>
    <m/>
    <m/>
    <m/>
    <m/>
    <m/>
    <m/>
    <m/>
    <m/>
    <m/>
    <m/>
    <m/>
    <m/>
    <m/>
    <m/>
    <m/>
    <m/>
    <m/>
    <m/>
    <m/>
    <n v="5.72"/>
    <m/>
    <m/>
    <s v="0.00%"/>
    <s v="0.00%"/>
    <s v="0.00%"/>
    <s v="0.00%"/>
    <m/>
    <m/>
    <m/>
    <m/>
    <m/>
    <m/>
    <m/>
    <s v="0.00%"/>
    <s v="0.00%"/>
    <s v="0.00%"/>
    <s v="0.00%"/>
    <m/>
    <m/>
    <m/>
    <m/>
    <m/>
    <m/>
    <m/>
    <m/>
    <m/>
    <m/>
    <m/>
    <m/>
    <m/>
    <m/>
    <m/>
    <m/>
    <m/>
    <s v="Mike Teixeira"/>
    <m/>
    <s v="08/30/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8/29/2024"/>
    <x v="22"/>
    <n v="5563286"/>
    <s v="Click Here To View"/>
    <s v="Construction"/>
    <n v="2.27"/>
    <s v="100.00%"/>
    <s v="0.00%"/>
    <s v="100.00%"/>
    <s v="0.00%"/>
    <m/>
    <n v="2.27"/>
    <m/>
    <n v="2.27"/>
    <m/>
    <m/>
    <m/>
    <m/>
    <m/>
    <m/>
    <m/>
    <m/>
    <m/>
    <m/>
    <m/>
    <m/>
    <m/>
    <m/>
    <m/>
    <m/>
    <m/>
    <m/>
    <m/>
    <m/>
    <m/>
    <m/>
    <m/>
    <m/>
    <m/>
    <m/>
    <m/>
    <m/>
    <m/>
    <m/>
    <m/>
    <n v="2.27"/>
    <m/>
    <m/>
    <s v="0.00%"/>
    <s v="0.00%"/>
    <s v="0.00%"/>
    <s v="0.00%"/>
    <m/>
    <m/>
    <m/>
    <m/>
    <m/>
    <m/>
    <m/>
    <s v="0.00%"/>
    <s v="0.00%"/>
    <s v="0.00%"/>
    <s v="0.00%"/>
    <m/>
    <m/>
    <m/>
    <m/>
    <m/>
    <m/>
    <m/>
    <m/>
    <m/>
    <m/>
    <m/>
    <m/>
    <m/>
    <m/>
    <m/>
    <m/>
    <m/>
    <s v="Mike Teixeira"/>
    <m/>
    <s v="09/26/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9/04/2024"/>
    <x v="23"/>
    <n v="5566865"/>
    <s v="Click Here To View"/>
    <s v="Construction"/>
    <n v="5.0599999999999996"/>
    <s v="100.00%"/>
    <s v="0.00%"/>
    <s v="100.00%"/>
    <s v="0.00%"/>
    <m/>
    <n v="5.0599999999999996"/>
    <m/>
    <n v="5.0599999999999996"/>
    <m/>
    <m/>
    <m/>
    <m/>
    <m/>
    <m/>
    <m/>
    <m/>
    <m/>
    <m/>
    <m/>
    <m/>
    <m/>
    <m/>
    <m/>
    <m/>
    <m/>
    <m/>
    <m/>
    <m/>
    <m/>
    <m/>
    <m/>
    <m/>
    <m/>
    <m/>
    <m/>
    <m/>
    <m/>
    <m/>
    <m/>
    <n v="5.0599999999999996"/>
    <m/>
    <m/>
    <s v="0.00%"/>
    <s v="0.00%"/>
    <s v="0.00%"/>
    <s v="0.00%"/>
    <m/>
    <m/>
    <m/>
    <m/>
    <m/>
    <m/>
    <m/>
    <s v="0.00%"/>
    <s v="0.00%"/>
    <s v="0.00%"/>
    <s v="0.00%"/>
    <m/>
    <m/>
    <m/>
    <m/>
    <m/>
    <m/>
    <m/>
    <m/>
    <m/>
    <m/>
    <m/>
    <m/>
    <m/>
    <m/>
    <m/>
    <m/>
    <m/>
    <s v="Mike Teixeira"/>
    <m/>
    <s v="09/26/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9/04/2024"/>
    <x v="23"/>
    <n v="5566888"/>
    <s v="Click Here To View"/>
    <s v="Construction"/>
    <n v="1.45"/>
    <s v="100.00%"/>
    <s v="0.00%"/>
    <s v="100.00%"/>
    <s v="0.00%"/>
    <m/>
    <n v="1.45"/>
    <m/>
    <n v="1.45"/>
    <m/>
    <m/>
    <m/>
    <m/>
    <m/>
    <m/>
    <m/>
    <m/>
    <m/>
    <m/>
    <m/>
    <m/>
    <m/>
    <m/>
    <m/>
    <m/>
    <m/>
    <m/>
    <m/>
    <m/>
    <m/>
    <m/>
    <m/>
    <m/>
    <m/>
    <m/>
    <m/>
    <m/>
    <m/>
    <m/>
    <m/>
    <n v="1.45"/>
    <m/>
    <m/>
    <s v="0.00%"/>
    <s v="0.00%"/>
    <s v="0.00%"/>
    <s v="0.00%"/>
    <m/>
    <m/>
    <m/>
    <m/>
    <m/>
    <m/>
    <m/>
    <s v="0.00%"/>
    <s v="0.00%"/>
    <s v="0.00%"/>
    <s v="0.00%"/>
    <m/>
    <m/>
    <m/>
    <m/>
    <m/>
    <m/>
    <m/>
    <m/>
    <m/>
    <m/>
    <m/>
    <m/>
    <m/>
    <m/>
    <m/>
    <m/>
    <m/>
    <s v="Mike Teixeira"/>
    <m/>
    <s v="09/26/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9/07/2024"/>
    <x v="23"/>
    <n v="3.44"/>
    <s v="Click Here To View"/>
    <s v="Construction"/>
    <n v="3.44"/>
    <s v="100.00%"/>
    <s v="0.00%"/>
    <s v="100.00%"/>
    <s v="0.00%"/>
    <m/>
    <n v="3.44"/>
    <m/>
    <n v="3.44"/>
    <m/>
    <m/>
    <m/>
    <m/>
    <m/>
    <m/>
    <m/>
    <m/>
    <m/>
    <m/>
    <m/>
    <m/>
    <m/>
    <m/>
    <m/>
    <m/>
    <m/>
    <m/>
    <m/>
    <m/>
    <m/>
    <m/>
    <m/>
    <m/>
    <m/>
    <m/>
    <m/>
    <m/>
    <m/>
    <m/>
    <m/>
    <n v="3.44"/>
    <m/>
    <m/>
    <s v="0.00%"/>
    <s v="0.00%"/>
    <s v="0.00%"/>
    <s v="0.00%"/>
    <m/>
    <m/>
    <m/>
    <m/>
    <m/>
    <m/>
    <m/>
    <s v="0.00%"/>
    <s v="0.00%"/>
    <s v="0.00%"/>
    <s v="0.00%"/>
    <m/>
    <m/>
    <m/>
    <m/>
    <m/>
    <m/>
    <m/>
    <m/>
    <m/>
    <m/>
    <m/>
    <m/>
    <m/>
    <m/>
    <m/>
    <m/>
    <m/>
    <s v="Mike Teixeira"/>
    <m/>
    <s v="09/26/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9/07/2024"/>
    <x v="23"/>
    <n v="5568806"/>
    <s v="Click Here To View"/>
    <s v="Construction"/>
    <n v="1.52"/>
    <s v="100.00%"/>
    <s v="0.00%"/>
    <s v="100.00%"/>
    <s v="0.00%"/>
    <m/>
    <n v="1.52"/>
    <m/>
    <n v="1.52"/>
    <m/>
    <m/>
    <m/>
    <m/>
    <m/>
    <m/>
    <m/>
    <m/>
    <m/>
    <m/>
    <m/>
    <m/>
    <m/>
    <m/>
    <m/>
    <m/>
    <m/>
    <m/>
    <m/>
    <m/>
    <m/>
    <m/>
    <m/>
    <m/>
    <m/>
    <m/>
    <m/>
    <m/>
    <m/>
    <m/>
    <m/>
    <n v="1.52"/>
    <m/>
    <m/>
    <s v="0.00%"/>
    <s v="0.00%"/>
    <s v="0.00%"/>
    <s v="0.00%"/>
    <m/>
    <m/>
    <m/>
    <m/>
    <m/>
    <m/>
    <m/>
    <s v="0.00%"/>
    <s v="0.00%"/>
    <s v="0.00%"/>
    <s v="0.00%"/>
    <m/>
    <m/>
    <m/>
    <m/>
    <m/>
    <m/>
    <m/>
    <m/>
    <m/>
    <m/>
    <m/>
    <m/>
    <m/>
    <m/>
    <m/>
    <m/>
    <m/>
    <s v="Mike Teixeira"/>
    <m/>
    <s v="09/26/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9/11/2024"/>
    <x v="23"/>
    <n v="5571179"/>
    <s v="Click Here To View"/>
    <s v="Construction"/>
    <n v="2.81"/>
    <s v="100.00%"/>
    <s v="0.00%"/>
    <s v="100.00%"/>
    <s v="0.00%"/>
    <m/>
    <n v="2.81"/>
    <m/>
    <n v="2.81"/>
    <m/>
    <m/>
    <m/>
    <m/>
    <m/>
    <m/>
    <m/>
    <m/>
    <m/>
    <m/>
    <m/>
    <m/>
    <m/>
    <m/>
    <m/>
    <m/>
    <m/>
    <m/>
    <m/>
    <m/>
    <m/>
    <m/>
    <m/>
    <m/>
    <m/>
    <m/>
    <m/>
    <m/>
    <m/>
    <m/>
    <m/>
    <n v="2.81"/>
    <m/>
    <m/>
    <s v="0.00%"/>
    <s v="0.00%"/>
    <s v="0.00%"/>
    <s v="0.00%"/>
    <m/>
    <m/>
    <m/>
    <m/>
    <m/>
    <m/>
    <m/>
    <s v="0.00%"/>
    <s v="0.00%"/>
    <s v="0.00%"/>
    <s v="0.00%"/>
    <m/>
    <m/>
    <m/>
    <m/>
    <m/>
    <m/>
    <m/>
    <m/>
    <m/>
    <m/>
    <m/>
    <m/>
    <m/>
    <m/>
    <m/>
    <m/>
    <m/>
    <s v="Mike Teixeira"/>
    <m/>
    <s v="09/26/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9/11/2024"/>
    <x v="23"/>
    <n v="5570898"/>
    <s v="Click Here To View"/>
    <s v="Construction"/>
    <n v="2.02"/>
    <s v="100.00%"/>
    <s v="0.00%"/>
    <s v="100.00%"/>
    <s v="0.00%"/>
    <m/>
    <n v="2.02"/>
    <m/>
    <n v="2.02"/>
    <m/>
    <m/>
    <m/>
    <m/>
    <m/>
    <m/>
    <m/>
    <m/>
    <m/>
    <m/>
    <m/>
    <m/>
    <m/>
    <m/>
    <m/>
    <m/>
    <m/>
    <m/>
    <m/>
    <m/>
    <m/>
    <m/>
    <m/>
    <m/>
    <m/>
    <m/>
    <m/>
    <m/>
    <m/>
    <m/>
    <m/>
    <n v="2.02"/>
    <m/>
    <m/>
    <s v="0.00%"/>
    <s v="0.00%"/>
    <s v="0.00%"/>
    <s v="0.00%"/>
    <m/>
    <m/>
    <m/>
    <m/>
    <m/>
    <m/>
    <m/>
    <s v="0.00%"/>
    <s v="0.00%"/>
    <s v="0.00%"/>
    <s v="0.00%"/>
    <m/>
    <m/>
    <m/>
    <m/>
    <m/>
    <m/>
    <m/>
    <m/>
    <m/>
    <m/>
    <m/>
    <m/>
    <m/>
    <m/>
    <m/>
    <m/>
    <m/>
    <s v="Mike Teixeira"/>
    <m/>
    <s v="09/26/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9/13/2024"/>
    <x v="23"/>
    <n v="5573044"/>
    <s v="Click Here To View"/>
    <s v="Construction"/>
    <n v="2.12"/>
    <s v="100.00%"/>
    <s v="0.00%"/>
    <s v="100.00%"/>
    <s v="0.00%"/>
    <m/>
    <n v="2.12"/>
    <m/>
    <n v="2.12"/>
    <m/>
    <m/>
    <m/>
    <m/>
    <m/>
    <m/>
    <m/>
    <m/>
    <m/>
    <m/>
    <m/>
    <m/>
    <m/>
    <m/>
    <m/>
    <m/>
    <m/>
    <m/>
    <m/>
    <m/>
    <m/>
    <m/>
    <m/>
    <m/>
    <m/>
    <m/>
    <m/>
    <m/>
    <m/>
    <m/>
    <m/>
    <n v="2.12"/>
    <m/>
    <m/>
    <s v="0.00%"/>
    <s v="0.00%"/>
    <s v="0.00%"/>
    <s v="0.00%"/>
    <m/>
    <m/>
    <m/>
    <m/>
    <m/>
    <m/>
    <m/>
    <s v="0.00%"/>
    <s v="0.00%"/>
    <s v="0.00%"/>
    <s v="0.00%"/>
    <m/>
    <m/>
    <m/>
    <m/>
    <m/>
    <m/>
    <m/>
    <m/>
    <m/>
    <m/>
    <m/>
    <m/>
    <m/>
    <m/>
    <m/>
    <m/>
    <m/>
    <s v="Mike Teixeira"/>
    <m/>
    <s v="09/26/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9/14/2024"/>
    <x v="23"/>
    <n v="5573350"/>
    <s v="Click Here To View"/>
    <s v="Construction"/>
    <n v="1.56"/>
    <s v="100.00%"/>
    <s v="0.00%"/>
    <s v="100.00%"/>
    <s v="0.00%"/>
    <m/>
    <n v="1.56"/>
    <m/>
    <n v="1.56"/>
    <m/>
    <m/>
    <m/>
    <m/>
    <m/>
    <m/>
    <m/>
    <m/>
    <m/>
    <m/>
    <m/>
    <m/>
    <m/>
    <m/>
    <m/>
    <m/>
    <m/>
    <m/>
    <m/>
    <m/>
    <m/>
    <m/>
    <m/>
    <m/>
    <m/>
    <m/>
    <m/>
    <m/>
    <m/>
    <m/>
    <m/>
    <n v="1.56"/>
    <m/>
    <m/>
    <s v="0.00%"/>
    <s v="0.00%"/>
    <s v="0.00%"/>
    <s v="0.00%"/>
    <m/>
    <m/>
    <m/>
    <m/>
    <m/>
    <m/>
    <m/>
    <s v="0.00%"/>
    <s v="0.00%"/>
    <s v="0.00%"/>
    <s v="0.00%"/>
    <m/>
    <m/>
    <m/>
    <m/>
    <m/>
    <m/>
    <m/>
    <m/>
    <m/>
    <m/>
    <m/>
    <m/>
    <m/>
    <m/>
    <m/>
    <m/>
    <m/>
    <s v="Mike Teixeira"/>
    <m/>
    <s v="09/26/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9/16/2024"/>
    <x v="23"/>
    <n v="5573669"/>
    <s v="Click Here To View"/>
    <s v="Construction"/>
    <n v="3.13"/>
    <s v="100.00%"/>
    <s v="0.00%"/>
    <s v="100.00%"/>
    <s v="0.00%"/>
    <m/>
    <n v="3.13"/>
    <m/>
    <n v="3.13"/>
    <m/>
    <m/>
    <m/>
    <m/>
    <m/>
    <m/>
    <m/>
    <m/>
    <m/>
    <m/>
    <m/>
    <m/>
    <m/>
    <m/>
    <m/>
    <m/>
    <m/>
    <m/>
    <m/>
    <m/>
    <m/>
    <m/>
    <m/>
    <m/>
    <m/>
    <m/>
    <m/>
    <m/>
    <m/>
    <m/>
    <m/>
    <n v="3.13"/>
    <m/>
    <m/>
    <s v="0.00%"/>
    <s v="0.00%"/>
    <s v="0.00%"/>
    <s v="0.00%"/>
    <m/>
    <m/>
    <m/>
    <m/>
    <m/>
    <m/>
    <m/>
    <s v="0.00%"/>
    <s v="0.00%"/>
    <s v="0.00%"/>
    <s v="0.00%"/>
    <m/>
    <m/>
    <m/>
    <m/>
    <m/>
    <m/>
    <m/>
    <m/>
    <m/>
    <m/>
    <m/>
    <m/>
    <m/>
    <m/>
    <m/>
    <m/>
    <m/>
    <s v="Mike Teixeira"/>
    <m/>
    <s v="09/26/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9/17/2024"/>
    <x v="23"/>
    <n v="5575276"/>
    <s v="Click Here To View"/>
    <s v="Construction"/>
    <n v="3.62"/>
    <s v="100.00%"/>
    <s v="0.00%"/>
    <s v="100.00%"/>
    <s v="0.00%"/>
    <m/>
    <n v="3.62"/>
    <m/>
    <n v="3.62"/>
    <m/>
    <m/>
    <m/>
    <m/>
    <m/>
    <m/>
    <m/>
    <m/>
    <m/>
    <m/>
    <m/>
    <m/>
    <m/>
    <m/>
    <m/>
    <m/>
    <m/>
    <m/>
    <m/>
    <m/>
    <m/>
    <m/>
    <m/>
    <m/>
    <m/>
    <m/>
    <m/>
    <m/>
    <m/>
    <m/>
    <m/>
    <n v="3.62"/>
    <m/>
    <m/>
    <s v="0.00%"/>
    <s v="0.00%"/>
    <s v="0.00%"/>
    <s v="0.00%"/>
    <m/>
    <m/>
    <m/>
    <m/>
    <m/>
    <m/>
    <m/>
    <s v="0.00%"/>
    <s v="0.00%"/>
    <s v="0.00%"/>
    <s v="0.00%"/>
    <m/>
    <m/>
    <m/>
    <m/>
    <m/>
    <m/>
    <m/>
    <m/>
    <m/>
    <m/>
    <m/>
    <m/>
    <m/>
    <m/>
    <m/>
    <m/>
    <m/>
    <s v="Mike Teixeira"/>
    <m/>
    <s v="09/26/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9/18/2024"/>
    <x v="23"/>
    <n v="5576008"/>
    <s v="Click Here To View"/>
    <s v="Construction"/>
    <n v="2.88"/>
    <s v="100.00%"/>
    <s v="0.00%"/>
    <s v="100.00%"/>
    <s v="0.00%"/>
    <m/>
    <n v="2.88"/>
    <m/>
    <n v="2.88"/>
    <m/>
    <m/>
    <m/>
    <m/>
    <m/>
    <m/>
    <m/>
    <m/>
    <m/>
    <m/>
    <m/>
    <m/>
    <m/>
    <m/>
    <m/>
    <m/>
    <m/>
    <m/>
    <m/>
    <m/>
    <m/>
    <m/>
    <m/>
    <m/>
    <m/>
    <m/>
    <m/>
    <m/>
    <m/>
    <m/>
    <m/>
    <n v="2.88"/>
    <m/>
    <m/>
    <s v="0.00%"/>
    <s v="0.00%"/>
    <s v="0.00%"/>
    <s v="0.00%"/>
    <m/>
    <m/>
    <m/>
    <m/>
    <m/>
    <m/>
    <m/>
    <s v="0.00%"/>
    <s v="0.00%"/>
    <s v="0.00%"/>
    <s v="0.00%"/>
    <m/>
    <m/>
    <m/>
    <m/>
    <m/>
    <m/>
    <m/>
    <m/>
    <m/>
    <m/>
    <m/>
    <m/>
    <m/>
    <m/>
    <m/>
    <m/>
    <m/>
    <s v="Mike Teixeira"/>
    <m/>
    <s v="09/26/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9/19/2024"/>
    <x v="23"/>
    <n v="5576562"/>
    <s v="Click Here To View"/>
    <s v="Construction"/>
    <n v="1.61"/>
    <s v="100.00%"/>
    <s v="0.00%"/>
    <s v="100.00%"/>
    <s v="0.00%"/>
    <m/>
    <n v="1.61"/>
    <m/>
    <n v="1.61"/>
    <m/>
    <m/>
    <m/>
    <m/>
    <m/>
    <m/>
    <m/>
    <m/>
    <m/>
    <m/>
    <m/>
    <m/>
    <m/>
    <m/>
    <m/>
    <m/>
    <m/>
    <m/>
    <m/>
    <m/>
    <m/>
    <m/>
    <m/>
    <m/>
    <m/>
    <m/>
    <m/>
    <m/>
    <m/>
    <m/>
    <m/>
    <n v="1.61"/>
    <m/>
    <m/>
    <s v="0.00%"/>
    <s v="0.00%"/>
    <s v="0.00%"/>
    <s v="0.00%"/>
    <m/>
    <m/>
    <m/>
    <m/>
    <m/>
    <m/>
    <m/>
    <s v="0.00%"/>
    <s v="0.00%"/>
    <s v="0.00%"/>
    <s v="0.00%"/>
    <m/>
    <m/>
    <m/>
    <m/>
    <m/>
    <m/>
    <m/>
    <m/>
    <m/>
    <m/>
    <m/>
    <m/>
    <m/>
    <m/>
    <m/>
    <m/>
    <m/>
    <s v="Mike Teixeira"/>
    <m/>
    <s v="09/26/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9/24/2024"/>
    <x v="23"/>
    <n v="5579151"/>
    <s v="Click Here To View"/>
    <s v="Construction"/>
    <n v="1.39"/>
    <s v="100.00%"/>
    <s v="0.00%"/>
    <s v="100.00%"/>
    <s v="0.00%"/>
    <m/>
    <n v="1.39"/>
    <m/>
    <n v="1.39"/>
    <m/>
    <m/>
    <m/>
    <m/>
    <m/>
    <m/>
    <m/>
    <m/>
    <m/>
    <m/>
    <m/>
    <m/>
    <m/>
    <m/>
    <m/>
    <m/>
    <m/>
    <m/>
    <m/>
    <m/>
    <m/>
    <m/>
    <m/>
    <m/>
    <m/>
    <m/>
    <m/>
    <m/>
    <m/>
    <m/>
    <m/>
    <n v="1.39"/>
    <m/>
    <m/>
    <s v="0.00%"/>
    <s v="0.00%"/>
    <s v="0.00%"/>
    <s v="0.00%"/>
    <m/>
    <m/>
    <m/>
    <m/>
    <m/>
    <m/>
    <m/>
    <s v="0.00%"/>
    <s v="0.00%"/>
    <s v="0.00%"/>
    <s v="0.00%"/>
    <m/>
    <m/>
    <m/>
    <m/>
    <m/>
    <m/>
    <m/>
    <m/>
    <m/>
    <m/>
    <m/>
    <m/>
    <m/>
    <m/>
    <m/>
    <m/>
    <m/>
    <s v="Mike Teixeira"/>
    <m/>
    <s v="10/30/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9/26/2024"/>
    <x v="23"/>
    <n v="5580662"/>
    <s v="Click Here To View"/>
    <s v="Construction"/>
    <n v="5.01"/>
    <s v="100.00%"/>
    <s v="0.00%"/>
    <s v="100.00%"/>
    <s v="0.00%"/>
    <m/>
    <n v="5.01"/>
    <m/>
    <n v="5.01"/>
    <m/>
    <m/>
    <m/>
    <m/>
    <m/>
    <m/>
    <m/>
    <m/>
    <m/>
    <m/>
    <m/>
    <m/>
    <m/>
    <m/>
    <m/>
    <m/>
    <m/>
    <m/>
    <m/>
    <m/>
    <m/>
    <m/>
    <m/>
    <m/>
    <m/>
    <m/>
    <m/>
    <m/>
    <m/>
    <m/>
    <m/>
    <n v="5.01"/>
    <m/>
    <m/>
    <s v="0.00%"/>
    <s v="0.00%"/>
    <s v="0.00%"/>
    <s v="0.00%"/>
    <m/>
    <m/>
    <m/>
    <m/>
    <m/>
    <m/>
    <m/>
    <s v="0.00%"/>
    <s v="0.00%"/>
    <s v="0.00%"/>
    <s v="0.00%"/>
    <m/>
    <m/>
    <m/>
    <m/>
    <m/>
    <m/>
    <m/>
    <m/>
    <m/>
    <m/>
    <m/>
    <m/>
    <m/>
    <m/>
    <m/>
    <m/>
    <m/>
    <s v="Mike Teixeira"/>
    <m/>
    <s v="10/30/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9/26/2024"/>
    <x v="23"/>
    <n v="5581299"/>
    <s v="Click Here To View"/>
    <s v="Construction"/>
    <n v="3.4"/>
    <s v="100.00%"/>
    <s v="0.00%"/>
    <s v="100.00%"/>
    <s v="0.00%"/>
    <m/>
    <n v="3.4"/>
    <m/>
    <n v="3.4"/>
    <m/>
    <m/>
    <m/>
    <m/>
    <m/>
    <m/>
    <m/>
    <m/>
    <m/>
    <m/>
    <m/>
    <m/>
    <m/>
    <m/>
    <m/>
    <m/>
    <m/>
    <m/>
    <m/>
    <m/>
    <m/>
    <m/>
    <m/>
    <m/>
    <m/>
    <m/>
    <m/>
    <m/>
    <m/>
    <m/>
    <m/>
    <n v="3.4"/>
    <m/>
    <m/>
    <s v="0.00%"/>
    <s v="0.00%"/>
    <s v="0.00%"/>
    <s v="0.00%"/>
    <m/>
    <m/>
    <m/>
    <m/>
    <m/>
    <m/>
    <m/>
    <s v="0.00%"/>
    <s v="0.00%"/>
    <s v="0.00%"/>
    <s v="0.00%"/>
    <m/>
    <m/>
    <m/>
    <m/>
    <m/>
    <m/>
    <m/>
    <m/>
    <m/>
    <m/>
    <m/>
    <m/>
    <m/>
    <m/>
    <m/>
    <m/>
    <m/>
    <s v="Mike Teixeira"/>
    <m/>
    <s v="10/30/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0/02/2024"/>
    <x v="24"/>
    <n v="5584703"/>
    <s v="Click Here To View"/>
    <s v="Construction"/>
    <n v="4.83"/>
    <s v="100.00%"/>
    <s v="0.00%"/>
    <s v="100.00%"/>
    <s v="0.00%"/>
    <m/>
    <n v="4.83"/>
    <m/>
    <n v="4.83"/>
    <m/>
    <m/>
    <m/>
    <m/>
    <m/>
    <m/>
    <m/>
    <m/>
    <m/>
    <m/>
    <m/>
    <m/>
    <m/>
    <m/>
    <m/>
    <m/>
    <m/>
    <m/>
    <m/>
    <m/>
    <m/>
    <m/>
    <m/>
    <m/>
    <m/>
    <m/>
    <m/>
    <m/>
    <m/>
    <m/>
    <m/>
    <n v="4.83"/>
    <m/>
    <m/>
    <s v="0.00%"/>
    <s v="0.00%"/>
    <s v="0.00%"/>
    <s v="0.00%"/>
    <m/>
    <m/>
    <m/>
    <m/>
    <m/>
    <m/>
    <m/>
    <s v="0.00%"/>
    <s v="0.00%"/>
    <s v="0.00%"/>
    <s v="0.00%"/>
    <m/>
    <m/>
    <m/>
    <m/>
    <m/>
    <m/>
    <m/>
    <m/>
    <m/>
    <m/>
    <m/>
    <m/>
    <m/>
    <m/>
    <m/>
    <m/>
    <m/>
    <s v="Mike Teixeira"/>
    <m/>
    <s v="10/30/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0/02/2024"/>
    <x v="24"/>
    <n v="5584525"/>
    <s v="Click Here To View"/>
    <s v="Construction"/>
    <n v="3.03"/>
    <s v="100.00%"/>
    <s v="0.00%"/>
    <s v="100.00%"/>
    <s v="0.00%"/>
    <m/>
    <n v="3.03"/>
    <m/>
    <n v="3.03"/>
    <m/>
    <m/>
    <m/>
    <m/>
    <m/>
    <m/>
    <m/>
    <m/>
    <m/>
    <m/>
    <m/>
    <m/>
    <m/>
    <m/>
    <m/>
    <m/>
    <m/>
    <m/>
    <m/>
    <m/>
    <m/>
    <m/>
    <m/>
    <m/>
    <m/>
    <m/>
    <m/>
    <m/>
    <m/>
    <m/>
    <m/>
    <n v="3.03"/>
    <m/>
    <m/>
    <s v="0.00%"/>
    <s v="0.00%"/>
    <s v="0.00%"/>
    <s v="0.00%"/>
    <m/>
    <m/>
    <m/>
    <m/>
    <m/>
    <m/>
    <m/>
    <s v="0.00%"/>
    <s v="0.00%"/>
    <s v="0.00%"/>
    <s v="0.00%"/>
    <m/>
    <m/>
    <m/>
    <m/>
    <m/>
    <m/>
    <m/>
    <m/>
    <m/>
    <m/>
    <m/>
    <m/>
    <m/>
    <m/>
    <m/>
    <m/>
    <m/>
    <s v="Mike Teixeira"/>
    <m/>
    <s v="10/30/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0/03/2024"/>
    <x v="24"/>
    <n v="5585427"/>
    <s v="Click Here To View"/>
    <s v="Construction"/>
    <n v="2.5"/>
    <s v="100.00%"/>
    <s v="0.00%"/>
    <s v="100.00%"/>
    <s v="0.00%"/>
    <m/>
    <n v="2.5"/>
    <m/>
    <n v="2.5"/>
    <m/>
    <m/>
    <m/>
    <m/>
    <m/>
    <m/>
    <m/>
    <m/>
    <m/>
    <m/>
    <m/>
    <m/>
    <m/>
    <m/>
    <m/>
    <m/>
    <m/>
    <m/>
    <m/>
    <m/>
    <m/>
    <m/>
    <m/>
    <m/>
    <m/>
    <m/>
    <m/>
    <m/>
    <m/>
    <m/>
    <m/>
    <n v="2.5"/>
    <m/>
    <m/>
    <s v="0.00%"/>
    <s v="0.00%"/>
    <s v="0.00%"/>
    <s v="0.00%"/>
    <m/>
    <m/>
    <m/>
    <m/>
    <m/>
    <m/>
    <m/>
    <s v="0.00%"/>
    <s v="0.00%"/>
    <s v="0.00%"/>
    <s v="0.00%"/>
    <m/>
    <m/>
    <m/>
    <m/>
    <m/>
    <m/>
    <m/>
    <m/>
    <m/>
    <m/>
    <m/>
    <m/>
    <m/>
    <m/>
    <m/>
    <m/>
    <m/>
    <s v="Mike Teixeira"/>
    <m/>
    <s v="10/30/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0/07/2024"/>
    <x v="24"/>
    <n v="5587515"/>
    <s v="Click Here To View"/>
    <s v="Construction"/>
    <n v="4.88"/>
    <s v="100.00%"/>
    <s v="0.00%"/>
    <s v="100.00%"/>
    <s v="0.00%"/>
    <m/>
    <n v="4.88"/>
    <m/>
    <n v="4.88"/>
    <m/>
    <m/>
    <m/>
    <m/>
    <m/>
    <m/>
    <m/>
    <m/>
    <m/>
    <m/>
    <m/>
    <m/>
    <m/>
    <m/>
    <m/>
    <m/>
    <m/>
    <m/>
    <m/>
    <m/>
    <m/>
    <m/>
    <m/>
    <m/>
    <m/>
    <m/>
    <m/>
    <m/>
    <m/>
    <m/>
    <m/>
    <n v="4.88"/>
    <m/>
    <m/>
    <s v="0.00%"/>
    <s v="0.00%"/>
    <s v="0.00%"/>
    <s v="0.00%"/>
    <m/>
    <m/>
    <m/>
    <m/>
    <m/>
    <m/>
    <m/>
    <s v="0.00%"/>
    <s v="0.00%"/>
    <s v="0.00%"/>
    <s v="0.00%"/>
    <m/>
    <m/>
    <m/>
    <m/>
    <m/>
    <m/>
    <m/>
    <m/>
    <m/>
    <m/>
    <m/>
    <m/>
    <m/>
    <m/>
    <m/>
    <m/>
    <m/>
    <s v="Mike Teixeira"/>
    <m/>
    <s v="10/30/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0/08/2024"/>
    <x v="24"/>
    <n v="5588149"/>
    <s v="Click Here To View"/>
    <s v="Construction"/>
    <n v="3.89"/>
    <s v="100.00%"/>
    <s v="0.00%"/>
    <s v="100.00%"/>
    <s v="0.00%"/>
    <m/>
    <n v="3.89"/>
    <m/>
    <n v="3.89"/>
    <m/>
    <m/>
    <m/>
    <m/>
    <m/>
    <m/>
    <m/>
    <m/>
    <m/>
    <m/>
    <m/>
    <m/>
    <m/>
    <m/>
    <m/>
    <m/>
    <m/>
    <m/>
    <m/>
    <m/>
    <m/>
    <m/>
    <m/>
    <m/>
    <m/>
    <m/>
    <m/>
    <m/>
    <m/>
    <m/>
    <m/>
    <n v="3.89"/>
    <m/>
    <m/>
    <s v="0.00%"/>
    <s v="0.00%"/>
    <s v="0.00%"/>
    <s v="0.00%"/>
    <m/>
    <m/>
    <m/>
    <m/>
    <m/>
    <m/>
    <m/>
    <s v="0.00%"/>
    <s v="0.00%"/>
    <s v="0.00%"/>
    <s v="0.00%"/>
    <m/>
    <m/>
    <m/>
    <m/>
    <m/>
    <m/>
    <m/>
    <m/>
    <m/>
    <m/>
    <m/>
    <m/>
    <m/>
    <m/>
    <m/>
    <m/>
    <m/>
    <s v="Mike Teixeira"/>
    <m/>
    <s v="10/30/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0/09/2024"/>
    <x v="24"/>
    <n v="5589445"/>
    <s v="Click Here To View"/>
    <s v="Construction"/>
    <n v="2.56"/>
    <s v="100.00%"/>
    <s v="0.00%"/>
    <s v="100.00%"/>
    <s v="0.00%"/>
    <m/>
    <n v="2.56"/>
    <m/>
    <n v="2.56"/>
    <m/>
    <m/>
    <m/>
    <m/>
    <m/>
    <m/>
    <m/>
    <m/>
    <m/>
    <m/>
    <m/>
    <m/>
    <m/>
    <m/>
    <m/>
    <m/>
    <m/>
    <m/>
    <m/>
    <m/>
    <m/>
    <m/>
    <m/>
    <m/>
    <m/>
    <m/>
    <m/>
    <m/>
    <m/>
    <m/>
    <m/>
    <n v="2.56"/>
    <m/>
    <m/>
    <s v="0.00%"/>
    <s v="0.00%"/>
    <s v="0.00%"/>
    <s v="0.00%"/>
    <m/>
    <m/>
    <m/>
    <m/>
    <m/>
    <m/>
    <m/>
    <s v="0.00%"/>
    <s v="0.00%"/>
    <s v="0.00%"/>
    <s v="0.00%"/>
    <m/>
    <m/>
    <m/>
    <m/>
    <m/>
    <m/>
    <m/>
    <m/>
    <m/>
    <m/>
    <m/>
    <m/>
    <m/>
    <m/>
    <m/>
    <m/>
    <m/>
    <s v="Mike Teixeira"/>
    <m/>
    <s v="10/30/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0/10/2024"/>
    <x v="24"/>
    <n v="5590284"/>
    <s v="Click Here To View"/>
    <s v="Construction"/>
    <n v="1.1599999999999999"/>
    <s v="100.00%"/>
    <s v="0.00%"/>
    <s v="100.00%"/>
    <s v="0.00%"/>
    <m/>
    <n v="1.1599999999999999"/>
    <m/>
    <n v="1.1599999999999999"/>
    <m/>
    <m/>
    <m/>
    <m/>
    <m/>
    <m/>
    <m/>
    <m/>
    <m/>
    <m/>
    <m/>
    <m/>
    <m/>
    <m/>
    <m/>
    <m/>
    <m/>
    <m/>
    <m/>
    <m/>
    <m/>
    <m/>
    <m/>
    <m/>
    <m/>
    <m/>
    <m/>
    <m/>
    <m/>
    <m/>
    <m/>
    <n v="1.1599999999999999"/>
    <m/>
    <m/>
    <s v="0.00%"/>
    <s v="0.00%"/>
    <s v="0.00%"/>
    <s v="0.00%"/>
    <m/>
    <m/>
    <m/>
    <m/>
    <m/>
    <m/>
    <m/>
    <s v="0.00%"/>
    <s v="0.00%"/>
    <s v="0.00%"/>
    <s v="0.00%"/>
    <m/>
    <m/>
    <m/>
    <m/>
    <m/>
    <m/>
    <m/>
    <m/>
    <m/>
    <m/>
    <m/>
    <m/>
    <m/>
    <m/>
    <m/>
    <m/>
    <m/>
    <s v="Mike Teixeira"/>
    <m/>
    <s v="10/30/2024"/>
    <s v="Mike Teixeira"/>
    <m/>
    <m/>
  </r>
  <r>
    <s v="Oakland/San Francisco/San Jose"/>
    <s v="UCB Gateway"/>
    <n v="210784"/>
    <m/>
    <s v="Higher Education | Laboratory / Research | 005 | 004"/>
    <n v="368"/>
    <s v="Garden of Eden Landscapes, Inc."/>
    <s v="Silvia Teixeria"/>
    <s v="Zanker Processing "/>
    <s v="675 Los Esteros Road San Jose, San Jose, CA 95134"/>
    <m/>
    <s v="10/11/2024"/>
    <x v="24"/>
    <n v="10818620"/>
    <s v="Click Here To View"/>
    <s v="Construction"/>
    <n v="2.98"/>
    <s v="100.00%"/>
    <s v="0.00%"/>
    <s v="100.00%"/>
    <s v="0.00%"/>
    <m/>
    <n v="2.98"/>
    <m/>
    <n v="2.98"/>
    <m/>
    <m/>
    <m/>
    <m/>
    <m/>
    <m/>
    <m/>
    <m/>
    <m/>
    <m/>
    <m/>
    <m/>
    <m/>
    <m/>
    <m/>
    <m/>
    <m/>
    <m/>
    <m/>
    <m/>
    <m/>
    <m/>
    <m/>
    <m/>
    <m/>
    <m/>
    <m/>
    <m/>
    <m/>
    <m/>
    <m/>
    <n v="2.98"/>
    <m/>
    <m/>
    <s v="0.00%"/>
    <s v="0.00%"/>
    <s v="0.00%"/>
    <s v="0.00%"/>
    <m/>
    <m/>
    <m/>
    <m/>
    <m/>
    <m/>
    <m/>
    <s v="0.00%"/>
    <s v="0.00%"/>
    <s v="0.00%"/>
    <s v="0.00%"/>
    <m/>
    <m/>
    <m/>
    <m/>
    <m/>
    <m/>
    <m/>
    <m/>
    <m/>
    <m/>
    <m/>
    <m/>
    <m/>
    <m/>
    <m/>
    <m/>
    <m/>
    <s v="Mike Teixeira"/>
    <m/>
    <s v="10/30/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0/11/2024"/>
    <x v="24"/>
    <n v="5591040"/>
    <s v="Click Here To View"/>
    <s v="Construction"/>
    <n v="2.11"/>
    <s v="100.00%"/>
    <s v="0.00%"/>
    <s v="100.00%"/>
    <s v="0.00%"/>
    <m/>
    <n v="2.11"/>
    <m/>
    <n v="2.11"/>
    <m/>
    <m/>
    <m/>
    <m/>
    <m/>
    <m/>
    <m/>
    <m/>
    <m/>
    <m/>
    <m/>
    <m/>
    <m/>
    <m/>
    <m/>
    <m/>
    <m/>
    <m/>
    <m/>
    <m/>
    <m/>
    <m/>
    <m/>
    <m/>
    <m/>
    <m/>
    <m/>
    <m/>
    <m/>
    <m/>
    <m/>
    <n v="2.11"/>
    <m/>
    <m/>
    <s v="0.00%"/>
    <s v="0.00%"/>
    <s v="0.00%"/>
    <s v="0.00%"/>
    <m/>
    <m/>
    <m/>
    <m/>
    <m/>
    <m/>
    <m/>
    <s v="0.00%"/>
    <s v="0.00%"/>
    <s v="0.00%"/>
    <s v="0.00%"/>
    <m/>
    <m/>
    <m/>
    <m/>
    <m/>
    <m/>
    <m/>
    <m/>
    <m/>
    <m/>
    <m/>
    <m/>
    <m/>
    <m/>
    <m/>
    <m/>
    <m/>
    <s v="Mike Teixeira"/>
    <m/>
    <s v="10/30/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0/14/2024"/>
    <x v="24"/>
    <n v="5591907"/>
    <s v="Click Here To View"/>
    <s v="Construction"/>
    <n v="1.61"/>
    <s v="100.00%"/>
    <s v="0.00%"/>
    <s v="100.00%"/>
    <s v="0.00%"/>
    <m/>
    <n v="1.61"/>
    <m/>
    <n v="1.61"/>
    <m/>
    <m/>
    <m/>
    <m/>
    <m/>
    <m/>
    <m/>
    <m/>
    <m/>
    <m/>
    <m/>
    <m/>
    <m/>
    <m/>
    <m/>
    <m/>
    <m/>
    <m/>
    <m/>
    <m/>
    <m/>
    <m/>
    <m/>
    <m/>
    <m/>
    <m/>
    <m/>
    <m/>
    <m/>
    <m/>
    <m/>
    <n v="1.61"/>
    <m/>
    <m/>
    <s v="0.00%"/>
    <s v="0.00%"/>
    <s v="0.00%"/>
    <s v="0.00%"/>
    <m/>
    <m/>
    <m/>
    <m/>
    <m/>
    <m/>
    <m/>
    <s v="0.00%"/>
    <s v="0.00%"/>
    <s v="0.00%"/>
    <s v="0.00%"/>
    <m/>
    <m/>
    <m/>
    <m/>
    <m/>
    <m/>
    <m/>
    <m/>
    <m/>
    <m/>
    <m/>
    <m/>
    <m/>
    <m/>
    <m/>
    <m/>
    <m/>
    <s v="Mike Teixeira"/>
    <m/>
    <s v="10/30/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0/15/2024"/>
    <x v="24"/>
    <n v="5592612"/>
    <s v="Click Here To View"/>
    <s v="Construction"/>
    <n v="2.39"/>
    <s v="100.00%"/>
    <s v="0.00%"/>
    <s v="100.00%"/>
    <s v="0.00%"/>
    <m/>
    <n v="2.39"/>
    <m/>
    <n v="2.39"/>
    <m/>
    <m/>
    <m/>
    <m/>
    <m/>
    <m/>
    <m/>
    <m/>
    <m/>
    <m/>
    <m/>
    <m/>
    <m/>
    <m/>
    <m/>
    <m/>
    <m/>
    <m/>
    <m/>
    <m/>
    <m/>
    <m/>
    <m/>
    <m/>
    <m/>
    <m/>
    <m/>
    <m/>
    <m/>
    <m/>
    <m/>
    <n v="2.39"/>
    <m/>
    <m/>
    <s v="0.00%"/>
    <s v="0.00%"/>
    <s v="0.00%"/>
    <s v="0.00%"/>
    <m/>
    <m/>
    <m/>
    <m/>
    <m/>
    <m/>
    <m/>
    <s v="0.00%"/>
    <s v="0.00%"/>
    <s v="0.00%"/>
    <s v="0.00%"/>
    <m/>
    <m/>
    <m/>
    <m/>
    <m/>
    <m/>
    <m/>
    <m/>
    <m/>
    <m/>
    <m/>
    <m/>
    <m/>
    <m/>
    <m/>
    <m/>
    <m/>
    <s v="Mike Teixeira"/>
    <m/>
    <s v="10/30/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0/16/2024"/>
    <x v="24"/>
    <n v="5593577"/>
    <s v="Click Here To View"/>
    <s v="Construction"/>
    <n v="3.58"/>
    <s v="100.00%"/>
    <s v="0.00%"/>
    <s v="100.00%"/>
    <s v="0.00%"/>
    <m/>
    <n v="3.58"/>
    <m/>
    <n v="3.58"/>
    <m/>
    <m/>
    <m/>
    <m/>
    <m/>
    <m/>
    <m/>
    <m/>
    <m/>
    <m/>
    <m/>
    <m/>
    <m/>
    <m/>
    <m/>
    <m/>
    <m/>
    <m/>
    <m/>
    <m/>
    <m/>
    <m/>
    <m/>
    <m/>
    <m/>
    <m/>
    <m/>
    <m/>
    <m/>
    <m/>
    <m/>
    <n v="3.58"/>
    <m/>
    <m/>
    <s v="0.00%"/>
    <s v="0.00%"/>
    <s v="0.00%"/>
    <s v="0.00%"/>
    <m/>
    <m/>
    <m/>
    <m/>
    <m/>
    <m/>
    <m/>
    <s v="0.00%"/>
    <s v="0.00%"/>
    <s v="0.00%"/>
    <s v="0.00%"/>
    <m/>
    <m/>
    <m/>
    <m/>
    <m/>
    <m/>
    <m/>
    <m/>
    <m/>
    <m/>
    <m/>
    <m/>
    <m/>
    <m/>
    <m/>
    <m/>
    <m/>
    <s v="Mike Teixeira"/>
    <m/>
    <s v="10/30/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0/17/2024"/>
    <x v="24"/>
    <n v="5594605"/>
    <s v="Click Here To View"/>
    <s v="Construction"/>
    <n v="2.19"/>
    <s v="100.00%"/>
    <s v="0.00%"/>
    <s v="100.00%"/>
    <s v="0.00%"/>
    <m/>
    <n v="2.19"/>
    <m/>
    <n v="2.19"/>
    <m/>
    <m/>
    <m/>
    <m/>
    <m/>
    <m/>
    <m/>
    <m/>
    <m/>
    <m/>
    <m/>
    <m/>
    <m/>
    <m/>
    <m/>
    <m/>
    <m/>
    <m/>
    <m/>
    <m/>
    <m/>
    <m/>
    <m/>
    <m/>
    <m/>
    <m/>
    <m/>
    <m/>
    <m/>
    <m/>
    <m/>
    <n v="2.19"/>
    <m/>
    <m/>
    <s v="0.00%"/>
    <s v="0.00%"/>
    <s v="0.00%"/>
    <s v="0.00%"/>
    <m/>
    <m/>
    <m/>
    <m/>
    <m/>
    <m/>
    <m/>
    <s v="0.00%"/>
    <s v="0.00%"/>
    <s v="0.00%"/>
    <s v="0.00%"/>
    <m/>
    <m/>
    <m/>
    <m/>
    <m/>
    <m/>
    <m/>
    <m/>
    <m/>
    <m/>
    <m/>
    <m/>
    <m/>
    <m/>
    <m/>
    <m/>
    <m/>
    <s v="Mike Teixeira"/>
    <m/>
    <s v="10/30/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0/21/2024"/>
    <x v="24"/>
    <n v="5596739"/>
    <s v="Click Here To View"/>
    <s v="Construction"/>
    <n v="4.5"/>
    <s v="100.00%"/>
    <s v="0.00%"/>
    <s v="100.00%"/>
    <s v="0.00%"/>
    <m/>
    <n v="4.5"/>
    <m/>
    <n v="4.5"/>
    <m/>
    <m/>
    <m/>
    <m/>
    <m/>
    <m/>
    <m/>
    <m/>
    <m/>
    <m/>
    <m/>
    <m/>
    <m/>
    <m/>
    <m/>
    <m/>
    <m/>
    <m/>
    <m/>
    <m/>
    <m/>
    <m/>
    <m/>
    <m/>
    <m/>
    <m/>
    <m/>
    <m/>
    <m/>
    <m/>
    <m/>
    <n v="4.5"/>
    <m/>
    <m/>
    <s v="0.00%"/>
    <s v="0.00%"/>
    <s v="0.00%"/>
    <s v="0.00%"/>
    <m/>
    <m/>
    <m/>
    <m/>
    <m/>
    <m/>
    <m/>
    <s v="0.00%"/>
    <s v="0.00%"/>
    <s v="0.00%"/>
    <s v="0.00%"/>
    <m/>
    <m/>
    <m/>
    <m/>
    <m/>
    <m/>
    <m/>
    <m/>
    <m/>
    <m/>
    <m/>
    <m/>
    <m/>
    <m/>
    <m/>
    <m/>
    <m/>
    <s v="Mike Teixeira"/>
    <m/>
    <s v="10/30/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0/22/2024"/>
    <x v="24"/>
    <n v="5597449"/>
    <s v="Click Here To View"/>
    <s v="Construction"/>
    <n v="1.96"/>
    <s v="100.00%"/>
    <s v="0.00%"/>
    <s v="100.00%"/>
    <s v="0.00%"/>
    <m/>
    <n v="1.96"/>
    <m/>
    <n v="1.96"/>
    <m/>
    <m/>
    <m/>
    <m/>
    <m/>
    <m/>
    <m/>
    <m/>
    <m/>
    <m/>
    <m/>
    <m/>
    <m/>
    <m/>
    <m/>
    <m/>
    <m/>
    <m/>
    <m/>
    <m/>
    <m/>
    <m/>
    <m/>
    <m/>
    <m/>
    <m/>
    <m/>
    <m/>
    <m/>
    <m/>
    <m/>
    <n v="1.96"/>
    <m/>
    <m/>
    <s v="0.00%"/>
    <s v="0.00%"/>
    <s v="0.00%"/>
    <s v="0.00%"/>
    <m/>
    <m/>
    <m/>
    <m/>
    <m/>
    <m/>
    <m/>
    <s v="0.00%"/>
    <s v="0.00%"/>
    <s v="0.00%"/>
    <s v="0.00%"/>
    <m/>
    <m/>
    <m/>
    <m/>
    <m/>
    <m/>
    <m/>
    <m/>
    <m/>
    <m/>
    <m/>
    <m/>
    <m/>
    <m/>
    <m/>
    <m/>
    <m/>
    <s v="Mike Teixeira"/>
    <m/>
    <s v="10/30/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0/23/2024"/>
    <x v="24"/>
    <n v="5598443"/>
    <s v="Click Here To View"/>
    <s v="Construction"/>
    <n v="1.44"/>
    <s v="100.00%"/>
    <s v="0.00%"/>
    <s v="100.00%"/>
    <s v="0.00%"/>
    <m/>
    <n v="1.44"/>
    <m/>
    <n v="1.44"/>
    <m/>
    <m/>
    <m/>
    <m/>
    <m/>
    <m/>
    <m/>
    <m/>
    <m/>
    <m/>
    <m/>
    <m/>
    <m/>
    <m/>
    <m/>
    <m/>
    <m/>
    <m/>
    <m/>
    <m/>
    <m/>
    <m/>
    <m/>
    <m/>
    <m/>
    <m/>
    <m/>
    <m/>
    <m/>
    <m/>
    <m/>
    <n v="1.44"/>
    <m/>
    <m/>
    <s v="0.00%"/>
    <s v="0.00%"/>
    <s v="0.00%"/>
    <s v="0.00%"/>
    <m/>
    <m/>
    <m/>
    <m/>
    <m/>
    <m/>
    <m/>
    <s v="0.00%"/>
    <s v="0.00%"/>
    <s v="0.00%"/>
    <s v="0.00%"/>
    <m/>
    <m/>
    <m/>
    <m/>
    <m/>
    <m/>
    <m/>
    <m/>
    <m/>
    <m/>
    <m/>
    <m/>
    <m/>
    <m/>
    <m/>
    <m/>
    <m/>
    <s v="Mike Teixeira"/>
    <m/>
    <s v="10/30/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0/23/2024"/>
    <x v="24"/>
    <n v="5598324"/>
    <s v="Click Here To View"/>
    <s v="Construction"/>
    <n v="3.93"/>
    <s v="100.00%"/>
    <s v="0.00%"/>
    <s v="100.00%"/>
    <s v="0.00%"/>
    <m/>
    <n v="3.93"/>
    <m/>
    <n v="3.93"/>
    <m/>
    <m/>
    <m/>
    <m/>
    <m/>
    <m/>
    <m/>
    <m/>
    <m/>
    <m/>
    <m/>
    <m/>
    <m/>
    <m/>
    <m/>
    <m/>
    <m/>
    <m/>
    <m/>
    <m/>
    <m/>
    <m/>
    <m/>
    <m/>
    <m/>
    <m/>
    <m/>
    <m/>
    <m/>
    <m/>
    <m/>
    <n v="3.93"/>
    <m/>
    <m/>
    <s v="0.00%"/>
    <s v="0.00%"/>
    <s v="0.00%"/>
    <s v="0.00%"/>
    <m/>
    <m/>
    <m/>
    <m/>
    <m/>
    <m/>
    <m/>
    <s v="0.00%"/>
    <s v="0.00%"/>
    <s v="0.00%"/>
    <s v="0.00%"/>
    <m/>
    <m/>
    <m/>
    <m/>
    <m/>
    <m/>
    <m/>
    <m/>
    <m/>
    <m/>
    <m/>
    <m/>
    <m/>
    <m/>
    <m/>
    <m/>
    <m/>
    <s v="Mike Teixeira"/>
    <m/>
    <s v="10/30/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0/23/2024"/>
    <x v="24"/>
    <n v="5598310"/>
    <s v="Click Here To View"/>
    <s v="Construction"/>
    <n v="2.3199999999999998"/>
    <s v="100.00%"/>
    <s v="0.00%"/>
    <s v="100.00%"/>
    <s v="0.00%"/>
    <m/>
    <n v="2.3199999999999998"/>
    <m/>
    <n v="2.3199999999999998"/>
    <m/>
    <m/>
    <m/>
    <m/>
    <m/>
    <m/>
    <m/>
    <m/>
    <m/>
    <m/>
    <m/>
    <m/>
    <m/>
    <m/>
    <m/>
    <m/>
    <m/>
    <m/>
    <m/>
    <m/>
    <m/>
    <m/>
    <m/>
    <m/>
    <m/>
    <m/>
    <m/>
    <m/>
    <m/>
    <m/>
    <m/>
    <n v="2.3199999999999998"/>
    <m/>
    <m/>
    <s v="0.00%"/>
    <s v="0.00%"/>
    <s v="0.00%"/>
    <s v="0.00%"/>
    <m/>
    <m/>
    <m/>
    <m/>
    <m/>
    <m/>
    <m/>
    <s v="0.00%"/>
    <s v="0.00%"/>
    <s v="0.00%"/>
    <s v="0.00%"/>
    <m/>
    <m/>
    <m/>
    <m/>
    <m/>
    <m/>
    <m/>
    <m/>
    <m/>
    <m/>
    <m/>
    <m/>
    <m/>
    <m/>
    <m/>
    <m/>
    <m/>
    <s v="Mike Teixeira"/>
    <m/>
    <s v="10/30/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0/24/2024"/>
    <x v="24"/>
    <n v="5599116"/>
    <s v="Click Here To View"/>
    <s v="Construction"/>
    <n v="0.64"/>
    <s v="100.00%"/>
    <s v="0.00%"/>
    <s v="100.00%"/>
    <s v="0.00%"/>
    <m/>
    <n v="0.64"/>
    <m/>
    <n v="0.64"/>
    <m/>
    <m/>
    <m/>
    <m/>
    <m/>
    <m/>
    <m/>
    <m/>
    <m/>
    <m/>
    <m/>
    <m/>
    <m/>
    <m/>
    <m/>
    <m/>
    <m/>
    <m/>
    <m/>
    <m/>
    <m/>
    <m/>
    <m/>
    <m/>
    <m/>
    <m/>
    <m/>
    <m/>
    <m/>
    <m/>
    <m/>
    <n v="0.64"/>
    <m/>
    <m/>
    <s v="0.00%"/>
    <s v="0.00%"/>
    <s v="0.00%"/>
    <s v="0.00%"/>
    <m/>
    <m/>
    <m/>
    <m/>
    <m/>
    <m/>
    <m/>
    <s v="0.00%"/>
    <s v="0.00%"/>
    <s v="0.00%"/>
    <s v="0.00%"/>
    <m/>
    <m/>
    <m/>
    <m/>
    <m/>
    <m/>
    <m/>
    <m/>
    <m/>
    <m/>
    <m/>
    <m/>
    <m/>
    <m/>
    <m/>
    <m/>
    <m/>
    <s v="Mike Teixeira"/>
    <m/>
    <s v="10/30/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0/25/2024"/>
    <x v="24"/>
    <n v="5599969"/>
    <s v="Click Here To View"/>
    <s v="Construction"/>
    <n v="0.82"/>
    <s v="100.00%"/>
    <s v="0.00%"/>
    <s v="100.00%"/>
    <s v="0.00%"/>
    <m/>
    <n v="0.82"/>
    <m/>
    <n v="0.82"/>
    <m/>
    <m/>
    <m/>
    <m/>
    <m/>
    <m/>
    <m/>
    <m/>
    <m/>
    <m/>
    <m/>
    <m/>
    <m/>
    <m/>
    <m/>
    <m/>
    <m/>
    <m/>
    <m/>
    <m/>
    <m/>
    <m/>
    <m/>
    <m/>
    <m/>
    <m/>
    <m/>
    <m/>
    <m/>
    <m/>
    <m/>
    <n v="0.82"/>
    <m/>
    <m/>
    <s v="0.00%"/>
    <s v="0.00%"/>
    <s v="0.00%"/>
    <s v="0.00%"/>
    <m/>
    <m/>
    <m/>
    <m/>
    <m/>
    <m/>
    <m/>
    <s v="0.00%"/>
    <s v="0.00%"/>
    <s v="0.00%"/>
    <s v="0.00%"/>
    <m/>
    <m/>
    <m/>
    <m/>
    <m/>
    <m/>
    <m/>
    <m/>
    <m/>
    <m/>
    <m/>
    <m/>
    <m/>
    <m/>
    <m/>
    <m/>
    <m/>
    <s v="Mike Teixeira"/>
    <m/>
    <s v="10/30/2024"/>
    <s v="Mike Teixeira"/>
    <m/>
    <m/>
  </r>
  <r>
    <s v="Oakland/San Francisco/San Jose"/>
    <s v="UCB Gateway"/>
    <n v="210784"/>
    <m/>
    <s v="Higher Education | Laboratory / Research | 005 | 004"/>
    <n v="368"/>
    <s v="Ranker AMG"/>
    <s v="Ben Saylor"/>
    <s v="Blue Line Transfer"/>
    <s v="500 East Jamie Ct, South San Francisco, CA 94080"/>
    <m/>
    <s v="10/30/2024"/>
    <x v="24"/>
    <n v="2062750"/>
    <s v="Click Here To View"/>
    <s v="Construction"/>
    <n v="1.95"/>
    <s v="100.00%"/>
    <s v="0.00%"/>
    <s v="100.00%"/>
    <s v="0.00%"/>
    <m/>
    <n v="1.95"/>
    <m/>
    <n v="1.95"/>
    <m/>
    <m/>
    <m/>
    <m/>
    <m/>
    <m/>
    <m/>
    <m/>
    <m/>
    <m/>
    <m/>
    <m/>
    <m/>
    <m/>
    <m/>
    <m/>
    <m/>
    <m/>
    <m/>
    <m/>
    <m/>
    <m/>
    <m/>
    <m/>
    <m/>
    <m/>
    <m/>
    <m/>
    <m/>
    <m/>
    <m/>
    <n v="1.95"/>
    <m/>
    <m/>
    <s v="0.00%"/>
    <s v="0.00%"/>
    <s v="0.00%"/>
    <s v="0.00%"/>
    <m/>
    <m/>
    <m/>
    <m/>
    <m/>
    <m/>
    <m/>
    <s v="0.00%"/>
    <s v="0.00%"/>
    <s v="0.00%"/>
    <s v="0.00%"/>
    <m/>
    <m/>
    <m/>
    <m/>
    <m/>
    <m/>
    <m/>
    <m/>
    <m/>
    <m/>
    <m/>
    <m/>
    <m/>
    <m/>
    <m/>
    <m/>
    <m/>
    <s v="Ben Saylor"/>
    <m/>
    <s v="11/13/2024"/>
    <s v="Ben Saylor"/>
    <m/>
    <m/>
  </r>
  <r>
    <s v="Oakland/San Francisco/San Jose"/>
    <s v="UCB Gateway"/>
    <n v="210784"/>
    <m/>
    <s v="Higher Education | Laboratory / Research | 005 | 004"/>
    <n v="368"/>
    <s v="Ranker AMG"/>
    <s v="Ben Saylor"/>
    <s v="Blue Line Transfer"/>
    <s v="500 East Jamie Ct, South San Francisco, CA 94080"/>
    <m/>
    <s v="10/29/2024"/>
    <x v="24"/>
    <n v="2062361"/>
    <s v="Click Here To View"/>
    <s v="Construction"/>
    <n v="2.06"/>
    <s v="100.00%"/>
    <s v="0.00%"/>
    <s v="100.00%"/>
    <s v="0.00%"/>
    <m/>
    <n v="2.06"/>
    <m/>
    <n v="2.06"/>
    <m/>
    <m/>
    <m/>
    <m/>
    <m/>
    <m/>
    <m/>
    <m/>
    <m/>
    <m/>
    <m/>
    <m/>
    <m/>
    <m/>
    <m/>
    <m/>
    <m/>
    <m/>
    <m/>
    <m/>
    <m/>
    <m/>
    <m/>
    <m/>
    <m/>
    <m/>
    <m/>
    <m/>
    <m/>
    <m/>
    <m/>
    <n v="2.06"/>
    <m/>
    <m/>
    <s v="0.00%"/>
    <s v="0.00%"/>
    <s v="0.00%"/>
    <s v="0.00%"/>
    <m/>
    <m/>
    <m/>
    <m/>
    <m/>
    <m/>
    <m/>
    <s v="0.00%"/>
    <s v="0.00%"/>
    <s v="0.00%"/>
    <s v="0.00%"/>
    <m/>
    <m/>
    <m/>
    <m/>
    <m/>
    <m/>
    <m/>
    <m/>
    <m/>
    <m/>
    <m/>
    <m/>
    <m/>
    <m/>
    <m/>
    <m/>
    <m/>
    <s v="Ben Saylor"/>
    <m/>
    <s v="11/13/2024"/>
    <s v="Ben Saylor"/>
    <m/>
    <m/>
  </r>
  <r>
    <s v="Oakland/San Francisco/San Jose"/>
    <s v="UCB Gateway"/>
    <n v="210784"/>
    <m/>
    <s v="Higher Education | Laboratory / Research | 005 | 004"/>
    <n v="368"/>
    <s v="Garden of Eden Landscapes, Inc."/>
    <s v="Silvia Teixeria"/>
    <s v="Waste Management"/>
    <s v="2615 Davis Street, San Leandro, San Leandro, CA 94577"/>
    <m/>
    <s v="10/29/2024"/>
    <x v="24"/>
    <n v="5601710"/>
    <s v="Click Here To View"/>
    <s v="Construction"/>
    <n v="0.14000000000000001"/>
    <s v="100.00%"/>
    <s v="0.00%"/>
    <s v="100.00%"/>
    <s v="0.00%"/>
    <m/>
    <n v="0.14000000000000001"/>
    <m/>
    <n v="0.14000000000000001"/>
    <m/>
    <m/>
    <m/>
    <m/>
    <m/>
    <m/>
    <m/>
    <m/>
    <m/>
    <m/>
    <m/>
    <m/>
    <m/>
    <m/>
    <m/>
    <m/>
    <m/>
    <m/>
    <m/>
    <m/>
    <m/>
    <m/>
    <m/>
    <m/>
    <m/>
    <m/>
    <m/>
    <m/>
    <m/>
    <m/>
    <m/>
    <n v="0.14000000000000001"/>
    <m/>
    <m/>
    <s v="0.00%"/>
    <s v="0.00%"/>
    <s v="0.00%"/>
    <s v="0.00%"/>
    <m/>
    <m/>
    <m/>
    <m/>
    <m/>
    <m/>
    <m/>
    <s v="0.00%"/>
    <s v="0.00%"/>
    <s v="0.00%"/>
    <s v="0.00%"/>
    <m/>
    <m/>
    <m/>
    <m/>
    <m/>
    <m/>
    <m/>
    <m/>
    <m/>
    <m/>
    <m/>
    <m/>
    <m/>
    <m/>
    <m/>
    <m/>
    <m/>
    <s v="Mike Teixeira"/>
    <m/>
    <s v="11/26/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0/29/2024"/>
    <x v="24"/>
    <n v="5601547"/>
    <s v="Click Here To View"/>
    <s v="Construction"/>
    <n v="1.96"/>
    <s v="100.00%"/>
    <s v="0.00%"/>
    <s v="100.00%"/>
    <s v="0.00%"/>
    <m/>
    <n v="1.96"/>
    <m/>
    <n v="1.96"/>
    <m/>
    <m/>
    <m/>
    <m/>
    <m/>
    <m/>
    <m/>
    <m/>
    <m/>
    <m/>
    <m/>
    <m/>
    <m/>
    <m/>
    <m/>
    <m/>
    <m/>
    <m/>
    <m/>
    <m/>
    <m/>
    <m/>
    <m/>
    <m/>
    <m/>
    <m/>
    <m/>
    <m/>
    <m/>
    <m/>
    <m/>
    <n v="1.96"/>
    <m/>
    <m/>
    <s v="0.00%"/>
    <s v="0.00%"/>
    <s v="0.00%"/>
    <s v="0.00%"/>
    <m/>
    <m/>
    <m/>
    <m/>
    <m/>
    <m/>
    <m/>
    <s v="0.00%"/>
    <s v="0.00%"/>
    <s v="0.00%"/>
    <s v="0.00%"/>
    <m/>
    <m/>
    <m/>
    <m/>
    <m/>
    <m/>
    <m/>
    <m/>
    <m/>
    <m/>
    <m/>
    <m/>
    <m/>
    <m/>
    <m/>
    <m/>
    <m/>
    <s v="Mike Teixeira"/>
    <m/>
    <s v="11/26/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1/01/2024"/>
    <x v="25"/>
    <n v="5604445"/>
    <s v="Click Here To View"/>
    <s v="Construction"/>
    <n v="2.62"/>
    <s v="100.00%"/>
    <s v="0.00%"/>
    <s v="100.00%"/>
    <s v="0.00%"/>
    <m/>
    <n v="2.62"/>
    <m/>
    <n v="2.62"/>
    <m/>
    <m/>
    <m/>
    <m/>
    <m/>
    <m/>
    <m/>
    <m/>
    <m/>
    <m/>
    <m/>
    <m/>
    <m/>
    <m/>
    <m/>
    <m/>
    <m/>
    <m/>
    <m/>
    <m/>
    <m/>
    <m/>
    <m/>
    <m/>
    <m/>
    <m/>
    <m/>
    <m/>
    <m/>
    <m/>
    <m/>
    <n v="2.62"/>
    <m/>
    <m/>
    <s v="0.00%"/>
    <s v="0.00%"/>
    <s v="0.00%"/>
    <s v="0.00%"/>
    <m/>
    <m/>
    <m/>
    <m/>
    <m/>
    <m/>
    <m/>
    <s v="0.00%"/>
    <s v="0.00%"/>
    <s v="0.00%"/>
    <s v="0.00%"/>
    <m/>
    <m/>
    <m/>
    <m/>
    <m/>
    <m/>
    <m/>
    <m/>
    <m/>
    <m/>
    <m/>
    <m/>
    <m/>
    <m/>
    <m/>
    <m/>
    <m/>
    <s v="Mike Teixeira"/>
    <m/>
    <s v="11/26/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1/04/2024"/>
    <x v="25"/>
    <n v="5605693"/>
    <s v="Click Here To View"/>
    <s v="Construction"/>
    <n v="1.49"/>
    <s v="100.00%"/>
    <s v="0.00%"/>
    <s v="100.00%"/>
    <s v="0.00%"/>
    <m/>
    <n v="1.49"/>
    <m/>
    <n v="1.49"/>
    <m/>
    <m/>
    <m/>
    <m/>
    <m/>
    <m/>
    <m/>
    <m/>
    <m/>
    <m/>
    <m/>
    <m/>
    <m/>
    <m/>
    <m/>
    <m/>
    <m/>
    <m/>
    <m/>
    <m/>
    <m/>
    <m/>
    <m/>
    <m/>
    <m/>
    <m/>
    <m/>
    <m/>
    <m/>
    <m/>
    <m/>
    <n v="1.49"/>
    <m/>
    <m/>
    <s v="0.00%"/>
    <s v="0.00%"/>
    <s v="0.00%"/>
    <s v="0.00%"/>
    <m/>
    <m/>
    <m/>
    <m/>
    <m/>
    <m/>
    <m/>
    <s v="0.00%"/>
    <s v="0.00%"/>
    <s v="0.00%"/>
    <s v="0.00%"/>
    <m/>
    <m/>
    <m/>
    <m/>
    <m/>
    <m/>
    <m/>
    <m/>
    <m/>
    <m/>
    <m/>
    <m/>
    <m/>
    <m/>
    <m/>
    <m/>
    <m/>
    <s v="Mike Teixeira"/>
    <m/>
    <s v="11/26/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1/12/2024"/>
    <x v="25"/>
    <n v="5610548"/>
    <s v="Click Here To View"/>
    <s v="Construction"/>
    <n v="3.79"/>
    <s v="100.00%"/>
    <s v="0.00%"/>
    <s v="100.00%"/>
    <s v="0.00%"/>
    <m/>
    <n v="3.79"/>
    <m/>
    <n v="3.79"/>
    <m/>
    <m/>
    <m/>
    <m/>
    <m/>
    <m/>
    <m/>
    <m/>
    <m/>
    <m/>
    <m/>
    <m/>
    <m/>
    <m/>
    <m/>
    <m/>
    <m/>
    <m/>
    <m/>
    <m/>
    <m/>
    <m/>
    <m/>
    <m/>
    <m/>
    <m/>
    <m/>
    <m/>
    <m/>
    <m/>
    <m/>
    <n v="3.79"/>
    <m/>
    <m/>
    <s v="0.00%"/>
    <s v="0.00%"/>
    <s v="0.00%"/>
    <s v="0.00%"/>
    <m/>
    <m/>
    <m/>
    <m/>
    <m/>
    <m/>
    <m/>
    <s v="0.00%"/>
    <s v="0.00%"/>
    <s v="0.00%"/>
    <s v="0.00%"/>
    <m/>
    <m/>
    <m/>
    <m/>
    <m/>
    <m/>
    <m/>
    <m/>
    <m/>
    <m/>
    <m/>
    <m/>
    <m/>
    <m/>
    <m/>
    <m/>
    <m/>
    <s v="Mike Teixeira"/>
    <m/>
    <s v="11/26/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1/13/2024"/>
    <x v="25"/>
    <n v="5611594"/>
    <s v="Click Here To View"/>
    <s v="Construction"/>
    <n v="1.2"/>
    <s v="100.00%"/>
    <s v="0.00%"/>
    <s v="100.00%"/>
    <s v="0.00%"/>
    <m/>
    <n v="1.2"/>
    <m/>
    <n v="1.2"/>
    <m/>
    <m/>
    <m/>
    <m/>
    <m/>
    <m/>
    <m/>
    <m/>
    <m/>
    <m/>
    <m/>
    <m/>
    <m/>
    <m/>
    <m/>
    <m/>
    <m/>
    <m/>
    <m/>
    <m/>
    <m/>
    <m/>
    <m/>
    <m/>
    <m/>
    <m/>
    <m/>
    <m/>
    <m/>
    <m/>
    <m/>
    <n v="1.2"/>
    <m/>
    <m/>
    <s v="0.00%"/>
    <s v="0.00%"/>
    <s v="0.00%"/>
    <s v="0.00%"/>
    <m/>
    <m/>
    <m/>
    <m/>
    <m/>
    <m/>
    <m/>
    <s v="0.00%"/>
    <s v="0.00%"/>
    <s v="0.00%"/>
    <s v="0.00%"/>
    <m/>
    <m/>
    <m/>
    <m/>
    <m/>
    <m/>
    <m/>
    <m/>
    <m/>
    <m/>
    <m/>
    <m/>
    <m/>
    <m/>
    <m/>
    <m/>
    <m/>
    <s v="Mike Teixeira"/>
    <m/>
    <s v="11/26/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1/22/2024"/>
    <x v="25"/>
    <n v="5617391"/>
    <s v="Click Here To View"/>
    <s v="Construction"/>
    <n v="1.47"/>
    <s v="100.00%"/>
    <s v="0.00%"/>
    <s v="100.00%"/>
    <s v="0.00%"/>
    <m/>
    <n v="1.47"/>
    <m/>
    <n v="1.47"/>
    <m/>
    <m/>
    <m/>
    <m/>
    <m/>
    <m/>
    <m/>
    <m/>
    <m/>
    <m/>
    <m/>
    <m/>
    <m/>
    <m/>
    <m/>
    <m/>
    <m/>
    <m/>
    <m/>
    <m/>
    <m/>
    <m/>
    <m/>
    <m/>
    <m/>
    <m/>
    <m/>
    <m/>
    <m/>
    <m/>
    <m/>
    <n v="1.47"/>
    <m/>
    <m/>
    <s v="0.00%"/>
    <s v="0.00%"/>
    <s v="0.00%"/>
    <s v="0.00%"/>
    <m/>
    <m/>
    <m/>
    <m/>
    <m/>
    <m/>
    <m/>
    <s v="0.00%"/>
    <s v="0.00%"/>
    <s v="0.00%"/>
    <s v="0.00%"/>
    <m/>
    <m/>
    <m/>
    <m/>
    <m/>
    <m/>
    <m/>
    <m/>
    <m/>
    <m/>
    <m/>
    <m/>
    <m/>
    <m/>
    <m/>
    <m/>
    <m/>
    <s v="Mike Teixeira"/>
    <m/>
    <s v="11/26/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2/03/2024"/>
    <x v="26"/>
    <n v="5623013"/>
    <s v="Click Here To View"/>
    <s v="Construction"/>
    <n v="4.7300000000000004"/>
    <s v="100.00%"/>
    <s v="0.00%"/>
    <s v="100.00%"/>
    <s v="0.00%"/>
    <m/>
    <n v="4.7300000000000004"/>
    <m/>
    <n v="4.7300000000000004"/>
    <m/>
    <m/>
    <m/>
    <m/>
    <m/>
    <m/>
    <m/>
    <m/>
    <m/>
    <m/>
    <m/>
    <m/>
    <m/>
    <m/>
    <m/>
    <m/>
    <m/>
    <m/>
    <m/>
    <m/>
    <m/>
    <m/>
    <m/>
    <m/>
    <m/>
    <m/>
    <m/>
    <m/>
    <m/>
    <m/>
    <m/>
    <n v="4.7300000000000004"/>
    <m/>
    <m/>
    <s v="0.00%"/>
    <s v="0.00%"/>
    <s v="0.00%"/>
    <s v="0.00%"/>
    <m/>
    <m/>
    <m/>
    <m/>
    <m/>
    <m/>
    <m/>
    <s v="0.00%"/>
    <s v="0.00%"/>
    <s v="0.00%"/>
    <s v="0.00%"/>
    <m/>
    <m/>
    <m/>
    <m/>
    <m/>
    <m/>
    <m/>
    <m/>
    <m/>
    <m/>
    <m/>
    <m/>
    <m/>
    <m/>
    <m/>
    <m/>
    <m/>
    <s v="Mike Teixeira"/>
    <m/>
    <s v="12/24/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2/03/2024"/>
    <x v="26"/>
    <n v="5622877"/>
    <s v="Click Here To View"/>
    <s v="Construction"/>
    <n v="2.46"/>
    <s v="100.00%"/>
    <s v="0.00%"/>
    <s v="100.00%"/>
    <s v="0.00%"/>
    <m/>
    <n v="2.46"/>
    <m/>
    <n v="2.46"/>
    <m/>
    <m/>
    <m/>
    <m/>
    <m/>
    <m/>
    <m/>
    <m/>
    <m/>
    <m/>
    <m/>
    <m/>
    <m/>
    <m/>
    <m/>
    <m/>
    <m/>
    <m/>
    <m/>
    <m/>
    <m/>
    <m/>
    <m/>
    <m/>
    <m/>
    <m/>
    <m/>
    <m/>
    <m/>
    <m/>
    <m/>
    <n v="2.46"/>
    <m/>
    <m/>
    <s v="0.00%"/>
    <s v="0.00%"/>
    <s v="0.00%"/>
    <s v="0.00%"/>
    <m/>
    <m/>
    <m/>
    <m/>
    <m/>
    <m/>
    <m/>
    <s v="0.00%"/>
    <s v="0.00%"/>
    <s v="0.00%"/>
    <s v="0.00%"/>
    <m/>
    <m/>
    <m/>
    <m/>
    <m/>
    <m/>
    <m/>
    <m/>
    <m/>
    <m/>
    <m/>
    <m/>
    <m/>
    <m/>
    <m/>
    <m/>
    <m/>
    <s v="Mike Teixeira"/>
    <m/>
    <s v="12/24/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2/03/2024"/>
    <x v="26"/>
    <n v="5622798"/>
    <s v="Click Here To View"/>
    <s v="Construction"/>
    <n v="4.9000000000000004"/>
    <s v="100.00%"/>
    <s v="0.00%"/>
    <s v="100.00%"/>
    <s v="0.00%"/>
    <m/>
    <n v="4.9000000000000004"/>
    <m/>
    <n v="4.9000000000000004"/>
    <m/>
    <m/>
    <m/>
    <m/>
    <m/>
    <m/>
    <m/>
    <m/>
    <m/>
    <m/>
    <m/>
    <m/>
    <m/>
    <m/>
    <m/>
    <m/>
    <m/>
    <m/>
    <m/>
    <m/>
    <m/>
    <m/>
    <m/>
    <m/>
    <m/>
    <m/>
    <m/>
    <m/>
    <m/>
    <m/>
    <m/>
    <n v="4.9000000000000004"/>
    <m/>
    <m/>
    <s v="0.00%"/>
    <s v="0.00%"/>
    <s v="0.00%"/>
    <s v="0.00%"/>
    <m/>
    <m/>
    <m/>
    <m/>
    <m/>
    <m/>
    <m/>
    <s v="0.00%"/>
    <s v="0.00%"/>
    <s v="0.00%"/>
    <s v="0.00%"/>
    <m/>
    <m/>
    <m/>
    <m/>
    <m/>
    <m/>
    <m/>
    <m/>
    <m/>
    <m/>
    <m/>
    <m/>
    <m/>
    <m/>
    <m/>
    <m/>
    <m/>
    <s v="Mike Teixeira"/>
    <m/>
    <s v="12/24/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2/04/2024"/>
    <x v="26"/>
    <n v="562337"/>
    <s v="Click Here To View"/>
    <s v="Construction"/>
    <n v="1.02"/>
    <s v="100.00%"/>
    <s v="0.00%"/>
    <s v="100.00%"/>
    <s v="0.00%"/>
    <m/>
    <n v="1.02"/>
    <m/>
    <n v="1.02"/>
    <m/>
    <m/>
    <m/>
    <m/>
    <m/>
    <m/>
    <m/>
    <m/>
    <m/>
    <m/>
    <m/>
    <m/>
    <m/>
    <m/>
    <m/>
    <m/>
    <m/>
    <m/>
    <m/>
    <m/>
    <m/>
    <m/>
    <m/>
    <m/>
    <m/>
    <m/>
    <m/>
    <m/>
    <m/>
    <m/>
    <m/>
    <n v="1.02"/>
    <m/>
    <m/>
    <s v="0.00%"/>
    <s v="0.00%"/>
    <s v="0.00%"/>
    <s v="0.00%"/>
    <m/>
    <m/>
    <m/>
    <m/>
    <m/>
    <m/>
    <m/>
    <s v="0.00%"/>
    <s v="0.00%"/>
    <s v="0.00%"/>
    <s v="0.00%"/>
    <m/>
    <m/>
    <m/>
    <m/>
    <m/>
    <m/>
    <m/>
    <m/>
    <m/>
    <m/>
    <m/>
    <m/>
    <m/>
    <m/>
    <m/>
    <m/>
    <m/>
    <s v="Mike Teixeira"/>
    <m/>
    <s v="12/24/2024"/>
    <s v="Mike Teixeira"/>
    <m/>
    <m/>
  </r>
  <r>
    <s v="Oakland/San Francisco/San Jose"/>
    <s v="UCB Gateway"/>
    <n v="210784"/>
    <m/>
    <s v="Higher Education | Laboratory / Research | 005 | 004"/>
    <n v="368"/>
    <s v="Garden of Eden Landscapes, Inc."/>
    <s v="Silvia Teixeria"/>
    <s v="Waste Management"/>
    <s v="2615 Davis Street, San Leandro, San Leandro, CA 94577"/>
    <m/>
    <s v="12/20/2024"/>
    <x v="26"/>
    <n v="5633889"/>
    <s v="Click Here To View"/>
    <s v="Construction"/>
    <n v="0.71"/>
    <s v="100.00%"/>
    <s v="0.00%"/>
    <s v="100.00%"/>
    <s v="0.00%"/>
    <m/>
    <n v="0.71"/>
    <m/>
    <n v="0.71"/>
    <m/>
    <m/>
    <m/>
    <m/>
    <m/>
    <m/>
    <m/>
    <m/>
    <m/>
    <m/>
    <m/>
    <m/>
    <m/>
    <m/>
    <m/>
    <m/>
    <m/>
    <m/>
    <m/>
    <m/>
    <m/>
    <m/>
    <m/>
    <m/>
    <m/>
    <m/>
    <m/>
    <m/>
    <m/>
    <m/>
    <m/>
    <n v="0.71"/>
    <m/>
    <m/>
    <s v="0.00%"/>
    <s v="0.00%"/>
    <s v="0.00%"/>
    <s v="0.00%"/>
    <m/>
    <m/>
    <m/>
    <m/>
    <m/>
    <m/>
    <m/>
    <s v="0.00%"/>
    <s v="0.00%"/>
    <s v="0.00%"/>
    <s v="0.00%"/>
    <m/>
    <m/>
    <m/>
    <m/>
    <m/>
    <m/>
    <m/>
    <m/>
    <m/>
    <m/>
    <m/>
    <m/>
    <m/>
    <m/>
    <m/>
    <m/>
    <m/>
    <s v="Mike Teixeira"/>
    <m/>
    <s v="01/29/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2/27/2024"/>
    <x v="26"/>
    <n v="5656777"/>
    <s v="Click Here To View"/>
    <s v="Construction"/>
    <n v="2.1"/>
    <s v="100.00%"/>
    <s v="0.00%"/>
    <s v="100.00%"/>
    <s v="0.00%"/>
    <m/>
    <n v="2.1"/>
    <m/>
    <n v="2.1"/>
    <m/>
    <m/>
    <m/>
    <m/>
    <m/>
    <m/>
    <m/>
    <m/>
    <m/>
    <m/>
    <m/>
    <m/>
    <m/>
    <m/>
    <m/>
    <m/>
    <m/>
    <m/>
    <m/>
    <m/>
    <m/>
    <m/>
    <m/>
    <m/>
    <m/>
    <m/>
    <m/>
    <m/>
    <m/>
    <m/>
    <m/>
    <n v="2.1"/>
    <m/>
    <m/>
    <s v="0.00%"/>
    <s v="0.00%"/>
    <s v="0.00%"/>
    <s v="0.00%"/>
    <m/>
    <m/>
    <m/>
    <m/>
    <m/>
    <m/>
    <m/>
    <s v="0.00%"/>
    <s v="0.00%"/>
    <s v="0.00%"/>
    <s v="0.00%"/>
    <m/>
    <m/>
    <m/>
    <m/>
    <m/>
    <m/>
    <m/>
    <m/>
    <m/>
    <m/>
    <m/>
    <m/>
    <m/>
    <m/>
    <m/>
    <m/>
    <m/>
    <s v="Mike Teixeira"/>
    <m/>
    <s v="01/29/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1/09/2025"/>
    <x v="27"/>
    <n v="5644964"/>
    <s v="Click Here To View"/>
    <s v="Construction"/>
    <n v="3"/>
    <s v="100.00%"/>
    <s v="0.00%"/>
    <s v="100.00%"/>
    <s v="0.00%"/>
    <m/>
    <n v="3"/>
    <m/>
    <n v="3"/>
    <m/>
    <m/>
    <m/>
    <m/>
    <m/>
    <m/>
    <m/>
    <m/>
    <m/>
    <m/>
    <m/>
    <m/>
    <m/>
    <m/>
    <m/>
    <m/>
    <m/>
    <m/>
    <m/>
    <m/>
    <m/>
    <m/>
    <m/>
    <m/>
    <m/>
    <m/>
    <m/>
    <m/>
    <m/>
    <m/>
    <m/>
    <n v="3"/>
    <m/>
    <m/>
    <s v="0.00%"/>
    <s v="0.00%"/>
    <s v="0.00%"/>
    <s v="0.00%"/>
    <m/>
    <m/>
    <m/>
    <m/>
    <m/>
    <m/>
    <m/>
    <s v="0.00%"/>
    <s v="0.00%"/>
    <s v="0.00%"/>
    <s v="0.00%"/>
    <m/>
    <m/>
    <m/>
    <m/>
    <m/>
    <m/>
    <m/>
    <m/>
    <m/>
    <m/>
    <m/>
    <m/>
    <m/>
    <m/>
    <m/>
    <m/>
    <m/>
    <s v="Mike Teixeira"/>
    <m/>
    <s v="01/29/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1/09/2025"/>
    <x v="27"/>
    <n v="5644695"/>
    <s v="Click Here To View"/>
    <s v="Construction"/>
    <n v="2.2799999999999998"/>
    <s v="100.00%"/>
    <s v="0.00%"/>
    <s v="100.00%"/>
    <s v="0.00%"/>
    <m/>
    <n v="2.2799999999999998"/>
    <m/>
    <n v="2.2799999999999998"/>
    <m/>
    <m/>
    <m/>
    <m/>
    <m/>
    <m/>
    <m/>
    <m/>
    <m/>
    <m/>
    <m/>
    <m/>
    <m/>
    <m/>
    <m/>
    <m/>
    <m/>
    <m/>
    <m/>
    <m/>
    <m/>
    <m/>
    <m/>
    <m/>
    <m/>
    <m/>
    <m/>
    <m/>
    <m/>
    <m/>
    <m/>
    <n v="2.2799999999999998"/>
    <m/>
    <m/>
    <s v="0.00%"/>
    <s v="0.00%"/>
    <s v="0.00%"/>
    <s v="0.00%"/>
    <m/>
    <m/>
    <m/>
    <m/>
    <m/>
    <m/>
    <m/>
    <s v="0.00%"/>
    <s v="0.00%"/>
    <s v="0.00%"/>
    <s v="0.00%"/>
    <m/>
    <m/>
    <m/>
    <m/>
    <m/>
    <m/>
    <m/>
    <m/>
    <m/>
    <m/>
    <m/>
    <m/>
    <m/>
    <m/>
    <m/>
    <m/>
    <m/>
    <s v="Mike Teixeira"/>
    <m/>
    <s v="01/29/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1/11/2025"/>
    <x v="27"/>
    <n v="5646119"/>
    <s v="Click Here To View"/>
    <s v="Construction"/>
    <n v="3.63"/>
    <s v="100.00%"/>
    <s v="0.00%"/>
    <s v="100.00%"/>
    <s v="0.00%"/>
    <m/>
    <n v="3.63"/>
    <m/>
    <n v="3.63"/>
    <m/>
    <m/>
    <m/>
    <m/>
    <m/>
    <m/>
    <m/>
    <m/>
    <m/>
    <m/>
    <m/>
    <m/>
    <m/>
    <m/>
    <m/>
    <m/>
    <m/>
    <m/>
    <m/>
    <m/>
    <m/>
    <m/>
    <m/>
    <m/>
    <m/>
    <m/>
    <m/>
    <m/>
    <m/>
    <m/>
    <m/>
    <n v="3.63"/>
    <m/>
    <m/>
    <s v="0.00%"/>
    <s v="0.00%"/>
    <s v="0.00%"/>
    <s v="0.00%"/>
    <m/>
    <m/>
    <m/>
    <m/>
    <m/>
    <m/>
    <m/>
    <s v="0.00%"/>
    <s v="0.00%"/>
    <s v="0.00%"/>
    <s v="0.00%"/>
    <m/>
    <m/>
    <m/>
    <m/>
    <m/>
    <m/>
    <m/>
    <m/>
    <m/>
    <m/>
    <m/>
    <m/>
    <m/>
    <m/>
    <m/>
    <m/>
    <m/>
    <s v="Mike Teixeira"/>
    <m/>
    <s v="01/29/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2/03/2025"/>
    <x v="28"/>
    <n v="5659469"/>
    <s v="Click Here To View"/>
    <s v="Construction"/>
    <n v="1.19"/>
    <s v="100.00%"/>
    <s v="0.00%"/>
    <s v="100.00%"/>
    <s v="0.00%"/>
    <m/>
    <n v="1.19"/>
    <m/>
    <n v="1.19"/>
    <m/>
    <m/>
    <m/>
    <m/>
    <m/>
    <m/>
    <m/>
    <m/>
    <m/>
    <m/>
    <m/>
    <m/>
    <m/>
    <m/>
    <m/>
    <m/>
    <m/>
    <m/>
    <m/>
    <m/>
    <m/>
    <m/>
    <m/>
    <m/>
    <m/>
    <m/>
    <m/>
    <m/>
    <m/>
    <m/>
    <m/>
    <n v="1.19"/>
    <m/>
    <m/>
    <s v="0.00%"/>
    <s v="0.00%"/>
    <s v="0.00%"/>
    <s v="0.00%"/>
    <m/>
    <m/>
    <m/>
    <m/>
    <m/>
    <m/>
    <m/>
    <s v="0.00%"/>
    <s v="0.00%"/>
    <s v="0.00%"/>
    <s v="0.00%"/>
    <m/>
    <m/>
    <m/>
    <m/>
    <m/>
    <m/>
    <m/>
    <m/>
    <m/>
    <m/>
    <m/>
    <m/>
    <m/>
    <m/>
    <m/>
    <m/>
    <m/>
    <s v="Mike Teixeira"/>
    <m/>
    <s v="02/27/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2/05/2025"/>
    <x v="28"/>
    <n v="5661500"/>
    <s v="Click Here To View"/>
    <s v="Construction"/>
    <n v="1.48"/>
    <s v="100.00%"/>
    <s v="0.00%"/>
    <s v="100.00%"/>
    <s v="0.00%"/>
    <m/>
    <n v="1.48"/>
    <m/>
    <n v="1.48"/>
    <m/>
    <m/>
    <m/>
    <m/>
    <m/>
    <m/>
    <m/>
    <m/>
    <m/>
    <m/>
    <m/>
    <m/>
    <m/>
    <m/>
    <m/>
    <m/>
    <m/>
    <m/>
    <m/>
    <m/>
    <m/>
    <m/>
    <m/>
    <m/>
    <m/>
    <m/>
    <m/>
    <m/>
    <m/>
    <m/>
    <m/>
    <n v="1.48"/>
    <m/>
    <m/>
    <s v="0.00%"/>
    <s v="0.00%"/>
    <s v="0.00%"/>
    <s v="0.00%"/>
    <m/>
    <m/>
    <m/>
    <m/>
    <m/>
    <m/>
    <m/>
    <s v="0.00%"/>
    <s v="0.00%"/>
    <s v="0.00%"/>
    <s v="0.00%"/>
    <m/>
    <m/>
    <m/>
    <m/>
    <m/>
    <m/>
    <m/>
    <m/>
    <m/>
    <m/>
    <m/>
    <m/>
    <m/>
    <m/>
    <m/>
    <m/>
    <m/>
    <s v="Mike Teixeira"/>
    <m/>
    <s v="02/27/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2/13/2025"/>
    <x v="28"/>
    <n v="5665987"/>
    <s v="Click Here To View"/>
    <s v="Construction"/>
    <n v="2.37"/>
    <s v="100.00%"/>
    <s v="0.00%"/>
    <s v="100.00%"/>
    <s v="0.00%"/>
    <m/>
    <n v="2.37"/>
    <m/>
    <n v="2.37"/>
    <m/>
    <m/>
    <m/>
    <m/>
    <m/>
    <m/>
    <m/>
    <m/>
    <m/>
    <m/>
    <m/>
    <m/>
    <m/>
    <m/>
    <m/>
    <m/>
    <m/>
    <m/>
    <m/>
    <m/>
    <m/>
    <m/>
    <m/>
    <m/>
    <m/>
    <m/>
    <m/>
    <m/>
    <m/>
    <m/>
    <m/>
    <n v="2.37"/>
    <m/>
    <m/>
    <s v="0.00%"/>
    <s v="0.00%"/>
    <s v="0.00%"/>
    <s v="0.00%"/>
    <m/>
    <m/>
    <m/>
    <m/>
    <m/>
    <m/>
    <m/>
    <s v="0.00%"/>
    <s v="0.00%"/>
    <s v="0.00%"/>
    <s v="0.00%"/>
    <m/>
    <m/>
    <m/>
    <m/>
    <m/>
    <m/>
    <m/>
    <m/>
    <m/>
    <m/>
    <m/>
    <m/>
    <m/>
    <m/>
    <m/>
    <m/>
    <m/>
    <s v="Mike Teixeira"/>
    <m/>
    <s v="02/27/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2/14/2025"/>
    <x v="28"/>
    <n v="5666411"/>
    <s v="Click Here To View"/>
    <s v="Construction"/>
    <n v="1.21"/>
    <s v="100.00%"/>
    <s v="0.00%"/>
    <s v="100.00%"/>
    <s v="0.00%"/>
    <m/>
    <n v="1.21"/>
    <m/>
    <n v="1.21"/>
    <m/>
    <m/>
    <m/>
    <m/>
    <m/>
    <m/>
    <m/>
    <m/>
    <m/>
    <m/>
    <m/>
    <m/>
    <m/>
    <m/>
    <m/>
    <m/>
    <m/>
    <m/>
    <m/>
    <m/>
    <m/>
    <m/>
    <m/>
    <m/>
    <m/>
    <m/>
    <m/>
    <m/>
    <m/>
    <m/>
    <m/>
    <n v="1.21"/>
    <m/>
    <m/>
    <s v="0.00%"/>
    <s v="0.00%"/>
    <s v="0.00%"/>
    <s v="0.00%"/>
    <m/>
    <m/>
    <m/>
    <m/>
    <m/>
    <m/>
    <m/>
    <s v="0.00%"/>
    <s v="0.00%"/>
    <s v="0.00%"/>
    <s v="0.00%"/>
    <m/>
    <m/>
    <m/>
    <m/>
    <m/>
    <m/>
    <m/>
    <m/>
    <m/>
    <m/>
    <m/>
    <m/>
    <m/>
    <m/>
    <m/>
    <m/>
    <m/>
    <s v="Mike Teixeira"/>
    <m/>
    <s v="02/27/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2/19/2025"/>
    <x v="28"/>
    <n v="5668604"/>
    <s v="Click Here To View"/>
    <s v="Construction"/>
    <n v="1.47"/>
    <s v="100.00%"/>
    <s v="0.00%"/>
    <s v="100.00%"/>
    <s v="0.00%"/>
    <m/>
    <n v="1.47"/>
    <m/>
    <n v="1.47"/>
    <m/>
    <m/>
    <m/>
    <m/>
    <m/>
    <m/>
    <m/>
    <m/>
    <m/>
    <m/>
    <m/>
    <m/>
    <m/>
    <m/>
    <m/>
    <m/>
    <m/>
    <m/>
    <m/>
    <m/>
    <m/>
    <m/>
    <m/>
    <m/>
    <m/>
    <m/>
    <m/>
    <m/>
    <m/>
    <m/>
    <m/>
    <n v="1.47"/>
    <m/>
    <m/>
    <s v="0.00%"/>
    <s v="0.00%"/>
    <s v="0.00%"/>
    <s v="0.00%"/>
    <m/>
    <m/>
    <m/>
    <m/>
    <m/>
    <m/>
    <m/>
    <s v="0.00%"/>
    <s v="0.00%"/>
    <s v="0.00%"/>
    <s v="0.00%"/>
    <m/>
    <m/>
    <m/>
    <m/>
    <m/>
    <m/>
    <m/>
    <m/>
    <m/>
    <m/>
    <m/>
    <m/>
    <m/>
    <m/>
    <m/>
    <m/>
    <m/>
    <s v="Mike Teixeira"/>
    <m/>
    <s v="02/27/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2/24/2025"/>
    <x v="28"/>
    <n v="5671753"/>
    <s v="Click Here To View"/>
    <s v="Construction"/>
    <n v="1.81"/>
    <s v="100.00%"/>
    <s v="0.00%"/>
    <s v="100.00%"/>
    <s v="0.00%"/>
    <m/>
    <n v="1.81"/>
    <m/>
    <n v="1.81"/>
    <m/>
    <m/>
    <m/>
    <m/>
    <m/>
    <m/>
    <m/>
    <m/>
    <m/>
    <m/>
    <m/>
    <m/>
    <m/>
    <m/>
    <m/>
    <m/>
    <m/>
    <m/>
    <m/>
    <m/>
    <m/>
    <m/>
    <m/>
    <m/>
    <m/>
    <m/>
    <m/>
    <m/>
    <m/>
    <m/>
    <m/>
    <n v="1.81"/>
    <m/>
    <m/>
    <s v="0.00%"/>
    <s v="0.00%"/>
    <s v="0.00%"/>
    <s v="0.00%"/>
    <m/>
    <m/>
    <m/>
    <m/>
    <m/>
    <m/>
    <m/>
    <s v="0.00%"/>
    <s v="0.00%"/>
    <s v="0.00%"/>
    <s v="0.00%"/>
    <m/>
    <m/>
    <m/>
    <m/>
    <m/>
    <m/>
    <m/>
    <m/>
    <m/>
    <m/>
    <m/>
    <m/>
    <m/>
    <m/>
    <m/>
    <m/>
    <m/>
    <s v="Mike Teixeira"/>
    <m/>
    <s v="02/27/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2/27/2025"/>
    <x v="28"/>
    <n v="5673582"/>
    <s v="Click Here To View"/>
    <s v="Construction"/>
    <n v="2.1800000000000002"/>
    <s v="100.00%"/>
    <s v="0.00%"/>
    <s v="100.00%"/>
    <s v="0.00%"/>
    <m/>
    <n v="2.1800000000000002"/>
    <m/>
    <n v="2.1800000000000002"/>
    <m/>
    <m/>
    <m/>
    <m/>
    <m/>
    <m/>
    <m/>
    <m/>
    <m/>
    <m/>
    <m/>
    <m/>
    <m/>
    <m/>
    <m/>
    <m/>
    <m/>
    <m/>
    <m/>
    <m/>
    <m/>
    <m/>
    <m/>
    <m/>
    <m/>
    <m/>
    <m/>
    <m/>
    <m/>
    <m/>
    <m/>
    <n v="2.1800000000000002"/>
    <m/>
    <m/>
    <s v="0.00%"/>
    <s v="0.00%"/>
    <s v="0.00%"/>
    <s v="0.00%"/>
    <m/>
    <m/>
    <m/>
    <m/>
    <m/>
    <m/>
    <m/>
    <s v="0.00%"/>
    <s v="0.00%"/>
    <s v="0.00%"/>
    <s v="0.00%"/>
    <m/>
    <m/>
    <m/>
    <m/>
    <m/>
    <m/>
    <m/>
    <m/>
    <m/>
    <m/>
    <m/>
    <m/>
    <m/>
    <m/>
    <m/>
    <m/>
    <m/>
    <s v="Mike Teixeira"/>
    <m/>
    <s v="03/31/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2/28/2025"/>
    <x v="28"/>
    <n v="5674686"/>
    <s v="Click Here To View"/>
    <s v="Construction"/>
    <n v="2.64"/>
    <s v="100.00%"/>
    <s v="0.00%"/>
    <s v="100.00%"/>
    <s v="0.00%"/>
    <m/>
    <n v="2.64"/>
    <m/>
    <n v="2.64"/>
    <m/>
    <m/>
    <m/>
    <m/>
    <m/>
    <m/>
    <m/>
    <m/>
    <m/>
    <m/>
    <m/>
    <m/>
    <m/>
    <m/>
    <m/>
    <m/>
    <m/>
    <m/>
    <m/>
    <m/>
    <m/>
    <m/>
    <m/>
    <m/>
    <m/>
    <m/>
    <m/>
    <m/>
    <m/>
    <m/>
    <m/>
    <n v="2.64"/>
    <m/>
    <m/>
    <s v="0.00%"/>
    <s v="0.00%"/>
    <s v="0.00%"/>
    <s v="0.00%"/>
    <m/>
    <m/>
    <m/>
    <m/>
    <m/>
    <m/>
    <m/>
    <s v="0.00%"/>
    <s v="0.00%"/>
    <s v="0.00%"/>
    <s v="0.00%"/>
    <m/>
    <m/>
    <m/>
    <m/>
    <m/>
    <m/>
    <m/>
    <m/>
    <m/>
    <m/>
    <m/>
    <m/>
    <m/>
    <m/>
    <m/>
    <m/>
    <m/>
    <s v="Mike Teixeira"/>
    <m/>
    <s v="03/31/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3/04/2025"/>
    <x v="35"/>
    <n v="5676681"/>
    <s v="Click Here To View"/>
    <s v="Construction"/>
    <n v="0.8"/>
    <s v="100.00%"/>
    <s v="0.00%"/>
    <s v="100.00%"/>
    <s v="0.00%"/>
    <m/>
    <n v="0.8"/>
    <m/>
    <n v="0.8"/>
    <m/>
    <m/>
    <m/>
    <m/>
    <m/>
    <m/>
    <m/>
    <m/>
    <m/>
    <m/>
    <m/>
    <m/>
    <m/>
    <m/>
    <m/>
    <m/>
    <m/>
    <m/>
    <m/>
    <m/>
    <m/>
    <m/>
    <m/>
    <m/>
    <m/>
    <m/>
    <m/>
    <m/>
    <m/>
    <m/>
    <m/>
    <n v="0.8"/>
    <m/>
    <m/>
    <s v="0.00%"/>
    <s v="0.00%"/>
    <s v="0.00%"/>
    <s v="0.00%"/>
    <m/>
    <m/>
    <m/>
    <m/>
    <m/>
    <m/>
    <m/>
    <s v="0.00%"/>
    <s v="0.00%"/>
    <s v="0.00%"/>
    <s v="0.00%"/>
    <m/>
    <m/>
    <m/>
    <m/>
    <m/>
    <m/>
    <m/>
    <m/>
    <m/>
    <m/>
    <m/>
    <m/>
    <m/>
    <m/>
    <m/>
    <m/>
    <m/>
    <s v="Mike Teixeira"/>
    <m/>
    <s v="03/31/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3/05/2025"/>
    <x v="35"/>
    <n v="5676919"/>
    <s v="Click Here To View"/>
    <s v="Construction"/>
    <n v="2.44"/>
    <s v="100.00%"/>
    <s v="0.00%"/>
    <s v="100.00%"/>
    <s v="0.00%"/>
    <m/>
    <n v="2.44"/>
    <m/>
    <n v="2.44"/>
    <m/>
    <m/>
    <m/>
    <m/>
    <m/>
    <m/>
    <m/>
    <m/>
    <m/>
    <m/>
    <m/>
    <m/>
    <m/>
    <m/>
    <m/>
    <m/>
    <m/>
    <m/>
    <m/>
    <m/>
    <m/>
    <m/>
    <m/>
    <m/>
    <m/>
    <m/>
    <m/>
    <m/>
    <m/>
    <m/>
    <m/>
    <n v="2.44"/>
    <m/>
    <m/>
    <s v="0.00%"/>
    <s v="0.00%"/>
    <s v="0.00%"/>
    <s v="0.00%"/>
    <m/>
    <m/>
    <m/>
    <m/>
    <m/>
    <m/>
    <m/>
    <s v="0.00%"/>
    <s v="0.00%"/>
    <s v="0.00%"/>
    <s v="0.00%"/>
    <m/>
    <m/>
    <m/>
    <m/>
    <m/>
    <m/>
    <m/>
    <m/>
    <m/>
    <m/>
    <m/>
    <m/>
    <m/>
    <m/>
    <m/>
    <m/>
    <m/>
    <s v="Mike Teixeira"/>
    <m/>
    <s v="03/31/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3/05/2025"/>
    <x v="35"/>
    <n v="5677314"/>
    <s v="Click Here To View"/>
    <s v="Construction"/>
    <n v="1.62"/>
    <s v="100.00%"/>
    <s v="0.00%"/>
    <s v="100.00%"/>
    <s v="0.00%"/>
    <m/>
    <n v="1.62"/>
    <m/>
    <n v="1.62"/>
    <m/>
    <m/>
    <m/>
    <m/>
    <m/>
    <m/>
    <m/>
    <m/>
    <m/>
    <m/>
    <m/>
    <m/>
    <m/>
    <m/>
    <m/>
    <m/>
    <m/>
    <m/>
    <m/>
    <m/>
    <m/>
    <m/>
    <m/>
    <m/>
    <m/>
    <m/>
    <m/>
    <m/>
    <m/>
    <m/>
    <m/>
    <n v="1.62"/>
    <m/>
    <m/>
    <s v="0.00%"/>
    <s v="0.00%"/>
    <s v="0.00%"/>
    <s v="0.00%"/>
    <m/>
    <m/>
    <m/>
    <m/>
    <m/>
    <m/>
    <m/>
    <s v="0.00%"/>
    <s v="0.00%"/>
    <s v="0.00%"/>
    <s v="0.00%"/>
    <m/>
    <m/>
    <m/>
    <m/>
    <m/>
    <m/>
    <m/>
    <m/>
    <m/>
    <m/>
    <m/>
    <m/>
    <m/>
    <m/>
    <m/>
    <m/>
    <m/>
    <s v="Mike Teixeira"/>
    <m/>
    <s v="03/31/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3/13/2025"/>
    <x v="35"/>
    <n v="5682158"/>
    <s v="Click Here To View"/>
    <s v="Construction"/>
    <n v="1.28"/>
    <s v="100.00%"/>
    <s v="0.00%"/>
    <s v="100.00%"/>
    <s v="0.00%"/>
    <m/>
    <n v="1.28"/>
    <m/>
    <n v="1.28"/>
    <m/>
    <m/>
    <m/>
    <m/>
    <m/>
    <m/>
    <m/>
    <m/>
    <m/>
    <m/>
    <m/>
    <m/>
    <m/>
    <m/>
    <m/>
    <m/>
    <m/>
    <m/>
    <m/>
    <m/>
    <m/>
    <m/>
    <m/>
    <m/>
    <m/>
    <m/>
    <m/>
    <m/>
    <m/>
    <m/>
    <m/>
    <n v="1.28"/>
    <m/>
    <m/>
    <s v="0.00%"/>
    <s v="0.00%"/>
    <s v="0.00%"/>
    <s v="0.00%"/>
    <m/>
    <m/>
    <m/>
    <m/>
    <m/>
    <m/>
    <m/>
    <s v="0.00%"/>
    <s v="0.00%"/>
    <s v="0.00%"/>
    <s v="0.00%"/>
    <m/>
    <m/>
    <m/>
    <m/>
    <m/>
    <m/>
    <m/>
    <m/>
    <m/>
    <m/>
    <m/>
    <m/>
    <m/>
    <m/>
    <m/>
    <m/>
    <m/>
    <s v="Mike Teixeira"/>
    <m/>
    <s v="03/31/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3/14/2025"/>
    <x v="35"/>
    <n v="5683006"/>
    <s v="Click Here To View"/>
    <s v="Construction"/>
    <n v="1.07"/>
    <s v="100.00%"/>
    <s v="0.00%"/>
    <s v="100.00%"/>
    <s v="0.00%"/>
    <m/>
    <n v="1.07"/>
    <m/>
    <n v="1.07"/>
    <m/>
    <m/>
    <m/>
    <m/>
    <m/>
    <m/>
    <m/>
    <m/>
    <m/>
    <m/>
    <m/>
    <m/>
    <m/>
    <m/>
    <m/>
    <m/>
    <m/>
    <m/>
    <m/>
    <m/>
    <m/>
    <m/>
    <m/>
    <m/>
    <m/>
    <m/>
    <m/>
    <m/>
    <m/>
    <m/>
    <m/>
    <n v="1.07"/>
    <m/>
    <m/>
    <s v="0.00%"/>
    <s v="0.00%"/>
    <s v="0.00%"/>
    <s v="0.00%"/>
    <m/>
    <m/>
    <m/>
    <m/>
    <m/>
    <m/>
    <m/>
    <s v="0.00%"/>
    <s v="0.00%"/>
    <s v="0.00%"/>
    <s v="0.00%"/>
    <m/>
    <m/>
    <m/>
    <m/>
    <m/>
    <m/>
    <m/>
    <m/>
    <m/>
    <m/>
    <m/>
    <m/>
    <m/>
    <m/>
    <m/>
    <m/>
    <m/>
    <s v="Mike Teixeira"/>
    <m/>
    <s v="03/31/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3/17/2025"/>
    <x v="35"/>
    <n v="5684036"/>
    <s v="Click Here To View"/>
    <s v="Construction"/>
    <n v="1.2"/>
    <s v="100.00%"/>
    <s v="0.00%"/>
    <s v="100.00%"/>
    <s v="0.00%"/>
    <m/>
    <n v="1.2"/>
    <m/>
    <n v="1.2"/>
    <m/>
    <m/>
    <m/>
    <m/>
    <m/>
    <m/>
    <m/>
    <m/>
    <m/>
    <m/>
    <m/>
    <m/>
    <m/>
    <m/>
    <m/>
    <m/>
    <m/>
    <m/>
    <m/>
    <m/>
    <m/>
    <m/>
    <m/>
    <m/>
    <m/>
    <m/>
    <m/>
    <m/>
    <m/>
    <m/>
    <m/>
    <n v="1.2"/>
    <m/>
    <m/>
    <s v="0.00%"/>
    <s v="0.00%"/>
    <s v="0.00%"/>
    <s v="0.00%"/>
    <m/>
    <m/>
    <m/>
    <m/>
    <m/>
    <m/>
    <m/>
    <s v="0.00%"/>
    <s v="0.00%"/>
    <s v="0.00%"/>
    <s v="0.00%"/>
    <m/>
    <m/>
    <m/>
    <m/>
    <m/>
    <m/>
    <m/>
    <m/>
    <m/>
    <m/>
    <m/>
    <m/>
    <m/>
    <m/>
    <m/>
    <m/>
    <m/>
    <s v="Mike Teixeira"/>
    <m/>
    <s v="03/31/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3/17/2025"/>
    <x v="35"/>
    <n v="5683814"/>
    <s v="Click Here To View"/>
    <s v="Construction"/>
    <n v="1.6"/>
    <s v="100.00%"/>
    <s v="0.00%"/>
    <s v="100.00%"/>
    <s v="0.00%"/>
    <m/>
    <n v="1.6"/>
    <m/>
    <n v="1.6"/>
    <m/>
    <m/>
    <m/>
    <m/>
    <m/>
    <m/>
    <m/>
    <m/>
    <m/>
    <m/>
    <m/>
    <m/>
    <m/>
    <m/>
    <m/>
    <m/>
    <m/>
    <m/>
    <m/>
    <m/>
    <m/>
    <m/>
    <m/>
    <m/>
    <m/>
    <m/>
    <m/>
    <m/>
    <m/>
    <m/>
    <m/>
    <n v="1.6"/>
    <m/>
    <m/>
    <s v="0.00%"/>
    <s v="0.00%"/>
    <s v="0.00%"/>
    <s v="0.00%"/>
    <m/>
    <m/>
    <m/>
    <m/>
    <m/>
    <m/>
    <m/>
    <s v="0.00%"/>
    <s v="0.00%"/>
    <s v="0.00%"/>
    <s v="0.00%"/>
    <m/>
    <m/>
    <m/>
    <m/>
    <m/>
    <m/>
    <m/>
    <m/>
    <m/>
    <m/>
    <m/>
    <m/>
    <m/>
    <m/>
    <m/>
    <m/>
    <m/>
    <s v="Mike Teixeira"/>
    <m/>
    <s v="03/31/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3/18/2025"/>
    <x v="35"/>
    <n v="5684845"/>
    <s v="Click Here To View"/>
    <s v="Construction"/>
    <n v="0.56000000000000005"/>
    <s v="100.00%"/>
    <s v="0.00%"/>
    <s v="100.00%"/>
    <s v="0.00%"/>
    <m/>
    <n v="0.56000000000000005"/>
    <m/>
    <n v="0.56000000000000005"/>
    <m/>
    <m/>
    <m/>
    <m/>
    <m/>
    <m/>
    <m/>
    <m/>
    <m/>
    <m/>
    <m/>
    <m/>
    <m/>
    <m/>
    <m/>
    <m/>
    <m/>
    <m/>
    <m/>
    <m/>
    <m/>
    <m/>
    <m/>
    <m/>
    <m/>
    <m/>
    <m/>
    <m/>
    <m/>
    <m/>
    <m/>
    <n v="0.56000000000000005"/>
    <m/>
    <m/>
    <s v="0.00%"/>
    <s v="0.00%"/>
    <s v="0.00%"/>
    <s v="0.00%"/>
    <m/>
    <m/>
    <m/>
    <m/>
    <m/>
    <m/>
    <m/>
    <s v="0.00%"/>
    <s v="0.00%"/>
    <s v="0.00%"/>
    <s v="0.00%"/>
    <m/>
    <m/>
    <m/>
    <m/>
    <m/>
    <m/>
    <m/>
    <m/>
    <m/>
    <m/>
    <m/>
    <m/>
    <m/>
    <m/>
    <m/>
    <m/>
    <m/>
    <s v="Mike Teixeira"/>
    <m/>
    <s v="03/31/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3/19/2025"/>
    <x v="35"/>
    <n v="5685225"/>
    <s v="Click Here To View"/>
    <s v="Construction"/>
    <n v="0.77"/>
    <s v="100.00%"/>
    <s v="0.00%"/>
    <s v="100.00%"/>
    <s v="0.00%"/>
    <m/>
    <n v="0.77"/>
    <m/>
    <n v="0.77"/>
    <m/>
    <m/>
    <m/>
    <m/>
    <m/>
    <m/>
    <m/>
    <m/>
    <m/>
    <m/>
    <m/>
    <m/>
    <m/>
    <m/>
    <m/>
    <m/>
    <m/>
    <m/>
    <m/>
    <m/>
    <m/>
    <m/>
    <m/>
    <m/>
    <m/>
    <m/>
    <m/>
    <m/>
    <m/>
    <m/>
    <m/>
    <n v="0.77"/>
    <m/>
    <m/>
    <s v="0.00%"/>
    <s v="0.00%"/>
    <s v="0.00%"/>
    <s v="0.00%"/>
    <m/>
    <m/>
    <m/>
    <m/>
    <m/>
    <m/>
    <m/>
    <s v="0.00%"/>
    <s v="0.00%"/>
    <s v="0.00%"/>
    <s v="0.00%"/>
    <m/>
    <m/>
    <m/>
    <m/>
    <m/>
    <m/>
    <m/>
    <m/>
    <m/>
    <m/>
    <m/>
    <m/>
    <m/>
    <m/>
    <m/>
    <m/>
    <m/>
    <s v="Mike Teixeira"/>
    <m/>
    <s v="03/31/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3/20/2025"/>
    <x v="35"/>
    <n v="5686432"/>
    <s v="Click Here To View"/>
    <s v="Construction"/>
    <n v="1.0900000000000001"/>
    <s v="100.00%"/>
    <s v="0.00%"/>
    <s v="100.00%"/>
    <s v="0.00%"/>
    <m/>
    <n v="1.0900000000000001"/>
    <m/>
    <n v="1.0900000000000001"/>
    <m/>
    <m/>
    <m/>
    <m/>
    <m/>
    <m/>
    <m/>
    <m/>
    <m/>
    <m/>
    <m/>
    <m/>
    <m/>
    <m/>
    <m/>
    <m/>
    <m/>
    <m/>
    <m/>
    <m/>
    <m/>
    <m/>
    <m/>
    <m/>
    <m/>
    <m/>
    <m/>
    <m/>
    <m/>
    <m/>
    <m/>
    <n v="1.0900000000000001"/>
    <m/>
    <m/>
    <s v="0.00%"/>
    <s v="0.00%"/>
    <s v="0.00%"/>
    <s v="0.00%"/>
    <m/>
    <m/>
    <m/>
    <m/>
    <m/>
    <m/>
    <m/>
    <s v="0.00%"/>
    <s v="0.00%"/>
    <s v="0.00%"/>
    <s v="0.00%"/>
    <m/>
    <m/>
    <m/>
    <m/>
    <m/>
    <m/>
    <m/>
    <m/>
    <m/>
    <m/>
    <m/>
    <m/>
    <m/>
    <m/>
    <m/>
    <m/>
    <m/>
    <s v="Mike Teixeira"/>
    <m/>
    <s v="04/01/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3/22/2025"/>
    <x v="35"/>
    <n v="5688065"/>
    <s v="Click Here To View"/>
    <s v="Construction"/>
    <n v="1.86"/>
    <s v="100.00%"/>
    <s v="0.00%"/>
    <s v="100.00%"/>
    <s v="0.00%"/>
    <m/>
    <n v="1.86"/>
    <m/>
    <n v="1.86"/>
    <m/>
    <m/>
    <m/>
    <m/>
    <m/>
    <m/>
    <m/>
    <m/>
    <m/>
    <m/>
    <m/>
    <m/>
    <m/>
    <m/>
    <m/>
    <m/>
    <m/>
    <m/>
    <m/>
    <m/>
    <m/>
    <m/>
    <m/>
    <m/>
    <m/>
    <m/>
    <m/>
    <m/>
    <m/>
    <m/>
    <m/>
    <n v="1.86"/>
    <m/>
    <m/>
    <s v="0.00%"/>
    <s v="0.00%"/>
    <s v="0.00%"/>
    <s v="0.00%"/>
    <m/>
    <m/>
    <m/>
    <m/>
    <m/>
    <m/>
    <m/>
    <s v="0.00%"/>
    <s v="0.00%"/>
    <s v="0.00%"/>
    <s v="0.00%"/>
    <m/>
    <m/>
    <m/>
    <m/>
    <m/>
    <m/>
    <m/>
    <m/>
    <m/>
    <m/>
    <m/>
    <m/>
    <m/>
    <m/>
    <m/>
    <m/>
    <m/>
    <s v="Mike Teixeira"/>
    <m/>
    <s v="04/01/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3/25/2025"/>
    <x v="35"/>
    <n v="5688609"/>
    <s v="Click Here To View"/>
    <s v="Construction"/>
    <n v="2.4500000000000002"/>
    <s v="100.00%"/>
    <s v="0.00%"/>
    <s v="100.00%"/>
    <s v="0.00%"/>
    <m/>
    <n v="2.4500000000000002"/>
    <m/>
    <n v="2.4500000000000002"/>
    <m/>
    <m/>
    <m/>
    <m/>
    <m/>
    <m/>
    <m/>
    <m/>
    <m/>
    <m/>
    <m/>
    <m/>
    <m/>
    <m/>
    <m/>
    <m/>
    <m/>
    <m/>
    <m/>
    <m/>
    <m/>
    <m/>
    <m/>
    <m/>
    <m/>
    <m/>
    <m/>
    <m/>
    <m/>
    <m/>
    <m/>
    <n v="2.4500000000000002"/>
    <m/>
    <m/>
    <s v="0.00%"/>
    <s v="0.00%"/>
    <s v="0.00%"/>
    <s v="0.00%"/>
    <m/>
    <m/>
    <m/>
    <m/>
    <m/>
    <m/>
    <m/>
    <s v="0.00%"/>
    <s v="0.00%"/>
    <s v="0.00%"/>
    <s v="0.00%"/>
    <m/>
    <m/>
    <m/>
    <m/>
    <m/>
    <m/>
    <m/>
    <m/>
    <m/>
    <m/>
    <m/>
    <m/>
    <m/>
    <m/>
    <m/>
    <m/>
    <m/>
    <s v="Mike Teixeira"/>
    <m/>
    <s v="04/01/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3/25/2025"/>
    <x v="35"/>
    <n v="5688998"/>
    <s v="Click Here To View"/>
    <s v="Construction"/>
    <n v="0.54"/>
    <s v="100.00%"/>
    <s v="0.00%"/>
    <s v="100.00%"/>
    <s v="0.00%"/>
    <m/>
    <n v="0.54"/>
    <m/>
    <n v="0.54"/>
    <m/>
    <m/>
    <m/>
    <m/>
    <m/>
    <m/>
    <m/>
    <m/>
    <m/>
    <m/>
    <m/>
    <m/>
    <m/>
    <m/>
    <m/>
    <m/>
    <m/>
    <m/>
    <m/>
    <m/>
    <m/>
    <m/>
    <m/>
    <m/>
    <m/>
    <m/>
    <m/>
    <m/>
    <m/>
    <m/>
    <m/>
    <n v="0.54"/>
    <m/>
    <m/>
    <s v="0.00%"/>
    <s v="0.00%"/>
    <s v="0.00%"/>
    <s v="0.00%"/>
    <m/>
    <m/>
    <m/>
    <m/>
    <m/>
    <m/>
    <m/>
    <s v="0.00%"/>
    <s v="0.00%"/>
    <s v="0.00%"/>
    <s v="0.00%"/>
    <m/>
    <m/>
    <m/>
    <m/>
    <m/>
    <m/>
    <m/>
    <m/>
    <m/>
    <m/>
    <m/>
    <m/>
    <m/>
    <m/>
    <m/>
    <m/>
    <m/>
    <s v="Mike Teixeira"/>
    <m/>
    <s v="04/01/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3/27/2025"/>
    <x v="35"/>
    <n v="5690675"/>
    <s v="Click Here To View"/>
    <s v="Construction"/>
    <n v="1.07"/>
    <s v="100.00%"/>
    <s v="0.00%"/>
    <s v="100.00%"/>
    <s v="0.00%"/>
    <m/>
    <n v="1.07"/>
    <m/>
    <n v="1.07"/>
    <m/>
    <m/>
    <m/>
    <m/>
    <m/>
    <m/>
    <m/>
    <m/>
    <m/>
    <m/>
    <m/>
    <m/>
    <m/>
    <m/>
    <m/>
    <m/>
    <m/>
    <m/>
    <m/>
    <m/>
    <m/>
    <m/>
    <m/>
    <m/>
    <m/>
    <m/>
    <m/>
    <m/>
    <m/>
    <m/>
    <m/>
    <n v="1.07"/>
    <m/>
    <m/>
    <s v="0.00%"/>
    <s v="0.00%"/>
    <s v="0.00%"/>
    <s v="0.00%"/>
    <m/>
    <m/>
    <m/>
    <m/>
    <m/>
    <m/>
    <m/>
    <s v="0.00%"/>
    <s v="0.00%"/>
    <s v="0.00%"/>
    <s v="0.00%"/>
    <m/>
    <m/>
    <m/>
    <m/>
    <m/>
    <m/>
    <m/>
    <m/>
    <m/>
    <m/>
    <m/>
    <m/>
    <m/>
    <m/>
    <m/>
    <m/>
    <m/>
    <s v="Mike Teixeira"/>
    <m/>
    <s v="05/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3/31/2025"/>
    <x v="35"/>
    <n v="5691907"/>
    <s v="Click Here To View"/>
    <s v="Construction"/>
    <n v="1.0900000000000001"/>
    <s v="100.00%"/>
    <s v="0.00%"/>
    <s v="100.00%"/>
    <s v="0.00%"/>
    <m/>
    <n v="1.0900000000000001"/>
    <m/>
    <n v="1.0900000000000001"/>
    <m/>
    <m/>
    <m/>
    <m/>
    <m/>
    <m/>
    <m/>
    <m/>
    <m/>
    <m/>
    <m/>
    <m/>
    <m/>
    <m/>
    <m/>
    <m/>
    <m/>
    <m/>
    <m/>
    <m/>
    <m/>
    <m/>
    <m/>
    <m/>
    <m/>
    <m/>
    <m/>
    <m/>
    <m/>
    <m/>
    <m/>
    <n v="1.0900000000000001"/>
    <m/>
    <m/>
    <s v="0.00%"/>
    <s v="0.00%"/>
    <s v="0.00%"/>
    <s v="0.00%"/>
    <m/>
    <m/>
    <m/>
    <m/>
    <m/>
    <m/>
    <m/>
    <s v="0.00%"/>
    <s v="0.00%"/>
    <s v="0.00%"/>
    <s v="0.00%"/>
    <m/>
    <m/>
    <m/>
    <m/>
    <m/>
    <m/>
    <m/>
    <m/>
    <m/>
    <m/>
    <m/>
    <m/>
    <m/>
    <m/>
    <m/>
    <m/>
    <m/>
    <s v="Mike Teixeira"/>
    <m/>
    <s v="05/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4/01/2025"/>
    <x v="29"/>
    <n v="5693201"/>
    <s v="Click Here To View"/>
    <s v="Construction"/>
    <n v="2.65"/>
    <s v="100.00%"/>
    <s v="0.00%"/>
    <s v="100.00%"/>
    <s v="0.00%"/>
    <m/>
    <n v="2.65"/>
    <m/>
    <n v="2.65"/>
    <m/>
    <m/>
    <m/>
    <m/>
    <m/>
    <m/>
    <m/>
    <m/>
    <m/>
    <m/>
    <m/>
    <m/>
    <m/>
    <m/>
    <m/>
    <m/>
    <m/>
    <m/>
    <m/>
    <m/>
    <m/>
    <m/>
    <m/>
    <m/>
    <m/>
    <m/>
    <m/>
    <m/>
    <m/>
    <m/>
    <m/>
    <n v="2.65"/>
    <m/>
    <m/>
    <s v="0.00%"/>
    <s v="0.00%"/>
    <s v="0.00%"/>
    <s v="0.00%"/>
    <m/>
    <m/>
    <m/>
    <m/>
    <m/>
    <m/>
    <m/>
    <s v="0.00%"/>
    <s v="0.00%"/>
    <s v="0.00%"/>
    <s v="0.00%"/>
    <m/>
    <m/>
    <m/>
    <m/>
    <m/>
    <m/>
    <m/>
    <m/>
    <m/>
    <m/>
    <m/>
    <m/>
    <m/>
    <m/>
    <m/>
    <m/>
    <m/>
    <s v="Mike Teixeira"/>
    <m/>
    <s v="05/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4/03/2025"/>
    <x v="29"/>
    <n v="5694809"/>
    <s v="Click Here To View"/>
    <s v="Construction"/>
    <n v="0.51"/>
    <s v="100.00%"/>
    <s v="0.00%"/>
    <s v="100.00%"/>
    <s v="0.00%"/>
    <m/>
    <n v="0.51"/>
    <m/>
    <n v="0.51"/>
    <m/>
    <m/>
    <m/>
    <m/>
    <m/>
    <m/>
    <m/>
    <m/>
    <m/>
    <m/>
    <m/>
    <m/>
    <m/>
    <m/>
    <m/>
    <m/>
    <m/>
    <m/>
    <m/>
    <m/>
    <m/>
    <m/>
    <m/>
    <m/>
    <m/>
    <m/>
    <m/>
    <m/>
    <m/>
    <m/>
    <m/>
    <n v="0.51"/>
    <m/>
    <m/>
    <s v="0.00%"/>
    <s v="0.00%"/>
    <s v="0.00%"/>
    <s v="0.00%"/>
    <m/>
    <m/>
    <m/>
    <m/>
    <m/>
    <m/>
    <m/>
    <s v="0.00%"/>
    <s v="0.00%"/>
    <s v="0.00%"/>
    <s v="0.00%"/>
    <m/>
    <m/>
    <m/>
    <m/>
    <m/>
    <m/>
    <m/>
    <m/>
    <m/>
    <m/>
    <m/>
    <m/>
    <m/>
    <m/>
    <m/>
    <m/>
    <m/>
    <s v="Mike Teixeira"/>
    <m/>
    <s v="05/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4/10/2025"/>
    <x v="29"/>
    <n v="5698714"/>
    <s v="Click Here To View"/>
    <s v="Construction"/>
    <n v="0.93"/>
    <s v="100.00%"/>
    <s v="0.00%"/>
    <s v="100.00%"/>
    <s v="0.00%"/>
    <m/>
    <n v="0.93"/>
    <m/>
    <n v="0.93"/>
    <m/>
    <m/>
    <m/>
    <m/>
    <m/>
    <m/>
    <m/>
    <m/>
    <m/>
    <m/>
    <m/>
    <m/>
    <m/>
    <m/>
    <m/>
    <m/>
    <m/>
    <m/>
    <m/>
    <m/>
    <m/>
    <m/>
    <m/>
    <m/>
    <m/>
    <m/>
    <m/>
    <m/>
    <m/>
    <m/>
    <m/>
    <n v="0.93"/>
    <m/>
    <m/>
    <s v="0.00%"/>
    <s v="0.00%"/>
    <s v="0.00%"/>
    <s v="0.00%"/>
    <m/>
    <m/>
    <m/>
    <m/>
    <m/>
    <m/>
    <m/>
    <s v="0.00%"/>
    <s v="0.00%"/>
    <s v="0.00%"/>
    <s v="0.00%"/>
    <m/>
    <m/>
    <m/>
    <m/>
    <m/>
    <m/>
    <m/>
    <m/>
    <m/>
    <m/>
    <m/>
    <m/>
    <m/>
    <m/>
    <m/>
    <m/>
    <m/>
    <s v="Mike Teixeira"/>
    <m/>
    <s v="05/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4/10/2025"/>
    <x v="29"/>
    <n v="5698893"/>
    <s v="Click Here To View"/>
    <s v="Construction"/>
    <n v="2.4900000000000002"/>
    <s v="100.00%"/>
    <s v="0.00%"/>
    <s v="100.00%"/>
    <s v="0.00%"/>
    <m/>
    <n v="2.4900000000000002"/>
    <m/>
    <n v="2.4900000000000002"/>
    <m/>
    <m/>
    <m/>
    <m/>
    <m/>
    <m/>
    <m/>
    <m/>
    <m/>
    <m/>
    <m/>
    <m/>
    <m/>
    <m/>
    <m/>
    <m/>
    <m/>
    <m/>
    <m/>
    <m/>
    <m/>
    <m/>
    <m/>
    <m/>
    <m/>
    <m/>
    <m/>
    <m/>
    <m/>
    <m/>
    <m/>
    <n v="2.4900000000000002"/>
    <m/>
    <m/>
    <s v="0.00%"/>
    <s v="0.00%"/>
    <s v="0.00%"/>
    <s v="0.00%"/>
    <m/>
    <m/>
    <m/>
    <m/>
    <m/>
    <m/>
    <m/>
    <s v="0.00%"/>
    <s v="0.00%"/>
    <s v="0.00%"/>
    <s v="0.00%"/>
    <m/>
    <m/>
    <m/>
    <m/>
    <m/>
    <m/>
    <m/>
    <m/>
    <m/>
    <m/>
    <m/>
    <m/>
    <m/>
    <m/>
    <m/>
    <m/>
    <m/>
    <s v="Mike Teixeira"/>
    <m/>
    <s v="05/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4/11/2025"/>
    <x v="29"/>
    <n v="5699795"/>
    <s v="Click Here To View"/>
    <s v="Construction"/>
    <n v="0.6"/>
    <s v="100.00%"/>
    <s v="0.00%"/>
    <s v="100.00%"/>
    <s v="0.00%"/>
    <m/>
    <n v="0.6"/>
    <m/>
    <n v="0.6"/>
    <m/>
    <m/>
    <m/>
    <m/>
    <m/>
    <m/>
    <m/>
    <m/>
    <m/>
    <m/>
    <m/>
    <m/>
    <m/>
    <m/>
    <m/>
    <m/>
    <m/>
    <m/>
    <m/>
    <m/>
    <m/>
    <m/>
    <m/>
    <m/>
    <m/>
    <m/>
    <m/>
    <m/>
    <m/>
    <m/>
    <m/>
    <n v="0.6"/>
    <m/>
    <m/>
    <s v="0.00%"/>
    <s v="0.00%"/>
    <s v="0.00%"/>
    <s v="0.00%"/>
    <m/>
    <m/>
    <m/>
    <m/>
    <m/>
    <m/>
    <m/>
    <s v="0.00%"/>
    <s v="0.00%"/>
    <s v="0.00%"/>
    <s v="0.00%"/>
    <m/>
    <m/>
    <m/>
    <m/>
    <m/>
    <m/>
    <m/>
    <m/>
    <m/>
    <m/>
    <m/>
    <m/>
    <m/>
    <m/>
    <m/>
    <m/>
    <m/>
    <s v="Mike Teixeira"/>
    <m/>
    <s v="05/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4/17/2025"/>
    <x v="29"/>
    <n v="5703133"/>
    <s v="Click Here To View"/>
    <s v="Construction"/>
    <n v="1.2"/>
    <s v="100.00%"/>
    <s v="0.00%"/>
    <s v="100.00%"/>
    <s v="0.00%"/>
    <m/>
    <n v="1.2"/>
    <m/>
    <n v="1.2"/>
    <m/>
    <m/>
    <m/>
    <m/>
    <m/>
    <m/>
    <m/>
    <m/>
    <m/>
    <m/>
    <m/>
    <m/>
    <m/>
    <m/>
    <m/>
    <m/>
    <m/>
    <m/>
    <m/>
    <m/>
    <m/>
    <m/>
    <m/>
    <m/>
    <m/>
    <m/>
    <m/>
    <m/>
    <m/>
    <m/>
    <m/>
    <n v="1.2"/>
    <m/>
    <m/>
    <s v="0.00%"/>
    <s v="0.00%"/>
    <s v="0.00%"/>
    <s v="0.00%"/>
    <m/>
    <m/>
    <m/>
    <m/>
    <m/>
    <m/>
    <m/>
    <s v="0.00%"/>
    <s v="0.00%"/>
    <s v="0.00%"/>
    <s v="0.00%"/>
    <m/>
    <m/>
    <m/>
    <m/>
    <m/>
    <m/>
    <m/>
    <m/>
    <m/>
    <m/>
    <m/>
    <m/>
    <m/>
    <m/>
    <m/>
    <m/>
    <m/>
    <s v="Mike Teixeira"/>
    <m/>
    <s v="05/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4/19/2025"/>
    <x v="29"/>
    <n v="5703948"/>
    <s v="Click Here To View"/>
    <s v="Construction"/>
    <n v="1.68"/>
    <s v="100.00%"/>
    <s v="0.00%"/>
    <s v="100.00%"/>
    <s v="0.00%"/>
    <m/>
    <n v="1.68"/>
    <m/>
    <n v="1.68"/>
    <m/>
    <m/>
    <m/>
    <m/>
    <m/>
    <m/>
    <m/>
    <m/>
    <m/>
    <m/>
    <m/>
    <m/>
    <m/>
    <m/>
    <m/>
    <m/>
    <m/>
    <m/>
    <m/>
    <m/>
    <m/>
    <m/>
    <m/>
    <m/>
    <m/>
    <m/>
    <m/>
    <m/>
    <m/>
    <m/>
    <m/>
    <n v="1.68"/>
    <m/>
    <m/>
    <s v="0.00%"/>
    <s v="0.00%"/>
    <s v="0.00%"/>
    <s v="0.00%"/>
    <m/>
    <m/>
    <m/>
    <m/>
    <m/>
    <m/>
    <m/>
    <s v="0.00%"/>
    <s v="0.00%"/>
    <s v="0.00%"/>
    <s v="0.00%"/>
    <m/>
    <m/>
    <m/>
    <m/>
    <m/>
    <m/>
    <m/>
    <m/>
    <m/>
    <m/>
    <m/>
    <m/>
    <m/>
    <m/>
    <m/>
    <m/>
    <m/>
    <s v="Mike Teixeira"/>
    <m/>
    <s v="05/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4/22/2025"/>
    <x v="29"/>
    <n v="5705682"/>
    <s v="Click Here To View"/>
    <s v="Construction"/>
    <n v="0.79"/>
    <s v="100.00%"/>
    <s v="0.00%"/>
    <s v="100.00%"/>
    <s v="0.00%"/>
    <m/>
    <n v="0.79"/>
    <m/>
    <n v="0.79"/>
    <m/>
    <m/>
    <m/>
    <m/>
    <m/>
    <m/>
    <m/>
    <m/>
    <m/>
    <m/>
    <m/>
    <m/>
    <m/>
    <m/>
    <m/>
    <m/>
    <m/>
    <m/>
    <m/>
    <m/>
    <m/>
    <m/>
    <m/>
    <m/>
    <m/>
    <m/>
    <m/>
    <m/>
    <m/>
    <m/>
    <m/>
    <n v="0.79"/>
    <m/>
    <m/>
    <s v="0.00%"/>
    <s v="0.00%"/>
    <s v="0.00%"/>
    <s v="0.00%"/>
    <m/>
    <m/>
    <m/>
    <m/>
    <m/>
    <m/>
    <m/>
    <s v="0.00%"/>
    <s v="0.00%"/>
    <s v="0.00%"/>
    <s v="0.00%"/>
    <m/>
    <m/>
    <m/>
    <m/>
    <m/>
    <m/>
    <m/>
    <m/>
    <m/>
    <m/>
    <m/>
    <m/>
    <m/>
    <m/>
    <m/>
    <m/>
    <m/>
    <s v="Mike Teixeira"/>
    <m/>
    <s v="05/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4/24/2025"/>
    <x v="29"/>
    <n v="5707130"/>
    <s v="Click Here To View"/>
    <s v="Construction"/>
    <n v="1.7"/>
    <s v="100.00%"/>
    <s v="0.00%"/>
    <s v="100.00%"/>
    <s v="0.00%"/>
    <m/>
    <n v="1.7"/>
    <m/>
    <n v="1.7"/>
    <m/>
    <m/>
    <m/>
    <m/>
    <m/>
    <m/>
    <m/>
    <m/>
    <m/>
    <m/>
    <m/>
    <m/>
    <m/>
    <m/>
    <m/>
    <m/>
    <m/>
    <m/>
    <m/>
    <m/>
    <m/>
    <m/>
    <m/>
    <m/>
    <m/>
    <m/>
    <m/>
    <m/>
    <m/>
    <m/>
    <m/>
    <n v="1.7"/>
    <m/>
    <m/>
    <s v="0.00%"/>
    <s v="0.00%"/>
    <s v="0.00%"/>
    <s v="0.00%"/>
    <m/>
    <m/>
    <m/>
    <m/>
    <m/>
    <m/>
    <m/>
    <s v="0.00%"/>
    <s v="0.00%"/>
    <s v="0.00%"/>
    <s v="0.00%"/>
    <m/>
    <m/>
    <m/>
    <m/>
    <m/>
    <m/>
    <m/>
    <m/>
    <m/>
    <m/>
    <m/>
    <m/>
    <m/>
    <m/>
    <m/>
    <m/>
    <m/>
    <s v="Mike Teixeira"/>
    <m/>
    <s v="05/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4/26/2025"/>
    <x v="29"/>
    <n v="5708124"/>
    <s v="Click Here To View"/>
    <s v="Construction"/>
    <n v="1.1000000000000001"/>
    <s v="100.00%"/>
    <s v="0.00%"/>
    <s v="100.00%"/>
    <s v="0.00%"/>
    <m/>
    <n v="1.1000000000000001"/>
    <m/>
    <n v="1.1000000000000001"/>
    <m/>
    <m/>
    <m/>
    <m/>
    <m/>
    <m/>
    <m/>
    <m/>
    <m/>
    <m/>
    <m/>
    <m/>
    <m/>
    <m/>
    <m/>
    <m/>
    <m/>
    <m/>
    <m/>
    <m/>
    <m/>
    <m/>
    <m/>
    <m/>
    <m/>
    <m/>
    <m/>
    <m/>
    <m/>
    <m/>
    <m/>
    <n v="1.1000000000000001"/>
    <m/>
    <m/>
    <s v="0.00%"/>
    <s v="0.00%"/>
    <s v="0.00%"/>
    <s v="0.00%"/>
    <m/>
    <m/>
    <m/>
    <m/>
    <m/>
    <m/>
    <m/>
    <s v="0.00%"/>
    <s v="0.00%"/>
    <s v="0.00%"/>
    <s v="0.00%"/>
    <m/>
    <m/>
    <m/>
    <m/>
    <m/>
    <m/>
    <m/>
    <m/>
    <m/>
    <m/>
    <m/>
    <m/>
    <m/>
    <m/>
    <m/>
    <m/>
    <m/>
    <s v="Mike Teixeira"/>
    <m/>
    <s v="05/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4/29/2025"/>
    <x v="29"/>
    <n v="5709607"/>
    <s v="Click Here To View"/>
    <s v="Construction"/>
    <n v="2.4700000000000002"/>
    <s v="100.00%"/>
    <s v="0.00%"/>
    <s v="100.00%"/>
    <s v="0.00%"/>
    <m/>
    <n v="2.4700000000000002"/>
    <m/>
    <n v="2.4700000000000002"/>
    <m/>
    <m/>
    <m/>
    <m/>
    <m/>
    <m/>
    <m/>
    <m/>
    <m/>
    <m/>
    <m/>
    <m/>
    <m/>
    <m/>
    <m/>
    <m/>
    <m/>
    <m/>
    <m/>
    <m/>
    <m/>
    <m/>
    <m/>
    <m/>
    <m/>
    <m/>
    <m/>
    <m/>
    <m/>
    <m/>
    <m/>
    <n v="2.4700000000000002"/>
    <m/>
    <m/>
    <s v="0.00%"/>
    <s v="0.00%"/>
    <s v="0.00%"/>
    <s v="0.00%"/>
    <m/>
    <m/>
    <m/>
    <m/>
    <m/>
    <m/>
    <m/>
    <s v="0.00%"/>
    <s v="0.00%"/>
    <s v="0.00%"/>
    <s v="0.00%"/>
    <m/>
    <m/>
    <m/>
    <m/>
    <m/>
    <m/>
    <m/>
    <m/>
    <m/>
    <m/>
    <m/>
    <m/>
    <m/>
    <m/>
    <m/>
    <m/>
    <m/>
    <s v="Mike Teixeira"/>
    <m/>
    <s v="06/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4/29/2025"/>
    <x v="29"/>
    <n v="5709593"/>
    <s v="Click Here To View"/>
    <s v="Construction"/>
    <n v="1.27"/>
    <s v="100.00%"/>
    <s v="0.00%"/>
    <s v="100.00%"/>
    <s v="0.00%"/>
    <m/>
    <n v="1.27"/>
    <m/>
    <n v="1.27"/>
    <m/>
    <m/>
    <m/>
    <m/>
    <m/>
    <m/>
    <m/>
    <m/>
    <m/>
    <m/>
    <m/>
    <m/>
    <m/>
    <m/>
    <m/>
    <m/>
    <m/>
    <m/>
    <m/>
    <m/>
    <m/>
    <m/>
    <m/>
    <m/>
    <m/>
    <m/>
    <m/>
    <m/>
    <m/>
    <m/>
    <m/>
    <n v="1.27"/>
    <m/>
    <m/>
    <s v="0.00%"/>
    <s v="0.00%"/>
    <s v="0.00%"/>
    <s v="0.00%"/>
    <m/>
    <m/>
    <m/>
    <m/>
    <m/>
    <m/>
    <m/>
    <s v="0.00%"/>
    <s v="0.00%"/>
    <s v="0.00%"/>
    <s v="0.00%"/>
    <m/>
    <m/>
    <m/>
    <m/>
    <m/>
    <m/>
    <m/>
    <m/>
    <m/>
    <m/>
    <m/>
    <m/>
    <m/>
    <m/>
    <m/>
    <m/>
    <m/>
    <s v="Mike Teixeira"/>
    <m/>
    <s v="06/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5/02/2025"/>
    <x v="30"/>
    <n v="5711577"/>
    <s v="Click Here To View"/>
    <s v="Construction"/>
    <n v="2.12"/>
    <s v="100.00%"/>
    <s v="0.00%"/>
    <s v="100.00%"/>
    <s v="0.00%"/>
    <m/>
    <n v="2.12"/>
    <m/>
    <n v="2.12"/>
    <m/>
    <m/>
    <m/>
    <m/>
    <m/>
    <m/>
    <m/>
    <m/>
    <m/>
    <m/>
    <m/>
    <m/>
    <m/>
    <m/>
    <m/>
    <m/>
    <m/>
    <m/>
    <m/>
    <m/>
    <m/>
    <m/>
    <m/>
    <m/>
    <m/>
    <m/>
    <m/>
    <m/>
    <m/>
    <m/>
    <m/>
    <n v="2.12"/>
    <m/>
    <m/>
    <s v="0.00%"/>
    <s v="0.00%"/>
    <s v="0.00%"/>
    <s v="0.00%"/>
    <m/>
    <m/>
    <m/>
    <m/>
    <m/>
    <m/>
    <m/>
    <s v="0.00%"/>
    <s v="0.00%"/>
    <s v="0.00%"/>
    <s v="0.00%"/>
    <m/>
    <m/>
    <m/>
    <m/>
    <m/>
    <m/>
    <m/>
    <m/>
    <m/>
    <m/>
    <m/>
    <m/>
    <m/>
    <m/>
    <m/>
    <m/>
    <m/>
    <s v="Mike Teixeira"/>
    <m/>
    <s v="06/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5/03/2025"/>
    <x v="30"/>
    <n v="5712266"/>
    <s v="Click Here To View"/>
    <s v="Construction"/>
    <n v="1.0900000000000001"/>
    <s v="100.00%"/>
    <s v="0.00%"/>
    <s v="100.00%"/>
    <s v="0.00%"/>
    <m/>
    <n v="1.0900000000000001"/>
    <m/>
    <n v="1.0900000000000001"/>
    <m/>
    <m/>
    <m/>
    <m/>
    <m/>
    <m/>
    <m/>
    <m/>
    <m/>
    <m/>
    <m/>
    <m/>
    <m/>
    <m/>
    <m/>
    <m/>
    <m/>
    <m/>
    <m/>
    <m/>
    <m/>
    <m/>
    <m/>
    <m/>
    <m/>
    <m/>
    <m/>
    <m/>
    <m/>
    <m/>
    <m/>
    <n v="1.0900000000000001"/>
    <m/>
    <m/>
    <s v="0.00%"/>
    <s v="0.00%"/>
    <s v="0.00%"/>
    <s v="0.00%"/>
    <m/>
    <m/>
    <m/>
    <m/>
    <m/>
    <m/>
    <m/>
    <s v="0.00%"/>
    <s v="0.00%"/>
    <s v="0.00%"/>
    <s v="0.00%"/>
    <m/>
    <m/>
    <m/>
    <m/>
    <m/>
    <m/>
    <m/>
    <m/>
    <m/>
    <m/>
    <m/>
    <m/>
    <m/>
    <m/>
    <m/>
    <m/>
    <m/>
    <s v="Mike Teixeira"/>
    <m/>
    <s v="06/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5/05/2025"/>
    <x v="30"/>
    <n v="5713118"/>
    <s v="Click Here To View"/>
    <s v="Construction"/>
    <n v="0.72"/>
    <s v="100.00%"/>
    <s v="0.00%"/>
    <s v="100.00%"/>
    <s v="0.00%"/>
    <m/>
    <n v="0.72"/>
    <m/>
    <n v="0.72"/>
    <m/>
    <m/>
    <m/>
    <m/>
    <m/>
    <m/>
    <m/>
    <m/>
    <m/>
    <m/>
    <m/>
    <m/>
    <m/>
    <m/>
    <m/>
    <m/>
    <m/>
    <m/>
    <m/>
    <m/>
    <m/>
    <m/>
    <m/>
    <m/>
    <m/>
    <m/>
    <m/>
    <m/>
    <m/>
    <m/>
    <m/>
    <n v="0.72"/>
    <m/>
    <m/>
    <s v="0.00%"/>
    <s v="0.00%"/>
    <s v="0.00%"/>
    <s v="0.00%"/>
    <m/>
    <m/>
    <m/>
    <m/>
    <m/>
    <m/>
    <m/>
    <s v="0.00%"/>
    <s v="0.00%"/>
    <s v="0.00%"/>
    <s v="0.00%"/>
    <m/>
    <m/>
    <m/>
    <m/>
    <m/>
    <m/>
    <m/>
    <m/>
    <m/>
    <m/>
    <m/>
    <m/>
    <m/>
    <m/>
    <m/>
    <m/>
    <m/>
    <s v="Mike Teixeira"/>
    <m/>
    <s v="06/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5/06/2025"/>
    <x v="30"/>
    <n v="5713402"/>
    <s v="Click Here To View"/>
    <s v="Construction"/>
    <n v="2.29"/>
    <s v="100.00%"/>
    <s v="0.00%"/>
    <s v="100.00%"/>
    <s v="0.00%"/>
    <m/>
    <n v="2.29"/>
    <m/>
    <n v="2.29"/>
    <m/>
    <m/>
    <m/>
    <m/>
    <m/>
    <m/>
    <m/>
    <m/>
    <m/>
    <m/>
    <m/>
    <m/>
    <m/>
    <m/>
    <m/>
    <m/>
    <m/>
    <m/>
    <m/>
    <m/>
    <m/>
    <m/>
    <m/>
    <m/>
    <m/>
    <m/>
    <m/>
    <m/>
    <m/>
    <m/>
    <m/>
    <n v="2.29"/>
    <m/>
    <m/>
    <s v="0.00%"/>
    <s v="0.00%"/>
    <s v="0.00%"/>
    <s v="0.00%"/>
    <m/>
    <m/>
    <m/>
    <m/>
    <m/>
    <m/>
    <m/>
    <s v="0.00%"/>
    <s v="0.00%"/>
    <s v="0.00%"/>
    <s v="0.00%"/>
    <m/>
    <m/>
    <m/>
    <m/>
    <m/>
    <m/>
    <m/>
    <m/>
    <m/>
    <m/>
    <m/>
    <m/>
    <m/>
    <m/>
    <m/>
    <m/>
    <m/>
    <s v="Mike Teixeira"/>
    <m/>
    <s v="06/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5/07/2025"/>
    <x v="30"/>
    <n v="5714512"/>
    <s v="Click Here To View"/>
    <s v="Construction"/>
    <n v="0.88"/>
    <s v="100.00%"/>
    <s v="0.00%"/>
    <s v="100.00%"/>
    <s v="0.00%"/>
    <m/>
    <n v="0.88"/>
    <m/>
    <n v="0.88"/>
    <m/>
    <m/>
    <m/>
    <m/>
    <m/>
    <m/>
    <m/>
    <m/>
    <m/>
    <m/>
    <m/>
    <m/>
    <m/>
    <m/>
    <m/>
    <m/>
    <m/>
    <m/>
    <m/>
    <m/>
    <m/>
    <m/>
    <m/>
    <m/>
    <m/>
    <m/>
    <m/>
    <m/>
    <m/>
    <m/>
    <m/>
    <n v="0.88"/>
    <m/>
    <m/>
    <s v="0.00%"/>
    <s v="0.00%"/>
    <s v="0.00%"/>
    <s v="0.00%"/>
    <m/>
    <m/>
    <m/>
    <m/>
    <m/>
    <m/>
    <m/>
    <s v="0.00%"/>
    <s v="0.00%"/>
    <s v="0.00%"/>
    <s v="0.00%"/>
    <m/>
    <m/>
    <m/>
    <m/>
    <m/>
    <m/>
    <m/>
    <m/>
    <m/>
    <m/>
    <m/>
    <m/>
    <m/>
    <m/>
    <m/>
    <m/>
    <m/>
    <s v="Mike Teixeira"/>
    <m/>
    <s v="06/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5/10/2025"/>
    <x v="30"/>
    <n v="5716289"/>
    <s v="Click Here To View"/>
    <s v="Construction"/>
    <n v="3.23"/>
    <s v="100.00%"/>
    <s v="0.00%"/>
    <s v="100.00%"/>
    <s v="0.00%"/>
    <m/>
    <n v="3.23"/>
    <m/>
    <n v="3.23"/>
    <m/>
    <m/>
    <m/>
    <m/>
    <m/>
    <m/>
    <m/>
    <m/>
    <m/>
    <m/>
    <m/>
    <m/>
    <m/>
    <m/>
    <m/>
    <m/>
    <m/>
    <m/>
    <m/>
    <m/>
    <m/>
    <m/>
    <m/>
    <m/>
    <m/>
    <m/>
    <m/>
    <m/>
    <m/>
    <m/>
    <m/>
    <n v="3.23"/>
    <m/>
    <m/>
    <s v="0.00%"/>
    <s v="0.00%"/>
    <s v="0.00%"/>
    <s v="0.00%"/>
    <m/>
    <m/>
    <m/>
    <m/>
    <m/>
    <m/>
    <m/>
    <s v="0.00%"/>
    <s v="0.00%"/>
    <s v="0.00%"/>
    <s v="0.00%"/>
    <m/>
    <m/>
    <m/>
    <m/>
    <m/>
    <m/>
    <m/>
    <m/>
    <m/>
    <m/>
    <m/>
    <m/>
    <m/>
    <m/>
    <m/>
    <m/>
    <m/>
    <s v="Mike Teixeira"/>
    <m/>
    <s v="06/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5/09/2025"/>
    <x v="30"/>
    <n v="5716013"/>
    <s v="Click Here To View"/>
    <s v="Construction"/>
    <n v="1.82"/>
    <s v="100.00%"/>
    <s v="0.00%"/>
    <s v="100.00%"/>
    <s v="0.00%"/>
    <m/>
    <n v="1.82"/>
    <m/>
    <n v="1.82"/>
    <m/>
    <m/>
    <m/>
    <m/>
    <m/>
    <m/>
    <m/>
    <m/>
    <m/>
    <m/>
    <m/>
    <m/>
    <m/>
    <m/>
    <m/>
    <m/>
    <m/>
    <m/>
    <m/>
    <m/>
    <m/>
    <m/>
    <m/>
    <m/>
    <m/>
    <m/>
    <m/>
    <m/>
    <m/>
    <m/>
    <m/>
    <n v="1.82"/>
    <m/>
    <m/>
    <s v="0.00%"/>
    <s v="0.00%"/>
    <s v="0.00%"/>
    <s v="0.00%"/>
    <m/>
    <m/>
    <m/>
    <m/>
    <m/>
    <m/>
    <m/>
    <s v="0.00%"/>
    <s v="0.00%"/>
    <s v="0.00%"/>
    <s v="0.00%"/>
    <m/>
    <m/>
    <m/>
    <m/>
    <m/>
    <m/>
    <m/>
    <m/>
    <m/>
    <m/>
    <m/>
    <m/>
    <m/>
    <m/>
    <m/>
    <m/>
    <m/>
    <s v="Mike Teixeira"/>
    <m/>
    <s v="06/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5/12/2025"/>
    <x v="30"/>
    <n v="5717166"/>
    <s v="Click Here To View"/>
    <s v="Construction"/>
    <n v="1.58"/>
    <s v="100.00%"/>
    <s v="0.00%"/>
    <s v="100.00%"/>
    <s v="0.00%"/>
    <m/>
    <n v="1.58"/>
    <m/>
    <n v="1.58"/>
    <m/>
    <m/>
    <m/>
    <m/>
    <m/>
    <m/>
    <m/>
    <m/>
    <m/>
    <m/>
    <m/>
    <m/>
    <m/>
    <m/>
    <m/>
    <m/>
    <m/>
    <m/>
    <m/>
    <m/>
    <m/>
    <m/>
    <m/>
    <m/>
    <m/>
    <m/>
    <m/>
    <m/>
    <m/>
    <m/>
    <m/>
    <n v="1.58"/>
    <m/>
    <m/>
    <s v="0.00%"/>
    <s v="0.00%"/>
    <s v="0.00%"/>
    <s v="0.00%"/>
    <m/>
    <m/>
    <m/>
    <m/>
    <m/>
    <m/>
    <m/>
    <s v="0.00%"/>
    <s v="0.00%"/>
    <s v="0.00%"/>
    <s v="0.00%"/>
    <m/>
    <m/>
    <m/>
    <m/>
    <m/>
    <m/>
    <m/>
    <m/>
    <m/>
    <m/>
    <m/>
    <m/>
    <m/>
    <m/>
    <m/>
    <m/>
    <m/>
    <s v="Mike Teixeira"/>
    <m/>
    <s v="06/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5/12/2025"/>
    <x v="30"/>
    <n v="5717176"/>
    <s v="Click Here To View"/>
    <s v="Construction"/>
    <n v="1.06"/>
    <s v="100.00%"/>
    <s v="0.00%"/>
    <s v="100.00%"/>
    <s v="0.00%"/>
    <m/>
    <n v="1.06"/>
    <m/>
    <n v="1.06"/>
    <m/>
    <m/>
    <m/>
    <m/>
    <m/>
    <m/>
    <m/>
    <m/>
    <m/>
    <m/>
    <m/>
    <m/>
    <m/>
    <m/>
    <m/>
    <m/>
    <m/>
    <m/>
    <m/>
    <m/>
    <m/>
    <m/>
    <m/>
    <m/>
    <m/>
    <m/>
    <m/>
    <m/>
    <m/>
    <m/>
    <m/>
    <n v="1.06"/>
    <m/>
    <m/>
    <s v="0.00%"/>
    <s v="0.00%"/>
    <s v="0.00%"/>
    <s v="0.00%"/>
    <m/>
    <m/>
    <m/>
    <m/>
    <m/>
    <m/>
    <m/>
    <s v="0.00%"/>
    <s v="0.00%"/>
    <s v="0.00%"/>
    <s v="0.00%"/>
    <m/>
    <m/>
    <m/>
    <m/>
    <m/>
    <m/>
    <m/>
    <m/>
    <m/>
    <m/>
    <m/>
    <m/>
    <m/>
    <m/>
    <m/>
    <m/>
    <m/>
    <s v="Mike Teixeira"/>
    <m/>
    <s v="06/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5/14/2025"/>
    <x v="30"/>
    <n v="5718687"/>
    <s v="Click Here To View"/>
    <s v="Construction"/>
    <n v="1.1200000000000001"/>
    <s v="100.00%"/>
    <s v="0.00%"/>
    <s v="100.00%"/>
    <s v="0.00%"/>
    <m/>
    <n v="1.1200000000000001"/>
    <m/>
    <n v="1.1200000000000001"/>
    <m/>
    <m/>
    <m/>
    <m/>
    <m/>
    <m/>
    <m/>
    <m/>
    <m/>
    <m/>
    <m/>
    <m/>
    <m/>
    <m/>
    <m/>
    <m/>
    <m/>
    <m/>
    <m/>
    <m/>
    <m/>
    <m/>
    <m/>
    <m/>
    <m/>
    <m/>
    <m/>
    <m/>
    <m/>
    <m/>
    <m/>
    <n v="1.1200000000000001"/>
    <m/>
    <m/>
    <s v="0.00%"/>
    <s v="0.00%"/>
    <s v="0.00%"/>
    <s v="0.00%"/>
    <m/>
    <m/>
    <m/>
    <m/>
    <m/>
    <m/>
    <m/>
    <s v="0.00%"/>
    <s v="0.00%"/>
    <s v="0.00%"/>
    <s v="0.00%"/>
    <m/>
    <m/>
    <m/>
    <m/>
    <m/>
    <m/>
    <m/>
    <m/>
    <m/>
    <m/>
    <m/>
    <m/>
    <m/>
    <m/>
    <m/>
    <m/>
    <m/>
    <s v="Mike Teixeira"/>
    <m/>
    <s v="06/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5/15/2025"/>
    <x v="30"/>
    <n v="5719553"/>
    <s v="Click Here To View"/>
    <s v="Construction"/>
    <n v="0.57999999999999996"/>
    <s v="100.00%"/>
    <s v="0.00%"/>
    <s v="100.00%"/>
    <s v="0.00%"/>
    <m/>
    <n v="0.57999999999999996"/>
    <m/>
    <n v="0.57999999999999996"/>
    <m/>
    <m/>
    <m/>
    <m/>
    <m/>
    <m/>
    <m/>
    <m/>
    <m/>
    <m/>
    <m/>
    <m/>
    <m/>
    <m/>
    <m/>
    <m/>
    <m/>
    <m/>
    <m/>
    <m/>
    <m/>
    <m/>
    <m/>
    <m/>
    <m/>
    <m/>
    <m/>
    <m/>
    <m/>
    <m/>
    <m/>
    <n v="0.57999999999999996"/>
    <m/>
    <m/>
    <s v="0.00%"/>
    <s v="0.00%"/>
    <s v="0.00%"/>
    <s v="0.00%"/>
    <m/>
    <m/>
    <m/>
    <m/>
    <m/>
    <m/>
    <m/>
    <s v="0.00%"/>
    <s v="0.00%"/>
    <s v="0.00%"/>
    <s v="0.00%"/>
    <m/>
    <m/>
    <m/>
    <m/>
    <m/>
    <m/>
    <m/>
    <m/>
    <m/>
    <m/>
    <m/>
    <m/>
    <m/>
    <m/>
    <m/>
    <m/>
    <m/>
    <s v="Mike Teixeira"/>
    <m/>
    <s v="06/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5/15/2025"/>
    <x v="30"/>
    <n v="5719566"/>
    <s v="Click Here To View"/>
    <s v="Construction"/>
    <n v="7.91"/>
    <s v="100.00%"/>
    <s v="0.00%"/>
    <s v="100.00%"/>
    <s v="0.00%"/>
    <m/>
    <n v="7.91"/>
    <m/>
    <n v="7.91"/>
    <m/>
    <m/>
    <m/>
    <m/>
    <m/>
    <m/>
    <m/>
    <m/>
    <m/>
    <m/>
    <m/>
    <m/>
    <m/>
    <m/>
    <m/>
    <m/>
    <m/>
    <m/>
    <m/>
    <m/>
    <m/>
    <m/>
    <m/>
    <m/>
    <m/>
    <m/>
    <m/>
    <m/>
    <m/>
    <m/>
    <m/>
    <n v="7.91"/>
    <m/>
    <m/>
    <s v="0.00%"/>
    <s v="0.00%"/>
    <s v="0.00%"/>
    <s v="0.00%"/>
    <m/>
    <m/>
    <m/>
    <m/>
    <m/>
    <m/>
    <m/>
    <s v="0.00%"/>
    <s v="0.00%"/>
    <s v="0.00%"/>
    <s v="0.00%"/>
    <m/>
    <m/>
    <m/>
    <m/>
    <m/>
    <m/>
    <m/>
    <m/>
    <m/>
    <m/>
    <m/>
    <m/>
    <m/>
    <m/>
    <m/>
    <m/>
    <m/>
    <s v="Mike Teixeira"/>
    <m/>
    <s v="06/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5/17/2025"/>
    <x v="30"/>
    <n v="5720516"/>
    <s v="Click Here To View"/>
    <s v="Construction"/>
    <n v="1.37"/>
    <s v="100.00%"/>
    <s v="0.00%"/>
    <s v="100.00%"/>
    <s v="0.00%"/>
    <m/>
    <n v="1.37"/>
    <m/>
    <n v="1.37"/>
    <m/>
    <m/>
    <m/>
    <m/>
    <m/>
    <m/>
    <m/>
    <m/>
    <m/>
    <m/>
    <m/>
    <m/>
    <m/>
    <m/>
    <m/>
    <m/>
    <m/>
    <m/>
    <m/>
    <m/>
    <m/>
    <m/>
    <m/>
    <m/>
    <m/>
    <m/>
    <m/>
    <m/>
    <m/>
    <m/>
    <m/>
    <n v="1.37"/>
    <m/>
    <m/>
    <s v="0.00%"/>
    <s v="0.00%"/>
    <s v="0.00%"/>
    <s v="0.00%"/>
    <m/>
    <m/>
    <m/>
    <m/>
    <m/>
    <m/>
    <m/>
    <s v="0.00%"/>
    <s v="0.00%"/>
    <s v="0.00%"/>
    <s v="0.00%"/>
    <m/>
    <m/>
    <m/>
    <m/>
    <m/>
    <m/>
    <m/>
    <m/>
    <m/>
    <m/>
    <m/>
    <m/>
    <m/>
    <m/>
    <m/>
    <m/>
    <m/>
    <s v="Mike Teixeira"/>
    <m/>
    <s v="06/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5/20/2025"/>
    <x v="30"/>
    <n v="5721946"/>
    <s v="Click Here To View"/>
    <s v="Construction"/>
    <n v="0.42"/>
    <s v="100.00%"/>
    <s v="0.00%"/>
    <s v="100.00%"/>
    <s v="0.00%"/>
    <m/>
    <n v="0.42"/>
    <m/>
    <n v="0.42"/>
    <m/>
    <m/>
    <m/>
    <m/>
    <m/>
    <m/>
    <m/>
    <m/>
    <m/>
    <m/>
    <m/>
    <m/>
    <m/>
    <m/>
    <m/>
    <m/>
    <m/>
    <m/>
    <m/>
    <m/>
    <m/>
    <m/>
    <m/>
    <m/>
    <m/>
    <m/>
    <m/>
    <m/>
    <m/>
    <m/>
    <m/>
    <n v="0.42"/>
    <m/>
    <m/>
    <s v="0.00%"/>
    <s v="0.00%"/>
    <s v="0.00%"/>
    <s v="0.00%"/>
    <m/>
    <m/>
    <m/>
    <m/>
    <m/>
    <m/>
    <m/>
    <s v="0.00%"/>
    <s v="0.00%"/>
    <s v="0.00%"/>
    <s v="0.00%"/>
    <m/>
    <m/>
    <m/>
    <m/>
    <m/>
    <m/>
    <m/>
    <m/>
    <m/>
    <m/>
    <m/>
    <m/>
    <m/>
    <m/>
    <m/>
    <m/>
    <m/>
    <s v="Mike Teixeira"/>
    <m/>
    <s v="06/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5/22/2025"/>
    <x v="30"/>
    <n v="5723117"/>
    <s v="Click Here To View"/>
    <s v="Construction"/>
    <n v="2.29"/>
    <s v="100.00%"/>
    <s v="0.00%"/>
    <s v="100.00%"/>
    <s v="0.00%"/>
    <m/>
    <n v="2.29"/>
    <m/>
    <n v="2.29"/>
    <m/>
    <m/>
    <m/>
    <m/>
    <m/>
    <m/>
    <m/>
    <m/>
    <m/>
    <m/>
    <m/>
    <m/>
    <m/>
    <m/>
    <m/>
    <m/>
    <m/>
    <m/>
    <m/>
    <m/>
    <m/>
    <m/>
    <m/>
    <m/>
    <m/>
    <m/>
    <m/>
    <m/>
    <m/>
    <m/>
    <m/>
    <n v="2.29"/>
    <m/>
    <m/>
    <s v="0.00%"/>
    <s v="0.00%"/>
    <s v="0.00%"/>
    <s v="0.00%"/>
    <m/>
    <m/>
    <m/>
    <m/>
    <m/>
    <m/>
    <m/>
    <s v="0.00%"/>
    <s v="0.00%"/>
    <s v="0.00%"/>
    <s v="0.00%"/>
    <m/>
    <m/>
    <m/>
    <m/>
    <m/>
    <m/>
    <m/>
    <m/>
    <m/>
    <m/>
    <m/>
    <m/>
    <m/>
    <m/>
    <m/>
    <m/>
    <m/>
    <s v="Mike Teixeira"/>
    <m/>
    <s v="06/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5/23/2025"/>
    <x v="30"/>
    <n v="5724502"/>
    <s v="Click Here To View"/>
    <s v="Construction"/>
    <n v="1.17"/>
    <s v="100.00%"/>
    <s v="0.00%"/>
    <s v="100.00%"/>
    <s v="0.00%"/>
    <m/>
    <n v="1.17"/>
    <m/>
    <n v="1.17"/>
    <m/>
    <m/>
    <m/>
    <m/>
    <m/>
    <m/>
    <m/>
    <m/>
    <m/>
    <m/>
    <m/>
    <m/>
    <m/>
    <m/>
    <m/>
    <m/>
    <m/>
    <m/>
    <m/>
    <m/>
    <m/>
    <m/>
    <m/>
    <m/>
    <m/>
    <m/>
    <m/>
    <m/>
    <m/>
    <m/>
    <m/>
    <n v="1.17"/>
    <m/>
    <m/>
    <s v="0.00%"/>
    <s v="0.00%"/>
    <s v="0.00%"/>
    <s v="0.00%"/>
    <m/>
    <m/>
    <m/>
    <m/>
    <m/>
    <m/>
    <m/>
    <s v="0.00%"/>
    <s v="0.00%"/>
    <s v="0.00%"/>
    <s v="0.00%"/>
    <m/>
    <m/>
    <m/>
    <m/>
    <m/>
    <m/>
    <m/>
    <m/>
    <m/>
    <m/>
    <m/>
    <m/>
    <m/>
    <m/>
    <m/>
    <m/>
    <m/>
    <s v="Mike Teixeira"/>
    <m/>
    <s v="06/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5/27/2025"/>
    <x v="30"/>
    <n v="5726018"/>
    <s v="Click Here To View"/>
    <s v="Construction"/>
    <n v="2.23"/>
    <s v="100.00%"/>
    <s v="0.00%"/>
    <s v="100.00%"/>
    <s v="0.00%"/>
    <m/>
    <n v="2.23"/>
    <m/>
    <n v="2.23"/>
    <m/>
    <m/>
    <m/>
    <m/>
    <m/>
    <m/>
    <m/>
    <m/>
    <m/>
    <m/>
    <m/>
    <m/>
    <m/>
    <m/>
    <m/>
    <m/>
    <m/>
    <m/>
    <m/>
    <m/>
    <m/>
    <m/>
    <m/>
    <m/>
    <m/>
    <m/>
    <m/>
    <m/>
    <m/>
    <m/>
    <m/>
    <n v="2.23"/>
    <m/>
    <m/>
    <s v="0.00%"/>
    <s v="0.00%"/>
    <s v="0.00%"/>
    <s v="0.00%"/>
    <m/>
    <m/>
    <m/>
    <m/>
    <m/>
    <m/>
    <m/>
    <s v="0.00%"/>
    <s v="0.00%"/>
    <s v="0.00%"/>
    <s v="0.00%"/>
    <m/>
    <m/>
    <m/>
    <m/>
    <m/>
    <m/>
    <m/>
    <m/>
    <m/>
    <m/>
    <m/>
    <m/>
    <m/>
    <m/>
    <m/>
    <m/>
    <m/>
    <s v="Mike Teixeira"/>
    <m/>
    <s v="06/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5/29/2025"/>
    <x v="30"/>
    <n v="5727408"/>
    <s v="Click Here To View"/>
    <s v="Construction"/>
    <n v="0.47"/>
    <s v="100.00%"/>
    <s v="0.00%"/>
    <s v="100.00%"/>
    <s v="0.00%"/>
    <m/>
    <n v="0.47"/>
    <m/>
    <n v="0.47"/>
    <m/>
    <m/>
    <m/>
    <m/>
    <m/>
    <m/>
    <m/>
    <m/>
    <m/>
    <m/>
    <m/>
    <m/>
    <m/>
    <m/>
    <m/>
    <m/>
    <m/>
    <m/>
    <m/>
    <m/>
    <m/>
    <m/>
    <m/>
    <m/>
    <m/>
    <m/>
    <m/>
    <m/>
    <m/>
    <m/>
    <m/>
    <n v="0.47"/>
    <m/>
    <m/>
    <s v="0.00%"/>
    <s v="0.00%"/>
    <s v="0.00%"/>
    <s v="0.00%"/>
    <m/>
    <m/>
    <m/>
    <m/>
    <m/>
    <m/>
    <m/>
    <s v="0.00%"/>
    <s v="0.00%"/>
    <s v="0.00%"/>
    <s v="0.00%"/>
    <m/>
    <m/>
    <m/>
    <m/>
    <m/>
    <m/>
    <m/>
    <m/>
    <m/>
    <m/>
    <m/>
    <m/>
    <m/>
    <m/>
    <m/>
    <m/>
    <m/>
    <s v="Mike Teixeira"/>
    <m/>
    <s v="06/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6/02/2025"/>
    <x v="2"/>
    <n v="5729078"/>
    <s v="Click Here To View"/>
    <s v="Construction"/>
    <n v="0.8"/>
    <s v="100.00%"/>
    <s v="0.00%"/>
    <s v="100.00%"/>
    <s v="0.00%"/>
    <m/>
    <n v="0.8"/>
    <m/>
    <n v="0.8"/>
    <m/>
    <m/>
    <m/>
    <m/>
    <m/>
    <m/>
    <m/>
    <m/>
    <m/>
    <m/>
    <m/>
    <m/>
    <m/>
    <m/>
    <m/>
    <m/>
    <m/>
    <m/>
    <m/>
    <m/>
    <m/>
    <m/>
    <m/>
    <m/>
    <m/>
    <m/>
    <m/>
    <m/>
    <m/>
    <m/>
    <m/>
    <n v="0.8"/>
    <m/>
    <m/>
    <s v="0.00%"/>
    <s v="0.00%"/>
    <s v="0.00%"/>
    <s v="0.00%"/>
    <m/>
    <m/>
    <m/>
    <m/>
    <m/>
    <m/>
    <m/>
    <s v="0.00%"/>
    <s v="0.00%"/>
    <s v="0.00%"/>
    <s v="0.00%"/>
    <m/>
    <m/>
    <m/>
    <m/>
    <m/>
    <m/>
    <m/>
    <m/>
    <m/>
    <m/>
    <m/>
    <m/>
    <m/>
    <m/>
    <m/>
    <m/>
    <m/>
    <s v="Mike Teixeira"/>
    <m/>
    <s v="06/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6/03/2025"/>
    <x v="2"/>
    <n v="5730307"/>
    <s v="Click Here To View"/>
    <s v="Construction"/>
    <n v="0.87"/>
    <s v="100.00%"/>
    <s v="0.00%"/>
    <s v="100.00%"/>
    <s v="0.00%"/>
    <m/>
    <n v="0.87"/>
    <m/>
    <n v="0.87"/>
    <m/>
    <m/>
    <m/>
    <m/>
    <m/>
    <m/>
    <m/>
    <m/>
    <m/>
    <m/>
    <m/>
    <m/>
    <m/>
    <m/>
    <m/>
    <m/>
    <m/>
    <m/>
    <m/>
    <m/>
    <m/>
    <m/>
    <m/>
    <m/>
    <m/>
    <m/>
    <m/>
    <m/>
    <m/>
    <m/>
    <m/>
    <n v="0.87"/>
    <m/>
    <m/>
    <s v="0.00%"/>
    <s v="0.00%"/>
    <s v="0.00%"/>
    <s v="0.00%"/>
    <m/>
    <m/>
    <m/>
    <m/>
    <m/>
    <m/>
    <m/>
    <s v="0.00%"/>
    <s v="0.00%"/>
    <s v="0.00%"/>
    <s v="0.00%"/>
    <m/>
    <m/>
    <m/>
    <m/>
    <m/>
    <m/>
    <m/>
    <m/>
    <m/>
    <m/>
    <m/>
    <m/>
    <m/>
    <m/>
    <m/>
    <m/>
    <m/>
    <s v="Mike Teixeira"/>
    <m/>
    <s v="06/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6/06/2025"/>
    <x v="2"/>
    <n v="5732628"/>
    <s v="Click Here To View"/>
    <s v="Construction"/>
    <n v="1.27"/>
    <s v="100.00%"/>
    <s v="0.00%"/>
    <s v="100.00%"/>
    <s v="0.00%"/>
    <m/>
    <n v="1.27"/>
    <m/>
    <n v="1.27"/>
    <m/>
    <m/>
    <m/>
    <m/>
    <m/>
    <m/>
    <m/>
    <m/>
    <m/>
    <m/>
    <m/>
    <m/>
    <m/>
    <m/>
    <m/>
    <m/>
    <m/>
    <m/>
    <m/>
    <m/>
    <m/>
    <m/>
    <m/>
    <m/>
    <m/>
    <m/>
    <m/>
    <m/>
    <m/>
    <m/>
    <m/>
    <n v="1.27"/>
    <m/>
    <m/>
    <s v="0.00%"/>
    <s v="0.00%"/>
    <s v="0.00%"/>
    <s v="0.00%"/>
    <m/>
    <m/>
    <m/>
    <m/>
    <m/>
    <m/>
    <m/>
    <s v="0.00%"/>
    <s v="0.00%"/>
    <s v="0.00%"/>
    <s v="0.00%"/>
    <m/>
    <m/>
    <m/>
    <m/>
    <m/>
    <m/>
    <m/>
    <m/>
    <m/>
    <m/>
    <m/>
    <m/>
    <m/>
    <m/>
    <m/>
    <m/>
    <m/>
    <s v="Mike Teixeira"/>
    <m/>
    <s v="06/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6/10/2025"/>
    <x v="2"/>
    <n v="5734453"/>
    <s v="Click Here To View"/>
    <s v="Construction"/>
    <n v="1.47"/>
    <s v="100.00%"/>
    <s v="0.00%"/>
    <s v="100.00%"/>
    <s v="0.00%"/>
    <m/>
    <n v="1.47"/>
    <m/>
    <n v="1.47"/>
    <m/>
    <m/>
    <m/>
    <m/>
    <m/>
    <m/>
    <m/>
    <m/>
    <m/>
    <m/>
    <m/>
    <m/>
    <m/>
    <m/>
    <m/>
    <m/>
    <m/>
    <m/>
    <m/>
    <m/>
    <m/>
    <m/>
    <m/>
    <m/>
    <m/>
    <m/>
    <m/>
    <m/>
    <m/>
    <m/>
    <m/>
    <n v="1.47"/>
    <m/>
    <m/>
    <s v="0.00%"/>
    <s v="0.00%"/>
    <s v="0.00%"/>
    <s v="0.00%"/>
    <m/>
    <m/>
    <m/>
    <m/>
    <m/>
    <m/>
    <m/>
    <s v="0.00%"/>
    <s v="0.00%"/>
    <s v="0.00%"/>
    <s v="0.00%"/>
    <m/>
    <m/>
    <m/>
    <m/>
    <m/>
    <m/>
    <m/>
    <m/>
    <m/>
    <m/>
    <m/>
    <m/>
    <m/>
    <m/>
    <m/>
    <m/>
    <m/>
    <s v="Mike Teixeira"/>
    <m/>
    <s v="06/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6/11/2025"/>
    <x v="2"/>
    <n v="5735314"/>
    <s v="Click Here To View"/>
    <s v="Construction"/>
    <n v="0.65"/>
    <s v="100.00%"/>
    <s v="0.00%"/>
    <s v="100.00%"/>
    <s v="0.00%"/>
    <m/>
    <n v="0.65"/>
    <m/>
    <n v="0.65"/>
    <m/>
    <m/>
    <m/>
    <m/>
    <m/>
    <m/>
    <m/>
    <m/>
    <m/>
    <m/>
    <m/>
    <m/>
    <m/>
    <m/>
    <m/>
    <m/>
    <m/>
    <m/>
    <m/>
    <m/>
    <m/>
    <m/>
    <m/>
    <m/>
    <m/>
    <m/>
    <m/>
    <m/>
    <m/>
    <m/>
    <m/>
    <n v="0.65"/>
    <m/>
    <m/>
    <s v="0.00%"/>
    <s v="0.00%"/>
    <s v="0.00%"/>
    <s v="0.00%"/>
    <m/>
    <m/>
    <m/>
    <m/>
    <m/>
    <m/>
    <m/>
    <s v="0.00%"/>
    <s v="0.00%"/>
    <s v="0.00%"/>
    <s v="0.00%"/>
    <m/>
    <m/>
    <m/>
    <m/>
    <m/>
    <m/>
    <m/>
    <m/>
    <m/>
    <m/>
    <m/>
    <m/>
    <m/>
    <m/>
    <m/>
    <m/>
    <m/>
    <s v="Mike Teixeira"/>
    <m/>
    <s v="06/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6/16/2025"/>
    <x v="2"/>
    <n v="5737709"/>
    <s v="Click Here To View"/>
    <s v="Construction"/>
    <n v="2.23"/>
    <s v="100.00%"/>
    <s v="0.00%"/>
    <s v="100.00%"/>
    <s v="0.00%"/>
    <m/>
    <n v="2.23"/>
    <m/>
    <n v="2.23"/>
    <m/>
    <m/>
    <m/>
    <m/>
    <m/>
    <m/>
    <m/>
    <m/>
    <m/>
    <m/>
    <m/>
    <m/>
    <m/>
    <m/>
    <m/>
    <m/>
    <m/>
    <m/>
    <m/>
    <m/>
    <m/>
    <m/>
    <m/>
    <m/>
    <m/>
    <m/>
    <m/>
    <m/>
    <m/>
    <m/>
    <m/>
    <n v="2.23"/>
    <m/>
    <m/>
    <s v="0.00%"/>
    <s v="0.00%"/>
    <s v="0.00%"/>
    <s v="0.00%"/>
    <m/>
    <m/>
    <m/>
    <m/>
    <m/>
    <m/>
    <m/>
    <s v="0.00%"/>
    <s v="0.00%"/>
    <s v="0.00%"/>
    <s v="0.00%"/>
    <m/>
    <m/>
    <m/>
    <m/>
    <m/>
    <m/>
    <m/>
    <m/>
    <m/>
    <m/>
    <m/>
    <m/>
    <m/>
    <m/>
    <m/>
    <m/>
    <m/>
    <s v="Mike Teixeira"/>
    <m/>
    <s v="06/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6/17/2025"/>
    <x v="2"/>
    <n v="5738629"/>
    <s v="Click Here To View"/>
    <s v="Construction"/>
    <n v="1.49"/>
    <s v="100.00%"/>
    <s v="0.00%"/>
    <s v="100.00%"/>
    <s v="0.00%"/>
    <m/>
    <n v="1.49"/>
    <m/>
    <n v="1.49"/>
    <m/>
    <m/>
    <m/>
    <m/>
    <m/>
    <m/>
    <m/>
    <m/>
    <m/>
    <m/>
    <m/>
    <m/>
    <m/>
    <m/>
    <m/>
    <m/>
    <m/>
    <m/>
    <m/>
    <m/>
    <m/>
    <m/>
    <m/>
    <m/>
    <m/>
    <m/>
    <m/>
    <m/>
    <m/>
    <m/>
    <m/>
    <n v="1.49"/>
    <m/>
    <m/>
    <s v="0.00%"/>
    <s v="0.00%"/>
    <s v="0.00%"/>
    <s v="0.00%"/>
    <m/>
    <m/>
    <m/>
    <m/>
    <m/>
    <m/>
    <m/>
    <s v="0.00%"/>
    <s v="0.00%"/>
    <s v="0.00%"/>
    <s v="0.00%"/>
    <m/>
    <m/>
    <m/>
    <m/>
    <m/>
    <m/>
    <m/>
    <m/>
    <m/>
    <m/>
    <m/>
    <m/>
    <m/>
    <m/>
    <m/>
    <m/>
    <m/>
    <s v="Mike Teixeira"/>
    <m/>
    <s v="06/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6/19/2025"/>
    <x v="2"/>
    <n v="5740130"/>
    <s v="Click Here To View"/>
    <s v="Construction"/>
    <n v="0.83"/>
    <s v="100.00%"/>
    <s v="0.00%"/>
    <s v="100.00%"/>
    <s v="0.00%"/>
    <m/>
    <n v="0.83"/>
    <m/>
    <n v="0.83"/>
    <m/>
    <m/>
    <m/>
    <m/>
    <m/>
    <m/>
    <m/>
    <m/>
    <m/>
    <m/>
    <m/>
    <m/>
    <m/>
    <m/>
    <m/>
    <m/>
    <m/>
    <m/>
    <m/>
    <m/>
    <m/>
    <m/>
    <m/>
    <m/>
    <m/>
    <m/>
    <m/>
    <m/>
    <m/>
    <m/>
    <m/>
    <n v="0.83"/>
    <m/>
    <m/>
    <s v="0.00%"/>
    <s v="0.00%"/>
    <s v="0.00%"/>
    <s v="0.00%"/>
    <m/>
    <m/>
    <m/>
    <m/>
    <m/>
    <m/>
    <m/>
    <s v="0.00%"/>
    <s v="0.00%"/>
    <s v="0.00%"/>
    <s v="0.00%"/>
    <m/>
    <m/>
    <m/>
    <m/>
    <m/>
    <m/>
    <m/>
    <m/>
    <m/>
    <m/>
    <m/>
    <m/>
    <m/>
    <m/>
    <m/>
    <m/>
    <m/>
    <s v="Mike Teixeira"/>
    <m/>
    <s v="06/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6/23/2025"/>
    <x v="2"/>
    <n v="5741558"/>
    <s v="Click Here To View"/>
    <s v="Construction"/>
    <n v="5.46"/>
    <s v="100.00%"/>
    <s v="0.00%"/>
    <s v="100.00%"/>
    <s v="0.00%"/>
    <m/>
    <n v="5.46"/>
    <m/>
    <n v="5.46"/>
    <m/>
    <m/>
    <m/>
    <m/>
    <m/>
    <m/>
    <m/>
    <m/>
    <m/>
    <m/>
    <m/>
    <m/>
    <m/>
    <m/>
    <m/>
    <m/>
    <m/>
    <m/>
    <m/>
    <m/>
    <m/>
    <m/>
    <m/>
    <m/>
    <m/>
    <m/>
    <m/>
    <m/>
    <m/>
    <m/>
    <m/>
    <n v="5.46"/>
    <m/>
    <m/>
    <s v="0.00%"/>
    <s v="0.00%"/>
    <s v="0.00%"/>
    <s v="0.00%"/>
    <m/>
    <m/>
    <m/>
    <m/>
    <m/>
    <m/>
    <m/>
    <s v="0.00%"/>
    <s v="0.00%"/>
    <s v="0.00%"/>
    <s v="0.00%"/>
    <m/>
    <m/>
    <m/>
    <m/>
    <m/>
    <m/>
    <m/>
    <m/>
    <m/>
    <m/>
    <m/>
    <m/>
    <m/>
    <m/>
    <m/>
    <m/>
    <m/>
    <s v="Mike Teixeira"/>
    <m/>
    <s v="06/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6/23/2025"/>
    <x v="2"/>
    <n v="5741918"/>
    <s v="Click Here To View"/>
    <s v="Construction"/>
    <n v="2.06"/>
    <s v="100.00%"/>
    <s v="0.00%"/>
    <s v="100.00%"/>
    <s v="0.00%"/>
    <m/>
    <n v="2.06"/>
    <m/>
    <n v="2.06"/>
    <m/>
    <m/>
    <m/>
    <m/>
    <m/>
    <m/>
    <m/>
    <m/>
    <m/>
    <m/>
    <m/>
    <m/>
    <m/>
    <m/>
    <m/>
    <m/>
    <m/>
    <m/>
    <m/>
    <m/>
    <m/>
    <m/>
    <m/>
    <m/>
    <m/>
    <m/>
    <m/>
    <m/>
    <m/>
    <m/>
    <m/>
    <n v="2.06"/>
    <m/>
    <m/>
    <s v="0.00%"/>
    <s v="0.00%"/>
    <s v="0.00%"/>
    <s v="0.00%"/>
    <m/>
    <m/>
    <m/>
    <m/>
    <m/>
    <m/>
    <m/>
    <s v="0.00%"/>
    <s v="0.00%"/>
    <s v="0.00%"/>
    <s v="0.00%"/>
    <m/>
    <m/>
    <m/>
    <m/>
    <m/>
    <m/>
    <m/>
    <m/>
    <m/>
    <m/>
    <m/>
    <m/>
    <m/>
    <m/>
    <m/>
    <m/>
    <m/>
    <s v="Mike Teixeira"/>
    <m/>
    <s v="06/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6/24/2025"/>
    <x v="2"/>
    <n v="5742672"/>
    <s v="Click Here To View"/>
    <s v="Construction"/>
    <n v="0.48"/>
    <s v="100.00%"/>
    <s v="0.00%"/>
    <s v="100.00%"/>
    <s v="0.00%"/>
    <m/>
    <n v="0.48"/>
    <m/>
    <n v="0.48"/>
    <m/>
    <m/>
    <m/>
    <m/>
    <m/>
    <m/>
    <m/>
    <m/>
    <m/>
    <m/>
    <m/>
    <m/>
    <m/>
    <m/>
    <m/>
    <m/>
    <m/>
    <m/>
    <m/>
    <m/>
    <m/>
    <m/>
    <m/>
    <m/>
    <m/>
    <m/>
    <m/>
    <m/>
    <m/>
    <m/>
    <m/>
    <n v="0.48"/>
    <m/>
    <m/>
    <s v="0.00%"/>
    <s v="0.00%"/>
    <s v="0.00%"/>
    <s v="0.00%"/>
    <m/>
    <m/>
    <m/>
    <m/>
    <m/>
    <m/>
    <m/>
    <s v="0.00%"/>
    <s v="0.00%"/>
    <s v="0.00%"/>
    <s v="0.00%"/>
    <m/>
    <m/>
    <m/>
    <m/>
    <m/>
    <m/>
    <m/>
    <m/>
    <m/>
    <m/>
    <m/>
    <m/>
    <m/>
    <m/>
    <m/>
    <m/>
    <m/>
    <s v="Mike Teixeira"/>
    <m/>
    <s v="06/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6/26/2025"/>
    <x v="2"/>
    <n v="5744141"/>
    <s v="Click Here To View"/>
    <s v="Construction"/>
    <n v="1.86"/>
    <s v="100.00%"/>
    <s v="0.00%"/>
    <s v="100.00%"/>
    <s v="0.00%"/>
    <m/>
    <n v="1.86"/>
    <m/>
    <n v="1.86"/>
    <m/>
    <m/>
    <m/>
    <m/>
    <m/>
    <m/>
    <m/>
    <m/>
    <m/>
    <m/>
    <m/>
    <m/>
    <m/>
    <m/>
    <m/>
    <m/>
    <m/>
    <m/>
    <m/>
    <m/>
    <m/>
    <m/>
    <m/>
    <m/>
    <m/>
    <m/>
    <m/>
    <m/>
    <m/>
    <m/>
    <m/>
    <n v="1.86"/>
    <m/>
    <m/>
    <s v="0.00%"/>
    <s v="0.00%"/>
    <s v="0.00%"/>
    <s v="0.00%"/>
    <m/>
    <m/>
    <m/>
    <m/>
    <m/>
    <m/>
    <m/>
    <s v="0.00%"/>
    <s v="0.00%"/>
    <s v="0.00%"/>
    <s v="0.00%"/>
    <m/>
    <m/>
    <m/>
    <m/>
    <m/>
    <m/>
    <m/>
    <m/>
    <m/>
    <m/>
    <m/>
    <m/>
    <m/>
    <m/>
    <m/>
    <m/>
    <m/>
    <s v="Mike Teixeira"/>
    <m/>
    <s v="07/31/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6/30/2025"/>
    <x v="2"/>
    <n v="5745421"/>
    <s v="Click Here To View"/>
    <s v="Construction"/>
    <n v="1.67"/>
    <s v="100.00%"/>
    <s v="0.00%"/>
    <s v="100.00%"/>
    <s v="0.00%"/>
    <m/>
    <n v="1.67"/>
    <m/>
    <n v="1.67"/>
    <m/>
    <m/>
    <m/>
    <m/>
    <m/>
    <m/>
    <m/>
    <m/>
    <m/>
    <m/>
    <m/>
    <m/>
    <m/>
    <m/>
    <m/>
    <m/>
    <m/>
    <m/>
    <m/>
    <m/>
    <m/>
    <m/>
    <m/>
    <m/>
    <m/>
    <m/>
    <m/>
    <m/>
    <m/>
    <m/>
    <m/>
    <n v="1.67"/>
    <m/>
    <m/>
    <s v="0.00%"/>
    <s v="0.00%"/>
    <s v="0.00%"/>
    <s v="0.00%"/>
    <m/>
    <m/>
    <m/>
    <m/>
    <m/>
    <m/>
    <m/>
    <s v="0.00%"/>
    <s v="0.00%"/>
    <s v="0.00%"/>
    <s v="0.00%"/>
    <m/>
    <m/>
    <m/>
    <m/>
    <m/>
    <m/>
    <m/>
    <m/>
    <m/>
    <m/>
    <m/>
    <m/>
    <m/>
    <m/>
    <m/>
    <m/>
    <m/>
    <s v="Mike Teixeira"/>
    <m/>
    <s v="07/31/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7/01/2025"/>
    <x v="8"/>
    <n v="5746846"/>
    <s v="Click Here To View"/>
    <s v="Construction"/>
    <n v="1.17"/>
    <s v="100.00%"/>
    <s v="0.00%"/>
    <s v="100.00%"/>
    <s v="0.00%"/>
    <m/>
    <n v="1.17"/>
    <m/>
    <n v="1.17"/>
    <m/>
    <m/>
    <m/>
    <m/>
    <m/>
    <m/>
    <m/>
    <m/>
    <m/>
    <m/>
    <m/>
    <m/>
    <m/>
    <m/>
    <m/>
    <m/>
    <m/>
    <m/>
    <m/>
    <m/>
    <m/>
    <m/>
    <m/>
    <m/>
    <m/>
    <m/>
    <m/>
    <m/>
    <m/>
    <m/>
    <m/>
    <n v="1.17"/>
    <m/>
    <m/>
    <s v="0.00%"/>
    <s v="0.00%"/>
    <s v="0.00%"/>
    <s v="0.00%"/>
    <m/>
    <m/>
    <m/>
    <m/>
    <m/>
    <m/>
    <m/>
    <s v="0.00%"/>
    <s v="0.00%"/>
    <s v="0.00%"/>
    <s v="0.00%"/>
    <m/>
    <m/>
    <m/>
    <m/>
    <m/>
    <m/>
    <m/>
    <m/>
    <m/>
    <m/>
    <m/>
    <m/>
    <m/>
    <m/>
    <m/>
    <m/>
    <m/>
    <s v="Mike Teixeira"/>
    <m/>
    <s v="07/31/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7/03/2025"/>
    <x v="8"/>
    <n v="5748136"/>
    <s v="Click Here To View"/>
    <s v="Construction"/>
    <n v="1.48"/>
    <s v="100.00%"/>
    <s v="0.00%"/>
    <s v="100.00%"/>
    <s v="0.00%"/>
    <m/>
    <n v="1.48"/>
    <m/>
    <n v="1.48"/>
    <m/>
    <m/>
    <m/>
    <m/>
    <m/>
    <m/>
    <m/>
    <m/>
    <m/>
    <m/>
    <m/>
    <m/>
    <m/>
    <m/>
    <m/>
    <m/>
    <m/>
    <m/>
    <m/>
    <m/>
    <m/>
    <m/>
    <m/>
    <m/>
    <m/>
    <m/>
    <m/>
    <m/>
    <m/>
    <m/>
    <m/>
    <n v="1.48"/>
    <m/>
    <m/>
    <s v="0.00%"/>
    <s v="0.00%"/>
    <s v="0.00%"/>
    <s v="0.00%"/>
    <m/>
    <m/>
    <m/>
    <m/>
    <m/>
    <m/>
    <m/>
    <s v="0.00%"/>
    <s v="0.00%"/>
    <s v="0.00%"/>
    <s v="0.00%"/>
    <m/>
    <m/>
    <m/>
    <m/>
    <m/>
    <m/>
    <m/>
    <m/>
    <m/>
    <m/>
    <m/>
    <m/>
    <m/>
    <m/>
    <m/>
    <m/>
    <m/>
    <s v="Mike Teixeira"/>
    <m/>
    <s v="07/31/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7/07/2025"/>
    <x v="8"/>
    <n v="5749893"/>
    <s v="Click Here To View"/>
    <s v="Construction"/>
    <n v="0.81"/>
    <s v="100.00%"/>
    <s v="0.00%"/>
    <s v="100.00%"/>
    <s v="0.00%"/>
    <m/>
    <n v="0.81"/>
    <m/>
    <n v="0.81"/>
    <m/>
    <m/>
    <m/>
    <m/>
    <m/>
    <m/>
    <m/>
    <m/>
    <m/>
    <m/>
    <m/>
    <m/>
    <m/>
    <m/>
    <m/>
    <m/>
    <m/>
    <m/>
    <m/>
    <m/>
    <m/>
    <m/>
    <m/>
    <m/>
    <m/>
    <m/>
    <m/>
    <m/>
    <m/>
    <m/>
    <m/>
    <n v="0.81"/>
    <m/>
    <m/>
    <s v="0.00%"/>
    <s v="0.00%"/>
    <s v="0.00%"/>
    <s v="0.00%"/>
    <m/>
    <m/>
    <m/>
    <m/>
    <m/>
    <m/>
    <m/>
    <s v="0.00%"/>
    <s v="0.00%"/>
    <s v="0.00%"/>
    <s v="0.00%"/>
    <m/>
    <m/>
    <m/>
    <m/>
    <m/>
    <m/>
    <m/>
    <m/>
    <m/>
    <m/>
    <m/>
    <m/>
    <m/>
    <m/>
    <m/>
    <m/>
    <m/>
    <s v="Mike Teixeira"/>
    <m/>
    <s v="07/31/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7/11/2025"/>
    <x v="8"/>
    <n v="5752925"/>
    <s v="Click Here To View"/>
    <s v="Construction"/>
    <n v="1.39"/>
    <s v="100.00%"/>
    <s v="0.00%"/>
    <s v="100.00%"/>
    <s v="0.00%"/>
    <m/>
    <n v="1.39"/>
    <m/>
    <n v="1.39"/>
    <m/>
    <m/>
    <m/>
    <m/>
    <m/>
    <m/>
    <m/>
    <m/>
    <m/>
    <m/>
    <m/>
    <m/>
    <m/>
    <m/>
    <m/>
    <m/>
    <m/>
    <m/>
    <m/>
    <m/>
    <m/>
    <m/>
    <m/>
    <m/>
    <m/>
    <m/>
    <m/>
    <m/>
    <m/>
    <m/>
    <m/>
    <n v="1.39"/>
    <m/>
    <m/>
    <s v="0.00%"/>
    <s v="0.00%"/>
    <s v="0.00%"/>
    <s v="0.00%"/>
    <m/>
    <m/>
    <m/>
    <m/>
    <m/>
    <m/>
    <m/>
    <s v="0.00%"/>
    <s v="0.00%"/>
    <s v="0.00%"/>
    <s v="0.00%"/>
    <m/>
    <m/>
    <m/>
    <m/>
    <m/>
    <m/>
    <m/>
    <m/>
    <m/>
    <m/>
    <m/>
    <m/>
    <m/>
    <m/>
    <m/>
    <m/>
    <m/>
    <s v="Mike Teixeira"/>
    <m/>
    <s v="07/31/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7/15/2025"/>
    <x v="8"/>
    <n v="5754284"/>
    <s v="Click Here To View"/>
    <s v="Construction"/>
    <n v="1.47"/>
    <s v="100.00%"/>
    <s v="0.00%"/>
    <s v="100.00%"/>
    <s v="0.00%"/>
    <m/>
    <n v="1.47"/>
    <m/>
    <n v="1.47"/>
    <m/>
    <m/>
    <m/>
    <m/>
    <m/>
    <m/>
    <m/>
    <m/>
    <m/>
    <m/>
    <m/>
    <m/>
    <m/>
    <m/>
    <m/>
    <m/>
    <m/>
    <m/>
    <m/>
    <m/>
    <m/>
    <m/>
    <m/>
    <m/>
    <m/>
    <m/>
    <m/>
    <m/>
    <m/>
    <m/>
    <m/>
    <n v="1.47"/>
    <m/>
    <m/>
    <s v="0.00%"/>
    <s v="0.00%"/>
    <s v="0.00%"/>
    <s v="0.00%"/>
    <m/>
    <m/>
    <m/>
    <m/>
    <m/>
    <m/>
    <m/>
    <s v="0.00%"/>
    <s v="0.00%"/>
    <s v="0.00%"/>
    <s v="0.00%"/>
    <m/>
    <m/>
    <m/>
    <m/>
    <m/>
    <m/>
    <m/>
    <m/>
    <m/>
    <m/>
    <m/>
    <m/>
    <m/>
    <m/>
    <m/>
    <m/>
    <m/>
    <s v="Mike Teixeira"/>
    <m/>
    <s v="07/31/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7/16/2025"/>
    <x v="8"/>
    <n v="5755765"/>
    <s v="Click Here To View"/>
    <s v="Construction"/>
    <n v="1.35"/>
    <s v="100.00%"/>
    <s v="0.00%"/>
    <s v="100.00%"/>
    <s v="0.00%"/>
    <m/>
    <n v="1.35"/>
    <m/>
    <n v="1.35"/>
    <m/>
    <m/>
    <m/>
    <m/>
    <m/>
    <m/>
    <m/>
    <m/>
    <m/>
    <m/>
    <m/>
    <m/>
    <m/>
    <m/>
    <m/>
    <m/>
    <m/>
    <m/>
    <m/>
    <m/>
    <m/>
    <m/>
    <m/>
    <m/>
    <m/>
    <m/>
    <m/>
    <m/>
    <m/>
    <m/>
    <m/>
    <n v="1.35"/>
    <m/>
    <m/>
    <s v="0.00%"/>
    <s v="0.00%"/>
    <s v="0.00%"/>
    <s v="0.00%"/>
    <m/>
    <m/>
    <m/>
    <m/>
    <m/>
    <m/>
    <m/>
    <s v="0.00%"/>
    <s v="0.00%"/>
    <s v="0.00%"/>
    <s v="0.00%"/>
    <m/>
    <m/>
    <m/>
    <m/>
    <m/>
    <m/>
    <m/>
    <m/>
    <m/>
    <m/>
    <m/>
    <m/>
    <m/>
    <m/>
    <m/>
    <m/>
    <m/>
    <s v="Mike Teixeira"/>
    <m/>
    <s v="07/31/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7/17/2025"/>
    <x v="8"/>
    <n v="5755269"/>
    <s v="Click Here To View"/>
    <s v="Construction"/>
    <n v="0.61"/>
    <s v="100.00%"/>
    <s v="0.00%"/>
    <s v="100.00%"/>
    <s v="0.00%"/>
    <m/>
    <n v="0.61"/>
    <m/>
    <n v="0.61"/>
    <m/>
    <m/>
    <m/>
    <m/>
    <m/>
    <m/>
    <m/>
    <m/>
    <m/>
    <m/>
    <m/>
    <m/>
    <m/>
    <m/>
    <m/>
    <m/>
    <m/>
    <m/>
    <m/>
    <m/>
    <m/>
    <m/>
    <m/>
    <m/>
    <m/>
    <m/>
    <m/>
    <m/>
    <m/>
    <m/>
    <m/>
    <n v="0.61"/>
    <m/>
    <m/>
    <s v="0.00%"/>
    <s v="0.00%"/>
    <s v="0.00%"/>
    <s v="0.00%"/>
    <m/>
    <m/>
    <m/>
    <m/>
    <m/>
    <m/>
    <m/>
    <s v="0.00%"/>
    <s v="0.00%"/>
    <s v="0.00%"/>
    <s v="0.00%"/>
    <m/>
    <m/>
    <m/>
    <m/>
    <m/>
    <m/>
    <m/>
    <m/>
    <m/>
    <m/>
    <m/>
    <m/>
    <m/>
    <m/>
    <m/>
    <m/>
    <m/>
    <s v="Mike Teixeira"/>
    <m/>
    <s v="07/31/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7/24/2025"/>
    <x v="8"/>
    <n v="5760645"/>
    <s v="Click Here To View"/>
    <s v="Construction"/>
    <n v="4.1900000000000004"/>
    <s v="100.00%"/>
    <s v="0.00%"/>
    <s v="100.00%"/>
    <s v="0.00%"/>
    <m/>
    <n v="4.1900000000000004"/>
    <m/>
    <n v="4.1900000000000004"/>
    <m/>
    <m/>
    <m/>
    <m/>
    <m/>
    <m/>
    <m/>
    <m/>
    <m/>
    <m/>
    <m/>
    <m/>
    <m/>
    <m/>
    <m/>
    <m/>
    <m/>
    <m/>
    <m/>
    <m/>
    <m/>
    <m/>
    <m/>
    <m/>
    <m/>
    <m/>
    <m/>
    <m/>
    <m/>
    <m/>
    <m/>
    <n v="4.1900000000000004"/>
    <m/>
    <m/>
    <s v="0.00%"/>
    <s v="0.00%"/>
    <s v="0.00%"/>
    <s v="0.00%"/>
    <m/>
    <m/>
    <m/>
    <m/>
    <m/>
    <m/>
    <m/>
    <s v="0.00%"/>
    <s v="0.00%"/>
    <s v="0.00%"/>
    <s v="0.00%"/>
    <m/>
    <m/>
    <m/>
    <m/>
    <m/>
    <m/>
    <m/>
    <m/>
    <m/>
    <m/>
    <m/>
    <m/>
    <m/>
    <m/>
    <m/>
    <m/>
    <m/>
    <s v="Mike Teixeira"/>
    <m/>
    <s v="07/31/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8/02/2025"/>
    <x v="33"/>
    <n v="5765863"/>
    <s v="Click Here To View"/>
    <s v="Construction"/>
    <n v="0.9"/>
    <s v="100.00%"/>
    <s v="0.00%"/>
    <s v="100.00%"/>
    <s v="0.00%"/>
    <m/>
    <n v="0.9"/>
    <m/>
    <n v="0.9"/>
    <m/>
    <m/>
    <m/>
    <m/>
    <m/>
    <m/>
    <m/>
    <m/>
    <m/>
    <m/>
    <m/>
    <m/>
    <m/>
    <m/>
    <m/>
    <m/>
    <m/>
    <m/>
    <m/>
    <m/>
    <m/>
    <m/>
    <m/>
    <m/>
    <m/>
    <m/>
    <m/>
    <m/>
    <m/>
    <m/>
    <m/>
    <n v="0.9"/>
    <m/>
    <m/>
    <s v="0.00%"/>
    <s v="0.00%"/>
    <s v="0.00%"/>
    <s v="0.00%"/>
    <m/>
    <m/>
    <m/>
    <m/>
    <m/>
    <m/>
    <m/>
    <s v="0.00%"/>
    <s v="0.00%"/>
    <s v="0.00%"/>
    <s v="0.00%"/>
    <m/>
    <m/>
    <m/>
    <m/>
    <m/>
    <m/>
    <m/>
    <m/>
    <m/>
    <m/>
    <m/>
    <m/>
    <m/>
    <m/>
    <m/>
    <m/>
    <m/>
    <s v="Mike Teixeira"/>
    <m/>
    <s v="08/28/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9/02/2025"/>
    <x v="31"/>
    <n v="5784436"/>
    <s v="Click Here To View"/>
    <s v="Construction"/>
    <n v="3.9"/>
    <s v="100.00%"/>
    <s v="0.00%"/>
    <s v="100.00%"/>
    <s v="0.00%"/>
    <m/>
    <n v="3.9"/>
    <m/>
    <n v="3.9"/>
    <m/>
    <m/>
    <m/>
    <m/>
    <m/>
    <m/>
    <m/>
    <m/>
    <m/>
    <m/>
    <m/>
    <m/>
    <m/>
    <m/>
    <m/>
    <m/>
    <m/>
    <m/>
    <m/>
    <m/>
    <m/>
    <m/>
    <m/>
    <m/>
    <m/>
    <m/>
    <m/>
    <m/>
    <m/>
    <m/>
    <m/>
    <n v="3.9"/>
    <m/>
    <m/>
    <s v="0.00%"/>
    <s v="0.00%"/>
    <s v="0.00%"/>
    <s v="0.00%"/>
    <m/>
    <m/>
    <m/>
    <m/>
    <m/>
    <m/>
    <m/>
    <s v="0.00%"/>
    <s v="0.00%"/>
    <s v="0.00%"/>
    <s v="0.00%"/>
    <m/>
    <m/>
    <m/>
    <m/>
    <m/>
    <m/>
    <m/>
    <m/>
    <m/>
    <m/>
    <m/>
    <m/>
    <m/>
    <m/>
    <m/>
    <m/>
    <m/>
    <s v="Mike Teixeira"/>
    <m/>
    <s v="09/29/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9/04/2025"/>
    <x v="31"/>
    <n v="5786000"/>
    <s v="Click Here To View"/>
    <s v="Construction"/>
    <n v="1.92"/>
    <s v="100.00%"/>
    <s v="0.00%"/>
    <s v="100.00%"/>
    <s v="0.00%"/>
    <m/>
    <n v="1.92"/>
    <m/>
    <n v="1.92"/>
    <m/>
    <m/>
    <m/>
    <m/>
    <m/>
    <m/>
    <m/>
    <m/>
    <m/>
    <m/>
    <m/>
    <m/>
    <m/>
    <m/>
    <m/>
    <m/>
    <m/>
    <m/>
    <m/>
    <m/>
    <m/>
    <m/>
    <m/>
    <m/>
    <m/>
    <m/>
    <m/>
    <m/>
    <m/>
    <m/>
    <m/>
    <n v="1.92"/>
    <m/>
    <m/>
    <s v="0.00%"/>
    <s v="0.00%"/>
    <s v="0.00%"/>
    <s v="0.00%"/>
    <m/>
    <m/>
    <m/>
    <m/>
    <m/>
    <m/>
    <m/>
    <s v="0.00%"/>
    <s v="0.00%"/>
    <s v="0.00%"/>
    <s v="0.00%"/>
    <m/>
    <m/>
    <m/>
    <m/>
    <m/>
    <m/>
    <m/>
    <m/>
    <m/>
    <m/>
    <m/>
    <m/>
    <m/>
    <m/>
    <m/>
    <m/>
    <m/>
    <s v="Mike Teixeira"/>
    <m/>
    <s v="09/29/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0/07/2025"/>
    <x v="1"/>
    <n v="5805895"/>
    <s v="Click Here To View"/>
    <s v="Construction"/>
    <n v="3.5"/>
    <s v="100.00%"/>
    <s v="0.00%"/>
    <s v="100.00%"/>
    <s v="0.00%"/>
    <m/>
    <n v="3.5"/>
    <m/>
    <n v="3.5"/>
    <m/>
    <m/>
    <m/>
    <m/>
    <m/>
    <m/>
    <m/>
    <m/>
    <m/>
    <m/>
    <m/>
    <m/>
    <m/>
    <m/>
    <m/>
    <m/>
    <m/>
    <m/>
    <m/>
    <m/>
    <m/>
    <m/>
    <m/>
    <m/>
    <m/>
    <m/>
    <m/>
    <m/>
    <m/>
    <m/>
    <m/>
    <n v="3.5"/>
    <m/>
    <m/>
    <s v="0.00%"/>
    <s v="0.00%"/>
    <s v="0.00%"/>
    <s v="0.00%"/>
    <m/>
    <m/>
    <m/>
    <m/>
    <m/>
    <m/>
    <m/>
    <s v="0.00%"/>
    <s v="0.00%"/>
    <s v="0.00%"/>
    <s v="0.00%"/>
    <m/>
    <m/>
    <m/>
    <m/>
    <m/>
    <m/>
    <m/>
    <m/>
    <m/>
    <m/>
    <m/>
    <m/>
    <m/>
    <m/>
    <m/>
    <m/>
    <m/>
    <s v="Mike Teixeira"/>
    <m/>
    <s v="11/03/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0/14/2025"/>
    <x v="1"/>
    <n v="5810069"/>
    <s v="Click Here To View"/>
    <s v="Construction"/>
    <n v="1.38"/>
    <s v="100.00%"/>
    <s v="0.00%"/>
    <s v="100.00%"/>
    <s v="0.00%"/>
    <m/>
    <n v="1.38"/>
    <m/>
    <n v="1.38"/>
    <m/>
    <m/>
    <m/>
    <m/>
    <m/>
    <m/>
    <m/>
    <m/>
    <m/>
    <m/>
    <m/>
    <m/>
    <m/>
    <m/>
    <m/>
    <m/>
    <m/>
    <m/>
    <m/>
    <m/>
    <m/>
    <m/>
    <m/>
    <m/>
    <m/>
    <m/>
    <m/>
    <m/>
    <m/>
    <m/>
    <m/>
    <n v="1.38"/>
    <m/>
    <m/>
    <s v="0.00%"/>
    <s v="0.00%"/>
    <s v="0.00%"/>
    <s v="0.00%"/>
    <m/>
    <m/>
    <m/>
    <m/>
    <m/>
    <m/>
    <m/>
    <s v="0.00%"/>
    <s v="0.00%"/>
    <s v="0.00%"/>
    <s v="0.00%"/>
    <m/>
    <m/>
    <m/>
    <m/>
    <m/>
    <m/>
    <m/>
    <m/>
    <m/>
    <m/>
    <m/>
    <m/>
    <m/>
    <m/>
    <m/>
    <m/>
    <m/>
    <s v="Mike Teixeira"/>
    <m/>
    <s v="11/03/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0/20/2025"/>
    <x v="1"/>
    <n v="5813097"/>
    <s v="Click Here To View"/>
    <s v="Construction"/>
    <n v="4.9000000000000004"/>
    <s v="100.00%"/>
    <s v="0.00%"/>
    <s v="100.00%"/>
    <s v="0.00%"/>
    <m/>
    <n v="4.9000000000000004"/>
    <m/>
    <n v="4.9000000000000004"/>
    <m/>
    <m/>
    <m/>
    <m/>
    <m/>
    <m/>
    <m/>
    <m/>
    <m/>
    <m/>
    <m/>
    <m/>
    <m/>
    <m/>
    <m/>
    <m/>
    <m/>
    <m/>
    <m/>
    <m/>
    <m/>
    <m/>
    <m/>
    <m/>
    <m/>
    <m/>
    <m/>
    <m/>
    <m/>
    <m/>
    <m/>
    <n v="4.9000000000000004"/>
    <m/>
    <m/>
    <s v="0.00%"/>
    <s v="0.00%"/>
    <s v="0.00%"/>
    <s v="0.00%"/>
    <m/>
    <m/>
    <m/>
    <m/>
    <m/>
    <m/>
    <m/>
    <s v="0.00%"/>
    <s v="0.00%"/>
    <s v="0.00%"/>
    <s v="0.00%"/>
    <m/>
    <m/>
    <m/>
    <m/>
    <m/>
    <m/>
    <m/>
    <m/>
    <m/>
    <m/>
    <m/>
    <m/>
    <m/>
    <m/>
    <m/>
    <m/>
    <m/>
    <s v="Mike Teixeira"/>
    <m/>
    <s v="11/03/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0/20/2025"/>
    <x v="1"/>
    <n v="5813537"/>
    <s v="Click Here To View"/>
    <s v="Construction"/>
    <n v="4.25"/>
    <s v="100.00%"/>
    <s v="0.00%"/>
    <s v="100.00%"/>
    <s v="0.00%"/>
    <m/>
    <n v="4.25"/>
    <m/>
    <n v="4.25"/>
    <m/>
    <m/>
    <m/>
    <m/>
    <m/>
    <m/>
    <m/>
    <m/>
    <m/>
    <m/>
    <m/>
    <m/>
    <m/>
    <m/>
    <m/>
    <m/>
    <m/>
    <m/>
    <m/>
    <m/>
    <m/>
    <m/>
    <m/>
    <m/>
    <m/>
    <m/>
    <m/>
    <m/>
    <m/>
    <m/>
    <m/>
    <n v="4.25"/>
    <m/>
    <m/>
    <s v="0.00%"/>
    <s v="0.00%"/>
    <s v="0.00%"/>
    <s v="0.00%"/>
    <m/>
    <m/>
    <m/>
    <m/>
    <m/>
    <m/>
    <m/>
    <s v="0.00%"/>
    <s v="0.00%"/>
    <s v="0.00%"/>
    <s v="0.00%"/>
    <m/>
    <m/>
    <m/>
    <m/>
    <m/>
    <m/>
    <m/>
    <m/>
    <m/>
    <m/>
    <m/>
    <m/>
    <m/>
    <m/>
    <m/>
    <m/>
    <m/>
    <s v="Mike Teixeira"/>
    <m/>
    <s v="11/03/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0/25/2025"/>
    <x v="1"/>
    <n v="5816833"/>
    <s v="Click Here To View"/>
    <s v="Construction"/>
    <n v="3.46"/>
    <s v="100.00%"/>
    <s v="0.00%"/>
    <s v="100.00%"/>
    <s v="0.00%"/>
    <m/>
    <n v="3.46"/>
    <m/>
    <n v="3.46"/>
    <m/>
    <m/>
    <m/>
    <m/>
    <m/>
    <m/>
    <m/>
    <m/>
    <m/>
    <m/>
    <m/>
    <m/>
    <m/>
    <m/>
    <m/>
    <m/>
    <m/>
    <m/>
    <m/>
    <m/>
    <m/>
    <m/>
    <m/>
    <m/>
    <m/>
    <m/>
    <m/>
    <m/>
    <m/>
    <m/>
    <m/>
    <n v="3.46"/>
    <m/>
    <m/>
    <s v="0.00%"/>
    <s v="0.00%"/>
    <s v="0.00%"/>
    <s v="0.00%"/>
    <m/>
    <m/>
    <m/>
    <m/>
    <m/>
    <m/>
    <m/>
    <s v="0.00%"/>
    <s v="0.00%"/>
    <s v="0.00%"/>
    <s v="0.00%"/>
    <m/>
    <m/>
    <m/>
    <m/>
    <m/>
    <m/>
    <m/>
    <m/>
    <m/>
    <m/>
    <m/>
    <m/>
    <m/>
    <m/>
    <m/>
    <m/>
    <m/>
    <s v="Mike Teixeira"/>
    <m/>
    <s v="12/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0/27/2025"/>
    <x v="1"/>
    <n v="5817584"/>
    <s v="Click Here To View"/>
    <s v="Construction"/>
    <n v="3.32"/>
    <s v="100.00%"/>
    <s v="0.00%"/>
    <s v="100.00%"/>
    <s v="0.00%"/>
    <m/>
    <n v="3.32"/>
    <m/>
    <n v="3.32"/>
    <m/>
    <m/>
    <m/>
    <m/>
    <m/>
    <m/>
    <m/>
    <m/>
    <m/>
    <m/>
    <m/>
    <m/>
    <m/>
    <m/>
    <m/>
    <m/>
    <m/>
    <m/>
    <m/>
    <m/>
    <m/>
    <m/>
    <m/>
    <m/>
    <m/>
    <m/>
    <m/>
    <m/>
    <m/>
    <m/>
    <m/>
    <n v="3.32"/>
    <m/>
    <m/>
    <s v="0.00%"/>
    <s v="0.00%"/>
    <s v="0.00%"/>
    <s v="0.00%"/>
    <m/>
    <m/>
    <m/>
    <m/>
    <m/>
    <m/>
    <m/>
    <s v="0.00%"/>
    <s v="0.00%"/>
    <s v="0.00%"/>
    <s v="0.00%"/>
    <m/>
    <m/>
    <m/>
    <m/>
    <m/>
    <m/>
    <m/>
    <m/>
    <m/>
    <m/>
    <m/>
    <m/>
    <m/>
    <m/>
    <m/>
    <m/>
    <m/>
    <s v="Mike Teixeira"/>
    <m/>
    <s v="12/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0/30/2025"/>
    <x v="1"/>
    <n v="5820241"/>
    <s v="Click Here To View"/>
    <s v="Construction"/>
    <n v="2.9"/>
    <s v="100.00%"/>
    <s v="0.00%"/>
    <s v="100.00%"/>
    <s v="0.00%"/>
    <m/>
    <n v="2.9"/>
    <m/>
    <n v="2.9"/>
    <m/>
    <m/>
    <m/>
    <m/>
    <m/>
    <m/>
    <m/>
    <m/>
    <m/>
    <m/>
    <m/>
    <m/>
    <m/>
    <m/>
    <m/>
    <m/>
    <m/>
    <m/>
    <m/>
    <m/>
    <m/>
    <m/>
    <m/>
    <m/>
    <m/>
    <m/>
    <m/>
    <m/>
    <m/>
    <m/>
    <m/>
    <n v="2.9"/>
    <m/>
    <m/>
    <s v="0.00%"/>
    <s v="0.00%"/>
    <s v="0.00%"/>
    <s v="0.00%"/>
    <m/>
    <m/>
    <m/>
    <m/>
    <m/>
    <m/>
    <m/>
    <s v="0.00%"/>
    <s v="0.00%"/>
    <s v="0.00%"/>
    <s v="0.00%"/>
    <m/>
    <m/>
    <m/>
    <m/>
    <m/>
    <m/>
    <m/>
    <m/>
    <m/>
    <m/>
    <m/>
    <m/>
    <m/>
    <m/>
    <m/>
    <m/>
    <m/>
    <s v="Mike Teixeira"/>
    <m/>
    <s v="12/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0/31/2025"/>
    <x v="1"/>
    <n v="5820942"/>
    <s v="Click Here To View"/>
    <s v="Construction"/>
    <n v="2.5499999999999998"/>
    <s v="100.00%"/>
    <s v="0.00%"/>
    <s v="100.00%"/>
    <s v="0.00%"/>
    <m/>
    <n v="2.5499999999999998"/>
    <m/>
    <n v="2.5499999999999998"/>
    <m/>
    <m/>
    <m/>
    <m/>
    <m/>
    <m/>
    <m/>
    <m/>
    <m/>
    <m/>
    <m/>
    <m/>
    <m/>
    <m/>
    <m/>
    <m/>
    <m/>
    <m/>
    <m/>
    <m/>
    <m/>
    <m/>
    <m/>
    <m/>
    <m/>
    <m/>
    <m/>
    <m/>
    <m/>
    <m/>
    <m/>
    <n v="2.5499999999999998"/>
    <m/>
    <m/>
    <s v="0.00%"/>
    <s v="0.00%"/>
    <s v="0.00%"/>
    <s v="0.00%"/>
    <m/>
    <m/>
    <m/>
    <m/>
    <m/>
    <m/>
    <m/>
    <s v="0.00%"/>
    <s v="0.00%"/>
    <s v="0.00%"/>
    <s v="0.00%"/>
    <m/>
    <m/>
    <m/>
    <m/>
    <m/>
    <m/>
    <m/>
    <m/>
    <m/>
    <m/>
    <m/>
    <m/>
    <m/>
    <m/>
    <m/>
    <m/>
    <m/>
    <s v="Mike Teixeira"/>
    <m/>
    <s v="12/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1/05/2025"/>
    <x v="36"/>
    <n v="5823712"/>
    <s v="Click Here To View"/>
    <s v="Construction"/>
    <n v="2.88"/>
    <s v="100.00%"/>
    <s v="0.00%"/>
    <s v="100.00%"/>
    <s v="0.00%"/>
    <m/>
    <n v="2.88"/>
    <m/>
    <n v="2.88"/>
    <m/>
    <m/>
    <m/>
    <m/>
    <m/>
    <m/>
    <m/>
    <m/>
    <m/>
    <m/>
    <m/>
    <m/>
    <m/>
    <m/>
    <m/>
    <m/>
    <m/>
    <m/>
    <m/>
    <m/>
    <m/>
    <m/>
    <m/>
    <m/>
    <m/>
    <m/>
    <m/>
    <m/>
    <m/>
    <m/>
    <m/>
    <n v="2.88"/>
    <m/>
    <m/>
    <s v="0.00%"/>
    <s v="0.00%"/>
    <s v="0.00%"/>
    <s v="0.00%"/>
    <m/>
    <m/>
    <m/>
    <m/>
    <m/>
    <m/>
    <m/>
    <s v="0.00%"/>
    <s v="0.00%"/>
    <s v="0.00%"/>
    <s v="0.00%"/>
    <m/>
    <m/>
    <m/>
    <m/>
    <m/>
    <m/>
    <m/>
    <m/>
    <m/>
    <m/>
    <m/>
    <m/>
    <m/>
    <m/>
    <m/>
    <m/>
    <m/>
    <s v="Mike Teixeira"/>
    <m/>
    <s v="12/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1/06/2025"/>
    <x v="36"/>
    <n v="5824355"/>
    <s v="Click Here To View"/>
    <s v="Construction"/>
    <n v="5.0599999999999996"/>
    <s v="100.00%"/>
    <s v="0.00%"/>
    <s v="100.00%"/>
    <s v="0.00%"/>
    <m/>
    <n v="5.0599999999999996"/>
    <m/>
    <n v="5.0599999999999996"/>
    <m/>
    <m/>
    <m/>
    <m/>
    <m/>
    <m/>
    <m/>
    <m/>
    <m/>
    <m/>
    <m/>
    <m/>
    <m/>
    <m/>
    <m/>
    <m/>
    <m/>
    <m/>
    <m/>
    <m/>
    <m/>
    <m/>
    <m/>
    <m/>
    <m/>
    <m/>
    <m/>
    <m/>
    <m/>
    <m/>
    <m/>
    <n v="5.0599999999999996"/>
    <m/>
    <m/>
    <s v="0.00%"/>
    <s v="0.00%"/>
    <s v="0.00%"/>
    <s v="0.00%"/>
    <m/>
    <m/>
    <m/>
    <m/>
    <m/>
    <m/>
    <m/>
    <s v="0.00%"/>
    <s v="0.00%"/>
    <s v="0.00%"/>
    <s v="0.00%"/>
    <m/>
    <m/>
    <m/>
    <m/>
    <m/>
    <m/>
    <m/>
    <m/>
    <m/>
    <m/>
    <m/>
    <m/>
    <m/>
    <m/>
    <m/>
    <m/>
    <m/>
    <s v="Mike Teixeira"/>
    <m/>
    <s v="12/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1/11/2025"/>
    <x v="36"/>
    <n v="5827188"/>
    <s v="Click Here To View"/>
    <s v="Construction"/>
    <n v="3.61"/>
    <s v="100.00%"/>
    <s v="0.00%"/>
    <s v="100.00%"/>
    <s v="0.00%"/>
    <m/>
    <n v="3.61"/>
    <m/>
    <n v="3.61"/>
    <m/>
    <m/>
    <m/>
    <m/>
    <m/>
    <m/>
    <m/>
    <m/>
    <m/>
    <m/>
    <m/>
    <m/>
    <m/>
    <m/>
    <m/>
    <m/>
    <m/>
    <m/>
    <m/>
    <m/>
    <m/>
    <m/>
    <m/>
    <m/>
    <m/>
    <m/>
    <m/>
    <m/>
    <m/>
    <m/>
    <m/>
    <n v="3.61"/>
    <m/>
    <m/>
    <s v="0.00%"/>
    <s v="0.00%"/>
    <s v="0.00%"/>
    <s v="0.00%"/>
    <m/>
    <m/>
    <m/>
    <m/>
    <m/>
    <m/>
    <m/>
    <s v="0.00%"/>
    <s v="0.00%"/>
    <s v="0.00%"/>
    <s v="0.00%"/>
    <m/>
    <m/>
    <m/>
    <m/>
    <m/>
    <m/>
    <m/>
    <m/>
    <m/>
    <m/>
    <m/>
    <m/>
    <m/>
    <m/>
    <m/>
    <m/>
    <m/>
    <s v="Mike Teixeira"/>
    <m/>
    <s v="12/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1/12/2025"/>
    <x v="36"/>
    <n v="5827569"/>
    <s v="Click Here To View"/>
    <s v="Construction"/>
    <n v="5.15"/>
    <s v="100.00%"/>
    <s v="0.00%"/>
    <s v="100.00%"/>
    <s v="0.00%"/>
    <m/>
    <n v="5.15"/>
    <m/>
    <n v="5.15"/>
    <m/>
    <m/>
    <m/>
    <m/>
    <m/>
    <m/>
    <m/>
    <m/>
    <m/>
    <m/>
    <m/>
    <m/>
    <m/>
    <m/>
    <m/>
    <m/>
    <m/>
    <m/>
    <m/>
    <m/>
    <m/>
    <m/>
    <m/>
    <m/>
    <m/>
    <m/>
    <m/>
    <m/>
    <m/>
    <m/>
    <m/>
    <n v="5.15"/>
    <m/>
    <m/>
    <s v="0.00%"/>
    <s v="0.00%"/>
    <s v="0.00%"/>
    <s v="0.00%"/>
    <m/>
    <m/>
    <m/>
    <m/>
    <m/>
    <m/>
    <m/>
    <s v="0.00%"/>
    <s v="0.00%"/>
    <s v="0.00%"/>
    <s v="0.00%"/>
    <m/>
    <m/>
    <m/>
    <m/>
    <m/>
    <m/>
    <m/>
    <m/>
    <m/>
    <m/>
    <m/>
    <m/>
    <m/>
    <m/>
    <m/>
    <m/>
    <m/>
    <s v="Mike Teixeira"/>
    <m/>
    <s v="12/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1/13/2025"/>
    <x v="36"/>
    <n v="5828156"/>
    <s v="Click Here To View"/>
    <s v="Construction"/>
    <n v="5.34"/>
    <s v="100.00%"/>
    <s v="0.00%"/>
    <s v="100.00%"/>
    <s v="0.00%"/>
    <m/>
    <n v="5.34"/>
    <m/>
    <n v="5.34"/>
    <m/>
    <m/>
    <m/>
    <m/>
    <m/>
    <m/>
    <m/>
    <m/>
    <m/>
    <m/>
    <m/>
    <m/>
    <m/>
    <m/>
    <m/>
    <m/>
    <m/>
    <m/>
    <m/>
    <m/>
    <m/>
    <m/>
    <m/>
    <m/>
    <m/>
    <m/>
    <m/>
    <m/>
    <m/>
    <m/>
    <m/>
    <n v="5.34"/>
    <m/>
    <m/>
    <s v="0.00%"/>
    <s v="0.00%"/>
    <s v="0.00%"/>
    <s v="0.00%"/>
    <m/>
    <m/>
    <m/>
    <m/>
    <m/>
    <m/>
    <m/>
    <s v="0.00%"/>
    <s v="0.00%"/>
    <s v="0.00%"/>
    <s v="0.00%"/>
    <m/>
    <m/>
    <m/>
    <m/>
    <m/>
    <m/>
    <m/>
    <m/>
    <m/>
    <m/>
    <m/>
    <m/>
    <m/>
    <m/>
    <m/>
    <m/>
    <m/>
    <s v="Mike Teixeira"/>
    <m/>
    <s v="12/02/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1/14/2025"/>
    <x v="36"/>
    <n v="5829537"/>
    <s v="Click Here To View"/>
    <s v="Construction"/>
    <n v="5.45"/>
    <s v="100.00%"/>
    <s v="0.00%"/>
    <s v="100.00%"/>
    <s v="0.00%"/>
    <m/>
    <n v="5.45"/>
    <m/>
    <n v="5.45"/>
    <m/>
    <m/>
    <m/>
    <m/>
    <m/>
    <m/>
    <m/>
    <m/>
    <m/>
    <m/>
    <m/>
    <m/>
    <m/>
    <m/>
    <m/>
    <m/>
    <m/>
    <m/>
    <m/>
    <m/>
    <m/>
    <m/>
    <m/>
    <m/>
    <m/>
    <m/>
    <m/>
    <m/>
    <m/>
    <m/>
    <m/>
    <n v="5.45"/>
    <m/>
    <m/>
    <s v="0.00%"/>
    <s v="0.00%"/>
    <s v="0.00%"/>
    <s v="0.00%"/>
    <m/>
    <m/>
    <m/>
    <m/>
    <m/>
    <m/>
    <m/>
    <s v="0.00%"/>
    <s v="0.00%"/>
    <s v="0.00%"/>
    <s v="0.00%"/>
    <m/>
    <m/>
    <m/>
    <m/>
    <m/>
    <m/>
    <m/>
    <m/>
    <m/>
    <m/>
    <m/>
    <m/>
    <m/>
    <m/>
    <m/>
    <m/>
    <m/>
    <s v="Mike Teixeira"/>
    <m/>
    <s v="12/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1/17/2025"/>
    <x v="36"/>
    <n v="5830491"/>
    <s v="Click Here To View"/>
    <s v="Construction"/>
    <n v="5.52"/>
    <s v="100.00%"/>
    <s v="0.00%"/>
    <s v="100.00%"/>
    <s v="0.00%"/>
    <m/>
    <n v="5.52"/>
    <m/>
    <n v="5.52"/>
    <m/>
    <m/>
    <m/>
    <m/>
    <m/>
    <m/>
    <m/>
    <m/>
    <m/>
    <m/>
    <m/>
    <m/>
    <m/>
    <m/>
    <m/>
    <m/>
    <m/>
    <m/>
    <m/>
    <m/>
    <m/>
    <m/>
    <m/>
    <m/>
    <m/>
    <m/>
    <m/>
    <m/>
    <m/>
    <m/>
    <m/>
    <n v="5.52"/>
    <m/>
    <m/>
    <s v="0.00%"/>
    <s v="0.00%"/>
    <s v="0.00%"/>
    <s v="0.00%"/>
    <m/>
    <m/>
    <m/>
    <m/>
    <m/>
    <m/>
    <m/>
    <s v="0.00%"/>
    <s v="0.00%"/>
    <s v="0.00%"/>
    <s v="0.00%"/>
    <m/>
    <m/>
    <m/>
    <m/>
    <m/>
    <m/>
    <m/>
    <m/>
    <m/>
    <m/>
    <m/>
    <m/>
    <m/>
    <m/>
    <m/>
    <m/>
    <m/>
    <s v="Mike Teixeira"/>
    <m/>
    <s v="12/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1/18/2025"/>
    <x v="36"/>
    <n v="5830914"/>
    <s v="Click Here To View"/>
    <s v="Construction"/>
    <n v="5.74"/>
    <s v="100.00%"/>
    <s v="0.00%"/>
    <s v="100.00%"/>
    <s v="0.00%"/>
    <m/>
    <n v="5.74"/>
    <m/>
    <n v="5.74"/>
    <m/>
    <m/>
    <m/>
    <m/>
    <m/>
    <m/>
    <m/>
    <m/>
    <m/>
    <m/>
    <m/>
    <m/>
    <m/>
    <m/>
    <m/>
    <m/>
    <m/>
    <m/>
    <m/>
    <m/>
    <m/>
    <m/>
    <m/>
    <m/>
    <m/>
    <m/>
    <m/>
    <m/>
    <m/>
    <m/>
    <m/>
    <n v="5.74"/>
    <m/>
    <m/>
    <s v="0.00%"/>
    <s v="0.00%"/>
    <s v="0.00%"/>
    <s v="0.00%"/>
    <m/>
    <m/>
    <m/>
    <m/>
    <m/>
    <m/>
    <m/>
    <s v="0.00%"/>
    <s v="0.00%"/>
    <s v="0.00%"/>
    <s v="0.00%"/>
    <m/>
    <m/>
    <m/>
    <m/>
    <m/>
    <m/>
    <m/>
    <m/>
    <m/>
    <m/>
    <m/>
    <m/>
    <m/>
    <m/>
    <m/>
    <m/>
    <m/>
    <s v="Mike Teixeira"/>
    <m/>
    <s v="12/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1/19/2025"/>
    <x v="36"/>
    <n v="5831906"/>
    <s v="Click Here To View"/>
    <s v="Construction"/>
    <n v="4.6500000000000004"/>
    <s v="100.00%"/>
    <s v="0.00%"/>
    <s v="100.00%"/>
    <s v="0.00%"/>
    <m/>
    <n v="4.6500000000000004"/>
    <m/>
    <n v="4.6500000000000004"/>
    <m/>
    <m/>
    <m/>
    <m/>
    <m/>
    <m/>
    <m/>
    <m/>
    <m/>
    <m/>
    <m/>
    <m/>
    <m/>
    <m/>
    <m/>
    <m/>
    <m/>
    <m/>
    <m/>
    <m/>
    <m/>
    <m/>
    <m/>
    <m/>
    <m/>
    <m/>
    <m/>
    <m/>
    <m/>
    <m/>
    <m/>
    <n v="4.6500000000000004"/>
    <m/>
    <m/>
    <s v="0.00%"/>
    <s v="0.00%"/>
    <s v="0.00%"/>
    <s v="0.00%"/>
    <m/>
    <m/>
    <m/>
    <m/>
    <m/>
    <m/>
    <m/>
    <s v="0.00%"/>
    <s v="0.00%"/>
    <s v="0.00%"/>
    <s v="0.00%"/>
    <m/>
    <m/>
    <m/>
    <m/>
    <m/>
    <m/>
    <m/>
    <m/>
    <m/>
    <m/>
    <m/>
    <m/>
    <m/>
    <m/>
    <m/>
    <m/>
    <m/>
    <s v="Mike Teixeira"/>
    <m/>
    <s v="12/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1/19/2025"/>
    <x v="36"/>
    <n v="5831718"/>
    <s v="Click Here To View"/>
    <s v="Construction"/>
    <n v="7.12"/>
    <s v="100.00%"/>
    <s v="0.00%"/>
    <s v="100.00%"/>
    <s v="0.00%"/>
    <m/>
    <n v="7.12"/>
    <m/>
    <n v="7.12"/>
    <m/>
    <m/>
    <m/>
    <m/>
    <m/>
    <m/>
    <m/>
    <m/>
    <m/>
    <m/>
    <m/>
    <m/>
    <m/>
    <m/>
    <m/>
    <m/>
    <m/>
    <m/>
    <m/>
    <m/>
    <m/>
    <m/>
    <m/>
    <m/>
    <m/>
    <m/>
    <m/>
    <m/>
    <m/>
    <m/>
    <m/>
    <n v="7.12"/>
    <m/>
    <m/>
    <s v="0.00%"/>
    <s v="0.00%"/>
    <s v="0.00%"/>
    <s v="0.00%"/>
    <m/>
    <m/>
    <m/>
    <m/>
    <m/>
    <m/>
    <m/>
    <s v="0.00%"/>
    <s v="0.00%"/>
    <s v="0.00%"/>
    <s v="0.00%"/>
    <m/>
    <m/>
    <m/>
    <m/>
    <m/>
    <m/>
    <m/>
    <m/>
    <m/>
    <m/>
    <m/>
    <m/>
    <m/>
    <m/>
    <m/>
    <m/>
    <m/>
    <s v="Mike Teixeira"/>
    <m/>
    <s v="12/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1/20/2025"/>
    <x v="36"/>
    <n v="5832786"/>
    <s v="Click Here To View"/>
    <s v="Construction"/>
    <n v="7.63"/>
    <s v="100.00%"/>
    <s v="0.00%"/>
    <s v="100.00%"/>
    <s v="0.00%"/>
    <m/>
    <n v="7.63"/>
    <m/>
    <n v="7.63"/>
    <m/>
    <m/>
    <m/>
    <m/>
    <m/>
    <m/>
    <m/>
    <m/>
    <m/>
    <m/>
    <m/>
    <m/>
    <m/>
    <m/>
    <m/>
    <m/>
    <m/>
    <m/>
    <m/>
    <m/>
    <m/>
    <m/>
    <m/>
    <m/>
    <m/>
    <m/>
    <m/>
    <m/>
    <m/>
    <m/>
    <m/>
    <n v="7.63"/>
    <m/>
    <m/>
    <s v="0.00%"/>
    <s v="0.00%"/>
    <s v="0.00%"/>
    <s v="0.00%"/>
    <m/>
    <m/>
    <m/>
    <m/>
    <m/>
    <m/>
    <m/>
    <s v="0.00%"/>
    <s v="0.00%"/>
    <s v="0.00%"/>
    <s v="0.00%"/>
    <m/>
    <m/>
    <m/>
    <m/>
    <m/>
    <m/>
    <m/>
    <m/>
    <m/>
    <m/>
    <m/>
    <m/>
    <m/>
    <m/>
    <m/>
    <m/>
    <m/>
    <s v="Mike Teixeira"/>
    <m/>
    <s v="12/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1/21/2025"/>
    <x v="36"/>
    <n v="5833517"/>
    <s v="Click Here To View"/>
    <s v="Construction"/>
    <n v="5.43"/>
    <s v="100.00%"/>
    <s v="0.00%"/>
    <s v="100.00%"/>
    <s v="0.00%"/>
    <m/>
    <n v="5.43"/>
    <m/>
    <n v="5.43"/>
    <m/>
    <m/>
    <m/>
    <m/>
    <m/>
    <m/>
    <m/>
    <m/>
    <m/>
    <m/>
    <m/>
    <m/>
    <m/>
    <m/>
    <m/>
    <m/>
    <m/>
    <m/>
    <m/>
    <m/>
    <m/>
    <m/>
    <m/>
    <m/>
    <m/>
    <m/>
    <m/>
    <m/>
    <m/>
    <m/>
    <m/>
    <n v="5.43"/>
    <m/>
    <m/>
    <s v="0.00%"/>
    <s v="0.00%"/>
    <s v="0.00%"/>
    <s v="0.00%"/>
    <m/>
    <m/>
    <m/>
    <m/>
    <m/>
    <m/>
    <m/>
    <s v="0.00%"/>
    <s v="0.00%"/>
    <s v="0.00%"/>
    <s v="0.00%"/>
    <m/>
    <m/>
    <m/>
    <m/>
    <m/>
    <m/>
    <m/>
    <m/>
    <m/>
    <m/>
    <m/>
    <m/>
    <m/>
    <m/>
    <m/>
    <m/>
    <m/>
    <s v="Mike Teixeira"/>
    <m/>
    <s v="12/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1/25/2025"/>
    <x v="36"/>
    <n v="5834807"/>
    <s v="Click Here To View"/>
    <s v="Construction"/>
    <n v="3.97"/>
    <s v="100.00%"/>
    <s v="0.00%"/>
    <s v="100.00%"/>
    <s v="0.00%"/>
    <m/>
    <n v="3.97"/>
    <m/>
    <n v="3.97"/>
    <m/>
    <m/>
    <m/>
    <m/>
    <m/>
    <m/>
    <m/>
    <m/>
    <m/>
    <m/>
    <m/>
    <m/>
    <m/>
    <m/>
    <m/>
    <m/>
    <m/>
    <m/>
    <m/>
    <m/>
    <m/>
    <m/>
    <m/>
    <m/>
    <m/>
    <m/>
    <m/>
    <m/>
    <m/>
    <m/>
    <m/>
    <n v="3.97"/>
    <m/>
    <m/>
    <s v="0.00%"/>
    <s v="0.00%"/>
    <s v="0.00%"/>
    <s v="0.00%"/>
    <m/>
    <m/>
    <m/>
    <m/>
    <m/>
    <m/>
    <m/>
    <s v="0.00%"/>
    <s v="0.00%"/>
    <s v="0.00%"/>
    <s v="0.00%"/>
    <m/>
    <m/>
    <m/>
    <m/>
    <m/>
    <m/>
    <m/>
    <m/>
    <m/>
    <m/>
    <m/>
    <m/>
    <m/>
    <m/>
    <m/>
    <m/>
    <m/>
    <s v="Mike Teixeira"/>
    <m/>
    <s v="12/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1/24/2025"/>
    <x v="36"/>
    <n v="5834689"/>
    <s v="Click Here To View"/>
    <s v="Construction"/>
    <n v="2.81"/>
    <s v="100.00%"/>
    <s v="0.00%"/>
    <s v="100.00%"/>
    <s v="0.00%"/>
    <m/>
    <n v="2.81"/>
    <m/>
    <n v="2.81"/>
    <m/>
    <m/>
    <m/>
    <m/>
    <m/>
    <m/>
    <m/>
    <m/>
    <m/>
    <m/>
    <m/>
    <m/>
    <m/>
    <m/>
    <m/>
    <m/>
    <m/>
    <m/>
    <m/>
    <m/>
    <m/>
    <m/>
    <m/>
    <m/>
    <m/>
    <m/>
    <m/>
    <m/>
    <m/>
    <m/>
    <m/>
    <n v="2.81"/>
    <m/>
    <m/>
    <s v="0.00%"/>
    <s v="0.00%"/>
    <s v="0.00%"/>
    <s v="0.00%"/>
    <m/>
    <m/>
    <m/>
    <m/>
    <m/>
    <m/>
    <m/>
    <s v="0.00%"/>
    <s v="0.00%"/>
    <s v="0.00%"/>
    <s v="0.00%"/>
    <m/>
    <m/>
    <m/>
    <m/>
    <m/>
    <m/>
    <m/>
    <m/>
    <m/>
    <m/>
    <m/>
    <m/>
    <m/>
    <m/>
    <m/>
    <m/>
    <m/>
    <s v="Mike Teixeira"/>
    <m/>
    <s v="12/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1/26/2025"/>
    <x v="36"/>
    <n v="5836243"/>
    <s v="Click Here To View"/>
    <s v="Construction"/>
    <n v="3.99"/>
    <s v="100.00%"/>
    <s v="0.00%"/>
    <s v="100.00%"/>
    <s v="0.00%"/>
    <m/>
    <n v="3.99"/>
    <m/>
    <n v="3.99"/>
    <m/>
    <m/>
    <m/>
    <m/>
    <m/>
    <m/>
    <m/>
    <m/>
    <m/>
    <m/>
    <m/>
    <m/>
    <m/>
    <m/>
    <m/>
    <m/>
    <m/>
    <m/>
    <m/>
    <m/>
    <m/>
    <m/>
    <m/>
    <m/>
    <m/>
    <m/>
    <m/>
    <m/>
    <m/>
    <m/>
    <m/>
    <n v="3.99"/>
    <m/>
    <m/>
    <s v="0.00%"/>
    <s v="0.00%"/>
    <s v="0.00%"/>
    <s v="0.00%"/>
    <m/>
    <m/>
    <m/>
    <m/>
    <m/>
    <m/>
    <m/>
    <s v="0.00%"/>
    <s v="0.00%"/>
    <s v="0.00%"/>
    <s v="0.00%"/>
    <m/>
    <m/>
    <m/>
    <m/>
    <m/>
    <m/>
    <m/>
    <m/>
    <m/>
    <m/>
    <m/>
    <m/>
    <m/>
    <m/>
    <m/>
    <m/>
    <m/>
    <s v="Mike Teixeira"/>
    <m/>
    <s v="12/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1/26/2025"/>
    <x v="36"/>
    <n v="5836137"/>
    <s v="Click Here To View"/>
    <s v="Construction"/>
    <n v="4.59"/>
    <s v="100.00%"/>
    <s v="0.00%"/>
    <s v="100.00%"/>
    <s v="0.00%"/>
    <m/>
    <n v="4.59"/>
    <m/>
    <n v="4.59"/>
    <m/>
    <m/>
    <m/>
    <m/>
    <m/>
    <m/>
    <m/>
    <m/>
    <m/>
    <m/>
    <m/>
    <m/>
    <m/>
    <m/>
    <m/>
    <m/>
    <m/>
    <m/>
    <m/>
    <m/>
    <m/>
    <m/>
    <m/>
    <m/>
    <m/>
    <m/>
    <m/>
    <m/>
    <m/>
    <m/>
    <m/>
    <n v="4.59"/>
    <m/>
    <m/>
    <s v="0.00%"/>
    <s v="0.00%"/>
    <s v="0.00%"/>
    <s v="0.00%"/>
    <m/>
    <m/>
    <m/>
    <m/>
    <m/>
    <m/>
    <m/>
    <s v="0.00%"/>
    <s v="0.00%"/>
    <s v="0.00%"/>
    <s v="0.00%"/>
    <m/>
    <m/>
    <m/>
    <m/>
    <m/>
    <m/>
    <m/>
    <m/>
    <m/>
    <m/>
    <m/>
    <m/>
    <m/>
    <m/>
    <m/>
    <m/>
    <m/>
    <s v="Mike Teixeira"/>
    <m/>
    <s v="12/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2/01/2025"/>
    <x v="32"/>
    <n v="5838082"/>
    <s v="Click Here To View"/>
    <s v="Construction"/>
    <n v="3.48"/>
    <s v="100.00%"/>
    <s v="0.00%"/>
    <s v="100.00%"/>
    <s v="0.00%"/>
    <m/>
    <n v="3.48"/>
    <m/>
    <n v="3.48"/>
    <m/>
    <m/>
    <m/>
    <m/>
    <m/>
    <m/>
    <m/>
    <m/>
    <m/>
    <m/>
    <m/>
    <m/>
    <m/>
    <m/>
    <m/>
    <m/>
    <m/>
    <m/>
    <m/>
    <m/>
    <m/>
    <m/>
    <m/>
    <m/>
    <m/>
    <m/>
    <m/>
    <m/>
    <m/>
    <m/>
    <m/>
    <n v="3.48"/>
    <m/>
    <m/>
    <s v="0.00%"/>
    <s v="0.00%"/>
    <s v="0.00%"/>
    <s v="0.00%"/>
    <m/>
    <m/>
    <m/>
    <m/>
    <m/>
    <m/>
    <m/>
    <s v="0.00%"/>
    <s v="0.00%"/>
    <s v="0.00%"/>
    <s v="0.00%"/>
    <m/>
    <m/>
    <m/>
    <m/>
    <m/>
    <m/>
    <m/>
    <m/>
    <m/>
    <m/>
    <m/>
    <m/>
    <m/>
    <m/>
    <m/>
    <m/>
    <m/>
    <s v="Mike Teixeira"/>
    <m/>
    <s v="12/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2/01/2025"/>
    <x v="32"/>
    <n v="5837663"/>
    <s v="Click Here To View"/>
    <s v="Construction"/>
    <n v="8.85"/>
    <s v="100.00%"/>
    <s v="0.00%"/>
    <s v="100.00%"/>
    <s v="0.00%"/>
    <m/>
    <n v="8.85"/>
    <m/>
    <n v="8.85"/>
    <m/>
    <m/>
    <m/>
    <m/>
    <m/>
    <m/>
    <m/>
    <m/>
    <m/>
    <m/>
    <m/>
    <m/>
    <m/>
    <m/>
    <m/>
    <m/>
    <m/>
    <m/>
    <m/>
    <m/>
    <m/>
    <m/>
    <m/>
    <m/>
    <m/>
    <m/>
    <m/>
    <m/>
    <m/>
    <m/>
    <m/>
    <n v="8.85"/>
    <m/>
    <m/>
    <s v="0.00%"/>
    <s v="0.00%"/>
    <s v="0.00%"/>
    <s v="0.00%"/>
    <m/>
    <m/>
    <m/>
    <m/>
    <m/>
    <m/>
    <m/>
    <s v="0.00%"/>
    <s v="0.00%"/>
    <s v="0.00%"/>
    <s v="0.00%"/>
    <m/>
    <m/>
    <m/>
    <m/>
    <m/>
    <m/>
    <m/>
    <m/>
    <m/>
    <m/>
    <m/>
    <m/>
    <m/>
    <m/>
    <m/>
    <m/>
    <m/>
    <s v="Mike Teixeira"/>
    <m/>
    <s v="12/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2/03/2025"/>
    <x v="32"/>
    <n v="5839608"/>
    <s v="Click Here To View"/>
    <s v="Construction"/>
    <n v="6.54"/>
    <s v="100.00%"/>
    <s v="0.00%"/>
    <s v="100.00%"/>
    <s v="0.00%"/>
    <m/>
    <n v="6.54"/>
    <m/>
    <n v="6.54"/>
    <m/>
    <m/>
    <m/>
    <m/>
    <m/>
    <m/>
    <m/>
    <m/>
    <m/>
    <m/>
    <m/>
    <m/>
    <m/>
    <m/>
    <m/>
    <m/>
    <m/>
    <m/>
    <m/>
    <m/>
    <m/>
    <m/>
    <m/>
    <m/>
    <m/>
    <m/>
    <m/>
    <m/>
    <m/>
    <m/>
    <m/>
    <n v="6.54"/>
    <m/>
    <m/>
    <s v="0.00%"/>
    <s v="0.00%"/>
    <s v="0.00%"/>
    <s v="0.00%"/>
    <m/>
    <m/>
    <m/>
    <m/>
    <m/>
    <m/>
    <m/>
    <s v="0.00%"/>
    <s v="0.00%"/>
    <s v="0.00%"/>
    <s v="0.00%"/>
    <m/>
    <m/>
    <m/>
    <m/>
    <m/>
    <m/>
    <m/>
    <m/>
    <m/>
    <m/>
    <m/>
    <m/>
    <m/>
    <m/>
    <m/>
    <m/>
    <m/>
    <s v="Mike Teixeira"/>
    <m/>
    <s v="12/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2/05/2025"/>
    <x v="32"/>
    <n v="5841267"/>
    <s v="Click Here To View"/>
    <s v="Construction"/>
    <n v="4.72"/>
    <s v="100.00%"/>
    <s v="0.00%"/>
    <s v="100.00%"/>
    <s v="0.00%"/>
    <m/>
    <n v="4.72"/>
    <m/>
    <n v="4.72"/>
    <m/>
    <m/>
    <m/>
    <m/>
    <m/>
    <m/>
    <m/>
    <m/>
    <m/>
    <m/>
    <m/>
    <m/>
    <m/>
    <m/>
    <m/>
    <m/>
    <m/>
    <m/>
    <m/>
    <m/>
    <m/>
    <m/>
    <m/>
    <m/>
    <m/>
    <m/>
    <m/>
    <m/>
    <m/>
    <m/>
    <m/>
    <n v="4.72"/>
    <m/>
    <m/>
    <s v="0.00%"/>
    <s v="0.00%"/>
    <s v="0.00%"/>
    <s v="0.00%"/>
    <m/>
    <m/>
    <m/>
    <m/>
    <m/>
    <m/>
    <m/>
    <s v="0.00%"/>
    <s v="0.00%"/>
    <s v="0.00%"/>
    <s v="0.00%"/>
    <m/>
    <m/>
    <m/>
    <m/>
    <m/>
    <m/>
    <m/>
    <m/>
    <m/>
    <m/>
    <m/>
    <m/>
    <m/>
    <m/>
    <m/>
    <m/>
    <m/>
    <s v="Mike Teixeira"/>
    <m/>
    <s v="12/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2/08/2025"/>
    <x v="32"/>
    <n v="5842294"/>
    <s v="Click Here To View"/>
    <s v="Construction"/>
    <n v="4.08"/>
    <s v="100.00%"/>
    <s v="0.00%"/>
    <s v="100.00%"/>
    <s v="0.00%"/>
    <m/>
    <n v="4.08"/>
    <m/>
    <n v="4.08"/>
    <m/>
    <m/>
    <m/>
    <m/>
    <m/>
    <m/>
    <m/>
    <m/>
    <m/>
    <m/>
    <m/>
    <m/>
    <m/>
    <m/>
    <m/>
    <m/>
    <m/>
    <m/>
    <m/>
    <m/>
    <m/>
    <m/>
    <m/>
    <m/>
    <m/>
    <m/>
    <m/>
    <m/>
    <m/>
    <m/>
    <m/>
    <n v="4.08"/>
    <m/>
    <m/>
    <s v="0.00%"/>
    <s v="0.00%"/>
    <s v="0.00%"/>
    <s v="0.00%"/>
    <m/>
    <m/>
    <m/>
    <m/>
    <m/>
    <m/>
    <m/>
    <s v="0.00%"/>
    <s v="0.00%"/>
    <s v="0.00%"/>
    <s v="0.00%"/>
    <m/>
    <m/>
    <m/>
    <m/>
    <m/>
    <m/>
    <m/>
    <m/>
    <m/>
    <m/>
    <m/>
    <m/>
    <m/>
    <m/>
    <m/>
    <m/>
    <m/>
    <s v="Mike Teixeira"/>
    <m/>
    <s v="12/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2/09/2025"/>
    <x v="32"/>
    <n v="5842694"/>
    <s v="Click Here To View"/>
    <s v="Construction"/>
    <n v="9.35"/>
    <s v="100.00%"/>
    <s v="0.00%"/>
    <s v="100.00%"/>
    <s v="0.00%"/>
    <m/>
    <n v="9.35"/>
    <m/>
    <n v="9.35"/>
    <m/>
    <m/>
    <m/>
    <m/>
    <m/>
    <m/>
    <m/>
    <m/>
    <m/>
    <m/>
    <m/>
    <m/>
    <m/>
    <m/>
    <m/>
    <m/>
    <m/>
    <m/>
    <m/>
    <m/>
    <m/>
    <m/>
    <m/>
    <m/>
    <m/>
    <m/>
    <m/>
    <m/>
    <m/>
    <m/>
    <m/>
    <n v="9.35"/>
    <m/>
    <m/>
    <s v="0.00%"/>
    <s v="0.00%"/>
    <s v="0.00%"/>
    <s v="0.00%"/>
    <m/>
    <m/>
    <m/>
    <m/>
    <m/>
    <m/>
    <m/>
    <s v="0.00%"/>
    <s v="0.00%"/>
    <s v="0.00%"/>
    <s v="0.00%"/>
    <m/>
    <m/>
    <m/>
    <m/>
    <m/>
    <m/>
    <m/>
    <m/>
    <m/>
    <m/>
    <m/>
    <m/>
    <m/>
    <m/>
    <m/>
    <m/>
    <m/>
    <s v="Mike Teixeira"/>
    <m/>
    <s v="12/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2/11/2025"/>
    <x v="32"/>
    <n v="58444221"/>
    <s v="Click Here To View"/>
    <s v="Construction"/>
    <n v="3.78"/>
    <s v="100.00%"/>
    <s v="0.00%"/>
    <s v="100.00%"/>
    <s v="0.00%"/>
    <m/>
    <n v="3.78"/>
    <m/>
    <n v="3.78"/>
    <m/>
    <m/>
    <m/>
    <m/>
    <m/>
    <m/>
    <m/>
    <m/>
    <m/>
    <m/>
    <m/>
    <m/>
    <m/>
    <m/>
    <m/>
    <m/>
    <m/>
    <m/>
    <m/>
    <m/>
    <m/>
    <m/>
    <m/>
    <m/>
    <m/>
    <m/>
    <m/>
    <m/>
    <m/>
    <m/>
    <m/>
    <n v="3.78"/>
    <m/>
    <m/>
    <s v="0.00%"/>
    <s v="0.00%"/>
    <s v="0.00%"/>
    <s v="0.00%"/>
    <m/>
    <m/>
    <m/>
    <m/>
    <m/>
    <m/>
    <m/>
    <s v="0.00%"/>
    <s v="0.00%"/>
    <s v="0.00%"/>
    <s v="0.00%"/>
    <m/>
    <m/>
    <m/>
    <m/>
    <m/>
    <m/>
    <m/>
    <m/>
    <m/>
    <m/>
    <m/>
    <m/>
    <m/>
    <m/>
    <m/>
    <m/>
    <m/>
    <s v="Mike Teixeira"/>
    <m/>
    <s v="12/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2/19/2025"/>
    <x v="32"/>
    <n v="5848804"/>
    <s v="Click Here To View"/>
    <s v="Construction"/>
    <n v="9.91"/>
    <s v="100.00%"/>
    <s v="0.00%"/>
    <s v="100.00%"/>
    <s v="0.00%"/>
    <m/>
    <n v="9.91"/>
    <m/>
    <n v="9.91"/>
    <m/>
    <m/>
    <m/>
    <m/>
    <m/>
    <m/>
    <m/>
    <m/>
    <m/>
    <m/>
    <m/>
    <m/>
    <m/>
    <m/>
    <m/>
    <m/>
    <m/>
    <m/>
    <m/>
    <m/>
    <m/>
    <m/>
    <m/>
    <m/>
    <m/>
    <m/>
    <m/>
    <m/>
    <m/>
    <m/>
    <m/>
    <n v="9.91"/>
    <m/>
    <m/>
    <s v="0.00%"/>
    <s v="0.00%"/>
    <s v="0.00%"/>
    <s v="0.00%"/>
    <m/>
    <m/>
    <m/>
    <m/>
    <m/>
    <m/>
    <m/>
    <s v="0.00%"/>
    <s v="0.00%"/>
    <s v="0.00%"/>
    <s v="0.00%"/>
    <m/>
    <m/>
    <m/>
    <m/>
    <m/>
    <m/>
    <m/>
    <m/>
    <m/>
    <m/>
    <m/>
    <m/>
    <m/>
    <m/>
    <m/>
    <m/>
    <m/>
    <s v="Mike Teixeira"/>
    <m/>
    <s v="12/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2/24/2025"/>
    <x v="32"/>
    <n v="5851782"/>
    <s v="Click Here To View"/>
    <s v="Construction"/>
    <n v="5.81"/>
    <s v="100.00%"/>
    <s v="0.00%"/>
    <s v="100.00%"/>
    <s v="0.00%"/>
    <m/>
    <n v="5.81"/>
    <m/>
    <n v="5.81"/>
    <m/>
    <m/>
    <m/>
    <m/>
    <m/>
    <m/>
    <m/>
    <m/>
    <m/>
    <m/>
    <m/>
    <m/>
    <m/>
    <m/>
    <m/>
    <m/>
    <m/>
    <m/>
    <m/>
    <m/>
    <m/>
    <m/>
    <m/>
    <m/>
    <m/>
    <m/>
    <m/>
    <m/>
    <m/>
    <m/>
    <m/>
    <n v="5.81"/>
    <m/>
    <m/>
    <s v="0.00%"/>
    <s v="0.00%"/>
    <s v="0.00%"/>
    <s v="0.00%"/>
    <m/>
    <m/>
    <m/>
    <m/>
    <m/>
    <m/>
    <m/>
    <s v="0.00%"/>
    <s v="0.00%"/>
    <s v="0.00%"/>
    <s v="0.00%"/>
    <m/>
    <m/>
    <m/>
    <m/>
    <m/>
    <m/>
    <m/>
    <m/>
    <m/>
    <m/>
    <m/>
    <m/>
    <m/>
    <m/>
    <m/>
    <m/>
    <m/>
    <s v="Mike Teixeira"/>
    <m/>
    <s v="12/30/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2/29/2025"/>
    <x v="32"/>
    <n v="5853423"/>
    <s v="Click Here To View"/>
    <s v="Construction"/>
    <n v="2.68"/>
    <s v="100.00%"/>
    <s v="0.00%"/>
    <s v="100.00%"/>
    <s v="0.00%"/>
    <m/>
    <n v="2.68"/>
    <m/>
    <n v="2.68"/>
    <m/>
    <m/>
    <m/>
    <m/>
    <m/>
    <m/>
    <m/>
    <m/>
    <m/>
    <m/>
    <m/>
    <m/>
    <m/>
    <m/>
    <m/>
    <m/>
    <m/>
    <m/>
    <m/>
    <m/>
    <m/>
    <m/>
    <m/>
    <m/>
    <m/>
    <m/>
    <m/>
    <m/>
    <m/>
    <m/>
    <m/>
    <n v="2.68"/>
    <m/>
    <m/>
    <s v="0.00%"/>
    <s v="0.00%"/>
    <s v="0.00%"/>
    <s v="0.00%"/>
    <m/>
    <m/>
    <m/>
    <m/>
    <m/>
    <m/>
    <m/>
    <s v="0.00%"/>
    <s v="0.00%"/>
    <s v="0.00%"/>
    <s v="0.00%"/>
    <m/>
    <m/>
    <m/>
    <m/>
    <m/>
    <m/>
    <m/>
    <m/>
    <m/>
    <m/>
    <m/>
    <m/>
    <m/>
    <m/>
    <m/>
    <m/>
    <m/>
    <s v="Mike Teixeira"/>
    <m/>
    <s v="02/02/2026"/>
    <s v="Mike Teixeira"/>
    <m/>
    <m/>
  </r>
  <r>
    <s v="Oakland/San Francisco/San Jose"/>
    <s v="UCB Gateway"/>
    <n v="210784"/>
    <m/>
    <s v="Higher Education | Laboratory / Research | 005 | 004"/>
    <n v="368"/>
    <s v="Garden of Eden Landscapes, Inc."/>
    <s v="Silvia Teixeria"/>
    <s v="Waste Management"/>
    <s v="2615 Davis Street, San Leandro, San Leandro, CA 94577"/>
    <m/>
    <s v="12/30/2025"/>
    <x v="32"/>
    <n v="5854794"/>
    <s v="Click Here To View"/>
    <s v="Construction"/>
    <n v="5.54"/>
    <s v="100.00%"/>
    <s v="0.00%"/>
    <s v="100.00%"/>
    <s v="0.00%"/>
    <m/>
    <n v="5.54"/>
    <m/>
    <n v="5.54"/>
    <m/>
    <m/>
    <m/>
    <m/>
    <m/>
    <m/>
    <m/>
    <m/>
    <m/>
    <m/>
    <m/>
    <m/>
    <m/>
    <m/>
    <m/>
    <m/>
    <m/>
    <m/>
    <m/>
    <m/>
    <m/>
    <m/>
    <m/>
    <m/>
    <m/>
    <m/>
    <m/>
    <m/>
    <m/>
    <m/>
    <m/>
    <n v="5.54"/>
    <m/>
    <m/>
    <s v="0.00%"/>
    <s v="0.00%"/>
    <s v="0.00%"/>
    <s v="0.00%"/>
    <m/>
    <m/>
    <m/>
    <m/>
    <m/>
    <m/>
    <m/>
    <s v="0.00%"/>
    <s v="0.00%"/>
    <s v="0.00%"/>
    <s v="0.00%"/>
    <m/>
    <m/>
    <m/>
    <m/>
    <m/>
    <m/>
    <m/>
    <m/>
    <m/>
    <m/>
    <m/>
    <m/>
    <m/>
    <m/>
    <m/>
    <m/>
    <m/>
    <s v="Mike Teixeira"/>
    <m/>
    <s v="02/02/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1/09/2026"/>
    <x v="3"/>
    <n v="5860599"/>
    <s v="Click Here To View"/>
    <s v="Construction"/>
    <n v="7.1"/>
    <s v="100.00%"/>
    <s v="0.00%"/>
    <s v="100.00%"/>
    <s v="0.00%"/>
    <m/>
    <n v="7.1"/>
    <m/>
    <n v="7.1"/>
    <m/>
    <m/>
    <m/>
    <m/>
    <m/>
    <m/>
    <m/>
    <m/>
    <m/>
    <m/>
    <m/>
    <m/>
    <m/>
    <m/>
    <m/>
    <m/>
    <m/>
    <m/>
    <m/>
    <m/>
    <m/>
    <m/>
    <m/>
    <m/>
    <m/>
    <m/>
    <m/>
    <m/>
    <m/>
    <m/>
    <m/>
    <n v="7.1"/>
    <m/>
    <m/>
    <s v="0.00%"/>
    <s v="0.00%"/>
    <s v="0.00%"/>
    <s v="0.00%"/>
    <m/>
    <m/>
    <m/>
    <m/>
    <m/>
    <m/>
    <m/>
    <s v="0.00%"/>
    <s v="0.00%"/>
    <s v="0.00%"/>
    <s v="0.00%"/>
    <m/>
    <m/>
    <m/>
    <m/>
    <m/>
    <m/>
    <m/>
    <m/>
    <m/>
    <m/>
    <m/>
    <m/>
    <m/>
    <m/>
    <m/>
    <m/>
    <m/>
    <s v="Mike Teixeira"/>
    <m/>
    <s v="02/02/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1/13/2026"/>
    <x v="3"/>
    <n v="5862630"/>
    <s v="Click Here To View"/>
    <s v="Construction"/>
    <n v="4.4800000000000004"/>
    <s v="100.00%"/>
    <s v="0.00%"/>
    <s v="100.00%"/>
    <s v="0.00%"/>
    <m/>
    <n v="4.4800000000000004"/>
    <m/>
    <n v="4.4800000000000004"/>
    <m/>
    <m/>
    <m/>
    <m/>
    <m/>
    <m/>
    <m/>
    <m/>
    <m/>
    <m/>
    <m/>
    <m/>
    <m/>
    <m/>
    <m/>
    <m/>
    <m/>
    <m/>
    <m/>
    <m/>
    <m/>
    <m/>
    <m/>
    <m/>
    <m/>
    <m/>
    <m/>
    <m/>
    <m/>
    <m/>
    <m/>
    <n v="4.4800000000000004"/>
    <m/>
    <m/>
    <s v="0.00%"/>
    <s v="0.00%"/>
    <s v="0.00%"/>
    <s v="0.00%"/>
    <m/>
    <m/>
    <m/>
    <m/>
    <m/>
    <m/>
    <m/>
    <s v="0.00%"/>
    <s v="0.00%"/>
    <s v="0.00%"/>
    <s v="0.00%"/>
    <m/>
    <m/>
    <m/>
    <m/>
    <m/>
    <m/>
    <m/>
    <m/>
    <m/>
    <m/>
    <m/>
    <m/>
    <m/>
    <m/>
    <m/>
    <m/>
    <m/>
    <s v="Mike Teixeira"/>
    <m/>
    <s v="02/02/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1/19/2026"/>
    <x v="3"/>
    <n v="5865589"/>
    <s v="Click Here To View"/>
    <s v="Construction"/>
    <n v="7.19"/>
    <s v="100.00%"/>
    <s v="0.00%"/>
    <s v="100.00%"/>
    <s v="0.00%"/>
    <m/>
    <n v="7.19"/>
    <m/>
    <n v="7.19"/>
    <m/>
    <m/>
    <m/>
    <m/>
    <m/>
    <m/>
    <m/>
    <m/>
    <m/>
    <m/>
    <m/>
    <m/>
    <m/>
    <m/>
    <m/>
    <m/>
    <m/>
    <m/>
    <m/>
    <m/>
    <m/>
    <m/>
    <m/>
    <m/>
    <m/>
    <m/>
    <m/>
    <m/>
    <m/>
    <m/>
    <m/>
    <n v="7.19"/>
    <m/>
    <m/>
    <s v="0.00%"/>
    <s v="0.00%"/>
    <s v="0.00%"/>
    <s v="0.00%"/>
    <m/>
    <m/>
    <m/>
    <m/>
    <m/>
    <m/>
    <m/>
    <s v="0.00%"/>
    <s v="0.00%"/>
    <s v="0.00%"/>
    <s v="0.00%"/>
    <m/>
    <m/>
    <m/>
    <m/>
    <m/>
    <m/>
    <m/>
    <m/>
    <m/>
    <m/>
    <m/>
    <m/>
    <m/>
    <m/>
    <m/>
    <m/>
    <m/>
    <s v="Mike Teixeira"/>
    <m/>
    <s v="02/02/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1/27/2026"/>
    <x v="3"/>
    <n v="5871097"/>
    <s v="Click Here To View"/>
    <s v="Construction"/>
    <n v="3.05"/>
    <s v="100.00%"/>
    <s v="0.00%"/>
    <s v="100.00%"/>
    <s v="0.00%"/>
    <m/>
    <n v="3.05"/>
    <m/>
    <n v="3.05"/>
    <m/>
    <m/>
    <m/>
    <m/>
    <m/>
    <m/>
    <m/>
    <m/>
    <m/>
    <m/>
    <m/>
    <m/>
    <m/>
    <m/>
    <m/>
    <m/>
    <m/>
    <m/>
    <m/>
    <m/>
    <m/>
    <m/>
    <m/>
    <m/>
    <m/>
    <m/>
    <m/>
    <m/>
    <m/>
    <m/>
    <m/>
    <n v="3.05"/>
    <m/>
    <m/>
    <s v="0.00%"/>
    <s v="0.00%"/>
    <s v="0.00%"/>
    <s v="0.00%"/>
    <m/>
    <m/>
    <m/>
    <m/>
    <m/>
    <m/>
    <m/>
    <s v="0.00%"/>
    <s v="0.00%"/>
    <s v="0.00%"/>
    <s v="0.00%"/>
    <m/>
    <m/>
    <m/>
    <m/>
    <m/>
    <m/>
    <m/>
    <m/>
    <m/>
    <m/>
    <m/>
    <m/>
    <m/>
    <m/>
    <m/>
    <m/>
    <m/>
    <s v="Mike Teixeira"/>
    <m/>
    <s v="02/02/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1/28/2026"/>
    <x v="3"/>
    <n v="5871777"/>
    <s v="Click Here To View"/>
    <s v="Construction"/>
    <n v="4.68"/>
    <s v="100.00%"/>
    <s v="0.00%"/>
    <s v="100.00%"/>
    <s v="0.00%"/>
    <m/>
    <n v="4.68"/>
    <m/>
    <n v="4.68"/>
    <m/>
    <m/>
    <m/>
    <m/>
    <m/>
    <m/>
    <m/>
    <m/>
    <m/>
    <m/>
    <m/>
    <m/>
    <m/>
    <m/>
    <m/>
    <m/>
    <m/>
    <m/>
    <m/>
    <m/>
    <m/>
    <m/>
    <m/>
    <m/>
    <m/>
    <m/>
    <m/>
    <m/>
    <m/>
    <m/>
    <m/>
    <n v="4.68"/>
    <m/>
    <m/>
    <s v="0.00%"/>
    <s v="0.00%"/>
    <s v="0.00%"/>
    <s v="0.00%"/>
    <m/>
    <m/>
    <m/>
    <m/>
    <m/>
    <m/>
    <m/>
    <s v="0.00%"/>
    <s v="0.00%"/>
    <s v="0.00%"/>
    <s v="0.00%"/>
    <m/>
    <m/>
    <m/>
    <m/>
    <m/>
    <m/>
    <m/>
    <m/>
    <m/>
    <m/>
    <m/>
    <m/>
    <m/>
    <m/>
    <m/>
    <m/>
    <m/>
    <s v="Mike Teixeira"/>
    <m/>
    <s v="03/04/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1/28/2026"/>
    <x v="3"/>
    <n v="5872135"/>
    <s v="Click Here To View"/>
    <s v="Construction"/>
    <n v="2.63"/>
    <s v="100.00%"/>
    <s v="0.00%"/>
    <s v="100.00%"/>
    <s v="0.00%"/>
    <m/>
    <n v="2.63"/>
    <m/>
    <n v="2.63"/>
    <m/>
    <m/>
    <m/>
    <m/>
    <m/>
    <m/>
    <m/>
    <m/>
    <m/>
    <m/>
    <m/>
    <m/>
    <m/>
    <m/>
    <m/>
    <m/>
    <m/>
    <m/>
    <m/>
    <m/>
    <m/>
    <m/>
    <m/>
    <m/>
    <m/>
    <m/>
    <m/>
    <m/>
    <m/>
    <m/>
    <m/>
    <n v="2.63"/>
    <m/>
    <m/>
    <s v="0.00%"/>
    <s v="0.00%"/>
    <s v="0.00%"/>
    <s v="0.00%"/>
    <m/>
    <m/>
    <m/>
    <m/>
    <m/>
    <m/>
    <m/>
    <s v="0.00%"/>
    <s v="0.00%"/>
    <s v="0.00%"/>
    <s v="0.00%"/>
    <m/>
    <m/>
    <m/>
    <m/>
    <m/>
    <m/>
    <m/>
    <m/>
    <m/>
    <m/>
    <m/>
    <m/>
    <m/>
    <m/>
    <m/>
    <m/>
    <m/>
    <s v="Mike Teixeira"/>
    <m/>
    <s v="03/04/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2/04/2026"/>
    <x v="4"/>
    <n v="5876433"/>
    <s v="Click Here To View"/>
    <s v="Construction"/>
    <n v="4.75"/>
    <s v="100.00%"/>
    <s v="0.00%"/>
    <s v="100.00%"/>
    <s v="0.00%"/>
    <m/>
    <n v="4.75"/>
    <m/>
    <n v="4.75"/>
    <m/>
    <m/>
    <m/>
    <m/>
    <m/>
    <m/>
    <m/>
    <m/>
    <m/>
    <m/>
    <m/>
    <m/>
    <m/>
    <m/>
    <m/>
    <m/>
    <m/>
    <m/>
    <m/>
    <m/>
    <m/>
    <m/>
    <m/>
    <m/>
    <m/>
    <m/>
    <m/>
    <m/>
    <m/>
    <m/>
    <m/>
    <n v="4.75"/>
    <m/>
    <m/>
    <s v="0.00%"/>
    <s v="0.00%"/>
    <s v="0.00%"/>
    <s v="0.00%"/>
    <m/>
    <m/>
    <m/>
    <m/>
    <m/>
    <m/>
    <m/>
    <s v="0.00%"/>
    <s v="0.00%"/>
    <s v="0.00%"/>
    <s v="0.00%"/>
    <m/>
    <m/>
    <m/>
    <m/>
    <m/>
    <m/>
    <m/>
    <m/>
    <m/>
    <m/>
    <m/>
    <m/>
    <m/>
    <m/>
    <m/>
    <m/>
    <m/>
    <s v="Mike Teixeira"/>
    <m/>
    <s v="03/04/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2/06/2026"/>
    <x v="4"/>
    <n v="5878095"/>
    <s v="Click Here To View"/>
    <s v="Construction"/>
    <n v="1.91"/>
    <s v="100.00%"/>
    <s v="0.00%"/>
    <s v="100.00%"/>
    <s v="0.00%"/>
    <m/>
    <n v="1.91"/>
    <m/>
    <n v="1.91"/>
    <m/>
    <m/>
    <m/>
    <m/>
    <m/>
    <m/>
    <m/>
    <m/>
    <m/>
    <m/>
    <m/>
    <m/>
    <m/>
    <m/>
    <m/>
    <m/>
    <m/>
    <m/>
    <m/>
    <m/>
    <m/>
    <m/>
    <m/>
    <m/>
    <m/>
    <m/>
    <m/>
    <m/>
    <m/>
    <m/>
    <m/>
    <n v="1.91"/>
    <m/>
    <m/>
    <s v="0.00%"/>
    <s v="0.00%"/>
    <s v="0.00%"/>
    <s v="0.00%"/>
    <m/>
    <m/>
    <m/>
    <m/>
    <m/>
    <m/>
    <m/>
    <s v="0.00%"/>
    <s v="0.00%"/>
    <s v="0.00%"/>
    <s v="0.00%"/>
    <m/>
    <m/>
    <m/>
    <m/>
    <m/>
    <m/>
    <m/>
    <m/>
    <m/>
    <m/>
    <m/>
    <m/>
    <m/>
    <m/>
    <m/>
    <m/>
    <m/>
    <s v="Mike Teixeira"/>
    <m/>
    <s v="03/04/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2/09/2026"/>
    <x v="4"/>
    <n v="5879106"/>
    <s v="Click Here To View"/>
    <s v="Construction"/>
    <n v="3.62"/>
    <s v="100.00%"/>
    <s v="0.00%"/>
    <s v="100.00%"/>
    <s v="0.00%"/>
    <m/>
    <n v="3.62"/>
    <m/>
    <n v="3.62"/>
    <m/>
    <m/>
    <m/>
    <m/>
    <m/>
    <m/>
    <m/>
    <m/>
    <m/>
    <m/>
    <m/>
    <m/>
    <m/>
    <m/>
    <m/>
    <m/>
    <m/>
    <m/>
    <m/>
    <m/>
    <m/>
    <m/>
    <m/>
    <m/>
    <m/>
    <m/>
    <m/>
    <m/>
    <m/>
    <m/>
    <m/>
    <n v="3.62"/>
    <m/>
    <m/>
    <s v="0.00%"/>
    <s v="0.00%"/>
    <s v="0.00%"/>
    <s v="0.00%"/>
    <m/>
    <m/>
    <m/>
    <m/>
    <m/>
    <m/>
    <m/>
    <s v="0.00%"/>
    <s v="0.00%"/>
    <s v="0.00%"/>
    <s v="0.00%"/>
    <m/>
    <m/>
    <m/>
    <m/>
    <m/>
    <m/>
    <m/>
    <m/>
    <m/>
    <m/>
    <m/>
    <m/>
    <m/>
    <m/>
    <m/>
    <m/>
    <m/>
    <s v="Mike Teixeira"/>
    <m/>
    <s v="03/04/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2/10/2026"/>
    <x v="4"/>
    <n v="5879964"/>
    <s v="Click Here To View"/>
    <s v="Construction"/>
    <n v="1.45"/>
    <s v="100.00%"/>
    <s v="0.00%"/>
    <s v="100.00%"/>
    <s v="0.00%"/>
    <m/>
    <n v="1.45"/>
    <m/>
    <n v="1.45"/>
    <m/>
    <m/>
    <m/>
    <m/>
    <m/>
    <m/>
    <m/>
    <m/>
    <m/>
    <m/>
    <m/>
    <m/>
    <m/>
    <m/>
    <m/>
    <m/>
    <m/>
    <m/>
    <m/>
    <m/>
    <m/>
    <m/>
    <m/>
    <m/>
    <m/>
    <m/>
    <m/>
    <m/>
    <m/>
    <m/>
    <m/>
    <n v="1.45"/>
    <m/>
    <m/>
    <s v="0.00%"/>
    <s v="0.00%"/>
    <s v="0.00%"/>
    <s v="0.00%"/>
    <m/>
    <m/>
    <m/>
    <m/>
    <m/>
    <m/>
    <m/>
    <s v="0.00%"/>
    <s v="0.00%"/>
    <s v="0.00%"/>
    <s v="0.00%"/>
    <m/>
    <m/>
    <m/>
    <m/>
    <m/>
    <m/>
    <m/>
    <m/>
    <m/>
    <m/>
    <m/>
    <m/>
    <m/>
    <m/>
    <m/>
    <m/>
    <m/>
    <s v="Mike Teixeira"/>
    <m/>
    <s v="03/04/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2/26/2026"/>
    <x v="4"/>
    <n v="5889050"/>
    <s v="Click Here To View"/>
    <s v="Construction"/>
    <n v="4.7300000000000004"/>
    <s v="100.00%"/>
    <s v="0.00%"/>
    <s v="100.00%"/>
    <s v="0.00%"/>
    <m/>
    <n v="4.7300000000000004"/>
    <m/>
    <n v="4.7300000000000004"/>
    <m/>
    <m/>
    <m/>
    <m/>
    <m/>
    <m/>
    <m/>
    <m/>
    <m/>
    <m/>
    <m/>
    <m/>
    <m/>
    <m/>
    <m/>
    <m/>
    <m/>
    <m/>
    <m/>
    <m/>
    <m/>
    <m/>
    <m/>
    <m/>
    <m/>
    <m/>
    <m/>
    <m/>
    <m/>
    <m/>
    <m/>
    <n v="4.7300000000000004"/>
    <m/>
    <m/>
    <s v="0.00%"/>
    <s v="0.00%"/>
    <s v="0.00%"/>
    <s v="0.00%"/>
    <m/>
    <m/>
    <m/>
    <m/>
    <m/>
    <m/>
    <m/>
    <s v="0.00%"/>
    <s v="0.00%"/>
    <s v="0.00%"/>
    <s v="0.00%"/>
    <m/>
    <m/>
    <m/>
    <m/>
    <m/>
    <m/>
    <m/>
    <m/>
    <m/>
    <m/>
    <m/>
    <m/>
    <m/>
    <m/>
    <m/>
    <m/>
    <m/>
    <s v="Mike Teixeira"/>
    <m/>
    <s v="04/01/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3/10/2026"/>
    <x v="34"/>
    <n v="5895935"/>
    <s v="Click Here To View"/>
    <s v="Construction"/>
    <n v="3.82"/>
    <s v="100.00%"/>
    <s v="0.00%"/>
    <s v="100.00%"/>
    <s v="0.00%"/>
    <m/>
    <n v="3.82"/>
    <m/>
    <n v="3.82"/>
    <m/>
    <m/>
    <m/>
    <m/>
    <m/>
    <m/>
    <m/>
    <m/>
    <m/>
    <m/>
    <m/>
    <m/>
    <m/>
    <m/>
    <m/>
    <m/>
    <m/>
    <m/>
    <m/>
    <m/>
    <m/>
    <m/>
    <m/>
    <m/>
    <m/>
    <m/>
    <m/>
    <m/>
    <m/>
    <m/>
    <m/>
    <n v="3.82"/>
    <m/>
    <m/>
    <s v="0.00%"/>
    <s v="0.00%"/>
    <s v="0.00%"/>
    <s v="0.00%"/>
    <m/>
    <m/>
    <m/>
    <m/>
    <m/>
    <m/>
    <m/>
    <s v="0.00%"/>
    <s v="0.00%"/>
    <s v="0.00%"/>
    <s v="0.00%"/>
    <m/>
    <m/>
    <m/>
    <m/>
    <m/>
    <m/>
    <m/>
    <m/>
    <m/>
    <m/>
    <m/>
    <m/>
    <m/>
    <m/>
    <m/>
    <m/>
    <m/>
    <s v="Mike Teixeira"/>
    <m/>
    <s v="04/01/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3/25/2026"/>
    <x v="34"/>
    <n v="5904742"/>
    <s v="Click Here To View"/>
    <s v="Construction"/>
    <n v="1.53"/>
    <s v="100.00%"/>
    <s v="0.00%"/>
    <s v="100.00%"/>
    <s v="0.00%"/>
    <m/>
    <n v="1.53"/>
    <m/>
    <n v="1.53"/>
    <m/>
    <m/>
    <m/>
    <m/>
    <m/>
    <m/>
    <m/>
    <m/>
    <m/>
    <m/>
    <m/>
    <m/>
    <m/>
    <m/>
    <m/>
    <m/>
    <m/>
    <m/>
    <m/>
    <m/>
    <m/>
    <m/>
    <m/>
    <m/>
    <m/>
    <m/>
    <m/>
    <m/>
    <m/>
    <m/>
    <m/>
    <n v="1.53"/>
    <m/>
    <m/>
    <s v="0.00%"/>
    <s v="0.00%"/>
    <s v="0.00%"/>
    <s v="0.00%"/>
    <m/>
    <m/>
    <m/>
    <m/>
    <m/>
    <m/>
    <m/>
    <s v="0.00%"/>
    <s v="0.00%"/>
    <s v="0.00%"/>
    <s v="0.00%"/>
    <m/>
    <m/>
    <m/>
    <m/>
    <m/>
    <m/>
    <m/>
    <m/>
    <m/>
    <m/>
    <m/>
    <m/>
    <m/>
    <m/>
    <m/>
    <m/>
    <m/>
    <s v="Mike Teixeira"/>
    <m/>
    <s v="04/01/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3/30/2026"/>
    <x v="34"/>
    <n v="5907806"/>
    <s v="Click Here To View"/>
    <s v="Construction"/>
    <n v="1.1000000000000001"/>
    <s v="100.00%"/>
    <s v="0.00%"/>
    <s v="100.00%"/>
    <s v="0.00%"/>
    <m/>
    <n v="1.1000000000000001"/>
    <m/>
    <n v="1.1000000000000001"/>
    <m/>
    <m/>
    <m/>
    <m/>
    <m/>
    <m/>
    <m/>
    <m/>
    <m/>
    <m/>
    <m/>
    <m/>
    <m/>
    <m/>
    <m/>
    <m/>
    <m/>
    <m/>
    <m/>
    <m/>
    <m/>
    <m/>
    <m/>
    <m/>
    <m/>
    <m/>
    <m/>
    <m/>
    <m/>
    <m/>
    <m/>
    <n v="1.1000000000000001"/>
    <m/>
    <m/>
    <s v="0.00%"/>
    <s v="0.00%"/>
    <s v="0.00%"/>
    <s v="0.00%"/>
    <m/>
    <m/>
    <m/>
    <m/>
    <m/>
    <m/>
    <m/>
    <s v="0.00%"/>
    <s v="0.00%"/>
    <s v="0.00%"/>
    <s v="0.00%"/>
    <m/>
    <m/>
    <m/>
    <m/>
    <m/>
    <m/>
    <m/>
    <m/>
    <m/>
    <m/>
    <m/>
    <m/>
    <m/>
    <m/>
    <m/>
    <m/>
    <m/>
    <s v="Mike Teixeira"/>
    <m/>
    <s v="05/04/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4/01/2026"/>
    <x v="39"/>
    <n v="5909360"/>
    <s v="Click Here To View"/>
    <s v="Construction"/>
    <n v="4.93"/>
    <s v="100.00%"/>
    <s v="0.00%"/>
    <s v="100.00%"/>
    <s v="0.00%"/>
    <m/>
    <n v="4.93"/>
    <m/>
    <n v="4.93"/>
    <m/>
    <m/>
    <m/>
    <m/>
    <m/>
    <m/>
    <m/>
    <m/>
    <m/>
    <m/>
    <m/>
    <m/>
    <m/>
    <m/>
    <m/>
    <m/>
    <m/>
    <m/>
    <m/>
    <m/>
    <m/>
    <m/>
    <m/>
    <m/>
    <m/>
    <m/>
    <m/>
    <m/>
    <m/>
    <m/>
    <m/>
    <n v="4.93"/>
    <m/>
    <m/>
    <s v="0.00%"/>
    <s v="0.00%"/>
    <s v="0.00%"/>
    <s v="0.00%"/>
    <m/>
    <m/>
    <m/>
    <m/>
    <m/>
    <m/>
    <m/>
    <s v="0.00%"/>
    <s v="0.00%"/>
    <s v="0.00%"/>
    <s v="0.00%"/>
    <m/>
    <m/>
    <m/>
    <m/>
    <m/>
    <m/>
    <m/>
    <m/>
    <m/>
    <m/>
    <m/>
    <m/>
    <m/>
    <m/>
    <m/>
    <m/>
    <m/>
    <s v="Mike Teixeira"/>
    <m/>
    <s v="05/04/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4/02/2026"/>
    <x v="39"/>
    <n v="5910065"/>
    <s v="Click Here To View"/>
    <s v="Construction"/>
    <n v="3.4"/>
    <s v="100.00%"/>
    <s v="0.00%"/>
    <s v="100.00%"/>
    <s v="0.00%"/>
    <m/>
    <n v="3.4"/>
    <m/>
    <n v="3.4"/>
    <m/>
    <m/>
    <m/>
    <m/>
    <m/>
    <m/>
    <m/>
    <m/>
    <m/>
    <m/>
    <m/>
    <m/>
    <m/>
    <m/>
    <m/>
    <m/>
    <m/>
    <m/>
    <m/>
    <m/>
    <m/>
    <m/>
    <m/>
    <m/>
    <m/>
    <m/>
    <m/>
    <m/>
    <m/>
    <m/>
    <m/>
    <n v="3.4"/>
    <m/>
    <m/>
    <s v="0.00%"/>
    <s v="0.00%"/>
    <s v="0.00%"/>
    <s v="0.00%"/>
    <m/>
    <m/>
    <m/>
    <m/>
    <m/>
    <m/>
    <m/>
    <s v="0.00%"/>
    <s v="0.00%"/>
    <s v="0.00%"/>
    <s v="0.00%"/>
    <m/>
    <m/>
    <m/>
    <m/>
    <m/>
    <m/>
    <m/>
    <m/>
    <m/>
    <m/>
    <m/>
    <m/>
    <m/>
    <m/>
    <m/>
    <m/>
    <m/>
    <s v="Mike Teixeira"/>
    <m/>
    <s v="05/04/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6/01/2026"/>
    <x v="41"/>
    <n v="5945299"/>
    <s v="Click Here To View"/>
    <s v="Construction"/>
    <n v="2.66"/>
    <s v="100.00%"/>
    <s v="0.00%"/>
    <s v="100.00%"/>
    <s v="0.00%"/>
    <m/>
    <n v="2.66"/>
    <m/>
    <n v="2.66"/>
    <m/>
    <m/>
    <m/>
    <m/>
    <m/>
    <m/>
    <m/>
    <m/>
    <m/>
    <m/>
    <m/>
    <m/>
    <m/>
    <m/>
    <m/>
    <m/>
    <m/>
    <m/>
    <m/>
    <m/>
    <m/>
    <m/>
    <m/>
    <m/>
    <m/>
    <m/>
    <m/>
    <m/>
    <m/>
    <m/>
    <m/>
    <n v="2.66"/>
    <m/>
    <m/>
    <s v="0.00%"/>
    <s v="0.00%"/>
    <s v="0.00%"/>
    <s v="0.00%"/>
    <m/>
    <m/>
    <m/>
    <m/>
    <m/>
    <m/>
    <m/>
    <s v="0.00%"/>
    <s v="0.00%"/>
    <s v="0.00%"/>
    <s v="0.00%"/>
    <m/>
    <m/>
    <m/>
    <m/>
    <m/>
    <m/>
    <m/>
    <m/>
    <m/>
    <m/>
    <m/>
    <m/>
    <m/>
    <m/>
    <m/>
    <m/>
    <m/>
    <s v="Mike Teixeira"/>
    <m/>
    <s v="06/22/2026"/>
    <s v="Mike Teixeira"/>
    <m/>
    <m/>
  </r>
  <r>
    <s v="Oakland/San Francisco/San Jose"/>
    <s v="UCB Gateway"/>
    <n v="210784"/>
    <m/>
    <s v="Higher Education | Laboratory / Research | 005 | 004"/>
    <n v="368"/>
    <s v="Garden of Eden Landscapes, Inc."/>
    <s v="Silvia Teixeria"/>
    <s v="Waste Management"/>
    <s v="2615 Davis Street, San Leandro, San Leandro, CA 94577"/>
    <m/>
    <s v="06/04/2026"/>
    <x v="41"/>
    <n v="5947649"/>
    <s v="Click Here To View"/>
    <s v="Construction"/>
    <n v="1.77"/>
    <s v="100.00%"/>
    <s v="0.00%"/>
    <s v="100.00%"/>
    <s v="0.00%"/>
    <m/>
    <n v="1.77"/>
    <m/>
    <n v="1.77"/>
    <m/>
    <m/>
    <m/>
    <m/>
    <m/>
    <m/>
    <m/>
    <m/>
    <m/>
    <m/>
    <m/>
    <m/>
    <m/>
    <m/>
    <m/>
    <m/>
    <m/>
    <m/>
    <m/>
    <m/>
    <m/>
    <m/>
    <m/>
    <m/>
    <m/>
    <m/>
    <m/>
    <m/>
    <m/>
    <m/>
    <m/>
    <n v="1.77"/>
    <m/>
    <m/>
    <s v="0.00%"/>
    <s v="0.00%"/>
    <s v="0.00%"/>
    <s v="0.00%"/>
    <m/>
    <m/>
    <m/>
    <m/>
    <m/>
    <m/>
    <m/>
    <s v="0.00%"/>
    <s v="0.00%"/>
    <s v="0.00%"/>
    <s v="0.00%"/>
    <m/>
    <m/>
    <m/>
    <m/>
    <m/>
    <m/>
    <m/>
    <m/>
    <m/>
    <m/>
    <m/>
    <m/>
    <m/>
    <m/>
    <m/>
    <m/>
    <m/>
    <s v="Mike Teixeira"/>
    <m/>
    <s v="06/22/2026"/>
    <s v="Mike Teixeira"/>
    <m/>
    <m/>
  </r>
  <r>
    <s v="Oakland/San Francisco/San Jose"/>
    <s v="UCB Gateway"/>
    <n v="210784"/>
    <m/>
    <s v="Higher Education | Laboratory / Research | 005 | 004"/>
    <n v="368"/>
    <s v="Garden of Eden Landscapes, Inc."/>
    <s v="Silvia Teixeria"/>
    <s v="Super Link Plastic"/>
    <s v="888 92nd Ave, Oakland, CA 94603"/>
    <m/>
    <s v="11/26/2024"/>
    <x v="25"/>
    <n v="119773"/>
    <s v="Click Here To View"/>
    <s v="Construction"/>
    <n v="0.84599999999999997"/>
    <s v="100.00%"/>
    <s v="0.00%"/>
    <s v="100.00%"/>
    <s v="0.00%"/>
    <m/>
    <n v="0.84599999999999997"/>
    <m/>
    <n v="0.84599999999999997"/>
    <m/>
    <m/>
    <m/>
    <m/>
    <m/>
    <m/>
    <m/>
    <m/>
    <n v="0.84599999999999997"/>
    <m/>
    <m/>
    <m/>
    <m/>
    <m/>
    <m/>
    <m/>
    <m/>
    <m/>
    <m/>
    <m/>
    <m/>
    <m/>
    <m/>
    <m/>
    <m/>
    <m/>
    <m/>
    <m/>
    <m/>
    <m/>
    <m/>
    <m/>
    <m/>
    <m/>
    <s v="0.00%"/>
    <s v="0.00%"/>
    <s v="0.00%"/>
    <s v="0.00%"/>
    <m/>
    <m/>
    <m/>
    <m/>
    <m/>
    <m/>
    <m/>
    <s v="0.00%"/>
    <s v="0.00%"/>
    <s v="0.00%"/>
    <s v="0.00%"/>
    <m/>
    <m/>
    <m/>
    <m/>
    <m/>
    <m/>
    <m/>
    <m/>
    <m/>
    <m/>
    <m/>
    <m/>
    <m/>
    <m/>
    <m/>
    <m/>
    <m/>
    <s v="Mike Teixeira"/>
    <m/>
    <s v="01/03/2025"/>
    <s v="Mike Teixeira"/>
    <m/>
    <m/>
  </r>
  <r>
    <s v="Oakland/San Francisco/San Jose"/>
    <s v="UCB Gateway"/>
    <n v="210784"/>
    <m/>
    <s v="Higher Education | Laboratory / Research | 005 | 004"/>
    <n v="368"/>
    <s v="Garden of Eden Landscapes, Inc."/>
    <s v="Silvia Teixeria"/>
    <s v="Super Link Plastic"/>
    <s v="888 92nd Ave, Oakland, CA 94603"/>
    <m/>
    <s v="12/17/2024"/>
    <x v="26"/>
    <n v="119919"/>
    <s v="Click Here To View"/>
    <s v="Construction"/>
    <n v="0.7"/>
    <s v="100.00%"/>
    <s v="0.00%"/>
    <s v="100.00%"/>
    <s v="0.00%"/>
    <m/>
    <n v="0.7"/>
    <m/>
    <n v="0.7"/>
    <m/>
    <m/>
    <m/>
    <m/>
    <m/>
    <m/>
    <m/>
    <m/>
    <n v="0.7"/>
    <m/>
    <m/>
    <m/>
    <m/>
    <m/>
    <m/>
    <m/>
    <m/>
    <m/>
    <m/>
    <m/>
    <m/>
    <m/>
    <m/>
    <m/>
    <m/>
    <m/>
    <m/>
    <m/>
    <m/>
    <m/>
    <m/>
    <m/>
    <m/>
    <m/>
    <s v="0.00%"/>
    <s v="0.00%"/>
    <s v="0.00%"/>
    <s v="0.00%"/>
    <m/>
    <m/>
    <m/>
    <m/>
    <m/>
    <m/>
    <m/>
    <s v="0.00%"/>
    <s v="0.00%"/>
    <s v="0.00%"/>
    <s v="0.00%"/>
    <m/>
    <m/>
    <m/>
    <m/>
    <m/>
    <m/>
    <m/>
    <m/>
    <m/>
    <m/>
    <m/>
    <m/>
    <m/>
    <m/>
    <m/>
    <m/>
    <m/>
    <s v="Mike Teixeira"/>
    <m/>
    <s v="01/15/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8/10/2024"/>
    <x v="22"/>
    <n v="5550792"/>
    <s v="Click Here To View"/>
    <s v="Construction"/>
    <n v="4.17"/>
    <s v="100.00%"/>
    <s v="0.00%"/>
    <s v="100.00%"/>
    <s v="0.00%"/>
    <m/>
    <n v="4.17"/>
    <m/>
    <n v="4.17"/>
    <m/>
    <m/>
    <m/>
    <m/>
    <m/>
    <n v="4.17"/>
    <m/>
    <m/>
    <m/>
    <m/>
    <m/>
    <m/>
    <m/>
    <m/>
    <m/>
    <m/>
    <m/>
    <m/>
    <m/>
    <m/>
    <m/>
    <m/>
    <m/>
    <m/>
    <m/>
    <m/>
    <m/>
    <m/>
    <m/>
    <m/>
    <m/>
    <m/>
    <m/>
    <m/>
    <s v="0.00%"/>
    <s v="0.00%"/>
    <s v="0.00%"/>
    <s v="0.00%"/>
    <m/>
    <m/>
    <m/>
    <m/>
    <m/>
    <m/>
    <m/>
    <s v="0.00%"/>
    <s v="0.00%"/>
    <s v="0.00%"/>
    <s v="0.00%"/>
    <m/>
    <m/>
    <m/>
    <m/>
    <m/>
    <m/>
    <m/>
    <m/>
    <m/>
    <m/>
    <m/>
    <m/>
    <m/>
    <m/>
    <m/>
    <m/>
    <m/>
    <s v="Mike Teixeira"/>
    <m/>
    <s v="08/26/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8/22/2024"/>
    <x v="22"/>
    <n v="5558454"/>
    <s v="Click Here To View"/>
    <s v="Construction"/>
    <n v="1.66"/>
    <s v="100.00%"/>
    <s v="0.00%"/>
    <s v="100.00%"/>
    <s v="0.00%"/>
    <m/>
    <n v="1.66"/>
    <m/>
    <n v="1.66"/>
    <m/>
    <m/>
    <m/>
    <m/>
    <m/>
    <n v="1.66"/>
    <m/>
    <m/>
    <m/>
    <m/>
    <m/>
    <m/>
    <m/>
    <m/>
    <m/>
    <m/>
    <m/>
    <m/>
    <m/>
    <m/>
    <m/>
    <m/>
    <m/>
    <m/>
    <m/>
    <m/>
    <m/>
    <m/>
    <m/>
    <m/>
    <m/>
    <m/>
    <m/>
    <m/>
    <s v="0.00%"/>
    <s v="0.00%"/>
    <s v="0.00%"/>
    <s v="0.00%"/>
    <m/>
    <m/>
    <m/>
    <m/>
    <m/>
    <m/>
    <m/>
    <s v="0.00%"/>
    <s v="0.00%"/>
    <s v="0.00%"/>
    <s v="0.00%"/>
    <m/>
    <m/>
    <m/>
    <m/>
    <m/>
    <m/>
    <m/>
    <m/>
    <m/>
    <m/>
    <m/>
    <m/>
    <m/>
    <m/>
    <m/>
    <m/>
    <m/>
    <s v="Mike Teixeira"/>
    <m/>
    <s v="08/26/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9/29/2025"/>
    <x v="31"/>
    <n v="5800426"/>
    <s v="Click Here To View"/>
    <s v="Construction"/>
    <n v="5.81"/>
    <s v="100.00%"/>
    <s v="0.00%"/>
    <s v="100.00%"/>
    <s v="0.00%"/>
    <m/>
    <n v="5.81"/>
    <m/>
    <n v="5.81"/>
    <m/>
    <m/>
    <m/>
    <m/>
    <m/>
    <n v="5.81"/>
    <m/>
    <m/>
    <m/>
    <m/>
    <m/>
    <m/>
    <m/>
    <m/>
    <m/>
    <m/>
    <m/>
    <m/>
    <m/>
    <m/>
    <m/>
    <m/>
    <m/>
    <m/>
    <m/>
    <m/>
    <m/>
    <m/>
    <m/>
    <m/>
    <m/>
    <m/>
    <m/>
    <m/>
    <s v="0.00%"/>
    <s v="0.00%"/>
    <s v="0.00%"/>
    <s v="0.00%"/>
    <m/>
    <m/>
    <m/>
    <m/>
    <m/>
    <m/>
    <m/>
    <s v="0.00%"/>
    <s v="0.00%"/>
    <s v="0.00%"/>
    <s v="0.00%"/>
    <m/>
    <m/>
    <m/>
    <m/>
    <m/>
    <m/>
    <m/>
    <m/>
    <m/>
    <m/>
    <m/>
    <m/>
    <m/>
    <m/>
    <m/>
    <m/>
    <m/>
    <s v="Mike Teixeira"/>
    <m/>
    <s v="11/03/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9/30/2025"/>
    <x v="31"/>
    <n v="5801536"/>
    <s v="Click Here To View"/>
    <s v="Construction"/>
    <n v="3.86"/>
    <s v="100.00%"/>
    <s v="0.00%"/>
    <s v="100.00%"/>
    <s v="0.00%"/>
    <m/>
    <n v="3.86"/>
    <m/>
    <n v="3.86"/>
    <m/>
    <m/>
    <m/>
    <m/>
    <m/>
    <n v="3.86"/>
    <m/>
    <m/>
    <m/>
    <m/>
    <m/>
    <m/>
    <m/>
    <m/>
    <m/>
    <m/>
    <m/>
    <m/>
    <m/>
    <m/>
    <m/>
    <m/>
    <m/>
    <m/>
    <m/>
    <m/>
    <m/>
    <m/>
    <m/>
    <m/>
    <m/>
    <m/>
    <m/>
    <m/>
    <s v="0.00%"/>
    <s v="0.00%"/>
    <s v="0.00%"/>
    <s v="0.00%"/>
    <m/>
    <m/>
    <m/>
    <m/>
    <m/>
    <m/>
    <m/>
    <s v="0.00%"/>
    <s v="0.00%"/>
    <s v="0.00%"/>
    <s v="0.00%"/>
    <m/>
    <m/>
    <m/>
    <m/>
    <m/>
    <m/>
    <m/>
    <m/>
    <m/>
    <m/>
    <m/>
    <m/>
    <m/>
    <m/>
    <m/>
    <m/>
    <m/>
    <s v="Mike Teixeira"/>
    <m/>
    <s v="11/03/2025"/>
    <s v="Mike Teixeira"/>
    <m/>
    <m/>
  </r>
  <r>
    <s v="Oakland/San Francisco/San Jose"/>
    <s v="UCB Gateway"/>
    <n v="210784"/>
    <m/>
    <s v="Higher Education | Laboratory / Research | 005 | 004"/>
    <n v="368"/>
    <s v="Garden of Eden Landscapes, Inc."/>
    <s v="Silvia Teixeria"/>
    <s v="Waste Management"/>
    <s v="2615 Davis Street, San Leandro, San Leandro, CA 94577"/>
    <m/>
    <s v="10/06/2025"/>
    <x v="1"/>
    <n v="5805050"/>
    <s v="Click Here To View"/>
    <s v="Construction"/>
    <n v="4.95"/>
    <s v="100.00%"/>
    <s v="0.00%"/>
    <s v="100.00%"/>
    <s v="0.00%"/>
    <m/>
    <n v="4.95"/>
    <m/>
    <n v="4.95"/>
    <m/>
    <m/>
    <m/>
    <m/>
    <m/>
    <n v="4.95"/>
    <m/>
    <m/>
    <m/>
    <m/>
    <m/>
    <m/>
    <m/>
    <m/>
    <m/>
    <m/>
    <m/>
    <m/>
    <m/>
    <m/>
    <m/>
    <m/>
    <m/>
    <m/>
    <m/>
    <m/>
    <m/>
    <m/>
    <m/>
    <m/>
    <m/>
    <m/>
    <m/>
    <m/>
    <s v="0.00%"/>
    <s v="0.00%"/>
    <s v="0.00%"/>
    <s v="0.00%"/>
    <m/>
    <m/>
    <m/>
    <m/>
    <m/>
    <m/>
    <m/>
    <s v="0.00%"/>
    <s v="0.00%"/>
    <s v="0.00%"/>
    <s v="0.00%"/>
    <m/>
    <m/>
    <m/>
    <m/>
    <m/>
    <m/>
    <m/>
    <m/>
    <m/>
    <m/>
    <m/>
    <m/>
    <m/>
    <m/>
    <m/>
    <m/>
    <m/>
    <s v="Mike Teixeira"/>
    <m/>
    <s v="11/03/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9/11/2024"/>
    <x v="23"/>
    <n v="5571166"/>
    <s v="Click Here To View"/>
    <s v="Construction"/>
    <n v="3.54"/>
    <s v="100.00%"/>
    <s v="0.00%"/>
    <s v="100.00%"/>
    <s v="0.00%"/>
    <m/>
    <n v="3.54"/>
    <m/>
    <n v="3.54"/>
    <m/>
    <m/>
    <m/>
    <m/>
    <m/>
    <m/>
    <m/>
    <n v="3.54"/>
    <m/>
    <m/>
    <m/>
    <m/>
    <m/>
    <m/>
    <m/>
    <m/>
    <m/>
    <m/>
    <m/>
    <m/>
    <m/>
    <m/>
    <m/>
    <m/>
    <m/>
    <m/>
    <m/>
    <m/>
    <m/>
    <m/>
    <m/>
    <m/>
    <m/>
    <m/>
    <s v="0.00%"/>
    <s v="0.00%"/>
    <s v="0.00%"/>
    <s v="0.00%"/>
    <m/>
    <m/>
    <m/>
    <m/>
    <m/>
    <m/>
    <m/>
    <s v="0.00%"/>
    <s v="0.00%"/>
    <s v="0.00%"/>
    <s v="0.00%"/>
    <m/>
    <m/>
    <m/>
    <m/>
    <m/>
    <m/>
    <m/>
    <m/>
    <m/>
    <m/>
    <m/>
    <m/>
    <m/>
    <m/>
    <m/>
    <m/>
    <m/>
    <s v="Mike Teixeira"/>
    <m/>
    <s v="09/26/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9/11/2024"/>
    <x v="23"/>
    <n v="5570924"/>
    <s v="Click Here To View"/>
    <s v="Construction"/>
    <n v="1.61"/>
    <s v="100.00%"/>
    <s v="0.00%"/>
    <s v="100.00%"/>
    <s v="0.00%"/>
    <m/>
    <n v="1.61"/>
    <m/>
    <n v="1.61"/>
    <m/>
    <m/>
    <m/>
    <m/>
    <m/>
    <m/>
    <m/>
    <n v="1.61"/>
    <m/>
    <m/>
    <m/>
    <m/>
    <m/>
    <m/>
    <m/>
    <m/>
    <m/>
    <m/>
    <m/>
    <m/>
    <m/>
    <m/>
    <m/>
    <m/>
    <m/>
    <m/>
    <m/>
    <m/>
    <m/>
    <m/>
    <m/>
    <m/>
    <m/>
    <m/>
    <s v="0.00%"/>
    <s v="0.00%"/>
    <s v="0.00%"/>
    <s v="0.00%"/>
    <m/>
    <m/>
    <m/>
    <m/>
    <m/>
    <m/>
    <m/>
    <s v="0.00%"/>
    <s v="0.00%"/>
    <s v="0.00%"/>
    <s v="0.00%"/>
    <m/>
    <m/>
    <m/>
    <m/>
    <m/>
    <m/>
    <m/>
    <m/>
    <m/>
    <m/>
    <m/>
    <m/>
    <m/>
    <m/>
    <m/>
    <m/>
    <m/>
    <s v="Mike Teixeira"/>
    <m/>
    <s v="09/26/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9/23/2024"/>
    <x v="23"/>
    <n v="5578729"/>
    <s v="Click Here To View"/>
    <s v="Construction"/>
    <n v="2.87"/>
    <s v="100.00%"/>
    <s v="0.00%"/>
    <s v="100.00%"/>
    <s v="0.00%"/>
    <m/>
    <n v="2.87"/>
    <m/>
    <n v="2.87"/>
    <m/>
    <m/>
    <m/>
    <m/>
    <m/>
    <m/>
    <m/>
    <n v="2.87"/>
    <m/>
    <m/>
    <m/>
    <m/>
    <m/>
    <m/>
    <m/>
    <m/>
    <m/>
    <m/>
    <m/>
    <m/>
    <m/>
    <m/>
    <m/>
    <m/>
    <m/>
    <m/>
    <m/>
    <m/>
    <m/>
    <m/>
    <m/>
    <m/>
    <m/>
    <m/>
    <s v="0.00%"/>
    <s v="0.00%"/>
    <s v="0.00%"/>
    <s v="0.00%"/>
    <m/>
    <m/>
    <m/>
    <m/>
    <m/>
    <m/>
    <m/>
    <s v="0.00%"/>
    <s v="0.00%"/>
    <s v="0.00%"/>
    <s v="0.00%"/>
    <m/>
    <m/>
    <m/>
    <m/>
    <m/>
    <m/>
    <m/>
    <m/>
    <m/>
    <m/>
    <m/>
    <m/>
    <m/>
    <m/>
    <m/>
    <m/>
    <m/>
    <s v="Mike Teixeira"/>
    <m/>
    <s v="09/26/2024"/>
    <s v="Mike Teixeira"/>
    <m/>
    <m/>
  </r>
  <r>
    <s v="Oakland/San Francisco/San Jose"/>
    <s v="UCB Gateway"/>
    <n v="210784"/>
    <m/>
    <s v="Higher Education | Laboratory / Research | 005 | 004"/>
    <n v="368"/>
    <s v="Garden of Eden Landscapes, Inc."/>
    <s v="Silvia Teixeria"/>
    <s v="Waste Management"/>
    <s v="2615 Davis Street, San Leandro, San Leandro, CA 94577"/>
    <m/>
    <s v="09/03/2025"/>
    <x v="31"/>
    <n v="5785168"/>
    <s v="Click Here To View"/>
    <s v="Construction"/>
    <n v="0.375"/>
    <s v="100.00%"/>
    <s v="0.00%"/>
    <s v="100.00%"/>
    <s v="0.00%"/>
    <m/>
    <n v="0.375"/>
    <m/>
    <n v="0.375"/>
    <m/>
    <m/>
    <m/>
    <m/>
    <m/>
    <m/>
    <m/>
    <m/>
    <m/>
    <m/>
    <m/>
    <m/>
    <m/>
    <m/>
    <m/>
    <m/>
    <n v="0.375"/>
    <m/>
    <m/>
    <m/>
    <m/>
    <m/>
    <m/>
    <m/>
    <m/>
    <m/>
    <m/>
    <m/>
    <m/>
    <m/>
    <m/>
    <m/>
    <m/>
    <m/>
    <s v="0.00%"/>
    <s v="0.00%"/>
    <s v="0.00%"/>
    <s v="0.00%"/>
    <m/>
    <m/>
    <m/>
    <m/>
    <m/>
    <m/>
    <m/>
    <s v="0.00%"/>
    <s v="0.00%"/>
    <s v="0.00%"/>
    <s v="0.00%"/>
    <m/>
    <m/>
    <m/>
    <m/>
    <m/>
    <m/>
    <m/>
    <m/>
    <m/>
    <m/>
    <m/>
    <m/>
    <m/>
    <m/>
    <m/>
    <m/>
    <m/>
    <s v="Mike Teixeira"/>
    <m/>
    <s v="09/03/2025"/>
    <s v="Mike Teixeira"/>
    <m/>
    <m/>
  </r>
  <r>
    <s v="Oakland/San Francisco/San Jose"/>
    <s v="UCB Gateway"/>
    <n v="210784"/>
    <m/>
    <s v="Higher Education | Laboratory / Research | 005 | 004"/>
    <n v="368"/>
    <s v="Garden of Eden Landscapes, Inc."/>
    <s v="Silvia Teixeria"/>
    <s v="Waste Management"/>
    <s v="2615 Davis Street, San Leandro, San Leandro, CA 94577"/>
    <m/>
    <s v="09/10/2025"/>
    <x v="31"/>
    <n v="5789456"/>
    <s v="Click Here To View"/>
    <s v="Construction"/>
    <n v="0.375"/>
    <s v="100.00%"/>
    <s v="0.00%"/>
    <s v="100.00%"/>
    <s v="0.00%"/>
    <m/>
    <n v="0.375"/>
    <m/>
    <n v="0.375"/>
    <m/>
    <m/>
    <m/>
    <m/>
    <m/>
    <m/>
    <m/>
    <m/>
    <m/>
    <m/>
    <m/>
    <m/>
    <m/>
    <m/>
    <m/>
    <m/>
    <n v="0.375"/>
    <m/>
    <m/>
    <m/>
    <m/>
    <m/>
    <m/>
    <m/>
    <m/>
    <m/>
    <m/>
    <m/>
    <m/>
    <m/>
    <m/>
    <m/>
    <m/>
    <m/>
    <s v="0.00%"/>
    <s v="0.00%"/>
    <s v="0.00%"/>
    <s v="0.00%"/>
    <m/>
    <m/>
    <m/>
    <m/>
    <m/>
    <m/>
    <m/>
    <s v="0.00%"/>
    <s v="0.00%"/>
    <s v="0.00%"/>
    <s v="0.00%"/>
    <m/>
    <m/>
    <m/>
    <m/>
    <m/>
    <m/>
    <m/>
    <m/>
    <m/>
    <m/>
    <m/>
    <m/>
    <m/>
    <m/>
    <m/>
    <m/>
    <m/>
    <s v="Mike Teixeira"/>
    <m/>
    <s v="09/11/2025"/>
    <s v="Mike Teixeira"/>
    <m/>
    <m/>
  </r>
  <r>
    <s v="Totals"/>
    <m/>
    <m/>
    <m/>
    <m/>
    <m/>
    <m/>
    <m/>
    <m/>
    <m/>
    <m/>
    <m/>
    <x v="0"/>
    <m/>
    <m/>
    <m/>
    <m/>
    <m/>
    <m/>
    <m/>
    <m/>
    <m/>
    <m/>
    <m/>
    <m/>
    <n v="354.43390000000022"/>
    <n v="380.42149999999992"/>
    <n v="10.009"/>
    <n v="4903.8496999999988"/>
    <n v="0"/>
    <n v="20.45"/>
    <n v="244.36699999999999"/>
    <n v="302.32150000000001"/>
    <n v="3.6159999999999997"/>
    <n v="288.34660000000008"/>
    <n v="0"/>
    <n v="0"/>
    <n v="0"/>
    <n v="0"/>
    <n v="0"/>
    <n v="0"/>
    <n v="0.75"/>
    <n v="0"/>
    <n v="0"/>
    <n v="939.56999999999948"/>
    <n v="0"/>
    <n v="0"/>
    <n v="0"/>
    <n v="0"/>
    <n v="0"/>
    <n v="24.342600000000001"/>
    <n v="0"/>
    <n v="0"/>
    <n v="0"/>
    <n v="0"/>
    <n v="9.1001999999999992"/>
    <n v="751.47489999999982"/>
    <n v="0"/>
    <n v="0"/>
    <m/>
    <m/>
    <m/>
    <m/>
    <m/>
    <m/>
    <m/>
    <m/>
    <n v="59185.2"/>
    <n v="0"/>
    <n v="0"/>
    <m/>
    <m/>
    <m/>
    <m/>
    <m/>
    <m/>
    <m/>
    <m/>
    <n v="0"/>
    <n v="0"/>
    <n v="0"/>
    <n v="0"/>
    <n v="0"/>
    <n v="0"/>
    <n v="0"/>
    <n v="0"/>
    <n v="0"/>
    <n v="0"/>
    <n v="0"/>
    <n v="0"/>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8484C5-2075-5A45-B13E-0578974EEFCB}"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J51" firstHeaderRow="0" firstDataRow="1" firstDataCol="1"/>
  <pivotFields count="10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3">
        <item x="9"/>
        <item x="37"/>
        <item x="10"/>
        <item x="11"/>
        <item x="12"/>
        <item x="13"/>
        <item x="14"/>
        <item x="15"/>
        <item x="16"/>
        <item x="17"/>
        <item x="18"/>
        <item x="19"/>
        <item x="6"/>
        <item x="5"/>
        <item x="38"/>
        <item x="7"/>
        <item x="20"/>
        <item x="21"/>
        <item x="22"/>
        <item x="23"/>
        <item x="24"/>
        <item x="25"/>
        <item x="26"/>
        <item x="27"/>
        <item x="28"/>
        <item x="35"/>
        <item x="29"/>
        <item x="30"/>
        <item x="2"/>
        <item x="8"/>
        <item x="33"/>
        <item x="31"/>
        <item x="1"/>
        <item x="36"/>
        <item x="32"/>
        <item x="3"/>
        <item x="4"/>
        <item x="34"/>
        <item x="39"/>
        <item x="40"/>
        <item x="41"/>
        <item x="0"/>
        <item t="default"/>
      </items>
    </pivotField>
    <pivotField showAll="0"/>
    <pivotField showAll="0"/>
    <pivotField showAll="0"/>
    <pivotField dataField="1"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8">
        <item sd="0" x="0"/>
        <item x="1"/>
        <item x="2"/>
        <item x="3"/>
        <item x="4"/>
        <item x="5"/>
        <item sd="0" x="6"/>
        <item t="default"/>
      </items>
    </pivotField>
  </pivotFields>
  <rowFields count="3">
    <field x="99"/>
    <field x="97"/>
    <field x="12"/>
  </rowFields>
  <rowItems count="48">
    <i>
      <x/>
    </i>
    <i>
      <x v="1"/>
    </i>
    <i r="1">
      <x v="11"/>
    </i>
    <i r="1">
      <x v="12"/>
    </i>
    <i>
      <x v="2"/>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x v="5"/>
    </i>
    <i r="1">
      <x v="1"/>
    </i>
    <i r="1">
      <x v="2"/>
    </i>
    <i r="1">
      <x v="3"/>
    </i>
    <i r="1">
      <x v="4"/>
    </i>
    <i r="1">
      <x v="5"/>
    </i>
    <i r="1">
      <x v="6"/>
    </i>
    <i t="grand">
      <x/>
    </i>
  </rowItems>
  <colFields count="1">
    <field x="-2"/>
  </colFields>
  <colItems count="61">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i i="38">
      <x v="38"/>
    </i>
    <i i="39">
      <x v="39"/>
    </i>
    <i i="40">
      <x v="40"/>
    </i>
    <i i="41">
      <x v="41"/>
    </i>
    <i i="42">
      <x v="42"/>
    </i>
    <i i="43">
      <x v="43"/>
    </i>
    <i i="44">
      <x v="44"/>
    </i>
    <i i="45">
      <x v="45"/>
    </i>
    <i i="46">
      <x v="46"/>
    </i>
    <i i="47">
      <x v="47"/>
    </i>
    <i i="48">
      <x v="48"/>
    </i>
    <i i="49">
      <x v="49"/>
    </i>
    <i i="50">
      <x v="50"/>
    </i>
    <i i="51">
      <x v="51"/>
    </i>
    <i i="52">
      <x v="52"/>
    </i>
    <i i="53">
      <x v="53"/>
    </i>
    <i i="54">
      <x v="54"/>
    </i>
    <i i="55">
      <x v="55"/>
    </i>
    <i i="56">
      <x v="56"/>
    </i>
    <i i="57">
      <x v="57"/>
    </i>
    <i i="58">
      <x v="58"/>
    </i>
    <i i="59">
      <x v="59"/>
    </i>
    <i i="60">
      <x v="60"/>
    </i>
  </colItems>
  <dataFields count="61">
    <dataField name="Sum of Ticket Total Tons" fld="16" baseField="0" baseItem="0"/>
    <dataField name="Sum of GM Reused Tons" fld="21" baseField="0" baseItem="0"/>
    <dataField name="Sum of GM Recycled Tons" fld="22" baseField="0" baseItem="0"/>
    <dataField name="Sum of GM Disposed Tons" fld="23" baseField="0" baseItem="0"/>
    <dataField name="Sum of GM Total Tons" fld="24" baseField="0" baseItem="0"/>
    <dataField name="Sum of Alternate Daily Cover (ADC)" fld="25" baseField="0" baseItem="0"/>
    <dataField name="Sum of Asphalt - Pavement &amp; Grinding" fld="26" baseField="0" baseItem="0"/>
    <dataField name="Sum of Cardboard &amp; Paper Products" fld="27" baseField="0" baseItem="0"/>
    <dataField name="Sum of Concrete" fld="28" baseField="0" baseItem="0"/>
    <dataField name="Sum of Deconstructed &amp; Reuse Items" fld="29" baseField="0" baseItem="0"/>
    <dataField name="Sum of Drywall - Demo &amp; painted" fld="30" baseField="0" baseItem="0"/>
    <dataField name="Sum of Metal" fld="31" baseField="0" baseItem="0"/>
    <dataField name="Sum of Mixed Recyclables" fld="32" baseField="0" baseItem="0"/>
    <dataField name="Sum of Plastics &amp; Plastic Packaging Materials" fld="33" baseField="0" baseItem="0"/>
    <dataField name="Sum of Waste (Trash)" fld="34" baseField="0" baseItem="0"/>
    <dataField name="Sum of Appliances &amp; Equipment" fld="35" baseField="0" baseItem="0"/>
    <dataField name="Sum of Aritificial Grass/Synthetic Turf" fld="36" baseField="0" baseItem="0"/>
    <dataField name="Sum of Asphalt - Roofing" fld="37" baseField="0" baseItem="0"/>
    <dataField name="Sum of Bricks, Masonry &amp; Stone Products" fld="38" baseField="0" baseItem="0"/>
    <dataField name="Sum of Carpet &amp; Padding" fld="39" baseField="0" baseItem="0"/>
    <dataField name="Sum of Ceiling Tiles" fld="40" baseField="0" baseItem="0"/>
    <dataField name="Sum of Compost" fld="41" baseField="0" baseItem="0"/>
    <dataField name="Sum of Compostable Food Waste" fld="42" baseField="0" baseItem="0"/>
    <dataField name="Sum of Donated Food" fld="43" baseField="0" baseItem="0"/>
    <dataField name="Sum of Drywall - Clean/Unpainted" fld="44" baseField="0" baseItem="0"/>
    <dataField name="Sum of EPS Styrofoam" fld="45" baseField="0" baseItem="0"/>
    <dataField name="Sum of eWaste" fld="46" baseField="0" baseItem="0"/>
    <dataField name="Sum of Glass Bottles &amp; Containers" fld="47" baseField="0" baseItem="0"/>
    <dataField name="Sum of Glass Plate or Tempered" fld="48" baseField="0" baseItem="0"/>
    <dataField name="Sum of High-Density Polyethylene (HDPE)" fld="49" baseField="0" baseItem="0"/>
    <dataField name="Sum of Miscellaneous Debris" fld="50" baseField="0" baseItem="0"/>
    <dataField name="Sum of Mixed Food Waste" fld="51" baseField="0" baseItem="0"/>
    <dataField name="Sum of Paint" fld="52" baseField="0" baseItem="0"/>
    <dataField name="Sum of Paint - oil based" fld="53" baseField="0" baseItem="0"/>
    <dataField name="Sum of Porcelain" fld="54" baseField="0" baseItem="0"/>
    <dataField name="Sum of Trash Sorted for Recovery" fld="55" baseField="0" baseItem="0"/>
    <dataField name="Sum of Wood - Clean" fld="56" baseField="0" baseItem="0"/>
    <dataField name="Sum of Wood - Painted/Stained Recoverable" fld="57" baseField="0" baseItem="0"/>
    <dataField name="Sum of Wood - Pallets" fld="58" baseField="0" baseItem="0"/>
    <dataField name="Sum of EW Reused Tons" fld="63" baseField="0" baseItem="0"/>
    <dataField name="Sum of EW Recycled Tons" fld="64" baseField="0" baseItem="0"/>
    <dataField name="Sum of EW Disposed Tons" fld="65" baseField="0" baseItem="0"/>
    <dataField name="Sum of EW Total Tons" fld="66" baseField="0" baseItem="0"/>
    <dataField name="Sum of Dirt/Soil-Clean Fill*" fld="67" baseField="0" baseItem="0"/>
    <dataField name="Sum of Green Waste*" fld="68" baseField="0" baseItem="0"/>
    <dataField name="Sum of Rock, Sand, Gravel &amp; other inerts*" fld="69" baseField="0" baseItem="0"/>
    <dataField name="Sum of Haz Recycled Tons" fld="75" baseField="0" baseItem="0"/>
    <dataField name="Sum of Haz Disposed Tons" fld="76" baseField="0" baseItem="0"/>
    <dataField name="Sum of Haz Total Tons" fld="77" baseField="0" baseItem="0"/>
    <dataField name="Sum of Batteries*" fld="78" baseField="0" baseItem="0"/>
    <dataField name="Sum of Dirt/Soil-Contaminated Non-Hazardous*" fld="79" baseField="0" baseItem="0"/>
    <dataField name="Sum of Dirt/Soil-Contaminated, Hazardous*" fld="80" baseField="0" baseItem="0"/>
    <dataField name="Sum of Dirt/Soil-Hazardous*" fld="81" baseField="0" baseItem="0"/>
    <dataField name="Sum of Fluorescent Bulbs*" fld="82" baseField="0" baseItem="0"/>
    <dataField name="Sum of Materials Containing Asbestos*" fld="83" baseField="0" baseItem="0"/>
    <dataField name="Sum of Materials with Lead-Based Paint*" fld="84" baseField="0" baseItem="0"/>
    <dataField name="Sum of Other Hazardous Waste &amp; Materials*" fld="85" baseField="0" baseItem="0"/>
    <dataField name="Sum of PCBs - Polychlorinated Biphenyls*" fld="86" baseField="0" baseItem="0"/>
    <dataField name="Sum of Thermostats &amp; Mercury - Containing Equipment*" fld="87" baseField="0" baseItem="0"/>
    <dataField name="Sum of Universal Waste - Other*" fld="88" baseField="0" baseItem="0"/>
    <dataField name="Sum of Wood - Treated/Hazardous*" fld="89" baseField="0" baseItem="0"/>
  </dataFields>
  <formats count="70">
    <format dxfId="69">
      <pivotArea outline="0" collapsedLevelsAreSubtotals="1" fieldPosition="0"/>
    </format>
    <format dxfId="68">
      <pivotArea grandRow="1" outline="0" collapsedLevelsAreSubtotals="1" fieldPosition="0"/>
    </format>
    <format dxfId="67">
      <pivotArea collapsedLevelsAreSubtotals="1" fieldPosition="0">
        <references count="1">
          <reference field="99" count="1">
            <x v="1"/>
          </reference>
        </references>
      </pivotArea>
    </format>
    <format dxfId="66">
      <pivotArea collapsedLevelsAreSubtotals="1" fieldPosition="0">
        <references count="2">
          <reference field="97" count="1">
            <x v="11"/>
          </reference>
          <reference field="99" count="1" selected="0">
            <x v="1"/>
          </reference>
        </references>
      </pivotArea>
    </format>
    <format dxfId="65">
      <pivotArea collapsedLevelsAreSubtotals="1" fieldPosition="0">
        <references count="2">
          <reference field="97" count="1">
            <x v="12"/>
          </reference>
          <reference field="99" count="1" selected="0">
            <x v="1"/>
          </reference>
        </references>
      </pivotArea>
    </format>
    <format dxfId="64">
      <pivotArea collapsedLevelsAreSubtotals="1" fieldPosition="0">
        <references count="1">
          <reference field="99" count="1">
            <x v="2"/>
          </reference>
        </references>
      </pivotArea>
    </format>
    <format dxfId="63">
      <pivotArea collapsedLevelsAreSubtotals="1" fieldPosition="0">
        <references count="2">
          <reference field="97" count="1">
            <x v="4"/>
          </reference>
          <reference field="99" count="1" selected="0">
            <x v="2"/>
          </reference>
        </references>
      </pivotArea>
    </format>
    <format dxfId="62">
      <pivotArea collapsedLevelsAreSubtotals="1" fieldPosition="0">
        <references count="2">
          <reference field="97" count="1">
            <x v="5"/>
          </reference>
          <reference field="99" count="1" selected="0">
            <x v="2"/>
          </reference>
        </references>
      </pivotArea>
    </format>
    <format dxfId="61">
      <pivotArea collapsedLevelsAreSubtotals="1" fieldPosition="0">
        <references count="2">
          <reference field="97" count="1">
            <x v="6"/>
          </reference>
          <reference field="99" count="1" selected="0">
            <x v="2"/>
          </reference>
        </references>
      </pivotArea>
    </format>
    <format dxfId="60">
      <pivotArea collapsedLevelsAreSubtotals="1" fieldPosition="0">
        <references count="2">
          <reference field="97" count="1">
            <x v="7"/>
          </reference>
          <reference field="99" count="1" selected="0">
            <x v="2"/>
          </reference>
        </references>
      </pivotArea>
    </format>
    <format dxfId="59">
      <pivotArea collapsedLevelsAreSubtotals="1" fieldPosition="0">
        <references count="2">
          <reference field="97" count="1">
            <x v="8"/>
          </reference>
          <reference field="99" count="1" selected="0">
            <x v="2"/>
          </reference>
        </references>
      </pivotArea>
    </format>
    <format dxfId="58">
      <pivotArea collapsedLevelsAreSubtotals="1" fieldPosition="0">
        <references count="2">
          <reference field="97" count="1">
            <x v="9"/>
          </reference>
          <reference field="99" count="1" selected="0">
            <x v="2"/>
          </reference>
        </references>
      </pivotArea>
    </format>
    <format dxfId="57">
      <pivotArea collapsedLevelsAreSubtotals="1" fieldPosition="0">
        <references count="2">
          <reference field="97" count="1">
            <x v="10"/>
          </reference>
          <reference field="99" count="1" selected="0">
            <x v="2"/>
          </reference>
        </references>
      </pivotArea>
    </format>
    <format dxfId="56">
      <pivotArea collapsedLevelsAreSubtotals="1" fieldPosition="0">
        <references count="2">
          <reference field="97" count="1">
            <x v="11"/>
          </reference>
          <reference field="99" count="1" selected="0">
            <x v="2"/>
          </reference>
        </references>
      </pivotArea>
    </format>
    <format dxfId="55">
      <pivotArea collapsedLevelsAreSubtotals="1" fieldPosition="0">
        <references count="2">
          <reference field="97" count="1">
            <x v="12"/>
          </reference>
          <reference field="99" count="1" selected="0">
            <x v="2"/>
          </reference>
        </references>
      </pivotArea>
    </format>
    <format dxfId="54">
      <pivotArea collapsedLevelsAreSubtotals="1" fieldPosition="0">
        <references count="1">
          <reference field="99" count="1">
            <x v="3"/>
          </reference>
        </references>
      </pivotArea>
    </format>
    <format dxfId="53">
      <pivotArea collapsedLevelsAreSubtotals="1" fieldPosition="0">
        <references count="2">
          <reference field="97" count="1">
            <x v="1"/>
          </reference>
          <reference field="99" count="1" selected="0">
            <x v="3"/>
          </reference>
        </references>
      </pivotArea>
    </format>
    <format dxfId="52">
      <pivotArea collapsedLevelsAreSubtotals="1" fieldPosition="0">
        <references count="2">
          <reference field="97" count="1">
            <x v="2"/>
          </reference>
          <reference field="99" count="1" selected="0">
            <x v="3"/>
          </reference>
        </references>
      </pivotArea>
    </format>
    <format dxfId="51">
      <pivotArea collapsedLevelsAreSubtotals="1" fieldPosition="0">
        <references count="2">
          <reference field="97" count="1">
            <x v="3"/>
          </reference>
          <reference field="99" count="1" selected="0">
            <x v="3"/>
          </reference>
        </references>
      </pivotArea>
    </format>
    <format dxfId="50">
      <pivotArea collapsedLevelsAreSubtotals="1" fieldPosition="0">
        <references count="2">
          <reference field="97" count="1">
            <x v="4"/>
          </reference>
          <reference field="99" count="1" selected="0">
            <x v="3"/>
          </reference>
        </references>
      </pivotArea>
    </format>
    <format dxfId="49">
      <pivotArea collapsedLevelsAreSubtotals="1" fieldPosition="0">
        <references count="2">
          <reference field="97" count="1">
            <x v="5"/>
          </reference>
          <reference field="99" count="1" selected="0">
            <x v="3"/>
          </reference>
        </references>
      </pivotArea>
    </format>
    <format dxfId="48">
      <pivotArea collapsedLevelsAreSubtotals="1" fieldPosition="0">
        <references count="2">
          <reference field="97" count="1">
            <x v="6"/>
          </reference>
          <reference field="99" count="1" selected="0">
            <x v="3"/>
          </reference>
        </references>
      </pivotArea>
    </format>
    <format dxfId="47">
      <pivotArea collapsedLevelsAreSubtotals="1" fieldPosition="0">
        <references count="2">
          <reference field="97" count="1">
            <x v="7"/>
          </reference>
          <reference field="99" count="1" selected="0">
            <x v="3"/>
          </reference>
        </references>
      </pivotArea>
    </format>
    <format dxfId="46">
      <pivotArea collapsedLevelsAreSubtotals="1" fieldPosition="0">
        <references count="2">
          <reference field="97" count="1">
            <x v="8"/>
          </reference>
          <reference field="99" count="1" selected="0">
            <x v="3"/>
          </reference>
        </references>
      </pivotArea>
    </format>
    <format dxfId="45">
      <pivotArea collapsedLevelsAreSubtotals="1" fieldPosition="0">
        <references count="2">
          <reference field="97" count="1">
            <x v="9"/>
          </reference>
          <reference field="99" count="1" selected="0">
            <x v="3"/>
          </reference>
        </references>
      </pivotArea>
    </format>
    <format dxfId="44">
      <pivotArea collapsedLevelsAreSubtotals="1" fieldPosition="0">
        <references count="2">
          <reference field="97" count="1">
            <x v="10"/>
          </reference>
          <reference field="99" count="1" selected="0">
            <x v="3"/>
          </reference>
        </references>
      </pivotArea>
    </format>
    <format dxfId="43">
      <pivotArea collapsedLevelsAreSubtotals="1" fieldPosition="0">
        <references count="2">
          <reference field="97" count="1">
            <x v="11"/>
          </reference>
          <reference field="99" count="1" selected="0">
            <x v="3"/>
          </reference>
        </references>
      </pivotArea>
    </format>
    <format dxfId="42">
      <pivotArea collapsedLevelsAreSubtotals="1" fieldPosition="0">
        <references count="2">
          <reference field="97" count="1">
            <x v="12"/>
          </reference>
          <reference field="99" count="1" selected="0">
            <x v="3"/>
          </reference>
        </references>
      </pivotArea>
    </format>
    <format dxfId="41">
      <pivotArea collapsedLevelsAreSubtotals="1" fieldPosition="0">
        <references count="1">
          <reference field="99" count="1">
            <x v="4"/>
          </reference>
        </references>
      </pivotArea>
    </format>
    <format dxfId="40">
      <pivotArea collapsedLevelsAreSubtotals="1" fieldPosition="0">
        <references count="2">
          <reference field="97" count="1">
            <x v="1"/>
          </reference>
          <reference field="99" count="1" selected="0">
            <x v="4"/>
          </reference>
        </references>
      </pivotArea>
    </format>
    <format dxfId="39">
      <pivotArea collapsedLevelsAreSubtotals="1" fieldPosition="0">
        <references count="2">
          <reference field="97" count="1">
            <x v="2"/>
          </reference>
          <reference field="99" count="1" selected="0">
            <x v="4"/>
          </reference>
        </references>
      </pivotArea>
    </format>
    <format dxfId="38">
      <pivotArea collapsedLevelsAreSubtotals="1" fieldPosition="0">
        <references count="2">
          <reference field="97" count="1">
            <x v="3"/>
          </reference>
          <reference field="99" count="1" selected="0">
            <x v="4"/>
          </reference>
        </references>
      </pivotArea>
    </format>
    <format dxfId="37">
      <pivotArea collapsedLevelsAreSubtotals="1" fieldPosition="0">
        <references count="2">
          <reference field="97" count="1">
            <x v="4"/>
          </reference>
          <reference field="99" count="1" selected="0">
            <x v="4"/>
          </reference>
        </references>
      </pivotArea>
    </format>
    <format dxfId="36">
      <pivotArea collapsedLevelsAreSubtotals="1" fieldPosition="0">
        <references count="2">
          <reference field="97" count="1">
            <x v="5"/>
          </reference>
          <reference field="99" count="1" selected="0">
            <x v="4"/>
          </reference>
        </references>
      </pivotArea>
    </format>
    <format dxfId="35">
      <pivotArea collapsedLevelsAreSubtotals="1" fieldPosition="0">
        <references count="2">
          <reference field="97" count="1">
            <x v="6"/>
          </reference>
          <reference field="99" count="1" selected="0">
            <x v="4"/>
          </reference>
        </references>
      </pivotArea>
    </format>
    <format dxfId="34">
      <pivotArea collapsedLevelsAreSubtotals="1" fieldPosition="0">
        <references count="2">
          <reference field="97" count="1">
            <x v="7"/>
          </reference>
          <reference field="99" count="1" selected="0">
            <x v="4"/>
          </reference>
        </references>
      </pivotArea>
    </format>
    <format dxfId="33">
      <pivotArea collapsedLevelsAreSubtotals="1" fieldPosition="0">
        <references count="2">
          <reference field="97" count="1">
            <x v="8"/>
          </reference>
          <reference field="99" count="1" selected="0">
            <x v="4"/>
          </reference>
        </references>
      </pivotArea>
    </format>
    <format dxfId="32">
      <pivotArea collapsedLevelsAreSubtotals="1" fieldPosition="0">
        <references count="2">
          <reference field="97" count="1">
            <x v="9"/>
          </reference>
          <reference field="99" count="1" selected="0">
            <x v="4"/>
          </reference>
        </references>
      </pivotArea>
    </format>
    <format dxfId="31">
      <pivotArea collapsedLevelsAreSubtotals="1" fieldPosition="0">
        <references count="2">
          <reference field="97" count="1">
            <x v="10"/>
          </reference>
          <reference field="99" count="1" selected="0">
            <x v="4"/>
          </reference>
        </references>
      </pivotArea>
    </format>
    <format dxfId="30">
      <pivotArea collapsedLevelsAreSubtotals="1" fieldPosition="0">
        <references count="2">
          <reference field="97" count="1">
            <x v="11"/>
          </reference>
          <reference field="99" count="1" selected="0">
            <x v="4"/>
          </reference>
        </references>
      </pivotArea>
    </format>
    <format dxfId="29">
      <pivotArea collapsedLevelsAreSubtotals="1" fieldPosition="0">
        <references count="2">
          <reference field="97" count="1">
            <x v="12"/>
          </reference>
          <reference field="99" count="1" selected="0">
            <x v="4"/>
          </reference>
        </references>
      </pivotArea>
    </format>
    <format dxfId="28">
      <pivotArea collapsedLevelsAreSubtotals="1" fieldPosition="0">
        <references count="1">
          <reference field="99" count="1">
            <x v="5"/>
          </reference>
        </references>
      </pivotArea>
    </format>
    <format dxfId="27">
      <pivotArea collapsedLevelsAreSubtotals="1" fieldPosition="0">
        <references count="2">
          <reference field="97" count="1">
            <x v="1"/>
          </reference>
          <reference field="99" count="1" selected="0">
            <x v="5"/>
          </reference>
        </references>
      </pivotArea>
    </format>
    <format dxfId="26">
      <pivotArea collapsedLevelsAreSubtotals="1" fieldPosition="0">
        <references count="2">
          <reference field="97" count="1">
            <x v="2"/>
          </reference>
          <reference field="99" count="1" selected="0">
            <x v="5"/>
          </reference>
        </references>
      </pivotArea>
    </format>
    <format dxfId="25">
      <pivotArea collapsedLevelsAreSubtotals="1" fieldPosition="0">
        <references count="2">
          <reference field="97" count="1">
            <x v="3"/>
          </reference>
          <reference field="99" count="1" selected="0">
            <x v="5"/>
          </reference>
        </references>
      </pivotArea>
    </format>
    <format dxfId="24">
      <pivotArea collapsedLevelsAreSubtotals="1" fieldPosition="0">
        <references count="2">
          <reference field="97" count="1">
            <x v="4"/>
          </reference>
          <reference field="99" count="1" selected="0">
            <x v="5"/>
          </reference>
        </references>
      </pivotArea>
    </format>
    <format dxfId="23">
      <pivotArea collapsedLevelsAreSubtotals="1" fieldPosition="0">
        <references count="2">
          <reference field="97" count="1">
            <x v="5"/>
          </reference>
          <reference field="99" count="1" selected="0">
            <x v="5"/>
          </reference>
        </references>
      </pivotArea>
    </format>
    <format dxfId="22">
      <pivotArea collapsedLevelsAreSubtotals="1" fieldPosition="0">
        <references count="2">
          <reference field="97" count="1">
            <x v="6"/>
          </reference>
          <reference field="99" count="1" selected="0">
            <x v="5"/>
          </reference>
        </references>
      </pivotArea>
    </format>
    <format dxfId="21">
      <pivotArea collapsedLevelsAreSubtotals="1" fieldPosition="0">
        <references count="1">
          <reference field="99" count="1">
            <x v="1"/>
          </reference>
        </references>
      </pivotArea>
    </format>
    <format dxfId="20">
      <pivotArea dataOnly="0" labelOnly="1" fieldPosition="0">
        <references count="1">
          <reference field="99" count="1">
            <x v="1"/>
          </reference>
        </references>
      </pivotArea>
    </format>
    <format dxfId="19">
      <pivotArea collapsedLevelsAreSubtotals="1" fieldPosition="0">
        <references count="1">
          <reference field="99" count="1">
            <x v="2"/>
          </reference>
        </references>
      </pivotArea>
    </format>
    <format dxfId="18">
      <pivotArea dataOnly="0" labelOnly="1" fieldPosition="0">
        <references count="1">
          <reference field="99" count="1">
            <x v="2"/>
          </reference>
        </references>
      </pivotArea>
    </format>
    <format dxfId="17">
      <pivotArea collapsedLevelsAreSubtotals="1" fieldPosition="0">
        <references count="1">
          <reference field="99" count="1">
            <x v="3"/>
          </reference>
        </references>
      </pivotArea>
    </format>
    <format dxfId="16">
      <pivotArea dataOnly="0" labelOnly="1" fieldPosition="0">
        <references count="1">
          <reference field="99" count="1">
            <x v="3"/>
          </reference>
        </references>
      </pivotArea>
    </format>
    <format dxfId="15">
      <pivotArea collapsedLevelsAreSubtotals="1" fieldPosition="0">
        <references count="1">
          <reference field="99" count="1">
            <x v="4"/>
          </reference>
        </references>
      </pivotArea>
    </format>
    <format dxfId="14">
      <pivotArea dataOnly="0" labelOnly="1" fieldPosition="0">
        <references count="1">
          <reference field="99" count="1">
            <x v="4"/>
          </reference>
        </references>
      </pivotArea>
    </format>
    <format dxfId="13">
      <pivotArea collapsedLevelsAreSubtotals="1" fieldPosition="0">
        <references count="1">
          <reference field="99" count="1">
            <x v="5"/>
          </reference>
        </references>
      </pivotArea>
    </format>
    <format dxfId="12">
      <pivotArea dataOnly="0" labelOnly="1" fieldPosition="0">
        <references count="1">
          <reference field="99" count="1">
            <x v="5"/>
          </reference>
        </references>
      </pivotArea>
    </format>
    <format dxfId="11">
      <pivotArea type="all" dataOnly="0" outline="0" fieldPosition="0"/>
    </format>
    <format dxfId="10">
      <pivotArea outline="0" collapsedLevelsAreSubtotals="1" fieldPosition="0"/>
    </format>
    <format dxfId="9">
      <pivotArea field="99" type="button" dataOnly="0" labelOnly="1" outline="0" axis="axisRow" fieldPosition="0"/>
    </format>
    <format dxfId="8">
      <pivotArea dataOnly="0" labelOnly="1" fieldPosition="0">
        <references count="1">
          <reference field="99" count="6">
            <x v="0"/>
            <x v="1"/>
            <x v="2"/>
            <x v="3"/>
            <x v="4"/>
            <x v="5"/>
          </reference>
        </references>
      </pivotArea>
    </format>
    <format dxfId="7">
      <pivotArea dataOnly="0" labelOnly="1" grandRow="1" outline="0" fieldPosition="0"/>
    </format>
    <format dxfId="6">
      <pivotArea dataOnly="0" labelOnly="1" fieldPosition="0">
        <references count="2">
          <reference field="97" count="2">
            <x v="11"/>
            <x v="12"/>
          </reference>
          <reference field="99" count="1" selected="0">
            <x v="1"/>
          </reference>
        </references>
      </pivotArea>
    </format>
    <format dxfId="5">
      <pivotArea dataOnly="0" labelOnly="1" fieldPosition="0">
        <references count="2">
          <reference field="97" count="9">
            <x v="4"/>
            <x v="5"/>
            <x v="6"/>
            <x v="7"/>
            <x v="8"/>
            <x v="9"/>
            <x v="10"/>
            <x v="11"/>
            <x v="12"/>
          </reference>
          <reference field="99" count="1" selected="0">
            <x v="2"/>
          </reference>
        </references>
      </pivotArea>
    </format>
    <format dxfId="4">
      <pivotArea dataOnly="0" labelOnly="1" fieldPosition="0">
        <references count="2">
          <reference field="97" count="12">
            <x v="1"/>
            <x v="2"/>
            <x v="3"/>
            <x v="4"/>
            <x v="5"/>
            <x v="6"/>
            <x v="7"/>
            <x v="8"/>
            <x v="9"/>
            <x v="10"/>
            <x v="11"/>
            <x v="12"/>
          </reference>
          <reference field="99" count="1" selected="0">
            <x v="3"/>
          </reference>
        </references>
      </pivotArea>
    </format>
    <format dxfId="3">
      <pivotArea dataOnly="0" labelOnly="1" fieldPosition="0">
        <references count="2">
          <reference field="97" count="12">
            <x v="1"/>
            <x v="2"/>
            <x v="3"/>
            <x v="4"/>
            <x v="5"/>
            <x v="6"/>
            <x v="7"/>
            <x v="8"/>
            <x v="9"/>
            <x v="10"/>
            <x v="11"/>
            <x v="12"/>
          </reference>
          <reference field="99" count="1" selected="0">
            <x v="4"/>
          </reference>
        </references>
      </pivotArea>
    </format>
    <format dxfId="2">
      <pivotArea dataOnly="0" labelOnly="1" fieldPosition="0">
        <references count="2">
          <reference field="97" count="6">
            <x v="1"/>
            <x v="2"/>
            <x v="3"/>
            <x v="4"/>
            <x v="5"/>
            <x v="6"/>
          </reference>
          <reference field="99" count="1" selected="0">
            <x v="5"/>
          </reference>
        </references>
      </pivotArea>
    </format>
    <format dxfId="1">
      <pivotArea dataOnly="0" labelOnly="1" outline="0" fieldPosition="0">
        <references count="1">
          <reference field="4294967294"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0">
      <pivotArea dataOnly="0" labelOnly="1" outline="0" fieldPosition="0">
        <references count="1">
          <reference field="4294967294" count="11">
            <x v="50"/>
            <x v="51"/>
            <x v="52"/>
            <x v="53"/>
            <x v="54"/>
            <x v="55"/>
            <x v="56"/>
            <x v="57"/>
            <x v="58"/>
            <x v="59"/>
            <x v="6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A91CC1-78F4-784B-A599-A1B2BB0D8836}" name="Table1" displayName="Table1" ref="A3:CS1213" totalsRowShown="0">
  <autoFilter ref="A3:CS1213" xr:uid="{31A91CC1-78F4-784B-A599-A1B2BB0D8836}"/>
  <tableColumns count="97">
    <tableColumn id="1" xr3:uid="{FBC250C6-D803-4643-B330-079CA5A5E114}" name="Territory"/>
    <tableColumn id="2" xr3:uid="{313CDC99-043A-B046-AFAA-023D3214834C}" name="Project Name"/>
    <tableColumn id="3" xr3:uid="{F5380823-A3A0-A54C-8703-6047C085B88C}" name="Project Number"/>
    <tableColumn id="4" xr3:uid="{29B21068-1676-AB48-923A-804A1AC40A31}" name="Work Phase"/>
    <tableColumn id="5" xr3:uid="{38556FD3-A796-A947-995A-576A9E5086E6}" name="Type Of Building"/>
    <tableColumn id="6" xr3:uid="{862959EA-84CA-D448-B934-B5C5F18687D0}" name="Udf_ProjectSquareFootage"/>
    <tableColumn id="7" xr3:uid="{644B1FB7-FE49-9345-B433-92F02D8607F6}" name="Vendor"/>
    <tableColumn id="8" xr3:uid="{96E65FEE-8E07-AB4B-A151-A7D8C0772267}" name="Vendor Contact"/>
    <tableColumn id="9" xr3:uid="{B3F23A8E-26F3-F84F-BB8B-7F80F3C9A8B4}" name="Facility"/>
    <tableColumn id="10" xr3:uid="{395FB2A5-CA40-6C40-A82C-6168B7BB1EA8}" name="Facility Address"/>
    <tableColumn id="11" xr3:uid="{F3A7D187-9760-744F-A60C-EA161DF693D4}" name="Container Number"/>
    <tableColumn id="12" xr3:uid="{4564EB91-B95B-0140-A42E-81BA855EB019}" name="Haul Date"/>
    <tableColumn id="13" xr3:uid="{8E2D6AA3-8CF8-CF42-A41C-EF554F1F368D}" name="Month + Year"/>
    <tableColumn id="14" xr3:uid="{3D6A5210-9A01-A249-AA69-C535B4E54E9E}" name="Ticket Number"/>
    <tableColumn id="15" xr3:uid="{7CEB44B5-6870-BE4A-8468-B73F5ADA1E8D}" name="Ticket Image"/>
    <tableColumn id="16" xr3:uid="{CB7281A7-FABB-BE4F-8BF3-EB279BA6ED87}" name="Type"/>
    <tableColumn id="17" xr3:uid="{64DD1EDC-7C66-3043-BD92-F682DD98DDBC}" name="Ticket Total Tons"/>
    <tableColumn id="18" xr3:uid="{E8C1673B-DE8E-9C49-B050-60068830A155}" name="GM Diversion %"/>
    <tableColumn id="19" xr3:uid="{D2DD81E3-5D0E-2B4A-B22C-60AC633B087D}" name="GM Reused %"/>
    <tableColumn id="20" xr3:uid="{DF294A31-166A-0E43-A651-7098678D22B4}" name="GM Recycled %"/>
    <tableColumn id="21" xr3:uid="{6697A87F-3407-574F-88F2-D9447F938060}" name="GM Disposed %"/>
    <tableColumn id="22" xr3:uid="{9C0320EA-57DB-A84E-9E98-146CA5AC8913}" name="GM Reused Tons"/>
    <tableColumn id="23" xr3:uid="{B07A5249-419F-F34D-9C14-848968EE9249}" name="GM Recycled Tons"/>
    <tableColumn id="24" xr3:uid="{0F17744A-0426-E049-B3F2-D4CBB11BB91D}" name="GM Disposed Tons"/>
    <tableColumn id="25" xr3:uid="{03C89DE3-9AFE-1540-A387-C0D3FB8C2D30}" name="GM Total Tons"/>
    <tableColumn id="26" xr3:uid="{83B010B1-5773-A043-BD75-DABED4E2E52C}" name="Alternate Daily Cover (ADC)"/>
    <tableColumn id="27" xr3:uid="{B42657C2-7E6C-844C-90B7-2536B759D680}" name="Asphalt - Pavement &amp; Grinding"/>
    <tableColumn id="28" xr3:uid="{FD9BA896-09DE-144A-A6E9-1388C559544E}" name="Cardboard &amp; Paper Products"/>
    <tableColumn id="29" xr3:uid="{4895192B-FAEE-D142-A42C-6C2D260546C3}" name="Concrete"/>
    <tableColumn id="30" xr3:uid="{98F188DB-7C11-C349-96F8-305CD91A49E1}" name="Deconstructed &amp; Reuse Items"/>
    <tableColumn id="31" xr3:uid="{FBFC957C-076E-E243-AAA0-068721F3BE29}" name="Drywall - Demo &amp; painted"/>
    <tableColumn id="32" xr3:uid="{24E2268C-C28C-EB45-8737-55C8CB098670}" name="Metal"/>
    <tableColumn id="33" xr3:uid="{4BB3A539-0983-3C4E-AB96-AD8C49EF9C89}" name="Mixed Recyclables"/>
    <tableColumn id="34" xr3:uid="{87D931E6-1A1E-044D-8875-B4A70CD908A3}" name="Plastics &amp; Plastic Packaging Materials"/>
    <tableColumn id="35" xr3:uid="{5547B491-890B-C146-8169-F64D5632DB4B}" name="Waste (Trash)"/>
    <tableColumn id="36" xr3:uid="{74826D2F-2B15-854E-B062-1B331E8A81F7}" name="Appliances &amp; Equipment"/>
    <tableColumn id="37" xr3:uid="{1AE08691-80DD-3E44-BA18-7895A1A5E371}" name="Aritificial Grass/Synthetic Turf"/>
    <tableColumn id="38" xr3:uid="{EF6E8E54-6778-C349-A9FD-364D5A31841B}" name="Asphalt - Roofing"/>
    <tableColumn id="39" xr3:uid="{36B51B24-399C-4B45-92E9-BF2B33C1D823}" name="Bricks, Masonry &amp; Stone Products"/>
    <tableColumn id="40" xr3:uid="{FE6CB512-7A44-874D-A882-4C126E5067A5}" name="Carpet &amp; Padding"/>
    <tableColumn id="41" xr3:uid="{5699D792-5579-BE4A-95B4-9C19FCAA3492}" name="Ceiling Tiles"/>
    <tableColumn id="42" xr3:uid="{6F6F1A63-6EF6-1944-A96D-1DFE37A42AD9}" name="Compost"/>
    <tableColumn id="43" xr3:uid="{8C7BD564-150E-5747-9C4B-29D3229AD0CB}" name="Compostable Food Waste"/>
    <tableColumn id="44" xr3:uid="{E2C86119-9700-A146-A01E-BD1895849F46}" name="Donated Food"/>
    <tableColumn id="45" xr3:uid="{33E988A9-B761-D848-AF08-8D65592CFB5F}" name="Drywall - Clean/Unpainted"/>
    <tableColumn id="46" xr3:uid="{89C22FA2-8D5D-D54C-8A5A-A2017590BC30}" name="EPS Styrofoam"/>
    <tableColumn id="47" xr3:uid="{EB6AD52F-1F8C-1F4B-B7DC-5DE35724DB69}" name="eWaste"/>
    <tableColumn id="48" xr3:uid="{16D12BB7-7A3F-3142-8B8D-23CC8C60E61D}" name="Glass Bottles &amp; Containers"/>
    <tableColumn id="49" xr3:uid="{9108A16C-0973-FC44-BB79-FC67280861B7}" name="Glass Plate or Tempered"/>
    <tableColumn id="50" xr3:uid="{BA1F8541-A211-4E4A-913A-AB205C69B4E5}" name="High-Density Polyethylene (HDPE)"/>
    <tableColumn id="51" xr3:uid="{A5B5DF8A-A712-A54B-A606-0E1F4BA4A02C}" name="Miscellaneous Debris"/>
    <tableColumn id="52" xr3:uid="{4E70A6CC-7A73-B44A-8C84-FF64BC12B4F9}" name="Mixed Food Waste"/>
    <tableColumn id="53" xr3:uid="{28E50A91-7B03-8A44-8C6A-9A0547C86C47}" name="Paint"/>
    <tableColumn id="54" xr3:uid="{96FCDBFD-1324-A741-A253-A64970C1B03F}" name="Paint - oil based"/>
    <tableColumn id="55" xr3:uid="{471AC379-2AC2-DC4F-8FF7-B6D738824B57}" name="Porcelain"/>
    <tableColumn id="56" xr3:uid="{CA43B974-CF0F-3340-B391-08EE885AB66B}" name="Trash Sorted for Recovery"/>
    <tableColumn id="57" xr3:uid="{C566D32D-BC3A-F842-AF9C-EFA3EB46DD1D}" name="Wood - Clean"/>
    <tableColumn id="58" xr3:uid="{B97AFE2B-7910-FF40-8F3D-2758F0253FEC}" name="Wood - Painted/Stained Recoverable"/>
    <tableColumn id="59" xr3:uid="{799A9D01-4203-514C-9698-B1AE2F4C23D4}" name="Wood - Pallets"/>
    <tableColumn id="60" xr3:uid="{2C1E047C-B223-6441-99C5-B7712E13865E}" name="EW Diversion %"/>
    <tableColumn id="61" xr3:uid="{EFC2794E-9827-FF4B-9C04-86702C89F53C}" name="EW Reused %"/>
    <tableColumn id="62" xr3:uid="{85C9DD13-8A33-3B4B-B22D-8163C692F4EA}" name="EW Recycled %"/>
    <tableColumn id="63" xr3:uid="{C85C6865-F2BA-D347-932D-91C598B5F432}" name="EW Disposed %"/>
    <tableColumn id="64" xr3:uid="{534D146F-6073-BA45-BF53-4A9FCE2961F1}" name="EW Reused Tons"/>
    <tableColumn id="65" xr3:uid="{74A1ED12-5F7F-1343-A392-A1F6CEF01C44}" name="EW Recycled Tons"/>
    <tableColumn id="66" xr3:uid="{574678E2-065D-EC40-A37C-E2E833D596D3}" name="EW Disposed Tons"/>
    <tableColumn id="67" xr3:uid="{8F7B227D-5721-DB4B-A74F-4FB6C787ACFB}" name="EW Total Tons"/>
    <tableColumn id="68" xr3:uid="{86FB4239-F03E-E14B-B95A-844B326A6E9B}" name="Dirt/Soil-Clean Fill*"/>
    <tableColumn id="69" xr3:uid="{235D2B93-FD52-A141-BBBE-0D3CFF84AA43}" name="Green Waste*"/>
    <tableColumn id="70" xr3:uid="{07A359B5-E6E3-6A49-AF9E-60E49C5404A7}" name="Rock, Sand, Gravel &amp; other inerts*"/>
    <tableColumn id="71" xr3:uid="{3EBC3E2A-1DE4-3A4E-A18C-4FD417A986FA}" name="Haz Diversion %"/>
    <tableColumn id="72" xr3:uid="{37B422F3-2F92-2648-BDDE-6ACCD8B49411}" name="Haz Reused %"/>
    <tableColumn id="73" xr3:uid="{317F8051-B06F-DE48-B645-37996BF567BE}" name="Haz Recycled %"/>
    <tableColumn id="74" xr3:uid="{AAAA26FF-3211-2742-996E-0847F0DD287E}" name="Haz Disposed %"/>
    <tableColumn id="75" xr3:uid="{F159F755-48C0-CB4C-824C-081F17B8A8BD}" name="Haz Reused Tons"/>
    <tableColumn id="76" xr3:uid="{00BCD8D1-41EE-6A45-AB2E-A3D821402BE7}" name="Haz Recycled Tons"/>
    <tableColumn id="77" xr3:uid="{9D47A7DF-8CF6-1548-9CD8-CA07C318438C}" name="Haz Disposed Tons"/>
    <tableColumn id="78" xr3:uid="{AA2C28CA-3DCC-A542-AE5F-95ED7E52FF1C}" name="Haz Total Tons"/>
    <tableColumn id="79" xr3:uid="{FD6F476E-E149-8644-A493-FEA1B0DF2E80}" name="Batteries*"/>
    <tableColumn id="80" xr3:uid="{1B69B2DD-F20D-E243-AB94-1AE75D6EE9C5}" name="Dirt/Soil-Contaminated Non-Hazardous*"/>
    <tableColumn id="81" xr3:uid="{CF3C9E3C-4055-7B43-8619-E03E16EBF7D1}" name="Dirt/Soil-Contaminated, Hazardous*"/>
    <tableColumn id="82" xr3:uid="{DAA3260E-23CD-9345-98C2-DD410E7B7455}" name="Dirt/Soil-Hazardous*"/>
    <tableColumn id="83" xr3:uid="{09B0AFA3-5825-D64C-96F9-B48211C56BA4}" name="Fluorescent Bulbs*"/>
    <tableColumn id="84" xr3:uid="{1C64B458-4449-E64A-86F7-8FA4DF1891EB}" name="Materials Containing Asbestos*"/>
    <tableColumn id="85" xr3:uid="{137B4D7D-42C6-B64E-96B5-B53682F2067F}" name="Materials with Lead-Based Paint*"/>
    <tableColumn id="86" xr3:uid="{621A6E90-5A6B-F043-BB80-CA1F3959C9B3}" name="Other Hazardous Waste &amp; Materials*"/>
    <tableColumn id="87" xr3:uid="{104F5321-DAD7-9043-A9BD-A3594BAE7DFD}" name="PCBs - Polychlorinated Biphenyls*"/>
    <tableColumn id="88" xr3:uid="{40000092-9144-D140-8537-CF777C36265A}" name="Thermostats &amp; Mercury - Containing Equipment*"/>
    <tableColumn id="89" xr3:uid="{CF9C354F-138A-D949-9799-D7305DEC1D26}" name="Universal Waste - Other*"/>
    <tableColumn id="90" xr3:uid="{36A1DE0C-3074-4349-B487-092457782EA7}" name="Wood - Treated/Hazardous*"/>
    <tableColumn id="91" xr3:uid="{14764258-1891-1B42-B9F7-34725063672F}" name="Hauler Comment"/>
    <tableColumn id="92" xr3:uid="{BE2B1067-67E8-4E45-854F-68C8763D8547}" name="Submitted By"/>
    <tableColumn id="93" xr3:uid="{EADED518-7D4F-0B4E-9177-5F363C768392}" name="Submitted Title"/>
    <tableColumn id="94" xr3:uid="{9004BB32-B92D-B64A-97C6-3AC2050FDFD5}" name="Submitted Date"/>
    <tableColumn id="95" xr3:uid="{40585C2D-9605-AF41-97B3-66640D3B9B32}" name="Verified by"/>
    <tableColumn id="96" xr3:uid="{F4618D4E-BA2A-1240-8243-79C103983232}" name="Verified Date"/>
    <tableColumn id="97" xr3:uid="{D1864F55-886D-3C4D-A8F7-B1C0248F7C17}" name="Review Comme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4624524-FBA4-9647-BDB4-7AED1699E086}" name="Table2" displayName="Table2" ref="A3:CS1213" totalsRowShown="0">
  <autoFilter ref="A3:CS1213" xr:uid="{84624524-FBA4-9647-BDB4-7AED1699E086}"/>
  <tableColumns count="97">
    <tableColumn id="1" xr3:uid="{BCD77CE7-26A7-224D-8D61-578D6AAFE70E}" name="Territory"/>
    <tableColumn id="2" xr3:uid="{F0A97818-E4BA-1842-AC2E-017C64DD8335}" name="Project Name"/>
    <tableColumn id="3" xr3:uid="{092027E4-DE0A-3143-A2B3-885CCC605C20}" name="Project Number"/>
    <tableColumn id="4" xr3:uid="{2F2BAD6A-FFDB-734E-A952-5CDBF5C22296}" name="Work Phase"/>
    <tableColumn id="5" xr3:uid="{1E119CAB-97D1-E74A-8064-7D02533B68AE}" name="Type Of Building"/>
    <tableColumn id="6" xr3:uid="{FC3DB038-42DF-8D4F-8CE4-745C7DD55DA0}" name="Udf_ProjectSquareFootage"/>
    <tableColumn id="7" xr3:uid="{0C2D7884-D3E2-6A4C-A565-EFA092E8771D}" name="Vendor"/>
    <tableColumn id="8" xr3:uid="{2DFED871-E2CD-314F-9E08-94928936BA9A}" name="Vendor Contact"/>
    <tableColumn id="9" xr3:uid="{1EFF0CAA-10BB-6D40-A99E-AF729E2CD2A6}" name="Facility"/>
    <tableColumn id="10" xr3:uid="{90EF41F6-64D7-254A-89A5-FBD9EEA964F3}" name="Facility Address"/>
    <tableColumn id="11" xr3:uid="{B70FA3CE-7045-284D-8207-DD62DD9E78AB}" name="Container Number"/>
    <tableColumn id="12" xr3:uid="{54C22F60-6B9E-384D-B657-67FEF4723ABD}" name="Haul Date"/>
    <tableColumn id="13" xr3:uid="{CB30AD03-F851-DF40-92A7-B8189A0E367D}" name="Month + Year"/>
    <tableColumn id="14" xr3:uid="{F06DC5B5-0D55-C94B-936C-C976DD4F0190}" name="Ticket Number"/>
    <tableColumn id="15" xr3:uid="{AF21CFDF-9CC4-9A49-9A4A-B2B5F08AC44D}" name="Ticket Image"/>
    <tableColumn id="16" xr3:uid="{EB27DB7F-5713-FD44-97EF-2D7BF3C833B5}" name="Type"/>
    <tableColumn id="17" xr3:uid="{E7A12153-3CB5-F34C-97F3-D531765BFC3D}" name="Ticket Total Tons"/>
    <tableColumn id="18" xr3:uid="{C172EE79-25D7-C641-A062-7DB327BED2F9}" name="GM Diversion %"/>
    <tableColumn id="19" xr3:uid="{0E3FFBBD-4B85-244D-9992-E4A144307FC7}" name="GM Reused %"/>
    <tableColumn id="20" xr3:uid="{A5509D0F-90A3-B748-BBB9-A9FBA81D94E1}" name="GM Recycled %"/>
    <tableColumn id="21" xr3:uid="{3F943CEE-6848-2F48-A08A-26AC534E75EC}" name="GM Disposed %"/>
    <tableColumn id="22" xr3:uid="{E324BEC7-98EE-E74F-818B-9AADE72E6782}" name="GM Reused Tons"/>
    <tableColumn id="23" xr3:uid="{7B05C780-2131-1B46-99FC-1F8E8597F3FF}" name="GM Recycled Tons"/>
    <tableColumn id="24" xr3:uid="{9B0DBAAB-0240-F94A-9FBC-49194839EF60}" name="GM Disposed Tons"/>
    <tableColumn id="25" xr3:uid="{369290C9-6913-5E46-AEBB-5656DFA19419}" name="GM Total Tons"/>
    <tableColumn id="26" xr3:uid="{78466A0E-D86F-5945-855B-F2581ACFA089}" name="Alternate Daily Cover (ADC)"/>
    <tableColumn id="27" xr3:uid="{BBC7F014-17D9-6E40-90C7-E96BD8F6A64A}" name="Asphalt - Pavement &amp; Grinding"/>
    <tableColumn id="28" xr3:uid="{8DDE7B0F-AE3E-C048-822C-5514C322C2C9}" name="Cardboard &amp; Paper Products"/>
    <tableColumn id="29" xr3:uid="{195C6E87-F4EB-9443-AAF8-3D5C04825F38}" name="Concrete"/>
    <tableColumn id="30" xr3:uid="{17D53B39-84EC-054A-A8B5-C80724DFF63A}" name="Deconstructed &amp; Reuse Items"/>
    <tableColumn id="31" xr3:uid="{E23BC18E-9C1D-CA48-927D-5D7CB376291D}" name="Drywall - Demo &amp; painted"/>
    <tableColumn id="32" xr3:uid="{6589EE68-B9F1-4D4E-A4C2-2DE382249A77}" name="Metal"/>
    <tableColumn id="33" xr3:uid="{358B0BAA-2756-7946-8559-33A1396F5EA1}" name="Mixed Recyclables"/>
    <tableColumn id="34" xr3:uid="{26098046-6DEA-304E-A5C7-A718581D7A3B}" name="Plastics &amp; Plastic Packaging Materials"/>
    <tableColumn id="35" xr3:uid="{79368372-248F-4D44-B0D6-B77471CC65A9}" name="Waste (Trash)"/>
    <tableColumn id="36" xr3:uid="{704406F1-B030-8946-A3AD-F47336803A63}" name="Appliances &amp; Equipment"/>
    <tableColumn id="37" xr3:uid="{FCCCBDB0-631B-3341-A495-74BF4907AB36}" name="Aritificial Grass/Synthetic Turf"/>
    <tableColumn id="38" xr3:uid="{B07EC6F2-081F-FB4B-8BB3-C9FE76C9F2BD}" name="Asphalt - Roofing"/>
    <tableColumn id="39" xr3:uid="{8599FA35-32B6-0E41-9A51-E0DD0482022D}" name="Bricks, Masonry &amp; Stone Products"/>
    <tableColumn id="40" xr3:uid="{A11B3C03-DB7D-B84C-94AD-464323B1E4A5}" name="Carpet &amp; Padding"/>
    <tableColumn id="41" xr3:uid="{C5F00CAB-D410-304C-ACE5-3DC43BA560A0}" name="Ceiling Tiles"/>
    <tableColumn id="42" xr3:uid="{B2921CB0-8EDE-3D43-99B9-82F14C303E09}" name="Compost"/>
    <tableColumn id="43" xr3:uid="{9D29FFB2-46B9-8C43-B43B-99E30A275F72}" name="Compostable Food Waste"/>
    <tableColumn id="44" xr3:uid="{1EC1FF3E-DAB0-FA4B-8A8F-988261E3DEFC}" name="Donated Food"/>
    <tableColumn id="45" xr3:uid="{B10AEC03-7788-984C-950F-E926397A1E1A}" name="Drywall - Clean/Unpainted"/>
    <tableColumn id="46" xr3:uid="{30DF94D3-5326-1F47-A868-3B854B739062}" name="EPS Styrofoam"/>
    <tableColumn id="47" xr3:uid="{52F13157-F3E6-BA46-98C6-0CF1946EF184}" name="eWaste"/>
    <tableColumn id="48" xr3:uid="{2A297776-34D3-FB4F-A903-0583AB7A054D}" name="Glass Bottles &amp; Containers"/>
    <tableColumn id="49" xr3:uid="{0D75E71B-7AC5-064D-B62B-4DA920479EB2}" name="Glass Plate or Tempered"/>
    <tableColumn id="50" xr3:uid="{8997A5EF-0217-4740-8D85-464B4F352400}" name="High-Density Polyethylene (HDPE)"/>
    <tableColumn id="51" xr3:uid="{A273461B-4EAF-8847-B3AF-AD8999BDF99F}" name="Miscellaneous Debris"/>
    <tableColumn id="52" xr3:uid="{D638A419-616A-A24F-961F-085D339BAB1E}" name="Mixed Food Waste"/>
    <tableColumn id="53" xr3:uid="{4EC1EC34-BB2F-2940-92F2-8E17B52AE769}" name="Paint"/>
    <tableColumn id="54" xr3:uid="{490BCE95-CB44-9C44-8EE2-8F09C1C0FFAA}" name="Paint - oil based"/>
    <tableColumn id="55" xr3:uid="{6A510ED5-169D-244F-A569-97E132283537}" name="Porcelain"/>
    <tableColumn id="56" xr3:uid="{6100E0A9-EA3A-864A-8773-22689D30EDCB}" name="Trash Sorted for Recovery"/>
    <tableColumn id="57" xr3:uid="{5AB6236E-C531-DE44-A0E9-78DE5678BCDB}" name="Wood - Clean"/>
    <tableColumn id="58" xr3:uid="{B6996767-200C-FB4F-91B7-68BE01B6B101}" name="Wood - Painted/Stained Recoverable"/>
    <tableColumn id="59" xr3:uid="{4E93B07D-83E2-EF4B-94B7-FDC698D9C3A2}" name="Wood - Pallets"/>
    <tableColumn id="60" xr3:uid="{5AF93F0C-37F1-BD49-9250-355AB2DFAAE5}" name="EW Diversion %"/>
    <tableColumn id="61" xr3:uid="{CD4A2538-1DDF-9A4B-9CE1-A5AB06E4AEB3}" name="EW Reused %"/>
    <tableColumn id="62" xr3:uid="{8ACD6AA0-39FD-F043-8079-2214EFF93E43}" name="EW Recycled %"/>
    <tableColumn id="63" xr3:uid="{D3BFF734-181C-C34C-B2FD-DBF846D45599}" name="EW Disposed %"/>
    <tableColumn id="64" xr3:uid="{35A31C17-9DD9-EB45-8351-28B65EEFD57C}" name="EW Reused Tons"/>
    <tableColumn id="65" xr3:uid="{A1760DB4-667D-F34D-BFA2-AA30CB081D19}" name="EW Recycled Tons"/>
    <tableColumn id="66" xr3:uid="{55A5BC69-2953-E940-966B-23FFA8DEC693}" name="EW Disposed Tons"/>
    <tableColumn id="67" xr3:uid="{76A63FEF-B2F0-0742-9C4A-F4783F50FE3E}" name="EW Total Tons"/>
    <tableColumn id="68" xr3:uid="{16929878-BC68-A442-97ED-77EB67E36CA1}" name="Dirt/Soil-Clean Fill*"/>
    <tableColumn id="69" xr3:uid="{6990BA29-6B57-1C4B-AEFC-854157CC6367}" name="Green Waste*"/>
    <tableColumn id="70" xr3:uid="{717919EA-9ABA-354D-A71C-89EBD843FBD0}" name="Rock, Sand, Gravel &amp; other inerts*"/>
    <tableColumn id="71" xr3:uid="{A620EB45-CA39-F34E-9C91-58C66BA9C288}" name="Haz Diversion %"/>
    <tableColumn id="72" xr3:uid="{A3C37651-D448-AC4F-8539-7C6FF4121BD2}" name="Haz Reused %"/>
    <tableColumn id="73" xr3:uid="{FF36077D-8506-674D-802A-ABA80939D9AE}" name="Haz Recycled %"/>
    <tableColumn id="74" xr3:uid="{C33E4B79-2455-434E-8B68-599E8DD734C0}" name="Haz Disposed %"/>
    <tableColumn id="75" xr3:uid="{65B4F894-C5DD-0C4F-8598-E973ED58B4F0}" name="Haz Reused Tons"/>
    <tableColumn id="76" xr3:uid="{00B2974F-C4E2-8E4F-B88C-5BD442C20904}" name="Haz Recycled Tons"/>
    <tableColumn id="77" xr3:uid="{77758325-0048-BF48-9395-168E728159A1}" name="Haz Disposed Tons"/>
    <tableColumn id="78" xr3:uid="{C25935A2-DAEE-7042-8709-9F029D6DD258}" name="Haz Total Tons"/>
    <tableColumn id="79" xr3:uid="{0A7BD72E-1510-C14C-B77A-C56E386AD9C9}" name="Batteries*"/>
    <tableColumn id="80" xr3:uid="{CB2DC2C9-F650-7840-A056-5284D4B4B643}" name="Dirt/Soil-Contaminated Non-Hazardous*"/>
    <tableColumn id="81" xr3:uid="{1E13486E-7DCC-0141-8B5B-A86E2A011C30}" name="Dirt/Soil-Contaminated, Hazardous*"/>
    <tableColumn id="82" xr3:uid="{8A0128CF-8A1B-5C43-94D8-D10D11058648}" name="Dirt/Soil-Hazardous*"/>
    <tableColumn id="83" xr3:uid="{DEF32522-F7BE-6344-B42B-1803C12FB121}" name="Fluorescent Bulbs*"/>
    <tableColumn id="84" xr3:uid="{FDB92381-0C55-014B-AF37-8016C98CA735}" name="Materials Containing Asbestos*"/>
    <tableColumn id="85" xr3:uid="{1CE29EC2-0B8C-EF41-B0C1-F9096B0BD5F0}" name="Materials with Lead-Based Paint*"/>
    <tableColumn id="86" xr3:uid="{C436C4FD-4346-A74E-B899-AF2E458F802E}" name="Other Hazardous Waste &amp; Materials*"/>
    <tableColumn id="87" xr3:uid="{9CAF6D29-8660-E545-B8B3-ADFFF1859E81}" name="PCBs - Polychlorinated Biphenyls*"/>
    <tableColumn id="88" xr3:uid="{B13AD8E4-6927-FF4C-95A4-DAA9405BEA21}" name="Thermostats &amp; Mercury - Containing Equipment*"/>
    <tableColumn id="89" xr3:uid="{DCF30F4A-4A46-4A4A-8ACD-94BA7838DFC7}" name="Universal Waste - Other*"/>
    <tableColumn id="90" xr3:uid="{30084452-13FA-1E40-96D1-9985549BDF2C}" name="Wood - Treated/Hazardous*"/>
    <tableColumn id="91" xr3:uid="{44EA1AB9-9EFB-EC42-B18E-2230625A4ED3}" name="Hauler Comment"/>
    <tableColumn id="92" xr3:uid="{EF57284D-F6AA-C14A-B98E-4AFC12FEBCEC}" name="Submitted By"/>
    <tableColumn id="93" xr3:uid="{41FEB063-CA6D-1947-8F73-23657CE7050D}" name="Submitted Title"/>
    <tableColumn id="94" xr3:uid="{F1FD1F8C-2483-F44F-A32C-DFE7683021A7}" name="Submitted Date"/>
    <tableColumn id="95" xr3:uid="{A3A9BE62-DC86-7542-A5AD-AFD528144FBD}" name="Verified by"/>
    <tableColumn id="96" xr3:uid="{CAC75307-D4F6-BB43-8FA8-131F4E8BBFF3}" name="Verified Date"/>
    <tableColumn id="97" xr3:uid="{1982D6F6-57C2-4D48-AC1E-42071B0EEE16}" name="Review Comm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L8" dT="2026-07-09T03:54:00.20" personId="{35289A41-D87C-C644-9410-1FEB895EF276}" id="{F06CBA81-3392-7642-80CA-336BE12B70D1}">
    <text>Reformatted the dates</text>
  </threadedComment>
  <threadedComment ref="M8" dT="2026-07-09T03:50:06.54" personId="{35289A41-D87C-C644-9410-1FEB895EF276}" id="{D59D32B9-9452-9748-81A1-A0A420581881}">
    <text>Added this column to the data to help with cleanup (not in original file)</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21" Type="http://schemas.openxmlformats.org/officeDocument/2006/relationships/hyperlink" Target="http://turnertracker.com/data/extensions_data/tickets/6/8/f/e/2/1092560RD/ticket.jpg" TargetMode="External"/><Relationship Id="rId170" Type="http://schemas.openxmlformats.org/officeDocument/2006/relationships/hyperlink" Target="http://turnertracker.com/data/extensions_data/tickets/9/0/a/d/b/999859RD/ticket.jpg" TargetMode="External"/><Relationship Id="rId268" Type="http://schemas.openxmlformats.org/officeDocument/2006/relationships/hyperlink" Target="http://turnertracker.com/data/extensions_data/tickets/b/b/f/7/5/1188100RD/ticket.jpg" TargetMode="External"/><Relationship Id="rId475" Type="http://schemas.openxmlformats.org/officeDocument/2006/relationships/hyperlink" Target="http://turnertracker.com/data/extensions_data/tickets/1/9/f/c/c/1261560RD/ticket.jpg" TargetMode="External"/><Relationship Id="rId682" Type="http://schemas.openxmlformats.org/officeDocument/2006/relationships/hyperlink" Target="http://turnertracker.com/data/extensions_data/tickets/0/7/e/6/a/1154737RD/ticket.jpg" TargetMode="External"/><Relationship Id="rId128" Type="http://schemas.openxmlformats.org/officeDocument/2006/relationships/hyperlink" Target="http://turnertracker.com/data/extensions_data/tickets/c/7/9/1/0/999771RD/ticket.jpg" TargetMode="External"/><Relationship Id="rId335" Type="http://schemas.openxmlformats.org/officeDocument/2006/relationships/hyperlink" Target="http://turnertracker.com/data/extensions_data/tickets/c/1/6/9/a/1380272RD/ticket.jpg" TargetMode="External"/><Relationship Id="rId542" Type="http://schemas.openxmlformats.org/officeDocument/2006/relationships/hyperlink" Target="http://turnertracker.com/data/extensions_data/tickets/1/8/6/2/0/1308222RD/ticket.jpg" TargetMode="External"/><Relationship Id="rId987" Type="http://schemas.openxmlformats.org/officeDocument/2006/relationships/hyperlink" Target="http://turnertracker.com/data/extensions_data/tickets/5/2/9/c/c/1107615RD/ticket.jpg" TargetMode="External"/><Relationship Id="rId1172" Type="http://schemas.openxmlformats.org/officeDocument/2006/relationships/hyperlink" Target="http://turnertracker.com/data/extensions_data/tickets/c/4/5/c/f/1384142RD/ticket.jpg" TargetMode="External"/><Relationship Id="rId402" Type="http://schemas.openxmlformats.org/officeDocument/2006/relationships/hyperlink" Target="http://turnertracker.com/data/extensions_data/tickets/0/c/f/1/e/1205048RD/ticket.jpg" TargetMode="External"/><Relationship Id="rId847" Type="http://schemas.openxmlformats.org/officeDocument/2006/relationships/hyperlink" Target="http://turnertracker.com/data/extensions_data/tickets/1/1/3/e/b/1384155RD/ticket.jpg" TargetMode="External"/><Relationship Id="rId1032" Type="http://schemas.openxmlformats.org/officeDocument/2006/relationships/hyperlink" Target="http://turnertracker.com/data/extensions_data/tickets/1/1/9/6/4/1182662RD/ticket.jpg" TargetMode="External"/><Relationship Id="rId707" Type="http://schemas.openxmlformats.org/officeDocument/2006/relationships/hyperlink" Target="http://turnertracker.com/data/extensions_data/tickets/2/0/e/4/7/1246518RD/ticket.jpg" TargetMode="External"/><Relationship Id="rId914" Type="http://schemas.openxmlformats.org/officeDocument/2006/relationships/hyperlink" Target="http://turnertracker.com/data/extensions_data/tickets/5/7/e/a/f/1436060RD/ticket.jpg" TargetMode="External"/><Relationship Id="rId43" Type="http://schemas.openxmlformats.org/officeDocument/2006/relationships/hyperlink" Target="http://turnertracker.com/data/extensions_data/tickets/7/e/c/5/6/999360RD/ticket.jpg" TargetMode="External"/><Relationship Id="rId192" Type="http://schemas.openxmlformats.org/officeDocument/2006/relationships/hyperlink" Target="http://turnertracker.com/data/extensions_data/tickets/1/3/0/e/e/999913RD/ticket.jpg" TargetMode="External"/><Relationship Id="rId497" Type="http://schemas.openxmlformats.org/officeDocument/2006/relationships/hyperlink" Target="http://turnertracker.com/data/extensions_data/tickets/3/2/4/d/2/1261664RD/ticket.jpg" TargetMode="External"/><Relationship Id="rId357" Type="http://schemas.openxmlformats.org/officeDocument/2006/relationships/hyperlink" Target="http://turnertracker.com/data/extensions_data/tickets/b/5/8/b/d/1182659RD/ticket.jpg" TargetMode="External"/><Relationship Id="rId1194" Type="http://schemas.openxmlformats.org/officeDocument/2006/relationships/hyperlink" Target="http://turnertracker.com/data/extensions_data/tickets/8/b/5/9/9/1489696RD/ticket.jpg" TargetMode="External"/><Relationship Id="rId217" Type="http://schemas.openxmlformats.org/officeDocument/2006/relationships/hyperlink" Target="http://turnertracker.com/data/extensions_data/tickets/3/d/1/9/9/1069259RD/ticket.jpg" TargetMode="External"/><Relationship Id="rId564" Type="http://schemas.openxmlformats.org/officeDocument/2006/relationships/hyperlink" Target="http://turnertracker.com/data/extensions_data/tickets/5/a/8/e/f/1337844RD/ticket.jpg" TargetMode="External"/><Relationship Id="rId771" Type="http://schemas.openxmlformats.org/officeDocument/2006/relationships/hyperlink" Target="http://turnertracker.com/data/extensions_data/tickets/5/1/b/2/0/1308189RD/ticket.jpg" TargetMode="External"/><Relationship Id="rId869" Type="http://schemas.openxmlformats.org/officeDocument/2006/relationships/hyperlink" Target="http://turnertracker.com/data/extensions_data/tickets/7/8/f/9/2/1401250RD/ticket.jpg" TargetMode="External"/><Relationship Id="rId424" Type="http://schemas.openxmlformats.org/officeDocument/2006/relationships/hyperlink" Target="http://turnertracker.com/data/extensions_data/tickets/f/2/d/7/e/1219063RD/ticket.jpg" TargetMode="External"/><Relationship Id="rId631" Type="http://schemas.openxmlformats.org/officeDocument/2006/relationships/hyperlink" Target="http://turnertracker.com/data/extensions_data/tickets/3/2/5/b/d/1022935RD/ticket.jpg" TargetMode="External"/><Relationship Id="rId729" Type="http://schemas.openxmlformats.org/officeDocument/2006/relationships/hyperlink" Target="http://turnertracker.com/data/extensions_data/tickets/4/4/9/e/7/1274236RD/ticket.jpg" TargetMode="External"/><Relationship Id="rId1054" Type="http://schemas.openxmlformats.org/officeDocument/2006/relationships/hyperlink" Target="http://turnertracker.com/data/extensions_data/tickets/9/f/5/b/7/1193695RD/ticket.jpg" TargetMode="External"/><Relationship Id="rId936" Type="http://schemas.openxmlformats.org/officeDocument/2006/relationships/hyperlink" Target="http://turnertracker.com/data/extensions_data/tickets/0/0/0/0/c/1475478RD/ticket.jpg" TargetMode="External"/><Relationship Id="rId1121" Type="http://schemas.openxmlformats.org/officeDocument/2006/relationships/hyperlink" Target="http://turnertracker.com/data/extensions_data/tickets/7/6/3/c/0/1293437RD/ticket.jpg" TargetMode="External"/><Relationship Id="rId65" Type="http://schemas.openxmlformats.org/officeDocument/2006/relationships/hyperlink" Target="http://turnertracker.com/data/extensions_data/tickets/f/2/f/c/9/999387RD/ticket.jpg" TargetMode="External"/><Relationship Id="rId281" Type="http://schemas.openxmlformats.org/officeDocument/2006/relationships/hyperlink" Target="http://turnertracker.com/data/extensions_data/tickets/6/b/9/c/a/1193903RD/ticket.jpg" TargetMode="External"/><Relationship Id="rId141" Type="http://schemas.openxmlformats.org/officeDocument/2006/relationships/hyperlink" Target="http://turnertracker.com/data/extensions_data/tickets/c/5/d/a/3/999798RD/ticket.jpg" TargetMode="External"/><Relationship Id="rId379" Type="http://schemas.openxmlformats.org/officeDocument/2006/relationships/hyperlink" Target="http://turnertracker.com/data/extensions_data/tickets/9/d/0/2/5/1193682RD/ticket.jpg" TargetMode="External"/><Relationship Id="rId586" Type="http://schemas.openxmlformats.org/officeDocument/2006/relationships/hyperlink" Target="http://turnertracker.com/data/extensions_data/tickets/1/1/d/1/f/1356460RD/ticket.jpg" TargetMode="External"/><Relationship Id="rId793" Type="http://schemas.openxmlformats.org/officeDocument/2006/relationships/hyperlink" Target="http://turnertracker.com/data/extensions_data/tickets/9/e/3/a/4/1322910RD/ticket.jpg" TargetMode="External"/><Relationship Id="rId7" Type="http://schemas.openxmlformats.org/officeDocument/2006/relationships/hyperlink" Target="http://turnertracker.com/data/extensions_data/tickets/6/3/2/2/f/1392464RD/ticket.jpg" TargetMode="External"/><Relationship Id="rId239" Type="http://schemas.openxmlformats.org/officeDocument/2006/relationships/hyperlink" Target="http://turnertracker.com/data/extensions_data/tickets/2/4/b/1/1/1101920RD/ticket.jpg" TargetMode="External"/><Relationship Id="rId446" Type="http://schemas.openxmlformats.org/officeDocument/2006/relationships/hyperlink" Target="http://turnertracker.com/data/extensions_data/tickets/a/5/7/6/d/1233049RD/ticket.jpg" TargetMode="External"/><Relationship Id="rId653" Type="http://schemas.openxmlformats.org/officeDocument/2006/relationships/hyperlink" Target="http://turnertracker.com/data/extensions_data/tickets/a/a/9/4/2/1089153RD/ticket.jpg" TargetMode="External"/><Relationship Id="rId1076" Type="http://schemas.openxmlformats.org/officeDocument/2006/relationships/hyperlink" Target="http://turnertracker.com/data/extensions_data/tickets/c/d/e/7/5/1246509RD/ticket.jpg" TargetMode="External"/><Relationship Id="rId306" Type="http://schemas.openxmlformats.org/officeDocument/2006/relationships/hyperlink" Target="http://turnertracker.com/data/extensions_data/tickets/c/1/4/c/e/1194127RD/ticket.jpg" TargetMode="External"/><Relationship Id="rId860" Type="http://schemas.openxmlformats.org/officeDocument/2006/relationships/hyperlink" Target="http://turnertracker.com/data/extensions_data/tickets/b/a/c/2/3/1401128RD/ticket.jpg" TargetMode="External"/><Relationship Id="rId958" Type="http://schemas.openxmlformats.org/officeDocument/2006/relationships/hyperlink" Target="http://turnertracker.com/data/extensions_data/tickets/a/8/0/8/f/1046190RD/ticket.jpg" TargetMode="External"/><Relationship Id="rId1143" Type="http://schemas.openxmlformats.org/officeDocument/2006/relationships/hyperlink" Target="http://turnertracker.com/data/extensions_data/tickets/4/c/b/a/5/1356455RD/ticket.jpg" TargetMode="External"/><Relationship Id="rId87" Type="http://schemas.openxmlformats.org/officeDocument/2006/relationships/hyperlink" Target="http://turnertracker.com/data/extensions_data/tickets/e/1/0/8/e/999684RD/ticket.jpg" TargetMode="External"/><Relationship Id="rId513" Type="http://schemas.openxmlformats.org/officeDocument/2006/relationships/hyperlink" Target="http://turnertracker.com/data/extensions_data/tickets/1/f/1/3/a/1273847RD/ticket.jpg" TargetMode="External"/><Relationship Id="rId720" Type="http://schemas.openxmlformats.org/officeDocument/2006/relationships/hyperlink" Target="http://turnertracker.com/data/extensions_data/tickets/3/a/d/a/3/1273865RD/ticket.jpg" TargetMode="External"/><Relationship Id="rId818" Type="http://schemas.openxmlformats.org/officeDocument/2006/relationships/hyperlink" Target="http://turnertracker.com/data/extensions_data/tickets/a/0/c/b/8/1371207RD/ticket.jpg" TargetMode="External"/><Relationship Id="rId1003" Type="http://schemas.openxmlformats.org/officeDocument/2006/relationships/hyperlink" Target="http://turnertracker.com/data/extensions_data/tickets/d/0/8/b/c/1143064RD/ticket.jpg" TargetMode="External"/><Relationship Id="rId1210" Type="http://schemas.microsoft.com/office/2017/10/relationships/threadedComment" Target="../threadedComments/threadedComment1.xml"/><Relationship Id="rId14" Type="http://schemas.openxmlformats.org/officeDocument/2006/relationships/hyperlink" Target="http://turnertracker.com/data/extensions_data/tickets/d/c/0/1/3/1417112RD/ticket.jpg" TargetMode="External"/><Relationship Id="rId163" Type="http://schemas.openxmlformats.org/officeDocument/2006/relationships/hyperlink" Target="http://turnertracker.com/data/extensions_data/tickets/7/a/0/d/2/999843RD/ticket.jpg" TargetMode="External"/><Relationship Id="rId370" Type="http://schemas.openxmlformats.org/officeDocument/2006/relationships/hyperlink" Target="http://turnertracker.com/data/extensions_data/tickets/0/f/0/5/9/1193653RD/ticket.jpg" TargetMode="External"/><Relationship Id="rId230" Type="http://schemas.openxmlformats.org/officeDocument/2006/relationships/hyperlink" Target="http://turnertracker.com/data/extensions_data/tickets/6/b/b/e/c/1076881RD/ticket.jpg" TargetMode="External"/><Relationship Id="rId468" Type="http://schemas.openxmlformats.org/officeDocument/2006/relationships/hyperlink" Target="http://turnertracker.com/data/extensions_data/tickets/0/2/1/3/3/1246630RD/ticket.jpg" TargetMode="External"/><Relationship Id="rId675" Type="http://schemas.openxmlformats.org/officeDocument/2006/relationships/hyperlink" Target="http://turnertracker.com/data/extensions_data/tickets/f/4/2/6/6/1152819RD/ticket.jpg" TargetMode="External"/><Relationship Id="rId882" Type="http://schemas.openxmlformats.org/officeDocument/2006/relationships/hyperlink" Target="http://turnertracker.com/data/extensions_data/tickets/7/7/c/b/d/1417101RD/ticket.jpg" TargetMode="External"/><Relationship Id="rId1098" Type="http://schemas.openxmlformats.org/officeDocument/2006/relationships/hyperlink" Target="http://turnertracker.com/data/extensions_data/tickets/5/2/6/9/5/1261755RD/ticket.jpg" TargetMode="External"/><Relationship Id="rId328" Type="http://schemas.openxmlformats.org/officeDocument/2006/relationships/hyperlink" Target="http://turnertracker.com/data/extensions_data/tickets/7/2/c/d/b/1380189RD/ticket.jpg" TargetMode="External"/><Relationship Id="rId535" Type="http://schemas.openxmlformats.org/officeDocument/2006/relationships/hyperlink" Target="http://turnertracker.com/data/extensions_data/tickets/7/f/e/a/b/1308181RD/ticket.jpg" TargetMode="External"/><Relationship Id="rId742" Type="http://schemas.openxmlformats.org/officeDocument/2006/relationships/hyperlink" Target="http://turnertracker.com/data/extensions_data/tickets/7/d/e/b/1/1293430RD/ticket.jpg" TargetMode="External"/><Relationship Id="rId1165" Type="http://schemas.openxmlformats.org/officeDocument/2006/relationships/hyperlink" Target="http://turnertracker.com/data/extensions_data/tickets/0/0/c/c/9/1384129RD/ticket.jpg" TargetMode="External"/><Relationship Id="rId602" Type="http://schemas.openxmlformats.org/officeDocument/2006/relationships/hyperlink" Target="http://turnertracker.com/data/extensions_data/tickets/d/7/7/f/3/1384152RD/ticket.jpg" TargetMode="External"/><Relationship Id="rId1025" Type="http://schemas.openxmlformats.org/officeDocument/2006/relationships/hyperlink" Target="http://turnertracker.com/data/extensions_data/tickets/f/7/b/2/7/1182623RD/ticket.jpg" TargetMode="External"/><Relationship Id="rId907" Type="http://schemas.openxmlformats.org/officeDocument/2006/relationships/hyperlink" Target="http://turnertracker.com/data/extensions_data/tickets/d/a/b/9/c/1436051RD/ticket.jpg" TargetMode="External"/><Relationship Id="rId36" Type="http://schemas.openxmlformats.org/officeDocument/2006/relationships/hyperlink" Target="http://turnertracker.com/data/extensions_data/tickets/a/5/2/b/1/1092705RD/ticket.jpg" TargetMode="External"/><Relationship Id="rId185" Type="http://schemas.openxmlformats.org/officeDocument/2006/relationships/hyperlink" Target="http://turnertracker.com/data/extensions_data/tickets/d/a/f/4/f/999895RD/ticket.jpg" TargetMode="External"/><Relationship Id="rId392" Type="http://schemas.openxmlformats.org/officeDocument/2006/relationships/hyperlink" Target="http://turnertracker.com/data/extensions_data/tickets/5/9/1/b/2/1193741RD/ticket.jpg" TargetMode="External"/><Relationship Id="rId697" Type="http://schemas.openxmlformats.org/officeDocument/2006/relationships/hyperlink" Target="http://turnertracker.com/data/extensions_data/tickets/2/1/b/5/a/1218856RD/ticket.jpg" TargetMode="External"/><Relationship Id="rId252" Type="http://schemas.openxmlformats.org/officeDocument/2006/relationships/hyperlink" Target="http://turnertracker.com/data/extensions_data/tickets/5/d/4/c/b/1188009RD/ticket.jpg" TargetMode="External"/><Relationship Id="rId1187" Type="http://schemas.openxmlformats.org/officeDocument/2006/relationships/hyperlink" Target="http://turnertracker.com/data/extensions_data/tickets/a/7/3/2/4/1419131RD/ticket.jpg" TargetMode="External"/><Relationship Id="rId112" Type="http://schemas.openxmlformats.org/officeDocument/2006/relationships/hyperlink" Target="http://turnertracker.com/data/extensions_data/tickets/7/d/4/6/e/999748RD/ticket.jpg" TargetMode="External"/><Relationship Id="rId557" Type="http://schemas.openxmlformats.org/officeDocument/2006/relationships/hyperlink" Target="http://turnertracker.com/data/extensions_data/tickets/a/9/7/f/6/1322891RD/ticket.jpg" TargetMode="External"/><Relationship Id="rId764" Type="http://schemas.openxmlformats.org/officeDocument/2006/relationships/hyperlink" Target="http://turnertracker.com/data/extensions_data/tickets/7/7/a/5/e/1293487RD/ticket.jpg" TargetMode="External"/><Relationship Id="rId971" Type="http://schemas.openxmlformats.org/officeDocument/2006/relationships/hyperlink" Target="http://turnertracker.com/data/extensions_data/tickets/2/0/6/5/3/1068853RD/ticket.jpg" TargetMode="External"/><Relationship Id="rId417" Type="http://schemas.openxmlformats.org/officeDocument/2006/relationships/hyperlink" Target="http://turnertracker.com/data/extensions_data/tickets/6/3/a/c/e/1218858RD/ticket.jpg" TargetMode="External"/><Relationship Id="rId624" Type="http://schemas.openxmlformats.org/officeDocument/2006/relationships/hyperlink" Target="http://turnertracker.com/data/extensions_data/tickets/2/0/a/c/b/983478RD/ticket.jpg" TargetMode="External"/><Relationship Id="rId831" Type="http://schemas.openxmlformats.org/officeDocument/2006/relationships/hyperlink" Target="http://turnertracker.com/data/extensions_data/tickets/8/4/0/a/0/1380218RD/ticket.jpg" TargetMode="External"/><Relationship Id="rId1047" Type="http://schemas.openxmlformats.org/officeDocument/2006/relationships/hyperlink" Target="http://turnertracker.com/data/extensions_data/tickets/e/1/e/0/f/1182794RD/ticket.jpg" TargetMode="External"/><Relationship Id="rId929" Type="http://schemas.openxmlformats.org/officeDocument/2006/relationships/hyperlink" Target="http://turnertracker.com/data/extensions_data/tickets/5/3/1/6/2/1475450RD/ticket.jpg" TargetMode="External"/><Relationship Id="rId1114" Type="http://schemas.openxmlformats.org/officeDocument/2006/relationships/hyperlink" Target="http://turnertracker.com/data/extensions_data/tickets/8/3/7/f/c/1274209RD/ticket.jpg" TargetMode="External"/><Relationship Id="rId58" Type="http://schemas.openxmlformats.org/officeDocument/2006/relationships/hyperlink" Target="http://turnertracker.com/data/extensions_data/tickets/c/d/e/8/4/999379RD/ticket.jpg" TargetMode="External"/><Relationship Id="rId274" Type="http://schemas.openxmlformats.org/officeDocument/2006/relationships/hyperlink" Target="http://turnertracker.com/data/extensions_data/tickets/b/7/1/b/5/1193888RD/ticket.jpg" TargetMode="External"/><Relationship Id="rId481" Type="http://schemas.openxmlformats.org/officeDocument/2006/relationships/hyperlink" Target="http://turnertracker.com/data/extensions_data/tickets/8/c/8/4/8/1261566RD/ticket.jpg" TargetMode="External"/><Relationship Id="rId134" Type="http://schemas.openxmlformats.org/officeDocument/2006/relationships/hyperlink" Target="http://turnertracker.com/data/extensions_data/tickets/7/f/c/8/f/999783RD/ticket.jpg" TargetMode="External"/><Relationship Id="rId579" Type="http://schemas.openxmlformats.org/officeDocument/2006/relationships/hyperlink" Target="http://turnertracker.com/data/extensions_data/tickets/9/c/8/7/c/1356444RD/ticket.jpg" TargetMode="External"/><Relationship Id="rId786" Type="http://schemas.openxmlformats.org/officeDocument/2006/relationships/hyperlink" Target="http://turnertracker.com/data/extensions_data/tickets/6/7/4/a/4/1322842RD/ticket.jpg" TargetMode="External"/><Relationship Id="rId993" Type="http://schemas.openxmlformats.org/officeDocument/2006/relationships/hyperlink" Target="http://turnertracker.com/data/extensions_data/tickets/b/d/e/7/9/1107629RD/ticket.jpg" TargetMode="External"/><Relationship Id="rId341" Type="http://schemas.openxmlformats.org/officeDocument/2006/relationships/hyperlink" Target="http://turnertracker.com/data/extensions_data/tickets/d/6/0/1/c/1436049RD/ticket.jpg" TargetMode="External"/><Relationship Id="rId439" Type="http://schemas.openxmlformats.org/officeDocument/2006/relationships/hyperlink" Target="http://turnertracker.com/data/extensions_data/tickets/7/7/c/3/c/1233035RD/ticket.jpg" TargetMode="External"/><Relationship Id="rId646" Type="http://schemas.openxmlformats.org/officeDocument/2006/relationships/hyperlink" Target="http://turnertracker.com/data/extensions_data/tickets/8/8/4/d/4/1076882RD/ticket.jpg" TargetMode="External"/><Relationship Id="rId1069" Type="http://schemas.openxmlformats.org/officeDocument/2006/relationships/hyperlink" Target="http://turnertracker.com/data/extensions_data/tickets/b/f/b/7/5/1233052RD/ticket.jpg" TargetMode="External"/><Relationship Id="rId201" Type="http://schemas.openxmlformats.org/officeDocument/2006/relationships/hyperlink" Target="http://turnertracker.com/data/extensions_data/tickets/8/2/8/2/1/1000034RD/ticket.jpg" TargetMode="External"/><Relationship Id="rId506" Type="http://schemas.openxmlformats.org/officeDocument/2006/relationships/hyperlink" Target="http://turnertracker.com/data/extensions_data/tickets/f/a/7/e/3/1261699RD/ticket.jpg" TargetMode="External"/><Relationship Id="rId853" Type="http://schemas.openxmlformats.org/officeDocument/2006/relationships/hyperlink" Target="http://turnertracker.com/data/extensions_data/tickets/c/6/9/5/6/1392456RD/ticket.jpg" TargetMode="External"/><Relationship Id="rId1136" Type="http://schemas.openxmlformats.org/officeDocument/2006/relationships/hyperlink" Target="http://turnertracker.com/data/extensions_data/tickets/a/5/f/f/4/1308199RD/ticket.jpg" TargetMode="External"/><Relationship Id="rId713" Type="http://schemas.openxmlformats.org/officeDocument/2006/relationships/hyperlink" Target="http://turnertracker.com/data/extensions_data/tickets/3/0/b/e/8/1261580RD/ticket.jpg" TargetMode="External"/><Relationship Id="rId920" Type="http://schemas.openxmlformats.org/officeDocument/2006/relationships/hyperlink" Target="http://turnertracker.com/data/extensions_data/tickets/d/2/f/2/9/1458035RD/ticket.jpg" TargetMode="External"/><Relationship Id="rId1203" Type="http://schemas.openxmlformats.org/officeDocument/2006/relationships/hyperlink" Target="http://turnertracker.com/data/extensions_data/tickets/d/7/2/d/d/1165882RD/ticket.jpg" TargetMode="External"/><Relationship Id="rId296" Type="http://schemas.openxmlformats.org/officeDocument/2006/relationships/hyperlink" Target="http://turnertracker.com/data/extensions_data/tickets/5/b/4/c/6/1193942RD/ticket.jpg" TargetMode="External"/><Relationship Id="rId156" Type="http://schemas.openxmlformats.org/officeDocument/2006/relationships/hyperlink" Target="http://turnertracker.com/data/extensions_data/tickets/c/c/c/d/b/999831RD/ticket.jpg" TargetMode="External"/><Relationship Id="rId363" Type="http://schemas.openxmlformats.org/officeDocument/2006/relationships/hyperlink" Target="http://turnertracker.com/data/extensions_data/tickets/1/4/f/2/6/1182761RD/ticket.jpg" TargetMode="External"/><Relationship Id="rId570" Type="http://schemas.openxmlformats.org/officeDocument/2006/relationships/hyperlink" Target="http://turnertracker.com/data/extensions_data/tickets/e/b/c/3/f/1337855RD/ticket.jpg" TargetMode="External"/><Relationship Id="rId223" Type="http://schemas.openxmlformats.org/officeDocument/2006/relationships/hyperlink" Target="http://turnertracker.com/data/extensions_data/tickets/6/7/4/c/f/1069265RD/ticket.jpg" TargetMode="External"/><Relationship Id="rId430" Type="http://schemas.openxmlformats.org/officeDocument/2006/relationships/hyperlink" Target="http://turnertracker.com/data/extensions_data/tickets/4/3/a/b/c/1219071RD/ticket.jpg" TargetMode="External"/><Relationship Id="rId668" Type="http://schemas.openxmlformats.org/officeDocument/2006/relationships/hyperlink" Target="http://turnertracker.com/data/extensions_data/tickets/d/4/6/c/5/1130023RD/ticket.jpg" TargetMode="External"/><Relationship Id="rId875" Type="http://schemas.openxmlformats.org/officeDocument/2006/relationships/hyperlink" Target="http://turnertracker.com/data/extensions_data/tickets/f/f/e/8/1/1401279RD/ticket.jpg" TargetMode="External"/><Relationship Id="rId1060" Type="http://schemas.openxmlformats.org/officeDocument/2006/relationships/hyperlink" Target="http://turnertracker.com/data/extensions_data/tickets/9/a/c/d/e/1205039RD/ticket.jpg" TargetMode="External"/><Relationship Id="rId18" Type="http://schemas.openxmlformats.org/officeDocument/2006/relationships/hyperlink" Target="http://turnertracker.com/data/extensions_data/tickets/9/a/5/5/5/1092513RD/ticket.jpg" TargetMode="External"/><Relationship Id="rId528" Type="http://schemas.openxmlformats.org/officeDocument/2006/relationships/hyperlink" Target="http://turnertracker.com/data/extensions_data/tickets/d/f/3/7/c/1274198RD/ticket.jpg" TargetMode="External"/><Relationship Id="rId735" Type="http://schemas.openxmlformats.org/officeDocument/2006/relationships/hyperlink" Target="http://turnertracker.com/data/extensions_data/tickets/3/7/7/9/b/1293411RD/ticket.jpg" TargetMode="External"/><Relationship Id="rId942" Type="http://schemas.openxmlformats.org/officeDocument/2006/relationships/hyperlink" Target="http://turnertracker.com/data/extensions_data/tickets/9/3/f/c/5/1489701RD/ticket.jpg" TargetMode="External"/><Relationship Id="rId1158" Type="http://schemas.openxmlformats.org/officeDocument/2006/relationships/hyperlink" Target="http://turnertracker.com/data/extensions_data/tickets/4/5/9/6/c/1384120RD/ticket.jpg" TargetMode="External"/><Relationship Id="rId167" Type="http://schemas.openxmlformats.org/officeDocument/2006/relationships/hyperlink" Target="http://turnertracker.com/data/extensions_data/tickets/2/5/1/d/a/999856RD/ticket.jpg" TargetMode="External"/><Relationship Id="rId374" Type="http://schemas.openxmlformats.org/officeDocument/2006/relationships/hyperlink" Target="http://turnertracker.com/data/extensions_data/tickets/0/d/3/2/5/1193674RD/ticket.jpg" TargetMode="External"/><Relationship Id="rId581" Type="http://schemas.openxmlformats.org/officeDocument/2006/relationships/hyperlink" Target="http://turnertracker.com/data/extensions_data/tickets/6/9/7/6/8/1356448RD/ticket.jpg" TargetMode="External"/><Relationship Id="rId1018" Type="http://schemas.openxmlformats.org/officeDocument/2006/relationships/hyperlink" Target="http://turnertracker.com/data/extensions_data/tickets/f/1/b/d/5/1165886RD/ticket.jpg" TargetMode="External"/><Relationship Id="rId71" Type="http://schemas.openxmlformats.org/officeDocument/2006/relationships/hyperlink" Target="http://turnertracker.com/data/extensions_data/tickets/d/c/c/7/6/999659RD/ticket.jpg" TargetMode="External"/><Relationship Id="rId234" Type="http://schemas.openxmlformats.org/officeDocument/2006/relationships/hyperlink" Target="http://turnertracker.com/data/extensions_data/tickets/1/4/8/5/3/1089158RD/ticket.jpg" TargetMode="External"/><Relationship Id="rId679" Type="http://schemas.openxmlformats.org/officeDocument/2006/relationships/hyperlink" Target="http://turnertracker.com/data/extensions_data/tickets/b/e/b/8/0/1152830RD/ticket.jpg" TargetMode="External"/><Relationship Id="rId802" Type="http://schemas.openxmlformats.org/officeDocument/2006/relationships/hyperlink" Target="http://turnertracker.com/data/extensions_data/tickets/2/2/7/9/e/1337850RD/ticket.jpg" TargetMode="External"/><Relationship Id="rId886" Type="http://schemas.openxmlformats.org/officeDocument/2006/relationships/hyperlink" Target="http://turnertracker.com/data/extensions_data/tickets/c/f/4/0/a/1419121RD/ticket.jpg" TargetMode="External"/><Relationship Id="rId2" Type="http://schemas.openxmlformats.org/officeDocument/2006/relationships/hyperlink" Target="http://turnertracker.com/data/extensions_data/tickets/2/2/0/d/1/1380256RD/ticket.jpg" TargetMode="External"/><Relationship Id="rId29" Type="http://schemas.openxmlformats.org/officeDocument/2006/relationships/hyperlink" Target="http://turnertracker.com/data/extensions_data/tickets/f/2/b/7/4/1092606RD/ticket.jpg" TargetMode="External"/><Relationship Id="rId441" Type="http://schemas.openxmlformats.org/officeDocument/2006/relationships/hyperlink" Target="http://turnertracker.com/data/extensions_data/tickets/9/c/4/f/0/1233040RD/ticket.jpg" TargetMode="External"/><Relationship Id="rId539" Type="http://schemas.openxmlformats.org/officeDocument/2006/relationships/hyperlink" Target="http://turnertracker.com/data/extensions_data/tickets/c/d/1/6/e/1308202RD/ticket.jpg" TargetMode="External"/><Relationship Id="rId746" Type="http://schemas.openxmlformats.org/officeDocument/2006/relationships/hyperlink" Target="http://turnertracker.com/data/extensions_data/tickets/2/4/1/d/0/1293440RD/ticket.jpg" TargetMode="External"/><Relationship Id="rId1071" Type="http://schemas.openxmlformats.org/officeDocument/2006/relationships/hyperlink" Target="http://turnertracker.com/data/extensions_data/tickets/6/3/3/d/5/1233079RD/ticket.jpg" TargetMode="External"/><Relationship Id="rId1169" Type="http://schemas.openxmlformats.org/officeDocument/2006/relationships/hyperlink" Target="http://turnertracker.com/data/extensions_data/tickets/e/6/8/8/5/1384134RD/ticket.jpg" TargetMode="External"/><Relationship Id="rId178" Type="http://schemas.openxmlformats.org/officeDocument/2006/relationships/hyperlink" Target="http://turnertracker.com/data/extensions_data/tickets/9/2/6/e/a/999874RD/ticket.jpg" TargetMode="External"/><Relationship Id="rId301" Type="http://schemas.openxmlformats.org/officeDocument/2006/relationships/hyperlink" Target="http://turnertracker.com/data/extensions_data/tickets/5/1/4/4/6/1193952RD/ticket.jpg" TargetMode="External"/><Relationship Id="rId953" Type="http://schemas.openxmlformats.org/officeDocument/2006/relationships/hyperlink" Target="http://turnertracker.com/data/extensions_data/tickets/f/3/8/1/7/1022973RD/ticket.jpg" TargetMode="External"/><Relationship Id="rId1029" Type="http://schemas.openxmlformats.org/officeDocument/2006/relationships/hyperlink" Target="http://turnertracker.com/data/extensions_data/tickets/8/0/7/6/8/1182643RD/ticket.jpg" TargetMode="External"/><Relationship Id="rId82" Type="http://schemas.openxmlformats.org/officeDocument/2006/relationships/hyperlink" Target="http://turnertracker.com/data/extensions_data/tickets/5/f/3/c/e/999679RD/ticket.jpg" TargetMode="External"/><Relationship Id="rId385" Type="http://schemas.openxmlformats.org/officeDocument/2006/relationships/hyperlink" Target="http://turnertracker.com/data/extensions_data/tickets/1/6/3/d/d/1193715RD/ticket.jpg" TargetMode="External"/><Relationship Id="rId592" Type="http://schemas.openxmlformats.org/officeDocument/2006/relationships/hyperlink" Target="http://turnertracker.com/data/extensions_data/tickets/2/1/b/7/4/1371286RD/ticket.jpg" TargetMode="External"/><Relationship Id="rId606" Type="http://schemas.openxmlformats.org/officeDocument/2006/relationships/hyperlink" Target="http://turnertracker.com/data/extensions_data/tickets/1/4/2/c/a/999405RD/ticket.jpg" TargetMode="External"/><Relationship Id="rId813" Type="http://schemas.openxmlformats.org/officeDocument/2006/relationships/hyperlink" Target="http://turnertracker.com/data/extensions_data/tickets/1/7/b/9/d/1356465RD/ticket.jpg" TargetMode="External"/><Relationship Id="rId245" Type="http://schemas.openxmlformats.org/officeDocument/2006/relationships/hyperlink" Target="http://turnertracker.com/data/extensions_data/tickets/6/4/1/8/b/1163642RD/ticket.jpg" TargetMode="External"/><Relationship Id="rId452" Type="http://schemas.openxmlformats.org/officeDocument/2006/relationships/hyperlink" Target="http://turnertracker.com/data/extensions_data/tickets/b/f/7/8/4/1233071RD/ticket.jpg" TargetMode="External"/><Relationship Id="rId897" Type="http://schemas.openxmlformats.org/officeDocument/2006/relationships/hyperlink" Target="http://turnertracker.com/data/extensions_data/tickets/3/b/3/b/a/1419136RD/ticket.jpg" TargetMode="External"/><Relationship Id="rId1082" Type="http://schemas.openxmlformats.org/officeDocument/2006/relationships/hyperlink" Target="http://turnertracker.com/data/extensions_data/tickets/7/4/9/c/6/1246668RD/ticket.jpg" TargetMode="External"/><Relationship Id="rId105" Type="http://schemas.openxmlformats.org/officeDocument/2006/relationships/hyperlink" Target="http://turnertracker.com/data/extensions_data/tickets/a/6/4/b/5/999711RD/ticket.jpg" TargetMode="External"/><Relationship Id="rId312" Type="http://schemas.openxmlformats.org/officeDocument/2006/relationships/hyperlink" Target="http://turnertracker.com/data/extensions_data/tickets/0/0/1/f/2/1233084RD/ticket.jpg" TargetMode="External"/><Relationship Id="rId757" Type="http://schemas.openxmlformats.org/officeDocument/2006/relationships/hyperlink" Target="http://turnertracker.com/data/extensions_data/tickets/b/5/1/4/8/1293470RD/ticket.jpg" TargetMode="External"/><Relationship Id="rId964" Type="http://schemas.openxmlformats.org/officeDocument/2006/relationships/hyperlink" Target="http://turnertracker.com/data/extensions_data/tickets/7/b/9/f/f/1059105RD/ticket.jpg" TargetMode="External"/><Relationship Id="rId93" Type="http://schemas.openxmlformats.org/officeDocument/2006/relationships/hyperlink" Target="http://turnertracker.com/data/extensions_data/tickets/d/c/9/f/9/999691RD/ticket.jpg" TargetMode="External"/><Relationship Id="rId189" Type="http://schemas.openxmlformats.org/officeDocument/2006/relationships/hyperlink" Target="http://turnertracker.com/data/extensions_data/tickets/9/b/6/9/3/999908RD/ticket.jpg" TargetMode="External"/><Relationship Id="rId396" Type="http://schemas.openxmlformats.org/officeDocument/2006/relationships/hyperlink" Target="http://turnertracker.com/data/extensions_data/tickets/e/3/2/d/e/1195165RD/ticket.jpg" TargetMode="External"/><Relationship Id="rId617" Type="http://schemas.openxmlformats.org/officeDocument/2006/relationships/hyperlink" Target="http://turnertracker.com/data/extensions_data/tickets/5/e/a/e/a/1209754RD/ticket.jpg" TargetMode="External"/><Relationship Id="rId824" Type="http://schemas.openxmlformats.org/officeDocument/2006/relationships/hyperlink" Target="http://turnertracker.com/data/extensions_data/tickets/0/e/1/7/9/1371279RD/ticket.jpg" TargetMode="External"/><Relationship Id="rId256" Type="http://schemas.openxmlformats.org/officeDocument/2006/relationships/hyperlink" Target="http://turnertracker.com/data/extensions_data/tickets/f/5/b/0/a/1188032RD/ticket.jpg" TargetMode="External"/><Relationship Id="rId463" Type="http://schemas.openxmlformats.org/officeDocument/2006/relationships/hyperlink" Target="http://turnertracker.com/data/extensions_data/tickets/7/8/2/9/9/1246513RD/ticket.jpg" TargetMode="External"/><Relationship Id="rId670" Type="http://schemas.openxmlformats.org/officeDocument/2006/relationships/hyperlink" Target="http://turnertracker.com/data/extensions_data/tickets/d/2/7/9/f/1130029RD/ticket.jpg" TargetMode="External"/><Relationship Id="rId1093" Type="http://schemas.openxmlformats.org/officeDocument/2006/relationships/hyperlink" Target="http://turnertracker.com/data/extensions_data/tickets/b/3/9/7/a/1261672RD/ticket.jpg" TargetMode="External"/><Relationship Id="rId1107" Type="http://schemas.openxmlformats.org/officeDocument/2006/relationships/hyperlink" Target="http://turnertracker.com/data/extensions_data/tickets/7/e/b/2/a/1274111RD/ticket.jpg" TargetMode="External"/><Relationship Id="rId116" Type="http://schemas.openxmlformats.org/officeDocument/2006/relationships/hyperlink" Target="http://turnertracker.com/data/extensions_data/tickets/a/2/6/7/9/999756RD/ticket.jpg" TargetMode="External"/><Relationship Id="rId323" Type="http://schemas.openxmlformats.org/officeDocument/2006/relationships/hyperlink" Target="http://turnertracker.com/data/extensions_data/tickets/0/e/9/9/0/1380073RD/ticket.jpg" TargetMode="External"/><Relationship Id="rId530" Type="http://schemas.openxmlformats.org/officeDocument/2006/relationships/hyperlink" Target="http://turnertracker.com/data/extensions_data/tickets/f/4/f/2/7/1274205RD/ticket.jpg" TargetMode="External"/><Relationship Id="rId768" Type="http://schemas.openxmlformats.org/officeDocument/2006/relationships/hyperlink" Target="http://turnertracker.com/data/extensions_data/tickets/4/9/e/5/1/1308182RD/ticket.jpg" TargetMode="External"/><Relationship Id="rId975" Type="http://schemas.openxmlformats.org/officeDocument/2006/relationships/hyperlink" Target="http://turnertracker.com/data/extensions_data/tickets/e/a/d/9/e/1076878RD/ticket.jpg" TargetMode="External"/><Relationship Id="rId1160" Type="http://schemas.openxmlformats.org/officeDocument/2006/relationships/hyperlink" Target="http://turnertracker.com/data/extensions_data/tickets/6/0/9/2/b/1384122RD/ticket.jpg" TargetMode="External"/><Relationship Id="rId20" Type="http://schemas.openxmlformats.org/officeDocument/2006/relationships/hyperlink" Target="http://turnertracker.com/data/extensions_data/tickets/4/1/a/4/5/1092557RD/ticket.jpg" TargetMode="External"/><Relationship Id="rId628" Type="http://schemas.openxmlformats.org/officeDocument/2006/relationships/hyperlink" Target="http://turnertracker.com/data/extensions_data/tickets/e/c/a/a/7/1000117RD/ticket.jpg" TargetMode="External"/><Relationship Id="rId835" Type="http://schemas.openxmlformats.org/officeDocument/2006/relationships/hyperlink" Target="http://turnertracker.com/data/extensions_data/tickets/4/3/8/4/e/1380258RD/ticket.jpg" TargetMode="External"/><Relationship Id="rId267" Type="http://schemas.openxmlformats.org/officeDocument/2006/relationships/hyperlink" Target="http://turnertracker.com/data/extensions_data/tickets/1/d/c/2/0/1188097RD/ticket.jpg" TargetMode="External"/><Relationship Id="rId474" Type="http://schemas.openxmlformats.org/officeDocument/2006/relationships/hyperlink" Target="http://turnertracker.com/data/extensions_data/tickets/c/f/1/f/f/1261559RD/ticket.jpg" TargetMode="External"/><Relationship Id="rId1020" Type="http://schemas.openxmlformats.org/officeDocument/2006/relationships/hyperlink" Target="http://turnertracker.com/data/extensions_data/tickets/8/2/6/9/a/1165888RD/ticket.jpg" TargetMode="External"/><Relationship Id="rId1118" Type="http://schemas.openxmlformats.org/officeDocument/2006/relationships/hyperlink" Target="http://turnertracker.com/data/extensions_data/tickets/9/4/c/b/c/1293408RD/ticket.jpg" TargetMode="External"/><Relationship Id="rId127" Type="http://schemas.openxmlformats.org/officeDocument/2006/relationships/hyperlink" Target="http://turnertracker.com/data/extensions_data/tickets/c/0/c/d/3/999770RD/ticket.jpg" TargetMode="External"/><Relationship Id="rId681" Type="http://schemas.openxmlformats.org/officeDocument/2006/relationships/hyperlink" Target="http://turnertracker.com/data/extensions_data/tickets/0/6/b/c/b/1152836RD/ticket.jpg" TargetMode="External"/><Relationship Id="rId779" Type="http://schemas.openxmlformats.org/officeDocument/2006/relationships/hyperlink" Target="http://turnertracker.com/data/extensions_data/tickets/d/4/8/5/c/1308212RD/ticket.jpg" TargetMode="External"/><Relationship Id="rId902" Type="http://schemas.openxmlformats.org/officeDocument/2006/relationships/hyperlink" Target="http://turnertracker.com/data/extensions_data/tickets/7/8/e/1/1/1419150RD/ticket.jpg" TargetMode="External"/><Relationship Id="rId986" Type="http://schemas.openxmlformats.org/officeDocument/2006/relationships/hyperlink" Target="http://turnertracker.com/data/extensions_data/tickets/0/4/2/6/4/1107614RD/ticket.jpg" TargetMode="External"/><Relationship Id="rId31" Type="http://schemas.openxmlformats.org/officeDocument/2006/relationships/hyperlink" Target="http://turnertracker.com/data/extensions_data/tickets/2/a/c/c/e/1092618RD/ticket.jpg" TargetMode="External"/><Relationship Id="rId334" Type="http://schemas.openxmlformats.org/officeDocument/2006/relationships/hyperlink" Target="http://turnertracker.com/data/extensions_data/tickets/6/d/a/d/0/1380271RD/ticket.jpg" TargetMode="External"/><Relationship Id="rId541" Type="http://schemas.openxmlformats.org/officeDocument/2006/relationships/hyperlink" Target="http://turnertracker.com/data/extensions_data/tickets/1/0/5/4/4/1308218RD/ticket.jpg" TargetMode="External"/><Relationship Id="rId639" Type="http://schemas.openxmlformats.org/officeDocument/2006/relationships/hyperlink" Target="http://turnertracker.com/data/extensions_data/tickets/4/b/4/4/2/1059115RD/ticket.jpg" TargetMode="External"/><Relationship Id="rId1171" Type="http://schemas.openxmlformats.org/officeDocument/2006/relationships/hyperlink" Target="http://turnertracker.com/data/extensions_data/tickets/d/b/2/e/7/1384139RD/ticket.jpg" TargetMode="External"/><Relationship Id="rId180" Type="http://schemas.openxmlformats.org/officeDocument/2006/relationships/hyperlink" Target="http://turnertracker.com/data/extensions_data/tickets/9/d/d/4/9/999879RD/ticket.jpg" TargetMode="External"/><Relationship Id="rId278" Type="http://schemas.openxmlformats.org/officeDocument/2006/relationships/hyperlink" Target="http://turnertracker.com/data/extensions_data/tickets/3/e/c/f/c/1193893RD/ticket.jpg" TargetMode="External"/><Relationship Id="rId401" Type="http://schemas.openxmlformats.org/officeDocument/2006/relationships/hyperlink" Target="http://turnertracker.com/data/extensions_data/tickets/b/b/f/1/2/1205047RD/ticket.jpg" TargetMode="External"/><Relationship Id="rId846" Type="http://schemas.openxmlformats.org/officeDocument/2006/relationships/hyperlink" Target="http://turnertracker.com/data/extensions_data/tickets/c/e/c/2/c/1384154RD/ticket.jpg" TargetMode="External"/><Relationship Id="rId1031" Type="http://schemas.openxmlformats.org/officeDocument/2006/relationships/hyperlink" Target="http://turnertracker.com/data/extensions_data/tickets/9/6/d/4/c/1182660RD/ticket.jpg" TargetMode="External"/><Relationship Id="rId1129" Type="http://schemas.openxmlformats.org/officeDocument/2006/relationships/hyperlink" Target="http://turnertracker.com/data/extensions_data/tickets/d/6/7/d/f/1293488RD/ticket.jpg" TargetMode="External"/><Relationship Id="rId485" Type="http://schemas.openxmlformats.org/officeDocument/2006/relationships/hyperlink" Target="http://turnertracker.com/data/extensions_data/tickets/9/f/9/b/6/1261570RD/ticket.jpg" TargetMode="External"/><Relationship Id="rId692" Type="http://schemas.openxmlformats.org/officeDocument/2006/relationships/hyperlink" Target="http://turnertracker.com/data/extensions_data/tickets/f/6/6/e/0/1195163RD/ticket.jpg" TargetMode="External"/><Relationship Id="rId706" Type="http://schemas.openxmlformats.org/officeDocument/2006/relationships/hyperlink" Target="http://turnertracker.com/data/extensions_data/tickets/1/1/5/f/7/1233065RD/ticket.jpg" TargetMode="External"/><Relationship Id="rId913" Type="http://schemas.openxmlformats.org/officeDocument/2006/relationships/hyperlink" Target="http://turnertracker.com/data/extensions_data/tickets/e/d/4/8/b/1436059RD/ticket.jpg" TargetMode="External"/><Relationship Id="rId42" Type="http://schemas.openxmlformats.org/officeDocument/2006/relationships/hyperlink" Target="http://turnertracker.com/data/extensions_data/tickets/7/c/0/6/4/999358RD/ticket.jpg" TargetMode="External"/><Relationship Id="rId138" Type="http://schemas.openxmlformats.org/officeDocument/2006/relationships/hyperlink" Target="http://turnertracker.com/data/extensions_data/tickets/b/e/6/c/4/999792RD/ticket.jpg" TargetMode="External"/><Relationship Id="rId345" Type="http://schemas.openxmlformats.org/officeDocument/2006/relationships/hyperlink" Target="http://turnertracker.com/data/extensions_data/tickets/6/f/5/0/2/1031355RD/ticket.jpg" TargetMode="External"/><Relationship Id="rId552" Type="http://schemas.openxmlformats.org/officeDocument/2006/relationships/hyperlink" Target="http://turnertracker.com/data/extensions_data/tickets/c/7/2/a/e/1322862RD/ticket.jpg" TargetMode="External"/><Relationship Id="rId997" Type="http://schemas.openxmlformats.org/officeDocument/2006/relationships/hyperlink" Target="http://turnertracker.com/data/extensions_data/tickets/d/3/5/e/f/1120147RD/ticket.jpg" TargetMode="External"/><Relationship Id="rId1182" Type="http://schemas.openxmlformats.org/officeDocument/2006/relationships/hyperlink" Target="http://turnertracker.com/data/extensions_data/tickets/b/d/0/b/8/1419117RD/ticket.jpg" TargetMode="External"/><Relationship Id="rId191" Type="http://schemas.openxmlformats.org/officeDocument/2006/relationships/hyperlink" Target="http://turnertracker.com/data/extensions_data/tickets/6/9/8/b/5/999912RD/ticket.jpg" TargetMode="External"/><Relationship Id="rId205" Type="http://schemas.openxmlformats.org/officeDocument/2006/relationships/hyperlink" Target="http://turnertracker.com/data/extensions_data/tickets/1/7/c/d/3/1000055RD/ticket.jpg" TargetMode="External"/><Relationship Id="rId412" Type="http://schemas.openxmlformats.org/officeDocument/2006/relationships/hyperlink" Target="http://turnertracker.com/data/extensions_data/tickets/e/9/e/f/4/1218819RD/ticket.jpg" TargetMode="External"/><Relationship Id="rId857" Type="http://schemas.openxmlformats.org/officeDocument/2006/relationships/hyperlink" Target="http://turnertracker.com/data/extensions_data/tickets/e/6/a/8/f/1392469RD/ticket.jpg" TargetMode="External"/><Relationship Id="rId1042" Type="http://schemas.openxmlformats.org/officeDocument/2006/relationships/hyperlink" Target="http://turnertracker.com/data/extensions_data/tickets/d/b/f/5/4/1182776RD/ticket.jpg" TargetMode="External"/><Relationship Id="rId289" Type="http://schemas.openxmlformats.org/officeDocument/2006/relationships/hyperlink" Target="http://turnertracker.com/data/extensions_data/tickets/8/c/d/2/2/1193924RD/ticket.jpg" TargetMode="External"/><Relationship Id="rId496" Type="http://schemas.openxmlformats.org/officeDocument/2006/relationships/hyperlink" Target="http://turnertracker.com/data/extensions_data/tickets/8/d/6/c/5/1261663RD/ticket.jpg" TargetMode="External"/><Relationship Id="rId717" Type="http://schemas.openxmlformats.org/officeDocument/2006/relationships/hyperlink" Target="http://turnertracker.com/data/extensions_data/tickets/1/9/8/5/2/1261733RD/ticket.jpg" TargetMode="External"/><Relationship Id="rId924" Type="http://schemas.openxmlformats.org/officeDocument/2006/relationships/hyperlink" Target="http://turnertracker.com/data/extensions_data/tickets/8/2/9/b/e/1458039RD/ticket.jpg" TargetMode="External"/><Relationship Id="rId53" Type="http://schemas.openxmlformats.org/officeDocument/2006/relationships/hyperlink" Target="http://turnertracker.com/data/extensions_data/tickets/0/2/0/b/9/999373RD/ticket.jpg" TargetMode="External"/><Relationship Id="rId149" Type="http://schemas.openxmlformats.org/officeDocument/2006/relationships/hyperlink" Target="http://turnertracker.com/data/extensions_data/tickets/e/8/a/2/b/999813RD/ticket.jpg" TargetMode="External"/><Relationship Id="rId356" Type="http://schemas.openxmlformats.org/officeDocument/2006/relationships/hyperlink" Target="http://turnertracker.com/data/extensions_data/tickets/7/b/d/b/c/1182657RD/ticket.jpg" TargetMode="External"/><Relationship Id="rId563" Type="http://schemas.openxmlformats.org/officeDocument/2006/relationships/hyperlink" Target="http://turnertracker.com/data/extensions_data/tickets/b/6/e/d/1/1322925RD/ticket.jpg" TargetMode="External"/><Relationship Id="rId770" Type="http://schemas.openxmlformats.org/officeDocument/2006/relationships/hyperlink" Target="http://turnertracker.com/data/extensions_data/tickets/e/2/3/0/4/1308187RD/ticket.jpg" TargetMode="External"/><Relationship Id="rId1193" Type="http://schemas.openxmlformats.org/officeDocument/2006/relationships/hyperlink" Target="http://turnertracker.com/data/extensions_data/tickets/f/f/e/0/d/1458033RD/ticket.jpg" TargetMode="External"/><Relationship Id="rId1207" Type="http://schemas.openxmlformats.org/officeDocument/2006/relationships/hyperlink" Target="http://turnertracker.com/data/extensions_data/tickets/8/e/b/c/8/1329905RD/ticket.jpg" TargetMode="External"/><Relationship Id="rId216" Type="http://schemas.openxmlformats.org/officeDocument/2006/relationships/hyperlink" Target="http://turnertracker.com/data/extensions_data/tickets/b/b/8/7/6/1069258RD/ticket.jpg" TargetMode="External"/><Relationship Id="rId423" Type="http://schemas.openxmlformats.org/officeDocument/2006/relationships/hyperlink" Target="http://turnertracker.com/data/extensions_data/tickets/6/a/8/0/4/1219060RD/ticket.jpg" TargetMode="External"/><Relationship Id="rId868" Type="http://schemas.openxmlformats.org/officeDocument/2006/relationships/hyperlink" Target="http://turnertracker.com/data/extensions_data/tickets/5/0/5/2/a/1401248RD/ticket.jpg" TargetMode="External"/><Relationship Id="rId1053" Type="http://schemas.openxmlformats.org/officeDocument/2006/relationships/hyperlink" Target="http://turnertracker.com/data/extensions_data/tickets/7/1/c/1/6/1193677RD/ticket.jpg" TargetMode="External"/><Relationship Id="rId630" Type="http://schemas.openxmlformats.org/officeDocument/2006/relationships/hyperlink" Target="http://turnertracker.com/data/extensions_data/tickets/9/e/9/8/5/1000121RD/ticket.jpg" TargetMode="External"/><Relationship Id="rId728" Type="http://schemas.openxmlformats.org/officeDocument/2006/relationships/hyperlink" Target="http://turnertracker.com/data/extensions_data/tickets/4/e/1/4/5/1274230RD/ticket.jpg" TargetMode="External"/><Relationship Id="rId935" Type="http://schemas.openxmlformats.org/officeDocument/2006/relationships/hyperlink" Target="http://turnertracker.com/data/extensions_data/tickets/3/1/a/0/9/1475476RD/ticket.jpg" TargetMode="External"/><Relationship Id="rId64" Type="http://schemas.openxmlformats.org/officeDocument/2006/relationships/hyperlink" Target="http://turnertracker.com/data/extensions_data/tickets/3/6/7/5/2/999385RD/ticket.jpg" TargetMode="External"/><Relationship Id="rId367" Type="http://schemas.openxmlformats.org/officeDocument/2006/relationships/hyperlink" Target="http://turnertracker.com/data/extensions_data/tickets/0/7/4/d/f/1182787RD/ticket.jpg" TargetMode="External"/><Relationship Id="rId574" Type="http://schemas.openxmlformats.org/officeDocument/2006/relationships/hyperlink" Target="http://turnertracker.com/data/extensions_data/tickets/b/e/d/6/f/1337859RD/ticket.jpg" TargetMode="External"/><Relationship Id="rId1120" Type="http://schemas.openxmlformats.org/officeDocument/2006/relationships/hyperlink" Target="http://turnertracker.com/data/extensions_data/tickets/2/3/7/3/9/1293426RD/ticket.jpg" TargetMode="External"/><Relationship Id="rId227" Type="http://schemas.openxmlformats.org/officeDocument/2006/relationships/hyperlink" Target="http://turnertracker.com/data/extensions_data/tickets/1/a/3/c/d/1069269RD/ticket.jpg" TargetMode="External"/><Relationship Id="rId781" Type="http://schemas.openxmlformats.org/officeDocument/2006/relationships/hyperlink" Target="http://turnertracker.com/data/extensions_data/tickets/9/2/1/1/0/1308219RD/ticket.jpg" TargetMode="External"/><Relationship Id="rId879" Type="http://schemas.openxmlformats.org/officeDocument/2006/relationships/hyperlink" Target="http://turnertracker.com/data/extensions_data/tickets/2/c/a/c/e/1401286RD/ticket.jpg" TargetMode="External"/><Relationship Id="rId434" Type="http://schemas.openxmlformats.org/officeDocument/2006/relationships/hyperlink" Target="http://turnertracker.com/data/extensions_data/tickets/f/f/1/4/e/1219077RD/ticket.jpg" TargetMode="External"/><Relationship Id="rId641" Type="http://schemas.openxmlformats.org/officeDocument/2006/relationships/hyperlink" Target="http://turnertracker.com/data/extensions_data/tickets/a/8/9/0/6/1068846RD/ticket.jpg" TargetMode="External"/><Relationship Id="rId739" Type="http://schemas.openxmlformats.org/officeDocument/2006/relationships/hyperlink" Target="http://turnertracker.com/data/extensions_data/tickets/0/1/0/b/0/1293423RD/ticket.jpg" TargetMode="External"/><Relationship Id="rId1064" Type="http://schemas.openxmlformats.org/officeDocument/2006/relationships/hyperlink" Target="http://turnertracker.com/data/extensions_data/tickets/b/6/c/3/1/1219062RD/ticket.jpg" TargetMode="External"/><Relationship Id="rId280" Type="http://schemas.openxmlformats.org/officeDocument/2006/relationships/hyperlink" Target="http://turnertracker.com/data/extensions_data/tickets/1/4/4/6/e/1193895RD/ticket.jpg" TargetMode="External"/><Relationship Id="rId501" Type="http://schemas.openxmlformats.org/officeDocument/2006/relationships/hyperlink" Target="http://turnertracker.com/data/extensions_data/tickets/b/1/4/f/4/1261670RD/ticket.jpg" TargetMode="External"/><Relationship Id="rId946" Type="http://schemas.openxmlformats.org/officeDocument/2006/relationships/hyperlink" Target="http://turnertracker.com/data/extensions_data/tickets/2/5/4/1/7/1022958RD/ticket.jpg" TargetMode="External"/><Relationship Id="rId1131" Type="http://schemas.openxmlformats.org/officeDocument/2006/relationships/hyperlink" Target="http://turnertracker.com/data/extensions_data/tickets/e/4/d/3/6/1308183RD/ticket.jpg" TargetMode="External"/><Relationship Id="rId75" Type="http://schemas.openxmlformats.org/officeDocument/2006/relationships/hyperlink" Target="http://turnertracker.com/data/extensions_data/tickets/f/e/6/b/3/999667RD/ticket.jpg" TargetMode="External"/><Relationship Id="rId140" Type="http://schemas.openxmlformats.org/officeDocument/2006/relationships/hyperlink" Target="http://turnertracker.com/data/extensions_data/tickets/7/b/5/f/2/999796RD/ticket.jpg" TargetMode="External"/><Relationship Id="rId378" Type="http://schemas.openxmlformats.org/officeDocument/2006/relationships/hyperlink" Target="http://turnertracker.com/data/extensions_data/tickets/b/9/4/b/a/1193681RD/ticket.jpg" TargetMode="External"/><Relationship Id="rId585" Type="http://schemas.openxmlformats.org/officeDocument/2006/relationships/hyperlink" Target="http://turnertracker.com/data/extensions_data/tickets/0/5/6/6/e/1356459RD/ticket.jpg" TargetMode="External"/><Relationship Id="rId792" Type="http://schemas.openxmlformats.org/officeDocument/2006/relationships/hyperlink" Target="http://turnertracker.com/data/extensions_data/tickets/e/7/a/9/1/1322905RD/ticket.jpg" TargetMode="External"/><Relationship Id="rId806" Type="http://schemas.openxmlformats.org/officeDocument/2006/relationships/hyperlink" Target="http://turnertracker.com/data/extensions_data/tickets/1/f/5/4/a/1356450RD/ticket.jpg" TargetMode="External"/><Relationship Id="rId6" Type="http://schemas.openxmlformats.org/officeDocument/2006/relationships/hyperlink" Target="http://turnertracker.com/data/extensions_data/tickets/3/7/d/2/e/1392457RD/ticket.jpg" TargetMode="External"/><Relationship Id="rId238" Type="http://schemas.openxmlformats.org/officeDocument/2006/relationships/hyperlink" Target="http://turnertracker.com/data/extensions_data/tickets/f/a/1/f/7/1101919RD/ticket.jpg" TargetMode="External"/><Relationship Id="rId445" Type="http://schemas.openxmlformats.org/officeDocument/2006/relationships/hyperlink" Target="http://turnertracker.com/data/extensions_data/tickets/1/b/a/2/3/1233046RD/ticket.jpg" TargetMode="External"/><Relationship Id="rId652" Type="http://schemas.openxmlformats.org/officeDocument/2006/relationships/hyperlink" Target="http://turnertracker.com/data/extensions_data/tickets/0/e/a/9/2/1089150RD/ticket.jpg" TargetMode="External"/><Relationship Id="rId1075" Type="http://schemas.openxmlformats.org/officeDocument/2006/relationships/hyperlink" Target="http://turnertracker.com/data/extensions_data/tickets/7/d/7/9/a/1246498RD/ticket.jpg" TargetMode="External"/><Relationship Id="rId291" Type="http://schemas.openxmlformats.org/officeDocument/2006/relationships/hyperlink" Target="http://turnertracker.com/data/extensions_data/tickets/5/0/6/c/b/1193927RD/ticket.jpg" TargetMode="External"/><Relationship Id="rId305" Type="http://schemas.openxmlformats.org/officeDocument/2006/relationships/hyperlink" Target="http://turnertracker.com/data/extensions_data/tickets/b/f/b/7/9/1194120RD/ticket.jpg" TargetMode="External"/><Relationship Id="rId512" Type="http://schemas.openxmlformats.org/officeDocument/2006/relationships/hyperlink" Target="http://turnertracker.com/data/extensions_data/tickets/c/7/b/1/b/1273844RD/ticket.jpg" TargetMode="External"/><Relationship Id="rId957" Type="http://schemas.openxmlformats.org/officeDocument/2006/relationships/hyperlink" Target="http://turnertracker.com/data/extensions_data/tickets/f/5/4/5/3/1046189RD/ticket.jpg" TargetMode="External"/><Relationship Id="rId1142" Type="http://schemas.openxmlformats.org/officeDocument/2006/relationships/hyperlink" Target="http://turnertracker.com/data/extensions_data/tickets/1/0/e/1/6/1337845RD/ticket.jpg" TargetMode="External"/><Relationship Id="rId86" Type="http://schemas.openxmlformats.org/officeDocument/2006/relationships/hyperlink" Target="http://turnertracker.com/data/extensions_data/tickets/2/f/4/e/4/999683RD/ticket.jpg" TargetMode="External"/><Relationship Id="rId151" Type="http://schemas.openxmlformats.org/officeDocument/2006/relationships/hyperlink" Target="http://turnertracker.com/data/extensions_data/tickets/6/2/c/f/8/999817RD/ticket.jpg" TargetMode="External"/><Relationship Id="rId389" Type="http://schemas.openxmlformats.org/officeDocument/2006/relationships/hyperlink" Target="http://turnertracker.com/data/extensions_data/tickets/a/b/3/9/0/1193730RD/ticket.jpg" TargetMode="External"/><Relationship Id="rId596" Type="http://schemas.openxmlformats.org/officeDocument/2006/relationships/hyperlink" Target="http://turnertracker.com/data/extensions_data/tickets/e/3/1/1/8/1384127RD/ticket.jpg" TargetMode="External"/><Relationship Id="rId817" Type="http://schemas.openxmlformats.org/officeDocument/2006/relationships/hyperlink" Target="http://turnertracker.com/data/extensions_data/tickets/6/0/d/7/a/1356469RD/ticket.jpg" TargetMode="External"/><Relationship Id="rId1002" Type="http://schemas.openxmlformats.org/officeDocument/2006/relationships/hyperlink" Target="http://turnertracker.com/data/extensions_data/tickets/7/c/9/f/3/1143063RD/ticket.jpg" TargetMode="External"/><Relationship Id="rId249" Type="http://schemas.openxmlformats.org/officeDocument/2006/relationships/hyperlink" Target="http://turnertracker.com/data/extensions_data/tickets/3/c/6/a/a/1163648RD/ticket.jpg" TargetMode="External"/><Relationship Id="rId456" Type="http://schemas.openxmlformats.org/officeDocument/2006/relationships/hyperlink" Target="http://turnertracker.com/data/extensions_data/tickets/1/2/c/b/2/1246456RD/ticket.jpg" TargetMode="External"/><Relationship Id="rId663" Type="http://schemas.openxmlformats.org/officeDocument/2006/relationships/hyperlink" Target="http://turnertracker.com/data/extensions_data/tickets/6/2/e/d/3/1120142RD/ticket.jpg" TargetMode="External"/><Relationship Id="rId870" Type="http://schemas.openxmlformats.org/officeDocument/2006/relationships/hyperlink" Target="http://turnertracker.com/data/extensions_data/tickets/f/b/9/c/2/1401251RD/ticket.jpg" TargetMode="External"/><Relationship Id="rId1086" Type="http://schemas.openxmlformats.org/officeDocument/2006/relationships/hyperlink" Target="http://turnertracker.com/data/extensions_data/tickets/1/1/c/2/6/1246774RD/ticket.jpg" TargetMode="External"/><Relationship Id="rId13" Type="http://schemas.openxmlformats.org/officeDocument/2006/relationships/hyperlink" Target="http://turnertracker.com/data/extensions_data/tickets/7/5/f/c/2/1417110RD/ticket.jpg" TargetMode="External"/><Relationship Id="rId109" Type="http://schemas.openxmlformats.org/officeDocument/2006/relationships/hyperlink" Target="http://turnertracker.com/data/extensions_data/tickets/8/8/5/f/1/999745RD/ticket.jpg" TargetMode="External"/><Relationship Id="rId316" Type="http://schemas.openxmlformats.org/officeDocument/2006/relationships/hyperlink" Target="http://turnertracker.com/data/extensions_data/tickets/b/2/1/c/0/1310069RD/ticket.jpg" TargetMode="External"/><Relationship Id="rId523" Type="http://schemas.openxmlformats.org/officeDocument/2006/relationships/hyperlink" Target="http://turnertracker.com/data/extensions_data/tickets/9/2/e/6/4/1274113RD/ticket.jpg" TargetMode="External"/><Relationship Id="rId968" Type="http://schemas.openxmlformats.org/officeDocument/2006/relationships/hyperlink" Target="http://turnertracker.com/data/extensions_data/tickets/3/5/a/f/d/1059116RD/ticket.jpg" TargetMode="External"/><Relationship Id="rId1153" Type="http://schemas.openxmlformats.org/officeDocument/2006/relationships/hyperlink" Target="http://turnertracker.com/data/extensions_data/tickets/c/5/e/d/7/1371295RD/ticket.jpg" TargetMode="External"/><Relationship Id="rId97" Type="http://schemas.openxmlformats.org/officeDocument/2006/relationships/hyperlink" Target="http://turnertracker.com/data/extensions_data/tickets/c/3/9/9/b/999698RD/ticket.jpg" TargetMode="External"/><Relationship Id="rId730" Type="http://schemas.openxmlformats.org/officeDocument/2006/relationships/hyperlink" Target="http://turnertracker.com/data/extensions_data/tickets/6/2/d/2/2/1293399RD/ticket.jpg" TargetMode="External"/><Relationship Id="rId828" Type="http://schemas.openxmlformats.org/officeDocument/2006/relationships/hyperlink" Target="http://turnertracker.com/data/extensions_data/tickets/a/a/f/7/1/1371293RD/ticket.jpg" TargetMode="External"/><Relationship Id="rId1013" Type="http://schemas.openxmlformats.org/officeDocument/2006/relationships/hyperlink" Target="http://turnertracker.com/data/extensions_data/tickets/0/e/2/5/8/1165874RD/ticket.jpg" TargetMode="External"/><Relationship Id="rId162" Type="http://schemas.openxmlformats.org/officeDocument/2006/relationships/hyperlink" Target="http://turnertracker.com/data/extensions_data/tickets/b/9/2/a/e/999842RD/ticket.jpg" TargetMode="External"/><Relationship Id="rId467" Type="http://schemas.openxmlformats.org/officeDocument/2006/relationships/hyperlink" Target="http://turnertracker.com/data/extensions_data/tickets/8/9/6/e/b/1246626RD/ticket.jpg" TargetMode="External"/><Relationship Id="rId1097" Type="http://schemas.openxmlformats.org/officeDocument/2006/relationships/hyperlink" Target="http://turnertracker.com/data/extensions_data/tickets/3/7/c/7/4/1261744RD/ticket.jpg" TargetMode="External"/><Relationship Id="rId674" Type="http://schemas.openxmlformats.org/officeDocument/2006/relationships/hyperlink" Target="http://turnertracker.com/data/extensions_data/tickets/e/f/d/0/1/1143068RD/ticket.jpg" TargetMode="External"/><Relationship Id="rId881" Type="http://schemas.openxmlformats.org/officeDocument/2006/relationships/hyperlink" Target="http://turnertracker.com/data/extensions_data/tickets/e/b/9/c/9/1417099RD/ticket.jpg" TargetMode="External"/><Relationship Id="rId979" Type="http://schemas.openxmlformats.org/officeDocument/2006/relationships/hyperlink" Target="http://turnertracker.com/data/extensions_data/tickets/8/a/2/4/4/1089151RD/ticket.jpg" TargetMode="External"/><Relationship Id="rId24" Type="http://schemas.openxmlformats.org/officeDocument/2006/relationships/hyperlink" Target="http://turnertracker.com/data/extensions_data/tickets/7/8/4/a/6/1092579RD/ticket.jpg" TargetMode="External"/><Relationship Id="rId327" Type="http://schemas.openxmlformats.org/officeDocument/2006/relationships/hyperlink" Target="http://turnertracker.com/data/extensions_data/tickets/0/5/3/f/d/1380188RD/ticket.jpg" TargetMode="External"/><Relationship Id="rId534" Type="http://schemas.openxmlformats.org/officeDocument/2006/relationships/hyperlink" Target="http://turnertracker.com/data/extensions_data/tickets/7/8/5/9/c/1308177RD/ticket.jpg" TargetMode="External"/><Relationship Id="rId741" Type="http://schemas.openxmlformats.org/officeDocument/2006/relationships/hyperlink" Target="http://turnertracker.com/data/extensions_data/tickets/9/a/9/2/6/1293427RD/ticket.jpg" TargetMode="External"/><Relationship Id="rId839" Type="http://schemas.openxmlformats.org/officeDocument/2006/relationships/hyperlink" Target="http://turnertracker.com/data/extensions_data/tickets/f/a/d/d/5/1384133RD/ticket.jpg" TargetMode="External"/><Relationship Id="rId1164" Type="http://schemas.openxmlformats.org/officeDocument/2006/relationships/hyperlink" Target="http://turnertracker.com/data/extensions_data/tickets/4/3/4/5/e/1384128RD/ticket.jpg" TargetMode="External"/><Relationship Id="rId173" Type="http://schemas.openxmlformats.org/officeDocument/2006/relationships/hyperlink" Target="http://turnertracker.com/data/extensions_data/tickets/e/0/e/6/0/999863RD/ticket.jpg" TargetMode="External"/><Relationship Id="rId380" Type="http://schemas.openxmlformats.org/officeDocument/2006/relationships/hyperlink" Target="http://turnertracker.com/data/extensions_data/tickets/6/9/c/8/4/1193685RD/ticket.jpg" TargetMode="External"/><Relationship Id="rId601" Type="http://schemas.openxmlformats.org/officeDocument/2006/relationships/hyperlink" Target="http://turnertracker.com/data/extensions_data/tickets/8/3/a/8/b/1384149RD/ticket.jpg" TargetMode="External"/><Relationship Id="rId1024" Type="http://schemas.openxmlformats.org/officeDocument/2006/relationships/hyperlink" Target="http://turnertracker.com/data/extensions_data/tickets/d/2/2/3/1/1165932RD/ticket.jpg" TargetMode="External"/><Relationship Id="rId240" Type="http://schemas.openxmlformats.org/officeDocument/2006/relationships/hyperlink" Target="http://turnertracker.com/data/extensions_data/tickets/e/3/3/5/b/1101922RD/ticket.jpg" TargetMode="External"/><Relationship Id="rId478" Type="http://schemas.openxmlformats.org/officeDocument/2006/relationships/hyperlink" Target="http://turnertracker.com/data/extensions_data/tickets/6/a/c/f/7/1261563RD/ticket.jpg" TargetMode="External"/><Relationship Id="rId685" Type="http://schemas.openxmlformats.org/officeDocument/2006/relationships/hyperlink" Target="http://turnertracker.com/data/extensions_data/tickets/1/e/c/5/e/1165873RD/ticket.jpg" TargetMode="External"/><Relationship Id="rId892" Type="http://schemas.openxmlformats.org/officeDocument/2006/relationships/hyperlink" Target="http://turnertracker.com/data/extensions_data/tickets/e/9/2/b/f/1419130RD/ticket.jpg" TargetMode="External"/><Relationship Id="rId906" Type="http://schemas.openxmlformats.org/officeDocument/2006/relationships/hyperlink" Target="http://turnertracker.com/data/extensions_data/tickets/d/b/0/7/a/1436050RD/ticket.jpg" TargetMode="External"/><Relationship Id="rId35" Type="http://schemas.openxmlformats.org/officeDocument/2006/relationships/hyperlink" Target="http://turnertracker.com/data/extensions_data/tickets/9/0/3/5/2/1092641RD/ticket.jpg" TargetMode="External"/><Relationship Id="rId100" Type="http://schemas.openxmlformats.org/officeDocument/2006/relationships/hyperlink" Target="http://turnertracker.com/data/extensions_data/tickets/1/5/d/8/9/999702RD/ticket.jpg" TargetMode="External"/><Relationship Id="rId338" Type="http://schemas.openxmlformats.org/officeDocument/2006/relationships/hyperlink" Target="http://turnertracker.com/data/extensions_data/tickets/4/9/4/e/b/1417107RD/ticket.jpg" TargetMode="External"/><Relationship Id="rId545" Type="http://schemas.openxmlformats.org/officeDocument/2006/relationships/hyperlink" Target="http://turnertracker.com/data/extensions_data/tickets/d/c/d/2/6/1308227RD/ticket.jpg" TargetMode="External"/><Relationship Id="rId752" Type="http://schemas.openxmlformats.org/officeDocument/2006/relationships/hyperlink" Target="http://turnertracker.com/data/extensions_data/tickets/9/0/7/7/0/1293458RD/ticket.jpg" TargetMode="External"/><Relationship Id="rId1175" Type="http://schemas.openxmlformats.org/officeDocument/2006/relationships/hyperlink" Target="http://turnertracker.com/data/extensions_data/tickets/d/d/2/9/6/1384158RD/ticket.jpg" TargetMode="External"/><Relationship Id="rId184" Type="http://schemas.openxmlformats.org/officeDocument/2006/relationships/hyperlink" Target="http://turnertracker.com/data/extensions_data/tickets/1/b/b/6/8/999892RD/ticket.jpg" TargetMode="External"/><Relationship Id="rId391" Type="http://schemas.openxmlformats.org/officeDocument/2006/relationships/hyperlink" Target="http://turnertracker.com/data/extensions_data/tickets/b/7/3/8/7/1193738RD/ticket.jpg" TargetMode="External"/><Relationship Id="rId405" Type="http://schemas.openxmlformats.org/officeDocument/2006/relationships/hyperlink" Target="http://turnertracker.com/data/extensions_data/tickets/5/8/4/e/5/1205052RD/ticket.jpg" TargetMode="External"/><Relationship Id="rId612" Type="http://schemas.openxmlformats.org/officeDocument/2006/relationships/hyperlink" Target="http://turnertracker.com/data/extensions_data/tickets/3/d/6/3/4/999419RD/ticket.jpg" TargetMode="External"/><Relationship Id="rId1035" Type="http://schemas.openxmlformats.org/officeDocument/2006/relationships/hyperlink" Target="http://turnertracker.com/data/extensions_data/tickets/e/3/e/9/2/1182676RD/ticket.jpg" TargetMode="External"/><Relationship Id="rId251" Type="http://schemas.openxmlformats.org/officeDocument/2006/relationships/hyperlink" Target="http://turnertracker.com/data/extensions_data/tickets/7/0/4/d/6/1188000RD/ticket.jpg" TargetMode="External"/><Relationship Id="rId489" Type="http://schemas.openxmlformats.org/officeDocument/2006/relationships/hyperlink" Target="http://turnertracker.com/data/extensions_data/tickets/6/6/d/3/9/1261576RD/ticket.jpg" TargetMode="External"/><Relationship Id="rId696" Type="http://schemas.openxmlformats.org/officeDocument/2006/relationships/hyperlink" Target="http://turnertracker.com/data/extensions_data/tickets/8/6/f/1/8/1218852RD/ticket.jpg" TargetMode="External"/><Relationship Id="rId917" Type="http://schemas.openxmlformats.org/officeDocument/2006/relationships/hyperlink" Target="http://turnertracker.com/data/extensions_data/tickets/2/7/c/d/f/1436063RD/ticket.jpg" TargetMode="External"/><Relationship Id="rId1102" Type="http://schemas.openxmlformats.org/officeDocument/2006/relationships/hyperlink" Target="http://turnertracker.com/data/extensions_data/tickets/5/d/d/2/1/1273874RD/ticket.jpg" TargetMode="External"/><Relationship Id="rId46" Type="http://schemas.openxmlformats.org/officeDocument/2006/relationships/hyperlink" Target="http://turnertracker.com/data/extensions_data/tickets/e/6/7/c/3/999363RD/ticket.jpg" TargetMode="External"/><Relationship Id="rId349" Type="http://schemas.openxmlformats.org/officeDocument/2006/relationships/hyperlink" Target="http://turnertracker.com/data/extensions_data/tickets/e/7/8/b/f/1165930RD/ticket.jpg" TargetMode="External"/><Relationship Id="rId556" Type="http://schemas.openxmlformats.org/officeDocument/2006/relationships/hyperlink" Target="http://turnertracker.com/data/extensions_data/tickets/e/9/c/4/0/1322889RD/ticket.jpg" TargetMode="External"/><Relationship Id="rId763" Type="http://schemas.openxmlformats.org/officeDocument/2006/relationships/hyperlink" Target="http://turnertracker.com/data/extensions_data/tickets/b/7/c/6/b/1293485RD/ticket.jpg" TargetMode="External"/><Relationship Id="rId1186" Type="http://schemas.openxmlformats.org/officeDocument/2006/relationships/hyperlink" Target="http://turnertracker.com/data/extensions_data/tickets/e/1/f/6/0/1419129RD/ticket.jpg" TargetMode="External"/><Relationship Id="rId111" Type="http://schemas.openxmlformats.org/officeDocument/2006/relationships/hyperlink" Target="http://turnertracker.com/data/extensions_data/tickets/3/f/c/5/9/999747RD/ticket.jpg" TargetMode="External"/><Relationship Id="rId195" Type="http://schemas.openxmlformats.org/officeDocument/2006/relationships/hyperlink" Target="http://turnertracker.com/data/extensions_data/tickets/4/3/1/2/1/999918RD/ticket.jpg" TargetMode="External"/><Relationship Id="rId209" Type="http://schemas.openxmlformats.org/officeDocument/2006/relationships/hyperlink" Target="http://turnertracker.com/data/extensions_data/tickets/e/8/2/e/0/1069251RD/ticket.jpg" TargetMode="External"/><Relationship Id="rId416" Type="http://schemas.openxmlformats.org/officeDocument/2006/relationships/hyperlink" Target="http://turnertracker.com/data/extensions_data/tickets/2/a/1/b/5/1218849RD/ticket.jpg" TargetMode="External"/><Relationship Id="rId970" Type="http://schemas.openxmlformats.org/officeDocument/2006/relationships/hyperlink" Target="http://turnertracker.com/data/extensions_data/tickets/e/f/b/e/0/1068851RD/ticket.jpg" TargetMode="External"/><Relationship Id="rId1046" Type="http://schemas.openxmlformats.org/officeDocument/2006/relationships/hyperlink" Target="http://turnertracker.com/data/extensions_data/tickets/1/6/e/2/5/1182789RD/ticket.jpg" TargetMode="External"/><Relationship Id="rId623" Type="http://schemas.openxmlformats.org/officeDocument/2006/relationships/hyperlink" Target="http://turnertracker.com/data/extensions_data/tickets/d/d/6/e/1/935844RD/ticket.jpg" TargetMode="External"/><Relationship Id="rId830" Type="http://schemas.openxmlformats.org/officeDocument/2006/relationships/hyperlink" Target="http://turnertracker.com/data/extensions_data/tickets/1/7/2/3/7/1380208RD/ticket.jpg" TargetMode="External"/><Relationship Id="rId928" Type="http://schemas.openxmlformats.org/officeDocument/2006/relationships/hyperlink" Target="http://turnertracker.com/data/extensions_data/tickets/4/b/2/f/e/1475443RD/ticket.jpg" TargetMode="External"/><Relationship Id="rId57" Type="http://schemas.openxmlformats.org/officeDocument/2006/relationships/hyperlink" Target="http://turnertracker.com/data/extensions_data/tickets/c/f/7/d/5/999378RD/ticket.jpg" TargetMode="External"/><Relationship Id="rId262" Type="http://schemas.openxmlformats.org/officeDocument/2006/relationships/hyperlink" Target="http://turnertracker.com/data/extensions_data/tickets/7/9/7/4/8/1188071RD/ticket.jpg" TargetMode="External"/><Relationship Id="rId567" Type="http://schemas.openxmlformats.org/officeDocument/2006/relationships/hyperlink" Target="http://turnertracker.com/data/extensions_data/tickets/e/a/0/c/a/1337851RD/ticket.jpg" TargetMode="External"/><Relationship Id="rId1113" Type="http://schemas.openxmlformats.org/officeDocument/2006/relationships/hyperlink" Target="http://turnertracker.com/data/extensions_data/tickets/8/d/e/b/8/1274204RD/ticket.jpg" TargetMode="External"/><Relationship Id="rId1197" Type="http://schemas.openxmlformats.org/officeDocument/2006/relationships/hyperlink" Target="http://turnertracker.com/data/extensions_data/tickets/3/8/e/3/6/1213116RD/ticket.jpg" TargetMode="External"/><Relationship Id="rId122" Type="http://schemas.openxmlformats.org/officeDocument/2006/relationships/hyperlink" Target="http://turnertracker.com/data/extensions_data/tickets/4/e/4/6/f/999765RD/ticket.jpg" TargetMode="External"/><Relationship Id="rId774" Type="http://schemas.openxmlformats.org/officeDocument/2006/relationships/hyperlink" Target="http://turnertracker.com/data/extensions_data/tickets/9/2/9/8/0/1308195RD/ticket.jpg" TargetMode="External"/><Relationship Id="rId981" Type="http://schemas.openxmlformats.org/officeDocument/2006/relationships/hyperlink" Target="http://turnertracker.com/data/extensions_data/tickets/0/d/7/8/9/1089154RD/ticket.jpg" TargetMode="External"/><Relationship Id="rId1057" Type="http://schemas.openxmlformats.org/officeDocument/2006/relationships/hyperlink" Target="http://turnertracker.com/data/extensions_data/tickets/f/7/4/5/e/1205028RD/ticket.jpg" TargetMode="External"/><Relationship Id="rId427" Type="http://schemas.openxmlformats.org/officeDocument/2006/relationships/hyperlink" Target="http://turnertracker.com/data/extensions_data/tickets/d/6/8/b/a/1219068RD/ticket.jpg" TargetMode="External"/><Relationship Id="rId634" Type="http://schemas.openxmlformats.org/officeDocument/2006/relationships/hyperlink" Target="http://turnertracker.com/data/extensions_data/tickets/9/4/0/2/9/1059109RD/ticket.jpg" TargetMode="External"/><Relationship Id="rId841" Type="http://schemas.openxmlformats.org/officeDocument/2006/relationships/hyperlink" Target="http://turnertracker.com/data/extensions_data/tickets/3/a/1/f/a/1384138RD/ticket.jpg" TargetMode="External"/><Relationship Id="rId273" Type="http://schemas.openxmlformats.org/officeDocument/2006/relationships/hyperlink" Target="http://turnertracker.com/data/extensions_data/tickets/c/c/9/3/e/1193887RD/ticket.jpg" TargetMode="External"/><Relationship Id="rId480" Type="http://schemas.openxmlformats.org/officeDocument/2006/relationships/hyperlink" Target="http://turnertracker.com/data/extensions_data/tickets/2/1/7/8/b/1261565RD/ticket.jpg" TargetMode="External"/><Relationship Id="rId701" Type="http://schemas.openxmlformats.org/officeDocument/2006/relationships/hyperlink" Target="http://turnertracker.com/data/extensions_data/tickets/5/2/4/f/a/1219075RD/ticket.jpg" TargetMode="External"/><Relationship Id="rId939" Type="http://schemas.openxmlformats.org/officeDocument/2006/relationships/hyperlink" Target="http://turnertracker.com/data/extensions_data/tickets/2/e/7/7/c/1489698RD/ticket.jpg" TargetMode="External"/><Relationship Id="rId1124" Type="http://schemas.openxmlformats.org/officeDocument/2006/relationships/hyperlink" Target="http://turnertracker.com/data/extensions_data/tickets/d/8/7/c/a/1293457RD/ticket.jpg" TargetMode="External"/><Relationship Id="rId68" Type="http://schemas.openxmlformats.org/officeDocument/2006/relationships/hyperlink" Target="http://turnertracker.com/data/extensions_data/tickets/8/6/6/3/a/999644RD/ticket.jpg" TargetMode="External"/><Relationship Id="rId133" Type="http://schemas.openxmlformats.org/officeDocument/2006/relationships/hyperlink" Target="http://turnertracker.com/data/extensions_data/tickets/c/f/0/d/5/999781RD/ticket.jpg" TargetMode="External"/><Relationship Id="rId340" Type="http://schemas.openxmlformats.org/officeDocument/2006/relationships/hyperlink" Target="http://turnertracker.com/data/extensions_data/tickets/c/3/0/4/7/1419141RD/ticket.jpg" TargetMode="External"/><Relationship Id="rId578" Type="http://schemas.openxmlformats.org/officeDocument/2006/relationships/hyperlink" Target="http://turnertracker.com/data/extensions_data/tickets/7/7/5/6/f/1356443RD/ticket.jpg" TargetMode="External"/><Relationship Id="rId785" Type="http://schemas.openxmlformats.org/officeDocument/2006/relationships/hyperlink" Target="http://turnertracker.com/data/extensions_data/tickets/d/c/2/1/9/1322839RD/ticket.jpg" TargetMode="External"/><Relationship Id="rId992" Type="http://schemas.openxmlformats.org/officeDocument/2006/relationships/hyperlink" Target="http://turnertracker.com/data/extensions_data/tickets/0/2/3/6/5/1107626RD/ticket.jpg" TargetMode="External"/><Relationship Id="rId200" Type="http://schemas.openxmlformats.org/officeDocument/2006/relationships/hyperlink" Target="http://turnertracker.com/data/extensions_data/tickets/9/c/6/9/8/1000033RD/ticket.jpg" TargetMode="External"/><Relationship Id="rId438" Type="http://schemas.openxmlformats.org/officeDocument/2006/relationships/hyperlink" Target="http://turnertracker.com/data/extensions_data/tickets/a/5/c/2/9/1232875RD/ticket.jpg" TargetMode="External"/><Relationship Id="rId645" Type="http://schemas.openxmlformats.org/officeDocument/2006/relationships/hyperlink" Target="http://turnertracker.com/data/extensions_data/tickets/7/5/7/5/c/1076879RD/ticket.jpg" TargetMode="External"/><Relationship Id="rId852" Type="http://schemas.openxmlformats.org/officeDocument/2006/relationships/hyperlink" Target="http://turnertracker.com/data/extensions_data/tickets/0/e/9/1/9/1392455RD/ticket.jpg" TargetMode="External"/><Relationship Id="rId1068" Type="http://schemas.openxmlformats.org/officeDocument/2006/relationships/hyperlink" Target="http://turnertracker.com/data/extensions_data/tickets/a/4/e/f/e/1233051RD/ticket.jpg" TargetMode="External"/><Relationship Id="rId284" Type="http://schemas.openxmlformats.org/officeDocument/2006/relationships/hyperlink" Target="http://turnertracker.com/data/extensions_data/tickets/3/d/c/f/0/1193908RD/ticket.jpg" TargetMode="External"/><Relationship Id="rId491" Type="http://schemas.openxmlformats.org/officeDocument/2006/relationships/hyperlink" Target="http://turnertracker.com/data/extensions_data/tickets/1/b/f/a/4/1261582RD/ticket.jpg" TargetMode="External"/><Relationship Id="rId505" Type="http://schemas.openxmlformats.org/officeDocument/2006/relationships/hyperlink" Target="http://turnertracker.com/data/extensions_data/tickets/e/f/5/1/2/1261690RD/ticket.jpg" TargetMode="External"/><Relationship Id="rId712" Type="http://schemas.openxmlformats.org/officeDocument/2006/relationships/hyperlink" Target="http://turnertracker.com/data/extensions_data/tickets/9/c/a/0/3/1261579RD/ticket.jpg" TargetMode="External"/><Relationship Id="rId1135" Type="http://schemas.openxmlformats.org/officeDocument/2006/relationships/hyperlink" Target="http://turnertracker.com/data/extensions_data/tickets/6/7/0/a/8/1308194RD/ticket.jpg" TargetMode="External"/><Relationship Id="rId79" Type="http://schemas.openxmlformats.org/officeDocument/2006/relationships/hyperlink" Target="http://turnertracker.com/data/extensions_data/tickets/9/c/d/b/3/999676RD/ticket.jpg" TargetMode="External"/><Relationship Id="rId144" Type="http://schemas.openxmlformats.org/officeDocument/2006/relationships/hyperlink" Target="http://turnertracker.com/data/extensions_data/tickets/8/6/f/f/3/999802RD/ticket.jpg" TargetMode="External"/><Relationship Id="rId589" Type="http://schemas.openxmlformats.org/officeDocument/2006/relationships/hyperlink" Target="http://turnertracker.com/data/extensions_data/tickets/e/a/1/5/7/1371217RD/ticket.jpg" TargetMode="External"/><Relationship Id="rId796" Type="http://schemas.openxmlformats.org/officeDocument/2006/relationships/hyperlink" Target="http://turnertracker.com/data/extensions_data/tickets/7/4/f/e/6/1337839RD/ticket.jpg" TargetMode="External"/><Relationship Id="rId1202" Type="http://schemas.openxmlformats.org/officeDocument/2006/relationships/hyperlink" Target="http://turnertracker.com/data/extensions_data/tickets/1/b/3/3/0/1356454RD/ticket.jpg" TargetMode="External"/><Relationship Id="rId351" Type="http://schemas.openxmlformats.org/officeDocument/2006/relationships/hyperlink" Target="http://turnertracker.com/data/extensions_data/tickets/f/a/2/b/a/1182624RD/ticket.jpg" TargetMode="External"/><Relationship Id="rId449" Type="http://schemas.openxmlformats.org/officeDocument/2006/relationships/hyperlink" Target="http://turnertracker.com/data/extensions_data/tickets/d/9/1/a/0/1233058RD/ticket.jpg" TargetMode="External"/><Relationship Id="rId656" Type="http://schemas.openxmlformats.org/officeDocument/2006/relationships/hyperlink" Target="http://turnertracker.com/data/extensions_data/tickets/4/e/5/a/4/1107612RD/ticket.jpg" TargetMode="External"/><Relationship Id="rId863" Type="http://schemas.openxmlformats.org/officeDocument/2006/relationships/hyperlink" Target="http://turnertracker.com/data/extensions_data/tickets/b/f/1/d/4/1401131RD/ticket.jpg" TargetMode="External"/><Relationship Id="rId1079" Type="http://schemas.openxmlformats.org/officeDocument/2006/relationships/hyperlink" Target="http://turnertracker.com/data/extensions_data/tickets/9/e/b/0/3/1246649RD/ticket.jpg" TargetMode="External"/><Relationship Id="rId211" Type="http://schemas.openxmlformats.org/officeDocument/2006/relationships/hyperlink" Target="http://turnertracker.com/data/extensions_data/tickets/c/5/d/3/f/1069253RD/ticket.jpg" TargetMode="External"/><Relationship Id="rId295" Type="http://schemas.openxmlformats.org/officeDocument/2006/relationships/hyperlink" Target="http://turnertracker.com/data/extensions_data/tickets/a/c/7/c/b/1193941RD/ticket.jpg" TargetMode="External"/><Relationship Id="rId309" Type="http://schemas.openxmlformats.org/officeDocument/2006/relationships/hyperlink" Target="http://turnertracker.com/data/extensions_data/tickets/1/5/9/8/5/1205063RD/ticket.jpg" TargetMode="External"/><Relationship Id="rId516" Type="http://schemas.openxmlformats.org/officeDocument/2006/relationships/hyperlink" Target="http://turnertracker.com/data/extensions_data/tickets/6/5/d/1/5/1273872RD/ticket.jpg" TargetMode="External"/><Relationship Id="rId1146" Type="http://schemas.openxmlformats.org/officeDocument/2006/relationships/hyperlink" Target="http://turnertracker.com/data/extensions_data/tickets/3/9/8/7/d/1356471RD/ticket.jpg" TargetMode="External"/><Relationship Id="rId723" Type="http://schemas.openxmlformats.org/officeDocument/2006/relationships/hyperlink" Target="http://turnertracker.com/data/extensions_data/tickets/c/0/c/3/e/1274022RD/ticket.jpg" TargetMode="External"/><Relationship Id="rId930" Type="http://schemas.openxmlformats.org/officeDocument/2006/relationships/hyperlink" Target="http://turnertracker.com/data/extensions_data/tickets/6/3/2/c/f/1475453RD/ticket.jpg" TargetMode="External"/><Relationship Id="rId1006" Type="http://schemas.openxmlformats.org/officeDocument/2006/relationships/hyperlink" Target="http://turnertracker.com/data/extensions_data/tickets/1/8/a/1/9/1152820RD/ticket.jpg" TargetMode="External"/><Relationship Id="rId155" Type="http://schemas.openxmlformats.org/officeDocument/2006/relationships/hyperlink" Target="http://turnertracker.com/data/extensions_data/tickets/4/4/6/0/4/999830RD/ticket.jpg" TargetMode="External"/><Relationship Id="rId362" Type="http://schemas.openxmlformats.org/officeDocument/2006/relationships/hyperlink" Target="http://turnertracker.com/data/extensions_data/tickets/e/1/9/1/a/1182760RD/ticket.jpg" TargetMode="External"/><Relationship Id="rId222" Type="http://schemas.openxmlformats.org/officeDocument/2006/relationships/hyperlink" Target="http://turnertracker.com/data/extensions_data/tickets/1/4/f/5/0/1069264RD/ticket.jpg" TargetMode="External"/><Relationship Id="rId667" Type="http://schemas.openxmlformats.org/officeDocument/2006/relationships/hyperlink" Target="http://turnertracker.com/data/extensions_data/tickets/4/2/9/c/3/1130019RD/ticket.jpg" TargetMode="External"/><Relationship Id="rId874" Type="http://schemas.openxmlformats.org/officeDocument/2006/relationships/hyperlink" Target="http://turnertracker.com/data/extensions_data/tickets/2/d/1/e/d/1401277RD/ticket.jpg" TargetMode="External"/><Relationship Id="rId17" Type="http://schemas.openxmlformats.org/officeDocument/2006/relationships/hyperlink" Target="http://turnertracker.com/data/extensions_data/tickets/f/6/8/f/5/1092512RD/ticket.jpg" TargetMode="External"/><Relationship Id="rId527" Type="http://schemas.openxmlformats.org/officeDocument/2006/relationships/hyperlink" Target="http://turnertracker.com/data/extensions_data/tickets/8/b/d/d/8/1274184RD/ticket.jpg" TargetMode="External"/><Relationship Id="rId734" Type="http://schemas.openxmlformats.org/officeDocument/2006/relationships/hyperlink" Target="http://turnertracker.com/data/extensions_data/tickets/e/4/a/c/c/1293409RD/ticket.jpg" TargetMode="External"/><Relationship Id="rId941" Type="http://schemas.openxmlformats.org/officeDocument/2006/relationships/hyperlink" Target="http://turnertracker.com/data/extensions_data/tickets/3/1/f/3/c/1489700RD/ticket.jpg" TargetMode="External"/><Relationship Id="rId1157" Type="http://schemas.openxmlformats.org/officeDocument/2006/relationships/hyperlink" Target="http://turnertracker.com/data/extensions_data/tickets/d/a/4/0/0/1384119RD/ticket.jpg" TargetMode="External"/><Relationship Id="rId70" Type="http://schemas.openxmlformats.org/officeDocument/2006/relationships/hyperlink" Target="http://turnertracker.com/data/extensions_data/tickets/d/3/3/f/c/999647RD/ticket.jpg" TargetMode="External"/><Relationship Id="rId166" Type="http://schemas.openxmlformats.org/officeDocument/2006/relationships/hyperlink" Target="http://turnertracker.com/data/extensions_data/tickets/1/1/2/0/2/999854RD/ticket.jpg" TargetMode="External"/><Relationship Id="rId373" Type="http://schemas.openxmlformats.org/officeDocument/2006/relationships/hyperlink" Target="http://turnertracker.com/data/extensions_data/tickets/e/5/a/0/7/1193673RD/ticket.jpg" TargetMode="External"/><Relationship Id="rId580" Type="http://schemas.openxmlformats.org/officeDocument/2006/relationships/hyperlink" Target="http://turnertracker.com/data/extensions_data/tickets/0/2/6/d/0/1356445RD/ticket.jpg" TargetMode="External"/><Relationship Id="rId801" Type="http://schemas.openxmlformats.org/officeDocument/2006/relationships/hyperlink" Target="http://turnertracker.com/data/extensions_data/tickets/3/4/a/4/b/1337849RD/ticket.jpg" TargetMode="External"/><Relationship Id="rId1017" Type="http://schemas.openxmlformats.org/officeDocument/2006/relationships/hyperlink" Target="http://turnertracker.com/data/extensions_data/tickets/d/e/6/b/8/1165879RD/ticket.jpg" TargetMode="External"/><Relationship Id="rId1" Type="http://schemas.openxmlformats.org/officeDocument/2006/relationships/hyperlink" Target="http://turnertracker.com/data/extensions_data/tickets/f/0/8/f/f/1380207RD/ticket.jpg" TargetMode="External"/><Relationship Id="rId233" Type="http://schemas.openxmlformats.org/officeDocument/2006/relationships/hyperlink" Target="http://turnertracker.com/data/extensions_data/tickets/1/5/b/a/d/1089157RD/ticket.jpg" TargetMode="External"/><Relationship Id="rId440" Type="http://schemas.openxmlformats.org/officeDocument/2006/relationships/hyperlink" Target="http://turnertracker.com/data/extensions_data/tickets/e/c/d/8/5/1233037RD/ticket.jpg" TargetMode="External"/><Relationship Id="rId678" Type="http://schemas.openxmlformats.org/officeDocument/2006/relationships/hyperlink" Target="http://turnertracker.com/data/extensions_data/tickets/8/d/6/9/f/1152829RD/ticket.jpg" TargetMode="External"/><Relationship Id="rId885" Type="http://schemas.openxmlformats.org/officeDocument/2006/relationships/hyperlink" Target="http://turnertracker.com/data/extensions_data/tickets/a/a/d/5/1/1419120RD/ticket.jpg" TargetMode="External"/><Relationship Id="rId1070" Type="http://schemas.openxmlformats.org/officeDocument/2006/relationships/hyperlink" Target="http://turnertracker.com/data/extensions_data/tickets/0/0/f/7/2/1233067RD/ticket.jpg" TargetMode="External"/><Relationship Id="rId28" Type="http://schemas.openxmlformats.org/officeDocument/2006/relationships/hyperlink" Target="http://turnertracker.com/data/extensions_data/tickets/9/b/c/a/a/1092602RD/ticket.jpg" TargetMode="External"/><Relationship Id="rId300" Type="http://schemas.openxmlformats.org/officeDocument/2006/relationships/hyperlink" Target="http://turnertracker.com/data/extensions_data/tickets/c/9/d/4/8/1193951RD/ticket.jpg" TargetMode="External"/><Relationship Id="rId538" Type="http://schemas.openxmlformats.org/officeDocument/2006/relationships/hyperlink" Target="http://turnertracker.com/data/extensions_data/tickets/7/1/8/4/6/1308198RD/ticket.jpg" TargetMode="External"/><Relationship Id="rId745" Type="http://schemas.openxmlformats.org/officeDocument/2006/relationships/hyperlink" Target="http://turnertracker.com/data/extensions_data/tickets/f/6/5/4/f/1293436RD/ticket.jpg" TargetMode="External"/><Relationship Id="rId952" Type="http://schemas.openxmlformats.org/officeDocument/2006/relationships/hyperlink" Target="http://turnertracker.com/data/extensions_data/tickets/d/8/3/a/e/1022972RD/ticket.jpg" TargetMode="External"/><Relationship Id="rId1168" Type="http://schemas.openxmlformats.org/officeDocument/2006/relationships/hyperlink" Target="http://turnertracker.com/data/extensions_data/tickets/1/2/1/6/4/1384132RD/ticket.jpg" TargetMode="External"/><Relationship Id="rId81" Type="http://schemas.openxmlformats.org/officeDocument/2006/relationships/hyperlink" Target="http://turnertracker.com/data/extensions_data/tickets/6/5/b/a/c/999678RD/ticket.jpg" TargetMode="External"/><Relationship Id="rId177" Type="http://schemas.openxmlformats.org/officeDocument/2006/relationships/hyperlink" Target="http://turnertracker.com/data/extensions_data/tickets/0/5/a/9/1/999873RD/ticket.jpg" TargetMode="External"/><Relationship Id="rId384" Type="http://schemas.openxmlformats.org/officeDocument/2006/relationships/hyperlink" Target="http://turnertracker.com/data/extensions_data/tickets/6/d/1/a/1/1193712RD/ticket.jpg" TargetMode="External"/><Relationship Id="rId591" Type="http://schemas.openxmlformats.org/officeDocument/2006/relationships/hyperlink" Target="http://turnertracker.com/data/extensions_data/tickets/9/b/c/0/b/1371285RD/ticket.jpg" TargetMode="External"/><Relationship Id="rId605" Type="http://schemas.openxmlformats.org/officeDocument/2006/relationships/hyperlink" Target="http://turnertracker.com/data/extensions_data/tickets/e/4/1/9/c/999403RD/ticket.jpg" TargetMode="External"/><Relationship Id="rId812" Type="http://schemas.openxmlformats.org/officeDocument/2006/relationships/hyperlink" Target="http://turnertracker.com/data/extensions_data/tickets/9/e/a/d/e/1356463RD/ticket.jpg" TargetMode="External"/><Relationship Id="rId1028" Type="http://schemas.openxmlformats.org/officeDocument/2006/relationships/hyperlink" Target="http://turnertracker.com/data/extensions_data/tickets/f/0/e/c/0/1182642RD/ticket.jpg" TargetMode="External"/><Relationship Id="rId244" Type="http://schemas.openxmlformats.org/officeDocument/2006/relationships/hyperlink" Target="http://turnertracker.com/data/extensions_data/tickets/9/9/c/e/f/1163640RD/ticket.jpg" TargetMode="External"/><Relationship Id="rId689" Type="http://schemas.openxmlformats.org/officeDocument/2006/relationships/hyperlink" Target="http://turnertracker.com/data/extensions_data/tickets/c/a/f/0/a/1182636RD/ticket.jpg" TargetMode="External"/><Relationship Id="rId896" Type="http://schemas.openxmlformats.org/officeDocument/2006/relationships/hyperlink" Target="http://turnertracker.com/data/extensions_data/tickets/8/9/f/2/3/1419135RD/ticket.jpg" TargetMode="External"/><Relationship Id="rId1081" Type="http://schemas.openxmlformats.org/officeDocument/2006/relationships/hyperlink" Target="http://turnertracker.com/data/extensions_data/tickets/9/e/b/e/1/1246666RD/ticket.jpg" TargetMode="External"/><Relationship Id="rId39" Type="http://schemas.openxmlformats.org/officeDocument/2006/relationships/hyperlink" Target="http://turnertracker.com/data/extensions_data/tickets/0/f/b/a/2/1120151RD/ticket.jpg" TargetMode="External"/><Relationship Id="rId451" Type="http://schemas.openxmlformats.org/officeDocument/2006/relationships/hyperlink" Target="http://turnertracker.com/data/extensions_data/tickets/9/4/8/f/d/1233061RD/ticket.jpg" TargetMode="External"/><Relationship Id="rId549" Type="http://schemas.openxmlformats.org/officeDocument/2006/relationships/hyperlink" Target="http://turnertracker.com/data/extensions_data/tickets/9/0/3/a/a/1322856RD/ticket.jpg" TargetMode="External"/><Relationship Id="rId756" Type="http://schemas.openxmlformats.org/officeDocument/2006/relationships/hyperlink" Target="http://turnertracker.com/data/extensions_data/tickets/6/a/0/f/f/1293468RD/ticket.jpg" TargetMode="External"/><Relationship Id="rId1179" Type="http://schemas.openxmlformats.org/officeDocument/2006/relationships/hyperlink" Target="http://turnertracker.com/data/extensions_data/tickets/8/b/8/4/a/1401224RD/ticket.jpg" TargetMode="External"/><Relationship Id="rId104" Type="http://schemas.openxmlformats.org/officeDocument/2006/relationships/hyperlink" Target="http://turnertracker.com/data/extensions_data/tickets/3/e/3/f/d/999709RD/ticket.jpg" TargetMode="External"/><Relationship Id="rId188" Type="http://schemas.openxmlformats.org/officeDocument/2006/relationships/hyperlink" Target="http://turnertracker.com/data/extensions_data/tickets/8/a/9/6/f/999905RD/ticket.jpg" TargetMode="External"/><Relationship Id="rId311" Type="http://schemas.openxmlformats.org/officeDocument/2006/relationships/hyperlink" Target="http://turnertracker.com/data/extensions_data/tickets/a/0/d/8/2/1219080RD/ticket.jpg" TargetMode="External"/><Relationship Id="rId395" Type="http://schemas.openxmlformats.org/officeDocument/2006/relationships/hyperlink" Target="http://turnertracker.com/data/extensions_data/tickets/7/e/e/e/a/1195164RD/ticket.jpg" TargetMode="External"/><Relationship Id="rId409" Type="http://schemas.openxmlformats.org/officeDocument/2006/relationships/hyperlink" Target="http://turnertracker.com/data/extensions_data/tickets/7/3/0/5/7/1205056RD/ticket.jpg" TargetMode="External"/><Relationship Id="rId963" Type="http://schemas.openxmlformats.org/officeDocument/2006/relationships/hyperlink" Target="http://turnertracker.com/data/extensions_data/tickets/7/4/1/d/2/1059104RD/ticket.jpg" TargetMode="External"/><Relationship Id="rId1039" Type="http://schemas.openxmlformats.org/officeDocument/2006/relationships/hyperlink" Target="http://turnertracker.com/data/extensions_data/tickets/4/8/5/8/f/1182762RD/ticket.jpg" TargetMode="External"/><Relationship Id="rId92" Type="http://schemas.openxmlformats.org/officeDocument/2006/relationships/hyperlink" Target="http://turnertracker.com/data/extensions_data/tickets/d/7/4/e/7/999690RD/ticket.jpg" TargetMode="External"/><Relationship Id="rId616" Type="http://schemas.openxmlformats.org/officeDocument/2006/relationships/hyperlink" Target="http://turnertracker.com/data/extensions_data/tickets/b/f/5/7/3/1209746RD/ticket.jpg" TargetMode="External"/><Relationship Id="rId823" Type="http://schemas.openxmlformats.org/officeDocument/2006/relationships/hyperlink" Target="http://turnertracker.com/data/extensions_data/tickets/9/0/7/7/4/1371276RD/ticket.jpg" TargetMode="External"/><Relationship Id="rId255" Type="http://schemas.openxmlformats.org/officeDocument/2006/relationships/hyperlink" Target="http://turnertracker.com/data/extensions_data/tickets/7/2/7/f/b/1188028RD/ticket.jpg" TargetMode="External"/><Relationship Id="rId462" Type="http://schemas.openxmlformats.org/officeDocument/2006/relationships/hyperlink" Target="http://turnertracker.com/data/extensions_data/tickets/e/a/c/8/5/1246481RD/ticket.jpg" TargetMode="External"/><Relationship Id="rId1092" Type="http://schemas.openxmlformats.org/officeDocument/2006/relationships/hyperlink" Target="http://turnertracker.com/data/extensions_data/tickets/d/d/1/a/c/1261668RD/ticket.jpg" TargetMode="External"/><Relationship Id="rId1106" Type="http://schemas.openxmlformats.org/officeDocument/2006/relationships/hyperlink" Target="http://turnertracker.com/data/extensions_data/tickets/8/0/3/8/0/1274110RD/ticket.jpg" TargetMode="External"/><Relationship Id="rId115" Type="http://schemas.openxmlformats.org/officeDocument/2006/relationships/hyperlink" Target="http://turnertracker.com/data/extensions_data/tickets/5/1/9/0/d/999755RD/ticket.jpg" TargetMode="External"/><Relationship Id="rId322" Type="http://schemas.openxmlformats.org/officeDocument/2006/relationships/hyperlink" Target="http://turnertracker.com/data/extensions_data/tickets/d/c/e/0/9/1380072RD/ticket.jpg" TargetMode="External"/><Relationship Id="rId767" Type="http://schemas.openxmlformats.org/officeDocument/2006/relationships/hyperlink" Target="http://turnertracker.com/data/extensions_data/tickets/0/5/0/0/e/1308180RD/ticket.jpg" TargetMode="External"/><Relationship Id="rId974" Type="http://schemas.openxmlformats.org/officeDocument/2006/relationships/hyperlink" Target="http://turnertracker.com/data/extensions_data/tickets/4/c/7/9/3/1068858RD/ticket.jpg" TargetMode="External"/><Relationship Id="rId199" Type="http://schemas.openxmlformats.org/officeDocument/2006/relationships/hyperlink" Target="http://turnertracker.com/data/extensions_data/tickets/1/f/f/c/4/999941RD/ticket.jpg" TargetMode="External"/><Relationship Id="rId627" Type="http://schemas.openxmlformats.org/officeDocument/2006/relationships/hyperlink" Target="http://turnertracker.com/data/extensions_data/tickets/b/8/3/8/a/1000113RD/ticket.jpg" TargetMode="External"/><Relationship Id="rId834" Type="http://schemas.openxmlformats.org/officeDocument/2006/relationships/hyperlink" Target="http://turnertracker.com/data/extensions_data/tickets/4/3/7/a/f/1380221RD/ticket.jpg" TargetMode="External"/><Relationship Id="rId266" Type="http://schemas.openxmlformats.org/officeDocument/2006/relationships/hyperlink" Target="http://turnertracker.com/data/extensions_data/tickets/4/3/e/2/b/1188094RD/ticket.jpg" TargetMode="External"/><Relationship Id="rId473" Type="http://schemas.openxmlformats.org/officeDocument/2006/relationships/hyperlink" Target="http://turnertracker.com/data/extensions_data/tickets/8/c/1/e/b/1261558RD/ticket.jpg" TargetMode="External"/><Relationship Id="rId680" Type="http://schemas.openxmlformats.org/officeDocument/2006/relationships/hyperlink" Target="http://turnertracker.com/data/extensions_data/tickets/3/7/3/8/9/1152834RD/ticket.jpg" TargetMode="External"/><Relationship Id="rId901" Type="http://schemas.openxmlformats.org/officeDocument/2006/relationships/hyperlink" Target="http://turnertracker.com/data/extensions_data/tickets/6/1/7/e/1/1419148RD/ticket.jpg" TargetMode="External"/><Relationship Id="rId1117" Type="http://schemas.openxmlformats.org/officeDocument/2006/relationships/hyperlink" Target="http://turnertracker.com/data/extensions_data/tickets/4/5/9/b/1/1293403RD/ticket.jpg" TargetMode="External"/><Relationship Id="rId30" Type="http://schemas.openxmlformats.org/officeDocument/2006/relationships/hyperlink" Target="http://turnertracker.com/data/extensions_data/tickets/f/2/f/0/6/1092614RD/ticket.jpg" TargetMode="External"/><Relationship Id="rId126" Type="http://schemas.openxmlformats.org/officeDocument/2006/relationships/hyperlink" Target="http://turnertracker.com/data/extensions_data/tickets/4/0/c/6/2/999769RD/ticket.jpg" TargetMode="External"/><Relationship Id="rId333" Type="http://schemas.openxmlformats.org/officeDocument/2006/relationships/hyperlink" Target="http://turnertracker.com/data/extensions_data/tickets/1/e/5/d/6/1380270RD/ticket.jpg" TargetMode="External"/><Relationship Id="rId540" Type="http://schemas.openxmlformats.org/officeDocument/2006/relationships/hyperlink" Target="http://turnertracker.com/data/extensions_data/tickets/8/6/3/c/f/1308205RD/ticket.jpg" TargetMode="External"/><Relationship Id="rId778" Type="http://schemas.openxmlformats.org/officeDocument/2006/relationships/hyperlink" Target="http://turnertracker.com/data/extensions_data/tickets/b/7/2/b/c/1308206RD/ticket.jpg" TargetMode="External"/><Relationship Id="rId985" Type="http://schemas.openxmlformats.org/officeDocument/2006/relationships/hyperlink" Target="http://turnertracker.com/data/extensions_data/tickets/a/6/5/b/6/1107605RD/ticket.jpg" TargetMode="External"/><Relationship Id="rId1170" Type="http://schemas.openxmlformats.org/officeDocument/2006/relationships/hyperlink" Target="http://turnertracker.com/data/extensions_data/tickets/f/c/0/7/2/1384136RD/ticket.jpg" TargetMode="External"/><Relationship Id="rId638" Type="http://schemas.openxmlformats.org/officeDocument/2006/relationships/hyperlink" Target="http://turnertracker.com/data/extensions_data/tickets/0/a/4/d/5/1059114RD/ticket.jpg" TargetMode="External"/><Relationship Id="rId845" Type="http://schemas.openxmlformats.org/officeDocument/2006/relationships/hyperlink" Target="http://turnertracker.com/data/extensions_data/tickets/b/9/4/a/9/1384151RD/ticket.jpg" TargetMode="External"/><Relationship Id="rId1030" Type="http://schemas.openxmlformats.org/officeDocument/2006/relationships/hyperlink" Target="http://turnertracker.com/data/extensions_data/tickets/b/7/0/e/e/1182644RD/ticket.jpg" TargetMode="External"/><Relationship Id="rId277" Type="http://schemas.openxmlformats.org/officeDocument/2006/relationships/hyperlink" Target="http://turnertracker.com/data/extensions_data/tickets/b/2/4/b/3/1193892RD/ticket.jpg" TargetMode="External"/><Relationship Id="rId400" Type="http://schemas.openxmlformats.org/officeDocument/2006/relationships/hyperlink" Target="http://turnertracker.com/data/extensions_data/tickets/e/c/9/f/a/1205042RD/ticket.jpg" TargetMode="External"/><Relationship Id="rId484" Type="http://schemas.openxmlformats.org/officeDocument/2006/relationships/hyperlink" Target="http://turnertracker.com/data/extensions_data/tickets/c/a/d/8/a/1261569RD/ticket.jpg" TargetMode="External"/><Relationship Id="rId705" Type="http://schemas.openxmlformats.org/officeDocument/2006/relationships/hyperlink" Target="http://turnertracker.com/data/extensions_data/tickets/1/0/7/f/a/1232880RD/ticket.jpg" TargetMode="External"/><Relationship Id="rId1128" Type="http://schemas.openxmlformats.org/officeDocument/2006/relationships/hyperlink" Target="http://turnertracker.com/data/extensions_data/tickets/d/0/0/4/9/1293486RD/ticket.jpg" TargetMode="External"/><Relationship Id="rId137" Type="http://schemas.openxmlformats.org/officeDocument/2006/relationships/hyperlink" Target="http://turnertracker.com/data/extensions_data/tickets/f/f/5/9/9/999790RD/ticket.jpg" TargetMode="External"/><Relationship Id="rId344" Type="http://schemas.openxmlformats.org/officeDocument/2006/relationships/hyperlink" Target="http://turnertracker.com/data/extensions_data/tickets/2/3/0/3/9/1031354RD/ticket.jpg" TargetMode="External"/><Relationship Id="rId691" Type="http://schemas.openxmlformats.org/officeDocument/2006/relationships/hyperlink" Target="http://turnertracker.com/data/extensions_data/tickets/a/3/1/8/e/1193739RD/ticket.jpg" TargetMode="External"/><Relationship Id="rId789" Type="http://schemas.openxmlformats.org/officeDocument/2006/relationships/hyperlink" Target="http://turnertracker.com/data/extensions_data/tickets/2/e/7/7/3/1322858RD/ticket.jpg" TargetMode="External"/><Relationship Id="rId912" Type="http://schemas.openxmlformats.org/officeDocument/2006/relationships/hyperlink" Target="http://turnertracker.com/data/extensions_data/tickets/c/e/d/4/e/1436058RD/ticket.jpg" TargetMode="External"/><Relationship Id="rId996" Type="http://schemas.openxmlformats.org/officeDocument/2006/relationships/hyperlink" Target="http://turnertracker.com/data/extensions_data/tickets/6/b/0/1/b/1120146RD/ticket.jpg" TargetMode="External"/><Relationship Id="rId41" Type="http://schemas.openxmlformats.org/officeDocument/2006/relationships/hyperlink" Target="http://turnertracker.com/data/extensions_data/tickets/6/8/6/c/f/999357RD/ticket.jpg" TargetMode="External"/><Relationship Id="rId551" Type="http://schemas.openxmlformats.org/officeDocument/2006/relationships/hyperlink" Target="http://turnertracker.com/data/extensions_data/tickets/b/d/3/4/4/1322860RD/ticket.jpg" TargetMode="External"/><Relationship Id="rId649" Type="http://schemas.openxmlformats.org/officeDocument/2006/relationships/hyperlink" Target="http://turnertracker.com/data/extensions_data/tickets/b/2/f/3/4/1089147RD/ticket.jpg" TargetMode="External"/><Relationship Id="rId856" Type="http://schemas.openxmlformats.org/officeDocument/2006/relationships/hyperlink" Target="http://turnertracker.com/data/extensions_data/tickets/3/d/2/4/6/1392467RD/ticket.jpg" TargetMode="External"/><Relationship Id="rId1181" Type="http://schemas.openxmlformats.org/officeDocument/2006/relationships/hyperlink" Target="http://turnertracker.com/data/extensions_data/tickets/5/2/d/7/5/1401287RD/ticket.jpg" TargetMode="External"/><Relationship Id="rId190" Type="http://schemas.openxmlformats.org/officeDocument/2006/relationships/hyperlink" Target="http://turnertracker.com/data/extensions_data/tickets/3/0/8/7/9/999909RD/ticket.jpg" TargetMode="External"/><Relationship Id="rId204" Type="http://schemas.openxmlformats.org/officeDocument/2006/relationships/hyperlink" Target="http://turnertracker.com/data/extensions_data/tickets/f/b/a/0/9/1000053RD/ticket.jpg" TargetMode="External"/><Relationship Id="rId288" Type="http://schemas.openxmlformats.org/officeDocument/2006/relationships/hyperlink" Target="http://turnertracker.com/data/extensions_data/tickets/b/0/7/7/8/1193918RD/ticket.jpg" TargetMode="External"/><Relationship Id="rId411" Type="http://schemas.openxmlformats.org/officeDocument/2006/relationships/hyperlink" Target="http://turnertracker.com/data/extensions_data/tickets/c/7/c/8/3/1218816RD/ticket.jpg" TargetMode="External"/><Relationship Id="rId509" Type="http://schemas.openxmlformats.org/officeDocument/2006/relationships/hyperlink" Target="http://turnertracker.com/data/extensions_data/tickets/3/b/4/f/0/1261747RD/ticket.jpg" TargetMode="External"/><Relationship Id="rId1041" Type="http://schemas.openxmlformats.org/officeDocument/2006/relationships/hyperlink" Target="http://turnertracker.com/data/extensions_data/tickets/b/5/5/1/a/1182775RD/ticket.jpg" TargetMode="External"/><Relationship Id="rId1139" Type="http://schemas.openxmlformats.org/officeDocument/2006/relationships/hyperlink" Target="http://turnertracker.com/data/extensions_data/tickets/b/e/6/6/c/1308225RD/ticket.jpg" TargetMode="External"/><Relationship Id="rId495" Type="http://schemas.openxmlformats.org/officeDocument/2006/relationships/hyperlink" Target="http://turnertracker.com/data/extensions_data/tickets/5/4/5/d/f/1261662RD/ticket.jpg" TargetMode="External"/><Relationship Id="rId716" Type="http://schemas.openxmlformats.org/officeDocument/2006/relationships/hyperlink" Target="http://turnertracker.com/data/extensions_data/tickets/e/d/d/5/5/1261701RD/ticket.jpg" TargetMode="External"/><Relationship Id="rId923" Type="http://schemas.openxmlformats.org/officeDocument/2006/relationships/hyperlink" Target="http://turnertracker.com/data/extensions_data/tickets/5/2/7/b/b/1458038RD/ticket.jpg" TargetMode="External"/><Relationship Id="rId52" Type="http://schemas.openxmlformats.org/officeDocument/2006/relationships/hyperlink" Target="http://turnertracker.com/data/extensions_data/tickets/a/d/2/e/8/999372RD/ticket.jpg" TargetMode="External"/><Relationship Id="rId148" Type="http://schemas.openxmlformats.org/officeDocument/2006/relationships/hyperlink" Target="http://turnertracker.com/data/extensions_data/tickets/1/4/d/a/e/999809RD/ticket.jpg" TargetMode="External"/><Relationship Id="rId355" Type="http://schemas.openxmlformats.org/officeDocument/2006/relationships/hyperlink" Target="http://turnertracker.com/data/extensions_data/tickets/e/0/5/9/c/1182646RD/ticket.jpg" TargetMode="External"/><Relationship Id="rId562" Type="http://schemas.openxmlformats.org/officeDocument/2006/relationships/hyperlink" Target="http://turnertracker.com/data/extensions_data/tickets/e/f/8/c/4/1322915RD/ticket.jpg" TargetMode="External"/><Relationship Id="rId1192" Type="http://schemas.openxmlformats.org/officeDocument/2006/relationships/hyperlink" Target="http://turnertracker.com/data/extensions_data/tickets/1/0/d/8/2/1458032RD/ticket.jpg" TargetMode="External"/><Relationship Id="rId1206" Type="http://schemas.openxmlformats.org/officeDocument/2006/relationships/hyperlink" Target="http://turnertracker.com/data/extensions_data/tickets/c/3/4/a/c/1325241RD/ticket.jpg" TargetMode="External"/><Relationship Id="rId215" Type="http://schemas.openxmlformats.org/officeDocument/2006/relationships/hyperlink" Target="http://turnertracker.com/data/extensions_data/tickets/6/0/f/c/a/1069257RD/ticket.jpg" TargetMode="External"/><Relationship Id="rId422" Type="http://schemas.openxmlformats.org/officeDocument/2006/relationships/hyperlink" Target="http://turnertracker.com/data/extensions_data/tickets/2/7/9/1/e/1219059RD/ticket.jpg" TargetMode="External"/><Relationship Id="rId867" Type="http://schemas.openxmlformats.org/officeDocument/2006/relationships/hyperlink" Target="http://turnertracker.com/data/extensions_data/tickets/4/7/b/2/a/1401222RD/ticket.jpg" TargetMode="External"/><Relationship Id="rId1052" Type="http://schemas.openxmlformats.org/officeDocument/2006/relationships/hyperlink" Target="http://turnertracker.com/data/extensions_data/tickets/c/a/d/5/e/1193668RD/ticket.jpg" TargetMode="External"/><Relationship Id="rId299" Type="http://schemas.openxmlformats.org/officeDocument/2006/relationships/hyperlink" Target="http://turnertracker.com/data/extensions_data/tickets/e/4/2/9/c/1193945RD/ticket.jpg" TargetMode="External"/><Relationship Id="rId727" Type="http://schemas.openxmlformats.org/officeDocument/2006/relationships/hyperlink" Target="http://turnertracker.com/data/extensions_data/tickets/f/b/9/c/2/1274218RD/ticket.jpg" TargetMode="External"/><Relationship Id="rId934" Type="http://schemas.openxmlformats.org/officeDocument/2006/relationships/hyperlink" Target="http://turnertracker.com/data/extensions_data/tickets/5/0/2/1/8/1475473RD/ticket.jpg" TargetMode="External"/><Relationship Id="rId63" Type="http://schemas.openxmlformats.org/officeDocument/2006/relationships/hyperlink" Target="http://turnertracker.com/data/extensions_data/tickets/3/1/d/1/2/999384RD/ticket.jpg" TargetMode="External"/><Relationship Id="rId159" Type="http://schemas.openxmlformats.org/officeDocument/2006/relationships/hyperlink" Target="http://turnertracker.com/data/extensions_data/tickets/f/2/f/b/4/999838RD/ticket.jpg" TargetMode="External"/><Relationship Id="rId366" Type="http://schemas.openxmlformats.org/officeDocument/2006/relationships/hyperlink" Target="http://turnertracker.com/data/extensions_data/tickets/7/e/4/6/9/1182779RD/ticket.jpg" TargetMode="External"/><Relationship Id="rId573" Type="http://schemas.openxmlformats.org/officeDocument/2006/relationships/hyperlink" Target="http://turnertracker.com/data/extensions_data/tickets/8/c/7/9/c/1337858RD/ticket.jpg" TargetMode="External"/><Relationship Id="rId780" Type="http://schemas.openxmlformats.org/officeDocument/2006/relationships/hyperlink" Target="http://turnertracker.com/data/extensions_data/tickets/b/a/9/9/0/1308213RD/ticket.jpg" TargetMode="External"/><Relationship Id="rId226" Type="http://schemas.openxmlformats.org/officeDocument/2006/relationships/hyperlink" Target="http://turnertracker.com/data/extensions_data/tickets/d/9/0/f/1/1069268RD/ticket.jpg" TargetMode="External"/><Relationship Id="rId433" Type="http://schemas.openxmlformats.org/officeDocument/2006/relationships/hyperlink" Target="http://turnertracker.com/data/extensions_data/tickets/0/8/9/3/b/1219076RD/ticket.jpg" TargetMode="External"/><Relationship Id="rId878" Type="http://schemas.openxmlformats.org/officeDocument/2006/relationships/hyperlink" Target="http://turnertracker.com/data/extensions_data/tickets/a/6/1/7/b/1401283RD/ticket.jpg" TargetMode="External"/><Relationship Id="rId1063" Type="http://schemas.openxmlformats.org/officeDocument/2006/relationships/hyperlink" Target="http://turnertracker.com/data/extensions_data/tickets/6/f/8/a/9/1219061RD/ticket.jpg" TargetMode="External"/><Relationship Id="rId640" Type="http://schemas.openxmlformats.org/officeDocument/2006/relationships/hyperlink" Target="http://turnertracker.com/data/extensions_data/tickets/f/5/f/d/c/1059117RD/ticket.jpg" TargetMode="External"/><Relationship Id="rId738" Type="http://schemas.openxmlformats.org/officeDocument/2006/relationships/hyperlink" Target="http://turnertracker.com/data/extensions_data/tickets/d/e/e/d/0/1293421RD/ticket.jpg" TargetMode="External"/><Relationship Id="rId945" Type="http://schemas.openxmlformats.org/officeDocument/2006/relationships/hyperlink" Target="http://turnertracker.com/data/extensions_data/tickets/7/2/6/d/2/1022957RD/ticket.jpg" TargetMode="External"/><Relationship Id="rId74" Type="http://schemas.openxmlformats.org/officeDocument/2006/relationships/hyperlink" Target="http://turnertracker.com/data/extensions_data/tickets/a/3/8/d/3/999665RD/ticket.jpg" TargetMode="External"/><Relationship Id="rId377" Type="http://schemas.openxmlformats.org/officeDocument/2006/relationships/hyperlink" Target="http://turnertracker.com/data/extensions_data/tickets/8/c/6/6/a/1193680RD/ticket.jpg" TargetMode="External"/><Relationship Id="rId500" Type="http://schemas.openxmlformats.org/officeDocument/2006/relationships/hyperlink" Target="http://turnertracker.com/data/extensions_data/tickets/b/3/4/1/a/1261669RD/ticket.jpg" TargetMode="External"/><Relationship Id="rId584" Type="http://schemas.openxmlformats.org/officeDocument/2006/relationships/hyperlink" Target="http://turnertracker.com/data/extensions_data/tickets/3/d/1/5/e/1356452RD/ticket.jpg" TargetMode="External"/><Relationship Id="rId805" Type="http://schemas.openxmlformats.org/officeDocument/2006/relationships/hyperlink" Target="http://turnertracker.com/data/extensions_data/tickets/b/1/f/0/1/1356442RD/ticket.jpg" TargetMode="External"/><Relationship Id="rId1130" Type="http://schemas.openxmlformats.org/officeDocument/2006/relationships/hyperlink" Target="http://turnertracker.com/data/extensions_data/tickets/8/2/3/9/d/1308178RD/ticket.jpg" TargetMode="External"/><Relationship Id="rId5" Type="http://schemas.openxmlformats.org/officeDocument/2006/relationships/hyperlink" Target="http://turnertracker.com/data/extensions_data/tickets/b/5/a/b/2/1392453RD/ticket.jpg" TargetMode="External"/><Relationship Id="rId237" Type="http://schemas.openxmlformats.org/officeDocument/2006/relationships/hyperlink" Target="http://turnertracker.com/data/extensions_data/tickets/0/8/1/5/b/1101916RD/ticket.jpg" TargetMode="External"/><Relationship Id="rId791" Type="http://schemas.openxmlformats.org/officeDocument/2006/relationships/hyperlink" Target="http://turnertracker.com/data/extensions_data/tickets/4/3/b/a/2/1322892RD/ticket.jpg" TargetMode="External"/><Relationship Id="rId889" Type="http://schemas.openxmlformats.org/officeDocument/2006/relationships/hyperlink" Target="http://turnertracker.com/data/extensions_data/tickets/4/4/1/e/6/1419124RD/ticket.jpg" TargetMode="External"/><Relationship Id="rId1074" Type="http://schemas.openxmlformats.org/officeDocument/2006/relationships/hyperlink" Target="http://turnertracker.com/data/extensions_data/tickets/d/1/4/d/4/1246486RD/ticket.jpg" TargetMode="External"/><Relationship Id="rId444" Type="http://schemas.openxmlformats.org/officeDocument/2006/relationships/hyperlink" Target="http://turnertracker.com/data/extensions_data/tickets/a/d/9/0/c/1233044RD/ticket.jpg" TargetMode="External"/><Relationship Id="rId651" Type="http://schemas.openxmlformats.org/officeDocument/2006/relationships/hyperlink" Target="http://turnertracker.com/data/extensions_data/tickets/5/3/2/1/0/1089149RD/ticket.jpg" TargetMode="External"/><Relationship Id="rId749" Type="http://schemas.openxmlformats.org/officeDocument/2006/relationships/hyperlink" Target="http://turnertracker.com/data/extensions_data/tickets/c/9/3/b/c/1293449RD/ticket.jpg" TargetMode="External"/><Relationship Id="rId290" Type="http://schemas.openxmlformats.org/officeDocument/2006/relationships/hyperlink" Target="http://turnertracker.com/data/extensions_data/tickets/1/5/d/6/3/1193925RD/ticket.jpg" TargetMode="External"/><Relationship Id="rId304" Type="http://schemas.openxmlformats.org/officeDocument/2006/relationships/hyperlink" Target="http://turnertracker.com/data/extensions_data/tickets/c/6/0/2/e/1194115RD/ticket.jpg" TargetMode="External"/><Relationship Id="rId388" Type="http://schemas.openxmlformats.org/officeDocument/2006/relationships/hyperlink" Target="http://turnertracker.com/data/extensions_data/tickets/5/b/1/b/3/1193727RD/ticket.jpg" TargetMode="External"/><Relationship Id="rId511" Type="http://schemas.openxmlformats.org/officeDocument/2006/relationships/hyperlink" Target="http://turnertracker.com/data/extensions_data/tickets/3/d/0/7/3/1273842RD/ticket.jpg" TargetMode="External"/><Relationship Id="rId609" Type="http://schemas.openxmlformats.org/officeDocument/2006/relationships/hyperlink" Target="http://turnertracker.com/data/extensions_data/tickets/2/8/d/5/1/999412RD/ticket.jpg" TargetMode="External"/><Relationship Id="rId956" Type="http://schemas.openxmlformats.org/officeDocument/2006/relationships/hyperlink" Target="http://turnertracker.com/data/extensions_data/tickets/0/5/5/a/1/1046188RD/ticket.jpg" TargetMode="External"/><Relationship Id="rId1141" Type="http://schemas.openxmlformats.org/officeDocument/2006/relationships/hyperlink" Target="http://turnertracker.com/data/extensions_data/tickets/0/5/6/d/d/1337842RD/ticket.jpg" TargetMode="External"/><Relationship Id="rId85" Type="http://schemas.openxmlformats.org/officeDocument/2006/relationships/hyperlink" Target="http://turnertracker.com/data/extensions_data/tickets/a/2/7/a/9/999682RD/ticket.jpg" TargetMode="External"/><Relationship Id="rId150" Type="http://schemas.openxmlformats.org/officeDocument/2006/relationships/hyperlink" Target="http://turnertracker.com/data/extensions_data/tickets/e/4/4/f/2/999815RD/ticket.jpg" TargetMode="External"/><Relationship Id="rId595" Type="http://schemas.openxmlformats.org/officeDocument/2006/relationships/hyperlink" Target="http://turnertracker.com/data/extensions_data/tickets/9/0/9/9/5/1384125RD/ticket.jpg" TargetMode="External"/><Relationship Id="rId816" Type="http://schemas.openxmlformats.org/officeDocument/2006/relationships/hyperlink" Target="http://turnertracker.com/data/extensions_data/tickets/2/2/e/5/f/1356468RD/ticket.jpg" TargetMode="External"/><Relationship Id="rId1001" Type="http://schemas.openxmlformats.org/officeDocument/2006/relationships/hyperlink" Target="http://turnertracker.com/data/extensions_data/tickets/4/5/e/1/8/1143062RD/ticket.jpg" TargetMode="External"/><Relationship Id="rId248" Type="http://schemas.openxmlformats.org/officeDocument/2006/relationships/hyperlink" Target="http://turnertracker.com/data/extensions_data/tickets/f/c/6/7/a/1163647RD/ticket.jpg" TargetMode="External"/><Relationship Id="rId455" Type="http://schemas.openxmlformats.org/officeDocument/2006/relationships/hyperlink" Target="http://turnertracker.com/data/extensions_data/tickets/3/d/1/e/1/1233077RD/ticket.jpg" TargetMode="External"/><Relationship Id="rId662" Type="http://schemas.openxmlformats.org/officeDocument/2006/relationships/hyperlink" Target="http://turnertracker.com/data/extensions_data/tickets/c/3/0/d/5/1107634RD/ticket.jpg" TargetMode="External"/><Relationship Id="rId1085" Type="http://schemas.openxmlformats.org/officeDocument/2006/relationships/hyperlink" Target="http://turnertracker.com/data/extensions_data/tickets/4/2/0/f/4/1246772RD/ticket.jpg" TargetMode="External"/><Relationship Id="rId12" Type="http://schemas.openxmlformats.org/officeDocument/2006/relationships/hyperlink" Target="http://turnertracker.com/data/extensions_data/tickets/3/7/d/7/b/1417104RD/ticket.jpg" TargetMode="External"/><Relationship Id="rId108" Type="http://schemas.openxmlformats.org/officeDocument/2006/relationships/hyperlink" Target="http://turnertracker.com/data/extensions_data/tickets/6/1/8/5/e/999744RD/ticket.jpg" TargetMode="External"/><Relationship Id="rId315" Type="http://schemas.openxmlformats.org/officeDocument/2006/relationships/hyperlink" Target="http://turnertracker.com/data/extensions_data/tickets/1/4/f/6/1/1310068RD/ticket.jpg" TargetMode="External"/><Relationship Id="rId522" Type="http://schemas.openxmlformats.org/officeDocument/2006/relationships/hyperlink" Target="http://turnertracker.com/data/extensions_data/tickets/d/3/6/4/9/1274112RD/ticket.jpg" TargetMode="External"/><Relationship Id="rId967" Type="http://schemas.openxmlformats.org/officeDocument/2006/relationships/hyperlink" Target="http://turnertracker.com/data/extensions_data/tickets/0/d/3/6/e/1059110RD/ticket.jpg" TargetMode="External"/><Relationship Id="rId1152" Type="http://schemas.openxmlformats.org/officeDocument/2006/relationships/hyperlink" Target="http://turnertracker.com/data/extensions_data/tickets/3/3/a/f/0/1371289RD/ticket.jpg" TargetMode="External"/><Relationship Id="rId96" Type="http://schemas.openxmlformats.org/officeDocument/2006/relationships/hyperlink" Target="http://turnertracker.com/data/extensions_data/tickets/7/f/7/2/8/999695RD/ticket.jpg" TargetMode="External"/><Relationship Id="rId161" Type="http://schemas.openxmlformats.org/officeDocument/2006/relationships/hyperlink" Target="http://turnertracker.com/data/extensions_data/tickets/e/b/f/3/c/999840RD/ticket.jpg" TargetMode="External"/><Relationship Id="rId399" Type="http://schemas.openxmlformats.org/officeDocument/2006/relationships/hyperlink" Target="http://turnertracker.com/data/extensions_data/tickets/d/3/c/7/6/1205040RD/ticket.jpg" TargetMode="External"/><Relationship Id="rId827" Type="http://schemas.openxmlformats.org/officeDocument/2006/relationships/hyperlink" Target="http://turnertracker.com/data/extensions_data/tickets/d/4/1/7/7/1371288RD/ticket.jpg" TargetMode="External"/><Relationship Id="rId1012" Type="http://schemas.openxmlformats.org/officeDocument/2006/relationships/hyperlink" Target="http://turnertracker.com/data/extensions_data/tickets/8/4/8/d/a/1165872RD/ticket.jpg" TargetMode="External"/><Relationship Id="rId259" Type="http://schemas.openxmlformats.org/officeDocument/2006/relationships/hyperlink" Target="http://turnertracker.com/data/extensions_data/tickets/3/b/a/7/c/1188061RD/ticket.jpg" TargetMode="External"/><Relationship Id="rId466" Type="http://schemas.openxmlformats.org/officeDocument/2006/relationships/hyperlink" Target="http://turnertracker.com/data/extensions_data/tickets/0/a/a/3/7/1246623RD/ticket.jpg" TargetMode="External"/><Relationship Id="rId673" Type="http://schemas.openxmlformats.org/officeDocument/2006/relationships/hyperlink" Target="http://turnertracker.com/data/extensions_data/tickets/f/2/e/2/e/1143067RD/ticket.jpg" TargetMode="External"/><Relationship Id="rId880" Type="http://schemas.openxmlformats.org/officeDocument/2006/relationships/hyperlink" Target="http://turnertracker.com/data/extensions_data/tickets/8/a/f/d/9/1417098RD/ticket.jpg" TargetMode="External"/><Relationship Id="rId1096" Type="http://schemas.openxmlformats.org/officeDocument/2006/relationships/hyperlink" Target="http://turnertracker.com/data/extensions_data/tickets/0/1/e/d/6/1261741RD/ticket.jpg" TargetMode="External"/><Relationship Id="rId23" Type="http://schemas.openxmlformats.org/officeDocument/2006/relationships/hyperlink" Target="http://turnertracker.com/data/extensions_data/tickets/6/1/c/5/0/1092572RD/ticket.jpg" TargetMode="External"/><Relationship Id="rId119" Type="http://schemas.openxmlformats.org/officeDocument/2006/relationships/hyperlink" Target="http://turnertracker.com/data/extensions_data/tickets/f/d/b/5/a/999760RD/ticket.jpg" TargetMode="External"/><Relationship Id="rId326" Type="http://schemas.openxmlformats.org/officeDocument/2006/relationships/hyperlink" Target="http://turnertracker.com/data/extensions_data/tickets/c/8/3/0/5/1380186RD/ticket.jpg" TargetMode="External"/><Relationship Id="rId533" Type="http://schemas.openxmlformats.org/officeDocument/2006/relationships/hyperlink" Target="http://turnertracker.com/data/extensions_data/tickets/7/8/6/b/5/1274234RD/ticket.jpg" TargetMode="External"/><Relationship Id="rId978" Type="http://schemas.openxmlformats.org/officeDocument/2006/relationships/hyperlink" Target="http://turnertracker.com/data/extensions_data/tickets/4/f/7/b/f/1089146RD/ticket.jpg" TargetMode="External"/><Relationship Id="rId1163" Type="http://schemas.openxmlformats.org/officeDocument/2006/relationships/hyperlink" Target="http://turnertracker.com/data/extensions_data/tickets/b/3/6/6/4/1384126RD/ticket.jpg" TargetMode="External"/><Relationship Id="rId740" Type="http://schemas.openxmlformats.org/officeDocument/2006/relationships/hyperlink" Target="http://turnertracker.com/data/extensions_data/tickets/e/c/7/0/9/1293424RD/ticket.jpg" TargetMode="External"/><Relationship Id="rId838" Type="http://schemas.openxmlformats.org/officeDocument/2006/relationships/hyperlink" Target="http://turnertracker.com/data/extensions_data/tickets/3/8/d/d/0/1384118RD/ticket.jpg" TargetMode="External"/><Relationship Id="rId1023" Type="http://schemas.openxmlformats.org/officeDocument/2006/relationships/hyperlink" Target="http://turnertracker.com/data/extensions_data/tickets/3/4/0/d/f/1165927RD/ticket.jpg" TargetMode="External"/><Relationship Id="rId172" Type="http://schemas.openxmlformats.org/officeDocument/2006/relationships/hyperlink" Target="http://turnertracker.com/data/extensions_data/tickets/f/c/1/2/2/999861RD/ticket.jpg" TargetMode="External"/><Relationship Id="rId477" Type="http://schemas.openxmlformats.org/officeDocument/2006/relationships/hyperlink" Target="http://turnertracker.com/data/extensions_data/tickets/6/a/6/0/3/1261562RD/ticket.jpg" TargetMode="External"/><Relationship Id="rId600" Type="http://schemas.openxmlformats.org/officeDocument/2006/relationships/hyperlink" Target="http://turnertracker.com/data/extensions_data/tickets/8/2/b/4/e/1384147RD/ticket.jpg" TargetMode="External"/><Relationship Id="rId684" Type="http://schemas.openxmlformats.org/officeDocument/2006/relationships/hyperlink" Target="http://turnertracker.com/data/extensions_data/tickets/c/9/8/0/f/1154742RD/ticket.jpg" TargetMode="External"/><Relationship Id="rId337" Type="http://schemas.openxmlformats.org/officeDocument/2006/relationships/hyperlink" Target="http://turnertracker.com/data/extensions_data/tickets/9/1/8/6/7/1392480RD/ticket.jpg" TargetMode="External"/><Relationship Id="rId891" Type="http://schemas.openxmlformats.org/officeDocument/2006/relationships/hyperlink" Target="http://turnertracker.com/data/extensions_data/tickets/b/6/a/8/3/1419127RD/ticket.jpg" TargetMode="External"/><Relationship Id="rId905" Type="http://schemas.openxmlformats.org/officeDocument/2006/relationships/hyperlink" Target="http://turnertracker.com/data/extensions_data/tickets/7/5/c/3/b/1436048RD/ticket.jpg" TargetMode="External"/><Relationship Id="rId989" Type="http://schemas.openxmlformats.org/officeDocument/2006/relationships/hyperlink" Target="http://turnertracker.com/data/extensions_data/tickets/d/c/f/9/3/1107620RD/ticket.jpg" TargetMode="External"/><Relationship Id="rId34" Type="http://schemas.openxmlformats.org/officeDocument/2006/relationships/hyperlink" Target="http://turnertracker.com/data/extensions_data/tickets/6/e/4/a/2/1092635RD/ticket.jpg" TargetMode="External"/><Relationship Id="rId544" Type="http://schemas.openxmlformats.org/officeDocument/2006/relationships/hyperlink" Target="http://turnertracker.com/data/extensions_data/tickets/3/e/f/b/5/1308226RD/ticket.jpg" TargetMode="External"/><Relationship Id="rId751" Type="http://schemas.openxmlformats.org/officeDocument/2006/relationships/hyperlink" Target="http://turnertracker.com/data/extensions_data/tickets/0/d/0/b/8/1293454RD/ticket.jpg" TargetMode="External"/><Relationship Id="rId849" Type="http://schemas.openxmlformats.org/officeDocument/2006/relationships/hyperlink" Target="http://turnertracker.com/data/extensions_data/tickets/7/b/8/e/4/1384157RD/ticket.jpg" TargetMode="External"/><Relationship Id="rId1174" Type="http://schemas.openxmlformats.org/officeDocument/2006/relationships/hyperlink" Target="http://turnertracker.com/data/extensions_data/tickets/3/8/6/e/2/1384153RD/ticket.jpg" TargetMode="External"/><Relationship Id="rId183" Type="http://schemas.openxmlformats.org/officeDocument/2006/relationships/hyperlink" Target="http://turnertracker.com/data/extensions_data/tickets/4/1/b/1/9/999890RD/ticket.jpg" TargetMode="External"/><Relationship Id="rId390" Type="http://schemas.openxmlformats.org/officeDocument/2006/relationships/hyperlink" Target="http://turnertracker.com/data/extensions_data/tickets/b/a/3/3/7/1193733RD/ticket.jpg" TargetMode="External"/><Relationship Id="rId404" Type="http://schemas.openxmlformats.org/officeDocument/2006/relationships/hyperlink" Target="http://turnertracker.com/data/extensions_data/tickets/a/4/2/3/0/1205051RD/ticket.jpg" TargetMode="External"/><Relationship Id="rId611" Type="http://schemas.openxmlformats.org/officeDocument/2006/relationships/hyperlink" Target="http://turnertracker.com/data/extensions_data/tickets/4/c/3/9/d/999417RD/ticket.jpg" TargetMode="External"/><Relationship Id="rId1034" Type="http://schemas.openxmlformats.org/officeDocument/2006/relationships/hyperlink" Target="http://turnertracker.com/data/extensions_data/tickets/1/f/3/b/2/1182674RD/ticket.jpg" TargetMode="External"/><Relationship Id="rId250" Type="http://schemas.openxmlformats.org/officeDocument/2006/relationships/hyperlink" Target="http://turnertracker.com/data/extensions_data/tickets/5/e/5/e/4/1187645RD/ticket.jpg" TargetMode="External"/><Relationship Id="rId488" Type="http://schemas.openxmlformats.org/officeDocument/2006/relationships/hyperlink" Target="http://turnertracker.com/data/extensions_data/tickets/9/5/4/5/d/1261573RD/ticket.jpg" TargetMode="External"/><Relationship Id="rId695" Type="http://schemas.openxmlformats.org/officeDocument/2006/relationships/hyperlink" Target="http://turnertracker.com/data/extensions_data/tickets/8/0/5/3/8/1218841RD/ticket.jpg" TargetMode="External"/><Relationship Id="rId709" Type="http://schemas.openxmlformats.org/officeDocument/2006/relationships/hyperlink" Target="http://turnertracker.com/data/extensions_data/tickets/8/a/3/7/0/1246614RD/ticket.jpg" TargetMode="External"/><Relationship Id="rId916" Type="http://schemas.openxmlformats.org/officeDocument/2006/relationships/hyperlink" Target="http://turnertracker.com/data/extensions_data/tickets/b/d/d/4/3/1436062RD/ticket.jpg" TargetMode="External"/><Relationship Id="rId1101" Type="http://schemas.openxmlformats.org/officeDocument/2006/relationships/hyperlink" Target="http://turnertracker.com/data/extensions_data/tickets/e/5/8/5/7/1273870RD/ticket.jpg" TargetMode="External"/><Relationship Id="rId45" Type="http://schemas.openxmlformats.org/officeDocument/2006/relationships/hyperlink" Target="http://turnertracker.com/data/extensions_data/tickets/4/7/8/7/b/999362RD/ticket.jpg" TargetMode="External"/><Relationship Id="rId110" Type="http://schemas.openxmlformats.org/officeDocument/2006/relationships/hyperlink" Target="http://turnertracker.com/data/extensions_data/tickets/d/6/6/1/1/999746RD/ticket.jpg" TargetMode="External"/><Relationship Id="rId348" Type="http://schemas.openxmlformats.org/officeDocument/2006/relationships/hyperlink" Target="http://turnertracker.com/data/extensions_data/tickets/f/8/1/d/5/1165925RD/ticket.jpg" TargetMode="External"/><Relationship Id="rId555" Type="http://schemas.openxmlformats.org/officeDocument/2006/relationships/hyperlink" Target="http://turnertracker.com/data/extensions_data/tickets/e/b/4/8/d/1322870RD/ticket.jpg" TargetMode="External"/><Relationship Id="rId762" Type="http://schemas.openxmlformats.org/officeDocument/2006/relationships/hyperlink" Target="http://turnertracker.com/data/extensions_data/tickets/b/7/5/3/8/1293484RD/ticket.jpg" TargetMode="External"/><Relationship Id="rId1185" Type="http://schemas.openxmlformats.org/officeDocument/2006/relationships/hyperlink" Target="http://turnertracker.com/data/extensions_data/tickets/b/7/4/e/8/1419128RD/ticket.jpg" TargetMode="External"/><Relationship Id="rId194" Type="http://schemas.openxmlformats.org/officeDocument/2006/relationships/hyperlink" Target="http://turnertracker.com/data/extensions_data/tickets/e/7/8/9/b/999917RD/ticket.jpg" TargetMode="External"/><Relationship Id="rId208" Type="http://schemas.openxmlformats.org/officeDocument/2006/relationships/hyperlink" Target="http://turnertracker.com/data/extensions_data/tickets/2/1/8/2/1/1000066RD/ticket.jpg" TargetMode="External"/><Relationship Id="rId415" Type="http://schemas.openxmlformats.org/officeDocument/2006/relationships/hyperlink" Target="http://turnertracker.com/data/extensions_data/tickets/9/f/5/8/7/1218848RD/ticket.jpg" TargetMode="External"/><Relationship Id="rId622" Type="http://schemas.openxmlformats.org/officeDocument/2006/relationships/hyperlink" Target="http://turnertracker.com/data/extensions_data/tickets/6/7/4/b/3/935842RD/ticket.jpg" TargetMode="External"/><Relationship Id="rId1045" Type="http://schemas.openxmlformats.org/officeDocument/2006/relationships/hyperlink" Target="http://turnertracker.com/data/extensions_data/tickets/9/9/8/1/a/1182784RD/ticket.jpg" TargetMode="External"/><Relationship Id="rId261" Type="http://schemas.openxmlformats.org/officeDocument/2006/relationships/hyperlink" Target="http://turnertracker.com/data/extensions_data/tickets/0/f/f/0/c/1188063RD/ticket.jpg" TargetMode="External"/><Relationship Id="rId499" Type="http://schemas.openxmlformats.org/officeDocument/2006/relationships/hyperlink" Target="http://turnertracker.com/data/extensions_data/tickets/7/b/3/f/0/1261666RD/ticket.jpg" TargetMode="External"/><Relationship Id="rId927" Type="http://schemas.openxmlformats.org/officeDocument/2006/relationships/hyperlink" Target="http://turnertracker.com/data/extensions_data/tickets/8/8/d/d/4/1475435RD/ticket.jpg" TargetMode="External"/><Relationship Id="rId1112" Type="http://schemas.openxmlformats.org/officeDocument/2006/relationships/hyperlink" Target="http://turnertracker.com/data/extensions_data/tickets/3/e/b/b/4/1274181RD/ticket.jpg" TargetMode="External"/><Relationship Id="rId56" Type="http://schemas.openxmlformats.org/officeDocument/2006/relationships/hyperlink" Target="http://turnertracker.com/data/extensions_data/tickets/6/2/1/5/b/999376RD/ticket.jpg" TargetMode="External"/><Relationship Id="rId359" Type="http://schemas.openxmlformats.org/officeDocument/2006/relationships/hyperlink" Target="http://turnertracker.com/data/extensions_data/tickets/0/1/b/d/8/1182673RD/ticket.jpg" TargetMode="External"/><Relationship Id="rId566" Type="http://schemas.openxmlformats.org/officeDocument/2006/relationships/hyperlink" Target="http://turnertracker.com/data/extensions_data/tickets/3/f/9/4/a/1337847RD/ticket.jpg" TargetMode="External"/><Relationship Id="rId773" Type="http://schemas.openxmlformats.org/officeDocument/2006/relationships/hyperlink" Target="http://turnertracker.com/data/extensions_data/tickets/2/8/5/8/e/1308193RD/ticket.jpg" TargetMode="External"/><Relationship Id="rId1196" Type="http://schemas.openxmlformats.org/officeDocument/2006/relationships/hyperlink" Target="http://turnertracker.com/data/extensions_data/tickets/3/5/1/9/1/1207230RD/ticket.jpg" TargetMode="External"/><Relationship Id="rId121" Type="http://schemas.openxmlformats.org/officeDocument/2006/relationships/hyperlink" Target="http://turnertracker.com/data/extensions_data/tickets/3/1/f/f/0/999764RD/ticket.jpg" TargetMode="External"/><Relationship Id="rId219" Type="http://schemas.openxmlformats.org/officeDocument/2006/relationships/hyperlink" Target="http://turnertracker.com/data/extensions_data/tickets/f/f/d/6/2/1069261RD/ticket.jpg" TargetMode="External"/><Relationship Id="rId426" Type="http://schemas.openxmlformats.org/officeDocument/2006/relationships/hyperlink" Target="http://turnertracker.com/data/extensions_data/tickets/a/6/9/0/3/1219067RD/ticket.jpg" TargetMode="External"/><Relationship Id="rId633" Type="http://schemas.openxmlformats.org/officeDocument/2006/relationships/hyperlink" Target="http://turnertracker.com/data/extensions_data/tickets/a/9/d/1/9/1059107RD/ticket.jpg" TargetMode="External"/><Relationship Id="rId980" Type="http://schemas.openxmlformats.org/officeDocument/2006/relationships/hyperlink" Target="http://turnertracker.com/data/extensions_data/tickets/0/b/2/f/7/1089152RD/ticket.jpg" TargetMode="External"/><Relationship Id="rId1056" Type="http://schemas.openxmlformats.org/officeDocument/2006/relationships/hyperlink" Target="http://turnertracker.com/data/extensions_data/tickets/8/d/4/3/e/1193735RD/ticket.jpg" TargetMode="External"/><Relationship Id="rId840" Type="http://schemas.openxmlformats.org/officeDocument/2006/relationships/hyperlink" Target="http://turnertracker.com/data/extensions_data/tickets/0/8/6/a/3/1384135RD/ticket.jpg" TargetMode="External"/><Relationship Id="rId938" Type="http://schemas.openxmlformats.org/officeDocument/2006/relationships/hyperlink" Target="http://turnertracker.com/data/extensions_data/tickets/7/3/1/0/8/1489695RD/ticket.jpg" TargetMode="External"/><Relationship Id="rId67" Type="http://schemas.openxmlformats.org/officeDocument/2006/relationships/hyperlink" Target="http://turnertracker.com/data/extensions_data/tickets/7/3/e/d/1/999633RD/ticket.jpg" TargetMode="External"/><Relationship Id="rId272" Type="http://schemas.openxmlformats.org/officeDocument/2006/relationships/hyperlink" Target="http://turnertracker.com/data/extensions_data/tickets/a/c/b/0/7/1193885RD/ticket.jpg" TargetMode="External"/><Relationship Id="rId577" Type="http://schemas.openxmlformats.org/officeDocument/2006/relationships/hyperlink" Target="http://turnertracker.com/data/extensions_data/tickets/7/5/7/d/d/1337862RD/ticket.jpg" TargetMode="External"/><Relationship Id="rId700" Type="http://schemas.openxmlformats.org/officeDocument/2006/relationships/hyperlink" Target="http://turnertracker.com/data/extensions_data/tickets/d/0/e/d/4/1219072RD/ticket.jpg" TargetMode="External"/><Relationship Id="rId1123" Type="http://schemas.openxmlformats.org/officeDocument/2006/relationships/hyperlink" Target="http://turnertracker.com/data/extensions_data/tickets/7/4/0/0/b/1293456RD/ticket.jpg" TargetMode="External"/><Relationship Id="rId132" Type="http://schemas.openxmlformats.org/officeDocument/2006/relationships/hyperlink" Target="http://turnertracker.com/data/extensions_data/tickets/3/0/3/e/e/999778RD/ticket.jpg" TargetMode="External"/><Relationship Id="rId784" Type="http://schemas.openxmlformats.org/officeDocument/2006/relationships/hyperlink" Target="http://turnertracker.com/data/extensions_data/tickets/7/e/2/9/f/1322837RD/ticket.jpg" TargetMode="External"/><Relationship Id="rId991" Type="http://schemas.openxmlformats.org/officeDocument/2006/relationships/hyperlink" Target="http://turnertracker.com/data/extensions_data/tickets/9/6/e/7/d/1107623RD/ticket.jpg" TargetMode="External"/><Relationship Id="rId1067" Type="http://schemas.openxmlformats.org/officeDocument/2006/relationships/hyperlink" Target="http://turnertracker.com/data/extensions_data/tickets/7/b/8/d/2/1232881RD/ticket.jpg" TargetMode="External"/><Relationship Id="rId437" Type="http://schemas.openxmlformats.org/officeDocument/2006/relationships/hyperlink" Target="http://turnertracker.com/data/extensions_data/tickets/f/1/3/c/9/1232870RD/ticket.jpg" TargetMode="External"/><Relationship Id="rId644" Type="http://schemas.openxmlformats.org/officeDocument/2006/relationships/hyperlink" Target="http://turnertracker.com/data/extensions_data/tickets/4/4/1/a/f/1068857RD/ticket.jpg" TargetMode="External"/><Relationship Id="rId851" Type="http://schemas.openxmlformats.org/officeDocument/2006/relationships/hyperlink" Target="http://turnertracker.com/data/extensions_data/tickets/c/e/8/8/9/1392454RD/ticket.jpg" TargetMode="External"/><Relationship Id="rId283" Type="http://schemas.openxmlformats.org/officeDocument/2006/relationships/hyperlink" Target="http://turnertracker.com/data/extensions_data/tickets/f/7/1/2/1/1193906RD/ticket.jpg" TargetMode="External"/><Relationship Id="rId490" Type="http://schemas.openxmlformats.org/officeDocument/2006/relationships/hyperlink" Target="http://turnertracker.com/data/extensions_data/tickets/2/8/d/8/2/1261578RD/ticket.jpg" TargetMode="External"/><Relationship Id="rId504" Type="http://schemas.openxmlformats.org/officeDocument/2006/relationships/hyperlink" Target="http://turnertracker.com/data/extensions_data/tickets/e/6/c/7/8/1261689RD/ticket.jpg" TargetMode="External"/><Relationship Id="rId711" Type="http://schemas.openxmlformats.org/officeDocument/2006/relationships/hyperlink" Target="http://turnertracker.com/data/extensions_data/tickets/0/7/7/e/9/1246627RD/ticket.jpg" TargetMode="External"/><Relationship Id="rId949" Type="http://schemas.openxmlformats.org/officeDocument/2006/relationships/hyperlink" Target="http://turnertracker.com/data/extensions_data/tickets/d/f/9/b/9/1022967RD/ticket.jpg" TargetMode="External"/><Relationship Id="rId1134" Type="http://schemas.openxmlformats.org/officeDocument/2006/relationships/hyperlink" Target="http://turnertracker.com/data/extensions_data/tickets/f/e/a/e/5/1308190RD/ticket.jpg" TargetMode="External"/><Relationship Id="rId78" Type="http://schemas.openxmlformats.org/officeDocument/2006/relationships/hyperlink" Target="http://turnertracker.com/data/extensions_data/tickets/f/d/5/8/a/999673RD/ticket.jpg" TargetMode="External"/><Relationship Id="rId143" Type="http://schemas.openxmlformats.org/officeDocument/2006/relationships/hyperlink" Target="http://turnertracker.com/data/extensions_data/tickets/4/b/c/e/f/999800RD/ticket.jpg" TargetMode="External"/><Relationship Id="rId350" Type="http://schemas.openxmlformats.org/officeDocument/2006/relationships/hyperlink" Target="http://turnertracker.com/data/extensions_data/tickets/a/b/b/d/3/1165938RD/ticket.jpg" TargetMode="External"/><Relationship Id="rId588" Type="http://schemas.openxmlformats.org/officeDocument/2006/relationships/hyperlink" Target="http://turnertracker.com/data/extensions_data/tickets/b/9/8/d/1/1371215RD/ticket.jpg" TargetMode="External"/><Relationship Id="rId795" Type="http://schemas.openxmlformats.org/officeDocument/2006/relationships/hyperlink" Target="http://turnertracker.com/data/extensions_data/tickets/7/7/c/b/0/1322922RD/ticket.jpg" TargetMode="External"/><Relationship Id="rId809" Type="http://schemas.openxmlformats.org/officeDocument/2006/relationships/hyperlink" Target="http://turnertracker.com/data/extensions_data/tickets/c/0/b/4/1/1356457RD/ticket.jpg" TargetMode="External"/><Relationship Id="rId1201" Type="http://schemas.openxmlformats.org/officeDocument/2006/relationships/hyperlink" Target="http://turnertracker.com/data/extensions_data/tickets/4/5/4/2/a/1356447RD/ticket.jpg" TargetMode="External"/><Relationship Id="rId9" Type="http://schemas.openxmlformats.org/officeDocument/2006/relationships/hyperlink" Target="http://turnertracker.com/data/extensions_data/tickets/d/0/f/b/8/1392468RD/ticket.jpg" TargetMode="External"/><Relationship Id="rId210" Type="http://schemas.openxmlformats.org/officeDocument/2006/relationships/hyperlink" Target="http://turnertracker.com/data/extensions_data/tickets/0/5/1/e/1/1069252RD/ticket.jpg" TargetMode="External"/><Relationship Id="rId448" Type="http://schemas.openxmlformats.org/officeDocument/2006/relationships/hyperlink" Target="http://turnertracker.com/data/extensions_data/tickets/f/f/6/4/b/1233056RD/ticket.jpg" TargetMode="External"/><Relationship Id="rId655" Type="http://schemas.openxmlformats.org/officeDocument/2006/relationships/hyperlink" Target="http://turnertracker.com/data/extensions_data/tickets/f/9/1/3/9/1107608RD/ticket.jpg" TargetMode="External"/><Relationship Id="rId862" Type="http://schemas.openxmlformats.org/officeDocument/2006/relationships/hyperlink" Target="http://turnertracker.com/data/extensions_data/tickets/5/d/0/5/2/1401130RD/ticket.jpg" TargetMode="External"/><Relationship Id="rId1078" Type="http://schemas.openxmlformats.org/officeDocument/2006/relationships/hyperlink" Target="http://turnertracker.com/data/extensions_data/tickets/2/6/a/c/6/1246648RD/ticket.jpg" TargetMode="External"/><Relationship Id="rId294" Type="http://schemas.openxmlformats.org/officeDocument/2006/relationships/hyperlink" Target="http://turnertracker.com/data/extensions_data/tickets/0/5/e/d/2/1193940RD/ticket.jpg" TargetMode="External"/><Relationship Id="rId308" Type="http://schemas.openxmlformats.org/officeDocument/2006/relationships/hyperlink" Target="http://turnertracker.com/data/extensions_data/tickets/4/1/3/f/9/1194135RD/ticket.jpg" TargetMode="External"/><Relationship Id="rId515" Type="http://schemas.openxmlformats.org/officeDocument/2006/relationships/hyperlink" Target="http://turnertracker.com/data/extensions_data/tickets/a/4/2/e/6/1273871RD/ticket.jpg" TargetMode="External"/><Relationship Id="rId722" Type="http://schemas.openxmlformats.org/officeDocument/2006/relationships/hyperlink" Target="http://turnertracker.com/data/extensions_data/tickets/f/a/9/5/a/1273877RD/ticket.jpg" TargetMode="External"/><Relationship Id="rId1145" Type="http://schemas.openxmlformats.org/officeDocument/2006/relationships/hyperlink" Target="http://turnertracker.com/data/extensions_data/tickets/a/0/e/c/9/1356470RD/ticket.jpg" TargetMode="External"/><Relationship Id="rId89" Type="http://schemas.openxmlformats.org/officeDocument/2006/relationships/hyperlink" Target="http://turnertracker.com/data/extensions_data/tickets/f/5/a/4/4/999686RD/ticket.jpg" TargetMode="External"/><Relationship Id="rId154" Type="http://schemas.openxmlformats.org/officeDocument/2006/relationships/hyperlink" Target="http://turnertracker.com/data/extensions_data/tickets/9/5/4/a/a/999829RD/ticket.jpg" TargetMode="External"/><Relationship Id="rId361" Type="http://schemas.openxmlformats.org/officeDocument/2006/relationships/hyperlink" Target="http://turnertracker.com/data/extensions_data/tickets/7/0/9/6/a/1182755RD/ticket.jpg" TargetMode="External"/><Relationship Id="rId599" Type="http://schemas.openxmlformats.org/officeDocument/2006/relationships/hyperlink" Target="http://turnertracker.com/data/extensions_data/tickets/1/f/4/c/7/1384145RD/ticket.jpg" TargetMode="External"/><Relationship Id="rId1005" Type="http://schemas.openxmlformats.org/officeDocument/2006/relationships/hyperlink" Target="http://turnertracker.com/data/extensions_data/tickets/6/1/9/e/9/1143069RD/ticket.jpg" TargetMode="External"/><Relationship Id="rId459" Type="http://schemas.openxmlformats.org/officeDocument/2006/relationships/hyperlink" Target="http://turnertracker.com/data/extensions_data/tickets/9/6/b/d/7/1246461RD/ticket.jpg" TargetMode="External"/><Relationship Id="rId666" Type="http://schemas.openxmlformats.org/officeDocument/2006/relationships/hyperlink" Target="http://turnertracker.com/data/extensions_data/tickets/c/7/0/f/6/1120148RD/ticket.jpg" TargetMode="External"/><Relationship Id="rId873" Type="http://schemas.openxmlformats.org/officeDocument/2006/relationships/hyperlink" Target="http://turnertracker.com/data/extensions_data/tickets/7/7/e/d/8/1401274RD/ticket.jpg" TargetMode="External"/><Relationship Id="rId1089" Type="http://schemas.openxmlformats.org/officeDocument/2006/relationships/hyperlink" Target="http://turnertracker.com/data/extensions_data/tickets/6/2/f/1/5/1261577RD/ticket.jpg" TargetMode="External"/><Relationship Id="rId16" Type="http://schemas.openxmlformats.org/officeDocument/2006/relationships/hyperlink" Target="http://turnertracker.com/data/extensions_data/tickets/b/7/c/8/1/1436284RD/ticket.jpg" TargetMode="External"/><Relationship Id="rId221" Type="http://schemas.openxmlformats.org/officeDocument/2006/relationships/hyperlink" Target="http://turnertracker.com/data/extensions_data/tickets/3/e/7/3/d/1069263RD/ticket.jpg" TargetMode="External"/><Relationship Id="rId319" Type="http://schemas.openxmlformats.org/officeDocument/2006/relationships/hyperlink" Target="http://turnertracker.com/data/extensions_data/tickets/a/1/0/a/5/1310072RD/ticket.jpg" TargetMode="External"/><Relationship Id="rId526" Type="http://schemas.openxmlformats.org/officeDocument/2006/relationships/hyperlink" Target="http://turnertracker.com/data/extensions_data/tickets/b/2/9/7/b/1274166RD/ticket.jpg" TargetMode="External"/><Relationship Id="rId1156" Type="http://schemas.openxmlformats.org/officeDocument/2006/relationships/hyperlink" Target="http://turnertracker.com/data/extensions_data/tickets/0/4/9/3/3/1384116RD/ticket.jpg" TargetMode="External"/><Relationship Id="rId733" Type="http://schemas.openxmlformats.org/officeDocument/2006/relationships/hyperlink" Target="http://turnertracker.com/data/extensions_data/tickets/a/8/c/f/0/1293406RD/ticket.jpg" TargetMode="External"/><Relationship Id="rId940" Type="http://schemas.openxmlformats.org/officeDocument/2006/relationships/hyperlink" Target="http://turnertracker.com/data/extensions_data/tickets/f/f/b/0/8/1489699RD/ticket.jpg" TargetMode="External"/><Relationship Id="rId1016" Type="http://schemas.openxmlformats.org/officeDocument/2006/relationships/hyperlink" Target="http://turnertracker.com/data/extensions_data/tickets/5/0/c/9/a/1165878RD/ticket.jpg" TargetMode="External"/><Relationship Id="rId165" Type="http://schemas.openxmlformats.org/officeDocument/2006/relationships/hyperlink" Target="http://turnertracker.com/data/extensions_data/tickets/f/9/1/d/9/999853RD/ticket.jpg" TargetMode="External"/><Relationship Id="rId372" Type="http://schemas.openxmlformats.org/officeDocument/2006/relationships/hyperlink" Target="http://turnertracker.com/data/extensions_data/tickets/4/3/2/f/1/1193670RD/ticket.jpg" TargetMode="External"/><Relationship Id="rId677" Type="http://schemas.openxmlformats.org/officeDocument/2006/relationships/hyperlink" Target="http://turnertracker.com/data/extensions_data/tickets/4/7/3/d/4/1152825RD/ticket.jpg" TargetMode="External"/><Relationship Id="rId800" Type="http://schemas.openxmlformats.org/officeDocument/2006/relationships/hyperlink" Target="http://turnertracker.com/data/extensions_data/tickets/0/b/f/1/2/1337848RD/ticket.jpg" TargetMode="External"/><Relationship Id="rId232" Type="http://schemas.openxmlformats.org/officeDocument/2006/relationships/hyperlink" Target="http://turnertracker.com/data/extensions_data/tickets/9/3/f/c/f/1089156RD/ticket.jpg" TargetMode="External"/><Relationship Id="rId884" Type="http://schemas.openxmlformats.org/officeDocument/2006/relationships/hyperlink" Target="http://turnertracker.com/data/extensions_data/tickets/7/f/1/a/b/1419119RD/ticket.jpg" TargetMode="External"/><Relationship Id="rId27" Type="http://schemas.openxmlformats.org/officeDocument/2006/relationships/hyperlink" Target="http://turnertracker.com/data/extensions_data/tickets/4/a/8/f/8/1092589RD/ticket.jpg" TargetMode="External"/><Relationship Id="rId537" Type="http://schemas.openxmlformats.org/officeDocument/2006/relationships/hyperlink" Target="http://turnertracker.com/data/extensions_data/tickets/8/5/7/f/2/1308192RD/ticket.jpg" TargetMode="External"/><Relationship Id="rId744" Type="http://schemas.openxmlformats.org/officeDocument/2006/relationships/hyperlink" Target="http://turnertracker.com/data/extensions_data/tickets/c/1/c/f/a/1293435RD/ticket.jpg" TargetMode="External"/><Relationship Id="rId951" Type="http://schemas.openxmlformats.org/officeDocument/2006/relationships/hyperlink" Target="http://turnertracker.com/data/extensions_data/tickets/0/e/9/0/3/1022971RD/ticket.jpg" TargetMode="External"/><Relationship Id="rId1167" Type="http://schemas.openxmlformats.org/officeDocument/2006/relationships/hyperlink" Target="http://turnertracker.com/data/extensions_data/tickets/7/2/6/8/c/1384131RD/ticket.jpg" TargetMode="External"/><Relationship Id="rId80" Type="http://schemas.openxmlformats.org/officeDocument/2006/relationships/hyperlink" Target="http://turnertracker.com/data/extensions_data/tickets/c/e/2/0/e/999677RD/ticket.jpg" TargetMode="External"/><Relationship Id="rId176" Type="http://schemas.openxmlformats.org/officeDocument/2006/relationships/hyperlink" Target="http://turnertracker.com/data/extensions_data/tickets/5/7/a/d/e/999869RD/ticket.jpg" TargetMode="External"/><Relationship Id="rId383" Type="http://schemas.openxmlformats.org/officeDocument/2006/relationships/hyperlink" Target="http://turnertracker.com/data/extensions_data/tickets/9/a/a/d/3/1193710RD/ticket.jpg" TargetMode="External"/><Relationship Id="rId590" Type="http://schemas.openxmlformats.org/officeDocument/2006/relationships/hyperlink" Target="http://turnertracker.com/data/extensions_data/tickets/e/7/7/7/0/1371281RD/ticket.jpg" TargetMode="External"/><Relationship Id="rId604" Type="http://schemas.openxmlformats.org/officeDocument/2006/relationships/hyperlink" Target="http://turnertracker.com/data/extensions_data/tickets/4/b/7/5/f/1401232RD/ticket.jpg" TargetMode="External"/><Relationship Id="rId811" Type="http://schemas.openxmlformats.org/officeDocument/2006/relationships/hyperlink" Target="http://turnertracker.com/data/extensions_data/tickets/d/6/f/1/f/1356461RD/ticket.jpg" TargetMode="External"/><Relationship Id="rId1027" Type="http://schemas.openxmlformats.org/officeDocument/2006/relationships/hyperlink" Target="http://turnertracker.com/data/extensions_data/tickets/7/2/d/0/f/1182627RD/ticket.jpg" TargetMode="External"/><Relationship Id="rId243" Type="http://schemas.openxmlformats.org/officeDocument/2006/relationships/hyperlink" Target="http://turnertracker.com/data/extensions_data/tickets/4/5/7/1/f/1163637RD/ticket.jpg" TargetMode="External"/><Relationship Id="rId450" Type="http://schemas.openxmlformats.org/officeDocument/2006/relationships/hyperlink" Target="http://turnertracker.com/data/extensions_data/tickets/c/0/f/c/6/1233059RD/ticket.jpg" TargetMode="External"/><Relationship Id="rId688" Type="http://schemas.openxmlformats.org/officeDocument/2006/relationships/hyperlink" Target="http://turnertracker.com/data/extensions_data/tickets/b/5/2/8/6/1182628RD/ticket.jpg" TargetMode="External"/><Relationship Id="rId895" Type="http://schemas.openxmlformats.org/officeDocument/2006/relationships/hyperlink" Target="http://turnertracker.com/data/extensions_data/tickets/8/f/2/8/a/1419134RD/ticket.jpg" TargetMode="External"/><Relationship Id="rId909" Type="http://schemas.openxmlformats.org/officeDocument/2006/relationships/hyperlink" Target="http://turnertracker.com/data/extensions_data/tickets/9/b/c/a/7/1436055RD/ticket.jpg" TargetMode="External"/><Relationship Id="rId1080" Type="http://schemas.openxmlformats.org/officeDocument/2006/relationships/hyperlink" Target="http://turnertracker.com/data/extensions_data/tickets/d/f/4/9/7/1246650RD/ticket.jpg" TargetMode="External"/><Relationship Id="rId38" Type="http://schemas.openxmlformats.org/officeDocument/2006/relationships/hyperlink" Target="http://turnertracker.com/data/extensions_data/tickets/d/1/e/3/0/1120150RD/ticket.jpg" TargetMode="External"/><Relationship Id="rId103" Type="http://schemas.openxmlformats.org/officeDocument/2006/relationships/hyperlink" Target="http://turnertracker.com/data/extensions_data/tickets/f/c/4/d/7/999708RD/ticket.jpg" TargetMode="External"/><Relationship Id="rId310" Type="http://schemas.openxmlformats.org/officeDocument/2006/relationships/hyperlink" Target="http://turnertracker.com/data/extensions_data/tickets/2/6/9/b/5/1219079RD/ticket.jpg" TargetMode="External"/><Relationship Id="rId548" Type="http://schemas.openxmlformats.org/officeDocument/2006/relationships/hyperlink" Target="http://turnertracker.com/data/extensions_data/tickets/1/7/7/b/7/1322855RD/ticket.jpg" TargetMode="External"/><Relationship Id="rId755" Type="http://schemas.openxmlformats.org/officeDocument/2006/relationships/hyperlink" Target="http://turnertracker.com/data/extensions_data/tickets/d/c/a/8/6/1293463RD/ticket.jpg" TargetMode="External"/><Relationship Id="rId962" Type="http://schemas.openxmlformats.org/officeDocument/2006/relationships/hyperlink" Target="http://turnertracker.com/data/extensions_data/tickets/0/b/a/f/3/1059103RD/ticket.jpg" TargetMode="External"/><Relationship Id="rId1178" Type="http://schemas.openxmlformats.org/officeDocument/2006/relationships/hyperlink" Target="http://turnertracker.com/data/extensions_data/tickets/d/f/0/b/5/1401142RD/ticket.jpg" TargetMode="External"/><Relationship Id="rId91" Type="http://schemas.openxmlformats.org/officeDocument/2006/relationships/hyperlink" Target="http://turnertracker.com/data/extensions_data/tickets/8/4/f/e/7/999689RD/ticket.jpg" TargetMode="External"/><Relationship Id="rId187" Type="http://schemas.openxmlformats.org/officeDocument/2006/relationships/hyperlink" Target="http://turnertracker.com/data/extensions_data/tickets/b/f/3/6/2/999903RD/ticket.jpg" TargetMode="External"/><Relationship Id="rId394" Type="http://schemas.openxmlformats.org/officeDocument/2006/relationships/hyperlink" Target="http://turnertracker.com/data/extensions_data/tickets/6/7/b/7/a/1193744RD/ticket.jpg" TargetMode="External"/><Relationship Id="rId408" Type="http://schemas.openxmlformats.org/officeDocument/2006/relationships/hyperlink" Target="http://turnertracker.com/data/extensions_data/tickets/b/b/b/9/4/1205055RD/ticket.jpg" TargetMode="External"/><Relationship Id="rId615" Type="http://schemas.openxmlformats.org/officeDocument/2006/relationships/hyperlink" Target="http://turnertracker.com/data/extensions_data/tickets/d/5/8/1/9/1209745RD/ticket.jpg" TargetMode="External"/><Relationship Id="rId822" Type="http://schemas.openxmlformats.org/officeDocument/2006/relationships/hyperlink" Target="http://turnertracker.com/data/extensions_data/tickets/2/3/7/2/2/1371214RD/ticket.jpg" TargetMode="External"/><Relationship Id="rId1038" Type="http://schemas.openxmlformats.org/officeDocument/2006/relationships/hyperlink" Target="http://turnertracker.com/data/extensions_data/tickets/b/e/a/4/2/1182756RD/ticket.jpg" TargetMode="External"/><Relationship Id="rId254" Type="http://schemas.openxmlformats.org/officeDocument/2006/relationships/hyperlink" Target="http://turnertracker.com/data/extensions_data/tickets/8/a/0/f/2/1188019RD/ticket.jpg" TargetMode="External"/><Relationship Id="rId699" Type="http://schemas.openxmlformats.org/officeDocument/2006/relationships/hyperlink" Target="http://turnertracker.com/data/extensions_data/tickets/e/a/9/3/5/1219066RD/ticket.jpg" TargetMode="External"/><Relationship Id="rId1091" Type="http://schemas.openxmlformats.org/officeDocument/2006/relationships/hyperlink" Target="http://turnertracker.com/data/extensions_data/tickets/a/2/2/1/9/1261667RD/ticket.jpg" TargetMode="External"/><Relationship Id="rId1105" Type="http://schemas.openxmlformats.org/officeDocument/2006/relationships/hyperlink" Target="http://turnertracker.com/data/extensions_data/tickets/c/9/0/a/b/1274108RD/ticket.jpg" TargetMode="External"/><Relationship Id="rId49" Type="http://schemas.openxmlformats.org/officeDocument/2006/relationships/hyperlink" Target="http://turnertracker.com/data/extensions_data/tickets/9/0/e/7/0/999367RD/ticket.jpg" TargetMode="External"/><Relationship Id="rId114" Type="http://schemas.openxmlformats.org/officeDocument/2006/relationships/hyperlink" Target="http://turnertracker.com/data/extensions_data/tickets/3/2/2/1/b/999754RD/ticket.jpg" TargetMode="External"/><Relationship Id="rId461" Type="http://schemas.openxmlformats.org/officeDocument/2006/relationships/hyperlink" Target="http://turnertracker.com/data/extensions_data/tickets/e/c/d/d/9/1246479RD/ticket.jpg" TargetMode="External"/><Relationship Id="rId559" Type="http://schemas.openxmlformats.org/officeDocument/2006/relationships/hyperlink" Target="http://turnertracker.com/data/extensions_data/tickets/e/e/8/9/2/1322902RD/ticket.jpg" TargetMode="External"/><Relationship Id="rId766" Type="http://schemas.openxmlformats.org/officeDocument/2006/relationships/hyperlink" Target="http://turnertracker.com/data/extensions_data/tickets/b/0/6/7/7/1308179RD/ticket.jpg" TargetMode="External"/><Relationship Id="rId1189" Type="http://schemas.openxmlformats.org/officeDocument/2006/relationships/hyperlink" Target="http://turnertracker.com/data/extensions_data/tickets/d/4/b/b/0/1436053RD/ticket.jpg" TargetMode="External"/><Relationship Id="rId198" Type="http://schemas.openxmlformats.org/officeDocument/2006/relationships/hyperlink" Target="http://turnertracker.com/data/extensions_data/tickets/7/b/8/2/4/999926RD/ticket.jpg" TargetMode="External"/><Relationship Id="rId321" Type="http://schemas.openxmlformats.org/officeDocument/2006/relationships/hyperlink" Target="http://turnertracker.com/data/extensions_data/tickets/5/1/f/4/a/1380071RD/ticket.jpg" TargetMode="External"/><Relationship Id="rId419" Type="http://schemas.openxmlformats.org/officeDocument/2006/relationships/hyperlink" Target="http://turnertracker.com/data/extensions_data/tickets/8/9/b/2/1/1219054RD/ticket.jpg" TargetMode="External"/><Relationship Id="rId626" Type="http://schemas.openxmlformats.org/officeDocument/2006/relationships/hyperlink" Target="http://turnertracker.com/data/extensions_data/tickets/4/8/a/4/0/1000105RD/ticket.jpg" TargetMode="External"/><Relationship Id="rId973" Type="http://schemas.openxmlformats.org/officeDocument/2006/relationships/hyperlink" Target="http://turnertracker.com/data/extensions_data/tickets/2/1/b/5/6/1068856RD/ticket.jpg" TargetMode="External"/><Relationship Id="rId1049" Type="http://schemas.openxmlformats.org/officeDocument/2006/relationships/hyperlink" Target="http://turnertracker.com/data/extensions_data/tickets/f/5/9/4/3/1188431RD/ticket.jpg" TargetMode="External"/><Relationship Id="rId833" Type="http://schemas.openxmlformats.org/officeDocument/2006/relationships/hyperlink" Target="http://turnertracker.com/data/extensions_data/tickets/c/5/4/d/e/1380220RD/ticket.jpg" TargetMode="External"/><Relationship Id="rId1116" Type="http://schemas.openxmlformats.org/officeDocument/2006/relationships/hyperlink" Target="http://turnertracker.com/data/extensions_data/tickets/8/2/7/d/c/1274235RD/ticket.jpg" TargetMode="External"/><Relationship Id="rId265" Type="http://schemas.openxmlformats.org/officeDocument/2006/relationships/hyperlink" Target="http://turnertracker.com/data/extensions_data/tickets/7/8/f/6/c/1188093RD/ticket.jpg" TargetMode="External"/><Relationship Id="rId472" Type="http://schemas.openxmlformats.org/officeDocument/2006/relationships/hyperlink" Target="http://turnertracker.com/data/extensions_data/tickets/1/4/1/6/1/1246647RD/ticket.jpg" TargetMode="External"/><Relationship Id="rId900" Type="http://schemas.openxmlformats.org/officeDocument/2006/relationships/hyperlink" Target="http://turnertracker.com/data/extensions_data/tickets/5/e/5/0/9/1419139RD/ticket.jpg" TargetMode="External"/><Relationship Id="rId125" Type="http://schemas.openxmlformats.org/officeDocument/2006/relationships/hyperlink" Target="http://turnertracker.com/data/extensions_data/tickets/7/2/b/f/2/999768RD/ticket.jpg" TargetMode="External"/><Relationship Id="rId332" Type="http://schemas.openxmlformats.org/officeDocument/2006/relationships/hyperlink" Target="http://turnertracker.com/data/extensions_data/tickets/1/8/d/8/9/1380209RD/ticket.jpg" TargetMode="External"/><Relationship Id="rId777" Type="http://schemas.openxmlformats.org/officeDocument/2006/relationships/hyperlink" Target="http://turnertracker.com/data/extensions_data/tickets/4/c/d/3/4/1308201RD/ticket.jpg" TargetMode="External"/><Relationship Id="rId984" Type="http://schemas.openxmlformats.org/officeDocument/2006/relationships/hyperlink" Target="http://turnertracker.com/data/extensions_data/tickets/0/7/d/0/2/1092509RD/ticket.jpg" TargetMode="External"/><Relationship Id="rId637" Type="http://schemas.openxmlformats.org/officeDocument/2006/relationships/hyperlink" Target="http://turnertracker.com/data/extensions_data/tickets/1/7/f/2/9/1059113RD/ticket.jpg" TargetMode="External"/><Relationship Id="rId844" Type="http://schemas.openxmlformats.org/officeDocument/2006/relationships/hyperlink" Target="http://turnertracker.com/data/extensions_data/tickets/0/4/4/b/4/1384150RD/ticket.jpg" TargetMode="External"/><Relationship Id="rId276" Type="http://schemas.openxmlformats.org/officeDocument/2006/relationships/hyperlink" Target="http://turnertracker.com/data/extensions_data/tickets/1/5/f/3/5/1193891RD/ticket.jpg" TargetMode="External"/><Relationship Id="rId483" Type="http://schemas.openxmlformats.org/officeDocument/2006/relationships/hyperlink" Target="http://turnertracker.com/data/extensions_data/tickets/e/5/3/4/7/1261568RD/ticket.jpg" TargetMode="External"/><Relationship Id="rId690" Type="http://schemas.openxmlformats.org/officeDocument/2006/relationships/hyperlink" Target="http://turnertracker.com/data/extensions_data/tickets/2/c/9/8/4/1193718RD/ticket.jpg" TargetMode="External"/><Relationship Id="rId704" Type="http://schemas.openxmlformats.org/officeDocument/2006/relationships/hyperlink" Target="http://turnertracker.com/data/extensions_data/tickets/9/d/b/f/1/1232873RD/ticket.jpg" TargetMode="External"/><Relationship Id="rId911" Type="http://schemas.openxmlformats.org/officeDocument/2006/relationships/hyperlink" Target="http://turnertracker.com/data/extensions_data/tickets/4/3/3/a/9/1436057RD/ticket.jpg" TargetMode="External"/><Relationship Id="rId1127" Type="http://schemas.openxmlformats.org/officeDocument/2006/relationships/hyperlink" Target="http://turnertracker.com/data/extensions_data/tickets/7/1/9/8/b/1293483RD/ticket.jpg" TargetMode="External"/><Relationship Id="rId40" Type="http://schemas.openxmlformats.org/officeDocument/2006/relationships/hyperlink" Target="http://turnertracker.com/data/extensions_data/tickets/f/2/1/4/6/1310094RD/ticket.jpg" TargetMode="External"/><Relationship Id="rId136" Type="http://schemas.openxmlformats.org/officeDocument/2006/relationships/hyperlink" Target="http://turnertracker.com/data/extensions_data/tickets/b/3/5/4/8/999789RD/ticket.jpg" TargetMode="External"/><Relationship Id="rId343" Type="http://schemas.openxmlformats.org/officeDocument/2006/relationships/hyperlink" Target="http://turnertracker.com/data/extensions_data/tickets/1/0/1/2/a/1458029RD/ticket.jpg" TargetMode="External"/><Relationship Id="rId550" Type="http://schemas.openxmlformats.org/officeDocument/2006/relationships/hyperlink" Target="http://turnertracker.com/data/extensions_data/tickets/1/8/0/5/a/1322857RD/ticket.jpg" TargetMode="External"/><Relationship Id="rId788" Type="http://schemas.openxmlformats.org/officeDocument/2006/relationships/hyperlink" Target="http://turnertracker.com/data/extensions_data/tickets/9/5/3/2/d/1322853RD/ticket.jpg" TargetMode="External"/><Relationship Id="rId995" Type="http://schemas.openxmlformats.org/officeDocument/2006/relationships/hyperlink" Target="http://turnertracker.com/data/extensions_data/tickets/3/9/a/2/7/1120143RD/ticket.jpg" TargetMode="External"/><Relationship Id="rId1180" Type="http://schemas.openxmlformats.org/officeDocument/2006/relationships/hyperlink" Target="http://turnertracker.com/data/extensions_data/tickets/9/9/b/7/e/1401271RD/ticket.jpg" TargetMode="External"/><Relationship Id="rId203" Type="http://schemas.openxmlformats.org/officeDocument/2006/relationships/hyperlink" Target="http://turnertracker.com/data/extensions_data/tickets/d/4/c/1/c/1000048RD/ticket.jpg" TargetMode="External"/><Relationship Id="rId648" Type="http://schemas.openxmlformats.org/officeDocument/2006/relationships/hyperlink" Target="http://turnertracker.com/data/extensions_data/tickets/6/e/c/d/8/1076884RD/ticket.jpg" TargetMode="External"/><Relationship Id="rId855" Type="http://schemas.openxmlformats.org/officeDocument/2006/relationships/hyperlink" Target="http://turnertracker.com/data/extensions_data/tickets/6/6/0/2/3/1392465RD/ticket.jpg" TargetMode="External"/><Relationship Id="rId1040" Type="http://schemas.openxmlformats.org/officeDocument/2006/relationships/hyperlink" Target="http://turnertracker.com/data/extensions_data/tickets/0/f/4/6/4/1182763RD/ticket.jpg" TargetMode="External"/><Relationship Id="rId287" Type="http://schemas.openxmlformats.org/officeDocument/2006/relationships/hyperlink" Target="http://turnertracker.com/data/extensions_data/tickets/0/b/4/5/4/1193917RD/ticket.jpg" TargetMode="External"/><Relationship Id="rId410" Type="http://schemas.openxmlformats.org/officeDocument/2006/relationships/hyperlink" Target="http://turnertracker.com/data/extensions_data/tickets/1/c/d/7/9/1205062RD/ticket.jpg" TargetMode="External"/><Relationship Id="rId494" Type="http://schemas.openxmlformats.org/officeDocument/2006/relationships/hyperlink" Target="http://turnertracker.com/data/extensions_data/tickets/0/5/5/3/2/1261659RD/ticket.jpg" TargetMode="External"/><Relationship Id="rId508" Type="http://schemas.openxmlformats.org/officeDocument/2006/relationships/hyperlink" Target="http://turnertracker.com/data/extensions_data/tickets/a/a/b/f/e/1261739RD/ticket.jpg" TargetMode="External"/><Relationship Id="rId715" Type="http://schemas.openxmlformats.org/officeDocument/2006/relationships/hyperlink" Target="http://turnertracker.com/data/extensions_data/tickets/f/6/c/d/f/1261675RD/ticket.jpg" TargetMode="External"/><Relationship Id="rId922" Type="http://schemas.openxmlformats.org/officeDocument/2006/relationships/hyperlink" Target="http://turnertracker.com/data/extensions_data/tickets/b/2/0/a/f/1458037RD/ticket.jpg" TargetMode="External"/><Relationship Id="rId1138" Type="http://schemas.openxmlformats.org/officeDocument/2006/relationships/hyperlink" Target="http://turnertracker.com/data/extensions_data/tickets/0/4/0/a/1/1308204RD/ticket.jpg" TargetMode="External"/><Relationship Id="rId147" Type="http://schemas.openxmlformats.org/officeDocument/2006/relationships/hyperlink" Target="http://turnertracker.com/data/extensions_data/tickets/8/d/4/0/4/999807RD/ticket.jpg" TargetMode="External"/><Relationship Id="rId354" Type="http://schemas.openxmlformats.org/officeDocument/2006/relationships/hyperlink" Target="http://turnertracker.com/data/extensions_data/tickets/7/6/1/2/f/1182639RD/ticket.jpg" TargetMode="External"/><Relationship Id="rId799" Type="http://schemas.openxmlformats.org/officeDocument/2006/relationships/hyperlink" Target="http://turnertracker.com/data/extensions_data/tickets/3/d/e/4/5/1337843RD/ticket.jpg" TargetMode="External"/><Relationship Id="rId1191" Type="http://schemas.openxmlformats.org/officeDocument/2006/relationships/hyperlink" Target="http://turnertracker.com/data/extensions_data/tickets/5/6/a/6/d/1458031RD/ticket.jpg" TargetMode="External"/><Relationship Id="rId1205" Type="http://schemas.openxmlformats.org/officeDocument/2006/relationships/hyperlink" Target="http://turnertracker.com/data/extensions_data/tickets/c/d/8/0/1/1165937RD/ticket.jpg" TargetMode="External"/><Relationship Id="rId51" Type="http://schemas.openxmlformats.org/officeDocument/2006/relationships/hyperlink" Target="http://turnertracker.com/data/extensions_data/tickets/5/6/7/3/e/999371RD/ticket.jpg" TargetMode="External"/><Relationship Id="rId561" Type="http://schemas.openxmlformats.org/officeDocument/2006/relationships/hyperlink" Target="http://turnertracker.com/data/extensions_data/tickets/1/8/c/8/f/1322913RD/ticket.jpg" TargetMode="External"/><Relationship Id="rId659" Type="http://schemas.openxmlformats.org/officeDocument/2006/relationships/hyperlink" Target="http://turnertracker.com/data/extensions_data/tickets/5/5/b/3/1/1107630RD/ticket.jpg" TargetMode="External"/><Relationship Id="rId866" Type="http://schemas.openxmlformats.org/officeDocument/2006/relationships/hyperlink" Target="http://turnertracker.com/data/extensions_data/tickets/5/a/f/2/f/1401146RD/ticket.jpg" TargetMode="External"/><Relationship Id="rId214" Type="http://schemas.openxmlformats.org/officeDocument/2006/relationships/hyperlink" Target="http://turnertracker.com/data/extensions_data/tickets/9/9/c/f/5/1069256RD/ticket.jpg" TargetMode="External"/><Relationship Id="rId298" Type="http://schemas.openxmlformats.org/officeDocument/2006/relationships/hyperlink" Target="http://turnertracker.com/data/extensions_data/tickets/3/f/e/4/2/1193944RD/ticket.jpg" TargetMode="External"/><Relationship Id="rId421" Type="http://schemas.openxmlformats.org/officeDocument/2006/relationships/hyperlink" Target="http://turnertracker.com/data/extensions_data/tickets/6/e/3/1/7/1219058RD/ticket.jpg" TargetMode="External"/><Relationship Id="rId519" Type="http://schemas.openxmlformats.org/officeDocument/2006/relationships/hyperlink" Target="http://turnertracker.com/data/extensions_data/tickets/0/a/5/e/c/1273878RD/ticket.jpg" TargetMode="External"/><Relationship Id="rId1051" Type="http://schemas.openxmlformats.org/officeDocument/2006/relationships/hyperlink" Target="http://turnertracker.com/data/extensions_data/tickets/1/1/7/6/8/1193660RD/ticket.jpg" TargetMode="External"/><Relationship Id="rId1149" Type="http://schemas.openxmlformats.org/officeDocument/2006/relationships/hyperlink" Target="http://turnertracker.com/data/extensions_data/tickets/1/6/3/6/0/1371282RD/ticket.jpg" TargetMode="External"/><Relationship Id="rId158" Type="http://schemas.openxmlformats.org/officeDocument/2006/relationships/hyperlink" Target="http://turnertracker.com/data/extensions_data/tickets/d/7/4/5/7/999836RD/ticket.jpg" TargetMode="External"/><Relationship Id="rId726" Type="http://schemas.openxmlformats.org/officeDocument/2006/relationships/hyperlink" Target="http://turnertracker.com/data/extensions_data/tickets/6/a/a/e/8/1274207RD/ticket.jpg" TargetMode="External"/><Relationship Id="rId933" Type="http://schemas.openxmlformats.org/officeDocument/2006/relationships/hyperlink" Target="http://turnertracker.com/data/extensions_data/tickets/6/c/e/9/f/1475467RD/ticket.jpg" TargetMode="External"/><Relationship Id="rId1009" Type="http://schemas.openxmlformats.org/officeDocument/2006/relationships/hyperlink" Target="http://turnertracker.com/data/extensions_data/tickets/8/4/d/b/8/1152832RD/ticket.jpg" TargetMode="External"/><Relationship Id="rId62" Type="http://schemas.openxmlformats.org/officeDocument/2006/relationships/hyperlink" Target="http://turnertracker.com/data/extensions_data/tickets/c/6/e/d/0/999383RD/ticket.jpg" TargetMode="External"/><Relationship Id="rId365" Type="http://schemas.openxmlformats.org/officeDocument/2006/relationships/hyperlink" Target="http://turnertracker.com/data/extensions_data/tickets/6/4/b/5/a/1182774RD/ticket.jpg" TargetMode="External"/><Relationship Id="rId572" Type="http://schemas.openxmlformats.org/officeDocument/2006/relationships/hyperlink" Target="http://turnertracker.com/data/extensions_data/tickets/d/b/f/5/b/1337857RD/ticket.jpg" TargetMode="External"/><Relationship Id="rId225" Type="http://schemas.openxmlformats.org/officeDocument/2006/relationships/hyperlink" Target="http://turnertracker.com/data/extensions_data/tickets/5/b/4/e/6/1069267RD/ticket.jpg" TargetMode="External"/><Relationship Id="rId432" Type="http://schemas.openxmlformats.org/officeDocument/2006/relationships/hyperlink" Target="http://turnertracker.com/data/extensions_data/tickets/0/0/2/f/b/1219074RD/ticket.jpg" TargetMode="External"/><Relationship Id="rId877" Type="http://schemas.openxmlformats.org/officeDocument/2006/relationships/hyperlink" Target="http://turnertracker.com/data/extensions_data/tickets/f/5/5/2/5/1401282RD/ticket.jpg" TargetMode="External"/><Relationship Id="rId1062" Type="http://schemas.openxmlformats.org/officeDocument/2006/relationships/hyperlink" Target="http://turnertracker.com/data/extensions_data/tickets/7/8/7/e/a/1218846RD/ticket.jpg" TargetMode="External"/><Relationship Id="rId737" Type="http://schemas.openxmlformats.org/officeDocument/2006/relationships/hyperlink" Target="http://turnertracker.com/data/extensions_data/tickets/2/0/c/f/1/1293418RD/ticket.jpg" TargetMode="External"/><Relationship Id="rId944" Type="http://schemas.openxmlformats.org/officeDocument/2006/relationships/hyperlink" Target="http://turnertracker.com/data/extensions_data/tickets/5/6/8/a/1/991795RD/ticket.jpg" TargetMode="External"/><Relationship Id="rId73" Type="http://schemas.openxmlformats.org/officeDocument/2006/relationships/hyperlink" Target="http://turnertracker.com/data/extensions_data/tickets/0/f/8/6/0/999664RD/ticket.jpg" TargetMode="External"/><Relationship Id="rId169" Type="http://schemas.openxmlformats.org/officeDocument/2006/relationships/hyperlink" Target="http://turnertracker.com/data/extensions_data/tickets/9/8/7/3/1/999858RD/ticket.jpg" TargetMode="External"/><Relationship Id="rId376" Type="http://schemas.openxmlformats.org/officeDocument/2006/relationships/hyperlink" Target="http://turnertracker.com/data/extensions_data/tickets/e/1/d/6/5/1193679RD/ticket.jpg" TargetMode="External"/><Relationship Id="rId583" Type="http://schemas.openxmlformats.org/officeDocument/2006/relationships/hyperlink" Target="http://turnertracker.com/data/extensions_data/tickets/5/e/4/a/9/1356451RD/ticket.jpg" TargetMode="External"/><Relationship Id="rId790" Type="http://schemas.openxmlformats.org/officeDocument/2006/relationships/hyperlink" Target="http://turnertracker.com/data/extensions_data/tickets/3/6/d/a/6/1322865RD/ticket.jpg" TargetMode="External"/><Relationship Id="rId804" Type="http://schemas.openxmlformats.org/officeDocument/2006/relationships/hyperlink" Target="http://turnertracker.com/data/extensions_data/tickets/0/4/4/6/9/1337863RD/ticket.jpg" TargetMode="External"/><Relationship Id="rId4" Type="http://schemas.openxmlformats.org/officeDocument/2006/relationships/hyperlink" Target="http://turnertracker.com/data/extensions_data/tickets/e/9/b/9/d/1392452RD/ticket.jpg" TargetMode="External"/><Relationship Id="rId236" Type="http://schemas.openxmlformats.org/officeDocument/2006/relationships/hyperlink" Target="http://turnertracker.com/data/extensions_data/tickets/9/8/b/b/4/1101915RD/ticket.jpg" TargetMode="External"/><Relationship Id="rId443" Type="http://schemas.openxmlformats.org/officeDocument/2006/relationships/hyperlink" Target="http://turnertracker.com/data/extensions_data/tickets/0/7/9/b/0/1233043RD/ticket.jpg" TargetMode="External"/><Relationship Id="rId650" Type="http://schemas.openxmlformats.org/officeDocument/2006/relationships/hyperlink" Target="http://turnertracker.com/data/extensions_data/tickets/2/d/1/5/c/1089148RD/ticket.jpg" TargetMode="External"/><Relationship Id="rId888" Type="http://schemas.openxmlformats.org/officeDocument/2006/relationships/hyperlink" Target="http://turnertracker.com/data/extensions_data/tickets/3/4/f/1/b/1419123RD/ticket.jpg" TargetMode="External"/><Relationship Id="rId1073" Type="http://schemas.openxmlformats.org/officeDocument/2006/relationships/hyperlink" Target="http://turnertracker.com/data/extensions_data/tickets/3/3/e/6/c/1246463RD/ticket.jpg" TargetMode="External"/><Relationship Id="rId303" Type="http://schemas.openxmlformats.org/officeDocument/2006/relationships/hyperlink" Target="http://turnertracker.com/data/extensions_data/tickets/4/2/8/2/f/1194113RD/ticket.jpg" TargetMode="External"/><Relationship Id="rId748" Type="http://schemas.openxmlformats.org/officeDocument/2006/relationships/hyperlink" Target="http://turnertracker.com/data/extensions_data/tickets/8/2/e/b/5/1293443RD/ticket.jpg" TargetMode="External"/><Relationship Id="rId955" Type="http://schemas.openxmlformats.org/officeDocument/2006/relationships/hyperlink" Target="http://turnertracker.com/data/extensions_data/tickets/3/7/a/8/6/1022975RD/ticket.jpg" TargetMode="External"/><Relationship Id="rId1140" Type="http://schemas.openxmlformats.org/officeDocument/2006/relationships/hyperlink" Target="http://turnertracker.com/data/extensions_data/tickets/9/e/5/1/c/1322851RD/ticket.jpg" TargetMode="External"/><Relationship Id="rId84" Type="http://schemas.openxmlformats.org/officeDocument/2006/relationships/hyperlink" Target="http://turnertracker.com/data/extensions_data/tickets/6/5/b/7/9/999681RD/ticket.jpg" TargetMode="External"/><Relationship Id="rId387" Type="http://schemas.openxmlformats.org/officeDocument/2006/relationships/hyperlink" Target="http://turnertracker.com/data/extensions_data/tickets/a/1/a/3/2/1193724RD/ticket.jpg" TargetMode="External"/><Relationship Id="rId510" Type="http://schemas.openxmlformats.org/officeDocument/2006/relationships/hyperlink" Target="http://turnertracker.com/data/extensions_data/tickets/e/6/f/9/1/1261749RD/ticket.jpg" TargetMode="External"/><Relationship Id="rId594" Type="http://schemas.openxmlformats.org/officeDocument/2006/relationships/hyperlink" Target="http://turnertracker.com/data/extensions_data/tickets/3/e/a/0/2/1371292RD/ticket.jpg" TargetMode="External"/><Relationship Id="rId608" Type="http://schemas.openxmlformats.org/officeDocument/2006/relationships/hyperlink" Target="http://turnertracker.com/data/extensions_data/tickets/7/f/5/f/e/999410RD/ticket.jpg" TargetMode="External"/><Relationship Id="rId815" Type="http://schemas.openxmlformats.org/officeDocument/2006/relationships/hyperlink" Target="http://turnertracker.com/data/extensions_data/tickets/f/1/b/2/2/1356467RD/ticket.jpg" TargetMode="External"/><Relationship Id="rId247" Type="http://schemas.openxmlformats.org/officeDocument/2006/relationships/hyperlink" Target="http://turnertracker.com/data/extensions_data/tickets/c/7/1/1/8/1163646RD/ticket.jpg" TargetMode="External"/><Relationship Id="rId899" Type="http://schemas.openxmlformats.org/officeDocument/2006/relationships/hyperlink" Target="http://turnertracker.com/data/extensions_data/tickets/c/2/5/1/e/1419138RD/ticket.jpg" TargetMode="External"/><Relationship Id="rId1000" Type="http://schemas.openxmlformats.org/officeDocument/2006/relationships/hyperlink" Target="http://turnertracker.com/data/extensions_data/tickets/2/c/0/a/1/1130036RD/ticket.jpg" TargetMode="External"/><Relationship Id="rId1084" Type="http://schemas.openxmlformats.org/officeDocument/2006/relationships/hyperlink" Target="http://turnertracker.com/data/extensions_data/tickets/2/4/2/9/f/1246770RD/ticket.jpg" TargetMode="External"/><Relationship Id="rId107" Type="http://schemas.openxmlformats.org/officeDocument/2006/relationships/hyperlink" Target="http://turnertracker.com/data/extensions_data/tickets/4/4/5/2/2/999714RD/ticket.jpg" TargetMode="External"/><Relationship Id="rId454" Type="http://schemas.openxmlformats.org/officeDocument/2006/relationships/hyperlink" Target="http://turnertracker.com/data/extensions_data/tickets/e/a/9/4/5/1233076RD/ticket.jpg" TargetMode="External"/><Relationship Id="rId661" Type="http://schemas.openxmlformats.org/officeDocument/2006/relationships/hyperlink" Target="http://turnertracker.com/data/extensions_data/tickets/d/e/c/2/b/1107633RD/ticket.jpg" TargetMode="External"/><Relationship Id="rId759" Type="http://schemas.openxmlformats.org/officeDocument/2006/relationships/hyperlink" Target="http://turnertracker.com/data/extensions_data/tickets/c/5/b/f/0/1293476RD/ticket.jpg" TargetMode="External"/><Relationship Id="rId966" Type="http://schemas.openxmlformats.org/officeDocument/2006/relationships/hyperlink" Target="http://turnertracker.com/data/extensions_data/tickets/7/a/f/e/4/1059108RD/ticket.jpg" TargetMode="External"/><Relationship Id="rId11" Type="http://schemas.openxmlformats.org/officeDocument/2006/relationships/hyperlink" Target="http://turnertracker.com/data/extensions_data/tickets/1/a/0/0/6/1392479RD/ticket.jpg" TargetMode="External"/><Relationship Id="rId314" Type="http://schemas.openxmlformats.org/officeDocument/2006/relationships/hyperlink" Target="http://turnertracker.com/data/extensions_data/tickets/4/7/3/4/5/1261758RD/ticket.jpg" TargetMode="External"/><Relationship Id="rId398" Type="http://schemas.openxmlformats.org/officeDocument/2006/relationships/hyperlink" Target="http://turnertracker.com/data/extensions_data/tickets/8/8/9/9/4/1205037RD/ticket.jpg" TargetMode="External"/><Relationship Id="rId521" Type="http://schemas.openxmlformats.org/officeDocument/2006/relationships/hyperlink" Target="http://turnertracker.com/data/extensions_data/tickets/9/1/d/b/2/1274109RD/ticket.jpg" TargetMode="External"/><Relationship Id="rId619" Type="http://schemas.openxmlformats.org/officeDocument/2006/relationships/hyperlink" Target="http://turnertracker.com/data/extensions_data/tickets/b/6/5/f/4/1293480RD/ticket.jpg" TargetMode="External"/><Relationship Id="rId1151" Type="http://schemas.openxmlformats.org/officeDocument/2006/relationships/hyperlink" Target="http://turnertracker.com/data/extensions_data/tickets/3/d/6/3/4/1371287RD/ticket.jpg" TargetMode="External"/><Relationship Id="rId95" Type="http://schemas.openxmlformats.org/officeDocument/2006/relationships/hyperlink" Target="http://turnertracker.com/data/extensions_data/tickets/0/9/a/3/2/999694RD/ticket.jpg" TargetMode="External"/><Relationship Id="rId160" Type="http://schemas.openxmlformats.org/officeDocument/2006/relationships/hyperlink" Target="http://turnertracker.com/data/extensions_data/tickets/a/b/f/7/e/999839RD/ticket.jpg" TargetMode="External"/><Relationship Id="rId826" Type="http://schemas.openxmlformats.org/officeDocument/2006/relationships/hyperlink" Target="http://turnertracker.com/data/extensions_data/tickets/1/5/3/2/5/1371284RD/ticket.jpg" TargetMode="External"/><Relationship Id="rId1011" Type="http://schemas.openxmlformats.org/officeDocument/2006/relationships/hyperlink" Target="http://turnertracker.com/data/extensions_data/tickets/0/7/4/0/5/1154740RD/ticket.jpg" TargetMode="External"/><Relationship Id="rId1109" Type="http://schemas.openxmlformats.org/officeDocument/2006/relationships/hyperlink" Target="http://turnertracker.com/data/extensions_data/tickets/2/4/8/9/8/1274146RD/ticket.jpg" TargetMode="External"/><Relationship Id="rId258" Type="http://schemas.openxmlformats.org/officeDocument/2006/relationships/hyperlink" Target="http://turnertracker.com/data/extensions_data/tickets/4/a/d/2/5/1188060RD/ticket.jpg" TargetMode="External"/><Relationship Id="rId465" Type="http://schemas.openxmlformats.org/officeDocument/2006/relationships/hyperlink" Target="http://turnertracker.com/data/extensions_data/tickets/8/7/a/5/8/1246611RD/ticket.jpg" TargetMode="External"/><Relationship Id="rId672" Type="http://schemas.openxmlformats.org/officeDocument/2006/relationships/hyperlink" Target="http://turnertracker.com/data/extensions_data/tickets/2/8/1/6/b/1143066RD/ticket.jpg" TargetMode="External"/><Relationship Id="rId1095" Type="http://schemas.openxmlformats.org/officeDocument/2006/relationships/hyperlink" Target="http://turnertracker.com/data/extensions_data/tickets/0/c/3/5/e/1261719RD/ticket.jpg" TargetMode="External"/><Relationship Id="rId22" Type="http://schemas.openxmlformats.org/officeDocument/2006/relationships/hyperlink" Target="http://turnertracker.com/data/extensions_data/tickets/0/9/6/2/5/1092569RD/ticket.jpg" TargetMode="External"/><Relationship Id="rId118" Type="http://schemas.openxmlformats.org/officeDocument/2006/relationships/hyperlink" Target="http://turnertracker.com/data/extensions_data/tickets/d/5/2/4/5/999759RD/ticket.jpg" TargetMode="External"/><Relationship Id="rId325" Type="http://schemas.openxmlformats.org/officeDocument/2006/relationships/hyperlink" Target="http://turnertracker.com/data/extensions_data/tickets/b/9/3/0/3/1380076RD/ticket.jpg" TargetMode="External"/><Relationship Id="rId532" Type="http://schemas.openxmlformats.org/officeDocument/2006/relationships/hyperlink" Target="http://turnertracker.com/data/extensions_data/tickets/4/2/c/d/b/1274217RD/ticket.jpg" TargetMode="External"/><Relationship Id="rId977" Type="http://schemas.openxmlformats.org/officeDocument/2006/relationships/hyperlink" Target="http://turnertracker.com/data/extensions_data/tickets/4/4/6/8/0/1076885RD/ticket.jpg" TargetMode="External"/><Relationship Id="rId1162" Type="http://schemas.openxmlformats.org/officeDocument/2006/relationships/hyperlink" Target="http://turnertracker.com/data/extensions_data/tickets/1/4/1/f/4/1384124RD/ticket.jpg" TargetMode="External"/><Relationship Id="rId171" Type="http://schemas.openxmlformats.org/officeDocument/2006/relationships/hyperlink" Target="http://turnertracker.com/data/extensions_data/tickets/7/c/3/f/b/999860RD/ticket.jpg" TargetMode="External"/><Relationship Id="rId837" Type="http://schemas.openxmlformats.org/officeDocument/2006/relationships/hyperlink" Target="http://turnertracker.com/data/extensions_data/tickets/c/3/4/a/8/1384117RD/ticket.jpg" TargetMode="External"/><Relationship Id="rId1022" Type="http://schemas.openxmlformats.org/officeDocument/2006/relationships/hyperlink" Target="http://turnertracker.com/data/extensions_data/tickets/c/2/d/0/a/1165926RD/ticket.jpg" TargetMode="External"/><Relationship Id="rId269" Type="http://schemas.openxmlformats.org/officeDocument/2006/relationships/hyperlink" Target="http://turnertracker.com/data/extensions_data/tickets/8/7/b/6/7/1188101RD/ticket.jpg" TargetMode="External"/><Relationship Id="rId476" Type="http://schemas.openxmlformats.org/officeDocument/2006/relationships/hyperlink" Target="http://turnertracker.com/data/extensions_data/tickets/f/b/3/a/2/1261561RD/ticket.jpg" TargetMode="External"/><Relationship Id="rId683" Type="http://schemas.openxmlformats.org/officeDocument/2006/relationships/hyperlink" Target="http://turnertracker.com/data/extensions_data/tickets/4/b/7/f/0/1154741RD/ticket.jpg" TargetMode="External"/><Relationship Id="rId890" Type="http://schemas.openxmlformats.org/officeDocument/2006/relationships/hyperlink" Target="http://turnertracker.com/data/extensions_data/tickets/0/6/8/b/7/1419126RD/ticket.jpg" TargetMode="External"/><Relationship Id="rId904" Type="http://schemas.openxmlformats.org/officeDocument/2006/relationships/hyperlink" Target="http://turnertracker.com/data/extensions_data/tickets/9/3/1/1/0/1436046RD/ticket.jpg" TargetMode="External"/><Relationship Id="rId33" Type="http://schemas.openxmlformats.org/officeDocument/2006/relationships/hyperlink" Target="http://turnertracker.com/data/extensions_data/tickets/9/d/5/0/5/1092631RD/ticket.jpg" TargetMode="External"/><Relationship Id="rId129" Type="http://schemas.openxmlformats.org/officeDocument/2006/relationships/hyperlink" Target="http://turnertracker.com/data/extensions_data/tickets/f/1/7/3/3/999773RD/ticket.jpg" TargetMode="External"/><Relationship Id="rId336" Type="http://schemas.openxmlformats.org/officeDocument/2006/relationships/hyperlink" Target="http://turnertracker.com/data/extensions_data/tickets/6/5/0/d/7/1380273RD/ticket.jpg" TargetMode="External"/><Relationship Id="rId543" Type="http://schemas.openxmlformats.org/officeDocument/2006/relationships/hyperlink" Target="http://turnertracker.com/data/extensions_data/tickets/c/7/a/a/b/1308223RD/ticket.jpg" TargetMode="External"/><Relationship Id="rId988" Type="http://schemas.openxmlformats.org/officeDocument/2006/relationships/hyperlink" Target="http://turnertracker.com/data/extensions_data/tickets/2/e/c/e/9/1107617RD/ticket.jpg" TargetMode="External"/><Relationship Id="rId1173" Type="http://schemas.openxmlformats.org/officeDocument/2006/relationships/hyperlink" Target="http://turnertracker.com/data/extensions_data/tickets/1/3/6/d/e/1384146RD/ticket.jpg" TargetMode="External"/><Relationship Id="rId182" Type="http://schemas.openxmlformats.org/officeDocument/2006/relationships/hyperlink" Target="http://turnertracker.com/data/extensions_data/tickets/f/b/a/9/2/999887RD/ticket.jpg" TargetMode="External"/><Relationship Id="rId403" Type="http://schemas.openxmlformats.org/officeDocument/2006/relationships/hyperlink" Target="http://turnertracker.com/data/extensions_data/tickets/c/2/6/a/c/1205050RD/ticket.jpg" TargetMode="External"/><Relationship Id="rId750" Type="http://schemas.openxmlformats.org/officeDocument/2006/relationships/hyperlink" Target="http://turnertracker.com/data/extensions_data/tickets/e/b/a/d/1/1293453RD/ticket.jpg" TargetMode="External"/><Relationship Id="rId848" Type="http://schemas.openxmlformats.org/officeDocument/2006/relationships/hyperlink" Target="http://turnertracker.com/data/extensions_data/tickets/d/6/0/8/2/1384156RD/ticket.jpg" TargetMode="External"/><Relationship Id="rId1033" Type="http://schemas.openxmlformats.org/officeDocument/2006/relationships/hyperlink" Target="http://turnertracker.com/data/extensions_data/tickets/4/5/d/c/a/1182663RD/ticket.jpg" TargetMode="External"/><Relationship Id="rId487" Type="http://schemas.openxmlformats.org/officeDocument/2006/relationships/hyperlink" Target="http://turnertracker.com/data/extensions_data/tickets/1/3/4/1/0/1261572RD/ticket.jpg" TargetMode="External"/><Relationship Id="rId610" Type="http://schemas.openxmlformats.org/officeDocument/2006/relationships/hyperlink" Target="http://turnertracker.com/data/extensions_data/tickets/0/4/8/8/f/999416RD/ticket.jpg" TargetMode="External"/><Relationship Id="rId694" Type="http://schemas.openxmlformats.org/officeDocument/2006/relationships/hyperlink" Target="http://turnertracker.com/data/extensions_data/tickets/3/2/e/b/0/1205049RD/ticket.jpg" TargetMode="External"/><Relationship Id="rId708" Type="http://schemas.openxmlformats.org/officeDocument/2006/relationships/hyperlink" Target="http://turnertracker.com/data/extensions_data/tickets/b/f/0/2/e/1246519RD/ticket.jpg" TargetMode="External"/><Relationship Id="rId915" Type="http://schemas.openxmlformats.org/officeDocument/2006/relationships/hyperlink" Target="http://turnertracker.com/data/extensions_data/tickets/b/9/8/8/6/1436061RD/ticket.jpg" TargetMode="External"/><Relationship Id="rId347" Type="http://schemas.openxmlformats.org/officeDocument/2006/relationships/hyperlink" Target="http://turnertracker.com/data/extensions_data/tickets/2/5/9/3/4/1165876RD/ticket.jpg" TargetMode="External"/><Relationship Id="rId999" Type="http://schemas.openxmlformats.org/officeDocument/2006/relationships/hyperlink" Target="http://turnertracker.com/data/extensions_data/tickets/e/2/2/0/3/1130031RD/ticket.jpg" TargetMode="External"/><Relationship Id="rId1100" Type="http://schemas.openxmlformats.org/officeDocument/2006/relationships/hyperlink" Target="http://turnertracker.com/data/extensions_data/tickets/7/0/3/2/d/1273863RD/ticket.jpg" TargetMode="External"/><Relationship Id="rId1184" Type="http://schemas.openxmlformats.org/officeDocument/2006/relationships/hyperlink" Target="http://turnertracker.com/data/extensions_data/tickets/3/9/6/2/8/1419125RD/ticket.jpg" TargetMode="External"/><Relationship Id="rId44" Type="http://schemas.openxmlformats.org/officeDocument/2006/relationships/hyperlink" Target="http://turnertracker.com/data/extensions_data/tickets/c/f/f/1/c/999361RD/ticket.jpg" TargetMode="External"/><Relationship Id="rId554" Type="http://schemas.openxmlformats.org/officeDocument/2006/relationships/hyperlink" Target="http://turnertracker.com/data/extensions_data/tickets/0/a/f/c/c/1322866RD/ticket.jpg" TargetMode="External"/><Relationship Id="rId761" Type="http://schemas.openxmlformats.org/officeDocument/2006/relationships/hyperlink" Target="http://turnertracker.com/data/extensions_data/tickets/b/e/5/d/b/1293482RD/ticket.jpg" TargetMode="External"/><Relationship Id="rId859" Type="http://schemas.openxmlformats.org/officeDocument/2006/relationships/hyperlink" Target="http://turnertracker.com/data/extensions_data/tickets/6/5/1/0/a/1401121RD/ticket.jpg" TargetMode="External"/><Relationship Id="rId193" Type="http://schemas.openxmlformats.org/officeDocument/2006/relationships/hyperlink" Target="http://turnertracker.com/data/extensions_data/tickets/c/c/8/5/3/999915RD/ticket.jpg" TargetMode="External"/><Relationship Id="rId207" Type="http://schemas.openxmlformats.org/officeDocument/2006/relationships/hyperlink" Target="http://turnertracker.com/data/extensions_data/tickets/3/f/e/a/e/1000064RD/ticket.jpg" TargetMode="External"/><Relationship Id="rId414" Type="http://schemas.openxmlformats.org/officeDocument/2006/relationships/hyperlink" Target="http://turnertracker.com/data/extensions_data/tickets/e/1/f/2/c/1218845RD/ticket.jpg" TargetMode="External"/><Relationship Id="rId498" Type="http://schemas.openxmlformats.org/officeDocument/2006/relationships/hyperlink" Target="http://turnertracker.com/data/extensions_data/tickets/2/4/4/0/b/1261665RD/ticket.jpg" TargetMode="External"/><Relationship Id="rId621" Type="http://schemas.openxmlformats.org/officeDocument/2006/relationships/hyperlink" Target="http://turnertracker.com/data/extensions_data/tickets/e/f/3/d/4/1448966RD/ticket_file.pdf" TargetMode="External"/><Relationship Id="rId1044" Type="http://schemas.openxmlformats.org/officeDocument/2006/relationships/hyperlink" Target="http://turnertracker.com/data/extensions_data/tickets/c/b/b/b/4/1182781RD/ticket.jpg" TargetMode="External"/><Relationship Id="rId260" Type="http://schemas.openxmlformats.org/officeDocument/2006/relationships/hyperlink" Target="http://turnertracker.com/data/extensions_data/tickets/4/d/4/6/3/1188062RD/ticket.jpg" TargetMode="External"/><Relationship Id="rId719" Type="http://schemas.openxmlformats.org/officeDocument/2006/relationships/hyperlink" Target="http://turnertracker.com/data/extensions_data/tickets/a/f/1/b/1/1273845RD/ticket.jpg" TargetMode="External"/><Relationship Id="rId926" Type="http://schemas.openxmlformats.org/officeDocument/2006/relationships/hyperlink" Target="http://turnertracker.com/data/extensions_data/tickets/b/5/7/5/5/1475434RD/ticket.jpg" TargetMode="External"/><Relationship Id="rId1111" Type="http://schemas.openxmlformats.org/officeDocument/2006/relationships/hyperlink" Target="http://turnertracker.com/data/extensions_data/tickets/6/a/5/d/e/1274177RD/ticket.jpg" TargetMode="External"/><Relationship Id="rId55" Type="http://schemas.openxmlformats.org/officeDocument/2006/relationships/hyperlink" Target="http://turnertracker.com/data/extensions_data/tickets/9/0/3/d/b/999375RD/ticket.jpg" TargetMode="External"/><Relationship Id="rId120" Type="http://schemas.openxmlformats.org/officeDocument/2006/relationships/hyperlink" Target="http://turnertracker.com/data/extensions_data/tickets/a/1/4/d/8/999763RD/ticket.jpg" TargetMode="External"/><Relationship Id="rId358" Type="http://schemas.openxmlformats.org/officeDocument/2006/relationships/hyperlink" Target="http://turnertracker.com/data/extensions_data/tickets/0/2/3/1/2/1182670RD/ticket.jpg" TargetMode="External"/><Relationship Id="rId565" Type="http://schemas.openxmlformats.org/officeDocument/2006/relationships/hyperlink" Target="http://turnertracker.com/data/extensions_data/tickets/d/e/9/0/0/1337846RD/ticket.jpg" TargetMode="External"/><Relationship Id="rId772" Type="http://schemas.openxmlformats.org/officeDocument/2006/relationships/hyperlink" Target="http://turnertracker.com/data/extensions_data/tickets/b/5/6/6/9/1308191RD/ticket.jpg" TargetMode="External"/><Relationship Id="rId1195" Type="http://schemas.openxmlformats.org/officeDocument/2006/relationships/hyperlink" Target="http://turnertracker.com/data/extensions_data/tickets/2/4/7/c/f/1489697RD/ticket.jpg" TargetMode="External"/><Relationship Id="rId1209" Type="http://schemas.openxmlformats.org/officeDocument/2006/relationships/comments" Target="../comments1.xml"/><Relationship Id="rId218" Type="http://schemas.openxmlformats.org/officeDocument/2006/relationships/hyperlink" Target="http://turnertracker.com/data/extensions_data/tickets/b/d/7/c/6/1069260RD/ticket.jpg" TargetMode="External"/><Relationship Id="rId425" Type="http://schemas.openxmlformats.org/officeDocument/2006/relationships/hyperlink" Target="http://turnertracker.com/data/extensions_data/tickets/6/d/3/a/e/1219065RD/ticket.jpg" TargetMode="External"/><Relationship Id="rId632" Type="http://schemas.openxmlformats.org/officeDocument/2006/relationships/hyperlink" Target="http://turnertracker.com/data/extensions_data/tickets/6/8/d/a/5/1046191RD/ticket.jpg" TargetMode="External"/><Relationship Id="rId1055" Type="http://schemas.openxmlformats.org/officeDocument/2006/relationships/hyperlink" Target="http://turnertracker.com/data/extensions_data/tickets/2/0/7/3/6/1193707RD/ticket.jpg" TargetMode="External"/><Relationship Id="rId271" Type="http://schemas.openxmlformats.org/officeDocument/2006/relationships/hyperlink" Target="http://turnertracker.com/data/extensions_data/tickets/9/9/5/1/8/1193883RD/ticket.jpg" TargetMode="External"/><Relationship Id="rId937" Type="http://schemas.openxmlformats.org/officeDocument/2006/relationships/hyperlink" Target="http://turnertracker.com/data/extensions_data/tickets/4/0/9/0/0/1475488RD/ticket.jpg" TargetMode="External"/><Relationship Id="rId1122" Type="http://schemas.openxmlformats.org/officeDocument/2006/relationships/hyperlink" Target="http://turnertracker.com/data/extensions_data/tickets/a/c/c/a/5/1293451RD/ticket.jpg" TargetMode="External"/><Relationship Id="rId66" Type="http://schemas.openxmlformats.org/officeDocument/2006/relationships/hyperlink" Target="http://turnertracker.com/data/extensions_data/tickets/9/8/6/6/5/999388RD/ticket.jpg" TargetMode="External"/><Relationship Id="rId131" Type="http://schemas.openxmlformats.org/officeDocument/2006/relationships/hyperlink" Target="http://turnertracker.com/data/extensions_data/tickets/3/6/3/c/a/999777RD/ticket.jpg" TargetMode="External"/><Relationship Id="rId369" Type="http://schemas.openxmlformats.org/officeDocument/2006/relationships/hyperlink" Target="http://turnertracker.com/data/extensions_data/tickets/e/f/4/1/7/1182791RD/ticket.jpg" TargetMode="External"/><Relationship Id="rId576" Type="http://schemas.openxmlformats.org/officeDocument/2006/relationships/hyperlink" Target="http://turnertracker.com/data/extensions_data/tickets/3/e/6/8/4/1337861RD/ticket.jpg" TargetMode="External"/><Relationship Id="rId783" Type="http://schemas.openxmlformats.org/officeDocument/2006/relationships/hyperlink" Target="http://turnertracker.com/data/extensions_data/tickets/6/0/e/d/6/1308224RD/ticket.jpg" TargetMode="External"/><Relationship Id="rId990" Type="http://schemas.openxmlformats.org/officeDocument/2006/relationships/hyperlink" Target="http://turnertracker.com/data/extensions_data/tickets/f/b/1/9/9/1107622RD/ticket.jpg" TargetMode="External"/><Relationship Id="rId229" Type="http://schemas.openxmlformats.org/officeDocument/2006/relationships/hyperlink" Target="http://turnertracker.com/data/extensions_data/tickets/6/9/b/7/8/1069271RD/ticket.jpg" TargetMode="External"/><Relationship Id="rId436" Type="http://schemas.openxmlformats.org/officeDocument/2006/relationships/hyperlink" Target="http://turnertracker.com/data/extensions_data/tickets/8/f/3/6/4/1232862RD/ticket.jpg" TargetMode="External"/><Relationship Id="rId643" Type="http://schemas.openxmlformats.org/officeDocument/2006/relationships/hyperlink" Target="http://turnertracker.com/data/extensions_data/tickets/1/f/6/2/c/1068855RD/ticket.jpg" TargetMode="External"/><Relationship Id="rId1066" Type="http://schemas.openxmlformats.org/officeDocument/2006/relationships/hyperlink" Target="http://turnertracker.com/data/extensions_data/tickets/0/9/4/f/0/1232878RD/ticket.jpg" TargetMode="External"/><Relationship Id="rId850" Type="http://schemas.openxmlformats.org/officeDocument/2006/relationships/hyperlink" Target="http://turnertracker.com/data/extensions_data/tickets/e/d/5/d/f/1392451RD/ticket.jpg" TargetMode="External"/><Relationship Id="rId948" Type="http://schemas.openxmlformats.org/officeDocument/2006/relationships/hyperlink" Target="http://turnertracker.com/data/extensions_data/tickets/2/a/b/0/b/1022965RD/ticket.jpg" TargetMode="External"/><Relationship Id="rId1133" Type="http://schemas.openxmlformats.org/officeDocument/2006/relationships/hyperlink" Target="http://turnertracker.com/data/extensions_data/tickets/8/5/0/0/4/1308188RD/ticket.jpg" TargetMode="External"/><Relationship Id="rId77" Type="http://schemas.openxmlformats.org/officeDocument/2006/relationships/hyperlink" Target="http://turnertracker.com/data/extensions_data/tickets/4/3/8/4/4/999670RD/ticket.jpg" TargetMode="External"/><Relationship Id="rId282" Type="http://schemas.openxmlformats.org/officeDocument/2006/relationships/hyperlink" Target="http://turnertracker.com/data/extensions_data/tickets/7/3/b/d/a/1193904RD/ticket.jpg" TargetMode="External"/><Relationship Id="rId503" Type="http://schemas.openxmlformats.org/officeDocument/2006/relationships/hyperlink" Target="http://turnertracker.com/data/extensions_data/tickets/0/b/7/a/c/1261676RD/ticket.jpg" TargetMode="External"/><Relationship Id="rId587" Type="http://schemas.openxmlformats.org/officeDocument/2006/relationships/hyperlink" Target="http://turnertracker.com/data/extensions_data/tickets/2/6/4/a/1/1356464RD/ticket.jpg" TargetMode="External"/><Relationship Id="rId710" Type="http://schemas.openxmlformats.org/officeDocument/2006/relationships/hyperlink" Target="http://turnertracker.com/data/extensions_data/tickets/1/9/9/8/0/1246615RD/ticket.jpg" TargetMode="External"/><Relationship Id="rId808" Type="http://schemas.openxmlformats.org/officeDocument/2006/relationships/hyperlink" Target="http://turnertracker.com/data/extensions_data/tickets/8/f/3/b/7/1356456RD/ticket.jpg" TargetMode="External"/><Relationship Id="rId8" Type="http://schemas.openxmlformats.org/officeDocument/2006/relationships/hyperlink" Target="http://turnertracker.com/data/extensions_data/tickets/4/d/2/e/7/1392466RD/ticket.jpg" TargetMode="External"/><Relationship Id="rId142" Type="http://schemas.openxmlformats.org/officeDocument/2006/relationships/hyperlink" Target="http://turnertracker.com/data/extensions_data/tickets/1/a/e/b/1/999799RD/ticket.jpg" TargetMode="External"/><Relationship Id="rId447" Type="http://schemas.openxmlformats.org/officeDocument/2006/relationships/hyperlink" Target="http://turnertracker.com/data/extensions_data/tickets/5/0/1/d/b/1233054RD/ticket.jpg" TargetMode="External"/><Relationship Id="rId794" Type="http://schemas.openxmlformats.org/officeDocument/2006/relationships/hyperlink" Target="http://turnertracker.com/data/extensions_data/tickets/d/5/5/f/f/1322918RD/ticket.jpg" TargetMode="External"/><Relationship Id="rId1077" Type="http://schemas.openxmlformats.org/officeDocument/2006/relationships/hyperlink" Target="http://turnertracker.com/data/extensions_data/tickets/4/9/8/7/0/1246637RD/ticket.jpg" TargetMode="External"/><Relationship Id="rId1200" Type="http://schemas.openxmlformats.org/officeDocument/2006/relationships/hyperlink" Target="http://turnertracker.com/data/extensions_data/tickets/3/c/2/e/9/1356446RD/ticket.jpg" TargetMode="External"/><Relationship Id="rId654" Type="http://schemas.openxmlformats.org/officeDocument/2006/relationships/hyperlink" Target="http://turnertracker.com/data/extensions_data/tickets/b/1/8/3/2/1092507RD/ticket.jpg" TargetMode="External"/><Relationship Id="rId861" Type="http://schemas.openxmlformats.org/officeDocument/2006/relationships/hyperlink" Target="http://turnertracker.com/data/extensions_data/tickets/9/e/f/5/f/1401129RD/ticket.jpg" TargetMode="External"/><Relationship Id="rId959" Type="http://schemas.openxmlformats.org/officeDocument/2006/relationships/hyperlink" Target="http://turnertracker.com/data/extensions_data/tickets/c/e/3/5/0/1059100RD/ticket.jpg" TargetMode="External"/><Relationship Id="rId293" Type="http://schemas.openxmlformats.org/officeDocument/2006/relationships/hyperlink" Target="http://turnertracker.com/data/extensions_data/tickets/5/8/c/3/8/1193934RD/ticket.jpg" TargetMode="External"/><Relationship Id="rId307" Type="http://schemas.openxmlformats.org/officeDocument/2006/relationships/hyperlink" Target="http://turnertracker.com/data/extensions_data/tickets/7/f/a/5/0/1194131RD/ticket.jpg" TargetMode="External"/><Relationship Id="rId514" Type="http://schemas.openxmlformats.org/officeDocument/2006/relationships/hyperlink" Target="http://turnertracker.com/data/extensions_data/tickets/0/c/6/e/f/1273869RD/ticket.jpg" TargetMode="External"/><Relationship Id="rId721" Type="http://schemas.openxmlformats.org/officeDocument/2006/relationships/hyperlink" Target="http://turnertracker.com/data/extensions_data/tickets/9/1/1/7/c/1273868RD/ticket.jpg" TargetMode="External"/><Relationship Id="rId1144" Type="http://schemas.openxmlformats.org/officeDocument/2006/relationships/hyperlink" Target="http://turnertracker.com/data/extensions_data/tickets/a/7/a/7/4/1356462RD/ticket.jpg" TargetMode="External"/><Relationship Id="rId88" Type="http://schemas.openxmlformats.org/officeDocument/2006/relationships/hyperlink" Target="http://turnertracker.com/data/extensions_data/tickets/5/d/f/7/9/999685RD/ticket.jpg" TargetMode="External"/><Relationship Id="rId153" Type="http://schemas.openxmlformats.org/officeDocument/2006/relationships/hyperlink" Target="http://turnertracker.com/data/extensions_data/tickets/0/a/5/7/7/999822RD/ticket.jpg" TargetMode="External"/><Relationship Id="rId360" Type="http://schemas.openxmlformats.org/officeDocument/2006/relationships/hyperlink" Target="http://turnertracker.com/data/extensions_data/tickets/7/2/7/3/8/1182675RD/ticket.jpg" TargetMode="External"/><Relationship Id="rId598" Type="http://schemas.openxmlformats.org/officeDocument/2006/relationships/hyperlink" Target="http://turnertracker.com/data/extensions_data/tickets/4/d/b/1/8/1384143RD/ticket.jpg" TargetMode="External"/><Relationship Id="rId819" Type="http://schemas.openxmlformats.org/officeDocument/2006/relationships/hyperlink" Target="http://turnertracker.com/data/extensions_data/tickets/8/7/3/d/5/1371208RD/ticket.jpg" TargetMode="External"/><Relationship Id="rId1004" Type="http://schemas.openxmlformats.org/officeDocument/2006/relationships/hyperlink" Target="http://turnertracker.com/data/extensions_data/tickets/8/d/c/2/b/1143065RD/ticket.jpg" TargetMode="External"/><Relationship Id="rId220" Type="http://schemas.openxmlformats.org/officeDocument/2006/relationships/hyperlink" Target="http://turnertracker.com/data/extensions_data/tickets/4/5/3/7/f/1069262RD/ticket.jpg" TargetMode="External"/><Relationship Id="rId458" Type="http://schemas.openxmlformats.org/officeDocument/2006/relationships/hyperlink" Target="http://turnertracker.com/data/extensions_data/tickets/1/2/3/f/3/1246460RD/ticket.jpg" TargetMode="External"/><Relationship Id="rId665" Type="http://schemas.openxmlformats.org/officeDocument/2006/relationships/hyperlink" Target="http://turnertracker.com/data/extensions_data/tickets/6/0/a/e/9/1120145RD/ticket.jpg" TargetMode="External"/><Relationship Id="rId872" Type="http://schemas.openxmlformats.org/officeDocument/2006/relationships/hyperlink" Target="http://turnertracker.com/data/extensions_data/tickets/7/e/0/e/d/1401272RD/ticket.jpg" TargetMode="External"/><Relationship Id="rId1088" Type="http://schemas.openxmlformats.org/officeDocument/2006/relationships/hyperlink" Target="http://turnertracker.com/data/extensions_data/tickets/4/5/b/5/3/1261575RD/ticket.jpg" TargetMode="External"/><Relationship Id="rId15" Type="http://schemas.openxmlformats.org/officeDocument/2006/relationships/hyperlink" Target="http://turnertracker.com/data/extensions_data/tickets/1/f/6/d/0/1436282RD/ticket.jpg" TargetMode="External"/><Relationship Id="rId318" Type="http://schemas.openxmlformats.org/officeDocument/2006/relationships/hyperlink" Target="http://turnertracker.com/data/extensions_data/tickets/e/f/1/e/e/1310071RD/ticket.jpg" TargetMode="External"/><Relationship Id="rId525" Type="http://schemas.openxmlformats.org/officeDocument/2006/relationships/hyperlink" Target="http://turnertracker.com/data/extensions_data/tickets/d/7/e/3/2/1274147RD/ticket.jpg" TargetMode="External"/><Relationship Id="rId732" Type="http://schemas.openxmlformats.org/officeDocument/2006/relationships/hyperlink" Target="http://turnertracker.com/data/extensions_data/tickets/0/0/a/8/4/1293405RD/ticket.jpg" TargetMode="External"/><Relationship Id="rId1155" Type="http://schemas.openxmlformats.org/officeDocument/2006/relationships/hyperlink" Target="http://turnertracker.com/data/extensions_data/tickets/6/5/5/5/8/1371297RD/ticket.jpg" TargetMode="External"/><Relationship Id="rId99" Type="http://schemas.openxmlformats.org/officeDocument/2006/relationships/hyperlink" Target="http://turnertracker.com/data/extensions_data/tickets/6/3/3/4/e/999701RD/ticket.jpg" TargetMode="External"/><Relationship Id="rId164" Type="http://schemas.openxmlformats.org/officeDocument/2006/relationships/hyperlink" Target="http://turnertracker.com/data/extensions_data/tickets/7/7/0/b/9/999851RD/ticket.jpg" TargetMode="External"/><Relationship Id="rId371" Type="http://schemas.openxmlformats.org/officeDocument/2006/relationships/hyperlink" Target="http://turnertracker.com/data/extensions_data/tickets/5/8/2/7/9/1193663RD/ticket.jpg" TargetMode="External"/><Relationship Id="rId1015" Type="http://schemas.openxmlformats.org/officeDocument/2006/relationships/hyperlink" Target="http://turnertracker.com/data/extensions_data/tickets/a/0/8/0/2/1165877RD/ticket.jpg" TargetMode="External"/><Relationship Id="rId469" Type="http://schemas.openxmlformats.org/officeDocument/2006/relationships/hyperlink" Target="http://turnertracker.com/data/extensions_data/tickets/d/7/0/c/6/1246633RD/ticket.jpg" TargetMode="External"/><Relationship Id="rId676" Type="http://schemas.openxmlformats.org/officeDocument/2006/relationships/hyperlink" Target="http://turnertracker.com/data/extensions_data/tickets/f/6/c/9/6/1152824RD/ticket.jpg" TargetMode="External"/><Relationship Id="rId883" Type="http://schemas.openxmlformats.org/officeDocument/2006/relationships/hyperlink" Target="http://turnertracker.com/data/extensions_data/tickets/2/8/3/3/d/1417106RD/ticket.jpg" TargetMode="External"/><Relationship Id="rId1099" Type="http://schemas.openxmlformats.org/officeDocument/2006/relationships/hyperlink" Target="http://turnertracker.com/data/extensions_data/tickets/b/5/6/d/8/1273850RD/ticket.jpg" TargetMode="External"/><Relationship Id="rId26" Type="http://schemas.openxmlformats.org/officeDocument/2006/relationships/hyperlink" Target="http://turnertracker.com/data/extensions_data/tickets/d/f/9/1/6/1092586RD/ticket.jpg" TargetMode="External"/><Relationship Id="rId231" Type="http://schemas.openxmlformats.org/officeDocument/2006/relationships/hyperlink" Target="http://turnertracker.com/data/extensions_data/tickets/9/2/4/9/d/1089155RD/ticket.jpg" TargetMode="External"/><Relationship Id="rId329" Type="http://schemas.openxmlformats.org/officeDocument/2006/relationships/hyperlink" Target="http://turnertracker.com/data/extensions_data/tickets/1/1/b/1/4/1380190RD/ticket.jpg" TargetMode="External"/><Relationship Id="rId536" Type="http://schemas.openxmlformats.org/officeDocument/2006/relationships/hyperlink" Target="http://turnertracker.com/data/extensions_data/tickets/9/6/6/8/b/1308184RD/ticket.jpg" TargetMode="External"/><Relationship Id="rId1166" Type="http://schemas.openxmlformats.org/officeDocument/2006/relationships/hyperlink" Target="http://turnertracker.com/data/extensions_data/tickets/e/1/5/e/d/1384130RD/ticket.jpg" TargetMode="External"/><Relationship Id="rId175" Type="http://schemas.openxmlformats.org/officeDocument/2006/relationships/hyperlink" Target="http://turnertracker.com/data/extensions_data/tickets/8/8/9/2/2/999867RD/ticket.jpg" TargetMode="External"/><Relationship Id="rId743" Type="http://schemas.openxmlformats.org/officeDocument/2006/relationships/hyperlink" Target="http://turnertracker.com/data/extensions_data/tickets/8/6/0/b/6/1293432RD/ticket.jpg" TargetMode="External"/><Relationship Id="rId950" Type="http://schemas.openxmlformats.org/officeDocument/2006/relationships/hyperlink" Target="http://turnertracker.com/data/extensions_data/tickets/a/7/9/5/0/1022969RD/ticket.jpg" TargetMode="External"/><Relationship Id="rId1026" Type="http://schemas.openxmlformats.org/officeDocument/2006/relationships/hyperlink" Target="http://turnertracker.com/data/extensions_data/tickets/b/2/d/7/3/1182625RD/ticket.jpg" TargetMode="External"/><Relationship Id="rId382" Type="http://schemas.openxmlformats.org/officeDocument/2006/relationships/hyperlink" Target="http://turnertracker.com/data/extensions_data/tickets/5/8/3/b/6/1193699RD/ticket.jpg" TargetMode="External"/><Relationship Id="rId603" Type="http://schemas.openxmlformats.org/officeDocument/2006/relationships/hyperlink" Target="http://turnertracker.com/data/extensions_data/tickets/6/6/a/7/0/1401219RD/ticket.jpg" TargetMode="External"/><Relationship Id="rId687" Type="http://schemas.openxmlformats.org/officeDocument/2006/relationships/hyperlink" Target="http://turnertracker.com/data/extensions_data/tickets/e/0/5/5/d/1182626RD/ticket.jpg" TargetMode="External"/><Relationship Id="rId810" Type="http://schemas.openxmlformats.org/officeDocument/2006/relationships/hyperlink" Target="http://turnertracker.com/data/extensions_data/tickets/2/2/c/d/e/1356458RD/ticket.jpg" TargetMode="External"/><Relationship Id="rId908" Type="http://schemas.openxmlformats.org/officeDocument/2006/relationships/hyperlink" Target="http://turnertracker.com/data/extensions_data/tickets/3/c/3/e/1/1436052RD/ticket.jpg" TargetMode="External"/><Relationship Id="rId242" Type="http://schemas.openxmlformats.org/officeDocument/2006/relationships/hyperlink" Target="http://turnertracker.com/data/extensions_data/tickets/3/0/6/1/4/1101925RD/ticket.jpg" TargetMode="External"/><Relationship Id="rId894" Type="http://schemas.openxmlformats.org/officeDocument/2006/relationships/hyperlink" Target="http://turnertracker.com/data/extensions_data/tickets/8/4/3/5/1/1419133RD/ticket.jpg" TargetMode="External"/><Relationship Id="rId1177" Type="http://schemas.openxmlformats.org/officeDocument/2006/relationships/hyperlink" Target="http://turnertracker.com/data/extensions_data/tickets/2/4/0/8/3/1401120RD/ticket.jpg" TargetMode="External"/><Relationship Id="rId37" Type="http://schemas.openxmlformats.org/officeDocument/2006/relationships/hyperlink" Target="http://turnertracker.com/data/extensions_data/tickets/2/5/4/d/c/1120149RD/ticket.jpg" TargetMode="External"/><Relationship Id="rId102" Type="http://schemas.openxmlformats.org/officeDocument/2006/relationships/hyperlink" Target="http://turnertracker.com/data/extensions_data/tickets/b/c/b/8/4/999707RD/ticket.jpg" TargetMode="External"/><Relationship Id="rId547" Type="http://schemas.openxmlformats.org/officeDocument/2006/relationships/hyperlink" Target="http://turnertracker.com/data/extensions_data/tickets/d/5/f/7/6/1322835RD/ticket.jpg" TargetMode="External"/><Relationship Id="rId754" Type="http://schemas.openxmlformats.org/officeDocument/2006/relationships/hyperlink" Target="http://turnertracker.com/data/extensions_data/tickets/7/3/7/4/1/1293462RD/ticket.jpg" TargetMode="External"/><Relationship Id="rId961" Type="http://schemas.openxmlformats.org/officeDocument/2006/relationships/hyperlink" Target="http://turnertracker.com/data/extensions_data/tickets/6/6/a/c/5/1059102RD/ticket.jpg" TargetMode="External"/><Relationship Id="rId90" Type="http://schemas.openxmlformats.org/officeDocument/2006/relationships/hyperlink" Target="http://turnertracker.com/data/extensions_data/tickets/7/9/4/a/1/999687RD/ticket.jpg" TargetMode="External"/><Relationship Id="rId186" Type="http://schemas.openxmlformats.org/officeDocument/2006/relationships/hyperlink" Target="http://turnertracker.com/data/extensions_data/tickets/f/5/9/c/0/999897RD/ticket.jpg" TargetMode="External"/><Relationship Id="rId393" Type="http://schemas.openxmlformats.org/officeDocument/2006/relationships/hyperlink" Target="http://turnertracker.com/data/extensions_data/tickets/7/7/b/8/e/1193742RD/ticket.jpg" TargetMode="External"/><Relationship Id="rId407" Type="http://schemas.openxmlformats.org/officeDocument/2006/relationships/hyperlink" Target="http://turnertracker.com/data/extensions_data/tickets/8/e/2/e/3/1205054RD/ticket.jpg" TargetMode="External"/><Relationship Id="rId614" Type="http://schemas.openxmlformats.org/officeDocument/2006/relationships/hyperlink" Target="http://turnertracker.com/data/extensions_data/tickets/9/6/c/6/7/999422RD/ticket.jpg" TargetMode="External"/><Relationship Id="rId821" Type="http://schemas.openxmlformats.org/officeDocument/2006/relationships/hyperlink" Target="http://turnertracker.com/data/extensions_data/tickets/9/3/3/b/e/1371211RD/ticket.jpg" TargetMode="External"/><Relationship Id="rId1037" Type="http://schemas.openxmlformats.org/officeDocument/2006/relationships/hyperlink" Target="http://turnertracker.com/data/extensions_data/tickets/3/9/0/0/8/1182754RD/ticket.jpg" TargetMode="External"/><Relationship Id="rId253" Type="http://schemas.openxmlformats.org/officeDocument/2006/relationships/hyperlink" Target="http://turnertracker.com/data/extensions_data/tickets/6/b/f/2/b/1188014RD/ticket.jpg" TargetMode="External"/><Relationship Id="rId460" Type="http://schemas.openxmlformats.org/officeDocument/2006/relationships/hyperlink" Target="http://turnertracker.com/data/extensions_data/tickets/4/f/2/8/8/1246470RD/ticket.jpg" TargetMode="External"/><Relationship Id="rId698" Type="http://schemas.openxmlformats.org/officeDocument/2006/relationships/hyperlink" Target="http://turnertracker.com/data/extensions_data/tickets/e/b/a/d/c/1219057RD/ticket.jpg" TargetMode="External"/><Relationship Id="rId919" Type="http://schemas.openxmlformats.org/officeDocument/2006/relationships/hyperlink" Target="http://turnertracker.com/data/extensions_data/tickets/e/e/9/0/7/1458034RD/ticket.jpg" TargetMode="External"/><Relationship Id="rId1090" Type="http://schemas.openxmlformats.org/officeDocument/2006/relationships/hyperlink" Target="http://turnertracker.com/data/extensions_data/tickets/a/9/6/7/5/1261581RD/ticket.jpg" TargetMode="External"/><Relationship Id="rId1104" Type="http://schemas.openxmlformats.org/officeDocument/2006/relationships/hyperlink" Target="http://turnertracker.com/data/extensions_data/tickets/0/d/b/f/a/1273879RD/ticket.jpg" TargetMode="External"/><Relationship Id="rId48" Type="http://schemas.openxmlformats.org/officeDocument/2006/relationships/hyperlink" Target="http://turnertracker.com/data/extensions_data/tickets/5/a/9/6/7/999366RD/ticket.jpg" TargetMode="External"/><Relationship Id="rId113" Type="http://schemas.openxmlformats.org/officeDocument/2006/relationships/hyperlink" Target="http://turnertracker.com/data/extensions_data/tickets/9/2/0/7/3/999752RD/ticket.jpg" TargetMode="External"/><Relationship Id="rId320" Type="http://schemas.openxmlformats.org/officeDocument/2006/relationships/hyperlink" Target="http://turnertracker.com/data/extensions_data/tickets/8/c/3/3/1/1310073RD/ticket.jpg" TargetMode="External"/><Relationship Id="rId558" Type="http://schemas.openxmlformats.org/officeDocument/2006/relationships/hyperlink" Target="http://turnertracker.com/data/extensions_data/tickets/9/d/c/1/8/1322896RD/ticket.jpg" TargetMode="External"/><Relationship Id="rId765" Type="http://schemas.openxmlformats.org/officeDocument/2006/relationships/hyperlink" Target="http://turnertracker.com/data/extensions_data/tickets/3/c/b/d/4/1308176RD/ticket.jpg" TargetMode="External"/><Relationship Id="rId972" Type="http://schemas.openxmlformats.org/officeDocument/2006/relationships/hyperlink" Target="http://turnertracker.com/data/extensions_data/tickets/4/5/c/f/d/1068854RD/ticket.jpg" TargetMode="External"/><Relationship Id="rId1188" Type="http://schemas.openxmlformats.org/officeDocument/2006/relationships/hyperlink" Target="http://turnertracker.com/data/extensions_data/tickets/f/c/d/5/f/1436047RD/ticket.jpg" TargetMode="External"/><Relationship Id="rId197" Type="http://schemas.openxmlformats.org/officeDocument/2006/relationships/hyperlink" Target="http://turnertracker.com/data/extensions_data/tickets/1/5/2/1/b/999925RD/ticket.jpg" TargetMode="External"/><Relationship Id="rId418" Type="http://schemas.openxmlformats.org/officeDocument/2006/relationships/hyperlink" Target="http://turnertracker.com/data/extensions_data/tickets/4/b/7/1/6/1219053RD/ticket.jpg" TargetMode="External"/><Relationship Id="rId625" Type="http://schemas.openxmlformats.org/officeDocument/2006/relationships/hyperlink" Target="http://turnertracker.com/data/extensions_data/tickets/0/7/8/0/b/983488RD/ticket.jpg" TargetMode="External"/><Relationship Id="rId832" Type="http://schemas.openxmlformats.org/officeDocument/2006/relationships/hyperlink" Target="http://turnertracker.com/data/extensions_data/tickets/0/c/2/2/d/1380219RD/ticket.jpg" TargetMode="External"/><Relationship Id="rId1048" Type="http://schemas.openxmlformats.org/officeDocument/2006/relationships/hyperlink" Target="http://turnertracker.com/data/extensions_data/tickets/e/4/a/7/3/1188426RD/ticket.jpg" TargetMode="External"/><Relationship Id="rId264" Type="http://schemas.openxmlformats.org/officeDocument/2006/relationships/hyperlink" Target="http://turnertracker.com/data/extensions_data/tickets/b/6/d/7/5/1188090RD/ticket.jpg" TargetMode="External"/><Relationship Id="rId471" Type="http://schemas.openxmlformats.org/officeDocument/2006/relationships/hyperlink" Target="http://turnertracker.com/data/extensions_data/tickets/2/8/0/e/a/1246646RD/ticket.jpg" TargetMode="External"/><Relationship Id="rId1115" Type="http://schemas.openxmlformats.org/officeDocument/2006/relationships/hyperlink" Target="http://turnertracker.com/data/extensions_data/tickets/6/b/9/2/f/1274219RD/ticket.jpg" TargetMode="External"/><Relationship Id="rId59" Type="http://schemas.openxmlformats.org/officeDocument/2006/relationships/hyperlink" Target="http://turnertracker.com/data/extensions_data/tickets/4/b/6/5/a/999380RD/ticket.jpg" TargetMode="External"/><Relationship Id="rId124" Type="http://schemas.openxmlformats.org/officeDocument/2006/relationships/hyperlink" Target="http://turnertracker.com/data/extensions_data/tickets/2/0/6/a/9/999767RD/ticket.jpg" TargetMode="External"/><Relationship Id="rId569" Type="http://schemas.openxmlformats.org/officeDocument/2006/relationships/hyperlink" Target="http://turnertracker.com/data/extensions_data/tickets/f/3/5/9/3/1337854RD/ticket.jpg" TargetMode="External"/><Relationship Id="rId776" Type="http://schemas.openxmlformats.org/officeDocument/2006/relationships/hyperlink" Target="http://turnertracker.com/data/extensions_data/tickets/5/4/e/1/8/1308197RD/ticket.jpg" TargetMode="External"/><Relationship Id="rId983" Type="http://schemas.openxmlformats.org/officeDocument/2006/relationships/hyperlink" Target="http://turnertracker.com/data/extensions_data/tickets/e/f/0/2/8/1092505RD/ticket.jpg" TargetMode="External"/><Relationship Id="rId1199" Type="http://schemas.openxmlformats.org/officeDocument/2006/relationships/hyperlink" Target="http://turnertracker.com/data/extensions_data/tickets/0/b/5/c/c/1152835RD/ticket.jpg" TargetMode="External"/><Relationship Id="rId331" Type="http://schemas.openxmlformats.org/officeDocument/2006/relationships/hyperlink" Target="http://turnertracker.com/data/extensions_data/tickets/6/c/8/2/2/1380206RD/ticket.jpg" TargetMode="External"/><Relationship Id="rId429" Type="http://schemas.openxmlformats.org/officeDocument/2006/relationships/hyperlink" Target="http://turnertracker.com/data/extensions_data/tickets/6/3/f/6/d/1219070RD/ticket.jpg" TargetMode="External"/><Relationship Id="rId636" Type="http://schemas.openxmlformats.org/officeDocument/2006/relationships/hyperlink" Target="http://turnertracker.com/data/extensions_data/tickets/e/d/b/9/d/1059112RD/ticket.jpg" TargetMode="External"/><Relationship Id="rId1059" Type="http://schemas.openxmlformats.org/officeDocument/2006/relationships/hyperlink" Target="http://turnertracker.com/data/extensions_data/tickets/b/2/f/8/7/1205031RD/ticket.jpg" TargetMode="External"/><Relationship Id="rId843" Type="http://schemas.openxmlformats.org/officeDocument/2006/relationships/hyperlink" Target="http://turnertracker.com/data/extensions_data/tickets/9/0/d/b/8/1384148RD/ticket.jpg" TargetMode="External"/><Relationship Id="rId1126" Type="http://schemas.openxmlformats.org/officeDocument/2006/relationships/hyperlink" Target="http://turnertracker.com/data/extensions_data/tickets/2/3/a/5/2/1293473RD/ticket.jpg" TargetMode="External"/><Relationship Id="rId275" Type="http://schemas.openxmlformats.org/officeDocument/2006/relationships/hyperlink" Target="http://turnertracker.com/data/extensions_data/tickets/a/6/0/2/b/1193890RD/ticket.jpg" TargetMode="External"/><Relationship Id="rId482" Type="http://schemas.openxmlformats.org/officeDocument/2006/relationships/hyperlink" Target="http://turnertracker.com/data/extensions_data/tickets/2/d/a/f/4/1261567RD/ticket.jpg" TargetMode="External"/><Relationship Id="rId703" Type="http://schemas.openxmlformats.org/officeDocument/2006/relationships/hyperlink" Target="http://turnertracker.com/data/extensions_data/tickets/5/1/0/d/4/1232865RD/ticket.jpg" TargetMode="External"/><Relationship Id="rId910" Type="http://schemas.openxmlformats.org/officeDocument/2006/relationships/hyperlink" Target="http://turnertracker.com/data/extensions_data/tickets/9/b/d/e/6/1436056RD/ticket.jpg" TargetMode="External"/><Relationship Id="rId135" Type="http://schemas.openxmlformats.org/officeDocument/2006/relationships/hyperlink" Target="http://turnertracker.com/data/extensions_data/tickets/2/f/7/b/b/999785RD/ticket.jpg" TargetMode="External"/><Relationship Id="rId342" Type="http://schemas.openxmlformats.org/officeDocument/2006/relationships/hyperlink" Target="http://turnertracker.com/data/extensions_data/tickets/0/b/e/1/f/1436054RD/ticket.jpg" TargetMode="External"/><Relationship Id="rId787" Type="http://schemas.openxmlformats.org/officeDocument/2006/relationships/hyperlink" Target="http://turnertracker.com/data/extensions_data/tickets/a/3/e/a/a/1322850RD/ticket.jpg" TargetMode="External"/><Relationship Id="rId994" Type="http://schemas.openxmlformats.org/officeDocument/2006/relationships/hyperlink" Target="http://turnertracker.com/data/extensions_data/tickets/b/a/c/e/1/1107635RD/ticket.jpg" TargetMode="External"/><Relationship Id="rId202" Type="http://schemas.openxmlformats.org/officeDocument/2006/relationships/hyperlink" Target="http://turnertracker.com/data/extensions_data/tickets/b/0/a/b/4/1000047RD/ticket.jpg" TargetMode="External"/><Relationship Id="rId647" Type="http://schemas.openxmlformats.org/officeDocument/2006/relationships/hyperlink" Target="http://turnertracker.com/data/extensions_data/tickets/e/b/c/4/2/1076883RD/ticket.jpg" TargetMode="External"/><Relationship Id="rId854" Type="http://schemas.openxmlformats.org/officeDocument/2006/relationships/hyperlink" Target="http://turnertracker.com/data/extensions_data/tickets/0/0/4/b/9/1392463RD/ticket.jpg" TargetMode="External"/><Relationship Id="rId286" Type="http://schemas.openxmlformats.org/officeDocument/2006/relationships/hyperlink" Target="http://turnertracker.com/data/extensions_data/tickets/e/c/4/9/6/1193916RD/ticket.jpg" TargetMode="External"/><Relationship Id="rId493" Type="http://schemas.openxmlformats.org/officeDocument/2006/relationships/hyperlink" Target="http://turnertracker.com/data/extensions_data/tickets/a/6/7/a/f/1261584RD/ticket.jpg" TargetMode="External"/><Relationship Id="rId507" Type="http://schemas.openxmlformats.org/officeDocument/2006/relationships/hyperlink" Target="http://turnertracker.com/data/extensions_data/tickets/4/6/0/3/c/1261734RD/ticket.jpg" TargetMode="External"/><Relationship Id="rId714" Type="http://schemas.openxmlformats.org/officeDocument/2006/relationships/hyperlink" Target="http://turnertracker.com/data/extensions_data/tickets/1/d/f/4/2/1261656RD/ticket.jpg" TargetMode="External"/><Relationship Id="rId921" Type="http://schemas.openxmlformats.org/officeDocument/2006/relationships/hyperlink" Target="http://turnertracker.com/data/extensions_data/tickets/6/5/4/7/3/1458036RD/ticket.jpg" TargetMode="External"/><Relationship Id="rId1137" Type="http://schemas.openxmlformats.org/officeDocument/2006/relationships/hyperlink" Target="http://turnertracker.com/data/extensions_data/tickets/3/c/e/8/a/1308203RD/ticket.jpg" TargetMode="External"/><Relationship Id="rId50" Type="http://schemas.openxmlformats.org/officeDocument/2006/relationships/hyperlink" Target="http://turnertracker.com/data/extensions_data/tickets/2/c/2/a/6/999370RD/ticket.jpg" TargetMode="External"/><Relationship Id="rId146" Type="http://schemas.openxmlformats.org/officeDocument/2006/relationships/hyperlink" Target="http://turnertracker.com/data/extensions_data/tickets/2/8/d/e/4/999805RD/ticket.jpg" TargetMode="External"/><Relationship Id="rId353" Type="http://schemas.openxmlformats.org/officeDocument/2006/relationships/hyperlink" Target="http://turnertracker.com/data/extensions_data/tickets/d/4/6/f/e/1182634RD/ticket.jpg" TargetMode="External"/><Relationship Id="rId560" Type="http://schemas.openxmlformats.org/officeDocument/2006/relationships/hyperlink" Target="http://turnertracker.com/data/extensions_data/tickets/e/b/3/6/e/1322907RD/ticket.jpg" TargetMode="External"/><Relationship Id="rId798" Type="http://schemas.openxmlformats.org/officeDocument/2006/relationships/hyperlink" Target="http://turnertracker.com/data/extensions_data/tickets/c/4/4/9/4/1337841RD/ticket.jpg" TargetMode="External"/><Relationship Id="rId1190" Type="http://schemas.openxmlformats.org/officeDocument/2006/relationships/hyperlink" Target="http://turnertracker.com/data/extensions_data/tickets/0/c/5/3/c/1436064RD/ticket.jpg" TargetMode="External"/><Relationship Id="rId1204" Type="http://schemas.openxmlformats.org/officeDocument/2006/relationships/hyperlink" Target="http://turnertracker.com/data/extensions_data/tickets/6/1/3/7/1/1165885RD/ticket.jpg" TargetMode="External"/><Relationship Id="rId213" Type="http://schemas.openxmlformats.org/officeDocument/2006/relationships/hyperlink" Target="http://turnertracker.com/data/extensions_data/tickets/8/d/1/7/4/1069255RD/ticket.jpg" TargetMode="External"/><Relationship Id="rId420" Type="http://schemas.openxmlformats.org/officeDocument/2006/relationships/hyperlink" Target="http://turnertracker.com/data/extensions_data/tickets/7/0/f/9/e/1219055RD/ticket.jpg" TargetMode="External"/><Relationship Id="rId658" Type="http://schemas.openxmlformats.org/officeDocument/2006/relationships/hyperlink" Target="http://turnertracker.com/data/extensions_data/tickets/8/9/c/1/3/1107627RD/ticket.jpg" TargetMode="External"/><Relationship Id="rId865" Type="http://schemas.openxmlformats.org/officeDocument/2006/relationships/hyperlink" Target="http://turnertracker.com/data/extensions_data/tickets/d/4/3/2/e/1401135RD/ticket.jpg" TargetMode="External"/><Relationship Id="rId1050" Type="http://schemas.openxmlformats.org/officeDocument/2006/relationships/hyperlink" Target="http://turnertracker.com/data/extensions_data/tickets/e/3/5/0/7/1193658RD/ticket.jpg" TargetMode="External"/><Relationship Id="rId297" Type="http://schemas.openxmlformats.org/officeDocument/2006/relationships/hyperlink" Target="http://turnertracker.com/data/extensions_data/tickets/a/b/7/2/3/1193943RD/ticket.jpg" TargetMode="External"/><Relationship Id="rId518" Type="http://schemas.openxmlformats.org/officeDocument/2006/relationships/hyperlink" Target="http://turnertracker.com/data/extensions_data/tickets/2/d/c/6/c/1273875RD/ticket.jpg" TargetMode="External"/><Relationship Id="rId725" Type="http://schemas.openxmlformats.org/officeDocument/2006/relationships/hyperlink" Target="http://turnertracker.com/data/extensions_data/tickets/4/6/4/a/d/1274175RD/ticket.jpg" TargetMode="External"/><Relationship Id="rId932" Type="http://schemas.openxmlformats.org/officeDocument/2006/relationships/hyperlink" Target="http://turnertracker.com/data/extensions_data/tickets/2/c/d/6/8/1475465RD/ticket.jpg" TargetMode="External"/><Relationship Id="rId1148" Type="http://schemas.openxmlformats.org/officeDocument/2006/relationships/hyperlink" Target="http://turnertracker.com/data/extensions_data/tickets/9/3/c/4/7/1371275RD/ticket.jpg" TargetMode="External"/><Relationship Id="rId157" Type="http://schemas.openxmlformats.org/officeDocument/2006/relationships/hyperlink" Target="http://turnertracker.com/data/extensions_data/tickets/1/4/4/e/d/999835RD/ticket.jpg" TargetMode="External"/><Relationship Id="rId364" Type="http://schemas.openxmlformats.org/officeDocument/2006/relationships/hyperlink" Target="http://turnertracker.com/data/extensions_data/tickets/8/e/9/5/e/1182764RD/ticket.jpg" TargetMode="External"/><Relationship Id="rId1008" Type="http://schemas.openxmlformats.org/officeDocument/2006/relationships/hyperlink" Target="http://turnertracker.com/data/extensions_data/tickets/2/3/5/0/7/1152827RD/ticket.jpg" TargetMode="External"/><Relationship Id="rId61" Type="http://schemas.openxmlformats.org/officeDocument/2006/relationships/hyperlink" Target="http://turnertracker.com/data/extensions_data/tickets/b/1/4/3/8/999382RD/ticket.jpg" TargetMode="External"/><Relationship Id="rId571" Type="http://schemas.openxmlformats.org/officeDocument/2006/relationships/hyperlink" Target="http://turnertracker.com/data/extensions_data/tickets/f/d/0/4/0/1337856RD/ticket.jpg" TargetMode="External"/><Relationship Id="rId669" Type="http://schemas.openxmlformats.org/officeDocument/2006/relationships/hyperlink" Target="http://turnertracker.com/data/extensions_data/tickets/b/d/7/c/6/1130026RD/ticket.jpg" TargetMode="External"/><Relationship Id="rId876" Type="http://schemas.openxmlformats.org/officeDocument/2006/relationships/hyperlink" Target="http://turnertracker.com/data/extensions_data/tickets/c/6/5/6/2/1401281RD/ticket.jpg" TargetMode="External"/><Relationship Id="rId19" Type="http://schemas.openxmlformats.org/officeDocument/2006/relationships/hyperlink" Target="http://turnertracker.com/data/extensions_data/tickets/9/a/4/7/6/1092519RD/ticket.jpg" TargetMode="External"/><Relationship Id="rId224" Type="http://schemas.openxmlformats.org/officeDocument/2006/relationships/hyperlink" Target="http://turnertracker.com/data/extensions_data/tickets/a/0/e/7/7/1069266RD/ticket.jpg" TargetMode="External"/><Relationship Id="rId431" Type="http://schemas.openxmlformats.org/officeDocument/2006/relationships/hyperlink" Target="http://turnertracker.com/data/extensions_data/tickets/4/9/c/2/c/1219073RD/ticket.jpg" TargetMode="External"/><Relationship Id="rId529" Type="http://schemas.openxmlformats.org/officeDocument/2006/relationships/hyperlink" Target="http://turnertracker.com/data/extensions_data/tickets/1/3/5/f/2/1274199RD/ticket.jpg" TargetMode="External"/><Relationship Id="rId736" Type="http://schemas.openxmlformats.org/officeDocument/2006/relationships/hyperlink" Target="http://turnertracker.com/data/extensions_data/tickets/5/7/a/f/0/1293415RD/ticket.jpg" TargetMode="External"/><Relationship Id="rId1061" Type="http://schemas.openxmlformats.org/officeDocument/2006/relationships/hyperlink" Target="http://turnertracker.com/data/extensions_data/tickets/f/5/8/b/1/1218814RD/ticket.jpg" TargetMode="External"/><Relationship Id="rId1159" Type="http://schemas.openxmlformats.org/officeDocument/2006/relationships/hyperlink" Target="http://turnertracker.com/data/extensions_data/tickets/d/9/5/1/e/1384121RD/ticket.jpg" TargetMode="External"/><Relationship Id="rId168" Type="http://schemas.openxmlformats.org/officeDocument/2006/relationships/hyperlink" Target="http://turnertracker.com/data/extensions_data/tickets/1/e/b/0/d/999857RD/ticket.jpg" TargetMode="External"/><Relationship Id="rId943" Type="http://schemas.openxmlformats.org/officeDocument/2006/relationships/hyperlink" Target="http://turnertracker.com/data/extensions_data/tickets/a/3/1/f/d/935843RD/ticket.jpg" TargetMode="External"/><Relationship Id="rId1019" Type="http://schemas.openxmlformats.org/officeDocument/2006/relationships/hyperlink" Target="http://turnertracker.com/data/extensions_data/tickets/c/c/3/3/4/1165887RD/ticket.jpg" TargetMode="External"/><Relationship Id="rId72" Type="http://schemas.openxmlformats.org/officeDocument/2006/relationships/hyperlink" Target="http://turnertracker.com/data/extensions_data/tickets/6/8/d/2/4/999661RD/ticket.jpg" TargetMode="External"/><Relationship Id="rId375" Type="http://schemas.openxmlformats.org/officeDocument/2006/relationships/hyperlink" Target="http://turnertracker.com/data/extensions_data/tickets/4/8/e/7/1/1193676RD/ticket.jpg" TargetMode="External"/><Relationship Id="rId582" Type="http://schemas.openxmlformats.org/officeDocument/2006/relationships/hyperlink" Target="http://turnertracker.com/data/extensions_data/tickets/b/8/6/5/9/1356449RD/ticket.jpg" TargetMode="External"/><Relationship Id="rId803" Type="http://schemas.openxmlformats.org/officeDocument/2006/relationships/hyperlink" Target="http://turnertracker.com/data/extensions_data/tickets/d/5/b/c/7/1337852RD/ticket.jpg" TargetMode="External"/><Relationship Id="rId3" Type="http://schemas.openxmlformats.org/officeDocument/2006/relationships/hyperlink" Target="http://turnertracker.com/data/extensions_data/tickets/c/a/3/9/a/1380257RD/ticket.jpg" TargetMode="External"/><Relationship Id="rId235" Type="http://schemas.openxmlformats.org/officeDocument/2006/relationships/hyperlink" Target="http://turnertracker.com/data/extensions_data/tickets/1/8/4/6/3/1101906RD/ticket.jpg" TargetMode="External"/><Relationship Id="rId442" Type="http://schemas.openxmlformats.org/officeDocument/2006/relationships/hyperlink" Target="http://turnertracker.com/data/extensions_data/tickets/a/5/4/1/e/1233041RD/ticket.jpg" TargetMode="External"/><Relationship Id="rId887" Type="http://schemas.openxmlformats.org/officeDocument/2006/relationships/hyperlink" Target="http://turnertracker.com/data/extensions_data/tickets/a/b/5/d/a/1419122RD/ticket.jpg" TargetMode="External"/><Relationship Id="rId1072" Type="http://schemas.openxmlformats.org/officeDocument/2006/relationships/hyperlink" Target="http://turnertracker.com/data/extensions_data/tickets/d/2/6/1/d/1246458RD/ticket.jpg" TargetMode="External"/><Relationship Id="rId302" Type="http://schemas.openxmlformats.org/officeDocument/2006/relationships/hyperlink" Target="http://turnertracker.com/data/extensions_data/tickets/b/7/f/a/b/1194106RD/ticket.jpg" TargetMode="External"/><Relationship Id="rId747" Type="http://schemas.openxmlformats.org/officeDocument/2006/relationships/hyperlink" Target="http://turnertracker.com/data/extensions_data/tickets/c/d/b/b/4/1293441RD/ticket.jpg" TargetMode="External"/><Relationship Id="rId954" Type="http://schemas.openxmlformats.org/officeDocument/2006/relationships/hyperlink" Target="http://turnertracker.com/data/extensions_data/tickets/9/2/1/5/c/1022974RD/ticket.jpg" TargetMode="External"/><Relationship Id="rId83" Type="http://schemas.openxmlformats.org/officeDocument/2006/relationships/hyperlink" Target="http://turnertracker.com/data/extensions_data/tickets/2/9/3/c/8/999680RD/ticket.jpg" TargetMode="External"/><Relationship Id="rId179" Type="http://schemas.openxmlformats.org/officeDocument/2006/relationships/hyperlink" Target="http://turnertracker.com/data/extensions_data/tickets/1/2/0/a/6/999876RD/ticket.jpg" TargetMode="External"/><Relationship Id="rId386" Type="http://schemas.openxmlformats.org/officeDocument/2006/relationships/hyperlink" Target="http://turnertracker.com/data/extensions_data/tickets/a/7/1/0/6/1193721RD/ticket.jpg" TargetMode="External"/><Relationship Id="rId593" Type="http://schemas.openxmlformats.org/officeDocument/2006/relationships/hyperlink" Target="http://turnertracker.com/data/extensions_data/tickets/4/4/d/1/0/1371291RD/ticket.jpg" TargetMode="External"/><Relationship Id="rId607" Type="http://schemas.openxmlformats.org/officeDocument/2006/relationships/hyperlink" Target="http://turnertracker.com/data/extensions_data/tickets/f/5/9/1/3/999408RD/ticket.jpg" TargetMode="External"/><Relationship Id="rId814" Type="http://schemas.openxmlformats.org/officeDocument/2006/relationships/hyperlink" Target="http://turnertracker.com/data/extensions_data/tickets/8/6/6/4/e/1356466RD/ticket.jpg" TargetMode="External"/><Relationship Id="rId246" Type="http://schemas.openxmlformats.org/officeDocument/2006/relationships/hyperlink" Target="http://turnertracker.com/data/extensions_data/tickets/1/3/d/c/a/1163645RD/ticket.jpg" TargetMode="External"/><Relationship Id="rId453" Type="http://schemas.openxmlformats.org/officeDocument/2006/relationships/hyperlink" Target="http://turnertracker.com/data/extensions_data/tickets/1/d/b/7/b/1233074RD/ticket.jpg" TargetMode="External"/><Relationship Id="rId660" Type="http://schemas.openxmlformats.org/officeDocument/2006/relationships/hyperlink" Target="http://turnertracker.com/data/extensions_data/tickets/e/8/d/a/f/1107632RD/ticket.jpg" TargetMode="External"/><Relationship Id="rId898" Type="http://schemas.openxmlformats.org/officeDocument/2006/relationships/hyperlink" Target="http://turnertracker.com/data/extensions_data/tickets/b/b/e/5/f/1419137RD/ticket.jpg" TargetMode="External"/><Relationship Id="rId1083" Type="http://schemas.openxmlformats.org/officeDocument/2006/relationships/hyperlink" Target="http://turnertracker.com/data/extensions_data/tickets/c/b/3/2/f/1246765RD/ticket.jpg" TargetMode="External"/><Relationship Id="rId106" Type="http://schemas.openxmlformats.org/officeDocument/2006/relationships/hyperlink" Target="http://turnertracker.com/data/extensions_data/tickets/9/2/d/5/c/999713RD/ticket.jpg" TargetMode="External"/><Relationship Id="rId313" Type="http://schemas.openxmlformats.org/officeDocument/2006/relationships/hyperlink" Target="http://turnertracker.com/data/extensions_data/tickets/a/f/9/0/9/1233088RD/ticket.jpg" TargetMode="External"/><Relationship Id="rId758" Type="http://schemas.openxmlformats.org/officeDocument/2006/relationships/hyperlink" Target="http://turnertracker.com/data/extensions_data/tickets/7/c/d/4/3/1293472RD/ticket.jpg" TargetMode="External"/><Relationship Id="rId965" Type="http://schemas.openxmlformats.org/officeDocument/2006/relationships/hyperlink" Target="http://turnertracker.com/data/extensions_data/tickets/b/2/a/6/3/1059106RD/ticket.jpg" TargetMode="External"/><Relationship Id="rId1150" Type="http://schemas.openxmlformats.org/officeDocument/2006/relationships/hyperlink" Target="http://turnertracker.com/data/extensions_data/tickets/c/f/6/a/1/1371283RD/ticket.jpg" TargetMode="External"/><Relationship Id="rId10" Type="http://schemas.openxmlformats.org/officeDocument/2006/relationships/hyperlink" Target="http://turnertracker.com/data/extensions_data/tickets/c/3/1/9/7/1392470RD/ticket.jpg" TargetMode="External"/><Relationship Id="rId94" Type="http://schemas.openxmlformats.org/officeDocument/2006/relationships/hyperlink" Target="http://turnertracker.com/data/extensions_data/tickets/d/8/b/6/2/999693RD/ticket.jpg" TargetMode="External"/><Relationship Id="rId397" Type="http://schemas.openxmlformats.org/officeDocument/2006/relationships/hyperlink" Target="http://turnertracker.com/data/extensions_data/tickets/f/9/f/7/c/1205036RD/ticket.jpg" TargetMode="External"/><Relationship Id="rId520" Type="http://schemas.openxmlformats.org/officeDocument/2006/relationships/hyperlink" Target="http://turnertracker.com/data/extensions_data/tickets/d/4/5/4/3/1274107RD/ticket.jpg" TargetMode="External"/><Relationship Id="rId618" Type="http://schemas.openxmlformats.org/officeDocument/2006/relationships/hyperlink" Target="http://turnertracker.com/data/extensions_data/tickets/2/6/4/7/8/1248152RD/ticket.jpg" TargetMode="External"/><Relationship Id="rId825" Type="http://schemas.openxmlformats.org/officeDocument/2006/relationships/hyperlink" Target="http://turnertracker.com/data/extensions_data/tickets/d/d/7/e/d/1371280RD/ticket.jpg" TargetMode="External"/><Relationship Id="rId257" Type="http://schemas.openxmlformats.org/officeDocument/2006/relationships/hyperlink" Target="http://turnertracker.com/data/extensions_data/tickets/1/1/7/d/7/1188059RD/ticket.jpg" TargetMode="External"/><Relationship Id="rId464" Type="http://schemas.openxmlformats.org/officeDocument/2006/relationships/hyperlink" Target="http://turnertracker.com/data/extensions_data/tickets/2/e/1/9/5/1246516RD/ticket.jpg" TargetMode="External"/><Relationship Id="rId1010" Type="http://schemas.openxmlformats.org/officeDocument/2006/relationships/hyperlink" Target="http://turnertracker.com/data/extensions_data/tickets/b/c/7/9/b/1152837RD/ticket.jpg" TargetMode="External"/><Relationship Id="rId1094" Type="http://schemas.openxmlformats.org/officeDocument/2006/relationships/hyperlink" Target="http://turnertracker.com/data/extensions_data/tickets/3/b/9/7/e/1261698RD/ticket.jpg" TargetMode="External"/><Relationship Id="rId1108" Type="http://schemas.openxmlformats.org/officeDocument/2006/relationships/hyperlink" Target="http://turnertracker.com/data/extensions_data/tickets/e/8/4/0/0/1274145RD/ticket.jpg" TargetMode="External"/><Relationship Id="rId117" Type="http://schemas.openxmlformats.org/officeDocument/2006/relationships/hyperlink" Target="http://turnertracker.com/data/extensions_data/tickets/8/4/a/3/0/999758RD/ticket.jpg" TargetMode="External"/><Relationship Id="rId671" Type="http://schemas.openxmlformats.org/officeDocument/2006/relationships/hyperlink" Target="http://turnertracker.com/data/extensions_data/tickets/1/9/b/2/f/1130038RD/ticket.jpg" TargetMode="External"/><Relationship Id="rId769" Type="http://schemas.openxmlformats.org/officeDocument/2006/relationships/hyperlink" Target="http://turnertracker.com/data/extensions_data/tickets/9/e/0/9/6/1308186RD/ticket.jpg" TargetMode="External"/><Relationship Id="rId976" Type="http://schemas.openxmlformats.org/officeDocument/2006/relationships/hyperlink" Target="http://turnertracker.com/data/extensions_data/tickets/e/0/f/c/4/1076880RD/ticket.jpg" TargetMode="External"/><Relationship Id="rId324" Type="http://schemas.openxmlformats.org/officeDocument/2006/relationships/hyperlink" Target="http://turnertracker.com/data/extensions_data/tickets/f/c/5/3/f/1380075RD/ticket.jpg" TargetMode="External"/><Relationship Id="rId531" Type="http://schemas.openxmlformats.org/officeDocument/2006/relationships/hyperlink" Target="http://turnertracker.com/data/extensions_data/tickets/a/2/1/f/9/1274208RD/ticket.jpg" TargetMode="External"/><Relationship Id="rId629" Type="http://schemas.openxmlformats.org/officeDocument/2006/relationships/hyperlink" Target="http://turnertracker.com/data/extensions_data/tickets/0/3/3/2/8/1000120RD/ticket.jpg" TargetMode="External"/><Relationship Id="rId1161" Type="http://schemas.openxmlformats.org/officeDocument/2006/relationships/hyperlink" Target="http://turnertracker.com/data/extensions_data/tickets/5/1/1/4/d/1384123RD/ticket.jpg" TargetMode="External"/><Relationship Id="rId836" Type="http://schemas.openxmlformats.org/officeDocument/2006/relationships/hyperlink" Target="http://turnertracker.com/data/extensions_data/tickets/3/7/b/f/9/1380259RD/ticket.jpg" TargetMode="External"/><Relationship Id="rId1021" Type="http://schemas.openxmlformats.org/officeDocument/2006/relationships/hyperlink" Target="http://turnertracker.com/data/extensions_data/tickets/3/7/4/2/6/1165889RD/ticket.jpg" TargetMode="External"/><Relationship Id="rId1119" Type="http://schemas.openxmlformats.org/officeDocument/2006/relationships/hyperlink" Target="http://turnertracker.com/data/extensions_data/tickets/0/b/9/4/6/1293422RD/ticket.jpg" TargetMode="External"/><Relationship Id="rId903" Type="http://schemas.openxmlformats.org/officeDocument/2006/relationships/hyperlink" Target="http://turnertracker.com/data/extensions_data/tickets/4/a/6/f/3/1419152RD/ticket.jpg" TargetMode="External"/><Relationship Id="rId32" Type="http://schemas.openxmlformats.org/officeDocument/2006/relationships/hyperlink" Target="http://turnertracker.com/data/extensions_data/tickets/b/c/f/2/1/1092622RD/ticket.jpg" TargetMode="External"/><Relationship Id="rId181" Type="http://schemas.openxmlformats.org/officeDocument/2006/relationships/hyperlink" Target="http://turnertracker.com/data/extensions_data/tickets/b/5/a/e/a/999883RD/ticket.jpg" TargetMode="External"/><Relationship Id="rId279" Type="http://schemas.openxmlformats.org/officeDocument/2006/relationships/hyperlink" Target="http://turnertracker.com/data/extensions_data/tickets/a/4/1/0/e/1193894RD/ticket.jpg" TargetMode="External"/><Relationship Id="rId486" Type="http://schemas.openxmlformats.org/officeDocument/2006/relationships/hyperlink" Target="http://turnertracker.com/data/extensions_data/tickets/b/5/f/3/5/1261571RD/ticket.jpg" TargetMode="External"/><Relationship Id="rId693" Type="http://schemas.openxmlformats.org/officeDocument/2006/relationships/hyperlink" Target="http://turnertracker.com/data/extensions_data/tickets/f/7/e/8/4/1205038RD/ticket.jpg" TargetMode="External"/><Relationship Id="rId139" Type="http://schemas.openxmlformats.org/officeDocument/2006/relationships/hyperlink" Target="http://turnertracker.com/data/extensions_data/tickets/3/2/1/5/b/999795RD/ticket.jpg" TargetMode="External"/><Relationship Id="rId346" Type="http://schemas.openxmlformats.org/officeDocument/2006/relationships/hyperlink" Target="http://turnertracker.com/data/extensions_data/tickets/f/a/b/3/e/1031362RD/ticket.jpg" TargetMode="External"/><Relationship Id="rId553" Type="http://schemas.openxmlformats.org/officeDocument/2006/relationships/hyperlink" Target="http://turnertracker.com/data/extensions_data/tickets/6/f/4/e/6/1322863RD/ticket.jpg" TargetMode="External"/><Relationship Id="rId760" Type="http://schemas.openxmlformats.org/officeDocument/2006/relationships/hyperlink" Target="http://turnertracker.com/data/extensions_data/tickets/1/c/7/c/0/1293481RD/ticket.jpg" TargetMode="External"/><Relationship Id="rId998" Type="http://schemas.openxmlformats.org/officeDocument/2006/relationships/hyperlink" Target="http://turnertracker.com/data/extensions_data/tickets/e/b/e/3/d/1130021RD/ticket.jpg" TargetMode="External"/><Relationship Id="rId1183" Type="http://schemas.openxmlformats.org/officeDocument/2006/relationships/hyperlink" Target="http://turnertracker.com/data/extensions_data/tickets/a/f/e/a/8/1419118RD/ticket.jpg" TargetMode="External"/><Relationship Id="rId206" Type="http://schemas.openxmlformats.org/officeDocument/2006/relationships/hyperlink" Target="http://turnertracker.com/data/extensions_data/tickets/4/9/b/8/e/1000058RD/ticket.jpg" TargetMode="External"/><Relationship Id="rId413" Type="http://schemas.openxmlformats.org/officeDocument/2006/relationships/hyperlink" Target="http://turnertracker.com/data/extensions_data/tickets/2/1/7/1/3/1218843RD/ticket.jpg" TargetMode="External"/><Relationship Id="rId858" Type="http://schemas.openxmlformats.org/officeDocument/2006/relationships/hyperlink" Target="http://turnertracker.com/data/extensions_data/tickets/6/6/d/f/3/1401119RD/ticket.jpg" TargetMode="External"/><Relationship Id="rId1043" Type="http://schemas.openxmlformats.org/officeDocument/2006/relationships/hyperlink" Target="http://turnertracker.com/data/extensions_data/tickets/c/1/0/e/b/1182778RD/ticket.jpg" TargetMode="External"/><Relationship Id="rId620" Type="http://schemas.openxmlformats.org/officeDocument/2006/relationships/hyperlink" Target="http://turnertracker.com/data/extensions_data/tickets/9/8/f/f/9/1329902RD/ticket.jpg" TargetMode="External"/><Relationship Id="rId718" Type="http://schemas.openxmlformats.org/officeDocument/2006/relationships/hyperlink" Target="http://turnertracker.com/data/extensions_data/tickets/4/4/5/f/d/1261742RD/ticket.jpg" TargetMode="External"/><Relationship Id="rId925" Type="http://schemas.openxmlformats.org/officeDocument/2006/relationships/hyperlink" Target="http://turnertracker.com/data/extensions_data/tickets/e/7/5/3/6/1458040RD/ticket.jpg" TargetMode="External"/><Relationship Id="rId1110" Type="http://schemas.openxmlformats.org/officeDocument/2006/relationships/hyperlink" Target="http://turnertracker.com/data/extensions_data/tickets/6/6/b/3/e/1274171RD/ticket.jpg" TargetMode="External"/><Relationship Id="rId1208" Type="http://schemas.openxmlformats.org/officeDocument/2006/relationships/vmlDrawing" Target="../drawings/vmlDrawing1.vml"/><Relationship Id="rId54" Type="http://schemas.openxmlformats.org/officeDocument/2006/relationships/hyperlink" Target="http://turnertracker.com/data/extensions_data/tickets/3/6/5/f/5/999374RD/ticket.jpg" TargetMode="External"/><Relationship Id="rId270" Type="http://schemas.openxmlformats.org/officeDocument/2006/relationships/hyperlink" Target="http://turnertracker.com/data/extensions_data/tickets/9/d/8/e/b/1193881RD/ticket.jpg" TargetMode="External"/><Relationship Id="rId130" Type="http://schemas.openxmlformats.org/officeDocument/2006/relationships/hyperlink" Target="http://turnertracker.com/data/extensions_data/tickets/2/4/4/e/c/999776RD/ticket.jpg" TargetMode="External"/><Relationship Id="rId368" Type="http://schemas.openxmlformats.org/officeDocument/2006/relationships/hyperlink" Target="http://turnertracker.com/data/extensions_data/tickets/4/0/9/f/5/1182790RD/ticket.jpg" TargetMode="External"/><Relationship Id="rId575" Type="http://schemas.openxmlformats.org/officeDocument/2006/relationships/hyperlink" Target="http://turnertracker.com/data/extensions_data/tickets/9/7/2/6/1/1337860RD/ticket.jpg" TargetMode="External"/><Relationship Id="rId782" Type="http://schemas.openxmlformats.org/officeDocument/2006/relationships/hyperlink" Target="http://turnertracker.com/data/extensions_data/tickets/4/f/e/b/4/1308221RD/ticket.jpg" TargetMode="External"/><Relationship Id="rId228" Type="http://schemas.openxmlformats.org/officeDocument/2006/relationships/hyperlink" Target="http://turnertracker.com/data/extensions_data/tickets/6/4/d/0/7/1069270RD/ticket.jpg" TargetMode="External"/><Relationship Id="rId435" Type="http://schemas.openxmlformats.org/officeDocument/2006/relationships/hyperlink" Target="http://turnertracker.com/data/extensions_data/tickets/0/e/8/1/d/1232859RD/ticket.jpg" TargetMode="External"/><Relationship Id="rId642" Type="http://schemas.openxmlformats.org/officeDocument/2006/relationships/hyperlink" Target="http://turnertracker.com/data/extensions_data/tickets/e/0/2/6/a/1068849RD/ticket.jpg" TargetMode="External"/><Relationship Id="rId1065" Type="http://schemas.openxmlformats.org/officeDocument/2006/relationships/hyperlink" Target="http://turnertracker.com/data/extensions_data/tickets/c/7/a/3/6/1219064RD/ticket.jpg" TargetMode="External"/><Relationship Id="rId502" Type="http://schemas.openxmlformats.org/officeDocument/2006/relationships/hyperlink" Target="http://turnertracker.com/data/extensions_data/tickets/7/7/2/0/9/1261671RD/ticket.jpg" TargetMode="External"/><Relationship Id="rId947" Type="http://schemas.openxmlformats.org/officeDocument/2006/relationships/hyperlink" Target="http://turnertracker.com/data/extensions_data/tickets/6/b/9/1/b/1022963RD/ticket.jpg" TargetMode="External"/><Relationship Id="rId1132" Type="http://schemas.openxmlformats.org/officeDocument/2006/relationships/hyperlink" Target="http://turnertracker.com/data/extensions_data/tickets/9/3/d/0/6/1308185RD/ticket.jpg" TargetMode="External"/><Relationship Id="rId76" Type="http://schemas.openxmlformats.org/officeDocument/2006/relationships/hyperlink" Target="http://turnertracker.com/data/extensions_data/tickets/6/f/d/b/b/999669RD/ticket.jpg" TargetMode="External"/><Relationship Id="rId807" Type="http://schemas.openxmlformats.org/officeDocument/2006/relationships/hyperlink" Target="http://turnertracker.com/data/extensions_data/tickets/3/2/e/0/d/1356453RD/ticket.jpg" TargetMode="External"/><Relationship Id="rId292" Type="http://schemas.openxmlformats.org/officeDocument/2006/relationships/hyperlink" Target="http://turnertracker.com/data/extensions_data/tickets/0/7/e/5/d/1193933RD/ticket.jpg" TargetMode="External"/><Relationship Id="rId597" Type="http://schemas.openxmlformats.org/officeDocument/2006/relationships/hyperlink" Target="http://turnertracker.com/data/extensions_data/tickets/3/4/9/c/9/1384137RD/ticket.jpg" TargetMode="External"/><Relationship Id="rId152" Type="http://schemas.openxmlformats.org/officeDocument/2006/relationships/hyperlink" Target="http://turnertracker.com/data/extensions_data/tickets/f/5/6/0/9/999819RD/ticket.jpg" TargetMode="External"/><Relationship Id="rId457" Type="http://schemas.openxmlformats.org/officeDocument/2006/relationships/hyperlink" Target="http://turnertracker.com/data/extensions_data/tickets/2/0/9/d/0/1246459RD/ticket.jpg" TargetMode="External"/><Relationship Id="rId1087" Type="http://schemas.openxmlformats.org/officeDocument/2006/relationships/hyperlink" Target="http://turnertracker.com/data/extensions_data/tickets/c/3/d/a/5/1261574RD/ticket.jpg" TargetMode="External"/><Relationship Id="rId664" Type="http://schemas.openxmlformats.org/officeDocument/2006/relationships/hyperlink" Target="http://turnertracker.com/data/extensions_data/tickets/4/b/a/b/4/1120144RD/ticket.jpg" TargetMode="External"/><Relationship Id="rId871" Type="http://schemas.openxmlformats.org/officeDocument/2006/relationships/hyperlink" Target="http://turnertracker.com/data/extensions_data/tickets/5/8/c/7/8/1401260RD/ticket.jpg" TargetMode="External"/><Relationship Id="rId969" Type="http://schemas.openxmlformats.org/officeDocument/2006/relationships/hyperlink" Target="http://turnertracker.com/data/extensions_data/tickets/4/3/b/5/f/1068850RD/ticket.jpg" TargetMode="External"/><Relationship Id="rId317" Type="http://schemas.openxmlformats.org/officeDocument/2006/relationships/hyperlink" Target="http://turnertracker.com/data/extensions_data/tickets/0/c/7/2/2/1310070RD/ticket.jpg" TargetMode="External"/><Relationship Id="rId524" Type="http://schemas.openxmlformats.org/officeDocument/2006/relationships/hyperlink" Target="http://turnertracker.com/data/extensions_data/tickets/9/7/c/e/c/1274143RD/ticket.jpg" TargetMode="External"/><Relationship Id="rId731" Type="http://schemas.openxmlformats.org/officeDocument/2006/relationships/hyperlink" Target="http://turnertracker.com/data/extensions_data/tickets/d/9/b/f/4/1293401RD/ticket.jpg" TargetMode="External"/><Relationship Id="rId1154" Type="http://schemas.openxmlformats.org/officeDocument/2006/relationships/hyperlink" Target="http://turnertracker.com/data/extensions_data/tickets/7/3/8/9/0/1371296RD/ticket.jpg" TargetMode="External"/><Relationship Id="rId98" Type="http://schemas.openxmlformats.org/officeDocument/2006/relationships/hyperlink" Target="http://turnertracker.com/data/extensions_data/tickets/5/0/7/e/b/999700RD/ticket.jpg" TargetMode="External"/><Relationship Id="rId829" Type="http://schemas.openxmlformats.org/officeDocument/2006/relationships/hyperlink" Target="http://turnertracker.com/data/extensions_data/tickets/9/1/3/c/2/1380187RD/ticket.jpg" TargetMode="External"/><Relationship Id="rId1014" Type="http://schemas.openxmlformats.org/officeDocument/2006/relationships/hyperlink" Target="http://turnertracker.com/data/extensions_data/tickets/2/a/5/0/3/1165875RD/ticket.jpg" TargetMode="External"/><Relationship Id="rId25" Type="http://schemas.openxmlformats.org/officeDocument/2006/relationships/hyperlink" Target="http://turnertracker.com/data/extensions_data/tickets/4/a/a/b/b/1092582RD/ticket.jpg" TargetMode="External"/><Relationship Id="rId174" Type="http://schemas.openxmlformats.org/officeDocument/2006/relationships/hyperlink" Target="http://turnertracker.com/data/extensions_data/tickets/d/2/0/3/9/999864RD/ticket.jpg" TargetMode="External"/><Relationship Id="rId381" Type="http://schemas.openxmlformats.org/officeDocument/2006/relationships/hyperlink" Target="http://turnertracker.com/data/extensions_data/tickets/7/b/5/d/1/1193693RD/ticket.jpg" TargetMode="External"/><Relationship Id="rId241" Type="http://schemas.openxmlformats.org/officeDocument/2006/relationships/hyperlink" Target="http://turnertracker.com/data/extensions_data/tickets/8/3/2/b/1/1101924RD/ticket.jpg" TargetMode="External"/><Relationship Id="rId479" Type="http://schemas.openxmlformats.org/officeDocument/2006/relationships/hyperlink" Target="http://turnertracker.com/data/extensions_data/tickets/8/0/6/d/e/1261564RD/ticket.jpg" TargetMode="External"/><Relationship Id="rId686" Type="http://schemas.openxmlformats.org/officeDocument/2006/relationships/hyperlink" Target="http://turnertracker.com/data/extensions_data/tickets/1/9/2/4/8/1165934RD/ticket.jpg" TargetMode="External"/><Relationship Id="rId893" Type="http://schemas.openxmlformats.org/officeDocument/2006/relationships/hyperlink" Target="http://turnertracker.com/data/extensions_data/tickets/c/6/9/d/9/1419132RD/ticket.jpg" TargetMode="External"/><Relationship Id="rId339" Type="http://schemas.openxmlformats.org/officeDocument/2006/relationships/hyperlink" Target="http://turnertracker.com/data/extensions_data/tickets/c/d/4/7/2/1417115RD/ticket.jpg" TargetMode="External"/><Relationship Id="rId546" Type="http://schemas.openxmlformats.org/officeDocument/2006/relationships/hyperlink" Target="http://turnertracker.com/data/extensions_data/tickets/a/c/7/5/0/1308228RD/ticket.jpg" TargetMode="External"/><Relationship Id="rId753" Type="http://schemas.openxmlformats.org/officeDocument/2006/relationships/hyperlink" Target="http://turnertracker.com/data/extensions_data/tickets/4/1/3/e/d/1293459RD/ticket.jpg" TargetMode="External"/><Relationship Id="rId1176" Type="http://schemas.openxmlformats.org/officeDocument/2006/relationships/hyperlink" Target="http://turnertracker.com/data/extensions_data/tickets/d/1/d/4/4/1401118RD/ticket.jpg" TargetMode="External"/><Relationship Id="rId101" Type="http://schemas.openxmlformats.org/officeDocument/2006/relationships/hyperlink" Target="http://turnertracker.com/data/extensions_data/tickets/d/2/2/6/d/999706RD/ticket.jpg" TargetMode="External"/><Relationship Id="rId406" Type="http://schemas.openxmlformats.org/officeDocument/2006/relationships/hyperlink" Target="http://turnertracker.com/data/extensions_data/tickets/7/c/e/c/4/1205053RD/ticket.jpg" TargetMode="External"/><Relationship Id="rId960" Type="http://schemas.openxmlformats.org/officeDocument/2006/relationships/hyperlink" Target="http://turnertracker.com/data/extensions_data/tickets/3/b/6/7/6/1059101RD/ticket.jpg" TargetMode="External"/><Relationship Id="rId1036" Type="http://schemas.openxmlformats.org/officeDocument/2006/relationships/hyperlink" Target="http://turnertracker.com/data/extensions_data/tickets/0/e/1/9/7/1182753RD/ticket.jpg" TargetMode="External"/><Relationship Id="rId613" Type="http://schemas.openxmlformats.org/officeDocument/2006/relationships/hyperlink" Target="http://turnertracker.com/data/extensions_data/tickets/9/2/9/6/b/999420RD/ticket.jpg" TargetMode="External"/><Relationship Id="rId820" Type="http://schemas.openxmlformats.org/officeDocument/2006/relationships/hyperlink" Target="http://turnertracker.com/data/extensions_data/tickets/e/0/9/f/d/1371209RD/ticket.jpg" TargetMode="External"/><Relationship Id="rId918" Type="http://schemas.openxmlformats.org/officeDocument/2006/relationships/hyperlink" Target="http://turnertracker.com/data/extensions_data/tickets/f/3/2/2/b/1458030RD/ticket.jpg" TargetMode="External"/><Relationship Id="rId1103" Type="http://schemas.openxmlformats.org/officeDocument/2006/relationships/hyperlink" Target="http://turnertracker.com/data/extensions_data/tickets/2/1/8/0/f/1273876RD/ticket.jpg" TargetMode="External"/><Relationship Id="rId47" Type="http://schemas.openxmlformats.org/officeDocument/2006/relationships/hyperlink" Target="http://turnertracker.com/data/extensions_data/tickets/8/f/8/4/d/999364RD/ticket.jpg" TargetMode="External"/><Relationship Id="rId196" Type="http://schemas.openxmlformats.org/officeDocument/2006/relationships/hyperlink" Target="http://turnertracker.com/data/extensions_data/tickets/6/4/2/a/5/999920RD/ticket.jpg" TargetMode="External"/><Relationship Id="rId263" Type="http://schemas.openxmlformats.org/officeDocument/2006/relationships/hyperlink" Target="http://turnertracker.com/data/extensions_data/tickets/a/3/3/6/3/1188080RD/ticket.jpg" TargetMode="External"/><Relationship Id="rId470" Type="http://schemas.openxmlformats.org/officeDocument/2006/relationships/hyperlink" Target="http://turnertracker.com/data/extensions_data/tickets/b/a/1/a/d/1246636RD/ticket.jpg" TargetMode="External"/><Relationship Id="rId123" Type="http://schemas.openxmlformats.org/officeDocument/2006/relationships/hyperlink" Target="http://turnertracker.com/data/extensions_data/tickets/4/7/0/0/3/999766RD/ticket.jpg" TargetMode="External"/><Relationship Id="rId330" Type="http://schemas.openxmlformats.org/officeDocument/2006/relationships/hyperlink" Target="http://turnertracker.com/data/extensions_data/tickets/1/6/7/8/9/1380205RD/ticket.jpg" TargetMode="External"/><Relationship Id="rId568" Type="http://schemas.openxmlformats.org/officeDocument/2006/relationships/hyperlink" Target="http://turnertracker.com/data/extensions_data/tickets/4/6/2/1/a/1337853RD/ticket.jpg" TargetMode="External"/><Relationship Id="rId775" Type="http://schemas.openxmlformats.org/officeDocument/2006/relationships/hyperlink" Target="http://turnertracker.com/data/extensions_data/tickets/b/7/7/8/d/1308196RD/ticket.jpg" TargetMode="External"/><Relationship Id="rId982" Type="http://schemas.openxmlformats.org/officeDocument/2006/relationships/hyperlink" Target="http://turnertracker.com/data/extensions_data/tickets/5/a/7/7/1/1092504RD/ticket.jpg" TargetMode="External"/><Relationship Id="rId1198" Type="http://schemas.openxmlformats.org/officeDocument/2006/relationships/hyperlink" Target="http://turnertracker.com/data/extensions_data/tickets/a/6/6/6/0/1152821RD/ticket.jpg" TargetMode="External"/><Relationship Id="rId428" Type="http://schemas.openxmlformats.org/officeDocument/2006/relationships/hyperlink" Target="http://turnertracker.com/data/extensions_data/tickets/a/e/b/1/0/1219069RD/ticket.jpg" TargetMode="External"/><Relationship Id="rId635" Type="http://schemas.openxmlformats.org/officeDocument/2006/relationships/hyperlink" Target="http://turnertracker.com/data/extensions_data/tickets/3/4/f/2/f/1059111RD/ticket.jpg" TargetMode="External"/><Relationship Id="rId842" Type="http://schemas.openxmlformats.org/officeDocument/2006/relationships/hyperlink" Target="http://turnertracker.com/data/extensions_data/tickets/c/e/3/e/f/1384144RD/ticket.jpg" TargetMode="External"/><Relationship Id="rId1058" Type="http://schemas.openxmlformats.org/officeDocument/2006/relationships/hyperlink" Target="http://turnertracker.com/data/extensions_data/tickets/9/9/b/f/9/1205029RD/ticket.jpg" TargetMode="External"/><Relationship Id="rId702" Type="http://schemas.openxmlformats.org/officeDocument/2006/relationships/hyperlink" Target="http://turnertracker.com/data/extensions_data/tickets/2/4/6/1/3/1219078RD/ticket.jpg" TargetMode="External"/><Relationship Id="rId1125" Type="http://schemas.openxmlformats.org/officeDocument/2006/relationships/hyperlink" Target="http://turnertracker.com/data/extensions_data/tickets/7/c/9/8/3/1293465RD/ticket.jpg" TargetMode="External"/><Relationship Id="rId69" Type="http://schemas.openxmlformats.org/officeDocument/2006/relationships/hyperlink" Target="http://turnertracker.com/data/extensions_data/tickets/7/b/1/7/5/999646RD/ticket.jpg" TargetMode="External"/><Relationship Id="rId285" Type="http://schemas.openxmlformats.org/officeDocument/2006/relationships/hyperlink" Target="http://turnertracker.com/data/extensions_data/tickets/6/e/9/2/2/1193910RD/ticket.jpg" TargetMode="External"/><Relationship Id="rId492" Type="http://schemas.openxmlformats.org/officeDocument/2006/relationships/hyperlink" Target="http://turnertracker.com/data/extensions_data/tickets/4/8/f/5/0/1261583RD/ticket.jpg" TargetMode="External"/><Relationship Id="rId797" Type="http://schemas.openxmlformats.org/officeDocument/2006/relationships/hyperlink" Target="http://turnertracker.com/data/extensions_data/tickets/b/f/b/0/3/1337840RD/ticket.jpg" TargetMode="External"/><Relationship Id="rId145" Type="http://schemas.openxmlformats.org/officeDocument/2006/relationships/hyperlink" Target="http://turnertracker.com/data/extensions_data/tickets/f/0/e/2/b/999804RD/ticket.jpg" TargetMode="External"/><Relationship Id="rId352" Type="http://schemas.openxmlformats.org/officeDocument/2006/relationships/hyperlink" Target="http://turnertracker.com/data/extensions_data/tickets/1/e/6/8/7/1182630RD/ticket.jpg" TargetMode="External"/><Relationship Id="rId212" Type="http://schemas.openxmlformats.org/officeDocument/2006/relationships/hyperlink" Target="http://turnertracker.com/data/extensions_data/tickets/5/c/0/7/e/1069254RD/ticket.jpg" TargetMode="External"/><Relationship Id="rId657" Type="http://schemas.openxmlformats.org/officeDocument/2006/relationships/hyperlink" Target="http://turnertracker.com/data/extensions_data/tickets/8/4/f/7/0/1107618RD/ticket.jpg" TargetMode="External"/><Relationship Id="rId864" Type="http://schemas.openxmlformats.org/officeDocument/2006/relationships/hyperlink" Target="http://turnertracker.com/data/extensions_data/tickets/4/8/f/b/d/1401132RD/ticket.jpg" TargetMode="External"/><Relationship Id="rId517" Type="http://schemas.openxmlformats.org/officeDocument/2006/relationships/hyperlink" Target="http://turnertracker.com/data/extensions_data/tickets/3/e/6/f/f/1273873RD/ticket.jpg" TargetMode="External"/><Relationship Id="rId724" Type="http://schemas.openxmlformats.org/officeDocument/2006/relationships/hyperlink" Target="http://turnertracker.com/data/extensions_data/tickets/3/5/4/b/e/1274027RD/ticket.jpg" TargetMode="External"/><Relationship Id="rId931" Type="http://schemas.openxmlformats.org/officeDocument/2006/relationships/hyperlink" Target="http://turnertracker.com/data/extensions_data/tickets/9/1/8/5/2/1475462RD/ticket.jpg" TargetMode="External"/><Relationship Id="rId1147" Type="http://schemas.openxmlformats.org/officeDocument/2006/relationships/hyperlink" Target="http://turnertracker.com/data/extensions_data/tickets/6/9/0/f/0/1371216RD/ticket.jpg" TargetMode="External"/><Relationship Id="rId60" Type="http://schemas.openxmlformats.org/officeDocument/2006/relationships/hyperlink" Target="http://turnertracker.com/data/extensions_data/tickets/e/8/d/b/3/999381RD/ticket.jpg" TargetMode="External"/><Relationship Id="rId1007" Type="http://schemas.openxmlformats.org/officeDocument/2006/relationships/hyperlink" Target="http://turnertracker.com/data/extensions_data/tickets/1/a/1/e/5/1152822RD/ticket.jpg" TargetMode="Externa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9A71E-3375-F243-94D7-9DDFF5922E4A}">
  <dimension ref="A1:CS1213"/>
  <sheetViews>
    <sheetView topLeftCell="J1186" workbookViewId="0">
      <selection activeCell="Q1211" sqref="Q1211"/>
    </sheetView>
  </sheetViews>
  <sheetFormatPr baseColWidth="10" defaultRowHeight="15" x14ac:dyDescent="0.2"/>
  <cols>
    <col min="1" max="1" width="27.5" bestFit="1" customWidth="1"/>
    <col min="2" max="2" width="16.33203125" bestFit="1" customWidth="1"/>
    <col min="3" max="3" width="16" bestFit="1" customWidth="1"/>
    <col min="4" max="4" width="12.6640625" bestFit="1" customWidth="1"/>
    <col min="5" max="5" width="41.83203125" bestFit="1" customWidth="1"/>
    <col min="6" max="6" width="24.6640625" bestFit="1" customWidth="1"/>
    <col min="7" max="8" width="25.33203125" bestFit="1" customWidth="1"/>
    <col min="9" max="9" width="34.83203125" bestFit="1" customWidth="1"/>
    <col min="10" max="10" width="55.1640625" bestFit="1" customWidth="1"/>
    <col min="11" max="11" width="18" bestFit="1" customWidth="1"/>
    <col min="12" max="12" width="21.1640625" bestFit="1" customWidth="1"/>
    <col min="13" max="13" width="14" bestFit="1" customWidth="1"/>
    <col min="14" max="14" width="18.33203125" bestFit="1" customWidth="1"/>
    <col min="15" max="15" width="14.83203125" bestFit="1" customWidth="1"/>
    <col min="16" max="16" width="11.1640625" bestFit="1" customWidth="1"/>
    <col min="17" max="17" width="16.33203125" bestFit="1" customWidth="1"/>
    <col min="18" max="18" width="15.83203125" bestFit="1" customWidth="1"/>
    <col min="19" max="19" width="14.1640625" bestFit="1" customWidth="1"/>
    <col min="20" max="21" width="15.5" bestFit="1" customWidth="1"/>
    <col min="22" max="22" width="16.33203125" bestFit="1" customWidth="1"/>
    <col min="23" max="24" width="17.6640625" bestFit="1" customWidth="1"/>
    <col min="25" max="25" width="14.5" bestFit="1" customWidth="1"/>
    <col min="26" max="26" width="25.1640625" bestFit="1" customWidth="1"/>
    <col min="27" max="27" width="27.5" bestFit="1" customWidth="1"/>
    <col min="28" max="28" width="25.6640625" bestFit="1" customWidth="1"/>
    <col min="29" max="29" width="11" bestFit="1" customWidth="1"/>
    <col min="30" max="30" width="26.83203125" bestFit="1" customWidth="1"/>
    <col min="31" max="31" width="23.5" bestFit="1" customWidth="1"/>
    <col min="32" max="32" width="11" bestFit="1" customWidth="1"/>
    <col min="33" max="33" width="18" bestFit="1" customWidth="1"/>
    <col min="34" max="34" width="32.33203125" bestFit="1" customWidth="1"/>
    <col min="35" max="35" width="13.83203125" bestFit="1" customWidth="1"/>
    <col min="36" max="36" width="22.83203125" bestFit="1" customWidth="1"/>
    <col min="37" max="37" width="27" bestFit="1" customWidth="1"/>
    <col min="38" max="38" width="16.5" bestFit="1" customWidth="1"/>
    <col min="39" max="39" width="29.83203125" bestFit="1" customWidth="1"/>
    <col min="40" max="40" width="17" bestFit="1" customWidth="1"/>
    <col min="41" max="41" width="12.83203125" bestFit="1" customWidth="1"/>
    <col min="42" max="42" width="11" bestFit="1" customWidth="1"/>
    <col min="43" max="43" width="23.33203125" bestFit="1" customWidth="1"/>
    <col min="44" max="44" width="14.5" bestFit="1" customWidth="1"/>
    <col min="45" max="45" width="24.33203125" bestFit="1" customWidth="1"/>
    <col min="46" max="46" width="14.5" bestFit="1" customWidth="1"/>
    <col min="47" max="47" width="11" bestFit="1" customWidth="1"/>
    <col min="48" max="48" width="24" bestFit="1" customWidth="1"/>
    <col min="49" max="49" width="22.33203125" bestFit="1" customWidth="1"/>
    <col min="50" max="50" width="30.1640625" bestFit="1" customWidth="1"/>
    <col min="51" max="51" width="20.33203125" bestFit="1" customWidth="1"/>
    <col min="52" max="52" width="18" bestFit="1" customWidth="1"/>
    <col min="53" max="53" width="11" bestFit="1" customWidth="1"/>
    <col min="54" max="54" width="15.6640625" bestFit="1" customWidth="1"/>
    <col min="55" max="55" width="11" bestFit="1" customWidth="1"/>
    <col min="56" max="56" width="23.33203125" bestFit="1" customWidth="1"/>
    <col min="57" max="57" width="13.83203125" bestFit="1" customWidth="1"/>
    <col min="58" max="58" width="32.6640625" bestFit="1" customWidth="1"/>
    <col min="59" max="59" width="14.6640625" bestFit="1" customWidth="1"/>
    <col min="60" max="60" width="15.5" bestFit="1" customWidth="1"/>
    <col min="61" max="61" width="13.83203125" bestFit="1" customWidth="1"/>
    <col min="62" max="63" width="15.1640625" bestFit="1" customWidth="1"/>
    <col min="64" max="64" width="16" bestFit="1" customWidth="1"/>
    <col min="65" max="66" width="17.33203125" bestFit="1" customWidth="1"/>
    <col min="67" max="67" width="14.1640625" bestFit="1" customWidth="1"/>
    <col min="68" max="68" width="18.83203125" bestFit="1" customWidth="1"/>
    <col min="69" max="69" width="14.5" bestFit="1" customWidth="1"/>
    <col min="70" max="70" width="30.1640625" bestFit="1" customWidth="1"/>
    <col min="71" max="71" width="15.6640625" bestFit="1" customWidth="1"/>
    <col min="72" max="72" width="14" bestFit="1" customWidth="1"/>
    <col min="73" max="74" width="15.33203125" bestFit="1" customWidth="1"/>
    <col min="75" max="75" width="16.1640625" bestFit="1" customWidth="1"/>
    <col min="76" max="77" width="17.5" bestFit="1" customWidth="1"/>
    <col min="78" max="78" width="14.33203125" bestFit="1" customWidth="1"/>
    <col min="79" max="79" width="11.5" bestFit="1" customWidth="1"/>
    <col min="80" max="80" width="35.1640625" bestFit="1" customWidth="1"/>
    <col min="81" max="81" width="31.83203125" bestFit="1" customWidth="1"/>
    <col min="82" max="82" width="19.6640625" bestFit="1" customWidth="1"/>
    <col min="83" max="83" width="18.1640625" bestFit="1" customWidth="1"/>
    <col min="84" max="84" width="28" bestFit="1" customWidth="1"/>
    <col min="85" max="85" width="29.5" bestFit="1" customWidth="1"/>
    <col min="86" max="86" width="32.1640625" bestFit="1" customWidth="1"/>
    <col min="87" max="87" width="30" bestFit="1" customWidth="1"/>
    <col min="88" max="88" width="41.83203125" bestFit="1" customWidth="1"/>
    <col min="89" max="89" width="22.6640625" bestFit="1" customWidth="1"/>
    <col min="90" max="90" width="25.33203125" bestFit="1" customWidth="1"/>
    <col min="91" max="91" width="16.83203125" bestFit="1" customWidth="1"/>
    <col min="92" max="92" width="14.5" bestFit="1" customWidth="1"/>
    <col min="93" max="93" width="15.6640625" bestFit="1" customWidth="1"/>
    <col min="94" max="94" width="15.83203125" bestFit="1" customWidth="1"/>
    <col min="95" max="95" width="14.5" bestFit="1" customWidth="1"/>
    <col min="96" max="96" width="14" bestFit="1" customWidth="1"/>
    <col min="97" max="97" width="17.33203125" bestFit="1" customWidth="1"/>
  </cols>
  <sheetData>
    <row r="1" spans="1:97" x14ac:dyDescent="0.2">
      <c r="A1" s="13" t="s">
        <v>1005</v>
      </c>
    </row>
    <row r="3" spans="1:97" x14ac:dyDescent="0.2">
      <c r="A3" t="s">
        <v>15</v>
      </c>
      <c r="B3" t="s">
        <v>16</v>
      </c>
      <c r="C3" t="s">
        <v>17</v>
      </c>
      <c r="D3" t="s">
        <v>18</v>
      </c>
      <c r="E3" t="s">
        <v>19</v>
      </c>
      <c r="F3" t="s">
        <v>20</v>
      </c>
      <c r="G3" t="s">
        <v>21</v>
      </c>
      <c r="H3" t="s">
        <v>22</v>
      </c>
      <c r="I3" t="s">
        <v>23</v>
      </c>
      <c r="J3" t="s">
        <v>24</v>
      </c>
      <c r="K3" t="s">
        <v>25</v>
      </c>
      <c r="L3" t="s">
        <v>26</v>
      </c>
      <c r="M3" t="s">
        <v>923</v>
      </c>
      <c r="N3" t="s">
        <v>27</v>
      </c>
      <c r="O3" t="s">
        <v>28</v>
      </c>
      <c r="P3" t="s">
        <v>29</v>
      </c>
      <c r="Q3" t="s">
        <v>30</v>
      </c>
      <c r="R3" t="s">
        <v>31</v>
      </c>
      <c r="S3" t="s">
        <v>32</v>
      </c>
      <c r="T3" t="s">
        <v>33</v>
      </c>
      <c r="U3" t="s">
        <v>34</v>
      </c>
      <c r="V3" t="s">
        <v>35</v>
      </c>
      <c r="W3" t="s">
        <v>36</v>
      </c>
      <c r="X3" t="s">
        <v>37</v>
      </c>
      <c r="Y3" t="s">
        <v>38</v>
      </c>
      <c r="Z3" t="s">
        <v>39</v>
      </c>
      <c r="AA3" t="s">
        <v>40</v>
      </c>
      <c r="AB3" t="s">
        <v>41</v>
      </c>
      <c r="AC3" t="s">
        <v>42</v>
      </c>
      <c r="AD3" t="s">
        <v>43</v>
      </c>
      <c r="AE3" t="s">
        <v>44</v>
      </c>
      <c r="AF3" t="s">
        <v>45</v>
      </c>
      <c r="AG3" t="s">
        <v>46</v>
      </c>
      <c r="AH3" t="s">
        <v>47</v>
      </c>
      <c r="AI3" t="s">
        <v>48</v>
      </c>
      <c r="AJ3" t="s">
        <v>49</v>
      </c>
      <c r="AK3" t="s">
        <v>50</v>
      </c>
      <c r="AL3" t="s">
        <v>51</v>
      </c>
      <c r="AM3" t="s">
        <v>52</v>
      </c>
      <c r="AN3" t="s">
        <v>53</v>
      </c>
      <c r="AO3" t="s">
        <v>54</v>
      </c>
      <c r="AP3" t="s">
        <v>55</v>
      </c>
      <c r="AQ3" t="s">
        <v>56</v>
      </c>
      <c r="AR3" t="s">
        <v>57</v>
      </c>
      <c r="AS3" t="s">
        <v>58</v>
      </c>
      <c r="AT3" t="s">
        <v>59</v>
      </c>
      <c r="AU3" t="s">
        <v>60</v>
      </c>
      <c r="AV3" t="s">
        <v>61</v>
      </c>
      <c r="AW3" t="s">
        <v>62</v>
      </c>
      <c r="AX3" t="s">
        <v>63</v>
      </c>
      <c r="AY3" t="s">
        <v>64</v>
      </c>
      <c r="AZ3" t="s">
        <v>65</v>
      </c>
      <c r="BA3" t="s">
        <v>66</v>
      </c>
      <c r="BB3" t="s">
        <v>67</v>
      </c>
      <c r="BC3" t="s">
        <v>68</v>
      </c>
      <c r="BD3" t="s">
        <v>69</v>
      </c>
      <c r="BE3" t="s">
        <v>70</v>
      </c>
      <c r="BF3" t="s">
        <v>71</v>
      </c>
      <c r="BG3" t="s">
        <v>72</v>
      </c>
      <c r="BH3" t="s">
        <v>73</v>
      </c>
      <c r="BI3" t="s">
        <v>74</v>
      </c>
      <c r="BJ3" t="s">
        <v>75</v>
      </c>
      <c r="BK3" t="s">
        <v>76</v>
      </c>
      <c r="BL3" t="s">
        <v>77</v>
      </c>
      <c r="BM3" t="s">
        <v>78</v>
      </c>
      <c r="BN3" t="s">
        <v>79</v>
      </c>
      <c r="BO3" t="s">
        <v>80</v>
      </c>
      <c r="BP3" t="s">
        <v>81</v>
      </c>
      <c r="BQ3" t="s">
        <v>82</v>
      </c>
      <c r="BR3" t="s">
        <v>83</v>
      </c>
      <c r="BS3" t="s">
        <v>84</v>
      </c>
      <c r="BT3" t="s">
        <v>85</v>
      </c>
      <c r="BU3" t="s">
        <v>86</v>
      </c>
      <c r="BV3" t="s">
        <v>87</v>
      </c>
      <c r="BW3" t="s">
        <v>88</v>
      </c>
      <c r="BX3" t="s">
        <v>89</v>
      </c>
      <c r="BY3" t="s">
        <v>90</v>
      </c>
      <c r="BZ3" t="s">
        <v>91</v>
      </c>
      <c r="CA3" t="s">
        <v>92</v>
      </c>
      <c r="CB3" t="s">
        <v>93</v>
      </c>
      <c r="CC3" t="s">
        <v>94</v>
      </c>
      <c r="CD3" t="s">
        <v>95</v>
      </c>
      <c r="CE3" t="s">
        <v>96</v>
      </c>
      <c r="CF3" t="s">
        <v>97</v>
      </c>
      <c r="CG3" t="s">
        <v>98</v>
      </c>
      <c r="CH3" t="s">
        <v>99</v>
      </c>
      <c r="CI3" t="s">
        <v>100</v>
      </c>
      <c r="CJ3" t="s">
        <v>101</v>
      </c>
      <c r="CK3" t="s">
        <v>102</v>
      </c>
      <c r="CL3" t="s">
        <v>103</v>
      </c>
      <c r="CM3" t="s">
        <v>104</v>
      </c>
      <c r="CN3" t="s">
        <v>105</v>
      </c>
      <c r="CO3" t="s">
        <v>106</v>
      </c>
      <c r="CP3" t="s">
        <v>107</v>
      </c>
      <c r="CQ3" t="s">
        <v>108</v>
      </c>
      <c r="CR3" t="s">
        <v>109</v>
      </c>
      <c r="CS3" t="s">
        <v>110</v>
      </c>
    </row>
    <row r="4" spans="1:97" x14ac:dyDescent="0.2">
      <c r="A4" t="s">
        <v>115</v>
      </c>
      <c r="B4" t="s">
        <v>116</v>
      </c>
      <c r="C4">
        <v>210784</v>
      </c>
      <c r="E4" t="s">
        <v>117</v>
      </c>
      <c r="F4">
        <v>368</v>
      </c>
      <c r="G4" t="s">
        <v>176</v>
      </c>
      <c r="H4" t="s">
        <v>177</v>
      </c>
      <c r="I4" t="s">
        <v>178</v>
      </c>
      <c r="J4" t="s">
        <v>179</v>
      </c>
      <c r="L4" t="s">
        <v>180</v>
      </c>
      <c r="M4" s="8">
        <v>44866</v>
      </c>
      <c r="N4">
        <v>7140424</v>
      </c>
      <c r="O4" t="s">
        <v>123</v>
      </c>
      <c r="P4" t="s">
        <v>124</v>
      </c>
      <c r="Q4">
        <v>13.53</v>
      </c>
      <c r="R4" t="s">
        <v>125</v>
      </c>
      <c r="S4" t="s">
        <v>126</v>
      </c>
      <c r="T4" t="s">
        <v>125</v>
      </c>
      <c r="U4" t="s">
        <v>126</v>
      </c>
      <c r="W4">
        <v>13.53</v>
      </c>
      <c r="Y4">
        <v>13.53</v>
      </c>
      <c r="AC4">
        <v>13.53</v>
      </c>
      <c r="BH4" t="s">
        <v>126</v>
      </c>
      <c r="BI4" t="s">
        <v>126</v>
      </c>
      <c r="BJ4" t="s">
        <v>126</v>
      </c>
      <c r="BK4" t="s">
        <v>126</v>
      </c>
      <c r="BS4" t="s">
        <v>126</v>
      </c>
      <c r="BT4" t="s">
        <v>126</v>
      </c>
      <c r="BU4" t="s">
        <v>126</v>
      </c>
      <c r="BV4" t="s">
        <v>126</v>
      </c>
      <c r="CN4" t="s">
        <v>181</v>
      </c>
      <c r="CP4" t="s">
        <v>182</v>
      </c>
      <c r="CQ4" t="s">
        <v>181</v>
      </c>
    </row>
    <row r="5" spans="1:97" x14ac:dyDescent="0.2">
      <c r="A5" t="s">
        <v>115</v>
      </c>
      <c r="B5" t="s">
        <v>116</v>
      </c>
      <c r="C5">
        <v>210784</v>
      </c>
      <c r="E5" t="s">
        <v>117</v>
      </c>
      <c r="F5">
        <v>368</v>
      </c>
      <c r="G5" t="s">
        <v>176</v>
      </c>
      <c r="H5" t="s">
        <v>177</v>
      </c>
      <c r="I5" t="s">
        <v>178</v>
      </c>
      <c r="J5" t="s">
        <v>179</v>
      </c>
      <c r="L5" t="s">
        <v>183</v>
      </c>
      <c r="M5" s="8">
        <v>44866</v>
      </c>
      <c r="N5">
        <v>7140492</v>
      </c>
      <c r="O5" t="s">
        <v>123</v>
      </c>
      <c r="P5" t="s">
        <v>124</v>
      </c>
      <c r="Q5">
        <v>13.98</v>
      </c>
      <c r="R5" t="s">
        <v>125</v>
      </c>
      <c r="S5" t="s">
        <v>126</v>
      </c>
      <c r="T5" t="s">
        <v>125</v>
      </c>
      <c r="U5" t="s">
        <v>126</v>
      </c>
      <c r="W5">
        <v>13.98</v>
      </c>
      <c r="Y5">
        <v>13.98</v>
      </c>
      <c r="AC5">
        <v>13.98</v>
      </c>
      <c r="BH5" t="s">
        <v>126</v>
      </c>
      <c r="BI5" t="s">
        <v>126</v>
      </c>
      <c r="BJ5" t="s">
        <v>126</v>
      </c>
      <c r="BK5" t="s">
        <v>126</v>
      </c>
      <c r="BS5" t="s">
        <v>126</v>
      </c>
      <c r="BT5" t="s">
        <v>126</v>
      </c>
      <c r="BU5" t="s">
        <v>126</v>
      </c>
      <c r="BV5" t="s">
        <v>126</v>
      </c>
      <c r="CN5" t="s">
        <v>181</v>
      </c>
      <c r="CP5" t="s">
        <v>182</v>
      </c>
      <c r="CQ5" t="s">
        <v>181</v>
      </c>
    </row>
    <row r="6" spans="1:97" x14ac:dyDescent="0.2">
      <c r="A6" t="s">
        <v>115</v>
      </c>
      <c r="B6" t="s">
        <v>116</v>
      </c>
      <c r="C6">
        <v>210784</v>
      </c>
      <c r="E6" t="s">
        <v>117</v>
      </c>
      <c r="F6">
        <v>368</v>
      </c>
      <c r="G6" t="s">
        <v>176</v>
      </c>
      <c r="H6" t="s">
        <v>177</v>
      </c>
      <c r="I6" t="s">
        <v>178</v>
      </c>
      <c r="J6" t="s">
        <v>179</v>
      </c>
      <c r="L6" t="s">
        <v>183</v>
      </c>
      <c r="M6" s="8">
        <v>44866</v>
      </c>
      <c r="N6">
        <v>7140546</v>
      </c>
      <c r="O6" t="s">
        <v>123</v>
      </c>
      <c r="P6" t="s">
        <v>124</v>
      </c>
      <c r="Q6">
        <v>14.01</v>
      </c>
      <c r="R6" t="s">
        <v>125</v>
      </c>
      <c r="S6" t="s">
        <v>126</v>
      </c>
      <c r="T6" t="s">
        <v>125</v>
      </c>
      <c r="U6" t="s">
        <v>126</v>
      </c>
      <c r="W6">
        <v>14.01</v>
      </c>
      <c r="Y6">
        <v>14.01</v>
      </c>
      <c r="AC6">
        <v>14.01</v>
      </c>
      <c r="BH6" t="s">
        <v>126</v>
      </c>
      <c r="BI6" t="s">
        <v>126</v>
      </c>
      <c r="BJ6" t="s">
        <v>126</v>
      </c>
      <c r="BK6" t="s">
        <v>126</v>
      </c>
      <c r="BS6" t="s">
        <v>126</v>
      </c>
      <c r="BT6" t="s">
        <v>126</v>
      </c>
      <c r="BU6" t="s">
        <v>126</v>
      </c>
      <c r="BV6" t="s">
        <v>126</v>
      </c>
      <c r="CN6" t="s">
        <v>181</v>
      </c>
      <c r="CP6" t="s">
        <v>182</v>
      </c>
      <c r="CQ6" t="s">
        <v>181</v>
      </c>
    </row>
    <row r="7" spans="1:97" x14ac:dyDescent="0.2">
      <c r="A7" t="s">
        <v>115</v>
      </c>
      <c r="B7" t="s">
        <v>116</v>
      </c>
      <c r="C7">
        <v>210784</v>
      </c>
      <c r="E7" t="s">
        <v>117</v>
      </c>
      <c r="F7">
        <v>368</v>
      </c>
      <c r="G7" t="s">
        <v>176</v>
      </c>
      <c r="H7" t="s">
        <v>177</v>
      </c>
      <c r="I7" t="s">
        <v>178</v>
      </c>
      <c r="J7" t="s">
        <v>179</v>
      </c>
      <c r="L7" t="s">
        <v>184</v>
      </c>
      <c r="M7" s="8">
        <v>44866</v>
      </c>
      <c r="N7">
        <v>7140757</v>
      </c>
      <c r="O7" t="s">
        <v>123</v>
      </c>
      <c r="P7" t="s">
        <v>124</v>
      </c>
      <c r="Q7">
        <v>13.76</v>
      </c>
      <c r="R7" t="s">
        <v>125</v>
      </c>
      <c r="S7" t="s">
        <v>126</v>
      </c>
      <c r="T7" t="s">
        <v>125</v>
      </c>
      <c r="U7" t="s">
        <v>126</v>
      </c>
      <c r="W7">
        <v>13.76</v>
      </c>
      <c r="Y7">
        <v>13.76</v>
      </c>
      <c r="AC7">
        <v>13.76</v>
      </c>
      <c r="BH7" t="s">
        <v>126</v>
      </c>
      <c r="BI7" t="s">
        <v>126</v>
      </c>
      <c r="BJ7" t="s">
        <v>126</v>
      </c>
      <c r="BK7" t="s">
        <v>126</v>
      </c>
      <c r="BS7" t="s">
        <v>126</v>
      </c>
      <c r="BT7" t="s">
        <v>126</v>
      </c>
      <c r="BU7" t="s">
        <v>126</v>
      </c>
      <c r="BV7" t="s">
        <v>126</v>
      </c>
      <c r="CN7" t="s">
        <v>181</v>
      </c>
      <c r="CP7" t="s">
        <v>182</v>
      </c>
      <c r="CQ7" t="s">
        <v>181</v>
      </c>
    </row>
    <row r="8" spans="1:97" x14ac:dyDescent="0.2">
      <c r="A8" t="s">
        <v>115</v>
      </c>
      <c r="B8" t="s">
        <v>116</v>
      </c>
      <c r="C8">
        <v>210784</v>
      </c>
      <c r="E8" t="s">
        <v>117</v>
      </c>
      <c r="F8">
        <v>368</v>
      </c>
      <c r="G8" t="s">
        <v>176</v>
      </c>
      <c r="H8" t="s">
        <v>177</v>
      </c>
      <c r="I8" t="s">
        <v>178</v>
      </c>
      <c r="J8" t="s">
        <v>179</v>
      </c>
      <c r="L8" t="s">
        <v>184</v>
      </c>
      <c r="M8" s="8">
        <v>44866</v>
      </c>
      <c r="N8">
        <v>7140808</v>
      </c>
      <c r="O8" t="s">
        <v>123</v>
      </c>
      <c r="P8" t="s">
        <v>124</v>
      </c>
      <c r="Q8">
        <v>17.420000000000002</v>
      </c>
      <c r="R8" t="s">
        <v>125</v>
      </c>
      <c r="S8" t="s">
        <v>126</v>
      </c>
      <c r="T8" t="s">
        <v>125</v>
      </c>
      <c r="U8" t="s">
        <v>126</v>
      </c>
      <c r="W8">
        <v>17.420000000000002</v>
      </c>
      <c r="Y8">
        <v>17.420000000000002</v>
      </c>
      <c r="AC8">
        <v>17.420000000000002</v>
      </c>
      <c r="BH8" t="s">
        <v>126</v>
      </c>
      <c r="BI8" t="s">
        <v>126</v>
      </c>
      <c r="BJ8" t="s">
        <v>126</v>
      </c>
      <c r="BK8" t="s">
        <v>126</v>
      </c>
      <c r="BS8" t="s">
        <v>126</v>
      </c>
      <c r="BT8" t="s">
        <v>126</v>
      </c>
      <c r="BU8" t="s">
        <v>126</v>
      </c>
      <c r="BV8" t="s">
        <v>126</v>
      </c>
      <c r="CN8" t="s">
        <v>181</v>
      </c>
      <c r="CP8" t="s">
        <v>182</v>
      </c>
      <c r="CQ8" t="s">
        <v>181</v>
      </c>
    </row>
    <row r="9" spans="1:97" x14ac:dyDescent="0.2">
      <c r="A9" t="s">
        <v>115</v>
      </c>
      <c r="B9" t="s">
        <v>116</v>
      </c>
      <c r="C9">
        <v>210784</v>
      </c>
      <c r="E9" t="s">
        <v>117</v>
      </c>
      <c r="F9">
        <v>368</v>
      </c>
      <c r="G9" t="s">
        <v>176</v>
      </c>
      <c r="H9" t="s">
        <v>177</v>
      </c>
      <c r="I9" t="s">
        <v>178</v>
      </c>
      <c r="J9" t="s">
        <v>179</v>
      </c>
      <c r="L9" t="s">
        <v>185</v>
      </c>
      <c r="M9" s="8">
        <v>44866</v>
      </c>
      <c r="N9">
        <v>7142674</v>
      </c>
      <c r="O9" t="s">
        <v>123</v>
      </c>
      <c r="P9" t="s">
        <v>124</v>
      </c>
      <c r="Q9">
        <v>22.18</v>
      </c>
      <c r="R9" t="s">
        <v>125</v>
      </c>
      <c r="S9" t="s">
        <v>126</v>
      </c>
      <c r="T9" t="s">
        <v>125</v>
      </c>
      <c r="U9" t="s">
        <v>126</v>
      </c>
      <c r="W9">
        <v>22.18</v>
      </c>
      <c r="Y9">
        <v>22.18</v>
      </c>
      <c r="AC9">
        <v>22.18</v>
      </c>
      <c r="BH9" t="s">
        <v>126</v>
      </c>
      <c r="BI9" t="s">
        <v>126</v>
      </c>
      <c r="BJ9" t="s">
        <v>126</v>
      </c>
      <c r="BK9" t="s">
        <v>126</v>
      </c>
      <c r="BS9" t="s">
        <v>126</v>
      </c>
      <c r="BT9" t="s">
        <v>126</v>
      </c>
      <c r="BU9" t="s">
        <v>126</v>
      </c>
      <c r="BV9" t="s">
        <v>126</v>
      </c>
      <c r="CN9" t="s">
        <v>181</v>
      </c>
      <c r="CP9" t="s">
        <v>182</v>
      </c>
      <c r="CQ9" t="s">
        <v>181</v>
      </c>
    </row>
    <row r="10" spans="1:97" x14ac:dyDescent="0.2">
      <c r="A10" t="s">
        <v>115</v>
      </c>
      <c r="B10" t="s">
        <v>116</v>
      </c>
      <c r="C10">
        <v>210784</v>
      </c>
      <c r="E10" t="s">
        <v>117</v>
      </c>
      <c r="F10">
        <v>368</v>
      </c>
      <c r="G10" t="s">
        <v>176</v>
      </c>
      <c r="H10" t="s">
        <v>177</v>
      </c>
      <c r="I10" t="s">
        <v>178</v>
      </c>
      <c r="J10" t="s">
        <v>179</v>
      </c>
      <c r="L10" t="s">
        <v>185</v>
      </c>
      <c r="M10" s="8">
        <v>44866</v>
      </c>
      <c r="N10">
        <v>7142683</v>
      </c>
      <c r="O10" t="s">
        <v>123</v>
      </c>
      <c r="P10" t="s">
        <v>124</v>
      </c>
      <c r="Q10">
        <v>18.12</v>
      </c>
      <c r="R10" t="s">
        <v>125</v>
      </c>
      <c r="S10" t="s">
        <v>126</v>
      </c>
      <c r="T10" t="s">
        <v>125</v>
      </c>
      <c r="U10" t="s">
        <v>126</v>
      </c>
      <c r="W10">
        <v>18.12</v>
      </c>
      <c r="Y10">
        <v>18.12</v>
      </c>
      <c r="AC10">
        <v>18.12</v>
      </c>
      <c r="BH10" t="s">
        <v>126</v>
      </c>
      <c r="BI10" t="s">
        <v>126</v>
      </c>
      <c r="BJ10" t="s">
        <v>126</v>
      </c>
      <c r="BK10" t="s">
        <v>126</v>
      </c>
      <c r="BS10" t="s">
        <v>126</v>
      </c>
      <c r="BT10" t="s">
        <v>126</v>
      </c>
      <c r="BU10" t="s">
        <v>126</v>
      </c>
      <c r="BV10" t="s">
        <v>126</v>
      </c>
      <c r="CN10" t="s">
        <v>181</v>
      </c>
      <c r="CP10" t="s">
        <v>182</v>
      </c>
      <c r="CQ10" t="s">
        <v>181</v>
      </c>
    </row>
    <row r="11" spans="1:97" x14ac:dyDescent="0.2">
      <c r="A11" t="s">
        <v>115</v>
      </c>
      <c r="B11" t="s">
        <v>116</v>
      </c>
      <c r="C11">
        <v>210784</v>
      </c>
      <c r="E11" t="s">
        <v>117</v>
      </c>
      <c r="F11">
        <v>368</v>
      </c>
      <c r="G11" t="s">
        <v>176</v>
      </c>
      <c r="H11" t="s">
        <v>177</v>
      </c>
      <c r="I11" t="s">
        <v>178</v>
      </c>
      <c r="J11" t="s">
        <v>179</v>
      </c>
      <c r="L11" t="s">
        <v>185</v>
      </c>
      <c r="M11" s="8">
        <v>44866</v>
      </c>
      <c r="N11">
        <v>7142720</v>
      </c>
      <c r="O11" t="s">
        <v>123</v>
      </c>
      <c r="P11" t="s">
        <v>124</v>
      </c>
      <c r="Q11">
        <v>23.07</v>
      </c>
      <c r="R11" t="s">
        <v>125</v>
      </c>
      <c r="S11" t="s">
        <v>126</v>
      </c>
      <c r="T11" t="s">
        <v>125</v>
      </c>
      <c r="U11" t="s">
        <v>126</v>
      </c>
      <c r="W11">
        <v>23.07</v>
      </c>
      <c r="Y11">
        <v>23.07</v>
      </c>
      <c r="AC11">
        <v>23.07</v>
      </c>
      <c r="BH11" t="s">
        <v>126</v>
      </c>
      <c r="BI11" t="s">
        <v>126</v>
      </c>
      <c r="BJ11" t="s">
        <v>126</v>
      </c>
      <c r="BK11" t="s">
        <v>126</v>
      </c>
      <c r="BS11" t="s">
        <v>126</v>
      </c>
      <c r="BT11" t="s">
        <v>126</v>
      </c>
      <c r="BU11" t="s">
        <v>126</v>
      </c>
      <c r="BV11" t="s">
        <v>126</v>
      </c>
      <c r="CN11" t="s">
        <v>181</v>
      </c>
      <c r="CP11" t="s">
        <v>182</v>
      </c>
      <c r="CQ11" t="s">
        <v>181</v>
      </c>
    </row>
    <row r="12" spans="1:97" x14ac:dyDescent="0.2">
      <c r="A12" t="s">
        <v>115</v>
      </c>
      <c r="B12" t="s">
        <v>116</v>
      </c>
      <c r="C12">
        <v>210784</v>
      </c>
      <c r="E12" t="s">
        <v>117</v>
      </c>
      <c r="F12">
        <v>368</v>
      </c>
      <c r="G12" t="s">
        <v>176</v>
      </c>
      <c r="H12" t="s">
        <v>177</v>
      </c>
      <c r="I12" t="s">
        <v>178</v>
      </c>
      <c r="J12" t="s">
        <v>179</v>
      </c>
      <c r="L12" t="s">
        <v>185</v>
      </c>
      <c r="M12" s="8">
        <v>44866</v>
      </c>
      <c r="N12">
        <v>7142734</v>
      </c>
      <c r="O12" t="s">
        <v>123</v>
      </c>
      <c r="P12" t="s">
        <v>124</v>
      </c>
      <c r="Q12">
        <v>21.46</v>
      </c>
      <c r="R12" t="s">
        <v>125</v>
      </c>
      <c r="S12" t="s">
        <v>126</v>
      </c>
      <c r="T12" t="s">
        <v>125</v>
      </c>
      <c r="U12" t="s">
        <v>126</v>
      </c>
      <c r="W12">
        <v>21.46</v>
      </c>
      <c r="Y12">
        <v>21.46</v>
      </c>
      <c r="AC12">
        <v>21.46</v>
      </c>
      <c r="BH12" t="s">
        <v>126</v>
      </c>
      <c r="BI12" t="s">
        <v>126</v>
      </c>
      <c r="BJ12" t="s">
        <v>126</v>
      </c>
      <c r="BK12" t="s">
        <v>126</v>
      </c>
      <c r="BS12" t="s">
        <v>126</v>
      </c>
      <c r="BT12" t="s">
        <v>126</v>
      </c>
      <c r="BU12" t="s">
        <v>126</v>
      </c>
      <c r="BV12" t="s">
        <v>126</v>
      </c>
      <c r="CN12" t="s">
        <v>181</v>
      </c>
      <c r="CP12" t="s">
        <v>182</v>
      </c>
      <c r="CQ12" t="s">
        <v>181</v>
      </c>
    </row>
    <row r="13" spans="1:97" x14ac:dyDescent="0.2">
      <c r="A13" t="s">
        <v>115</v>
      </c>
      <c r="B13" t="s">
        <v>116</v>
      </c>
      <c r="C13">
        <v>210784</v>
      </c>
      <c r="E13" t="s">
        <v>117</v>
      </c>
      <c r="F13">
        <v>368</v>
      </c>
      <c r="G13" t="s">
        <v>176</v>
      </c>
      <c r="H13" t="s">
        <v>177</v>
      </c>
      <c r="I13" t="s">
        <v>178</v>
      </c>
      <c r="J13" t="s">
        <v>179</v>
      </c>
      <c r="L13" t="s">
        <v>185</v>
      </c>
      <c r="M13" s="8">
        <v>44866</v>
      </c>
      <c r="N13">
        <v>7142766</v>
      </c>
      <c r="O13" t="s">
        <v>123</v>
      </c>
      <c r="P13" t="s">
        <v>124</v>
      </c>
      <c r="Q13">
        <v>12.89</v>
      </c>
      <c r="R13" t="s">
        <v>125</v>
      </c>
      <c r="S13" t="s">
        <v>126</v>
      </c>
      <c r="T13" t="s">
        <v>125</v>
      </c>
      <c r="U13" t="s">
        <v>126</v>
      </c>
      <c r="W13">
        <v>12.89</v>
      </c>
      <c r="Y13">
        <v>12.89</v>
      </c>
      <c r="AC13">
        <v>12.89</v>
      </c>
      <c r="BH13" t="s">
        <v>126</v>
      </c>
      <c r="BI13" t="s">
        <v>126</v>
      </c>
      <c r="BJ13" t="s">
        <v>126</v>
      </c>
      <c r="BK13" t="s">
        <v>126</v>
      </c>
      <c r="BS13" t="s">
        <v>126</v>
      </c>
      <c r="BT13" t="s">
        <v>126</v>
      </c>
      <c r="BU13" t="s">
        <v>126</v>
      </c>
      <c r="BV13" t="s">
        <v>126</v>
      </c>
      <c r="CN13" t="s">
        <v>181</v>
      </c>
      <c r="CP13" t="s">
        <v>182</v>
      </c>
      <c r="CQ13" t="s">
        <v>181</v>
      </c>
    </row>
    <row r="14" spans="1:97" x14ac:dyDescent="0.2">
      <c r="A14" t="s">
        <v>115</v>
      </c>
      <c r="B14" t="s">
        <v>116</v>
      </c>
      <c r="C14">
        <v>210784</v>
      </c>
      <c r="E14" t="s">
        <v>117</v>
      </c>
      <c r="F14">
        <v>368</v>
      </c>
      <c r="G14" t="s">
        <v>176</v>
      </c>
      <c r="H14" t="s">
        <v>177</v>
      </c>
      <c r="I14" t="s">
        <v>178</v>
      </c>
      <c r="J14" t="s">
        <v>179</v>
      </c>
      <c r="L14" t="s">
        <v>185</v>
      </c>
      <c r="M14" s="8">
        <v>44866</v>
      </c>
      <c r="N14">
        <v>7142770</v>
      </c>
      <c r="O14" t="s">
        <v>123</v>
      </c>
      <c r="P14" t="s">
        <v>124</v>
      </c>
      <c r="Q14">
        <v>19.48</v>
      </c>
      <c r="R14" t="s">
        <v>125</v>
      </c>
      <c r="S14" t="s">
        <v>126</v>
      </c>
      <c r="T14" t="s">
        <v>125</v>
      </c>
      <c r="U14" t="s">
        <v>126</v>
      </c>
      <c r="W14">
        <v>19.48</v>
      </c>
      <c r="Y14">
        <v>19.48</v>
      </c>
      <c r="AC14">
        <v>19.48</v>
      </c>
      <c r="BH14" t="s">
        <v>126</v>
      </c>
      <c r="BI14" t="s">
        <v>126</v>
      </c>
      <c r="BJ14" t="s">
        <v>126</v>
      </c>
      <c r="BK14" t="s">
        <v>126</v>
      </c>
      <c r="BS14" t="s">
        <v>126</v>
      </c>
      <c r="BT14" t="s">
        <v>126</v>
      </c>
      <c r="BU14" t="s">
        <v>126</v>
      </c>
      <c r="BV14" t="s">
        <v>126</v>
      </c>
      <c r="CN14" t="s">
        <v>181</v>
      </c>
      <c r="CP14" t="s">
        <v>182</v>
      </c>
      <c r="CQ14" t="s">
        <v>181</v>
      </c>
    </row>
    <row r="15" spans="1:97" x14ac:dyDescent="0.2">
      <c r="A15" t="s">
        <v>115</v>
      </c>
      <c r="B15" t="s">
        <v>116</v>
      </c>
      <c r="C15">
        <v>210784</v>
      </c>
      <c r="E15" t="s">
        <v>117</v>
      </c>
      <c r="F15">
        <v>368</v>
      </c>
      <c r="G15" t="s">
        <v>176</v>
      </c>
      <c r="H15" t="s">
        <v>177</v>
      </c>
      <c r="I15" t="s">
        <v>178</v>
      </c>
      <c r="J15" t="s">
        <v>179</v>
      </c>
      <c r="L15" t="s">
        <v>185</v>
      </c>
      <c r="M15" s="8">
        <v>44866</v>
      </c>
      <c r="N15">
        <v>7142802</v>
      </c>
      <c r="O15" t="s">
        <v>123</v>
      </c>
      <c r="P15" t="s">
        <v>124</v>
      </c>
      <c r="Q15">
        <v>20.43</v>
      </c>
      <c r="R15" t="s">
        <v>125</v>
      </c>
      <c r="S15" t="s">
        <v>126</v>
      </c>
      <c r="T15" t="s">
        <v>125</v>
      </c>
      <c r="U15" t="s">
        <v>126</v>
      </c>
      <c r="W15">
        <v>20.43</v>
      </c>
      <c r="Y15">
        <v>20.43</v>
      </c>
      <c r="AC15">
        <v>20.43</v>
      </c>
      <c r="BH15" t="s">
        <v>126</v>
      </c>
      <c r="BI15" t="s">
        <v>126</v>
      </c>
      <c r="BJ15" t="s">
        <v>126</v>
      </c>
      <c r="BK15" t="s">
        <v>126</v>
      </c>
      <c r="BS15" t="s">
        <v>126</v>
      </c>
      <c r="BT15" t="s">
        <v>126</v>
      </c>
      <c r="BU15" t="s">
        <v>126</v>
      </c>
      <c r="BV15" t="s">
        <v>126</v>
      </c>
      <c r="CN15" t="s">
        <v>181</v>
      </c>
      <c r="CP15" t="s">
        <v>182</v>
      </c>
      <c r="CQ15" t="s">
        <v>181</v>
      </c>
    </row>
    <row r="16" spans="1:97" x14ac:dyDescent="0.2">
      <c r="A16" t="s">
        <v>115</v>
      </c>
      <c r="B16" t="s">
        <v>116</v>
      </c>
      <c r="C16">
        <v>210784</v>
      </c>
      <c r="E16" t="s">
        <v>117</v>
      </c>
      <c r="F16">
        <v>368</v>
      </c>
      <c r="G16" t="s">
        <v>176</v>
      </c>
      <c r="H16" t="s">
        <v>177</v>
      </c>
      <c r="I16" t="s">
        <v>178</v>
      </c>
      <c r="J16" t="s">
        <v>179</v>
      </c>
      <c r="L16" t="s">
        <v>185</v>
      </c>
      <c r="M16" s="8">
        <v>44866</v>
      </c>
      <c r="N16">
        <v>7142809</v>
      </c>
      <c r="O16" t="s">
        <v>123</v>
      </c>
      <c r="P16" t="s">
        <v>124</v>
      </c>
      <c r="Q16">
        <v>18.89</v>
      </c>
      <c r="R16" t="s">
        <v>125</v>
      </c>
      <c r="S16" t="s">
        <v>126</v>
      </c>
      <c r="T16" t="s">
        <v>125</v>
      </c>
      <c r="U16" t="s">
        <v>126</v>
      </c>
      <c r="W16">
        <v>18.89</v>
      </c>
      <c r="Y16">
        <v>18.89</v>
      </c>
      <c r="AC16">
        <v>18.89</v>
      </c>
      <c r="BH16" t="s">
        <v>126</v>
      </c>
      <c r="BI16" t="s">
        <v>126</v>
      </c>
      <c r="BJ16" t="s">
        <v>126</v>
      </c>
      <c r="BK16" t="s">
        <v>126</v>
      </c>
      <c r="BS16" t="s">
        <v>126</v>
      </c>
      <c r="BT16" t="s">
        <v>126</v>
      </c>
      <c r="BU16" t="s">
        <v>126</v>
      </c>
      <c r="BV16" t="s">
        <v>126</v>
      </c>
      <c r="CN16" t="s">
        <v>181</v>
      </c>
      <c r="CP16" t="s">
        <v>182</v>
      </c>
      <c r="CQ16" t="s">
        <v>181</v>
      </c>
    </row>
    <row r="17" spans="1:95" x14ac:dyDescent="0.2">
      <c r="A17" t="s">
        <v>115</v>
      </c>
      <c r="B17" t="s">
        <v>116</v>
      </c>
      <c r="C17">
        <v>210784</v>
      </c>
      <c r="E17" t="s">
        <v>117</v>
      </c>
      <c r="F17">
        <v>368</v>
      </c>
      <c r="G17" t="s">
        <v>176</v>
      </c>
      <c r="H17" t="s">
        <v>177</v>
      </c>
      <c r="I17" t="s">
        <v>178</v>
      </c>
      <c r="J17" t="s">
        <v>179</v>
      </c>
      <c r="L17" t="s">
        <v>186</v>
      </c>
      <c r="M17" s="8">
        <v>44866</v>
      </c>
      <c r="N17">
        <v>7142874</v>
      </c>
      <c r="O17" t="s">
        <v>123</v>
      </c>
      <c r="P17" t="s">
        <v>124</v>
      </c>
      <c r="Q17">
        <v>22.62</v>
      </c>
      <c r="R17" t="s">
        <v>125</v>
      </c>
      <c r="S17" t="s">
        <v>126</v>
      </c>
      <c r="T17" t="s">
        <v>125</v>
      </c>
      <c r="U17" t="s">
        <v>126</v>
      </c>
      <c r="W17">
        <v>22.62</v>
      </c>
      <c r="Y17">
        <v>22.62</v>
      </c>
      <c r="AC17">
        <v>22.62</v>
      </c>
      <c r="BH17" t="s">
        <v>126</v>
      </c>
      <c r="BI17" t="s">
        <v>126</v>
      </c>
      <c r="BJ17" t="s">
        <v>126</v>
      </c>
      <c r="BK17" t="s">
        <v>126</v>
      </c>
      <c r="BS17" t="s">
        <v>126</v>
      </c>
      <c r="BT17" t="s">
        <v>126</v>
      </c>
      <c r="BU17" t="s">
        <v>126</v>
      </c>
      <c r="BV17" t="s">
        <v>126</v>
      </c>
      <c r="CN17" t="s">
        <v>181</v>
      </c>
      <c r="CP17" t="s">
        <v>182</v>
      </c>
      <c r="CQ17" t="s">
        <v>181</v>
      </c>
    </row>
    <row r="18" spans="1:95" x14ac:dyDescent="0.2">
      <c r="A18" t="s">
        <v>115</v>
      </c>
      <c r="B18" t="s">
        <v>116</v>
      </c>
      <c r="C18">
        <v>210784</v>
      </c>
      <c r="E18" t="s">
        <v>117</v>
      </c>
      <c r="F18">
        <v>368</v>
      </c>
      <c r="G18" t="s">
        <v>176</v>
      </c>
      <c r="H18" t="s">
        <v>177</v>
      </c>
      <c r="I18" t="s">
        <v>178</v>
      </c>
      <c r="J18" t="s">
        <v>179</v>
      </c>
      <c r="L18" t="s">
        <v>186</v>
      </c>
      <c r="M18" s="8">
        <v>44866</v>
      </c>
      <c r="N18">
        <v>7142883</v>
      </c>
      <c r="O18" t="s">
        <v>123</v>
      </c>
      <c r="P18" t="s">
        <v>124</v>
      </c>
      <c r="Q18">
        <v>20.94</v>
      </c>
      <c r="R18" t="s">
        <v>125</v>
      </c>
      <c r="S18" t="s">
        <v>126</v>
      </c>
      <c r="T18" t="s">
        <v>125</v>
      </c>
      <c r="U18" t="s">
        <v>126</v>
      </c>
      <c r="W18">
        <v>20.94</v>
      </c>
      <c r="Y18">
        <v>20.94</v>
      </c>
      <c r="AC18">
        <v>20.94</v>
      </c>
      <c r="BH18" t="s">
        <v>126</v>
      </c>
      <c r="BI18" t="s">
        <v>126</v>
      </c>
      <c r="BJ18" t="s">
        <v>126</v>
      </c>
      <c r="BK18" t="s">
        <v>126</v>
      </c>
      <c r="BS18" t="s">
        <v>126</v>
      </c>
      <c r="BT18" t="s">
        <v>126</v>
      </c>
      <c r="BU18" t="s">
        <v>126</v>
      </c>
      <c r="BV18" t="s">
        <v>126</v>
      </c>
      <c r="CN18" t="s">
        <v>181</v>
      </c>
      <c r="CP18" t="s">
        <v>182</v>
      </c>
      <c r="CQ18" t="s">
        <v>181</v>
      </c>
    </row>
    <row r="19" spans="1:95" x14ac:dyDescent="0.2">
      <c r="A19" t="s">
        <v>115</v>
      </c>
      <c r="B19" t="s">
        <v>116</v>
      </c>
      <c r="C19">
        <v>210784</v>
      </c>
      <c r="E19" t="s">
        <v>117</v>
      </c>
      <c r="F19">
        <v>368</v>
      </c>
      <c r="G19" t="s">
        <v>176</v>
      </c>
      <c r="H19" t="s">
        <v>177</v>
      </c>
      <c r="I19" t="s">
        <v>178</v>
      </c>
      <c r="J19" t="s">
        <v>179</v>
      </c>
      <c r="L19" t="s">
        <v>186</v>
      </c>
      <c r="M19" s="8">
        <v>44866</v>
      </c>
      <c r="N19">
        <v>7142943</v>
      </c>
      <c r="O19" t="s">
        <v>123</v>
      </c>
      <c r="P19" t="s">
        <v>124</v>
      </c>
      <c r="Q19">
        <v>22.54</v>
      </c>
      <c r="R19" t="s">
        <v>125</v>
      </c>
      <c r="S19" t="s">
        <v>126</v>
      </c>
      <c r="T19" t="s">
        <v>125</v>
      </c>
      <c r="U19" t="s">
        <v>126</v>
      </c>
      <c r="W19">
        <v>22.54</v>
      </c>
      <c r="Y19">
        <v>22.54</v>
      </c>
      <c r="AC19">
        <v>22.54</v>
      </c>
      <c r="BH19" t="s">
        <v>126</v>
      </c>
      <c r="BI19" t="s">
        <v>126</v>
      </c>
      <c r="BJ19" t="s">
        <v>126</v>
      </c>
      <c r="BK19" t="s">
        <v>126</v>
      </c>
      <c r="BS19" t="s">
        <v>126</v>
      </c>
      <c r="BT19" t="s">
        <v>126</v>
      </c>
      <c r="BU19" t="s">
        <v>126</v>
      </c>
      <c r="BV19" t="s">
        <v>126</v>
      </c>
      <c r="CN19" t="s">
        <v>181</v>
      </c>
      <c r="CP19" t="s">
        <v>182</v>
      </c>
      <c r="CQ19" t="s">
        <v>181</v>
      </c>
    </row>
    <row r="20" spans="1:95" x14ac:dyDescent="0.2">
      <c r="A20" t="s">
        <v>115</v>
      </c>
      <c r="B20" t="s">
        <v>116</v>
      </c>
      <c r="C20">
        <v>210784</v>
      </c>
      <c r="E20" t="s">
        <v>117</v>
      </c>
      <c r="F20">
        <v>368</v>
      </c>
      <c r="G20" t="s">
        <v>176</v>
      </c>
      <c r="H20" t="s">
        <v>177</v>
      </c>
      <c r="I20" t="s">
        <v>178</v>
      </c>
      <c r="J20" t="s">
        <v>179</v>
      </c>
      <c r="L20" t="s">
        <v>186</v>
      </c>
      <c r="M20" s="8">
        <v>44866</v>
      </c>
      <c r="N20">
        <v>7142948</v>
      </c>
      <c r="O20" t="s">
        <v>123</v>
      </c>
      <c r="P20" t="s">
        <v>124</v>
      </c>
      <c r="Q20">
        <v>22.03</v>
      </c>
      <c r="R20" t="s">
        <v>125</v>
      </c>
      <c r="S20" t="s">
        <v>126</v>
      </c>
      <c r="T20" t="s">
        <v>125</v>
      </c>
      <c r="U20" t="s">
        <v>126</v>
      </c>
      <c r="W20">
        <v>22.03</v>
      </c>
      <c r="Y20">
        <v>22.03</v>
      </c>
      <c r="AC20">
        <v>22.03</v>
      </c>
      <c r="BH20" t="s">
        <v>126</v>
      </c>
      <c r="BI20" t="s">
        <v>126</v>
      </c>
      <c r="BJ20" t="s">
        <v>126</v>
      </c>
      <c r="BK20" t="s">
        <v>126</v>
      </c>
      <c r="BS20" t="s">
        <v>126</v>
      </c>
      <c r="BT20" t="s">
        <v>126</v>
      </c>
      <c r="BU20" t="s">
        <v>126</v>
      </c>
      <c r="BV20" t="s">
        <v>126</v>
      </c>
      <c r="CN20" t="s">
        <v>181</v>
      </c>
      <c r="CP20" t="s">
        <v>182</v>
      </c>
      <c r="CQ20" t="s">
        <v>181</v>
      </c>
    </row>
    <row r="21" spans="1:95" x14ac:dyDescent="0.2">
      <c r="A21" t="s">
        <v>115</v>
      </c>
      <c r="B21" t="s">
        <v>116</v>
      </c>
      <c r="C21">
        <v>210784</v>
      </c>
      <c r="E21" t="s">
        <v>117</v>
      </c>
      <c r="F21">
        <v>368</v>
      </c>
      <c r="G21" t="s">
        <v>176</v>
      </c>
      <c r="H21" t="s">
        <v>177</v>
      </c>
      <c r="I21" t="s">
        <v>178</v>
      </c>
      <c r="J21" t="s">
        <v>179</v>
      </c>
      <c r="L21" t="s">
        <v>186</v>
      </c>
      <c r="M21" s="8">
        <v>44866</v>
      </c>
      <c r="N21">
        <v>7143011</v>
      </c>
      <c r="O21" t="s">
        <v>123</v>
      </c>
      <c r="P21" t="s">
        <v>124</v>
      </c>
      <c r="Q21">
        <v>22.74</v>
      </c>
      <c r="R21" t="s">
        <v>125</v>
      </c>
      <c r="S21" t="s">
        <v>126</v>
      </c>
      <c r="T21" t="s">
        <v>125</v>
      </c>
      <c r="U21" t="s">
        <v>126</v>
      </c>
      <c r="W21">
        <v>22.74</v>
      </c>
      <c r="Y21">
        <v>22.74</v>
      </c>
      <c r="AC21">
        <v>22.74</v>
      </c>
      <c r="BH21" t="s">
        <v>126</v>
      </c>
      <c r="BI21" t="s">
        <v>126</v>
      </c>
      <c r="BJ21" t="s">
        <v>126</v>
      </c>
      <c r="BK21" t="s">
        <v>126</v>
      </c>
      <c r="BS21" t="s">
        <v>126</v>
      </c>
      <c r="BT21" t="s">
        <v>126</v>
      </c>
      <c r="BU21" t="s">
        <v>126</v>
      </c>
      <c r="BV21" t="s">
        <v>126</v>
      </c>
      <c r="CN21" t="s">
        <v>181</v>
      </c>
      <c r="CP21" t="s">
        <v>182</v>
      </c>
      <c r="CQ21" t="s">
        <v>181</v>
      </c>
    </row>
    <row r="22" spans="1:95" x14ac:dyDescent="0.2">
      <c r="A22" t="s">
        <v>115</v>
      </c>
      <c r="B22" t="s">
        <v>116</v>
      </c>
      <c r="C22">
        <v>210784</v>
      </c>
      <c r="E22" t="s">
        <v>117</v>
      </c>
      <c r="F22">
        <v>368</v>
      </c>
      <c r="G22" t="s">
        <v>176</v>
      </c>
      <c r="H22" t="s">
        <v>177</v>
      </c>
      <c r="I22" t="s">
        <v>178</v>
      </c>
      <c r="J22" t="s">
        <v>179</v>
      </c>
      <c r="L22" t="s">
        <v>186</v>
      </c>
      <c r="M22" s="8">
        <v>44866</v>
      </c>
      <c r="N22">
        <v>7143039</v>
      </c>
      <c r="O22" t="s">
        <v>123</v>
      </c>
      <c r="P22" t="s">
        <v>124</v>
      </c>
      <c r="Q22">
        <v>20.309999999999999</v>
      </c>
      <c r="R22" t="s">
        <v>125</v>
      </c>
      <c r="S22" t="s">
        <v>126</v>
      </c>
      <c r="T22" t="s">
        <v>125</v>
      </c>
      <c r="U22" t="s">
        <v>126</v>
      </c>
      <c r="W22">
        <v>20.309999999999999</v>
      </c>
      <c r="Y22">
        <v>20.309999999999999</v>
      </c>
      <c r="AC22">
        <v>20.309999999999999</v>
      </c>
      <c r="BH22" t="s">
        <v>126</v>
      </c>
      <c r="BI22" t="s">
        <v>126</v>
      </c>
      <c r="BJ22" t="s">
        <v>126</v>
      </c>
      <c r="BK22" t="s">
        <v>126</v>
      </c>
      <c r="BS22" t="s">
        <v>126</v>
      </c>
      <c r="BT22" t="s">
        <v>126</v>
      </c>
      <c r="BU22" t="s">
        <v>126</v>
      </c>
      <c r="BV22" t="s">
        <v>126</v>
      </c>
      <c r="CN22" t="s">
        <v>181</v>
      </c>
      <c r="CP22" t="s">
        <v>182</v>
      </c>
      <c r="CQ22" t="s">
        <v>181</v>
      </c>
    </row>
    <row r="23" spans="1:95" x14ac:dyDescent="0.2">
      <c r="A23" t="s">
        <v>115</v>
      </c>
      <c r="B23" t="s">
        <v>116</v>
      </c>
      <c r="C23">
        <v>210784</v>
      </c>
      <c r="E23" t="s">
        <v>117</v>
      </c>
      <c r="F23">
        <v>368</v>
      </c>
      <c r="G23" t="s">
        <v>176</v>
      </c>
      <c r="H23" t="s">
        <v>177</v>
      </c>
      <c r="I23" t="s">
        <v>178</v>
      </c>
      <c r="J23" t="s">
        <v>179</v>
      </c>
      <c r="L23" t="s">
        <v>186</v>
      </c>
      <c r="M23" s="8">
        <v>44866</v>
      </c>
      <c r="N23">
        <v>7143063</v>
      </c>
      <c r="O23" t="s">
        <v>123</v>
      </c>
      <c r="P23" t="s">
        <v>124</v>
      </c>
      <c r="Q23">
        <v>23.27</v>
      </c>
      <c r="R23" t="s">
        <v>125</v>
      </c>
      <c r="S23" t="s">
        <v>126</v>
      </c>
      <c r="T23" t="s">
        <v>125</v>
      </c>
      <c r="U23" t="s">
        <v>126</v>
      </c>
      <c r="W23">
        <v>23.27</v>
      </c>
      <c r="Y23">
        <v>23.27</v>
      </c>
      <c r="AC23">
        <v>23.27</v>
      </c>
      <c r="BH23" t="s">
        <v>126</v>
      </c>
      <c r="BI23" t="s">
        <v>126</v>
      </c>
      <c r="BJ23" t="s">
        <v>126</v>
      </c>
      <c r="BK23" t="s">
        <v>126</v>
      </c>
      <c r="BS23" t="s">
        <v>126</v>
      </c>
      <c r="BT23" t="s">
        <v>126</v>
      </c>
      <c r="BU23" t="s">
        <v>126</v>
      </c>
      <c r="BV23" t="s">
        <v>126</v>
      </c>
      <c r="CN23" t="s">
        <v>181</v>
      </c>
      <c r="CP23" t="s">
        <v>182</v>
      </c>
      <c r="CQ23" t="s">
        <v>181</v>
      </c>
    </row>
    <row r="24" spans="1:95" x14ac:dyDescent="0.2">
      <c r="A24" t="s">
        <v>115</v>
      </c>
      <c r="B24" t="s">
        <v>116</v>
      </c>
      <c r="C24">
        <v>210784</v>
      </c>
      <c r="E24" t="s">
        <v>117</v>
      </c>
      <c r="F24">
        <v>368</v>
      </c>
      <c r="G24" t="s">
        <v>176</v>
      </c>
      <c r="H24" t="s">
        <v>177</v>
      </c>
      <c r="I24" t="s">
        <v>178</v>
      </c>
      <c r="J24" t="s">
        <v>179</v>
      </c>
      <c r="L24" t="s">
        <v>186</v>
      </c>
      <c r="M24" s="8">
        <v>44866</v>
      </c>
      <c r="N24">
        <v>7143071</v>
      </c>
      <c r="O24" t="s">
        <v>123</v>
      </c>
      <c r="P24" t="s">
        <v>124</v>
      </c>
      <c r="Q24">
        <v>19.760000000000002</v>
      </c>
      <c r="R24" t="s">
        <v>125</v>
      </c>
      <c r="S24" t="s">
        <v>126</v>
      </c>
      <c r="T24" t="s">
        <v>125</v>
      </c>
      <c r="U24" t="s">
        <v>126</v>
      </c>
      <c r="W24">
        <v>19.760000000000002</v>
      </c>
      <c r="Y24">
        <v>19.760000000000002</v>
      </c>
      <c r="AC24">
        <v>19.760000000000002</v>
      </c>
      <c r="BH24" t="s">
        <v>126</v>
      </c>
      <c r="BI24" t="s">
        <v>126</v>
      </c>
      <c r="BJ24" t="s">
        <v>126</v>
      </c>
      <c r="BK24" t="s">
        <v>126</v>
      </c>
      <c r="BS24" t="s">
        <v>126</v>
      </c>
      <c r="BT24" t="s">
        <v>126</v>
      </c>
      <c r="BU24" t="s">
        <v>126</v>
      </c>
      <c r="BV24" t="s">
        <v>126</v>
      </c>
      <c r="CN24" t="s">
        <v>181</v>
      </c>
      <c r="CP24" t="s">
        <v>182</v>
      </c>
      <c r="CQ24" t="s">
        <v>181</v>
      </c>
    </row>
    <row r="25" spans="1:95" x14ac:dyDescent="0.2">
      <c r="A25" t="s">
        <v>115</v>
      </c>
      <c r="B25" t="s">
        <v>116</v>
      </c>
      <c r="C25">
        <v>210784</v>
      </c>
      <c r="E25" t="s">
        <v>117</v>
      </c>
      <c r="F25">
        <v>368</v>
      </c>
      <c r="G25" t="s">
        <v>176</v>
      </c>
      <c r="H25" t="s">
        <v>177</v>
      </c>
      <c r="I25" t="s">
        <v>178</v>
      </c>
      <c r="J25" t="s">
        <v>179</v>
      </c>
      <c r="L25" t="s">
        <v>187</v>
      </c>
      <c r="M25" s="8">
        <v>44866</v>
      </c>
      <c r="N25">
        <v>7143140</v>
      </c>
      <c r="O25" t="s">
        <v>123</v>
      </c>
      <c r="P25" t="s">
        <v>124</v>
      </c>
      <c r="Q25">
        <v>21.81</v>
      </c>
      <c r="R25" t="s">
        <v>125</v>
      </c>
      <c r="S25" t="s">
        <v>126</v>
      </c>
      <c r="T25" t="s">
        <v>125</v>
      </c>
      <c r="U25" t="s">
        <v>126</v>
      </c>
      <c r="W25">
        <v>21.81</v>
      </c>
      <c r="Y25">
        <v>21.81</v>
      </c>
      <c r="AC25">
        <v>21.81</v>
      </c>
      <c r="BH25" t="s">
        <v>126</v>
      </c>
      <c r="BI25" t="s">
        <v>126</v>
      </c>
      <c r="BJ25" t="s">
        <v>126</v>
      </c>
      <c r="BK25" t="s">
        <v>126</v>
      </c>
      <c r="BS25" t="s">
        <v>126</v>
      </c>
      <c r="BT25" t="s">
        <v>126</v>
      </c>
      <c r="BU25" t="s">
        <v>126</v>
      </c>
      <c r="BV25" t="s">
        <v>126</v>
      </c>
      <c r="CN25" t="s">
        <v>181</v>
      </c>
      <c r="CP25" t="s">
        <v>182</v>
      </c>
      <c r="CQ25" t="s">
        <v>181</v>
      </c>
    </row>
    <row r="26" spans="1:95" x14ac:dyDescent="0.2">
      <c r="A26" t="s">
        <v>115</v>
      </c>
      <c r="B26" t="s">
        <v>116</v>
      </c>
      <c r="C26">
        <v>210784</v>
      </c>
      <c r="E26" t="s">
        <v>117</v>
      </c>
      <c r="F26">
        <v>368</v>
      </c>
      <c r="G26" t="s">
        <v>176</v>
      </c>
      <c r="H26" t="s">
        <v>177</v>
      </c>
      <c r="I26" t="s">
        <v>178</v>
      </c>
      <c r="J26" t="s">
        <v>179</v>
      </c>
      <c r="L26" t="s">
        <v>187</v>
      </c>
      <c r="M26" s="8">
        <v>44866</v>
      </c>
      <c r="N26">
        <v>7143142</v>
      </c>
      <c r="O26" t="s">
        <v>123</v>
      </c>
      <c r="P26" t="s">
        <v>124</v>
      </c>
      <c r="Q26">
        <v>20.63</v>
      </c>
      <c r="R26" t="s">
        <v>125</v>
      </c>
      <c r="S26" t="s">
        <v>126</v>
      </c>
      <c r="T26" t="s">
        <v>125</v>
      </c>
      <c r="U26" t="s">
        <v>126</v>
      </c>
      <c r="W26">
        <v>20.63</v>
      </c>
      <c r="Y26">
        <v>20.63</v>
      </c>
      <c r="AC26">
        <v>20.63</v>
      </c>
      <c r="BH26" t="s">
        <v>126</v>
      </c>
      <c r="BI26" t="s">
        <v>126</v>
      </c>
      <c r="BJ26" t="s">
        <v>126</v>
      </c>
      <c r="BK26" t="s">
        <v>126</v>
      </c>
      <c r="BS26" t="s">
        <v>126</v>
      </c>
      <c r="BT26" t="s">
        <v>126</v>
      </c>
      <c r="BU26" t="s">
        <v>126</v>
      </c>
      <c r="BV26" t="s">
        <v>126</v>
      </c>
      <c r="CN26" t="s">
        <v>181</v>
      </c>
      <c r="CP26" t="s">
        <v>182</v>
      </c>
      <c r="CQ26" t="s">
        <v>181</v>
      </c>
    </row>
    <row r="27" spans="1:95" x14ac:dyDescent="0.2">
      <c r="A27" t="s">
        <v>115</v>
      </c>
      <c r="B27" t="s">
        <v>116</v>
      </c>
      <c r="C27">
        <v>210784</v>
      </c>
      <c r="E27" t="s">
        <v>117</v>
      </c>
      <c r="F27">
        <v>368</v>
      </c>
      <c r="G27" t="s">
        <v>176</v>
      </c>
      <c r="H27" t="s">
        <v>177</v>
      </c>
      <c r="I27" t="s">
        <v>178</v>
      </c>
      <c r="J27" t="s">
        <v>179</v>
      </c>
      <c r="L27" t="s">
        <v>187</v>
      </c>
      <c r="M27" s="8">
        <v>44866</v>
      </c>
      <c r="N27">
        <v>7143175</v>
      </c>
      <c r="O27" t="s">
        <v>123</v>
      </c>
      <c r="P27" t="s">
        <v>124</v>
      </c>
      <c r="Q27">
        <v>20.6</v>
      </c>
      <c r="R27" t="s">
        <v>125</v>
      </c>
      <c r="S27" t="s">
        <v>126</v>
      </c>
      <c r="T27" t="s">
        <v>125</v>
      </c>
      <c r="U27" t="s">
        <v>126</v>
      </c>
      <c r="W27">
        <v>20.6</v>
      </c>
      <c r="Y27">
        <v>20.6</v>
      </c>
      <c r="AC27">
        <v>20.6</v>
      </c>
      <c r="BH27" t="s">
        <v>126</v>
      </c>
      <c r="BI27" t="s">
        <v>126</v>
      </c>
      <c r="BJ27" t="s">
        <v>126</v>
      </c>
      <c r="BK27" t="s">
        <v>126</v>
      </c>
      <c r="BS27" t="s">
        <v>126</v>
      </c>
      <c r="BT27" t="s">
        <v>126</v>
      </c>
      <c r="BU27" t="s">
        <v>126</v>
      </c>
      <c r="BV27" t="s">
        <v>126</v>
      </c>
      <c r="CN27" t="s">
        <v>181</v>
      </c>
      <c r="CP27" t="s">
        <v>182</v>
      </c>
      <c r="CQ27" t="s">
        <v>181</v>
      </c>
    </row>
    <row r="28" spans="1:95" x14ac:dyDescent="0.2">
      <c r="A28" t="s">
        <v>115</v>
      </c>
      <c r="B28" t="s">
        <v>116</v>
      </c>
      <c r="C28">
        <v>210784</v>
      </c>
      <c r="E28" t="s">
        <v>117</v>
      </c>
      <c r="F28">
        <v>368</v>
      </c>
      <c r="G28" t="s">
        <v>176</v>
      </c>
      <c r="H28" t="s">
        <v>177</v>
      </c>
      <c r="I28" t="s">
        <v>178</v>
      </c>
      <c r="J28" t="s">
        <v>179</v>
      </c>
      <c r="L28" t="s">
        <v>187</v>
      </c>
      <c r="M28" s="8">
        <v>44866</v>
      </c>
      <c r="N28">
        <v>7143180</v>
      </c>
      <c r="O28" t="s">
        <v>123</v>
      </c>
      <c r="P28" t="s">
        <v>124</v>
      </c>
      <c r="Q28">
        <v>21.11</v>
      </c>
      <c r="R28" t="s">
        <v>125</v>
      </c>
      <c r="S28" t="s">
        <v>126</v>
      </c>
      <c r="T28" t="s">
        <v>125</v>
      </c>
      <c r="U28" t="s">
        <v>126</v>
      </c>
      <c r="W28">
        <v>21.11</v>
      </c>
      <c r="Y28">
        <v>21.11</v>
      </c>
      <c r="AC28">
        <v>21.11</v>
      </c>
      <c r="BH28" t="s">
        <v>126</v>
      </c>
      <c r="BI28" t="s">
        <v>126</v>
      </c>
      <c r="BJ28" t="s">
        <v>126</v>
      </c>
      <c r="BK28" t="s">
        <v>126</v>
      </c>
      <c r="BS28" t="s">
        <v>126</v>
      </c>
      <c r="BT28" t="s">
        <v>126</v>
      </c>
      <c r="BU28" t="s">
        <v>126</v>
      </c>
      <c r="BV28" t="s">
        <v>126</v>
      </c>
      <c r="CN28" t="s">
        <v>181</v>
      </c>
      <c r="CP28" t="s">
        <v>182</v>
      </c>
      <c r="CQ28" t="s">
        <v>181</v>
      </c>
    </row>
    <row r="29" spans="1:95" x14ac:dyDescent="0.2">
      <c r="A29" t="s">
        <v>115</v>
      </c>
      <c r="B29" t="s">
        <v>116</v>
      </c>
      <c r="C29">
        <v>210784</v>
      </c>
      <c r="E29" t="s">
        <v>117</v>
      </c>
      <c r="F29">
        <v>368</v>
      </c>
      <c r="G29" t="s">
        <v>176</v>
      </c>
      <c r="H29" t="s">
        <v>177</v>
      </c>
      <c r="I29" t="s">
        <v>178</v>
      </c>
      <c r="J29" t="s">
        <v>179</v>
      </c>
      <c r="L29" t="s">
        <v>187</v>
      </c>
      <c r="M29" s="8">
        <v>44866</v>
      </c>
      <c r="N29">
        <v>7143210</v>
      </c>
      <c r="O29" t="s">
        <v>123</v>
      </c>
      <c r="P29" t="s">
        <v>124</v>
      </c>
      <c r="Q29">
        <v>23.57</v>
      </c>
      <c r="R29" t="s">
        <v>125</v>
      </c>
      <c r="S29" t="s">
        <v>126</v>
      </c>
      <c r="T29" t="s">
        <v>125</v>
      </c>
      <c r="U29" t="s">
        <v>126</v>
      </c>
      <c r="W29">
        <v>23.57</v>
      </c>
      <c r="Y29">
        <v>23.57</v>
      </c>
      <c r="AC29">
        <v>23.57</v>
      </c>
      <c r="BH29" t="s">
        <v>126</v>
      </c>
      <c r="BI29" t="s">
        <v>126</v>
      </c>
      <c r="BJ29" t="s">
        <v>126</v>
      </c>
      <c r="BK29" t="s">
        <v>126</v>
      </c>
      <c r="BS29" t="s">
        <v>126</v>
      </c>
      <c r="BT29" t="s">
        <v>126</v>
      </c>
      <c r="BU29" t="s">
        <v>126</v>
      </c>
      <c r="BV29" t="s">
        <v>126</v>
      </c>
      <c r="CN29" t="s">
        <v>181</v>
      </c>
      <c r="CP29" t="s">
        <v>182</v>
      </c>
      <c r="CQ29" t="s">
        <v>181</v>
      </c>
    </row>
    <row r="30" spans="1:95" x14ac:dyDescent="0.2">
      <c r="A30" t="s">
        <v>115</v>
      </c>
      <c r="B30" t="s">
        <v>116</v>
      </c>
      <c r="C30">
        <v>210784</v>
      </c>
      <c r="E30" t="s">
        <v>117</v>
      </c>
      <c r="F30">
        <v>368</v>
      </c>
      <c r="G30" t="s">
        <v>176</v>
      </c>
      <c r="H30" t="s">
        <v>177</v>
      </c>
      <c r="I30" t="s">
        <v>492</v>
      </c>
      <c r="J30" t="s">
        <v>493</v>
      </c>
      <c r="L30" t="s">
        <v>506</v>
      </c>
      <c r="M30" s="8">
        <v>44866</v>
      </c>
      <c r="N30" t="s">
        <v>507</v>
      </c>
      <c r="O30" t="s">
        <v>123</v>
      </c>
      <c r="P30" t="s">
        <v>124</v>
      </c>
      <c r="Q30">
        <v>3.52</v>
      </c>
      <c r="R30" t="s">
        <v>125</v>
      </c>
      <c r="S30" t="s">
        <v>126</v>
      </c>
      <c r="T30" t="s">
        <v>125</v>
      </c>
      <c r="U30" t="s">
        <v>126</v>
      </c>
      <c r="W30">
        <v>3.52</v>
      </c>
      <c r="Y30">
        <v>3.52</v>
      </c>
      <c r="AF30">
        <v>3.52</v>
      </c>
      <c r="BH30" t="s">
        <v>126</v>
      </c>
      <c r="BI30" t="s">
        <v>126</v>
      </c>
      <c r="BJ30" t="s">
        <v>126</v>
      </c>
      <c r="BK30" t="s">
        <v>126</v>
      </c>
      <c r="BS30" t="s">
        <v>126</v>
      </c>
      <c r="BT30" t="s">
        <v>126</v>
      </c>
      <c r="BU30" t="s">
        <v>126</v>
      </c>
      <c r="BV30" t="s">
        <v>126</v>
      </c>
      <c r="CN30" t="s">
        <v>181</v>
      </c>
      <c r="CP30" t="s">
        <v>182</v>
      </c>
      <c r="CQ30" t="s">
        <v>181</v>
      </c>
    </row>
    <row r="31" spans="1:95" x14ac:dyDescent="0.2">
      <c r="A31" t="s">
        <v>115</v>
      </c>
      <c r="B31" t="s">
        <v>116</v>
      </c>
      <c r="C31">
        <v>210784</v>
      </c>
      <c r="E31" t="s">
        <v>117</v>
      </c>
      <c r="F31">
        <v>368</v>
      </c>
      <c r="G31" t="s">
        <v>528</v>
      </c>
      <c r="H31" t="s">
        <v>529</v>
      </c>
      <c r="I31" t="s">
        <v>530</v>
      </c>
      <c r="J31" t="s">
        <v>205</v>
      </c>
      <c r="L31" t="s">
        <v>536</v>
      </c>
      <c r="M31" s="8">
        <v>44866</v>
      </c>
      <c r="N31">
        <v>82097</v>
      </c>
      <c r="O31" t="s">
        <v>123</v>
      </c>
      <c r="P31" t="s">
        <v>124</v>
      </c>
      <c r="Q31">
        <v>1.08</v>
      </c>
      <c r="R31" t="s">
        <v>537</v>
      </c>
      <c r="S31" t="s">
        <v>126</v>
      </c>
      <c r="T31" t="s">
        <v>537</v>
      </c>
      <c r="U31" t="s">
        <v>538</v>
      </c>
      <c r="W31">
        <v>0.33</v>
      </c>
      <c r="X31">
        <v>0.75</v>
      </c>
      <c r="Y31">
        <v>1.08</v>
      </c>
      <c r="Z31">
        <v>0.41</v>
      </c>
      <c r="AG31">
        <v>0.33</v>
      </c>
      <c r="AI31">
        <v>0.34</v>
      </c>
      <c r="BH31" t="s">
        <v>126</v>
      </c>
      <c r="BI31" t="s">
        <v>126</v>
      </c>
      <c r="BJ31" t="s">
        <v>126</v>
      </c>
      <c r="BK31" t="s">
        <v>126</v>
      </c>
      <c r="BS31" t="s">
        <v>126</v>
      </c>
      <c r="BT31" t="s">
        <v>126</v>
      </c>
      <c r="BU31" t="s">
        <v>126</v>
      </c>
      <c r="BV31" t="s">
        <v>126</v>
      </c>
      <c r="CN31" t="s">
        <v>534</v>
      </c>
      <c r="CP31" t="s">
        <v>535</v>
      </c>
      <c r="CQ31" t="s">
        <v>534</v>
      </c>
    </row>
    <row r="32" spans="1:95" x14ac:dyDescent="0.2">
      <c r="A32" t="s">
        <v>115</v>
      </c>
      <c r="B32" t="s">
        <v>116</v>
      </c>
      <c r="C32">
        <v>210784</v>
      </c>
      <c r="E32" t="s">
        <v>117</v>
      </c>
      <c r="F32">
        <v>368</v>
      </c>
      <c r="G32" t="s">
        <v>176</v>
      </c>
      <c r="H32" t="s">
        <v>177</v>
      </c>
      <c r="I32" t="s">
        <v>492</v>
      </c>
      <c r="J32" t="s">
        <v>493</v>
      </c>
      <c r="L32" t="s">
        <v>508</v>
      </c>
      <c r="M32" s="8">
        <v>44896</v>
      </c>
      <c r="N32" t="s">
        <v>509</v>
      </c>
      <c r="O32" t="s">
        <v>123</v>
      </c>
      <c r="P32" t="s">
        <v>124</v>
      </c>
      <c r="Q32">
        <v>8.92</v>
      </c>
      <c r="R32" t="s">
        <v>125</v>
      </c>
      <c r="S32" t="s">
        <v>126</v>
      </c>
      <c r="T32" t="s">
        <v>125</v>
      </c>
      <c r="U32" t="s">
        <v>126</v>
      </c>
      <c r="W32">
        <v>8.92</v>
      </c>
      <c r="Y32">
        <v>8.92</v>
      </c>
      <c r="AF32">
        <v>8.92</v>
      </c>
      <c r="BH32" t="s">
        <v>126</v>
      </c>
      <c r="BI32" t="s">
        <v>126</v>
      </c>
      <c r="BJ32" t="s">
        <v>126</v>
      </c>
      <c r="BK32" t="s">
        <v>126</v>
      </c>
      <c r="BS32" t="s">
        <v>126</v>
      </c>
      <c r="BT32" t="s">
        <v>126</v>
      </c>
      <c r="BU32" t="s">
        <v>126</v>
      </c>
      <c r="BV32" t="s">
        <v>126</v>
      </c>
      <c r="CN32" t="s">
        <v>181</v>
      </c>
      <c r="CP32" t="s">
        <v>182</v>
      </c>
      <c r="CQ32" t="s">
        <v>181</v>
      </c>
    </row>
    <row r="33" spans="1:95" x14ac:dyDescent="0.2">
      <c r="A33" t="s">
        <v>115</v>
      </c>
      <c r="B33" t="s">
        <v>116</v>
      </c>
      <c r="C33">
        <v>210784</v>
      </c>
      <c r="E33" t="s">
        <v>117</v>
      </c>
      <c r="F33">
        <v>368</v>
      </c>
      <c r="G33" t="s">
        <v>528</v>
      </c>
      <c r="H33" t="s">
        <v>529</v>
      </c>
      <c r="I33" t="s">
        <v>530</v>
      </c>
      <c r="J33" t="s">
        <v>205</v>
      </c>
      <c r="L33" t="s">
        <v>531</v>
      </c>
      <c r="M33" s="8">
        <v>44896</v>
      </c>
      <c r="N33">
        <v>82815</v>
      </c>
      <c r="O33" t="s">
        <v>123</v>
      </c>
      <c r="P33" t="s">
        <v>124</v>
      </c>
      <c r="Q33">
        <v>0.88480000000000003</v>
      </c>
      <c r="R33" t="s">
        <v>532</v>
      </c>
      <c r="S33" t="s">
        <v>126</v>
      </c>
      <c r="T33" t="s">
        <v>532</v>
      </c>
      <c r="U33" t="s">
        <v>533</v>
      </c>
      <c r="W33">
        <v>0.28000000000000003</v>
      </c>
      <c r="X33">
        <v>0.6048</v>
      </c>
      <c r="Y33">
        <v>0.88480000000000003</v>
      </c>
      <c r="Z33">
        <v>0.33479999999999999</v>
      </c>
      <c r="AG33">
        <v>0.28000000000000003</v>
      </c>
      <c r="AI33">
        <v>0.27</v>
      </c>
      <c r="BH33" t="s">
        <v>126</v>
      </c>
      <c r="BI33" t="s">
        <v>126</v>
      </c>
      <c r="BJ33" t="s">
        <v>126</v>
      </c>
      <c r="BK33" t="s">
        <v>126</v>
      </c>
      <c r="BS33" t="s">
        <v>126</v>
      </c>
      <c r="BT33" t="s">
        <v>126</v>
      </c>
      <c r="BU33" t="s">
        <v>126</v>
      </c>
      <c r="BV33" t="s">
        <v>126</v>
      </c>
      <c r="CN33" t="s">
        <v>534</v>
      </c>
      <c r="CP33" t="s">
        <v>535</v>
      </c>
      <c r="CQ33" t="s">
        <v>534</v>
      </c>
    </row>
    <row r="34" spans="1:95" x14ac:dyDescent="0.2">
      <c r="A34" t="s">
        <v>115</v>
      </c>
      <c r="B34" t="s">
        <v>116</v>
      </c>
      <c r="C34">
        <v>210784</v>
      </c>
      <c r="E34" t="s">
        <v>117</v>
      </c>
      <c r="F34">
        <v>368</v>
      </c>
      <c r="G34" t="s">
        <v>528</v>
      </c>
      <c r="H34" t="s">
        <v>529</v>
      </c>
      <c r="I34" t="s">
        <v>530</v>
      </c>
      <c r="J34" t="s">
        <v>205</v>
      </c>
      <c r="L34" t="s">
        <v>835</v>
      </c>
      <c r="M34" s="8">
        <v>44896</v>
      </c>
      <c r="N34">
        <v>82137</v>
      </c>
      <c r="O34" t="s">
        <v>123</v>
      </c>
      <c r="P34" t="s">
        <v>124</v>
      </c>
      <c r="Q34">
        <v>1.31</v>
      </c>
      <c r="R34" t="s">
        <v>125</v>
      </c>
      <c r="S34" t="s">
        <v>126</v>
      </c>
      <c r="T34" t="s">
        <v>125</v>
      </c>
      <c r="U34" t="s">
        <v>126</v>
      </c>
      <c r="W34">
        <v>1.31</v>
      </c>
      <c r="Y34">
        <v>1.31</v>
      </c>
      <c r="BE34">
        <v>1.31</v>
      </c>
      <c r="BH34" t="s">
        <v>126</v>
      </c>
      <c r="BI34" t="s">
        <v>126</v>
      </c>
      <c r="BJ34" t="s">
        <v>126</v>
      </c>
      <c r="BK34" t="s">
        <v>126</v>
      </c>
      <c r="BS34" t="s">
        <v>126</v>
      </c>
      <c r="BT34" t="s">
        <v>126</v>
      </c>
      <c r="BU34" t="s">
        <v>126</v>
      </c>
      <c r="BV34" t="s">
        <v>126</v>
      </c>
      <c r="CN34" t="s">
        <v>534</v>
      </c>
      <c r="CP34" t="s">
        <v>535</v>
      </c>
      <c r="CQ34" t="s">
        <v>534</v>
      </c>
    </row>
    <row r="35" spans="1:95" x14ac:dyDescent="0.2">
      <c r="A35" t="s">
        <v>115</v>
      </c>
      <c r="B35" t="s">
        <v>116</v>
      </c>
      <c r="C35">
        <v>210784</v>
      </c>
      <c r="E35" t="s">
        <v>117</v>
      </c>
      <c r="F35">
        <v>368</v>
      </c>
      <c r="G35" t="s">
        <v>176</v>
      </c>
      <c r="H35" t="s">
        <v>177</v>
      </c>
      <c r="I35" t="s">
        <v>178</v>
      </c>
      <c r="J35" t="s">
        <v>179</v>
      </c>
      <c r="L35" t="s">
        <v>188</v>
      </c>
      <c r="M35" s="8">
        <v>45017</v>
      </c>
      <c r="N35">
        <v>7159481</v>
      </c>
      <c r="O35" t="s">
        <v>123</v>
      </c>
      <c r="P35" t="s">
        <v>124</v>
      </c>
      <c r="Q35">
        <v>13.37</v>
      </c>
      <c r="R35" t="s">
        <v>125</v>
      </c>
      <c r="S35" t="s">
        <v>126</v>
      </c>
      <c r="T35" t="s">
        <v>125</v>
      </c>
      <c r="U35" t="s">
        <v>126</v>
      </c>
      <c r="W35">
        <v>13.37</v>
      </c>
      <c r="Y35">
        <v>13.37</v>
      </c>
      <c r="AC35">
        <v>13.37</v>
      </c>
      <c r="BH35" t="s">
        <v>126</v>
      </c>
      <c r="BI35" t="s">
        <v>126</v>
      </c>
      <c r="BJ35" t="s">
        <v>126</v>
      </c>
      <c r="BK35" t="s">
        <v>126</v>
      </c>
      <c r="BS35" t="s">
        <v>126</v>
      </c>
      <c r="BT35" t="s">
        <v>126</v>
      </c>
      <c r="BU35" t="s">
        <v>126</v>
      </c>
      <c r="BV35" t="s">
        <v>126</v>
      </c>
      <c r="CN35" t="s">
        <v>181</v>
      </c>
      <c r="CP35" t="s">
        <v>189</v>
      </c>
      <c r="CQ35" t="s">
        <v>181</v>
      </c>
    </row>
    <row r="36" spans="1:95" x14ac:dyDescent="0.2">
      <c r="A36" t="s">
        <v>115</v>
      </c>
      <c r="B36" t="s">
        <v>116</v>
      </c>
      <c r="C36">
        <v>210784</v>
      </c>
      <c r="E36" t="s">
        <v>117</v>
      </c>
      <c r="F36">
        <v>368</v>
      </c>
      <c r="G36" t="s">
        <v>176</v>
      </c>
      <c r="H36" t="s">
        <v>177</v>
      </c>
      <c r="I36" t="s">
        <v>178</v>
      </c>
      <c r="J36" t="s">
        <v>179</v>
      </c>
      <c r="L36" t="s">
        <v>188</v>
      </c>
      <c r="M36" s="8">
        <v>45017</v>
      </c>
      <c r="N36">
        <v>7159445</v>
      </c>
      <c r="O36" t="s">
        <v>123</v>
      </c>
      <c r="P36" t="s">
        <v>124</v>
      </c>
      <c r="Q36">
        <v>21.53</v>
      </c>
      <c r="R36" t="s">
        <v>125</v>
      </c>
      <c r="S36" t="s">
        <v>126</v>
      </c>
      <c r="T36" t="s">
        <v>125</v>
      </c>
      <c r="U36" t="s">
        <v>126</v>
      </c>
      <c r="W36">
        <v>21.53</v>
      </c>
      <c r="Y36">
        <v>21.53</v>
      </c>
      <c r="AC36">
        <v>21.53</v>
      </c>
      <c r="BH36" t="s">
        <v>126</v>
      </c>
      <c r="BI36" t="s">
        <v>126</v>
      </c>
      <c r="BJ36" t="s">
        <v>126</v>
      </c>
      <c r="BK36" t="s">
        <v>126</v>
      </c>
      <c r="BS36" t="s">
        <v>126</v>
      </c>
      <c r="BT36" t="s">
        <v>126</v>
      </c>
      <c r="BU36" t="s">
        <v>126</v>
      </c>
      <c r="BV36" t="s">
        <v>126</v>
      </c>
      <c r="CN36" t="s">
        <v>181</v>
      </c>
      <c r="CP36" t="s">
        <v>189</v>
      </c>
      <c r="CQ36" t="s">
        <v>181</v>
      </c>
    </row>
    <row r="37" spans="1:95" x14ac:dyDescent="0.2">
      <c r="A37" t="s">
        <v>115</v>
      </c>
      <c r="B37" t="s">
        <v>116</v>
      </c>
      <c r="C37">
        <v>210784</v>
      </c>
      <c r="E37" t="s">
        <v>117</v>
      </c>
      <c r="F37">
        <v>368</v>
      </c>
      <c r="G37" t="s">
        <v>176</v>
      </c>
      <c r="H37" t="s">
        <v>177</v>
      </c>
      <c r="I37" t="s">
        <v>178</v>
      </c>
      <c r="J37" t="s">
        <v>179</v>
      </c>
      <c r="L37" t="s">
        <v>188</v>
      </c>
      <c r="M37" s="8">
        <v>45017</v>
      </c>
      <c r="N37">
        <v>7159451</v>
      </c>
      <c r="O37" t="s">
        <v>123</v>
      </c>
      <c r="P37" t="s">
        <v>124</v>
      </c>
      <c r="Q37">
        <v>22.82</v>
      </c>
      <c r="R37" t="s">
        <v>125</v>
      </c>
      <c r="S37" t="s">
        <v>126</v>
      </c>
      <c r="T37" t="s">
        <v>125</v>
      </c>
      <c r="U37" t="s">
        <v>126</v>
      </c>
      <c r="W37">
        <v>22.82</v>
      </c>
      <c r="Y37">
        <v>22.82</v>
      </c>
      <c r="AC37">
        <v>22.82</v>
      </c>
      <c r="BH37" t="s">
        <v>126</v>
      </c>
      <c r="BI37" t="s">
        <v>126</v>
      </c>
      <c r="BJ37" t="s">
        <v>126</v>
      </c>
      <c r="BK37" t="s">
        <v>126</v>
      </c>
      <c r="BS37" t="s">
        <v>126</v>
      </c>
      <c r="BT37" t="s">
        <v>126</v>
      </c>
      <c r="BU37" t="s">
        <v>126</v>
      </c>
      <c r="BV37" t="s">
        <v>126</v>
      </c>
      <c r="CN37" t="s">
        <v>181</v>
      </c>
      <c r="CP37" t="s">
        <v>189</v>
      </c>
      <c r="CQ37" t="s">
        <v>181</v>
      </c>
    </row>
    <row r="38" spans="1:95" x14ac:dyDescent="0.2">
      <c r="A38" t="s">
        <v>115</v>
      </c>
      <c r="B38" t="s">
        <v>116</v>
      </c>
      <c r="C38">
        <v>210784</v>
      </c>
      <c r="E38" t="s">
        <v>117</v>
      </c>
      <c r="F38">
        <v>368</v>
      </c>
      <c r="G38" t="s">
        <v>176</v>
      </c>
      <c r="H38" t="s">
        <v>177</v>
      </c>
      <c r="I38" t="s">
        <v>178</v>
      </c>
      <c r="J38" t="s">
        <v>179</v>
      </c>
      <c r="L38" t="s">
        <v>188</v>
      </c>
      <c r="M38" s="8">
        <v>45017</v>
      </c>
      <c r="N38">
        <v>7159462</v>
      </c>
      <c r="O38" t="s">
        <v>123</v>
      </c>
      <c r="P38" t="s">
        <v>124</v>
      </c>
      <c r="Q38">
        <v>14.22</v>
      </c>
      <c r="R38" t="s">
        <v>125</v>
      </c>
      <c r="S38" t="s">
        <v>126</v>
      </c>
      <c r="T38" t="s">
        <v>125</v>
      </c>
      <c r="U38" t="s">
        <v>126</v>
      </c>
      <c r="W38">
        <v>14.22</v>
      </c>
      <c r="Y38">
        <v>14.22</v>
      </c>
      <c r="AC38">
        <v>14.22</v>
      </c>
      <c r="BH38" t="s">
        <v>126</v>
      </c>
      <c r="BI38" t="s">
        <v>126</v>
      </c>
      <c r="BJ38" t="s">
        <v>126</v>
      </c>
      <c r="BK38" t="s">
        <v>126</v>
      </c>
      <c r="BS38" t="s">
        <v>126</v>
      </c>
      <c r="BT38" t="s">
        <v>126</v>
      </c>
      <c r="BU38" t="s">
        <v>126</v>
      </c>
      <c r="BV38" t="s">
        <v>126</v>
      </c>
      <c r="CN38" t="s">
        <v>181</v>
      </c>
      <c r="CP38" t="s">
        <v>189</v>
      </c>
      <c r="CQ38" t="s">
        <v>181</v>
      </c>
    </row>
    <row r="39" spans="1:95" x14ac:dyDescent="0.2">
      <c r="A39" t="s">
        <v>115</v>
      </c>
      <c r="B39" t="s">
        <v>116</v>
      </c>
      <c r="C39">
        <v>210784</v>
      </c>
      <c r="E39" t="s">
        <v>117</v>
      </c>
      <c r="F39">
        <v>368</v>
      </c>
      <c r="G39" t="s">
        <v>176</v>
      </c>
      <c r="H39" t="s">
        <v>177</v>
      </c>
      <c r="I39" t="s">
        <v>546</v>
      </c>
      <c r="J39" t="s">
        <v>547</v>
      </c>
      <c r="L39" t="s">
        <v>548</v>
      </c>
      <c r="M39" s="8">
        <v>45017</v>
      </c>
      <c r="N39">
        <v>40293</v>
      </c>
      <c r="O39" t="s">
        <v>123</v>
      </c>
      <c r="P39" t="s">
        <v>124</v>
      </c>
      <c r="Q39">
        <v>5.9</v>
      </c>
      <c r="R39" t="s">
        <v>549</v>
      </c>
      <c r="S39" t="s">
        <v>126</v>
      </c>
      <c r="T39" t="s">
        <v>549</v>
      </c>
      <c r="U39" t="s">
        <v>550</v>
      </c>
      <c r="W39">
        <v>4.1890000000000001</v>
      </c>
      <c r="X39">
        <v>1.7110000000000001</v>
      </c>
      <c r="Y39">
        <v>5.9</v>
      </c>
      <c r="AY39">
        <v>4.1890000000000001</v>
      </c>
      <c r="BD39">
        <v>1.7110000000000001</v>
      </c>
      <c r="BH39" t="s">
        <v>126</v>
      </c>
      <c r="BI39" t="s">
        <v>126</v>
      </c>
      <c r="BJ39" t="s">
        <v>126</v>
      </c>
      <c r="BK39" t="s">
        <v>126</v>
      </c>
      <c r="BS39" t="s">
        <v>126</v>
      </c>
      <c r="BT39" t="s">
        <v>126</v>
      </c>
      <c r="BU39" t="s">
        <v>126</v>
      </c>
      <c r="BV39" t="s">
        <v>126</v>
      </c>
      <c r="CN39" t="s">
        <v>181</v>
      </c>
      <c r="CP39" t="s">
        <v>189</v>
      </c>
      <c r="CQ39" t="s">
        <v>181</v>
      </c>
    </row>
    <row r="40" spans="1:95" x14ac:dyDescent="0.2">
      <c r="A40" t="s">
        <v>115</v>
      </c>
      <c r="B40" t="s">
        <v>116</v>
      </c>
      <c r="C40">
        <v>210784</v>
      </c>
      <c r="E40" t="s">
        <v>117</v>
      </c>
      <c r="F40">
        <v>368</v>
      </c>
      <c r="G40" t="s">
        <v>176</v>
      </c>
      <c r="H40" t="s">
        <v>177</v>
      </c>
      <c r="I40" t="s">
        <v>546</v>
      </c>
      <c r="J40" t="s">
        <v>547</v>
      </c>
      <c r="L40" t="s">
        <v>551</v>
      </c>
      <c r="M40" s="8">
        <v>45017</v>
      </c>
      <c r="N40">
        <v>39843</v>
      </c>
      <c r="O40" t="s">
        <v>123</v>
      </c>
      <c r="P40" t="s">
        <v>124</v>
      </c>
      <c r="Q40">
        <v>10.050000000000001</v>
      </c>
      <c r="R40" t="s">
        <v>549</v>
      </c>
      <c r="S40" t="s">
        <v>126</v>
      </c>
      <c r="T40" t="s">
        <v>549</v>
      </c>
      <c r="U40" t="s">
        <v>550</v>
      </c>
      <c r="W40">
        <v>7.1355000000000004</v>
      </c>
      <c r="X40">
        <v>2.9144999999999999</v>
      </c>
      <c r="Y40">
        <v>10.050000000000001</v>
      </c>
      <c r="AY40">
        <v>7.1355000000000004</v>
      </c>
      <c r="BD40">
        <v>2.9144999999999999</v>
      </c>
      <c r="BH40" t="s">
        <v>126</v>
      </c>
      <c r="BI40" t="s">
        <v>126</v>
      </c>
      <c r="BJ40" t="s">
        <v>126</v>
      </c>
      <c r="BK40" t="s">
        <v>126</v>
      </c>
      <c r="BS40" t="s">
        <v>126</v>
      </c>
      <c r="BT40" t="s">
        <v>126</v>
      </c>
      <c r="BU40" t="s">
        <v>126</v>
      </c>
      <c r="BV40" t="s">
        <v>126</v>
      </c>
      <c r="CN40" t="s">
        <v>181</v>
      </c>
      <c r="CP40" t="s">
        <v>189</v>
      </c>
      <c r="CQ40" t="s">
        <v>181</v>
      </c>
    </row>
    <row r="41" spans="1:95" x14ac:dyDescent="0.2">
      <c r="A41" t="s">
        <v>115</v>
      </c>
      <c r="B41" t="s">
        <v>116</v>
      </c>
      <c r="C41">
        <v>210784</v>
      </c>
      <c r="E41" t="s">
        <v>117</v>
      </c>
      <c r="F41">
        <v>368</v>
      </c>
      <c r="G41" t="s">
        <v>176</v>
      </c>
      <c r="H41" t="s">
        <v>177</v>
      </c>
      <c r="I41" t="s">
        <v>178</v>
      </c>
      <c r="J41" t="s">
        <v>179</v>
      </c>
      <c r="L41" t="s">
        <v>190</v>
      </c>
      <c r="M41" s="8">
        <v>45047</v>
      </c>
      <c r="N41">
        <v>7163221</v>
      </c>
      <c r="O41" t="s">
        <v>123</v>
      </c>
      <c r="P41" t="s">
        <v>124</v>
      </c>
      <c r="Q41">
        <v>19.28</v>
      </c>
      <c r="R41" t="s">
        <v>125</v>
      </c>
      <c r="S41" t="s">
        <v>126</v>
      </c>
      <c r="T41" t="s">
        <v>125</v>
      </c>
      <c r="U41" t="s">
        <v>126</v>
      </c>
      <c r="W41">
        <v>19.28</v>
      </c>
      <c r="Y41">
        <v>19.28</v>
      </c>
      <c r="AC41">
        <v>19.28</v>
      </c>
      <c r="BH41" t="s">
        <v>126</v>
      </c>
      <c r="BI41" t="s">
        <v>126</v>
      </c>
      <c r="BJ41" t="s">
        <v>126</v>
      </c>
      <c r="BK41" t="s">
        <v>126</v>
      </c>
      <c r="BS41" t="s">
        <v>126</v>
      </c>
      <c r="BT41" t="s">
        <v>126</v>
      </c>
      <c r="BU41" t="s">
        <v>126</v>
      </c>
      <c r="BV41" t="s">
        <v>126</v>
      </c>
      <c r="CN41" t="s">
        <v>181</v>
      </c>
      <c r="CP41" t="s">
        <v>189</v>
      </c>
      <c r="CQ41" t="s">
        <v>181</v>
      </c>
    </row>
    <row r="42" spans="1:95" x14ac:dyDescent="0.2">
      <c r="A42" t="s">
        <v>115</v>
      </c>
      <c r="B42" t="s">
        <v>116</v>
      </c>
      <c r="C42">
        <v>210784</v>
      </c>
      <c r="E42" t="s">
        <v>117</v>
      </c>
      <c r="F42">
        <v>368</v>
      </c>
      <c r="G42" t="s">
        <v>176</v>
      </c>
      <c r="H42" t="s">
        <v>177</v>
      </c>
      <c r="I42" t="s">
        <v>178</v>
      </c>
      <c r="J42" t="s">
        <v>179</v>
      </c>
      <c r="L42" t="s">
        <v>191</v>
      </c>
      <c r="M42" s="8">
        <v>45047</v>
      </c>
      <c r="N42">
        <v>7164757</v>
      </c>
      <c r="O42" t="s">
        <v>123</v>
      </c>
      <c r="P42" t="s">
        <v>124</v>
      </c>
      <c r="Q42">
        <v>18.690000000000001</v>
      </c>
      <c r="R42" t="s">
        <v>125</v>
      </c>
      <c r="S42" t="s">
        <v>126</v>
      </c>
      <c r="T42" t="s">
        <v>125</v>
      </c>
      <c r="U42" t="s">
        <v>126</v>
      </c>
      <c r="W42">
        <v>18.690000000000001</v>
      </c>
      <c r="Y42">
        <v>18.690000000000001</v>
      </c>
      <c r="AC42">
        <v>18.690000000000001</v>
      </c>
      <c r="BH42" t="s">
        <v>126</v>
      </c>
      <c r="BI42" t="s">
        <v>126</v>
      </c>
      <c r="BJ42" t="s">
        <v>126</v>
      </c>
      <c r="BK42" t="s">
        <v>126</v>
      </c>
      <c r="BS42" t="s">
        <v>126</v>
      </c>
      <c r="BT42" t="s">
        <v>126</v>
      </c>
      <c r="BU42" t="s">
        <v>126</v>
      </c>
      <c r="BV42" t="s">
        <v>126</v>
      </c>
      <c r="CN42" t="s">
        <v>181</v>
      </c>
      <c r="CP42" t="s">
        <v>189</v>
      </c>
      <c r="CQ42" t="s">
        <v>181</v>
      </c>
    </row>
    <row r="43" spans="1:95" x14ac:dyDescent="0.2">
      <c r="A43" t="s">
        <v>115</v>
      </c>
      <c r="B43" t="s">
        <v>116</v>
      </c>
      <c r="C43">
        <v>210784</v>
      </c>
      <c r="E43" t="s">
        <v>117</v>
      </c>
      <c r="F43">
        <v>368</v>
      </c>
      <c r="G43" t="s">
        <v>176</v>
      </c>
      <c r="H43" t="s">
        <v>177</v>
      </c>
      <c r="I43" t="s">
        <v>178</v>
      </c>
      <c r="J43" t="s">
        <v>179</v>
      </c>
      <c r="L43" t="s">
        <v>191</v>
      </c>
      <c r="M43" s="8">
        <v>45047</v>
      </c>
      <c r="N43">
        <v>7164758</v>
      </c>
      <c r="O43" t="s">
        <v>123</v>
      </c>
      <c r="P43" t="s">
        <v>124</v>
      </c>
      <c r="Q43">
        <v>19.13</v>
      </c>
      <c r="R43" t="s">
        <v>125</v>
      </c>
      <c r="S43" t="s">
        <v>126</v>
      </c>
      <c r="T43" t="s">
        <v>125</v>
      </c>
      <c r="U43" t="s">
        <v>126</v>
      </c>
      <c r="W43">
        <v>19.13</v>
      </c>
      <c r="Y43">
        <v>19.13</v>
      </c>
      <c r="AC43">
        <v>19.13</v>
      </c>
      <c r="BH43" t="s">
        <v>126</v>
      </c>
      <c r="BI43" t="s">
        <v>126</v>
      </c>
      <c r="BJ43" t="s">
        <v>126</v>
      </c>
      <c r="BK43" t="s">
        <v>126</v>
      </c>
      <c r="BS43" t="s">
        <v>126</v>
      </c>
      <c r="BT43" t="s">
        <v>126</v>
      </c>
      <c r="BU43" t="s">
        <v>126</v>
      </c>
      <c r="BV43" t="s">
        <v>126</v>
      </c>
      <c r="CN43" t="s">
        <v>181</v>
      </c>
      <c r="CP43" t="s">
        <v>189</v>
      </c>
      <c r="CQ43" t="s">
        <v>181</v>
      </c>
    </row>
    <row r="44" spans="1:95" x14ac:dyDescent="0.2">
      <c r="A44" t="s">
        <v>115</v>
      </c>
      <c r="B44" t="s">
        <v>116</v>
      </c>
      <c r="C44">
        <v>210784</v>
      </c>
      <c r="E44" t="s">
        <v>117</v>
      </c>
      <c r="F44">
        <v>368</v>
      </c>
      <c r="G44" t="s">
        <v>176</v>
      </c>
      <c r="H44" t="s">
        <v>177</v>
      </c>
      <c r="I44" t="s">
        <v>178</v>
      </c>
      <c r="J44" t="s">
        <v>179</v>
      </c>
      <c r="L44" t="s">
        <v>191</v>
      </c>
      <c r="M44" s="8">
        <v>45047</v>
      </c>
      <c r="N44">
        <v>7164762</v>
      </c>
      <c r="O44" t="s">
        <v>123</v>
      </c>
      <c r="P44" t="s">
        <v>124</v>
      </c>
      <c r="Q44">
        <v>21.84</v>
      </c>
      <c r="R44" t="s">
        <v>125</v>
      </c>
      <c r="S44" t="s">
        <v>126</v>
      </c>
      <c r="T44" t="s">
        <v>125</v>
      </c>
      <c r="U44" t="s">
        <v>126</v>
      </c>
      <c r="W44">
        <v>21.84</v>
      </c>
      <c r="Y44">
        <v>21.84</v>
      </c>
      <c r="AC44">
        <v>21.84</v>
      </c>
      <c r="BH44" t="s">
        <v>126</v>
      </c>
      <c r="BI44" t="s">
        <v>126</v>
      </c>
      <c r="BJ44" t="s">
        <v>126</v>
      </c>
      <c r="BK44" t="s">
        <v>126</v>
      </c>
      <c r="BS44" t="s">
        <v>126</v>
      </c>
      <c r="BT44" t="s">
        <v>126</v>
      </c>
      <c r="BU44" t="s">
        <v>126</v>
      </c>
      <c r="BV44" t="s">
        <v>126</v>
      </c>
      <c r="CN44" t="s">
        <v>181</v>
      </c>
      <c r="CP44" t="s">
        <v>189</v>
      </c>
      <c r="CQ44" t="s">
        <v>181</v>
      </c>
    </row>
    <row r="45" spans="1:95" x14ac:dyDescent="0.2">
      <c r="A45" t="s">
        <v>115</v>
      </c>
      <c r="B45" t="s">
        <v>116</v>
      </c>
      <c r="C45">
        <v>210784</v>
      </c>
      <c r="E45" t="s">
        <v>117</v>
      </c>
      <c r="F45">
        <v>368</v>
      </c>
      <c r="G45" t="s">
        <v>176</v>
      </c>
      <c r="H45" t="s">
        <v>177</v>
      </c>
      <c r="I45" t="s">
        <v>178</v>
      </c>
      <c r="J45" t="s">
        <v>179</v>
      </c>
      <c r="L45" t="s">
        <v>191</v>
      </c>
      <c r="M45" s="8">
        <v>45047</v>
      </c>
      <c r="N45">
        <v>7164786</v>
      </c>
      <c r="O45" t="s">
        <v>123</v>
      </c>
      <c r="P45" t="s">
        <v>124</v>
      </c>
      <c r="Q45">
        <v>22.75</v>
      </c>
      <c r="R45" t="s">
        <v>125</v>
      </c>
      <c r="S45" t="s">
        <v>126</v>
      </c>
      <c r="T45" t="s">
        <v>125</v>
      </c>
      <c r="U45" t="s">
        <v>126</v>
      </c>
      <c r="W45">
        <v>22.75</v>
      </c>
      <c r="Y45">
        <v>22.75</v>
      </c>
      <c r="AC45">
        <v>22.75</v>
      </c>
      <c r="BH45" t="s">
        <v>126</v>
      </c>
      <c r="BI45" t="s">
        <v>126</v>
      </c>
      <c r="BJ45" t="s">
        <v>126</v>
      </c>
      <c r="BK45" t="s">
        <v>126</v>
      </c>
      <c r="BS45" t="s">
        <v>126</v>
      </c>
      <c r="BT45" t="s">
        <v>126</v>
      </c>
      <c r="BU45" t="s">
        <v>126</v>
      </c>
      <c r="BV45" t="s">
        <v>126</v>
      </c>
      <c r="CN45" t="s">
        <v>181</v>
      </c>
      <c r="CP45" t="s">
        <v>189</v>
      </c>
      <c r="CQ45" t="s">
        <v>181</v>
      </c>
    </row>
    <row r="46" spans="1:95" x14ac:dyDescent="0.2">
      <c r="A46" t="s">
        <v>115</v>
      </c>
      <c r="B46" t="s">
        <v>116</v>
      </c>
      <c r="C46">
        <v>210784</v>
      </c>
      <c r="E46" t="s">
        <v>117</v>
      </c>
      <c r="F46">
        <v>368</v>
      </c>
      <c r="G46" t="s">
        <v>176</v>
      </c>
      <c r="H46" t="s">
        <v>177</v>
      </c>
      <c r="I46" t="s">
        <v>178</v>
      </c>
      <c r="J46" t="s">
        <v>179</v>
      </c>
      <c r="L46" t="s">
        <v>191</v>
      </c>
      <c r="M46" s="8">
        <v>45047</v>
      </c>
      <c r="N46">
        <v>7164787</v>
      </c>
      <c r="O46" t="s">
        <v>123</v>
      </c>
      <c r="P46" t="s">
        <v>124</v>
      </c>
      <c r="Q46">
        <v>23.16</v>
      </c>
      <c r="R46" t="s">
        <v>125</v>
      </c>
      <c r="S46" t="s">
        <v>126</v>
      </c>
      <c r="T46" t="s">
        <v>125</v>
      </c>
      <c r="U46" t="s">
        <v>126</v>
      </c>
      <c r="W46">
        <v>23.16</v>
      </c>
      <c r="Y46">
        <v>23.16</v>
      </c>
      <c r="AC46">
        <v>23.16</v>
      </c>
      <c r="BH46" t="s">
        <v>126</v>
      </c>
      <c r="BI46" t="s">
        <v>126</v>
      </c>
      <c r="BJ46" t="s">
        <v>126</v>
      </c>
      <c r="BK46" t="s">
        <v>126</v>
      </c>
      <c r="BS46" t="s">
        <v>126</v>
      </c>
      <c r="BT46" t="s">
        <v>126</v>
      </c>
      <c r="BU46" t="s">
        <v>126</v>
      </c>
      <c r="BV46" t="s">
        <v>126</v>
      </c>
      <c r="CN46" t="s">
        <v>181</v>
      </c>
      <c r="CP46" t="s">
        <v>189</v>
      </c>
      <c r="CQ46" t="s">
        <v>181</v>
      </c>
    </row>
    <row r="47" spans="1:95" x14ac:dyDescent="0.2">
      <c r="A47" t="s">
        <v>115</v>
      </c>
      <c r="B47" t="s">
        <v>116</v>
      </c>
      <c r="C47">
        <v>210784</v>
      </c>
      <c r="E47" t="s">
        <v>117</v>
      </c>
      <c r="F47">
        <v>368</v>
      </c>
      <c r="G47" t="s">
        <v>176</v>
      </c>
      <c r="H47" t="s">
        <v>177</v>
      </c>
      <c r="I47" t="s">
        <v>178</v>
      </c>
      <c r="J47" t="s">
        <v>179</v>
      </c>
      <c r="L47" t="s">
        <v>191</v>
      </c>
      <c r="M47" s="8">
        <v>45047</v>
      </c>
      <c r="N47">
        <v>7164789</v>
      </c>
      <c r="O47" t="s">
        <v>123</v>
      </c>
      <c r="P47" t="s">
        <v>124</v>
      </c>
      <c r="Q47">
        <v>22.2</v>
      </c>
      <c r="R47" t="s">
        <v>125</v>
      </c>
      <c r="S47" t="s">
        <v>126</v>
      </c>
      <c r="T47" t="s">
        <v>125</v>
      </c>
      <c r="U47" t="s">
        <v>126</v>
      </c>
      <c r="W47">
        <v>22.2</v>
      </c>
      <c r="Y47">
        <v>22.2</v>
      </c>
      <c r="AC47">
        <v>22.2</v>
      </c>
      <c r="BH47" t="s">
        <v>126</v>
      </c>
      <c r="BI47" t="s">
        <v>126</v>
      </c>
      <c r="BJ47" t="s">
        <v>126</v>
      </c>
      <c r="BK47" t="s">
        <v>126</v>
      </c>
      <c r="BS47" t="s">
        <v>126</v>
      </c>
      <c r="BT47" t="s">
        <v>126</v>
      </c>
      <c r="BU47" t="s">
        <v>126</v>
      </c>
      <c r="BV47" t="s">
        <v>126</v>
      </c>
      <c r="CN47" t="s">
        <v>181</v>
      </c>
      <c r="CP47" t="s">
        <v>189</v>
      </c>
      <c r="CQ47" t="s">
        <v>181</v>
      </c>
    </row>
    <row r="48" spans="1:95" x14ac:dyDescent="0.2">
      <c r="A48" t="s">
        <v>115</v>
      </c>
      <c r="B48" t="s">
        <v>116</v>
      </c>
      <c r="C48">
        <v>210784</v>
      </c>
      <c r="E48" t="s">
        <v>117</v>
      </c>
      <c r="F48">
        <v>368</v>
      </c>
      <c r="G48" t="s">
        <v>176</v>
      </c>
      <c r="H48" t="s">
        <v>177</v>
      </c>
      <c r="I48" t="s">
        <v>178</v>
      </c>
      <c r="J48" t="s">
        <v>179</v>
      </c>
      <c r="L48" t="s">
        <v>191</v>
      </c>
      <c r="M48" s="8">
        <v>45047</v>
      </c>
      <c r="N48">
        <v>7164814</v>
      </c>
      <c r="O48" t="s">
        <v>123</v>
      </c>
      <c r="P48" t="s">
        <v>124</v>
      </c>
      <c r="Q48">
        <v>21.12</v>
      </c>
      <c r="R48" t="s">
        <v>125</v>
      </c>
      <c r="S48" t="s">
        <v>126</v>
      </c>
      <c r="T48" t="s">
        <v>125</v>
      </c>
      <c r="U48" t="s">
        <v>126</v>
      </c>
      <c r="W48">
        <v>21.12</v>
      </c>
      <c r="Y48">
        <v>21.12</v>
      </c>
      <c r="AC48">
        <v>21.12</v>
      </c>
      <c r="BH48" t="s">
        <v>126</v>
      </c>
      <c r="BI48" t="s">
        <v>126</v>
      </c>
      <c r="BJ48" t="s">
        <v>126</v>
      </c>
      <c r="BK48" t="s">
        <v>126</v>
      </c>
      <c r="BS48" t="s">
        <v>126</v>
      </c>
      <c r="BT48" t="s">
        <v>126</v>
      </c>
      <c r="BU48" t="s">
        <v>126</v>
      </c>
      <c r="BV48" t="s">
        <v>126</v>
      </c>
      <c r="CN48" t="s">
        <v>181</v>
      </c>
      <c r="CP48" t="s">
        <v>189</v>
      </c>
      <c r="CQ48" t="s">
        <v>181</v>
      </c>
    </row>
    <row r="49" spans="1:95" x14ac:dyDescent="0.2">
      <c r="A49" t="s">
        <v>115</v>
      </c>
      <c r="B49" t="s">
        <v>116</v>
      </c>
      <c r="C49">
        <v>210784</v>
      </c>
      <c r="E49" t="s">
        <v>117</v>
      </c>
      <c r="F49">
        <v>368</v>
      </c>
      <c r="G49" t="s">
        <v>176</v>
      </c>
      <c r="H49" t="s">
        <v>177</v>
      </c>
      <c r="I49" t="s">
        <v>178</v>
      </c>
      <c r="J49" t="s">
        <v>179</v>
      </c>
      <c r="L49" t="s">
        <v>191</v>
      </c>
      <c r="M49" s="8">
        <v>45047</v>
      </c>
      <c r="N49">
        <v>7164816</v>
      </c>
      <c r="O49" t="s">
        <v>123</v>
      </c>
      <c r="P49" t="s">
        <v>124</v>
      </c>
      <c r="Q49">
        <v>22.65</v>
      </c>
      <c r="R49" t="s">
        <v>125</v>
      </c>
      <c r="S49" t="s">
        <v>126</v>
      </c>
      <c r="T49" t="s">
        <v>125</v>
      </c>
      <c r="U49" t="s">
        <v>126</v>
      </c>
      <c r="W49">
        <v>22.65</v>
      </c>
      <c r="Y49">
        <v>22.65</v>
      </c>
      <c r="AC49">
        <v>22.65</v>
      </c>
      <c r="BH49" t="s">
        <v>126</v>
      </c>
      <c r="BI49" t="s">
        <v>126</v>
      </c>
      <c r="BJ49" t="s">
        <v>126</v>
      </c>
      <c r="BK49" t="s">
        <v>126</v>
      </c>
      <c r="BS49" t="s">
        <v>126</v>
      </c>
      <c r="BT49" t="s">
        <v>126</v>
      </c>
      <c r="BU49" t="s">
        <v>126</v>
      </c>
      <c r="BV49" t="s">
        <v>126</v>
      </c>
      <c r="CN49" t="s">
        <v>181</v>
      </c>
      <c r="CP49" t="s">
        <v>189</v>
      </c>
      <c r="CQ49" t="s">
        <v>181</v>
      </c>
    </row>
    <row r="50" spans="1:95" x14ac:dyDescent="0.2">
      <c r="A50" t="s">
        <v>115</v>
      </c>
      <c r="B50" t="s">
        <v>116</v>
      </c>
      <c r="C50">
        <v>210784</v>
      </c>
      <c r="E50" t="s">
        <v>117</v>
      </c>
      <c r="F50">
        <v>368</v>
      </c>
      <c r="G50" t="s">
        <v>176</v>
      </c>
      <c r="H50" t="s">
        <v>177</v>
      </c>
      <c r="I50" t="s">
        <v>178</v>
      </c>
      <c r="J50" t="s">
        <v>179</v>
      </c>
      <c r="L50" t="s">
        <v>191</v>
      </c>
      <c r="M50" s="8">
        <v>45047</v>
      </c>
      <c r="N50">
        <v>7164818</v>
      </c>
      <c r="O50" t="s">
        <v>123</v>
      </c>
      <c r="P50" t="s">
        <v>124</v>
      </c>
      <c r="Q50">
        <v>16.88</v>
      </c>
      <c r="R50" t="s">
        <v>125</v>
      </c>
      <c r="S50" t="s">
        <v>126</v>
      </c>
      <c r="T50" t="s">
        <v>125</v>
      </c>
      <c r="U50" t="s">
        <v>126</v>
      </c>
      <c r="W50">
        <v>16.88</v>
      </c>
      <c r="Y50">
        <v>16.88</v>
      </c>
      <c r="AC50">
        <v>16.88</v>
      </c>
      <c r="BH50" t="s">
        <v>126</v>
      </c>
      <c r="BI50" t="s">
        <v>126</v>
      </c>
      <c r="BJ50" t="s">
        <v>126</v>
      </c>
      <c r="BK50" t="s">
        <v>126</v>
      </c>
      <c r="BS50" t="s">
        <v>126</v>
      </c>
      <c r="BT50" t="s">
        <v>126</v>
      </c>
      <c r="BU50" t="s">
        <v>126</v>
      </c>
      <c r="BV50" t="s">
        <v>126</v>
      </c>
      <c r="CN50" t="s">
        <v>181</v>
      </c>
      <c r="CP50" t="s">
        <v>189</v>
      </c>
      <c r="CQ50" t="s">
        <v>181</v>
      </c>
    </row>
    <row r="51" spans="1:95" x14ac:dyDescent="0.2">
      <c r="A51" t="s">
        <v>115</v>
      </c>
      <c r="B51" t="s">
        <v>116</v>
      </c>
      <c r="C51">
        <v>210784</v>
      </c>
      <c r="E51" t="s">
        <v>117</v>
      </c>
      <c r="F51">
        <v>368</v>
      </c>
      <c r="G51" t="s">
        <v>176</v>
      </c>
      <c r="H51" t="s">
        <v>177</v>
      </c>
      <c r="I51" t="s">
        <v>178</v>
      </c>
      <c r="J51" t="s">
        <v>179</v>
      </c>
      <c r="L51" t="s">
        <v>191</v>
      </c>
      <c r="M51" s="8">
        <v>45047</v>
      </c>
      <c r="N51">
        <v>7164863</v>
      </c>
      <c r="O51" t="s">
        <v>123</v>
      </c>
      <c r="P51" t="s">
        <v>124</v>
      </c>
      <c r="Q51">
        <v>18.21</v>
      </c>
      <c r="R51" t="s">
        <v>125</v>
      </c>
      <c r="S51" t="s">
        <v>126</v>
      </c>
      <c r="T51" t="s">
        <v>125</v>
      </c>
      <c r="U51" t="s">
        <v>126</v>
      </c>
      <c r="W51">
        <v>18.21</v>
      </c>
      <c r="Y51">
        <v>18.21</v>
      </c>
      <c r="AC51">
        <v>18.21</v>
      </c>
      <c r="BH51" t="s">
        <v>126</v>
      </c>
      <c r="BI51" t="s">
        <v>126</v>
      </c>
      <c r="BJ51" t="s">
        <v>126</v>
      </c>
      <c r="BK51" t="s">
        <v>126</v>
      </c>
      <c r="BS51" t="s">
        <v>126</v>
      </c>
      <c r="BT51" t="s">
        <v>126</v>
      </c>
      <c r="BU51" t="s">
        <v>126</v>
      </c>
      <c r="BV51" t="s">
        <v>126</v>
      </c>
      <c r="CN51" t="s">
        <v>181</v>
      </c>
      <c r="CP51" t="s">
        <v>189</v>
      </c>
      <c r="CQ51" t="s">
        <v>181</v>
      </c>
    </row>
    <row r="52" spans="1:95" x14ac:dyDescent="0.2">
      <c r="A52" t="s">
        <v>115</v>
      </c>
      <c r="B52" t="s">
        <v>116</v>
      </c>
      <c r="C52">
        <v>210784</v>
      </c>
      <c r="E52" t="s">
        <v>117</v>
      </c>
      <c r="F52">
        <v>368</v>
      </c>
      <c r="G52" t="s">
        <v>176</v>
      </c>
      <c r="H52" t="s">
        <v>177</v>
      </c>
      <c r="I52" t="s">
        <v>178</v>
      </c>
      <c r="J52" t="s">
        <v>179</v>
      </c>
      <c r="L52" t="s">
        <v>191</v>
      </c>
      <c r="M52" s="8">
        <v>45047</v>
      </c>
      <c r="N52">
        <v>7164864</v>
      </c>
      <c r="O52" t="s">
        <v>123</v>
      </c>
      <c r="P52" t="s">
        <v>124</v>
      </c>
      <c r="Q52">
        <v>20.149999999999999</v>
      </c>
      <c r="R52" t="s">
        <v>125</v>
      </c>
      <c r="S52" t="s">
        <v>126</v>
      </c>
      <c r="T52" t="s">
        <v>125</v>
      </c>
      <c r="U52" t="s">
        <v>126</v>
      </c>
      <c r="W52">
        <v>20.149999999999999</v>
      </c>
      <c r="Y52">
        <v>20.149999999999999</v>
      </c>
      <c r="AC52">
        <v>20.149999999999999</v>
      </c>
      <c r="BH52" t="s">
        <v>126</v>
      </c>
      <c r="BI52" t="s">
        <v>126</v>
      </c>
      <c r="BJ52" t="s">
        <v>126</v>
      </c>
      <c r="BK52" t="s">
        <v>126</v>
      </c>
      <c r="BS52" t="s">
        <v>126</v>
      </c>
      <c r="BT52" t="s">
        <v>126</v>
      </c>
      <c r="BU52" t="s">
        <v>126</v>
      </c>
      <c r="BV52" t="s">
        <v>126</v>
      </c>
      <c r="CN52" t="s">
        <v>181</v>
      </c>
      <c r="CP52" t="s">
        <v>189</v>
      </c>
      <c r="CQ52" t="s">
        <v>181</v>
      </c>
    </row>
    <row r="53" spans="1:95" x14ac:dyDescent="0.2">
      <c r="A53" t="s">
        <v>115</v>
      </c>
      <c r="B53" t="s">
        <v>116</v>
      </c>
      <c r="C53">
        <v>210784</v>
      </c>
      <c r="E53" t="s">
        <v>117</v>
      </c>
      <c r="F53">
        <v>368</v>
      </c>
      <c r="G53" t="s">
        <v>176</v>
      </c>
      <c r="H53" t="s">
        <v>177</v>
      </c>
      <c r="I53" t="s">
        <v>178</v>
      </c>
      <c r="J53" t="s">
        <v>179</v>
      </c>
      <c r="L53" t="s">
        <v>191</v>
      </c>
      <c r="M53" s="8">
        <v>45047</v>
      </c>
      <c r="N53">
        <v>7164865</v>
      </c>
      <c r="O53" t="s">
        <v>123</v>
      </c>
      <c r="P53" t="s">
        <v>124</v>
      </c>
      <c r="Q53">
        <v>21.11</v>
      </c>
      <c r="R53" t="s">
        <v>125</v>
      </c>
      <c r="S53" t="s">
        <v>126</v>
      </c>
      <c r="T53" t="s">
        <v>125</v>
      </c>
      <c r="U53" t="s">
        <v>126</v>
      </c>
      <c r="W53">
        <v>21.11</v>
      </c>
      <c r="Y53">
        <v>21.11</v>
      </c>
      <c r="AC53">
        <v>21.11</v>
      </c>
      <c r="BH53" t="s">
        <v>126</v>
      </c>
      <c r="BI53" t="s">
        <v>126</v>
      </c>
      <c r="BJ53" t="s">
        <v>126</v>
      </c>
      <c r="BK53" t="s">
        <v>126</v>
      </c>
      <c r="BS53" t="s">
        <v>126</v>
      </c>
      <c r="BT53" t="s">
        <v>126</v>
      </c>
      <c r="BU53" t="s">
        <v>126</v>
      </c>
      <c r="BV53" t="s">
        <v>126</v>
      </c>
      <c r="CN53" t="s">
        <v>181</v>
      </c>
      <c r="CP53" t="s">
        <v>189</v>
      </c>
      <c r="CQ53" t="s">
        <v>181</v>
      </c>
    </row>
    <row r="54" spans="1:95" x14ac:dyDescent="0.2">
      <c r="A54" t="s">
        <v>115</v>
      </c>
      <c r="B54" t="s">
        <v>116</v>
      </c>
      <c r="C54">
        <v>210784</v>
      </c>
      <c r="E54" t="s">
        <v>117</v>
      </c>
      <c r="F54">
        <v>368</v>
      </c>
      <c r="G54" t="s">
        <v>176</v>
      </c>
      <c r="H54" t="s">
        <v>177</v>
      </c>
      <c r="I54" t="s">
        <v>178</v>
      </c>
      <c r="J54" t="s">
        <v>179</v>
      </c>
      <c r="L54" t="s">
        <v>191</v>
      </c>
      <c r="M54" s="8">
        <v>45047</v>
      </c>
      <c r="N54">
        <v>7164873</v>
      </c>
      <c r="O54" t="s">
        <v>123</v>
      </c>
      <c r="P54" t="s">
        <v>124</v>
      </c>
      <c r="Q54">
        <v>26.15</v>
      </c>
      <c r="R54" t="s">
        <v>125</v>
      </c>
      <c r="S54" t="s">
        <v>126</v>
      </c>
      <c r="T54" t="s">
        <v>125</v>
      </c>
      <c r="U54" t="s">
        <v>126</v>
      </c>
      <c r="W54">
        <v>26.15</v>
      </c>
      <c r="Y54">
        <v>26.15</v>
      </c>
      <c r="AC54">
        <v>26.15</v>
      </c>
      <c r="BH54" t="s">
        <v>126</v>
      </c>
      <c r="BI54" t="s">
        <v>126</v>
      </c>
      <c r="BJ54" t="s">
        <v>126</v>
      </c>
      <c r="BK54" t="s">
        <v>126</v>
      </c>
      <c r="BS54" t="s">
        <v>126</v>
      </c>
      <c r="BT54" t="s">
        <v>126</v>
      </c>
      <c r="BU54" t="s">
        <v>126</v>
      </c>
      <c r="BV54" t="s">
        <v>126</v>
      </c>
      <c r="CN54" t="s">
        <v>181</v>
      </c>
      <c r="CP54" t="s">
        <v>189</v>
      </c>
      <c r="CQ54" t="s">
        <v>181</v>
      </c>
    </row>
    <row r="55" spans="1:95" x14ac:dyDescent="0.2">
      <c r="A55" t="s">
        <v>115</v>
      </c>
      <c r="B55" t="s">
        <v>116</v>
      </c>
      <c r="C55">
        <v>210784</v>
      </c>
      <c r="E55" t="s">
        <v>117</v>
      </c>
      <c r="F55">
        <v>368</v>
      </c>
      <c r="G55" t="s">
        <v>176</v>
      </c>
      <c r="H55" t="s">
        <v>177</v>
      </c>
      <c r="I55" t="s">
        <v>178</v>
      </c>
      <c r="J55" t="s">
        <v>179</v>
      </c>
      <c r="L55" t="s">
        <v>191</v>
      </c>
      <c r="M55" s="8">
        <v>45047</v>
      </c>
      <c r="N55">
        <v>7164874</v>
      </c>
      <c r="O55" t="s">
        <v>123</v>
      </c>
      <c r="P55" t="s">
        <v>124</v>
      </c>
      <c r="Q55">
        <v>21.1</v>
      </c>
      <c r="R55" t="s">
        <v>125</v>
      </c>
      <c r="S55" t="s">
        <v>126</v>
      </c>
      <c r="T55" t="s">
        <v>125</v>
      </c>
      <c r="U55" t="s">
        <v>126</v>
      </c>
      <c r="W55">
        <v>21.1</v>
      </c>
      <c r="Y55">
        <v>21.1</v>
      </c>
      <c r="AC55">
        <v>21.1</v>
      </c>
      <c r="BH55" t="s">
        <v>126</v>
      </c>
      <c r="BI55" t="s">
        <v>126</v>
      </c>
      <c r="BJ55" t="s">
        <v>126</v>
      </c>
      <c r="BK55" t="s">
        <v>126</v>
      </c>
      <c r="BS55" t="s">
        <v>126</v>
      </c>
      <c r="BT55" t="s">
        <v>126</v>
      </c>
      <c r="BU55" t="s">
        <v>126</v>
      </c>
      <c r="BV55" t="s">
        <v>126</v>
      </c>
      <c r="CN55" t="s">
        <v>181</v>
      </c>
      <c r="CP55" t="s">
        <v>189</v>
      </c>
      <c r="CQ55" t="s">
        <v>181</v>
      </c>
    </row>
    <row r="56" spans="1:95" x14ac:dyDescent="0.2">
      <c r="A56" t="s">
        <v>115</v>
      </c>
      <c r="B56" t="s">
        <v>116</v>
      </c>
      <c r="C56">
        <v>210784</v>
      </c>
      <c r="E56" t="s">
        <v>117</v>
      </c>
      <c r="F56">
        <v>368</v>
      </c>
      <c r="G56" t="s">
        <v>176</v>
      </c>
      <c r="H56" t="s">
        <v>177</v>
      </c>
      <c r="I56" t="s">
        <v>178</v>
      </c>
      <c r="J56" t="s">
        <v>179</v>
      </c>
      <c r="L56" t="s">
        <v>191</v>
      </c>
      <c r="M56" s="8">
        <v>45047</v>
      </c>
      <c r="N56">
        <v>7164878</v>
      </c>
      <c r="O56" t="s">
        <v>123</v>
      </c>
      <c r="P56" t="s">
        <v>124</v>
      </c>
      <c r="Q56">
        <v>22.61</v>
      </c>
      <c r="R56" t="s">
        <v>125</v>
      </c>
      <c r="S56" t="s">
        <v>126</v>
      </c>
      <c r="T56" t="s">
        <v>125</v>
      </c>
      <c r="U56" t="s">
        <v>126</v>
      </c>
      <c r="W56">
        <v>22.61</v>
      </c>
      <c r="Y56">
        <v>22.61</v>
      </c>
      <c r="AC56">
        <v>22.61</v>
      </c>
      <c r="BH56" t="s">
        <v>126</v>
      </c>
      <c r="BI56" t="s">
        <v>126</v>
      </c>
      <c r="BJ56" t="s">
        <v>126</v>
      </c>
      <c r="BK56" t="s">
        <v>126</v>
      </c>
      <c r="BS56" t="s">
        <v>126</v>
      </c>
      <c r="BT56" t="s">
        <v>126</v>
      </c>
      <c r="BU56" t="s">
        <v>126</v>
      </c>
      <c r="BV56" t="s">
        <v>126</v>
      </c>
      <c r="CN56" t="s">
        <v>181</v>
      </c>
      <c r="CP56" t="s">
        <v>189</v>
      </c>
      <c r="CQ56" t="s">
        <v>181</v>
      </c>
    </row>
    <row r="57" spans="1:95" x14ac:dyDescent="0.2">
      <c r="A57" t="s">
        <v>115</v>
      </c>
      <c r="B57" t="s">
        <v>116</v>
      </c>
      <c r="C57">
        <v>210784</v>
      </c>
      <c r="E57" t="s">
        <v>117</v>
      </c>
      <c r="F57">
        <v>368</v>
      </c>
      <c r="G57" t="s">
        <v>176</v>
      </c>
      <c r="H57" t="s">
        <v>177</v>
      </c>
      <c r="I57" t="s">
        <v>178</v>
      </c>
      <c r="J57" t="s">
        <v>179</v>
      </c>
      <c r="L57" t="s">
        <v>191</v>
      </c>
      <c r="M57" s="8">
        <v>45047</v>
      </c>
      <c r="N57">
        <v>7164898</v>
      </c>
      <c r="O57" t="s">
        <v>123</v>
      </c>
      <c r="P57" t="s">
        <v>124</v>
      </c>
      <c r="Q57">
        <v>22.05</v>
      </c>
      <c r="R57" t="s">
        <v>125</v>
      </c>
      <c r="S57" t="s">
        <v>126</v>
      </c>
      <c r="T57" t="s">
        <v>125</v>
      </c>
      <c r="U57" t="s">
        <v>126</v>
      </c>
      <c r="W57">
        <v>22.05</v>
      </c>
      <c r="Y57">
        <v>22.05</v>
      </c>
      <c r="AC57">
        <v>22.05</v>
      </c>
      <c r="BH57" t="s">
        <v>126</v>
      </c>
      <c r="BI57" t="s">
        <v>126</v>
      </c>
      <c r="BJ57" t="s">
        <v>126</v>
      </c>
      <c r="BK57" t="s">
        <v>126</v>
      </c>
      <c r="BS57" t="s">
        <v>126</v>
      </c>
      <c r="BT57" t="s">
        <v>126</v>
      </c>
      <c r="BU57" t="s">
        <v>126</v>
      </c>
      <c r="BV57" t="s">
        <v>126</v>
      </c>
      <c r="CN57" t="s">
        <v>181</v>
      </c>
      <c r="CP57" t="s">
        <v>189</v>
      </c>
      <c r="CQ57" t="s">
        <v>181</v>
      </c>
    </row>
    <row r="58" spans="1:95" x14ac:dyDescent="0.2">
      <c r="A58" t="s">
        <v>115</v>
      </c>
      <c r="B58" t="s">
        <v>116</v>
      </c>
      <c r="C58">
        <v>210784</v>
      </c>
      <c r="E58" t="s">
        <v>117</v>
      </c>
      <c r="F58">
        <v>368</v>
      </c>
      <c r="G58" t="s">
        <v>176</v>
      </c>
      <c r="H58" t="s">
        <v>177</v>
      </c>
      <c r="I58" t="s">
        <v>178</v>
      </c>
      <c r="J58" t="s">
        <v>179</v>
      </c>
      <c r="L58" t="s">
        <v>191</v>
      </c>
      <c r="M58" s="8">
        <v>45047</v>
      </c>
      <c r="N58">
        <v>7164902</v>
      </c>
      <c r="O58" t="s">
        <v>123</v>
      </c>
      <c r="P58" t="s">
        <v>124</v>
      </c>
      <c r="Q58">
        <v>24.43</v>
      </c>
      <c r="R58" t="s">
        <v>125</v>
      </c>
      <c r="S58" t="s">
        <v>126</v>
      </c>
      <c r="T58" t="s">
        <v>125</v>
      </c>
      <c r="U58" t="s">
        <v>126</v>
      </c>
      <c r="W58">
        <v>24.43</v>
      </c>
      <c r="Y58">
        <v>24.43</v>
      </c>
      <c r="AC58">
        <v>24.43</v>
      </c>
      <c r="BH58" t="s">
        <v>126</v>
      </c>
      <c r="BI58" t="s">
        <v>126</v>
      </c>
      <c r="BJ58" t="s">
        <v>126</v>
      </c>
      <c r="BK58" t="s">
        <v>126</v>
      </c>
      <c r="BS58" t="s">
        <v>126</v>
      </c>
      <c r="BT58" t="s">
        <v>126</v>
      </c>
      <c r="BU58" t="s">
        <v>126</v>
      </c>
      <c r="BV58" t="s">
        <v>126</v>
      </c>
      <c r="CN58" t="s">
        <v>181</v>
      </c>
      <c r="CP58" t="s">
        <v>189</v>
      </c>
      <c r="CQ58" t="s">
        <v>181</v>
      </c>
    </row>
    <row r="59" spans="1:95" x14ac:dyDescent="0.2">
      <c r="A59" t="s">
        <v>115</v>
      </c>
      <c r="B59" t="s">
        <v>116</v>
      </c>
      <c r="C59">
        <v>210784</v>
      </c>
      <c r="E59" t="s">
        <v>117</v>
      </c>
      <c r="F59">
        <v>368</v>
      </c>
      <c r="G59" t="s">
        <v>176</v>
      </c>
      <c r="H59" t="s">
        <v>177</v>
      </c>
      <c r="I59" t="s">
        <v>178</v>
      </c>
      <c r="J59" t="s">
        <v>179</v>
      </c>
      <c r="L59" t="s">
        <v>191</v>
      </c>
      <c r="M59" s="8">
        <v>45047</v>
      </c>
      <c r="N59">
        <v>7164909</v>
      </c>
      <c r="O59" t="s">
        <v>123</v>
      </c>
      <c r="P59" t="s">
        <v>124</v>
      </c>
      <c r="Q59">
        <v>24.16</v>
      </c>
      <c r="R59" t="s">
        <v>125</v>
      </c>
      <c r="S59" t="s">
        <v>126</v>
      </c>
      <c r="T59" t="s">
        <v>125</v>
      </c>
      <c r="U59" t="s">
        <v>126</v>
      </c>
      <c r="W59">
        <v>24.16</v>
      </c>
      <c r="Y59">
        <v>24.16</v>
      </c>
      <c r="AC59">
        <v>24.16</v>
      </c>
      <c r="BH59" t="s">
        <v>126</v>
      </c>
      <c r="BI59" t="s">
        <v>126</v>
      </c>
      <c r="BJ59" t="s">
        <v>126</v>
      </c>
      <c r="BK59" t="s">
        <v>126</v>
      </c>
      <c r="BS59" t="s">
        <v>126</v>
      </c>
      <c r="BT59" t="s">
        <v>126</v>
      </c>
      <c r="BU59" t="s">
        <v>126</v>
      </c>
      <c r="BV59" t="s">
        <v>126</v>
      </c>
      <c r="CN59" t="s">
        <v>181</v>
      </c>
      <c r="CP59" t="s">
        <v>189</v>
      </c>
      <c r="CQ59" t="s">
        <v>181</v>
      </c>
    </row>
    <row r="60" spans="1:95" x14ac:dyDescent="0.2">
      <c r="A60" t="s">
        <v>115</v>
      </c>
      <c r="B60" t="s">
        <v>116</v>
      </c>
      <c r="C60">
        <v>210784</v>
      </c>
      <c r="E60" t="s">
        <v>117</v>
      </c>
      <c r="F60">
        <v>368</v>
      </c>
      <c r="G60" t="s">
        <v>176</v>
      </c>
      <c r="H60" t="s">
        <v>177</v>
      </c>
      <c r="I60" t="s">
        <v>178</v>
      </c>
      <c r="J60" t="s">
        <v>179</v>
      </c>
      <c r="L60" t="s">
        <v>191</v>
      </c>
      <c r="M60" s="8">
        <v>45047</v>
      </c>
      <c r="N60">
        <v>7164904</v>
      </c>
      <c r="O60" t="s">
        <v>123</v>
      </c>
      <c r="P60" t="s">
        <v>124</v>
      </c>
      <c r="Q60">
        <v>25.6</v>
      </c>
      <c r="R60" t="s">
        <v>125</v>
      </c>
      <c r="S60" t="s">
        <v>126</v>
      </c>
      <c r="T60" t="s">
        <v>125</v>
      </c>
      <c r="U60" t="s">
        <v>126</v>
      </c>
      <c r="W60">
        <v>25.6</v>
      </c>
      <c r="Y60">
        <v>25.6</v>
      </c>
      <c r="AC60">
        <v>25.6</v>
      </c>
      <c r="BH60" t="s">
        <v>126</v>
      </c>
      <c r="BI60" t="s">
        <v>126</v>
      </c>
      <c r="BJ60" t="s">
        <v>126</v>
      </c>
      <c r="BK60" t="s">
        <v>126</v>
      </c>
      <c r="BS60" t="s">
        <v>126</v>
      </c>
      <c r="BT60" t="s">
        <v>126</v>
      </c>
      <c r="BU60" t="s">
        <v>126</v>
      </c>
      <c r="BV60" t="s">
        <v>126</v>
      </c>
      <c r="CN60" t="s">
        <v>181</v>
      </c>
      <c r="CP60" t="s">
        <v>189</v>
      </c>
      <c r="CQ60" t="s">
        <v>181</v>
      </c>
    </row>
    <row r="61" spans="1:95" x14ac:dyDescent="0.2">
      <c r="A61" t="s">
        <v>115</v>
      </c>
      <c r="B61" t="s">
        <v>116</v>
      </c>
      <c r="C61">
        <v>210784</v>
      </c>
      <c r="E61" t="s">
        <v>117</v>
      </c>
      <c r="F61">
        <v>368</v>
      </c>
      <c r="G61" t="s">
        <v>176</v>
      </c>
      <c r="H61" t="s">
        <v>177</v>
      </c>
      <c r="I61" t="s">
        <v>178</v>
      </c>
      <c r="J61" t="s">
        <v>179</v>
      </c>
      <c r="L61" t="s">
        <v>191</v>
      </c>
      <c r="M61" s="8">
        <v>45047</v>
      </c>
      <c r="N61">
        <v>7164910</v>
      </c>
      <c r="O61" t="s">
        <v>123</v>
      </c>
      <c r="P61" t="s">
        <v>124</v>
      </c>
      <c r="Q61">
        <v>22.85</v>
      </c>
      <c r="R61" t="s">
        <v>125</v>
      </c>
      <c r="S61" t="s">
        <v>126</v>
      </c>
      <c r="T61" t="s">
        <v>125</v>
      </c>
      <c r="U61" t="s">
        <v>126</v>
      </c>
      <c r="W61">
        <v>22.85</v>
      </c>
      <c r="Y61">
        <v>22.85</v>
      </c>
      <c r="AC61">
        <v>22.85</v>
      </c>
      <c r="BH61" t="s">
        <v>126</v>
      </c>
      <c r="BI61" t="s">
        <v>126</v>
      </c>
      <c r="BJ61" t="s">
        <v>126</v>
      </c>
      <c r="BK61" t="s">
        <v>126</v>
      </c>
      <c r="BS61" t="s">
        <v>126</v>
      </c>
      <c r="BT61" t="s">
        <v>126</v>
      </c>
      <c r="BU61" t="s">
        <v>126</v>
      </c>
      <c r="BV61" t="s">
        <v>126</v>
      </c>
      <c r="CN61" t="s">
        <v>181</v>
      </c>
      <c r="CP61" t="s">
        <v>189</v>
      </c>
      <c r="CQ61" t="s">
        <v>181</v>
      </c>
    </row>
    <row r="62" spans="1:95" x14ac:dyDescent="0.2">
      <c r="A62" t="s">
        <v>115</v>
      </c>
      <c r="B62" t="s">
        <v>116</v>
      </c>
      <c r="C62">
        <v>210784</v>
      </c>
      <c r="E62" t="s">
        <v>117</v>
      </c>
      <c r="F62">
        <v>368</v>
      </c>
      <c r="G62" t="s">
        <v>176</v>
      </c>
      <c r="H62" t="s">
        <v>177</v>
      </c>
      <c r="I62" t="s">
        <v>178</v>
      </c>
      <c r="J62" t="s">
        <v>179</v>
      </c>
      <c r="L62" t="s">
        <v>191</v>
      </c>
      <c r="M62" s="8">
        <v>45047</v>
      </c>
      <c r="N62">
        <v>7164912</v>
      </c>
      <c r="O62" t="s">
        <v>123</v>
      </c>
      <c r="P62" t="s">
        <v>124</v>
      </c>
      <c r="Q62">
        <v>4.57</v>
      </c>
      <c r="R62" t="s">
        <v>125</v>
      </c>
      <c r="S62" t="s">
        <v>126</v>
      </c>
      <c r="T62" t="s">
        <v>125</v>
      </c>
      <c r="U62" t="s">
        <v>126</v>
      </c>
      <c r="W62">
        <v>4.57</v>
      </c>
      <c r="Y62">
        <v>4.57</v>
      </c>
      <c r="AC62">
        <v>4.57</v>
      </c>
      <c r="BH62" t="s">
        <v>126</v>
      </c>
      <c r="BI62" t="s">
        <v>126</v>
      </c>
      <c r="BJ62" t="s">
        <v>126</v>
      </c>
      <c r="BK62" t="s">
        <v>126</v>
      </c>
      <c r="BS62" t="s">
        <v>126</v>
      </c>
      <c r="BT62" t="s">
        <v>126</v>
      </c>
      <c r="BU62" t="s">
        <v>126</v>
      </c>
      <c r="BV62" t="s">
        <v>126</v>
      </c>
      <c r="CN62" t="s">
        <v>181</v>
      </c>
      <c r="CP62" t="s">
        <v>189</v>
      </c>
      <c r="CQ62" t="s">
        <v>181</v>
      </c>
    </row>
    <row r="63" spans="1:95" x14ac:dyDescent="0.2">
      <c r="A63" t="s">
        <v>115</v>
      </c>
      <c r="B63" t="s">
        <v>116</v>
      </c>
      <c r="C63">
        <v>210784</v>
      </c>
      <c r="E63" t="s">
        <v>117</v>
      </c>
      <c r="F63">
        <v>368</v>
      </c>
      <c r="G63" t="s">
        <v>176</v>
      </c>
      <c r="H63" t="s">
        <v>177</v>
      </c>
      <c r="I63" t="s">
        <v>178</v>
      </c>
      <c r="J63" t="s">
        <v>179</v>
      </c>
      <c r="L63" t="s">
        <v>192</v>
      </c>
      <c r="M63" s="8">
        <v>45047</v>
      </c>
      <c r="N63">
        <v>7165033</v>
      </c>
      <c r="O63" t="s">
        <v>123</v>
      </c>
      <c r="P63" t="s">
        <v>124</v>
      </c>
      <c r="Q63">
        <v>21.83</v>
      </c>
      <c r="R63" t="s">
        <v>125</v>
      </c>
      <c r="S63" t="s">
        <v>126</v>
      </c>
      <c r="T63" t="s">
        <v>125</v>
      </c>
      <c r="U63" t="s">
        <v>126</v>
      </c>
      <c r="W63">
        <v>21.83</v>
      </c>
      <c r="Y63">
        <v>21.83</v>
      </c>
      <c r="AC63">
        <v>21.83</v>
      </c>
      <c r="BH63" t="s">
        <v>126</v>
      </c>
      <c r="BI63" t="s">
        <v>126</v>
      </c>
      <c r="BJ63" t="s">
        <v>126</v>
      </c>
      <c r="BK63" t="s">
        <v>126</v>
      </c>
      <c r="BS63" t="s">
        <v>126</v>
      </c>
      <c r="BT63" t="s">
        <v>126</v>
      </c>
      <c r="BU63" t="s">
        <v>126</v>
      </c>
      <c r="BV63" t="s">
        <v>126</v>
      </c>
      <c r="CN63" t="s">
        <v>181</v>
      </c>
      <c r="CP63" t="s">
        <v>189</v>
      </c>
      <c r="CQ63" t="s">
        <v>181</v>
      </c>
    </row>
    <row r="64" spans="1:95" x14ac:dyDescent="0.2">
      <c r="A64" t="s">
        <v>115</v>
      </c>
      <c r="B64" t="s">
        <v>116</v>
      </c>
      <c r="C64">
        <v>210784</v>
      </c>
      <c r="E64" t="s">
        <v>117</v>
      </c>
      <c r="F64">
        <v>368</v>
      </c>
      <c r="G64" t="s">
        <v>176</v>
      </c>
      <c r="H64" t="s">
        <v>177</v>
      </c>
      <c r="I64" t="s">
        <v>178</v>
      </c>
      <c r="J64" t="s">
        <v>179</v>
      </c>
      <c r="L64" t="s">
        <v>192</v>
      </c>
      <c r="M64" s="8">
        <v>45047</v>
      </c>
      <c r="N64">
        <v>7165035</v>
      </c>
      <c r="O64" t="s">
        <v>123</v>
      </c>
      <c r="P64" t="s">
        <v>124</v>
      </c>
      <c r="Q64">
        <v>20.84</v>
      </c>
      <c r="R64" t="s">
        <v>125</v>
      </c>
      <c r="S64" t="s">
        <v>126</v>
      </c>
      <c r="T64" t="s">
        <v>125</v>
      </c>
      <c r="U64" t="s">
        <v>126</v>
      </c>
      <c r="W64">
        <v>20.84</v>
      </c>
      <c r="Y64">
        <v>20.84</v>
      </c>
      <c r="AC64">
        <v>20.84</v>
      </c>
      <c r="BH64" t="s">
        <v>126</v>
      </c>
      <c r="BI64" t="s">
        <v>126</v>
      </c>
      <c r="BJ64" t="s">
        <v>126</v>
      </c>
      <c r="BK64" t="s">
        <v>126</v>
      </c>
      <c r="BS64" t="s">
        <v>126</v>
      </c>
      <c r="BT64" t="s">
        <v>126</v>
      </c>
      <c r="BU64" t="s">
        <v>126</v>
      </c>
      <c r="BV64" t="s">
        <v>126</v>
      </c>
      <c r="CN64" t="s">
        <v>181</v>
      </c>
      <c r="CP64" t="s">
        <v>189</v>
      </c>
      <c r="CQ64" t="s">
        <v>181</v>
      </c>
    </row>
    <row r="65" spans="1:95" x14ac:dyDescent="0.2">
      <c r="A65" t="s">
        <v>115</v>
      </c>
      <c r="B65" t="s">
        <v>116</v>
      </c>
      <c r="C65">
        <v>210784</v>
      </c>
      <c r="E65" t="s">
        <v>117</v>
      </c>
      <c r="F65">
        <v>368</v>
      </c>
      <c r="G65" t="s">
        <v>176</v>
      </c>
      <c r="H65" t="s">
        <v>177</v>
      </c>
      <c r="I65" t="s">
        <v>178</v>
      </c>
      <c r="J65" t="s">
        <v>179</v>
      </c>
      <c r="L65" t="s">
        <v>192</v>
      </c>
      <c r="M65" s="8">
        <v>45047</v>
      </c>
      <c r="N65">
        <v>7165038</v>
      </c>
      <c r="O65" t="s">
        <v>123</v>
      </c>
      <c r="P65" t="s">
        <v>124</v>
      </c>
      <c r="Q65">
        <v>21.66</v>
      </c>
      <c r="R65" t="s">
        <v>125</v>
      </c>
      <c r="S65" t="s">
        <v>126</v>
      </c>
      <c r="T65" t="s">
        <v>125</v>
      </c>
      <c r="U65" t="s">
        <v>126</v>
      </c>
      <c r="W65">
        <v>21.66</v>
      </c>
      <c r="Y65">
        <v>21.66</v>
      </c>
      <c r="AC65">
        <v>21.66</v>
      </c>
      <c r="BH65" t="s">
        <v>126</v>
      </c>
      <c r="BI65" t="s">
        <v>126</v>
      </c>
      <c r="BJ65" t="s">
        <v>126</v>
      </c>
      <c r="BK65" t="s">
        <v>126</v>
      </c>
      <c r="BS65" t="s">
        <v>126</v>
      </c>
      <c r="BT65" t="s">
        <v>126</v>
      </c>
      <c r="BU65" t="s">
        <v>126</v>
      </c>
      <c r="BV65" t="s">
        <v>126</v>
      </c>
      <c r="CN65" t="s">
        <v>181</v>
      </c>
      <c r="CP65" t="s">
        <v>189</v>
      </c>
      <c r="CQ65" t="s">
        <v>181</v>
      </c>
    </row>
    <row r="66" spans="1:95" x14ac:dyDescent="0.2">
      <c r="A66" t="s">
        <v>115</v>
      </c>
      <c r="B66" t="s">
        <v>116</v>
      </c>
      <c r="C66">
        <v>210784</v>
      </c>
      <c r="E66" t="s">
        <v>117</v>
      </c>
      <c r="F66">
        <v>368</v>
      </c>
      <c r="G66" t="s">
        <v>176</v>
      </c>
      <c r="H66" t="s">
        <v>177</v>
      </c>
      <c r="I66" t="s">
        <v>178</v>
      </c>
      <c r="J66" t="s">
        <v>179</v>
      </c>
      <c r="L66" t="s">
        <v>192</v>
      </c>
      <c r="M66" s="8">
        <v>45047</v>
      </c>
      <c r="N66">
        <v>7165041</v>
      </c>
      <c r="O66" t="s">
        <v>123</v>
      </c>
      <c r="P66" t="s">
        <v>124</v>
      </c>
      <c r="Q66">
        <v>19.04</v>
      </c>
      <c r="R66" t="s">
        <v>125</v>
      </c>
      <c r="S66" t="s">
        <v>126</v>
      </c>
      <c r="T66" t="s">
        <v>125</v>
      </c>
      <c r="U66" t="s">
        <v>126</v>
      </c>
      <c r="W66">
        <v>19.04</v>
      </c>
      <c r="Y66">
        <v>19.04</v>
      </c>
      <c r="AC66">
        <v>19.04</v>
      </c>
      <c r="BH66" t="s">
        <v>126</v>
      </c>
      <c r="BI66" t="s">
        <v>126</v>
      </c>
      <c r="BJ66" t="s">
        <v>126</v>
      </c>
      <c r="BK66" t="s">
        <v>126</v>
      </c>
      <c r="BS66" t="s">
        <v>126</v>
      </c>
      <c r="BT66" t="s">
        <v>126</v>
      </c>
      <c r="BU66" t="s">
        <v>126</v>
      </c>
      <c r="BV66" t="s">
        <v>126</v>
      </c>
      <c r="CN66" t="s">
        <v>181</v>
      </c>
      <c r="CP66" t="s">
        <v>189</v>
      </c>
      <c r="CQ66" t="s">
        <v>181</v>
      </c>
    </row>
    <row r="67" spans="1:95" x14ac:dyDescent="0.2">
      <c r="A67" t="s">
        <v>115</v>
      </c>
      <c r="B67" t="s">
        <v>116</v>
      </c>
      <c r="C67">
        <v>210784</v>
      </c>
      <c r="E67" t="s">
        <v>117</v>
      </c>
      <c r="F67">
        <v>368</v>
      </c>
      <c r="G67" t="s">
        <v>176</v>
      </c>
      <c r="H67" t="s">
        <v>177</v>
      </c>
      <c r="I67" t="s">
        <v>178</v>
      </c>
      <c r="J67" t="s">
        <v>179</v>
      </c>
      <c r="L67" t="s">
        <v>192</v>
      </c>
      <c r="M67" s="8">
        <v>45047</v>
      </c>
      <c r="N67">
        <v>7165069</v>
      </c>
      <c r="O67" t="s">
        <v>123</v>
      </c>
      <c r="P67" t="s">
        <v>124</v>
      </c>
      <c r="Q67">
        <v>21.31</v>
      </c>
      <c r="R67" t="s">
        <v>125</v>
      </c>
      <c r="S67" t="s">
        <v>126</v>
      </c>
      <c r="T67" t="s">
        <v>125</v>
      </c>
      <c r="U67" t="s">
        <v>126</v>
      </c>
      <c r="W67">
        <v>21.31</v>
      </c>
      <c r="Y67">
        <v>21.31</v>
      </c>
      <c r="AC67">
        <v>21.31</v>
      </c>
      <c r="BH67" t="s">
        <v>126</v>
      </c>
      <c r="BI67" t="s">
        <v>126</v>
      </c>
      <c r="BJ67" t="s">
        <v>126</v>
      </c>
      <c r="BK67" t="s">
        <v>126</v>
      </c>
      <c r="BS67" t="s">
        <v>126</v>
      </c>
      <c r="BT67" t="s">
        <v>126</v>
      </c>
      <c r="BU67" t="s">
        <v>126</v>
      </c>
      <c r="BV67" t="s">
        <v>126</v>
      </c>
      <c r="CN67" t="s">
        <v>181</v>
      </c>
      <c r="CP67" t="s">
        <v>189</v>
      </c>
      <c r="CQ67" t="s">
        <v>181</v>
      </c>
    </row>
    <row r="68" spans="1:95" x14ac:dyDescent="0.2">
      <c r="A68" t="s">
        <v>115</v>
      </c>
      <c r="B68" t="s">
        <v>116</v>
      </c>
      <c r="C68">
        <v>210784</v>
      </c>
      <c r="E68" t="s">
        <v>117</v>
      </c>
      <c r="F68">
        <v>368</v>
      </c>
      <c r="G68" t="s">
        <v>176</v>
      </c>
      <c r="H68" t="s">
        <v>177</v>
      </c>
      <c r="I68" t="s">
        <v>178</v>
      </c>
      <c r="J68" t="s">
        <v>179</v>
      </c>
      <c r="L68" t="s">
        <v>192</v>
      </c>
      <c r="M68" s="8">
        <v>45047</v>
      </c>
      <c r="N68">
        <v>7165070</v>
      </c>
      <c r="O68" t="s">
        <v>123</v>
      </c>
      <c r="P68" t="s">
        <v>124</v>
      </c>
      <c r="Q68">
        <v>20.51</v>
      </c>
      <c r="R68" t="s">
        <v>125</v>
      </c>
      <c r="S68" t="s">
        <v>126</v>
      </c>
      <c r="T68" t="s">
        <v>125</v>
      </c>
      <c r="U68" t="s">
        <v>126</v>
      </c>
      <c r="W68">
        <v>20.51</v>
      </c>
      <c r="Y68">
        <v>20.51</v>
      </c>
      <c r="AC68">
        <v>20.51</v>
      </c>
      <c r="BH68" t="s">
        <v>126</v>
      </c>
      <c r="BI68" t="s">
        <v>126</v>
      </c>
      <c r="BJ68" t="s">
        <v>126</v>
      </c>
      <c r="BK68" t="s">
        <v>126</v>
      </c>
      <c r="BS68" t="s">
        <v>126</v>
      </c>
      <c r="BT68" t="s">
        <v>126</v>
      </c>
      <c r="BU68" t="s">
        <v>126</v>
      </c>
      <c r="BV68" t="s">
        <v>126</v>
      </c>
      <c r="CN68" t="s">
        <v>181</v>
      </c>
      <c r="CP68" t="s">
        <v>189</v>
      </c>
      <c r="CQ68" t="s">
        <v>181</v>
      </c>
    </row>
    <row r="69" spans="1:95" x14ac:dyDescent="0.2">
      <c r="A69" t="s">
        <v>115</v>
      </c>
      <c r="B69" t="s">
        <v>116</v>
      </c>
      <c r="C69">
        <v>210784</v>
      </c>
      <c r="E69" t="s">
        <v>117</v>
      </c>
      <c r="F69">
        <v>368</v>
      </c>
      <c r="G69" t="s">
        <v>176</v>
      </c>
      <c r="H69" t="s">
        <v>177</v>
      </c>
      <c r="I69" t="s">
        <v>178</v>
      </c>
      <c r="J69" t="s">
        <v>179</v>
      </c>
      <c r="L69" t="s">
        <v>192</v>
      </c>
      <c r="M69" s="8">
        <v>45047</v>
      </c>
      <c r="N69">
        <v>7165074</v>
      </c>
      <c r="O69" t="s">
        <v>123</v>
      </c>
      <c r="P69" t="s">
        <v>124</v>
      </c>
      <c r="Q69">
        <v>20.14</v>
      </c>
      <c r="R69" t="s">
        <v>125</v>
      </c>
      <c r="S69" t="s">
        <v>126</v>
      </c>
      <c r="T69" t="s">
        <v>125</v>
      </c>
      <c r="U69" t="s">
        <v>126</v>
      </c>
      <c r="W69">
        <v>20.14</v>
      </c>
      <c r="Y69">
        <v>20.14</v>
      </c>
      <c r="AC69">
        <v>20.14</v>
      </c>
      <c r="BH69" t="s">
        <v>126</v>
      </c>
      <c r="BI69" t="s">
        <v>126</v>
      </c>
      <c r="BJ69" t="s">
        <v>126</v>
      </c>
      <c r="BK69" t="s">
        <v>126</v>
      </c>
      <c r="BS69" t="s">
        <v>126</v>
      </c>
      <c r="BT69" t="s">
        <v>126</v>
      </c>
      <c r="BU69" t="s">
        <v>126</v>
      </c>
      <c r="BV69" t="s">
        <v>126</v>
      </c>
      <c r="CN69" t="s">
        <v>181</v>
      </c>
      <c r="CP69" t="s">
        <v>189</v>
      </c>
      <c r="CQ69" t="s">
        <v>181</v>
      </c>
    </row>
    <row r="70" spans="1:95" x14ac:dyDescent="0.2">
      <c r="A70" t="s">
        <v>115</v>
      </c>
      <c r="B70" t="s">
        <v>116</v>
      </c>
      <c r="C70">
        <v>210784</v>
      </c>
      <c r="E70" t="s">
        <v>117</v>
      </c>
      <c r="F70">
        <v>368</v>
      </c>
      <c r="G70" t="s">
        <v>176</v>
      </c>
      <c r="H70" t="s">
        <v>177</v>
      </c>
      <c r="I70" t="s">
        <v>178</v>
      </c>
      <c r="J70" t="s">
        <v>179</v>
      </c>
      <c r="L70" t="s">
        <v>192</v>
      </c>
      <c r="M70" s="8">
        <v>45047</v>
      </c>
      <c r="N70">
        <v>7165075</v>
      </c>
      <c r="O70" t="s">
        <v>123</v>
      </c>
      <c r="P70" t="s">
        <v>124</v>
      </c>
      <c r="Q70">
        <v>22.93</v>
      </c>
      <c r="R70" t="s">
        <v>125</v>
      </c>
      <c r="S70" t="s">
        <v>126</v>
      </c>
      <c r="T70" t="s">
        <v>125</v>
      </c>
      <c r="U70" t="s">
        <v>126</v>
      </c>
      <c r="W70">
        <v>22.93</v>
      </c>
      <c r="Y70">
        <v>22.93</v>
      </c>
      <c r="AC70">
        <v>22.93</v>
      </c>
      <c r="BH70" t="s">
        <v>126</v>
      </c>
      <c r="BI70" t="s">
        <v>126</v>
      </c>
      <c r="BJ70" t="s">
        <v>126</v>
      </c>
      <c r="BK70" t="s">
        <v>126</v>
      </c>
      <c r="BS70" t="s">
        <v>126</v>
      </c>
      <c r="BT70" t="s">
        <v>126</v>
      </c>
      <c r="BU70" t="s">
        <v>126</v>
      </c>
      <c r="BV70" t="s">
        <v>126</v>
      </c>
      <c r="CN70" t="s">
        <v>181</v>
      </c>
      <c r="CP70" t="s">
        <v>189</v>
      </c>
      <c r="CQ70" t="s">
        <v>181</v>
      </c>
    </row>
    <row r="71" spans="1:95" x14ac:dyDescent="0.2">
      <c r="A71" t="s">
        <v>115</v>
      </c>
      <c r="B71" t="s">
        <v>116</v>
      </c>
      <c r="C71">
        <v>210784</v>
      </c>
      <c r="E71" t="s">
        <v>117</v>
      </c>
      <c r="F71">
        <v>368</v>
      </c>
      <c r="G71" t="s">
        <v>176</v>
      </c>
      <c r="H71" t="s">
        <v>177</v>
      </c>
      <c r="I71" t="s">
        <v>178</v>
      </c>
      <c r="J71" t="s">
        <v>179</v>
      </c>
      <c r="L71" t="s">
        <v>192</v>
      </c>
      <c r="M71" s="8">
        <v>45047</v>
      </c>
      <c r="N71">
        <v>7165076</v>
      </c>
      <c r="O71" t="s">
        <v>123</v>
      </c>
      <c r="P71" t="s">
        <v>124</v>
      </c>
      <c r="Q71">
        <v>17.25</v>
      </c>
      <c r="R71" t="s">
        <v>125</v>
      </c>
      <c r="S71" t="s">
        <v>126</v>
      </c>
      <c r="T71" t="s">
        <v>125</v>
      </c>
      <c r="U71" t="s">
        <v>126</v>
      </c>
      <c r="W71">
        <v>17.25</v>
      </c>
      <c r="Y71">
        <v>17.25</v>
      </c>
      <c r="AC71">
        <v>17.25</v>
      </c>
      <c r="BH71" t="s">
        <v>126</v>
      </c>
      <c r="BI71" t="s">
        <v>126</v>
      </c>
      <c r="BJ71" t="s">
        <v>126</v>
      </c>
      <c r="BK71" t="s">
        <v>126</v>
      </c>
      <c r="BS71" t="s">
        <v>126</v>
      </c>
      <c r="BT71" t="s">
        <v>126</v>
      </c>
      <c r="BU71" t="s">
        <v>126</v>
      </c>
      <c r="BV71" t="s">
        <v>126</v>
      </c>
      <c r="CN71" t="s">
        <v>181</v>
      </c>
      <c r="CP71" t="s">
        <v>189</v>
      </c>
      <c r="CQ71" t="s">
        <v>181</v>
      </c>
    </row>
    <row r="72" spans="1:95" x14ac:dyDescent="0.2">
      <c r="A72" t="s">
        <v>115</v>
      </c>
      <c r="B72" t="s">
        <v>116</v>
      </c>
      <c r="C72">
        <v>210784</v>
      </c>
      <c r="E72" t="s">
        <v>117</v>
      </c>
      <c r="F72">
        <v>368</v>
      </c>
      <c r="G72" t="s">
        <v>176</v>
      </c>
      <c r="H72" t="s">
        <v>177</v>
      </c>
      <c r="I72" t="s">
        <v>178</v>
      </c>
      <c r="J72" t="s">
        <v>179</v>
      </c>
      <c r="L72" t="s">
        <v>192</v>
      </c>
      <c r="M72" s="8">
        <v>45047</v>
      </c>
      <c r="N72">
        <v>7165090</v>
      </c>
      <c r="O72" t="s">
        <v>123</v>
      </c>
      <c r="P72" t="s">
        <v>124</v>
      </c>
      <c r="Q72">
        <v>24.27</v>
      </c>
      <c r="R72" t="s">
        <v>125</v>
      </c>
      <c r="S72" t="s">
        <v>126</v>
      </c>
      <c r="T72" t="s">
        <v>125</v>
      </c>
      <c r="U72" t="s">
        <v>126</v>
      </c>
      <c r="W72">
        <v>24.27</v>
      </c>
      <c r="Y72">
        <v>24.27</v>
      </c>
      <c r="AC72">
        <v>24.27</v>
      </c>
      <c r="BH72" t="s">
        <v>126</v>
      </c>
      <c r="BI72" t="s">
        <v>126</v>
      </c>
      <c r="BJ72" t="s">
        <v>126</v>
      </c>
      <c r="BK72" t="s">
        <v>126</v>
      </c>
      <c r="BS72" t="s">
        <v>126</v>
      </c>
      <c r="BT72" t="s">
        <v>126</v>
      </c>
      <c r="BU72" t="s">
        <v>126</v>
      </c>
      <c r="BV72" t="s">
        <v>126</v>
      </c>
      <c r="CN72" t="s">
        <v>181</v>
      </c>
      <c r="CP72" t="s">
        <v>189</v>
      </c>
      <c r="CQ72" t="s">
        <v>181</v>
      </c>
    </row>
    <row r="73" spans="1:95" x14ac:dyDescent="0.2">
      <c r="A73" t="s">
        <v>115</v>
      </c>
      <c r="B73" t="s">
        <v>116</v>
      </c>
      <c r="C73">
        <v>210784</v>
      </c>
      <c r="E73" t="s">
        <v>117</v>
      </c>
      <c r="F73">
        <v>368</v>
      </c>
      <c r="G73" t="s">
        <v>176</v>
      </c>
      <c r="H73" t="s">
        <v>177</v>
      </c>
      <c r="I73" t="s">
        <v>178</v>
      </c>
      <c r="J73" t="s">
        <v>179</v>
      </c>
      <c r="L73" t="s">
        <v>192</v>
      </c>
      <c r="M73" s="8">
        <v>45047</v>
      </c>
      <c r="N73">
        <v>7165110</v>
      </c>
      <c r="O73" t="s">
        <v>123</v>
      </c>
      <c r="P73" t="s">
        <v>124</v>
      </c>
      <c r="Q73">
        <v>23.81</v>
      </c>
      <c r="R73" t="s">
        <v>125</v>
      </c>
      <c r="S73" t="s">
        <v>126</v>
      </c>
      <c r="T73" t="s">
        <v>125</v>
      </c>
      <c r="U73" t="s">
        <v>126</v>
      </c>
      <c r="W73">
        <v>23.81</v>
      </c>
      <c r="Y73">
        <v>23.81</v>
      </c>
      <c r="AC73">
        <v>23.81</v>
      </c>
      <c r="BH73" t="s">
        <v>126</v>
      </c>
      <c r="BI73" t="s">
        <v>126</v>
      </c>
      <c r="BJ73" t="s">
        <v>126</v>
      </c>
      <c r="BK73" t="s">
        <v>126</v>
      </c>
      <c r="BS73" t="s">
        <v>126</v>
      </c>
      <c r="BT73" t="s">
        <v>126</v>
      </c>
      <c r="BU73" t="s">
        <v>126</v>
      </c>
      <c r="BV73" t="s">
        <v>126</v>
      </c>
      <c r="CN73" t="s">
        <v>181</v>
      </c>
      <c r="CP73" t="s">
        <v>189</v>
      </c>
      <c r="CQ73" t="s">
        <v>181</v>
      </c>
    </row>
    <row r="74" spans="1:95" x14ac:dyDescent="0.2">
      <c r="A74" t="s">
        <v>115</v>
      </c>
      <c r="B74" t="s">
        <v>116</v>
      </c>
      <c r="C74">
        <v>210784</v>
      </c>
      <c r="E74" t="s">
        <v>117</v>
      </c>
      <c r="F74">
        <v>368</v>
      </c>
      <c r="G74" t="s">
        <v>176</v>
      </c>
      <c r="H74" t="s">
        <v>177</v>
      </c>
      <c r="I74" t="s">
        <v>178</v>
      </c>
      <c r="J74" t="s">
        <v>179</v>
      </c>
      <c r="L74" t="s">
        <v>192</v>
      </c>
      <c r="M74" s="8">
        <v>45047</v>
      </c>
      <c r="N74">
        <v>7165111</v>
      </c>
      <c r="O74" t="s">
        <v>123</v>
      </c>
      <c r="P74" t="s">
        <v>124</v>
      </c>
      <c r="Q74">
        <v>19.68</v>
      </c>
      <c r="R74" t="s">
        <v>125</v>
      </c>
      <c r="S74" t="s">
        <v>126</v>
      </c>
      <c r="T74" t="s">
        <v>125</v>
      </c>
      <c r="U74" t="s">
        <v>126</v>
      </c>
      <c r="W74">
        <v>19.68</v>
      </c>
      <c r="Y74">
        <v>19.68</v>
      </c>
      <c r="AC74">
        <v>19.68</v>
      </c>
      <c r="BH74" t="s">
        <v>126</v>
      </c>
      <c r="BI74" t="s">
        <v>126</v>
      </c>
      <c r="BJ74" t="s">
        <v>126</v>
      </c>
      <c r="BK74" t="s">
        <v>126</v>
      </c>
      <c r="BS74" t="s">
        <v>126</v>
      </c>
      <c r="BT74" t="s">
        <v>126</v>
      </c>
      <c r="BU74" t="s">
        <v>126</v>
      </c>
      <c r="BV74" t="s">
        <v>126</v>
      </c>
      <c r="CN74" t="s">
        <v>181</v>
      </c>
      <c r="CP74" t="s">
        <v>189</v>
      </c>
      <c r="CQ74" t="s">
        <v>181</v>
      </c>
    </row>
    <row r="75" spans="1:95" x14ac:dyDescent="0.2">
      <c r="A75" t="s">
        <v>115</v>
      </c>
      <c r="B75" t="s">
        <v>116</v>
      </c>
      <c r="C75">
        <v>210784</v>
      </c>
      <c r="E75" t="s">
        <v>117</v>
      </c>
      <c r="F75">
        <v>368</v>
      </c>
      <c r="G75" t="s">
        <v>176</v>
      </c>
      <c r="H75" t="s">
        <v>177</v>
      </c>
      <c r="I75" t="s">
        <v>178</v>
      </c>
      <c r="J75" t="s">
        <v>179</v>
      </c>
      <c r="L75" t="s">
        <v>192</v>
      </c>
      <c r="M75" s="8">
        <v>45047</v>
      </c>
      <c r="N75">
        <v>7165114</v>
      </c>
      <c r="O75" t="s">
        <v>123</v>
      </c>
      <c r="P75" t="s">
        <v>124</v>
      </c>
      <c r="Q75">
        <v>18.899999999999999</v>
      </c>
      <c r="R75" t="s">
        <v>125</v>
      </c>
      <c r="S75" t="s">
        <v>126</v>
      </c>
      <c r="T75" t="s">
        <v>125</v>
      </c>
      <c r="U75" t="s">
        <v>126</v>
      </c>
      <c r="W75">
        <v>18.899999999999999</v>
      </c>
      <c r="Y75">
        <v>18.899999999999999</v>
      </c>
      <c r="AC75">
        <v>18.899999999999999</v>
      </c>
      <c r="BH75" t="s">
        <v>126</v>
      </c>
      <c r="BI75" t="s">
        <v>126</v>
      </c>
      <c r="BJ75" t="s">
        <v>126</v>
      </c>
      <c r="BK75" t="s">
        <v>126</v>
      </c>
      <c r="BS75" t="s">
        <v>126</v>
      </c>
      <c r="BT75" t="s">
        <v>126</v>
      </c>
      <c r="BU75" t="s">
        <v>126</v>
      </c>
      <c r="BV75" t="s">
        <v>126</v>
      </c>
      <c r="CN75" t="s">
        <v>181</v>
      </c>
      <c r="CP75" t="s">
        <v>189</v>
      </c>
      <c r="CQ75" t="s">
        <v>181</v>
      </c>
    </row>
    <row r="76" spans="1:95" x14ac:dyDescent="0.2">
      <c r="A76" t="s">
        <v>115</v>
      </c>
      <c r="B76" t="s">
        <v>116</v>
      </c>
      <c r="C76">
        <v>210784</v>
      </c>
      <c r="E76" t="s">
        <v>117</v>
      </c>
      <c r="F76">
        <v>368</v>
      </c>
      <c r="G76" t="s">
        <v>176</v>
      </c>
      <c r="H76" t="s">
        <v>177</v>
      </c>
      <c r="I76" t="s">
        <v>178</v>
      </c>
      <c r="J76" t="s">
        <v>179</v>
      </c>
      <c r="L76" t="s">
        <v>192</v>
      </c>
      <c r="M76" s="8">
        <v>45047</v>
      </c>
      <c r="N76">
        <v>7165115</v>
      </c>
      <c r="O76" t="s">
        <v>123</v>
      </c>
      <c r="P76" t="s">
        <v>124</v>
      </c>
      <c r="Q76">
        <v>19.309999999999999</v>
      </c>
      <c r="R76" t="s">
        <v>125</v>
      </c>
      <c r="S76" t="s">
        <v>126</v>
      </c>
      <c r="T76" t="s">
        <v>125</v>
      </c>
      <c r="U76" t="s">
        <v>126</v>
      </c>
      <c r="W76">
        <v>19.309999999999999</v>
      </c>
      <c r="Y76">
        <v>19.309999999999999</v>
      </c>
      <c r="AC76">
        <v>19.309999999999999</v>
      </c>
      <c r="BH76" t="s">
        <v>126</v>
      </c>
      <c r="BI76" t="s">
        <v>126</v>
      </c>
      <c r="BJ76" t="s">
        <v>126</v>
      </c>
      <c r="BK76" t="s">
        <v>126</v>
      </c>
      <c r="BS76" t="s">
        <v>126</v>
      </c>
      <c r="BT76" t="s">
        <v>126</v>
      </c>
      <c r="BU76" t="s">
        <v>126</v>
      </c>
      <c r="BV76" t="s">
        <v>126</v>
      </c>
      <c r="CN76" t="s">
        <v>181</v>
      </c>
      <c r="CP76" t="s">
        <v>189</v>
      </c>
      <c r="CQ76" t="s">
        <v>181</v>
      </c>
    </row>
    <row r="77" spans="1:95" x14ac:dyDescent="0.2">
      <c r="A77" t="s">
        <v>115</v>
      </c>
      <c r="B77" t="s">
        <v>116</v>
      </c>
      <c r="C77">
        <v>210784</v>
      </c>
      <c r="E77" t="s">
        <v>117</v>
      </c>
      <c r="F77">
        <v>368</v>
      </c>
      <c r="G77" t="s">
        <v>176</v>
      </c>
      <c r="H77" t="s">
        <v>177</v>
      </c>
      <c r="I77" t="s">
        <v>178</v>
      </c>
      <c r="J77" t="s">
        <v>179</v>
      </c>
      <c r="L77" t="s">
        <v>192</v>
      </c>
      <c r="M77" s="8">
        <v>45047</v>
      </c>
      <c r="N77">
        <v>7165118</v>
      </c>
      <c r="O77" t="s">
        <v>123</v>
      </c>
      <c r="P77" t="s">
        <v>124</v>
      </c>
      <c r="Q77">
        <v>21.95</v>
      </c>
      <c r="R77" t="s">
        <v>125</v>
      </c>
      <c r="S77" t="s">
        <v>126</v>
      </c>
      <c r="T77" t="s">
        <v>125</v>
      </c>
      <c r="U77" t="s">
        <v>126</v>
      </c>
      <c r="W77">
        <v>21.95</v>
      </c>
      <c r="Y77">
        <v>21.95</v>
      </c>
      <c r="AC77">
        <v>21.95</v>
      </c>
      <c r="BH77" t="s">
        <v>126</v>
      </c>
      <c r="BI77" t="s">
        <v>126</v>
      </c>
      <c r="BJ77" t="s">
        <v>126</v>
      </c>
      <c r="BK77" t="s">
        <v>126</v>
      </c>
      <c r="BS77" t="s">
        <v>126</v>
      </c>
      <c r="BT77" t="s">
        <v>126</v>
      </c>
      <c r="BU77" t="s">
        <v>126</v>
      </c>
      <c r="BV77" t="s">
        <v>126</v>
      </c>
      <c r="CN77" t="s">
        <v>181</v>
      </c>
      <c r="CP77" t="s">
        <v>189</v>
      </c>
      <c r="CQ77" t="s">
        <v>181</v>
      </c>
    </row>
    <row r="78" spans="1:95" x14ac:dyDescent="0.2">
      <c r="A78" t="s">
        <v>115</v>
      </c>
      <c r="B78" t="s">
        <v>116</v>
      </c>
      <c r="C78">
        <v>210784</v>
      </c>
      <c r="E78" t="s">
        <v>117</v>
      </c>
      <c r="F78">
        <v>368</v>
      </c>
      <c r="G78" t="s">
        <v>176</v>
      </c>
      <c r="H78" t="s">
        <v>177</v>
      </c>
      <c r="I78" t="s">
        <v>178</v>
      </c>
      <c r="J78" t="s">
        <v>179</v>
      </c>
      <c r="L78" t="s">
        <v>192</v>
      </c>
      <c r="M78" s="8">
        <v>45047</v>
      </c>
      <c r="N78">
        <v>7165122</v>
      </c>
      <c r="O78" t="s">
        <v>123</v>
      </c>
      <c r="P78" t="s">
        <v>124</v>
      </c>
      <c r="Q78">
        <v>22.62</v>
      </c>
      <c r="R78" t="s">
        <v>125</v>
      </c>
      <c r="S78" t="s">
        <v>126</v>
      </c>
      <c r="T78" t="s">
        <v>125</v>
      </c>
      <c r="U78" t="s">
        <v>126</v>
      </c>
      <c r="W78">
        <v>22.62</v>
      </c>
      <c r="Y78">
        <v>22.62</v>
      </c>
      <c r="AC78">
        <v>22.62</v>
      </c>
      <c r="BH78" t="s">
        <v>126</v>
      </c>
      <c r="BI78" t="s">
        <v>126</v>
      </c>
      <c r="BJ78" t="s">
        <v>126</v>
      </c>
      <c r="BK78" t="s">
        <v>126</v>
      </c>
      <c r="BS78" t="s">
        <v>126</v>
      </c>
      <c r="BT78" t="s">
        <v>126</v>
      </c>
      <c r="BU78" t="s">
        <v>126</v>
      </c>
      <c r="BV78" t="s">
        <v>126</v>
      </c>
      <c r="CN78" t="s">
        <v>181</v>
      </c>
      <c r="CP78" t="s">
        <v>189</v>
      </c>
      <c r="CQ78" t="s">
        <v>181</v>
      </c>
    </row>
    <row r="79" spans="1:95" x14ac:dyDescent="0.2">
      <c r="A79" t="s">
        <v>115</v>
      </c>
      <c r="B79" t="s">
        <v>116</v>
      </c>
      <c r="C79">
        <v>210784</v>
      </c>
      <c r="E79" t="s">
        <v>117</v>
      </c>
      <c r="F79">
        <v>368</v>
      </c>
      <c r="G79" t="s">
        <v>176</v>
      </c>
      <c r="H79" t="s">
        <v>177</v>
      </c>
      <c r="I79" t="s">
        <v>178</v>
      </c>
      <c r="J79" t="s">
        <v>179</v>
      </c>
      <c r="L79" t="s">
        <v>192</v>
      </c>
      <c r="M79" s="8">
        <v>45047</v>
      </c>
      <c r="N79">
        <v>7165146</v>
      </c>
      <c r="O79" t="s">
        <v>123</v>
      </c>
      <c r="P79" t="s">
        <v>124</v>
      </c>
      <c r="Q79">
        <v>22.43</v>
      </c>
      <c r="R79" t="s">
        <v>125</v>
      </c>
      <c r="S79" t="s">
        <v>126</v>
      </c>
      <c r="T79" t="s">
        <v>125</v>
      </c>
      <c r="U79" t="s">
        <v>126</v>
      </c>
      <c r="W79">
        <v>22.43</v>
      </c>
      <c r="Y79">
        <v>22.43</v>
      </c>
      <c r="AC79">
        <v>22.43</v>
      </c>
      <c r="BH79" t="s">
        <v>126</v>
      </c>
      <c r="BI79" t="s">
        <v>126</v>
      </c>
      <c r="BJ79" t="s">
        <v>126</v>
      </c>
      <c r="BK79" t="s">
        <v>126</v>
      </c>
      <c r="BS79" t="s">
        <v>126</v>
      </c>
      <c r="BT79" t="s">
        <v>126</v>
      </c>
      <c r="BU79" t="s">
        <v>126</v>
      </c>
      <c r="BV79" t="s">
        <v>126</v>
      </c>
      <c r="CN79" t="s">
        <v>181</v>
      </c>
      <c r="CP79" t="s">
        <v>189</v>
      </c>
      <c r="CQ79" t="s">
        <v>181</v>
      </c>
    </row>
    <row r="80" spans="1:95" x14ac:dyDescent="0.2">
      <c r="A80" t="s">
        <v>115</v>
      </c>
      <c r="B80" t="s">
        <v>116</v>
      </c>
      <c r="C80">
        <v>210784</v>
      </c>
      <c r="E80" t="s">
        <v>117</v>
      </c>
      <c r="F80">
        <v>368</v>
      </c>
      <c r="G80" t="s">
        <v>176</v>
      </c>
      <c r="H80" t="s">
        <v>177</v>
      </c>
      <c r="I80" t="s">
        <v>178</v>
      </c>
      <c r="J80" t="s">
        <v>179</v>
      </c>
      <c r="L80" t="s">
        <v>192</v>
      </c>
      <c r="M80" s="8">
        <v>45047</v>
      </c>
      <c r="N80">
        <v>7165147</v>
      </c>
      <c r="O80" t="s">
        <v>123</v>
      </c>
      <c r="P80" t="s">
        <v>124</v>
      </c>
      <c r="Q80">
        <v>24.39</v>
      </c>
      <c r="R80" t="s">
        <v>125</v>
      </c>
      <c r="S80" t="s">
        <v>126</v>
      </c>
      <c r="T80" t="s">
        <v>125</v>
      </c>
      <c r="U80" t="s">
        <v>126</v>
      </c>
      <c r="W80">
        <v>24.39</v>
      </c>
      <c r="Y80">
        <v>24.39</v>
      </c>
      <c r="AC80">
        <v>24.39</v>
      </c>
      <c r="BH80" t="s">
        <v>126</v>
      </c>
      <c r="BI80" t="s">
        <v>126</v>
      </c>
      <c r="BJ80" t="s">
        <v>126</v>
      </c>
      <c r="BK80" t="s">
        <v>126</v>
      </c>
      <c r="BS80" t="s">
        <v>126</v>
      </c>
      <c r="BT80" t="s">
        <v>126</v>
      </c>
      <c r="BU80" t="s">
        <v>126</v>
      </c>
      <c r="BV80" t="s">
        <v>126</v>
      </c>
      <c r="CN80" t="s">
        <v>181</v>
      </c>
      <c r="CP80" t="s">
        <v>189</v>
      </c>
      <c r="CQ80" t="s">
        <v>181</v>
      </c>
    </row>
    <row r="81" spans="1:95" x14ac:dyDescent="0.2">
      <c r="A81" t="s">
        <v>115</v>
      </c>
      <c r="B81" t="s">
        <v>116</v>
      </c>
      <c r="C81">
        <v>210784</v>
      </c>
      <c r="E81" t="s">
        <v>117</v>
      </c>
      <c r="F81">
        <v>368</v>
      </c>
      <c r="G81" t="s">
        <v>176</v>
      </c>
      <c r="H81" t="s">
        <v>177</v>
      </c>
      <c r="I81" t="s">
        <v>178</v>
      </c>
      <c r="J81" t="s">
        <v>179</v>
      </c>
      <c r="L81" t="s">
        <v>192</v>
      </c>
      <c r="M81" s="8">
        <v>45047</v>
      </c>
      <c r="N81">
        <v>7165158</v>
      </c>
      <c r="O81" t="s">
        <v>123</v>
      </c>
      <c r="P81" t="s">
        <v>124</v>
      </c>
      <c r="Q81">
        <v>24.87</v>
      </c>
      <c r="R81" t="s">
        <v>125</v>
      </c>
      <c r="S81" t="s">
        <v>126</v>
      </c>
      <c r="T81" t="s">
        <v>125</v>
      </c>
      <c r="U81" t="s">
        <v>126</v>
      </c>
      <c r="W81">
        <v>24.87</v>
      </c>
      <c r="Y81">
        <v>24.87</v>
      </c>
      <c r="AC81">
        <v>24.87</v>
      </c>
      <c r="BH81" t="s">
        <v>126</v>
      </c>
      <c r="BI81" t="s">
        <v>126</v>
      </c>
      <c r="BJ81" t="s">
        <v>126</v>
      </c>
      <c r="BK81" t="s">
        <v>126</v>
      </c>
      <c r="BS81" t="s">
        <v>126</v>
      </c>
      <c r="BT81" t="s">
        <v>126</v>
      </c>
      <c r="BU81" t="s">
        <v>126</v>
      </c>
      <c r="BV81" t="s">
        <v>126</v>
      </c>
      <c r="CN81" t="s">
        <v>181</v>
      </c>
      <c r="CP81" t="s">
        <v>189</v>
      </c>
      <c r="CQ81" t="s">
        <v>181</v>
      </c>
    </row>
    <row r="82" spans="1:95" x14ac:dyDescent="0.2">
      <c r="A82" t="s">
        <v>115</v>
      </c>
      <c r="B82" t="s">
        <v>116</v>
      </c>
      <c r="C82">
        <v>210784</v>
      </c>
      <c r="E82" t="s">
        <v>117</v>
      </c>
      <c r="F82">
        <v>368</v>
      </c>
      <c r="G82" t="s">
        <v>176</v>
      </c>
      <c r="H82" t="s">
        <v>177</v>
      </c>
      <c r="I82" t="s">
        <v>178</v>
      </c>
      <c r="J82" t="s">
        <v>179</v>
      </c>
      <c r="L82" t="s">
        <v>193</v>
      </c>
      <c r="M82" s="8">
        <v>45047</v>
      </c>
      <c r="N82">
        <v>7165261</v>
      </c>
      <c r="O82" t="s">
        <v>123</v>
      </c>
      <c r="P82" t="s">
        <v>124</v>
      </c>
      <c r="Q82">
        <v>21.87</v>
      </c>
      <c r="R82" t="s">
        <v>125</v>
      </c>
      <c r="S82" t="s">
        <v>126</v>
      </c>
      <c r="T82" t="s">
        <v>125</v>
      </c>
      <c r="U82" t="s">
        <v>126</v>
      </c>
      <c r="W82">
        <v>21.87</v>
      </c>
      <c r="Y82">
        <v>21.87</v>
      </c>
      <c r="AC82">
        <v>21.87</v>
      </c>
      <c r="BH82" t="s">
        <v>126</v>
      </c>
      <c r="BI82" t="s">
        <v>126</v>
      </c>
      <c r="BJ82" t="s">
        <v>126</v>
      </c>
      <c r="BK82" t="s">
        <v>126</v>
      </c>
      <c r="BS82" t="s">
        <v>126</v>
      </c>
      <c r="BT82" t="s">
        <v>126</v>
      </c>
      <c r="BU82" t="s">
        <v>126</v>
      </c>
      <c r="BV82" t="s">
        <v>126</v>
      </c>
      <c r="CN82" t="s">
        <v>181</v>
      </c>
      <c r="CP82" t="s">
        <v>189</v>
      </c>
      <c r="CQ82" t="s">
        <v>181</v>
      </c>
    </row>
    <row r="83" spans="1:95" x14ac:dyDescent="0.2">
      <c r="A83" t="s">
        <v>115</v>
      </c>
      <c r="B83" t="s">
        <v>116</v>
      </c>
      <c r="C83">
        <v>210784</v>
      </c>
      <c r="E83" t="s">
        <v>117</v>
      </c>
      <c r="F83">
        <v>368</v>
      </c>
      <c r="G83" t="s">
        <v>176</v>
      </c>
      <c r="H83" t="s">
        <v>177</v>
      </c>
      <c r="I83" t="s">
        <v>178</v>
      </c>
      <c r="J83" t="s">
        <v>179</v>
      </c>
      <c r="L83" t="s">
        <v>193</v>
      </c>
      <c r="M83" s="8">
        <v>45047</v>
      </c>
      <c r="N83">
        <v>7165287</v>
      </c>
      <c r="O83" t="s">
        <v>123</v>
      </c>
      <c r="P83" t="s">
        <v>124</v>
      </c>
      <c r="Q83">
        <v>24.97</v>
      </c>
      <c r="R83" t="s">
        <v>125</v>
      </c>
      <c r="S83" t="s">
        <v>126</v>
      </c>
      <c r="T83" t="s">
        <v>125</v>
      </c>
      <c r="U83" t="s">
        <v>126</v>
      </c>
      <c r="W83">
        <v>24.97</v>
      </c>
      <c r="Y83">
        <v>24.97</v>
      </c>
      <c r="AC83">
        <v>24.97</v>
      </c>
      <c r="BH83" t="s">
        <v>126</v>
      </c>
      <c r="BI83" t="s">
        <v>126</v>
      </c>
      <c r="BJ83" t="s">
        <v>126</v>
      </c>
      <c r="BK83" t="s">
        <v>126</v>
      </c>
      <c r="BS83" t="s">
        <v>126</v>
      </c>
      <c r="BT83" t="s">
        <v>126</v>
      </c>
      <c r="BU83" t="s">
        <v>126</v>
      </c>
      <c r="BV83" t="s">
        <v>126</v>
      </c>
      <c r="CN83" t="s">
        <v>181</v>
      </c>
      <c r="CP83" t="s">
        <v>189</v>
      </c>
      <c r="CQ83" t="s">
        <v>181</v>
      </c>
    </row>
    <row r="84" spans="1:95" x14ac:dyDescent="0.2">
      <c r="A84" t="s">
        <v>115</v>
      </c>
      <c r="B84" t="s">
        <v>116</v>
      </c>
      <c r="C84">
        <v>210784</v>
      </c>
      <c r="E84" t="s">
        <v>117</v>
      </c>
      <c r="F84">
        <v>368</v>
      </c>
      <c r="G84" t="s">
        <v>176</v>
      </c>
      <c r="H84" t="s">
        <v>177</v>
      </c>
      <c r="I84" t="s">
        <v>178</v>
      </c>
      <c r="J84" t="s">
        <v>179</v>
      </c>
      <c r="L84" t="s">
        <v>193</v>
      </c>
      <c r="M84" s="8">
        <v>45047</v>
      </c>
      <c r="N84">
        <v>7165292</v>
      </c>
      <c r="O84" t="s">
        <v>123</v>
      </c>
      <c r="P84" t="s">
        <v>124</v>
      </c>
      <c r="Q84">
        <v>24.81</v>
      </c>
      <c r="R84" t="s">
        <v>125</v>
      </c>
      <c r="S84" t="s">
        <v>126</v>
      </c>
      <c r="T84" t="s">
        <v>125</v>
      </c>
      <c r="U84" t="s">
        <v>126</v>
      </c>
      <c r="W84">
        <v>24.81</v>
      </c>
      <c r="Y84">
        <v>24.81</v>
      </c>
      <c r="AC84">
        <v>24.81</v>
      </c>
      <c r="BH84" t="s">
        <v>126</v>
      </c>
      <c r="BI84" t="s">
        <v>126</v>
      </c>
      <c r="BJ84" t="s">
        <v>126</v>
      </c>
      <c r="BK84" t="s">
        <v>126</v>
      </c>
      <c r="BS84" t="s">
        <v>126</v>
      </c>
      <c r="BT84" t="s">
        <v>126</v>
      </c>
      <c r="BU84" t="s">
        <v>126</v>
      </c>
      <c r="BV84" t="s">
        <v>126</v>
      </c>
      <c r="CN84" t="s">
        <v>181</v>
      </c>
      <c r="CP84" t="s">
        <v>189</v>
      </c>
      <c r="CQ84" t="s">
        <v>181</v>
      </c>
    </row>
    <row r="85" spans="1:95" x14ac:dyDescent="0.2">
      <c r="A85" t="s">
        <v>115</v>
      </c>
      <c r="B85" t="s">
        <v>116</v>
      </c>
      <c r="C85">
        <v>210784</v>
      </c>
      <c r="E85" t="s">
        <v>117</v>
      </c>
      <c r="F85">
        <v>368</v>
      </c>
      <c r="G85" t="s">
        <v>176</v>
      </c>
      <c r="H85" t="s">
        <v>177</v>
      </c>
      <c r="I85" t="s">
        <v>178</v>
      </c>
      <c r="J85" t="s">
        <v>179</v>
      </c>
      <c r="L85" t="s">
        <v>193</v>
      </c>
      <c r="M85" s="8">
        <v>45047</v>
      </c>
      <c r="N85">
        <v>7165294</v>
      </c>
      <c r="O85" t="s">
        <v>123</v>
      </c>
      <c r="P85" t="s">
        <v>124</v>
      </c>
      <c r="Q85">
        <v>27.77</v>
      </c>
      <c r="R85" t="s">
        <v>125</v>
      </c>
      <c r="S85" t="s">
        <v>126</v>
      </c>
      <c r="T85" t="s">
        <v>125</v>
      </c>
      <c r="U85" t="s">
        <v>126</v>
      </c>
      <c r="W85">
        <v>27.77</v>
      </c>
      <c r="Y85">
        <v>27.77</v>
      </c>
      <c r="AC85">
        <v>27.77</v>
      </c>
      <c r="BH85" t="s">
        <v>126</v>
      </c>
      <c r="BI85" t="s">
        <v>126</v>
      </c>
      <c r="BJ85" t="s">
        <v>126</v>
      </c>
      <c r="BK85" t="s">
        <v>126</v>
      </c>
      <c r="BS85" t="s">
        <v>126</v>
      </c>
      <c r="BT85" t="s">
        <v>126</v>
      </c>
      <c r="BU85" t="s">
        <v>126</v>
      </c>
      <c r="BV85" t="s">
        <v>126</v>
      </c>
      <c r="CN85" t="s">
        <v>181</v>
      </c>
      <c r="CP85" t="s">
        <v>189</v>
      </c>
      <c r="CQ85" t="s">
        <v>181</v>
      </c>
    </row>
    <row r="86" spans="1:95" x14ac:dyDescent="0.2">
      <c r="A86" t="s">
        <v>115</v>
      </c>
      <c r="B86" t="s">
        <v>116</v>
      </c>
      <c r="C86">
        <v>210784</v>
      </c>
      <c r="E86" t="s">
        <v>117</v>
      </c>
      <c r="F86">
        <v>368</v>
      </c>
      <c r="G86" t="s">
        <v>176</v>
      </c>
      <c r="H86" t="s">
        <v>177</v>
      </c>
      <c r="I86" t="s">
        <v>178</v>
      </c>
      <c r="J86" t="s">
        <v>179</v>
      </c>
      <c r="L86" t="s">
        <v>193</v>
      </c>
      <c r="M86" s="8">
        <v>45047</v>
      </c>
      <c r="N86">
        <v>7165295</v>
      </c>
      <c r="O86" t="s">
        <v>123</v>
      </c>
      <c r="P86" t="s">
        <v>124</v>
      </c>
      <c r="Q86">
        <v>24.34</v>
      </c>
      <c r="R86" t="s">
        <v>125</v>
      </c>
      <c r="S86" t="s">
        <v>126</v>
      </c>
      <c r="T86" t="s">
        <v>125</v>
      </c>
      <c r="U86" t="s">
        <v>126</v>
      </c>
      <c r="W86">
        <v>24.34</v>
      </c>
      <c r="Y86">
        <v>24.34</v>
      </c>
      <c r="AC86">
        <v>24.34</v>
      </c>
      <c r="BH86" t="s">
        <v>126</v>
      </c>
      <c r="BI86" t="s">
        <v>126</v>
      </c>
      <c r="BJ86" t="s">
        <v>126</v>
      </c>
      <c r="BK86" t="s">
        <v>126</v>
      </c>
      <c r="BS86" t="s">
        <v>126</v>
      </c>
      <c r="BT86" t="s">
        <v>126</v>
      </c>
      <c r="BU86" t="s">
        <v>126</v>
      </c>
      <c r="BV86" t="s">
        <v>126</v>
      </c>
      <c r="CN86" t="s">
        <v>181</v>
      </c>
      <c r="CP86" t="s">
        <v>189</v>
      </c>
      <c r="CQ86" t="s">
        <v>181</v>
      </c>
    </row>
    <row r="87" spans="1:95" x14ac:dyDescent="0.2">
      <c r="A87" t="s">
        <v>115</v>
      </c>
      <c r="B87" t="s">
        <v>116</v>
      </c>
      <c r="C87">
        <v>210784</v>
      </c>
      <c r="E87" t="s">
        <v>117</v>
      </c>
      <c r="F87">
        <v>368</v>
      </c>
      <c r="G87" t="s">
        <v>176</v>
      </c>
      <c r="H87" t="s">
        <v>177</v>
      </c>
      <c r="I87" t="s">
        <v>178</v>
      </c>
      <c r="J87" t="s">
        <v>179</v>
      </c>
      <c r="L87" t="s">
        <v>193</v>
      </c>
      <c r="M87" s="8">
        <v>45047</v>
      </c>
      <c r="N87">
        <v>7165301</v>
      </c>
      <c r="O87" t="s">
        <v>123</v>
      </c>
      <c r="P87" t="s">
        <v>124</v>
      </c>
      <c r="Q87">
        <v>22.61</v>
      </c>
      <c r="R87" t="s">
        <v>125</v>
      </c>
      <c r="S87" t="s">
        <v>126</v>
      </c>
      <c r="T87" t="s">
        <v>125</v>
      </c>
      <c r="U87" t="s">
        <v>126</v>
      </c>
      <c r="W87">
        <v>22.61</v>
      </c>
      <c r="Y87">
        <v>22.61</v>
      </c>
      <c r="AC87">
        <v>22.61</v>
      </c>
      <c r="BH87" t="s">
        <v>126</v>
      </c>
      <c r="BI87" t="s">
        <v>126</v>
      </c>
      <c r="BJ87" t="s">
        <v>126</v>
      </c>
      <c r="BK87" t="s">
        <v>126</v>
      </c>
      <c r="BS87" t="s">
        <v>126</v>
      </c>
      <c r="BT87" t="s">
        <v>126</v>
      </c>
      <c r="BU87" t="s">
        <v>126</v>
      </c>
      <c r="BV87" t="s">
        <v>126</v>
      </c>
      <c r="CN87" t="s">
        <v>181</v>
      </c>
      <c r="CP87" t="s">
        <v>189</v>
      </c>
      <c r="CQ87" t="s">
        <v>181</v>
      </c>
    </row>
    <row r="88" spans="1:95" x14ac:dyDescent="0.2">
      <c r="A88" t="s">
        <v>115</v>
      </c>
      <c r="B88" t="s">
        <v>116</v>
      </c>
      <c r="C88">
        <v>210784</v>
      </c>
      <c r="E88" t="s">
        <v>117</v>
      </c>
      <c r="F88">
        <v>368</v>
      </c>
      <c r="G88" t="s">
        <v>176</v>
      </c>
      <c r="H88" t="s">
        <v>177</v>
      </c>
      <c r="I88" t="s">
        <v>178</v>
      </c>
      <c r="J88" t="s">
        <v>179</v>
      </c>
      <c r="L88" t="s">
        <v>193</v>
      </c>
      <c r="M88" s="8">
        <v>45047</v>
      </c>
      <c r="N88">
        <v>7165305</v>
      </c>
      <c r="O88" t="s">
        <v>123</v>
      </c>
      <c r="P88" t="s">
        <v>124</v>
      </c>
      <c r="Q88">
        <v>22.86</v>
      </c>
      <c r="R88" t="s">
        <v>125</v>
      </c>
      <c r="S88" t="s">
        <v>126</v>
      </c>
      <c r="T88" t="s">
        <v>125</v>
      </c>
      <c r="U88" t="s">
        <v>126</v>
      </c>
      <c r="W88">
        <v>22.86</v>
      </c>
      <c r="Y88">
        <v>22.86</v>
      </c>
      <c r="AC88">
        <v>22.86</v>
      </c>
      <c r="BH88" t="s">
        <v>126</v>
      </c>
      <c r="BI88" t="s">
        <v>126</v>
      </c>
      <c r="BJ88" t="s">
        <v>126</v>
      </c>
      <c r="BK88" t="s">
        <v>126</v>
      </c>
      <c r="BS88" t="s">
        <v>126</v>
      </c>
      <c r="BT88" t="s">
        <v>126</v>
      </c>
      <c r="BU88" t="s">
        <v>126</v>
      </c>
      <c r="BV88" t="s">
        <v>126</v>
      </c>
      <c r="CN88" t="s">
        <v>181</v>
      </c>
      <c r="CP88" t="s">
        <v>189</v>
      </c>
      <c r="CQ88" t="s">
        <v>181</v>
      </c>
    </row>
    <row r="89" spans="1:95" x14ac:dyDescent="0.2">
      <c r="A89" t="s">
        <v>115</v>
      </c>
      <c r="B89" t="s">
        <v>116</v>
      </c>
      <c r="C89">
        <v>210784</v>
      </c>
      <c r="E89" t="s">
        <v>117</v>
      </c>
      <c r="F89">
        <v>368</v>
      </c>
      <c r="G89" t="s">
        <v>176</v>
      </c>
      <c r="H89" t="s">
        <v>177</v>
      </c>
      <c r="I89" t="s">
        <v>178</v>
      </c>
      <c r="J89" t="s">
        <v>179</v>
      </c>
      <c r="L89" t="s">
        <v>193</v>
      </c>
      <c r="M89" s="8">
        <v>45047</v>
      </c>
      <c r="N89">
        <v>7165309</v>
      </c>
      <c r="O89" t="s">
        <v>123</v>
      </c>
      <c r="P89" t="s">
        <v>124</v>
      </c>
      <c r="Q89">
        <v>19.7</v>
      </c>
      <c r="R89" t="s">
        <v>125</v>
      </c>
      <c r="S89" t="s">
        <v>126</v>
      </c>
      <c r="T89" t="s">
        <v>125</v>
      </c>
      <c r="U89" t="s">
        <v>126</v>
      </c>
      <c r="W89">
        <v>19.7</v>
      </c>
      <c r="Y89">
        <v>19.7</v>
      </c>
      <c r="AC89">
        <v>19.7</v>
      </c>
      <c r="BH89" t="s">
        <v>126</v>
      </c>
      <c r="BI89" t="s">
        <v>126</v>
      </c>
      <c r="BJ89" t="s">
        <v>126</v>
      </c>
      <c r="BK89" t="s">
        <v>126</v>
      </c>
      <c r="BS89" t="s">
        <v>126</v>
      </c>
      <c r="BT89" t="s">
        <v>126</v>
      </c>
      <c r="BU89" t="s">
        <v>126</v>
      </c>
      <c r="BV89" t="s">
        <v>126</v>
      </c>
      <c r="CN89" t="s">
        <v>181</v>
      </c>
      <c r="CP89" t="s">
        <v>189</v>
      </c>
      <c r="CQ89" t="s">
        <v>181</v>
      </c>
    </row>
    <row r="90" spans="1:95" x14ac:dyDescent="0.2">
      <c r="A90" t="s">
        <v>115</v>
      </c>
      <c r="B90" t="s">
        <v>116</v>
      </c>
      <c r="C90">
        <v>210784</v>
      </c>
      <c r="E90" t="s">
        <v>117</v>
      </c>
      <c r="F90">
        <v>368</v>
      </c>
      <c r="G90" t="s">
        <v>176</v>
      </c>
      <c r="H90" t="s">
        <v>177</v>
      </c>
      <c r="I90" t="s">
        <v>178</v>
      </c>
      <c r="J90" t="s">
        <v>179</v>
      </c>
      <c r="L90" t="s">
        <v>193</v>
      </c>
      <c r="M90" s="8">
        <v>45047</v>
      </c>
      <c r="N90">
        <v>7165312</v>
      </c>
      <c r="O90" t="s">
        <v>123</v>
      </c>
      <c r="P90" t="s">
        <v>124</v>
      </c>
      <c r="Q90">
        <v>21.17</v>
      </c>
      <c r="R90" t="s">
        <v>125</v>
      </c>
      <c r="S90" t="s">
        <v>126</v>
      </c>
      <c r="T90" t="s">
        <v>125</v>
      </c>
      <c r="U90" t="s">
        <v>126</v>
      </c>
      <c r="W90">
        <v>21.17</v>
      </c>
      <c r="Y90">
        <v>21.17</v>
      </c>
      <c r="AC90">
        <v>21.17</v>
      </c>
      <c r="BH90" t="s">
        <v>126</v>
      </c>
      <c r="BI90" t="s">
        <v>126</v>
      </c>
      <c r="BJ90" t="s">
        <v>126</v>
      </c>
      <c r="BK90" t="s">
        <v>126</v>
      </c>
      <c r="BS90" t="s">
        <v>126</v>
      </c>
      <c r="BT90" t="s">
        <v>126</v>
      </c>
      <c r="BU90" t="s">
        <v>126</v>
      </c>
      <c r="BV90" t="s">
        <v>126</v>
      </c>
      <c r="CN90" t="s">
        <v>181</v>
      </c>
      <c r="CP90" t="s">
        <v>189</v>
      </c>
      <c r="CQ90" t="s">
        <v>181</v>
      </c>
    </row>
    <row r="91" spans="1:95" x14ac:dyDescent="0.2">
      <c r="A91" t="s">
        <v>115</v>
      </c>
      <c r="B91" t="s">
        <v>116</v>
      </c>
      <c r="C91">
        <v>210784</v>
      </c>
      <c r="E91" t="s">
        <v>117</v>
      </c>
      <c r="F91">
        <v>368</v>
      </c>
      <c r="G91" t="s">
        <v>176</v>
      </c>
      <c r="H91" t="s">
        <v>177</v>
      </c>
      <c r="I91" t="s">
        <v>178</v>
      </c>
      <c r="J91" t="s">
        <v>179</v>
      </c>
      <c r="L91" t="s">
        <v>193</v>
      </c>
      <c r="M91" s="8">
        <v>45047</v>
      </c>
      <c r="N91">
        <v>7165313</v>
      </c>
      <c r="O91" t="s">
        <v>123</v>
      </c>
      <c r="P91" t="s">
        <v>124</v>
      </c>
      <c r="Q91">
        <v>22.15</v>
      </c>
      <c r="R91" t="s">
        <v>125</v>
      </c>
      <c r="S91" t="s">
        <v>126</v>
      </c>
      <c r="T91" t="s">
        <v>125</v>
      </c>
      <c r="U91" t="s">
        <v>126</v>
      </c>
      <c r="W91">
        <v>22.15</v>
      </c>
      <c r="Y91">
        <v>22.15</v>
      </c>
      <c r="AC91">
        <v>22.15</v>
      </c>
      <c r="BH91" t="s">
        <v>126</v>
      </c>
      <c r="BI91" t="s">
        <v>126</v>
      </c>
      <c r="BJ91" t="s">
        <v>126</v>
      </c>
      <c r="BK91" t="s">
        <v>126</v>
      </c>
      <c r="BS91" t="s">
        <v>126</v>
      </c>
      <c r="BT91" t="s">
        <v>126</v>
      </c>
      <c r="BU91" t="s">
        <v>126</v>
      </c>
      <c r="BV91" t="s">
        <v>126</v>
      </c>
      <c r="CN91" t="s">
        <v>181</v>
      </c>
      <c r="CP91" t="s">
        <v>189</v>
      </c>
      <c r="CQ91" t="s">
        <v>181</v>
      </c>
    </row>
    <row r="92" spans="1:95" x14ac:dyDescent="0.2">
      <c r="A92" t="s">
        <v>115</v>
      </c>
      <c r="B92" t="s">
        <v>116</v>
      </c>
      <c r="C92">
        <v>210784</v>
      </c>
      <c r="E92" t="s">
        <v>117</v>
      </c>
      <c r="F92">
        <v>368</v>
      </c>
      <c r="G92" t="s">
        <v>176</v>
      </c>
      <c r="H92" t="s">
        <v>177</v>
      </c>
      <c r="I92" t="s">
        <v>178</v>
      </c>
      <c r="J92" t="s">
        <v>179</v>
      </c>
      <c r="L92" t="s">
        <v>193</v>
      </c>
      <c r="M92" s="8">
        <v>45047</v>
      </c>
      <c r="N92">
        <v>7165317</v>
      </c>
      <c r="O92" t="s">
        <v>123</v>
      </c>
      <c r="P92" t="s">
        <v>124</v>
      </c>
      <c r="Q92">
        <v>22</v>
      </c>
      <c r="R92" t="s">
        <v>125</v>
      </c>
      <c r="S92" t="s">
        <v>126</v>
      </c>
      <c r="T92" t="s">
        <v>125</v>
      </c>
      <c r="U92" t="s">
        <v>126</v>
      </c>
      <c r="W92">
        <v>22</v>
      </c>
      <c r="Y92">
        <v>22</v>
      </c>
      <c r="AC92">
        <v>22</v>
      </c>
      <c r="BH92" t="s">
        <v>126</v>
      </c>
      <c r="BI92" t="s">
        <v>126</v>
      </c>
      <c r="BJ92" t="s">
        <v>126</v>
      </c>
      <c r="BK92" t="s">
        <v>126</v>
      </c>
      <c r="BS92" t="s">
        <v>126</v>
      </c>
      <c r="BT92" t="s">
        <v>126</v>
      </c>
      <c r="BU92" t="s">
        <v>126</v>
      </c>
      <c r="BV92" t="s">
        <v>126</v>
      </c>
      <c r="CN92" t="s">
        <v>181</v>
      </c>
      <c r="CP92" t="s">
        <v>189</v>
      </c>
      <c r="CQ92" t="s">
        <v>181</v>
      </c>
    </row>
    <row r="93" spans="1:95" x14ac:dyDescent="0.2">
      <c r="A93" t="s">
        <v>115</v>
      </c>
      <c r="B93" t="s">
        <v>116</v>
      </c>
      <c r="C93">
        <v>210784</v>
      </c>
      <c r="E93" t="s">
        <v>117</v>
      </c>
      <c r="F93">
        <v>368</v>
      </c>
      <c r="G93" t="s">
        <v>176</v>
      </c>
      <c r="H93" t="s">
        <v>177</v>
      </c>
      <c r="I93" t="s">
        <v>178</v>
      </c>
      <c r="J93" t="s">
        <v>179</v>
      </c>
      <c r="L93" t="s">
        <v>193</v>
      </c>
      <c r="M93" s="8">
        <v>45047</v>
      </c>
      <c r="N93">
        <v>7165326</v>
      </c>
      <c r="O93" t="s">
        <v>123</v>
      </c>
      <c r="P93" t="s">
        <v>124</v>
      </c>
      <c r="Q93">
        <v>24.37</v>
      </c>
      <c r="R93" t="s">
        <v>125</v>
      </c>
      <c r="S93" t="s">
        <v>126</v>
      </c>
      <c r="T93" t="s">
        <v>125</v>
      </c>
      <c r="U93" t="s">
        <v>126</v>
      </c>
      <c r="W93">
        <v>24.37</v>
      </c>
      <c r="Y93">
        <v>24.37</v>
      </c>
      <c r="AC93">
        <v>24.37</v>
      </c>
      <c r="BH93" t="s">
        <v>126</v>
      </c>
      <c r="BI93" t="s">
        <v>126</v>
      </c>
      <c r="BJ93" t="s">
        <v>126</v>
      </c>
      <c r="BK93" t="s">
        <v>126</v>
      </c>
      <c r="BS93" t="s">
        <v>126</v>
      </c>
      <c r="BT93" t="s">
        <v>126</v>
      </c>
      <c r="BU93" t="s">
        <v>126</v>
      </c>
      <c r="BV93" t="s">
        <v>126</v>
      </c>
      <c r="CN93" t="s">
        <v>181</v>
      </c>
      <c r="CP93" t="s">
        <v>189</v>
      </c>
      <c r="CQ93" t="s">
        <v>181</v>
      </c>
    </row>
    <row r="94" spans="1:95" x14ac:dyDescent="0.2">
      <c r="A94" t="s">
        <v>115</v>
      </c>
      <c r="B94" t="s">
        <v>116</v>
      </c>
      <c r="C94">
        <v>210784</v>
      </c>
      <c r="E94" t="s">
        <v>117</v>
      </c>
      <c r="F94">
        <v>368</v>
      </c>
      <c r="G94" t="s">
        <v>176</v>
      </c>
      <c r="H94" t="s">
        <v>177</v>
      </c>
      <c r="I94" t="s">
        <v>178</v>
      </c>
      <c r="J94" t="s">
        <v>179</v>
      </c>
      <c r="L94" t="s">
        <v>193</v>
      </c>
      <c r="M94" s="8">
        <v>45047</v>
      </c>
      <c r="N94">
        <v>7165335</v>
      </c>
      <c r="O94" t="s">
        <v>123</v>
      </c>
      <c r="P94" t="s">
        <v>124</v>
      </c>
      <c r="Q94">
        <v>24.1</v>
      </c>
      <c r="R94" t="s">
        <v>125</v>
      </c>
      <c r="S94" t="s">
        <v>126</v>
      </c>
      <c r="T94" t="s">
        <v>125</v>
      </c>
      <c r="U94" t="s">
        <v>126</v>
      </c>
      <c r="W94">
        <v>24.1</v>
      </c>
      <c r="Y94">
        <v>24.1</v>
      </c>
      <c r="AC94">
        <v>24.1</v>
      </c>
      <c r="BH94" t="s">
        <v>126</v>
      </c>
      <c r="BI94" t="s">
        <v>126</v>
      </c>
      <c r="BJ94" t="s">
        <v>126</v>
      </c>
      <c r="BK94" t="s">
        <v>126</v>
      </c>
      <c r="BS94" t="s">
        <v>126</v>
      </c>
      <c r="BT94" t="s">
        <v>126</v>
      </c>
      <c r="BU94" t="s">
        <v>126</v>
      </c>
      <c r="BV94" t="s">
        <v>126</v>
      </c>
      <c r="CN94" t="s">
        <v>181</v>
      </c>
      <c r="CP94" t="s">
        <v>189</v>
      </c>
      <c r="CQ94" t="s">
        <v>181</v>
      </c>
    </row>
    <row r="95" spans="1:95" x14ac:dyDescent="0.2">
      <c r="A95" t="s">
        <v>115</v>
      </c>
      <c r="B95" t="s">
        <v>116</v>
      </c>
      <c r="C95">
        <v>210784</v>
      </c>
      <c r="E95" t="s">
        <v>117</v>
      </c>
      <c r="F95">
        <v>368</v>
      </c>
      <c r="G95" t="s">
        <v>176</v>
      </c>
      <c r="H95" t="s">
        <v>177</v>
      </c>
      <c r="I95" t="s">
        <v>178</v>
      </c>
      <c r="J95" t="s">
        <v>179</v>
      </c>
      <c r="L95" t="s">
        <v>193</v>
      </c>
      <c r="M95" s="8">
        <v>45047</v>
      </c>
      <c r="N95">
        <v>7165344</v>
      </c>
      <c r="O95" t="s">
        <v>123</v>
      </c>
      <c r="P95" t="s">
        <v>124</v>
      </c>
      <c r="Q95">
        <v>23.66</v>
      </c>
      <c r="R95" t="s">
        <v>125</v>
      </c>
      <c r="S95" t="s">
        <v>126</v>
      </c>
      <c r="T95" t="s">
        <v>125</v>
      </c>
      <c r="U95" t="s">
        <v>126</v>
      </c>
      <c r="W95">
        <v>23.66</v>
      </c>
      <c r="Y95">
        <v>23.66</v>
      </c>
      <c r="AC95">
        <v>23.66</v>
      </c>
      <c r="BH95" t="s">
        <v>126</v>
      </c>
      <c r="BI95" t="s">
        <v>126</v>
      </c>
      <c r="BJ95" t="s">
        <v>126</v>
      </c>
      <c r="BK95" t="s">
        <v>126</v>
      </c>
      <c r="BS95" t="s">
        <v>126</v>
      </c>
      <c r="BT95" t="s">
        <v>126</v>
      </c>
      <c r="BU95" t="s">
        <v>126</v>
      </c>
      <c r="BV95" t="s">
        <v>126</v>
      </c>
      <c r="CN95" t="s">
        <v>181</v>
      </c>
      <c r="CP95" t="s">
        <v>189</v>
      </c>
      <c r="CQ95" t="s">
        <v>181</v>
      </c>
    </row>
    <row r="96" spans="1:95" x14ac:dyDescent="0.2">
      <c r="A96" t="s">
        <v>115</v>
      </c>
      <c r="B96" t="s">
        <v>116</v>
      </c>
      <c r="C96">
        <v>210784</v>
      </c>
      <c r="E96" t="s">
        <v>117</v>
      </c>
      <c r="F96">
        <v>368</v>
      </c>
      <c r="G96" t="s">
        <v>176</v>
      </c>
      <c r="H96" t="s">
        <v>177</v>
      </c>
      <c r="I96" t="s">
        <v>178</v>
      </c>
      <c r="J96" t="s">
        <v>179</v>
      </c>
      <c r="L96" t="s">
        <v>193</v>
      </c>
      <c r="M96" s="8">
        <v>45047</v>
      </c>
      <c r="N96">
        <v>7165349</v>
      </c>
      <c r="O96" t="s">
        <v>123</v>
      </c>
      <c r="P96" t="s">
        <v>124</v>
      </c>
      <c r="Q96">
        <v>15.92</v>
      </c>
      <c r="R96" t="s">
        <v>125</v>
      </c>
      <c r="S96" t="s">
        <v>126</v>
      </c>
      <c r="T96" t="s">
        <v>125</v>
      </c>
      <c r="U96" t="s">
        <v>126</v>
      </c>
      <c r="W96">
        <v>15.92</v>
      </c>
      <c r="Y96">
        <v>15.92</v>
      </c>
      <c r="AC96">
        <v>15.92</v>
      </c>
      <c r="BH96" t="s">
        <v>126</v>
      </c>
      <c r="BI96" t="s">
        <v>126</v>
      </c>
      <c r="BJ96" t="s">
        <v>126</v>
      </c>
      <c r="BK96" t="s">
        <v>126</v>
      </c>
      <c r="BS96" t="s">
        <v>126</v>
      </c>
      <c r="BT96" t="s">
        <v>126</v>
      </c>
      <c r="BU96" t="s">
        <v>126</v>
      </c>
      <c r="BV96" t="s">
        <v>126</v>
      </c>
      <c r="CN96" t="s">
        <v>181</v>
      </c>
      <c r="CP96" t="s">
        <v>189</v>
      </c>
      <c r="CQ96" t="s">
        <v>181</v>
      </c>
    </row>
    <row r="97" spans="1:95" x14ac:dyDescent="0.2">
      <c r="A97" t="s">
        <v>115</v>
      </c>
      <c r="B97" t="s">
        <v>116</v>
      </c>
      <c r="C97">
        <v>210784</v>
      </c>
      <c r="E97" t="s">
        <v>117</v>
      </c>
      <c r="F97">
        <v>368</v>
      </c>
      <c r="G97" t="s">
        <v>176</v>
      </c>
      <c r="H97" t="s">
        <v>177</v>
      </c>
      <c r="I97" t="s">
        <v>178</v>
      </c>
      <c r="J97" t="s">
        <v>179</v>
      </c>
      <c r="L97" t="s">
        <v>193</v>
      </c>
      <c r="M97" s="8">
        <v>45047</v>
      </c>
      <c r="N97">
        <v>7165350</v>
      </c>
      <c r="O97" t="s">
        <v>123</v>
      </c>
      <c r="P97" t="s">
        <v>124</v>
      </c>
      <c r="Q97">
        <v>22.72</v>
      </c>
      <c r="R97" t="s">
        <v>125</v>
      </c>
      <c r="S97" t="s">
        <v>126</v>
      </c>
      <c r="T97" t="s">
        <v>125</v>
      </c>
      <c r="U97" t="s">
        <v>126</v>
      </c>
      <c r="W97">
        <v>22.72</v>
      </c>
      <c r="Y97">
        <v>22.72</v>
      </c>
      <c r="AC97">
        <v>22.72</v>
      </c>
      <c r="BH97" t="s">
        <v>126</v>
      </c>
      <c r="BI97" t="s">
        <v>126</v>
      </c>
      <c r="BJ97" t="s">
        <v>126</v>
      </c>
      <c r="BK97" t="s">
        <v>126</v>
      </c>
      <c r="BS97" t="s">
        <v>126</v>
      </c>
      <c r="BT97" t="s">
        <v>126</v>
      </c>
      <c r="BU97" t="s">
        <v>126</v>
      </c>
      <c r="BV97" t="s">
        <v>126</v>
      </c>
      <c r="CN97" t="s">
        <v>181</v>
      </c>
      <c r="CP97" t="s">
        <v>189</v>
      </c>
      <c r="CQ97" t="s">
        <v>181</v>
      </c>
    </row>
    <row r="98" spans="1:95" x14ac:dyDescent="0.2">
      <c r="A98" t="s">
        <v>115</v>
      </c>
      <c r="B98" t="s">
        <v>116</v>
      </c>
      <c r="C98">
        <v>210784</v>
      </c>
      <c r="E98" t="s">
        <v>117</v>
      </c>
      <c r="F98">
        <v>368</v>
      </c>
      <c r="G98" t="s">
        <v>176</v>
      </c>
      <c r="H98" t="s">
        <v>177</v>
      </c>
      <c r="I98" t="s">
        <v>178</v>
      </c>
      <c r="J98" t="s">
        <v>179</v>
      </c>
      <c r="L98" t="s">
        <v>193</v>
      </c>
      <c r="M98" s="8">
        <v>45047</v>
      </c>
      <c r="N98">
        <v>7165351</v>
      </c>
      <c r="O98" t="s">
        <v>123</v>
      </c>
      <c r="P98" t="s">
        <v>124</v>
      </c>
      <c r="Q98">
        <v>23.15</v>
      </c>
      <c r="R98" t="s">
        <v>125</v>
      </c>
      <c r="S98" t="s">
        <v>126</v>
      </c>
      <c r="T98" t="s">
        <v>125</v>
      </c>
      <c r="U98" t="s">
        <v>126</v>
      </c>
      <c r="W98">
        <v>23.15</v>
      </c>
      <c r="Y98">
        <v>23.15</v>
      </c>
      <c r="AC98">
        <v>23.15</v>
      </c>
      <c r="BH98" t="s">
        <v>126</v>
      </c>
      <c r="BI98" t="s">
        <v>126</v>
      </c>
      <c r="BJ98" t="s">
        <v>126</v>
      </c>
      <c r="BK98" t="s">
        <v>126</v>
      </c>
      <c r="BS98" t="s">
        <v>126</v>
      </c>
      <c r="BT98" t="s">
        <v>126</v>
      </c>
      <c r="BU98" t="s">
        <v>126</v>
      </c>
      <c r="BV98" t="s">
        <v>126</v>
      </c>
      <c r="CN98" t="s">
        <v>181</v>
      </c>
      <c r="CP98" t="s">
        <v>189</v>
      </c>
      <c r="CQ98" t="s">
        <v>181</v>
      </c>
    </row>
    <row r="99" spans="1:95" x14ac:dyDescent="0.2">
      <c r="A99" t="s">
        <v>115</v>
      </c>
      <c r="B99" t="s">
        <v>116</v>
      </c>
      <c r="C99">
        <v>210784</v>
      </c>
      <c r="E99" t="s">
        <v>117</v>
      </c>
      <c r="F99">
        <v>368</v>
      </c>
      <c r="G99" t="s">
        <v>176</v>
      </c>
      <c r="H99" t="s">
        <v>177</v>
      </c>
      <c r="I99" t="s">
        <v>178</v>
      </c>
      <c r="J99" t="s">
        <v>179</v>
      </c>
      <c r="L99" t="s">
        <v>193</v>
      </c>
      <c r="M99" s="8">
        <v>45047</v>
      </c>
      <c r="N99">
        <v>7165352</v>
      </c>
      <c r="O99" t="s">
        <v>123</v>
      </c>
      <c r="P99" t="s">
        <v>124</v>
      </c>
      <c r="Q99">
        <v>19.45</v>
      </c>
      <c r="R99" t="s">
        <v>125</v>
      </c>
      <c r="S99" t="s">
        <v>126</v>
      </c>
      <c r="T99" t="s">
        <v>125</v>
      </c>
      <c r="U99" t="s">
        <v>126</v>
      </c>
      <c r="W99">
        <v>19.45</v>
      </c>
      <c r="Y99">
        <v>19.45</v>
      </c>
      <c r="AC99">
        <v>19.45</v>
      </c>
      <c r="BH99" t="s">
        <v>126</v>
      </c>
      <c r="BI99" t="s">
        <v>126</v>
      </c>
      <c r="BJ99" t="s">
        <v>126</v>
      </c>
      <c r="BK99" t="s">
        <v>126</v>
      </c>
      <c r="BS99" t="s">
        <v>126</v>
      </c>
      <c r="BT99" t="s">
        <v>126</v>
      </c>
      <c r="BU99" t="s">
        <v>126</v>
      </c>
      <c r="BV99" t="s">
        <v>126</v>
      </c>
      <c r="CN99" t="s">
        <v>181</v>
      </c>
      <c r="CP99" t="s">
        <v>189</v>
      </c>
      <c r="CQ99" t="s">
        <v>181</v>
      </c>
    </row>
    <row r="100" spans="1:95" x14ac:dyDescent="0.2">
      <c r="A100" t="s">
        <v>115</v>
      </c>
      <c r="B100" t="s">
        <v>116</v>
      </c>
      <c r="C100">
        <v>210784</v>
      </c>
      <c r="E100" t="s">
        <v>117</v>
      </c>
      <c r="F100">
        <v>368</v>
      </c>
      <c r="G100" t="s">
        <v>176</v>
      </c>
      <c r="H100" t="s">
        <v>177</v>
      </c>
      <c r="I100" t="s">
        <v>178</v>
      </c>
      <c r="J100" t="s">
        <v>179</v>
      </c>
      <c r="L100" t="s">
        <v>193</v>
      </c>
      <c r="M100" s="8">
        <v>45047</v>
      </c>
      <c r="N100">
        <v>7165358</v>
      </c>
      <c r="O100" t="s">
        <v>123</v>
      </c>
      <c r="P100" t="s">
        <v>124</v>
      </c>
      <c r="Q100">
        <v>22.35</v>
      </c>
      <c r="R100" t="s">
        <v>125</v>
      </c>
      <c r="S100" t="s">
        <v>126</v>
      </c>
      <c r="T100" t="s">
        <v>125</v>
      </c>
      <c r="U100" t="s">
        <v>126</v>
      </c>
      <c r="W100">
        <v>22.35</v>
      </c>
      <c r="Y100">
        <v>22.35</v>
      </c>
      <c r="AC100">
        <v>22.35</v>
      </c>
      <c r="BH100" t="s">
        <v>126</v>
      </c>
      <c r="BI100" t="s">
        <v>126</v>
      </c>
      <c r="BJ100" t="s">
        <v>126</v>
      </c>
      <c r="BK100" t="s">
        <v>126</v>
      </c>
      <c r="BS100" t="s">
        <v>126</v>
      </c>
      <c r="BT100" t="s">
        <v>126</v>
      </c>
      <c r="BU100" t="s">
        <v>126</v>
      </c>
      <c r="BV100" t="s">
        <v>126</v>
      </c>
      <c r="CN100" t="s">
        <v>181</v>
      </c>
      <c r="CP100" t="s">
        <v>189</v>
      </c>
      <c r="CQ100" t="s">
        <v>181</v>
      </c>
    </row>
    <row r="101" spans="1:95" x14ac:dyDescent="0.2">
      <c r="A101" t="s">
        <v>115</v>
      </c>
      <c r="B101" t="s">
        <v>116</v>
      </c>
      <c r="C101">
        <v>210784</v>
      </c>
      <c r="E101" t="s">
        <v>117</v>
      </c>
      <c r="F101">
        <v>368</v>
      </c>
      <c r="G101" t="s">
        <v>176</v>
      </c>
      <c r="H101" t="s">
        <v>177</v>
      </c>
      <c r="I101" t="s">
        <v>178</v>
      </c>
      <c r="J101" t="s">
        <v>179</v>
      </c>
      <c r="L101" t="s">
        <v>193</v>
      </c>
      <c r="M101" s="8">
        <v>45047</v>
      </c>
      <c r="N101">
        <v>7165361</v>
      </c>
      <c r="O101" t="s">
        <v>123</v>
      </c>
      <c r="P101" t="s">
        <v>124</v>
      </c>
      <c r="Q101">
        <v>22.75</v>
      </c>
      <c r="R101" t="s">
        <v>125</v>
      </c>
      <c r="S101" t="s">
        <v>126</v>
      </c>
      <c r="T101" t="s">
        <v>125</v>
      </c>
      <c r="U101" t="s">
        <v>126</v>
      </c>
      <c r="W101">
        <v>22.75</v>
      </c>
      <c r="Y101">
        <v>22.75</v>
      </c>
      <c r="AC101">
        <v>22.75</v>
      </c>
      <c r="BH101" t="s">
        <v>126</v>
      </c>
      <c r="BI101" t="s">
        <v>126</v>
      </c>
      <c r="BJ101" t="s">
        <v>126</v>
      </c>
      <c r="BK101" t="s">
        <v>126</v>
      </c>
      <c r="BS101" t="s">
        <v>126</v>
      </c>
      <c r="BT101" t="s">
        <v>126</v>
      </c>
      <c r="BU101" t="s">
        <v>126</v>
      </c>
      <c r="BV101" t="s">
        <v>126</v>
      </c>
      <c r="CN101" t="s">
        <v>181</v>
      </c>
      <c r="CP101" t="s">
        <v>189</v>
      </c>
      <c r="CQ101" t="s">
        <v>181</v>
      </c>
    </row>
    <row r="102" spans="1:95" x14ac:dyDescent="0.2">
      <c r="A102" t="s">
        <v>115</v>
      </c>
      <c r="B102" t="s">
        <v>116</v>
      </c>
      <c r="C102">
        <v>210784</v>
      </c>
      <c r="E102" t="s">
        <v>117</v>
      </c>
      <c r="F102">
        <v>368</v>
      </c>
      <c r="G102" t="s">
        <v>176</v>
      </c>
      <c r="H102" t="s">
        <v>177</v>
      </c>
      <c r="I102" t="s">
        <v>178</v>
      </c>
      <c r="J102" t="s">
        <v>179</v>
      </c>
      <c r="L102" t="s">
        <v>193</v>
      </c>
      <c r="M102" s="8">
        <v>45047</v>
      </c>
      <c r="N102">
        <v>7165369</v>
      </c>
      <c r="O102" t="s">
        <v>123</v>
      </c>
      <c r="P102" t="s">
        <v>124</v>
      </c>
      <c r="Q102">
        <v>21.11</v>
      </c>
      <c r="R102" t="s">
        <v>125</v>
      </c>
      <c r="S102" t="s">
        <v>126</v>
      </c>
      <c r="T102" t="s">
        <v>125</v>
      </c>
      <c r="U102" t="s">
        <v>126</v>
      </c>
      <c r="W102">
        <v>21.11</v>
      </c>
      <c r="Y102">
        <v>21.11</v>
      </c>
      <c r="AC102">
        <v>21.11</v>
      </c>
      <c r="BH102" t="s">
        <v>126</v>
      </c>
      <c r="BI102" t="s">
        <v>126</v>
      </c>
      <c r="BJ102" t="s">
        <v>126</v>
      </c>
      <c r="BK102" t="s">
        <v>126</v>
      </c>
      <c r="BS102" t="s">
        <v>126</v>
      </c>
      <c r="BT102" t="s">
        <v>126</v>
      </c>
      <c r="BU102" t="s">
        <v>126</v>
      </c>
      <c r="BV102" t="s">
        <v>126</v>
      </c>
      <c r="CN102" t="s">
        <v>181</v>
      </c>
      <c r="CP102" t="s">
        <v>189</v>
      </c>
      <c r="CQ102" t="s">
        <v>181</v>
      </c>
    </row>
    <row r="103" spans="1:95" x14ac:dyDescent="0.2">
      <c r="A103" t="s">
        <v>115</v>
      </c>
      <c r="B103" t="s">
        <v>116</v>
      </c>
      <c r="C103">
        <v>210784</v>
      </c>
      <c r="E103" t="s">
        <v>117</v>
      </c>
      <c r="F103">
        <v>368</v>
      </c>
      <c r="G103" t="s">
        <v>176</v>
      </c>
      <c r="H103" t="s">
        <v>177</v>
      </c>
      <c r="I103" t="s">
        <v>178</v>
      </c>
      <c r="J103" t="s">
        <v>179</v>
      </c>
      <c r="L103" t="s">
        <v>193</v>
      </c>
      <c r="M103" s="8">
        <v>45047</v>
      </c>
      <c r="N103">
        <v>7165370</v>
      </c>
      <c r="O103" t="s">
        <v>123</v>
      </c>
      <c r="P103" t="s">
        <v>124</v>
      </c>
      <c r="Q103">
        <v>22.95</v>
      </c>
      <c r="R103" t="s">
        <v>125</v>
      </c>
      <c r="S103" t="s">
        <v>126</v>
      </c>
      <c r="T103" t="s">
        <v>125</v>
      </c>
      <c r="U103" t="s">
        <v>126</v>
      </c>
      <c r="W103">
        <v>22.95</v>
      </c>
      <c r="Y103">
        <v>22.95</v>
      </c>
      <c r="AC103">
        <v>22.95</v>
      </c>
      <c r="BH103" t="s">
        <v>126</v>
      </c>
      <c r="BI103" t="s">
        <v>126</v>
      </c>
      <c r="BJ103" t="s">
        <v>126</v>
      </c>
      <c r="BK103" t="s">
        <v>126</v>
      </c>
      <c r="BS103" t="s">
        <v>126</v>
      </c>
      <c r="BT103" t="s">
        <v>126</v>
      </c>
      <c r="BU103" t="s">
        <v>126</v>
      </c>
      <c r="BV103" t="s">
        <v>126</v>
      </c>
      <c r="CN103" t="s">
        <v>181</v>
      </c>
      <c r="CP103" t="s">
        <v>189</v>
      </c>
      <c r="CQ103" t="s">
        <v>181</v>
      </c>
    </row>
    <row r="104" spans="1:95" x14ac:dyDescent="0.2">
      <c r="A104" t="s">
        <v>115</v>
      </c>
      <c r="B104" t="s">
        <v>116</v>
      </c>
      <c r="C104">
        <v>210784</v>
      </c>
      <c r="E104" t="s">
        <v>117</v>
      </c>
      <c r="F104">
        <v>368</v>
      </c>
      <c r="G104" t="s">
        <v>176</v>
      </c>
      <c r="H104" t="s">
        <v>177</v>
      </c>
      <c r="I104" t="s">
        <v>178</v>
      </c>
      <c r="J104" t="s">
        <v>179</v>
      </c>
      <c r="L104" t="s">
        <v>194</v>
      </c>
      <c r="M104" s="8">
        <v>45047</v>
      </c>
      <c r="N104">
        <v>7165493</v>
      </c>
      <c r="O104" t="s">
        <v>123</v>
      </c>
      <c r="P104" t="s">
        <v>124</v>
      </c>
      <c r="Q104">
        <v>23.31</v>
      </c>
      <c r="R104" t="s">
        <v>125</v>
      </c>
      <c r="S104" t="s">
        <v>126</v>
      </c>
      <c r="T104" t="s">
        <v>125</v>
      </c>
      <c r="U104" t="s">
        <v>126</v>
      </c>
      <c r="W104">
        <v>23.31</v>
      </c>
      <c r="Y104">
        <v>23.31</v>
      </c>
      <c r="AC104">
        <v>23.31</v>
      </c>
      <c r="BH104" t="s">
        <v>126</v>
      </c>
      <c r="BI104" t="s">
        <v>126</v>
      </c>
      <c r="BJ104" t="s">
        <v>126</v>
      </c>
      <c r="BK104" t="s">
        <v>126</v>
      </c>
      <c r="BS104" t="s">
        <v>126</v>
      </c>
      <c r="BT104" t="s">
        <v>126</v>
      </c>
      <c r="BU104" t="s">
        <v>126</v>
      </c>
      <c r="BV104" t="s">
        <v>126</v>
      </c>
      <c r="CN104" t="s">
        <v>181</v>
      </c>
      <c r="CP104" t="s">
        <v>189</v>
      </c>
      <c r="CQ104" t="s">
        <v>181</v>
      </c>
    </row>
    <row r="105" spans="1:95" x14ac:dyDescent="0.2">
      <c r="A105" t="s">
        <v>115</v>
      </c>
      <c r="B105" t="s">
        <v>116</v>
      </c>
      <c r="C105">
        <v>210784</v>
      </c>
      <c r="E105" t="s">
        <v>117</v>
      </c>
      <c r="F105">
        <v>368</v>
      </c>
      <c r="G105" t="s">
        <v>176</v>
      </c>
      <c r="H105" t="s">
        <v>177</v>
      </c>
      <c r="I105" t="s">
        <v>178</v>
      </c>
      <c r="J105" t="s">
        <v>179</v>
      </c>
      <c r="L105" t="s">
        <v>194</v>
      </c>
      <c r="M105" s="8">
        <v>45047</v>
      </c>
      <c r="N105">
        <v>7165494</v>
      </c>
      <c r="O105" t="s">
        <v>123</v>
      </c>
      <c r="P105" t="s">
        <v>124</v>
      </c>
      <c r="Q105">
        <v>22.17</v>
      </c>
      <c r="R105" t="s">
        <v>125</v>
      </c>
      <c r="S105" t="s">
        <v>126</v>
      </c>
      <c r="T105" t="s">
        <v>125</v>
      </c>
      <c r="U105" t="s">
        <v>126</v>
      </c>
      <c r="W105">
        <v>22.17</v>
      </c>
      <c r="Y105">
        <v>22.17</v>
      </c>
      <c r="AC105">
        <v>22.17</v>
      </c>
      <c r="BH105" t="s">
        <v>126</v>
      </c>
      <c r="BI105" t="s">
        <v>126</v>
      </c>
      <c r="BJ105" t="s">
        <v>126</v>
      </c>
      <c r="BK105" t="s">
        <v>126</v>
      </c>
      <c r="BS105" t="s">
        <v>126</v>
      </c>
      <c r="BT105" t="s">
        <v>126</v>
      </c>
      <c r="BU105" t="s">
        <v>126</v>
      </c>
      <c r="BV105" t="s">
        <v>126</v>
      </c>
      <c r="CN105" t="s">
        <v>181</v>
      </c>
      <c r="CP105" t="s">
        <v>189</v>
      </c>
      <c r="CQ105" t="s">
        <v>181</v>
      </c>
    </row>
    <row r="106" spans="1:95" x14ac:dyDescent="0.2">
      <c r="A106" t="s">
        <v>115</v>
      </c>
      <c r="B106" t="s">
        <v>116</v>
      </c>
      <c r="C106">
        <v>210784</v>
      </c>
      <c r="E106" t="s">
        <v>117</v>
      </c>
      <c r="F106">
        <v>368</v>
      </c>
      <c r="G106" t="s">
        <v>176</v>
      </c>
      <c r="H106" t="s">
        <v>177</v>
      </c>
      <c r="I106" t="s">
        <v>178</v>
      </c>
      <c r="J106" t="s">
        <v>179</v>
      </c>
      <c r="L106" t="s">
        <v>194</v>
      </c>
      <c r="M106" s="8">
        <v>45047</v>
      </c>
      <c r="N106">
        <v>7165501</v>
      </c>
      <c r="O106" t="s">
        <v>123</v>
      </c>
      <c r="P106" t="s">
        <v>124</v>
      </c>
      <c r="Q106">
        <v>25.6</v>
      </c>
      <c r="R106" t="s">
        <v>125</v>
      </c>
      <c r="S106" t="s">
        <v>126</v>
      </c>
      <c r="T106" t="s">
        <v>125</v>
      </c>
      <c r="U106" t="s">
        <v>126</v>
      </c>
      <c r="W106">
        <v>25.6</v>
      </c>
      <c r="Y106">
        <v>25.6</v>
      </c>
      <c r="AC106">
        <v>25.6</v>
      </c>
      <c r="BH106" t="s">
        <v>126</v>
      </c>
      <c r="BI106" t="s">
        <v>126</v>
      </c>
      <c r="BJ106" t="s">
        <v>126</v>
      </c>
      <c r="BK106" t="s">
        <v>126</v>
      </c>
      <c r="BS106" t="s">
        <v>126</v>
      </c>
      <c r="BT106" t="s">
        <v>126</v>
      </c>
      <c r="BU106" t="s">
        <v>126</v>
      </c>
      <c r="BV106" t="s">
        <v>126</v>
      </c>
      <c r="CN106" t="s">
        <v>181</v>
      </c>
      <c r="CP106" t="s">
        <v>189</v>
      </c>
      <c r="CQ106" t="s">
        <v>181</v>
      </c>
    </row>
    <row r="107" spans="1:95" x14ac:dyDescent="0.2">
      <c r="A107" t="s">
        <v>115</v>
      </c>
      <c r="B107" t="s">
        <v>116</v>
      </c>
      <c r="C107">
        <v>210784</v>
      </c>
      <c r="E107" t="s">
        <v>117</v>
      </c>
      <c r="F107">
        <v>368</v>
      </c>
      <c r="G107" t="s">
        <v>176</v>
      </c>
      <c r="H107" t="s">
        <v>177</v>
      </c>
      <c r="I107" t="s">
        <v>178</v>
      </c>
      <c r="J107" t="s">
        <v>179</v>
      </c>
      <c r="L107" t="s">
        <v>194</v>
      </c>
      <c r="M107" s="8">
        <v>45047</v>
      </c>
      <c r="N107">
        <v>7165507</v>
      </c>
      <c r="O107" t="s">
        <v>123</v>
      </c>
      <c r="P107" t="s">
        <v>124</v>
      </c>
      <c r="Q107">
        <v>23.02</v>
      </c>
      <c r="R107" t="s">
        <v>125</v>
      </c>
      <c r="S107" t="s">
        <v>126</v>
      </c>
      <c r="T107" t="s">
        <v>125</v>
      </c>
      <c r="U107" t="s">
        <v>126</v>
      </c>
      <c r="W107">
        <v>23.02</v>
      </c>
      <c r="Y107">
        <v>23.02</v>
      </c>
      <c r="AC107">
        <v>23.02</v>
      </c>
      <c r="BH107" t="s">
        <v>126</v>
      </c>
      <c r="BI107" t="s">
        <v>126</v>
      </c>
      <c r="BJ107" t="s">
        <v>126</v>
      </c>
      <c r="BK107" t="s">
        <v>126</v>
      </c>
      <c r="BS107" t="s">
        <v>126</v>
      </c>
      <c r="BT107" t="s">
        <v>126</v>
      </c>
      <c r="BU107" t="s">
        <v>126</v>
      </c>
      <c r="BV107" t="s">
        <v>126</v>
      </c>
      <c r="CN107" t="s">
        <v>181</v>
      </c>
      <c r="CP107" t="s">
        <v>189</v>
      </c>
      <c r="CQ107" t="s">
        <v>181</v>
      </c>
    </row>
    <row r="108" spans="1:95" x14ac:dyDescent="0.2">
      <c r="A108" t="s">
        <v>115</v>
      </c>
      <c r="B108" t="s">
        <v>116</v>
      </c>
      <c r="C108">
        <v>210784</v>
      </c>
      <c r="E108" t="s">
        <v>117</v>
      </c>
      <c r="F108">
        <v>368</v>
      </c>
      <c r="G108" t="s">
        <v>176</v>
      </c>
      <c r="H108" t="s">
        <v>177</v>
      </c>
      <c r="I108" t="s">
        <v>178</v>
      </c>
      <c r="J108" t="s">
        <v>179</v>
      </c>
      <c r="L108" t="s">
        <v>195</v>
      </c>
      <c r="M108" s="8">
        <v>45047</v>
      </c>
      <c r="N108">
        <v>7166347</v>
      </c>
      <c r="O108" t="s">
        <v>123</v>
      </c>
      <c r="P108" t="s">
        <v>124</v>
      </c>
      <c r="Q108">
        <v>21.21</v>
      </c>
      <c r="R108" t="s">
        <v>125</v>
      </c>
      <c r="S108" t="s">
        <v>126</v>
      </c>
      <c r="T108" t="s">
        <v>125</v>
      </c>
      <c r="U108" t="s">
        <v>126</v>
      </c>
      <c r="W108">
        <v>21.21</v>
      </c>
      <c r="Y108">
        <v>21.21</v>
      </c>
      <c r="AC108">
        <v>21.21</v>
      </c>
      <c r="BH108" t="s">
        <v>126</v>
      </c>
      <c r="BI108" t="s">
        <v>126</v>
      </c>
      <c r="BJ108" t="s">
        <v>126</v>
      </c>
      <c r="BK108" t="s">
        <v>126</v>
      </c>
      <c r="BS108" t="s">
        <v>126</v>
      </c>
      <c r="BT108" t="s">
        <v>126</v>
      </c>
      <c r="BU108" t="s">
        <v>126</v>
      </c>
      <c r="BV108" t="s">
        <v>126</v>
      </c>
      <c r="CN108" t="s">
        <v>181</v>
      </c>
      <c r="CP108" t="s">
        <v>189</v>
      </c>
      <c r="CQ108" t="s">
        <v>181</v>
      </c>
    </row>
    <row r="109" spans="1:95" x14ac:dyDescent="0.2">
      <c r="A109" t="s">
        <v>115</v>
      </c>
      <c r="B109" t="s">
        <v>116</v>
      </c>
      <c r="C109">
        <v>210784</v>
      </c>
      <c r="E109" t="s">
        <v>117</v>
      </c>
      <c r="F109">
        <v>368</v>
      </c>
      <c r="G109" t="s">
        <v>176</v>
      </c>
      <c r="H109" t="s">
        <v>177</v>
      </c>
      <c r="I109" t="s">
        <v>178</v>
      </c>
      <c r="J109" t="s">
        <v>179</v>
      </c>
      <c r="L109" t="s">
        <v>195</v>
      </c>
      <c r="M109" s="8">
        <v>45047</v>
      </c>
      <c r="N109">
        <v>7166349</v>
      </c>
      <c r="O109" t="s">
        <v>123</v>
      </c>
      <c r="P109" t="s">
        <v>124</v>
      </c>
      <c r="Q109">
        <v>18.87</v>
      </c>
      <c r="R109" t="s">
        <v>125</v>
      </c>
      <c r="S109" t="s">
        <v>126</v>
      </c>
      <c r="T109" t="s">
        <v>125</v>
      </c>
      <c r="U109" t="s">
        <v>126</v>
      </c>
      <c r="W109">
        <v>18.87</v>
      </c>
      <c r="Y109">
        <v>18.87</v>
      </c>
      <c r="AC109">
        <v>18.87</v>
      </c>
      <c r="BH109" t="s">
        <v>126</v>
      </c>
      <c r="BI109" t="s">
        <v>126</v>
      </c>
      <c r="BJ109" t="s">
        <v>126</v>
      </c>
      <c r="BK109" t="s">
        <v>126</v>
      </c>
      <c r="BS109" t="s">
        <v>126</v>
      </c>
      <c r="BT109" t="s">
        <v>126</v>
      </c>
      <c r="BU109" t="s">
        <v>126</v>
      </c>
      <c r="BV109" t="s">
        <v>126</v>
      </c>
      <c r="CN109" t="s">
        <v>181</v>
      </c>
      <c r="CP109" t="s">
        <v>189</v>
      </c>
      <c r="CQ109" t="s">
        <v>181</v>
      </c>
    </row>
    <row r="110" spans="1:95" x14ac:dyDescent="0.2">
      <c r="A110" t="s">
        <v>115</v>
      </c>
      <c r="B110" t="s">
        <v>116</v>
      </c>
      <c r="C110">
        <v>210784</v>
      </c>
      <c r="E110" t="s">
        <v>117</v>
      </c>
      <c r="F110">
        <v>368</v>
      </c>
      <c r="G110" t="s">
        <v>176</v>
      </c>
      <c r="H110" t="s">
        <v>177</v>
      </c>
      <c r="I110" t="s">
        <v>492</v>
      </c>
      <c r="J110" t="s">
        <v>493</v>
      </c>
      <c r="L110" t="s">
        <v>494</v>
      </c>
      <c r="M110" s="8">
        <v>45047</v>
      </c>
      <c r="N110" t="s">
        <v>495</v>
      </c>
      <c r="O110" t="s">
        <v>123</v>
      </c>
      <c r="P110" t="s">
        <v>124</v>
      </c>
      <c r="Q110">
        <v>3.29</v>
      </c>
      <c r="R110" t="s">
        <v>125</v>
      </c>
      <c r="S110" t="s">
        <v>126</v>
      </c>
      <c r="T110" t="s">
        <v>125</v>
      </c>
      <c r="U110" t="s">
        <v>126</v>
      </c>
      <c r="W110">
        <v>3.29</v>
      </c>
      <c r="Y110">
        <v>3.29</v>
      </c>
      <c r="AF110">
        <v>3.29</v>
      </c>
      <c r="BH110" t="s">
        <v>126</v>
      </c>
      <c r="BI110" t="s">
        <v>126</v>
      </c>
      <c r="BJ110" t="s">
        <v>126</v>
      </c>
      <c r="BK110" t="s">
        <v>126</v>
      </c>
      <c r="BS110" t="s">
        <v>126</v>
      </c>
      <c r="BT110" t="s">
        <v>126</v>
      </c>
      <c r="BU110" t="s">
        <v>126</v>
      </c>
      <c r="BV110" t="s">
        <v>126</v>
      </c>
      <c r="CN110" t="s">
        <v>181</v>
      </c>
      <c r="CP110" t="s">
        <v>182</v>
      </c>
      <c r="CQ110" t="s">
        <v>181</v>
      </c>
    </row>
    <row r="111" spans="1:95" x14ac:dyDescent="0.2">
      <c r="A111" t="s">
        <v>115</v>
      </c>
      <c r="B111" t="s">
        <v>116</v>
      </c>
      <c r="C111">
        <v>210784</v>
      </c>
      <c r="E111" t="s">
        <v>117</v>
      </c>
      <c r="F111">
        <v>368</v>
      </c>
      <c r="G111" t="s">
        <v>176</v>
      </c>
      <c r="H111" t="s">
        <v>177</v>
      </c>
      <c r="I111" t="s">
        <v>492</v>
      </c>
      <c r="J111" t="s">
        <v>493</v>
      </c>
      <c r="L111" t="s">
        <v>496</v>
      </c>
      <c r="M111" s="8">
        <v>45047</v>
      </c>
      <c r="N111" t="s">
        <v>497</v>
      </c>
      <c r="O111" t="s">
        <v>123</v>
      </c>
      <c r="P111" t="s">
        <v>124</v>
      </c>
      <c r="Q111">
        <v>4.68</v>
      </c>
      <c r="R111" t="s">
        <v>125</v>
      </c>
      <c r="S111" t="s">
        <v>126</v>
      </c>
      <c r="T111" t="s">
        <v>125</v>
      </c>
      <c r="U111" t="s">
        <v>126</v>
      </c>
      <c r="W111">
        <v>4.68</v>
      </c>
      <c r="Y111">
        <v>4.68</v>
      </c>
      <c r="AF111">
        <v>4.68</v>
      </c>
      <c r="BH111" t="s">
        <v>126</v>
      </c>
      <c r="BI111" t="s">
        <v>126</v>
      </c>
      <c r="BJ111" t="s">
        <v>126</v>
      </c>
      <c r="BK111" t="s">
        <v>126</v>
      </c>
      <c r="BS111" t="s">
        <v>126</v>
      </c>
      <c r="BT111" t="s">
        <v>126</v>
      </c>
      <c r="BU111" t="s">
        <v>126</v>
      </c>
      <c r="BV111" t="s">
        <v>126</v>
      </c>
      <c r="CN111" t="s">
        <v>181</v>
      </c>
      <c r="CP111" t="s">
        <v>182</v>
      </c>
      <c r="CQ111" t="s">
        <v>181</v>
      </c>
    </row>
    <row r="112" spans="1:95" x14ac:dyDescent="0.2">
      <c r="A112" t="s">
        <v>115</v>
      </c>
      <c r="B112" t="s">
        <v>116</v>
      </c>
      <c r="C112">
        <v>210784</v>
      </c>
      <c r="E112" t="s">
        <v>117</v>
      </c>
      <c r="F112">
        <v>368</v>
      </c>
      <c r="G112" t="s">
        <v>176</v>
      </c>
      <c r="H112" t="s">
        <v>177</v>
      </c>
      <c r="I112" t="s">
        <v>492</v>
      </c>
      <c r="J112" t="s">
        <v>493</v>
      </c>
      <c r="L112" t="s">
        <v>192</v>
      </c>
      <c r="M112" s="8">
        <v>45047</v>
      </c>
      <c r="N112" t="s">
        <v>498</v>
      </c>
      <c r="O112" t="s">
        <v>123</v>
      </c>
      <c r="P112" t="s">
        <v>124</v>
      </c>
      <c r="Q112">
        <v>3.77</v>
      </c>
      <c r="R112" t="s">
        <v>125</v>
      </c>
      <c r="S112" t="s">
        <v>126</v>
      </c>
      <c r="T112" t="s">
        <v>125</v>
      </c>
      <c r="U112" t="s">
        <v>126</v>
      </c>
      <c r="W112">
        <v>3.77</v>
      </c>
      <c r="Y112">
        <v>3.77</v>
      </c>
      <c r="AF112">
        <v>3.77</v>
      </c>
      <c r="BH112" t="s">
        <v>126</v>
      </c>
      <c r="BI112" t="s">
        <v>126</v>
      </c>
      <c r="BJ112" t="s">
        <v>126</v>
      </c>
      <c r="BK112" t="s">
        <v>126</v>
      </c>
      <c r="BS112" t="s">
        <v>126</v>
      </c>
      <c r="BT112" t="s">
        <v>126</v>
      </c>
      <c r="BU112" t="s">
        <v>126</v>
      </c>
      <c r="BV112" t="s">
        <v>126</v>
      </c>
      <c r="CN112" t="s">
        <v>181</v>
      </c>
      <c r="CP112" t="s">
        <v>182</v>
      </c>
      <c r="CQ112" t="s">
        <v>181</v>
      </c>
    </row>
    <row r="113" spans="1:95" x14ac:dyDescent="0.2">
      <c r="A113" t="s">
        <v>115</v>
      </c>
      <c r="B113" t="s">
        <v>116</v>
      </c>
      <c r="C113">
        <v>210784</v>
      </c>
      <c r="E113" t="s">
        <v>117</v>
      </c>
      <c r="F113">
        <v>368</v>
      </c>
      <c r="G113" t="s">
        <v>176</v>
      </c>
      <c r="H113" t="s">
        <v>177</v>
      </c>
      <c r="I113" t="s">
        <v>492</v>
      </c>
      <c r="J113" t="s">
        <v>493</v>
      </c>
      <c r="L113" t="s">
        <v>193</v>
      </c>
      <c r="M113" s="8">
        <v>45047</v>
      </c>
      <c r="N113" t="s">
        <v>499</v>
      </c>
      <c r="O113" t="s">
        <v>123</v>
      </c>
      <c r="P113" t="s">
        <v>124</v>
      </c>
      <c r="Q113">
        <v>2.97</v>
      </c>
      <c r="R113" t="s">
        <v>125</v>
      </c>
      <c r="S113" t="s">
        <v>126</v>
      </c>
      <c r="T113" t="s">
        <v>125</v>
      </c>
      <c r="U113" t="s">
        <v>126</v>
      </c>
      <c r="W113">
        <v>2.97</v>
      </c>
      <c r="Y113">
        <v>2.97</v>
      </c>
      <c r="AF113">
        <v>2.97</v>
      </c>
      <c r="BH113" t="s">
        <v>126</v>
      </c>
      <c r="BI113" t="s">
        <v>126</v>
      </c>
      <c r="BJ113" t="s">
        <v>126</v>
      </c>
      <c r="BK113" t="s">
        <v>126</v>
      </c>
      <c r="BS113" t="s">
        <v>126</v>
      </c>
      <c r="BT113" t="s">
        <v>126</v>
      </c>
      <c r="BU113" t="s">
        <v>126</v>
      </c>
      <c r="BV113" t="s">
        <v>126</v>
      </c>
      <c r="CN113" t="s">
        <v>181</v>
      </c>
      <c r="CP113" t="s">
        <v>182</v>
      </c>
      <c r="CQ113" t="s">
        <v>181</v>
      </c>
    </row>
    <row r="114" spans="1:95" x14ac:dyDescent="0.2">
      <c r="A114" t="s">
        <v>115</v>
      </c>
      <c r="B114" t="s">
        <v>116</v>
      </c>
      <c r="C114">
        <v>210784</v>
      </c>
      <c r="E114" t="s">
        <v>117</v>
      </c>
      <c r="F114">
        <v>368</v>
      </c>
      <c r="G114" t="s">
        <v>176</v>
      </c>
      <c r="H114" t="s">
        <v>177</v>
      </c>
      <c r="I114" t="s">
        <v>546</v>
      </c>
      <c r="J114" t="s">
        <v>547</v>
      </c>
      <c r="L114" t="s">
        <v>552</v>
      </c>
      <c r="M114" s="8">
        <v>45047</v>
      </c>
      <c r="N114">
        <v>39430</v>
      </c>
      <c r="O114" t="s">
        <v>123</v>
      </c>
      <c r="P114" t="s">
        <v>124</v>
      </c>
      <c r="Q114">
        <v>6.35</v>
      </c>
      <c r="R114" t="s">
        <v>549</v>
      </c>
      <c r="S114" t="s">
        <v>126</v>
      </c>
      <c r="T114" t="s">
        <v>549</v>
      </c>
      <c r="U114" t="s">
        <v>550</v>
      </c>
      <c r="W114">
        <v>4.5084999999999997</v>
      </c>
      <c r="X114">
        <v>1.8414999999999999</v>
      </c>
      <c r="Y114">
        <v>6.35</v>
      </c>
      <c r="AY114">
        <v>4.5084999999999997</v>
      </c>
      <c r="BD114">
        <v>1.8414999999999999</v>
      </c>
      <c r="BH114" t="s">
        <v>126</v>
      </c>
      <c r="BI114" t="s">
        <v>126</v>
      </c>
      <c r="BJ114" t="s">
        <v>126</v>
      </c>
      <c r="BK114" t="s">
        <v>126</v>
      </c>
      <c r="BS114" t="s">
        <v>126</v>
      </c>
      <c r="BT114" t="s">
        <v>126</v>
      </c>
      <c r="BU114" t="s">
        <v>126</v>
      </c>
      <c r="BV114" t="s">
        <v>126</v>
      </c>
      <c r="CN114" t="s">
        <v>181</v>
      </c>
      <c r="CP114" t="s">
        <v>189</v>
      </c>
      <c r="CQ114" t="s">
        <v>181</v>
      </c>
    </row>
    <row r="115" spans="1:95" x14ac:dyDescent="0.2">
      <c r="A115" t="s">
        <v>115</v>
      </c>
      <c r="B115" t="s">
        <v>116</v>
      </c>
      <c r="C115">
        <v>210784</v>
      </c>
      <c r="E115" t="s">
        <v>117</v>
      </c>
      <c r="F115">
        <v>368</v>
      </c>
      <c r="G115" t="s">
        <v>176</v>
      </c>
      <c r="H115" t="s">
        <v>177</v>
      </c>
      <c r="I115" t="s">
        <v>546</v>
      </c>
      <c r="J115" t="s">
        <v>547</v>
      </c>
      <c r="L115" t="s">
        <v>191</v>
      </c>
      <c r="M115" s="8">
        <v>45047</v>
      </c>
      <c r="N115">
        <v>40542</v>
      </c>
      <c r="O115" t="s">
        <v>123</v>
      </c>
      <c r="P115" t="s">
        <v>124</v>
      </c>
      <c r="Q115">
        <v>3.8</v>
      </c>
      <c r="R115" t="s">
        <v>549</v>
      </c>
      <c r="S115" t="s">
        <v>126</v>
      </c>
      <c r="T115" t="s">
        <v>549</v>
      </c>
      <c r="U115" t="s">
        <v>550</v>
      </c>
      <c r="W115">
        <v>2.698</v>
      </c>
      <c r="X115">
        <v>1.1020000000000001</v>
      </c>
      <c r="Y115">
        <v>3.8</v>
      </c>
      <c r="AY115">
        <v>2.698</v>
      </c>
      <c r="BD115">
        <v>1.1020000000000001</v>
      </c>
      <c r="BH115" t="s">
        <v>126</v>
      </c>
      <c r="BI115" t="s">
        <v>126</v>
      </c>
      <c r="BJ115" t="s">
        <v>126</v>
      </c>
      <c r="BK115" t="s">
        <v>126</v>
      </c>
      <c r="BS115" t="s">
        <v>126</v>
      </c>
      <c r="BT115" t="s">
        <v>126</v>
      </c>
      <c r="BU115" t="s">
        <v>126</v>
      </c>
      <c r="BV115" t="s">
        <v>126</v>
      </c>
      <c r="CN115" t="s">
        <v>181</v>
      </c>
      <c r="CP115" t="s">
        <v>189</v>
      </c>
      <c r="CQ115" t="s">
        <v>181</v>
      </c>
    </row>
    <row r="116" spans="1:95" x14ac:dyDescent="0.2">
      <c r="A116" t="s">
        <v>115</v>
      </c>
      <c r="B116" t="s">
        <v>116</v>
      </c>
      <c r="C116">
        <v>210784</v>
      </c>
      <c r="E116" t="s">
        <v>117</v>
      </c>
      <c r="F116">
        <v>368</v>
      </c>
      <c r="G116" t="s">
        <v>176</v>
      </c>
      <c r="H116" t="s">
        <v>177</v>
      </c>
      <c r="I116" t="s">
        <v>178</v>
      </c>
      <c r="J116" t="s">
        <v>179</v>
      </c>
      <c r="L116" t="s">
        <v>196</v>
      </c>
      <c r="M116" s="8">
        <v>45078</v>
      </c>
      <c r="N116">
        <v>7166430</v>
      </c>
      <c r="O116" t="s">
        <v>123</v>
      </c>
      <c r="P116" t="s">
        <v>124</v>
      </c>
      <c r="Q116">
        <v>14.33</v>
      </c>
      <c r="R116" t="s">
        <v>125</v>
      </c>
      <c r="S116" t="s">
        <v>126</v>
      </c>
      <c r="T116" t="s">
        <v>125</v>
      </c>
      <c r="U116" t="s">
        <v>126</v>
      </c>
      <c r="W116">
        <v>14.33</v>
      </c>
      <c r="Y116">
        <v>14.33</v>
      </c>
      <c r="AC116">
        <v>14.33</v>
      </c>
      <c r="BH116" t="s">
        <v>126</v>
      </c>
      <c r="BI116" t="s">
        <v>126</v>
      </c>
      <c r="BJ116" t="s">
        <v>126</v>
      </c>
      <c r="BK116" t="s">
        <v>126</v>
      </c>
      <c r="BS116" t="s">
        <v>126</v>
      </c>
      <c r="BT116" t="s">
        <v>126</v>
      </c>
      <c r="BU116" t="s">
        <v>126</v>
      </c>
      <c r="BV116" t="s">
        <v>126</v>
      </c>
      <c r="CN116" t="s">
        <v>181</v>
      </c>
      <c r="CP116" t="s">
        <v>189</v>
      </c>
      <c r="CQ116" t="s">
        <v>181</v>
      </c>
    </row>
    <row r="117" spans="1:95" x14ac:dyDescent="0.2">
      <c r="A117" t="s">
        <v>115</v>
      </c>
      <c r="B117" t="s">
        <v>116</v>
      </c>
      <c r="C117">
        <v>210784</v>
      </c>
      <c r="E117" t="s">
        <v>117</v>
      </c>
      <c r="F117">
        <v>368</v>
      </c>
      <c r="G117" t="s">
        <v>176</v>
      </c>
      <c r="H117" t="s">
        <v>177</v>
      </c>
      <c r="I117" t="s">
        <v>178</v>
      </c>
      <c r="J117" t="s">
        <v>179</v>
      </c>
      <c r="L117" t="s">
        <v>196</v>
      </c>
      <c r="M117" s="8">
        <v>45078</v>
      </c>
      <c r="N117">
        <v>7166440</v>
      </c>
      <c r="O117" t="s">
        <v>123</v>
      </c>
      <c r="P117" t="s">
        <v>124</v>
      </c>
      <c r="Q117">
        <v>15.42</v>
      </c>
      <c r="R117" t="s">
        <v>125</v>
      </c>
      <c r="S117" t="s">
        <v>126</v>
      </c>
      <c r="T117" t="s">
        <v>125</v>
      </c>
      <c r="U117" t="s">
        <v>126</v>
      </c>
      <c r="W117">
        <v>15.42</v>
      </c>
      <c r="Y117">
        <v>15.42</v>
      </c>
      <c r="AC117">
        <v>15.42</v>
      </c>
      <c r="BH117" t="s">
        <v>126</v>
      </c>
      <c r="BI117" t="s">
        <v>126</v>
      </c>
      <c r="BJ117" t="s">
        <v>126</v>
      </c>
      <c r="BK117" t="s">
        <v>126</v>
      </c>
      <c r="BS117" t="s">
        <v>126</v>
      </c>
      <c r="BT117" t="s">
        <v>126</v>
      </c>
      <c r="BU117" t="s">
        <v>126</v>
      </c>
      <c r="BV117" t="s">
        <v>126</v>
      </c>
      <c r="CN117" t="s">
        <v>181</v>
      </c>
      <c r="CP117" t="s">
        <v>189</v>
      </c>
      <c r="CQ117" t="s">
        <v>181</v>
      </c>
    </row>
    <row r="118" spans="1:95" x14ac:dyDescent="0.2">
      <c r="A118" t="s">
        <v>115</v>
      </c>
      <c r="B118" t="s">
        <v>116</v>
      </c>
      <c r="C118">
        <v>210784</v>
      </c>
      <c r="E118" t="s">
        <v>117</v>
      </c>
      <c r="F118">
        <v>368</v>
      </c>
      <c r="G118" t="s">
        <v>176</v>
      </c>
      <c r="H118" t="s">
        <v>177</v>
      </c>
      <c r="I118" t="s">
        <v>178</v>
      </c>
      <c r="J118" t="s">
        <v>179</v>
      </c>
      <c r="L118" t="s">
        <v>196</v>
      </c>
      <c r="M118" s="8">
        <v>45078</v>
      </c>
      <c r="N118">
        <v>7166450</v>
      </c>
      <c r="O118" t="s">
        <v>123</v>
      </c>
      <c r="P118" t="s">
        <v>124</v>
      </c>
      <c r="Q118">
        <v>17.82</v>
      </c>
      <c r="R118" t="s">
        <v>125</v>
      </c>
      <c r="S118" t="s">
        <v>126</v>
      </c>
      <c r="T118" t="s">
        <v>125</v>
      </c>
      <c r="U118" t="s">
        <v>126</v>
      </c>
      <c r="W118">
        <v>17.82</v>
      </c>
      <c r="Y118">
        <v>17.82</v>
      </c>
      <c r="AC118">
        <v>17.82</v>
      </c>
      <c r="BH118" t="s">
        <v>126</v>
      </c>
      <c r="BI118" t="s">
        <v>126</v>
      </c>
      <c r="BJ118" t="s">
        <v>126</v>
      </c>
      <c r="BK118" t="s">
        <v>126</v>
      </c>
      <c r="BS118" t="s">
        <v>126</v>
      </c>
      <c r="BT118" t="s">
        <v>126</v>
      </c>
      <c r="BU118" t="s">
        <v>126</v>
      </c>
      <c r="BV118" t="s">
        <v>126</v>
      </c>
      <c r="CN118" t="s">
        <v>181</v>
      </c>
      <c r="CP118" t="s">
        <v>189</v>
      </c>
      <c r="CQ118" t="s">
        <v>181</v>
      </c>
    </row>
    <row r="119" spans="1:95" x14ac:dyDescent="0.2">
      <c r="A119" t="s">
        <v>115</v>
      </c>
      <c r="B119" t="s">
        <v>116</v>
      </c>
      <c r="C119">
        <v>210784</v>
      </c>
      <c r="E119" t="s">
        <v>117</v>
      </c>
      <c r="F119">
        <v>368</v>
      </c>
      <c r="G119" t="s">
        <v>176</v>
      </c>
      <c r="H119" t="s">
        <v>177</v>
      </c>
      <c r="I119" t="s">
        <v>178</v>
      </c>
      <c r="J119" t="s">
        <v>179</v>
      </c>
      <c r="L119" t="s">
        <v>196</v>
      </c>
      <c r="M119" s="8">
        <v>45078</v>
      </c>
      <c r="N119">
        <v>7166517</v>
      </c>
      <c r="O119" t="s">
        <v>123</v>
      </c>
      <c r="P119" t="s">
        <v>124</v>
      </c>
      <c r="Q119">
        <v>21.57</v>
      </c>
      <c r="R119" t="s">
        <v>125</v>
      </c>
      <c r="S119" t="s">
        <v>126</v>
      </c>
      <c r="T119" t="s">
        <v>125</v>
      </c>
      <c r="U119" t="s">
        <v>126</v>
      </c>
      <c r="W119">
        <v>21.57</v>
      </c>
      <c r="Y119">
        <v>21.57</v>
      </c>
      <c r="AC119">
        <v>21.57</v>
      </c>
      <c r="BH119" t="s">
        <v>126</v>
      </c>
      <c r="BI119" t="s">
        <v>126</v>
      </c>
      <c r="BJ119" t="s">
        <v>126</v>
      </c>
      <c r="BK119" t="s">
        <v>126</v>
      </c>
      <c r="BS119" t="s">
        <v>126</v>
      </c>
      <c r="BT119" t="s">
        <v>126</v>
      </c>
      <c r="BU119" t="s">
        <v>126</v>
      </c>
      <c r="BV119" t="s">
        <v>126</v>
      </c>
      <c r="CN119" t="s">
        <v>181</v>
      </c>
      <c r="CP119" t="s">
        <v>189</v>
      </c>
      <c r="CQ119" t="s">
        <v>181</v>
      </c>
    </row>
    <row r="120" spans="1:95" x14ac:dyDescent="0.2">
      <c r="A120" t="s">
        <v>115</v>
      </c>
      <c r="B120" t="s">
        <v>116</v>
      </c>
      <c r="C120">
        <v>210784</v>
      </c>
      <c r="E120" t="s">
        <v>117</v>
      </c>
      <c r="F120">
        <v>368</v>
      </c>
      <c r="G120" t="s">
        <v>176</v>
      </c>
      <c r="H120" t="s">
        <v>177</v>
      </c>
      <c r="I120" t="s">
        <v>178</v>
      </c>
      <c r="J120" t="s">
        <v>179</v>
      </c>
      <c r="L120" t="s">
        <v>196</v>
      </c>
      <c r="M120" s="8">
        <v>45078</v>
      </c>
      <c r="N120">
        <v>7166520</v>
      </c>
      <c r="O120" t="s">
        <v>123</v>
      </c>
      <c r="P120" t="s">
        <v>124</v>
      </c>
      <c r="Q120">
        <v>18.46</v>
      </c>
      <c r="R120" t="s">
        <v>125</v>
      </c>
      <c r="S120" t="s">
        <v>126</v>
      </c>
      <c r="T120" t="s">
        <v>125</v>
      </c>
      <c r="U120" t="s">
        <v>126</v>
      </c>
      <c r="W120">
        <v>18.46</v>
      </c>
      <c r="Y120">
        <v>18.46</v>
      </c>
      <c r="AC120">
        <v>18.46</v>
      </c>
      <c r="BH120" t="s">
        <v>126</v>
      </c>
      <c r="BI120" t="s">
        <v>126</v>
      </c>
      <c r="BJ120" t="s">
        <v>126</v>
      </c>
      <c r="BK120" t="s">
        <v>126</v>
      </c>
      <c r="BS120" t="s">
        <v>126</v>
      </c>
      <c r="BT120" t="s">
        <v>126</v>
      </c>
      <c r="BU120" t="s">
        <v>126</v>
      </c>
      <c r="BV120" t="s">
        <v>126</v>
      </c>
      <c r="CN120" t="s">
        <v>181</v>
      </c>
      <c r="CP120" t="s">
        <v>189</v>
      </c>
      <c r="CQ120" t="s">
        <v>181</v>
      </c>
    </row>
    <row r="121" spans="1:95" x14ac:dyDescent="0.2">
      <c r="A121" t="s">
        <v>115</v>
      </c>
      <c r="B121" t="s">
        <v>116</v>
      </c>
      <c r="C121">
        <v>210784</v>
      </c>
      <c r="E121" t="s">
        <v>117</v>
      </c>
      <c r="F121">
        <v>368</v>
      </c>
      <c r="G121" t="s">
        <v>176</v>
      </c>
      <c r="H121" t="s">
        <v>177</v>
      </c>
      <c r="I121" t="s">
        <v>178</v>
      </c>
      <c r="J121" t="s">
        <v>179</v>
      </c>
      <c r="L121" t="s">
        <v>196</v>
      </c>
      <c r="M121" s="8">
        <v>45078</v>
      </c>
      <c r="N121">
        <v>7166534</v>
      </c>
      <c r="O121" t="s">
        <v>123</v>
      </c>
      <c r="P121" t="s">
        <v>124</v>
      </c>
      <c r="Q121">
        <v>17.68</v>
      </c>
      <c r="R121" t="s">
        <v>125</v>
      </c>
      <c r="S121" t="s">
        <v>126</v>
      </c>
      <c r="T121" t="s">
        <v>125</v>
      </c>
      <c r="U121" t="s">
        <v>126</v>
      </c>
      <c r="W121">
        <v>17.68</v>
      </c>
      <c r="Y121">
        <v>17.68</v>
      </c>
      <c r="AC121">
        <v>17.68</v>
      </c>
      <c r="BH121" t="s">
        <v>126</v>
      </c>
      <c r="BI121" t="s">
        <v>126</v>
      </c>
      <c r="BJ121" t="s">
        <v>126</v>
      </c>
      <c r="BK121" t="s">
        <v>126</v>
      </c>
      <c r="BS121" t="s">
        <v>126</v>
      </c>
      <c r="BT121" t="s">
        <v>126</v>
      </c>
      <c r="BU121" t="s">
        <v>126</v>
      </c>
      <c r="BV121" t="s">
        <v>126</v>
      </c>
      <c r="CN121" t="s">
        <v>181</v>
      </c>
      <c r="CP121" t="s">
        <v>189</v>
      </c>
      <c r="CQ121" t="s">
        <v>181</v>
      </c>
    </row>
    <row r="122" spans="1:95" x14ac:dyDescent="0.2">
      <c r="A122" t="s">
        <v>115</v>
      </c>
      <c r="B122" t="s">
        <v>116</v>
      </c>
      <c r="C122">
        <v>210784</v>
      </c>
      <c r="E122" t="s">
        <v>117</v>
      </c>
      <c r="F122">
        <v>368</v>
      </c>
      <c r="G122" t="s">
        <v>176</v>
      </c>
      <c r="H122" t="s">
        <v>177</v>
      </c>
      <c r="I122" t="s">
        <v>178</v>
      </c>
      <c r="J122" t="s">
        <v>179</v>
      </c>
      <c r="L122" t="s">
        <v>196</v>
      </c>
      <c r="M122" s="8">
        <v>45078</v>
      </c>
      <c r="N122">
        <v>7166555</v>
      </c>
      <c r="O122" t="s">
        <v>123</v>
      </c>
      <c r="P122" t="s">
        <v>124</v>
      </c>
      <c r="Q122">
        <v>18.39</v>
      </c>
      <c r="R122" t="s">
        <v>125</v>
      </c>
      <c r="S122" t="s">
        <v>126</v>
      </c>
      <c r="T122" t="s">
        <v>125</v>
      </c>
      <c r="U122" t="s">
        <v>126</v>
      </c>
      <c r="W122">
        <v>18.39</v>
      </c>
      <c r="Y122">
        <v>18.39</v>
      </c>
      <c r="AC122">
        <v>18.39</v>
      </c>
      <c r="BH122" t="s">
        <v>126</v>
      </c>
      <c r="BI122" t="s">
        <v>126</v>
      </c>
      <c r="BJ122" t="s">
        <v>126</v>
      </c>
      <c r="BK122" t="s">
        <v>126</v>
      </c>
      <c r="BS122" t="s">
        <v>126</v>
      </c>
      <c r="BT122" t="s">
        <v>126</v>
      </c>
      <c r="BU122" t="s">
        <v>126</v>
      </c>
      <c r="BV122" t="s">
        <v>126</v>
      </c>
      <c r="CN122" t="s">
        <v>181</v>
      </c>
      <c r="CP122" t="s">
        <v>189</v>
      </c>
      <c r="CQ122" t="s">
        <v>181</v>
      </c>
    </row>
    <row r="123" spans="1:95" x14ac:dyDescent="0.2">
      <c r="A123" t="s">
        <v>115</v>
      </c>
      <c r="B123" t="s">
        <v>116</v>
      </c>
      <c r="C123">
        <v>210784</v>
      </c>
      <c r="E123" t="s">
        <v>117</v>
      </c>
      <c r="F123">
        <v>368</v>
      </c>
      <c r="G123" t="s">
        <v>176</v>
      </c>
      <c r="H123" t="s">
        <v>177</v>
      </c>
      <c r="I123" t="s">
        <v>178</v>
      </c>
      <c r="J123" t="s">
        <v>179</v>
      </c>
      <c r="L123" t="s">
        <v>196</v>
      </c>
      <c r="M123" s="8">
        <v>45078</v>
      </c>
      <c r="N123">
        <v>7166574</v>
      </c>
      <c r="O123" t="s">
        <v>123</v>
      </c>
      <c r="P123" t="s">
        <v>124</v>
      </c>
      <c r="Q123">
        <v>16.63</v>
      </c>
      <c r="R123" t="s">
        <v>125</v>
      </c>
      <c r="S123" t="s">
        <v>126</v>
      </c>
      <c r="T123" t="s">
        <v>125</v>
      </c>
      <c r="U123" t="s">
        <v>126</v>
      </c>
      <c r="W123">
        <v>16.63</v>
      </c>
      <c r="Y123">
        <v>16.63</v>
      </c>
      <c r="AC123">
        <v>16.63</v>
      </c>
      <c r="BH123" t="s">
        <v>126</v>
      </c>
      <c r="BI123" t="s">
        <v>126</v>
      </c>
      <c r="BJ123" t="s">
        <v>126</v>
      </c>
      <c r="BK123" t="s">
        <v>126</v>
      </c>
      <c r="BS123" t="s">
        <v>126</v>
      </c>
      <c r="BT123" t="s">
        <v>126</v>
      </c>
      <c r="BU123" t="s">
        <v>126</v>
      </c>
      <c r="BV123" t="s">
        <v>126</v>
      </c>
      <c r="CN123" t="s">
        <v>181</v>
      </c>
      <c r="CP123" t="s">
        <v>189</v>
      </c>
      <c r="CQ123" t="s">
        <v>181</v>
      </c>
    </row>
    <row r="124" spans="1:95" x14ac:dyDescent="0.2">
      <c r="A124" t="s">
        <v>115</v>
      </c>
      <c r="B124" t="s">
        <v>116</v>
      </c>
      <c r="C124">
        <v>210784</v>
      </c>
      <c r="E124" t="s">
        <v>117</v>
      </c>
      <c r="F124">
        <v>368</v>
      </c>
      <c r="G124" t="s">
        <v>176</v>
      </c>
      <c r="H124" t="s">
        <v>177</v>
      </c>
      <c r="I124" t="s">
        <v>178</v>
      </c>
      <c r="J124" t="s">
        <v>179</v>
      </c>
      <c r="L124" t="s">
        <v>196</v>
      </c>
      <c r="M124" s="8">
        <v>45078</v>
      </c>
      <c r="N124">
        <v>7166576</v>
      </c>
      <c r="O124" t="s">
        <v>123</v>
      </c>
      <c r="P124" t="s">
        <v>124</v>
      </c>
      <c r="Q124">
        <v>18.690000000000001</v>
      </c>
      <c r="R124" t="s">
        <v>125</v>
      </c>
      <c r="S124" t="s">
        <v>126</v>
      </c>
      <c r="T124" t="s">
        <v>125</v>
      </c>
      <c r="U124" t="s">
        <v>126</v>
      </c>
      <c r="W124">
        <v>18.690000000000001</v>
      </c>
      <c r="Y124">
        <v>18.690000000000001</v>
      </c>
      <c r="AC124">
        <v>18.690000000000001</v>
      </c>
      <c r="BH124" t="s">
        <v>126</v>
      </c>
      <c r="BI124" t="s">
        <v>126</v>
      </c>
      <c r="BJ124" t="s">
        <v>126</v>
      </c>
      <c r="BK124" t="s">
        <v>126</v>
      </c>
      <c r="BS124" t="s">
        <v>126</v>
      </c>
      <c r="BT124" t="s">
        <v>126</v>
      </c>
      <c r="BU124" t="s">
        <v>126</v>
      </c>
      <c r="BV124" t="s">
        <v>126</v>
      </c>
      <c r="CN124" t="s">
        <v>181</v>
      </c>
      <c r="CP124" t="s">
        <v>189</v>
      </c>
      <c r="CQ124" t="s">
        <v>181</v>
      </c>
    </row>
    <row r="125" spans="1:95" x14ac:dyDescent="0.2">
      <c r="A125" t="s">
        <v>115</v>
      </c>
      <c r="B125" t="s">
        <v>116</v>
      </c>
      <c r="C125">
        <v>210784</v>
      </c>
      <c r="E125" t="s">
        <v>117</v>
      </c>
      <c r="F125">
        <v>368</v>
      </c>
      <c r="G125" t="s">
        <v>176</v>
      </c>
      <c r="H125" t="s">
        <v>177</v>
      </c>
      <c r="I125" t="s">
        <v>178</v>
      </c>
      <c r="J125" t="s">
        <v>179</v>
      </c>
      <c r="L125" t="s">
        <v>197</v>
      </c>
      <c r="M125" s="8">
        <v>45078</v>
      </c>
      <c r="N125">
        <v>7169038</v>
      </c>
      <c r="O125" t="s">
        <v>123</v>
      </c>
      <c r="P125" t="s">
        <v>124</v>
      </c>
      <c r="Q125">
        <v>23.45</v>
      </c>
      <c r="R125" t="s">
        <v>125</v>
      </c>
      <c r="S125" t="s">
        <v>126</v>
      </c>
      <c r="T125" t="s">
        <v>125</v>
      </c>
      <c r="U125" t="s">
        <v>126</v>
      </c>
      <c r="W125">
        <v>23.45</v>
      </c>
      <c r="Y125">
        <v>23.45</v>
      </c>
      <c r="AC125">
        <v>23.45</v>
      </c>
      <c r="BH125" t="s">
        <v>126</v>
      </c>
      <c r="BI125" t="s">
        <v>126</v>
      </c>
      <c r="BJ125" t="s">
        <v>126</v>
      </c>
      <c r="BK125" t="s">
        <v>126</v>
      </c>
      <c r="BS125" t="s">
        <v>126</v>
      </c>
      <c r="BT125" t="s">
        <v>126</v>
      </c>
      <c r="BU125" t="s">
        <v>126</v>
      </c>
      <c r="BV125" t="s">
        <v>126</v>
      </c>
      <c r="CN125" t="s">
        <v>181</v>
      </c>
      <c r="CP125" t="s">
        <v>189</v>
      </c>
      <c r="CQ125" t="s">
        <v>181</v>
      </c>
    </row>
    <row r="126" spans="1:95" x14ac:dyDescent="0.2">
      <c r="A126" t="s">
        <v>115</v>
      </c>
      <c r="B126" t="s">
        <v>116</v>
      </c>
      <c r="C126">
        <v>210784</v>
      </c>
      <c r="E126" t="s">
        <v>117</v>
      </c>
      <c r="F126">
        <v>368</v>
      </c>
      <c r="G126" t="s">
        <v>176</v>
      </c>
      <c r="H126" t="s">
        <v>177</v>
      </c>
      <c r="I126" t="s">
        <v>178</v>
      </c>
      <c r="J126" t="s">
        <v>179</v>
      </c>
      <c r="L126" t="s">
        <v>197</v>
      </c>
      <c r="M126" s="8">
        <v>45078</v>
      </c>
      <c r="N126">
        <v>7169074</v>
      </c>
      <c r="O126" t="s">
        <v>123</v>
      </c>
      <c r="P126" t="s">
        <v>124</v>
      </c>
      <c r="Q126">
        <v>26.07</v>
      </c>
      <c r="R126" t="s">
        <v>125</v>
      </c>
      <c r="S126" t="s">
        <v>126</v>
      </c>
      <c r="T126" t="s">
        <v>125</v>
      </c>
      <c r="U126" t="s">
        <v>126</v>
      </c>
      <c r="W126">
        <v>26.07</v>
      </c>
      <c r="Y126">
        <v>26.07</v>
      </c>
      <c r="AC126">
        <v>26.07</v>
      </c>
      <c r="BH126" t="s">
        <v>126</v>
      </c>
      <c r="BI126" t="s">
        <v>126</v>
      </c>
      <c r="BJ126" t="s">
        <v>126</v>
      </c>
      <c r="BK126" t="s">
        <v>126</v>
      </c>
      <c r="BS126" t="s">
        <v>126</v>
      </c>
      <c r="BT126" t="s">
        <v>126</v>
      </c>
      <c r="BU126" t="s">
        <v>126</v>
      </c>
      <c r="BV126" t="s">
        <v>126</v>
      </c>
      <c r="CN126" t="s">
        <v>181</v>
      </c>
      <c r="CP126" t="s">
        <v>189</v>
      </c>
      <c r="CQ126" t="s">
        <v>181</v>
      </c>
    </row>
    <row r="127" spans="1:95" x14ac:dyDescent="0.2">
      <c r="A127" t="s">
        <v>115</v>
      </c>
      <c r="B127" t="s">
        <v>116</v>
      </c>
      <c r="C127">
        <v>210784</v>
      </c>
      <c r="E127" t="s">
        <v>117</v>
      </c>
      <c r="F127">
        <v>368</v>
      </c>
      <c r="G127" t="s">
        <v>176</v>
      </c>
      <c r="H127" t="s">
        <v>177</v>
      </c>
      <c r="I127" t="s">
        <v>178</v>
      </c>
      <c r="J127" t="s">
        <v>179</v>
      </c>
      <c r="L127" t="s">
        <v>198</v>
      </c>
      <c r="M127" s="8">
        <v>45078</v>
      </c>
      <c r="N127">
        <v>7169135</v>
      </c>
      <c r="O127" t="s">
        <v>123</v>
      </c>
      <c r="P127" t="s">
        <v>124</v>
      </c>
      <c r="Q127">
        <v>20.18</v>
      </c>
      <c r="R127" t="s">
        <v>125</v>
      </c>
      <c r="S127" t="s">
        <v>126</v>
      </c>
      <c r="T127" t="s">
        <v>125</v>
      </c>
      <c r="U127" t="s">
        <v>126</v>
      </c>
      <c r="W127">
        <v>20.18</v>
      </c>
      <c r="Y127">
        <v>20.18</v>
      </c>
      <c r="AC127">
        <v>20.18</v>
      </c>
      <c r="BH127" t="s">
        <v>126</v>
      </c>
      <c r="BI127" t="s">
        <v>126</v>
      </c>
      <c r="BJ127" t="s">
        <v>126</v>
      </c>
      <c r="BK127" t="s">
        <v>126</v>
      </c>
      <c r="BS127" t="s">
        <v>126</v>
      </c>
      <c r="BT127" t="s">
        <v>126</v>
      </c>
      <c r="BU127" t="s">
        <v>126</v>
      </c>
      <c r="BV127" t="s">
        <v>126</v>
      </c>
      <c r="CN127" t="s">
        <v>181</v>
      </c>
      <c r="CP127" t="s">
        <v>189</v>
      </c>
      <c r="CQ127" t="s">
        <v>181</v>
      </c>
    </row>
    <row r="128" spans="1:95" x14ac:dyDescent="0.2">
      <c r="A128" t="s">
        <v>115</v>
      </c>
      <c r="B128" t="s">
        <v>116</v>
      </c>
      <c r="C128">
        <v>210784</v>
      </c>
      <c r="E128" t="s">
        <v>117</v>
      </c>
      <c r="F128">
        <v>368</v>
      </c>
      <c r="G128" t="s">
        <v>176</v>
      </c>
      <c r="H128" t="s">
        <v>177</v>
      </c>
      <c r="I128" t="s">
        <v>178</v>
      </c>
      <c r="J128" t="s">
        <v>179</v>
      </c>
      <c r="L128" t="s">
        <v>198</v>
      </c>
      <c r="M128" s="8">
        <v>45078</v>
      </c>
      <c r="N128">
        <v>7169137</v>
      </c>
      <c r="O128" t="s">
        <v>123</v>
      </c>
      <c r="P128" t="s">
        <v>124</v>
      </c>
      <c r="Q128">
        <v>20.88</v>
      </c>
      <c r="R128" t="s">
        <v>125</v>
      </c>
      <c r="S128" t="s">
        <v>126</v>
      </c>
      <c r="T128" t="s">
        <v>125</v>
      </c>
      <c r="U128" t="s">
        <v>126</v>
      </c>
      <c r="W128">
        <v>20.88</v>
      </c>
      <c r="Y128">
        <v>20.88</v>
      </c>
      <c r="AC128">
        <v>20.88</v>
      </c>
      <c r="BH128" t="s">
        <v>126</v>
      </c>
      <c r="BI128" t="s">
        <v>126</v>
      </c>
      <c r="BJ128" t="s">
        <v>126</v>
      </c>
      <c r="BK128" t="s">
        <v>126</v>
      </c>
      <c r="BS128" t="s">
        <v>126</v>
      </c>
      <c r="BT128" t="s">
        <v>126</v>
      </c>
      <c r="BU128" t="s">
        <v>126</v>
      </c>
      <c r="BV128" t="s">
        <v>126</v>
      </c>
      <c r="CN128" t="s">
        <v>181</v>
      </c>
      <c r="CP128" t="s">
        <v>189</v>
      </c>
      <c r="CQ128" t="s">
        <v>181</v>
      </c>
    </row>
    <row r="129" spans="1:95" x14ac:dyDescent="0.2">
      <c r="A129" t="s">
        <v>115</v>
      </c>
      <c r="B129" t="s">
        <v>116</v>
      </c>
      <c r="C129">
        <v>210784</v>
      </c>
      <c r="E129" t="s">
        <v>117</v>
      </c>
      <c r="F129">
        <v>368</v>
      </c>
      <c r="G129" t="s">
        <v>176</v>
      </c>
      <c r="H129" t="s">
        <v>177</v>
      </c>
      <c r="I129" t="s">
        <v>178</v>
      </c>
      <c r="J129" t="s">
        <v>179</v>
      </c>
      <c r="L129" t="s">
        <v>198</v>
      </c>
      <c r="M129" s="8">
        <v>45078</v>
      </c>
      <c r="N129">
        <v>7169213</v>
      </c>
      <c r="O129" t="s">
        <v>123</v>
      </c>
      <c r="P129" t="s">
        <v>124</v>
      </c>
      <c r="Q129">
        <v>23.81</v>
      </c>
      <c r="R129" t="s">
        <v>125</v>
      </c>
      <c r="S129" t="s">
        <v>126</v>
      </c>
      <c r="T129" t="s">
        <v>125</v>
      </c>
      <c r="U129" t="s">
        <v>126</v>
      </c>
      <c r="W129">
        <v>23.81</v>
      </c>
      <c r="Y129">
        <v>23.81</v>
      </c>
      <c r="AC129">
        <v>23.81</v>
      </c>
      <c r="BH129" t="s">
        <v>126</v>
      </c>
      <c r="BI129" t="s">
        <v>126</v>
      </c>
      <c r="BJ129" t="s">
        <v>126</v>
      </c>
      <c r="BK129" t="s">
        <v>126</v>
      </c>
      <c r="BS129" t="s">
        <v>126</v>
      </c>
      <c r="BT129" t="s">
        <v>126</v>
      </c>
      <c r="BU129" t="s">
        <v>126</v>
      </c>
      <c r="BV129" t="s">
        <v>126</v>
      </c>
      <c r="CN129" t="s">
        <v>181</v>
      </c>
      <c r="CP129" t="s">
        <v>189</v>
      </c>
      <c r="CQ129" t="s">
        <v>181</v>
      </c>
    </row>
    <row r="130" spans="1:95" x14ac:dyDescent="0.2">
      <c r="A130" t="s">
        <v>115</v>
      </c>
      <c r="B130" t="s">
        <v>116</v>
      </c>
      <c r="C130">
        <v>210784</v>
      </c>
      <c r="E130" t="s">
        <v>117</v>
      </c>
      <c r="F130">
        <v>368</v>
      </c>
      <c r="G130" t="s">
        <v>176</v>
      </c>
      <c r="H130" t="s">
        <v>177</v>
      </c>
      <c r="I130" t="s">
        <v>178</v>
      </c>
      <c r="J130" t="s">
        <v>179</v>
      </c>
      <c r="L130" t="s">
        <v>198</v>
      </c>
      <c r="M130" s="8">
        <v>45078</v>
      </c>
      <c r="N130">
        <v>7169217</v>
      </c>
      <c r="O130" t="s">
        <v>123</v>
      </c>
      <c r="P130" t="s">
        <v>124</v>
      </c>
      <c r="Q130">
        <v>19.41</v>
      </c>
      <c r="R130" t="s">
        <v>125</v>
      </c>
      <c r="S130" t="s">
        <v>126</v>
      </c>
      <c r="T130" t="s">
        <v>125</v>
      </c>
      <c r="U130" t="s">
        <v>126</v>
      </c>
      <c r="W130">
        <v>19.41</v>
      </c>
      <c r="Y130">
        <v>19.41</v>
      </c>
      <c r="AC130">
        <v>19.41</v>
      </c>
      <c r="BH130" t="s">
        <v>126</v>
      </c>
      <c r="BI130" t="s">
        <v>126</v>
      </c>
      <c r="BJ130" t="s">
        <v>126</v>
      </c>
      <c r="BK130" t="s">
        <v>126</v>
      </c>
      <c r="BS130" t="s">
        <v>126</v>
      </c>
      <c r="BT130" t="s">
        <v>126</v>
      </c>
      <c r="BU130" t="s">
        <v>126</v>
      </c>
      <c r="BV130" t="s">
        <v>126</v>
      </c>
      <c r="CN130" t="s">
        <v>181</v>
      </c>
      <c r="CP130" t="s">
        <v>189</v>
      </c>
      <c r="CQ130" t="s">
        <v>181</v>
      </c>
    </row>
    <row r="131" spans="1:95" x14ac:dyDescent="0.2">
      <c r="A131" t="s">
        <v>115</v>
      </c>
      <c r="B131" t="s">
        <v>116</v>
      </c>
      <c r="C131">
        <v>210784</v>
      </c>
      <c r="E131" t="s">
        <v>117</v>
      </c>
      <c r="F131">
        <v>368</v>
      </c>
      <c r="G131" t="s">
        <v>176</v>
      </c>
      <c r="H131" t="s">
        <v>177</v>
      </c>
      <c r="I131" t="s">
        <v>178</v>
      </c>
      <c r="J131" t="s">
        <v>179</v>
      </c>
      <c r="L131" t="s">
        <v>198</v>
      </c>
      <c r="M131" s="8">
        <v>45078</v>
      </c>
      <c r="N131">
        <v>7169281</v>
      </c>
      <c r="O131" t="s">
        <v>123</v>
      </c>
      <c r="P131" t="s">
        <v>124</v>
      </c>
      <c r="Q131">
        <v>19.079999999999998</v>
      </c>
      <c r="R131" t="s">
        <v>125</v>
      </c>
      <c r="S131" t="s">
        <v>126</v>
      </c>
      <c r="T131" t="s">
        <v>125</v>
      </c>
      <c r="U131" t="s">
        <v>126</v>
      </c>
      <c r="W131">
        <v>19.079999999999998</v>
      </c>
      <c r="Y131">
        <v>19.079999999999998</v>
      </c>
      <c r="AC131">
        <v>19.079999999999998</v>
      </c>
      <c r="BH131" t="s">
        <v>126</v>
      </c>
      <c r="BI131" t="s">
        <v>126</v>
      </c>
      <c r="BJ131" t="s">
        <v>126</v>
      </c>
      <c r="BK131" t="s">
        <v>126</v>
      </c>
      <c r="BS131" t="s">
        <v>126</v>
      </c>
      <c r="BT131" t="s">
        <v>126</v>
      </c>
      <c r="BU131" t="s">
        <v>126</v>
      </c>
      <c r="BV131" t="s">
        <v>126</v>
      </c>
      <c r="CN131" t="s">
        <v>181</v>
      </c>
      <c r="CP131" t="s">
        <v>189</v>
      </c>
      <c r="CQ131" t="s">
        <v>181</v>
      </c>
    </row>
    <row r="132" spans="1:95" x14ac:dyDescent="0.2">
      <c r="A132" t="s">
        <v>115</v>
      </c>
      <c r="B132" t="s">
        <v>116</v>
      </c>
      <c r="C132">
        <v>210784</v>
      </c>
      <c r="E132" t="s">
        <v>117</v>
      </c>
      <c r="F132">
        <v>368</v>
      </c>
      <c r="G132" t="s">
        <v>176</v>
      </c>
      <c r="H132" t="s">
        <v>177</v>
      </c>
      <c r="I132" t="s">
        <v>178</v>
      </c>
      <c r="J132" t="s">
        <v>179</v>
      </c>
      <c r="L132" t="s">
        <v>199</v>
      </c>
      <c r="M132" s="8">
        <v>45078</v>
      </c>
      <c r="N132">
        <v>7170189</v>
      </c>
      <c r="O132" t="s">
        <v>123</v>
      </c>
      <c r="P132" t="s">
        <v>124</v>
      </c>
      <c r="Q132">
        <v>41.73</v>
      </c>
      <c r="R132" t="s">
        <v>125</v>
      </c>
      <c r="S132" t="s">
        <v>126</v>
      </c>
      <c r="T132" t="s">
        <v>125</v>
      </c>
      <c r="U132" t="s">
        <v>126</v>
      </c>
      <c r="W132">
        <v>41.73</v>
      </c>
      <c r="Y132">
        <v>41.73</v>
      </c>
      <c r="AC132">
        <v>41.73</v>
      </c>
      <c r="BH132" t="s">
        <v>126</v>
      </c>
      <c r="BI132" t="s">
        <v>126</v>
      </c>
      <c r="BJ132" t="s">
        <v>126</v>
      </c>
      <c r="BK132" t="s">
        <v>126</v>
      </c>
      <c r="BS132" t="s">
        <v>126</v>
      </c>
      <c r="BT132" t="s">
        <v>126</v>
      </c>
      <c r="BU132" t="s">
        <v>126</v>
      </c>
      <c r="BV132" t="s">
        <v>126</v>
      </c>
      <c r="CN132" t="s">
        <v>181</v>
      </c>
      <c r="CP132" t="s">
        <v>189</v>
      </c>
      <c r="CQ132" t="s">
        <v>181</v>
      </c>
    </row>
    <row r="133" spans="1:95" x14ac:dyDescent="0.2">
      <c r="A133" t="s">
        <v>115</v>
      </c>
      <c r="B133" t="s">
        <v>116</v>
      </c>
      <c r="C133">
        <v>210784</v>
      </c>
      <c r="E133" t="s">
        <v>117</v>
      </c>
      <c r="F133">
        <v>368</v>
      </c>
      <c r="G133" t="s">
        <v>176</v>
      </c>
      <c r="H133" t="s">
        <v>177</v>
      </c>
      <c r="I133" t="s">
        <v>178</v>
      </c>
      <c r="J133" t="s">
        <v>179</v>
      </c>
      <c r="L133" t="s">
        <v>199</v>
      </c>
      <c r="M133" s="8">
        <v>45078</v>
      </c>
      <c r="N133">
        <v>7170252</v>
      </c>
      <c r="O133" t="s">
        <v>123</v>
      </c>
      <c r="P133" t="s">
        <v>124</v>
      </c>
      <c r="Q133">
        <v>34.6</v>
      </c>
      <c r="R133" t="s">
        <v>125</v>
      </c>
      <c r="S133" t="s">
        <v>126</v>
      </c>
      <c r="T133" t="s">
        <v>125</v>
      </c>
      <c r="U133" t="s">
        <v>126</v>
      </c>
      <c r="W133">
        <v>34.6</v>
      </c>
      <c r="Y133">
        <v>34.6</v>
      </c>
      <c r="AC133">
        <v>34.6</v>
      </c>
      <c r="BH133" t="s">
        <v>126</v>
      </c>
      <c r="BI133" t="s">
        <v>126</v>
      </c>
      <c r="BJ133" t="s">
        <v>126</v>
      </c>
      <c r="BK133" t="s">
        <v>126</v>
      </c>
      <c r="BS133" t="s">
        <v>126</v>
      </c>
      <c r="BT133" t="s">
        <v>126</v>
      </c>
      <c r="BU133" t="s">
        <v>126</v>
      </c>
      <c r="BV133" t="s">
        <v>126</v>
      </c>
      <c r="CN133" t="s">
        <v>181</v>
      </c>
      <c r="CP133" t="s">
        <v>189</v>
      </c>
      <c r="CQ133" t="s">
        <v>181</v>
      </c>
    </row>
    <row r="134" spans="1:95" x14ac:dyDescent="0.2">
      <c r="A134" t="s">
        <v>115</v>
      </c>
      <c r="B134" t="s">
        <v>116</v>
      </c>
      <c r="C134">
        <v>210784</v>
      </c>
      <c r="E134" t="s">
        <v>117</v>
      </c>
      <c r="F134">
        <v>368</v>
      </c>
      <c r="G134" t="s">
        <v>176</v>
      </c>
      <c r="H134" t="s">
        <v>177</v>
      </c>
      <c r="I134" t="s">
        <v>178</v>
      </c>
      <c r="J134" t="s">
        <v>179</v>
      </c>
      <c r="L134" t="s">
        <v>199</v>
      </c>
      <c r="M134" s="8">
        <v>45078</v>
      </c>
      <c r="N134">
        <v>7170259</v>
      </c>
      <c r="O134" t="s">
        <v>123</v>
      </c>
      <c r="P134" t="s">
        <v>124</v>
      </c>
      <c r="Q134">
        <v>18.920000000000002</v>
      </c>
      <c r="R134" t="s">
        <v>125</v>
      </c>
      <c r="S134" t="s">
        <v>126</v>
      </c>
      <c r="T134" t="s">
        <v>125</v>
      </c>
      <c r="U134" t="s">
        <v>126</v>
      </c>
      <c r="W134">
        <v>18.920000000000002</v>
      </c>
      <c r="Y134">
        <v>18.920000000000002</v>
      </c>
      <c r="AC134">
        <v>18.920000000000002</v>
      </c>
      <c r="BH134" t="s">
        <v>126</v>
      </c>
      <c r="BI134" t="s">
        <v>126</v>
      </c>
      <c r="BJ134" t="s">
        <v>126</v>
      </c>
      <c r="BK134" t="s">
        <v>126</v>
      </c>
      <c r="BS134" t="s">
        <v>126</v>
      </c>
      <c r="BT134" t="s">
        <v>126</v>
      </c>
      <c r="BU134" t="s">
        <v>126</v>
      </c>
      <c r="BV134" t="s">
        <v>126</v>
      </c>
      <c r="CN134" t="s">
        <v>181</v>
      </c>
      <c r="CP134" t="s">
        <v>189</v>
      </c>
      <c r="CQ134" t="s">
        <v>181</v>
      </c>
    </row>
    <row r="135" spans="1:95" x14ac:dyDescent="0.2">
      <c r="A135" t="s">
        <v>115</v>
      </c>
      <c r="B135" t="s">
        <v>116</v>
      </c>
      <c r="C135">
        <v>210784</v>
      </c>
      <c r="E135" t="s">
        <v>117</v>
      </c>
      <c r="F135">
        <v>368</v>
      </c>
      <c r="G135" t="s">
        <v>176</v>
      </c>
      <c r="H135" t="s">
        <v>177</v>
      </c>
      <c r="I135" t="s">
        <v>178</v>
      </c>
      <c r="J135" t="s">
        <v>179</v>
      </c>
      <c r="L135" t="s">
        <v>199</v>
      </c>
      <c r="M135" s="8">
        <v>45078</v>
      </c>
      <c r="N135">
        <v>7170297</v>
      </c>
      <c r="O135" t="s">
        <v>123</v>
      </c>
      <c r="P135" t="s">
        <v>124</v>
      </c>
      <c r="Q135">
        <v>23.36</v>
      </c>
      <c r="R135" t="s">
        <v>125</v>
      </c>
      <c r="S135" t="s">
        <v>126</v>
      </c>
      <c r="T135" t="s">
        <v>125</v>
      </c>
      <c r="U135" t="s">
        <v>126</v>
      </c>
      <c r="W135">
        <v>23.36</v>
      </c>
      <c r="Y135">
        <v>23.36</v>
      </c>
      <c r="AC135">
        <v>23.36</v>
      </c>
      <c r="BH135" t="s">
        <v>126</v>
      </c>
      <c r="BI135" t="s">
        <v>126</v>
      </c>
      <c r="BJ135" t="s">
        <v>126</v>
      </c>
      <c r="BK135" t="s">
        <v>126</v>
      </c>
      <c r="BS135" t="s">
        <v>126</v>
      </c>
      <c r="BT135" t="s">
        <v>126</v>
      </c>
      <c r="BU135" t="s">
        <v>126</v>
      </c>
      <c r="BV135" t="s">
        <v>126</v>
      </c>
      <c r="CN135" t="s">
        <v>181</v>
      </c>
      <c r="CP135" t="s">
        <v>189</v>
      </c>
      <c r="CQ135" t="s">
        <v>181</v>
      </c>
    </row>
    <row r="136" spans="1:95" x14ac:dyDescent="0.2">
      <c r="A136" t="s">
        <v>115</v>
      </c>
      <c r="B136" t="s">
        <v>116</v>
      </c>
      <c r="C136">
        <v>210784</v>
      </c>
      <c r="E136" t="s">
        <v>117</v>
      </c>
      <c r="F136">
        <v>368</v>
      </c>
      <c r="G136" t="s">
        <v>176</v>
      </c>
      <c r="H136" t="s">
        <v>177</v>
      </c>
      <c r="I136" t="s">
        <v>178</v>
      </c>
      <c r="J136" t="s">
        <v>179</v>
      </c>
      <c r="L136" t="s">
        <v>199</v>
      </c>
      <c r="M136" s="8">
        <v>45078</v>
      </c>
      <c r="N136">
        <v>7170310</v>
      </c>
      <c r="O136" t="s">
        <v>123</v>
      </c>
      <c r="P136" t="s">
        <v>124</v>
      </c>
      <c r="Q136">
        <v>38.03</v>
      </c>
      <c r="R136" t="s">
        <v>125</v>
      </c>
      <c r="S136" t="s">
        <v>126</v>
      </c>
      <c r="T136" t="s">
        <v>125</v>
      </c>
      <c r="U136" t="s">
        <v>126</v>
      </c>
      <c r="W136">
        <v>38.03</v>
      </c>
      <c r="Y136">
        <v>38.03</v>
      </c>
      <c r="AC136">
        <v>38.03</v>
      </c>
      <c r="BH136" t="s">
        <v>126</v>
      </c>
      <c r="BI136" t="s">
        <v>126</v>
      </c>
      <c r="BJ136" t="s">
        <v>126</v>
      </c>
      <c r="BK136" t="s">
        <v>126</v>
      </c>
      <c r="BS136" t="s">
        <v>126</v>
      </c>
      <c r="BT136" t="s">
        <v>126</v>
      </c>
      <c r="BU136" t="s">
        <v>126</v>
      </c>
      <c r="BV136" t="s">
        <v>126</v>
      </c>
      <c r="CN136" t="s">
        <v>181</v>
      </c>
      <c r="CP136" t="s">
        <v>189</v>
      </c>
      <c r="CQ136" t="s">
        <v>181</v>
      </c>
    </row>
    <row r="137" spans="1:95" x14ac:dyDescent="0.2">
      <c r="A137" t="s">
        <v>115</v>
      </c>
      <c r="B137" t="s">
        <v>116</v>
      </c>
      <c r="C137">
        <v>210784</v>
      </c>
      <c r="E137" t="s">
        <v>117</v>
      </c>
      <c r="F137">
        <v>368</v>
      </c>
      <c r="G137" t="s">
        <v>176</v>
      </c>
      <c r="H137" t="s">
        <v>177</v>
      </c>
      <c r="I137" t="s">
        <v>178</v>
      </c>
      <c r="J137" t="s">
        <v>179</v>
      </c>
      <c r="L137" t="s">
        <v>199</v>
      </c>
      <c r="M137" s="8">
        <v>45078</v>
      </c>
      <c r="N137">
        <v>7170315</v>
      </c>
      <c r="O137" t="s">
        <v>123</v>
      </c>
      <c r="P137" t="s">
        <v>124</v>
      </c>
      <c r="Q137">
        <v>19.29</v>
      </c>
      <c r="R137" t="s">
        <v>125</v>
      </c>
      <c r="S137" t="s">
        <v>126</v>
      </c>
      <c r="T137" t="s">
        <v>125</v>
      </c>
      <c r="U137" t="s">
        <v>126</v>
      </c>
      <c r="W137">
        <v>19.29</v>
      </c>
      <c r="Y137">
        <v>19.29</v>
      </c>
      <c r="AC137">
        <v>19.29</v>
      </c>
      <c r="BH137" t="s">
        <v>126</v>
      </c>
      <c r="BI137" t="s">
        <v>126</v>
      </c>
      <c r="BJ137" t="s">
        <v>126</v>
      </c>
      <c r="BK137" t="s">
        <v>126</v>
      </c>
      <c r="BS137" t="s">
        <v>126</v>
      </c>
      <c r="BT137" t="s">
        <v>126</v>
      </c>
      <c r="BU137" t="s">
        <v>126</v>
      </c>
      <c r="BV137" t="s">
        <v>126</v>
      </c>
      <c r="CN137" t="s">
        <v>181</v>
      </c>
      <c r="CP137" t="s">
        <v>189</v>
      </c>
      <c r="CQ137" t="s">
        <v>181</v>
      </c>
    </row>
    <row r="138" spans="1:95" x14ac:dyDescent="0.2">
      <c r="A138" t="s">
        <v>115</v>
      </c>
      <c r="B138" t="s">
        <v>116</v>
      </c>
      <c r="C138">
        <v>210784</v>
      </c>
      <c r="E138" t="s">
        <v>117</v>
      </c>
      <c r="F138">
        <v>368</v>
      </c>
      <c r="G138" t="s">
        <v>176</v>
      </c>
      <c r="H138" t="s">
        <v>177</v>
      </c>
      <c r="I138" t="s">
        <v>178</v>
      </c>
      <c r="J138" t="s">
        <v>179</v>
      </c>
      <c r="L138" t="s">
        <v>199</v>
      </c>
      <c r="M138" s="8">
        <v>45078</v>
      </c>
      <c r="N138">
        <v>7170344</v>
      </c>
      <c r="O138" t="s">
        <v>123</v>
      </c>
      <c r="P138" t="s">
        <v>124</v>
      </c>
      <c r="Q138">
        <v>38.61</v>
      </c>
      <c r="R138" t="s">
        <v>125</v>
      </c>
      <c r="S138" t="s">
        <v>126</v>
      </c>
      <c r="T138" t="s">
        <v>125</v>
      </c>
      <c r="U138" t="s">
        <v>126</v>
      </c>
      <c r="W138">
        <v>38.61</v>
      </c>
      <c r="Y138">
        <v>38.61</v>
      </c>
      <c r="AC138">
        <v>38.61</v>
      </c>
      <c r="BH138" t="s">
        <v>126</v>
      </c>
      <c r="BI138" t="s">
        <v>126</v>
      </c>
      <c r="BJ138" t="s">
        <v>126</v>
      </c>
      <c r="BK138" t="s">
        <v>126</v>
      </c>
      <c r="BS138" t="s">
        <v>126</v>
      </c>
      <c r="BT138" t="s">
        <v>126</v>
      </c>
      <c r="BU138" t="s">
        <v>126</v>
      </c>
      <c r="BV138" t="s">
        <v>126</v>
      </c>
      <c r="CN138" t="s">
        <v>181</v>
      </c>
      <c r="CP138" t="s">
        <v>189</v>
      </c>
      <c r="CQ138" t="s">
        <v>181</v>
      </c>
    </row>
    <row r="139" spans="1:95" x14ac:dyDescent="0.2">
      <c r="A139" t="s">
        <v>115</v>
      </c>
      <c r="B139" t="s">
        <v>116</v>
      </c>
      <c r="C139">
        <v>210784</v>
      </c>
      <c r="E139" t="s">
        <v>117</v>
      </c>
      <c r="F139">
        <v>368</v>
      </c>
      <c r="G139" t="s">
        <v>176</v>
      </c>
      <c r="H139" t="s">
        <v>177</v>
      </c>
      <c r="I139" t="s">
        <v>178</v>
      </c>
      <c r="J139" t="s">
        <v>179</v>
      </c>
      <c r="L139" t="s">
        <v>199</v>
      </c>
      <c r="M139" s="8">
        <v>45078</v>
      </c>
      <c r="N139">
        <v>7170353</v>
      </c>
      <c r="O139" t="s">
        <v>123</v>
      </c>
      <c r="P139" t="s">
        <v>124</v>
      </c>
      <c r="Q139">
        <v>24.57</v>
      </c>
      <c r="R139" t="s">
        <v>125</v>
      </c>
      <c r="S139" t="s">
        <v>126</v>
      </c>
      <c r="T139" t="s">
        <v>125</v>
      </c>
      <c r="U139" t="s">
        <v>126</v>
      </c>
      <c r="W139">
        <v>24.57</v>
      </c>
      <c r="Y139">
        <v>24.57</v>
      </c>
      <c r="AC139">
        <v>24.57</v>
      </c>
      <c r="BH139" t="s">
        <v>126</v>
      </c>
      <c r="BI139" t="s">
        <v>126</v>
      </c>
      <c r="BJ139" t="s">
        <v>126</v>
      </c>
      <c r="BK139" t="s">
        <v>126</v>
      </c>
      <c r="BS139" t="s">
        <v>126</v>
      </c>
      <c r="BT139" t="s">
        <v>126</v>
      </c>
      <c r="BU139" t="s">
        <v>126</v>
      </c>
      <c r="BV139" t="s">
        <v>126</v>
      </c>
      <c r="CN139" t="s">
        <v>181</v>
      </c>
      <c r="CP139" t="s">
        <v>189</v>
      </c>
      <c r="CQ139" t="s">
        <v>181</v>
      </c>
    </row>
    <row r="140" spans="1:95" x14ac:dyDescent="0.2">
      <c r="A140" t="s">
        <v>115</v>
      </c>
      <c r="B140" t="s">
        <v>116</v>
      </c>
      <c r="C140">
        <v>210784</v>
      </c>
      <c r="E140" t="s">
        <v>117</v>
      </c>
      <c r="F140">
        <v>368</v>
      </c>
      <c r="G140" t="s">
        <v>176</v>
      </c>
      <c r="H140" t="s">
        <v>177</v>
      </c>
      <c r="I140" t="s">
        <v>178</v>
      </c>
      <c r="J140" t="s">
        <v>179</v>
      </c>
      <c r="L140" t="s">
        <v>199</v>
      </c>
      <c r="M140" s="8">
        <v>45078</v>
      </c>
      <c r="N140">
        <v>7170359</v>
      </c>
      <c r="O140" t="s">
        <v>123</v>
      </c>
      <c r="P140" t="s">
        <v>124</v>
      </c>
      <c r="Q140">
        <v>26.43</v>
      </c>
      <c r="R140" t="s">
        <v>125</v>
      </c>
      <c r="S140" t="s">
        <v>126</v>
      </c>
      <c r="T140" t="s">
        <v>125</v>
      </c>
      <c r="U140" t="s">
        <v>126</v>
      </c>
      <c r="W140">
        <v>26.43</v>
      </c>
      <c r="Y140">
        <v>26.43</v>
      </c>
      <c r="AC140">
        <v>26.43</v>
      </c>
      <c r="BH140" t="s">
        <v>126</v>
      </c>
      <c r="BI140" t="s">
        <v>126</v>
      </c>
      <c r="BJ140" t="s">
        <v>126</v>
      </c>
      <c r="BK140" t="s">
        <v>126</v>
      </c>
      <c r="BS140" t="s">
        <v>126</v>
      </c>
      <c r="BT140" t="s">
        <v>126</v>
      </c>
      <c r="BU140" t="s">
        <v>126</v>
      </c>
      <c r="BV140" t="s">
        <v>126</v>
      </c>
      <c r="CN140" t="s">
        <v>181</v>
      </c>
      <c r="CP140" t="s">
        <v>189</v>
      </c>
      <c r="CQ140" t="s">
        <v>181</v>
      </c>
    </row>
    <row r="141" spans="1:95" x14ac:dyDescent="0.2">
      <c r="A141" t="s">
        <v>115</v>
      </c>
      <c r="B141" t="s">
        <v>116</v>
      </c>
      <c r="C141">
        <v>210784</v>
      </c>
      <c r="E141" t="s">
        <v>117</v>
      </c>
      <c r="F141">
        <v>368</v>
      </c>
      <c r="G141" t="s">
        <v>176</v>
      </c>
      <c r="H141" t="s">
        <v>177</v>
      </c>
      <c r="I141" t="s">
        <v>178</v>
      </c>
      <c r="J141" t="s">
        <v>179</v>
      </c>
      <c r="L141" t="s">
        <v>199</v>
      </c>
      <c r="M141" s="8">
        <v>45078</v>
      </c>
      <c r="N141">
        <v>7170363</v>
      </c>
      <c r="O141" t="s">
        <v>123</v>
      </c>
      <c r="P141" t="s">
        <v>124</v>
      </c>
      <c r="Q141">
        <v>42.12</v>
      </c>
      <c r="R141" t="s">
        <v>125</v>
      </c>
      <c r="S141" t="s">
        <v>126</v>
      </c>
      <c r="T141" t="s">
        <v>125</v>
      </c>
      <c r="U141" t="s">
        <v>126</v>
      </c>
      <c r="W141">
        <v>42.12</v>
      </c>
      <c r="Y141">
        <v>42.12</v>
      </c>
      <c r="AC141">
        <v>42.12</v>
      </c>
      <c r="BH141" t="s">
        <v>126</v>
      </c>
      <c r="BI141" t="s">
        <v>126</v>
      </c>
      <c r="BJ141" t="s">
        <v>126</v>
      </c>
      <c r="BK141" t="s">
        <v>126</v>
      </c>
      <c r="BS141" t="s">
        <v>126</v>
      </c>
      <c r="BT141" t="s">
        <v>126</v>
      </c>
      <c r="BU141" t="s">
        <v>126</v>
      </c>
      <c r="BV141" t="s">
        <v>126</v>
      </c>
      <c r="CN141" t="s">
        <v>181</v>
      </c>
      <c r="CP141" t="s">
        <v>189</v>
      </c>
      <c r="CQ141" t="s">
        <v>181</v>
      </c>
    </row>
    <row r="142" spans="1:95" x14ac:dyDescent="0.2">
      <c r="A142" t="s">
        <v>115</v>
      </c>
      <c r="B142" t="s">
        <v>116</v>
      </c>
      <c r="C142">
        <v>210784</v>
      </c>
      <c r="E142" t="s">
        <v>117</v>
      </c>
      <c r="F142">
        <v>368</v>
      </c>
      <c r="G142" t="s">
        <v>176</v>
      </c>
      <c r="H142" t="s">
        <v>177</v>
      </c>
      <c r="I142" t="s">
        <v>178</v>
      </c>
      <c r="J142" t="s">
        <v>179</v>
      </c>
      <c r="L142" t="s">
        <v>199</v>
      </c>
      <c r="M142" s="8">
        <v>45078</v>
      </c>
      <c r="N142">
        <v>7170367</v>
      </c>
      <c r="O142" t="s">
        <v>123</v>
      </c>
      <c r="P142" t="s">
        <v>124</v>
      </c>
      <c r="Q142">
        <v>25.3</v>
      </c>
      <c r="R142" t="s">
        <v>125</v>
      </c>
      <c r="S142" t="s">
        <v>126</v>
      </c>
      <c r="T142" t="s">
        <v>125</v>
      </c>
      <c r="U142" t="s">
        <v>126</v>
      </c>
      <c r="W142">
        <v>25.3</v>
      </c>
      <c r="Y142">
        <v>25.3</v>
      </c>
      <c r="AC142">
        <v>25.3</v>
      </c>
      <c r="BH142" t="s">
        <v>126</v>
      </c>
      <c r="BI142" t="s">
        <v>126</v>
      </c>
      <c r="BJ142" t="s">
        <v>126</v>
      </c>
      <c r="BK142" t="s">
        <v>126</v>
      </c>
      <c r="BS142" t="s">
        <v>126</v>
      </c>
      <c r="BT142" t="s">
        <v>126</v>
      </c>
      <c r="BU142" t="s">
        <v>126</v>
      </c>
      <c r="BV142" t="s">
        <v>126</v>
      </c>
      <c r="CN142" t="s">
        <v>181</v>
      </c>
      <c r="CP142" t="s">
        <v>189</v>
      </c>
      <c r="CQ142" t="s">
        <v>181</v>
      </c>
    </row>
    <row r="143" spans="1:95" x14ac:dyDescent="0.2">
      <c r="A143" t="s">
        <v>115</v>
      </c>
      <c r="B143" t="s">
        <v>116</v>
      </c>
      <c r="C143">
        <v>210784</v>
      </c>
      <c r="E143" t="s">
        <v>117</v>
      </c>
      <c r="F143">
        <v>368</v>
      </c>
      <c r="G143" t="s">
        <v>176</v>
      </c>
      <c r="H143" t="s">
        <v>177</v>
      </c>
      <c r="I143" t="s">
        <v>178</v>
      </c>
      <c r="J143" t="s">
        <v>179</v>
      </c>
      <c r="L143" t="s">
        <v>200</v>
      </c>
      <c r="M143" s="8">
        <v>45078</v>
      </c>
      <c r="N143">
        <v>7170593</v>
      </c>
      <c r="O143" t="s">
        <v>123</v>
      </c>
      <c r="P143" t="s">
        <v>124</v>
      </c>
      <c r="Q143">
        <v>20.57</v>
      </c>
      <c r="R143" t="s">
        <v>125</v>
      </c>
      <c r="S143" t="s">
        <v>126</v>
      </c>
      <c r="T143" t="s">
        <v>125</v>
      </c>
      <c r="U143" t="s">
        <v>126</v>
      </c>
      <c r="W143">
        <v>20.57</v>
      </c>
      <c r="Y143">
        <v>20.57</v>
      </c>
      <c r="AC143">
        <v>20.57</v>
      </c>
      <c r="BH143" t="s">
        <v>126</v>
      </c>
      <c r="BI143" t="s">
        <v>126</v>
      </c>
      <c r="BJ143" t="s">
        <v>126</v>
      </c>
      <c r="BK143" t="s">
        <v>126</v>
      </c>
      <c r="BS143" t="s">
        <v>126</v>
      </c>
      <c r="BT143" t="s">
        <v>126</v>
      </c>
      <c r="BU143" t="s">
        <v>126</v>
      </c>
      <c r="BV143" t="s">
        <v>126</v>
      </c>
      <c r="CN143" t="s">
        <v>181</v>
      </c>
      <c r="CP143" t="s">
        <v>189</v>
      </c>
      <c r="CQ143" t="s">
        <v>181</v>
      </c>
    </row>
    <row r="144" spans="1:95" x14ac:dyDescent="0.2">
      <c r="A144" t="s">
        <v>115</v>
      </c>
      <c r="B144" t="s">
        <v>116</v>
      </c>
      <c r="C144">
        <v>210784</v>
      </c>
      <c r="E144" t="s">
        <v>117</v>
      </c>
      <c r="F144">
        <v>368</v>
      </c>
      <c r="G144" t="s">
        <v>176</v>
      </c>
      <c r="H144" t="s">
        <v>177</v>
      </c>
      <c r="I144" t="s">
        <v>178</v>
      </c>
      <c r="J144" t="s">
        <v>179</v>
      </c>
      <c r="L144" t="s">
        <v>200</v>
      </c>
      <c r="M144" s="8">
        <v>45078</v>
      </c>
      <c r="N144">
        <v>7170594</v>
      </c>
      <c r="O144" t="s">
        <v>123</v>
      </c>
      <c r="P144" t="s">
        <v>124</v>
      </c>
      <c r="Q144">
        <v>19.239999999999998</v>
      </c>
      <c r="R144" t="s">
        <v>125</v>
      </c>
      <c r="S144" t="s">
        <v>126</v>
      </c>
      <c r="T144" t="s">
        <v>125</v>
      </c>
      <c r="U144" t="s">
        <v>126</v>
      </c>
      <c r="W144">
        <v>19.239999999999998</v>
      </c>
      <c r="Y144">
        <v>19.239999999999998</v>
      </c>
      <c r="AC144">
        <v>19.239999999999998</v>
      </c>
      <c r="BH144" t="s">
        <v>126</v>
      </c>
      <c r="BI144" t="s">
        <v>126</v>
      </c>
      <c r="BJ144" t="s">
        <v>126</v>
      </c>
      <c r="BK144" t="s">
        <v>126</v>
      </c>
      <c r="BS144" t="s">
        <v>126</v>
      </c>
      <c r="BT144" t="s">
        <v>126</v>
      </c>
      <c r="BU144" t="s">
        <v>126</v>
      </c>
      <c r="BV144" t="s">
        <v>126</v>
      </c>
      <c r="CN144" t="s">
        <v>181</v>
      </c>
      <c r="CP144" t="s">
        <v>189</v>
      </c>
      <c r="CQ144" t="s">
        <v>181</v>
      </c>
    </row>
    <row r="145" spans="1:95" x14ac:dyDescent="0.2">
      <c r="A145" t="s">
        <v>115</v>
      </c>
      <c r="B145" t="s">
        <v>116</v>
      </c>
      <c r="C145">
        <v>210784</v>
      </c>
      <c r="E145" t="s">
        <v>117</v>
      </c>
      <c r="F145">
        <v>368</v>
      </c>
      <c r="G145" t="s">
        <v>176</v>
      </c>
      <c r="H145" t="s">
        <v>177</v>
      </c>
      <c r="I145" t="s">
        <v>178</v>
      </c>
      <c r="J145" t="s">
        <v>179</v>
      </c>
      <c r="L145" t="s">
        <v>200</v>
      </c>
      <c r="M145" s="8">
        <v>45078</v>
      </c>
      <c r="N145">
        <v>717.59500000000003</v>
      </c>
      <c r="O145" t="s">
        <v>123</v>
      </c>
      <c r="P145" t="s">
        <v>124</v>
      </c>
      <c r="Q145">
        <v>23.77</v>
      </c>
      <c r="R145" t="s">
        <v>125</v>
      </c>
      <c r="S145" t="s">
        <v>126</v>
      </c>
      <c r="T145" t="s">
        <v>125</v>
      </c>
      <c r="U145" t="s">
        <v>126</v>
      </c>
      <c r="W145">
        <v>23.77</v>
      </c>
      <c r="Y145">
        <v>23.77</v>
      </c>
      <c r="AC145">
        <v>23.77</v>
      </c>
      <c r="BH145" t="s">
        <v>126</v>
      </c>
      <c r="BI145" t="s">
        <v>126</v>
      </c>
      <c r="BJ145" t="s">
        <v>126</v>
      </c>
      <c r="BK145" t="s">
        <v>126</v>
      </c>
      <c r="BS145" t="s">
        <v>126</v>
      </c>
      <c r="BT145" t="s">
        <v>126</v>
      </c>
      <c r="BU145" t="s">
        <v>126</v>
      </c>
      <c r="BV145" t="s">
        <v>126</v>
      </c>
      <c r="CN145" t="s">
        <v>181</v>
      </c>
      <c r="CP145" t="s">
        <v>189</v>
      </c>
      <c r="CQ145" t="s">
        <v>181</v>
      </c>
    </row>
    <row r="146" spans="1:95" x14ac:dyDescent="0.2">
      <c r="A146" t="s">
        <v>115</v>
      </c>
      <c r="B146" t="s">
        <v>116</v>
      </c>
      <c r="C146">
        <v>210784</v>
      </c>
      <c r="E146" t="s">
        <v>117</v>
      </c>
      <c r="F146">
        <v>368</v>
      </c>
      <c r="G146" t="s">
        <v>176</v>
      </c>
      <c r="H146" t="s">
        <v>177</v>
      </c>
      <c r="I146" t="s">
        <v>178</v>
      </c>
      <c r="J146" t="s">
        <v>179</v>
      </c>
      <c r="L146" t="s">
        <v>200</v>
      </c>
      <c r="M146" s="8">
        <v>45078</v>
      </c>
      <c r="N146">
        <v>7170599</v>
      </c>
      <c r="O146" t="s">
        <v>123</v>
      </c>
      <c r="P146" t="s">
        <v>124</v>
      </c>
      <c r="Q146">
        <v>20.83</v>
      </c>
      <c r="R146" t="s">
        <v>125</v>
      </c>
      <c r="S146" t="s">
        <v>126</v>
      </c>
      <c r="T146" t="s">
        <v>125</v>
      </c>
      <c r="U146" t="s">
        <v>126</v>
      </c>
      <c r="W146">
        <v>20.83</v>
      </c>
      <c r="Y146">
        <v>20.83</v>
      </c>
      <c r="AC146">
        <v>20.83</v>
      </c>
      <c r="BH146" t="s">
        <v>126</v>
      </c>
      <c r="BI146" t="s">
        <v>126</v>
      </c>
      <c r="BJ146" t="s">
        <v>126</v>
      </c>
      <c r="BK146" t="s">
        <v>126</v>
      </c>
      <c r="BS146" t="s">
        <v>126</v>
      </c>
      <c r="BT146" t="s">
        <v>126</v>
      </c>
      <c r="BU146" t="s">
        <v>126</v>
      </c>
      <c r="BV146" t="s">
        <v>126</v>
      </c>
      <c r="CN146" t="s">
        <v>181</v>
      </c>
      <c r="CP146" t="s">
        <v>189</v>
      </c>
      <c r="CQ146" t="s">
        <v>181</v>
      </c>
    </row>
    <row r="147" spans="1:95" x14ac:dyDescent="0.2">
      <c r="A147" t="s">
        <v>115</v>
      </c>
      <c r="B147" t="s">
        <v>116</v>
      </c>
      <c r="C147">
        <v>210784</v>
      </c>
      <c r="E147" t="s">
        <v>117</v>
      </c>
      <c r="F147">
        <v>368</v>
      </c>
      <c r="G147" t="s">
        <v>176</v>
      </c>
      <c r="H147" t="s">
        <v>177</v>
      </c>
      <c r="I147" t="s">
        <v>178</v>
      </c>
      <c r="J147" t="s">
        <v>179</v>
      </c>
      <c r="L147" t="s">
        <v>200</v>
      </c>
      <c r="M147" s="8">
        <v>45078</v>
      </c>
      <c r="N147">
        <v>7170603</v>
      </c>
      <c r="O147" t="s">
        <v>123</v>
      </c>
      <c r="P147" t="s">
        <v>124</v>
      </c>
      <c r="Q147">
        <v>22.08</v>
      </c>
      <c r="R147" t="s">
        <v>125</v>
      </c>
      <c r="S147" t="s">
        <v>126</v>
      </c>
      <c r="T147" t="s">
        <v>125</v>
      </c>
      <c r="U147" t="s">
        <v>126</v>
      </c>
      <c r="W147">
        <v>22.08</v>
      </c>
      <c r="Y147">
        <v>22.08</v>
      </c>
      <c r="AC147">
        <v>22.08</v>
      </c>
      <c r="BH147" t="s">
        <v>126</v>
      </c>
      <c r="BI147" t="s">
        <v>126</v>
      </c>
      <c r="BJ147" t="s">
        <v>126</v>
      </c>
      <c r="BK147" t="s">
        <v>126</v>
      </c>
      <c r="BS147" t="s">
        <v>126</v>
      </c>
      <c r="BT147" t="s">
        <v>126</v>
      </c>
      <c r="BU147" t="s">
        <v>126</v>
      </c>
      <c r="BV147" t="s">
        <v>126</v>
      </c>
      <c r="CN147" t="s">
        <v>181</v>
      </c>
      <c r="CP147" t="s">
        <v>189</v>
      </c>
      <c r="CQ147" t="s">
        <v>181</v>
      </c>
    </row>
    <row r="148" spans="1:95" x14ac:dyDescent="0.2">
      <c r="A148" t="s">
        <v>115</v>
      </c>
      <c r="B148" t="s">
        <v>116</v>
      </c>
      <c r="C148">
        <v>210784</v>
      </c>
      <c r="E148" t="s">
        <v>117</v>
      </c>
      <c r="F148">
        <v>368</v>
      </c>
      <c r="G148" t="s">
        <v>176</v>
      </c>
      <c r="H148" t="s">
        <v>177</v>
      </c>
      <c r="I148" t="s">
        <v>178</v>
      </c>
      <c r="J148" t="s">
        <v>179</v>
      </c>
      <c r="L148" t="s">
        <v>200</v>
      </c>
      <c r="M148" s="8">
        <v>45078</v>
      </c>
      <c r="N148">
        <v>7170604</v>
      </c>
      <c r="O148" t="s">
        <v>123</v>
      </c>
      <c r="P148" t="s">
        <v>124</v>
      </c>
      <c r="Q148">
        <v>19.309999999999999</v>
      </c>
      <c r="R148" t="s">
        <v>125</v>
      </c>
      <c r="S148" t="s">
        <v>126</v>
      </c>
      <c r="T148" t="s">
        <v>125</v>
      </c>
      <c r="U148" t="s">
        <v>126</v>
      </c>
      <c r="W148">
        <v>19.309999999999999</v>
      </c>
      <c r="Y148">
        <v>19.309999999999999</v>
      </c>
      <c r="AC148">
        <v>19.309999999999999</v>
      </c>
      <c r="BH148" t="s">
        <v>126</v>
      </c>
      <c r="BI148" t="s">
        <v>126</v>
      </c>
      <c r="BJ148" t="s">
        <v>126</v>
      </c>
      <c r="BK148" t="s">
        <v>126</v>
      </c>
      <c r="BS148" t="s">
        <v>126</v>
      </c>
      <c r="BT148" t="s">
        <v>126</v>
      </c>
      <c r="BU148" t="s">
        <v>126</v>
      </c>
      <c r="BV148" t="s">
        <v>126</v>
      </c>
      <c r="CN148" t="s">
        <v>181</v>
      </c>
      <c r="CP148" t="s">
        <v>189</v>
      </c>
      <c r="CQ148" t="s">
        <v>181</v>
      </c>
    </row>
    <row r="149" spans="1:95" x14ac:dyDescent="0.2">
      <c r="A149" t="s">
        <v>115</v>
      </c>
      <c r="B149" t="s">
        <v>116</v>
      </c>
      <c r="C149">
        <v>210784</v>
      </c>
      <c r="E149" t="s">
        <v>117</v>
      </c>
      <c r="F149">
        <v>368</v>
      </c>
      <c r="G149" t="s">
        <v>176</v>
      </c>
      <c r="H149" t="s">
        <v>177</v>
      </c>
      <c r="I149" t="s">
        <v>178</v>
      </c>
      <c r="J149" t="s">
        <v>179</v>
      </c>
      <c r="L149" t="s">
        <v>200</v>
      </c>
      <c r="M149" s="8">
        <v>45078</v>
      </c>
      <c r="N149">
        <v>7170606</v>
      </c>
      <c r="O149" t="s">
        <v>123</v>
      </c>
      <c r="P149" t="s">
        <v>124</v>
      </c>
      <c r="Q149">
        <v>20.440000000000001</v>
      </c>
      <c r="R149" t="s">
        <v>125</v>
      </c>
      <c r="S149" t="s">
        <v>126</v>
      </c>
      <c r="T149" t="s">
        <v>125</v>
      </c>
      <c r="U149" t="s">
        <v>126</v>
      </c>
      <c r="W149">
        <v>20.440000000000001</v>
      </c>
      <c r="Y149">
        <v>20.440000000000001</v>
      </c>
      <c r="AC149">
        <v>20.440000000000001</v>
      </c>
      <c r="BH149" t="s">
        <v>126</v>
      </c>
      <c r="BI149" t="s">
        <v>126</v>
      </c>
      <c r="BJ149" t="s">
        <v>126</v>
      </c>
      <c r="BK149" t="s">
        <v>126</v>
      </c>
      <c r="BS149" t="s">
        <v>126</v>
      </c>
      <c r="BT149" t="s">
        <v>126</v>
      </c>
      <c r="BU149" t="s">
        <v>126</v>
      </c>
      <c r="BV149" t="s">
        <v>126</v>
      </c>
      <c r="CN149" t="s">
        <v>181</v>
      </c>
      <c r="CP149" t="s">
        <v>189</v>
      </c>
      <c r="CQ149" t="s">
        <v>181</v>
      </c>
    </row>
    <row r="150" spans="1:95" x14ac:dyDescent="0.2">
      <c r="A150" t="s">
        <v>115</v>
      </c>
      <c r="B150" t="s">
        <v>116</v>
      </c>
      <c r="C150">
        <v>210784</v>
      </c>
      <c r="E150" t="s">
        <v>117</v>
      </c>
      <c r="F150">
        <v>368</v>
      </c>
      <c r="G150" t="s">
        <v>176</v>
      </c>
      <c r="H150" t="s">
        <v>177</v>
      </c>
      <c r="I150" t="s">
        <v>178</v>
      </c>
      <c r="J150" t="s">
        <v>179</v>
      </c>
      <c r="L150" t="s">
        <v>200</v>
      </c>
      <c r="M150" s="8">
        <v>45078</v>
      </c>
      <c r="N150">
        <v>7170607</v>
      </c>
      <c r="O150" t="s">
        <v>123</v>
      </c>
      <c r="P150" t="s">
        <v>124</v>
      </c>
      <c r="Q150">
        <v>20.53</v>
      </c>
      <c r="R150" t="s">
        <v>125</v>
      </c>
      <c r="S150" t="s">
        <v>126</v>
      </c>
      <c r="T150" t="s">
        <v>125</v>
      </c>
      <c r="U150" t="s">
        <v>126</v>
      </c>
      <c r="W150">
        <v>20.53</v>
      </c>
      <c r="Y150">
        <v>20.53</v>
      </c>
      <c r="AC150">
        <v>20.53</v>
      </c>
      <c r="BH150" t="s">
        <v>126</v>
      </c>
      <c r="BI150" t="s">
        <v>126</v>
      </c>
      <c r="BJ150" t="s">
        <v>126</v>
      </c>
      <c r="BK150" t="s">
        <v>126</v>
      </c>
      <c r="BS150" t="s">
        <v>126</v>
      </c>
      <c r="BT150" t="s">
        <v>126</v>
      </c>
      <c r="BU150" t="s">
        <v>126</v>
      </c>
      <c r="BV150" t="s">
        <v>126</v>
      </c>
      <c r="CN150" t="s">
        <v>181</v>
      </c>
      <c r="CP150" t="s">
        <v>189</v>
      </c>
      <c r="CQ150" t="s">
        <v>181</v>
      </c>
    </row>
    <row r="151" spans="1:95" x14ac:dyDescent="0.2">
      <c r="A151" t="s">
        <v>115</v>
      </c>
      <c r="B151" t="s">
        <v>116</v>
      </c>
      <c r="C151">
        <v>210784</v>
      </c>
      <c r="E151" t="s">
        <v>117</v>
      </c>
      <c r="F151">
        <v>368</v>
      </c>
      <c r="G151" t="s">
        <v>176</v>
      </c>
      <c r="H151" t="s">
        <v>177</v>
      </c>
      <c r="I151" t="s">
        <v>178</v>
      </c>
      <c r="J151" t="s">
        <v>179</v>
      </c>
      <c r="L151" t="s">
        <v>200</v>
      </c>
      <c r="M151" s="8">
        <v>45078</v>
      </c>
      <c r="N151">
        <v>7170608</v>
      </c>
      <c r="O151" t="s">
        <v>123</v>
      </c>
      <c r="P151" t="s">
        <v>124</v>
      </c>
      <c r="Q151">
        <v>20.43</v>
      </c>
      <c r="R151" t="s">
        <v>125</v>
      </c>
      <c r="S151" t="s">
        <v>126</v>
      </c>
      <c r="T151" t="s">
        <v>125</v>
      </c>
      <c r="U151" t="s">
        <v>126</v>
      </c>
      <c r="W151">
        <v>20.43</v>
      </c>
      <c r="Y151">
        <v>20.43</v>
      </c>
      <c r="AC151">
        <v>20.43</v>
      </c>
      <c r="BH151" t="s">
        <v>126</v>
      </c>
      <c r="BI151" t="s">
        <v>126</v>
      </c>
      <c r="BJ151" t="s">
        <v>126</v>
      </c>
      <c r="BK151" t="s">
        <v>126</v>
      </c>
      <c r="BS151" t="s">
        <v>126</v>
      </c>
      <c r="BT151" t="s">
        <v>126</v>
      </c>
      <c r="BU151" t="s">
        <v>126</v>
      </c>
      <c r="BV151" t="s">
        <v>126</v>
      </c>
      <c r="CN151" t="s">
        <v>181</v>
      </c>
      <c r="CP151" t="s">
        <v>189</v>
      </c>
      <c r="CQ151" t="s">
        <v>181</v>
      </c>
    </row>
    <row r="152" spans="1:95" x14ac:dyDescent="0.2">
      <c r="A152" t="s">
        <v>115</v>
      </c>
      <c r="B152" t="s">
        <v>116</v>
      </c>
      <c r="C152">
        <v>210784</v>
      </c>
      <c r="E152" t="s">
        <v>117</v>
      </c>
      <c r="F152">
        <v>368</v>
      </c>
      <c r="G152" t="s">
        <v>176</v>
      </c>
      <c r="H152" t="s">
        <v>177</v>
      </c>
      <c r="I152" t="s">
        <v>178</v>
      </c>
      <c r="J152" t="s">
        <v>179</v>
      </c>
      <c r="L152" t="s">
        <v>200</v>
      </c>
      <c r="M152" s="8">
        <v>45078</v>
      </c>
      <c r="N152">
        <v>7170610</v>
      </c>
      <c r="O152" t="s">
        <v>123</v>
      </c>
      <c r="P152" t="s">
        <v>124</v>
      </c>
      <c r="Q152">
        <v>18</v>
      </c>
      <c r="R152" t="s">
        <v>125</v>
      </c>
      <c r="S152" t="s">
        <v>126</v>
      </c>
      <c r="T152" t="s">
        <v>125</v>
      </c>
      <c r="U152" t="s">
        <v>126</v>
      </c>
      <c r="W152">
        <v>18</v>
      </c>
      <c r="Y152">
        <v>18</v>
      </c>
      <c r="AC152">
        <v>18</v>
      </c>
      <c r="BH152" t="s">
        <v>126</v>
      </c>
      <c r="BI152" t="s">
        <v>126</v>
      </c>
      <c r="BJ152" t="s">
        <v>126</v>
      </c>
      <c r="BK152" t="s">
        <v>126</v>
      </c>
      <c r="BS152" t="s">
        <v>126</v>
      </c>
      <c r="BT152" t="s">
        <v>126</v>
      </c>
      <c r="BU152" t="s">
        <v>126</v>
      </c>
      <c r="BV152" t="s">
        <v>126</v>
      </c>
      <c r="CN152" t="s">
        <v>181</v>
      </c>
      <c r="CP152" t="s">
        <v>189</v>
      </c>
      <c r="CQ152" t="s">
        <v>181</v>
      </c>
    </row>
    <row r="153" spans="1:95" x14ac:dyDescent="0.2">
      <c r="A153" t="s">
        <v>115</v>
      </c>
      <c r="B153" t="s">
        <v>116</v>
      </c>
      <c r="C153">
        <v>210784</v>
      </c>
      <c r="E153" t="s">
        <v>117</v>
      </c>
      <c r="F153">
        <v>368</v>
      </c>
      <c r="G153" t="s">
        <v>176</v>
      </c>
      <c r="H153" t="s">
        <v>177</v>
      </c>
      <c r="I153" t="s">
        <v>178</v>
      </c>
      <c r="J153" t="s">
        <v>179</v>
      </c>
      <c r="L153" t="s">
        <v>201</v>
      </c>
      <c r="M153" s="8">
        <v>45078</v>
      </c>
      <c r="N153">
        <v>7170828</v>
      </c>
      <c r="O153" t="s">
        <v>123</v>
      </c>
      <c r="P153" t="s">
        <v>124</v>
      </c>
      <c r="Q153">
        <v>21.14</v>
      </c>
      <c r="R153" t="s">
        <v>125</v>
      </c>
      <c r="S153" t="s">
        <v>126</v>
      </c>
      <c r="T153" t="s">
        <v>125</v>
      </c>
      <c r="U153" t="s">
        <v>126</v>
      </c>
      <c r="W153">
        <v>21.14</v>
      </c>
      <c r="Y153">
        <v>21.14</v>
      </c>
      <c r="AC153">
        <v>21.14</v>
      </c>
      <c r="BH153" t="s">
        <v>126</v>
      </c>
      <c r="BI153" t="s">
        <v>126</v>
      </c>
      <c r="BJ153" t="s">
        <v>126</v>
      </c>
      <c r="BK153" t="s">
        <v>126</v>
      </c>
      <c r="BS153" t="s">
        <v>126</v>
      </c>
      <c r="BT153" t="s">
        <v>126</v>
      </c>
      <c r="BU153" t="s">
        <v>126</v>
      </c>
      <c r="BV153" t="s">
        <v>126</v>
      </c>
      <c r="CN153" t="s">
        <v>181</v>
      </c>
      <c r="CP153" t="s">
        <v>189</v>
      </c>
      <c r="CQ153" t="s">
        <v>181</v>
      </c>
    </row>
    <row r="154" spans="1:95" x14ac:dyDescent="0.2">
      <c r="A154" t="s">
        <v>115</v>
      </c>
      <c r="B154" t="s">
        <v>116</v>
      </c>
      <c r="C154">
        <v>210784</v>
      </c>
      <c r="E154" t="s">
        <v>117</v>
      </c>
      <c r="F154">
        <v>368</v>
      </c>
      <c r="G154" t="s">
        <v>176</v>
      </c>
      <c r="H154" t="s">
        <v>177</v>
      </c>
      <c r="I154" t="s">
        <v>178</v>
      </c>
      <c r="J154" t="s">
        <v>179</v>
      </c>
      <c r="L154" t="s">
        <v>201</v>
      </c>
      <c r="M154" s="8">
        <v>45078</v>
      </c>
      <c r="N154">
        <v>7170835</v>
      </c>
      <c r="O154" t="s">
        <v>123</v>
      </c>
      <c r="P154" t="s">
        <v>124</v>
      </c>
      <c r="Q154">
        <v>18.440000000000001</v>
      </c>
      <c r="R154" t="s">
        <v>125</v>
      </c>
      <c r="S154" t="s">
        <v>126</v>
      </c>
      <c r="T154" t="s">
        <v>125</v>
      </c>
      <c r="U154" t="s">
        <v>126</v>
      </c>
      <c r="W154">
        <v>18.440000000000001</v>
      </c>
      <c r="Y154">
        <v>18.440000000000001</v>
      </c>
      <c r="AC154">
        <v>18.440000000000001</v>
      </c>
      <c r="BH154" t="s">
        <v>126</v>
      </c>
      <c r="BI154" t="s">
        <v>126</v>
      </c>
      <c r="BJ154" t="s">
        <v>126</v>
      </c>
      <c r="BK154" t="s">
        <v>126</v>
      </c>
      <c r="BS154" t="s">
        <v>126</v>
      </c>
      <c r="BT154" t="s">
        <v>126</v>
      </c>
      <c r="BU154" t="s">
        <v>126</v>
      </c>
      <c r="BV154" t="s">
        <v>126</v>
      </c>
      <c r="CN154" t="s">
        <v>181</v>
      </c>
      <c r="CP154" t="s">
        <v>189</v>
      </c>
      <c r="CQ154" t="s">
        <v>181</v>
      </c>
    </row>
    <row r="155" spans="1:95" x14ac:dyDescent="0.2">
      <c r="A155" t="s">
        <v>115</v>
      </c>
      <c r="B155" t="s">
        <v>116</v>
      </c>
      <c r="C155">
        <v>210784</v>
      </c>
      <c r="E155" t="s">
        <v>117</v>
      </c>
      <c r="F155">
        <v>368</v>
      </c>
      <c r="G155" t="s">
        <v>176</v>
      </c>
      <c r="H155" t="s">
        <v>177</v>
      </c>
      <c r="I155" t="s">
        <v>178</v>
      </c>
      <c r="J155" t="s">
        <v>179</v>
      </c>
      <c r="L155" t="s">
        <v>201</v>
      </c>
      <c r="M155" s="8">
        <v>45078</v>
      </c>
      <c r="N155">
        <v>7170840</v>
      </c>
      <c r="O155" t="s">
        <v>123</v>
      </c>
      <c r="P155" t="s">
        <v>124</v>
      </c>
      <c r="Q155">
        <v>16.21</v>
      </c>
      <c r="R155" t="s">
        <v>125</v>
      </c>
      <c r="S155" t="s">
        <v>126</v>
      </c>
      <c r="T155" t="s">
        <v>125</v>
      </c>
      <c r="U155" t="s">
        <v>126</v>
      </c>
      <c r="W155">
        <v>16.21</v>
      </c>
      <c r="Y155">
        <v>16.21</v>
      </c>
      <c r="AC155">
        <v>16.21</v>
      </c>
      <c r="BH155" t="s">
        <v>126</v>
      </c>
      <c r="BI155" t="s">
        <v>126</v>
      </c>
      <c r="BJ155" t="s">
        <v>126</v>
      </c>
      <c r="BK155" t="s">
        <v>126</v>
      </c>
      <c r="BS155" t="s">
        <v>126</v>
      </c>
      <c r="BT155" t="s">
        <v>126</v>
      </c>
      <c r="BU155" t="s">
        <v>126</v>
      </c>
      <c r="BV155" t="s">
        <v>126</v>
      </c>
      <c r="CN155" t="s">
        <v>181</v>
      </c>
      <c r="CP155" t="s">
        <v>189</v>
      </c>
      <c r="CQ155" t="s">
        <v>181</v>
      </c>
    </row>
    <row r="156" spans="1:95" x14ac:dyDescent="0.2">
      <c r="A156" t="s">
        <v>115</v>
      </c>
      <c r="B156" t="s">
        <v>116</v>
      </c>
      <c r="C156">
        <v>210784</v>
      </c>
      <c r="E156" t="s">
        <v>117</v>
      </c>
      <c r="F156">
        <v>368</v>
      </c>
      <c r="G156" t="s">
        <v>176</v>
      </c>
      <c r="H156" t="s">
        <v>177</v>
      </c>
      <c r="I156" t="s">
        <v>178</v>
      </c>
      <c r="J156" t="s">
        <v>179</v>
      </c>
      <c r="L156" t="s">
        <v>201</v>
      </c>
      <c r="M156" s="8">
        <v>45078</v>
      </c>
      <c r="N156">
        <v>7170843</v>
      </c>
      <c r="O156" t="s">
        <v>123</v>
      </c>
      <c r="P156" t="s">
        <v>124</v>
      </c>
      <c r="Q156">
        <v>19.170000000000002</v>
      </c>
      <c r="R156" t="s">
        <v>125</v>
      </c>
      <c r="S156" t="s">
        <v>126</v>
      </c>
      <c r="T156" t="s">
        <v>125</v>
      </c>
      <c r="U156" t="s">
        <v>126</v>
      </c>
      <c r="W156">
        <v>19.170000000000002</v>
      </c>
      <c r="Y156">
        <v>19.170000000000002</v>
      </c>
      <c r="AC156">
        <v>19.170000000000002</v>
      </c>
      <c r="BH156" t="s">
        <v>126</v>
      </c>
      <c r="BI156" t="s">
        <v>126</v>
      </c>
      <c r="BJ156" t="s">
        <v>126</v>
      </c>
      <c r="BK156" t="s">
        <v>126</v>
      </c>
      <c r="BS156" t="s">
        <v>126</v>
      </c>
      <c r="BT156" t="s">
        <v>126</v>
      </c>
      <c r="BU156" t="s">
        <v>126</v>
      </c>
      <c r="BV156" t="s">
        <v>126</v>
      </c>
      <c r="CN156" t="s">
        <v>181</v>
      </c>
      <c r="CP156" t="s">
        <v>189</v>
      </c>
      <c r="CQ156" t="s">
        <v>181</v>
      </c>
    </row>
    <row r="157" spans="1:95" x14ac:dyDescent="0.2">
      <c r="A157" t="s">
        <v>115</v>
      </c>
      <c r="B157" t="s">
        <v>116</v>
      </c>
      <c r="C157">
        <v>210784</v>
      </c>
      <c r="E157" t="s">
        <v>117</v>
      </c>
      <c r="F157">
        <v>368</v>
      </c>
      <c r="G157" t="s">
        <v>176</v>
      </c>
      <c r="H157" t="s">
        <v>177</v>
      </c>
      <c r="I157" t="s">
        <v>178</v>
      </c>
      <c r="J157" t="s">
        <v>179</v>
      </c>
      <c r="L157" t="s">
        <v>201</v>
      </c>
      <c r="M157" s="8">
        <v>45078</v>
      </c>
      <c r="N157">
        <v>7170846</v>
      </c>
      <c r="O157" t="s">
        <v>123</v>
      </c>
      <c r="P157" t="s">
        <v>124</v>
      </c>
      <c r="Q157">
        <v>17.45</v>
      </c>
      <c r="R157" t="s">
        <v>125</v>
      </c>
      <c r="S157" t="s">
        <v>126</v>
      </c>
      <c r="T157" t="s">
        <v>125</v>
      </c>
      <c r="U157" t="s">
        <v>126</v>
      </c>
      <c r="W157">
        <v>17.45</v>
      </c>
      <c r="Y157">
        <v>17.45</v>
      </c>
      <c r="AC157">
        <v>17.45</v>
      </c>
      <c r="BH157" t="s">
        <v>126</v>
      </c>
      <c r="BI157" t="s">
        <v>126</v>
      </c>
      <c r="BJ157" t="s">
        <v>126</v>
      </c>
      <c r="BK157" t="s">
        <v>126</v>
      </c>
      <c r="BS157" t="s">
        <v>126</v>
      </c>
      <c r="BT157" t="s">
        <v>126</v>
      </c>
      <c r="BU157" t="s">
        <v>126</v>
      </c>
      <c r="BV157" t="s">
        <v>126</v>
      </c>
      <c r="CN157" t="s">
        <v>181</v>
      </c>
      <c r="CP157" t="s">
        <v>189</v>
      </c>
      <c r="CQ157" t="s">
        <v>181</v>
      </c>
    </row>
    <row r="158" spans="1:95" x14ac:dyDescent="0.2">
      <c r="A158" t="s">
        <v>115</v>
      </c>
      <c r="B158" t="s">
        <v>116</v>
      </c>
      <c r="C158">
        <v>210784</v>
      </c>
      <c r="E158" t="s">
        <v>117</v>
      </c>
      <c r="F158">
        <v>368</v>
      </c>
      <c r="G158" t="s">
        <v>176</v>
      </c>
      <c r="H158" t="s">
        <v>177</v>
      </c>
      <c r="I158" t="s">
        <v>178</v>
      </c>
      <c r="J158" t="s">
        <v>179</v>
      </c>
      <c r="L158" t="s">
        <v>201</v>
      </c>
      <c r="M158" s="8">
        <v>45078</v>
      </c>
      <c r="N158">
        <v>7170853</v>
      </c>
      <c r="O158" t="s">
        <v>123</v>
      </c>
      <c r="P158" t="s">
        <v>124</v>
      </c>
      <c r="Q158">
        <v>21.92</v>
      </c>
      <c r="R158" t="s">
        <v>125</v>
      </c>
      <c r="S158" t="s">
        <v>126</v>
      </c>
      <c r="T158" t="s">
        <v>125</v>
      </c>
      <c r="U158" t="s">
        <v>126</v>
      </c>
      <c r="W158">
        <v>21.92</v>
      </c>
      <c r="Y158">
        <v>21.92</v>
      </c>
      <c r="AC158">
        <v>21.92</v>
      </c>
      <c r="BH158" t="s">
        <v>126</v>
      </c>
      <c r="BI158" t="s">
        <v>126</v>
      </c>
      <c r="BJ158" t="s">
        <v>126</v>
      </c>
      <c r="BK158" t="s">
        <v>126</v>
      </c>
      <c r="BS158" t="s">
        <v>126</v>
      </c>
      <c r="BT158" t="s">
        <v>126</v>
      </c>
      <c r="BU158" t="s">
        <v>126</v>
      </c>
      <c r="BV158" t="s">
        <v>126</v>
      </c>
      <c r="CN158" t="s">
        <v>181</v>
      </c>
      <c r="CP158" t="s">
        <v>189</v>
      </c>
      <c r="CQ158" t="s">
        <v>181</v>
      </c>
    </row>
    <row r="159" spans="1:95" x14ac:dyDescent="0.2">
      <c r="A159" t="s">
        <v>115</v>
      </c>
      <c r="B159" t="s">
        <v>116</v>
      </c>
      <c r="C159">
        <v>210784</v>
      </c>
      <c r="E159" t="s">
        <v>117</v>
      </c>
      <c r="F159">
        <v>368</v>
      </c>
      <c r="G159" t="s">
        <v>176</v>
      </c>
      <c r="H159" t="s">
        <v>177</v>
      </c>
      <c r="I159" t="s">
        <v>178</v>
      </c>
      <c r="J159" t="s">
        <v>179</v>
      </c>
      <c r="L159" t="s">
        <v>201</v>
      </c>
      <c r="M159" s="8">
        <v>45078</v>
      </c>
      <c r="N159">
        <v>7170854</v>
      </c>
      <c r="O159" t="s">
        <v>123</v>
      </c>
      <c r="P159" t="s">
        <v>124</v>
      </c>
      <c r="Q159">
        <v>18.100000000000001</v>
      </c>
      <c r="R159" t="s">
        <v>125</v>
      </c>
      <c r="S159" t="s">
        <v>126</v>
      </c>
      <c r="T159" t="s">
        <v>125</v>
      </c>
      <c r="U159" t="s">
        <v>126</v>
      </c>
      <c r="W159">
        <v>18.100000000000001</v>
      </c>
      <c r="Y159">
        <v>18.100000000000001</v>
      </c>
      <c r="AC159">
        <v>18.100000000000001</v>
      </c>
      <c r="BH159" t="s">
        <v>126</v>
      </c>
      <c r="BI159" t="s">
        <v>126</v>
      </c>
      <c r="BJ159" t="s">
        <v>126</v>
      </c>
      <c r="BK159" t="s">
        <v>126</v>
      </c>
      <c r="BS159" t="s">
        <v>126</v>
      </c>
      <c r="BT159" t="s">
        <v>126</v>
      </c>
      <c r="BU159" t="s">
        <v>126</v>
      </c>
      <c r="BV159" t="s">
        <v>126</v>
      </c>
      <c r="CN159" t="s">
        <v>181</v>
      </c>
      <c r="CP159" t="s">
        <v>189</v>
      </c>
      <c r="CQ159" t="s">
        <v>181</v>
      </c>
    </row>
    <row r="160" spans="1:95" x14ac:dyDescent="0.2">
      <c r="A160" t="s">
        <v>115</v>
      </c>
      <c r="B160" t="s">
        <v>116</v>
      </c>
      <c r="C160">
        <v>210784</v>
      </c>
      <c r="E160" t="s">
        <v>117</v>
      </c>
      <c r="F160">
        <v>368</v>
      </c>
      <c r="G160" t="s">
        <v>176</v>
      </c>
      <c r="H160" t="s">
        <v>177</v>
      </c>
      <c r="I160" t="s">
        <v>178</v>
      </c>
      <c r="J160" t="s">
        <v>179</v>
      </c>
      <c r="L160" t="s">
        <v>201</v>
      </c>
      <c r="M160" s="8">
        <v>45078</v>
      </c>
      <c r="N160">
        <v>7170858</v>
      </c>
      <c r="O160" t="s">
        <v>123</v>
      </c>
      <c r="P160" t="s">
        <v>124</v>
      </c>
      <c r="Q160">
        <v>38.619999999999997</v>
      </c>
      <c r="R160" t="s">
        <v>125</v>
      </c>
      <c r="S160" t="s">
        <v>126</v>
      </c>
      <c r="T160" t="s">
        <v>125</v>
      </c>
      <c r="U160" t="s">
        <v>126</v>
      </c>
      <c r="W160">
        <v>38.619999999999997</v>
      </c>
      <c r="Y160">
        <v>38.619999999999997</v>
      </c>
      <c r="AC160">
        <v>38.619999999999997</v>
      </c>
      <c r="BH160" t="s">
        <v>126</v>
      </c>
      <c r="BI160" t="s">
        <v>126</v>
      </c>
      <c r="BJ160" t="s">
        <v>126</v>
      </c>
      <c r="BK160" t="s">
        <v>126</v>
      </c>
      <c r="BS160" t="s">
        <v>126</v>
      </c>
      <c r="BT160" t="s">
        <v>126</v>
      </c>
      <c r="BU160" t="s">
        <v>126</v>
      </c>
      <c r="BV160" t="s">
        <v>126</v>
      </c>
      <c r="CN160" t="s">
        <v>181</v>
      </c>
      <c r="CP160" t="s">
        <v>189</v>
      </c>
      <c r="CQ160" t="s">
        <v>181</v>
      </c>
    </row>
    <row r="161" spans="1:95" x14ac:dyDescent="0.2">
      <c r="A161" t="s">
        <v>115</v>
      </c>
      <c r="B161" t="s">
        <v>116</v>
      </c>
      <c r="C161">
        <v>210784</v>
      </c>
      <c r="E161" t="s">
        <v>117</v>
      </c>
      <c r="F161">
        <v>368</v>
      </c>
      <c r="G161" t="s">
        <v>176</v>
      </c>
      <c r="H161" t="s">
        <v>177</v>
      </c>
      <c r="I161" t="s">
        <v>178</v>
      </c>
      <c r="J161" t="s">
        <v>179</v>
      </c>
      <c r="L161" t="s">
        <v>201</v>
      </c>
      <c r="M161" s="8">
        <v>45078</v>
      </c>
      <c r="N161">
        <v>7170859</v>
      </c>
      <c r="O161" t="s">
        <v>123</v>
      </c>
      <c r="P161" t="s">
        <v>124</v>
      </c>
      <c r="Q161">
        <v>21.49</v>
      </c>
      <c r="R161" t="s">
        <v>125</v>
      </c>
      <c r="S161" t="s">
        <v>126</v>
      </c>
      <c r="T161" t="s">
        <v>125</v>
      </c>
      <c r="U161" t="s">
        <v>126</v>
      </c>
      <c r="W161">
        <v>21.49</v>
      </c>
      <c r="Y161">
        <v>21.49</v>
      </c>
      <c r="AC161">
        <v>21.49</v>
      </c>
      <c r="BH161" t="s">
        <v>126</v>
      </c>
      <c r="BI161" t="s">
        <v>126</v>
      </c>
      <c r="BJ161" t="s">
        <v>126</v>
      </c>
      <c r="BK161" t="s">
        <v>126</v>
      </c>
      <c r="BS161" t="s">
        <v>126</v>
      </c>
      <c r="BT161" t="s">
        <v>126</v>
      </c>
      <c r="BU161" t="s">
        <v>126</v>
      </c>
      <c r="BV161" t="s">
        <v>126</v>
      </c>
      <c r="CN161" t="s">
        <v>181</v>
      </c>
      <c r="CP161" t="s">
        <v>189</v>
      </c>
      <c r="CQ161" t="s">
        <v>181</v>
      </c>
    </row>
    <row r="162" spans="1:95" x14ac:dyDescent="0.2">
      <c r="A162" t="s">
        <v>115</v>
      </c>
      <c r="B162" t="s">
        <v>116</v>
      </c>
      <c r="C162">
        <v>210784</v>
      </c>
      <c r="E162" t="s">
        <v>117</v>
      </c>
      <c r="F162">
        <v>368</v>
      </c>
      <c r="G162" t="s">
        <v>176</v>
      </c>
      <c r="H162" t="s">
        <v>177</v>
      </c>
      <c r="I162" t="s">
        <v>178</v>
      </c>
      <c r="J162" t="s">
        <v>179</v>
      </c>
      <c r="L162" t="s">
        <v>201</v>
      </c>
      <c r="M162" s="8">
        <v>45078</v>
      </c>
      <c r="N162">
        <v>7170863</v>
      </c>
      <c r="O162" t="s">
        <v>123</v>
      </c>
      <c r="P162" t="s">
        <v>124</v>
      </c>
      <c r="Q162">
        <v>20.73</v>
      </c>
      <c r="R162" t="s">
        <v>125</v>
      </c>
      <c r="S162" t="s">
        <v>126</v>
      </c>
      <c r="T162" t="s">
        <v>125</v>
      </c>
      <c r="U162" t="s">
        <v>126</v>
      </c>
      <c r="W162">
        <v>20.73</v>
      </c>
      <c r="Y162">
        <v>20.73</v>
      </c>
      <c r="AC162">
        <v>20.73</v>
      </c>
      <c r="BH162" t="s">
        <v>126</v>
      </c>
      <c r="BI162" t="s">
        <v>126</v>
      </c>
      <c r="BJ162" t="s">
        <v>126</v>
      </c>
      <c r="BK162" t="s">
        <v>126</v>
      </c>
      <c r="BS162" t="s">
        <v>126</v>
      </c>
      <c r="BT162" t="s">
        <v>126</v>
      </c>
      <c r="BU162" t="s">
        <v>126</v>
      </c>
      <c r="BV162" t="s">
        <v>126</v>
      </c>
      <c r="CN162" t="s">
        <v>181</v>
      </c>
      <c r="CP162" t="s">
        <v>189</v>
      </c>
      <c r="CQ162" t="s">
        <v>181</v>
      </c>
    </row>
    <row r="163" spans="1:95" x14ac:dyDescent="0.2">
      <c r="A163" t="s">
        <v>115</v>
      </c>
      <c r="B163" t="s">
        <v>116</v>
      </c>
      <c r="C163">
        <v>210784</v>
      </c>
      <c r="E163" t="s">
        <v>117</v>
      </c>
      <c r="F163">
        <v>368</v>
      </c>
      <c r="G163" t="s">
        <v>176</v>
      </c>
      <c r="H163" t="s">
        <v>177</v>
      </c>
      <c r="I163" t="s">
        <v>178</v>
      </c>
      <c r="J163" t="s">
        <v>179</v>
      </c>
      <c r="L163" t="s">
        <v>201</v>
      </c>
      <c r="M163" s="8">
        <v>45078</v>
      </c>
      <c r="N163">
        <v>7170864</v>
      </c>
      <c r="O163" t="s">
        <v>123</v>
      </c>
      <c r="P163" t="s">
        <v>124</v>
      </c>
      <c r="Q163">
        <v>19.93</v>
      </c>
      <c r="R163" t="s">
        <v>125</v>
      </c>
      <c r="S163" t="s">
        <v>126</v>
      </c>
      <c r="T163" t="s">
        <v>125</v>
      </c>
      <c r="U163" t="s">
        <v>126</v>
      </c>
      <c r="W163">
        <v>19.93</v>
      </c>
      <c r="Y163">
        <v>19.93</v>
      </c>
      <c r="AC163">
        <v>19.93</v>
      </c>
      <c r="BH163" t="s">
        <v>126</v>
      </c>
      <c r="BI163" t="s">
        <v>126</v>
      </c>
      <c r="BJ163" t="s">
        <v>126</v>
      </c>
      <c r="BK163" t="s">
        <v>126</v>
      </c>
      <c r="BS163" t="s">
        <v>126</v>
      </c>
      <c r="BT163" t="s">
        <v>126</v>
      </c>
      <c r="BU163" t="s">
        <v>126</v>
      </c>
      <c r="BV163" t="s">
        <v>126</v>
      </c>
      <c r="CN163" t="s">
        <v>181</v>
      </c>
      <c r="CP163" t="s">
        <v>189</v>
      </c>
      <c r="CQ163" t="s">
        <v>181</v>
      </c>
    </row>
    <row r="164" spans="1:95" x14ac:dyDescent="0.2">
      <c r="A164" t="s">
        <v>115</v>
      </c>
      <c r="B164" t="s">
        <v>116</v>
      </c>
      <c r="C164">
        <v>210784</v>
      </c>
      <c r="E164" t="s">
        <v>117</v>
      </c>
      <c r="F164">
        <v>368</v>
      </c>
      <c r="G164" t="s">
        <v>176</v>
      </c>
      <c r="H164" t="s">
        <v>177</v>
      </c>
      <c r="I164" t="s">
        <v>178</v>
      </c>
      <c r="J164" t="s">
        <v>179</v>
      </c>
      <c r="L164" t="s">
        <v>201</v>
      </c>
      <c r="M164" s="8">
        <v>45078</v>
      </c>
      <c r="N164">
        <v>7170866</v>
      </c>
      <c r="O164" t="s">
        <v>123</v>
      </c>
      <c r="P164" t="s">
        <v>124</v>
      </c>
      <c r="Q164">
        <v>20.420000000000002</v>
      </c>
      <c r="R164" t="s">
        <v>125</v>
      </c>
      <c r="S164" t="s">
        <v>126</v>
      </c>
      <c r="T164" t="s">
        <v>125</v>
      </c>
      <c r="U164" t="s">
        <v>126</v>
      </c>
      <c r="W164">
        <v>20.420000000000002</v>
      </c>
      <c r="Y164">
        <v>20.420000000000002</v>
      </c>
      <c r="AC164">
        <v>20.420000000000002</v>
      </c>
      <c r="BH164" t="s">
        <v>126</v>
      </c>
      <c r="BI164" t="s">
        <v>126</v>
      </c>
      <c r="BJ164" t="s">
        <v>126</v>
      </c>
      <c r="BK164" t="s">
        <v>126</v>
      </c>
      <c r="BS164" t="s">
        <v>126</v>
      </c>
      <c r="BT164" t="s">
        <v>126</v>
      </c>
      <c r="BU164" t="s">
        <v>126</v>
      </c>
      <c r="BV164" t="s">
        <v>126</v>
      </c>
      <c r="CN164" t="s">
        <v>181</v>
      </c>
      <c r="CP164" t="s">
        <v>189</v>
      </c>
      <c r="CQ164" t="s">
        <v>181</v>
      </c>
    </row>
    <row r="165" spans="1:95" x14ac:dyDescent="0.2">
      <c r="A165" t="s">
        <v>115</v>
      </c>
      <c r="B165" t="s">
        <v>116</v>
      </c>
      <c r="C165">
        <v>210784</v>
      </c>
      <c r="E165" t="s">
        <v>117</v>
      </c>
      <c r="F165">
        <v>368</v>
      </c>
      <c r="G165" t="s">
        <v>176</v>
      </c>
      <c r="H165" t="s">
        <v>177</v>
      </c>
      <c r="I165" t="s">
        <v>178</v>
      </c>
      <c r="J165" t="s">
        <v>179</v>
      </c>
      <c r="L165" t="s">
        <v>201</v>
      </c>
      <c r="M165" s="8">
        <v>45078</v>
      </c>
      <c r="N165">
        <v>7170872</v>
      </c>
      <c r="O165" t="s">
        <v>123</v>
      </c>
      <c r="P165" t="s">
        <v>124</v>
      </c>
      <c r="Q165">
        <v>20.36</v>
      </c>
      <c r="R165" t="s">
        <v>125</v>
      </c>
      <c r="S165" t="s">
        <v>126</v>
      </c>
      <c r="T165" t="s">
        <v>125</v>
      </c>
      <c r="U165" t="s">
        <v>126</v>
      </c>
      <c r="W165">
        <v>20.36</v>
      </c>
      <c r="Y165">
        <v>20.36</v>
      </c>
      <c r="AC165">
        <v>20.36</v>
      </c>
      <c r="BH165" t="s">
        <v>126</v>
      </c>
      <c r="BI165" t="s">
        <v>126</v>
      </c>
      <c r="BJ165" t="s">
        <v>126</v>
      </c>
      <c r="BK165" t="s">
        <v>126</v>
      </c>
      <c r="BS165" t="s">
        <v>126</v>
      </c>
      <c r="BT165" t="s">
        <v>126</v>
      </c>
      <c r="BU165" t="s">
        <v>126</v>
      </c>
      <c r="BV165" t="s">
        <v>126</v>
      </c>
      <c r="CN165" t="s">
        <v>181</v>
      </c>
      <c r="CP165" t="s">
        <v>189</v>
      </c>
      <c r="CQ165" t="s">
        <v>181</v>
      </c>
    </row>
    <row r="166" spans="1:95" x14ac:dyDescent="0.2">
      <c r="A166" t="s">
        <v>115</v>
      </c>
      <c r="B166" t="s">
        <v>116</v>
      </c>
      <c r="C166">
        <v>210784</v>
      </c>
      <c r="E166" t="s">
        <v>117</v>
      </c>
      <c r="F166">
        <v>368</v>
      </c>
      <c r="G166" t="s">
        <v>176</v>
      </c>
      <c r="H166" t="s">
        <v>177</v>
      </c>
      <c r="I166" t="s">
        <v>178</v>
      </c>
      <c r="J166" t="s">
        <v>179</v>
      </c>
      <c r="L166" t="s">
        <v>201</v>
      </c>
      <c r="M166" s="8">
        <v>45078</v>
      </c>
      <c r="N166">
        <v>7170884</v>
      </c>
      <c r="O166" t="s">
        <v>123</v>
      </c>
      <c r="P166" t="s">
        <v>124</v>
      </c>
      <c r="Q166">
        <v>18.91</v>
      </c>
      <c r="R166" t="s">
        <v>125</v>
      </c>
      <c r="S166" t="s">
        <v>126</v>
      </c>
      <c r="T166" t="s">
        <v>125</v>
      </c>
      <c r="U166" t="s">
        <v>126</v>
      </c>
      <c r="W166">
        <v>18.91</v>
      </c>
      <c r="Y166">
        <v>18.91</v>
      </c>
      <c r="AC166">
        <v>18.91</v>
      </c>
      <c r="BH166" t="s">
        <v>126</v>
      </c>
      <c r="BI166" t="s">
        <v>126</v>
      </c>
      <c r="BJ166" t="s">
        <v>126</v>
      </c>
      <c r="BK166" t="s">
        <v>126</v>
      </c>
      <c r="BS166" t="s">
        <v>126</v>
      </c>
      <c r="BT166" t="s">
        <v>126</v>
      </c>
      <c r="BU166" t="s">
        <v>126</v>
      </c>
      <c r="BV166" t="s">
        <v>126</v>
      </c>
      <c r="CN166" t="s">
        <v>181</v>
      </c>
      <c r="CP166" t="s">
        <v>189</v>
      </c>
      <c r="CQ166" t="s">
        <v>181</v>
      </c>
    </row>
    <row r="167" spans="1:95" x14ac:dyDescent="0.2">
      <c r="A167" t="s">
        <v>115</v>
      </c>
      <c r="B167" t="s">
        <v>116</v>
      </c>
      <c r="C167">
        <v>210784</v>
      </c>
      <c r="E167" t="s">
        <v>117</v>
      </c>
      <c r="F167">
        <v>368</v>
      </c>
      <c r="G167" t="s">
        <v>176</v>
      </c>
      <c r="H167" t="s">
        <v>177</v>
      </c>
      <c r="I167" t="s">
        <v>178</v>
      </c>
      <c r="J167" t="s">
        <v>179</v>
      </c>
      <c r="L167" t="s">
        <v>201</v>
      </c>
      <c r="M167" s="8">
        <v>45078</v>
      </c>
      <c r="N167">
        <v>7170885</v>
      </c>
      <c r="O167" t="s">
        <v>123</v>
      </c>
      <c r="P167" t="s">
        <v>124</v>
      </c>
      <c r="Q167">
        <v>19.239999999999998</v>
      </c>
      <c r="R167" t="s">
        <v>125</v>
      </c>
      <c r="S167" t="s">
        <v>126</v>
      </c>
      <c r="T167" t="s">
        <v>125</v>
      </c>
      <c r="U167" t="s">
        <v>126</v>
      </c>
      <c r="W167">
        <v>19.239999999999998</v>
      </c>
      <c r="Y167">
        <v>19.239999999999998</v>
      </c>
      <c r="AC167">
        <v>19.239999999999998</v>
      </c>
      <c r="BH167" t="s">
        <v>126</v>
      </c>
      <c r="BI167" t="s">
        <v>126</v>
      </c>
      <c r="BJ167" t="s">
        <v>126</v>
      </c>
      <c r="BK167" t="s">
        <v>126</v>
      </c>
      <c r="BS167" t="s">
        <v>126</v>
      </c>
      <c r="BT167" t="s">
        <v>126</v>
      </c>
      <c r="BU167" t="s">
        <v>126</v>
      </c>
      <c r="BV167" t="s">
        <v>126</v>
      </c>
      <c r="CN167" t="s">
        <v>181</v>
      </c>
      <c r="CP167" t="s">
        <v>189</v>
      </c>
      <c r="CQ167" t="s">
        <v>181</v>
      </c>
    </row>
    <row r="168" spans="1:95" x14ac:dyDescent="0.2">
      <c r="A168" t="s">
        <v>115</v>
      </c>
      <c r="B168" t="s">
        <v>116</v>
      </c>
      <c r="C168">
        <v>210784</v>
      </c>
      <c r="E168" t="s">
        <v>117</v>
      </c>
      <c r="F168">
        <v>368</v>
      </c>
      <c r="G168" t="s">
        <v>176</v>
      </c>
      <c r="H168" t="s">
        <v>177</v>
      </c>
      <c r="I168" t="s">
        <v>178</v>
      </c>
      <c r="J168" t="s">
        <v>179</v>
      </c>
      <c r="L168" t="s">
        <v>201</v>
      </c>
      <c r="M168" s="8">
        <v>45078</v>
      </c>
      <c r="N168">
        <v>7170890</v>
      </c>
      <c r="O168" t="s">
        <v>123</v>
      </c>
      <c r="P168" t="s">
        <v>124</v>
      </c>
      <c r="Q168">
        <v>18.75</v>
      </c>
      <c r="R168" t="s">
        <v>125</v>
      </c>
      <c r="S168" t="s">
        <v>126</v>
      </c>
      <c r="T168" t="s">
        <v>125</v>
      </c>
      <c r="U168" t="s">
        <v>126</v>
      </c>
      <c r="W168">
        <v>18.75</v>
      </c>
      <c r="Y168">
        <v>18.75</v>
      </c>
      <c r="AC168">
        <v>18.75</v>
      </c>
      <c r="BH168" t="s">
        <v>126</v>
      </c>
      <c r="BI168" t="s">
        <v>126</v>
      </c>
      <c r="BJ168" t="s">
        <v>126</v>
      </c>
      <c r="BK168" t="s">
        <v>126</v>
      </c>
      <c r="BS168" t="s">
        <v>126</v>
      </c>
      <c r="BT168" t="s">
        <v>126</v>
      </c>
      <c r="BU168" t="s">
        <v>126</v>
      </c>
      <c r="BV168" t="s">
        <v>126</v>
      </c>
      <c r="CN168" t="s">
        <v>181</v>
      </c>
      <c r="CP168" t="s">
        <v>189</v>
      </c>
      <c r="CQ168" t="s">
        <v>181</v>
      </c>
    </row>
    <row r="169" spans="1:95" x14ac:dyDescent="0.2">
      <c r="A169" t="s">
        <v>115</v>
      </c>
      <c r="B169" t="s">
        <v>116</v>
      </c>
      <c r="C169">
        <v>210784</v>
      </c>
      <c r="E169" t="s">
        <v>117</v>
      </c>
      <c r="F169">
        <v>368</v>
      </c>
      <c r="G169" t="s">
        <v>176</v>
      </c>
      <c r="H169" t="s">
        <v>177</v>
      </c>
      <c r="I169" t="s">
        <v>178</v>
      </c>
      <c r="J169" t="s">
        <v>179</v>
      </c>
      <c r="L169" t="s">
        <v>202</v>
      </c>
      <c r="M169" s="8">
        <v>45078</v>
      </c>
      <c r="N169">
        <v>7171018</v>
      </c>
      <c r="O169" t="s">
        <v>123</v>
      </c>
      <c r="P169" t="s">
        <v>124</v>
      </c>
      <c r="Q169">
        <v>20.78</v>
      </c>
      <c r="R169" t="s">
        <v>125</v>
      </c>
      <c r="S169" t="s">
        <v>126</v>
      </c>
      <c r="T169" t="s">
        <v>125</v>
      </c>
      <c r="U169" t="s">
        <v>126</v>
      </c>
      <c r="W169">
        <v>20.78</v>
      </c>
      <c r="Y169">
        <v>20.78</v>
      </c>
      <c r="AC169">
        <v>20.78</v>
      </c>
      <c r="BH169" t="s">
        <v>126</v>
      </c>
      <c r="BI169" t="s">
        <v>126</v>
      </c>
      <c r="BJ169" t="s">
        <v>126</v>
      </c>
      <c r="BK169" t="s">
        <v>126</v>
      </c>
      <c r="BS169" t="s">
        <v>126</v>
      </c>
      <c r="BT169" t="s">
        <v>126</v>
      </c>
      <c r="BU169" t="s">
        <v>126</v>
      </c>
      <c r="BV169" t="s">
        <v>126</v>
      </c>
      <c r="CN169" t="s">
        <v>181</v>
      </c>
      <c r="CP169" t="s">
        <v>189</v>
      </c>
      <c r="CQ169" t="s">
        <v>181</v>
      </c>
    </row>
    <row r="170" spans="1:95" x14ac:dyDescent="0.2">
      <c r="A170" t="s">
        <v>115</v>
      </c>
      <c r="B170" t="s">
        <v>116</v>
      </c>
      <c r="C170">
        <v>210784</v>
      </c>
      <c r="E170" t="s">
        <v>117</v>
      </c>
      <c r="F170">
        <v>368</v>
      </c>
      <c r="G170" t="s">
        <v>176</v>
      </c>
      <c r="H170" t="s">
        <v>177</v>
      </c>
      <c r="I170" t="s">
        <v>178</v>
      </c>
      <c r="J170" t="s">
        <v>179</v>
      </c>
      <c r="L170" t="s">
        <v>202</v>
      </c>
      <c r="M170" s="8">
        <v>45078</v>
      </c>
      <c r="N170">
        <v>7171020</v>
      </c>
      <c r="O170" t="s">
        <v>123</v>
      </c>
      <c r="P170" t="s">
        <v>124</v>
      </c>
      <c r="Q170">
        <v>19.760000000000002</v>
      </c>
      <c r="R170" t="s">
        <v>125</v>
      </c>
      <c r="S170" t="s">
        <v>126</v>
      </c>
      <c r="T170" t="s">
        <v>125</v>
      </c>
      <c r="U170" t="s">
        <v>126</v>
      </c>
      <c r="W170">
        <v>19.760000000000002</v>
      </c>
      <c r="Y170">
        <v>19.760000000000002</v>
      </c>
      <c r="AC170">
        <v>19.760000000000002</v>
      </c>
      <c r="BH170" t="s">
        <v>126</v>
      </c>
      <c r="BI170" t="s">
        <v>126</v>
      </c>
      <c r="BJ170" t="s">
        <v>126</v>
      </c>
      <c r="BK170" t="s">
        <v>126</v>
      </c>
      <c r="BS170" t="s">
        <v>126</v>
      </c>
      <c r="BT170" t="s">
        <v>126</v>
      </c>
      <c r="BU170" t="s">
        <v>126</v>
      </c>
      <c r="BV170" t="s">
        <v>126</v>
      </c>
      <c r="CN170" t="s">
        <v>181</v>
      </c>
      <c r="CP170" t="s">
        <v>189</v>
      </c>
      <c r="CQ170" t="s">
        <v>181</v>
      </c>
    </row>
    <row r="171" spans="1:95" x14ac:dyDescent="0.2">
      <c r="A171" t="s">
        <v>115</v>
      </c>
      <c r="B171" t="s">
        <v>116</v>
      </c>
      <c r="C171">
        <v>210784</v>
      </c>
      <c r="E171" t="s">
        <v>117</v>
      </c>
      <c r="F171">
        <v>368</v>
      </c>
      <c r="G171" t="s">
        <v>176</v>
      </c>
      <c r="H171" t="s">
        <v>177</v>
      </c>
      <c r="I171" t="s">
        <v>178</v>
      </c>
      <c r="J171" t="s">
        <v>179</v>
      </c>
      <c r="L171" t="s">
        <v>202</v>
      </c>
      <c r="M171" s="8">
        <v>45078</v>
      </c>
      <c r="N171">
        <v>7171021</v>
      </c>
      <c r="O171" t="s">
        <v>123</v>
      </c>
      <c r="P171" t="s">
        <v>124</v>
      </c>
      <c r="Q171">
        <v>34.020000000000003</v>
      </c>
      <c r="R171" t="s">
        <v>125</v>
      </c>
      <c r="S171" t="s">
        <v>126</v>
      </c>
      <c r="T171" t="s">
        <v>125</v>
      </c>
      <c r="U171" t="s">
        <v>126</v>
      </c>
      <c r="W171">
        <v>34.020000000000003</v>
      </c>
      <c r="Y171">
        <v>34.020000000000003</v>
      </c>
      <c r="AC171">
        <v>34.020000000000003</v>
      </c>
      <c r="BH171" t="s">
        <v>126</v>
      </c>
      <c r="BI171" t="s">
        <v>126</v>
      </c>
      <c r="BJ171" t="s">
        <v>126</v>
      </c>
      <c r="BK171" t="s">
        <v>126</v>
      </c>
      <c r="BS171" t="s">
        <v>126</v>
      </c>
      <c r="BT171" t="s">
        <v>126</v>
      </c>
      <c r="BU171" t="s">
        <v>126</v>
      </c>
      <c r="BV171" t="s">
        <v>126</v>
      </c>
      <c r="CN171" t="s">
        <v>181</v>
      </c>
      <c r="CP171" t="s">
        <v>189</v>
      </c>
      <c r="CQ171" t="s">
        <v>181</v>
      </c>
    </row>
    <row r="172" spans="1:95" x14ac:dyDescent="0.2">
      <c r="A172" t="s">
        <v>115</v>
      </c>
      <c r="B172" t="s">
        <v>116</v>
      </c>
      <c r="C172">
        <v>210784</v>
      </c>
      <c r="E172" t="s">
        <v>117</v>
      </c>
      <c r="F172">
        <v>368</v>
      </c>
      <c r="G172" t="s">
        <v>176</v>
      </c>
      <c r="H172" t="s">
        <v>177</v>
      </c>
      <c r="I172" t="s">
        <v>178</v>
      </c>
      <c r="J172" t="s">
        <v>179</v>
      </c>
      <c r="L172" t="s">
        <v>202</v>
      </c>
      <c r="M172" s="8">
        <v>45078</v>
      </c>
      <c r="N172">
        <v>7171030</v>
      </c>
      <c r="O172" t="s">
        <v>123</v>
      </c>
      <c r="P172" t="s">
        <v>124</v>
      </c>
      <c r="Q172">
        <v>22.9</v>
      </c>
      <c r="R172" t="s">
        <v>125</v>
      </c>
      <c r="S172" t="s">
        <v>126</v>
      </c>
      <c r="T172" t="s">
        <v>125</v>
      </c>
      <c r="U172" t="s">
        <v>126</v>
      </c>
      <c r="W172">
        <v>22.9</v>
      </c>
      <c r="Y172">
        <v>22.9</v>
      </c>
      <c r="AC172">
        <v>22.9</v>
      </c>
      <c r="BH172" t="s">
        <v>126</v>
      </c>
      <c r="BI172" t="s">
        <v>126</v>
      </c>
      <c r="BJ172" t="s">
        <v>126</v>
      </c>
      <c r="BK172" t="s">
        <v>126</v>
      </c>
      <c r="BS172" t="s">
        <v>126</v>
      </c>
      <c r="BT172" t="s">
        <v>126</v>
      </c>
      <c r="BU172" t="s">
        <v>126</v>
      </c>
      <c r="BV172" t="s">
        <v>126</v>
      </c>
      <c r="CN172" t="s">
        <v>181</v>
      </c>
      <c r="CP172" t="s">
        <v>189</v>
      </c>
      <c r="CQ172" t="s">
        <v>181</v>
      </c>
    </row>
    <row r="173" spans="1:95" x14ac:dyDescent="0.2">
      <c r="A173" t="s">
        <v>115</v>
      </c>
      <c r="B173" t="s">
        <v>116</v>
      </c>
      <c r="C173">
        <v>210784</v>
      </c>
      <c r="E173" t="s">
        <v>117</v>
      </c>
      <c r="F173">
        <v>368</v>
      </c>
      <c r="G173" t="s">
        <v>176</v>
      </c>
      <c r="H173" t="s">
        <v>177</v>
      </c>
      <c r="I173" t="s">
        <v>178</v>
      </c>
      <c r="J173" t="s">
        <v>179</v>
      </c>
      <c r="L173" t="s">
        <v>202</v>
      </c>
      <c r="M173" s="8">
        <v>45078</v>
      </c>
      <c r="N173">
        <v>7171033</v>
      </c>
      <c r="O173" t="s">
        <v>123</v>
      </c>
      <c r="P173" t="s">
        <v>124</v>
      </c>
      <c r="Q173">
        <v>21.31</v>
      </c>
      <c r="R173" t="s">
        <v>125</v>
      </c>
      <c r="S173" t="s">
        <v>126</v>
      </c>
      <c r="T173" t="s">
        <v>125</v>
      </c>
      <c r="U173" t="s">
        <v>126</v>
      </c>
      <c r="W173">
        <v>21.31</v>
      </c>
      <c r="Y173">
        <v>21.31</v>
      </c>
      <c r="AC173">
        <v>21.31</v>
      </c>
      <c r="BH173" t="s">
        <v>126</v>
      </c>
      <c r="BI173" t="s">
        <v>126</v>
      </c>
      <c r="BJ173" t="s">
        <v>126</v>
      </c>
      <c r="BK173" t="s">
        <v>126</v>
      </c>
      <c r="BS173" t="s">
        <v>126</v>
      </c>
      <c r="BT173" t="s">
        <v>126</v>
      </c>
      <c r="BU173" t="s">
        <v>126</v>
      </c>
      <c r="BV173" t="s">
        <v>126</v>
      </c>
      <c r="CN173" t="s">
        <v>181</v>
      </c>
      <c r="CP173" t="s">
        <v>189</v>
      </c>
      <c r="CQ173" t="s">
        <v>181</v>
      </c>
    </row>
    <row r="174" spans="1:95" x14ac:dyDescent="0.2">
      <c r="A174" t="s">
        <v>115</v>
      </c>
      <c r="B174" t="s">
        <v>116</v>
      </c>
      <c r="C174">
        <v>210784</v>
      </c>
      <c r="E174" t="s">
        <v>117</v>
      </c>
      <c r="F174">
        <v>368</v>
      </c>
      <c r="G174" t="s">
        <v>176</v>
      </c>
      <c r="H174" t="s">
        <v>177</v>
      </c>
      <c r="I174" t="s">
        <v>178</v>
      </c>
      <c r="J174" t="s">
        <v>179</v>
      </c>
      <c r="L174" t="s">
        <v>202</v>
      </c>
      <c r="M174" s="8">
        <v>45078</v>
      </c>
      <c r="N174">
        <v>7171036</v>
      </c>
      <c r="O174" t="s">
        <v>123</v>
      </c>
      <c r="P174" t="s">
        <v>124</v>
      </c>
      <c r="Q174">
        <v>19.66</v>
      </c>
      <c r="R174" t="s">
        <v>125</v>
      </c>
      <c r="S174" t="s">
        <v>126</v>
      </c>
      <c r="T174" t="s">
        <v>125</v>
      </c>
      <c r="U174" t="s">
        <v>126</v>
      </c>
      <c r="W174">
        <v>19.66</v>
      </c>
      <c r="Y174">
        <v>19.66</v>
      </c>
      <c r="AC174">
        <v>19.66</v>
      </c>
      <c r="BH174" t="s">
        <v>126</v>
      </c>
      <c r="BI174" t="s">
        <v>126</v>
      </c>
      <c r="BJ174" t="s">
        <v>126</v>
      </c>
      <c r="BK174" t="s">
        <v>126</v>
      </c>
      <c r="BS174" t="s">
        <v>126</v>
      </c>
      <c r="BT174" t="s">
        <v>126</v>
      </c>
      <c r="BU174" t="s">
        <v>126</v>
      </c>
      <c r="BV174" t="s">
        <v>126</v>
      </c>
      <c r="CN174" t="s">
        <v>181</v>
      </c>
      <c r="CP174" t="s">
        <v>189</v>
      </c>
      <c r="CQ174" t="s">
        <v>181</v>
      </c>
    </row>
    <row r="175" spans="1:95" x14ac:dyDescent="0.2">
      <c r="A175" t="s">
        <v>115</v>
      </c>
      <c r="B175" t="s">
        <v>116</v>
      </c>
      <c r="C175">
        <v>210784</v>
      </c>
      <c r="E175" t="s">
        <v>117</v>
      </c>
      <c r="F175">
        <v>368</v>
      </c>
      <c r="G175" t="s">
        <v>176</v>
      </c>
      <c r="H175" t="s">
        <v>177</v>
      </c>
      <c r="I175" t="s">
        <v>178</v>
      </c>
      <c r="J175" t="s">
        <v>179</v>
      </c>
      <c r="L175" t="s">
        <v>202</v>
      </c>
      <c r="M175" s="8">
        <v>45078</v>
      </c>
      <c r="N175">
        <v>7171037</v>
      </c>
      <c r="O175" t="s">
        <v>123</v>
      </c>
      <c r="P175" t="s">
        <v>124</v>
      </c>
      <c r="Q175">
        <v>20.63</v>
      </c>
      <c r="R175" t="s">
        <v>125</v>
      </c>
      <c r="S175" t="s">
        <v>126</v>
      </c>
      <c r="T175" t="s">
        <v>125</v>
      </c>
      <c r="U175" t="s">
        <v>126</v>
      </c>
      <c r="W175">
        <v>20.63</v>
      </c>
      <c r="Y175">
        <v>20.63</v>
      </c>
      <c r="AC175">
        <v>20.63</v>
      </c>
      <c r="BH175" t="s">
        <v>126</v>
      </c>
      <c r="BI175" t="s">
        <v>126</v>
      </c>
      <c r="BJ175" t="s">
        <v>126</v>
      </c>
      <c r="BK175" t="s">
        <v>126</v>
      </c>
      <c r="BS175" t="s">
        <v>126</v>
      </c>
      <c r="BT175" t="s">
        <v>126</v>
      </c>
      <c r="BU175" t="s">
        <v>126</v>
      </c>
      <c r="BV175" t="s">
        <v>126</v>
      </c>
      <c r="CN175" t="s">
        <v>181</v>
      </c>
      <c r="CP175" t="s">
        <v>189</v>
      </c>
      <c r="CQ175" t="s">
        <v>181</v>
      </c>
    </row>
    <row r="176" spans="1:95" x14ac:dyDescent="0.2">
      <c r="A176" t="s">
        <v>115</v>
      </c>
      <c r="B176" t="s">
        <v>116</v>
      </c>
      <c r="C176">
        <v>210784</v>
      </c>
      <c r="E176" t="s">
        <v>117</v>
      </c>
      <c r="F176">
        <v>368</v>
      </c>
      <c r="G176" t="s">
        <v>176</v>
      </c>
      <c r="H176" t="s">
        <v>177</v>
      </c>
      <c r="I176" t="s">
        <v>178</v>
      </c>
      <c r="J176" t="s">
        <v>179</v>
      </c>
      <c r="L176" t="s">
        <v>202</v>
      </c>
      <c r="M176" s="8">
        <v>45078</v>
      </c>
      <c r="N176">
        <v>7171038</v>
      </c>
      <c r="O176" t="s">
        <v>123</v>
      </c>
      <c r="P176" t="s">
        <v>124</v>
      </c>
      <c r="Q176">
        <v>21.49</v>
      </c>
      <c r="R176" t="s">
        <v>125</v>
      </c>
      <c r="S176" t="s">
        <v>126</v>
      </c>
      <c r="T176" t="s">
        <v>125</v>
      </c>
      <c r="U176" t="s">
        <v>126</v>
      </c>
      <c r="W176">
        <v>21.49</v>
      </c>
      <c r="Y176">
        <v>21.49</v>
      </c>
      <c r="AC176">
        <v>21.49</v>
      </c>
      <c r="BH176" t="s">
        <v>126</v>
      </c>
      <c r="BI176" t="s">
        <v>126</v>
      </c>
      <c r="BJ176" t="s">
        <v>126</v>
      </c>
      <c r="BK176" t="s">
        <v>126</v>
      </c>
      <c r="BS176" t="s">
        <v>126</v>
      </c>
      <c r="BT176" t="s">
        <v>126</v>
      </c>
      <c r="BU176" t="s">
        <v>126</v>
      </c>
      <c r="BV176" t="s">
        <v>126</v>
      </c>
      <c r="CN176" t="s">
        <v>181</v>
      </c>
      <c r="CP176" t="s">
        <v>189</v>
      </c>
      <c r="CQ176" t="s">
        <v>181</v>
      </c>
    </row>
    <row r="177" spans="1:95" x14ac:dyDescent="0.2">
      <c r="A177" t="s">
        <v>115</v>
      </c>
      <c r="B177" t="s">
        <v>116</v>
      </c>
      <c r="C177">
        <v>210784</v>
      </c>
      <c r="E177" t="s">
        <v>117</v>
      </c>
      <c r="F177">
        <v>368</v>
      </c>
      <c r="G177" t="s">
        <v>176</v>
      </c>
      <c r="H177" t="s">
        <v>177</v>
      </c>
      <c r="I177" t="s">
        <v>178</v>
      </c>
      <c r="J177" t="s">
        <v>179</v>
      </c>
      <c r="L177" t="s">
        <v>202</v>
      </c>
      <c r="M177" s="8">
        <v>45078</v>
      </c>
      <c r="N177">
        <v>7171044</v>
      </c>
      <c r="O177" t="s">
        <v>123</v>
      </c>
      <c r="P177" t="s">
        <v>124</v>
      </c>
      <c r="Q177">
        <v>23.19</v>
      </c>
      <c r="R177" t="s">
        <v>125</v>
      </c>
      <c r="S177" t="s">
        <v>126</v>
      </c>
      <c r="T177" t="s">
        <v>125</v>
      </c>
      <c r="U177" t="s">
        <v>126</v>
      </c>
      <c r="W177">
        <v>23.19</v>
      </c>
      <c r="Y177">
        <v>23.19</v>
      </c>
      <c r="AC177">
        <v>23.19</v>
      </c>
      <c r="BH177" t="s">
        <v>126</v>
      </c>
      <c r="BI177" t="s">
        <v>126</v>
      </c>
      <c r="BJ177" t="s">
        <v>126</v>
      </c>
      <c r="BK177" t="s">
        <v>126</v>
      </c>
      <c r="BS177" t="s">
        <v>126</v>
      </c>
      <c r="BT177" t="s">
        <v>126</v>
      </c>
      <c r="BU177" t="s">
        <v>126</v>
      </c>
      <c r="BV177" t="s">
        <v>126</v>
      </c>
      <c r="CN177" t="s">
        <v>181</v>
      </c>
      <c r="CP177" t="s">
        <v>189</v>
      </c>
      <c r="CQ177" t="s">
        <v>181</v>
      </c>
    </row>
    <row r="178" spans="1:95" x14ac:dyDescent="0.2">
      <c r="A178" t="s">
        <v>115</v>
      </c>
      <c r="B178" t="s">
        <v>116</v>
      </c>
      <c r="C178">
        <v>210784</v>
      </c>
      <c r="E178" t="s">
        <v>117</v>
      </c>
      <c r="F178">
        <v>368</v>
      </c>
      <c r="G178" t="s">
        <v>176</v>
      </c>
      <c r="H178" t="s">
        <v>177</v>
      </c>
      <c r="I178" t="s">
        <v>178</v>
      </c>
      <c r="J178" t="s">
        <v>179</v>
      </c>
      <c r="L178" t="s">
        <v>202</v>
      </c>
      <c r="M178" s="8">
        <v>45078</v>
      </c>
      <c r="N178">
        <v>7171048</v>
      </c>
      <c r="O178" t="s">
        <v>123</v>
      </c>
      <c r="P178" t="s">
        <v>124</v>
      </c>
      <c r="Q178">
        <v>25.81</v>
      </c>
      <c r="R178" t="s">
        <v>125</v>
      </c>
      <c r="S178" t="s">
        <v>126</v>
      </c>
      <c r="T178" t="s">
        <v>125</v>
      </c>
      <c r="U178" t="s">
        <v>126</v>
      </c>
      <c r="W178">
        <v>25.81</v>
      </c>
      <c r="Y178">
        <v>25.81</v>
      </c>
      <c r="AC178">
        <v>25.81</v>
      </c>
      <c r="BH178" t="s">
        <v>126</v>
      </c>
      <c r="BI178" t="s">
        <v>126</v>
      </c>
      <c r="BJ178" t="s">
        <v>126</v>
      </c>
      <c r="BK178" t="s">
        <v>126</v>
      </c>
      <c r="BS178" t="s">
        <v>126</v>
      </c>
      <c r="BT178" t="s">
        <v>126</v>
      </c>
      <c r="BU178" t="s">
        <v>126</v>
      </c>
      <c r="BV178" t="s">
        <v>126</v>
      </c>
      <c r="CN178" t="s">
        <v>181</v>
      </c>
      <c r="CP178" t="s">
        <v>189</v>
      </c>
      <c r="CQ178" t="s">
        <v>181</v>
      </c>
    </row>
    <row r="179" spans="1:95" x14ac:dyDescent="0.2">
      <c r="A179" t="s">
        <v>115</v>
      </c>
      <c r="B179" t="s">
        <v>116</v>
      </c>
      <c r="C179">
        <v>210784</v>
      </c>
      <c r="E179" t="s">
        <v>117</v>
      </c>
      <c r="F179">
        <v>368</v>
      </c>
      <c r="G179" t="s">
        <v>176</v>
      </c>
      <c r="H179" t="s">
        <v>177</v>
      </c>
      <c r="I179" t="s">
        <v>178</v>
      </c>
      <c r="J179" t="s">
        <v>179</v>
      </c>
      <c r="L179" t="s">
        <v>202</v>
      </c>
      <c r="M179" s="8">
        <v>45078</v>
      </c>
      <c r="N179">
        <v>7171056</v>
      </c>
      <c r="O179" t="s">
        <v>123</v>
      </c>
      <c r="P179" t="s">
        <v>124</v>
      </c>
      <c r="Q179">
        <v>17.39</v>
      </c>
      <c r="R179" t="s">
        <v>125</v>
      </c>
      <c r="S179" t="s">
        <v>126</v>
      </c>
      <c r="T179" t="s">
        <v>125</v>
      </c>
      <c r="U179" t="s">
        <v>126</v>
      </c>
      <c r="W179">
        <v>17.39</v>
      </c>
      <c r="Y179">
        <v>17.39</v>
      </c>
      <c r="AC179">
        <v>17.39</v>
      </c>
      <c r="BH179" t="s">
        <v>126</v>
      </c>
      <c r="BI179" t="s">
        <v>126</v>
      </c>
      <c r="BJ179" t="s">
        <v>126</v>
      </c>
      <c r="BK179" t="s">
        <v>126</v>
      </c>
      <c r="BS179" t="s">
        <v>126</v>
      </c>
      <c r="BT179" t="s">
        <v>126</v>
      </c>
      <c r="BU179" t="s">
        <v>126</v>
      </c>
      <c r="BV179" t="s">
        <v>126</v>
      </c>
      <c r="CN179" t="s">
        <v>181</v>
      </c>
      <c r="CP179" t="s">
        <v>189</v>
      </c>
      <c r="CQ179" t="s">
        <v>181</v>
      </c>
    </row>
    <row r="180" spans="1:95" x14ac:dyDescent="0.2">
      <c r="A180" t="s">
        <v>115</v>
      </c>
      <c r="B180" t="s">
        <v>116</v>
      </c>
      <c r="C180">
        <v>210784</v>
      </c>
      <c r="E180" t="s">
        <v>117</v>
      </c>
      <c r="F180">
        <v>368</v>
      </c>
      <c r="G180" t="s">
        <v>176</v>
      </c>
      <c r="H180" t="s">
        <v>177</v>
      </c>
      <c r="I180" t="s">
        <v>178</v>
      </c>
      <c r="J180" t="s">
        <v>179</v>
      </c>
      <c r="L180" t="s">
        <v>202</v>
      </c>
      <c r="M180" s="8">
        <v>45078</v>
      </c>
      <c r="N180">
        <v>7171057</v>
      </c>
      <c r="O180" t="s">
        <v>123</v>
      </c>
      <c r="P180" t="s">
        <v>124</v>
      </c>
      <c r="Q180">
        <v>22.15</v>
      </c>
      <c r="R180" t="s">
        <v>125</v>
      </c>
      <c r="S180" t="s">
        <v>126</v>
      </c>
      <c r="T180" t="s">
        <v>125</v>
      </c>
      <c r="U180" t="s">
        <v>126</v>
      </c>
      <c r="W180">
        <v>22.15</v>
      </c>
      <c r="Y180">
        <v>22.15</v>
      </c>
      <c r="AC180">
        <v>22.15</v>
      </c>
      <c r="BH180" t="s">
        <v>126</v>
      </c>
      <c r="BI180" t="s">
        <v>126</v>
      </c>
      <c r="BJ180" t="s">
        <v>126</v>
      </c>
      <c r="BK180" t="s">
        <v>126</v>
      </c>
      <c r="BS180" t="s">
        <v>126</v>
      </c>
      <c r="BT180" t="s">
        <v>126</v>
      </c>
      <c r="BU180" t="s">
        <v>126</v>
      </c>
      <c r="BV180" t="s">
        <v>126</v>
      </c>
      <c r="CN180" t="s">
        <v>181</v>
      </c>
      <c r="CP180" t="s">
        <v>189</v>
      </c>
      <c r="CQ180" t="s">
        <v>181</v>
      </c>
    </row>
    <row r="181" spans="1:95" x14ac:dyDescent="0.2">
      <c r="A181" t="s">
        <v>115</v>
      </c>
      <c r="B181" t="s">
        <v>116</v>
      </c>
      <c r="C181">
        <v>210784</v>
      </c>
      <c r="E181" t="s">
        <v>117</v>
      </c>
      <c r="F181">
        <v>368</v>
      </c>
      <c r="G181" t="s">
        <v>176</v>
      </c>
      <c r="H181" t="s">
        <v>177</v>
      </c>
      <c r="I181" t="s">
        <v>178</v>
      </c>
      <c r="J181" t="s">
        <v>179</v>
      </c>
      <c r="L181" t="s">
        <v>202</v>
      </c>
      <c r="M181" s="8">
        <v>45078</v>
      </c>
      <c r="N181">
        <v>7171077</v>
      </c>
      <c r="O181" t="s">
        <v>123</v>
      </c>
      <c r="P181" t="s">
        <v>124</v>
      </c>
      <c r="Q181">
        <v>21.5</v>
      </c>
      <c r="R181" t="s">
        <v>125</v>
      </c>
      <c r="S181" t="s">
        <v>126</v>
      </c>
      <c r="T181" t="s">
        <v>125</v>
      </c>
      <c r="U181" t="s">
        <v>126</v>
      </c>
      <c r="W181">
        <v>21.5</v>
      </c>
      <c r="Y181">
        <v>21.5</v>
      </c>
      <c r="AC181">
        <v>21.5</v>
      </c>
      <c r="BH181" t="s">
        <v>126</v>
      </c>
      <c r="BI181" t="s">
        <v>126</v>
      </c>
      <c r="BJ181" t="s">
        <v>126</v>
      </c>
      <c r="BK181" t="s">
        <v>126</v>
      </c>
      <c r="BS181" t="s">
        <v>126</v>
      </c>
      <c r="BT181" t="s">
        <v>126</v>
      </c>
      <c r="BU181" t="s">
        <v>126</v>
      </c>
      <c r="BV181" t="s">
        <v>126</v>
      </c>
      <c r="CN181" t="s">
        <v>181</v>
      </c>
      <c r="CP181" t="s">
        <v>189</v>
      </c>
      <c r="CQ181" t="s">
        <v>181</v>
      </c>
    </row>
    <row r="182" spans="1:95" x14ac:dyDescent="0.2">
      <c r="A182" t="s">
        <v>115</v>
      </c>
      <c r="B182" t="s">
        <v>116</v>
      </c>
      <c r="C182">
        <v>210784</v>
      </c>
      <c r="E182" t="s">
        <v>117</v>
      </c>
      <c r="F182">
        <v>368</v>
      </c>
      <c r="G182" t="s">
        <v>176</v>
      </c>
      <c r="H182" t="s">
        <v>177</v>
      </c>
      <c r="I182" t="s">
        <v>178</v>
      </c>
      <c r="J182" t="s">
        <v>179</v>
      </c>
      <c r="L182" t="s">
        <v>202</v>
      </c>
      <c r="M182" s="8">
        <v>45078</v>
      </c>
      <c r="N182">
        <v>7171103</v>
      </c>
      <c r="O182" t="s">
        <v>123</v>
      </c>
      <c r="P182" t="s">
        <v>124</v>
      </c>
      <c r="Q182">
        <v>20.89</v>
      </c>
      <c r="R182" t="s">
        <v>125</v>
      </c>
      <c r="S182" t="s">
        <v>126</v>
      </c>
      <c r="T182" t="s">
        <v>125</v>
      </c>
      <c r="U182" t="s">
        <v>126</v>
      </c>
      <c r="W182">
        <v>20.89</v>
      </c>
      <c r="Y182">
        <v>20.89</v>
      </c>
      <c r="AC182">
        <v>20.89</v>
      </c>
      <c r="BH182" t="s">
        <v>126</v>
      </c>
      <c r="BI182" t="s">
        <v>126</v>
      </c>
      <c r="BJ182" t="s">
        <v>126</v>
      </c>
      <c r="BK182" t="s">
        <v>126</v>
      </c>
      <c r="BS182" t="s">
        <v>126</v>
      </c>
      <c r="BT182" t="s">
        <v>126</v>
      </c>
      <c r="BU182" t="s">
        <v>126</v>
      </c>
      <c r="BV182" t="s">
        <v>126</v>
      </c>
      <c r="CN182" t="s">
        <v>181</v>
      </c>
      <c r="CP182" t="s">
        <v>189</v>
      </c>
      <c r="CQ182" t="s">
        <v>181</v>
      </c>
    </row>
    <row r="183" spans="1:95" x14ac:dyDescent="0.2">
      <c r="A183" t="s">
        <v>115</v>
      </c>
      <c r="B183" t="s">
        <v>116</v>
      </c>
      <c r="C183">
        <v>210784</v>
      </c>
      <c r="E183" t="s">
        <v>117</v>
      </c>
      <c r="F183">
        <v>368</v>
      </c>
      <c r="G183" t="s">
        <v>176</v>
      </c>
      <c r="H183" t="s">
        <v>177</v>
      </c>
      <c r="I183" t="s">
        <v>178</v>
      </c>
      <c r="J183" t="s">
        <v>179</v>
      </c>
      <c r="L183" t="s">
        <v>203</v>
      </c>
      <c r="M183" s="8">
        <v>45078</v>
      </c>
      <c r="N183">
        <v>7171438</v>
      </c>
      <c r="O183" t="s">
        <v>123</v>
      </c>
      <c r="P183" t="s">
        <v>124</v>
      </c>
      <c r="Q183">
        <v>19.2</v>
      </c>
      <c r="R183" t="s">
        <v>125</v>
      </c>
      <c r="S183" t="s">
        <v>126</v>
      </c>
      <c r="T183" t="s">
        <v>125</v>
      </c>
      <c r="U183" t="s">
        <v>126</v>
      </c>
      <c r="W183">
        <v>19.2</v>
      </c>
      <c r="Y183">
        <v>19.2</v>
      </c>
      <c r="AC183">
        <v>19.2</v>
      </c>
      <c r="BH183" t="s">
        <v>126</v>
      </c>
      <c r="BI183" t="s">
        <v>126</v>
      </c>
      <c r="BJ183" t="s">
        <v>126</v>
      </c>
      <c r="BK183" t="s">
        <v>126</v>
      </c>
      <c r="BS183" t="s">
        <v>126</v>
      </c>
      <c r="BT183" t="s">
        <v>126</v>
      </c>
      <c r="BU183" t="s">
        <v>126</v>
      </c>
      <c r="BV183" t="s">
        <v>126</v>
      </c>
      <c r="CN183" t="s">
        <v>181</v>
      </c>
      <c r="CP183" t="s">
        <v>189</v>
      </c>
      <c r="CQ183" t="s">
        <v>181</v>
      </c>
    </row>
    <row r="184" spans="1:95" x14ac:dyDescent="0.2">
      <c r="A184" t="s">
        <v>115</v>
      </c>
      <c r="B184" t="s">
        <v>116</v>
      </c>
      <c r="C184">
        <v>210784</v>
      </c>
      <c r="E184" t="s">
        <v>117</v>
      </c>
      <c r="F184">
        <v>368</v>
      </c>
      <c r="G184" t="s">
        <v>176</v>
      </c>
      <c r="H184" t="s">
        <v>177</v>
      </c>
      <c r="I184" t="s">
        <v>178</v>
      </c>
      <c r="J184" t="s">
        <v>179</v>
      </c>
      <c r="L184" t="s">
        <v>203</v>
      </c>
      <c r="M184" s="8">
        <v>45078</v>
      </c>
      <c r="N184">
        <v>7171493</v>
      </c>
      <c r="O184" t="s">
        <v>123</v>
      </c>
      <c r="P184" t="s">
        <v>124</v>
      </c>
      <c r="Q184">
        <v>15.41</v>
      </c>
      <c r="R184" t="s">
        <v>125</v>
      </c>
      <c r="S184" t="s">
        <v>126</v>
      </c>
      <c r="T184" t="s">
        <v>125</v>
      </c>
      <c r="U184" t="s">
        <v>126</v>
      </c>
      <c r="W184">
        <v>15.41</v>
      </c>
      <c r="Y184">
        <v>15.41</v>
      </c>
      <c r="AC184">
        <v>15.41</v>
      </c>
      <c r="BH184" t="s">
        <v>126</v>
      </c>
      <c r="BI184" t="s">
        <v>126</v>
      </c>
      <c r="BJ184" t="s">
        <v>126</v>
      </c>
      <c r="BK184" t="s">
        <v>126</v>
      </c>
      <c r="BS184" t="s">
        <v>126</v>
      </c>
      <c r="BT184" t="s">
        <v>126</v>
      </c>
      <c r="BU184" t="s">
        <v>126</v>
      </c>
      <c r="BV184" t="s">
        <v>126</v>
      </c>
      <c r="CN184" t="s">
        <v>181</v>
      </c>
      <c r="CP184" t="s">
        <v>189</v>
      </c>
      <c r="CQ184" t="s">
        <v>181</v>
      </c>
    </row>
    <row r="185" spans="1:95" x14ac:dyDescent="0.2">
      <c r="A185" t="s">
        <v>115</v>
      </c>
      <c r="B185" t="s">
        <v>116</v>
      </c>
      <c r="C185">
        <v>210784</v>
      </c>
      <c r="E185" t="s">
        <v>117</v>
      </c>
      <c r="F185">
        <v>368</v>
      </c>
      <c r="G185" t="s">
        <v>141</v>
      </c>
      <c r="H185" t="s">
        <v>142</v>
      </c>
      <c r="I185" t="s">
        <v>204</v>
      </c>
      <c r="J185" t="s">
        <v>205</v>
      </c>
      <c r="L185" t="s">
        <v>202</v>
      </c>
      <c r="M185" s="8">
        <v>45078</v>
      </c>
      <c r="N185">
        <v>89178</v>
      </c>
      <c r="O185" t="s">
        <v>123</v>
      </c>
      <c r="P185" t="s">
        <v>146</v>
      </c>
      <c r="Q185">
        <v>8.31</v>
      </c>
      <c r="R185" t="s">
        <v>125</v>
      </c>
      <c r="S185" t="s">
        <v>126</v>
      </c>
      <c r="T185" t="s">
        <v>125</v>
      </c>
      <c r="U185" t="s">
        <v>126</v>
      </c>
      <c r="W185">
        <v>8.31</v>
      </c>
      <c r="Y185">
        <v>8.31</v>
      </c>
      <c r="AC185">
        <v>8.31</v>
      </c>
      <c r="BH185" t="s">
        <v>126</v>
      </c>
      <c r="BI185" t="s">
        <v>126</v>
      </c>
      <c r="BJ185" t="s">
        <v>126</v>
      </c>
      <c r="BK185" t="s">
        <v>126</v>
      </c>
      <c r="BS185" t="s">
        <v>126</v>
      </c>
      <c r="BT185" t="s">
        <v>126</v>
      </c>
      <c r="BU185" t="s">
        <v>126</v>
      </c>
      <c r="BV185" t="s">
        <v>126</v>
      </c>
      <c r="CN185" t="s">
        <v>147</v>
      </c>
      <c r="CP185" t="s">
        <v>206</v>
      </c>
      <c r="CQ185" t="s">
        <v>147</v>
      </c>
    </row>
    <row r="186" spans="1:95" x14ac:dyDescent="0.2">
      <c r="A186" t="s">
        <v>115</v>
      </c>
      <c r="B186" t="s">
        <v>116</v>
      </c>
      <c r="C186">
        <v>210784</v>
      </c>
      <c r="E186" t="s">
        <v>117</v>
      </c>
      <c r="F186">
        <v>368</v>
      </c>
      <c r="G186" t="s">
        <v>176</v>
      </c>
      <c r="H186" t="s">
        <v>177</v>
      </c>
      <c r="I186" t="s">
        <v>492</v>
      </c>
      <c r="J186" t="s">
        <v>493</v>
      </c>
      <c r="L186" t="s">
        <v>196</v>
      </c>
      <c r="M186" s="8">
        <v>45078</v>
      </c>
      <c r="N186" t="s">
        <v>500</v>
      </c>
      <c r="O186" t="s">
        <v>123</v>
      </c>
      <c r="P186" t="s">
        <v>124</v>
      </c>
      <c r="Q186">
        <v>5.7</v>
      </c>
      <c r="R186" t="s">
        <v>125</v>
      </c>
      <c r="S186" t="s">
        <v>126</v>
      </c>
      <c r="T186" t="s">
        <v>125</v>
      </c>
      <c r="U186" t="s">
        <v>126</v>
      </c>
      <c r="W186">
        <v>5.7</v>
      </c>
      <c r="Y186">
        <v>5.7</v>
      </c>
      <c r="AF186">
        <v>5.7</v>
      </c>
      <c r="BH186" t="s">
        <v>126</v>
      </c>
      <c r="BI186" t="s">
        <v>126</v>
      </c>
      <c r="BJ186" t="s">
        <v>126</v>
      </c>
      <c r="BK186" t="s">
        <v>126</v>
      </c>
      <c r="BS186" t="s">
        <v>126</v>
      </c>
      <c r="BT186" t="s">
        <v>126</v>
      </c>
      <c r="BU186" t="s">
        <v>126</v>
      </c>
      <c r="BV186" t="s">
        <v>126</v>
      </c>
      <c r="CN186" t="s">
        <v>181</v>
      </c>
      <c r="CP186" t="s">
        <v>182</v>
      </c>
      <c r="CQ186" t="s">
        <v>181</v>
      </c>
    </row>
    <row r="187" spans="1:95" x14ac:dyDescent="0.2">
      <c r="A187" t="s">
        <v>115</v>
      </c>
      <c r="B187" t="s">
        <v>116</v>
      </c>
      <c r="C187">
        <v>210784</v>
      </c>
      <c r="E187" t="s">
        <v>117</v>
      </c>
      <c r="F187">
        <v>368</v>
      </c>
      <c r="G187" t="s">
        <v>176</v>
      </c>
      <c r="H187" t="s">
        <v>177</v>
      </c>
      <c r="I187" t="s">
        <v>492</v>
      </c>
      <c r="J187" t="s">
        <v>493</v>
      </c>
      <c r="L187" t="s">
        <v>501</v>
      </c>
      <c r="M187" s="8">
        <v>45078</v>
      </c>
      <c r="N187" t="s">
        <v>502</v>
      </c>
      <c r="O187" t="s">
        <v>123</v>
      </c>
      <c r="P187" t="s">
        <v>124</v>
      </c>
      <c r="Q187">
        <v>3.49</v>
      </c>
      <c r="R187" t="s">
        <v>125</v>
      </c>
      <c r="S187" t="s">
        <v>126</v>
      </c>
      <c r="T187" t="s">
        <v>125</v>
      </c>
      <c r="U187" t="s">
        <v>126</v>
      </c>
      <c r="W187">
        <v>3.49</v>
      </c>
      <c r="Y187">
        <v>3.49</v>
      </c>
      <c r="AF187">
        <v>3.49</v>
      </c>
      <c r="BH187" t="s">
        <v>126</v>
      </c>
      <c r="BI187" t="s">
        <v>126</v>
      </c>
      <c r="BJ187" t="s">
        <v>126</v>
      </c>
      <c r="BK187" t="s">
        <v>126</v>
      </c>
      <c r="BS187" t="s">
        <v>126</v>
      </c>
      <c r="BT187" t="s">
        <v>126</v>
      </c>
      <c r="BU187" t="s">
        <v>126</v>
      </c>
      <c r="BV187" t="s">
        <v>126</v>
      </c>
      <c r="CN187" t="s">
        <v>181</v>
      </c>
      <c r="CP187" t="s">
        <v>182</v>
      </c>
      <c r="CQ187" t="s">
        <v>181</v>
      </c>
    </row>
    <row r="188" spans="1:95" x14ac:dyDescent="0.2">
      <c r="A188" t="s">
        <v>115</v>
      </c>
      <c r="B188" t="s">
        <v>116</v>
      </c>
      <c r="C188">
        <v>210784</v>
      </c>
      <c r="E188" t="s">
        <v>117</v>
      </c>
      <c r="F188">
        <v>368</v>
      </c>
      <c r="G188" t="s">
        <v>176</v>
      </c>
      <c r="H188" t="s">
        <v>177</v>
      </c>
      <c r="I188" t="s">
        <v>492</v>
      </c>
      <c r="J188" t="s">
        <v>493</v>
      </c>
      <c r="L188" t="s">
        <v>503</v>
      </c>
      <c r="M188" s="8">
        <v>45078</v>
      </c>
      <c r="N188" t="s">
        <v>504</v>
      </c>
      <c r="O188" t="s">
        <v>123</v>
      </c>
      <c r="P188" t="s">
        <v>124</v>
      </c>
      <c r="Q188">
        <v>7.05</v>
      </c>
      <c r="R188" t="s">
        <v>125</v>
      </c>
      <c r="S188" t="s">
        <v>126</v>
      </c>
      <c r="T188" t="s">
        <v>125</v>
      </c>
      <c r="U188" t="s">
        <v>126</v>
      </c>
      <c r="W188">
        <v>7.05</v>
      </c>
      <c r="Y188">
        <v>7.05</v>
      </c>
      <c r="AF188">
        <v>7.05</v>
      </c>
      <c r="BH188" t="s">
        <v>126</v>
      </c>
      <c r="BI188" t="s">
        <v>126</v>
      </c>
      <c r="BJ188" t="s">
        <v>126</v>
      </c>
      <c r="BK188" t="s">
        <v>126</v>
      </c>
      <c r="BS188" t="s">
        <v>126</v>
      </c>
      <c r="BT188" t="s">
        <v>126</v>
      </c>
      <c r="BU188" t="s">
        <v>126</v>
      </c>
      <c r="BV188" t="s">
        <v>126</v>
      </c>
      <c r="CN188" t="s">
        <v>181</v>
      </c>
      <c r="CP188" t="s">
        <v>182</v>
      </c>
      <c r="CQ188" t="s">
        <v>181</v>
      </c>
    </row>
    <row r="189" spans="1:95" x14ac:dyDescent="0.2">
      <c r="A189" t="s">
        <v>115</v>
      </c>
      <c r="B189" t="s">
        <v>116</v>
      </c>
      <c r="C189">
        <v>210784</v>
      </c>
      <c r="E189" t="s">
        <v>117</v>
      </c>
      <c r="F189">
        <v>368</v>
      </c>
      <c r="G189" t="s">
        <v>176</v>
      </c>
      <c r="H189" t="s">
        <v>177</v>
      </c>
      <c r="I189" t="s">
        <v>492</v>
      </c>
      <c r="J189" t="s">
        <v>493</v>
      </c>
      <c r="L189" t="s">
        <v>201</v>
      </c>
      <c r="M189" s="8">
        <v>45078</v>
      </c>
      <c r="N189" t="s">
        <v>505</v>
      </c>
      <c r="O189" t="s">
        <v>123</v>
      </c>
      <c r="P189" t="s">
        <v>124</v>
      </c>
      <c r="Q189">
        <v>6.87</v>
      </c>
      <c r="R189" t="s">
        <v>125</v>
      </c>
      <c r="S189" t="s">
        <v>126</v>
      </c>
      <c r="T189" t="s">
        <v>125</v>
      </c>
      <c r="U189" t="s">
        <v>126</v>
      </c>
      <c r="W189">
        <v>6.87</v>
      </c>
      <c r="Y189">
        <v>6.87</v>
      </c>
      <c r="AF189">
        <v>6.87</v>
      </c>
      <c r="BH189" t="s">
        <v>126</v>
      </c>
      <c r="BI189" t="s">
        <v>126</v>
      </c>
      <c r="BJ189" t="s">
        <v>126</v>
      </c>
      <c r="BK189" t="s">
        <v>126</v>
      </c>
      <c r="BS189" t="s">
        <v>126</v>
      </c>
      <c r="BT189" t="s">
        <v>126</v>
      </c>
      <c r="BU189" t="s">
        <v>126</v>
      </c>
      <c r="BV189" t="s">
        <v>126</v>
      </c>
      <c r="CN189" t="s">
        <v>181</v>
      </c>
      <c r="CP189" t="s">
        <v>182</v>
      </c>
      <c r="CQ189" t="s">
        <v>181</v>
      </c>
    </row>
    <row r="190" spans="1:95" x14ac:dyDescent="0.2">
      <c r="A190" t="s">
        <v>115</v>
      </c>
      <c r="B190" t="s">
        <v>116</v>
      </c>
      <c r="C190">
        <v>210784</v>
      </c>
      <c r="E190" t="s">
        <v>117</v>
      </c>
      <c r="F190">
        <v>368</v>
      </c>
      <c r="G190" t="s">
        <v>141</v>
      </c>
      <c r="H190" t="s">
        <v>142</v>
      </c>
      <c r="I190" t="s">
        <v>279</v>
      </c>
      <c r="J190" t="s">
        <v>280</v>
      </c>
      <c r="L190" t="s">
        <v>539</v>
      </c>
      <c r="M190" s="8">
        <v>45078</v>
      </c>
      <c r="N190">
        <v>5267850</v>
      </c>
      <c r="O190" t="s">
        <v>123</v>
      </c>
      <c r="P190" t="s">
        <v>146</v>
      </c>
      <c r="Q190">
        <v>0.66</v>
      </c>
      <c r="R190" t="s">
        <v>540</v>
      </c>
      <c r="S190" t="s">
        <v>126</v>
      </c>
      <c r="T190" t="s">
        <v>540</v>
      </c>
      <c r="U190" t="s">
        <v>541</v>
      </c>
      <c r="W190">
        <v>0.2</v>
      </c>
      <c r="X190">
        <v>0.45999999999999996</v>
      </c>
      <c r="Y190">
        <v>0.66</v>
      </c>
      <c r="Z190">
        <v>0.25</v>
      </c>
      <c r="AG190">
        <v>0.2</v>
      </c>
      <c r="AI190">
        <v>0.21</v>
      </c>
      <c r="BH190" t="s">
        <v>126</v>
      </c>
      <c r="BI190" t="s">
        <v>126</v>
      </c>
      <c r="BJ190" t="s">
        <v>126</v>
      </c>
      <c r="BK190" t="s">
        <v>126</v>
      </c>
      <c r="BS190" t="s">
        <v>126</v>
      </c>
      <c r="BT190" t="s">
        <v>126</v>
      </c>
      <c r="BU190" t="s">
        <v>126</v>
      </c>
      <c r="BV190" t="s">
        <v>126</v>
      </c>
      <c r="CN190" t="s">
        <v>542</v>
      </c>
      <c r="CP190" t="s">
        <v>199</v>
      </c>
      <c r="CQ190" t="s">
        <v>542</v>
      </c>
    </row>
    <row r="191" spans="1:95" x14ac:dyDescent="0.2">
      <c r="A191" t="s">
        <v>115</v>
      </c>
      <c r="B191" t="s">
        <v>116</v>
      </c>
      <c r="C191">
        <v>210784</v>
      </c>
      <c r="E191" t="s">
        <v>117</v>
      </c>
      <c r="F191">
        <v>368</v>
      </c>
      <c r="G191" t="s">
        <v>141</v>
      </c>
      <c r="H191" t="s">
        <v>142</v>
      </c>
      <c r="I191" t="s">
        <v>279</v>
      </c>
      <c r="J191" t="s">
        <v>280</v>
      </c>
      <c r="L191" t="s">
        <v>543</v>
      </c>
      <c r="M191" s="8">
        <v>45078</v>
      </c>
      <c r="N191">
        <v>5278580</v>
      </c>
      <c r="O191" t="s">
        <v>123</v>
      </c>
      <c r="P191" t="s">
        <v>146</v>
      </c>
      <c r="Q191">
        <v>1.5299999999999998</v>
      </c>
      <c r="R191" t="s">
        <v>544</v>
      </c>
      <c r="S191" t="s">
        <v>126</v>
      </c>
      <c r="T191" t="s">
        <v>544</v>
      </c>
      <c r="U191" t="s">
        <v>545</v>
      </c>
      <c r="W191">
        <v>0.47</v>
      </c>
      <c r="X191">
        <v>1.06</v>
      </c>
      <c r="Y191">
        <v>1.5299999999999998</v>
      </c>
      <c r="Z191">
        <v>0.57999999999999996</v>
      </c>
      <c r="AG191">
        <v>0.47</v>
      </c>
      <c r="AI191">
        <v>0.48</v>
      </c>
      <c r="BH191" t="s">
        <v>126</v>
      </c>
      <c r="BI191" t="s">
        <v>126</v>
      </c>
      <c r="BJ191" t="s">
        <v>126</v>
      </c>
      <c r="BK191" t="s">
        <v>126</v>
      </c>
      <c r="BS191" t="s">
        <v>126</v>
      </c>
      <c r="BT191" t="s">
        <v>126</v>
      </c>
      <c r="BU191" t="s">
        <v>126</v>
      </c>
      <c r="BV191" t="s">
        <v>126</v>
      </c>
      <c r="CN191" t="s">
        <v>542</v>
      </c>
      <c r="CP191" t="s">
        <v>199</v>
      </c>
      <c r="CQ191" t="s">
        <v>542</v>
      </c>
    </row>
    <row r="192" spans="1:95" x14ac:dyDescent="0.2">
      <c r="A192" t="s">
        <v>115</v>
      </c>
      <c r="B192" t="s">
        <v>116</v>
      </c>
      <c r="C192">
        <v>210784</v>
      </c>
      <c r="E192" t="s">
        <v>117</v>
      </c>
      <c r="F192">
        <v>368</v>
      </c>
      <c r="G192" t="s">
        <v>141</v>
      </c>
      <c r="H192" t="s">
        <v>142</v>
      </c>
      <c r="I192" t="s">
        <v>279</v>
      </c>
      <c r="J192" t="s">
        <v>280</v>
      </c>
      <c r="L192" t="s">
        <v>200</v>
      </c>
      <c r="M192" s="8">
        <v>45078</v>
      </c>
      <c r="N192">
        <v>5279929</v>
      </c>
      <c r="O192" t="s">
        <v>123</v>
      </c>
      <c r="P192" t="s">
        <v>146</v>
      </c>
      <c r="Q192">
        <v>0.77</v>
      </c>
      <c r="R192" t="s">
        <v>554</v>
      </c>
      <c r="S192" t="s">
        <v>126</v>
      </c>
      <c r="T192" t="s">
        <v>554</v>
      </c>
      <c r="U192" t="s">
        <v>555</v>
      </c>
      <c r="W192">
        <v>0.24</v>
      </c>
      <c r="X192">
        <v>0.53</v>
      </c>
      <c r="Y192">
        <v>0.77</v>
      </c>
      <c r="Z192">
        <v>0.28999999999999998</v>
      </c>
      <c r="AG192">
        <v>0.24</v>
      </c>
      <c r="AI192">
        <v>0.24</v>
      </c>
      <c r="BH192" t="s">
        <v>126</v>
      </c>
      <c r="BI192" t="s">
        <v>126</v>
      </c>
      <c r="BJ192" t="s">
        <v>126</v>
      </c>
      <c r="BK192" t="s">
        <v>126</v>
      </c>
      <c r="BS192" t="s">
        <v>126</v>
      </c>
      <c r="BT192" t="s">
        <v>126</v>
      </c>
      <c r="BU192" t="s">
        <v>126</v>
      </c>
      <c r="BV192" t="s">
        <v>126</v>
      </c>
      <c r="CN192" t="s">
        <v>542</v>
      </c>
      <c r="CP192" t="s">
        <v>556</v>
      </c>
      <c r="CQ192" t="s">
        <v>542</v>
      </c>
    </row>
    <row r="193" spans="1:95" x14ac:dyDescent="0.2">
      <c r="A193" t="s">
        <v>115</v>
      </c>
      <c r="B193" t="s">
        <v>116</v>
      </c>
      <c r="C193">
        <v>210784</v>
      </c>
      <c r="E193" t="s">
        <v>117</v>
      </c>
      <c r="F193">
        <v>368</v>
      </c>
      <c r="G193" t="s">
        <v>141</v>
      </c>
      <c r="H193" t="s">
        <v>142</v>
      </c>
      <c r="I193" t="s">
        <v>204</v>
      </c>
      <c r="J193" t="s">
        <v>205</v>
      </c>
      <c r="L193" t="s">
        <v>207</v>
      </c>
      <c r="M193" s="8">
        <v>45108</v>
      </c>
      <c r="N193">
        <v>90256</v>
      </c>
      <c r="O193" t="s">
        <v>123</v>
      </c>
      <c r="P193" t="s">
        <v>146</v>
      </c>
      <c r="Q193">
        <v>7.11</v>
      </c>
      <c r="R193" t="s">
        <v>125</v>
      </c>
      <c r="S193" t="s">
        <v>126</v>
      </c>
      <c r="T193" t="s">
        <v>125</v>
      </c>
      <c r="U193" t="s">
        <v>126</v>
      </c>
      <c r="W193">
        <v>7.11</v>
      </c>
      <c r="Y193">
        <v>7.11</v>
      </c>
      <c r="AC193">
        <v>7.11</v>
      </c>
      <c r="BH193" t="s">
        <v>126</v>
      </c>
      <c r="BI193" t="s">
        <v>126</v>
      </c>
      <c r="BJ193" t="s">
        <v>126</v>
      </c>
      <c r="BK193" t="s">
        <v>126</v>
      </c>
      <c r="BS193" t="s">
        <v>126</v>
      </c>
      <c r="BT193" t="s">
        <v>126</v>
      </c>
      <c r="BU193" t="s">
        <v>126</v>
      </c>
      <c r="BV193" t="s">
        <v>126</v>
      </c>
      <c r="CN193" t="s">
        <v>147</v>
      </c>
      <c r="CP193" t="s">
        <v>206</v>
      </c>
      <c r="CQ193" t="s">
        <v>147</v>
      </c>
    </row>
    <row r="194" spans="1:95" x14ac:dyDescent="0.2">
      <c r="A194" t="s">
        <v>115</v>
      </c>
      <c r="B194" t="s">
        <v>116</v>
      </c>
      <c r="C194">
        <v>210784</v>
      </c>
      <c r="E194" t="s">
        <v>117</v>
      </c>
      <c r="F194">
        <v>368</v>
      </c>
      <c r="G194" t="s">
        <v>176</v>
      </c>
      <c r="H194" t="s">
        <v>177</v>
      </c>
      <c r="I194" t="s">
        <v>546</v>
      </c>
      <c r="J194" t="s">
        <v>547</v>
      </c>
      <c r="L194" t="s">
        <v>553</v>
      </c>
      <c r="M194" s="8">
        <v>45108</v>
      </c>
      <c r="N194">
        <v>42099</v>
      </c>
      <c r="O194" t="s">
        <v>123</v>
      </c>
      <c r="P194" t="s">
        <v>124</v>
      </c>
      <c r="Q194">
        <v>5.28</v>
      </c>
      <c r="R194" t="s">
        <v>550</v>
      </c>
      <c r="S194" t="s">
        <v>126</v>
      </c>
      <c r="T194" t="s">
        <v>550</v>
      </c>
      <c r="U194" t="s">
        <v>549</v>
      </c>
      <c r="W194">
        <v>1.5311999999999999</v>
      </c>
      <c r="X194">
        <v>3.7488000000000001</v>
      </c>
      <c r="Y194">
        <v>5.28</v>
      </c>
      <c r="AY194">
        <v>3.7488000000000001</v>
      </c>
      <c r="BD194">
        <v>1.5311999999999999</v>
      </c>
      <c r="BH194" t="s">
        <v>126</v>
      </c>
      <c r="BI194" t="s">
        <v>126</v>
      </c>
      <c r="BJ194" t="s">
        <v>126</v>
      </c>
      <c r="BK194" t="s">
        <v>126</v>
      </c>
      <c r="BS194" t="s">
        <v>126</v>
      </c>
      <c r="BT194" t="s">
        <v>126</v>
      </c>
      <c r="BU194" t="s">
        <v>126</v>
      </c>
      <c r="BV194" t="s">
        <v>126</v>
      </c>
      <c r="CN194" t="s">
        <v>181</v>
      </c>
      <c r="CP194" t="s">
        <v>189</v>
      </c>
      <c r="CQ194" t="s">
        <v>181</v>
      </c>
    </row>
    <row r="195" spans="1:95" x14ac:dyDescent="0.2">
      <c r="A195" t="s">
        <v>115</v>
      </c>
      <c r="B195" t="s">
        <v>116</v>
      </c>
      <c r="C195">
        <v>210784</v>
      </c>
      <c r="E195" t="s">
        <v>117</v>
      </c>
      <c r="F195">
        <v>368</v>
      </c>
      <c r="G195" t="s">
        <v>141</v>
      </c>
      <c r="H195" t="s">
        <v>142</v>
      </c>
      <c r="I195" t="s">
        <v>279</v>
      </c>
      <c r="J195" t="s">
        <v>280</v>
      </c>
      <c r="L195" t="s">
        <v>553</v>
      </c>
      <c r="M195" s="8">
        <v>45108</v>
      </c>
      <c r="N195">
        <v>5288699</v>
      </c>
      <c r="O195" t="s">
        <v>123</v>
      </c>
      <c r="P195" t="s">
        <v>146</v>
      </c>
      <c r="Q195">
        <v>3.61</v>
      </c>
      <c r="R195" t="s">
        <v>125</v>
      </c>
      <c r="S195" t="s">
        <v>126</v>
      </c>
      <c r="T195" t="s">
        <v>125</v>
      </c>
      <c r="U195" t="s">
        <v>126</v>
      </c>
      <c r="W195">
        <v>3.61</v>
      </c>
      <c r="Y195">
        <v>3.61</v>
      </c>
      <c r="BE195">
        <v>3.61</v>
      </c>
      <c r="BH195" t="s">
        <v>126</v>
      </c>
      <c r="BI195" t="s">
        <v>126</v>
      </c>
      <c r="BJ195" t="s">
        <v>126</v>
      </c>
      <c r="BK195" t="s">
        <v>126</v>
      </c>
      <c r="BS195" t="s">
        <v>126</v>
      </c>
      <c r="BT195" t="s">
        <v>126</v>
      </c>
      <c r="BU195" t="s">
        <v>126</v>
      </c>
      <c r="BV195" t="s">
        <v>126</v>
      </c>
      <c r="CN195" t="s">
        <v>542</v>
      </c>
      <c r="CP195" t="s">
        <v>836</v>
      </c>
      <c r="CQ195" t="s">
        <v>542</v>
      </c>
    </row>
    <row r="196" spans="1:95" x14ac:dyDescent="0.2">
      <c r="A196" t="s">
        <v>115</v>
      </c>
      <c r="B196" t="s">
        <v>116</v>
      </c>
      <c r="C196">
        <v>210784</v>
      </c>
      <c r="E196" t="s">
        <v>117</v>
      </c>
      <c r="F196">
        <v>368</v>
      </c>
      <c r="G196" t="s">
        <v>141</v>
      </c>
      <c r="H196" t="s">
        <v>142</v>
      </c>
      <c r="I196" t="s">
        <v>279</v>
      </c>
      <c r="J196" t="s">
        <v>280</v>
      </c>
      <c r="L196" t="s">
        <v>207</v>
      </c>
      <c r="M196" s="8">
        <v>45108</v>
      </c>
      <c r="N196">
        <v>5302161</v>
      </c>
      <c r="O196" t="s">
        <v>123</v>
      </c>
      <c r="P196" t="s">
        <v>146</v>
      </c>
      <c r="Q196">
        <v>4.3099999999999996</v>
      </c>
      <c r="R196" t="s">
        <v>125</v>
      </c>
      <c r="S196" t="s">
        <v>126</v>
      </c>
      <c r="T196" t="s">
        <v>125</v>
      </c>
      <c r="U196" t="s">
        <v>126</v>
      </c>
      <c r="W196">
        <v>4.3099999999999996</v>
      </c>
      <c r="Y196">
        <v>4.3099999999999996</v>
      </c>
      <c r="BE196">
        <v>4.3099999999999996</v>
      </c>
      <c r="BH196" t="s">
        <v>126</v>
      </c>
      <c r="BI196" t="s">
        <v>126</v>
      </c>
      <c r="BJ196" t="s">
        <v>126</v>
      </c>
      <c r="BK196" t="s">
        <v>126</v>
      </c>
      <c r="BS196" t="s">
        <v>126</v>
      </c>
      <c r="BT196" t="s">
        <v>126</v>
      </c>
      <c r="BU196" t="s">
        <v>126</v>
      </c>
      <c r="BV196" t="s">
        <v>126</v>
      </c>
      <c r="CN196" t="s">
        <v>147</v>
      </c>
      <c r="CP196" t="s">
        <v>556</v>
      </c>
      <c r="CQ196" t="s">
        <v>147</v>
      </c>
    </row>
    <row r="197" spans="1:95" x14ac:dyDescent="0.2">
      <c r="A197" t="s">
        <v>115</v>
      </c>
      <c r="B197" t="s">
        <v>116</v>
      </c>
      <c r="C197">
        <v>210784</v>
      </c>
      <c r="E197" t="s">
        <v>117</v>
      </c>
      <c r="F197">
        <v>368</v>
      </c>
      <c r="G197" t="s">
        <v>141</v>
      </c>
      <c r="H197" t="s">
        <v>142</v>
      </c>
      <c r="I197" t="s">
        <v>204</v>
      </c>
      <c r="J197" t="s">
        <v>205</v>
      </c>
      <c r="L197" t="s">
        <v>208</v>
      </c>
      <c r="M197" s="8">
        <v>45139</v>
      </c>
      <c r="N197">
        <v>90836</v>
      </c>
      <c r="O197" t="s">
        <v>123</v>
      </c>
      <c r="P197" t="s">
        <v>146</v>
      </c>
      <c r="Q197">
        <v>8.5299999999999994</v>
      </c>
      <c r="R197" t="s">
        <v>125</v>
      </c>
      <c r="S197" t="s">
        <v>126</v>
      </c>
      <c r="T197" t="s">
        <v>125</v>
      </c>
      <c r="U197" t="s">
        <v>126</v>
      </c>
      <c r="W197">
        <v>8.5299999999999994</v>
      </c>
      <c r="Y197">
        <v>8.5299999999999994</v>
      </c>
      <c r="AC197">
        <v>8.5299999999999994</v>
      </c>
      <c r="BH197" t="s">
        <v>126</v>
      </c>
      <c r="BI197" t="s">
        <v>126</v>
      </c>
      <c r="BJ197" t="s">
        <v>126</v>
      </c>
      <c r="BK197" t="s">
        <v>126</v>
      </c>
      <c r="BS197" t="s">
        <v>126</v>
      </c>
      <c r="BT197" t="s">
        <v>126</v>
      </c>
      <c r="BU197" t="s">
        <v>126</v>
      </c>
      <c r="BV197" t="s">
        <v>126</v>
      </c>
      <c r="CN197" t="s">
        <v>147</v>
      </c>
      <c r="CP197" t="s">
        <v>206</v>
      </c>
      <c r="CQ197" t="s">
        <v>147</v>
      </c>
    </row>
    <row r="198" spans="1:95" x14ac:dyDescent="0.2">
      <c r="A198" t="s">
        <v>115</v>
      </c>
      <c r="B198" t="s">
        <v>116</v>
      </c>
      <c r="C198">
        <v>210784</v>
      </c>
      <c r="E198" t="s">
        <v>117</v>
      </c>
      <c r="F198">
        <v>368</v>
      </c>
      <c r="G198" t="s">
        <v>141</v>
      </c>
      <c r="H198" t="s">
        <v>142</v>
      </c>
      <c r="I198" t="s">
        <v>204</v>
      </c>
      <c r="J198" t="s">
        <v>205</v>
      </c>
      <c r="L198" t="s">
        <v>209</v>
      </c>
      <c r="M198" s="8">
        <v>45139</v>
      </c>
      <c r="N198">
        <v>91497</v>
      </c>
      <c r="O198" t="s">
        <v>123</v>
      </c>
      <c r="P198" t="s">
        <v>146</v>
      </c>
      <c r="Q198">
        <v>8.84</v>
      </c>
      <c r="R198" t="s">
        <v>125</v>
      </c>
      <c r="S198" t="s">
        <v>126</v>
      </c>
      <c r="T198" t="s">
        <v>125</v>
      </c>
      <c r="U198" t="s">
        <v>126</v>
      </c>
      <c r="W198">
        <v>8.84</v>
      </c>
      <c r="Y198">
        <v>8.84</v>
      </c>
      <c r="AC198">
        <v>8.84</v>
      </c>
      <c r="BH198" t="s">
        <v>126</v>
      </c>
      <c r="BI198" t="s">
        <v>126</v>
      </c>
      <c r="BJ198" t="s">
        <v>126</v>
      </c>
      <c r="BK198" t="s">
        <v>126</v>
      </c>
      <c r="BS198" t="s">
        <v>126</v>
      </c>
      <c r="BT198" t="s">
        <v>126</v>
      </c>
      <c r="BU198" t="s">
        <v>126</v>
      </c>
      <c r="BV198" t="s">
        <v>126</v>
      </c>
      <c r="CN198" t="s">
        <v>147</v>
      </c>
      <c r="CP198" t="s">
        <v>206</v>
      </c>
      <c r="CQ198" t="s">
        <v>147</v>
      </c>
    </row>
    <row r="199" spans="1:95" x14ac:dyDescent="0.2">
      <c r="A199" t="s">
        <v>115</v>
      </c>
      <c r="B199" t="s">
        <v>116</v>
      </c>
      <c r="C199">
        <v>210784</v>
      </c>
      <c r="E199" t="s">
        <v>117</v>
      </c>
      <c r="F199">
        <v>368</v>
      </c>
      <c r="G199" t="s">
        <v>141</v>
      </c>
      <c r="H199" t="s">
        <v>142</v>
      </c>
      <c r="I199" t="s">
        <v>279</v>
      </c>
      <c r="J199" t="s">
        <v>280</v>
      </c>
      <c r="L199" t="s">
        <v>189</v>
      </c>
      <c r="M199" s="8">
        <v>45139</v>
      </c>
      <c r="N199">
        <v>5307622</v>
      </c>
      <c r="O199" t="s">
        <v>123</v>
      </c>
      <c r="P199" t="s">
        <v>146</v>
      </c>
      <c r="Q199">
        <v>4.01</v>
      </c>
      <c r="R199" t="s">
        <v>125</v>
      </c>
      <c r="S199" t="s">
        <v>126</v>
      </c>
      <c r="T199" t="s">
        <v>125</v>
      </c>
      <c r="U199" t="s">
        <v>126</v>
      </c>
      <c r="W199">
        <v>4.01</v>
      </c>
      <c r="Y199">
        <v>4.01</v>
      </c>
      <c r="BE199">
        <v>4.01</v>
      </c>
      <c r="BH199" t="s">
        <v>126</v>
      </c>
      <c r="BI199" t="s">
        <v>126</v>
      </c>
      <c r="BJ199" t="s">
        <v>126</v>
      </c>
      <c r="BK199" t="s">
        <v>126</v>
      </c>
      <c r="BS199" t="s">
        <v>126</v>
      </c>
      <c r="BT199" t="s">
        <v>126</v>
      </c>
      <c r="BU199" t="s">
        <v>126</v>
      </c>
      <c r="BV199" t="s">
        <v>126</v>
      </c>
      <c r="CN199" t="s">
        <v>147</v>
      </c>
      <c r="CP199" t="s">
        <v>556</v>
      </c>
      <c r="CQ199" t="s">
        <v>147</v>
      </c>
    </row>
    <row r="200" spans="1:95" x14ac:dyDescent="0.2">
      <c r="A200" t="s">
        <v>115</v>
      </c>
      <c r="B200" t="s">
        <v>116</v>
      </c>
      <c r="C200">
        <v>210784</v>
      </c>
      <c r="E200" t="s">
        <v>117</v>
      </c>
      <c r="F200">
        <v>368</v>
      </c>
      <c r="G200" t="s">
        <v>141</v>
      </c>
      <c r="H200" t="s">
        <v>142</v>
      </c>
      <c r="I200" t="s">
        <v>279</v>
      </c>
      <c r="J200" t="s">
        <v>280</v>
      </c>
      <c r="L200" t="s">
        <v>837</v>
      </c>
      <c r="M200" s="8">
        <v>45139</v>
      </c>
      <c r="N200">
        <v>5312631</v>
      </c>
      <c r="O200" t="s">
        <v>123</v>
      </c>
      <c r="P200" t="s">
        <v>146</v>
      </c>
      <c r="Q200">
        <v>4.04</v>
      </c>
      <c r="R200" t="s">
        <v>125</v>
      </c>
      <c r="S200" t="s">
        <v>126</v>
      </c>
      <c r="T200" t="s">
        <v>125</v>
      </c>
      <c r="U200" t="s">
        <v>126</v>
      </c>
      <c r="W200">
        <v>4.04</v>
      </c>
      <c r="Y200">
        <v>4.04</v>
      </c>
      <c r="BE200">
        <v>4.04</v>
      </c>
      <c r="BH200" t="s">
        <v>126</v>
      </c>
      <c r="BI200" t="s">
        <v>126</v>
      </c>
      <c r="BJ200" t="s">
        <v>126</v>
      </c>
      <c r="BK200" t="s">
        <v>126</v>
      </c>
      <c r="BS200" t="s">
        <v>126</v>
      </c>
      <c r="BT200" t="s">
        <v>126</v>
      </c>
      <c r="BU200" t="s">
        <v>126</v>
      </c>
      <c r="BV200" t="s">
        <v>126</v>
      </c>
      <c r="CN200" t="s">
        <v>147</v>
      </c>
      <c r="CP200" t="s">
        <v>556</v>
      </c>
      <c r="CQ200" t="s">
        <v>147</v>
      </c>
    </row>
    <row r="201" spans="1:95" x14ac:dyDescent="0.2">
      <c r="A201" t="s">
        <v>115</v>
      </c>
      <c r="B201" t="s">
        <v>116</v>
      </c>
      <c r="C201">
        <v>210784</v>
      </c>
      <c r="E201" t="s">
        <v>117</v>
      </c>
      <c r="F201">
        <v>368</v>
      </c>
      <c r="G201" t="s">
        <v>141</v>
      </c>
      <c r="H201" t="s">
        <v>142</v>
      </c>
      <c r="I201" t="s">
        <v>279</v>
      </c>
      <c r="J201" t="s">
        <v>280</v>
      </c>
      <c r="L201" t="s">
        <v>838</v>
      </c>
      <c r="M201" s="8">
        <v>45139</v>
      </c>
      <c r="N201">
        <v>5317934</v>
      </c>
      <c r="O201" t="s">
        <v>123</v>
      </c>
      <c r="P201" t="s">
        <v>146</v>
      </c>
      <c r="Q201">
        <v>4.3899999999999997</v>
      </c>
      <c r="R201" t="s">
        <v>125</v>
      </c>
      <c r="S201" t="s">
        <v>126</v>
      </c>
      <c r="T201" t="s">
        <v>125</v>
      </c>
      <c r="U201" t="s">
        <v>126</v>
      </c>
      <c r="W201">
        <v>4.3899999999999997</v>
      </c>
      <c r="Y201">
        <v>4.3899999999999997</v>
      </c>
      <c r="BE201">
        <v>4.3899999999999997</v>
      </c>
      <c r="BH201" t="s">
        <v>126</v>
      </c>
      <c r="BI201" t="s">
        <v>126</v>
      </c>
      <c r="BJ201" t="s">
        <v>126</v>
      </c>
      <c r="BK201" t="s">
        <v>126</v>
      </c>
      <c r="BS201" t="s">
        <v>126</v>
      </c>
      <c r="BT201" t="s">
        <v>126</v>
      </c>
      <c r="BU201" t="s">
        <v>126</v>
      </c>
      <c r="BV201" t="s">
        <v>126</v>
      </c>
      <c r="CN201" t="s">
        <v>147</v>
      </c>
      <c r="CP201" t="s">
        <v>556</v>
      </c>
      <c r="CQ201" t="s">
        <v>147</v>
      </c>
    </row>
    <row r="202" spans="1:95" x14ac:dyDescent="0.2">
      <c r="A202" t="s">
        <v>115</v>
      </c>
      <c r="B202" t="s">
        <v>116</v>
      </c>
      <c r="C202">
        <v>210784</v>
      </c>
      <c r="E202" t="s">
        <v>117</v>
      </c>
      <c r="F202">
        <v>368</v>
      </c>
      <c r="G202" t="s">
        <v>141</v>
      </c>
      <c r="H202" t="s">
        <v>142</v>
      </c>
      <c r="I202" t="s">
        <v>279</v>
      </c>
      <c r="J202" t="s">
        <v>280</v>
      </c>
      <c r="L202" t="s">
        <v>839</v>
      </c>
      <c r="M202" s="8">
        <v>45139</v>
      </c>
      <c r="N202">
        <v>5321900</v>
      </c>
      <c r="O202" t="s">
        <v>123</v>
      </c>
      <c r="P202" t="s">
        <v>146</v>
      </c>
      <c r="Q202">
        <v>3.82</v>
      </c>
      <c r="R202" t="s">
        <v>125</v>
      </c>
      <c r="S202" t="s">
        <v>126</v>
      </c>
      <c r="T202" t="s">
        <v>125</v>
      </c>
      <c r="U202" t="s">
        <v>126</v>
      </c>
      <c r="W202">
        <v>3.82</v>
      </c>
      <c r="Y202">
        <v>3.82</v>
      </c>
      <c r="BE202">
        <v>3.82</v>
      </c>
      <c r="BH202" t="s">
        <v>126</v>
      </c>
      <c r="BI202" t="s">
        <v>126</v>
      </c>
      <c r="BJ202" t="s">
        <v>126</v>
      </c>
      <c r="BK202" t="s">
        <v>126</v>
      </c>
      <c r="BS202" t="s">
        <v>126</v>
      </c>
      <c r="BT202" t="s">
        <v>126</v>
      </c>
      <c r="BU202" t="s">
        <v>126</v>
      </c>
      <c r="BV202" t="s">
        <v>126</v>
      </c>
      <c r="CN202" t="s">
        <v>147</v>
      </c>
      <c r="CP202" t="s">
        <v>556</v>
      </c>
      <c r="CQ202" t="s">
        <v>147</v>
      </c>
    </row>
    <row r="203" spans="1:95" x14ac:dyDescent="0.2">
      <c r="A203" t="s">
        <v>115</v>
      </c>
      <c r="B203" t="s">
        <v>116</v>
      </c>
      <c r="C203">
        <v>210784</v>
      </c>
      <c r="E203" t="s">
        <v>117</v>
      </c>
      <c r="F203">
        <v>368</v>
      </c>
      <c r="G203" t="s">
        <v>141</v>
      </c>
      <c r="H203" t="s">
        <v>142</v>
      </c>
      <c r="I203" t="s">
        <v>279</v>
      </c>
      <c r="J203" t="s">
        <v>280</v>
      </c>
      <c r="L203" t="s">
        <v>840</v>
      </c>
      <c r="M203" s="8">
        <v>45139</v>
      </c>
      <c r="N203">
        <v>5324791</v>
      </c>
      <c r="O203" t="s">
        <v>123</v>
      </c>
      <c r="P203" t="s">
        <v>146</v>
      </c>
      <c r="Q203">
        <v>3.14</v>
      </c>
      <c r="R203" t="s">
        <v>125</v>
      </c>
      <c r="S203" t="s">
        <v>126</v>
      </c>
      <c r="T203" t="s">
        <v>125</v>
      </c>
      <c r="U203" t="s">
        <v>126</v>
      </c>
      <c r="W203">
        <v>3.14</v>
      </c>
      <c r="Y203">
        <v>3.14</v>
      </c>
      <c r="BE203">
        <v>3.14</v>
      </c>
      <c r="BH203" t="s">
        <v>126</v>
      </c>
      <c r="BI203" t="s">
        <v>126</v>
      </c>
      <c r="BJ203" t="s">
        <v>126</v>
      </c>
      <c r="BK203" t="s">
        <v>126</v>
      </c>
      <c r="BS203" t="s">
        <v>126</v>
      </c>
      <c r="BT203" t="s">
        <v>126</v>
      </c>
      <c r="BU203" t="s">
        <v>126</v>
      </c>
      <c r="BV203" t="s">
        <v>126</v>
      </c>
      <c r="CN203" t="s">
        <v>147</v>
      </c>
      <c r="CP203" t="s">
        <v>556</v>
      </c>
      <c r="CQ203" t="s">
        <v>147</v>
      </c>
    </row>
    <row r="204" spans="1:95" x14ac:dyDescent="0.2">
      <c r="A204" t="s">
        <v>115</v>
      </c>
      <c r="B204" t="s">
        <v>116</v>
      </c>
      <c r="C204">
        <v>210784</v>
      </c>
      <c r="E204" t="s">
        <v>117</v>
      </c>
      <c r="F204">
        <v>368</v>
      </c>
      <c r="G204" t="s">
        <v>141</v>
      </c>
      <c r="H204" t="s">
        <v>142</v>
      </c>
      <c r="I204" t="s">
        <v>204</v>
      </c>
      <c r="J204" t="s">
        <v>205</v>
      </c>
      <c r="L204" t="s">
        <v>210</v>
      </c>
      <c r="M204" s="8">
        <v>45170</v>
      </c>
      <c r="N204">
        <v>91934</v>
      </c>
      <c r="O204" t="s">
        <v>123</v>
      </c>
      <c r="P204" t="s">
        <v>146</v>
      </c>
      <c r="Q204">
        <v>7.92</v>
      </c>
      <c r="R204" t="s">
        <v>125</v>
      </c>
      <c r="S204" t="s">
        <v>126</v>
      </c>
      <c r="T204" t="s">
        <v>125</v>
      </c>
      <c r="U204" t="s">
        <v>126</v>
      </c>
      <c r="W204">
        <v>7.92</v>
      </c>
      <c r="Y204">
        <v>7.92</v>
      </c>
      <c r="AC204">
        <v>7.92</v>
      </c>
      <c r="BH204" t="s">
        <v>126</v>
      </c>
      <c r="BI204" t="s">
        <v>126</v>
      </c>
      <c r="BJ204" t="s">
        <v>126</v>
      </c>
      <c r="BK204" t="s">
        <v>126</v>
      </c>
      <c r="BS204" t="s">
        <v>126</v>
      </c>
      <c r="BT204" t="s">
        <v>126</v>
      </c>
      <c r="BU204" t="s">
        <v>126</v>
      </c>
      <c r="BV204" t="s">
        <v>126</v>
      </c>
      <c r="CN204" t="s">
        <v>147</v>
      </c>
      <c r="CP204" t="s">
        <v>206</v>
      </c>
      <c r="CQ204" t="s">
        <v>147</v>
      </c>
    </row>
    <row r="205" spans="1:95" x14ac:dyDescent="0.2">
      <c r="A205" t="s">
        <v>115</v>
      </c>
      <c r="B205" t="s">
        <v>116</v>
      </c>
      <c r="C205">
        <v>210784</v>
      </c>
      <c r="E205" t="s">
        <v>117</v>
      </c>
      <c r="F205">
        <v>368</v>
      </c>
      <c r="G205" t="s">
        <v>141</v>
      </c>
      <c r="H205" t="s">
        <v>142</v>
      </c>
      <c r="I205" t="s">
        <v>204</v>
      </c>
      <c r="J205" t="s">
        <v>205</v>
      </c>
      <c r="L205" t="s">
        <v>211</v>
      </c>
      <c r="M205" s="8">
        <v>45170</v>
      </c>
      <c r="N205">
        <v>92512</v>
      </c>
      <c r="O205" t="s">
        <v>123</v>
      </c>
      <c r="P205" t="s">
        <v>146</v>
      </c>
      <c r="Q205">
        <v>9.8800000000000008</v>
      </c>
      <c r="R205" t="s">
        <v>125</v>
      </c>
      <c r="S205" t="s">
        <v>126</v>
      </c>
      <c r="T205" t="s">
        <v>125</v>
      </c>
      <c r="U205" t="s">
        <v>126</v>
      </c>
      <c r="W205">
        <v>9.8800000000000008</v>
      </c>
      <c r="Y205">
        <v>9.8800000000000008</v>
      </c>
      <c r="AC205">
        <v>9.8800000000000008</v>
      </c>
      <c r="BH205" t="s">
        <v>126</v>
      </c>
      <c r="BI205" t="s">
        <v>126</v>
      </c>
      <c r="BJ205" t="s">
        <v>126</v>
      </c>
      <c r="BK205" t="s">
        <v>126</v>
      </c>
      <c r="BS205" t="s">
        <v>126</v>
      </c>
      <c r="BT205" t="s">
        <v>126</v>
      </c>
      <c r="BU205" t="s">
        <v>126</v>
      </c>
      <c r="BV205" t="s">
        <v>126</v>
      </c>
      <c r="CN205" t="s">
        <v>147</v>
      </c>
      <c r="CP205" t="s">
        <v>206</v>
      </c>
      <c r="CQ205" t="s">
        <v>147</v>
      </c>
    </row>
    <row r="206" spans="1:95" x14ac:dyDescent="0.2">
      <c r="A206" t="s">
        <v>115</v>
      </c>
      <c r="B206" t="s">
        <v>116</v>
      </c>
      <c r="C206">
        <v>210784</v>
      </c>
      <c r="E206" t="s">
        <v>117</v>
      </c>
      <c r="F206">
        <v>368</v>
      </c>
      <c r="G206" t="s">
        <v>141</v>
      </c>
      <c r="H206" t="s">
        <v>142</v>
      </c>
      <c r="I206" t="s">
        <v>279</v>
      </c>
      <c r="J206" t="s">
        <v>280</v>
      </c>
      <c r="L206" t="s">
        <v>841</v>
      </c>
      <c r="M206" s="8">
        <v>45170</v>
      </c>
      <c r="N206">
        <v>5331804</v>
      </c>
      <c r="O206" t="s">
        <v>123</v>
      </c>
      <c r="P206" t="s">
        <v>146</v>
      </c>
      <c r="Q206">
        <v>3.53</v>
      </c>
      <c r="R206" t="s">
        <v>125</v>
      </c>
      <c r="S206" t="s">
        <v>126</v>
      </c>
      <c r="T206" t="s">
        <v>125</v>
      </c>
      <c r="U206" t="s">
        <v>126</v>
      </c>
      <c r="W206">
        <v>3.53</v>
      </c>
      <c r="Y206">
        <v>3.53</v>
      </c>
      <c r="BE206">
        <v>3.53</v>
      </c>
      <c r="BH206" t="s">
        <v>126</v>
      </c>
      <c r="BI206" t="s">
        <v>126</v>
      </c>
      <c r="BJ206" t="s">
        <v>126</v>
      </c>
      <c r="BK206" t="s">
        <v>126</v>
      </c>
      <c r="BS206" t="s">
        <v>126</v>
      </c>
      <c r="BT206" t="s">
        <v>126</v>
      </c>
      <c r="BU206" t="s">
        <v>126</v>
      </c>
      <c r="BV206" t="s">
        <v>126</v>
      </c>
      <c r="CN206" t="s">
        <v>147</v>
      </c>
      <c r="CP206" t="s">
        <v>556</v>
      </c>
      <c r="CQ206" t="s">
        <v>147</v>
      </c>
    </row>
    <row r="207" spans="1:95" x14ac:dyDescent="0.2">
      <c r="A207" t="s">
        <v>115</v>
      </c>
      <c r="B207" t="s">
        <v>116</v>
      </c>
      <c r="C207">
        <v>210784</v>
      </c>
      <c r="E207" t="s">
        <v>117</v>
      </c>
      <c r="F207">
        <v>368</v>
      </c>
      <c r="G207" t="s">
        <v>141</v>
      </c>
      <c r="H207" t="s">
        <v>142</v>
      </c>
      <c r="I207" t="s">
        <v>279</v>
      </c>
      <c r="J207" t="s">
        <v>280</v>
      </c>
      <c r="L207" t="s">
        <v>842</v>
      </c>
      <c r="M207" s="8">
        <v>45170</v>
      </c>
      <c r="N207">
        <v>5335115</v>
      </c>
      <c r="O207" t="s">
        <v>123</v>
      </c>
      <c r="P207" t="s">
        <v>146</v>
      </c>
      <c r="Q207">
        <v>3.1</v>
      </c>
      <c r="R207" t="s">
        <v>125</v>
      </c>
      <c r="S207" t="s">
        <v>126</v>
      </c>
      <c r="T207" t="s">
        <v>125</v>
      </c>
      <c r="U207" t="s">
        <v>126</v>
      </c>
      <c r="W207">
        <v>3.1</v>
      </c>
      <c r="Y207">
        <v>3.1</v>
      </c>
      <c r="BE207">
        <v>3.1</v>
      </c>
      <c r="BH207" t="s">
        <v>126</v>
      </c>
      <c r="BI207" t="s">
        <v>126</v>
      </c>
      <c r="BJ207" t="s">
        <v>126</v>
      </c>
      <c r="BK207" t="s">
        <v>126</v>
      </c>
      <c r="BS207" t="s">
        <v>126</v>
      </c>
      <c r="BT207" t="s">
        <v>126</v>
      </c>
      <c r="BU207" t="s">
        <v>126</v>
      </c>
      <c r="BV207" t="s">
        <v>126</v>
      </c>
      <c r="CN207" t="s">
        <v>147</v>
      </c>
      <c r="CP207" t="s">
        <v>556</v>
      </c>
      <c r="CQ207" t="s">
        <v>147</v>
      </c>
    </row>
    <row r="208" spans="1:95" x14ac:dyDescent="0.2">
      <c r="A208" t="s">
        <v>115</v>
      </c>
      <c r="B208" t="s">
        <v>116</v>
      </c>
      <c r="C208">
        <v>210784</v>
      </c>
      <c r="E208" t="s">
        <v>117</v>
      </c>
      <c r="F208">
        <v>368</v>
      </c>
      <c r="G208" t="s">
        <v>141</v>
      </c>
      <c r="H208" t="s">
        <v>142</v>
      </c>
      <c r="I208" t="s">
        <v>279</v>
      </c>
      <c r="J208" t="s">
        <v>280</v>
      </c>
      <c r="L208" t="s">
        <v>843</v>
      </c>
      <c r="M208" s="8">
        <v>45170</v>
      </c>
      <c r="N208">
        <v>5337769</v>
      </c>
      <c r="O208" t="s">
        <v>123</v>
      </c>
      <c r="P208" t="s">
        <v>146</v>
      </c>
      <c r="Q208">
        <v>2.66</v>
      </c>
      <c r="R208" t="s">
        <v>125</v>
      </c>
      <c r="S208" t="s">
        <v>126</v>
      </c>
      <c r="T208" t="s">
        <v>125</v>
      </c>
      <c r="U208" t="s">
        <v>126</v>
      </c>
      <c r="W208">
        <v>2.66</v>
      </c>
      <c r="Y208">
        <v>2.66</v>
      </c>
      <c r="BE208">
        <v>2.66</v>
      </c>
      <c r="BH208" t="s">
        <v>126</v>
      </c>
      <c r="BI208" t="s">
        <v>126</v>
      </c>
      <c r="BJ208" t="s">
        <v>126</v>
      </c>
      <c r="BK208" t="s">
        <v>126</v>
      </c>
      <c r="BS208" t="s">
        <v>126</v>
      </c>
      <c r="BT208" t="s">
        <v>126</v>
      </c>
      <c r="BU208" t="s">
        <v>126</v>
      </c>
      <c r="BV208" t="s">
        <v>126</v>
      </c>
      <c r="CN208" t="s">
        <v>147</v>
      </c>
      <c r="CP208" t="s">
        <v>556</v>
      </c>
      <c r="CQ208" t="s">
        <v>147</v>
      </c>
    </row>
    <row r="209" spans="1:95" x14ac:dyDescent="0.2">
      <c r="A209" t="s">
        <v>115</v>
      </c>
      <c r="B209" t="s">
        <v>116</v>
      </c>
      <c r="C209">
        <v>210784</v>
      </c>
      <c r="E209" t="s">
        <v>117</v>
      </c>
      <c r="F209">
        <v>368</v>
      </c>
      <c r="G209" t="s">
        <v>141</v>
      </c>
      <c r="H209" t="s">
        <v>142</v>
      </c>
      <c r="I209" t="s">
        <v>279</v>
      </c>
      <c r="J209" t="s">
        <v>280</v>
      </c>
      <c r="L209" t="s">
        <v>844</v>
      </c>
      <c r="M209" s="8">
        <v>45170</v>
      </c>
      <c r="N209">
        <v>5342159</v>
      </c>
      <c r="O209" t="s">
        <v>123</v>
      </c>
      <c r="P209" t="s">
        <v>146</v>
      </c>
      <c r="Q209">
        <v>3.46</v>
      </c>
      <c r="R209" t="s">
        <v>125</v>
      </c>
      <c r="S209" t="s">
        <v>126</v>
      </c>
      <c r="T209" t="s">
        <v>125</v>
      </c>
      <c r="U209" t="s">
        <v>126</v>
      </c>
      <c r="W209">
        <v>3.46</v>
      </c>
      <c r="Y209">
        <v>3.46</v>
      </c>
      <c r="BE209">
        <v>3.46</v>
      </c>
      <c r="BH209" t="s">
        <v>126</v>
      </c>
      <c r="BI209" t="s">
        <v>126</v>
      </c>
      <c r="BJ209" t="s">
        <v>126</v>
      </c>
      <c r="BK209" t="s">
        <v>126</v>
      </c>
      <c r="BS209" t="s">
        <v>126</v>
      </c>
      <c r="BT209" t="s">
        <v>126</v>
      </c>
      <c r="BU209" t="s">
        <v>126</v>
      </c>
      <c r="BV209" t="s">
        <v>126</v>
      </c>
      <c r="CN209" t="s">
        <v>147</v>
      </c>
      <c r="CP209" t="s">
        <v>556</v>
      </c>
      <c r="CQ209" t="s">
        <v>147</v>
      </c>
    </row>
    <row r="210" spans="1:95" x14ac:dyDescent="0.2">
      <c r="A210" t="s">
        <v>115</v>
      </c>
      <c r="B210" t="s">
        <v>116</v>
      </c>
      <c r="C210">
        <v>210784</v>
      </c>
      <c r="E210" t="s">
        <v>117</v>
      </c>
      <c r="F210">
        <v>368</v>
      </c>
      <c r="G210" t="s">
        <v>141</v>
      </c>
      <c r="H210" t="s">
        <v>142</v>
      </c>
      <c r="I210" t="s">
        <v>279</v>
      </c>
      <c r="J210" t="s">
        <v>280</v>
      </c>
      <c r="L210" t="s">
        <v>211</v>
      </c>
      <c r="M210" s="8">
        <v>45170</v>
      </c>
      <c r="N210">
        <v>5345896</v>
      </c>
      <c r="O210" t="s">
        <v>123</v>
      </c>
      <c r="P210" t="s">
        <v>146</v>
      </c>
      <c r="Q210">
        <v>3.39</v>
      </c>
      <c r="R210" t="s">
        <v>125</v>
      </c>
      <c r="S210" t="s">
        <v>126</v>
      </c>
      <c r="T210" t="s">
        <v>125</v>
      </c>
      <c r="U210" t="s">
        <v>126</v>
      </c>
      <c r="W210">
        <v>3.39</v>
      </c>
      <c r="Y210">
        <v>3.39</v>
      </c>
      <c r="BE210">
        <v>3.39</v>
      </c>
      <c r="BH210" t="s">
        <v>126</v>
      </c>
      <c r="BI210" t="s">
        <v>126</v>
      </c>
      <c r="BJ210" t="s">
        <v>126</v>
      </c>
      <c r="BK210" t="s">
        <v>126</v>
      </c>
      <c r="BS210" t="s">
        <v>126</v>
      </c>
      <c r="BT210" t="s">
        <v>126</v>
      </c>
      <c r="BU210" t="s">
        <v>126</v>
      </c>
      <c r="BV210" t="s">
        <v>126</v>
      </c>
      <c r="CN210" t="s">
        <v>147</v>
      </c>
      <c r="CP210" t="s">
        <v>556</v>
      </c>
      <c r="CQ210" t="s">
        <v>147</v>
      </c>
    </row>
    <row r="211" spans="1:95" x14ac:dyDescent="0.2">
      <c r="A211" t="s">
        <v>115</v>
      </c>
      <c r="B211" t="s">
        <v>116</v>
      </c>
      <c r="C211">
        <v>210784</v>
      </c>
      <c r="E211" t="s">
        <v>117</v>
      </c>
      <c r="F211">
        <v>368</v>
      </c>
      <c r="G211" t="s">
        <v>141</v>
      </c>
      <c r="H211" t="s">
        <v>142</v>
      </c>
      <c r="I211" t="s">
        <v>204</v>
      </c>
      <c r="J211" t="s">
        <v>205</v>
      </c>
      <c r="L211" t="s">
        <v>212</v>
      </c>
      <c r="M211" s="8">
        <v>45200</v>
      </c>
      <c r="N211">
        <v>92675</v>
      </c>
      <c r="O211" t="s">
        <v>123</v>
      </c>
      <c r="P211" t="s">
        <v>146</v>
      </c>
      <c r="Q211">
        <v>13.16</v>
      </c>
      <c r="R211" t="s">
        <v>125</v>
      </c>
      <c r="S211" t="s">
        <v>126</v>
      </c>
      <c r="T211" t="s">
        <v>125</v>
      </c>
      <c r="U211" t="s">
        <v>126</v>
      </c>
      <c r="W211">
        <v>13.16</v>
      </c>
      <c r="Y211">
        <v>13.16</v>
      </c>
      <c r="AC211">
        <v>13.16</v>
      </c>
      <c r="BH211" t="s">
        <v>126</v>
      </c>
      <c r="BI211" t="s">
        <v>126</v>
      </c>
      <c r="BJ211" t="s">
        <v>126</v>
      </c>
      <c r="BK211" t="s">
        <v>126</v>
      </c>
      <c r="BS211" t="s">
        <v>126</v>
      </c>
      <c r="BT211" t="s">
        <v>126</v>
      </c>
      <c r="BU211" t="s">
        <v>126</v>
      </c>
      <c r="BV211" t="s">
        <v>126</v>
      </c>
      <c r="CN211" t="s">
        <v>147</v>
      </c>
      <c r="CP211" t="s">
        <v>206</v>
      </c>
      <c r="CQ211" t="s">
        <v>147</v>
      </c>
    </row>
    <row r="212" spans="1:95" x14ac:dyDescent="0.2">
      <c r="A212" t="s">
        <v>115</v>
      </c>
      <c r="B212" t="s">
        <v>116</v>
      </c>
      <c r="C212">
        <v>210784</v>
      </c>
      <c r="E212" t="s">
        <v>117</v>
      </c>
      <c r="F212">
        <v>368</v>
      </c>
      <c r="G212" t="s">
        <v>141</v>
      </c>
      <c r="H212" t="s">
        <v>142</v>
      </c>
      <c r="I212" t="s">
        <v>204</v>
      </c>
      <c r="J212" t="s">
        <v>205</v>
      </c>
      <c r="L212" t="s">
        <v>213</v>
      </c>
      <c r="M212" s="8">
        <v>45200</v>
      </c>
      <c r="N212">
        <v>93334</v>
      </c>
      <c r="O212" t="s">
        <v>123</v>
      </c>
      <c r="P212" t="s">
        <v>146</v>
      </c>
      <c r="Q212">
        <v>9.44</v>
      </c>
      <c r="R212" t="s">
        <v>125</v>
      </c>
      <c r="S212" t="s">
        <v>126</v>
      </c>
      <c r="T212" t="s">
        <v>125</v>
      </c>
      <c r="U212" t="s">
        <v>126</v>
      </c>
      <c r="W212">
        <v>9.44</v>
      </c>
      <c r="Y212">
        <v>9.44</v>
      </c>
      <c r="AC212">
        <v>9.44</v>
      </c>
      <c r="BH212" t="s">
        <v>126</v>
      </c>
      <c r="BI212" t="s">
        <v>126</v>
      </c>
      <c r="BJ212" t="s">
        <v>126</v>
      </c>
      <c r="BK212" t="s">
        <v>126</v>
      </c>
      <c r="BS212" t="s">
        <v>126</v>
      </c>
      <c r="BT212" t="s">
        <v>126</v>
      </c>
      <c r="BU212" t="s">
        <v>126</v>
      </c>
      <c r="BV212" t="s">
        <v>126</v>
      </c>
      <c r="CN212" t="s">
        <v>147</v>
      </c>
      <c r="CP212" t="s">
        <v>206</v>
      </c>
      <c r="CQ212" t="s">
        <v>147</v>
      </c>
    </row>
    <row r="213" spans="1:95" x14ac:dyDescent="0.2">
      <c r="A213" t="s">
        <v>115</v>
      </c>
      <c r="B213" t="s">
        <v>116</v>
      </c>
      <c r="C213">
        <v>210784</v>
      </c>
      <c r="E213" t="s">
        <v>117</v>
      </c>
      <c r="F213">
        <v>368</v>
      </c>
      <c r="G213" t="s">
        <v>141</v>
      </c>
      <c r="H213" t="s">
        <v>142</v>
      </c>
      <c r="I213" t="s">
        <v>204</v>
      </c>
      <c r="J213" t="s">
        <v>205</v>
      </c>
      <c r="L213" t="s">
        <v>214</v>
      </c>
      <c r="M213" s="8">
        <v>45200</v>
      </c>
      <c r="N213">
        <v>93826</v>
      </c>
      <c r="O213" t="s">
        <v>123</v>
      </c>
      <c r="P213" t="s">
        <v>146</v>
      </c>
      <c r="Q213">
        <v>8.74</v>
      </c>
      <c r="R213" t="s">
        <v>125</v>
      </c>
      <c r="S213" t="s">
        <v>126</v>
      </c>
      <c r="T213" t="s">
        <v>125</v>
      </c>
      <c r="U213" t="s">
        <v>126</v>
      </c>
      <c r="W213">
        <v>8.74</v>
      </c>
      <c r="Y213">
        <v>8.74</v>
      </c>
      <c r="AC213">
        <v>8.74</v>
      </c>
      <c r="BH213" t="s">
        <v>126</v>
      </c>
      <c r="BI213" t="s">
        <v>126</v>
      </c>
      <c r="BJ213" t="s">
        <v>126</v>
      </c>
      <c r="BK213" t="s">
        <v>126</v>
      </c>
      <c r="BS213" t="s">
        <v>126</v>
      </c>
      <c r="BT213" t="s">
        <v>126</v>
      </c>
      <c r="BU213" t="s">
        <v>126</v>
      </c>
      <c r="BV213" t="s">
        <v>126</v>
      </c>
      <c r="CN213" t="s">
        <v>147</v>
      </c>
      <c r="CP213" t="s">
        <v>206</v>
      </c>
      <c r="CQ213" t="s">
        <v>147</v>
      </c>
    </row>
    <row r="214" spans="1:95" x14ac:dyDescent="0.2">
      <c r="A214" t="s">
        <v>115</v>
      </c>
      <c r="B214" t="s">
        <v>116</v>
      </c>
      <c r="C214">
        <v>210784</v>
      </c>
      <c r="E214" t="s">
        <v>117</v>
      </c>
      <c r="F214">
        <v>368</v>
      </c>
      <c r="G214" t="s">
        <v>176</v>
      </c>
      <c r="H214" t="s">
        <v>177</v>
      </c>
      <c r="I214" t="s">
        <v>311</v>
      </c>
      <c r="J214" t="s">
        <v>312</v>
      </c>
      <c r="L214" t="s">
        <v>313</v>
      </c>
      <c r="M214" s="8">
        <v>45200</v>
      </c>
      <c r="N214" t="s">
        <v>314</v>
      </c>
      <c r="O214" t="s">
        <v>123</v>
      </c>
      <c r="P214" t="s">
        <v>124</v>
      </c>
      <c r="Q214">
        <v>40575.9</v>
      </c>
      <c r="R214" t="s">
        <v>126</v>
      </c>
      <c r="S214" t="s">
        <v>126</v>
      </c>
      <c r="T214" t="s">
        <v>126</v>
      </c>
      <c r="U214" t="s">
        <v>126</v>
      </c>
      <c r="BH214" t="s">
        <v>125</v>
      </c>
      <c r="BI214" t="s">
        <v>126</v>
      </c>
      <c r="BJ214" t="s">
        <v>125</v>
      </c>
      <c r="BK214" t="s">
        <v>126</v>
      </c>
      <c r="BM214">
        <v>40575.9</v>
      </c>
      <c r="BO214">
        <v>40575.9</v>
      </c>
      <c r="BP214">
        <v>40575.9</v>
      </c>
      <c r="BS214" t="s">
        <v>126</v>
      </c>
      <c r="BT214" t="s">
        <v>126</v>
      </c>
      <c r="BU214" t="s">
        <v>126</v>
      </c>
      <c r="BV214" t="s">
        <v>126</v>
      </c>
      <c r="CN214" t="s">
        <v>181</v>
      </c>
      <c r="CP214" t="s">
        <v>213</v>
      </c>
      <c r="CQ214" t="s">
        <v>181</v>
      </c>
    </row>
    <row r="215" spans="1:95" x14ac:dyDescent="0.2">
      <c r="A215" t="s">
        <v>115</v>
      </c>
      <c r="B215" t="s">
        <v>116</v>
      </c>
      <c r="C215">
        <v>210784</v>
      </c>
      <c r="E215" t="s">
        <v>117</v>
      </c>
      <c r="F215">
        <v>368</v>
      </c>
      <c r="G215" t="s">
        <v>176</v>
      </c>
      <c r="H215" t="s">
        <v>177</v>
      </c>
      <c r="I215" t="s">
        <v>315</v>
      </c>
      <c r="J215" t="s">
        <v>316</v>
      </c>
      <c r="L215" t="s">
        <v>313</v>
      </c>
      <c r="M215" s="8">
        <v>45200</v>
      </c>
      <c r="N215" t="s">
        <v>314</v>
      </c>
      <c r="O215" t="s">
        <v>123</v>
      </c>
      <c r="P215" t="s">
        <v>124</v>
      </c>
      <c r="Q215">
        <v>12015.6</v>
      </c>
      <c r="R215" t="s">
        <v>126</v>
      </c>
      <c r="S215" t="s">
        <v>126</v>
      </c>
      <c r="T215" t="s">
        <v>126</v>
      </c>
      <c r="U215" t="s">
        <v>126</v>
      </c>
      <c r="BH215" t="s">
        <v>125</v>
      </c>
      <c r="BI215" t="s">
        <v>126</v>
      </c>
      <c r="BJ215" t="s">
        <v>125</v>
      </c>
      <c r="BK215" t="s">
        <v>126</v>
      </c>
      <c r="BM215">
        <v>12015.6</v>
      </c>
      <c r="BO215">
        <v>12015.6</v>
      </c>
      <c r="BP215">
        <v>12015.6</v>
      </c>
      <c r="BS215" t="s">
        <v>126</v>
      </c>
      <c r="BT215" t="s">
        <v>126</v>
      </c>
      <c r="BU215" t="s">
        <v>126</v>
      </c>
      <c r="BV215" t="s">
        <v>126</v>
      </c>
      <c r="CN215" t="s">
        <v>181</v>
      </c>
      <c r="CP215" t="s">
        <v>213</v>
      </c>
      <c r="CQ215" t="s">
        <v>181</v>
      </c>
    </row>
    <row r="216" spans="1:95" x14ac:dyDescent="0.2">
      <c r="A216" t="s">
        <v>115</v>
      </c>
      <c r="B216" t="s">
        <v>116</v>
      </c>
      <c r="C216">
        <v>210784</v>
      </c>
      <c r="E216" t="s">
        <v>117</v>
      </c>
      <c r="F216">
        <v>368</v>
      </c>
      <c r="G216" t="s">
        <v>176</v>
      </c>
      <c r="H216" t="s">
        <v>177</v>
      </c>
      <c r="I216" t="s">
        <v>317</v>
      </c>
      <c r="J216" t="s">
        <v>318</v>
      </c>
      <c r="L216" t="s">
        <v>313</v>
      </c>
      <c r="M216" s="8">
        <v>45200</v>
      </c>
      <c r="N216" t="s">
        <v>314</v>
      </c>
      <c r="O216" t="s">
        <v>123</v>
      </c>
      <c r="P216" t="s">
        <v>124</v>
      </c>
      <c r="Q216">
        <v>6593.7</v>
      </c>
      <c r="R216" t="s">
        <v>126</v>
      </c>
      <c r="S216" t="s">
        <v>126</v>
      </c>
      <c r="T216" t="s">
        <v>126</v>
      </c>
      <c r="U216" t="s">
        <v>126</v>
      </c>
      <c r="BH216" t="s">
        <v>125</v>
      </c>
      <c r="BI216" t="s">
        <v>126</v>
      </c>
      <c r="BJ216" t="s">
        <v>125</v>
      </c>
      <c r="BK216" t="s">
        <v>126</v>
      </c>
      <c r="BM216">
        <v>6593.7</v>
      </c>
      <c r="BO216">
        <v>6593.7</v>
      </c>
      <c r="BP216">
        <v>6593.7</v>
      </c>
      <c r="BS216" t="s">
        <v>126</v>
      </c>
      <c r="BT216" t="s">
        <v>126</v>
      </c>
      <c r="BU216" t="s">
        <v>126</v>
      </c>
      <c r="BV216" t="s">
        <v>126</v>
      </c>
      <c r="CN216" t="s">
        <v>181</v>
      </c>
      <c r="CP216" t="s">
        <v>213</v>
      </c>
      <c r="CQ216" t="s">
        <v>181</v>
      </c>
    </row>
    <row r="217" spans="1:95" x14ac:dyDescent="0.2">
      <c r="A217" t="s">
        <v>115</v>
      </c>
      <c r="B217" t="s">
        <v>116</v>
      </c>
      <c r="C217">
        <v>210784</v>
      </c>
      <c r="E217" t="s">
        <v>117</v>
      </c>
      <c r="F217">
        <v>368</v>
      </c>
      <c r="G217" t="s">
        <v>141</v>
      </c>
      <c r="H217" t="s">
        <v>142</v>
      </c>
      <c r="I217" t="s">
        <v>279</v>
      </c>
      <c r="J217" t="s">
        <v>280</v>
      </c>
      <c r="L217" t="s">
        <v>313</v>
      </c>
      <c r="M217" s="8">
        <v>45200</v>
      </c>
      <c r="N217">
        <v>5358330</v>
      </c>
      <c r="O217" t="s">
        <v>123</v>
      </c>
      <c r="P217" t="s">
        <v>146</v>
      </c>
      <c r="Q217">
        <v>3.93</v>
      </c>
      <c r="R217" t="s">
        <v>125</v>
      </c>
      <c r="S217" t="s">
        <v>126</v>
      </c>
      <c r="T217" t="s">
        <v>125</v>
      </c>
      <c r="U217" t="s">
        <v>126</v>
      </c>
      <c r="W217">
        <v>3.93</v>
      </c>
      <c r="Y217">
        <v>3.93</v>
      </c>
      <c r="AG217">
        <v>2.8056000000000001</v>
      </c>
      <c r="AY217">
        <v>1.1244000000000001</v>
      </c>
      <c r="BH217" t="s">
        <v>126</v>
      </c>
      <c r="BI217" t="s">
        <v>126</v>
      </c>
      <c r="BJ217" t="s">
        <v>126</v>
      </c>
      <c r="BK217" t="s">
        <v>126</v>
      </c>
      <c r="BS217" t="s">
        <v>126</v>
      </c>
      <c r="BT217" t="s">
        <v>126</v>
      </c>
      <c r="BU217" t="s">
        <v>126</v>
      </c>
      <c r="BV217" t="s">
        <v>126</v>
      </c>
      <c r="CN217" t="s">
        <v>147</v>
      </c>
      <c r="CP217" t="s">
        <v>557</v>
      </c>
      <c r="CQ217" t="s">
        <v>147</v>
      </c>
    </row>
    <row r="218" spans="1:95" x14ac:dyDescent="0.2">
      <c r="A218" t="s">
        <v>115</v>
      </c>
      <c r="B218" t="s">
        <v>116</v>
      </c>
      <c r="C218">
        <v>210784</v>
      </c>
      <c r="E218" t="s">
        <v>117</v>
      </c>
      <c r="F218">
        <v>368</v>
      </c>
      <c r="G218" t="s">
        <v>141</v>
      </c>
      <c r="H218" t="s">
        <v>142</v>
      </c>
      <c r="I218" t="s">
        <v>279</v>
      </c>
      <c r="J218" t="s">
        <v>280</v>
      </c>
      <c r="L218" t="s">
        <v>212</v>
      </c>
      <c r="M218" s="8">
        <v>45200</v>
      </c>
      <c r="N218">
        <v>5349320</v>
      </c>
      <c r="O218" t="s">
        <v>123</v>
      </c>
      <c r="P218" t="s">
        <v>146</v>
      </c>
      <c r="Q218">
        <v>2.86</v>
      </c>
      <c r="R218" t="s">
        <v>125</v>
      </c>
      <c r="S218" t="s">
        <v>126</v>
      </c>
      <c r="T218" t="s">
        <v>125</v>
      </c>
      <c r="U218" t="s">
        <v>126</v>
      </c>
      <c r="W218">
        <v>2.86</v>
      </c>
      <c r="Y218">
        <v>2.86</v>
      </c>
      <c r="BE218">
        <v>2.86</v>
      </c>
      <c r="BH218" t="s">
        <v>126</v>
      </c>
      <c r="BI218" t="s">
        <v>126</v>
      </c>
      <c r="BJ218" t="s">
        <v>126</v>
      </c>
      <c r="BK218" t="s">
        <v>126</v>
      </c>
      <c r="BS218" t="s">
        <v>126</v>
      </c>
      <c r="BT218" t="s">
        <v>126</v>
      </c>
      <c r="BU218" t="s">
        <v>126</v>
      </c>
      <c r="BV218" t="s">
        <v>126</v>
      </c>
      <c r="CN218" t="s">
        <v>147</v>
      </c>
      <c r="CP218" t="s">
        <v>557</v>
      </c>
      <c r="CQ218" t="s">
        <v>147</v>
      </c>
    </row>
    <row r="219" spans="1:95" x14ac:dyDescent="0.2">
      <c r="A219" t="s">
        <v>115</v>
      </c>
      <c r="B219" t="s">
        <v>116</v>
      </c>
      <c r="C219">
        <v>210784</v>
      </c>
      <c r="E219" t="s">
        <v>117</v>
      </c>
      <c r="F219">
        <v>368</v>
      </c>
      <c r="G219" t="s">
        <v>141</v>
      </c>
      <c r="H219" t="s">
        <v>142</v>
      </c>
      <c r="I219" t="s">
        <v>279</v>
      </c>
      <c r="J219" t="s">
        <v>280</v>
      </c>
      <c r="L219" t="s">
        <v>845</v>
      </c>
      <c r="M219" s="8">
        <v>45200</v>
      </c>
      <c r="N219">
        <v>5352192</v>
      </c>
      <c r="O219" t="s">
        <v>123</v>
      </c>
      <c r="P219" t="s">
        <v>146</v>
      </c>
      <c r="Q219">
        <v>3.05</v>
      </c>
      <c r="R219" t="s">
        <v>125</v>
      </c>
      <c r="S219" t="s">
        <v>126</v>
      </c>
      <c r="T219" t="s">
        <v>125</v>
      </c>
      <c r="U219" t="s">
        <v>126</v>
      </c>
      <c r="W219">
        <v>3.05</v>
      </c>
      <c r="Y219">
        <v>3.05</v>
      </c>
      <c r="BE219">
        <v>3.05</v>
      </c>
      <c r="BH219" t="s">
        <v>126</v>
      </c>
      <c r="BI219" t="s">
        <v>126</v>
      </c>
      <c r="BJ219" t="s">
        <v>126</v>
      </c>
      <c r="BK219" t="s">
        <v>126</v>
      </c>
      <c r="BS219" t="s">
        <v>126</v>
      </c>
      <c r="BT219" t="s">
        <v>126</v>
      </c>
      <c r="BU219" t="s">
        <v>126</v>
      </c>
      <c r="BV219" t="s">
        <v>126</v>
      </c>
      <c r="CN219" t="s">
        <v>147</v>
      </c>
      <c r="CP219" t="s">
        <v>557</v>
      </c>
      <c r="CQ219" t="s">
        <v>147</v>
      </c>
    </row>
    <row r="220" spans="1:95" x14ac:dyDescent="0.2">
      <c r="A220" t="s">
        <v>115</v>
      </c>
      <c r="B220" t="s">
        <v>116</v>
      </c>
      <c r="C220">
        <v>210784</v>
      </c>
      <c r="E220" t="s">
        <v>117</v>
      </c>
      <c r="F220">
        <v>368</v>
      </c>
      <c r="G220" t="s">
        <v>141</v>
      </c>
      <c r="H220" t="s">
        <v>142</v>
      </c>
      <c r="I220" t="s">
        <v>279</v>
      </c>
      <c r="J220" t="s">
        <v>280</v>
      </c>
      <c r="L220" t="s">
        <v>846</v>
      </c>
      <c r="M220" s="8">
        <v>45200</v>
      </c>
      <c r="N220">
        <v>5354344</v>
      </c>
      <c r="O220" t="s">
        <v>123</v>
      </c>
      <c r="P220" t="s">
        <v>146</v>
      </c>
      <c r="Q220">
        <v>3.37</v>
      </c>
      <c r="R220" t="s">
        <v>125</v>
      </c>
      <c r="S220" t="s">
        <v>126</v>
      </c>
      <c r="T220" t="s">
        <v>125</v>
      </c>
      <c r="U220" t="s">
        <v>126</v>
      </c>
      <c r="W220">
        <v>3.37</v>
      </c>
      <c r="Y220">
        <v>3.37</v>
      </c>
      <c r="BE220">
        <v>3.37</v>
      </c>
      <c r="BH220" t="s">
        <v>126</v>
      </c>
      <c r="BI220" t="s">
        <v>126</v>
      </c>
      <c r="BJ220" t="s">
        <v>126</v>
      </c>
      <c r="BK220" t="s">
        <v>126</v>
      </c>
      <c r="BS220" t="s">
        <v>126</v>
      </c>
      <c r="BT220" t="s">
        <v>126</v>
      </c>
      <c r="BU220" t="s">
        <v>126</v>
      </c>
      <c r="BV220" t="s">
        <v>126</v>
      </c>
      <c r="CN220" t="s">
        <v>147</v>
      </c>
      <c r="CP220" t="s">
        <v>557</v>
      </c>
      <c r="CQ220" t="s">
        <v>147</v>
      </c>
    </row>
    <row r="221" spans="1:95" x14ac:dyDescent="0.2">
      <c r="A221" t="s">
        <v>115</v>
      </c>
      <c r="B221" t="s">
        <v>116</v>
      </c>
      <c r="C221">
        <v>210784</v>
      </c>
      <c r="E221" t="s">
        <v>117</v>
      </c>
      <c r="F221">
        <v>368</v>
      </c>
      <c r="G221" t="s">
        <v>141</v>
      </c>
      <c r="H221" t="s">
        <v>142</v>
      </c>
      <c r="I221" t="s">
        <v>279</v>
      </c>
      <c r="J221" t="s">
        <v>280</v>
      </c>
      <c r="L221" t="s">
        <v>847</v>
      </c>
      <c r="M221" s="8">
        <v>45200</v>
      </c>
      <c r="N221">
        <v>5361249</v>
      </c>
      <c r="O221" t="s">
        <v>123</v>
      </c>
      <c r="P221" t="s">
        <v>146</v>
      </c>
      <c r="Q221">
        <v>3.51</v>
      </c>
      <c r="R221" t="s">
        <v>125</v>
      </c>
      <c r="S221" t="s">
        <v>126</v>
      </c>
      <c r="T221" t="s">
        <v>125</v>
      </c>
      <c r="U221" t="s">
        <v>126</v>
      </c>
      <c r="W221">
        <v>3.51</v>
      </c>
      <c r="Y221">
        <v>3.51</v>
      </c>
      <c r="BE221">
        <v>3.51</v>
      </c>
      <c r="BH221" t="s">
        <v>126</v>
      </c>
      <c r="BI221" t="s">
        <v>126</v>
      </c>
      <c r="BJ221" t="s">
        <v>126</v>
      </c>
      <c r="BK221" t="s">
        <v>126</v>
      </c>
      <c r="BS221" t="s">
        <v>126</v>
      </c>
      <c r="BT221" t="s">
        <v>126</v>
      </c>
      <c r="BU221" t="s">
        <v>126</v>
      </c>
      <c r="BV221" t="s">
        <v>126</v>
      </c>
      <c r="CN221" t="s">
        <v>147</v>
      </c>
      <c r="CP221" t="s">
        <v>220</v>
      </c>
      <c r="CQ221" t="s">
        <v>147</v>
      </c>
    </row>
    <row r="222" spans="1:95" x14ac:dyDescent="0.2">
      <c r="A222" t="s">
        <v>115</v>
      </c>
      <c r="B222" t="s">
        <v>116</v>
      </c>
      <c r="C222">
        <v>210784</v>
      </c>
      <c r="E222" t="s">
        <v>117</v>
      </c>
      <c r="F222">
        <v>368</v>
      </c>
      <c r="G222" t="s">
        <v>141</v>
      </c>
      <c r="H222" t="s">
        <v>142</v>
      </c>
      <c r="I222" t="s">
        <v>279</v>
      </c>
      <c r="J222" t="s">
        <v>280</v>
      </c>
      <c r="L222" t="s">
        <v>848</v>
      </c>
      <c r="M222" s="8">
        <v>45200</v>
      </c>
      <c r="N222">
        <v>5362709</v>
      </c>
      <c r="O222" t="s">
        <v>123</v>
      </c>
      <c r="P222" t="s">
        <v>146</v>
      </c>
      <c r="Q222">
        <v>4.34</v>
      </c>
      <c r="R222" t="s">
        <v>125</v>
      </c>
      <c r="S222" t="s">
        <v>126</v>
      </c>
      <c r="T222" t="s">
        <v>125</v>
      </c>
      <c r="U222" t="s">
        <v>126</v>
      </c>
      <c r="W222">
        <v>4.34</v>
      </c>
      <c r="Y222">
        <v>4.34</v>
      </c>
      <c r="BE222">
        <v>4.34</v>
      </c>
      <c r="BH222" t="s">
        <v>126</v>
      </c>
      <c r="BI222" t="s">
        <v>126</v>
      </c>
      <c r="BJ222" t="s">
        <v>126</v>
      </c>
      <c r="BK222" t="s">
        <v>126</v>
      </c>
      <c r="BS222" t="s">
        <v>126</v>
      </c>
      <c r="BT222" t="s">
        <v>126</v>
      </c>
      <c r="BU222" t="s">
        <v>126</v>
      </c>
      <c r="BV222" t="s">
        <v>126</v>
      </c>
      <c r="CN222" t="s">
        <v>147</v>
      </c>
      <c r="CP222" t="s">
        <v>220</v>
      </c>
      <c r="CQ222" t="s">
        <v>147</v>
      </c>
    </row>
    <row r="223" spans="1:95" x14ac:dyDescent="0.2">
      <c r="A223" t="s">
        <v>115</v>
      </c>
      <c r="B223" t="s">
        <v>116</v>
      </c>
      <c r="C223">
        <v>210784</v>
      </c>
      <c r="E223" t="s">
        <v>117</v>
      </c>
      <c r="F223">
        <v>368</v>
      </c>
      <c r="G223" t="s">
        <v>141</v>
      </c>
      <c r="H223" t="s">
        <v>142</v>
      </c>
      <c r="I223" t="s">
        <v>279</v>
      </c>
      <c r="J223" t="s">
        <v>280</v>
      </c>
      <c r="L223" t="s">
        <v>849</v>
      </c>
      <c r="M223" s="8">
        <v>45200</v>
      </c>
      <c r="N223">
        <v>5363736</v>
      </c>
      <c r="O223" t="s">
        <v>123</v>
      </c>
      <c r="P223" t="s">
        <v>146</v>
      </c>
      <c r="Q223">
        <v>4.7300000000000004</v>
      </c>
      <c r="R223" t="s">
        <v>125</v>
      </c>
      <c r="S223" t="s">
        <v>126</v>
      </c>
      <c r="T223" t="s">
        <v>125</v>
      </c>
      <c r="U223" t="s">
        <v>126</v>
      </c>
      <c r="W223">
        <v>4.7300000000000004</v>
      </c>
      <c r="Y223">
        <v>4.7300000000000004</v>
      </c>
      <c r="BE223">
        <v>4.7300000000000004</v>
      </c>
      <c r="BH223" t="s">
        <v>126</v>
      </c>
      <c r="BI223" t="s">
        <v>126</v>
      </c>
      <c r="BJ223" t="s">
        <v>126</v>
      </c>
      <c r="BK223" t="s">
        <v>126</v>
      </c>
      <c r="BS223" t="s">
        <v>126</v>
      </c>
      <c r="BT223" t="s">
        <v>126</v>
      </c>
      <c r="BU223" t="s">
        <v>126</v>
      </c>
      <c r="BV223" t="s">
        <v>126</v>
      </c>
      <c r="CN223" t="s">
        <v>147</v>
      </c>
      <c r="CP223" t="s">
        <v>220</v>
      </c>
      <c r="CQ223" t="s">
        <v>147</v>
      </c>
    </row>
    <row r="224" spans="1:95" x14ac:dyDescent="0.2">
      <c r="A224" t="s">
        <v>115</v>
      </c>
      <c r="B224" t="s">
        <v>116</v>
      </c>
      <c r="C224">
        <v>210784</v>
      </c>
      <c r="E224" t="s">
        <v>117</v>
      </c>
      <c r="F224">
        <v>368</v>
      </c>
      <c r="G224" t="s">
        <v>141</v>
      </c>
      <c r="H224" t="s">
        <v>142</v>
      </c>
      <c r="I224" t="s">
        <v>279</v>
      </c>
      <c r="J224" t="s">
        <v>280</v>
      </c>
      <c r="L224" t="s">
        <v>850</v>
      </c>
      <c r="M224" s="8">
        <v>45200</v>
      </c>
      <c r="N224">
        <v>5364344</v>
      </c>
      <c r="O224" t="s">
        <v>123</v>
      </c>
      <c r="P224" t="s">
        <v>146</v>
      </c>
      <c r="Q224">
        <v>3.83</v>
      </c>
      <c r="R224" t="s">
        <v>125</v>
      </c>
      <c r="S224" t="s">
        <v>126</v>
      </c>
      <c r="T224" t="s">
        <v>125</v>
      </c>
      <c r="U224" t="s">
        <v>126</v>
      </c>
      <c r="W224">
        <v>3.83</v>
      </c>
      <c r="Y224">
        <v>3.83</v>
      </c>
      <c r="BE224">
        <v>3.83</v>
      </c>
      <c r="BH224" t="s">
        <v>126</v>
      </c>
      <c r="BI224" t="s">
        <v>126</v>
      </c>
      <c r="BJ224" t="s">
        <v>126</v>
      </c>
      <c r="BK224" t="s">
        <v>126</v>
      </c>
      <c r="BS224" t="s">
        <v>126</v>
      </c>
      <c r="BT224" t="s">
        <v>126</v>
      </c>
      <c r="BU224" t="s">
        <v>126</v>
      </c>
      <c r="BV224" t="s">
        <v>126</v>
      </c>
      <c r="CN224" t="s">
        <v>147</v>
      </c>
      <c r="CP224" t="s">
        <v>220</v>
      </c>
      <c r="CQ224" t="s">
        <v>147</v>
      </c>
    </row>
    <row r="225" spans="1:95" x14ac:dyDescent="0.2">
      <c r="A225" t="s">
        <v>115</v>
      </c>
      <c r="B225" t="s">
        <v>116</v>
      </c>
      <c r="C225">
        <v>210784</v>
      </c>
      <c r="E225" t="s">
        <v>117</v>
      </c>
      <c r="F225">
        <v>368</v>
      </c>
      <c r="G225" t="s">
        <v>141</v>
      </c>
      <c r="H225" t="s">
        <v>142</v>
      </c>
      <c r="I225" t="s">
        <v>279</v>
      </c>
      <c r="J225" t="s">
        <v>280</v>
      </c>
      <c r="L225" t="s">
        <v>849</v>
      </c>
      <c r="M225" s="8">
        <v>45200</v>
      </c>
      <c r="N225">
        <v>5363685</v>
      </c>
      <c r="O225" t="s">
        <v>123</v>
      </c>
      <c r="P225" t="s">
        <v>146</v>
      </c>
      <c r="Q225">
        <v>2.4300000000000002</v>
      </c>
      <c r="R225" t="s">
        <v>125</v>
      </c>
      <c r="S225" t="s">
        <v>126</v>
      </c>
      <c r="T225" t="s">
        <v>125</v>
      </c>
      <c r="U225" t="s">
        <v>126</v>
      </c>
      <c r="W225">
        <v>2.4300000000000002</v>
      </c>
      <c r="Y225">
        <v>2.4300000000000002</v>
      </c>
      <c r="BE225">
        <v>2.4300000000000002</v>
      </c>
      <c r="BH225" t="s">
        <v>126</v>
      </c>
      <c r="BI225" t="s">
        <v>126</v>
      </c>
      <c r="BJ225" t="s">
        <v>126</v>
      </c>
      <c r="BK225" t="s">
        <v>126</v>
      </c>
      <c r="BS225" t="s">
        <v>126</v>
      </c>
      <c r="BT225" t="s">
        <v>126</v>
      </c>
      <c r="BU225" t="s">
        <v>126</v>
      </c>
      <c r="BV225" t="s">
        <v>126</v>
      </c>
      <c r="CN225" t="s">
        <v>147</v>
      </c>
      <c r="CP225" t="s">
        <v>220</v>
      </c>
      <c r="CQ225" t="s">
        <v>147</v>
      </c>
    </row>
    <row r="226" spans="1:95" x14ac:dyDescent="0.2">
      <c r="A226" t="s">
        <v>115</v>
      </c>
      <c r="B226" t="s">
        <v>116</v>
      </c>
      <c r="C226">
        <v>210784</v>
      </c>
      <c r="E226" t="s">
        <v>117</v>
      </c>
      <c r="F226">
        <v>368</v>
      </c>
      <c r="G226" t="s">
        <v>141</v>
      </c>
      <c r="H226" t="s">
        <v>142</v>
      </c>
      <c r="I226" t="s">
        <v>279</v>
      </c>
      <c r="J226" t="s">
        <v>280</v>
      </c>
      <c r="L226" t="s">
        <v>851</v>
      </c>
      <c r="M226" s="8">
        <v>45200</v>
      </c>
      <c r="N226">
        <v>5365090</v>
      </c>
      <c r="O226" t="s">
        <v>123</v>
      </c>
      <c r="P226" t="s">
        <v>146</v>
      </c>
      <c r="Q226">
        <v>0.93</v>
      </c>
      <c r="R226" t="s">
        <v>125</v>
      </c>
      <c r="S226" t="s">
        <v>126</v>
      </c>
      <c r="T226" t="s">
        <v>125</v>
      </c>
      <c r="U226" t="s">
        <v>126</v>
      </c>
      <c r="W226">
        <v>0.93</v>
      </c>
      <c r="Y226">
        <v>0.93</v>
      </c>
      <c r="BE226">
        <v>0.93</v>
      </c>
      <c r="BH226" t="s">
        <v>126</v>
      </c>
      <c r="BI226" t="s">
        <v>126</v>
      </c>
      <c r="BJ226" t="s">
        <v>126</v>
      </c>
      <c r="BK226" t="s">
        <v>126</v>
      </c>
      <c r="BS226" t="s">
        <v>126</v>
      </c>
      <c r="BT226" t="s">
        <v>126</v>
      </c>
      <c r="BU226" t="s">
        <v>126</v>
      </c>
      <c r="BV226" t="s">
        <v>126</v>
      </c>
      <c r="CN226" t="s">
        <v>147</v>
      </c>
      <c r="CP226" t="s">
        <v>220</v>
      </c>
      <c r="CQ226" t="s">
        <v>147</v>
      </c>
    </row>
    <row r="227" spans="1:95" x14ac:dyDescent="0.2">
      <c r="A227" t="s">
        <v>115</v>
      </c>
      <c r="B227" t="s">
        <v>116</v>
      </c>
      <c r="C227">
        <v>210784</v>
      </c>
      <c r="E227" t="s">
        <v>117</v>
      </c>
      <c r="F227">
        <v>368</v>
      </c>
      <c r="G227" t="s">
        <v>141</v>
      </c>
      <c r="H227" t="s">
        <v>142</v>
      </c>
      <c r="I227" t="s">
        <v>279</v>
      </c>
      <c r="J227" t="s">
        <v>280</v>
      </c>
      <c r="L227" t="s">
        <v>851</v>
      </c>
      <c r="M227" s="8">
        <v>45200</v>
      </c>
      <c r="N227">
        <v>5365222</v>
      </c>
      <c r="O227" t="s">
        <v>123</v>
      </c>
      <c r="P227" t="s">
        <v>146</v>
      </c>
      <c r="Q227">
        <v>3.45</v>
      </c>
      <c r="R227" t="s">
        <v>125</v>
      </c>
      <c r="S227" t="s">
        <v>126</v>
      </c>
      <c r="T227" t="s">
        <v>125</v>
      </c>
      <c r="U227" t="s">
        <v>126</v>
      </c>
      <c r="W227">
        <v>3.45</v>
      </c>
      <c r="Y227">
        <v>3.45</v>
      </c>
      <c r="BE227">
        <v>3.45</v>
      </c>
      <c r="BH227" t="s">
        <v>126</v>
      </c>
      <c r="BI227" t="s">
        <v>126</v>
      </c>
      <c r="BJ227" t="s">
        <v>126</v>
      </c>
      <c r="BK227" t="s">
        <v>126</v>
      </c>
      <c r="BS227" t="s">
        <v>126</v>
      </c>
      <c r="BT227" t="s">
        <v>126</v>
      </c>
      <c r="BU227" t="s">
        <v>126</v>
      </c>
      <c r="BV227" t="s">
        <v>126</v>
      </c>
      <c r="CN227" t="s">
        <v>147</v>
      </c>
      <c r="CP227" t="s">
        <v>220</v>
      </c>
      <c r="CQ227" t="s">
        <v>147</v>
      </c>
    </row>
    <row r="228" spans="1:95" x14ac:dyDescent="0.2">
      <c r="A228" t="s">
        <v>115</v>
      </c>
      <c r="B228" t="s">
        <v>116</v>
      </c>
      <c r="C228">
        <v>210784</v>
      </c>
      <c r="E228" t="s">
        <v>117</v>
      </c>
      <c r="F228">
        <v>368</v>
      </c>
      <c r="G228" t="s">
        <v>141</v>
      </c>
      <c r="H228" t="s">
        <v>142</v>
      </c>
      <c r="I228" t="s">
        <v>204</v>
      </c>
      <c r="J228" t="s">
        <v>205</v>
      </c>
      <c r="L228" t="s">
        <v>215</v>
      </c>
      <c r="M228" s="8">
        <v>45231</v>
      </c>
      <c r="N228">
        <v>94360</v>
      </c>
      <c r="O228" t="s">
        <v>123</v>
      </c>
      <c r="P228" t="s">
        <v>146</v>
      </c>
      <c r="Q228">
        <v>10.02</v>
      </c>
      <c r="R228" t="s">
        <v>125</v>
      </c>
      <c r="S228" t="s">
        <v>126</v>
      </c>
      <c r="T228" t="s">
        <v>125</v>
      </c>
      <c r="U228" t="s">
        <v>126</v>
      </c>
      <c r="W228">
        <v>10.02</v>
      </c>
      <c r="Y228">
        <v>10.02</v>
      </c>
      <c r="AC228">
        <v>10.02</v>
      </c>
      <c r="BH228" t="s">
        <v>126</v>
      </c>
      <c r="BI228" t="s">
        <v>126</v>
      </c>
      <c r="BJ228" t="s">
        <v>126</v>
      </c>
      <c r="BK228" t="s">
        <v>126</v>
      </c>
      <c r="BS228" t="s">
        <v>126</v>
      </c>
      <c r="BT228" t="s">
        <v>126</v>
      </c>
      <c r="BU228" t="s">
        <v>126</v>
      </c>
      <c r="BV228" t="s">
        <v>126</v>
      </c>
      <c r="CN228" t="s">
        <v>147</v>
      </c>
      <c r="CP228" t="s">
        <v>206</v>
      </c>
      <c r="CQ228" t="s">
        <v>147</v>
      </c>
    </row>
    <row r="229" spans="1:95" x14ac:dyDescent="0.2">
      <c r="A229" t="s">
        <v>115</v>
      </c>
      <c r="B229" t="s">
        <v>116</v>
      </c>
      <c r="C229">
        <v>210784</v>
      </c>
      <c r="E229" t="s">
        <v>117</v>
      </c>
      <c r="F229">
        <v>368</v>
      </c>
      <c r="G229" t="s">
        <v>141</v>
      </c>
      <c r="H229" t="s">
        <v>142</v>
      </c>
      <c r="I229" t="s">
        <v>204</v>
      </c>
      <c r="J229" t="s">
        <v>205</v>
      </c>
      <c r="L229" t="s">
        <v>216</v>
      </c>
      <c r="M229" s="8">
        <v>45231</v>
      </c>
      <c r="N229">
        <v>94843</v>
      </c>
      <c r="O229" t="s">
        <v>123</v>
      </c>
      <c r="P229" t="s">
        <v>146</v>
      </c>
      <c r="Q229">
        <v>6.3</v>
      </c>
      <c r="R229" t="s">
        <v>125</v>
      </c>
      <c r="S229" t="s">
        <v>126</v>
      </c>
      <c r="T229" t="s">
        <v>125</v>
      </c>
      <c r="U229" t="s">
        <v>126</v>
      </c>
      <c r="W229">
        <v>6.3</v>
      </c>
      <c r="Y229">
        <v>6.3</v>
      </c>
      <c r="AC229">
        <v>6.3</v>
      </c>
      <c r="BH229" t="s">
        <v>126</v>
      </c>
      <c r="BI229" t="s">
        <v>126</v>
      </c>
      <c r="BJ229" t="s">
        <v>126</v>
      </c>
      <c r="BK229" t="s">
        <v>126</v>
      </c>
      <c r="BS229" t="s">
        <v>126</v>
      </c>
      <c r="BT229" t="s">
        <v>126</v>
      </c>
      <c r="BU229" t="s">
        <v>126</v>
      </c>
      <c r="BV229" t="s">
        <v>126</v>
      </c>
      <c r="CN229" t="s">
        <v>147</v>
      </c>
      <c r="CP229" t="s">
        <v>206</v>
      </c>
      <c r="CQ229" t="s">
        <v>147</v>
      </c>
    </row>
    <row r="230" spans="1:95" x14ac:dyDescent="0.2">
      <c r="A230" t="s">
        <v>115</v>
      </c>
      <c r="B230" t="s">
        <v>116</v>
      </c>
      <c r="C230">
        <v>210784</v>
      </c>
      <c r="E230" t="s">
        <v>117</v>
      </c>
      <c r="F230">
        <v>368</v>
      </c>
      <c r="G230" t="s">
        <v>141</v>
      </c>
      <c r="H230" t="s">
        <v>142</v>
      </c>
      <c r="I230" t="s">
        <v>279</v>
      </c>
      <c r="J230" t="s">
        <v>280</v>
      </c>
      <c r="L230" t="s">
        <v>558</v>
      </c>
      <c r="M230" s="8">
        <v>45231</v>
      </c>
      <c r="N230">
        <v>5369002</v>
      </c>
      <c r="O230" t="s">
        <v>123</v>
      </c>
      <c r="P230" t="s">
        <v>146</v>
      </c>
      <c r="Q230">
        <v>1.5899999999999999</v>
      </c>
      <c r="R230" t="s">
        <v>559</v>
      </c>
      <c r="S230" t="s">
        <v>126</v>
      </c>
      <c r="T230" t="s">
        <v>559</v>
      </c>
      <c r="U230" t="s">
        <v>560</v>
      </c>
      <c r="W230">
        <v>0.49</v>
      </c>
      <c r="X230">
        <v>1.1000000000000001</v>
      </c>
      <c r="Y230">
        <v>1.5899999999999999</v>
      </c>
      <c r="Z230">
        <v>0.6</v>
      </c>
      <c r="AG230">
        <v>0.49</v>
      </c>
      <c r="AI230">
        <v>0.5</v>
      </c>
      <c r="BH230" t="s">
        <v>126</v>
      </c>
      <c r="BI230" t="s">
        <v>126</v>
      </c>
      <c r="BJ230" t="s">
        <v>126</v>
      </c>
      <c r="BK230" t="s">
        <v>126</v>
      </c>
      <c r="BS230" t="s">
        <v>126</v>
      </c>
      <c r="BT230" t="s">
        <v>126</v>
      </c>
      <c r="BU230" t="s">
        <v>126</v>
      </c>
      <c r="BV230" t="s">
        <v>126</v>
      </c>
      <c r="CN230" t="s">
        <v>147</v>
      </c>
      <c r="CP230" t="s">
        <v>220</v>
      </c>
      <c r="CQ230" t="s">
        <v>147</v>
      </c>
    </row>
    <row r="231" spans="1:95" x14ac:dyDescent="0.2">
      <c r="A231" t="s">
        <v>115</v>
      </c>
      <c r="B231" t="s">
        <v>116</v>
      </c>
      <c r="C231">
        <v>210784</v>
      </c>
      <c r="E231" t="s">
        <v>117</v>
      </c>
      <c r="F231">
        <v>368</v>
      </c>
      <c r="G231" t="s">
        <v>141</v>
      </c>
      <c r="H231" t="s">
        <v>142</v>
      </c>
      <c r="I231" t="s">
        <v>279</v>
      </c>
      <c r="J231" t="s">
        <v>280</v>
      </c>
      <c r="L231" t="s">
        <v>561</v>
      </c>
      <c r="M231" s="8">
        <v>45231</v>
      </c>
      <c r="N231">
        <v>5375602</v>
      </c>
      <c r="O231" t="s">
        <v>123</v>
      </c>
      <c r="P231" t="s">
        <v>146</v>
      </c>
      <c r="Q231">
        <v>1.7100000000000002</v>
      </c>
      <c r="R231" t="s">
        <v>562</v>
      </c>
      <c r="S231" t="s">
        <v>126</v>
      </c>
      <c r="T231" t="s">
        <v>562</v>
      </c>
      <c r="U231" t="s">
        <v>563</v>
      </c>
      <c r="W231">
        <v>0.53</v>
      </c>
      <c r="X231">
        <v>1.1800000000000002</v>
      </c>
      <c r="Y231">
        <v>1.7100000000000002</v>
      </c>
      <c r="Z231">
        <v>0.65</v>
      </c>
      <c r="AG231">
        <v>0.53</v>
      </c>
      <c r="AI231">
        <v>0.53</v>
      </c>
      <c r="BH231" t="s">
        <v>126</v>
      </c>
      <c r="BI231" t="s">
        <v>126</v>
      </c>
      <c r="BJ231" t="s">
        <v>126</v>
      </c>
      <c r="BK231" t="s">
        <v>126</v>
      </c>
      <c r="BS231" t="s">
        <v>126</v>
      </c>
      <c r="BT231" t="s">
        <v>126</v>
      </c>
      <c r="BU231" t="s">
        <v>126</v>
      </c>
      <c r="BV231" t="s">
        <v>126</v>
      </c>
      <c r="CN231" t="s">
        <v>147</v>
      </c>
      <c r="CP231" t="s">
        <v>220</v>
      </c>
      <c r="CQ231" t="s">
        <v>147</v>
      </c>
    </row>
    <row r="232" spans="1:95" x14ac:dyDescent="0.2">
      <c r="A232" t="s">
        <v>115</v>
      </c>
      <c r="B232" t="s">
        <v>116</v>
      </c>
      <c r="C232">
        <v>210784</v>
      </c>
      <c r="E232" t="s">
        <v>117</v>
      </c>
      <c r="F232">
        <v>368</v>
      </c>
      <c r="G232" t="s">
        <v>141</v>
      </c>
      <c r="H232" t="s">
        <v>142</v>
      </c>
      <c r="I232" t="s">
        <v>564</v>
      </c>
      <c r="J232" t="s">
        <v>565</v>
      </c>
      <c r="L232" t="s">
        <v>566</v>
      </c>
      <c r="M232" s="8">
        <v>45231</v>
      </c>
      <c r="N232">
        <v>20885342</v>
      </c>
      <c r="O232" t="s">
        <v>123</v>
      </c>
      <c r="P232" t="s">
        <v>146</v>
      </c>
      <c r="Q232">
        <v>3.37</v>
      </c>
      <c r="R232" t="s">
        <v>567</v>
      </c>
      <c r="S232" t="s">
        <v>126</v>
      </c>
      <c r="T232" t="s">
        <v>567</v>
      </c>
      <c r="U232" t="s">
        <v>568</v>
      </c>
      <c r="W232">
        <v>1.04</v>
      </c>
      <c r="X232">
        <v>2.33</v>
      </c>
      <c r="Y232">
        <v>3.37</v>
      </c>
      <c r="Z232">
        <v>1.28</v>
      </c>
      <c r="AG232">
        <v>1.04</v>
      </c>
      <c r="AI232">
        <v>1.05</v>
      </c>
      <c r="BH232" t="s">
        <v>126</v>
      </c>
      <c r="BI232" t="s">
        <v>126</v>
      </c>
      <c r="BJ232" t="s">
        <v>126</v>
      </c>
      <c r="BK232" t="s">
        <v>126</v>
      </c>
      <c r="BS232" t="s">
        <v>126</v>
      </c>
      <c r="BT232" t="s">
        <v>126</v>
      </c>
      <c r="BU232" t="s">
        <v>126</v>
      </c>
      <c r="BV232" t="s">
        <v>126</v>
      </c>
      <c r="CN232" t="s">
        <v>147</v>
      </c>
      <c r="CP232" t="s">
        <v>220</v>
      </c>
      <c r="CQ232" t="s">
        <v>147</v>
      </c>
    </row>
    <row r="233" spans="1:95" x14ac:dyDescent="0.2">
      <c r="A233" t="s">
        <v>115</v>
      </c>
      <c r="B233" t="s">
        <v>116</v>
      </c>
      <c r="C233">
        <v>210784</v>
      </c>
      <c r="E233" t="s">
        <v>117</v>
      </c>
      <c r="F233">
        <v>368</v>
      </c>
      <c r="G233" t="s">
        <v>141</v>
      </c>
      <c r="H233" t="s">
        <v>142</v>
      </c>
      <c r="I233" t="s">
        <v>279</v>
      </c>
      <c r="J233" t="s">
        <v>280</v>
      </c>
      <c r="L233" t="s">
        <v>566</v>
      </c>
      <c r="M233" s="8">
        <v>45231</v>
      </c>
      <c r="N233">
        <v>5378512</v>
      </c>
      <c r="O233" t="s">
        <v>123</v>
      </c>
      <c r="P233" t="s">
        <v>146</v>
      </c>
      <c r="Q233">
        <v>1.43</v>
      </c>
      <c r="R233" t="s">
        <v>569</v>
      </c>
      <c r="S233" t="s">
        <v>126</v>
      </c>
      <c r="T233" t="s">
        <v>569</v>
      </c>
      <c r="U233" t="s">
        <v>570</v>
      </c>
      <c r="W233">
        <v>0.44</v>
      </c>
      <c r="X233">
        <v>0.99</v>
      </c>
      <c r="Y233">
        <v>1.43</v>
      </c>
      <c r="Z233">
        <v>0.54</v>
      </c>
      <c r="AG233">
        <v>0.44</v>
      </c>
      <c r="AI233">
        <v>0.45</v>
      </c>
      <c r="BH233" t="s">
        <v>126</v>
      </c>
      <c r="BI233" t="s">
        <v>126</v>
      </c>
      <c r="BJ233" t="s">
        <v>126</v>
      </c>
      <c r="BK233" t="s">
        <v>126</v>
      </c>
      <c r="BS233" t="s">
        <v>126</v>
      </c>
      <c r="BT233" t="s">
        <v>126</v>
      </c>
      <c r="BU233" t="s">
        <v>126</v>
      </c>
      <c r="BV233" t="s">
        <v>126</v>
      </c>
      <c r="CN233" t="s">
        <v>147</v>
      </c>
      <c r="CP233" t="s">
        <v>220</v>
      </c>
      <c r="CQ233" t="s">
        <v>147</v>
      </c>
    </row>
    <row r="234" spans="1:95" x14ac:dyDescent="0.2">
      <c r="A234" t="s">
        <v>115</v>
      </c>
      <c r="B234" t="s">
        <v>116</v>
      </c>
      <c r="C234">
        <v>210784</v>
      </c>
      <c r="E234" t="s">
        <v>117</v>
      </c>
      <c r="F234">
        <v>368</v>
      </c>
      <c r="G234" t="s">
        <v>141</v>
      </c>
      <c r="H234" t="s">
        <v>142</v>
      </c>
      <c r="I234" t="s">
        <v>279</v>
      </c>
      <c r="J234" t="s">
        <v>280</v>
      </c>
      <c r="L234" t="s">
        <v>571</v>
      </c>
      <c r="M234" s="8">
        <v>45231</v>
      </c>
      <c r="N234">
        <v>5385024</v>
      </c>
      <c r="O234" t="s">
        <v>123</v>
      </c>
      <c r="P234" t="s">
        <v>146</v>
      </c>
      <c r="Q234">
        <v>2.2799999999999998</v>
      </c>
      <c r="R234" t="s">
        <v>572</v>
      </c>
      <c r="S234" t="s">
        <v>126</v>
      </c>
      <c r="T234" t="s">
        <v>572</v>
      </c>
      <c r="U234" t="s">
        <v>573</v>
      </c>
      <c r="W234">
        <v>0.7</v>
      </c>
      <c r="X234">
        <v>1.58</v>
      </c>
      <c r="Y234">
        <v>2.2799999999999998</v>
      </c>
      <c r="Z234">
        <v>0.87</v>
      </c>
      <c r="AG234">
        <v>0.7</v>
      </c>
      <c r="AI234">
        <v>0.71</v>
      </c>
      <c r="BH234" t="s">
        <v>126</v>
      </c>
      <c r="BI234" t="s">
        <v>126</v>
      </c>
      <c r="BJ234" t="s">
        <v>126</v>
      </c>
      <c r="BK234" t="s">
        <v>126</v>
      </c>
      <c r="BS234" t="s">
        <v>126</v>
      </c>
      <c r="BT234" t="s">
        <v>126</v>
      </c>
      <c r="BU234" t="s">
        <v>126</v>
      </c>
      <c r="BV234" t="s">
        <v>126</v>
      </c>
      <c r="CN234" t="s">
        <v>147</v>
      </c>
      <c r="CP234" t="s">
        <v>220</v>
      </c>
      <c r="CQ234" t="s">
        <v>147</v>
      </c>
    </row>
    <row r="235" spans="1:95" x14ac:dyDescent="0.2">
      <c r="A235" t="s">
        <v>115</v>
      </c>
      <c r="B235" t="s">
        <v>116</v>
      </c>
      <c r="C235">
        <v>210784</v>
      </c>
      <c r="E235" t="s">
        <v>117</v>
      </c>
      <c r="F235">
        <v>368</v>
      </c>
      <c r="G235" t="s">
        <v>141</v>
      </c>
      <c r="H235" t="s">
        <v>142</v>
      </c>
      <c r="I235" t="s">
        <v>279</v>
      </c>
      <c r="J235" t="s">
        <v>280</v>
      </c>
      <c r="L235" t="s">
        <v>571</v>
      </c>
      <c r="M235" s="8">
        <v>45231</v>
      </c>
      <c r="N235">
        <v>5385401</v>
      </c>
      <c r="O235" t="s">
        <v>123</v>
      </c>
      <c r="P235" t="s">
        <v>146</v>
      </c>
      <c r="Q235">
        <v>3.6100000000000003</v>
      </c>
      <c r="R235" t="s">
        <v>574</v>
      </c>
      <c r="S235" t="s">
        <v>126</v>
      </c>
      <c r="T235" t="s">
        <v>574</v>
      </c>
      <c r="U235" t="s">
        <v>575</v>
      </c>
      <c r="W235">
        <v>1.1100000000000001</v>
      </c>
      <c r="X235">
        <v>2.5</v>
      </c>
      <c r="Y235">
        <v>3.6100000000000003</v>
      </c>
      <c r="Z235">
        <v>1.38</v>
      </c>
      <c r="AG235">
        <v>1.1100000000000001</v>
      </c>
      <c r="AI235">
        <v>1.1200000000000001</v>
      </c>
      <c r="BH235" t="s">
        <v>126</v>
      </c>
      <c r="BI235" t="s">
        <v>126</v>
      </c>
      <c r="BJ235" t="s">
        <v>126</v>
      </c>
      <c r="BK235" t="s">
        <v>126</v>
      </c>
      <c r="BS235" t="s">
        <v>126</v>
      </c>
      <c r="BT235" t="s">
        <v>126</v>
      </c>
      <c r="BU235" t="s">
        <v>126</v>
      </c>
      <c r="BV235" t="s">
        <v>126</v>
      </c>
      <c r="CN235" t="s">
        <v>147</v>
      </c>
      <c r="CP235" t="s">
        <v>220</v>
      </c>
      <c r="CQ235" t="s">
        <v>147</v>
      </c>
    </row>
    <row r="236" spans="1:95" x14ac:dyDescent="0.2">
      <c r="A236" t="s">
        <v>115</v>
      </c>
      <c r="B236" t="s">
        <v>116</v>
      </c>
      <c r="C236">
        <v>210784</v>
      </c>
      <c r="E236" t="s">
        <v>117</v>
      </c>
      <c r="F236">
        <v>368</v>
      </c>
      <c r="G236" t="s">
        <v>141</v>
      </c>
      <c r="H236" t="s">
        <v>142</v>
      </c>
      <c r="I236" t="s">
        <v>279</v>
      </c>
      <c r="J236" t="s">
        <v>280</v>
      </c>
      <c r="L236" t="s">
        <v>852</v>
      </c>
      <c r="M236" s="8">
        <v>45231</v>
      </c>
      <c r="N236">
        <v>5372050</v>
      </c>
      <c r="O236" t="s">
        <v>123</v>
      </c>
      <c r="P236" t="s">
        <v>146</v>
      </c>
      <c r="Q236">
        <v>2.2799999999999998</v>
      </c>
      <c r="R236" t="s">
        <v>125</v>
      </c>
      <c r="S236" t="s">
        <v>126</v>
      </c>
      <c r="T236" t="s">
        <v>125</v>
      </c>
      <c r="U236" t="s">
        <v>126</v>
      </c>
      <c r="W236">
        <v>2.2799999999999998</v>
      </c>
      <c r="Y236">
        <v>2.2799999999999998</v>
      </c>
      <c r="BE236">
        <v>2.2799999999999998</v>
      </c>
      <c r="BH236" t="s">
        <v>126</v>
      </c>
      <c r="BI236" t="s">
        <v>126</v>
      </c>
      <c r="BJ236" t="s">
        <v>126</v>
      </c>
      <c r="BK236" t="s">
        <v>126</v>
      </c>
      <c r="BS236" t="s">
        <v>126</v>
      </c>
      <c r="BT236" t="s">
        <v>126</v>
      </c>
      <c r="BU236" t="s">
        <v>126</v>
      </c>
      <c r="BV236" t="s">
        <v>126</v>
      </c>
      <c r="CN236" t="s">
        <v>147</v>
      </c>
      <c r="CP236" t="s">
        <v>220</v>
      </c>
      <c r="CQ236" t="s">
        <v>147</v>
      </c>
    </row>
    <row r="237" spans="1:95" x14ac:dyDescent="0.2">
      <c r="A237" t="s">
        <v>115</v>
      </c>
      <c r="B237" t="s">
        <v>116</v>
      </c>
      <c r="C237">
        <v>210784</v>
      </c>
      <c r="E237" t="s">
        <v>117</v>
      </c>
      <c r="F237">
        <v>368</v>
      </c>
      <c r="G237" t="s">
        <v>141</v>
      </c>
      <c r="H237" t="s">
        <v>142</v>
      </c>
      <c r="I237" t="s">
        <v>279</v>
      </c>
      <c r="J237" t="s">
        <v>280</v>
      </c>
      <c r="L237" t="s">
        <v>561</v>
      </c>
      <c r="M237" s="8">
        <v>45231</v>
      </c>
      <c r="N237">
        <v>5375684</v>
      </c>
      <c r="O237" t="s">
        <v>123</v>
      </c>
      <c r="P237" t="s">
        <v>146</v>
      </c>
      <c r="Q237">
        <v>2.74</v>
      </c>
      <c r="R237" t="s">
        <v>125</v>
      </c>
      <c r="S237" t="s">
        <v>126</v>
      </c>
      <c r="T237" t="s">
        <v>125</v>
      </c>
      <c r="U237" t="s">
        <v>126</v>
      </c>
      <c r="W237">
        <v>2.74</v>
      </c>
      <c r="Y237">
        <v>2.74</v>
      </c>
      <c r="BE237">
        <v>2.74</v>
      </c>
      <c r="BH237" t="s">
        <v>126</v>
      </c>
      <c r="BI237" t="s">
        <v>126</v>
      </c>
      <c r="BJ237" t="s">
        <v>126</v>
      </c>
      <c r="BK237" t="s">
        <v>126</v>
      </c>
      <c r="BS237" t="s">
        <v>126</v>
      </c>
      <c r="BT237" t="s">
        <v>126</v>
      </c>
      <c r="BU237" t="s">
        <v>126</v>
      </c>
      <c r="BV237" t="s">
        <v>126</v>
      </c>
      <c r="CN237" t="s">
        <v>147</v>
      </c>
      <c r="CP237" t="s">
        <v>220</v>
      </c>
      <c r="CQ237" t="s">
        <v>147</v>
      </c>
    </row>
    <row r="238" spans="1:95" x14ac:dyDescent="0.2">
      <c r="A238" t="s">
        <v>115</v>
      </c>
      <c r="B238" t="s">
        <v>116</v>
      </c>
      <c r="C238">
        <v>210784</v>
      </c>
      <c r="E238" t="s">
        <v>117</v>
      </c>
      <c r="F238">
        <v>368</v>
      </c>
      <c r="G238" t="s">
        <v>141</v>
      </c>
      <c r="H238" t="s">
        <v>142</v>
      </c>
      <c r="I238" t="s">
        <v>204</v>
      </c>
      <c r="J238" t="s">
        <v>205</v>
      </c>
      <c r="L238" t="s">
        <v>217</v>
      </c>
      <c r="M238" s="8">
        <v>45261</v>
      </c>
      <c r="N238">
        <v>95488</v>
      </c>
      <c r="O238" t="s">
        <v>123</v>
      </c>
      <c r="P238" t="s">
        <v>146</v>
      </c>
      <c r="Q238">
        <v>6.6</v>
      </c>
      <c r="R238" t="s">
        <v>125</v>
      </c>
      <c r="S238" t="s">
        <v>126</v>
      </c>
      <c r="T238" t="s">
        <v>125</v>
      </c>
      <c r="U238" t="s">
        <v>126</v>
      </c>
      <c r="W238">
        <v>6.6</v>
      </c>
      <c r="Y238">
        <v>6.6</v>
      </c>
      <c r="AC238">
        <v>6.6</v>
      </c>
      <c r="BH238" t="s">
        <v>126</v>
      </c>
      <c r="BI238" t="s">
        <v>126</v>
      </c>
      <c r="BJ238" t="s">
        <v>126</v>
      </c>
      <c r="BK238" t="s">
        <v>126</v>
      </c>
      <c r="BS238" t="s">
        <v>126</v>
      </c>
      <c r="BT238" t="s">
        <v>126</v>
      </c>
      <c r="BU238" t="s">
        <v>126</v>
      </c>
      <c r="BV238" t="s">
        <v>126</v>
      </c>
      <c r="CN238" t="s">
        <v>147</v>
      </c>
      <c r="CP238" t="s">
        <v>206</v>
      </c>
      <c r="CQ238" t="s">
        <v>147</v>
      </c>
    </row>
    <row r="239" spans="1:95" x14ac:dyDescent="0.2">
      <c r="A239" t="s">
        <v>115</v>
      </c>
      <c r="B239" t="s">
        <v>116</v>
      </c>
      <c r="C239">
        <v>210784</v>
      </c>
      <c r="E239" t="s">
        <v>117</v>
      </c>
      <c r="F239">
        <v>368</v>
      </c>
      <c r="G239" t="s">
        <v>141</v>
      </c>
      <c r="H239" t="s">
        <v>142</v>
      </c>
      <c r="I239" t="s">
        <v>204</v>
      </c>
      <c r="J239" t="s">
        <v>205</v>
      </c>
      <c r="L239" t="s">
        <v>218</v>
      </c>
      <c r="M239" s="8">
        <v>45261</v>
      </c>
      <c r="N239">
        <v>95779</v>
      </c>
      <c r="O239" t="s">
        <v>123</v>
      </c>
      <c r="P239" t="s">
        <v>146</v>
      </c>
      <c r="Q239">
        <v>0.76</v>
      </c>
      <c r="R239" t="s">
        <v>125</v>
      </c>
      <c r="S239" t="s">
        <v>126</v>
      </c>
      <c r="T239" t="s">
        <v>125</v>
      </c>
      <c r="U239" t="s">
        <v>126</v>
      </c>
      <c r="W239">
        <v>0.76</v>
      </c>
      <c r="Y239">
        <v>0.76</v>
      </c>
      <c r="AC239">
        <v>0.76</v>
      </c>
      <c r="BH239" t="s">
        <v>126</v>
      </c>
      <c r="BI239" t="s">
        <v>126</v>
      </c>
      <c r="BJ239" t="s">
        <v>126</v>
      </c>
      <c r="BK239" t="s">
        <v>126</v>
      </c>
      <c r="BS239" t="s">
        <v>126</v>
      </c>
      <c r="BT239" t="s">
        <v>126</v>
      </c>
      <c r="BU239" t="s">
        <v>126</v>
      </c>
      <c r="BV239" t="s">
        <v>126</v>
      </c>
      <c r="CN239" t="s">
        <v>147</v>
      </c>
      <c r="CP239" t="s">
        <v>206</v>
      </c>
      <c r="CQ239" t="s">
        <v>147</v>
      </c>
    </row>
    <row r="240" spans="1:95" x14ac:dyDescent="0.2">
      <c r="A240" t="s">
        <v>115</v>
      </c>
      <c r="B240" t="s">
        <v>116</v>
      </c>
      <c r="C240">
        <v>210784</v>
      </c>
      <c r="E240" t="s">
        <v>117</v>
      </c>
      <c r="F240">
        <v>368</v>
      </c>
      <c r="G240" t="s">
        <v>141</v>
      </c>
      <c r="H240" t="s">
        <v>142</v>
      </c>
      <c r="I240" t="s">
        <v>204</v>
      </c>
      <c r="J240" t="s">
        <v>205</v>
      </c>
      <c r="L240" t="s">
        <v>219</v>
      </c>
      <c r="M240" s="8">
        <v>45261</v>
      </c>
      <c r="N240">
        <v>96160</v>
      </c>
      <c r="O240" t="s">
        <v>123</v>
      </c>
      <c r="P240" t="s">
        <v>146</v>
      </c>
      <c r="Q240">
        <v>4.88</v>
      </c>
      <c r="R240" t="s">
        <v>125</v>
      </c>
      <c r="S240" t="s">
        <v>126</v>
      </c>
      <c r="T240" t="s">
        <v>125</v>
      </c>
      <c r="U240" t="s">
        <v>126</v>
      </c>
      <c r="W240">
        <v>4.88</v>
      </c>
      <c r="Y240">
        <v>4.88</v>
      </c>
      <c r="AC240">
        <v>4.88</v>
      </c>
      <c r="BH240" t="s">
        <v>126</v>
      </c>
      <c r="BI240" t="s">
        <v>126</v>
      </c>
      <c r="BJ240" t="s">
        <v>126</v>
      </c>
      <c r="BK240" t="s">
        <v>126</v>
      </c>
      <c r="BS240" t="s">
        <v>126</v>
      </c>
      <c r="BT240" t="s">
        <v>126</v>
      </c>
      <c r="BU240" t="s">
        <v>126</v>
      </c>
      <c r="BV240" t="s">
        <v>126</v>
      </c>
      <c r="CN240" t="s">
        <v>147</v>
      </c>
      <c r="CP240" t="s">
        <v>206</v>
      </c>
      <c r="CQ240" t="s">
        <v>147</v>
      </c>
    </row>
    <row r="241" spans="1:95" x14ac:dyDescent="0.2">
      <c r="A241" t="s">
        <v>115</v>
      </c>
      <c r="B241" t="s">
        <v>116</v>
      </c>
      <c r="C241">
        <v>210784</v>
      </c>
      <c r="E241" t="s">
        <v>117</v>
      </c>
      <c r="F241">
        <v>368</v>
      </c>
      <c r="G241" t="s">
        <v>141</v>
      </c>
      <c r="H241" t="s">
        <v>142</v>
      </c>
      <c r="I241" t="s">
        <v>279</v>
      </c>
      <c r="J241" t="s">
        <v>280</v>
      </c>
      <c r="L241" t="s">
        <v>219</v>
      </c>
      <c r="M241" s="8">
        <v>45261</v>
      </c>
      <c r="N241">
        <v>5403953</v>
      </c>
      <c r="O241" t="s">
        <v>123</v>
      </c>
      <c r="P241" t="s">
        <v>146</v>
      </c>
      <c r="Q241">
        <v>1.8199999999999998</v>
      </c>
      <c r="R241" t="s">
        <v>569</v>
      </c>
      <c r="S241" t="s">
        <v>126</v>
      </c>
      <c r="T241" t="s">
        <v>569</v>
      </c>
      <c r="U241" t="s">
        <v>570</v>
      </c>
      <c r="W241">
        <v>0.56000000000000005</v>
      </c>
      <c r="X241">
        <v>1.2599999999999998</v>
      </c>
      <c r="Y241">
        <v>1.8199999999999998</v>
      </c>
      <c r="Z241">
        <v>0.69</v>
      </c>
      <c r="AG241">
        <v>0.56000000000000005</v>
      </c>
      <c r="AI241">
        <v>0.56999999999999995</v>
      </c>
      <c r="BH241" t="s">
        <v>126</v>
      </c>
      <c r="BI241" t="s">
        <v>126</v>
      </c>
      <c r="BJ241" t="s">
        <v>126</v>
      </c>
      <c r="BK241" t="s">
        <v>126</v>
      </c>
      <c r="BS241" t="s">
        <v>126</v>
      </c>
      <c r="BT241" t="s">
        <v>126</v>
      </c>
      <c r="BU241" t="s">
        <v>126</v>
      </c>
      <c r="BV241" t="s">
        <v>126</v>
      </c>
      <c r="CN241" t="s">
        <v>147</v>
      </c>
      <c r="CP241" t="s">
        <v>220</v>
      </c>
      <c r="CQ241" t="s">
        <v>147</v>
      </c>
    </row>
    <row r="242" spans="1:95" x14ac:dyDescent="0.2">
      <c r="A242" t="s">
        <v>115</v>
      </c>
      <c r="B242" t="s">
        <v>116</v>
      </c>
      <c r="C242">
        <v>210784</v>
      </c>
      <c r="E242" t="s">
        <v>117</v>
      </c>
      <c r="F242">
        <v>368</v>
      </c>
      <c r="G242" t="s">
        <v>141</v>
      </c>
      <c r="H242" t="s">
        <v>142</v>
      </c>
      <c r="I242" t="s">
        <v>279</v>
      </c>
      <c r="J242" t="s">
        <v>280</v>
      </c>
      <c r="L242" t="s">
        <v>218</v>
      </c>
      <c r="M242" s="8">
        <v>45261</v>
      </c>
      <c r="N242">
        <v>5397028</v>
      </c>
      <c r="O242" t="s">
        <v>123</v>
      </c>
      <c r="P242" t="s">
        <v>146</v>
      </c>
      <c r="Q242">
        <v>2.9200000000000004</v>
      </c>
      <c r="R242" t="s">
        <v>559</v>
      </c>
      <c r="S242" t="s">
        <v>126</v>
      </c>
      <c r="T242" t="s">
        <v>559</v>
      </c>
      <c r="U242" t="s">
        <v>560</v>
      </c>
      <c r="W242">
        <v>0.9</v>
      </c>
      <c r="X242">
        <v>2.02</v>
      </c>
      <c r="Y242">
        <v>2.9200000000000004</v>
      </c>
      <c r="Z242">
        <v>1.1100000000000001</v>
      </c>
      <c r="AG242">
        <v>0.9</v>
      </c>
      <c r="AI242">
        <v>0.91</v>
      </c>
      <c r="BH242" t="s">
        <v>126</v>
      </c>
      <c r="BI242" t="s">
        <v>126</v>
      </c>
      <c r="BJ242" t="s">
        <v>126</v>
      </c>
      <c r="BK242" t="s">
        <v>126</v>
      </c>
      <c r="BS242" t="s">
        <v>126</v>
      </c>
      <c r="BT242" t="s">
        <v>126</v>
      </c>
      <c r="BU242" t="s">
        <v>126</v>
      </c>
      <c r="BV242" t="s">
        <v>126</v>
      </c>
      <c r="CN242" t="s">
        <v>147</v>
      </c>
      <c r="CP242" t="s">
        <v>220</v>
      </c>
      <c r="CQ242" t="s">
        <v>147</v>
      </c>
    </row>
    <row r="243" spans="1:95" x14ac:dyDescent="0.2">
      <c r="A243" t="s">
        <v>115</v>
      </c>
      <c r="B243" t="s">
        <v>116</v>
      </c>
      <c r="C243">
        <v>210784</v>
      </c>
      <c r="E243" t="s">
        <v>117</v>
      </c>
      <c r="F243">
        <v>368</v>
      </c>
      <c r="G243" t="s">
        <v>141</v>
      </c>
      <c r="H243" t="s">
        <v>142</v>
      </c>
      <c r="I243" t="s">
        <v>279</v>
      </c>
      <c r="J243" t="s">
        <v>280</v>
      </c>
      <c r="L243" t="s">
        <v>853</v>
      </c>
      <c r="M243" s="8">
        <v>45261</v>
      </c>
      <c r="N243">
        <v>5396677</v>
      </c>
      <c r="O243" t="s">
        <v>123</v>
      </c>
      <c r="P243" t="s">
        <v>146</v>
      </c>
      <c r="Q243">
        <v>3.88</v>
      </c>
      <c r="R243" t="s">
        <v>125</v>
      </c>
      <c r="S243" t="s">
        <v>126</v>
      </c>
      <c r="T243" t="s">
        <v>125</v>
      </c>
      <c r="U243" t="s">
        <v>126</v>
      </c>
      <c r="W243">
        <v>3.88</v>
      </c>
      <c r="Y243">
        <v>3.88</v>
      </c>
      <c r="BE243">
        <v>3.88</v>
      </c>
      <c r="BH243" t="s">
        <v>126</v>
      </c>
      <c r="BI243" t="s">
        <v>126</v>
      </c>
      <c r="BJ243" t="s">
        <v>126</v>
      </c>
      <c r="BK243" t="s">
        <v>126</v>
      </c>
      <c r="BS243" t="s">
        <v>126</v>
      </c>
      <c r="BT243" t="s">
        <v>126</v>
      </c>
      <c r="BU243" t="s">
        <v>126</v>
      </c>
      <c r="BV243" t="s">
        <v>126</v>
      </c>
      <c r="CN243" t="s">
        <v>147</v>
      </c>
      <c r="CP243" t="s">
        <v>220</v>
      </c>
      <c r="CQ243" t="s">
        <v>147</v>
      </c>
    </row>
    <row r="244" spans="1:95" x14ac:dyDescent="0.2">
      <c r="A244" t="s">
        <v>115</v>
      </c>
      <c r="B244" t="s">
        <v>116</v>
      </c>
      <c r="C244">
        <v>210784</v>
      </c>
      <c r="E244" t="s">
        <v>117</v>
      </c>
      <c r="F244">
        <v>368</v>
      </c>
      <c r="G244" t="s">
        <v>141</v>
      </c>
      <c r="H244" t="s">
        <v>142</v>
      </c>
      <c r="I244" t="s">
        <v>204</v>
      </c>
      <c r="J244" t="s">
        <v>205</v>
      </c>
      <c r="L244" t="s">
        <v>220</v>
      </c>
      <c r="M244" s="8">
        <v>45292</v>
      </c>
      <c r="N244">
        <v>96287</v>
      </c>
      <c r="O244" t="s">
        <v>123</v>
      </c>
      <c r="P244" t="s">
        <v>146</v>
      </c>
      <c r="Q244">
        <v>2.4300000000000002</v>
      </c>
      <c r="R244" t="s">
        <v>125</v>
      </c>
      <c r="S244" t="s">
        <v>126</v>
      </c>
      <c r="T244" t="s">
        <v>125</v>
      </c>
      <c r="U244" t="s">
        <v>126</v>
      </c>
      <c r="W244">
        <v>2.4300000000000002</v>
      </c>
      <c r="Y244">
        <v>2.4300000000000002</v>
      </c>
      <c r="AC244">
        <v>2.4300000000000002</v>
      </c>
      <c r="BH244" t="s">
        <v>126</v>
      </c>
      <c r="BI244" t="s">
        <v>126</v>
      </c>
      <c r="BJ244" t="s">
        <v>126</v>
      </c>
      <c r="BK244" t="s">
        <v>126</v>
      </c>
      <c r="BS244" t="s">
        <v>126</v>
      </c>
      <c r="BT244" t="s">
        <v>126</v>
      </c>
      <c r="BU244" t="s">
        <v>126</v>
      </c>
      <c r="BV244" t="s">
        <v>126</v>
      </c>
      <c r="CN244" t="s">
        <v>147</v>
      </c>
      <c r="CP244" t="s">
        <v>206</v>
      </c>
      <c r="CQ244" t="s">
        <v>147</v>
      </c>
    </row>
    <row r="245" spans="1:95" x14ac:dyDescent="0.2">
      <c r="A245" t="s">
        <v>115</v>
      </c>
      <c r="B245" t="s">
        <v>116</v>
      </c>
      <c r="C245">
        <v>210784</v>
      </c>
      <c r="E245" t="s">
        <v>117</v>
      </c>
      <c r="F245">
        <v>368</v>
      </c>
      <c r="G245" t="s">
        <v>141</v>
      </c>
      <c r="H245" t="s">
        <v>142</v>
      </c>
      <c r="I245" t="s">
        <v>204</v>
      </c>
      <c r="J245" t="s">
        <v>205</v>
      </c>
      <c r="L245" t="s">
        <v>220</v>
      </c>
      <c r="M245" s="8">
        <v>45292</v>
      </c>
      <c r="N245">
        <v>96269</v>
      </c>
      <c r="O245" t="s">
        <v>123</v>
      </c>
      <c r="P245" t="s">
        <v>146</v>
      </c>
      <c r="Q245">
        <v>8.39</v>
      </c>
      <c r="R245" t="s">
        <v>125</v>
      </c>
      <c r="S245" t="s">
        <v>126</v>
      </c>
      <c r="T245" t="s">
        <v>125</v>
      </c>
      <c r="U245" t="s">
        <v>126</v>
      </c>
      <c r="W245">
        <v>8.39</v>
      </c>
      <c r="Y245">
        <v>8.39</v>
      </c>
      <c r="AC245">
        <v>8.39</v>
      </c>
      <c r="BH245" t="s">
        <v>126</v>
      </c>
      <c r="BI245" t="s">
        <v>126</v>
      </c>
      <c r="BJ245" t="s">
        <v>126</v>
      </c>
      <c r="BK245" t="s">
        <v>126</v>
      </c>
      <c r="BS245" t="s">
        <v>126</v>
      </c>
      <c r="BT245" t="s">
        <v>126</v>
      </c>
      <c r="BU245" t="s">
        <v>126</v>
      </c>
      <c r="BV245" t="s">
        <v>126</v>
      </c>
      <c r="CN245" t="s">
        <v>147</v>
      </c>
      <c r="CP245" t="s">
        <v>206</v>
      </c>
      <c r="CQ245" t="s">
        <v>147</v>
      </c>
    </row>
    <row r="246" spans="1:95" x14ac:dyDescent="0.2">
      <c r="A246" t="s">
        <v>115</v>
      </c>
      <c r="B246" t="s">
        <v>116</v>
      </c>
      <c r="C246">
        <v>210784</v>
      </c>
      <c r="E246" t="s">
        <v>117</v>
      </c>
      <c r="F246">
        <v>368</v>
      </c>
      <c r="G246" t="s">
        <v>141</v>
      </c>
      <c r="H246" t="s">
        <v>142</v>
      </c>
      <c r="I246" t="s">
        <v>204</v>
      </c>
      <c r="J246" t="s">
        <v>205</v>
      </c>
      <c r="L246" t="s">
        <v>221</v>
      </c>
      <c r="M246" s="8">
        <v>45292</v>
      </c>
      <c r="N246">
        <v>96523</v>
      </c>
      <c r="O246" t="s">
        <v>123</v>
      </c>
      <c r="P246" t="s">
        <v>146</v>
      </c>
      <c r="Q246">
        <v>8.8699999999999992</v>
      </c>
      <c r="R246" t="s">
        <v>125</v>
      </c>
      <c r="S246" t="s">
        <v>126</v>
      </c>
      <c r="T246" t="s">
        <v>125</v>
      </c>
      <c r="U246" t="s">
        <v>126</v>
      </c>
      <c r="W246">
        <v>8.8699999999999992</v>
      </c>
      <c r="Y246">
        <v>8.8699999999999992</v>
      </c>
      <c r="AC246">
        <v>8.8699999999999992</v>
      </c>
      <c r="BH246" t="s">
        <v>126</v>
      </c>
      <c r="BI246" t="s">
        <v>126</v>
      </c>
      <c r="BJ246" t="s">
        <v>126</v>
      </c>
      <c r="BK246" t="s">
        <v>126</v>
      </c>
      <c r="BS246" t="s">
        <v>126</v>
      </c>
      <c r="BT246" t="s">
        <v>126</v>
      </c>
      <c r="BU246" t="s">
        <v>126</v>
      </c>
      <c r="BV246" t="s">
        <v>126</v>
      </c>
      <c r="CN246" t="s">
        <v>147</v>
      </c>
      <c r="CP246" t="s">
        <v>206</v>
      </c>
      <c r="CQ246" t="s">
        <v>147</v>
      </c>
    </row>
    <row r="247" spans="1:95" x14ac:dyDescent="0.2">
      <c r="A247" t="s">
        <v>115</v>
      </c>
      <c r="B247" t="s">
        <v>116</v>
      </c>
      <c r="C247">
        <v>210784</v>
      </c>
      <c r="E247" t="s">
        <v>117</v>
      </c>
      <c r="F247">
        <v>368</v>
      </c>
      <c r="G247" t="s">
        <v>141</v>
      </c>
      <c r="H247" t="s">
        <v>142</v>
      </c>
      <c r="I247" t="s">
        <v>204</v>
      </c>
      <c r="J247" t="s">
        <v>205</v>
      </c>
      <c r="L247" t="s">
        <v>222</v>
      </c>
      <c r="M247" s="8">
        <v>45292</v>
      </c>
      <c r="N247">
        <v>96429</v>
      </c>
      <c r="O247" t="s">
        <v>123</v>
      </c>
      <c r="P247" t="s">
        <v>146</v>
      </c>
      <c r="Q247">
        <v>3.77</v>
      </c>
      <c r="R247" t="s">
        <v>125</v>
      </c>
      <c r="S247" t="s">
        <v>126</v>
      </c>
      <c r="T247" t="s">
        <v>125</v>
      </c>
      <c r="U247" t="s">
        <v>126</v>
      </c>
      <c r="W247">
        <v>3.77</v>
      </c>
      <c r="Y247">
        <v>3.77</v>
      </c>
      <c r="AC247">
        <v>3.77</v>
      </c>
      <c r="BH247" t="s">
        <v>126</v>
      </c>
      <c r="BI247" t="s">
        <v>126</v>
      </c>
      <c r="BJ247" t="s">
        <v>126</v>
      </c>
      <c r="BK247" t="s">
        <v>126</v>
      </c>
      <c r="BS247" t="s">
        <v>126</v>
      </c>
      <c r="BT247" t="s">
        <v>126</v>
      </c>
      <c r="BU247" t="s">
        <v>126</v>
      </c>
      <c r="BV247" t="s">
        <v>126</v>
      </c>
      <c r="CN247" t="s">
        <v>147</v>
      </c>
      <c r="CP247" t="s">
        <v>206</v>
      </c>
      <c r="CQ247" t="s">
        <v>147</v>
      </c>
    </row>
    <row r="248" spans="1:95" x14ac:dyDescent="0.2">
      <c r="A248" t="s">
        <v>115</v>
      </c>
      <c r="B248" t="s">
        <v>116</v>
      </c>
      <c r="C248">
        <v>210784</v>
      </c>
      <c r="E248" t="s">
        <v>117</v>
      </c>
      <c r="F248">
        <v>368</v>
      </c>
      <c r="G248" t="s">
        <v>141</v>
      </c>
      <c r="H248" t="s">
        <v>142</v>
      </c>
      <c r="I248" t="s">
        <v>204</v>
      </c>
      <c r="J248" t="s">
        <v>205</v>
      </c>
      <c r="L248" t="s">
        <v>223</v>
      </c>
      <c r="M248" s="8">
        <v>45292</v>
      </c>
      <c r="N248">
        <v>96611</v>
      </c>
      <c r="O248" t="s">
        <v>123</v>
      </c>
      <c r="P248" t="s">
        <v>146</v>
      </c>
      <c r="Q248">
        <v>8.59</v>
      </c>
      <c r="R248" t="s">
        <v>125</v>
      </c>
      <c r="S248" t="s">
        <v>126</v>
      </c>
      <c r="T248" t="s">
        <v>125</v>
      </c>
      <c r="U248" t="s">
        <v>126</v>
      </c>
      <c r="W248">
        <v>8.59</v>
      </c>
      <c r="Y248">
        <v>8.59</v>
      </c>
      <c r="AC248">
        <v>8.59</v>
      </c>
      <c r="BH248" t="s">
        <v>126</v>
      </c>
      <c r="BI248" t="s">
        <v>126</v>
      </c>
      <c r="BJ248" t="s">
        <v>126</v>
      </c>
      <c r="BK248" t="s">
        <v>126</v>
      </c>
      <c r="BS248" t="s">
        <v>126</v>
      </c>
      <c r="BT248" t="s">
        <v>126</v>
      </c>
      <c r="BU248" t="s">
        <v>126</v>
      </c>
      <c r="BV248" t="s">
        <v>126</v>
      </c>
      <c r="CN248" t="s">
        <v>147</v>
      </c>
      <c r="CP248" t="s">
        <v>206</v>
      </c>
      <c r="CQ248" t="s">
        <v>147</v>
      </c>
    </row>
    <row r="249" spans="1:95" x14ac:dyDescent="0.2">
      <c r="A249" t="s">
        <v>115</v>
      </c>
      <c r="B249" t="s">
        <v>116</v>
      </c>
      <c r="C249">
        <v>210784</v>
      </c>
      <c r="E249" t="s">
        <v>117</v>
      </c>
      <c r="F249">
        <v>368</v>
      </c>
      <c r="G249" t="s">
        <v>141</v>
      </c>
      <c r="H249" t="s">
        <v>142</v>
      </c>
      <c r="I249" t="s">
        <v>204</v>
      </c>
      <c r="J249" t="s">
        <v>205</v>
      </c>
      <c r="L249" t="s">
        <v>224</v>
      </c>
      <c r="M249" s="8">
        <v>45292</v>
      </c>
      <c r="N249">
        <v>96659</v>
      </c>
      <c r="O249" t="s">
        <v>123</v>
      </c>
      <c r="P249" t="s">
        <v>146</v>
      </c>
      <c r="Q249">
        <v>8</v>
      </c>
      <c r="R249" t="s">
        <v>125</v>
      </c>
      <c r="S249" t="s">
        <v>126</v>
      </c>
      <c r="T249" t="s">
        <v>125</v>
      </c>
      <c r="U249" t="s">
        <v>126</v>
      </c>
      <c r="W249">
        <v>8</v>
      </c>
      <c r="Y249">
        <v>8</v>
      </c>
      <c r="AC249">
        <v>8</v>
      </c>
      <c r="BH249" t="s">
        <v>126</v>
      </c>
      <c r="BI249" t="s">
        <v>126</v>
      </c>
      <c r="BJ249" t="s">
        <v>126</v>
      </c>
      <c r="BK249" t="s">
        <v>126</v>
      </c>
      <c r="BS249" t="s">
        <v>126</v>
      </c>
      <c r="BT249" t="s">
        <v>126</v>
      </c>
      <c r="BU249" t="s">
        <v>126</v>
      </c>
      <c r="BV249" t="s">
        <v>126</v>
      </c>
      <c r="CN249" t="s">
        <v>147</v>
      </c>
      <c r="CP249" t="s">
        <v>206</v>
      </c>
      <c r="CQ249" t="s">
        <v>147</v>
      </c>
    </row>
    <row r="250" spans="1:95" x14ac:dyDescent="0.2">
      <c r="A250" t="s">
        <v>115</v>
      </c>
      <c r="B250" t="s">
        <v>116</v>
      </c>
      <c r="C250">
        <v>210784</v>
      </c>
      <c r="E250" t="s">
        <v>117</v>
      </c>
      <c r="F250">
        <v>368</v>
      </c>
      <c r="G250" t="s">
        <v>141</v>
      </c>
      <c r="H250" t="s">
        <v>142</v>
      </c>
      <c r="I250" t="s">
        <v>204</v>
      </c>
      <c r="J250" t="s">
        <v>205</v>
      </c>
      <c r="L250" t="s">
        <v>225</v>
      </c>
      <c r="M250" s="8">
        <v>45292</v>
      </c>
      <c r="N250">
        <v>96983</v>
      </c>
      <c r="O250" t="s">
        <v>123</v>
      </c>
      <c r="P250" t="s">
        <v>146</v>
      </c>
      <c r="Q250">
        <v>7.66</v>
      </c>
      <c r="R250" t="s">
        <v>125</v>
      </c>
      <c r="S250" t="s">
        <v>126</v>
      </c>
      <c r="T250" t="s">
        <v>125</v>
      </c>
      <c r="U250" t="s">
        <v>126</v>
      </c>
      <c r="W250">
        <v>7.66</v>
      </c>
      <c r="Y250">
        <v>7.66</v>
      </c>
      <c r="AC250">
        <v>7.66</v>
      </c>
      <c r="BH250" t="s">
        <v>126</v>
      </c>
      <c r="BI250" t="s">
        <v>126</v>
      </c>
      <c r="BJ250" t="s">
        <v>126</v>
      </c>
      <c r="BK250" t="s">
        <v>126</v>
      </c>
      <c r="BS250" t="s">
        <v>126</v>
      </c>
      <c r="BT250" t="s">
        <v>126</v>
      </c>
      <c r="BU250" t="s">
        <v>126</v>
      </c>
      <c r="BV250" t="s">
        <v>126</v>
      </c>
      <c r="CN250" t="s">
        <v>147</v>
      </c>
      <c r="CP250" t="s">
        <v>206</v>
      </c>
      <c r="CQ250" t="s">
        <v>147</v>
      </c>
    </row>
    <row r="251" spans="1:95" x14ac:dyDescent="0.2">
      <c r="A251" t="s">
        <v>115</v>
      </c>
      <c r="B251" t="s">
        <v>116</v>
      </c>
      <c r="C251">
        <v>210784</v>
      </c>
      <c r="E251" t="s">
        <v>117</v>
      </c>
      <c r="F251">
        <v>368</v>
      </c>
      <c r="G251" t="s">
        <v>176</v>
      </c>
      <c r="H251" t="s">
        <v>177</v>
      </c>
      <c r="I251" t="s">
        <v>510</v>
      </c>
      <c r="J251" t="s">
        <v>511</v>
      </c>
      <c r="L251" t="s">
        <v>512</v>
      </c>
      <c r="M251" s="8">
        <v>45292</v>
      </c>
      <c r="N251">
        <v>342025</v>
      </c>
      <c r="O251" t="s">
        <v>123</v>
      </c>
      <c r="P251" t="s">
        <v>124</v>
      </c>
      <c r="Q251">
        <v>1.96</v>
      </c>
      <c r="R251" t="s">
        <v>125</v>
      </c>
      <c r="S251" t="s">
        <v>126</v>
      </c>
      <c r="T251" t="s">
        <v>125</v>
      </c>
      <c r="U251" t="s">
        <v>126</v>
      </c>
      <c r="W251">
        <v>1.96</v>
      </c>
      <c r="Y251">
        <v>1.96</v>
      </c>
      <c r="AF251">
        <v>1.96</v>
      </c>
      <c r="BH251" t="s">
        <v>126</v>
      </c>
      <c r="BI251" t="s">
        <v>126</v>
      </c>
      <c r="BJ251" t="s">
        <v>126</v>
      </c>
      <c r="BK251" t="s">
        <v>126</v>
      </c>
      <c r="BS251" t="s">
        <v>126</v>
      </c>
      <c r="BT251" t="s">
        <v>126</v>
      </c>
      <c r="BU251" t="s">
        <v>126</v>
      </c>
      <c r="BV251" t="s">
        <v>126</v>
      </c>
      <c r="CN251" t="s">
        <v>181</v>
      </c>
      <c r="CP251" t="s">
        <v>360</v>
      </c>
      <c r="CQ251" t="s">
        <v>181</v>
      </c>
    </row>
    <row r="252" spans="1:95" x14ac:dyDescent="0.2">
      <c r="A252" t="s">
        <v>115</v>
      </c>
      <c r="B252" t="s">
        <v>116</v>
      </c>
      <c r="C252">
        <v>210784</v>
      </c>
      <c r="E252" t="s">
        <v>117</v>
      </c>
      <c r="F252">
        <v>368</v>
      </c>
      <c r="G252" t="s">
        <v>141</v>
      </c>
      <c r="H252" t="s">
        <v>142</v>
      </c>
      <c r="I252" t="s">
        <v>284</v>
      </c>
      <c r="J252" t="s">
        <v>285</v>
      </c>
      <c r="L252" t="s">
        <v>222</v>
      </c>
      <c r="M252" s="8">
        <v>45292</v>
      </c>
      <c r="N252">
        <v>98576</v>
      </c>
      <c r="O252" t="s">
        <v>123</v>
      </c>
      <c r="P252" t="s">
        <v>146</v>
      </c>
      <c r="Q252">
        <v>6.06</v>
      </c>
      <c r="R252" t="s">
        <v>125</v>
      </c>
      <c r="S252" t="s">
        <v>126</v>
      </c>
      <c r="T252" t="s">
        <v>125</v>
      </c>
      <c r="U252" t="s">
        <v>126</v>
      </c>
      <c r="W252">
        <v>6.06</v>
      </c>
      <c r="Y252">
        <v>6.06</v>
      </c>
      <c r="AG252">
        <v>0.60599999999999998</v>
      </c>
      <c r="BE252">
        <v>5.4539999999999997</v>
      </c>
      <c r="BH252" t="s">
        <v>126</v>
      </c>
      <c r="BI252" t="s">
        <v>126</v>
      </c>
      <c r="BJ252" t="s">
        <v>126</v>
      </c>
      <c r="BK252" t="s">
        <v>126</v>
      </c>
      <c r="BS252" t="s">
        <v>126</v>
      </c>
      <c r="BT252" t="s">
        <v>126</v>
      </c>
      <c r="BU252" t="s">
        <v>126</v>
      </c>
      <c r="BV252" t="s">
        <v>126</v>
      </c>
      <c r="CN252" t="s">
        <v>147</v>
      </c>
      <c r="CP252" t="s">
        <v>576</v>
      </c>
      <c r="CQ252" t="s">
        <v>147</v>
      </c>
    </row>
    <row r="253" spans="1:95" x14ac:dyDescent="0.2">
      <c r="A253" t="s">
        <v>115</v>
      </c>
      <c r="B253" t="s">
        <v>116</v>
      </c>
      <c r="C253">
        <v>210784</v>
      </c>
      <c r="E253" t="s">
        <v>117</v>
      </c>
      <c r="F253">
        <v>368</v>
      </c>
      <c r="G253" t="s">
        <v>141</v>
      </c>
      <c r="H253" t="s">
        <v>142</v>
      </c>
      <c r="I253" t="s">
        <v>279</v>
      </c>
      <c r="J253" t="s">
        <v>280</v>
      </c>
      <c r="L253" t="s">
        <v>222</v>
      </c>
      <c r="M253" s="8">
        <v>45292</v>
      </c>
      <c r="N253">
        <v>5409006</v>
      </c>
      <c r="O253" t="s">
        <v>123</v>
      </c>
      <c r="P253" t="s">
        <v>146</v>
      </c>
      <c r="Q253">
        <v>2.36</v>
      </c>
      <c r="R253" t="s">
        <v>577</v>
      </c>
      <c r="S253" t="s">
        <v>126</v>
      </c>
      <c r="T253" t="s">
        <v>577</v>
      </c>
      <c r="U253" t="s">
        <v>578</v>
      </c>
      <c r="W253">
        <v>0.73</v>
      </c>
      <c r="X253">
        <v>1.63</v>
      </c>
      <c r="Y253">
        <v>2.36</v>
      </c>
      <c r="Z253">
        <v>0.9</v>
      </c>
      <c r="AG253">
        <v>0.73</v>
      </c>
      <c r="AI253">
        <v>0.73</v>
      </c>
      <c r="BH253" t="s">
        <v>126</v>
      </c>
      <c r="BI253" t="s">
        <v>126</v>
      </c>
      <c r="BJ253" t="s">
        <v>126</v>
      </c>
      <c r="BK253" t="s">
        <v>126</v>
      </c>
      <c r="BS253" t="s">
        <v>126</v>
      </c>
      <c r="BT253" t="s">
        <v>126</v>
      </c>
      <c r="BU253" t="s">
        <v>126</v>
      </c>
      <c r="BV253" t="s">
        <v>126</v>
      </c>
      <c r="CN253" t="s">
        <v>147</v>
      </c>
      <c r="CP253" t="s">
        <v>576</v>
      </c>
      <c r="CQ253" t="s">
        <v>147</v>
      </c>
    </row>
    <row r="254" spans="1:95" x14ac:dyDescent="0.2">
      <c r="A254" t="s">
        <v>115</v>
      </c>
      <c r="B254" t="s">
        <v>116</v>
      </c>
      <c r="C254">
        <v>210784</v>
      </c>
      <c r="E254" t="s">
        <v>117</v>
      </c>
      <c r="F254">
        <v>368</v>
      </c>
      <c r="G254" t="s">
        <v>141</v>
      </c>
      <c r="H254" t="s">
        <v>142</v>
      </c>
      <c r="I254" t="s">
        <v>279</v>
      </c>
      <c r="J254" t="s">
        <v>280</v>
      </c>
      <c r="L254" t="s">
        <v>579</v>
      </c>
      <c r="M254" s="8">
        <v>45292</v>
      </c>
      <c r="N254">
        <v>5415494</v>
      </c>
      <c r="O254" t="s">
        <v>123</v>
      </c>
      <c r="P254" t="s">
        <v>146</v>
      </c>
      <c r="Q254">
        <v>3.05</v>
      </c>
      <c r="R254" t="s">
        <v>559</v>
      </c>
      <c r="S254" t="s">
        <v>126</v>
      </c>
      <c r="T254" t="s">
        <v>559</v>
      </c>
      <c r="U254" t="s">
        <v>560</v>
      </c>
      <c r="W254">
        <v>0.94</v>
      </c>
      <c r="X254">
        <v>2.11</v>
      </c>
      <c r="Y254">
        <v>3.05</v>
      </c>
      <c r="Z254">
        <v>1.1599999999999999</v>
      </c>
      <c r="AG254">
        <v>0.94</v>
      </c>
      <c r="AI254">
        <v>0.95</v>
      </c>
      <c r="BH254" t="s">
        <v>126</v>
      </c>
      <c r="BI254" t="s">
        <v>126</v>
      </c>
      <c r="BJ254" t="s">
        <v>126</v>
      </c>
      <c r="BK254" t="s">
        <v>126</v>
      </c>
      <c r="BS254" t="s">
        <v>126</v>
      </c>
      <c r="BT254" t="s">
        <v>126</v>
      </c>
      <c r="BU254" t="s">
        <v>126</v>
      </c>
      <c r="BV254" t="s">
        <v>126</v>
      </c>
      <c r="CN254" t="s">
        <v>147</v>
      </c>
      <c r="CP254" t="s">
        <v>576</v>
      </c>
      <c r="CQ254" t="s">
        <v>147</v>
      </c>
    </row>
    <row r="255" spans="1:95" x14ac:dyDescent="0.2">
      <c r="A255" t="s">
        <v>115</v>
      </c>
      <c r="B255" t="s">
        <v>116</v>
      </c>
      <c r="C255">
        <v>210784</v>
      </c>
      <c r="E255" t="s">
        <v>117</v>
      </c>
      <c r="F255">
        <v>368</v>
      </c>
      <c r="G255" t="s">
        <v>141</v>
      </c>
      <c r="H255" t="s">
        <v>142</v>
      </c>
      <c r="I255" t="s">
        <v>279</v>
      </c>
      <c r="J255" t="s">
        <v>280</v>
      </c>
      <c r="L255" t="s">
        <v>580</v>
      </c>
      <c r="M255" s="8">
        <v>45292</v>
      </c>
      <c r="N255">
        <v>5418288</v>
      </c>
      <c r="O255" t="s">
        <v>123</v>
      </c>
      <c r="P255" t="s">
        <v>146</v>
      </c>
      <c r="Q255">
        <v>3.09</v>
      </c>
      <c r="R255" t="s">
        <v>581</v>
      </c>
      <c r="S255" t="s">
        <v>126</v>
      </c>
      <c r="T255" t="s">
        <v>581</v>
      </c>
      <c r="U255" t="s">
        <v>582</v>
      </c>
      <c r="W255">
        <v>0.95</v>
      </c>
      <c r="X255">
        <v>2.1399999999999997</v>
      </c>
      <c r="Y255">
        <v>3.09</v>
      </c>
      <c r="Z255">
        <v>1.18</v>
      </c>
      <c r="AG255">
        <v>0.95</v>
      </c>
      <c r="AI255">
        <v>0.96</v>
      </c>
      <c r="BH255" t="s">
        <v>126</v>
      </c>
      <c r="BI255" t="s">
        <v>126</v>
      </c>
      <c r="BJ255" t="s">
        <v>126</v>
      </c>
      <c r="BK255" t="s">
        <v>126</v>
      </c>
      <c r="BS255" t="s">
        <v>126</v>
      </c>
      <c r="BT255" t="s">
        <v>126</v>
      </c>
      <c r="BU255" t="s">
        <v>126</v>
      </c>
      <c r="BV255" t="s">
        <v>126</v>
      </c>
      <c r="CN255" t="s">
        <v>147</v>
      </c>
      <c r="CP255" t="s">
        <v>576</v>
      </c>
      <c r="CQ255" t="s">
        <v>147</v>
      </c>
    </row>
    <row r="256" spans="1:95" x14ac:dyDescent="0.2">
      <c r="A256" t="s">
        <v>115</v>
      </c>
      <c r="B256" t="s">
        <v>116</v>
      </c>
      <c r="C256">
        <v>210784</v>
      </c>
      <c r="E256" t="s">
        <v>117</v>
      </c>
      <c r="F256">
        <v>368</v>
      </c>
      <c r="G256" t="s">
        <v>141</v>
      </c>
      <c r="H256" t="s">
        <v>142</v>
      </c>
      <c r="I256" t="s">
        <v>279</v>
      </c>
      <c r="J256" t="s">
        <v>280</v>
      </c>
      <c r="L256" t="s">
        <v>206</v>
      </c>
      <c r="M256" s="8">
        <v>45292</v>
      </c>
      <c r="N256">
        <v>5422927</v>
      </c>
      <c r="O256" t="s">
        <v>123</v>
      </c>
      <c r="P256" t="s">
        <v>146</v>
      </c>
      <c r="Q256">
        <v>3.2800000000000002</v>
      </c>
      <c r="R256" t="s">
        <v>125</v>
      </c>
      <c r="S256" t="s">
        <v>126</v>
      </c>
      <c r="T256" t="s">
        <v>125</v>
      </c>
      <c r="U256" t="s">
        <v>126</v>
      </c>
      <c r="W256">
        <v>3.2800000000000002</v>
      </c>
      <c r="Y256">
        <v>3.2800000000000002</v>
      </c>
      <c r="AG256">
        <v>2.3416000000000001</v>
      </c>
      <c r="AY256">
        <v>0.93840000000000001</v>
      </c>
      <c r="BH256" t="s">
        <v>126</v>
      </c>
      <c r="BI256" t="s">
        <v>126</v>
      </c>
      <c r="BJ256" t="s">
        <v>126</v>
      </c>
      <c r="BK256" t="s">
        <v>126</v>
      </c>
      <c r="BS256" t="s">
        <v>126</v>
      </c>
      <c r="BT256" t="s">
        <v>126</v>
      </c>
      <c r="BU256" t="s">
        <v>126</v>
      </c>
      <c r="BV256" t="s">
        <v>126</v>
      </c>
      <c r="CN256" t="s">
        <v>147</v>
      </c>
      <c r="CP256" t="s">
        <v>227</v>
      </c>
      <c r="CQ256" t="s">
        <v>147</v>
      </c>
    </row>
    <row r="257" spans="1:95" x14ac:dyDescent="0.2">
      <c r="A257" t="s">
        <v>115</v>
      </c>
      <c r="B257" t="s">
        <v>116</v>
      </c>
      <c r="C257">
        <v>210784</v>
      </c>
      <c r="E257" t="s">
        <v>117</v>
      </c>
      <c r="F257">
        <v>368</v>
      </c>
      <c r="G257" t="s">
        <v>141</v>
      </c>
      <c r="H257" t="s">
        <v>142</v>
      </c>
      <c r="I257" t="s">
        <v>279</v>
      </c>
      <c r="J257" t="s">
        <v>280</v>
      </c>
      <c r="L257" t="s">
        <v>854</v>
      </c>
      <c r="M257" s="8">
        <v>45292</v>
      </c>
      <c r="N257">
        <v>5410968</v>
      </c>
      <c r="O257" t="s">
        <v>123</v>
      </c>
      <c r="P257" t="s">
        <v>146</v>
      </c>
      <c r="Q257">
        <v>1.52</v>
      </c>
      <c r="R257" t="s">
        <v>125</v>
      </c>
      <c r="S257" t="s">
        <v>126</v>
      </c>
      <c r="T257" t="s">
        <v>125</v>
      </c>
      <c r="U257" t="s">
        <v>126</v>
      </c>
      <c r="W257">
        <v>1.52</v>
      </c>
      <c r="Y257">
        <v>1.52</v>
      </c>
      <c r="BE257">
        <v>1.52</v>
      </c>
      <c r="BH257" t="s">
        <v>126</v>
      </c>
      <c r="BI257" t="s">
        <v>126</v>
      </c>
      <c r="BJ257" t="s">
        <v>126</v>
      </c>
      <c r="BK257" t="s">
        <v>126</v>
      </c>
      <c r="BS257" t="s">
        <v>126</v>
      </c>
      <c r="BT257" t="s">
        <v>126</v>
      </c>
      <c r="BU257" t="s">
        <v>126</v>
      </c>
      <c r="BV257" t="s">
        <v>126</v>
      </c>
      <c r="CN257" t="s">
        <v>147</v>
      </c>
      <c r="CP257" t="s">
        <v>576</v>
      </c>
      <c r="CQ257" t="s">
        <v>147</v>
      </c>
    </row>
    <row r="258" spans="1:95" x14ac:dyDescent="0.2">
      <c r="A258" t="s">
        <v>115</v>
      </c>
      <c r="B258" t="s">
        <v>116</v>
      </c>
      <c r="C258">
        <v>210784</v>
      </c>
      <c r="E258" t="s">
        <v>117</v>
      </c>
      <c r="F258">
        <v>368</v>
      </c>
      <c r="G258" t="s">
        <v>141</v>
      </c>
      <c r="H258" t="s">
        <v>142</v>
      </c>
      <c r="I258" t="s">
        <v>279</v>
      </c>
      <c r="J258" t="s">
        <v>280</v>
      </c>
      <c r="L258" t="s">
        <v>855</v>
      </c>
      <c r="M258" s="8">
        <v>45292</v>
      </c>
      <c r="N258">
        <v>5413482</v>
      </c>
      <c r="O258" t="s">
        <v>123</v>
      </c>
      <c r="P258" t="s">
        <v>146</v>
      </c>
      <c r="Q258">
        <v>4.72</v>
      </c>
      <c r="R258" t="s">
        <v>125</v>
      </c>
      <c r="S258" t="s">
        <v>126</v>
      </c>
      <c r="T258" t="s">
        <v>125</v>
      </c>
      <c r="U258" t="s">
        <v>126</v>
      </c>
      <c r="W258">
        <v>4.72</v>
      </c>
      <c r="Y258">
        <v>4.72</v>
      </c>
      <c r="BE258">
        <v>4.72</v>
      </c>
      <c r="BH258" t="s">
        <v>126</v>
      </c>
      <c r="BI258" t="s">
        <v>126</v>
      </c>
      <c r="BJ258" t="s">
        <v>126</v>
      </c>
      <c r="BK258" t="s">
        <v>126</v>
      </c>
      <c r="BS258" t="s">
        <v>126</v>
      </c>
      <c r="BT258" t="s">
        <v>126</v>
      </c>
      <c r="BU258" t="s">
        <v>126</v>
      </c>
      <c r="BV258" t="s">
        <v>126</v>
      </c>
      <c r="CN258" t="s">
        <v>147</v>
      </c>
      <c r="CP258" t="s">
        <v>576</v>
      </c>
      <c r="CQ258" t="s">
        <v>147</v>
      </c>
    </row>
    <row r="259" spans="1:95" x14ac:dyDescent="0.2">
      <c r="A259" t="s">
        <v>115</v>
      </c>
      <c r="B259" t="s">
        <v>116</v>
      </c>
      <c r="C259">
        <v>210784</v>
      </c>
      <c r="E259" t="s">
        <v>117</v>
      </c>
      <c r="F259">
        <v>368</v>
      </c>
      <c r="G259" t="s">
        <v>141</v>
      </c>
      <c r="H259" t="s">
        <v>142</v>
      </c>
      <c r="I259" t="s">
        <v>279</v>
      </c>
      <c r="J259" t="s">
        <v>280</v>
      </c>
      <c r="L259" t="s">
        <v>855</v>
      </c>
      <c r="M259" s="8">
        <v>45292</v>
      </c>
      <c r="N259">
        <v>5413378</v>
      </c>
      <c r="O259" t="s">
        <v>123</v>
      </c>
      <c r="P259" t="s">
        <v>146</v>
      </c>
      <c r="Q259">
        <v>2.29</v>
      </c>
      <c r="R259" t="s">
        <v>125</v>
      </c>
      <c r="S259" t="s">
        <v>126</v>
      </c>
      <c r="T259" t="s">
        <v>125</v>
      </c>
      <c r="U259" t="s">
        <v>126</v>
      </c>
      <c r="W259">
        <v>2.29</v>
      </c>
      <c r="Y259">
        <v>2.29</v>
      </c>
      <c r="BE259">
        <v>2.29</v>
      </c>
      <c r="BH259" t="s">
        <v>126</v>
      </c>
      <c r="BI259" t="s">
        <v>126</v>
      </c>
      <c r="BJ259" t="s">
        <v>126</v>
      </c>
      <c r="BK259" t="s">
        <v>126</v>
      </c>
      <c r="BS259" t="s">
        <v>126</v>
      </c>
      <c r="BT259" t="s">
        <v>126</v>
      </c>
      <c r="BU259" t="s">
        <v>126</v>
      </c>
      <c r="BV259" t="s">
        <v>126</v>
      </c>
      <c r="CN259" t="s">
        <v>147</v>
      </c>
      <c r="CP259" t="s">
        <v>576</v>
      </c>
      <c r="CQ259" t="s">
        <v>147</v>
      </c>
    </row>
    <row r="260" spans="1:95" x14ac:dyDescent="0.2">
      <c r="A260" t="s">
        <v>115</v>
      </c>
      <c r="B260" t="s">
        <v>116</v>
      </c>
      <c r="C260">
        <v>210784</v>
      </c>
      <c r="E260" t="s">
        <v>117</v>
      </c>
      <c r="F260">
        <v>368</v>
      </c>
      <c r="G260" t="s">
        <v>141</v>
      </c>
      <c r="H260" t="s">
        <v>142</v>
      </c>
      <c r="I260" t="s">
        <v>279</v>
      </c>
      <c r="J260" t="s">
        <v>280</v>
      </c>
      <c r="L260" t="s">
        <v>579</v>
      </c>
      <c r="M260" s="8">
        <v>45292</v>
      </c>
      <c r="N260">
        <v>5415388</v>
      </c>
      <c r="O260" t="s">
        <v>123</v>
      </c>
      <c r="P260" t="s">
        <v>146</v>
      </c>
      <c r="Q260">
        <v>6.93</v>
      </c>
      <c r="R260" t="s">
        <v>125</v>
      </c>
      <c r="S260" t="s">
        <v>126</v>
      </c>
      <c r="T260" t="s">
        <v>125</v>
      </c>
      <c r="U260" t="s">
        <v>126</v>
      </c>
      <c r="W260">
        <v>6.93</v>
      </c>
      <c r="Y260">
        <v>6.93</v>
      </c>
      <c r="BE260">
        <v>6.93</v>
      </c>
      <c r="BH260" t="s">
        <v>126</v>
      </c>
      <c r="BI260" t="s">
        <v>126</v>
      </c>
      <c r="BJ260" t="s">
        <v>126</v>
      </c>
      <c r="BK260" t="s">
        <v>126</v>
      </c>
      <c r="BS260" t="s">
        <v>126</v>
      </c>
      <c r="BT260" t="s">
        <v>126</v>
      </c>
      <c r="BU260" t="s">
        <v>126</v>
      </c>
      <c r="BV260" t="s">
        <v>126</v>
      </c>
      <c r="CN260" t="s">
        <v>147</v>
      </c>
      <c r="CP260" t="s">
        <v>576</v>
      </c>
      <c r="CQ260" t="s">
        <v>147</v>
      </c>
    </row>
    <row r="261" spans="1:95" x14ac:dyDescent="0.2">
      <c r="A261" t="s">
        <v>115</v>
      </c>
      <c r="B261" t="s">
        <v>116</v>
      </c>
      <c r="C261">
        <v>210784</v>
      </c>
      <c r="E261" t="s">
        <v>117</v>
      </c>
      <c r="F261">
        <v>368</v>
      </c>
      <c r="G261" t="s">
        <v>141</v>
      </c>
      <c r="H261" t="s">
        <v>142</v>
      </c>
      <c r="I261" t="s">
        <v>279</v>
      </c>
      <c r="J261" t="s">
        <v>280</v>
      </c>
      <c r="L261" t="s">
        <v>856</v>
      </c>
      <c r="M261" s="8">
        <v>45292</v>
      </c>
      <c r="N261">
        <v>5418042</v>
      </c>
      <c r="O261" t="s">
        <v>123</v>
      </c>
      <c r="P261" t="s">
        <v>146</v>
      </c>
      <c r="Q261">
        <v>4.04</v>
      </c>
      <c r="R261" t="s">
        <v>125</v>
      </c>
      <c r="S261" t="s">
        <v>126</v>
      </c>
      <c r="T261" t="s">
        <v>125</v>
      </c>
      <c r="U261" t="s">
        <v>126</v>
      </c>
      <c r="W261">
        <v>4.04</v>
      </c>
      <c r="Y261">
        <v>4.04</v>
      </c>
      <c r="BE261">
        <v>4.04</v>
      </c>
      <c r="BH261" t="s">
        <v>126</v>
      </c>
      <c r="BI261" t="s">
        <v>126</v>
      </c>
      <c r="BJ261" t="s">
        <v>126</v>
      </c>
      <c r="BK261" t="s">
        <v>126</v>
      </c>
      <c r="BS261" t="s">
        <v>126</v>
      </c>
      <c r="BT261" t="s">
        <v>126</v>
      </c>
      <c r="BU261" t="s">
        <v>126</v>
      </c>
      <c r="BV261" t="s">
        <v>126</v>
      </c>
      <c r="CN261" t="s">
        <v>147</v>
      </c>
      <c r="CP261" t="s">
        <v>576</v>
      </c>
      <c r="CQ261" t="s">
        <v>147</v>
      </c>
    </row>
    <row r="262" spans="1:95" x14ac:dyDescent="0.2">
      <c r="A262" t="s">
        <v>115</v>
      </c>
      <c r="B262" t="s">
        <v>116</v>
      </c>
      <c r="C262">
        <v>210784</v>
      </c>
      <c r="E262" t="s">
        <v>117</v>
      </c>
      <c r="F262">
        <v>368</v>
      </c>
      <c r="G262" t="s">
        <v>141</v>
      </c>
      <c r="H262" t="s">
        <v>142</v>
      </c>
      <c r="I262" t="s">
        <v>279</v>
      </c>
      <c r="J262" t="s">
        <v>280</v>
      </c>
      <c r="L262" t="s">
        <v>857</v>
      </c>
      <c r="M262" s="8">
        <v>45292</v>
      </c>
      <c r="N262">
        <v>5420399</v>
      </c>
      <c r="O262" t="s">
        <v>123</v>
      </c>
      <c r="P262" t="s">
        <v>146</v>
      </c>
      <c r="Q262">
        <v>1.9</v>
      </c>
      <c r="R262" t="s">
        <v>125</v>
      </c>
      <c r="S262" t="s">
        <v>126</v>
      </c>
      <c r="T262" t="s">
        <v>125</v>
      </c>
      <c r="U262" t="s">
        <v>126</v>
      </c>
      <c r="W262">
        <v>1.9</v>
      </c>
      <c r="Y262">
        <v>1.9</v>
      </c>
      <c r="BE262">
        <v>1.9</v>
      </c>
      <c r="BH262" t="s">
        <v>126</v>
      </c>
      <c r="BI262" t="s">
        <v>126</v>
      </c>
      <c r="BJ262" t="s">
        <v>126</v>
      </c>
      <c r="BK262" t="s">
        <v>126</v>
      </c>
      <c r="BS262" t="s">
        <v>126</v>
      </c>
      <c r="BT262" t="s">
        <v>126</v>
      </c>
      <c r="BU262" t="s">
        <v>126</v>
      </c>
      <c r="BV262" t="s">
        <v>126</v>
      </c>
      <c r="CN262" t="s">
        <v>147</v>
      </c>
      <c r="CP262" t="s">
        <v>576</v>
      </c>
      <c r="CQ262" t="s">
        <v>147</v>
      </c>
    </row>
    <row r="263" spans="1:95" x14ac:dyDescent="0.2">
      <c r="A263" t="s">
        <v>115</v>
      </c>
      <c r="B263" t="s">
        <v>116</v>
      </c>
      <c r="C263">
        <v>210784</v>
      </c>
      <c r="E263" t="s">
        <v>117</v>
      </c>
      <c r="F263">
        <v>368</v>
      </c>
      <c r="G263" t="s">
        <v>141</v>
      </c>
      <c r="H263" t="s">
        <v>142</v>
      </c>
      <c r="I263" t="s">
        <v>279</v>
      </c>
      <c r="J263" t="s">
        <v>280</v>
      </c>
      <c r="L263" t="s">
        <v>206</v>
      </c>
      <c r="M263" s="8">
        <v>45292</v>
      </c>
      <c r="N263">
        <v>5423049</v>
      </c>
      <c r="O263" t="s">
        <v>123</v>
      </c>
      <c r="P263" t="s">
        <v>146</v>
      </c>
      <c r="Q263">
        <v>3.57</v>
      </c>
      <c r="R263" t="s">
        <v>125</v>
      </c>
      <c r="S263" t="s">
        <v>126</v>
      </c>
      <c r="T263" t="s">
        <v>125</v>
      </c>
      <c r="U263" t="s">
        <v>126</v>
      </c>
      <c r="W263">
        <v>3.57</v>
      </c>
      <c r="Y263">
        <v>3.57</v>
      </c>
      <c r="BE263">
        <v>3.57</v>
      </c>
      <c r="BH263" t="s">
        <v>126</v>
      </c>
      <c r="BI263" t="s">
        <v>126</v>
      </c>
      <c r="BJ263" t="s">
        <v>126</v>
      </c>
      <c r="BK263" t="s">
        <v>126</v>
      </c>
      <c r="BS263" t="s">
        <v>126</v>
      </c>
      <c r="BT263" t="s">
        <v>126</v>
      </c>
      <c r="BU263" t="s">
        <v>126</v>
      </c>
      <c r="BV263" t="s">
        <v>126</v>
      </c>
      <c r="CN263" t="s">
        <v>147</v>
      </c>
      <c r="CP263" t="s">
        <v>227</v>
      </c>
      <c r="CQ263" t="s">
        <v>147</v>
      </c>
    </row>
    <row r="264" spans="1:95" x14ac:dyDescent="0.2">
      <c r="A264" t="s">
        <v>115</v>
      </c>
      <c r="B264" t="s">
        <v>116</v>
      </c>
      <c r="C264">
        <v>210784</v>
      </c>
      <c r="E264" t="s">
        <v>117</v>
      </c>
      <c r="F264">
        <v>368</v>
      </c>
      <c r="G264" t="s">
        <v>141</v>
      </c>
      <c r="H264" t="s">
        <v>142</v>
      </c>
      <c r="I264" t="s">
        <v>279</v>
      </c>
      <c r="J264" t="s">
        <v>280</v>
      </c>
      <c r="L264" t="s">
        <v>576</v>
      </c>
      <c r="M264" s="8">
        <v>45292</v>
      </c>
      <c r="N264">
        <v>5421879</v>
      </c>
      <c r="O264" t="s">
        <v>123</v>
      </c>
      <c r="P264" t="s">
        <v>146</v>
      </c>
      <c r="Q264">
        <v>4.38</v>
      </c>
      <c r="R264" t="s">
        <v>125</v>
      </c>
      <c r="S264" t="s">
        <v>126</v>
      </c>
      <c r="T264" t="s">
        <v>125</v>
      </c>
      <c r="U264" t="s">
        <v>126</v>
      </c>
      <c r="W264">
        <v>4.38</v>
      </c>
      <c r="Y264">
        <v>4.38</v>
      </c>
      <c r="BE264">
        <v>4.38</v>
      </c>
      <c r="BH264" t="s">
        <v>126</v>
      </c>
      <c r="BI264" t="s">
        <v>126</v>
      </c>
      <c r="BJ264" t="s">
        <v>126</v>
      </c>
      <c r="BK264" t="s">
        <v>126</v>
      </c>
      <c r="BS264" t="s">
        <v>126</v>
      </c>
      <c r="BT264" t="s">
        <v>126</v>
      </c>
      <c r="BU264" t="s">
        <v>126</v>
      </c>
      <c r="BV264" t="s">
        <v>126</v>
      </c>
      <c r="CN264" t="s">
        <v>147</v>
      </c>
      <c r="CP264" t="s">
        <v>227</v>
      </c>
      <c r="CQ264" t="s">
        <v>147</v>
      </c>
    </row>
    <row r="265" spans="1:95" x14ac:dyDescent="0.2">
      <c r="A265" t="s">
        <v>115</v>
      </c>
      <c r="B265" t="s">
        <v>116</v>
      </c>
      <c r="C265">
        <v>210784</v>
      </c>
      <c r="E265" t="s">
        <v>117</v>
      </c>
      <c r="F265">
        <v>368</v>
      </c>
      <c r="G265" t="s">
        <v>141</v>
      </c>
      <c r="H265" t="s">
        <v>142</v>
      </c>
      <c r="I265" t="s">
        <v>143</v>
      </c>
      <c r="J265" t="s">
        <v>144</v>
      </c>
      <c r="L265" t="s">
        <v>155</v>
      </c>
      <c r="M265" s="8">
        <v>45323</v>
      </c>
      <c r="N265">
        <v>2220</v>
      </c>
      <c r="O265" t="s">
        <v>123</v>
      </c>
      <c r="P265" t="s">
        <v>146</v>
      </c>
      <c r="Q265">
        <v>0.26</v>
      </c>
      <c r="R265" t="s">
        <v>125</v>
      </c>
      <c r="S265" t="s">
        <v>126</v>
      </c>
      <c r="T265" t="s">
        <v>125</v>
      </c>
      <c r="U265" t="s">
        <v>126</v>
      </c>
      <c r="W265">
        <v>0.26</v>
      </c>
      <c r="Y265">
        <v>0.26</v>
      </c>
      <c r="AB265">
        <v>0.26</v>
      </c>
      <c r="BH265" t="s">
        <v>126</v>
      </c>
      <c r="BI265" t="s">
        <v>126</v>
      </c>
      <c r="BJ265" t="s">
        <v>126</v>
      </c>
      <c r="BK265" t="s">
        <v>126</v>
      </c>
      <c r="BS265" t="s">
        <v>126</v>
      </c>
      <c r="BT265" t="s">
        <v>126</v>
      </c>
      <c r="BU265" t="s">
        <v>126</v>
      </c>
      <c r="BV265" t="s">
        <v>126</v>
      </c>
      <c r="CN265" t="s">
        <v>147</v>
      </c>
      <c r="CP265" t="s">
        <v>148</v>
      </c>
      <c r="CQ265" t="s">
        <v>147</v>
      </c>
    </row>
    <row r="266" spans="1:95" x14ac:dyDescent="0.2">
      <c r="A266" t="s">
        <v>115</v>
      </c>
      <c r="B266" t="s">
        <v>116</v>
      </c>
      <c r="C266">
        <v>210784</v>
      </c>
      <c r="E266" t="s">
        <v>117</v>
      </c>
      <c r="F266">
        <v>368</v>
      </c>
      <c r="G266" t="s">
        <v>141</v>
      </c>
      <c r="H266" t="s">
        <v>142</v>
      </c>
      <c r="I266" t="s">
        <v>143</v>
      </c>
      <c r="J266" t="s">
        <v>144</v>
      </c>
      <c r="L266" t="s">
        <v>156</v>
      </c>
      <c r="M266" s="8">
        <v>45323</v>
      </c>
      <c r="N266">
        <v>104947</v>
      </c>
      <c r="O266" t="s">
        <v>123</v>
      </c>
      <c r="P266" t="s">
        <v>146</v>
      </c>
      <c r="Q266">
        <v>0.36</v>
      </c>
      <c r="R266" t="s">
        <v>125</v>
      </c>
      <c r="S266" t="s">
        <v>126</v>
      </c>
      <c r="T266" t="s">
        <v>125</v>
      </c>
      <c r="U266" t="s">
        <v>126</v>
      </c>
      <c r="W266">
        <v>0.36</v>
      </c>
      <c r="Y266">
        <v>0.36</v>
      </c>
      <c r="AB266">
        <v>0.36</v>
      </c>
      <c r="BH266" t="s">
        <v>126</v>
      </c>
      <c r="BI266" t="s">
        <v>126</v>
      </c>
      <c r="BJ266" t="s">
        <v>126</v>
      </c>
      <c r="BK266" t="s">
        <v>126</v>
      </c>
      <c r="BS266" t="s">
        <v>126</v>
      </c>
      <c r="BT266" t="s">
        <v>126</v>
      </c>
      <c r="BU266" t="s">
        <v>126</v>
      </c>
      <c r="BV266" t="s">
        <v>126</v>
      </c>
      <c r="CN266" t="s">
        <v>147</v>
      </c>
      <c r="CP266" t="s">
        <v>148</v>
      </c>
      <c r="CQ266" t="s">
        <v>147</v>
      </c>
    </row>
    <row r="267" spans="1:95" x14ac:dyDescent="0.2">
      <c r="A267" t="s">
        <v>115</v>
      </c>
      <c r="B267" t="s">
        <v>116</v>
      </c>
      <c r="C267">
        <v>210784</v>
      </c>
      <c r="E267" t="s">
        <v>117</v>
      </c>
      <c r="F267">
        <v>368</v>
      </c>
      <c r="G267" t="s">
        <v>141</v>
      </c>
      <c r="H267" t="s">
        <v>142</v>
      </c>
      <c r="I267" t="s">
        <v>143</v>
      </c>
      <c r="J267" t="s">
        <v>144</v>
      </c>
      <c r="L267" t="s">
        <v>157</v>
      </c>
      <c r="M267" s="8">
        <v>45323</v>
      </c>
      <c r="N267">
        <v>104977</v>
      </c>
      <c r="O267" t="s">
        <v>123</v>
      </c>
      <c r="P267" t="s">
        <v>146</v>
      </c>
      <c r="Q267">
        <v>0.38</v>
      </c>
      <c r="R267" t="s">
        <v>125</v>
      </c>
      <c r="S267" t="s">
        <v>126</v>
      </c>
      <c r="T267" t="s">
        <v>125</v>
      </c>
      <c r="U267" t="s">
        <v>126</v>
      </c>
      <c r="W267">
        <v>0.38</v>
      </c>
      <c r="Y267">
        <v>0.38</v>
      </c>
      <c r="AB267">
        <v>0.38</v>
      </c>
      <c r="BH267" t="s">
        <v>126</v>
      </c>
      <c r="BI267" t="s">
        <v>126</v>
      </c>
      <c r="BJ267" t="s">
        <v>126</v>
      </c>
      <c r="BK267" t="s">
        <v>126</v>
      </c>
      <c r="BS267" t="s">
        <v>126</v>
      </c>
      <c r="BT267" t="s">
        <v>126</v>
      </c>
      <c r="BU267" t="s">
        <v>126</v>
      </c>
      <c r="BV267" t="s">
        <v>126</v>
      </c>
      <c r="CN267" t="s">
        <v>147</v>
      </c>
      <c r="CP267" t="s">
        <v>148</v>
      </c>
      <c r="CQ267" t="s">
        <v>147</v>
      </c>
    </row>
    <row r="268" spans="1:95" x14ac:dyDescent="0.2">
      <c r="A268" t="s">
        <v>115</v>
      </c>
      <c r="B268" t="s">
        <v>116</v>
      </c>
      <c r="C268">
        <v>210784</v>
      </c>
      <c r="E268" t="s">
        <v>117</v>
      </c>
      <c r="F268">
        <v>368</v>
      </c>
      <c r="G268" t="s">
        <v>141</v>
      </c>
      <c r="H268" t="s">
        <v>142</v>
      </c>
      <c r="I268" t="s">
        <v>143</v>
      </c>
      <c r="J268" t="s">
        <v>144</v>
      </c>
      <c r="L268" t="s">
        <v>158</v>
      </c>
      <c r="M268" s="8">
        <v>45323</v>
      </c>
      <c r="N268">
        <v>12347</v>
      </c>
      <c r="O268" t="s">
        <v>123</v>
      </c>
      <c r="P268" t="s">
        <v>146</v>
      </c>
      <c r="Q268">
        <v>0.25</v>
      </c>
      <c r="R268" t="s">
        <v>125</v>
      </c>
      <c r="S268" t="s">
        <v>126</v>
      </c>
      <c r="T268" t="s">
        <v>125</v>
      </c>
      <c r="U268" t="s">
        <v>126</v>
      </c>
      <c r="W268">
        <v>0.25</v>
      </c>
      <c r="Y268">
        <v>0.25</v>
      </c>
      <c r="AB268">
        <v>0.25</v>
      </c>
      <c r="BH268" t="s">
        <v>126</v>
      </c>
      <c r="BI268" t="s">
        <v>126</v>
      </c>
      <c r="BJ268" t="s">
        <v>126</v>
      </c>
      <c r="BK268" t="s">
        <v>126</v>
      </c>
      <c r="BS268" t="s">
        <v>126</v>
      </c>
      <c r="BT268" t="s">
        <v>126</v>
      </c>
      <c r="BU268" t="s">
        <v>126</v>
      </c>
      <c r="BV268" t="s">
        <v>126</v>
      </c>
      <c r="CN268" t="s">
        <v>147</v>
      </c>
      <c r="CP268" t="s">
        <v>148</v>
      </c>
      <c r="CQ268" t="s">
        <v>147</v>
      </c>
    </row>
    <row r="269" spans="1:95" x14ac:dyDescent="0.2">
      <c r="A269" t="s">
        <v>115</v>
      </c>
      <c r="B269" t="s">
        <v>116</v>
      </c>
      <c r="C269">
        <v>210784</v>
      </c>
      <c r="E269" t="s">
        <v>117</v>
      </c>
      <c r="F269">
        <v>368</v>
      </c>
      <c r="G269" t="s">
        <v>141</v>
      </c>
      <c r="H269" t="s">
        <v>142</v>
      </c>
      <c r="I269" t="s">
        <v>143</v>
      </c>
      <c r="J269" t="s">
        <v>144</v>
      </c>
      <c r="L269" t="s">
        <v>159</v>
      </c>
      <c r="M269" s="8">
        <v>45323</v>
      </c>
      <c r="N269">
        <v>2206</v>
      </c>
      <c r="O269" t="s">
        <v>123</v>
      </c>
      <c r="P269" t="s">
        <v>146</v>
      </c>
      <c r="Q269">
        <v>0.23</v>
      </c>
      <c r="R269" t="s">
        <v>125</v>
      </c>
      <c r="S269" t="s">
        <v>126</v>
      </c>
      <c r="T269" t="s">
        <v>125</v>
      </c>
      <c r="U269" t="s">
        <v>126</v>
      </c>
      <c r="W269">
        <v>0.23</v>
      </c>
      <c r="Y269">
        <v>0.23</v>
      </c>
      <c r="AB269">
        <v>0.23</v>
      </c>
      <c r="BH269" t="s">
        <v>126</v>
      </c>
      <c r="BI269" t="s">
        <v>126</v>
      </c>
      <c r="BJ269" t="s">
        <v>126</v>
      </c>
      <c r="BK269" t="s">
        <v>126</v>
      </c>
      <c r="BS269" t="s">
        <v>126</v>
      </c>
      <c r="BT269" t="s">
        <v>126</v>
      </c>
      <c r="BU269" t="s">
        <v>126</v>
      </c>
      <c r="BV269" t="s">
        <v>126</v>
      </c>
      <c r="CN269" t="s">
        <v>147</v>
      </c>
      <c r="CP269" t="s">
        <v>148</v>
      </c>
      <c r="CQ269" t="s">
        <v>147</v>
      </c>
    </row>
    <row r="270" spans="1:95" x14ac:dyDescent="0.2">
      <c r="A270" t="s">
        <v>115</v>
      </c>
      <c r="B270" t="s">
        <v>116</v>
      </c>
      <c r="C270">
        <v>210784</v>
      </c>
      <c r="E270" t="s">
        <v>117</v>
      </c>
      <c r="F270">
        <v>368</v>
      </c>
      <c r="G270" t="s">
        <v>141</v>
      </c>
      <c r="H270" t="s">
        <v>142</v>
      </c>
      <c r="I270" t="s">
        <v>143</v>
      </c>
      <c r="J270" t="s">
        <v>144</v>
      </c>
      <c r="L270" t="s">
        <v>160</v>
      </c>
      <c r="M270" s="8">
        <v>45323</v>
      </c>
      <c r="N270">
        <v>2138</v>
      </c>
      <c r="O270" t="s">
        <v>123</v>
      </c>
      <c r="P270" t="s">
        <v>146</v>
      </c>
      <c r="Q270">
        <v>0.21</v>
      </c>
      <c r="R270" t="s">
        <v>125</v>
      </c>
      <c r="S270" t="s">
        <v>126</v>
      </c>
      <c r="T270" t="s">
        <v>125</v>
      </c>
      <c r="U270" t="s">
        <v>126</v>
      </c>
      <c r="W270">
        <v>0.21</v>
      </c>
      <c r="Y270">
        <v>0.21</v>
      </c>
      <c r="AB270">
        <v>0.21</v>
      </c>
      <c r="BH270" t="s">
        <v>126</v>
      </c>
      <c r="BI270" t="s">
        <v>126</v>
      </c>
      <c r="BJ270" t="s">
        <v>126</v>
      </c>
      <c r="BK270" t="s">
        <v>126</v>
      </c>
      <c r="BS270" t="s">
        <v>126</v>
      </c>
      <c r="BT270" t="s">
        <v>126</v>
      </c>
      <c r="BU270" t="s">
        <v>126</v>
      </c>
      <c r="BV270" t="s">
        <v>126</v>
      </c>
      <c r="CN270" t="s">
        <v>147</v>
      </c>
      <c r="CP270" t="s">
        <v>148</v>
      </c>
      <c r="CQ270" t="s">
        <v>147</v>
      </c>
    </row>
    <row r="271" spans="1:95" x14ac:dyDescent="0.2">
      <c r="A271" t="s">
        <v>115</v>
      </c>
      <c r="B271" t="s">
        <v>116</v>
      </c>
      <c r="C271">
        <v>210784</v>
      </c>
      <c r="E271" t="s">
        <v>117</v>
      </c>
      <c r="F271">
        <v>368</v>
      </c>
      <c r="G271" t="s">
        <v>141</v>
      </c>
      <c r="H271" t="s">
        <v>142</v>
      </c>
      <c r="I271" t="s">
        <v>143</v>
      </c>
      <c r="J271" t="s">
        <v>144</v>
      </c>
      <c r="L271" t="s">
        <v>161</v>
      </c>
      <c r="M271" s="8">
        <v>45323</v>
      </c>
      <c r="N271">
        <v>2136</v>
      </c>
      <c r="O271" t="s">
        <v>123</v>
      </c>
      <c r="P271" t="s">
        <v>146</v>
      </c>
      <c r="Q271">
        <v>0.32</v>
      </c>
      <c r="R271" t="s">
        <v>125</v>
      </c>
      <c r="S271" t="s">
        <v>126</v>
      </c>
      <c r="T271" t="s">
        <v>125</v>
      </c>
      <c r="U271" t="s">
        <v>126</v>
      </c>
      <c r="W271">
        <v>0.32</v>
      </c>
      <c r="Y271">
        <v>0.32</v>
      </c>
      <c r="AB271">
        <v>0.32</v>
      </c>
      <c r="BH271" t="s">
        <v>126</v>
      </c>
      <c r="BI271" t="s">
        <v>126</v>
      </c>
      <c r="BJ271" t="s">
        <v>126</v>
      </c>
      <c r="BK271" t="s">
        <v>126</v>
      </c>
      <c r="BS271" t="s">
        <v>126</v>
      </c>
      <c r="BT271" t="s">
        <v>126</v>
      </c>
      <c r="BU271" t="s">
        <v>126</v>
      </c>
      <c r="BV271" t="s">
        <v>126</v>
      </c>
      <c r="CN271" t="s">
        <v>147</v>
      </c>
      <c r="CP271" t="s">
        <v>148</v>
      </c>
      <c r="CQ271" t="s">
        <v>147</v>
      </c>
    </row>
    <row r="272" spans="1:95" x14ac:dyDescent="0.2">
      <c r="A272" t="s">
        <v>115</v>
      </c>
      <c r="B272" t="s">
        <v>116</v>
      </c>
      <c r="C272">
        <v>210784</v>
      </c>
      <c r="E272" t="s">
        <v>117</v>
      </c>
      <c r="F272">
        <v>368</v>
      </c>
      <c r="G272" t="s">
        <v>141</v>
      </c>
      <c r="H272" t="s">
        <v>142</v>
      </c>
      <c r="I272" t="s">
        <v>143</v>
      </c>
      <c r="J272" t="s">
        <v>144</v>
      </c>
      <c r="L272" t="s">
        <v>162</v>
      </c>
      <c r="M272" s="8">
        <v>45323</v>
      </c>
      <c r="N272">
        <v>2134</v>
      </c>
      <c r="O272" t="s">
        <v>123</v>
      </c>
      <c r="P272" t="s">
        <v>146</v>
      </c>
      <c r="Q272">
        <v>0.21</v>
      </c>
      <c r="R272" t="s">
        <v>125</v>
      </c>
      <c r="S272" t="s">
        <v>126</v>
      </c>
      <c r="T272" t="s">
        <v>125</v>
      </c>
      <c r="U272" t="s">
        <v>126</v>
      </c>
      <c r="W272">
        <v>0.21</v>
      </c>
      <c r="Y272">
        <v>0.21</v>
      </c>
      <c r="AB272">
        <v>0.21</v>
      </c>
      <c r="BH272" t="s">
        <v>126</v>
      </c>
      <c r="BI272" t="s">
        <v>126</v>
      </c>
      <c r="BJ272" t="s">
        <v>126</v>
      </c>
      <c r="BK272" t="s">
        <v>126</v>
      </c>
      <c r="BS272" t="s">
        <v>126</v>
      </c>
      <c r="BT272" t="s">
        <v>126</v>
      </c>
      <c r="BU272" t="s">
        <v>126</v>
      </c>
      <c r="BV272" t="s">
        <v>126</v>
      </c>
      <c r="CN272" t="s">
        <v>147</v>
      </c>
      <c r="CP272" t="s">
        <v>148</v>
      </c>
      <c r="CQ272" t="s">
        <v>147</v>
      </c>
    </row>
    <row r="273" spans="1:95" x14ac:dyDescent="0.2">
      <c r="A273" t="s">
        <v>115</v>
      </c>
      <c r="B273" t="s">
        <v>116</v>
      </c>
      <c r="C273">
        <v>210784</v>
      </c>
      <c r="E273" t="s">
        <v>117</v>
      </c>
      <c r="F273">
        <v>368</v>
      </c>
      <c r="G273" t="s">
        <v>141</v>
      </c>
      <c r="H273" t="s">
        <v>142</v>
      </c>
      <c r="I273" t="s">
        <v>143</v>
      </c>
      <c r="J273" t="s">
        <v>144</v>
      </c>
      <c r="L273" t="s">
        <v>163</v>
      </c>
      <c r="M273" s="8">
        <v>45323</v>
      </c>
      <c r="N273">
        <v>2180</v>
      </c>
      <c r="O273" t="s">
        <v>123</v>
      </c>
      <c r="P273" t="s">
        <v>146</v>
      </c>
      <c r="Q273">
        <v>0.27</v>
      </c>
      <c r="R273" t="s">
        <v>125</v>
      </c>
      <c r="S273" t="s">
        <v>126</v>
      </c>
      <c r="T273" t="s">
        <v>125</v>
      </c>
      <c r="U273" t="s">
        <v>126</v>
      </c>
      <c r="W273">
        <v>0.27</v>
      </c>
      <c r="Y273">
        <v>0.27</v>
      </c>
      <c r="AB273">
        <v>0.27</v>
      </c>
      <c r="BH273" t="s">
        <v>126</v>
      </c>
      <c r="BI273" t="s">
        <v>126</v>
      </c>
      <c r="BJ273" t="s">
        <v>126</v>
      </c>
      <c r="BK273" t="s">
        <v>126</v>
      </c>
      <c r="BS273" t="s">
        <v>126</v>
      </c>
      <c r="BT273" t="s">
        <v>126</v>
      </c>
      <c r="BU273" t="s">
        <v>126</v>
      </c>
      <c r="BV273" t="s">
        <v>126</v>
      </c>
      <c r="CN273" t="s">
        <v>147</v>
      </c>
      <c r="CP273" t="s">
        <v>148</v>
      </c>
      <c r="CQ273" t="s">
        <v>147</v>
      </c>
    </row>
    <row r="274" spans="1:95" x14ac:dyDescent="0.2">
      <c r="A274" t="s">
        <v>115</v>
      </c>
      <c r="B274" t="s">
        <v>116</v>
      </c>
      <c r="C274">
        <v>210784</v>
      </c>
      <c r="E274" t="s">
        <v>117</v>
      </c>
      <c r="F274">
        <v>368</v>
      </c>
      <c r="G274" t="s">
        <v>141</v>
      </c>
      <c r="H274" t="s">
        <v>142</v>
      </c>
      <c r="I274" t="s">
        <v>143</v>
      </c>
      <c r="J274" t="s">
        <v>144</v>
      </c>
      <c r="L274" t="s">
        <v>164</v>
      </c>
      <c r="M274" s="8">
        <v>45323</v>
      </c>
      <c r="N274">
        <v>2161</v>
      </c>
      <c r="O274" t="s">
        <v>123</v>
      </c>
      <c r="P274" t="s">
        <v>146</v>
      </c>
      <c r="Q274">
        <v>0.2</v>
      </c>
      <c r="R274" t="s">
        <v>125</v>
      </c>
      <c r="S274" t="s">
        <v>126</v>
      </c>
      <c r="T274" t="s">
        <v>125</v>
      </c>
      <c r="U274" t="s">
        <v>126</v>
      </c>
      <c r="W274">
        <v>0.2</v>
      </c>
      <c r="Y274">
        <v>0.2</v>
      </c>
      <c r="AB274">
        <v>0.2</v>
      </c>
      <c r="BH274" t="s">
        <v>126</v>
      </c>
      <c r="BI274" t="s">
        <v>126</v>
      </c>
      <c r="BJ274" t="s">
        <v>126</v>
      </c>
      <c r="BK274" t="s">
        <v>126</v>
      </c>
      <c r="BS274" t="s">
        <v>126</v>
      </c>
      <c r="BT274" t="s">
        <v>126</v>
      </c>
      <c r="BU274" t="s">
        <v>126</v>
      </c>
      <c r="BV274" t="s">
        <v>126</v>
      </c>
      <c r="CN274" t="s">
        <v>147</v>
      </c>
      <c r="CP274" t="s">
        <v>148</v>
      </c>
      <c r="CQ274" t="s">
        <v>147</v>
      </c>
    </row>
    <row r="275" spans="1:95" x14ac:dyDescent="0.2">
      <c r="A275" t="s">
        <v>115</v>
      </c>
      <c r="B275" t="s">
        <v>116</v>
      </c>
      <c r="C275">
        <v>210784</v>
      </c>
      <c r="E275" t="s">
        <v>117</v>
      </c>
      <c r="F275">
        <v>368</v>
      </c>
      <c r="G275" t="s">
        <v>141</v>
      </c>
      <c r="H275" t="s">
        <v>142</v>
      </c>
      <c r="I275" t="s">
        <v>143</v>
      </c>
      <c r="J275" t="s">
        <v>144</v>
      </c>
      <c r="L275" t="s">
        <v>165</v>
      </c>
      <c r="M275" s="8">
        <v>45323</v>
      </c>
      <c r="N275">
        <v>2156</v>
      </c>
      <c r="O275" t="s">
        <v>123</v>
      </c>
      <c r="P275" t="s">
        <v>146</v>
      </c>
      <c r="Q275">
        <v>0.18</v>
      </c>
      <c r="R275" t="s">
        <v>125</v>
      </c>
      <c r="S275" t="s">
        <v>126</v>
      </c>
      <c r="T275" t="s">
        <v>125</v>
      </c>
      <c r="U275" t="s">
        <v>126</v>
      </c>
      <c r="W275">
        <v>0.18</v>
      </c>
      <c r="Y275">
        <v>0.18</v>
      </c>
      <c r="AB275">
        <v>0.18</v>
      </c>
      <c r="BH275" t="s">
        <v>126</v>
      </c>
      <c r="BI275" t="s">
        <v>126</v>
      </c>
      <c r="BJ275" t="s">
        <v>126</v>
      </c>
      <c r="BK275" t="s">
        <v>126</v>
      </c>
      <c r="BS275" t="s">
        <v>126</v>
      </c>
      <c r="BT275" t="s">
        <v>126</v>
      </c>
      <c r="BU275" t="s">
        <v>126</v>
      </c>
      <c r="BV275" t="s">
        <v>126</v>
      </c>
      <c r="CN275" t="s">
        <v>147</v>
      </c>
      <c r="CP275" t="s">
        <v>148</v>
      </c>
      <c r="CQ275" t="s">
        <v>147</v>
      </c>
    </row>
    <row r="276" spans="1:95" x14ac:dyDescent="0.2">
      <c r="A276" t="s">
        <v>115</v>
      </c>
      <c r="B276" t="s">
        <v>116</v>
      </c>
      <c r="C276">
        <v>210784</v>
      </c>
      <c r="E276" t="s">
        <v>117</v>
      </c>
      <c r="F276">
        <v>368</v>
      </c>
      <c r="G276" t="s">
        <v>141</v>
      </c>
      <c r="H276" t="s">
        <v>142</v>
      </c>
      <c r="I276" t="s">
        <v>143</v>
      </c>
      <c r="J276" t="s">
        <v>144</v>
      </c>
      <c r="L276" t="s">
        <v>166</v>
      </c>
      <c r="M276" s="8">
        <v>45323</v>
      </c>
      <c r="N276">
        <v>2132</v>
      </c>
      <c r="O276" t="s">
        <v>123</v>
      </c>
      <c r="P276" t="s">
        <v>146</v>
      </c>
      <c r="Q276">
        <v>0.23</v>
      </c>
      <c r="R276" t="s">
        <v>125</v>
      </c>
      <c r="S276" t="s">
        <v>126</v>
      </c>
      <c r="T276" t="s">
        <v>125</v>
      </c>
      <c r="U276" t="s">
        <v>126</v>
      </c>
      <c r="W276">
        <v>0.23</v>
      </c>
      <c r="Y276">
        <v>0.23</v>
      </c>
      <c r="AB276">
        <v>0.23</v>
      </c>
      <c r="BH276" t="s">
        <v>126</v>
      </c>
      <c r="BI276" t="s">
        <v>126</v>
      </c>
      <c r="BJ276" t="s">
        <v>126</v>
      </c>
      <c r="BK276" t="s">
        <v>126</v>
      </c>
      <c r="BS276" t="s">
        <v>126</v>
      </c>
      <c r="BT276" t="s">
        <v>126</v>
      </c>
      <c r="BU276" t="s">
        <v>126</v>
      </c>
      <c r="BV276" t="s">
        <v>126</v>
      </c>
      <c r="CN276" t="s">
        <v>147</v>
      </c>
      <c r="CP276" t="s">
        <v>148</v>
      </c>
      <c r="CQ276" t="s">
        <v>147</v>
      </c>
    </row>
    <row r="277" spans="1:95" x14ac:dyDescent="0.2">
      <c r="A277" t="s">
        <v>115</v>
      </c>
      <c r="B277" t="s">
        <v>116</v>
      </c>
      <c r="C277">
        <v>210784</v>
      </c>
      <c r="E277" t="s">
        <v>117</v>
      </c>
      <c r="F277">
        <v>368</v>
      </c>
      <c r="G277" t="s">
        <v>141</v>
      </c>
      <c r="H277" t="s">
        <v>142</v>
      </c>
      <c r="I277" t="s">
        <v>143</v>
      </c>
      <c r="J277" t="s">
        <v>144</v>
      </c>
      <c r="L277" t="s">
        <v>167</v>
      </c>
      <c r="M277" s="8">
        <v>45323</v>
      </c>
      <c r="N277">
        <v>2126</v>
      </c>
      <c r="O277" t="s">
        <v>123</v>
      </c>
      <c r="P277" t="s">
        <v>146</v>
      </c>
      <c r="Q277">
        <v>0.28000000000000003</v>
      </c>
      <c r="R277" t="s">
        <v>125</v>
      </c>
      <c r="S277" t="s">
        <v>126</v>
      </c>
      <c r="T277" t="s">
        <v>125</v>
      </c>
      <c r="U277" t="s">
        <v>126</v>
      </c>
      <c r="W277">
        <v>0.28000000000000003</v>
      </c>
      <c r="Y277">
        <v>0.28000000000000003</v>
      </c>
      <c r="AB277">
        <v>0.28000000000000003</v>
      </c>
      <c r="BH277" t="s">
        <v>126</v>
      </c>
      <c r="BI277" t="s">
        <v>126</v>
      </c>
      <c r="BJ277" t="s">
        <v>126</v>
      </c>
      <c r="BK277" t="s">
        <v>126</v>
      </c>
      <c r="BS277" t="s">
        <v>126</v>
      </c>
      <c r="BT277" t="s">
        <v>126</v>
      </c>
      <c r="BU277" t="s">
        <v>126</v>
      </c>
      <c r="BV277" t="s">
        <v>126</v>
      </c>
      <c r="CN277" t="s">
        <v>147</v>
      </c>
      <c r="CP277" t="s">
        <v>148</v>
      </c>
      <c r="CQ277" t="s">
        <v>147</v>
      </c>
    </row>
    <row r="278" spans="1:95" x14ac:dyDescent="0.2">
      <c r="A278" t="s">
        <v>115</v>
      </c>
      <c r="B278" t="s">
        <v>116</v>
      </c>
      <c r="C278">
        <v>210784</v>
      </c>
      <c r="E278" t="s">
        <v>117</v>
      </c>
      <c r="F278">
        <v>368</v>
      </c>
      <c r="G278" t="s">
        <v>141</v>
      </c>
      <c r="H278" t="s">
        <v>142</v>
      </c>
      <c r="I278" t="s">
        <v>204</v>
      </c>
      <c r="J278" t="s">
        <v>205</v>
      </c>
      <c r="L278" t="s">
        <v>226</v>
      </c>
      <c r="M278" s="8">
        <v>45323</v>
      </c>
      <c r="N278">
        <v>97667</v>
      </c>
      <c r="O278" t="s">
        <v>123</v>
      </c>
      <c r="P278" t="s">
        <v>146</v>
      </c>
      <c r="Q278">
        <v>11.38</v>
      </c>
      <c r="R278" t="s">
        <v>125</v>
      </c>
      <c r="S278" t="s">
        <v>126</v>
      </c>
      <c r="T278" t="s">
        <v>125</v>
      </c>
      <c r="U278" t="s">
        <v>126</v>
      </c>
      <c r="W278">
        <v>11.38</v>
      </c>
      <c r="Y278">
        <v>11.38</v>
      </c>
      <c r="AC278">
        <v>11.38</v>
      </c>
      <c r="BH278" t="s">
        <v>126</v>
      </c>
      <c r="BI278" t="s">
        <v>126</v>
      </c>
      <c r="BJ278" t="s">
        <v>126</v>
      </c>
      <c r="BK278" t="s">
        <v>126</v>
      </c>
      <c r="BS278" t="s">
        <v>126</v>
      </c>
      <c r="BT278" t="s">
        <v>126</v>
      </c>
      <c r="BU278" t="s">
        <v>126</v>
      </c>
      <c r="BV278" t="s">
        <v>126</v>
      </c>
      <c r="CN278" t="s">
        <v>147</v>
      </c>
      <c r="CP278" t="s">
        <v>227</v>
      </c>
      <c r="CQ278" t="s">
        <v>147</v>
      </c>
    </row>
    <row r="279" spans="1:95" x14ac:dyDescent="0.2">
      <c r="A279" t="s">
        <v>115</v>
      </c>
      <c r="B279" t="s">
        <v>116</v>
      </c>
      <c r="C279">
        <v>210784</v>
      </c>
      <c r="E279" t="s">
        <v>117</v>
      </c>
      <c r="F279">
        <v>368</v>
      </c>
      <c r="G279" t="s">
        <v>141</v>
      </c>
      <c r="H279" t="s">
        <v>142</v>
      </c>
      <c r="I279" t="s">
        <v>204</v>
      </c>
      <c r="J279" t="s">
        <v>205</v>
      </c>
      <c r="L279" t="s">
        <v>160</v>
      </c>
      <c r="M279" s="8">
        <v>45323</v>
      </c>
      <c r="N279">
        <v>98030</v>
      </c>
      <c r="O279" t="s">
        <v>123</v>
      </c>
      <c r="P279" t="s">
        <v>146</v>
      </c>
      <c r="Q279">
        <v>7.01</v>
      </c>
      <c r="R279" t="s">
        <v>125</v>
      </c>
      <c r="S279" t="s">
        <v>126</v>
      </c>
      <c r="T279" t="s">
        <v>125</v>
      </c>
      <c r="U279" t="s">
        <v>126</v>
      </c>
      <c r="W279">
        <v>7.01</v>
      </c>
      <c r="Y279">
        <v>7.01</v>
      </c>
      <c r="AC279">
        <v>7.01</v>
      </c>
      <c r="BH279" t="s">
        <v>126</v>
      </c>
      <c r="BI279" t="s">
        <v>126</v>
      </c>
      <c r="BJ279" t="s">
        <v>126</v>
      </c>
      <c r="BK279" t="s">
        <v>126</v>
      </c>
      <c r="BS279" t="s">
        <v>126</v>
      </c>
      <c r="BT279" t="s">
        <v>126</v>
      </c>
      <c r="BU279" t="s">
        <v>126</v>
      </c>
      <c r="BV279" t="s">
        <v>126</v>
      </c>
      <c r="CN279" t="s">
        <v>147</v>
      </c>
      <c r="CP279" t="s">
        <v>149</v>
      </c>
      <c r="CQ279" t="s">
        <v>147</v>
      </c>
    </row>
    <row r="280" spans="1:95" x14ac:dyDescent="0.2">
      <c r="A280" t="s">
        <v>115</v>
      </c>
      <c r="B280" t="s">
        <v>116</v>
      </c>
      <c r="C280">
        <v>210784</v>
      </c>
      <c r="E280" t="s">
        <v>117</v>
      </c>
      <c r="F280">
        <v>368</v>
      </c>
      <c r="G280" t="s">
        <v>141</v>
      </c>
      <c r="H280" t="s">
        <v>142</v>
      </c>
      <c r="I280" t="s">
        <v>204</v>
      </c>
      <c r="J280" t="s">
        <v>205</v>
      </c>
      <c r="L280" t="s">
        <v>158</v>
      </c>
      <c r="M280" s="8">
        <v>45323</v>
      </c>
      <c r="N280">
        <v>98481</v>
      </c>
      <c r="O280" t="s">
        <v>123</v>
      </c>
      <c r="P280" t="s">
        <v>146</v>
      </c>
      <c r="Q280">
        <v>8.56</v>
      </c>
      <c r="R280" t="s">
        <v>125</v>
      </c>
      <c r="S280" t="s">
        <v>126</v>
      </c>
      <c r="T280" t="s">
        <v>125</v>
      </c>
      <c r="U280" t="s">
        <v>126</v>
      </c>
      <c r="W280">
        <v>8.56</v>
      </c>
      <c r="Y280">
        <v>8.56</v>
      </c>
      <c r="AC280">
        <v>8.56</v>
      </c>
      <c r="BH280" t="s">
        <v>126</v>
      </c>
      <c r="BI280" t="s">
        <v>126</v>
      </c>
      <c r="BJ280" t="s">
        <v>126</v>
      </c>
      <c r="BK280" t="s">
        <v>126</v>
      </c>
      <c r="BS280" t="s">
        <v>126</v>
      </c>
      <c r="BT280" t="s">
        <v>126</v>
      </c>
      <c r="BU280" t="s">
        <v>126</v>
      </c>
      <c r="BV280" t="s">
        <v>126</v>
      </c>
      <c r="CN280" t="s">
        <v>147</v>
      </c>
      <c r="CP280" t="s">
        <v>149</v>
      </c>
      <c r="CQ280" t="s">
        <v>147</v>
      </c>
    </row>
    <row r="281" spans="1:95" x14ac:dyDescent="0.2">
      <c r="A281" t="s">
        <v>115</v>
      </c>
      <c r="B281" t="s">
        <v>116</v>
      </c>
      <c r="C281">
        <v>210784</v>
      </c>
      <c r="E281" t="s">
        <v>117</v>
      </c>
      <c r="F281">
        <v>368</v>
      </c>
      <c r="G281" t="s">
        <v>229</v>
      </c>
      <c r="H281" t="s">
        <v>230</v>
      </c>
      <c r="I281" t="s">
        <v>204</v>
      </c>
      <c r="J281" t="s">
        <v>205</v>
      </c>
      <c r="L281" t="s">
        <v>226</v>
      </c>
      <c r="M281" s="8">
        <v>45323</v>
      </c>
      <c r="N281">
        <v>97667</v>
      </c>
      <c r="O281" t="s">
        <v>123</v>
      </c>
      <c r="P281" t="s">
        <v>146</v>
      </c>
      <c r="Q281">
        <v>11.38</v>
      </c>
      <c r="R281" t="s">
        <v>125</v>
      </c>
      <c r="S281" t="s">
        <v>126</v>
      </c>
      <c r="T281" t="s">
        <v>125</v>
      </c>
      <c r="U281" t="s">
        <v>126</v>
      </c>
      <c r="W281">
        <v>11.38</v>
      </c>
      <c r="Y281">
        <v>11.38</v>
      </c>
      <c r="AC281">
        <v>11.38</v>
      </c>
      <c r="BH281" t="s">
        <v>126</v>
      </c>
      <c r="BI281" t="s">
        <v>126</v>
      </c>
      <c r="BJ281" t="s">
        <v>126</v>
      </c>
      <c r="BK281" t="s">
        <v>126</v>
      </c>
      <c r="BS281" t="s">
        <v>126</v>
      </c>
      <c r="BT281" t="s">
        <v>126</v>
      </c>
      <c r="BU281" t="s">
        <v>126</v>
      </c>
      <c r="BV281" t="s">
        <v>126</v>
      </c>
      <c r="CN281" t="s">
        <v>230</v>
      </c>
      <c r="CP281" t="s">
        <v>231</v>
      </c>
      <c r="CQ281" t="s">
        <v>230</v>
      </c>
    </row>
    <row r="282" spans="1:95" x14ac:dyDescent="0.2">
      <c r="A282" t="s">
        <v>115</v>
      </c>
      <c r="B282" t="s">
        <v>116</v>
      </c>
      <c r="C282">
        <v>210784</v>
      </c>
      <c r="E282" t="s">
        <v>117</v>
      </c>
      <c r="F282">
        <v>368</v>
      </c>
      <c r="G282" t="s">
        <v>229</v>
      </c>
      <c r="H282" t="s">
        <v>230</v>
      </c>
      <c r="I282" t="s">
        <v>204</v>
      </c>
      <c r="J282" t="s">
        <v>205</v>
      </c>
      <c r="L282" t="s">
        <v>160</v>
      </c>
      <c r="M282" s="8">
        <v>45323</v>
      </c>
      <c r="N282">
        <v>98030</v>
      </c>
      <c r="O282" t="s">
        <v>123</v>
      </c>
      <c r="P282" t="s">
        <v>146</v>
      </c>
      <c r="Q282">
        <v>7.01</v>
      </c>
      <c r="R282" t="s">
        <v>125</v>
      </c>
      <c r="S282" t="s">
        <v>126</v>
      </c>
      <c r="T282" t="s">
        <v>125</v>
      </c>
      <c r="U282" t="s">
        <v>126</v>
      </c>
      <c r="W282">
        <v>7.01</v>
      </c>
      <c r="Y282">
        <v>7.01</v>
      </c>
      <c r="AC282">
        <v>7.01</v>
      </c>
      <c r="BH282" t="s">
        <v>126</v>
      </c>
      <c r="BI282" t="s">
        <v>126</v>
      </c>
      <c r="BJ282" t="s">
        <v>126</v>
      </c>
      <c r="BK282" t="s">
        <v>126</v>
      </c>
      <c r="BS282" t="s">
        <v>126</v>
      </c>
      <c r="BT282" t="s">
        <v>126</v>
      </c>
      <c r="BU282" t="s">
        <v>126</v>
      </c>
      <c r="BV282" t="s">
        <v>126</v>
      </c>
      <c r="CN282" t="s">
        <v>230</v>
      </c>
      <c r="CP282" t="s">
        <v>231</v>
      </c>
      <c r="CQ282" t="s">
        <v>230</v>
      </c>
    </row>
    <row r="283" spans="1:95" x14ac:dyDescent="0.2">
      <c r="A283" t="s">
        <v>115</v>
      </c>
      <c r="B283" t="s">
        <v>116</v>
      </c>
      <c r="C283">
        <v>210784</v>
      </c>
      <c r="E283" t="s">
        <v>117</v>
      </c>
      <c r="F283">
        <v>368</v>
      </c>
      <c r="G283" t="s">
        <v>229</v>
      </c>
      <c r="H283" t="s">
        <v>230</v>
      </c>
      <c r="I283" t="s">
        <v>204</v>
      </c>
      <c r="J283" t="s">
        <v>205</v>
      </c>
      <c r="L283" t="s">
        <v>158</v>
      </c>
      <c r="M283" s="8">
        <v>45323</v>
      </c>
      <c r="N283">
        <v>98481</v>
      </c>
      <c r="O283" t="s">
        <v>123</v>
      </c>
      <c r="P283" t="s">
        <v>146</v>
      </c>
      <c r="Q283">
        <v>8.56</v>
      </c>
      <c r="R283" t="s">
        <v>125</v>
      </c>
      <c r="S283" t="s">
        <v>126</v>
      </c>
      <c r="T283" t="s">
        <v>125</v>
      </c>
      <c r="U283" t="s">
        <v>126</v>
      </c>
      <c r="W283">
        <v>8.56</v>
      </c>
      <c r="Y283">
        <v>8.56</v>
      </c>
      <c r="AC283">
        <v>8.56</v>
      </c>
      <c r="BH283" t="s">
        <v>126</v>
      </c>
      <c r="BI283" t="s">
        <v>126</v>
      </c>
      <c r="BJ283" t="s">
        <v>126</v>
      </c>
      <c r="BK283" t="s">
        <v>126</v>
      </c>
      <c r="BS283" t="s">
        <v>126</v>
      </c>
      <c r="BT283" t="s">
        <v>126</v>
      </c>
      <c r="BU283" t="s">
        <v>126</v>
      </c>
      <c r="BV283" t="s">
        <v>126</v>
      </c>
      <c r="CN283" t="s">
        <v>230</v>
      </c>
      <c r="CP283" t="s">
        <v>231</v>
      </c>
      <c r="CQ283" t="s">
        <v>230</v>
      </c>
    </row>
    <row r="284" spans="1:95" x14ac:dyDescent="0.2">
      <c r="A284" t="s">
        <v>115</v>
      </c>
      <c r="B284" t="s">
        <v>116</v>
      </c>
      <c r="C284">
        <v>210784</v>
      </c>
      <c r="E284" t="s">
        <v>117</v>
      </c>
      <c r="F284">
        <v>368</v>
      </c>
      <c r="G284" t="s">
        <v>176</v>
      </c>
      <c r="H284" t="s">
        <v>177</v>
      </c>
      <c r="I284" t="s">
        <v>510</v>
      </c>
      <c r="J284" t="s">
        <v>511</v>
      </c>
      <c r="L284" t="s">
        <v>513</v>
      </c>
      <c r="M284" s="8">
        <v>45323</v>
      </c>
      <c r="N284">
        <v>343260</v>
      </c>
      <c r="O284" t="s">
        <v>123</v>
      </c>
      <c r="P284" t="s">
        <v>124</v>
      </c>
      <c r="Q284">
        <v>1.87</v>
      </c>
      <c r="R284" t="s">
        <v>125</v>
      </c>
      <c r="S284" t="s">
        <v>126</v>
      </c>
      <c r="T284" t="s">
        <v>125</v>
      </c>
      <c r="U284" t="s">
        <v>126</v>
      </c>
      <c r="W284">
        <v>1.87</v>
      </c>
      <c r="Y284">
        <v>1.87</v>
      </c>
      <c r="AF284">
        <v>1.87</v>
      </c>
      <c r="BH284" t="s">
        <v>126</v>
      </c>
      <c r="BI284" t="s">
        <v>126</v>
      </c>
      <c r="BJ284" t="s">
        <v>126</v>
      </c>
      <c r="BK284" t="s">
        <v>126</v>
      </c>
      <c r="BS284" t="s">
        <v>126</v>
      </c>
      <c r="BT284" t="s">
        <v>126</v>
      </c>
      <c r="BU284" t="s">
        <v>126</v>
      </c>
      <c r="BV284" t="s">
        <v>126</v>
      </c>
      <c r="CN284" t="s">
        <v>181</v>
      </c>
      <c r="CP284" t="s">
        <v>360</v>
      </c>
      <c r="CQ284" t="s">
        <v>181</v>
      </c>
    </row>
    <row r="285" spans="1:95" x14ac:dyDescent="0.2">
      <c r="A285" t="s">
        <v>115</v>
      </c>
      <c r="B285" t="s">
        <v>116</v>
      </c>
      <c r="C285">
        <v>210784</v>
      </c>
      <c r="E285" t="s">
        <v>117</v>
      </c>
      <c r="F285">
        <v>368</v>
      </c>
      <c r="G285" t="s">
        <v>141</v>
      </c>
      <c r="H285" t="s">
        <v>142</v>
      </c>
      <c r="I285" t="s">
        <v>279</v>
      </c>
      <c r="J285" t="s">
        <v>280</v>
      </c>
      <c r="L285" t="s">
        <v>583</v>
      </c>
      <c r="M285" s="8">
        <v>45323</v>
      </c>
      <c r="N285">
        <v>5426317</v>
      </c>
      <c r="O285" t="s">
        <v>123</v>
      </c>
      <c r="P285" t="s">
        <v>146</v>
      </c>
      <c r="Q285">
        <v>2.14</v>
      </c>
      <c r="R285" t="s">
        <v>584</v>
      </c>
      <c r="S285" t="s">
        <v>126</v>
      </c>
      <c r="T285" t="s">
        <v>584</v>
      </c>
      <c r="U285" t="s">
        <v>585</v>
      </c>
      <c r="W285">
        <v>0.66</v>
      </c>
      <c r="X285">
        <v>1.48</v>
      </c>
      <c r="Y285">
        <v>2.14</v>
      </c>
      <c r="Z285">
        <v>0.81</v>
      </c>
      <c r="AG285">
        <v>0.66</v>
      </c>
      <c r="AI285">
        <v>0.67</v>
      </c>
      <c r="BH285" t="s">
        <v>126</v>
      </c>
      <c r="BI285" t="s">
        <v>126</v>
      </c>
      <c r="BJ285" t="s">
        <v>126</v>
      </c>
      <c r="BK285" t="s">
        <v>126</v>
      </c>
      <c r="BS285" t="s">
        <v>126</v>
      </c>
      <c r="BT285" t="s">
        <v>126</v>
      </c>
      <c r="BU285" t="s">
        <v>126</v>
      </c>
      <c r="BV285" t="s">
        <v>126</v>
      </c>
      <c r="CN285" t="s">
        <v>147</v>
      </c>
      <c r="CP285" t="s">
        <v>227</v>
      </c>
      <c r="CQ285" t="s">
        <v>147</v>
      </c>
    </row>
    <row r="286" spans="1:95" x14ac:dyDescent="0.2">
      <c r="A286" t="s">
        <v>115</v>
      </c>
      <c r="B286" t="s">
        <v>116</v>
      </c>
      <c r="C286">
        <v>210784</v>
      </c>
      <c r="E286" t="s">
        <v>117</v>
      </c>
      <c r="F286">
        <v>368</v>
      </c>
      <c r="G286" t="s">
        <v>141</v>
      </c>
      <c r="H286" t="s">
        <v>142</v>
      </c>
      <c r="I286" t="s">
        <v>279</v>
      </c>
      <c r="J286" t="s">
        <v>280</v>
      </c>
      <c r="L286" t="s">
        <v>165</v>
      </c>
      <c r="M286" s="8">
        <v>45323</v>
      </c>
      <c r="N286">
        <v>5430795</v>
      </c>
      <c r="O286" t="s">
        <v>123</v>
      </c>
      <c r="P286" t="s">
        <v>146</v>
      </c>
      <c r="Q286">
        <v>3.03</v>
      </c>
      <c r="R286" t="s">
        <v>586</v>
      </c>
      <c r="S286" t="s">
        <v>126</v>
      </c>
      <c r="T286" t="s">
        <v>586</v>
      </c>
      <c r="U286" t="s">
        <v>587</v>
      </c>
      <c r="W286">
        <v>0.93</v>
      </c>
      <c r="X286">
        <v>2.0999999999999996</v>
      </c>
      <c r="Y286">
        <v>3.03</v>
      </c>
      <c r="Z286">
        <v>1.1599999999999999</v>
      </c>
      <c r="AG286">
        <v>0.93</v>
      </c>
      <c r="AI286">
        <v>0.94</v>
      </c>
      <c r="BH286" t="s">
        <v>126</v>
      </c>
      <c r="BI286" t="s">
        <v>126</v>
      </c>
      <c r="BJ286" t="s">
        <v>126</v>
      </c>
      <c r="BK286" t="s">
        <v>126</v>
      </c>
      <c r="BS286" t="s">
        <v>126</v>
      </c>
      <c r="BT286" t="s">
        <v>126</v>
      </c>
      <c r="BU286" t="s">
        <v>126</v>
      </c>
      <c r="BV286" t="s">
        <v>126</v>
      </c>
      <c r="CN286" t="s">
        <v>147</v>
      </c>
      <c r="CP286" t="s">
        <v>227</v>
      </c>
      <c r="CQ286" t="s">
        <v>147</v>
      </c>
    </row>
    <row r="287" spans="1:95" x14ac:dyDescent="0.2">
      <c r="A287" t="s">
        <v>115</v>
      </c>
      <c r="B287" t="s">
        <v>116</v>
      </c>
      <c r="C287">
        <v>210784</v>
      </c>
      <c r="E287" t="s">
        <v>117</v>
      </c>
      <c r="F287">
        <v>368</v>
      </c>
      <c r="G287" t="s">
        <v>141</v>
      </c>
      <c r="H287" t="s">
        <v>142</v>
      </c>
      <c r="I287" t="s">
        <v>279</v>
      </c>
      <c r="J287" t="s">
        <v>280</v>
      </c>
      <c r="L287" t="s">
        <v>167</v>
      </c>
      <c r="M287" s="8">
        <v>45323</v>
      </c>
      <c r="N287">
        <v>5427316</v>
      </c>
      <c r="O287" t="s">
        <v>123</v>
      </c>
      <c r="P287" t="s">
        <v>146</v>
      </c>
      <c r="Q287">
        <v>3.81</v>
      </c>
      <c r="R287" t="s">
        <v>588</v>
      </c>
      <c r="S287" t="s">
        <v>126</v>
      </c>
      <c r="T287" t="s">
        <v>588</v>
      </c>
      <c r="U287" t="s">
        <v>589</v>
      </c>
      <c r="W287">
        <v>1.17</v>
      </c>
      <c r="X287">
        <v>2.6399999999999997</v>
      </c>
      <c r="Y287">
        <v>3.81</v>
      </c>
      <c r="Z287">
        <v>1.45</v>
      </c>
      <c r="AG287">
        <v>1.17</v>
      </c>
      <c r="AI287">
        <v>1.19</v>
      </c>
      <c r="BH287" t="s">
        <v>126</v>
      </c>
      <c r="BI287" t="s">
        <v>126</v>
      </c>
      <c r="BJ287" t="s">
        <v>126</v>
      </c>
      <c r="BK287" t="s">
        <v>126</v>
      </c>
      <c r="BS287" t="s">
        <v>126</v>
      </c>
      <c r="BT287" t="s">
        <v>126</v>
      </c>
      <c r="BU287" t="s">
        <v>126</v>
      </c>
      <c r="BV287" t="s">
        <v>126</v>
      </c>
      <c r="CN287" t="s">
        <v>147</v>
      </c>
      <c r="CP287" t="s">
        <v>227</v>
      </c>
      <c r="CQ287" t="s">
        <v>147</v>
      </c>
    </row>
    <row r="288" spans="1:95" x14ac:dyDescent="0.2">
      <c r="A288" t="s">
        <v>115</v>
      </c>
      <c r="B288" t="s">
        <v>116</v>
      </c>
      <c r="C288">
        <v>210784</v>
      </c>
      <c r="E288" t="s">
        <v>117</v>
      </c>
      <c r="F288">
        <v>368</v>
      </c>
      <c r="G288" t="s">
        <v>141</v>
      </c>
      <c r="H288" t="s">
        <v>142</v>
      </c>
      <c r="I288" t="s">
        <v>279</v>
      </c>
      <c r="J288" t="s">
        <v>280</v>
      </c>
      <c r="L288" t="s">
        <v>590</v>
      </c>
      <c r="M288" s="8">
        <v>45323</v>
      </c>
      <c r="N288">
        <v>5438121</v>
      </c>
      <c r="O288" t="s">
        <v>123</v>
      </c>
      <c r="P288" t="s">
        <v>146</v>
      </c>
      <c r="Q288">
        <v>2.2799999999999998</v>
      </c>
      <c r="R288" t="s">
        <v>572</v>
      </c>
      <c r="S288" t="s">
        <v>126</v>
      </c>
      <c r="T288" t="s">
        <v>572</v>
      </c>
      <c r="U288" t="s">
        <v>573</v>
      </c>
      <c r="W288">
        <v>0.7</v>
      </c>
      <c r="X288">
        <v>1.58</v>
      </c>
      <c r="Y288">
        <v>2.2799999999999998</v>
      </c>
      <c r="Z288">
        <v>0.87</v>
      </c>
      <c r="AG288">
        <v>0.7</v>
      </c>
      <c r="AI288">
        <v>0.71</v>
      </c>
      <c r="BH288" t="s">
        <v>126</v>
      </c>
      <c r="BI288" t="s">
        <v>126</v>
      </c>
      <c r="BJ288" t="s">
        <v>126</v>
      </c>
      <c r="BK288" t="s">
        <v>126</v>
      </c>
      <c r="BS288" t="s">
        <v>126</v>
      </c>
      <c r="BT288" t="s">
        <v>126</v>
      </c>
      <c r="BU288" t="s">
        <v>126</v>
      </c>
      <c r="BV288" t="s">
        <v>126</v>
      </c>
      <c r="CN288" t="s">
        <v>147</v>
      </c>
      <c r="CP288" t="s">
        <v>149</v>
      </c>
      <c r="CQ288" t="s">
        <v>147</v>
      </c>
    </row>
    <row r="289" spans="1:95" x14ac:dyDescent="0.2">
      <c r="A289" t="s">
        <v>115</v>
      </c>
      <c r="B289" t="s">
        <v>116</v>
      </c>
      <c r="C289">
        <v>210784</v>
      </c>
      <c r="E289" t="s">
        <v>117</v>
      </c>
      <c r="F289">
        <v>368</v>
      </c>
      <c r="G289" t="s">
        <v>141</v>
      </c>
      <c r="H289" t="s">
        <v>142</v>
      </c>
      <c r="I289" t="s">
        <v>279</v>
      </c>
      <c r="J289" t="s">
        <v>280</v>
      </c>
      <c r="L289" t="s">
        <v>156</v>
      </c>
      <c r="M289" s="8">
        <v>45323</v>
      </c>
      <c r="N289">
        <v>5441142</v>
      </c>
      <c r="O289" t="s">
        <v>123</v>
      </c>
      <c r="P289" t="s">
        <v>146</v>
      </c>
      <c r="Q289">
        <v>5.03</v>
      </c>
      <c r="R289" t="s">
        <v>559</v>
      </c>
      <c r="S289" t="s">
        <v>126</v>
      </c>
      <c r="T289" t="s">
        <v>559</v>
      </c>
      <c r="U289" t="s">
        <v>560</v>
      </c>
      <c r="W289">
        <v>1.55</v>
      </c>
      <c r="X289">
        <v>3.48</v>
      </c>
      <c r="Y289">
        <v>5.03</v>
      </c>
      <c r="Z289">
        <v>1.91</v>
      </c>
      <c r="AG289">
        <v>1.55</v>
      </c>
      <c r="AI289">
        <v>1.57</v>
      </c>
      <c r="BH289" t="s">
        <v>126</v>
      </c>
      <c r="BI289" t="s">
        <v>126</v>
      </c>
      <c r="BJ289" t="s">
        <v>126</v>
      </c>
      <c r="BK289" t="s">
        <v>126</v>
      </c>
      <c r="BS289" t="s">
        <v>126</v>
      </c>
      <c r="BT289" t="s">
        <v>126</v>
      </c>
      <c r="BU289" t="s">
        <v>126</v>
      </c>
      <c r="BV289" t="s">
        <v>126</v>
      </c>
      <c r="CN289" t="s">
        <v>147</v>
      </c>
      <c r="CP289" t="s">
        <v>149</v>
      </c>
      <c r="CQ289" t="s">
        <v>147</v>
      </c>
    </row>
    <row r="290" spans="1:95" x14ac:dyDescent="0.2">
      <c r="A290" t="s">
        <v>115</v>
      </c>
      <c r="B290" t="s">
        <v>116</v>
      </c>
      <c r="C290">
        <v>210784</v>
      </c>
      <c r="E290" t="s">
        <v>117</v>
      </c>
      <c r="F290">
        <v>368</v>
      </c>
      <c r="G290" t="s">
        <v>141</v>
      </c>
      <c r="H290" t="s">
        <v>142</v>
      </c>
      <c r="I290" t="s">
        <v>279</v>
      </c>
      <c r="J290" t="s">
        <v>280</v>
      </c>
      <c r="L290" t="s">
        <v>167</v>
      </c>
      <c r="M290" s="8">
        <v>45323</v>
      </c>
      <c r="N290">
        <v>5427444</v>
      </c>
      <c r="O290" t="s">
        <v>123</v>
      </c>
      <c r="P290" t="s">
        <v>146</v>
      </c>
      <c r="Q290">
        <v>4.17</v>
      </c>
      <c r="R290" t="s">
        <v>125</v>
      </c>
      <c r="S290" t="s">
        <v>126</v>
      </c>
      <c r="T290" t="s">
        <v>125</v>
      </c>
      <c r="U290" t="s">
        <v>126</v>
      </c>
      <c r="W290">
        <v>4.17</v>
      </c>
      <c r="Y290">
        <v>4.17</v>
      </c>
      <c r="BE290">
        <v>4.17</v>
      </c>
      <c r="BH290" t="s">
        <v>126</v>
      </c>
      <c r="BI290" t="s">
        <v>126</v>
      </c>
      <c r="BJ290" t="s">
        <v>126</v>
      </c>
      <c r="BK290" t="s">
        <v>126</v>
      </c>
      <c r="BS290" t="s">
        <v>126</v>
      </c>
      <c r="BT290" t="s">
        <v>126</v>
      </c>
      <c r="BU290" t="s">
        <v>126</v>
      </c>
      <c r="BV290" t="s">
        <v>126</v>
      </c>
      <c r="CN290" t="s">
        <v>147</v>
      </c>
      <c r="CP290" t="s">
        <v>227</v>
      </c>
      <c r="CQ290" t="s">
        <v>147</v>
      </c>
    </row>
    <row r="291" spans="1:95" x14ac:dyDescent="0.2">
      <c r="A291" t="s">
        <v>115</v>
      </c>
      <c r="B291" t="s">
        <v>116</v>
      </c>
      <c r="C291">
        <v>210784</v>
      </c>
      <c r="E291" t="s">
        <v>117</v>
      </c>
      <c r="F291">
        <v>368</v>
      </c>
      <c r="G291" t="s">
        <v>141</v>
      </c>
      <c r="H291" t="s">
        <v>142</v>
      </c>
      <c r="I291" t="s">
        <v>279</v>
      </c>
      <c r="J291" t="s">
        <v>280</v>
      </c>
      <c r="L291" t="s">
        <v>163</v>
      </c>
      <c r="M291" s="8">
        <v>45323</v>
      </c>
      <c r="N291">
        <v>5434315</v>
      </c>
      <c r="O291" t="s">
        <v>123</v>
      </c>
      <c r="P291" t="s">
        <v>146</v>
      </c>
      <c r="Q291">
        <v>1.96</v>
      </c>
      <c r="R291" t="s">
        <v>125</v>
      </c>
      <c r="S291" t="s">
        <v>126</v>
      </c>
      <c r="T291" t="s">
        <v>125</v>
      </c>
      <c r="U291" t="s">
        <v>126</v>
      </c>
      <c r="W291">
        <v>1.96</v>
      </c>
      <c r="Y291">
        <v>1.96</v>
      </c>
      <c r="BE291">
        <v>1.96</v>
      </c>
      <c r="BH291" t="s">
        <v>126</v>
      </c>
      <c r="BI291" t="s">
        <v>126</v>
      </c>
      <c r="BJ291" t="s">
        <v>126</v>
      </c>
      <c r="BK291" t="s">
        <v>126</v>
      </c>
      <c r="BS291" t="s">
        <v>126</v>
      </c>
      <c r="BT291" t="s">
        <v>126</v>
      </c>
      <c r="BU291" t="s">
        <v>126</v>
      </c>
      <c r="BV291" t="s">
        <v>126</v>
      </c>
      <c r="CN291" t="s">
        <v>147</v>
      </c>
      <c r="CP291" t="s">
        <v>149</v>
      </c>
      <c r="CQ291" t="s">
        <v>147</v>
      </c>
    </row>
    <row r="292" spans="1:95" x14ac:dyDescent="0.2">
      <c r="A292" t="s">
        <v>115</v>
      </c>
      <c r="B292" t="s">
        <v>116</v>
      </c>
      <c r="C292">
        <v>210784</v>
      </c>
      <c r="E292" t="s">
        <v>117</v>
      </c>
      <c r="F292">
        <v>368</v>
      </c>
      <c r="G292" t="s">
        <v>141</v>
      </c>
      <c r="H292" t="s">
        <v>142</v>
      </c>
      <c r="I292" t="s">
        <v>143</v>
      </c>
      <c r="J292" t="s">
        <v>144</v>
      </c>
      <c r="L292" t="s">
        <v>145</v>
      </c>
      <c r="M292" s="8">
        <v>45352</v>
      </c>
      <c r="N292">
        <v>2346</v>
      </c>
      <c r="O292" t="s">
        <v>123</v>
      </c>
      <c r="P292" t="s">
        <v>146</v>
      </c>
      <c r="Q292">
        <v>0.21</v>
      </c>
      <c r="R292" t="s">
        <v>125</v>
      </c>
      <c r="S292" t="s">
        <v>126</v>
      </c>
      <c r="T292" t="s">
        <v>125</v>
      </c>
      <c r="U292" t="s">
        <v>126</v>
      </c>
      <c r="W292">
        <v>0.21</v>
      </c>
      <c r="Y292">
        <v>0.21</v>
      </c>
      <c r="AB292">
        <v>0.21</v>
      </c>
      <c r="BH292" t="s">
        <v>126</v>
      </c>
      <c r="BI292" t="s">
        <v>126</v>
      </c>
      <c r="BJ292" t="s">
        <v>126</v>
      </c>
      <c r="BK292" t="s">
        <v>126</v>
      </c>
      <c r="BS292" t="s">
        <v>126</v>
      </c>
      <c r="BT292" t="s">
        <v>126</v>
      </c>
      <c r="BU292" t="s">
        <v>126</v>
      </c>
      <c r="BV292" t="s">
        <v>126</v>
      </c>
      <c r="CN292" t="s">
        <v>147</v>
      </c>
      <c r="CP292" t="s">
        <v>148</v>
      </c>
      <c r="CQ292" t="s">
        <v>147</v>
      </c>
    </row>
    <row r="293" spans="1:95" x14ac:dyDescent="0.2">
      <c r="A293" t="s">
        <v>115</v>
      </c>
      <c r="B293" t="s">
        <v>116</v>
      </c>
      <c r="C293">
        <v>210784</v>
      </c>
      <c r="E293" t="s">
        <v>117</v>
      </c>
      <c r="F293">
        <v>368</v>
      </c>
      <c r="G293" t="s">
        <v>141</v>
      </c>
      <c r="H293" t="s">
        <v>142</v>
      </c>
      <c r="I293" t="s">
        <v>143</v>
      </c>
      <c r="J293" t="s">
        <v>144</v>
      </c>
      <c r="L293" t="s">
        <v>149</v>
      </c>
      <c r="M293" s="8">
        <v>45352</v>
      </c>
      <c r="N293">
        <v>2316</v>
      </c>
      <c r="O293" t="s">
        <v>123</v>
      </c>
      <c r="P293" t="s">
        <v>146</v>
      </c>
      <c r="Q293">
        <v>0.31</v>
      </c>
      <c r="R293" t="s">
        <v>125</v>
      </c>
      <c r="S293" t="s">
        <v>126</v>
      </c>
      <c r="T293" t="s">
        <v>125</v>
      </c>
      <c r="U293" t="s">
        <v>126</v>
      </c>
      <c r="W293">
        <v>0.31</v>
      </c>
      <c r="Y293">
        <v>0.31</v>
      </c>
      <c r="AB293">
        <v>0.31</v>
      </c>
      <c r="BH293" t="s">
        <v>126</v>
      </c>
      <c r="BI293" t="s">
        <v>126</v>
      </c>
      <c r="BJ293" t="s">
        <v>126</v>
      </c>
      <c r="BK293" t="s">
        <v>126</v>
      </c>
      <c r="BS293" t="s">
        <v>126</v>
      </c>
      <c r="BT293" t="s">
        <v>126</v>
      </c>
      <c r="BU293" t="s">
        <v>126</v>
      </c>
      <c r="BV293" t="s">
        <v>126</v>
      </c>
      <c r="CN293" t="s">
        <v>147</v>
      </c>
      <c r="CP293" t="s">
        <v>148</v>
      </c>
      <c r="CQ293" t="s">
        <v>147</v>
      </c>
    </row>
    <row r="294" spans="1:95" x14ac:dyDescent="0.2">
      <c r="A294" t="s">
        <v>115</v>
      </c>
      <c r="B294" t="s">
        <v>116</v>
      </c>
      <c r="C294">
        <v>210784</v>
      </c>
      <c r="E294" t="s">
        <v>117</v>
      </c>
      <c r="F294">
        <v>368</v>
      </c>
      <c r="G294" t="s">
        <v>141</v>
      </c>
      <c r="H294" t="s">
        <v>142</v>
      </c>
      <c r="I294" t="s">
        <v>143</v>
      </c>
      <c r="J294" t="s">
        <v>144</v>
      </c>
      <c r="L294" t="s">
        <v>150</v>
      </c>
      <c r="M294" s="8">
        <v>45352</v>
      </c>
      <c r="N294">
        <v>105629</v>
      </c>
      <c r="O294" t="s">
        <v>123</v>
      </c>
      <c r="P294" t="s">
        <v>146</v>
      </c>
      <c r="Q294">
        <v>0.47</v>
      </c>
      <c r="R294" t="s">
        <v>125</v>
      </c>
      <c r="S294" t="s">
        <v>126</v>
      </c>
      <c r="T294" t="s">
        <v>125</v>
      </c>
      <c r="U294" t="s">
        <v>126</v>
      </c>
      <c r="W294">
        <v>0.47</v>
      </c>
      <c r="Y294">
        <v>0.47</v>
      </c>
      <c r="AB294">
        <v>0.47</v>
      </c>
      <c r="BH294" t="s">
        <v>126</v>
      </c>
      <c r="BI294" t="s">
        <v>126</v>
      </c>
      <c r="BJ294" t="s">
        <v>126</v>
      </c>
      <c r="BK294" t="s">
        <v>126</v>
      </c>
      <c r="BS294" t="s">
        <v>126</v>
      </c>
      <c r="BT294" t="s">
        <v>126</v>
      </c>
      <c r="BU294" t="s">
        <v>126</v>
      </c>
      <c r="BV294" t="s">
        <v>126</v>
      </c>
      <c r="CN294" t="s">
        <v>147</v>
      </c>
      <c r="CP294" t="s">
        <v>148</v>
      </c>
      <c r="CQ294" t="s">
        <v>147</v>
      </c>
    </row>
    <row r="295" spans="1:95" x14ac:dyDescent="0.2">
      <c r="A295" t="s">
        <v>115</v>
      </c>
      <c r="B295" t="s">
        <v>116</v>
      </c>
      <c r="C295">
        <v>210784</v>
      </c>
      <c r="E295" t="s">
        <v>117</v>
      </c>
      <c r="F295">
        <v>368</v>
      </c>
      <c r="G295" t="s">
        <v>141</v>
      </c>
      <c r="H295" t="s">
        <v>142</v>
      </c>
      <c r="I295" t="s">
        <v>143</v>
      </c>
      <c r="J295" t="s">
        <v>144</v>
      </c>
      <c r="L295" t="s">
        <v>151</v>
      </c>
      <c r="M295" s="8">
        <v>45352</v>
      </c>
      <c r="N295">
        <v>2314</v>
      </c>
      <c r="O295" t="s">
        <v>123</v>
      </c>
      <c r="P295" t="s">
        <v>146</v>
      </c>
      <c r="Q295">
        <v>0.12</v>
      </c>
      <c r="R295" t="s">
        <v>125</v>
      </c>
      <c r="S295" t="s">
        <v>126</v>
      </c>
      <c r="T295" t="s">
        <v>125</v>
      </c>
      <c r="U295" t="s">
        <v>126</v>
      </c>
      <c r="W295">
        <v>0.12</v>
      </c>
      <c r="Y295">
        <v>0.12</v>
      </c>
      <c r="AB295">
        <v>0.12</v>
      </c>
      <c r="BH295" t="s">
        <v>126</v>
      </c>
      <c r="BI295" t="s">
        <v>126</v>
      </c>
      <c r="BJ295" t="s">
        <v>126</v>
      </c>
      <c r="BK295" t="s">
        <v>126</v>
      </c>
      <c r="BS295" t="s">
        <v>126</v>
      </c>
      <c r="BT295" t="s">
        <v>126</v>
      </c>
      <c r="BU295" t="s">
        <v>126</v>
      </c>
      <c r="BV295" t="s">
        <v>126</v>
      </c>
      <c r="CN295" t="s">
        <v>147</v>
      </c>
      <c r="CP295" t="s">
        <v>148</v>
      </c>
      <c r="CQ295" t="s">
        <v>147</v>
      </c>
    </row>
    <row r="296" spans="1:95" x14ac:dyDescent="0.2">
      <c r="A296" t="s">
        <v>115</v>
      </c>
      <c r="B296" t="s">
        <v>116</v>
      </c>
      <c r="C296">
        <v>210784</v>
      </c>
      <c r="E296" t="s">
        <v>117</v>
      </c>
      <c r="F296">
        <v>368</v>
      </c>
      <c r="G296" t="s">
        <v>141</v>
      </c>
      <c r="H296" t="s">
        <v>142</v>
      </c>
      <c r="I296" t="s">
        <v>143</v>
      </c>
      <c r="J296" t="s">
        <v>144</v>
      </c>
      <c r="L296" t="s">
        <v>152</v>
      </c>
      <c r="M296" s="8">
        <v>45352</v>
      </c>
      <c r="N296">
        <v>2302</v>
      </c>
      <c r="O296" t="s">
        <v>123</v>
      </c>
      <c r="P296" t="s">
        <v>146</v>
      </c>
      <c r="Q296">
        <v>0.3</v>
      </c>
      <c r="R296" t="s">
        <v>125</v>
      </c>
      <c r="S296" t="s">
        <v>126</v>
      </c>
      <c r="T296" t="s">
        <v>125</v>
      </c>
      <c r="U296" t="s">
        <v>126</v>
      </c>
      <c r="W296">
        <v>0.3</v>
      </c>
      <c r="Y296">
        <v>0.3</v>
      </c>
      <c r="AB296">
        <v>0.3</v>
      </c>
      <c r="BH296" t="s">
        <v>126</v>
      </c>
      <c r="BI296" t="s">
        <v>126</v>
      </c>
      <c r="BJ296" t="s">
        <v>126</v>
      </c>
      <c r="BK296" t="s">
        <v>126</v>
      </c>
      <c r="BS296" t="s">
        <v>126</v>
      </c>
      <c r="BT296" t="s">
        <v>126</v>
      </c>
      <c r="BU296" t="s">
        <v>126</v>
      </c>
      <c r="BV296" t="s">
        <v>126</v>
      </c>
      <c r="CN296" t="s">
        <v>147</v>
      </c>
      <c r="CP296" t="s">
        <v>148</v>
      </c>
      <c r="CQ296" t="s">
        <v>147</v>
      </c>
    </row>
    <row r="297" spans="1:95" x14ac:dyDescent="0.2">
      <c r="A297" t="s">
        <v>115</v>
      </c>
      <c r="B297" t="s">
        <v>116</v>
      </c>
      <c r="C297">
        <v>210784</v>
      </c>
      <c r="E297" t="s">
        <v>117</v>
      </c>
      <c r="F297">
        <v>368</v>
      </c>
      <c r="G297" t="s">
        <v>141</v>
      </c>
      <c r="H297" t="s">
        <v>142</v>
      </c>
      <c r="I297" t="s">
        <v>143</v>
      </c>
      <c r="J297" t="s">
        <v>144</v>
      </c>
      <c r="L297" t="s">
        <v>153</v>
      </c>
      <c r="M297" s="8">
        <v>45352</v>
      </c>
      <c r="N297">
        <v>12600</v>
      </c>
      <c r="O297" t="s">
        <v>123</v>
      </c>
      <c r="P297" t="s">
        <v>146</v>
      </c>
      <c r="Q297">
        <v>0.19</v>
      </c>
      <c r="R297" t="s">
        <v>125</v>
      </c>
      <c r="S297" t="s">
        <v>126</v>
      </c>
      <c r="T297" t="s">
        <v>125</v>
      </c>
      <c r="U297" t="s">
        <v>126</v>
      </c>
      <c r="W297">
        <v>0.19</v>
      </c>
      <c r="Y297">
        <v>0.19</v>
      </c>
      <c r="AB297">
        <v>0.19</v>
      </c>
      <c r="BH297" t="s">
        <v>126</v>
      </c>
      <c r="BI297" t="s">
        <v>126</v>
      </c>
      <c r="BJ297" t="s">
        <v>126</v>
      </c>
      <c r="BK297" t="s">
        <v>126</v>
      </c>
      <c r="BS297" t="s">
        <v>126</v>
      </c>
      <c r="BT297" t="s">
        <v>126</v>
      </c>
      <c r="BU297" t="s">
        <v>126</v>
      </c>
      <c r="BV297" t="s">
        <v>126</v>
      </c>
      <c r="CN297" t="s">
        <v>147</v>
      </c>
      <c r="CP297" t="s">
        <v>148</v>
      </c>
      <c r="CQ297" t="s">
        <v>147</v>
      </c>
    </row>
    <row r="298" spans="1:95" x14ac:dyDescent="0.2">
      <c r="A298" t="s">
        <v>115</v>
      </c>
      <c r="B298" t="s">
        <v>116</v>
      </c>
      <c r="C298">
        <v>210784</v>
      </c>
      <c r="E298" t="s">
        <v>117</v>
      </c>
      <c r="F298">
        <v>368</v>
      </c>
      <c r="G298" t="s">
        <v>141</v>
      </c>
      <c r="H298" t="s">
        <v>142</v>
      </c>
      <c r="I298" t="s">
        <v>143</v>
      </c>
      <c r="J298" t="s">
        <v>144</v>
      </c>
      <c r="L298" t="s">
        <v>154</v>
      </c>
      <c r="M298" s="8">
        <v>45352</v>
      </c>
      <c r="N298">
        <v>12579</v>
      </c>
      <c r="O298" t="s">
        <v>123</v>
      </c>
      <c r="P298" t="s">
        <v>146</v>
      </c>
      <c r="Q298">
        <v>0.25</v>
      </c>
      <c r="R298" t="s">
        <v>125</v>
      </c>
      <c r="S298" t="s">
        <v>126</v>
      </c>
      <c r="T298" t="s">
        <v>125</v>
      </c>
      <c r="U298" t="s">
        <v>126</v>
      </c>
      <c r="W298">
        <v>0.25</v>
      </c>
      <c r="Y298">
        <v>0.25</v>
      </c>
      <c r="AB298">
        <v>0.25</v>
      </c>
      <c r="BH298" t="s">
        <v>126</v>
      </c>
      <c r="BI298" t="s">
        <v>126</v>
      </c>
      <c r="BJ298" t="s">
        <v>126</v>
      </c>
      <c r="BK298" t="s">
        <v>126</v>
      </c>
      <c r="BS298" t="s">
        <v>126</v>
      </c>
      <c r="BT298" t="s">
        <v>126</v>
      </c>
      <c r="BU298" t="s">
        <v>126</v>
      </c>
      <c r="BV298" t="s">
        <v>126</v>
      </c>
      <c r="CN298" t="s">
        <v>147</v>
      </c>
      <c r="CP298" t="s">
        <v>148</v>
      </c>
      <c r="CQ298" t="s">
        <v>147</v>
      </c>
    </row>
    <row r="299" spans="1:95" x14ac:dyDescent="0.2">
      <c r="A299" t="s">
        <v>115</v>
      </c>
      <c r="B299" t="s">
        <v>116</v>
      </c>
      <c r="C299">
        <v>210784</v>
      </c>
      <c r="E299" t="s">
        <v>117</v>
      </c>
      <c r="F299">
        <v>368</v>
      </c>
      <c r="G299" t="s">
        <v>141</v>
      </c>
      <c r="H299" t="s">
        <v>142</v>
      </c>
      <c r="I299" t="s">
        <v>204</v>
      </c>
      <c r="J299" t="s">
        <v>205</v>
      </c>
      <c r="L299" t="s">
        <v>154</v>
      </c>
      <c r="M299" s="8">
        <v>45352</v>
      </c>
      <c r="N299">
        <v>98811</v>
      </c>
      <c r="O299" t="s">
        <v>123</v>
      </c>
      <c r="P299" t="s">
        <v>146</v>
      </c>
      <c r="Q299">
        <v>7.18</v>
      </c>
      <c r="R299" t="s">
        <v>125</v>
      </c>
      <c r="S299" t="s">
        <v>126</v>
      </c>
      <c r="T299" t="s">
        <v>125</v>
      </c>
      <c r="U299" t="s">
        <v>126</v>
      </c>
      <c r="W299">
        <v>7.18</v>
      </c>
      <c r="Y299">
        <v>7.18</v>
      </c>
      <c r="AC299">
        <v>7.18</v>
      </c>
      <c r="BH299" t="s">
        <v>126</v>
      </c>
      <c r="BI299" t="s">
        <v>126</v>
      </c>
      <c r="BJ299" t="s">
        <v>126</v>
      </c>
      <c r="BK299" t="s">
        <v>126</v>
      </c>
      <c r="BS299" t="s">
        <v>126</v>
      </c>
      <c r="BT299" t="s">
        <v>126</v>
      </c>
      <c r="BU299" t="s">
        <v>126</v>
      </c>
      <c r="BV299" t="s">
        <v>126</v>
      </c>
      <c r="CN299" t="s">
        <v>147</v>
      </c>
      <c r="CP299" t="s">
        <v>149</v>
      </c>
      <c r="CQ299" t="s">
        <v>147</v>
      </c>
    </row>
    <row r="300" spans="1:95" x14ac:dyDescent="0.2">
      <c r="A300" t="s">
        <v>115</v>
      </c>
      <c r="B300" t="s">
        <v>116</v>
      </c>
      <c r="C300">
        <v>210784</v>
      </c>
      <c r="E300" t="s">
        <v>117</v>
      </c>
      <c r="F300">
        <v>368</v>
      </c>
      <c r="G300" t="s">
        <v>141</v>
      </c>
      <c r="H300" t="s">
        <v>142</v>
      </c>
      <c r="I300" t="s">
        <v>204</v>
      </c>
      <c r="J300" t="s">
        <v>205</v>
      </c>
      <c r="L300" t="s">
        <v>228</v>
      </c>
      <c r="M300" s="8">
        <v>45352</v>
      </c>
      <c r="N300">
        <v>99048</v>
      </c>
      <c r="O300" t="s">
        <v>123</v>
      </c>
      <c r="P300" t="s">
        <v>146</v>
      </c>
      <c r="Q300">
        <v>8.48</v>
      </c>
      <c r="R300" t="s">
        <v>125</v>
      </c>
      <c r="S300" t="s">
        <v>126</v>
      </c>
      <c r="T300" t="s">
        <v>125</v>
      </c>
      <c r="U300" t="s">
        <v>126</v>
      </c>
      <c r="W300">
        <v>8.48</v>
      </c>
      <c r="Y300">
        <v>8.48</v>
      </c>
      <c r="AC300">
        <v>8.48</v>
      </c>
      <c r="BH300" t="s">
        <v>126</v>
      </c>
      <c r="BI300" t="s">
        <v>126</v>
      </c>
      <c r="BJ300" t="s">
        <v>126</v>
      </c>
      <c r="BK300" t="s">
        <v>126</v>
      </c>
      <c r="BS300" t="s">
        <v>126</v>
      </c>
      <c r="BT300" t="s">
        <v>126</v>
      </c>
      <c r="BU300" t="s">
        <v>126</v>
      </c>
      <c r="BV300" t="s">
        <v>126</v>
      </c>
      <c r="CN300" t="s">
        <v>147</v>
      </c>
      <c r="CP300" t="s">
        <v>149</v>
      </c>
      <c r="CQ300" t="s">
        <v>147</v>
      </c>
    </row>
    <row r="301" spans="1:95" x14ac:dyDescent="0.2">
      <c r="A301" t="s">
        <v>115</v>
      </c>
      <c r="B301" t="s">
        <v>116</v>
      </c>
      <c r="C301">
        <v>210784</v>
      </c>
      <c r="E301" t="s">
        <v>117</v>
      </c>
      <c r="F301">
        <v>368</v>
      </c>
      <c r="G301" t="s">
        <v>229</v>
      </c>
      <c r="H301" t="s">
        <v>230</v>
      </c>
      <c r="I301" t="s">
        <v>204</v>
      </c>
      <c r="J301" t="s">
        <v>205</v>
      </c>
      <c r="L301" t="s">
        <v>154</v>
      </c>
      <c r="M301" s="8">
        <v>45352</v>
      </c>
      <c r="N301">
        <v>98811</v>
      </c>
      <c r="O301" t="s">
        <v>123</v>
      </c>
      <c r="P301" t="s">
        <v>146</v>
      </c>
      <c r="Q301">
        <v>7.18</v>
      </c>
      <c r="R301" t="s">
        <v>125</v>
      </c>
      <c r="S301" t="s">
        <v>126</v>
      </c>
      <c r="T301" t="s">
        <v>125</v>
      </c>
      <c r="U301" t="s">
        <v>126</v>
      </c>
      <c r="W301">
        <v>7.18</v>
      </c>
      <c r="Y301">
        <v>7.18</v>
      </c>
      <c r="AC301">
        <v>7.18</v>
      </c>
      <c r="BH301" t="s">
        <v>126</v>
      </c>
      <c r="BI301" t="s">
        <v>126</v>
      </c>
      <c r="BJ301" t="s">
        <v>126</v>
      </c>
      <c r="BK301" t="s">
        <v>126</v>
      </c>
      <c r="BS301" t="s">
        <v>126</v>
      </c>
      <c r="BT301" t="s">
        <v>126</v>
      </c>
      <c r="BU301" t="s">
        <v>126</v>
      </c>
      <c r="BV301" t="s">
        <v>126</v>
      </c>
      <c r="CN301" t="s">
        <v>230</v>
      </c>
      <c r="CP301" t="s">
        <v>231</v>
      </c>
      <c r="CQ301" t="s">
        <v>230</v>
      </c>
    </row>
    <row r="302" spans="1:95" x14ac:dyDescent="0.2">
      <c r="A302" t="s">
        <v>115</v>
      </c>
      <c r="B302" t="s">
        <v>116</v>
      </c>
      <c r="C302">
        <v>210784</v>
      </c>
      <c r="E302" t="s">
        <v>117</v>
      </c>
      <c r="F302">
        <v>368</v>
      </c>
      <c r="G302" t="s">
        <v>229</v>
      </c>
      <c r="H302" t="s">
        <v>230</v>
      </c>
      <c r="I302" t="s">
        <v>204</v>
      </c>
      <c r="J302" t="s">
        <v>205</v>
      </c>
      <c r="L302" t="s">
        <v>228</v>
      </c>
      <c r="M302" s="8">
        <v>45352</v>
      </c>
      <c r="N302">
        <v>99048</v>
      </c>
      <c r="O302" t="s">
        <v>123</v>
      </c>
      <c r="P302" t="s">
        <v>146</v>
      </c>
      <c r="Q302">
        <v>8.48</v>
      </c>
      <c r="R302" t="s">
        <v>125</v>
      </c>
      <c r="S302" t="s">
        <v>126</v>
      </c>
      <c r="T302" t="s">
        <v>125</v>
      </c>
      <c r="U302" t="s">
        <v>126</v>
      </c>
      <c r="W302">
        <v>8.48</v>
      </c>
      <c r="Y302">
        <v>8.48</v>
      </c>
      <c r="AC302">
        <v>8.48</v>
      </c>
      <c r="BH302" t="s">
        <v>126</v>
      </c>
      <c r="BI302" t="s">
        <v>126</v>
      </c>
      <c r="BJ302" t="s">
        <v>126</v>
      </c>
      <c r="BK302" t="s">
        <v>126</v>
      </c>
      <c r="BS302" t="s">
        <v>126</v>
      </c>
      <c r="BT302" t="s">
        <v>126</v>
      </c>
      <c r="BU302" t="s">
        <v>126</v>
      </c>
      <c r="BV302" t="s">
        <v>126</v>
      </c>
      <c r="CN302" t="s">
        <v>230</v>
      </c>
      <c r="CP302" t="s">
        <v>231</v>
      </c>
      <c r="CQ302" t="s">
        <v>230</v>
      </c>
    </row>
    <row r="303" spans="1:95" x14ac:dyDescent="0.2">
      <c r="A303" t="s">
        <v>115</v>
      </c>
      <c r="B303" t="s">
        <v>116</v>
      </c>
      <c r="C303">
        <v>210784</v>
      </c>
      <c r="E303" t="s">
        <v>117</v>
      </c>
      <c r="F303">
        <v>368</v>
      </c>
      <c r="G303" t="s">
        <v>229</v>
      </c>
      <c r="H303" t="s">
        <v>230</v>
      </c>
      <c r="I303" t="s">
        <v>204</v>
      </c>
      <c r="J303" t="s">
        <v>205</v>
      </c>
      <c r="L303" t="s">
        <v>232</v>
      </c>
      <c r="M303" s="8">
        <v>45352</v>
      </c>
      <c r="N303">
        <v>99405</v>
      </c>
      <c r="O303" t="s">
        <v>123</v>
      </c>
      <c r="P303" t="s">
        <v>146</v>
      </c>
      <c r="Q303">
        <v>10.36</v>
      </c>
      <c r="R303" t="s">
        <v>125</v>
      </c>
      <c r="S303" t="s">
        <v>126</v>
      </c>
      <c r="T303" t="s">
        <v>125</v>
      </c>
      <c r="U303" t="s">
        <v>126</v>
      </c>
      <c r="W303">
        <v>10.36</v>
      </c>
      <c r="Y303">
        <v>10.36</v>
      </c>
      <c r="AC303">
        <v>10.36</v>
      </c>
      <c r="BH303" t="s">
        <v>126</v>
      </c>
      <c r="BI303" t="s">
        <v>126</v>
      </c>
      <c r="BJ303" t="s">
        <v>126</v>
      </c>
      <c r="BK303" t="s">
        <v>126</v>
      </c>
      <c r="BS303" t="s">
        <v>126</v>
      </c>
      <c r="BT303" t="s">
        <v>126</v>
      </c>
      <c r="BU303" t="s">
        <v>126</v>
      </c>
      <c r="BV303" t="s">
        <v>126</v>
      </c>
      <c r="CN303" t="s">
        <v>230</v>
      </c>
      <c r="CP303" t="s">
        <v>231</v>
      </c>
      <c r="CQ303" t="s">
        <v>230</v>
      </c>
    </row>
    <row r="304" spans="1:95" x14ac:dyDescent="0.2">
      <c r="A304" t="s">
        <v>115</v>
      </c>
      <c r="B304" t="s">
        <v>116</v>
      </c>
      <c r="C304">
        <v>210784</v>
      </c>
      <c r="E304" t="s">
        <v>117</v>
      </c>
      <c r="F304">
        <v>368</v>
      </c>
      <c r="G304" t="s">
        <v>229</v>
      </c>
      <c r="H304" t="s">
        <v>230</v>
      </c>
      <c r="I304" t="s">
        <v>204</v>
      </c>
      <c r="J304" t="s">
        <v>205</v>
      </c>
      <c r="L304" t="s">
        <v>148</v>
      </c>
      <c r="M304" s="8">
        <v>45352</v>
      </c>
      <c r="N304">
        <v>99602</v>
      </c>
      <c r="O304" t="s">
        <v>123</v>
      </c>
      <c r="P304" t="s">
        <v>146</v>
      </c>
      <c r="Q304">
        <v>9.27</v>
      </c>
      <c r="R304" t="s">
        <v>125</v>
      </c>
      <c r="S304" t="s">
        <v>126</v>
      </c>
      <c r="T304" t="s">
        <v>125</v>
      </c>
      <c r="U304" t="s">
        <v>126</v>
      </c>
      <c r="W304">
        <v>9.27</v>
      </c>
      <c r="Y304">
        <v>9.27</v>
      </c>
      <c r="AC304">
        <v>9.27</v>
      </c>
      <c r="BH304" t="s">
        <v>126</v>
      </c>
      <c r="BI304" t="s">
        <v>126</v>
      </c>
      <c r="BJ304" t="s">
        <v>126</v>
      </c>
      <c r="BK304" t="s">
        <v>126</v>
      </c>
      <c r="BS304" t="s">
        <v>126</v>
      </c>
      <c r="BT304" t="s">
        <v>126</v>
      </c>
      <c r="BU304" t="s">
        <v>126</v>
      </c>
      <c r="BV304" t="s">
        <v>126</v>
      </c>
      <c r="CN304" t="s">
        <v>230</v>
      </c>
      <c r="CP304" t="s">
        <v>231</v>
      </c>
      <c r="CQ304" t="s">
        <v>230</v>
      </c>
    </row>
    <row r="305" spans="1:95" x14ac:dyDescent="0.2">
      <c r="A305" t="s">
        <v>115</v>
      </c>
      <c r="B305" t="s">
        <v>116</v>
      </c>
      <c r="C305">
        <v>210784</v>
      </c>
      <c r="E305" t="s">
        <v>117</v>
      </c>
      <c r="F305">
        <v>368</v>
      </c>
      <c r="G305" t="s">
        <v>229</v>
      </c>
      <c r="H305" t="s">
        <v>230</v>
      </c>
      <c r="I305" t="s">
        <v>204</v>
      </c>
      <c r="J305" t="s">
        <v>205</v>
      </c>
      <c r="L305" t="s">
        <v>233</v>
      </c>
      <c r="M305" s="8">
        <v>45352</v>
      </c>
      <c r="N305">
        <v>99831</v>
      </c>
      <c r="O305" t="s">
        <v>123</v>
      </c>
      <c r="P305" t="s">
        <v>146</v>
      </c>
      <c r="Q305">
        <v>5.92</v>
      </c>
      <c r="R305" t="s">
        <v>125</v>
      </c>
      <c r="S305" t="s">
        <v>126</v>
      </c>
      <c r="T305" t="s">
        <v>125</v>
      </c>
      <c r="U305" t="s">
        <v>126</v>
      </c>
      <c r="W305">
        <v>5.92</v>
      </c>
      <c r="Y305">
        <v>5.92</v>
      </c>
      <c r="AC305">
        <v>5.92</v>
      </c>
      <c r="BH305" t="s">
        <v>126</v>
      </c>
      <c r="BI305" t="s">
        <v>126</v>
      </c>
      <c r="BJ305" t="s">
        <v>126</v>
      </c>
      <c r="BK305" t="s">
        <v>126</v>
      </c>
      <c r="BS305" t="s">
        <v>126</v>
      </c>
      <c r="BT305" t="s">
        <v>126</v>
      </c>
      <c r="BU305" t="s">
        <v>126</v>
      </c>
      <c r="BV305" t="s">
        <v>126</v>
      </c>
      <c r="CN305" t="s">
        <v>230</v>
      </c>
      <c r="CP305" t="s">
        <v>231</v>
      </c>
      <c r="CQ305" t="s">
        <v>230</v>
      </c>
    </row>
    <row r="306" spans="1:95" x14ac:dyDescent="0.2">
      <c r="A306" t="s">
        <v>115</v>
      </c>
      <c r="B306" t="s">
        <v>116</v>
      </c>
      <c r="C306">
        <v>210784</v>
      </c>
      <c r="E306" t="s">
        <v>117</v>
      </c>
      <c r="F306">
        <v>368</v>
      </c>
      <c r="G306" t="s">
        <v>141</v>
      </c>
      <c r="H306" t="s">
        <v>142</v>
      </c>
      <c r="I306" t="s">
        <v>204</v>
      </c>
      <c r="J306" t="s">
        <v>205</v>
      </c>
      <c r="L306" t="s">
        <v>233</v>
      </c>
      <c r="M306" s="8">
        <v>45352</v>
      </c>
      <c r="N306">
        <v>99831</v>
      </c>
      <c r="O306" t="s">
        <v>123</v>
      </c>
      <c r="P306" t="s">
        <v>146</v>
      </c>
      <c r="Q306">
        <v>5.92</v>
      </c>
      <c r="R306" t="s">
        <v>125</v>
      </c>
      <c r="S306" t="s">
        <v>126</v>
      </c>
      <c r="T306" t="s">
        <v>125</v>
      </c>
      <c r="U306" t="s">
        <v>126</v>
      </c>
      <c r="W306">
        <v>5.92</v>
      </c>
      <c r="Y306">
        <v>5.92</v>
      </c>
      <c r="AC306">
        <v>5.92</v>
      </c>
      <c r="BH306" t="s">
        <v>126</v>
      </c>
      <c r="BI306" t="s">
        <v>126</v>
      </c>
      <c r="BJ306" t="s">
        <v>126</v>
      </c>
      <c r="BK306" t="s">
        <v>126</v>
      </c>
      <c r="BS306" t="s">
        <v>126</v>
      </c>
      <c r="BT306" t="s">
        <v>126</v>
      </c>
      <c r="BU306" t="s">
        <v>126</v>
      </c>
      <c r="BV306" t="s">
        <v>126</v>
      </c>
      <c r="CN306" t="s">
        <v>147</v>
      </c>
      <c r="CP306" t="s">
        <v>258</v>
      </c>
      <c r="CQ306" t="s">
        <v>147</v>
      </c>
    </row>
    <row r="307" spans="1:95" x14ac:dyDescent="0.2">
      <c r="A307" t="s">
        <v>115</v>
      </c>
      <c r="B307" t="s">
        <v>116</v>
      </c>
      <c r="C307">
        <v>210784</v>
      </c>
      <c r="E307" t="s">
        <v>117</v>
      </c>
      <c r="F307">
        <v>368</v>
      </c>
      <c r="G307" t="s">
        <v>141</v>
      </c>
      <c r="H307" t="s">
        <v>142</v>
      </c>
      <c r="I307" t="s">
        <v>204</v>
      </c>
      <c r="J307" t="s">
        <v>205</v>
      </c>
      <c r="L307" t="s">
        <v>148</v>
      </c>
      <c r="M307" s="8">
        <v>45352</v>
      </c>
      <c r="N307">
        <v>99586</v>
      </c>
      <c r="O307" t="s">
        <v>123</v>
      </c>
      <c r="P307" t="s">
        <v>146</v>
      </c>
      <c r="Q307">
        <v>4.7</v>
      </c>
      <c r="R307" t="s">
        <v>125</v>
      </c>
      <c r="S307" t="s">
        <v>126</v>
      </c>
      <c r="T307" t="s">
        <v>125</v>
      </c>
      <c r="U307" t="s">
        <v>126</v>
      </c>
      <c r="W307">
        <v>4.7</v>
      </c>
      <c r="Y307">
        <v>4.7</v>
      </c>
      <c r="AC307">
        <v>4.7</v>
      </c>
      <c r="BH307" t="s">
        <v>126</v>
      </c>
      <c r="BI307" t="s">
        <v>126</v>
      </c>
      <c r="BJ307" t="s">
        <v>126</v>
      </c>
      <c r="BK307" t="s">
        <v>126</v>
      </c>
      <c r="BS307" t="s">
        <v>126</v>
      </c>
      <c r="BT307" t="s">
        <v>126</v>
      </c>
      <c r="BU307" t="s">
        <v>126</v>
      </c>
      <c r="BV307" t="s">
        <v>126</v>
      </c>
      <c r="CN307" t="s">
        <v>147</v>
      </c>
      <c r="CP307" t="s">
        <v>258</v>
      </c>
      <c r="CQ307" t="s">
        <v>147</v>
      </c>
    </row>
    <row r="308" spans="1:95" x14ac:dyDescent="0.2">
      <c r="A308" t="s">
        <v>115</v>
      </c>
      <c r="B308" t="s">
        <v>116</v>
      </c>
      <c r="C308">
        <v>210784</v>
      </c>
      <c r="E308" t="s">
        <v>117</v>
      </c>
      <c r="F308">
        <v>368</v>
      </c>
      <c r="G308" t="s">
        <v>141</v>
      </c>
      <c r="H308" t="s">
        <v>142</v>
      </c>
      <c r="I308" t="s">
        <v>204</v>
      </c>
      <c r="J308" t="s">
        <v>205</v>
      </c>
      <c r="L308" t="s">
        <v>148</v>
      </c>
      <c r="M308" s="8">
        <v>45352</v>
      </c>
      <c r="N308">
        <v>99602</v>
      </c>
      <c r="O308" t="s">
        <v>123</v>
      </c>
      <c r="P308" t="s">
        <v>146</v>
      </c>
      <c r="Q308">
        <v>9.27</v>
      </c>
      <c r="R308" t="s">
        <v>125</v>
      </c>
      <c r="S308" t="s">
        <v>126</v>
      </c>
      <c r="T308" t="s">
        <v>125</v>
      </c>
      <c r="U308" t="s">
        <v>126</v>
      </c>
      <c r="W308">
        <v>9.27</v>
      </c>
      <c r="Y308">
        <v>9.27</v>
      </c>
      <c r="AC308">
        <v>9.27</v>
      </c>
      <c r="BH308" t="s">
        <v>126</v>
      </c>
      <c r="BI308" t="s">
        <v>126</v>
      </c>
      <c r="BJ308" t="s">
        <v>126</v>
      </c>
      <c r="BK308" t="s">
        <v>126</v>
      </c>
      <c r="BS308" t="s">
        <v>126</v>
      </c>
      <c r="BT308" t="s">
        <v>126</v>
      </c>
      <c r="BU308" t="s">
        <v>126</v>
      </c>
      <c r="BV308" t="s">
        <v>126</v>
      </c>
      <c r="CN308" t="s">
        <v>147</v>
      </c>
      <c r="CP308" t="s">
        <v>258</v>
      </c>
      <c r="CQ308" t="s">
        <v>147</v>
      </c>
    </row>
    <row r="309" spans="1:95" x14ac:dyDescent="0.2">
      <c r="A309" t="s">
        <v>115</v>
      </c>
      <c r="B309" t="s">
        <v>116</v>
      </c>
      <c r="C309">
        <v>210784</v>
      </c>
      <c r="E309" t="s">
        <v>117</v>
      </c>
      <c r="F309">
        <v>368</v>
      </c>
      <c r="G309" t="s">
        <v>141</v>
      </c>
      <c r="H309" t="s">
        <v>142</v>
      </c>
      <c r="I309" t="s">
        <v>204</v>
      </c>
      <c r="J309" t="s">
        <v>205</v>
      </c>
      <c r="L309" t="s">
        <v>232</v>
      </c>
      <c r="M309" s="8">
        <v>45352</v>
      </c>
      <c r="N309">
        <v>99405</v>
      </c>
      <c r="O309" t="s">
        <v>123</v>
      </c>
      <c r="P309" t="s">
        <v>146</v>
      </c>
      <c r="Q309">
        <v>10.36</v>
      </c>
      <c r="R309" t="s">
        <v>125</v>
      </c>
      <c r="S309" t="s">
        <v>126</v>
      </c>
      <c r="T309" t="s">
        <v>125</v>
      </c>
      <c r="U309" t="s">
        <v>126</v>
      </c>
      <c r="W309">
        <v>10.36</v>
      </c>
      <c r="Y309">
        <v>10.36</v>
      </c>
      <c r="AC309">
        <v>10.36</v>
      </c>
      <c r="BH309" t="s">
        <v>126</v>
      </c>
      <c r="BI309" t="s">
        <v>126</v>
      </c>
      <c r="BJ309" t="s">
        <v>126</v>
      </c>
      <c r="BK309" t="s">
        <v>126</v>
      </c>
      <c r="BS309" t="s">
        <v>126</v>
      </c>
      <c r="BT309" t="s">
        <v>126</v>
      </c>
      <c r="BU309" t="s">
        <v>126</v>
      </c>
      <c r="BV309" t="s">
        <v>126</v>
      </c>
      <c r="CN309" t="s">
        <v>147</v>
      </c>
      <c r="CP309" t="s">
        <v>258</v>
      </c>
      <c r="CQ309" t="s">
        <v>147</v>
      </c>
    </row>
    <row r="310" spans="1:95" x14ac:dyDescent="0.2">
      <c r="A310" t="s">
        <v>115</v>
      </c>
      <c r="B310" t="s">
        <v>116</v>
      </c>
      <c r="C310">
        <v>210784</v>
      </c>
      <c r="E310" t="s">
        <v>117</v>
      </c>
      <c r="F310">
        <v>368</v>
      </c>
      <c r="G310" t="s">
        <v>176</v>
      </c>
      <c r="H310" t="s">
        <v>177</v>
      </c>
      <c r="I310" t="s">
        <v>510</v>
      </c>
      <c r="J310" t="s">
        <v>511</v>
      </c>
      <c r="L310" t="s">
        <v>514</v>
      </c>
      <c r="M310" s="8">
        <v>45352</v>
      </c>
      <c r="N310">
        <v>345942</v>
      </c>
      <c r="O310" t="s">
        <v>123</v>
      </c>
      <c r="P310" t="s">
        <v>124</v>
      </c>
      <c r="Q310">
        <v>1.57</v>
      </c>
      <c r="R310" t="s">
        <v>125</v>
      </c>
      <c r="S310" t="s">
        <v>126</v>
      </c>
      <c r="T310" t="s">
        <v>125</v>
      </c>
      <c r="U310" t="s">
        <v>126</v>
      </c>
      <c r="W310">
        <v>1.57</v>
      </c>
      <c r="Y310">
        <v>1.57</v>
      </c>
      <c r="AF310">
        <v>1.57</v>
      </c>
      <c r="BH310" t="s">
        <v>126</v>
      </c>
      <c r="BI310" t="s">
        <v>126</v>
      </c>
      <c r="BJ310" t="s">
        <v>126</v>
      </c>
      <c r="BK310" t="s">
        <v>126</v>
      </c>
      <c r="BS310" t="s">
        <v>126</v>
      </c>
      <c r="BT310" t="s">
        <v>126</v>
      </c>
      <c r="BU310" t="s">
        <v>126</v>
      </c>
      <c r="BV310" t="s">
        <v>126</v>
      </c>
      <c r="CN310" t="s">
        <v>181</v>
      </c>
      <c r="CP310" t="s">
        <v>360</v>
      </c>
      <c r="CQ310" t="s">
        <v>181</v>
      </c>
    </row>
    <row r="311" spans="1:95" x14ac:dyDescent="0.2">
      <c r="A311" t="s">
        <v>115</v>
      </c>
      <c r="B311" t="s">
        <v>116</v>
      </c>
      <c r="C311">
        <v>210784</v>
      </c>
      <c r="E311" t="s">
        <v>117</v>
      </c>
      <c r="F311">
        <v>368</v>
      </c>
      <c r="G311" t="s">
        <v>141</v>
      </c>
      <c r="H311" t="s">
        <v>142</v>
      </c>
      <c r="I311" t="s">
        <v>279</v>
      </c>
      <c r="J311" t="s">
        <v>280</v>
      </c>
      <c r="L311" t="s">
        <v>591</v>
      </c>
      <c r="M311" s="8">
        <v>45352</v>
      </c>
      <c r="N311">
        <v>5443827</v>
      </c>
      <c r="O311" t="s">
        <v>123</v>
      </c>
      <c r="P311" t="s">
        <v>146</v>
      </c>
      <c r="Q311">
        <v>2.5</v>
      </c>
      <c r="R311" t="s">
        <v>592</v>
      </c>
      <c r="S311" t="s">
        <v>126</v>
      </c>
      <c r="T311" t="s">
        <v>592</v>
      </c>
      <c r="U311" t="s">
        <v>593</v>
      </c>
      <c r="W311">
        <v>0.77</v>
      </c>
      <c r="X311">
        <v>1.73</v>
      </c>
      <c r="Y311">
        <v>2.5</v>
      </c>
      <c r="Z311">
        <v>0.95</v>
      </c>
      <c r="AG311">
        <v>0.77</v>
      </c>
      <c r="AI311">
        <v>0.78</v>
      </c>
      <c r="BH311" t="s">
        <v>126</v>
      </c>
      <c r="BI311" t="s">
        <v>126</v>
      </c>
      <c r="BJ311" t="s">
        <v>126</v>
      </c>
      <c r="BK311" t="s">
        <v>126</v>
      </c>
      <c r="BS311" t="s">
        <v>126</v>
      </c>
      <c r="BT311" t="s">
        <v>126</v>
      </c>
      <c r="BU311" t="s">
        <v>126</v>
      </c>
      <c r="BV311" t="s">
        <v>126</v>
      </c>
      <c r="CN311" t="s">
        <v>147</v>
      </c>
      <c r="CP311" t="s">
        <v>149</v>
      </c>
      <c r="CQ311" t="s">
        <v>147</v>
      </c>
    </row>
    <row r="312" spans="1:95" x14ac:dyDescent="0.2">
      <c r="A312" t="s">
        <v>115</v>
      </c>
      <c r="B312" t="s">
        <v>116</v>
      </c>
      <c r="C312">
        <v>210784</v>
      </c>
      <c r="E312" t="s">
        <v>117</v>
      </c>
      <c r="F312">
        <v>368</v>
      </c>
      <c r="G312" t="s">
        <v>141</v>
      </c>
      <c r="H312" t="s">
        <v>142</v>
      </c>
      <c r="I312" t="s">
        <v>204</v>
      </c>
      <c r="J312" t="s">
        <v>205</v>
      </c>
      <c r="L312" t="s">
        <v>154</v>
      </c>
      <c r="M312" s="8">
        <v>45352</v>
      </c>
      <c r="N312">
        <v>88</v>
      </c>
      <c r="O312" t="s">
        <v>123</v>
      </c>
      <c r="P312" t="s">
        <v>146</v>
      </c>
      <c r="Q312">
        <v>2.82</v>
      </c>
      <c r="R312" t="s">
        <v>594</v>
      </c>
      <c r="S312" t="s">
        <v>126</v>
      </c>
      <c r="T312" t="s">
        <v>594</v>
      </c>
      <c r="U312" t="s">
        <v>595</v>
      </c>
      <c r="W312">
        <v>0.87</v>
      </c>
      <c r="X312">
        <v>1.9500000000000002</v>
      </c>
      <c r="Y312">
        <v>2.82</v>
      </c>
      <c r="Z312">
        <v>1.07</v>
      </c>
      <c r="AG312">
        <v>0.87</v>
      </c>
      <c r="AI312">
        <v>0.88</v>
      </c>
      <c r="BH312" t="s">
        <v>126</v>
      </c>
      <c r="BI312" t="s">
        <v>126</v>
      </c>
      <c r="BJ312" t="s">
        <v>126</v>
      </c>
      <c r="BK312" t="s">
        <v>126</v>
      </c>
      <c r="BS312" t="s">
        <v>126</v>
      </c>
      <c r="BT312" t="s">
        <v>126</v>
      </c>
      <c r="BU312" t="s">
        <v>126</v>
      </c>
      <c r="BV312" t="s">
        <v>126</v>
      </c>
      <c r="CN312" t="s">
        <v>147</v>
      </c>
      <c r="CP312" t="s">
        <v>149</v>
      </c>
      <c r="CQ312" t="s">
        <v>147</v>
      </c>
    </row>
    <row r="313" spans="1:95" x14ac:dyDescent="0.2">
      <c r="A313" t="s">
        <v>115</v>
      </c>
      <c r="B313" t="s">
        <v>116</v>
      </c>
      <c r="C313">
        <v>210784</v>
      </c>
      <c r="E313" t="s">
        <v>117</v>
      </c>
      <c r="F313">
        <v>368</v>
      </c>
      <c r="G313" t="s">
        <v>141</v>
      </c>
      <c r="H313" t="s">
        <v>142</v>
      </c>
      <c r="I313" t="s">
        <v>284</v>
      </c>
      <c r="J313" t="s">
        <v>285</v>
      </c>
      <c r="L313" t="s">
        <v>228</v>
      </c>
      <c r="M313" s="8">
        <v>45352</v>
      </c>
      <c r="N313">
        <v>101625</v>
      </c>
      <c r="O313" t="s">
        <v>123</v>
      </c>
      <c r="P313" t="s">
        <v>146</v>
      </c>
      <c r="Q313">
        <v>2.7800000000000002</v>
      </c>
      <c r="R313" t="s">
        <v>125</v>
      </c>
      <c r="S313" t="s">
        <v>126</v>
      </c>
      <c r="T313" t="s">
        <v>125</v>
      </c>
      <c r="U313" t="s">
        <v>126</v>
      </c>
      <c r="W313">
        <v>2.7800000000000002</v>
      </c>
      <c r="Y313">
        <v>2.7800000000000002</v>
      </c>
      <c r="AF313">
        <v>0.55600000000000005</v>
      </c>
      <c r="AG313">
        <v>0.83399999999999996</v>
      </c>
      <c r="BE313">
        <v>1.39</v>
      </c>
      <c r="BH313" t="s">
        <v>126</v>
      </c>
      <c r="BI313" t="s">
        <v>126</v>
      </c>
      <c r="BJ313" t="s">
        <v>126</v>
      </c>
      <c r="BK313" t="s">
        <v>126</v>
      </c>
      <c r="BS313" t="s">
        <v>126</v>
      </c>
      <c r="BT313" t="s">
        <v>126</v>
      </c>
      <c r="BU313" t="s">
        <v>126</v>
      </c>
      <c r="BV313" t="s">
        <v>126</v>
      </c>
      <c r="CN313" t="s">
        <v>147</v>
      </c>
      <c r="CP313" t="s">
        <v>149</v>
      </c>
      <c r="CQ313" t="s">
        <v>147</v>
      </c>
    </row>
    <row r="314" spans="1:95" x14ac:dyDescent="0.2">
      <c r="A314" t="s">
        <v>115</v>
      </c>
      <c r="B314" t="s">
        <v>116</v>
      </c>
      <c r="C314">
        <v>210784</v>
      </c>
      <c r="E314" t="s">
        <v>117</v>
      </c>
      <c r="F314">
        <v>368</v>
      </c>
      <c r="G314" t="s">
        <v>141</v>
      </c>
      <c r="H314" t="s">
        <v>142</v>
      </c>
      <c r="I314" t="s">
        <v>279</v>
      </c>
      <c r="J314" t="s">
        <v>280</v>
      </c>
      <c r="L314" t="s">
        <v>150</v>
      </c>
      <c r="M314" s="8">
        <v>45352</v>
      </c>
      <c r="N314">
        <v>5455133</v>
      </c>
      <c r="O314" t="s">
        <v>123</v>
      </c>
      <c r="P314" t="s">
        <v>146</v>
      </c>
      <c r="Q314">
        <v>3.49</v>
      </c>
      <c r="R314" t="s">
        <v>596</v>
      </c>
      <c r="S314" t="s">
        <v>126</v>
      </c>
      <c r="T314" t="s">
        <v>596</v>
      </c>
      <c r="U314" t="s">
        <v>597</v>
      </c>
      <c r="W314">
        <v>1.08</v>
      </c>
      <c r="X314">
        <v>2.41</v>
      </c>
      <c r="Y314">
        <v>3.49</v>
      </c>
      <c r="Z314">
        <v>1.32</v>
      </c>
      <c r="AG314">
        <v>1.08</v>
      </c>
      <c r="AI314">
        <v>1.0900000000000001</v>
      </c>
      <c r="BH314" t="s">
        <v>126</v>
      </c>
      <c r="BI314" t="s">
        <v>126</v>
      </c>
      <c r="BJ314" t="s">
        <v>126</v>
      </c>
      <c r="BK314" t="s">
        <v>126</v>
      </c>
      <c r="BS314" t="s">
        <v>126</v>
      </c>
      <c r="BT314" t="s">
        <v>126</v>
      </c>
      <c r="BU314" t="s">
        <v>126</v>
      </c>
      <c r="BV314" t="s">
        <v>126</v>
      </c>
      <c r="CN314" t="s">
        <v>147</v>
      </c>
      <c r="CP314" t="s">
        <v>148</v>
      </c>
      <c r="CQ314" t="s">
        <v>147</v>
      </c>
    </row>
    <row r="315" spans="1:95" x14ac:dyDescent="0.2">
      <c r="A315" t="s">
        <v>115</v>
      </c>
      <c r="B315" t="s">
        <v>116</v>
      </c>
      <c r="C315">
        <v>210784</v>
      </c>
      <c r="E315" t="s">
        <v>117</v>
      </c>
      <c r="F315">
        <v>368</v>
      </c>
      <c r="G315" t="s">
        <v>141</v>
      </c>
      <c r="H315" t="s">
        <v>142</v>
      </c>
      <c r="I315" t="s">
        <v>279</v>
      </c>
      <c r="J315" t="s">
        <v>280</v>
      </c>
      <c r="L315" t="s">
        <v>148</v>
      </c>
      <c r="M315" s="8">
        <v>45352</v>
      </c>
      <c r="N315">
        <v>5458262</v>
      </c>
      <c r="O315" t="s">
        <v>123</v>
      </c>
      <c r="P315" t="s">
        <v>146</v>
      </c>
      <c r="Q315">
        <v>2.59</v>
      </c>
      <c r="R315" t="s">
        <v>598</v>
      </c>
      <c r="S315" t="s">
        <v>126</v>
      </c>
      <c r="T315" t="s">
        <v>598</v>
      </c>
      <c r="U315" t="s">
        <v>599</v>
      </c>
      <c r="W315">
        <v>0.8</v>
      </c>
      <c r="X315">
        <v>1.79</v>
      </c>
      <c r="Y315">
        <v>2.59</v>
      </c>
      <c r="Z315">
        <v>0.98</v>
      </c>
      <c r="AG315">
        <v>0.8</v>
      </c>
      <c r="AI315">
        <v>0.81</v>
      </c>
      <c r="BH315" t="s">
        <v>126</v>
      </c>
      <c r="BI315" t="s">
        <v>126</v>
      </c>
      <c r="BJ315" t="s">
        <v>126</v>
      </c>
      <c r="BK315" t="s">
        <v>126</v>
      </c>
      <c r="BS315" t="s">
        <v>126</v>
      </c>
      <c r="BT315" t="s">
        <v>126</v>
      </c>
      <c r="BU315" t="s">
        <v>126</v>
      </c>
      <c r="BV315" t="s">
        <v>126</v>
      </c>
      <c r="CN315" t="s">
        <v>147</v>
      </c>
      <c r="CP315" t="s">
        <v>600</v>
      </c>
      <c r="CQ315" t="s">
        <v>147</v>
      </c>
    </row>
    <row r="316" spans="1:95" x14ac:dyDescent="0.2">
      <c r="A316" t="s">
        <v>115</v>
      </c>
      <c r="B316" t="s">
        <v>116</v>
      </c>
      <c r="C316">
        <v>210784</v>
      </c>
      <c r="E316" t="s">
        <v>117</v>
      </c>
      <c r="F316">
        <v>368</v>
      </c>
      <c r="G316" t="s">
        <v>141</v>
      </c>
      <c r="H316" t="s">
        <v>142</v>
      </c>
      <c r="I316" t="s">
        <v>279</v>
      </c>
      <c r="J316" t="s">
        <v>280</v>
      </c>
      <c r="L316" t="s">
        <v>601</v>
      </c>
      <c r="M316" s="8">
        <v>45352</v>
      </c>
      <c r="N316">
        <v>5459647</v>
      </c>
      <c r="O316" t="s">
        <v>123</v>
      </c>
      <c r="P316" t="s">
        <v>146</v>
      </c>
      <c r="Q316">
        <v>4.12</v>
      </c>
      <c r="R316" t="s">
        <v>602</v>
      </c>
      <c r="S316" t="s">
        <v>126</v>
      </c>
      <c r="T316" t="s">
        <v>602</v>
      </c>
      <c r="U316" t="s">
        <v>603</v>
      </c>
      <c r="W316">
        <v>1.27</v>
      </c>
      <c r="X316">
        <v>2.85</v>
      </c>
      <c r="Y316">
        <v>4.12</v>
      </c>
      <c r="Z316">
        <v>1.57</v>
      </c>
      <c r="AG316">
        <v>1.27</v>
      </c>
      <c r="AI316">
        <v>1.28</v>
      </c>
      <c r="BH316" t="s">
        <v>126</v>
      </c>
      <c r="BI316" t="s">
        <v>126</v>
      </c>
      <c r="BJ316" t="s">
        <v>126</v>
      </c>
      <c r="BK316" t="s">
        <v>126</v>
      </c>
      <c r="BS316" t="s">
        <v>126</v>
      </c>
      <c r="BT316" t="s">
        <v>126</v>
      </c>
      <c r="BU316" t="s">
        <v>126</v>
      </c>
      <c r="BV316" t="s">
        <v>126</v>
      </c>
      <c r="CN316" t="s">
        <v>147</v>
      </c>
      <c r="CP316" t="s">
        <v>600</v>
      </c>
      <c r="CQ316" t="s">
        <v>147</v>
      </c>
    </row>
    <row r="317" spans="1:95" x14ac:dyDescent="0.2">
      <c r="A317" t="s">
        <v>115</v>
      </c>
      <c r="B317" t="s">
        <v>116</v>
      </c>
      <c r="C317">
        <v>210784</v>
      </c>
      <c r="E317" t="s">
        <v>117</v>
      </c>
      <c r="F317">
        <v>368</v>
      </c>
      <c r="G317" t="s">
        <v>141</v>
      </c>
      <c r="H317" t="s">
        <v>142</v>
      </c>
      <c r="I317" t="s">
        <v>279</v>
      </c>
      <c r="J317" t="s">
        <v>280</v>
      </c>
      <c r="L317" t="s">
        <v>233</v>
      </c>
      <c r="M317" s="8">
        <v>45352</v>
      </c>
      <c r="N317">
        <v>5462110</v>
      </c>
      <c r="O317" t="s">
        <v>123</v>
      </c>
      <c r="P317" t="s">
        <v>146</v>
      </c>
      <c r="Q317">
        <v>2.8650000000000002</v>
      </c>
      <c r="R317" t="s">
        <v>544</v>
      </c>
      <c r="S317" t="s">
        <v>126</v>
      </c>
      <c r="T317" t="s">
        <v>544</v>
      </c>
      <c r="U317" t="s">
        <v>545</v>
      </c>
      <c r="W317">
        <v>0.88</v>
      </c>
      <c r="X317">
        <v>1.9849999999999999</v>
      </c>
      <c r="Y317">
        <v>2.8650000000000002</v>
      </c>
      <c r="Z317">
        <v>1.095</v>
      </c>
      <c r="AG317">
        <v>0.88</v>
      </c>
      <c r="AI317">
        <v>0.89</v>
      </c>
      <c r="BH317" t="s">
        <v>126</v>
      </c>
      <c r="BI317" t="s">
        <v>126</v>
      </c>
      <c r="BJ317" t="s">
        <v>126</v>
      </c>
      <c r="BK317" t="s">
        <v>126</v>
      </c>
      <c r="BS317" t="s">
        <v>126</v>
      </c>
      <c r="BT317" t="s">
        <v>126</v>
      </c>
      <c r="BU317" t="s">
        <v>126</v>
      </c>
      <c r="BV317" t="s">
        <v>126</v>
      </c>
      <c r="CN317" t="s">
        <v>147</v>
      </c>
      <c r="CP317" t="s">
        <v>600</v>
      </c>
      <c r="CQ317" t="s">
        <v>147</v>
      </c>
    </row>
    <row r="318" spans="1:95" x14ac:dyDescent="0.2">
      <c r="A318" t="s">
        <v>115</v>
      </c>
      <c r="B318" t="s">
        <v>116</v>
      </c>
      <c r="C318">
        <v>210784</v>
      </c>
      <c r="E318" t="s">
        <v>117</v>
      </c>
      <c r="F318">
        <v>368</v>
      </c>
      <c r="G318" t="s">
        <v>141</v>
      </c>
      <c r="H318" t="s">
        <v>142</v>
      </c>
      <c r="I318" t="s">
        <v>279</v>
      </c>
      <c r="J318" t="s">
        <v>280</v>
      </c>
      <c r="L318" t="s">
        <v>154</v>
      </c>
      <c r="M318" s="8">
        <v>45352</v>
      </c>
      <c r="N318">
        <v>5447683</v>
      </c>
      <c r="O318" t="s">
        <v>123</v>
      </c>
      <c r="P318" t="s">
        <v>146</v>
      </c>
      <c r="Q318">
        <v>4.49</v>
      </c>
      <c r="R318" t="s">
        <v>125</v>
      </c>
      <c r="S318" t="s">
        <v>126</v>
      </c>
      <c r="T318" t="s">
        <v>125</v>
      </c>
      <c r="U318" t="s">
        <v>126</v>
      </c>
      <c r="W318">
        <v>4.49</v>
      </c>
      <c r="Y318">
        <v>4.49</v>
      </c>
      <c r="BE318">
        <v>4.49</v>
      </c>
      <c r="BH318" t="s">
        <v>126</v>
      </c>
      <c r="BI318" t="s">
        <v>126</v>
      </c>
      <c r="BJ318" t="s">
        <v>126</v>
      </c>
      <c r="BK318" t="s">
        <v>126</v>
      </c>
      <c r="BS318" t="s">
        <v>126</v>
      </c>
      <c r="BT318" t="s">
        <v>126</v>
      </c>
      <c r="BU318" t="s">
        <v>126</v>
      </c>
      <c r="BV318" t="s">
        <v>126</v>
      </c>
      <c r="CN318" t="s">
        <v>147</v>
      </c>
      <c r="CP318" t="s">
        <v>149</v>
      </c>
      <c r="CQ318" t="s">
        <v>147</v>
      </c>
    </row>
    <row r="319" spans="1:95" x14ac:dyDescent="0.2">
      <c r="A319" t="s">
        <v>115</v>
      </c>
      <c r="B319" t="s">
        <v>116</v>
      </c>
      <c r="C319">
        <v>210784</v>
      </c>
      <c r="E319" t="s">
        <v>117</v>
      </c>
      <c r="F319">
        <v>368</v>
      </c>
      <c r="G319" t="s">
        <v>141</v>
      </c>
      <c r="H319" t="s">
        <v>142</v>
      </c>
      <c r="I319" t="s">
        <v>279</v>
      </c>
      <c r="J319" t="s">
        <v>280</v>
      </c>
      <c r="L319" t="s">
        <v>152</v>
      </c>
      <c r="M319" s="8">
        <v>45352</v>
      </c>
      <c r="N319">
        <v>5449654</v>
      </c>
      <c r="O319" t="s">
        <v>123</v>
      </c>
      <c r="P319" t="s">
        <v>146</v>
      </c>
      <c r="Q319">
        <v>4.46</v>
      </c>
      <c r="R319" t="s">
        <v>125</v>
      </c>
      <c r="S319" t="s">
        <v>126</v>
      </c>
      <c r="T319" t="s">
        <v>125</v>
      </c>
      <c r="U319" t="s">
        <v>126</v>
      </c>
      <c r="W319">
        <v>4.46</v>
      </c>
      <c r="Y319">
        <v>4.46</v>
      </c>
      <c r="BE319">
        <v>4.46</v>
      </c>
      <c r="BH319" t="s">
        <v>126</v>
      </c>
      <c r="BI319" t="s">
        <v>126</v>
      </c>
      <c r="BJ319" t="s">
        <v>126</v>
      </c>
      <c r="BK319" t="s">
        <v>126</v>
      </c>
      <c r="BS319" t="s">
        <v>126</v>
      </c>
      <c r="BT319" t="s">
        <v>126</v>
      </c>
      <c r="BU319" t="s">
        <v>126</v>
      </c>
      <c r="BV319" t="s">
        <v>126</v>
      </c>
      <c r="CN319" t="s">
        <v>147</v>
      </c>
      <c r="CP319" t="s">
        <v>149</v>
      </c>
      <c r="CQ319" t="s">
        <v>147</v>
      </c>
    </row>
    <row r="320" spans="1:95" x14ac:dyDescent="0.2">
      <c r="A320" t="s">
        <v>115</v>
      </c>
      <c r="B320" t="s">
        <v>116</v>
      </c>
      <c r="C320">
        <v>210784</v>
      </c>
      <c r="E320" t="s">
        <v>117</v>
      </c>
      <c r="F320">
        <v>368</v>
      </c>
      <c r="G320" t="s">
        <v>141</v>
      </c>
      <c r="H320" t="s">
        <v>142</v>
      </c>
      <c r="I320" t="s">
        <v>279</v>
      </c>
      <c r="J320" t="s">
        <v>280</v>
      </c>
      <c r="L320" t="s">
        <v>151</v>
      </c>
      <c r="M320" s="8">
        <v>45352</v>
      </c>
      <c r="N320">
        <v>5452127</v>
      </c>
      <c r="O320" t="s">
        <v>123</v>
      </c>
      <c r="P320" t="s">
        <v>146</v>
      </c>
      <c r="Q320">
        <v>5.36</v>
      </c>
      <c r="R320" t="s">
        <v>125</v>
      </c>
      <c r="S320" t="s">
        <v>126</v>
      </c>
      <c r="T320" t="s">
        <v>125</v>
      </c>
      <c r="U320" t="s">
        <v>126</v>
      </c>
      <c r="W320">
        <v>5.36</v>
      </c>
      <c r="Y320">
        <v>5.36</v>
      </c>
      <c r="BE320">
        <v>5.36</v>
      </c>
      <c r="BH320" t="s">
        <v>126</v>
      </c>
      <c r="BI320" t="s">
        <v>126</v>
      </c>
      <c r="BJ320" t="s">
        <v>126</v>
      </c>
      <c r="BK320" t="s">
        <v>126</v>
      </c>
      <c r="BS320" t="s">
        <v>126</v>
      </c>
      <c r="BT320" t="s">
        <v>126</v>
      </c>
      <c r="BU320" t="s">
        <v>126</v>
      </c>
      <c r="BV320" t="s">
        <v>126</v>
      </c>
      <c r="CN320" t="s">
        <v>147</v>
      </c>
      <c r="CP320" t="s">
        <v>149</v>
      </c>
      <c r="CQ320" t="s">
        <v>147</v>
      </c>
    </row>
    <row r="321" spans="1:95" x14ac:dyDescent="0.2">
      <c r="A321" t="s">
        <v>115</v>
      </c>
      <c r="B321" t="s">
        <v>116</v>
      </c>
      <c r="C321">
        <v>210784</v>
      </c>
      <c r="E321" t="s">
        <v>117</v>
      </c>
      <c r="F321">
        <v>368</v>
      </c>
      <c r="G321" t="s">
        <v>141</v>
      </c>
      <c r="H321" t="s">
        <v>142</v>
      </c>
      <c r="I321" t="s">
        <v>279</v>
      </c>
      <c r="J321" t="s">
        <v>280</v>
      </c>
      <c r="L321" t="s">
        <v>149</v>
      </c>
      <c r="M321" s="8">
        <v>45352</v>
      </c>
      <c r="N321">
        <v>5454057</v>
      </c>
      <c r="O321" t="s">
        <v>123</v>
      </c>
      <c r="P321" t="s">
        <v>146</v>
      </c>
      <c r="Q321">
        <v>3.31</v>
      </c>
      <c r="R321" t="s">
        <v>125</v>
      </c>
      <c r="S321" t="s">
        <v>126</v>
      </c>
      <c r="T321" t="s">
        <v>125</v>
      </c>
      <c r="U321" t="s">
        <v>126</v>
      </c>
      <c r="W321">
        <v>3.31</v>
      </c>
      <c r="Y321">
        <v>3.31</v>
      </c>
      <c r="BE321">
        <v>3.31</v>
      </c>
      <c r="BH321" t="s">
        <v>126</v>
      </c>
      <c r="BI321" t="s">
        <v>126</v>
      </c>
      <c r="BJ321" t="s">
        <v>126</v>
      </c>
      <c r="BK321" t="s">
        <v>126</v>
      </c>
      <c r="BS321" t="s">
        <v>126</v>
      </c>
      <c r="BT321" t="s">
        <v>126</v>
      </c>
      <c r="BU321" t="s">
        <v>126</v>
      </c>
      <c r="BV321" t="s">
        <v>126</v>
      </c>
      <c r="CN321" t="s">
        <v>147</v>
      </c>
      <c r="CP321" t="s">
        <v>148</v>
      </c>
      <c r="CQ321" t="s">
        <v>147</v>
      </c>
    </row>
    <row r="322" spans="1:95" x14ac:dyDescent="0.2">
      <c r="A322" t="s">
        <v>115</v>
      </c>
      <c r="B322" t="s">
        <v>116</v>
      </c>
      <c r="C322">
        <v>210784</v>
      </c>
      <c r="E322" t="s">
        <v>117</v>
      </c>
      <c r="F322">
        <v>368</v>
      </c>
      <c r="G322" t="s">
        <v>141</v>
      </c>
      <c r="H322" t="s">
        <v>142</v>
      </c>
      <c r="I322" t="s">
        <v>279</v>
      </c>
      <c r="J322" t="s">
        <v>280</v>
      </c>
      <c r="L322" t="s">
        <v>150</v>
      </c>
      <c r="M322" s="8">
        <v>45352</v>
      </c>
      <c r="N322">
        <v>5455113</v>
      </c>
      <c r="O322" t="s">
        <v>123</v>
      </c>
      <c r="P322" t="s">
        <v>146</v>
      </c>
      <c r="Q322">
        <v>3.56</v>
      </c>
      <c r="R322" t="s">
        <v>125</v>
      </c>
      <c r="S322" t="s">
        <v>126</v>
      </c>
      <c r="T322" t="s">
        <v>125</v>
      </c>
      <c r="U322" t="s">
        <v>126</v>
      </c>
      <c r="W322">
        <v>3.56</v>
      </c>
      <c r="Y322">
        <v>3.56</v>
      </c>
      <c r="BE322">
        <v>3.56</v>
      </c>
      <c r="BH322" t="s">
        <v>126</v>
      </c>
      <c r="BI322" t="s">
        <v>126</v>
      </c>
      <c r="BJ322" t="s">
        <v>126</v>
      </c>
      <c r="BK322" t="s">
        <v>126</v>
      </c>
      <c r="BS322" t="s">
        <v>126</v>
      </c>
      <c r="BT322" t="s">
        <v>126</v>
      </c>
      <c r="BU322" t="s">
        <v>126</v>
      </c>
      <c r="BV322" t="s">
        <v>126</v>
      </c>
      <c r="CN322" t="s">
        <v>147</v>
      </c>
      <c r="CP322" t="s">
        <v>148</v>
      </c>
      <c r="CQ322" t="s">
        <v>147</v>
      </c>
    </row>
    <row r="323" spans="1:95" x14ac:dyDescent="0.2">
      <c r="A323" t="s">
        <v>115</v>
      </c>
      <c r="B323" t="s">
        <v>116</v>
      </c>
      <c r="C323">
        <v>210784</v>
      </c>
      <c r="E323" t="s">
        <v>117</v>
      </c>
      <c r="F323">
        <v>368</v>
      </c>
      <c r="G323" t="s">
        <v>141</v>
      </c>
      <c r="H323" t="s">
        <v>142</v>
      </c>
      <c r="I323" t="s">
        <v>279</v>
      </c>
      <c r="J323" t="s">
        <v>280</v>
      </c>
      <c r="L323" t="s">
        <v>232</v>
      </c>
      <c r="M323" s="8">
        <v>45352</v>
      </c>
      <c r="N323">
        <v>5455972</v>
      </c>
      <c r="O323" t="s">
        <v>123</v>
      </c>
      <c r="P323" t="s">
        <v>146</v>
      </c>
      <c r="Q323">
        <v>2.36</v>
      </c>
      <c r="R323" t="s">
        <v>125</v>
      </c>
      <c r="S323" t="s">
        <v>126</v>
      </c>
      <c r="T323" t="s">
        <v>125</v>
      </c>
      <c r="U323" t="s">
        <v>126</v>
      </c>
      <c r="W323">
        <v>2.36</v>
      </c>
      <c r="Y323">
        <v>2.36</v>
      </c>
      <c r="BE323">
        <v>2.36</v>
      </c>
      <c r="BH323" t="s">
        <v>126</v>
      </c>
      <c r="BI323" t="s">
        <v>126</v>
      </c>
      <c r="BJ323" t="s">
        <v>126</v>
      </c>
      <c r="BK323" t="s">
        <v>126</v>
      </c>
      <c r="BS323" t="s">
        <v>126</v>
      </c>
      <c r="BT323" t="s">
        <v>126</v>
      </c>
      <c r="BU323" t="s">
        <v>126</v>
      </c>
      <c r="BV323" t="s">
        <v>126</v>
      </c>
      <c r="CN323" t="s">
        <v>147</v>
      </c>
      <c r="CP323" t="s">
        <v>148</v>
      </c>
      <c r="CQ323" t="s">
        <v>147</v>
      </c>
    </row>
    <row r="324" spans="1:95" x14ac:dyDescent="0.2">
      <c r="A324" t="s">
        <v>115</v>
      </c>
      <c r="B324" t="s">
        <v>116</v>
      </c>
      <c r="C324">
        <v>210784</v>
      </c>
      <c r="E324" t="s">
        <v>117</v>
      </c>
      <c r="F324">
        <v>368</v>
      </c>
      <c r="G324" t="s">
        <v>141</v>
      </c>
      <c r="H324" t="s">
        <v>142</v>
      </c>
      <c r="I324" t="s">
        <v>279</v>
      </c>
      <c r="J324" t="s">
        <v>280</v>
      </c>
      <c r="L324" t="s">
        <v>148</v>
      </c>
      <c r="M324" s="8">
        <v>45352</v>
      </c>
      <c r="N324">
        <v>5458514</v>
      </c>
      <c r="O324" t="s">
        <v>123</v>
      </c>
      <c r="P324" t="s">
        <v>146</v>
      </c>
      <c r="Q324">
        <v>4.2300000000000004</v>
      </c>
      <c r="R324" t="s">
        <v>125</v>
      </c>
      <c r="S324" t="s">
        <v>126</v>
      </c>
      <c r="T324" t="s">
        <v>125</v>
      </c>
      <c r="U324" t="s">
        <v>126</v>
      </c>
      <c r="W324">
        <v>4.2300000000000004</v>
      </c>
      <c r="Y324">
        <v>4.2300000000000004</v>
      </c>
      <c r="BE324">
        <v>4.2300000000000004</v>
      </c>
      <c r="BH324" t="s">
        <v>126</v>
      </c>
      <c r="BI324" t="s">
        <v>126</v>
      </c>
      <c r="BJ324" t="s">
        <v>126</v>
      </c>
      <c r="BK324" t="s">
        <v>126</v>
      </c>
      <c r="BS324" t="s">
        <v>126</v>
      </c>
      <c r="BT324" t="s">
        <v>126</v>
      </c>
      <c r="BU324" t="s">
        <v>126</v>
      </c>
      <c r="BV324" t="s">
        <v>126</v>
      </c>
      <c r="CN324" t="s">
        <v>147</v>
      </c>
      <c r="CP324" t="s">
        <v>600</v>
      </c>
      <c r="CQ324" t="s">
        <v>147</v>
      </c>
    </row>
    <row r="325" spans="1:95" x14ac:dyDescent="0.2">
      <c r="A325" t="s">
        <v>115</v>
      </c>
      <c r="B325" t="s">
        <v>116</v>
      </c>
      <c r="C325">
        <v>210784</v>
      </c>
      <c r="E325" t="s">
        <v>117</v>
      </c>
      <c r="F325">
        <v>368</v>
      </c>
      <c r="G325" t="s">
        <v>141</v>
      </c>
      <c r="H325" t="s">
        <v>142</v>
      </c>
      <c r="I325" t="s">
        <v>279</v>
      </c>
      <c r="J325" t="s">
        <v>280</v>
      </c>
      <c r="L325" t="s">
        <v>858</v>
      </c>
      <c r="M325" s="8">
        <v>45352</v>
      </c>
      <c r="N325">
        <v>5459935</v>
      </c>
      <c r="O325" t="s">
        <v>123</v>
      </c>
      <c r="P325" t="s">
        <v>146</v>
      </c>
      <c r="Q325">
        <v>2.7</v>
      </c>
      <c r="R325" t="s">
        <v>125</v>
      </c>
      <c r="S325" t="s">
        <v>126</v>
      </c>
      <c r="T325" t="s">
        <v>125</v>
      </c>
      <c r="U325" t="s">
        <v>126</v>
      </c>
      <c r="W325">
        <v>2.7</v>
      </c>
      <c r="Y325">
        <v>2.7</v>
      </c>
      <c r="BE325">
        <v>2.7</v>
      </c>
      <c r="BH325" t="s">
        <v>126</v>
      </c>
      <c r="BI325" t="s">
        <v>126</v>
      </c>
      <c r="BJ325" t="s">
        <v>126</v>
      </c>
      <c r="BK325" t="s">
        <v>126</v>
      </c>
      <c r="BS325" t="s">
        <v>126</v>
      </c>
      <c r="BT325" t="s">
        <v>126</v>
      </c>
      <c r="BU325" t="s">
        <v>126</v>
      </c>
      <c r="BV325" t="s">
        <v>126</v>
      </c>
      <c r="CN325" t="s">
        <v>147</v>
      </c>
      <c r="CP325" t="s">
        <v>600</v>
      </c>
      <c r="CQ325" t="s">
        <v>147</v>
      </c>
    </row>
    <row r="326" spans="1:95" x14ac:dyDescent="0.2">
      <c r="A326" t="s">
        <v>115</v>
      </c>
      <c r="B326" t="s">
        <v>116</v>
      </c>
      <c r="C326">
        <v>210784</v>
      </c>
      <c r="E326" t="s">
        <v>117</v>
      </c>
      <c r="F326">
        <v>368</v>
      </c>
      <c r="G326" t="s">
        <v>141</v>
      </c>
      <c r="H326" t="s">
        <v>142</v>
      </c>
      <c r="I326" t="s">
        <v>279</v>
      </c>
      <c r="J326" t="s">
        <v>280</v>
      </c>
      <c r="L326" t="s">
        <v>858</v>
      </c>
      <c r="M326" s="8">
        <v>45352</v>
      </c>
      <c r="N326">
        <v>5460334</v>
      </c>
      <c r="O326" t="s">
        <v>123</v>
      </c>
      <c r="P326" t="s">
        <v>146</v>
      </c>
      <c r="Q326">
        <v>1.92</v>
      </c>
      <c r="R326" t="s">
        <v>125</v>
      </c>
      <c r="S326" t="s">
        <v>126</v>
      </c>
      <c r="T326" t="s">
        <v>125</v>
      </c>
      <c r="U326" t="s">
        <v>126</v>
      </c>
      <c r="W326">
        <v>1.92</v>
      </c>
      <c r="Y326">
        <v>1.92</v>
      </c>
      <c r="BE326">
        <v>1.92</v>
      </c>
      <c r="BH326" t="s">
        <v>126</v>
      </c>
      <c r="BI326" t="s">
        <v>126</v>
      </c>
      <c r="BJ326" t="s">
        <v>126</v>
      </c>
      <c r="BK326" t="s">
        <v>126</v>
      </c>
      <c r="BS326" t="s">
        <v>126</v>
      </c>
      <c r="BT326" t="s">
        <v>126</v>
      </c>
      <c r="BU326" t="s">
        <v>126</v>
      </c>
      <c r="BV326" t="s">
        <v>126</v>
      </c>
      <c r="CN326" t="s">
        <v>147</v>
      </c>
      <c r="CP326" t="s">
        <v>600</v>
      </c>
      <c r="CQ326" t="s">
        <v>147</v>
      </c>
    </row>
    <row r="327" spans="1:95" x14ac:dyDescent="0.2">
      <c r="A327" t="s">
        <v>115</v>
      </c>
      <c r="B327" t="s">
        <v>116</v>
      </c>
      <c r="C327">
        <v>210784</v>
      </c>
      <c r="E327" t="s">
        <v>117</v>
      </c>
      <c r="F327">
        <v>368</v>
      </c>
      <c r="G327" t="s">
        <v>141</v>
      </c>
      <c r="H327" t="s">
        <v>142</v>
      </c>
      <c r="I327" t="s">
        <v>279</v>
      </c>
      <c r="J327" t="s">
        <v>280</v>
      </c>
      <c r="L327" t="s">
        <v>514</v>
      </c>
      <c r="M327" s="8">
        <v>45352</v>
      </c>
      <c r="N327">
        <v>5461198</v>
      </c>
      <c r="O327" t="s">
        <v>123</v>
      </c>
      <c r="P327" t="s">
        <v>146</v>
      </c>
      <c r="Q327">
        <v>4.0199999999999996</v>
      </c>
      <c r="R327" t="s">
        <v>125</v>
      </c>
      <c r="S327" t="s">
        <v>126</v>
      </c>
      <c r="T327" t="s">
        <v>125</v>
      </c>
      <c r="U327" t="s">
        <v>126</v>
      </c>
      <c r="W327">
        <v>4.0199999999999996</v>
      </c>
      <c r="Y327">
        <v>4.0199999999999996</v>
      </c>
      <c r="BE327">
        <v>4.0199999999999996</v>
      </c>
      <c r="BH327" t="s">
        <v>126</v>
      </c>
      <c r="BI327" t="s">
        <v>126</v>
      </c>
      <c r="BJ327" t="s">
        <v>126</v>
      </c>
      <c r="BK327" t="s">
        <v>126</v>
      </c>
      <c r="BS327" t="s">
        <v>126</v>
      </c>
      <c r="BT327" t="s">
        <v>126</v>
      </c>
      <c r="BU327" t="s">
        <v>126</v>
      </c>
      <c r="BV327" t="s">
        <v>126</v>
      </c>
      <c r="CN327" t="s">
        <v>147</v>
      </c>
      <c r="CP327" t="s">
        <v>600</v>
      </c>
      <c r="CQ327" t="s">
        <v>147</v>
      </c>
    </row>
    <row r="328" spans="1:95" x14ac:dyDescent="0.2">
      <c r="A328" t="s">
        <v>115</v>
      </c>
      <c r="B328" t="s">
        <v>116</v>
      </c>
      <c r="C328">
        <v>210784</v>
      </c>
      <c r="E328" t="s">
        <v>117</v>
      </c>
      <c r="F328">
        <v>368</v>
      </c>
      <c r="G328" t="s">
        <v>141</v>
      </c>
      <c r="H328" t="s">
        <v>142</v>
      </c>
      <c r="I328" t="s">
        <v>279</v>
      </c>
      <c r="J328" t="s">
        <v>280</v>
      </c>
      <c r="L328" t="s">
        <v>233</v>
      </c>
      <c r="M328" s="8">
        <v>45352</v>
      </c>
      <c r="N328">
        <v>5461932</v>
      </c>
      <c r="O328" t="s">
        <v>123</v>
      </c>
      <c r="P328" t="s">
        <v>146</v>
      </c>
      <c r="Q328">
        <v>3.39</v>
      </c>
      <c r="R328" t="s">
        <v>125</v>
      </c>
      <c r="S328" t="s">
        <v>126</v>
      </c>
      <c r="T328" t="s">
        <v>125</v>
      </c>
      <c r="U328" t="s">
        <v>126</v>
      </c>
      <c r="W328">
        <v>3.39</v>
      </c>
      <c r="Y328">
        <v>3.39</v>
      </c>
      <c r="BE328">
        <v>3.39</v>
      </c>
      <c r="BH328" t="s">
        <v>126</v>
      </c>
      <c r="BI328" t="s">
        <v>126</v>
      </c>
      <c r="BJ328" t="s">
        <v>126</v>
      </c>
      <c r="BK328" t="s">
        <v>126</v>
      </c>
      <c r="BS328" t="s">
        <v>126</v>
      </c>
      <c r="BT328" t="s">
        <v>126</v>
      </c>
      <c r="BU328" t="s">
        <v>126</v>
      </c>
      <c r="BV328" t="s">
        <v>126</v>
      </c>
      <c r="CN328" t="s">
        <v>147</v>
      </c>
      <c r="CP328" t="s">
        <v>600</v>
      </c>
      <c r="CQ328" t="s">
        <v>147</v>
      </c>
    </row>
    <row r="329" spans="1:95" x14ac:dyDescent="0.2">
      <c r="A329" t="s">
        <v>115</v>
      </c>
      <c r="B329" t="s">
        <v>116</v>
      </c>
      <c r="C329">
        <v>210784</v>
      </c>
      <c r="E329" t="s">
        <v>117</v>
      </c>
      <c r="F329">
        <v>368</v>
      </c>
      <c r="G329" t="s">
        <v>141</v>
      </c>
      <c r="H329" t="s">
        <v>142</v>
      </c>
      <c r="I329" t="s">
        <v>284</v>
      </c>
      <c r="J329" t="s">
        <v>285</v>
      </c>
      <c r="L329" t="s">
        <v>604</v>
      </c>
      <c r="M329" s="8">
        <v>45383</v>
      </c>
      <c r="N329">
        <v>102567</v>
      </c>
      <c r="O329" t="s">
        <v>123</v>
      </c>
      <c r="P329" t="s">
        <v>146</v>
      </c>
      <c r="Q329">
        <v>2.79</v>
      </c>
      <c r="R329" t="s">
        <v>559</v>
      </c>
      <c r="S329" t="s">
        <v>126</v>
      </c>
      <c r="T329" t="s">
        <v>559</v>
      </c>
      <c r="U329" t="s">
        <v>560</v>
      </c>
      <c r="W329">
        <v>0.86</v>
      </c>
      <c r="X329">
        <v>1.9300000000000002</v>
      </c>
      <c r="Y329">
        <v>2.79</v>
      </c>
      <c r="Z329">
        <v>1.06</v>
      </c>
      <c r="AG329">
        <v>0.86</v>
      </c>
      <c r="AI329">
        <v>0.87</v>
      </c>
      <c r="BH329" t="s">
        <v>126</v>
      </c>
      <c r="BI329" t="s">
        <v>126</v>
      </c>
      <c r="BJ329" t="s">
        <v>126</v>
      </c>
      <c r="BK329" t="s">
        <v>126</v>
      </c>
      <c r="BS329" t="s">
        <v>126</v>
      </c>
      <c r="BT329" t="s">
        <v>126</v>
      </c>
      <c r="BU329" t="s">
        <v>126</v>
      </c>
      <c r="BV329" t="s">
        <v>126</v>
      </c>
      <c r="CN329" t="s">
        <v>147</v>
      </c>
      <c r="CP329" t="s">
        <v>600</v>
      </c>
      <c r="CQ329" t="s">
        <v>147</v>
      </c>
    </row>
    <row r="330" spans="1:95" x14ac:dyDescent="0.2">
      <c r="A330" t="s">
        <v>115</v>
      </c>
      <c r="B330" t="s">
        <v>116</v>
      </c>
      <c r="C330">
        <v>210784</v>
      </c>
      <c r="E330" t="s">
        <v>117</v>
      </c>
      <c r="F330">
        <v>368</v>
      </c>
      <c r="G330" t="s">
        <v>141</v>
      </c>
      <c r="H330" t="s">
        <v>142</v>
      </c>
      <c r="I330" t="s">
        <v>279</v>
      </c>
      <c r="J330" t="s">
        <v>280</v>
      </c>
      <c r="L330" t="s">
        <v>605</v>
      </c>
      <c r="M330" s="8">
        <v>45383</v>
      </c>
      <c r="N330">
        <v>5466161</v>
      </c>
      <c r="O330" t="s">
        <v>123</v>
      </c>
      <c r="P330" t="s">
        <v>146</v>
      </c>
      <c r="Q330">
        <v>2.74</v>
      </c>
      <c r="R330" t="s">
        <v>606</v>
      </c>
      <c r="S330" t="s">
        <v>126</v>
      </c>
      <c r="T330" t="s">
        <v>606</v>
      </c>
      <c r="U330" t="s">
        <v>607</v>
      </c>
      <c r="W330">
        <v>0.84</v>
      </c>
      <c r="X330">
        <v>1.9</v>
      </c>
      <c r="Y330">
        <v>2.74</v>
      </c>
      <c r="Z330">
        <v>1.05</v>
      </c>
      <c r="AG330">
        <v>0.84</v>
      </c>
      <c r="AI330">
        <v>0.85</v>
      </c>
      <c r="BH330" t="s">
        <v>126</v>
      </c>
      <c r="BI330" t="s">
        <v>126</v>
      </c>
      <c r="BJ330" t="s">
        <v>126</v>
      </c>
      <c r="BK330" t="s">
        <v>126</v>
      </c>
      <c r="BS330" t="s">
        <v>126</v>
      </c>
      <c r="BT330" t="s">
        <v>126</v>
      </c>
      <c r="BU330" t="s">
        <v>126</v>
      </c>
      <c r="BV330" t="s">
        <v>126</v>
      </c>
      <c r="CN330" t="s">
        <v>147</v>
      </c>
      <c r="CP330" t="s">
        <v>600</v>
      </c>
      <c r="CQ330" t="s">
        <v>147</v>
      </c>
    </row>
    <row r="331" spans="1:95" x14ac:dyDescent="0.2">
      <c r="A331" t="s">
        <v>115</v>
      </c>
      <c r="B331" t="s">
        <v>116</v>
      </c>
      <c r="C331">
        <v>210784</v>
      </c>
      <c r="E331" t="s">
        <v>117</v>
      </c>
      <c r="F331">
        <v>368</v>
      </c>
      <c r="G331" t="s">
        <v>141</v>
      </c>
      <c r="H331" t="s">
        <v>142</v>
      </c>
      <c r="I331" t="s">
        <v>279</v>
      </c>
      <c r="J331" t="s">
        <v>280</v>
      </c>
      <c r="L331" t="s">
        <v>608</v>
      </c>
      <c r="M331" s="8">
        <v>45383</v>
      </c>
      <c r="N331">
        <v>5470365</v>
      </c>
      <c r="O331" t="s">
        <v>123</v>
      </c>
      <c r="P331" t="s">
        <v>146</v>
      </c>
      <c r="Q331">
        <v>3.12</v>
      </c>
      <c r="R331" t="s">
        <v>569</v>
      </c>
      <c r="S331" t="s">
        <v>126</v>
      </c>
      <c r="T331" t="s">
        <v>569</v>
      </c>
      <c r="U331" t="s">
        <v>570</v>
      </c>
      <c r="W331">
        <v>0.96</v>
      </c>
      <c r="X331">
        <v>2.16</v>
      </c>
      <c r="Y331">
        <v>3.12</v>
      </c>
      <c r="Z331">
        <v>1.19</v>
      </c>
      <c r="AG331">
        <v>0.96</v>
      </c>
      <c r="AI331">
        <v>0.97</v>
      </c>
      <c r="BH331" t="s">
        <v>126</v>
      </c>
      <c r="BI331" t="s">
        <v>126</v>
      </c>
      <c r="BJ331" t="s">
        <v>126</v>
      </c>
      <c r="BK331" t="s">
        <v>126</v>
      </c>
      <c r="BS331" t="s">
        <v>126</v>
      </c>
      <c r="BT331" t="s">
        <v>126</v>
      </c>
      <c r="BU331" t="s">
        <v>126</v>
      </c>
      <c r="BV331" t="s">
        <v>126</v>
      </c>
      <c r="CN331" t="s">
        <v>147</v>
      </c>
      <c r="CP331" t="s">
        <v>600</v>
      </c>
      <c r="CQ331" t="s">
        <v>147</v>
      </c>
    </row>
    <row r="332" spans="1:95" x14ac:dyDescent="0.2">
      <c r="A332" t="s">
        <v>115</v>
      </c>
      <c r="B332" t="s">
        <v>116</v>
      </c>
      <c r="C332">
        <v>210784</v>
      </c>
      <c r="E332" t="s">
        <v>117</v>
      </c>
      <c r="F332">
        <v>368</v>
      </c>
      <c r="G332" t="s">
        <v>141</v>
      </c>
      <c r="H332" t="s">
        <v>142</v>
      </c>
      <c r="I332" t="s">
        <v>279</v>
      </c>
      <c r="J332" t="s">
        <v>280</v>
      </c>
      <c r="L332" t="s">
        <v>609</v>
      </c>
      <c r="M332" s="8">
        <v>45383</v>
      </c>
      <c r="N332">
        <v>5470983</v>
      </c>
      <c r="O332" t="s">
        <v>123</v>
      </c>
      <c r="P332" t="s">
        <v>146</v>
      </c>
      <c r="Q332">
        <v>3.4400000000000004</v>
      </c>
      <c r="R332" t="s">
        <v>610</v>
      </c>
      <c r="S332" t="s">
        <v>126</v>
      </c>
      <c r="T332" t="s">
        <v>610</v>
      </c>
      <c r="U332" t="s">
        <v>611</v>
      </c>
      <c r="W332">
        <v>1.06</v>
      </c>
      <c r="X332">
        <v>2.38</v>
      </c>
      <c r="Y332">
        <v>3.4400000000000004</v>
      </c>
      <c r="Z332">
        <v>1.31</v>
      </c>
      <c r="AG332">
        <v>1.06</v>
      </c>
      <c r="AI332">
        <v>1.07</v>
      </c>
      <c r="BH332" t="s">
        <v>126</v>
      </c>
      <c r="BI332" t="s">
        <v>126</v>
      </c>
      <c r="BJ332" t="s">
        <v>126</v>
      </c>
      <c r="BK332" t="s">
        <v>126</v>
      </c>
      <c r="BS332" t="s">
        <v>126</v>
      </c>
      <c r="BT332" t="s">
        <v>126</v>
      </c>
      <c r="BU332" t="s">
        <v>126</v>
      </c>
      <c r="BV332" t="s">
        <v>126</v>
      </c>
      <c r="CN332" t="s">
        <v>147</v>
      </c>
      <c r="CP332" t="s">
        <v>600</v>
      </c>
      <c r="CQ332" t="s">
        <v>147</v>
      </c>
    </row>
    <row r="333" spans="1:95" x14ac:dyDescent="0.2">
      <c r="A333" t="s">
        <v>115</v>
      </c>
      <c r="B333" t="s">
        <v>116</v>
      </c>
      <c r="C333">
        <v>210784</v>
      </c>
      <c r="E333" t="s">
        <v>117</v>
      </c>
      <c r="F333">
        <v>368</v>
      </c>
      <c r="G333" t="s">
        <v>141</v>
      </c>
      <c r="H333" t="s">
        <v>142</v>
      </c>
      <c r="I333" t="s">
        <v>279</v>
      </c>
      <c r="J333" t="s">
        <v>280</v>
      </c>
      <c r="L333" t="s">
        <v>612</v>
      </c>
      <c r="M333" s="8">
        <v>45383</v>
      </c>
      <c r="N333">
        <v>5476990</v>
      </c>
      <c r="O333" t="s">
        <v>123</v>
      </c>
      <c r="P333" t="s">
        <v>146</v>
      </c>
      <c r="Q333">
        <v>2.84</v>
      </c>
      <c r="R333" t="s">
        <v>562</v>
      </c>
      <c r="S333" t="s">
        <v>126</v>
      </c>
      <c r="T333" t="s">
        <v>562</v>
      </c>
      <c r="U333" t="s">
        <v>563</v>
      </c>
      <c r="W333">
        <v>0.88</v>
      </c>
      <c r="X333">
        <v>1.96</v>
      </c>
      <c r="Y333">
        <v>2.84</v>
      </c>
      <c r="Z333">
        <v>1.08</v>
      </c>
      <c r="AG333">
        <v>0.88</v>
      </c>
      <c r="AI333">
        <v>0.88</v>
      </c>
      <c r="BH333" t="s">
        <v>126</v>
      </c>
      <c r="BI333" t="s">
        <v>126</v>
      </c>
      <c r="BJ333" t="s">
        <v>126</v>
      </c>
      <c r="BK333" t="s">
        <v>126</v>
      </c>
      <c r="BS333" t="s">
        <v>126</v>
      </c>
      <c r="BT333" t="s">
        <v>126</v>
      </c>
      <c r="BU333" t="s">
        <v>126</v>
      </c>
      <c r="BV333" t="s">
        <v>126</v>
      </c>
      <c r="CN333" t="s">
        <v>147</v>
      </c>
      <c r="CP333" t="s">
        <v>600</v>
      </c>
      <c r="CQ333" t="s">
        <v>147</v>
      </c>
    </row>
    <row r="334" spans="1:95" x14ac:dyDescent="0.2">
      <c r="A334" t="s">
        <v>115</v>
      </c>
      <c r="B334" t="s">
        <v>116</v>
      </c>
      <c r="C334">
        <v>210784</v>
      </c>
      <c r="E334" t="s">
        <v>117</v>
      </c>
      <c r="F334">
        <v>368</v>
      </c>
      <c r="G334" t="s">
        <v>141</v>
      </c>
      <c r="H334" t="s">
        <v>142</v>
      </c>
      <c r="I334" t="s">
        <v>279</v>
      </c>
      <c r="J334" t="s">
        <v>280</v>
      </c>
      <c r="L334" t="s">
        <v>859</v>
      </c>
      <c r="M334" s="8">
        <v>45383</v>
      </c>
      <c r="N334">
        <v>5463105</v>
      </c>
      <c r="O334" t="s">
        <v>123</v>
      </c>
      <c r="P334" t="s">
        <v>146</v>
      </c>
      <c r="Q334">
        <v>4.6500000000000004</v>
      </c>
      <c r="R334" t="s">
        <v>125</v>
      </c>
      <c r="S334" t="s">
        <v>126</v>
      </c>
      <c r="T334" t="s">
        <v>125</v>
      </c>
      <c r="U334" t="s">
        <v>126</v>
      </c>
      <c r="W334">
        <v>4.6500000000000004</v>
      </c>
      <c r="Y334">
        <v>4.6500000000000004</v>
      </c>
      <c r="BE334">
        <v>4.6500000000000004</v>
      </c>
      <c r="BH334" t="s">
        <v>126</v>
      </c>
      <c r="BI334" t="s">
        <v>126</v>
      </c>
      <c r="BJ334" t="s">
        <v>126</v>
      </c>
      <c r="BK334" t="s">
        <v>126</v>
      </c>
      <c r="BS334" t="s">
        <v>126</v>
      </c>
      <c r="BT334" t="s">
        <v>126</v>
      </c>
      <c r="BU334" t="s">
        <v>126</v>
      </c>
      <c r="BV334" t="s">
        <v>126</v>
      </c>
      <c r="CN334" t="s">
        <v>147</v>
      </c>
      <c r="CP334" t="s">
        <v>600</v>
      </c>
      <c r="CQ334" t="s">
        <v>147</v>
      </c>
    </row>
    <row r="335" spans="1:95" x14ac:dyDescent="0.2">
      <c r="A335" t="s">
        <v>115</v>
      </c>
      <c r="B335" t="s">
        <v>116</v>
      </c>
      <c r="C335">
        <v>210784</v>
      </c>
      <c r="E335" t="s">
        <v>117</v>
      </c>
      <c r="F335">
        <v>368</v>
      </c>
      <c r="G335" t="s">
        <v>141</v>
      </c>
      <c r="H335" t="s">
        <v>142</v>
      </c>
      <c r="I335" t="s">
        <v>279</v>
      </c>
      <c r="J335" t="s">
        <v>280</v>
      </c>
      <c r="L335" t="s">
        <v>860</v>
      </c>
      <c r="M335" s="8">
        <v>45383</v>
      </c>
      <c r="N335">
        <v>5463440</v>
      </c>
      <c r="O335" t="s">
        <v>123</v>
      </c>
      <c r="P335" t="s">
        <v>146</v>
      </c>
      <c r="Q335">
        <v>2.15</v>
      </c>
      <c r="R335" t="s">
        <v>125</v>
      </c>
      <c r="S335" t="s">
        <v>126</v>
      </c>
      <c r="T335" t="s">
        <v>125</v>
      </c>
      <c r="U335" t="s">
        <v>126</v>
      </c>
      <c r="W335">
        <v>2.15</v>
      </c>
      <c r="Y335">
        <v>2.15</v>
      </c>
      <c r="BE335">
        <v>2.15</v>
      </c>
      <c r="BH335" t="s">
        <v>126</v>
      </c>
      <c r="BI335" t="s">
        <v>126</v>
      </c>
      <c r="BJ335" t="s">
        <v>126</v>
      </c>
      <c r="BK335" t="s">
        <v>126</v>
      </c>
      <c r="BS335" t="s">
        <v>126</v>
      </c>
      <c r="BT335" t="s">
        <v>126</v>
      </c>
      <c r="BU335" t="s">
        <v>126</v>
      </c>
      <c r="BV335" t="s">
        <v>126</v>
      </c>
      <c r="CN335" t="s">
        <v>147</v>
      </c>
      <c r="CP335" t="s">
        <v>600</v>
      </c>
      <c r="CQ335" t="s">
        <v>147</v>
      </c>
    </row>
    <row r="336" spans="1:95" x14ac:dyDescent="0.2">
      <c r="A336" t="s">
        <v>115</v>
      </c>
      <c r="B336" t="s">
        <v>116</v>
      </c>
      <c r="C336">
        <v>210784</v>
      </c>
      <c r="E336" t="s">
        <v>117</v>
      </c>
      <c r="F336">
        <v>368</v>
      </c>
      <c r="G336" t="s">
        <v>141</v>
      </c>
      <c r="H336" t="s">
        <v>142</v>
      </c>
      <c r="I336" t="s">
        <v>279</v>
      </c>
      <c r="J336" t="s">
        <v>280</v>
      </c>
      <c r="L336" t="s">
        <v>604</v>
      </c>
      <c r="M336" s="8">
        <v>45383</v>
      </c>
      <c r="N336">
        <v>5464398</v>
      </c>
      <c r="O336" t="s">
        <v>123</v>
      </c>
      <c r="P336" t="s">
        <v>146</v>
      </c>
      <c r="Q336">
        <v>5.1100000000000003</v>
      </c>
      <c r="R336" t="s">
        <v>125</v>
      </c>
      <c r="S336" t="s">
        <v>126</v>
      </c>
      <c r="T336" t="s">
        <v>125</v>
      </c>
      <c r="U336" t="s">
        <v>126</v>
      </c>
      <c r="W336">
        <v>5.1100000000000003</v>
      </c>
      <c r="Y336">
        <v>5.1100000000000003</v>
      </c>
      <c r="BE336">
        <v>5.1100000000000003</v>
      </c>
      <c r="BH336" t="s">
        <v>126</v>
      </c>
      <c r="BI336" t="s">
        <v>126</v>
      </c>
      <c r="BJ336" t="s">
        <v>126</v>
      </c>
      <c r="BK336" t="s">
        <v>126</v>
      </c>
      <c r="BS336" t="s">
        <v>126</v>
      </c>
      <c r="BT336" t="s">
        <v>126</v>
      </c>
      <c r="BU336" t="s">
        <v>126</v>
      </c>
      <c r="BV336" t="s">
        <v>126</v>
      </c>
      <c r="CN336" t="s">
        <v>147</v>
      </c>
      <c r="CP336" t="s">
        <v>600</v>
      </c>
      <c r="CQ336" t="s">
        <v>147</v>
      </c>
    </row>
    <row r="337" spans="1:95" x14ac:dyDescent="0.2">
      <c r="A337" t="s">
        <v>115</v>
      </c>
      <c r="B337" t="s">
        <v>116</v>
      </c>
      <c r="C337">
        <v>210784</v>
      </c>
      <c r="E337" t="s">
        <v>117</v>
      </c>
      <c r="F337">
        <v>368</v>
      </c>
      <c r="G337" t="s">
        <v>141</v>
      </c>
      <c r="H337" t="s">
        <v>142</v>
      </c>
      <c r="I337" t="s">
        <v>279</v>
      </c>
      <c r="J337" t="s">
        <v>280</v>
      </c>
      <c r="L337" t="s">
        <v>861</v>
      </c>
      <c r="M337" s="8">
        <v>45383</v>
      </c>
      <c r="N337">
        <v>5464664</v>
      </c>
      <c r="O337" t="s">
        <v>123</v>
      </c>
      <c r="P337" t="s">
        <v>146</v>
      </c>
      <c r="Q337">
        <v>4.66</v>
      </c>
      <c r="R337" t="s">
        <v>125</v>
      </c>
      <c r="S337" t="s">
        <v>126</v>
      </c>
      <c r="T337" t="s">
        <v>125</v>
      </c>
      <c r="U337" t="s">
        <v>126</v>
      </c>
      <c r="W337">
        <v>4.66</v>
      </c>
      <c r="Y337">
        <v>4.66</v>
      </c>
      <c r="BE337">
        <v>4.66</v>
      </c>
      <c r="BH337" t="s">
        <v>126</v>
      </c>
      <c r="BI337" t="s">
        <v>126</v>
      </c>
      <c r="BJ337" t="s">
        <v>126</v>
      </c>
      <c r="BK337" t="s">
        <v>126</v>
      </c>
      <c r="BS337" t="s">
        <v>126</v>
      </c>
      <c r="BT337" t="s">
        <v>126</v>
      </c>
      <c r="BU337" t="s">
        <v>126</v>
      </c>
      <c r="BV337" t="s">
        <v>126</v>
      </c>
      <c r="CN337" t="s">
        <v>147</v>
      </c>
      <c r="CP337" t="s">
        <v>600</v>
      </c>
      <c r="CQ337" t="s">
        <v>147</v>
      </c>
    </row>
    <row r="338" spans="1:95" x14ac:dyDescent="0.2">
      <c r="A338" t="s">
        <v>115</v>
      </c>
      <c r="B338" t="s">
        <v>116</v>
      </c>
      <c r="C338">
        <v>210784</v>
      </c>
      <c r="E338" t="s">
        <v>117</v>
      </c>
      <c r="F338">
        <v>368</v>
      </c>
      <c r="G338" t="s">
        <v>141</v>
      </c>
      <c r="H338" t="s">
        <v>142</v>
      </c>
      <c r="I338" t="s">
        <v>279</v>
      </c>
      <c r="J338" t="s">
        <v>280</v>
      </c>
      <c r="L338" t="s">
        <v>612</v>
      </c>
      <c r="M338" s="8">
        <v>45383</v>
      </c>
      <c r="N338">
        <v>5476649</v>
      </c>
      <c r="O338" t="s">
        <v>123</v>
      </c>
      <c r="P338" t="s">
        <v>146</v>
      </c>
      <c r="Q338">
        <v>5.98</v>
      </c>
      <c r="R338" t="s">
        <v>125</v>
      </c>
      <c r="S338" t="s">
        <v>126</v>
      </c>
      <c r="T338" t="s">
        <v>125</v>
      </c>
      <c r="U338" t="s">
        <v>126</v>
      </c>
      <c r="W338">
        <v>5.98</v>
      </c>
      <c r="Y338">
        <v>5.98</v>
      </c>
      <c r="BE338">
        <v>5.98</v>
      </c>
      <c r="BH338" t="s">
        <v>126</v>
      </c>
      <c r="BI338" t="s">
        <v>126</v>
      </c>
      <c r="BJ338" t="s">
        <v>126</v>
      </c>
      <c r="BK338" t="s">
        <v>126</v>
      </c>
      <c r="BS338" t="s">
        <v>126</v>
      </c>
      <c r="BT338" t="s">
        <v>126</v>
      </c>
      <c r="BU338" t="s">
        <v>126</v>
      </c>
      <c r="BV338" t="s">
        <v>126</v>
      </c>
      <c r="CN338" t="s">
        <v>147</v>
      </c>
      <c r="CP338" t="s">
        <v>600</v>
      </c>
      <c r="CQ338" t="s">
        <v>147</v>
      </c>
    </row>
    <row r="339" spans="1:95" x14ac:dyDescent="0.2">
      <c r="A339" t="s">
        <v>115</v>
      </c>
      <c r="B339" t="s">
        <v>116</v>
      </c>
      <c r="C339">
        <v>210784</v>
      </c>
      <c r="E339" t="s">
        <v>117</v>
      </c>
      <c r="F339">
        <v>368</v>
      </c>
      <c r="G339" t="s">
        <v>141</v>
      </c>
      <c r="H339" t="s">
        <v>142</v>
      </c>
      <c r="I339" t="s">
        <v>143</v>
      </c>
      <c r="J339" t="s">
        <v>144</v>
      </c>
      <c r="L339" t="s">
        <v>168</v>
      </c>
      <c r="M339" s="8">
        <v>45413</v>
      </c>
      <c r="N339">
        <v>106903</v>
      </c>
      <c r="O339" t="s">
        <v>123</v>
      </c>
      <c r="P339" t="s">
        <v>146</v>
      </c>
      <c r="Q339">
        <v>0.28999999999999998</v>
      </c>
      <c r="R339" t="s">
        <v>125</v>
      </c>
      <c r="S339" t="s">
        <v>126</v>
      </c>
      <c r="T339" t="s">
        <v>125</v>
      </c>
      <c r="U339" t="s">
        <v>126</v>
      </c>
      <c r="W339">
        <v>0.28999999999999998</v>
      </c>
      <c r="Y339">
        <v>0.28999999999999998</v>
      </c>
      <c r="AB339">
        <v>0.28999999999999998</v>
      </c>
      <c r="BH339" t="s">
        <v>126</v>
      </c>
      <c r="BI339" t="s">
        <v>126</v>
      </c>
      <c r="BJ339" t="s">
        <v>126</v>
      </c>
      <c r="BK339" t="s">
        <v>126</v>
      </c>
      <c r="BS339" t="s">
        <v>126</v>
      </c>
      <c r="BT339" t="s">
        <v>126</v>
      </c>
      <c r="BU339" t="s">
        <v>126</v>
      </c>
      <c r="BV339" t="s">
        <v>126</v>
      </c>
      <c r="CN339" t="s">
        <v>147</v>
      </c>
      <c r="CP339" t="s">
        <v>169</v>
      </c>
      <c r="CQ339" t="s">
        <v>147</v>
      </c>
    </row>
    <row r="340" spans="1:95" x14ac:dyDescent="0.2">
      <c r="A340" t="s">
        <v>115</v>
      </c>
      <c r="B340" t="s">
        <v>116</v>
      </c>
      <c r="C340">
        <v>210784</v>
      </c>
      <c r="E340" t="s">
        <v>117</v>
      </c>
      <c r="F340">
        <v>368</v>
      </c>
      <c r="G340" t="s">
        <v>141</v>
      </c>
      <c r="H340" t="s">
        <v>142</v>
      </c>
      <c r="I340" t="s">
        <v>143</v>
      </c>
      <c r="J340" t="s">
        <v>144</v>
      </c>
      <c r="L340" t="s">
        <v>170</v>
      </c>
      <c r="M340" s="8">
        <v>45413</v>
      </c>
      <c r="N340">
        <v>106931</v>
      </c>
      <c r="O340" t="s">
        <v>123</v>
      </c>
      <c r="P340" t="s">
        <v>146</v>
      </c>
      <c r="Q340">
        <v>0.11</v>
      </c>
      <c r="R340" t="s">
        <v>125</v>
      </c>
      <c r="S340" t="s">
        <v>126</v>
      </c>
      <c r="T340" t="s">
        <v>125</v>
      </c>
      <c r="U340" t="s">
        <v>126</v>
      </c>
      <c r="W340">
        <v>0.11</v>
      </c>
      <c r="Y340">
        <v>0.11</v>
      </c>
      <c r="AB340">
        <v>0.11</v>
      </c>
      <c r="BH340" t="s">
        <v>126</v>
      </c>
      <c r="BI340" t="s">
        <v>126</v>
      </c>
      <c r="BJ340" t="s">
        <v>126</v>
      </c>
      <c r="BK340" t="s">
        <v>126</v>
      </c>
      <c r="BS340" t="s">
        <v>126</v>
      </c>
      <c r="BT340" t="s">
        <v>126</v>
      </c>
      <c r="BU340" t="s">
        <v>126</v>
      </c>
      <c r="BV340" t="s">
        <v>126</v>
      </c>
      <c r="CN340" t="s">
        <v>147</v>
      </c>
      <c r="CP340" t="s">
        <v>169</v>
      </c>
      <c r="CQ340" t="s">
        <v>147</v>
      </c>
    </row>
    <row r="341" spans="1:95" x14ac:dyDescent="0.2">
      <c r="A341" t="s">
        <v>115</v>
      </c>
      <c r="B341" t="s">
        <v>116</v>
      </c>
      <c r="C341">
        <v>210784</v>
      </c>
      <c r="E341" t="s">
        <v>117</v>
      </c>
      <c r="F341">
        <v>368</v>
      </c>
      <c r="G341" t="s">
        <v>141</v>
      </c>
      <c r="H341" t="s">
        <v>142</v>
      </c>
      <c r="I341" t="s">
        <v>143</v>
      </c>
      <c r="J341" t="s">
        <v>144</v>
      </c>
      <c r="L341" t="s">
        <v>171</v>
      </c>
      <c r="M341" s="8">
        <v>45413</v>
      </c>
      <c r="N341">
        <v>106967</v>
      </c>
      <c r="O341" t="s">
        <v>123</v>
      </c>
      <c r="P341" t="s">
        <v>146</v>
      </c>
      <c r="Q341">
        <v>0.23</v>
      </c>
      <c r="R341" t="s">
        <v>125</v>
      </c>
      <c r="S341" t="s">
        <v>126</v>
      </c>
      <c r="T341" t="s">
        <v>125</v>
      </c>
      <c r="U341" t="s">
        <v>126</v>
      </c>
      <c r="W341">
        <v>0.23</v>
      </c>
      <c r="Y341">
        <v>0.23</v>
      </c>
      <c r="AB341">
        <v>0.23</v>
      </c>
      <c r="BH341" t="s">
        <v>126</v>
      </c>
      <c r="BI341" t="s">
        <v>126</v>
      </c>
      <c r="BJ341" t="s">
        <v>126</v>
      </c>
      <c r="BK341" t="s">
        <v>126</v>
      </c>
      <c r="BS341" t="s">
        <v>126</v>
      </c>
      <c r="BT341" t="s">
        <v>126</v>
      </c>
      <c r="BU341" t="s">
        <v>126</v>
      </c>
      <c r="BV341" t="s">
        <v>126</v>
      </c>
      <c r="CN341" t="s">
        <v>147</v>
      </c>
      <c r="CP341" t="s">
        <v>169</v>
      </c>
      <c r="CQ341" t="s">
        <v>147</v>
      </c>
    </row>
    <row r="342" spans="1:95" x14ac:dyDescent="0.2">
      <c r="A342" t="s">
        <v>115</v>
      </c>
      <c r="B342" t="s">
        <v>116</v>
      </c>
      <c r="C342">
        <v>210784</v>
      </c>
      <c r="E342" t="s">
        <v>117</v>
      </c>
      <c r="F342">
        <v>368</v>
      </c>
      <c r="G342" t="s">
        <v>141</v>
      </c>
      <c r="H342" t="s">
        <v>142</v>
      </c>
      <c r="I342" t="s">
        <v>204</v>
      </c>
      <c r="J342" t="s">
        <v>205</v>
      </c>
      <c r="L342" t="s">
        <v>171</v>
      </c>
      <c r="M342" s="8">
        <v>45413</v>
      </c>
      <c r="N342">
        <v>101395</v>
      </c>
      <c r="O342" t="s">
        <v>123</v>
      </c>
      <c r="P342" t="s">
        <v>146</v>
      </c>
      <c r="Q342">
        <v>4.95</v>
      </c>
      <c r="R342" t="s">
        <v>125</v>
      </c>
      <c r="S342" t="s">
        <v>126</v>
      </c>
      <c r="T342" t="s">
        <v>125</v>
      </c>
      <c r="U342" t="s">
        <v>126</v>
      </c>
      <c r="W342">
        <v>4.95</v>
      </c>
      <c r="Y342">
        <v>4.95</v>
      </c>
      <c r="AC342">
        <v>4.95</v>
      </c>
      <c r="BH342" t="s">
        <v>126</v>
      </c>
      <c r="BI342" t="s">
        <v>126</v>
      </c>
      <c r="BJ342" t="s">
        <v>126</v>
      </c>
      <c r="BK342" t="s">
        <v>126</v>
      </c>
      <c r="BS342" t="s">
        <v>126</v>
      </c>
      <c r="BT342" t="s">
        <v>126</v>
      </c>
      <c r="BU342" t="s">
        <v>126</v>
      </c>
      <c r="BV342" t="s">
        <v>126</v>
      </c>
      <c r="CN342" t="s">
        <v>147</v>
      </c>
      <c r="CP342" t="s">
        <v>258</v>
      </c>
      <c r="CQ342" t="s">
        <v>147</v>
      </c>
    </row>
    <row r="343" spans="1:95" x14ac:dyDescent="0.2">
      <c r="A343" t="s">
        <v>115</v>
      </c>
      <c r="B343" t="s">
        <v>116</v>
      </c>
      <c r="C343">
        <v>210784</v>
      </c>
      <c r="E343" t="s">
        <v>117</v>
      </c>
      <c r="F343">
        <v>368</v>
      </c>
      <c r="G343" t="s">
        <v>141</v>
      </c>
      <c r="H343" t="s">
        <v>142</v>
      </c>
      <c r="I343" t="s">
        <v>279</v>
      </c>
      <c r="J343" t="s">
        <v>280</v>
      </c>
      <c r="L343" t="s">
        <v>170</v>
      </c>
      <c r="M343" s="8">
        <v>45413</v>
      </c>
      <c r="N343">
        <v>5483879</v>
      </c>
      <c r="O343" t="s">
        <v>123</v>
      </c>
      <c r="P343" t="s">
        <v>146</v>
      </c>
      <c r="Q343">
        <v>3.45</v>
      </c>
      <c r="R343" t="s">
        <v>544</v>
      </c>
      <c r="S343" t="s">
        <v>126</v>
      </c>
      <c r="T343" t="s">
        <v>544</v>
      </c>
      <c r="U343" t="s">
        <v>545</v>
      </c>
      <c r="W343">
        <v>1.06</v>
      </c>
      <c r="X343">
        <v>2.39</v>
      </c>
      <c r="Y343">
        <v>3.45</v>
      </c>
      <c r="Z343">
        <v>1.32</v>
      </c>
      <c r="AG343">
        <v>1.06</v>
      </c>
      <c r="AI343">
        <v>1.07</v>
      </c>
      <c r="BH343" t="s">
        <v>126</v>
      </c>
      <c r="BI343" t="s">
        <v>126</v>
      </c>
      <c r="BJ343" t="s">
        <v>126</v>
      </c>
      <c r="BK343" t="s">
        <v>126</v>
      </c>
      <c r="BS343" t="s">
        <v>126</v>
      </c>
      <c r="BT343" t="s">
        <v>126</v>
      </c>
      <c r="BU343" t="s">
        <v>126</v>
      </c>
      <c r="BV343" t="s">
        <v>126</v>
      </c>
      <c r="CN343" t="s">
        <v>147</v>
      </c>
      <c r="CP343" t="s">
        <v>169</v>
      </c>
      <c r="CQ343" t="s">
        <v>147</v>
      </c>
    </row>
    <row r="344" spans="1:95" x14ac:dyDescent="0.2">
      <c r="A344" t="s">
        <v>115</v>
      </c>
      <c r="B344" t="s">
        <v>116</v>
      </c>
      <c r="C344">
        <v>210784</v>
      </c>
      <c r="E344" t="s">
        <v>117</v>
      </c>
      <c r="F344">
        <v>368</v>
      </c>
      <c r="G344" t="s">
        <v>141</v>
      </c>
      <c r="H344" t="s">
        <v>142</v>
      </c>
      <c r="I344" t="s">
        <v>279</v>
      </c>
      <c r="J344" t="s">
        <v>280</v>
      </c>
      <c r="L344" t="s">
        <v>613</v>
      </c>
      <c r="M344" s="8">
        <v>45413</v>
      </c>
      <c r="N344">
        <v>5489114</v>
      </c>
      <c r="O344" t="s">
        <v>123</v>
      </c>
      <c r="P344" t="s">
        <v>146</v>
      </c>
      <c r="Q344">
        <v>3.8</v>
      </c>
      <c r="R344" t="s">
        <v>614</v>
      </c>
      <c r="S344" t="s">
        <v>126</v>
      </c>
      <c r="T344" t="s">
        <v>614</v>
      </c>
      <c r="U344" t="s">
        <v>615</v>
      </c>
      <c r="W344">
        <v>1.17</v>
      </c>
      <c r="X344">
        <v>2.63</v>
      </c>
      <c r="Y344">
        <v>3.8</v>
      </c>
      <c r="Z344">
        <v>1.45</v>
      </c>
      <c r="AG344">
        <v>1.17</v>
      </c>
      <c r="AI344">
        <v>1.18</v>
      </c>
      <c r="BH344" t="s">
        <v>126</v>
      </c>
      <c r="BI344" t="s">
        <v>126</v>
      </c>
      <c r="BJ344" t="s">
        <v>126</v>
      </c>
      <c r="BK344" t="s">
        <v>126</v>
      </c>
      <c r="BS344" t="s">
        <v>126</v>
      </c>
      <c r="BT344" t="s">
        <v>126</v>
      </c>
      <c r="BU344" t="s">
        <v>126</v>
      </c>
      <c r="BV344" t="s">
        <v>126</v>
      </c>
      <c r="CN344" t="s">
        <v>147</v>
      </c>
      <c r="CP344" t="s">
        <v>169</v>
      </c>
      <c r="CQ344" t="s">
        <v>147</v>
      </c>
    </row>
    <row r="345" spans="1:95" x14ac:dyDescent="0.2">
      <c r="A345" t="s">
        <v>115</v>
      </c>
      <c r="B345" t="s">
        <v>116</v>
      </c>
      <c r="C345">
        <v>210784</v>
      </c>
      <c r="E345" t="s">
        <v>117</v>
      </c>
      <c r="F345">
        <v>368</v>
      </c>
      <c r="G345" t="s">
        <v>141</v>
      </c>
      <c r="H345" t="s">
        <v>142</v>
      </c>
      <c r="I345" t="s">
        <v>279</v>
      </c>
      <c r="J345" t="s">
        <v>280</v>
      </c>
      <c r="L345" t="s">
        <v>616</v>
      </c>
      <c r="M345" s="8">
        <v>45413</v>
      </c>
      <c r="N345">
        <v>5494101</v>
      </c>
      <c r="O345" t="s">
        <v>123</v>
      </c>
      <c r="P345" t="s">
        <v>146</v>
      </c>
      <c r="Q345">
        <v>3.47</v>
      </c>
      <c r="R345" t="s">
        <v>584</v>
      </c>
      <c r="S345" t="s">
        <v>126</v>
      </c>
      <c r="T345" t="s">
        <v>584</v>
      </c>
      <c r="U345" t="s">
        <v>585</v>
      </c>
      <c r="W345">
        <v>1.07</v>
      </c>
      <c r="X345">
        <v>2.4000000000000004</v>
      </c>
      <c r="Y345">
        <v>3.47</v>
      </c>
      <c r="Z345">
        <v>1.32</v>
      </c>
      <c r="AG345">
        <v>1.07</v>
      </c>
      <c r="AI345">
        <v>1.08</v>
      </c>
      <c r="BH345" t="s">
        <v>126</v>
      </c>
      <c r="BI345" t="s">
        <v>126</v>
      </c>
      <c r="BJ345" t="s">
        <v>126</v>
      </c>
      <c r="BK345" t="s">
        <v>126</v>
      </c>
      <c r="BS345" t="s">
        <v>126</v>
      </c>
      <c r="BT345" t="s">
        <v>126</v>
      </c>
      <c r="BU345" t="s">
        <v>126</v>
      </c>
      <c r="BV345" t="s">
        <v>126</v>
      </c>
      <c r="CN345" t="s">
        <v>147</v>
      </c>
      <c r="CP345" t="s">
        <v>169</v>
      </c>
      <c r="CQ345" t="s">
        <v>147</v>
      </c>
    </row>
    <row r="346" spans="1:95" x14ac:dyDescent="0.2">
      <c r="A346" t="s">
        <v>115</v>
      </c>
      <c r="B346" t="s">
        <v>116</v>
      </c>
      <c r="C346">
        <v>210784</v>
      </c>
      <c r="E346" t="s">
        <v>117</v>
      </c>
      <c r="F346">
        <v>368</v>
      </c>
      <c r="G346" t="s">
        <v>141</v>
      </c>
      <c r="H346" t="s">
        <v>142</v>
      </c>
      <c r="I346" t="s">
        <v>279</v>
      </c>
      <c r="J346" t="s">
        <v>280</v>
      </c>
      <c r="L346" t="s">
        <v>617</v>
      </c>
      <c r="M346" s="8">
        <v>45413</v>
      </c>
      <c r="N346">
        <v>5501197</v>
      </c>
      <c r="O346" t="s">
        <v>123</v>
      </c>
      <c r="P346" t="s">
        <v>146</v>
      </c>
      <c r="Q346">
        <v>2.67</v>
      </c>
      <c r="R346" t="s">
        <v>588</v>
      </c>
      <c r="S346" t="s">
        <v>126</v>
      </c>
      <c r="T346" t="s">
        <v>588</v>
      </c>
      <c r="U346" t="s">
        <v>589</v>
      </c>
      <c r="W346">
        <v>0.82</v>
      </c>
      <c r="X346">
        <v>1.85</v>
      </c>
      <c r="Y346">
        <v>2.67</v>
      </c>
      <c r="Z346">
        <v>1.02</v>
      </c>
      <c r="AG346">
        <v>0.82</v>
      </c>
      <c r="AI346">
        <v>0.83</v>
      </c>
      <c r="BH346" t="s">
        <v>126</v>
      </c>
      <c r="BI346" t="s">
        <v>126</v>
      </c>
      <c r="BJ346" t="s">
        <v>126</v>
      </c>
      <c r="BK346" t="s">
        <v>126</v>
      </c>
      <c r="BS346" t="s">
        <v>126</v>
      </c>
      <c r="BT346" t="s">
        <v>126</v>
      </c>
      <c r="BU346" t="s">
        <v>126</v>
      </c>
      <c r="BV346" t="s">
        <v>126</v>
      </c>
      <c r="CN346" t="s">
        <v>147</v>
      </c>
      <c r="CP346" t="s">
        <v>169</v>
      </c>
      <c r="CQ346" t="s">
        <v>147</v>
      </c>
    </row>
    <row r="347" spans="1:95" x14ac:dyDescent="0.2">
      <c r="A347" t="s">
        <v>115</v>
      </c>
      <c r="B347" t="s">
        <v>116</v>
      </c>
      <c r="C347">
        <v>210784</v>
      </c>
      <c r="E347" t="s">
        <v>117</v>
      </c>
      <c r="F347">
        <v>368</v>
      </c>
      <c r="G347" t="s">
        <v>141</v>
      </c>
      <c r="H347" t="s">
        <v>142</v>
      </c>
      <c r="I347" t="s">
        <v>284</v>
      </c>
      <c r="J347" t="s">
        <v>285</v>
      </c>
      <c r="L347" t="s">
        <v>618</v>
      </c>
      <c r="M347" s="8">
        <v>45413</v>
      </c>
      <c r="N347">
        <v>105361</v>
      </c>
      <c r="O347" t="s">
        <v>123</v>
      </c>
      <c r="P347" t="s">
        <v>146</v>
      </c>
      <c r="Q347">
        <v>3.7</v>
      </c>
      <c r="R347" t="s">
        <v>125</v>
      </c>
      <c r="S347" t="s">
        <v>126</v>
      </c>
      <c r="T347" t="s">
        <v>125</v>
      </c>
      <c r="U347" t="s">
        <v>126</v>
      </c>
      <c r="W347">
        <v>3.7</v>
      </c>
      <c r="Y347">
        <v>3.7</v>
      </c>
      <c r="AG347">
        <v>0.37</v>
      </c>
      <c r="BE347">
        <v>3.33</v>
      </c>
      <c r="BH347" t="s">
        <v>126</v>
      </c>
      <c r="BI347" t="s">
        <v>126</v>
      </c>
      <c r="BJ347" t="s">
        <v>126</v>
      </c>
      <c r="BK347" t="s">
        <v>126</v>
      </c>
      <c r="BS347" t="s">
        <v>126</v>
      </c>
      <c r="BT347" t="s">
        <v>126</v>
      </c>
      <c r="BU347" t="s">
        <v>126</v>
      </c>
      <c r="BV347" t="s">
        <v>126</v>
      </c>
      <c r="CN347" t="s">
        <v>147</v>
      </c>
      <c r="CP347" t="s">
        <v>619</v>
      </c>
      <c r="CQ347" t="s">
        <v>147</v>
      </c>
    </row>
    <row r="348" spans="1:95" x14ac:dyDescent="0.2">
      <c r="A348" t="s">
        <v>115</v>
      </c>
      <c r="B348" t="s">
        <v>116</v>
      </c>
      <c r="C348">
        <v>210784</v>
      </c>
      <c r="E348" t="s">
        <v>117</v>
      </c>
      <c r="F348">
        <v>368</v>
      </c>
      <c r="G348" t="s">
        <v>141</v>
      </c>
      <c r="H348" t="s">
        <v>142</v>
      </c>
      <c r="I348" t="s">
        <v>279</v>
      </c>
      <c r="J348" t="s">
        <v>280</v>
      </c>
      <c r="L348" t="s">
        <v>170</v>
      </c>
      <c r="M348" s="8">
        <v>45413</v>
      </c>
      <c r="N348">
        <v>5483922</v>
      </c>
      <c r="O348" t="s">
        <v>123</v>
      </c>
      <c r="P348" t="s">
        <v>146</v>
      </c>
      <c r="Q348">
        <v>3.33</v>
      </c>
      <c r="R348" t="s">
        <v>125</v>
      </c>
      <c r="S348" t="s">
        <v>126</v>
      </c>
      <c r="T348" t="s">
        <v>125</v>
      </c>
      <c r="U348" t="s">
        <v>126</v>
      </c>
      <c r="W348">
        <v>3.33</v>
      </c>
      <c r="Y348">
        <v>3.33</v>
      </c>
      <c r="BE348">
        <v>3.33</v>
      </c>
      <c r="BH348" t="s">
        <v>126</v>
      </c>
      <c r="BI348" t="s">
        <v>126</v>
      </c>
      <c r="BJ348" t="s">
        <v>126</v>
      </c>
      <c r="BK348" t="s">
        <v>126</v>
      </c>
      <c r="BS348" t="s">
        <v>126</v>
      </c>
      <c r="BT348" t="s">
        <v>126</v>
      </c>
      <c r="BU348" t="s">
        <v>126</v>
      </c>
      <c r="BV348" t="s">
        <v>126</v>
      </c>
      <c r="CN348" t="s">
        <v>147</v>
      </c>
      <c r="CP348" t="s">
        <v>169</v>
      </c>
      <c r="CQ348" t="s">
        <v>147</v>
      </c>
    </row>
    <row r="349" spans="1:95" x14ac:dyDescent="0.2">
      <c r="A349" t="s">
        <v>115</v>
      </c>
      <c r="B349" t="s">
        <v>116</v>
      </c>
      <c r="C349">
        <v>210784</v>
      </c>
      <c r="E349" t="s">
        <v>117</v>
      </c>
      <c r="F349">
        <v>368</v>
      </c>
      <c r="G349" t="s">
        <v>141</v>
      </c>
      <c r="H349" t="s">
        <v>142</v>
      </c>
      <c r="I349" t="s">
        <v>279</v>
      </c>
      <c r="J349" t="s">
        <v>280</v>
      </c>
      <c r="L349" t="s">
        <v>862</v>
      </c>
      <c r="M349" s="8">
        <v>45413</v>
      </c>
      <c r="N349">
        <v>5495038</v>
      </c>
      <c r="O349" t="s">
        <v>123</v>
      </c>
      <c r="P349" t="s">
        <v>146</v>
      </c>
      <c r="Q349">
        <v>5.4</v>
      </c>
      <c r="R349" t="s">
        <v>125</v>
      </c>
      <c r="S349" t="s">
        <v>126</v>
      </c>
      <c r="T349" t="s">
        <v>125</v>
      </c>
      <c r="U349" t="s">
        <v>126</v>
      </c>
      <c r="W349">
        <v>5.4</v>
      </c>
      <c r="Y349">
        <v>5.4</v>
      </c>
      <c r="BE349">
        <v>5.4</v>
      </c>
      <c r="BH349" t="s">
        <v>126</v>
      </c>
      <c r="BI349" t="s">
        <v>126</v>
      </c>
      <c r="BJ349" t="s">
        <v>126</v>
      </c>
      <c r="BK349" t="s">
        <v>126</v>
      </c>
      <c r="BS349" t="s">
        <v>126</v>
      </c>
      <c r="BT349" t="s">
        <v>126</v>
      </c>
      <c r="BU349" t="s">
        <v>126</v>
      </c>
      <c r="BV349" t="s">
        <v>126</v>
      </c>
      <c r="CN349" t="s">
        <v>147</v>
      </c>
      <c r="CP349" t="s">
        <v>169</v>
      </c>
      <c r="CQ349" t="s">
        <v>147</v>
      </c>
    </row>
    <row r="350" spans="1:95" x14ac:dyDescent="0.2">
      <c r="A350" t="s">
        <v>115</v>
      </c>
      <c r="B350" t="s">
        <v>116</v>
      </c>
      <c r="C350">
        <v>210784</v>
      </c>
      <c r="E350" t="s">
        <v>117</v>
      </c>
      <c r="F350">
        <v>368</v>
      </c>
      <c r="G350" t="s">
        <v>141</v>
      </c>
      <c r="H350" t="s">
        <v>142</v>
      </c>
      <c r="I350" t="s">
        <v>279</v>
      </c>
      <c r="J350" t="s">
        <v>280</v>
      </c>
      <c r="L350" t="s">
        <v>862</v>
      </c>
      <c r="M350" s="8">
        <v>45413</v>
      </c>
      <c r="N350">
        <v>5494985</v>
      </c>
      <c r="O350" t="s">
        <v>123</v>
      </c>
      <c r="P350" t="s">
        <v>146</v>
      </c>
      <c r="Q350">
        <v>2.2799999999999998</v>
      </c>
      <c r="R350" t="s">
        <v>125</v>
      </c>
      <c r="S350" t="s">
        <v>126</v>
      </c>
      <c r="T350" t="s">
        <v>125</v>
      </c>
      <c r="U350" t="s">
        <v>126</v>
      </c>
      <c r="W350">
        <v>2.2799999999999998</v>
      </c>
      <c r="Y350">
        <v>2.2799999999999998</v>
      </c>
      <c r="BE350">
        <v>2.2799999999999998</v>
      </c>
      <c r="BH350" t="s">
        <v>126</v>
      </c>
      <c r="BI350" t="s">
        <v>126</v>
      </c>
      <c r="BJ350" t="s">
        <v>126</v>
      </c>
      <c r="BK350" t="s">
        <v>126</v>
      </c>
      <c r="BS350" t="s">
        <v>126</v>
      </c>
      <c r="BT350" t="s">
        <v>126</v>
      </c>
      <c r="BU350" t="s">
        <v>126</v>
      </c>
      <c r="BV350" t="s">
        <v>126</v>
      </c>
      <c r="CN350" t="s">
        <v>147</v>
      </c>
      <c r="CP350" t="s">
        <v>169</v>
      </c>
      <c r="CQ350" t="s">
        <v>147</v>
      </c>
    </row>
    <row r="351" spans="1:95" x14ac:dyDescent="0.2">
      <c r="A351" t="s">
        <v>115</v>
      </c>
      <c r="B351" t="s">
        <v>116</v>
      </c>
      <c r="C351">
        <v>210784</v>
      </c>
      <c r="E351" t="s">
        <v>117</v>
      </c>
      <c r="F351">
        <v>368</v>
      </c>
      <c r="G351" t="s">
        <v>229</v>
      </c>
      <c r="H351" t="s">
        <v>230</v>
      </c>
      <c r="I351" t="s">
        <v>204</v>
      </c>
      <c r="J351" t="s">
        <v>205</v>
      </c>
      <c r="L351" t="s">
        <v>169</v>
      </c>
      <c r="M351" s="8">
        <v>45444</v>
      </c>
      <c r="N351">
        <v>101395</v>
      </c>
      <c r="O351" t="s">
        <v>123</v>
      </c>
      <c r="P351" t="s">
        <v>146</v>
      </c>
      <c r="Q351">
        <v>4.95</v>
      </c>
      <c r="R351" t="s">
        <v>125</v>
      </c>
      <c r="S351" t="s">
        <v>126</v>
      </c>
      <c r="T351" t="s">
        <v>125</v>
      </c>
      <c r="U351" t="s">
        <v>126</v>
      </c>
      <c r="W351">
        <v>4.95</v>
      </c>
      <c r="Y351">
        <v>4.95</v>
      </c>
      <c r="AC351">
        <v>4.95</v>
      </c>
      <c r="BH351" t="s">
        <v>126</v>
      </c>
      <c r="BI351" t="s">
        <v>126</v>
      </c>
      <c r="BJ351" t="s">
        <v>126</v>
      </c>
      <c r="BK351" t="s">
        <v>126</v>
      </c>
      <c r="BS351" t="s">
        <v>126</v>
      </c>
      <c r="BT351" t="s">
        <v>126</v>
      </c>
      <c r="BU351" t="s">
        <v>126</v>
      </c>
      <c r="BV351" t="s">
        <v>126</v>
      </c>
      <c r="CN351" t="s">
        <v>230</v>
      </c>
      <c r="CP351" t="s">
        <v>234</v>
      </c>
      <c r="CQ351" t="s">
        <v>230</v>
      </c>
    </row>
    <row r="352" spans="1:95" x14ac:dyDescent="0.2">
      <c r="A352" t="s">
        <v>115</v>
      </c>
      <c r="B352" t="s">
        <v>116</v>
      </c>
      <c r="C352">
        <v>210784</v>
      </c>
      <c r="E352" t="s">
        <v>117</v>
      </c>
      <c r="F352">
        <v>368</v>
      </c>
      <c r="G352" t="s">
        <v>141</v>
      </c>
      <c r="H352" t="s">
        <v>142</v>
      </c>
      <c r="I352" t="s">
        <v>204</v>
      </c>
      <c r="J352" t="s">
        <v>205</v>
      </c>
      <c r="L352" t="s">
        <v>271</v>
      </c>
      <c r="M352" s="8">
        <v>45444</v>
      </c>
      <c r="N352">
        <v>103120</v>
      </c>
      <c r="O352" t="s">
        <v>123</v>
      </c>
      <c r="P352" t="s">
        <v>146</v>
      </c>
      <c r="Q352">
        <v>9.36</v>
      </c>
      <c r="R352" t="s">
        <v>125</v>
      </c>
      <c r="S352" t="s">
        <v>126</v>
      </c>
      <c r="T352" t="s">
        <v>125</v>
      </c>
      <c r="U352" t="s">
        <v>126</v>
      </c>
      <c r="W352">
        <v>9.36</v>
      </c>
      <c r="Y352">
        <v>9.36</v>
      </c>
      <c r="AC352">
        <v>9.36</v>
      </c>
      <c r="BH352" t="s">
        <v>126</v>
      </c>
      <c r="BI352" t="s">
        <v>126</v>
      </c>
      <c r="BJ352" t="s">
        <v>126</v>
      </c>
      <c r="BK352" t="s">
        <v>126</v>
      </c>
      <c r="BS352" t="s">
        <v>126</v>
      </c>
      <c r="BT352" t="s">
        <v>126</v>
      </c>
      <c r="BU352" t="s">
        <v>126</v>
      </c>
      <c r="BV352" t="s">
        <v>126</v>
      </c>
      <c r="CN352" t="s">
        <v>147</v>
      </c>
      <c r="CP352" t="s">
        <v>258</v>
      </c>
      <c r="CQ352" t="s">
        <v>147</v>
      </c>
    </row>
    <row r="353" spans="1:95" x14ac:dyDescent="0.2">
      <c r="A353" t="s">
        <v>115</v>
      </c>
      <c r="B353" t="s">
        <v>116</v>
      </c>
      <c r="C353">
        <v>210784</v>
      </c>
      <c r="E353" t="s">
        <v>117</v>
      </c>
      <c r="F353">
        <v>368</v>
      </c>
      <c r="G353" t="s">
        <v>141</v>
      </c>
      <c r="H353" t="s">
        <v>142</v>
      </c>
      <c r="I353" t="s">
        <v>279</v>
      </c>
      <c r="J353" t="s">
        <v>280</v>
      </c>
      <c r="L353" t="s">
        <v>271</v>
      </c>
      <c r="M353" s="8">
        <v>45444</v>
      </c>
      <c r="N353">
        <v>5507101</v>
      </c>
      <c r="O353" t="s">
        <v>123</v>
      </c>
      <c r="P353" t="s">
        <v>146</v>
      </c>
      <c r="Q353">
        <v>1.7400000000000002</v>
      </c>
      <c r="R353" t="s">
        <v>620</v>
      </c>
      <c r="S353" t="s">
        <v>126</v>
      </c>
      <c r="T353" t="s">
        <v>620</v>
      </c>
      <c r="U353" t="s">
        <v>621</v>
      </c>
      <c r="W353">
        <v>0.54</v>
      </c>
      <c r="X353">
        <v>1.2000000000000002</v>
      </c>
      <c r="Y353">
        <v>1.7400000000000002</v>
      </c>
      <c r="Z353">
        <v>0.66</v>
      </c>
      <c r="AG353">
        <v>0.54</v>
      </c>
      <c r="AI353">
        <v>0.54</v>
      </c>
      <c r="BH353" t="s">
        <v>126</v>
      </c>
      <c r="BI353" t="s">
        <v>126</v>
      </c>
      <c r="BJ353" t="s">
        <v>126</v>
      </c>
      <c r="BK353" t="s">
        <v>126</v>
      </c>
      <c r="BS353" t="s">
        <v>126</v>
      </c>
      <c r="BT353" t="s">
        <v>126</v>
      </c>
      <c r="BU353" t="s">
        <v>126</v>
      </c>
      <c r="BV353" t="s">
        <v>126</v>
      </c>
      <c r="CN353" t="s">
        <v>147</v>
      </c>
      <c r="CP353" t="s">
        <v>619</v>
      </c>
      <c r="CQ353" t="s">
        <v>147</v>
      </c>
    </row>
    <row r="354" spans="1:95" x14ac:dyDescent="0.2">
      <c r="A354" t="s">
        <v>115</v>
      </c>
      <c r="B354" t="s">
        <v>116</v>
      </c>
      <c r="C354">
        <v>210784</v>
      </c>
      <c r="E354" t="s">
        <v>117</v>
      </c>
      <c r="F354">
        <v>368</v>
      </c>
      <c r="G354" t="s">
        <v>141</v>
      </c>
      <c r="H354" t="s">
        <v>142</v>
      </c>
      <c r="I354" t="s">
        <v>279</v>
      </c>
      <c r="J354" t="s">
        <v>280</v>
      </c>
      <c r="L354" t="s">
        <v>622</v>
      </c>
      <c r="M354" s="8">
        <v>45444</v>
      </c>
      <c r="N354">
        <v>5511043</v>
      </c>
      <c r="O354" t="s">
        <v>123</v>
      </c>
      <c r="P354" t="s">
        <v>146</v>
      </c>
      <c r="Q354">
        <v>2.62</v>
      </c>
      <c r="R354" t="s">
        <v>623</v>
      </c>
      <c r="S354" t="s">
        <v>126</v>
      </c>
      <c r="T354" t="s">
        <v>623</v>
      </c>
      <c r="U354" t="s">
        <v>624</v>
      </c>
      <c r="W354">
        <v>0.81</v>
      </c>
      <c r="X354">
        <v>1.81</v>
      </c>
      <c r="Y354">
        <v>2.62</v>
      </c>
      <c r="Z354">
        <v>1</v>
      </c>
      <c r="AG354">
        <v>0.81</v>
      </c>
      <c r="AI354">
        <v>0.81</v>
      </c>
      <c r="BH354" t="s">
        <v>126</v>
      </c>
      <c r="BI354" t="s">
        <v>126</v>
      </c>
      <c r="BJ354" t="s">
        <v>126</v>
      </c>
      <c r="BK354" t="s">
        <v>126</v>
      </c>
      <c r="BS354" t="s">
        <v>126</v>
      </c>
      <c r="BT354" t="s">
        <v>126</v>
      </c>
      <c r="BU354" t="s">
        <v>126</v>
      </c>
      <c r="BV354" t="s">
        <v>126</v>
      </c>
      <c r="CN354" t="s">
        <v>147</v>
      </c>
      <c r="CP354" t="s">
        <v>619</v>
      </c>
      <c r="CQ354" t="s">
        <v>147</v>
      </c>
    </row>
    <row r="355" spans="1:95" x14ac:dyDescent="0.2">
      <c r="A355" t="s">
        <v>115</v>
      </c>
      <c r="B355" t="s">
        <v>116</v>
      </c>
      <c r="C355">
        <v>210784</v>
      </c>
      <c r="E355" t="s">
        <v>117</v>
      </c>
      <c r="F355">
        <v>368</v>
      </c>
      <c r="G355" t="s">
        <v>141</v>
      </c>
      <c r="H355" t="s">
        <v>142</v>
      </c>
      <c r="I355" t="s">
        <v>279</v>
      </c>
      <c r="J355" t="s">
        <v>280</v>
      </c>
      <c r="L355" t="s">
        <v>625</v>
      </c>
      <c r="M355" s="8">
        <v>45444</v>
      </c>
      <c r="N355">
        <v>5512534</v>
      </c>
      <c r="O355" t="s">
        <v>123</v>
      </c>
      <c r="P355" t="s">
        <v>146</v>
      </c>
      <c r="Q355">
        <v>2.9</v>
      </c>
      <c r="R355" t="s">
        <v>586</v>
      </c>
      <c r="S355" t="s">
        <v>126</v>
      </c>
      <c r="T355" t="s">
        <v>586</v>
      </c>
      <c r="U355" t="s">
        <v>587</v>
      </c>
      <c r="W355">
        <v>0.89</v>
      </c>
      <c r="X355">
        <v>2.0100000000000002</v>
      </c>
      <c r="Y355">
        <v>2.9</v>
      </c>
      <c r="Z355">
        <v>1.1100000000000001</v>
      </c>
      <c r="AG355">
        <v>0.89</v>
      </c>
      <c r="AI355">
        <v>0.9</v>
      </c>
      <c r="BH355" t="s">
        <v>126</v>
      </c>
      <c r="BI355" t="s">
        <v>126</v>
      </c>
      <c r="BJ355" t="s">
        <v>126</v>
      </c>
      <c r="BK355" t="s">
        <v>126</v>
      </c>
      <c r="BS355" t="s">
        <v>126</v>
      </c>
      <c r="BT355" t="s">
        <v>126</v>
      </c>
      <c r="BU355" t="s">
        <v>126</v>
      </c>
      <c r="BV355" t="s">
        <v>126</v>
      </c>
      <c r="CN355" t="s">
        <v>147</v>
      </c>
      <c r="CP355" t="s">
        <v>619</v>
      </c>
      <c r="CQ355" t="s">
        <v>147</v>
      </c>
    </row>
    <row r="356" spans="1:95" x14ac:dyDescent="0.2">
      <c r="A356" t="s">
        <v>115</v>
      </c>
      <c r="B356" t="s">
        <v>116</v>
      </c>
      <c r="C356">
        <v>210784</v>
      </c>
      <c r="E356" t="s">
        <v>117</v>
      </c>
      <c r="F356">
        <v>368</v>
      </c>
      <c r="G356" t="s">
        <v>141</v>
      </c>
      <c r="H356" t="s">
        <v>142</v>
      </c>
      <c r="I356" t="s">
        <v>279</v>
      </c>
      <c r="J356" t="s">
        <v>280</v>
      </c>
      <c r="L356" t="s">
        <v>626</v>
      </c>
      <c r="M356" s="8">
        <v>45444</v>
      </c>
      <c r="N356">
        <v>5518854</v>
      </c>
      <c r="O356" t="s">
        <v>123</v>
      </c>
      <c r="P356" t="s">
        <v>146</v>
      </c>
      <c r="Q356">
        <v>3.3200000000000003</v>
      </c>
      <c r="R356" t="s">
        <v>544</v>
      </c>
      <c r="S356" t="s">
        <v>126</v>
      </c>
      <c r="T356" t="s">
        <v>544</v>
      </c>
      <c r="U356" t="s">
        <v>545</v>
      </c>
      <c r="W356">
        <v>1.02</v>
      </c>
      <c r="X356">
        <v>2.2999999999999998</v>
      </c>
      <c r="Y356">
        <v>3.3200000000000003</v>
      </c>
      <c r="Z356">
        <v>1.27</v>
      </c>
      <c r="AG356">
        <v>1.02</v>
      </c>
      <c r="AI356">
        <v>1.03</v>
      </c>
      <c r="BH356" t="s">
        <v>126</v>
      </c>
      <c r="BI356" t="s">
        <v>126</v>
      </c>
      <c r="BJ356" t="s">
        <v>126</v>
      </c>
      <c r="BK356" t="s">
        <v>126</v>
      </c>
      <c r="BS356" t="s">
        <v>126</v>
      </c>
      <c r="BT356" t="s">
        <v>126</v>
      </c>
      <c r="BU356" t="s">
        <v>126</v>
      </c>
      <c r="BV356" t="s">
        <v>126</v>
      </c>
      <c r="CN356" t="s">
        <v>147</v>
      </c>
      <c r="CP356" t="s">
        <v>619</v>
      </c>
      <c r="CQ356" t="s">
        <v>147</v>
      </c>
    </row>
    <row r="357" spans="1:95" x14ac:dyDescent="0.2">
      <c r="A357" t="s">
        <v>115</v>
      </c>
      <c r="B357" t="s">
        <v>116</v>
      </c>
      <c r="C357">
        <v>210784</v>
      </c>
      <c r="E357" t="s">
        <v>117</v>
      </c>
      <c r="F357">
        <v>368</v>
      </c>
      <c r="G357" t="s">
        <v>141</v>
      </c>
      <c r="H357" t="s">
        <v>142</v>
      </c>
      <c r="I357" t="s">
        <v>279</v>
      </c>
      <c r="J357" t="s">
        <v>280</v>
      </c>
      <c r="L357" t="s">
        <v>271</v>
      </c>
      <c r="M357" s="8">
        <v>45444</v>
      </c>
      <c r="N357">
        <v>5507285</v>
      </c>
      <c r="O357" t="s">
        <v>123</v>
      </c>
      <c r="P357" t="s">
        <v>146</v>
      </c>
      <c r="Q357">
        <v>3.85</v>
      </c>
      <c r="R357" t="s">
        <v>125</v>
      </c>
      <c r="S357" t="s">
        <v>126</v>
      </c>
      <c r="T357" t="s">
        <v>125</v>
      </c>
      <c r="U357" t="s">
        <v>126</v>
      </c>
      <c r="W357">
        <v>3.85</v>
      </c>
      <c r="Y357">
        <v>3.85</v>
      </c>
      <c r="BE357">
        <v>3.85</v>
      </c>
      <c r="BH357" t="s">
        <v>126</v>
      </c>
      <c r="BI357" t="s">
        <v>126</v>
      </c>
      <c r="BJ357" t="s">
        <v>126</v>
      </c>
      <c r="BK357" t="s">
        <v>126</v>
      </c>
      <c r="BS357" t="s">
        <v>126</v>
      </c>
      <c r="BT357" t="s">
        <v>126</v>
      </c>
      <c r="BU357" t="s">
        <v>126</v>
      </c>
      <c r="BV357" t="s">
        <v>126</v>
      </c>
      <c r="CN357" t="s">
        <v>147</v>
      </c>
      <c r="CP357" t="s">
        <v>619</v>
      </c>
      <c r="CQ357" t="s">
        <v>147</v>
      </c>
    </row>
    <row r="358" spans="1:95" x14ac:dyDescent="0.2">
      <c r="A358" t="s">
        <v>115</v>
      </c>
      <c r="B358" t="s">
        <v>116</v>
      </c>
      <c r="C358">
        <v>210784</v>
      </c>
      <c r="E358" t="s">
        <v>117</v>
      </c>
      <c r="F358">
        <v>368</v>
      </c>
      <c r="G358" t="s">
        <v>141</v>
      </c>
      <c r="H358" t="s">
        <v>142</v>
      </c>
      <c r="I358" t="s">
        <v>279</v>
      </c>
      <c r="J358" t="s">
        <v>280</v>
      </c>
      <c r="L358" t="s">
        <v>863</v>
      </c>
      <c r="M358" s="8">
        <v>45444</v>
      </c>
      <c r="N358">
        <v>5515805</v>
      </c>
      <c r="O358" t="s">
        <v>123</v>
      </c>
      <c r="P358" t="s">
        <v>146</v>
      </c>
      <c r="Q358">
        <v>1.94</v>
      </c>
      <c r="R358" t="s">
        <v>125</v>
      </c>
      <c r="S358" t="s">
        <v>126</v>
      </c>
      <c r="T358" t="s">
        <v>125</v>
      </c>
      <c r="U358" t="s">
        <v>126</v>
      </c>
      <c r="W358">
        <v>1.94</v>
      </c>
      <c r="Y358">
        <v>1.94</v>
      </c>
      <c r="BE358">
        <v>1.94</v>
      </c>
      <c r="BH358" t="s">
        <v>126</v>
      </c>
      <c r="BI358" t="s">
        <v>126</v>
      </c>
      <c r="BJ358" t="s">
        <v>126</v>
      </c>
      <c r="BK358" t="s">
        <v>126</v>
      </c>
      <c r="BS358" t="s">
        <v>126</v>
      </c>
      <c r="BT358" t="s">
        <v>126</v>
      </c>
      <c r="BU358" t="s">
        <v>126</v>
      </c>
      <c r="BV358" t="s">
        <v>126</v>
      </c>
      <c r="CN358" t="s">
        <v>147</v>
      </c>
      <c r="CP358" t="s">
        <v>619</v>
      </c>
      <c r="CQ358" t="s">
        <v>147</v>
      </c>
    </row>
    <row r="359" spans="1:95" x14ac:dyDescent="0.2">
      <c r="A359" t="s">
        <v>115</v>
      </c>
      <c r="B359" t="s">
        <v>116</v>
      </c>
      <c r="C359">
        <v>210784</v>
      </c>
      <c r="E359" t="s">
        <v>117</v>
      </c>
      <c r="F359">
        <v>368</v>
      </c>
      <c r="G359" t="s">
        <v>141</v>
      </c>
      <c r="H359" t="s">
        <v>142</v>
      </c>
      <c r="I359" t="s">
        <v>279</v>
      </c>
      <c r="J359" t="s">
        <v>280</v>
      </c>
      <c r="L359" t="s">
        <v>626</v>
      </c>
      <c r="M359" s="8">
        <v>45444</v>
      </c>
      <c r="N359">
        <v>5519030</v>
      </c>
      <c r="O359" t="s">
        <v>123</v>
      </c>
      <c r="P359" t="s">
        <v>146</v>
      </c>
      <c r="Q359">
        <v>4.5599999999999996</v>
      </c>
      <c r="R359" t="s">
        <v>125</v>
      </c>
      <c r="S359" t="s">
        <v>126</v>
      </c>
      <c r="T359" t="s">
        <v>125</v>
      </c>
      <c r="U359" t="s">
        <v>126</v>
      </c>
      <c r="W359">
        <v>4.5599999999999996</v>
      </c>
      <c r="Y359">
        <v>4.5599999999999996</v>
      </c>
      <c r="BE359">
        <v>4.5599999999999996</v>
      </c>
      <c r="BH359" t="s">
        <v>126</v>
      </c>
      <c r="BI359" t="s">
        <v>126</v>
      </c>
      <c r="BJ359" t="s">
        <v>126</v>
      </c>
      <c r="BK359" t="s">
        <v>126</v>
      </c>
      <c r="BS359" t="s">
        <v>126</v>
      </c>
      <c r="BT359" t="s">
        <v>126</v>
      </c>
      <c r="BU359" t="s">
        <v>126</v>
      </c>
      <c r="BV359" t="s">
        <v>126</v>
      </c>
      <c r="CN359" t="s">
        <v>147</v>
      </c>
      <c r="CP359" t="s">
        <v>619</v>
      </c>
      <c r="CQ359" t="s">
        <v>147</v>
      </c>
    </row>
    <row r="360" spans="1:95" x14ac:dyDescent="0.2">
      <c r="A360" t="s">
        <v>115</v>
      </c>
      <c r="B360" t="s">
        <v>116</v>
      </c>
      <c r="C360">
        <v>210784</v>
      </c>
      <c r="E360" t="s">
        <v>117</v>
      </c>
      <c r="F360">
        <v>368</v>
      </c>
      <c r="G360" t="s">
        <v>141</v>
      </c>
      <c r="H360" t="s">
        <v>142</v>
      </c>
      <c r="I360" t="s">
        <v>279</v>
      </c>
      <c r="J360" t="s">
        <v>280</v>
      </c>
      <c r="L360" t="s">
        <v>864</v>
      </c>
      <c r="M360" s="8">
        <v>45444</v>
      </c>
      <c r="N360">
        <v>5522560</v>
      </c>
      <c r="O360" t="s">
        <v>123</v>
      </c>
      <c r="P360" t="s">
        <v>146</v>
      </c>
      <c r="Q360">
        <v>2.87</v>
      </c>
      <c r="R360" t="s">
        <v>125</v>
      </c>
      <c r="S360" t="s">
        <v>126</v>
      </c>
      <c r="T360" t="s">
        <v>125</v>
      </c>
      <c r="U360" t="s">
        <v>126</v>
      </c>
      <c r="W360">
        <v>2.87</v>
      </c>
      <c r="Y360">
        <v>2.87</v>
      </c>
      <c r="BE360">
        <v>2.87</v>
      </c>
      <c r="BH360" t="s">
        <v>126</v>
      </c>
      <c r="BI360" t="s">
        <v>126</v>
      </c>
      <c r="BJ360" t="s">
        <v>126</v>
      </c>
      <c r="BK360" t="s">
        <v>126</v>
      </c>
      <c r="BS360" t="s">
        <v>126</v>
      </c>
      <c r="BT360" t="s">
        <v>126</v>
      </c>
      <c r="BU360" t="s">
        <v>126</v>
      </c>
      <c r="BV360" t="s">
        <v>126</v>
      </c>
      <c r="CN360" t="s">
        <v>147</v>
      </c>
      <c r="CP360" t="s">
        <v>630</v>
      </c>
      <c r="CQ360" t="s">
        <v>147</v>
      </c>
    </row>
    <row r="361" spans="1:95" x14ac:dyDescent="0.2">
      <c r="A361" t="s">
        <v>115</v>
      </c>
      <c r="B361" t="s">
        <v>116</v>
      </c>
      <c r="C361">
        <v>210784</v>
      </c>
      <c r="E361" t="s">
        <v>117</v>
      </c>
      <c r="F361">
        <v>368</v>
      </c>
      <c r="G361" t="s">
        <v>229</v>
      </c>
      <c r="H361" t="s">
        <v>230</v>
      </c>
      <c r="I361" t="s">
        <v>204</v>
      </c>
      <c r="J361" t="s">
        <v>205</v>
      </c>
      <c r="L361" t="s">
        <v>235</v>
      </c>
      <c r="M361" s="8">
        <v>45474</v>
      </c>
      <c r="N361">
        <v>103120</v>
      </c>
      <c r="O361" t="s">
        <v>123</v>
      </c>
      <c r="P361" t="s">
        <v>146</v>
      </c>
      <c r="Q361">
        <v>9.36</v>
      </c>
      <c r="R361" t="s">
        <v>125</v>
      </c>
      <c r="S361" t="s">
        <v>126</v>
      </c>
      <c r="T361" t="s">
        <v>125</v>
      </c>
      <c r="U361" t="s">
        <v>126</v>
      </c>
      <c r="W361">
        <v>9.36</v>
      </c>
      <c r="Y361">
        <v>9.36</v>
      </c>
      <c r="AC361">
        <v>9.36</v>
      </c>
      <c r="BH361" t="s">
        <v>126</v>
      </c>
      <c r="BI361" t="s">
        <v>126</v>
      </c>
      <c r="BJ361" t="s">
        <v>126</v>
      </c>
      <c r="BK361" t="s">
        <v>126</v>
      </c>
      <c r="BS361" t="s">
        <v>126</v>
      </c>
      <c r="BT361" t="s">
        <v>126</v>
      </c>
      <c r="BU361" t="s">
        <v>126</v>
      </c>
      <c r="BV361" t="s">
        <v>126</v>
      </c>
      <c r="CN361" t="s">
        <v>230</v>
      </c>
      <c r="CP361" t="s">
        <v>234</v>
      </c>
      <c r="CQ361" t="s">
        <v>230</v>
      </c>
    </row>
    <row r="362" spans="1:95" x14ac:dyDescent="0.2">
      <c r="A362" t="s">
        <v>115</v>
      </c>
      <c r="B362" t="s">
        <v>116</v>
      </c>
      <c r="C362">
        <v>210784</v>
      </c>
      <c r="E362" t="s">
        <v>117</v>
      </c>
      <c r="F362">
        <v>368</v>
      </c>
      <c r="G362" t="s">
        <v>229</v>
      </c>
      <c r="H362" t="s">
        <v>230</v>
      </c>
      <c r="I362" t="s">
        <v>204</v>
      </c>
      <c r="J362" t="s">
        <v>205</v>
      </c>
      <c r="L362" t="s">
        <v>236</v>
      </c>
      <c r="M362" s="8">
        <v>45474</v>
      </c>
      <c r="N362">
        <v>105952</v>
      </c>
      <c r="O362" t="s">
        <v>123</v>
      </c>
      <c r="P362" t="s">
        <v>146</v>
      </c>
      <c r="Q362">
        <v>8.94</v>
      </c>
      <c r="R362" t="s">
        <v>125</v>
      </c>
      <c r="S362" t="s">
        <v>126</v>
      </c>
      <c r="T362" t="s">
        <v>125</v>
      </c>
      <c r="U362" t="s">
        <v>126</v>
      </c>
      <c r="W362">
        <v>8.94</v>
      </c>
      <c r="Y362">
        <v>8.94</v>
      </c>
      <c r="AC362">
        <v>8.94</v>
      </c>
      <c r="BH362" t="s">
        <v>126</v>
      </c>
      <c r="BI362" t="s">
        <v>126</v>
      </c>
      <c r="BJ362" t="s">
        <v>126</v>
      </c>
      <c r="BK362" t="s">
        <v>126</v>
      </c>
      <c r="BS362" t="s">
        <v>126</v>
      </c>
      <c r="BT362" t="s">
        <v>126</v>
      </c>
      <c r="BU362" t="s">
        <v>126</v>
      </c>
      <c r="BV362" t="s">
        <v>126</v>
      </c>
      <c r="CN362" t="s">
        <v>230</v>
      </c>
      <c r="CP362" t="s">
        <v>234</v>
      </c>
      <c r="CQ362" t="s">
        <v>230</v>
      </c>
    </row>
    <row r="363" spans="1:95" x14ac:dyDescent="0.2">
      <c r="A363" t="s">
        <v>115</v>
      </c>
      <c r="B363" t="s">
        <v>116</v>
      </c>
      <c r="C363">
        <v>210784</v>
      </c>
      <c r="E363" t="s">
        <v>117</v>
      </c>
      <c r="F363">
        <v>368</v>
      </c>
      <c r="G363" t="s">
        <v>141</v>
      </c>
      <c r="H363" t="s">
        <v>142</v>
      </c>
      <c r="I363" t="s">
        <v>204</v>
      </c>
      <c r="J363" t="s">
        <v>205</v>
      </c>
      <c r="L363" t="s">
        <v>236</v>
      </c>
      <c r="M363" s="8">
        <v>45474</v>
      </c>
      <c r="N363">
        <v>105952</v>
      </c>
      <c r="O363" t="s">
        <v>123</v>
      </c>
      <c r="P363" t="s">
        <v>146</v>
      </c>
      <c r="Q363">
        <v>8.94</v>
      </c>
      <c r="R363" t="s">
        <v>125</v>
      </c>
      <c r="S363" t="s">
        <v>126</v>
      </c>
      <c r="T363" t="s">
        <v>125</v>
      </c>
      <c r="U363" t="s">
        <v>126</v>
      </c>
      <c r="W363">
        <v>8.94</v>
      </c>
      <c r="Y363">
        <v>8.94</v>
      </c>
      <c r="AC363">
        <v>8.94</v>
      </c>
      <c r="BH363" t="s">
        <v>126</v>
      </c>
      <c r="BI363" t="s">
        <v>126</v>
      </c>
      <c r="BJ363" t="s">
        <v>126</v>
      </c>
      <c r="BK363" t="s">
        <v>126</v>
      </c>
      <c r="BS363" t="s">
        <v>126</v>
      </c>
      <c r="BT363" t="s">
        <v>126</v>
      </c>
      <c r="BU363" t="s">
        <v>126</v>
      </c>
      <c r="BV363" t="s">
        <v>126</v>
      </c>
      <c r="CN363" t="s">
        <v>147</v>
      </c>
      <c r="CP363" t="s">
        <v>258</v>
      </c>
      <c r="CQ363" t="s">
        <v>147</v>
      </c>
    </row>
    <row r="364" spans="1:95" x14ac:dyDescent="0.2">
      <c r="A364" t="s">
        <v>115</v>
      </c>
      <c r="B364" t="s">
        <v>116</v>
      </c>
      <c r="C364">
        <v>210784</v>
      </c>
      <c r="E364" t="s">
        <v>117</v>
      </c>
      <c r="F364">
        <v>368</v>
      </c>
      <c r="G364" t="s">
        <v>141</v>
      </c>
      <c r="H364" t="s">
        <v>142</v>
      </c>
      <c r="I364" t="s">
        <v>279</v>
      </c>
      <c r="J364" t="s">
        <v>280</v>
      </c>
      <c r="L364" t="s">
        <v>627</v>
      </c>
      <c r="M364" s="8">
        <v>45474</v>
      </c>
      <c r="N364">
        <v>5532321</v>
      </c>
      <c r="O364" t="s">
        <v>123</v>
      </c>
      <c r="P364" t="s">
        <v>146</v>
      </c>
      <c r="Q364">
        <v>3.2600000000000002</v>
      </c>
      <c r="R364" t="s">
        <v>628</v>
      </c>
      <c r="S364" t="s">
        <v>126</v>
      </c>
      <c r="T364" t="s">
        <v>628</v>
      </c>
      <c r="U364" t="s">
        <v>629</v>
      </c>
      <c r="W364">
        <v>1</v>
      </c>
      <c r="X364">
        <v>2.2599999999999998</v>
      </c>
      <c r="Y364">
        <v>3.2600000000000002</v>
      </c>
      <c r="Z364">
        <v>1.24</v>
      </c>
      <c r="AG364">
        <v>1</v>
      </c>
      <c r="AI364">
        <v>1.02</v>
      </c>
      <c r="BH364" t="s">
        <v>126</v>
      </c>
      <c r="BI364" t="s">
        <v>126</v>
      </c>
      <c r="BJ364" t="s">
        <v>126</v>
      </c>
      <c r="BK364" t="s">
        <v>126</v>
      </c>
      <c r="BS364" t="s">
        <v>126</v>
      </c>
      <c r="BT364" t="s">
        <v>126</v>
      </c>
      <c r="BU364" t="s">
        <v>126</v>
      </c>
      <c r="BV364" t="s">
        <v>126</v>
      </c>
      <c r="CN364" t="s">
        <v>147</v>
      </c>
      <c r="CP364" t="s">
        <v>630</v>
      </c>
      <c r="CQ364" t="s">
        <v>147</v>
      </c>
    </row>
    <row r="365" spans="1:95" x14ac:dyDescent="0.2">
      <c r="A365" t="s">
        <v>115</v>
      </c>
      <c r="B365" t="s">
        <v>116</v>
      </c>
      <c r="C365">
        <v>210784</v>
      </c>
      <c r="E365" t="s">
        <v>117</v>
      </c>
      <c r="F365">
        <v>368</v>
      </c>
      <c r="G365" t="s">
        <v>141</v>
      </c>
      <c r="H365" t="s">
        <v>142</v>
      </c>
      <c r="I365" t="s">
        <v>279</v>
      </c>
      <c r="J365" t="s">
        <v>280</v>
      </c>
      <c r="L365" t="s">
        <v>627</v>
      </c>
      <c r="M365" s="8">
        <v>45474</v>
      </c>
      <c r="N365">
        <v>5532250</v>
      </c>
      <c r="O365" t="s">
        <v>123</v>
      </c>
      <c r="P365" t="s">
        <v>146</v>
      </c>
      <c r="Q365">
        <v>3.62</v>
      </c>
      <c r="R365" t="s">
        <v>631</v>
      </c>
      <c r="S365" t="s">
        <v>126</v>
      </c>
      <c r="T365" t="s">
        <v>631</v>
      </c>
      <c r="U365" t="s">
        <v>632</v>
      </c>
      <c r="W365">
        <v>1.1200000000000001</v>
      </c>
      <c r="X365">
        <v>2.5</v>
      </c>
      <c r="Y365">
        <v>3.62</v>
      </c>
      <c r="Z365">
        <v>1.37</v>
      </c>
      <c r="AG365">
        <v>1.1200000000000001</v>
      </c>
      <c r="AI365">
        <v>1.1299999999999999</v>
      </c>
      <c r="BH365" t="s">
        <v>126</v>
      </c>
      <c r="BI365" t="s">
        <v>126</v>
      </c>
      <c r="BJ365" t="s">
        <v>126</v>
      </c>
      <c r="BK365" t="s">
        <v>126</v>
      </c>
      <c r="BS365" t="s">
        <v>126</v>
      </c>
      <c r="BT365" t="s">
        <v>126</v>
      </c>
      <c r="BU365" t="s">
        <v>126</v>
      </c>
      <c r="BV365" t="s">
        <v>126</v>
      </c>
      <c r="CN365" t="s">
        <v>147</v>
      </c>
      <c r="CP365" t="s">
        <v>630</v>
      </c>
      <c r="CQ365" t="s">
        <v>147</v>
      </c>
    </row>
    <row r="366" spans="1:95" x14ac:dyDescent="0.2">
      <c r="A366" t="s">
        <v>115</v>
      </c>
      <c r="B366" t="s">
        <v>116</v>
      </c>
      <c r="C366">
        <v>210784</v>
      </c>
      <c r="E366" t="s">
        <v>117</v>
      </c>
      <c r="F366">
        <v>368</v>
      </c>
      <c r="G366" t="s">
        <v>141</v>
      </c>
      <c r="H366" t="s">
        <v>142</v>
      </c>
      <c r="I366" t="s">
        <v>279</v>
      </c>
      <c r="J366" t="s">
        <v>280</v>
      </c>
      <c r="L366" t="s">
        <v>633</v>
      </c>
      <c r="M366" s="8">
        <v>45474</v>
      </c>
      <c r="N366">
        <v>5537900</v>
      </c>
      <c r="O366" t="s">
        <v>123</v>
      </c>
      <c r="P366" t="s">
        <v>146</v>
      </c>
      <c r="Q366">
        <v>2.96</v>
      </c>
      <c r="R366" t="s">
        <v>581</v>
      </c>
      <c r="S366" t="s">
        <v>126</v>
      </c>
      <c r="T366" t="s">
        <v>581</v>
      </c>
      <c r="U366" t="s">
        <v>582</v>
      </c>
      <c r="W366">
        <v>0.91</v>
      </c>
      <c r="X366">
        <v>2.0499999999999998</v>
      </c>
      <c r="Y366">
        <v>2.96</v>
      </c>
      <c r="Z366">
        <v>1.1299999999999999</v>
      </c>
      <c r="AG366">
        <v>0.91</v>
      </c>
      <c r="AI366">
        <v>0.92</v>
      </c>
      <c r="BH366" t="s">
        <v>126</v>
      </c>
      <c r="BI366" t="s">
        <v>126</v>
      </c>
      <c r="BJ366" t="s">
        <v>126</v>
      </c>
      <c r="BK366" t="s">
        <v>126</v>
      </c>
      <c r="BS366" t="s">
        <v>126</v>
      </c>
      <c r="BT366" t="s">
        <v>126</v>
      </c>
      <c r="BU366" t="s">
        <v>126</v>
      </c>
      <c r="BV366" t="s">
        <v>126</v>
      </c>
      <c r="CN366" t="s">
        <v>147</v>
      </c>
      <c r="CP366" t="s">
        <v>630</v>
      </c>
      <c r="CQ366" t="s">
        <v>147</v>
      </c>
    </row>
    <row r="367" spans="1:95" x14ac:dyDescent="0.2">
      <c r="A367" t="s">
        <v>115</v>
      </c>
      <c r="B367" t="s">
        <v>116</v>
      </c>
      <c r="C367">
        <v>210784</v>
      </c>
      <c r="E367" t="s">
        <v>117</v>
      </c>
      <c r="F367">
        <v>368</v>
      </c>
      <c r="G367" t="s">
        <v>141</v>
      </c>
      <c r="H367" t="s">
        <v>142</v>
      </c>
      <c r="I367" t="s">
        <v>279</v>
      </c>
      <c r="J367" t="s">
        <v>280</v>
      </c>
      <c r="L367" t="s">
        <v>865</v>
      </c>
      <c r="M367" s="8">
        <v>45474</v>
      </c>
      <c r="N367">
        <v>5524202</v>
      </c>
      <c r="O367" t="s">
        <v>123</v>
      </c>
      <c r="P367" t="s">
        <v>146</v>
      </c>
      <c r="Q367">
        <v>3.93</v>
      </c>
      <c r="R367" t="s">
        <v>125</v>
      </c>
      <c r="S367" t="s">
        <v>126</v>
      </c>
      <c r="T367" t="s">
        <v>125</v>
      </c>
      <c r="U367" t="s">
        <v>126</v>
      </c>
      <c r="W367">
        <v>3.93</v>
      </c>
      <c r="Y367">
        <v>3.93</v>
      </c>
      <c r="BE367">
        <v>3.93</v>
      </c>
      <c r="BH367" t="s">
        <v>126</v>
      </c>
      <c r="BI367" t="s">
        <v>126</v>
      </c>
      <c r="BJ367" t="s">
        <v>126</v>
      </c>
      <c r="BK367" t="s">
        <v>126</v>
      </c>
      <c r="BS367" t="s">
        <v>126</v>
      </c>
      <c r="BT367" t="s">
        <v>126</v>
      </c>
      <c r="BU367" t="s">
        <v>126</v>
      </c>
      <c r="BV367" t="s">
        <v>126</v>
      </c>
      <c r="CN367" t="s">
        <v>147</v>
      </c>
      <c r="CP367" t="s">
        <v>630</v>
      </c>
      <c r="CQ367" t="s">
        <v>147</v>
      </c>
    </row>
    <row r="368" spans="1:95" x14ac:dyDescent="0.2">
      <c r="A368" t="s">
        <v>115</v>
      </c>
      <c r="B368" t="s">
        <v>116</v>
      </c>
      <c r="C368">
        <v>210784</v>
      </c>
      <c r="E368" t="s">
        <v>117</v>
      </c>
      <c r="F368">
        <v>368</v>
      </c>
      <c r="G368" t="s">
        <v>141</v>
      </c>
      <c r="H368" t="s">
        <v>142</v>
      </c>
      <c r="I368" t="s">
        <v>279</v>
      </c>
      <c r="J368" t="s">
        <v>280</v>
      </c>
      <c r="L368" t="s">
        <v>866</v>
      </c>
      <c r="M368" s="8">
        <v>45474</v>
      </c>
      <c r="N368">
        <v>5524856</v>
      </c>
      <c r="O368" t="s">
        <v>123</v>
      </c>
      <c r="P368" t="s">
        <v>146</v>
      </c>
      <c r="Q368">
        <v>2.38</v>
      </c>
      <c r="R368" t="s">
        <v>125</v>
      </c>
      <c r="S368" t="s">
        <v>126</v>
      </c>
      <c r="T368" t="s">
        <v>125</v>
      </c>
      <c r="U368" t="s">
        <v>126</v>
      </c>
      <c r="W368">
        <v>2.38</v>
      </c>
      <c r="Y368">
        <v>2.38</v>
      </c>
      <c r="BE368">
        <v>2.38</v>
      </c>
      <c r="BH368" t="s">
        <v>126</v>
      </c>
      <c r="BI368" t="s">
        <v>126</v>
      </c>
      <c r="BJ368" t="s">
        <v>126</v>
      </c>
      <c r="BK368" t="s">
        <v>126</v>
      </c>
      <c r="BS368" t="s">
        <v>126</v>
      </c>
      <c r="BT368" t="s">
        <v>126</v>
      </c>
      <c r="BU368" t="s">
        <v>126</v>
      </c>
      <c r="BV368" t="s">
        <v>126</v>
      </c>
      <c r="CN368" t="s">
        <v>147</v>
      </c>
      <c r="CP368" t="s">
        <v>630</v>
      </c>
      <c r="CQ368" t="s">
        <v>147</v>
      </c>
    </row>
    <row r="369" spans="1:95" x14ac:dyDescent="0.2">
      <c r="A369" t="s">
        <v>115</v>
      </c>
      <c r="B369" t="s">
        <v>116</v>
      </c>
      <c r="C369">
        <v>210784</v>
      </c>
      <c r="E369" t="s">
        <v>117</v>
      </c>
      <c r="F369">
        <v>368</v>
      </c>
      <c r="G369" t="s">
        <v>141</v>
      </c>
      <c r="H369" t="s">
        <v>142</v>
      </c>
      <c r="I369" t="s">
        <v>279</v>
      </c>
      <c r="J369" t="s">
        <v>280</v>
      </c>
      <c r="L369" t="s">
        <v>867</v>
      </c>
      <c r="M369" s="8">
        <v>45474</v>
      </c>
      <c r="N369">
        <v>5528300</v>
      </c>
      <c r="O369" t="s">
        <v>123</v>
      </c>
      <c r="P369" t="s">
        <v>146</v>
      </c>
      <c r="Q369">
        <v>1.2</v>
      </c>
      <c r="R369" t="s">
        <v>125</v>
      </c>
      <c r="S369" t="s">
        <v>126</v>
      </c>
      <c r="T369" t="s">
        <v>125</v>
      </c>
      <c r="U369" t="s">
        <v>126</v>
      </c>
      <c r="W369">
        <v>1.2</v>
      </c>
      <c r="Y369">
        <v>1.2</v>
      </c>
      <c r="BE369">
        <v>1.2</v>
      </c>
      <c r="BH369" t="s">
        <v>126</v>
      </c>
      <c r="BI369" t="s">
        <v>126</v>
      </c>
      <c r="BJ369" t="s">
        <v>126</v>
      </c>
      <c r="BK369" t="s">
        <v>126</v>
      </c>
      <c r="BS369" t="s">
        <v>126</v>
      </c>
      <c r="BT369" t="s">
        <v>126</v>
      </c>
      <c r="BU369" t="s">
        <v>126</v>
      </c>
      <c r="BV369" t="s">
        <v>126</v>
      </c>
      <c r="CN369" t="s">
        <v>147</v>
      </c>
      <c r="CP369" t="s">
        <v>630</v>
      </c>
      <c r="CQ369" t="s">
        <v>147</v>
      </c>
    </row>
    <row r="370" spans="1:95" x14ac:dyDescent="0.2">
      <c r="A370" t="s">
        <v>115</v>
      </c>
      <c r="B370" t="s">
        <v>116</v>
      </c>
      <c r="C370">
        <v>210784</v>
      </c>
      <c r="E370" t="s">
        <v>117</v>
      </c>
      <c r="F370">
        <v>368</v>
      </c>
      <c r="G370" t="s">
        <v>141</v>
      </c>
      <c r="H370" t="s">
        <v>142</v>
      </c>
      <c r="I370" t="s">
        <v>279</v>
      </c>
      <c r="J370" t="s">
        <v>280</v>
      </c>
      <c r="L370" t="s">
        <v>868</v>
      </c>
      <c r="M370" s="8">
        <v>45474</v>
      </c>
      <c r="N370">
        <v>5538471</v>
      </c>
      <c r="O370" t="s">
        <v>123</v>
      </c>
      <c r="P370" t="s">
        <v>146</v>
      </c>
      <c r="Q370">
        <v>4.13</v>
      </c>
      <c r="R370" t="s">
        <v>125</v>
      </c>
      <c r="S370" t="s">
        <v>126</v>
      </c>
      <c r="T370" t="s">
        <v>125</v>
      </c>
      <c r="U370" t="s">
        <v>126</v>
      </c>
      <c r="W370">
        <v>4.13</v>
      </c>
      <c r="Y370">
        <v>4.13</v>
      </c>
      <c r="BE370">
        <v>4.13</v>
      </c>
      <c r="BH370" t="s">
        <v>126</v>
      </c>
      <c r="BI370" t="s">
        <v>126</v>
      </c>
      <c r="BJ370" t="s">
        <v>126</v>
      </c>
      <c r="BK370" t="s">
        <v>126</v>
      </c>
      <c r="BS370" t="s">
        <v>126</v>
      </c>
      <c r="BT370" t="s">
        <v>126</v>
      </c>
      <c r="BU370" t="s">
        <v>126</v>
      </c>
      <c r="BV370" t="s">
        <v>126</v>
      </c>
      <c r="CN370" t="s">
        <v>147</v>
      </c>
      <c r="CP370" t="s">
        <v>630</v>
      </c>
      <c r="CQ370" t="s">
        <v>147</v>
      </c>
    </row>
    <row r="371" spans="1:95" x14ac:dyDescent="0.2">
      <c r="A371" t="s">
        <v>115</v>
      </c>
      <c r="B371" t="s">
        <v>116</v>
      </c>
      <c r="C371">
        <v>210784</v>
      </c>
      <c r="E371" t="s">
        <v>117</v>
      </c>
      <c r="F371">
        <v>368</v>
      </c>
      <c r="G371" t="s">
        <v>229</v>
      </c>
      <c r="H371" t="s">
        <v>230</v>
      </c>
      <c r="I371" t="s">
        <v>204</v>
      </c>
      <c r="J371" t="s">
        <v>205</v>
      </c>
      <c r="L371" t="s">
        <v>237</v>
      </c>
      <c r="M371" s="8">
        <v>45505</v>
      </c>
      <c r="N371">
        <v>106894</v>
      </c>
      <c r="O371" t="s">
        <v>123</v>
      </c>
      <c r="P371" t="s">
        <v>146</v>
      </c>
      <c r="Q371">
        <v>8.36</v>
      </c>
      <c r="R371" t="s">
        <v>125</v>
      </c>
      <c r="S371" t="s">
        <v>126</v>
      </c>
      <c r="T371" t="s">
        <v>125</v>
      </c>
      <c r="U371" t="s">
        <v>126</v>
      </c>
      <c r="W371">
        <v>8.36</v>
      </c>
      <c r="Y371">
        <v>8.36</v>
      </c>
      <c r="AC371">
        <v>8.36</v>
      </c>
      <c r="BH371" t="s">
        <v>126</v>
      </c>
      <c r="BI371" t="s">
        <v>126</v>
      </c>
      <c r="BJ371" t="s">
        <v>126</v>
      </c>
      <c r="BK371" t="s">
        <v>126</v>
      </c>
      <c r="BS371" t="s">
        <v>126</v>
      </c>
      <c r="BT371" t="s">
        <v>126</v>
      </c>
      <c r="BU371" t="s">
        <v>126</v>
      </c>
      <c r="BV371" t="s">
        <v>126</v>
      </c>
      <c r="CN371" t="s">
        <v>230</v>
      </c>
      <c r="CP371" t="s">
        <v>234</v>
      </c>
      <c r="CQ371" t="s">
        <v>230</v>
      </c>
    </row>
    <row r="372" spans="1:95" x14ac:dyDescent="0.2">
      <c r="A372" t="s">
        <v>115</v>
      </c>
      <c r="B372" t="s">
        <v>116</v>
      </c>
      <c r="C372">
        <v>210784</v>
      </c>
      <c r="E372" t="s">
        <v>117</v>
      </c>
      <c r="F372">
        <v>368</v>
      </c>
      <c r="G372" t="s">
        <v>229</v>
      </c>
      <c r="H372" t="s">
        <v>230</v>
      </c>
      <c r="I372" t="s">
        <v>204</v>
      </c>
      <c r="J372" t="s">
        <v>205</v>
      </c>
      <c r="L372" t="s">
        <v>238</v>
      </c>
      <c r="M372" s="8">
        <v>45505</v>
      </c>
      <c r="N372">
        <v>107730</v>
      </c>
      <c r="O372" t="s">
        <v>123</v>
      </c>
      <c r="P372" t="s">
        <v>146</v>
      </c>
      <c r="Q372">
        <v>8.48</v>
      </c>
      <c r="R372" t="s">
        <v>125</v>
      </c>
      <c r="S372" t="s">
        <v>126</v>
      </c>
      <c r="T372" t="s">
        <v>125</v>
      </c>
      <c r="U372" t="s">
        <v>126</v>
      </c>
      <c r="W372">
        <v>8.48</v>
      </c>
      <c r="Y372">
        <v>8.48</v>
      </c>
      <c r="AC372">
        <v>8.48</v>
      </c>
      <c r="BH372" t="s">
        <v>126</v>
      </c>
      <c r="BI372" t="s">
        <v>126</v>
      </c>
      <c r="BJ372" t="s">
        <v>126</v>
      </c>
      <c r="BK372" t="s">
        <v>126</v>
      </c>
      <c r="BS372" t="s">
        <v>126</v>
      </c>
      <c r="BT372" t="s">
        <v>126</v>
      </c>
      <c r="BU372" t="s">
        <v>126</v>
      </c>
      <c r="BV372" t="s">
        <v>126</v>
      </c>
      <c r="CN372" t="s">
        <v>230</v>
      </c>
      <c r="CP372" t="s">
        <v>234</v>
      </c>
      <c r="CQ372" t="s">
        <v>230</v>
      </c>
    </row>
    <row r="373" spans="1:95" x14ac:dyDescent="0.2">
      <c r="A373" t="s">
        <v>115</v>
      </c>
      <c r="B373" t="s">
        <v>116</v>
      </c>
      <c r="C373">
        <v>210784</v>
      </c>
      <c r="E373" t="s">
        <v>117</v>
      </c>
      <c r="F373">
        <v>368</v>
      </c>
      <c r="G373" t="s">
        <v>141</v>
      </c>
      <c r="H373" t="s">
        <v>142</v>
      </c>
      <c r="I373" t="s">
        <v>204</v>
      </c>
      <c r="J373" t="s">
        <v>205</v>
      </c>
      <c r="L373" t="s">
        <v>269</v>
      </c>
      <c r="M373" s="8">
        <v>45505</v>
      </c>
      <c r="N373">
        <v>106518</v>
      </c>
      <c r="O373" t="s">
        <v>123</v>
      </c>
      <c r="P373" t="s">
        <v>146</v>
      </c>
      <c r="Q373">
        <v>8.4700000000000006</v>
      </c>
      <c r="R373" t="s">
        <v>125</v>
      </c>
      <c r="S373" t="s">
        <v>126</v>
      </c>
      <c r="T373" t="s">
        <v>125</v>
      </c>
      <c r="U373" t="s">
        <v>126</v>
      </c>
      <c r="W373">
        <v>8.4700000000000006</v>
      </c>
      <c r="Y373">
        <v>8.4700000000000006</v>
      </c>
      <c r="AC373">
        <v>8.4700000000000006</v>
      </c>
      <c r="BH373" t="s">
        <v>126</v>
      </c>
      <c r="BI373" t="s">
        <v>126</v>
      </c>
      <c r="BJ373" t="s">
        <v>126</v>
      </c>
      <c r="BK373" t="s">
        <v>126</v>
      </c>
      <c r="BS373" t="s">
        <v>126</v>
      </c>
      <c r="BT373" t="s">
        <v>126</v>
      </c>
      <c r="BU373" t="s">
        <v>126</v>
      </c>
      <c r="BV373" t="s">
        <v>126</v>
      </c>
      <c r="CN373" t="s">
        <v>147</v>
      </c>
      <c r="CP373" t="s">
        <v>258</v>
      </c>
      <c r="CQ373" t="s">
        <v>147</v>
      </c>
    </row>
    <row r="374" spans="1:95" x14ac:dyDescent="0.2">
      <c r="A374" t="s">
        <v>115</v>
      </c>
      <c r="B374" t="s">
        <v>116</v>
      </c>
      <c r="C374">
        <v>210784</v>
      </c>
      <c r="E374" t="s">
        <v>117</v>
      </c>
      <c r="F374">
        <v>368</v>
      </c>
      <c r="G374" t="s">
        <v>141</v>
      </c>
      <c r="H374" t="s">
        <v>142</v>
      </c>
      <c r="I374" t="s">
        <v>204</v>
      </c>
      <c r="J374" t="s">
        <v>205</v>
      </c>
      <c r="L374" t="s">
        <v>237</v>
      </c>
      <c r="M374" s="8">
        <v>45505</v>
      </c>
      <c r="N374">
        <v>106897</v>
      </c>
      <c r="O374" t="s">
        <v>123</v>
      </c>
      <c r="P374" t="s">
        <v>146</v>
      </c>
      <c r="Q374">
        <v>8.36</v>
      </c>
      <c r="R374" t="s">
        <v>125</v>
      </c>
      <c r="S374" t="s">
        <v>126</v>
      </c>
      <c r="T374" t="s">
        <v>125</v>
      </c>
      <c r="U374" t="s">
        <v>126</v>
      </c>
      <c r="W374">
        <v>8.36</v>
      </c>
      <c r="Y374">
        <v>8.36</v>
      </c>
      <c r="AC374">
        <v>8.36</v>
      </c>
      <c r="BH374" t="s">
        <v>126</v>
      </c>
      <c r="BI374" t="s">
        <v>126</v>
      </c>
      <c r="BJ374" t="s">
        <v>126</v>
      </c>
      <c r="BK374" t="s">
        <v>126</v>
      </c>
      <c r="BS374" t="s">
        <v>126</v>
      </c>
      <c r="BT374" t="s">
        <v>126</v>
      </c>
      <c r="BU374" t="s">
        <v>126</v>
      </c>
      <c r="BV374" t="s">
        <v>126</v>
      </c>
      <c r="CN374" t="s">
        <v>147</v>
      </c>
      <c r="CP374" t="s">
        <v>258</v>
      </c>
      <c r="CQ374" t="s">
        <v>147</v>
      </c>
    </row>
    <row r="375" spans="1:95" x14ac:dyDescent="0.2">
      <c r="A375" t="s">
        <v>115</v>
      </c>
      <c r="B375" t="s">
        <v>116</v>
      </c>
      <c r="C375">
        <v>210784</v>
      </c>
      <c r="E375" t="s">
        <v>117</v>
      </c>
      <c r="F375">
        <v>368</v>
      </c>
      <c r="G375" t="s">
        <v>141</v>
      </c>
      <c r="H375" t="s">
        <v>142</v>
      </c>
      <c r="I375" t="s">
        <v>259</v>
      </c>
      <c r="J375" t="s">
        <v>260</v>
      </c>
      <c r="L375" t="s">
        <v>270</v>
      </c>
      <c r="M375" s="8">
        <v>45505</v>
      </c>
      <c r="N375">
        <v>25781</v>
      </c>
      <c r="O375" t="s">
        <v>123</v>
      </c>
      <c r="P375" t="s">
        <v>146</v>
      </c>
      <c r="Q375">
        <v>8</v>
      </c>
      <c r="R375" t="s">
        <v>125</v>
      </c>
      <c r="S375" t="s">
        <v>126</v>
      </c>
      <c r="T375" t="s">
        <v>125</v>
      </c>
      <c r="U375" t="s">
        <v>126</v>
      </c>
      <c r="W375">
        <v>8</v>
      </c>
      <c r="Y375">
        <v>8</v>
      </c>
      <c r="AC375">
        <v>8</v>
      </c>
      <c r="BH375" t="s">
        <v>126</v>
      </c>
      <c r="BI375" t="s">
        <v>126</v>
      </c>
      <c r="BJ375" t="s">
        <v>126</v>
      </c>
      <c r="BK375" t="s">
        <v>126</v>
      </c>
      <c r="BS375" t="s">
        <v>126</v>
      </c>
      <c r="BT375" t="s">
        <v>126</v>
      </c>
      <c r="BU375" t="s">
        <v>126</v>
      </c>
      <c r="BV375" t="s">
        <v>126</v>
      </c>
      <c r="CN375" t="s">
        <v>147</v>
      </c>
      <c r="CP375" t="s">
        <v>258</v>
      </c>
      <c r="CQ375" t="s">
        <v>147</v>
      </c>
    </row>
    <row r="376" spans="1:95" x14ac:dyDescent="0.2">
      <c r="A376" t="s">
        <v>115</v>
      </c>
      <c r="B376" t="s">
        <v>116</v>
      </c>
      <c r="C376">
        <v>210784</v>
      </c>
      <c r="E376" t="s">
        <v>117</v>
      </c>
      <c r="F376">
        <v>368</v>
      </c>
      <c r="G376" t="s">
        <v>141</v>
      </c>
      <c r="H376" t="s">
        <v>142</v>
      </c>
      <c r="I376" t="s">
        <v>204</v>
      </c>
      <c r="J376" t="s">
        <v>205</v>
      </c>
      <c r="L376" t="s">
        <v>238</v>
      </c>
      <c r="M376" s="8">
        <v>45505</v>
      </c>
      <c r="N376">
        <v>107730</v>
      </c>
      <c r="O376" t="s">
        <v>123</v>
      </c>
      <c r="P376" t="s">
        <v>146</v>
      </c>
      <c r="Q376">
        <v>8.48</v>
      </c>
      <c r="R376" t="s">
        <v>125</v>
      </c>
      <c r="S376" t="s">
        <v>126</v>
      </c>
      <c r="T376" t="s">
        <v>125</v>
      </c>
      <c r="U376" t="s">
        <v>126</v>
      </c>
      <c r="W376">
        <v>8.48</v>
      </c>
      <c r="Y376">
        <v>8.48</v>
      </c>
      <c r="AC376">
        <v>8.48</v>
      </c>
      <c r="BH376" t="s">
        <v>126</v>
      </c>
      <c r="BI376" t="s">
        <v>126</v>
      </c>
      <c r="BJ376" t="s">
        <v>126</v>
      </c>
      <c r="BK376" t="s">
        <v>126</v>
      </c>
      <c r="BS376" t="s">
        <v>126</v>
      </c>
      <c r="BT376" t="s">
        <v>126</v>
      </c>
      <c r="BU376" t="s">
        <v>126</v>
      </c>
      <c r="BV376" t="s">
        <v>126</v>
      </c>
      <c r="CN376" t="s">
        <v>147</v>
      </c>
      <c r="CP376" t="s">
        <v>258</v>
      </c>
      <c r="CQ376" t="s">
        <v>147</v>
      </c>
    </row>
    <row r="377" spans="1:95" x14ac:dyDescent="0.2">
      <c r="A377" t="s">
        <v>115</v>
      </c>
      <c r="B377" t="s">
        <v>116</v>
      </c>
      <c r="C377">
        <v>210784</v>
      </c>
      <c r="E377" t="s">
        <v>117</v>
      </c>
      <c r="F377">
        <v>368</v>
      </c>
      <c r="G377" t="s">
        <v>141</v>
      </c>
      <c r="H377" t="s">
        <v>142</v>
      </c>
      <c r="I377" t="s">
        <v>279</v>
      </c>
      <c r="J377" t="s">
        <v>280</v>
      </c>
      <c r="L377" t="s">
        <v>634</v>
      </c>
      <c r="M377" s="8">
        <v>45505</v>
      </c>
      <c r="N377">
        <v>5547817</v>
      </c>
      <c r="O377" t="s">
        <v>123</v>
      </c>
      <c r="P377" t="s">
        <v>146</v>
      </c>
      <c r="Q377">
        <v>3.4</v>
      </c>
      <c r="R377" t="s">
        <v>635</v>
      </c>
      <c r="S377" t="s">
        <v>126</v>
      </c>
      <c r="T377" t="s">
        <v>635</v>
      </c>
      <c r="U377" t="s">
        <v>636</v>
      </c>
      <c r="W377">
        <v>1.05</v>
      </c>
      <c r="X377">
        <v>2.35</v>
      </c>
      <c r="Y377">
        <v>3.4</v>
      </c>
      <c r="Z377">
        <v>1.29</v>
      </c>
      <c r="AG377">
        <v>1.05</v>
      </c>
      <c r="AI377">
        <v>1.06</v>
      </c>
      <c r="BH377" t="s">
        <v>126</v>
      </c>
      <c r="BI377" t="s">
        <v>126</v>
      </c>
      <c r="BJ377" t="s">
        <v>126</v>
      </c>
      <c r="BK377" t="s">
        <v>126</v>
      </c>
      <c r="BS377" t="s">
        <v>126</v>
      </c>
      <c r="BT377" t="s">
        <v>126</v>
      </c>
      <c r="BU377" t="s">
        <v>126</v>
      </c>
      <c r="BV377" t="s">
        <v>126</v>
      </c>
      <c r="CN377" t="s">
        <v>147</v>
      </c>
      <c r="CP377" t="s">
        <v>238</v>
      </c>
      <c r="CQ377" t="s">
        <v>147</v>
      </c>
    </row>
    <row r="378" spans="1:95" x14ac:dyDescent="0.2">
      <c r="A378" t="s">
        <v>115</v>
      </c>
      <c r="B378" t="s">
        <v>116</v>
      </c>
      <c r="C378">
        <v>210784</v>
      </c>
      <c r="E378" t="s">
        <v>117</v>
      </c>
      <c r="F378">
        <v>368</v>
      </c>
      <c r="G378" t="s">
        <v>141</v>
      </c>
      <c r="H378" t="s">
        <v>142</v>
      </c>
      <c r="I378" t="s">
        <v>279</v>
      </c>
      <c r="J378" t="s">
        <v>280</v>
      </c>
      <c r="L378" t="s">
        <v>637</v>
      </c>
      <c r="M378" s="8">
        <v>45505</v>
      </c>
      <c r="N378">
        <v>5553320</v>
      </c>
      <c r="O378" t="s">
        <v>123</v>
      </c>
      <c r="P378" t="s">
        <v>146</v>
      </c>
      <c r="Q378">
        <v>0.73</v>
      </c>
      <c r="R378" t="s">
        <v>638</v>
      </c>
      <c r="S378" t="s">
        <v>126</v>
      </c>
      <c r="T378" t="s">
        <v>638</v>
      </c>
      <c r="U378" t="s">
        <v>639</v>
      </c>
      <c r="W378">
        <v>0.22</v>
      </c>
      <c r="X378">
        <v>0.51</v>
      </c>
      <c r="Y378">
        <v>0.73</v>
      </c>
      <c r="Z378">
        <v>0.28000000000000003</v>
      </c>
      <c r="AG378">
        <v>0.22</v>
      </c>
      <c r="AI378">
        <v>0.23</v>
      </c>
      <c r="BH378" t="s">
        <v>126</v>
      </c>
      <c r="BI378" t="s">
        <v>126</v>
      </c>
      <c r="BJ378" t="s">
        <v>126</v>
      </c>
      <c r="BK378" t="s">
        <v>126</v>
      </c>
      <c r="BS378" t="s">
        <v>126</v>
      </c>
      <c r="BT378" t="s">
        <v>126</v>
      </c>
      <c r="BU378" t="s">
        <v>126</v>
      </c>
      <c r="BV378" t="s">
        <v>126</v>
      </c>
      <c r="CN378" t="s">
        <v>147</v>
      </c>
      <c r="CP378" t="s">
        <v>238</v>
      </c>
      <c r="CQ378" t="s">
        <v>147</v>
      </c>
    </row>
    <row r="379" spans="1:95" x14ac:dyDescent="0.2">
      <c r="A379" t="s">
        <v>115</v>
      </c>
      <c r="B379" t="s">
        <v>116</v>
      </c>
      <c r="C379">
        <v>210784</v>
      </c>
      <c r="E379" t="s">
        <v>117</v>
      </c>
      <c r="F379">
        <v>368</v>
      </c>
      <c r="G379" t="s">
        <v>141</v>
      </c>
      <c r="H379" t="s">
        <v>142</v>
      </c>
      <c r="I379" t="s">
        <v>279</v>
      </c>
      <c r="J379" t="s">
        <v>280</v>
      </c>
      <c r="L379" t="s">
        <v>637</v>
      </c>
      <c r="M379" s="8">
        <v>45505</v>
      </c>
      <c r="N379">
        <v>5553250</v>
      </c>
      <c r="O379" t="s">
        <v>123</v>
      </c>
      <c r="P379" t="s">
        <v>146</v>
      </c>
      <c r="Q379">
        <v>4.17</v>
      </c>
      <c r="R379" t="s">
        <v>631</v>
      </c>
      <c r="S379" t="s">
        <v>126</v>
      </c>
      <c r="T379" t="s">
        <v>631</v>
      </c>
      <c r="U379" t="s">
        <v>632</v>
      </c>
      <c r="W379">
        <v>1.29</v>
      </c>
      <c r="X379">
        <v>2.88</v>
      </c>
      <c r="Y379">
        <v>4.17</v>
      </c>
      <c r="Z379">
        <v>1.58</v>
      </c>
      <c r="AG379">
        <v>1.29</v>
      </c>
      <c r="AI379">
        <v>1.3</v>
      </c>
      <c r="BH379" t="s">
        <v>126</v>
      </c>
      <c r="BI379" t="s">
        <v>126</v>
      </c>
      <c r="BJ379" t="s">
        <v>126</v>
      </c>
      <c r="BK379" t="s">
        <v>126</v>
      </c>
      <c r="BS379" t="s">
        <v>126</v>
      </c>
      <c r="BT379" t="s">
        <v>126</v>
      </c>
      <c r="BU379" t="s">
        <v>126</v>
      </c>
      <c r="BV379" t="s">
        <v>126</v>
      </c>
      <c r="CN379" t="s">
        <v>147</v>
      </c>
      <c r="CP379" t="s">
        <v>238</v>
      </c>
      <c r="CQ379" t="s">
        <v>147</v>
      </c>
    </row>
    <row r="380" spans="1:95" x14ac:dyDescent="0.2">
      <c r="A380" t="s">
        <v>115</v>
      </c>
      <c r="B380" t="s">
        <v>116</v>
      </c>
      <c r="C380">
        <v>210784</v>
      </c>
      <c r="E380" t="s">
        <v>117</v>
      </c>
      <c r="F380">
        <v>368</v>
      </c>
      <c r="G380" t="s">
        <v>141</v>
      </c>
      <c r="H380" t="s">
        <v>142</v>
      </c>
      <c r="I380" t="s">
        <v>284</v>
      </c>
      <c r="J380" t="s">
        <v>285</v>
      </c>
      <c r="L380" t="s">
        <v>640</v>
      </c>
      <c r="M380" s="8">
        <v>45505</v>
      </c>
      <c r="N380">
        <v>109045</v>
      </c>
      <c r="O380" t="s">
        <v>123</v>
      </c>
      <c r="P380" t="s">
        <v>146</v>
      </c>
      <c r="Q380">
        <v>1.3499999999999999</v>
      </c>
      <c r="R380" t="s">
        <v>641</v>
      </c>
      <c r="S380" t="s">
        <v>126</v>
      </c>
      <c r="T380" t="s">
        <v>641</v>
      </c>
      <c r="U380" t="s">
        <v>642</v>
      </c>
      <c r="W380">
        <v>0.42</v>
      </c>
      <c r="X380">
        <v>0.92999999999999994</v>
      </c>
      <c r="Y380">
        <v>1.3499999999999999</v>
      </c>
      <c r="Z380">
        <v>0.51</v>
      </c>
      <c r="AG380">
        <v>0.42</v>
      </c>
      <c r="AI380">
        <v>0.42</v>
      </c>
      <c r="BH380" t="s">
        <v>126</v>
      </c>
      <c r="BI380" t="s">
        <v>126</v>
      </c>
      <c r="BJ380" t="s">
        <v>126</v>
      </c>
      <c r="BK380" t="s">
        <v>126</v>
      </c>
      <c r="BS380" t="s">
        <v>126</v>
      </c>
      <c r="BT380" t="s">
        <v>126</v>
      </c>
      <c r="BU380" t="s">
        <v>126</v>
      </c>
      <c r="BV380" t="s">
        <v>126</v>
      </c>
      <c r="CN380" t="s">
        <v>147</v>
      </c>
      <c r="CP380" t="s">
        <v>238</v>
      </c>
      <c r="CQ380" t="s">
        <v>147</v>
      </c>
    </row>
    <row r="381" spans="1:95" x14ac:dyDescent="0.2">
      <c r="A381" t="s">
        <v>115</v>
      </c>
      <c r="B381" t="s">
        <v>116</v>
      </c>
      <c r="C381">
        <v>210784</v>
      </c>
      <c r="E381" t="s">
        <v>117</v>
      </c>
      <c r="F381">
        <v>368</v>
      </c>
      <c r="G381" t="s">
        <v>141</v>
      </c>
      <c r="H381" t="s">
        <v>142</v>
      </c>
      <c r="I381" t="s">
        <v>279</v>
      </c>
      <c r="J381" t="s">
        <v>280</v>
      </c>
      <c r="L381" t="s">
        <v>643</v>
      </c>
      <c r="M381" s="8">
        <v>45505</v>
      </c>
      <c r="N381">
        <v>5555743</v>
      </c>
      <c r="O381" t="s">
        <v>123</v>
      </c>
      <c r="P381" t="s">
        <v>146</v>
      </c>
      <c r="Q381">
        <v>3.3</v>
      </c>
      <c r="R381" t="s">
        <v>644</v>
      </c>
      <c r="S381" t="s">
        <v>126</v>
      </c>
      <c r="T381" t="s">
        <v>644</v>
      </c>
      <c r="U381" t="s">
        <v>645</v>
      </c>
      <c r="W381">
        <v>1.02</v>
      </c>
      <c r="X381">
        <v>2.2800000000000002</v>
      </c>
      <c r="Y381">
        <v>3.3</v>
      </c>
      <c r="Z381">
        <v>1.25</v>
      </c>
      <c r="AG381">
        <v>1.02</v>
      </c>
      <c r="AI381">
        <v>1.03</v>
      </c>
      <c r="BH381" t="s">
        <v>126</v>
      </c>
      <c r="BI381" t="s">
        <v>126</v>
      </c>
      <c r="BJ381" t="s">
        <v>126</v>
      </c>
      <c r="BK381" t="s">
        <v>126</v>
      </c>
      <c r="BS381" t="s">
        <v>126</v>
      </c>
      <c r="BT381" t="s">
        <v>126</v>
      </c>
      <c r="BU381" t="s">
        <v>126</v>
      </c>
      <c r="BV381" t="s">
        <v>126</v>
      </c>
      <c r="CN381" t="s">
        <v>147</v>
      </c>
      <c r="CP381" t="s">
        <v>238</v>
      </c>
      <c r="CQ381" t="s">
        <v>147</v>
      </c>
    </row>
    <row r="382" spans="1:95" x14ac:dyDescent="0.2">
      <c r="A382" t="s">
        <v>115</v>
      </c>
      <c r="B382" t="s">
        <v>116</v>
      </c>
      <c r="C382">
        <v>210784</v>
      </c>
      <c r="E382" t="s">
        <v>117</v>
      </c>
      <c r="F382">
        <v>368</v>
      </c>
      <c r="G382" t="s">
        <v>141</v>
      </c>
      <c r="H382" t="s">
        <v>142</v>
      </c>
      <c r="I382" t="s">
        <v>279</v>
      </c>
      <c r="J382" t="s">
        <v>280</v>
      </c>
      <c r="L382" t="s">
        <v>646</v>
      </c>
      <c r="M382" s="8">
        <v>45505</v>
      </c>
      <c r="N382">
        <v>5558915</v>
      </c>
      <c r="O382" t="s">
        <v>123</v>
      </c>
      <c r="P382" t="s">
        <v>146</v>
      </c>
      <c r="Q382">
        <v>1.44</v>
      </c>
      <c r="R382" t="s">
        <v>537</v>
      </c>
      <c r="S382" t="s">
        <v>126</v>
      </c>
      <c r="T382" t="s">
        <v>537</v>
      </c>
      <c r="U382" t="s">
        <v>538</v>
      </c>
      <c r="W382">
        <v>0.44</v>
      </c>
      <c r="X382">
        <v>1</v>
      </c>
      <c r="Y382">
        <v>1.44</v>
      </c>
      <c r="Z382">
        <v>0.55000000000000004</v>
      </c>
      <c r="AG382">
        <v>0.44</v>
      </c>
      <c r="AI382">
        <v>0.45</v>
      </c>
      <c r="BH382" t="s">
        <v>126</v>
      </c>
      <c r="BI382" t="s">
        <v>126</v>
      </c>
      <c r="BJ382" t="s">
        <v>126</v>
      </c>
      <c r="BK382" t="s">
        <v>126</v>
      </c>
      <c r="BS382" t="s">
        <v>126</v>
      </c>
      <c r="BT382" t="s">
        <v>126</v>
      </c>
      <c r="BU382" t="s">
        <v>126</v>
      </c>
      <c r="BV382" t="s">
        <v>126</v>
      </c>
      <c r="CN382" t="s">
        <v>147</v>
      </c>
      <c r="CP382" t="s">
        <v>238</v>
      </c>
      <c r="CQ382" t="s">
        <v>147</v>
      </c>
    </row>
    <row r="383" spans="1:95" x14ac:dyDescent="0.2">
      <c r="A383" t="s">
        <v>115</v>
      </c>
      <c r="B383" t="s">
        <v>116</v>
      </c>
      <c r="C383">
        <v>210784</v>
      </c>
      <c r="E383" t="s">
        <v>117</v>
      </c>
      <c r="F383">
        <v>368</v>
      </c>
      <c r="G383" t="s">
        <v>141</v>
      </c>
      <c r="H383" t="s">
        <v>142</v>
      </c>
      <c r="I383" t="s">
        <v>279</v>
      </c>
      <c r="J383" t="s">
        <v>280</v>
      </c>
      <c r="L383" t="s">
        <v>647</v>
      </c>
      <c r="M383" s="8">
        <v>45505</v>
      </c>
      <c r="N383">
        <v>5559685</v>
      </c>
      <c r="O383" t="s">
        <v>123</v>
      </c>
      <c r="P383" t="s">
        <v>146</v>
      </c>
      <c r="Q383">
        <v>1.0900000000000001</v>
      </c>
      <c r="R383" t="s">
        <v>648</v>
      </c>
      <c r="S383" t="s">
        <v>126</v>
      </c>
      <c r="T383" t="s">
        <v>648</v>
      </c>
      <c r="U383" t="s">
        <v>649</v>
      </c>
      <c r="W383">
        <v>0.34</v>
      </c>
      <c r="X383">
        <v>0.75</v>
      </c>
      <c r="Y383">
        <v>1.0900000000000001</v>
      </c>
      <c r="Z383">
        <v>0.41</v>
      </c>
      <c r="AG383">
        <v>0.34</v>
      </c>
      <c r="AI383">
        <v>0.34</v>
      </c>
      <c r="BH383" t="s">
        <v>126</v>
      </c>
      <c r="BI383" t="s">
        <v>126</v>
      </c>
      <c r="BJ383" t="s">
        <v>126</v>
      </c>
      <c r="BK383" t="s">
        <v>126</v>
      </c>
      <c r="BS383" t="s">
        <v>126</v>
      </c>
      <c r="BT383" t="s">
        <v>126</v>
      </c>
      <c r="BU383" t="s">
        <v>126</v>
      </c>
      <c r="BV383" t="s">
        <v>126</v>
      </c>
      <c r="CN383" t="s">
        <v>147</v>
      </c>
      <c r="CP383" t="s">
        <v>238</v>
      </c>
      <c r="CQ383" t="s">
        <v>147</v>
      </c>
    </row>
    <row r="384" spans="1:95" x14ac:dyDescent="0.2">
      <c r="A384" t="s">
        <v>115</v>
      </c>
      <c r="B384" t="s">
        <v>116</v>
      </c>
      <c r="C384">
        <v>210784</v>
      </c>
      <c r="E384" t="s">
        <v>117</v>
      </c>
      <c r="F384">
        <v>368</v>
      </c>
      <c r="G384" t="s">
        <v>141</v>
      </c>
      <c r="H384" t="s">
        <v>142</v>
      </c>
      <c r="I384" t="s">
        <v>279</v>
      </c>
      <c r="J384" t="s">
        <v>280</v>
      </c>
      <c r="L384" t="s">
        <v>650</v>
      </c>
      <c r="M384" s="8">
        <v>45505</v>
      </c>
      <c r="N384">
        <v>5561893</v>
      </c>
      <c r="O384" t="s">
        <v>123</v>
      </c>
      <c r="P384" t="s">
        <v>146</v>
      </c>
      <c r="Q384">
        <v>1.5799999999999998</v>
      </c>
      <c r="R384" t="s">
        <v>651</v>
      </c>
      <c r="S384" t="s">
        <v>126</v>
      </c>
      <c r="T384" t="s">
        <v>651</v>
      </c>
      <c r="U384" t="s">
        <v>652</v>
      </c>
      <c r="W384">
        <v>0.49</v>
      </c>
      <c r="X384">
        <v>1.0899999999999999</v>
      </c>
      <c r="Y384">
        <v>1.5799999999999998</v>
      </c>
      <c r="Z384">
        <v>0.6</v>
      </c>
      <c r="AG384">
        <v>0.49</v>
      </c>
      <c r="AI384">
        <v>0.49</v>
      </c>
      <c r="BH384" t="s">
        <v>126</v>
      </c>
      <c r="BI384" t="s">
        <v>126</v>
      </c>
      <c r="BJ384" t="s">
        <v>126</v>
      </c>
      <c r="BK384" t="s">
        <v>126</v>
      </c>
      <c r="BS384" t="s">
        <v>126</v>
      </c>
      <c r="BT384" t="s">
        <v>126</v>
      </c>
      <c r="BU384" t="s">
        <v>126</v>
      </c>
      <c r="BV384" t="s">
        <v>126</v>
      </c>
      <c r="CN384" t="s">
        <v>147</v>
      </c>
      <c r="CP384" t="s">
        <v>653</v>
      </c>
      <c r="CQ384" t="s">
        <v>147</v>
      </c>
    </row>
    <row r="385" spans="1:95" x14ac:dyDescent="0.2">
      <c r="A385" t="s">
        <v>115</v>
      </c>
      <c r="B385" t="s">
        <v>116</v>
      </c>
      <c r="C385">
        <v>210784</v>
      </c>
      <c r="E385" t="s">
        <v>117</v>
      </c>
      <c r="F385">
        <v>368</v>
      </c>
      <c r="G385" t="s">
        <v>141</v>
      </c>
      <c r="H385" t="s">
        <v>142</v>
      </c>
      <c r="I385" t="s">
        <v>279</v>
      </c>
      <c r="J385" t="s">
        <v>280</v>
      </c>
      <c r="L385" t="s">
        <v>650</v>
      </c>
      <c r="M385" s="8">
        <v>45505</v>
      </c>
      <c r="N385">
        <v>5561750</v>
      </c>
      <c r="O385" t="s">
        <v>123</v>
      </c>
      <c r="P385" t="s">
        <v>146</v>
      </c>
      <c r="Q385">
        <v>2.36</v>
      </c>
      <c r="R385" t="s">
        <v>577</v>
      </c>
      <c r="S385" t="s">
        <v>126</v>
      </c>
      <c r="T385" t="s">
        <v>577</v>
      </c>
      <c r="U385" t="s">
        <v>578</v>
      </c>
      <c r="W385">
        <v>0.73</v>
      </c>
      <c r="X385">
        <v>1.63</v>
      </c>
      <c r="Y385">
        <v>2.36</v>
      </c>
      <c r="Z385">
        <v>0.9</v>
      </c>
      <c r="AG385">
        <v>0.73</v>
      </c>
      <c r="AI385">
        <v>0.73</v>
      </c>
      <c r="BH385" t="s">
        <v>126</v>
      </c>
      <c r="BI385" t="s">
        <v>126</v>
      </c>
      <c r="BJ385" t="s">
        <v>126</v>
      </c>
      <c r="BK385" t="s">
        <v>126</v>
      </c>
      <c r="BS385" t="s">
        <v>126</v>
      </c>
      <c r="BT385" t="s">
        <v>126</v>
      </c>
      <c r="BU385" t="s">
        <v>126</v>
      </c>
      <c r="BV385" t="s">
        <v>126</v>
      </c>
      <c r="CN385" t="s">
        <v>147</v>
      </c>
      <c r="CP385" t="s">
        <v>653</v>
      </c>
      <c r="CQ385" t="s">
        <v>147</v>
      </c>
    </row>
    <row r="386" spans="1:95" x14ac:dyDescent="0.2">
      <c r="A386" t="s">
        <v>115</v>
      </c>
      <c r="B386" t="s">
        <v>116</v>
      </c>
      <c r="C386">
        <v>210784</v>
      </c>
      <c r="E386" t="s">
        <v>117</v>
      </c>
      <c r="F386">
        <v>368</v>
      </c>
      <c r="G386" t="s">
        <v>141</v>
      </c>
      <c r="H386" t="s">
        <v>142</v>
      </c>
      <c r="I386" t="s">
        <v>279</v>
      </c>
      <c r="J386" t="s">
        <v>280</v>
      </c>
      <c r="L386" t="s">
        <v>650</v>
      </c>
      <c r="M386" s="8">
        <v>45505</v>
      </c>
      <c r="N386">
        <v>5561844</v>
      </c>
      <c r="O386" t="s">
        <v>123</v>
      </c>
      <c r="P386" t="s">
        <v>146</v>
      </c>
      <c r="Q386">
        <v>2.06</v>
      </c>
      <c r="R386" t="s">
        <v>654</v>
      </c>
      <c r="S386" t="s">
        <v>126</v>
      </c>
      <c r="T386" t="s">
        <v>654</v>
      </c>
      <c r="U386" t="s">
        <v>655</v>
      </c>
      <c r="W386">
        <v>0.63</v>
      </c>
      <c r="X386">
        <v>1.4300000000000002</v>
      </c>
      <c r="Y386">
        <v>2.06</v>
      </c>
      <c r="Z386">
        <v>0.79</v>
      </c>
      <c r="AG386">
        <v>0.63</v>
      </c>
      <c r="AI386">
        <v>0.64</v>
      </c>
      <c r="BH386" t="s">
        <v>126</v>
      </c>
      <c r="BI386" t="s">
        <v>126</v>
      </c>
      <c r="BJ386" t="s">
        <v>126</v>
      </c>
      <c r="BK386" t="s">
        <v>126</v>
      </c>
      <c r="BS386" t="s">
        <v>126</v>
      </c>
      <c r="BT386" t="s">
        <v>126</v>
      </c>
      <c r="BU386" t="s">
        <v>126</v>
      </c>
      <c r="BV386" t="s">
        <v>126</v>
      </c>
      <c r="CN386" t="s">
        <v>147</v>
      </c>
      <c r="CP386" t="s">
        <v>653</v>
      </c>
      <c r="CQ386" t="s">
        <v>147</v>
      </c>
    </row>
    <row r="387" spans="1:95" x14ac:dyDescent="0.2">
      <c r="A387" t="s">
        <v>115</v>
      </c>
      <c r="B387" t="s">
        <v>116</v>
      </c>
      <c r="C387">
        <v>210784</v>
      </c>
      <c r="E387" t="s">
        <v>117</v>
      </c>
      <c r="F387">
        <v>368</v>
      </c>
      <c r="G387" t="s">
        <v>141</v>
      </c>
      <c r="H387" t="s">
        <v>142</v>
      </c>
      <c r="I387" t="s">
        <v>279</v>
      </c>
      <c r="J387" t="s">
        <v>280</v>
      </c>
      <c r="L387" t="s">
        <v>653</v>
      </c>
      <c r="M387" s="8">
        <v>45505</v>
      </c>
      <c r="N387">
        <v>5564235</v>
      </c>
      <c r="O387" t="s">
        <v>123</v>
      </c>
      <c r="P387" t="s">
        <v>146</v>
      </c>
      <c r="Q387">
        <v>1.1600000000000001</v>
      </c>
      <c r="R387" t="s">
        <v>620</v>
      </c>
      <c r="S387" t="s">
        <v>126</v>
      </c>
      <c r="T387" t="s">
        <v>620</v>
      </c>
      <c r="U387" t="s">
        <v>621</v>
      </c>
      <c r="W387">
        <v>0.36</v>
      </c>
      <c r="X387">
        <v>0.8</v>
      </c>
      <c r="Y387">
        <v>1.1600000000000001</v>
      </c>
      <c r="Z387">
        <v>0.44</v>
      </c>
      <c r="AG387">
        <v>0.36</v>
      </c>
      <c r="AI387">
        <v>0.36</v>
      </c>
      <c r="BH387" t="s">
        <v>126</v>
      </c>
      <c r="BI387" t="s">
        <v>126</v>
      </c>
      <c r="BJ387" t="s">
        <v>126</v>
      </c>
      <c r="BK387" t="s">
        <v>126</v>
      </c>
      <c r="BS387" t="s">
        <v>126</v>
      </c>
      <c r="BT387" t="s">
        <v>126</v>
      </c>
      <c r="BU387" t="s">
        <v>126</v>
      </c>
      <c r="BV387" t="s">
        <v>126</v>
      </c>
      <c r="CN387" t="s">
        <v>147</v>
      </c>
      <c r="CP387" t="s">
        <v>267</v>
      </c>
      <c r="CQ387" t="s">
        <v>147</v>
      </c>
    </row>
    <row r="388" spans="1:95" x14ac:dyDescent="0.2">
      <c r="A388" t="s">
        <v>115</v>
      </c>
      <c r="B388" t="s">
        <v>116</v>
      </c>
      <c r="C388">
        <v>210784</v>
      </c>
      <c r="E388" t="s">
        <v>117</v>
      </c>
      <c r="F388">
        <v>368</v>
      </c>
      <c r="G388" t="s">
        <v>141</v>
      </c>
      <c r="H388" t="s">
        <v>142</v>
      </c>
      <c r="I388" t="s">
        <v>279</v>
      </c>
      <c r="J388" t="s">
        <v>280</v>
      </c>
      <c r="L388" t="s">
        <v>634</v>
      </c>
      <c r="M388" s="8">
        <v>45505</v>
      </c>
      <c r="N388">
        <v>5547957</v>
      </c>
      <c r="O388" t="s">
        <v>123</v>
      </c>
      <c r="P388" t="s">
        <v>146</v>
      </c>
      <c r="Q388">
        <v>3.85</v>
      </c>
      <c r="R388" t="s">
        <v>125</v>
      </c>
      <c r="S388" t="s">
        <v>126</v>
      </c>
      <c r="T388" t="s">
        <v>125</v>
      </c>
      <c r="U388" t="s">
        <v>126</v>
      </c>
      <c r="W388">
        <v>3.85</v>
      </c>
      <c r="Y388">
        <v>3.85</v>
      </c>
      <c r="BE388">
        <v>3.85</v>
      </c>
      <c r="BH388" t="s">
        <v>126</v>
      </c>
      <c r="BI388" t="s">
        <v>126</v>
      </c>
      <c r="BJ388" t="s">
        <v>126</v>
      </c>
      <c r="BK388" t="s">
        <v>126</v>
      </c>
      <c r="BS388" t="s">
        <v>126</v>
      </c>
      <c r="BT388" t="s">
        <v>126</v>
      </c>
      <c r="BU388" t="s">
        <v>126</v>
      </c>
      <c r="BV388" t="s">
        <v>126</v>
      </c>
      <c r="CN388" t="s">
        <v>147</v>
      </c>
      <c r="CP388" t="s">
        <v>238</v>
      </c>
      <c r="CQ388" t="s">
        <v>147</v>
      </c>
    </row>
    <row r="389" spans="1:95" x14ac:dyDescent="0.2">
      <c r="A389" t="s">
        <v>115</v>
      </c>
      <c r="B389" t="s">
        <v>116</v>
      </c>
      <c r="C389">
        <v>210784</v>
      </c>
      <c r="E389" t="s">
        <v>117</v>
      </c>
      <c r="F389">
        <v>368</v>
      </c>
      <c r="G389" t="s">
        <v>141</v>
      </c>
      <c r="H389" t="s">
        <v>142</v>
      </c>
      <c r="I389" t="s">
        <v>279</v>
      </c>
      <c r="J389" t="s">
        <v>280</v>
      </c>
      <c r="L389" t="s">
        <v>237</v>
      </c>
      <c r="M389" s="8">
        <v>45505</v>
      </c>
      <c r="N389">
        <v>5551703</v>
      </c>
      <c r="O389" t="s">
        <v>123</v>
      </c>
      <c r="P389" t="s">
        <v>146</v>
      </c>
      <c r="Q389">
        <v>3.86</v>
      </c>
      <c r="R389" t="s">
        <v>125</v>
      </c>
      <c r="S389" t="s">
        <v>126</v>
      </c>
      <c r="T389" t="s">
        <v>125</v>
      </c>
      <c r="U389" t="s">
        <v>126</v>
      </c>
      <c r="W389">
        <v>3.86</v>
      </c>
      <c r="Y389">
        <v>3.86</v>
      </c>
      <c r="BE389">
        <v>3.86</v>
      </c>
      <c r="BH389" t="s">
        <v>126</v>
      </c>
      <c r="BI389" t="s">
        <v>126</v>
      </c>
      <c r="BJ389" t="s">
        <v>126</v>
      </c>
      <c r="BK389" t="s">
        <v>126</v>
      </c>
      <c r="BS389" t="s">
        <v>126</v>
      </c>
      <c r="BT389" t="s">
        <v>126</v>
      </c>
      <c r="BU389" t="s">
        <v>126</v>
      </c>
      <c r="BV389" t="s">
        <v>126</v>
      </c>
      <c r="CN389" t="s">
        <v>147</v>
      </c>
      <c r="CP389" t="s">
        <v>238</v>
      </c>
      <c r="CQ389" t="s">
        <v>147</v>
      </c>
    </row>
    <row r="390" spans="1:95" x14ac:dyDescent="0.2">
      <c r="A390" t="s">
        <v>115</v>
      </c>
      <c r="B390" t="s">
        <v>116</v>
      </c>
      <c r="C390">
        <v>210784</v>
      </c>
      <c r="E390" t="s">
        <v>117</v>
      </c>
      <c r="F390">
        <v>368</v>
      </c>
      <c r="G390" t="s">
        <v>141</v>
      </c>
      <c r="H390" t="s">
        <v>142</v>
      </c>
      <c r="I390" t="s">
        <v>279</v>
      </c>
      <c r="J390" t="s">
        <v>280</v>
      </c>
      <c r="L390" t="s">
        <v>869</v>
      </c>
      <c r="M390" s="8">
        <v>45505</v>
      </c>
      <c r="N390">
        <v>5554175</v>
      </c>
      <c r="O390" t="s">
        <v>123</v>
      </c>
      <c r="P390" t="s">
        <v>146</v>
      </c>
      <c r="Q390">
        <v>2.79</v>
      </c>
      <c r="R390" t="s">
        <v>125</v>
      </c>
      <c r="S390" t="s">
        <v>126</v>
      </c>
      <c r="T390" t="s">
        <v>125</v>
      </c>
      <c r="U390" t="s">
        <v>126</v>
      </c>
      <c r="W390">
        <v>2.79</v>
      </c>
      <c r="Y390">
        <v>2.79</v>
      </c>
      <c r="BE390">
        <v>2.79</v>
      </c>
      <c r="BH390" t="s">
        <v>126</v>
      </c>
      <c r="BI390" t="s">
        <v>126</v>
      </c>
      <c r="BJ390" t="s">
        <v>126</v>
      </c>
      <c r="BK390" t="s">
        <v>126</v>
      </c>
      <c r="BS390" t="s">
        <v>126</v>
      </c>
      <c r="BT390" t="s">
        <v>126</v>
      </c>
      <c r="BU390" t="s">
        <v>126</v>
      </c>
      <c r="BV390" t="s">
        <v>126</v>
      </c>
      <c r="CN390" t="s">
        <v>147</v>
      </c>
      <c r="CP390" t="s">
        <v>238</v>
      </c>
      <c r="CQ390" t="s">
        <v>147</v>
      </c>
    </row>
    <row r="391" spans="1:95" x14ac:dyDescent="0.2">
      <c r="A391" t="s">
        <v>115</v>
      </c>
      <c r="B391" t="s">
        <v>116</v>
      </c>
      <c r="C391">
        <v>210784</v>
      </c>
      <c r="E391" t="s">
        <v>117</v>
      </c>
      <c r="F391">
        <v>368</v>
      </c>
      <c r="G391" t="s">
        <v>141</v>
      </c>
      <c r="H391" t="s">
        <v>142</v>
      </c>
      <c r="I391" t="s">
        <v>279</v>
      </c>
      <c r="J391" t="s">
        <v>280</v>
      </c>
      <c r="L391" t="s">
        <v>646</v>
      </c>
      <c r="M391" s="8">
        <v>45505</v>
      </c>
      <c r="N391">
        <v>5558849</v>
      </c>
      <c r="O391" t="s">
        <v>123</v>
      </c>
      <c r="P391" t="s">
        <v>146</v>
      </c>
      <c r="Q391">
        <v>5.19</v>
      </c>
      <c r="R391" t="s">
        <v>125</v>
      </c>
      <c r="S391" t="s">
        <v>126</v>
      </c>
      <c r="T391" t="s">
        <v>125</v>
      </c>
      <c r="U391" t="s">
        <v>126</v>
      </c>
      <c r="W391">
        <v>5.19</v>
      </c>
      <c r="Y391">
        <v>5.19</v>
      </c>
      <c r="BE391">
        <v>5.19</v>
      </c>
      <c r="BH391" t="s">
        <v>126</v>
      </c>
      <c r="BI391" t="s">
        <v>126</v>
      </c>
      <c r="BJ391" t="s">
        <v>126</v>
      </c>
      <c r="BK391" t="s">
        <v>126</v>
      </c>
      <c r="BS391" t="s">
        <v>126</v>
      </c>
      <c r="BT391" t="s">
        <v>126</v>
      </c>
      <c r="BU391" t="s">
        <v>126</v>
      </c>
      <c r="BV391" t="s">
        <v>126</v>
      </c>
      <c r="CN391" t="s">
        <v>147</v>
      </c>
      <c r="CP391" t="s">
        <v>238</v>
      </c>
      <c r="CQ391" t="s">
        <v>147</v>
      </c>
    </row>
    <row r="392" spans="1:95" x14ac:dyDescent="0.2">
      <c r="A392" t="s">
        <v>115</v>
      </c>
      <c r="B392" t="s">
        <v>116</v>
      </c>
      <c r="C392">
        <v>210784</v>
      </c>
      <c r="E392" t="s">
        <v>117</v>
      </c>
      <c r="F392">
        <v>368</v>
      </c>
      <c r="G392" t="s">
        <v>141</v>
      </c>
      <c r="H392" t="s">
        <v>142</v>
      </c>
      <c r="I392" t="s">
        <v>279</v>
      </c>
      <c r="J392" t="s">
        <v>280</v>
      </c>
      <c r="L392" t="s">
        <v>647</v>
      </c>
      <c r="M392" s="8">
        <v>45505</v>
      </c>
      <c r="N392">
        <v>5559791</v>
      </c>
      <c r="O392" t="s">
        <v>123</v>
      </c>
      <c r="P392" t="s">
        <v>146</v>
      </c>
      <c r="Q392">
        <v>2.15</v>
      </c>
      <c r="R392" t="s">
        <v>125</v>
      </c>
      <c r="S392" t="s">
        <v>126</v>
      </c>
      <c r="T392" t="s">
        <v>125</v>
      </c>
      <c r="U392" t="s">
        <v>126</v>
      </c>
      <c r="W392">
        <v>2.15</v>
      </c>
      <c r="Y392">
        <v>2.15</v>
      </c>
      <c r="BE392">
        <v>2.15</v>
      </c>
      <c r="BH392" t="s">
        <v>126</v>
      </c>
      <c r="BI392" t="s">
        <v>126</v>
      </c>
      <c r="BJ392" t="s">
        <v>126</v>
      </c>
      <c r="BK392" t="s">
        <v>126</v>
      </c>
      <c r="BS392" t="s">
        <v>126</v>
      </c>
      <c r="BT392" t="s">
        <v>126</v>
      </c>
      <c r="BU392" t="s">
        <v>126</v>
      </c>
      <c r="BV392" t="s">
        <v>126</v>
      </c>
      <c r="CN392" t="s">
        <v>147</v>
      </c>
      <c r="CP392" t="s">
        <v>238</v>
      </c>
      <c r="CQ392" t="s">
        <v>147</v>
      </c>
    </row>
    <row r="393" spans="1:95" x14ac:dyDescent="0.2">
      <c r="A393" t="s">
        <v>115</v>
      </c>
      <c r="B393" t="s">
        <v>116</v>
      </c>
      <c r="C393">
        <v>210784</v>
      </c>
      <c r="E393" t="s">
        <v>117</v>
      </c>
      <c r="F393">
        <v>368</v>
      </c>
      <c r="G393" t="s">
        <v>141</v>
      </c>
      <c r="H393" t="s">
        <v>142</v>
      </c>
      <c r="I393" t="s">
        <v>279</v>
      </c>
      <c r="J393" t="s">
        <v>280</v>
      </c>
      <c r="L393" t="s">
        <v>650</v>
      </c>
      <c r="M393" s="8">
        <v>45505</v>
      </c>
      <c r="N393">
        <v>5561829</v>
      </c>
      <c r="O393" t="s">
        <v>123</v>
      </c>
      <c r="P393" t="s">
        <v>146</v>
      </c>
      <c r="Q393">
        <v>5.72</v>
      </c>
      <c r="R393" t="s">
        <v>125</v>
      </c>
      <c r="S393" t="s">
        <v>126</v>
      </c>
      <c r="T393" t="s">
        <v>125</v>
      </c>
      <c r="U393" t="s">
        <v>126</v>
      </c>
      <c r="W393">
        <v>5.72</v>
      </c>
      <c r="Y393">
        <v>5.72</v>
      </c>
      <c r="BE393">
        <v>5.72</v>
      </c>
      <c r="BH393" t="s">
        <v>126</v>
      </c>
      <c r="BI393" t="s">
        <v>126</v>
      </c>
      <c r="BJ393" t="s">
        <v>126</v>
      </c>
      <c r="BK393" t="s">
        <v>126</v>
      </c>
      <c r="BS393" t="s">
        <v>126</v>
      </c>
      <c r="BT393" t="s">
        <v>126</v>
      </c>
      <c r="BU393" t="s">
        <v>126</v>
      </c>
      <c r="BV393" t="s">
        <v>126</v>
      </c>
      <c r="CN393" t="s">
        <v>147</v>
      </c>
      <c r="CP393" t="s">
        <v>653</v>
      </c>
      <c r="CQ393" t="s">
        <v>147</v>
      </c>
    </row>
    <row r="394" spans="1:95" x14ac:dyDescent="0.2">
      <c r="A394" t="s">
        <v>115</v>
      </c>
      <c r="B394" t="s">
        <v>116</v>
      </c>
      <c r="C394">
        <v>210784</v>
      </c>
      <c r="E394" t="s">
        <v>117</v>
      </c>
      <c r="F394">
        <v>368</v>
      </c>
      <c r="G394" t="s">
        <v>141</v>
      </c>
      <c r="H394" t="s">
        <v>142</v>
      </c>
      <c r="I394" t="s">
        <v>279</v>
      </c>
      <c r="J394" t="s">
        <v>280</v>
      </c>
      <c r="L394" t="s">
        <v>870</v>
      </c>
      <c r="M394" s="8">
        <v>45505</v>
      </c>
      <c r="N394">
        <v>5563286</v>
      </c>
      <c r="O394" t="s">
        <v>123</v>
      </c>
      <c r="P394" t="s">
        <v>146</v>
      </c>
      <c r="Q394">
        <v>2.27</v>
      </c>
      <c r="R394" t="s">
        <v>125</v>
      </c>
      <c r="S394" t="s">
        <v>126</v>
      </c>
      <c r="T394" t="s">
        <v>125</v>
      </c>
      <c r="U394" t="s">
        <v>126</v>
      </c>
      <c r="W394">
        <v>2.27</v>
      </c>
      <c r="Y394">
        <v>2.27</v>
      </c>
      <c r="BE394">
        <v>2.27</v>
      </c>
      <c r="BH394" t="s">
        <v>126</v>
      </c>
      <c r="BI394" t="s">
        <v>126</v>
      </c>
      <c r="BJ394" t="s">
        <v>126</v>
      </c>
      <c r="BK394" t="s">
        <v>126</v>
      </c>
      <c r="BS394" t="s">
        <v>126</v>
      </c>
      <c r="BT394" t="s">
        <v>126</v>
      </c>
      <c r="BU394" t="s">
        <v>126</v>
      </c>
      <c r="BV394" t="s">
        <v>126</v>
      </c>
      <c r="CN394" t="s">
        <v>147</v>
      </c>
      <c r="CP394" t="s">
        <v>267</v>
      </c>
      <c r="CQ394" t="s">
        <v>147</v>
      </c>
    </row>
    <row r="395" spans="1:95" x14ac:dyDescent="0.2">
      <c r="A395" t="s">
        <v>115</v>
      </c>
      <c r="B395" t="s">
        <v>116</v>
      </c>
      <c r="C395">
        <v>210784</v>
      </c>
      <c r="E395" t="s">
        <v>117</v>
      </c>
      <c r="F395">
        <v>368</v>
      </c>
      <c r="G395" t="s">
        <v>141</v>
      </c>
      <c r="H395" t="s">
        <v>142</v>
      </c>
      <c r="I395" t="s">
        <v>279</v>
      </c>
      <c r="J395" t="s">
        <v>280</v>
      </c>
      <c r="L395" t="s">
        <v>919</v>
      </c>
      <c r="M395" s="8">
        <v>45505</v>
      </c>
      <c r="N395">
        <v>5550792</v>
      </c>
      <c r="O395" t="s">
        <v>123</v>
      </c>
      <c r="P395" t="s">
        <v>146</v>
      </c>
      <c r="Q395">
        <v>4.17</v>
      </c>
      <c r="R395" t="s">
        <v>125</v>
      </c>
      <c r="S395" t="s">
        <v>126</v>
      </c>
      <c r="T395" t="s">
        <v>125</v>
      </c>
      <c r="U395" t="s">
        <v>126</v>
      </c>
      <c r="W395">
        <v>4.17</v>
      </c>
      <c r="Y395">
        <v>4.17</v>
      </c>
      <c r="AE395">
        <v>4.17</v>
      </c>
      <c r="BH395" t="s">
        <v>126</v>
      </c>
      <c r="BI395" t="s">
        <v>126</v>
      </c>
      <c r="BJ395" t="s">
        <v>126</v>
      </c>
      <c r="BK395" t="s">
        <v>126</v>
      </c>
      <c r="BS395" t="s">
        <v>126</v>
      </c>
      <c r="BT395" t="s">
        <v>126</v>
      </c>
      <c r="BU395" t="s">
        <v>126</v>
      </c>
      <c r="BV395" t="s">
        <v>126</v>
      </c>
      <c r="CN395" t="s">
        <v>147</v>
      </c>
      <c r="CP395" t="s">
        <v>238</v>
      </c>
      <c r="CQ395" t="s">
        <v>147</v>
      </c>
    </row>
    <row r="396" spans="1:95" x14ac:dyDescent="0.2">
      <c r="A396" t="s">
        <v>115</v>
      </c>
      <c r="B396" t="s">
        <v>116</v>
      </c>
      <c r="C396">
        <v>210784</v>
      </c>
      <c r="E396" t="s">
        <v>117</v>
      </c>
      <c r="F396">
        <v>368</v>
      </c>
      <c r="G396" t="s">
        <v>141</v>
      </c>
      <c r="H396" t="s">
        <v>142</v>
      </c>
      <c r="I396" t="s">
        <v>279</v>
      </c>
      <c r="J396" t="s">
        <v>280</v>
      </c>
      <c r="L396" t="s">
        <v>646</v>
      </c>
      <c r="M396" s="8">
        <v>45505</v>
      </c>
      <c r="N396">
        <v>5558454</v>
      </c>
      <c r="O396" t="s">
        <v>123</v>
      </c>
      <c r="P396" t="s">
        <v>146</v>
      </c>
      <c r="Q396">
        <v>1.66</v>
      </c>
      <c r="R396" t="s">
        <v>125</v>
      </c>
      <c r="S396" t="s">
        <v>126</v>
      </c>
      <c r="T396" t="s">
        <v>125</v>
      </c>
      <c r="U396" t="s">
        <v>126</v>
      </c>
      <c r="W396">
        <v>1.66</v>
      </c>
      <c r="Y396">
        <v>1.66</v>
      </c>
      <c r="AE396">
        <v>1.66</v>
      </c>
      <c r="BH396" t="s">
        <v>126</v>
      </c>
      <c r="BI396" t="s">
        <v>126</v>
      </c>
      <c r="BJ396" t="s">
        <v>126</v>
      </c>
      <c r="BK396" t="s">
        <v>126</v>
      </c>
      <c r="BS396" t="s">
        <v>126</v>
      </c>
      <c r="BT396" t="s">
        <v>126</v>
      </c>
      <c r="BU396" t="s">
        <v>126</v>
      </c>
      <c r="BV396" t="s">
        <v>126</v>
      </c>
      <c r="CN396" t="s">
        <v>147</v>
      </c>
      <c r="CP396" t="s">
        <v>238</v>
      </c>
      <c r="CQ396" t="s">
        <v>147</v>
      </c>
    </row>
    <row r="397" spans="1:95" x14ac:dyDescent="0.2">
      <c r="A397" t="s">
        <v>115</v>
      </c>
      <c r="B397" t="s">
        <v>116</v>
      </c>
      <c r="C397">
        <v>210784</v>
      </c>
      <c r="E397" t="s">
        <v>117</v>
      </c>
      <c r="F397">
        <v>368</v>
      </c>
      <c r="G397" t="s">
        <v>229</v>
      </c>
      <c r="H397" t="s">
        <v>230</v>
      </c>
      <c r="I397" t="s">
        <v>204</v>
      </c>
      <c r="J397" t="s">
        <v>205</v>
      </c>
      <c r="L397" t="s">
        <v>239</v>
      </c>
      <c r="M397" s="8">
        <v>45536</v>
      </c>
      <c r="N397">
        <v>108449</v>
      </c>
      <c r="O397" t="s">
        <v>123</v>
      </c>
      <c r="P397" t="s">
        <v>146</v>
      </c>
      <c r="Q397">
        <v>11.37</v>
      </c>
      <c r="R397" t="s">
        <v>125</v>
      </c>
      <c r="S397" t="s">
        <v>126</v>
      </c>
      <c r="T397" t="s">
        <v>125</v>
      </c>
      <c r="U397" t="s">
        <v>126</v>
      </c>
      <c r="W397">
        <v>11.37</v>
      </c>
      <c r="Y397">
        <v>11.37</v>
      </c>
      <c r="AC397">
        <v>11.37</v>
      </c>
      <c r="BH397" t="s">
        <v>126</v>
      </c>
      <c r="BI397" t="s">
        <v>126</v>
      </c>
      <c r="BJ397" t="s">
        <v>126</v>
      </c>
      <c r="BK397" t="s">
        <v>126</v>
      </c>
      <c r="BS397" t="s">
        <v>126</v>
      </c>
      <c r="BT397" t="s">
        <v>126</v>
      </c>
      <c r="BU397" t="s">
        <v>126</v>
      </c>
      <c r="BV397" t="s">
        <v>126</v>
      </c>
      <c r="CN397" t="s">
        <v>230</v>
      </c>
      <c r="CP397" t="s">
        <v>234</v>
      </c>
      <c r="CQ397" t="s">
        <v>230</v>
      </c>
    </row>
    <row r="398" spans="1:95" x14ac:dyDescent="0.2">
      <c r="A398" t="s">
        <v>115</v>
      </c>
      <c r="B398" t="s">
        <v>116</v>
      </c>
      <c r="C398">
        <v>210784</v>
      </c>
      <c r="E398" t="s">
        <v>117</v>
      </c>
      <c r="F398">
        <v>368</v>
      </c>
      <c r="G398" t="s">
        <v>229</v>
      </c>
      <c r="H398" t="s">
        <v>230</v>
      </c>
      <c r="I398" t="s">
        <v>204</v>
      </c>
      <c r="J398" t="s">
        <v>205</v>
      </c>
      <c r="L398" t="s">
        <v>240</v>
      </c>
      <c r="M398" s="8">
        <v>45536</v>
      </c>
      <c r="N398">
        <v>108750</v>
      </c>
      <c r="O398" t="s">
        <v>123</v>
      </c>
      <c r="P398" t="s">
        <v>146</v>
      </c>
      <c r="Q398">
        <v>9.81</v>
      </c>
      <c r="R398" t="s">
        <v>125</v>
      </c>
      <c r="S398" t="s">
        <v>126</v>
      </c>
      <c r="T398" t="s">
        <v>125</v>
      </c>
      <c r="U398" t="s">
        <v>126</v>
      </c>
      <c r="W398">
        <v>9.81</v>
      </c>
      <c r="Y398">
        <v>9.81</v>
      </c>
      <c r="AC398">
        <v>9.81</v>
      </c>
      <c r="BH398" t="s">
        <v>126</v>
      </c>
      <c r="BI398" t="s">
        <v>126</v>
      </c>
      <c r="BJ398" t="s">
        <v>126</v>
      </c>
      <c r="BK398" t="s">
        <v>126</v>
      </c>
      <c r="BS398" t="s">
        <v>126</v>
      </c>
      <c r="BT398" t="s">
        <v>126</v>
      </c>
      <c r="BU398" t="s">
        <v>126</v>
      </c>
      <c r="BV398" t="s">
        <v>126</v>
      </c>
      <c r="CN398" t="s">
        <v>230</v>
      </c>
      <c r="CP398" t="s">
        <v>234</v>
      </c>
      <c r="CQ398" t="s">
        <v>230</v>
      </c>
    </row>
    <row r="399" spans="1:95" x14ac:dyDescent="0.2">
      <c r="A399" t="s">
        <v>115</v>
      </c>
      <c r="B399" t="s">
        <v>116</v>
      </c>
      <c r="C399">
        <v>210784</v>
      </c>
      <c r="E399" t="s">
        <v>117</v>
      </c>
      <c r="F399">
        <v>368</v>
      </c>
      <c r="G399" t="s">
        <v>141</v>
      </c>
      <c r="H399" t="s">
        <v>142</v>
      </c>
      <c r="I399" t="s">
        <v>204</v>
      </c>
      <c r="J399" t="s">
        <v>205</v>
      </c>
      <c r="L399" t="s">
        <v>239</v>
      </c>
      <c r="M399" s="8">
        <v>45536</v>
      </c>
      <c r="N399">
        <v>108449</v>
      </c>
      <c r="O399" t="s">
        <v>123</v>
      </c>
      <c r="P399" t="s">
        <v>146</v>
      </c>
      <c r="Q399">
        <v>11.37</v>
      </c>
      <c r="R399" t="s">
        <v>125</v>
      </c>
      <c r="S399" t="s">
        <v>126</v>
      </c>
      <c r="T399" t="s">
        <v>125</v>
      </c>
      <c r="U399" t="s">
        <v>126</v>
      </c>
      <c r="W399">
        <v>11.37</v>
      </c>
      <c r="Y399">
        <v>11.37</v>
      </c>
      <c r="AC399">
        <v>11.37</v>
      </c>
      <c r="BH399" t="s">
        <v>126</v>
      </c>
      <c r="BI399" t="s">
        <v>126</v>
      </c>
      <c r="BJ399" t="s">
        <v>126</v>
      </c>
      <c r="BK399" t="s">
        <v>126</v>
      </c>
      <c r="BS399" t="s">
        <v>126</v>
      </c>
      <c r="BT399" t="s">
        <v>126</v>
      </c>
      <c r="BU399" t="s">
        <v>126</v>
      </c>
      <c r="BV399" t="s">
        <v>126</v>
      </c>
      <c r="CN399" t="s">
        <v>147</v>
      </c>
      <c r="CP399" t="s">
        <v>258</v>
      </c>
      <c r="CQ399" t="s">
        <v>147</v>
      </c>
    </row>
    <row r="400" spans="1:95" x14ac:dyDescent="0.2">
      <c r="A400" t="s">
        <v>115</v>
      </c>
      <c r="B400" t="s">
        <v>116</v>
      </c>
      <c r="C400">
        <v>210784</v>
      </c>
      <c r="E400" t="s">
        <v>117</v>
      </c>
      <c r="F400">
        <v>368</v>
      </c>
      <c r="G400" t="s">
        <v>141</v>
      </c>
      <c r="H400" t="s">
        <v>142</v>
      </c>
      <c r="I400" t="s">
        <v>204</v>
      </c>
      <c r="J400" t="s">
        <v>205</v>
      </c>
      <c r="L400" t="s">
        <v>240</v>
      </c>
      <c r="M400" s="8">
        <v>45536</v>
      </c>
      <c r="N400">
        <v>108750</v>
      </c>
      <c r="O400" t="s">
        <v>123</v>
      </c>
      <c r="P400" t="s">
        <v>146</v>
      </c>
      <c r="Q400">
        <v>9.81</v>
      </c>
      <c r="R400" t="s">
        <v>125</v>
      </c>
      <c r="S400" t="s">
        <v>126</v>
      </c>
      <c r="T400" t="s">
        <v>125</v>
      </c>
      <c r="U400" t="s">
        <v>126</v>
      </c>
      <c r="W400">
        <v>9.81</v>
      </c>
      <c r="Y400">
        <v>9.81</v>
      </c>
      <c r="AC400">
        <v>9.81</v>
      </c>
      <c r="BH400" t="s">
        <v>126</v>
      </c>
      <c r="BI400" t="s">
        <v>126</v>
      </c>
      <c r="BJ400" t="s">
        <v>126</v>
      </c>
      <c r="BK400" t="s">
        <v>126</v>
      </c>
      <c r="BS400" t="s">
        <v>126</v>
      </c>
      <c r="BT400" t="s">
        <v>126</v>
      </c>
      <c r="BU400" t="s">
        <v>126</v>
      </c>
      <c r="BV400" t="s">
        <v>126</v>
      </c>
      <c r="CN400" t="s">
        <v>147</v>
      </c>
      <c r="CP400" t="s">
        <v>258</v>
      </c>
      <c r="CQ400" t="s">
        <v>147</v>
      </c>
    </row>
    <row r="401" spans="1:95" x14ac:dyDescent="0.2">
      <c r="A401" t="s">
        <v>115</v>
      </c>
      <c r="B401" t="s">
        <v>116</v>
      </c>
      <c r="C401">
        <v>210784</v>
      </c>
      <c r="E401" t="s">
        <v>117</v>
      </c>
      <c r="F401">
        <v>368</v>
      </c>
      <c r="G401" t="s">
        <v>141</v>
      </c>
      <c r="H401" t="s">
        <v>142</v>
      </c>
      <c r="I401" t="s">
        <v>204</v>
      </c>
      <c r="J401" t="s">
        <v>205</v>
      </c>
      <c r="L401" t="s">
        <v>265</v>
      </c>
      <c r="M401" s="8">
        <v>45536</v>
      </c>
      <c r="N401">
        <v>108916</v>
      </c>
      <c r="O401" t="s">
        <v>123</v>
      </c>
      <c r="P401" t="s">
        <v>146</v>
      </c>
      <c r="Q401">
        <v>9.07</v>
      </c>
      <c r="R401" t="s">
        <v>125</v>
      </c>
      <c r="S401" t="s">
        <v>126</v>
      </c>
      <c r="T401" t="s">
        <v>125</v>
      </c>
      <c r="U401" t="s">
        <v>126</v>
      </c>
      <c r="W401">
        <v>9.07</v>
      </c>
      <c r="Y401">
        <v>9.07</v>
      </c>
      <c r="AC401">
        <v>9.07</v>
      </c>
      <c r="BH401" t="s">
        <v>126</v>
      </c>
      <c r="BI401" t="s">
        <v>126</v>
      </c>
      <c r="BJ401" t="s">
        <v>126</v>
      </c>
      <c r="BK401" t="s">
        <v>126</v>
      </c>
      <c r="BS401" t="s">
        <v>126</v>
      </c>
      <c r="BT401" t="s">
        <v>126</v>
      </c>
      <c r="BU401" t="s">
        <v>126</v>
      </c>
      <c r="BV401" t="s">
        <v>126</v>
      </c>
      <c r="CN401" t="s">
        <v>147</v>
      </c>
      <c r="CP401" t="s">
        <v>258</v>
      </c>
      <c r="CQ401" t="s">
        <v>147</v>
      </c>
    </row>
    <row r="402" spans="1:95" x14ac:dyDescent="0.2">
      <c r="A402" t="s">
        <v>115</v>
      </c>
      <c r="B402" t="s">
        <v>116</v>
      </c>
      <c r="C402">
        <v>210784</v>
      </c>
      <c r="E402" t="s">
        <v>117</v>
      </c>
      <c r="F402">
        <v>368</v>
      </c>
      <c r="G402" t="s">
        <v>141</v>
      </c>
      <c r="H402" t="s">
        <v>142</v>
      </c>
      <c r="I402" t="s">
        <v>259</v>
      </c>
      <c r="J402" t="s">
        <v>260</v>
      </c>
      <c r="L402" t="s">
        <v>266</v>
      </c>
      <c r="M402" s="8">
        <v>45536</v>
      </c>
      <c r="N402">
        <v>26044</v>
      </c>
      <c r="O402" t="s">
        <v>123</v>
      </c>
      <c r="P402" t="s">
        <v>146</v>
      </c>
      <c r="Q402">
        <v>8</v>
      </c>
      <c r="R402" t="s">
        <v>125</v>
      </c>
      <c r="S402" t="s">
        <v>126</v>
      </c>
      <c r="T402" t="s">
        <v>125</v>
      </c>
      <c r="U402" t="s">
        <v>126</v>
      </c>
      <c r="W402">
        <v>8</v>
      </c>
      <c r="Y402">
        <v>8</v>
      </c>
      <c r="AC402">
        <v>8</v>
      </c>
      <c r="BH402" t="s">
        <v>126</v>
      </c>
      <c r="BI402" t="s">
        <v>126</v>
      </c>
      <c r="BJ402" t="s">
        <v>126</v>
      </c>
      <c r="BK402" t="s">
        <v>126</v>
      </c>
      <c r="BS402" t="s">
        <v>126</v>
      </c>
      <c r="BT402" t="s">
        <v>126</v>
      </c>
      <c r="BU402" t="s">
        <v>126</v>
      </c>
      <c r="BV402" t="s">
        <v>126</v>
      </c>
      <c r="CN402" t="s">
        <v>147</v>
      </c>
      <c r="CP402" t="s">
        <v>258</v>
      </c>
      <c r="CQ402" t="s">
        <v>147</v>
      </c>
    </row>
    <row r="403" spans="1:95" x14ac:dyDescent="0.2">
      <c r="A403" t="s">
        <v>115</v>
      </c>
      <c r="B403" t="s">
        <v>116</v>
      </c>
      <c r="C403">
        <v>210784</v>
      </c>
      <c r="E403" t="s">
        <v>117</v>
      </c>
      <c r="F403">
        <v>368</v>
      </c>
      <c r="G403" t="s">
        <v>141</v>
      </c>
      <c r="H403" t="s">
        <v>142</v>
      </c>
      <c r="I403" t="s">
        <v>204</v>
      </c>
      <c r="J403" t="s">
        <v>205</v>
      </c>
      <c r="L403" t="s">
        <v>267</v>
      </c>
      <c r="M403" s="8">
        <v>45536</v>
      </c>
      <c r="N403">
        <v>109529</v>
      </c>
      <c r="O403" t="s">
        <v>123</v>
      </c>
      <c r="P403" t="s">
        <v>146</v>
      </c>
      <c r="Q403">
        <v>5.8</v>
      </c>
      <c r="R403" t="s">
        <v>125</v>
      </c>
      <c r="S403" t="s">
        <v>126</v>
      </c>
      <c r="T403" t="s">
        <v>125</v>
      </c>
      <c r="U403" t="s">
        <v>126</v>
      </c>
      <c r="W403">
        <v>5.8</v>
      </c>
      <c r="Y403">
        <v>5.8</v>
      </c>
      <c r="AC403">
        <v>5.8</v>
      </c>
      <c r="BH403" t="s">
        <v>126</v>
      </c>
      <c r="BI403" t="s">
        <v>126</v>
      </c>
      <c r="BJ403" t="s">
        <v>126</v>
      </c>
      <c r="BK403" t="s">
        <v>126</v>
      </c>
      <c r="BS403" t="s">
        <v>126</v>
      </c>
      <c r="BT403" t="s">
        <v>126</v>
      </c>
      <c r="BU403" t="s">
        <v>126</v>
      </c>
      <c r="BV403" t="s">
        <v>126</v>
      </c>
      <c r="CN403" t="s">
        <v>147</v>
      </c>
      <c r="CP403" t="s">
        <v>258</v>
      </c>
      <c r="CQ403" t="s">
        <v>147</v>
      </c>
    </row>
    <row r="404" spans="1:95" x14ac:dyDescent="0.2">
      <c r="A404" t="s">
        <v>115</v>
      </c>
      <c r="B404" t="s">
        <v>116</v>
      </c>
      <c r="C404">
        <v>210784</v>
      </c>
      <c r="E404" t="s">
        <v>117</v>
      </c>
      <c r="F404">
        <v>368</v>
      </c>
      <c r="G404" t="s">
        <v>141</v>
      </c>
      <c r="H404" t="s">
        <v>142</v>
      </c>
      <c r="I404" t="s">
        <v>204</v>
      </c>
      <c r="J404" t="s">
        <v>205</v>
      </c>
      <c r="L404" t="s">
        <v>268</v>
      </c>
      <c r="M404" s="8">
        <v>45536</v>
      </c>
      <c r="N404">
        <v>109594</v>
      </c>
      <c r="O404" t="s">
        <v>123</v>
      </c>
      <c r="P404" t="s">
        <v>146</v>
      </c>
      <c r="Q404">
        <v>9.31</v>
      </c>
      <c r="R404" t="s">
        <v>125</v>
      </c>
      <c r="S404" t="s">
        <v>126</v>
      </c>
      <c r="T404" t="s">
        <v>125</v>
      </c>
      <c r="U404" t="s">
        <v>126</v>
      </c>
      <c r="W404">
        <v>9.31</v>
      </c>
      <c r="Y404">
        <v>9.31</v>
      </c>
      <c r="AC404">
        <v>9.31</v>
      </c>
      <c r="BH404" t="s">
        <v>126</v>
      </c>
      <c r="BI404" t="s">
        <v>126</v>
      </c>
      <c r="BJ404" t="s">
        <v>126</v>
      </c>
      <c r="BK404" t="s">
        <v>126</v>
      </c>
      <c r="BS404" t="s">
        <v>126</v>
      </c>
      <c r="BT404" t="s">
        <v>126</v>
      </c>
      <c r="BU404" t="s">
        <v>126</v>
      </c>
      <c r="BV404" t="s">
        <v>126</v>
      </c>
      <c r="CN404" t="s">
        <v>147</v>
      </c>
      <c r="CP404" t="s">
        <v>258</v>
      </c>
      <c r="CQ404" t="s">
        <v>147</v>
      </c>
    </row>
    <row r="405" spans="1:95" x14ac:dyDescent="0.2">
      <c r="A405" t="s">
        <v>115</v>
      </c>
      <c r="B405" t="s">
        <v>116</v>
      </c>
      <c r="C405">
        <v>210784</v>
      </c>
      <c r="E405" t="s">
        <v>117</v>
      </c>
      <c r="F405">
        <v>368</v>
      </c>
      <c r="G405" t="s">
        <v>141</v>
      </c>
      <c r="H405" t="s">
        <v>142</v>
      </c>
      <c r="I405" t="s">
        <v>279</v>
      </c>
      <c r="J405" t="s">
        <v>280</v>
      </c>
      <c r="L405" t="s">
        <v>319</v>
      </c>
      <c r="M405" s="8">
        <v>45536</v>
      </c>
      <c r="N405">
        <v>5567799</v>
      </c>
      <c r="O405" t="s">
        <v>123</v>
      </c>
      <c r="P405" t="s">
        <v>146</v>
      </c>
      <c r="Q405">
        <v>1.29</v>
      </c>
      <c r="R405" t="s">
        <v>125</v>
      </c>
      <c r="S405" t="s">
        <v>126</v>
      </c>
      <c r="T405" t="s">
        <v>125</v>
      </c>
      <c r="U405" t="s">
        <v>126</v>
      </c>
      <c r="W405">
        <v>1.29</v>
      </c>
      <c r="Y405">
        <v>1.29</v>
      </c>
      <c r="AS405">
        <v>1.29</v>
      </c>
      <c r="BH405" t="s">
        <v>126</v>
      </c>
      <c r="BI405" t="s">
        <v>126</v>
      </c>
      <c r="BJ405" t="s">
        <v>126</v>
      </c>
      <c r="BK405" t="s">
        <v>126</v>
      </c>
      <c r="BS405" t="s">
        <v>126</v>
      </c>
      <c r="BT405" t="s">
        <v>126</v>
      </c>
      <c r="BU405" t="s">
        <v>126</v>
      </c>
      <c r="BV405" t="s">
        <v>126</v>
      </c>
      <c r="CN405" t="s">
        <v>147</v>
      </c>
      <c r="CP405" t="s">
        <v>267</v>
      </c>
      <c r="CQ405" t="s">
        <v>147</v>
      </c>
    </row>
    <row r="406" spans="1:95" x14ac:dyDescent="0.2">
      <c r="A406" t="s">
        <v>115</v>
      </c>
      <c r="B406" t="s">
        <v>116</v>
      </c>
      <c r="C406">
        <v>210784</v>
      </c>
      <c r="E406" t="s">
        <v>117</v>
      </c>
      <c r="F406">
        <v>368</v>
      </c>
      <c r="G406" t="s">
        <v>141</v>
      </c>
      <c r="H406" t="s">
        <v>142</v>
      </c>
      <c r="I406" t="s">
        <v>279</v>
      </c>
      <c r="J406" t="s">
        <v>280</v>
      </c>
      <c r="L406" t="s">
        <v>265</v>
      </c>
      <c r="M406" s="8">
        <v>45536</v>
      </c>
      <c r="N406">
        <v>5575105</v>
      </c>
      <c r="O406" t="s">
        <v>123</v>
      </c>
      <c r="P406" t="s">
        <v>146</v>
      </c>
      <c r="Q406">
        <v>3.66</v>
      </c>
      <c r="R406" t="s">
        <v>125</v>
      </c>
      <c r="S406" t="s">
        <v>126</v>
      </c>
      <c r="T406" t="s">
        <v>125</v>
      </c>
      <c r="U406" t="s">
        <v>126</v>
      </c>
      <c r="W406">
        <v>3.66</v>
      </c>
      <c r="Y406">
        <v>3.66</v>
      </c>
      <c r="AS406">
        <v>3.66</v>
      </c>
      <c r="BH406" t="s">
        <v>126</v>
      </c>
      <c r="BI406" t="s">
        <v>126</v>
      </c>
      <c r="BJ406" t="s">
        <v>126</v>
      </c>
      <c r="BK406" t="s">
        <v>126</v>
      </c>
      <c r="BS406" t="s">
        <v>126</v>
      </c>
      <c r="BT406" t="s">
        <v>126</v>
      </c>
      <c r="BU406" t="s">
        <v>126</v>
      </c>
      <c r="BV406" t="s">
        <v>126</v>
      </c>
      <c r="CN406" t="s">
        <v>147</v>
      </c>
      <c r="CP406" t="s">
        <v>267</v>
      </c>
      <c r="CQ406" t="s">
        <v>147</v>
      </c>
    </row>
    <row r="407" spans="1:95" x14ac:dyDescent="0.2">
      <c r="A407" t="s">
        <v>115</v>
      </c>
      <c r="B407" t="s">
        <v>116</v>
      </c>
      <c r="C407">
        <v>210784</v>
      </c>
      <c r="E407" t="s">
        <v>117</v>
      </c>
      <c r="F407">
        <v>368</v>
      </c>
      <c r="G407" t="s">
        <v>141</v>
      </c>
      <c r="H407" t="s">
        <v>142</v>
      </c>
      <c r="I407" t="s">
        <v>279</v>
      </c>
      <c r="J407" t="s">
        <v>280</v>
      </c>
      <c r="L407" t="s">
        <v>320</v>
      </c>
      <c r="M407" s="8">
        <v>45536</v>
      </c>
      <c r="N407">
        <v>5576397</v>
      </c>
      <c r="O407" t="s">
        <v>123</v>
      </c>
      <c r="P407" t="s">
        <v>146</v>
      </c>
      <c r="Q407">
        <v>1.89</v>
      </c>
      <c r="R407" t="s">
        <v>125</v>
      </c>
      <c r="S407" t="s">
        <v>126</v>
      </c>
      <c r="T407" t="s">
        <v>125</v>
      </c>
      <c r="U407" t="s">
        <v>126</v>
      </c>
      <c r="W407">
        <v>1.89</v>
      </c>
      <c r="Y407">
        <v>1.89</v>
      </c>
      <c r="AS407">
        <v>1.89</v>
      </c>
      <c r="BH407" t="s">
        <v>126</v>
      </c>
      <c r="BI407" t="s">
        <v>126</v>
      </c>
      <c r="BJ407" t="s">
        <v>126</v>
      </c>
      <c r="BK407" t="s">
        <v>126</v>
      </c>
      <c r="BS407" t="s">
        <v>126</v>
      </c>
      <c r="BT407" t="s">
        <v>126</v>
      </c>
      <c r="BU407" t="s">
        <v>126</v>
      </c>
      <c r="BV407" t="s">
        <v>126</v>
      </c>
      <c r="CN407" t="s">
        <v>147</v>
      </c>
      <c r="CP407" t="s">
        <v>267</v>
      </c>
      <c r="CQ407" t="s">
        <v>147</v>
      </c>
    </row>
    <row r="408" spans="1:95" x14ac:dyDescent="0.2">
      <c r="A408" t="s">
        <v>115</v>
      </c>
      <c r="B408" t="s">
        <v>116</v>
      </c>
      <c r="C408">
        <v>210784</v>
      </c>
      <c r="E408" t="s">
        <v>117</v>
      </c>
      <c r="F408">
        <v>368</v>
      </c>
      <c r="G408" t="s">
        <v>141</v>
      </c>
      <c r="H408" t="s">
        <v>142</v>
      </c>
      <c r="I408" t="s">
        <v>279</v>
      </c>
      <c r="J408" t="s">
        <v>280</v>
      </c>
      <c r="L408" t="s">
        <v>234</v>
      </c>
      <c r="M408" s="8">
        <v>45536</v>
      </c>
      <c r="N408">
        <v>5578405</v>
      </c>
      <c r="O408" t="s">
        <v>123</v>
      </c>
      <c r="P408" t="s">
        <v>146</v>
      </c>
      <c r="Q408">
        <v>0.48</v>
      </c>
      <c r="R408" t="s">
        <v>125</v>
      </c>
      <c r="S408" t="s">
        <v>126</v>
      </c>
      <c r="T408" t="s">
        <v>125</v>
      </c>
      <c r="U408" t="s">
        <v>126</v>
      </c>
      <c r="W408">
        <v>0.48</v>
      </c>
      <c r="Y408">
        <v>0.48</v>
      </c>
      <c r="AS408">
        <v>0.48</v>
      </c>
      <c r="BH408" t="s">
        <v>126</v>
      </c>
      <c r="BI408" t="s">
        <v>126</v>
      </c>
      <c r="BJ408" t="s">
        <v>126</v>
      </c>
      <c r="BK408" t="s">
        <v>126</v>
      </c>
      <c r="BS408" t="s">
        <v>126</v>
      </c>
      <c r="BT408" t="s">
        <v>126</v>
      </c>
      <c r="BU408" t="s">
        <v>126</v>
      </c>
      <c r="BV408" t="s">
        <v>126</v>
      </c>
      <c r="CN408" t="s">
        <v>147</v>
      </c>
      <c r="CP408" t="s">
        <v>267</v>
      </c>
      <c r="CQ408" t="s">
        <v>147</v>
      </c>
    </row>
    <row r="409" spans="1:95" x14ac:dyDescent="0.2">
      <c r="A409" t="s">
        <v>115</v>
      </c>
      <c r="B409" t="s">
        <v>116</v>
      </c>
      <c r="C409">
        <v>210784</v>
      </c>
      <c r="E409" t="s">
        <v>117</v>
      </c>
      <c r="F409">
        <v>368</v>
      </c>
      <c r="G409" t="s">
        <v>141</v>
      </c>
      <c r="H409" t="s">
        <v>142</v>
      </c>
      <c r="I409" t="s">
        <v>279</v>
      </c>
      <c r="J409" t="s">
        <v>280</v>
      </c>
      <c r="L409" t="s">
        <v>321</v>
      </c>
      <c r="M409" s="8">
        <v>45536</v>
      </c>
      <c r="N409">
        <v>5580220</v>
      </c>
      <c r="O409" t="s">
        <v>123</v>
      </c>
      <c r="P409" t="s">
        <v>146</v>
      </c>
      <c r="Q409">
        <v>3.65</v>
      </c>
      <c r="R409" t="s">
        <v>125</v>
      </c>
      <c r="S409" t="s">
        <v>126</v>
      </c>
      <c r="T409" t="s">
        <v>125</v>
      </c>
      <c r="U409" t="s">
        <v>126</v>
      </c>
      <c r="W409">
        <v>3.65</v>
      </c>
      <c r="Y409">
        <v>3.65</v>
      </c>
      <c r="AS409">
        <v>3.65</v>
      </c>
      <c r="BH409" t="s">
        <v>126</v>
      </c>
      <c r="BI409" t="s">
        <v>126</v>
      </c>
      <c r="BJ409" t="s">
        <v>126</v>
      </c>
      <c r="BK409" t="s">
        <v>126</v>
      </c>
      <c r="BS409" t="s">
        <v>126</v>
      </c>
      <c r="BT409" t="s">
        <v>126</v>
      </c>
      <c r="BU409" t="s">
        <v>126</v>
      </c>
      <c r="BV409" t="s">
        <v>126</v>
      </c>
      <c r="CN409" t="s">
        <v>147</v>
      </c>
      <c r="CP409" t="s">
        <v>257</v>
      </c>
      <c r="CQ409" t="s">
        <v>147</v>
      </c>
    </row>
    <row r="410" spans="1:95" x14ac:dyDescent="0.2">
      <c r="A410" t="s">
        <v>115</v>
      </c>
      <c r="B410" t="s">
        <v>116</v>
      </c>
      <c r="C410">
        <v>210784</v>
      </c>
      <c r="E410" t="s">
        <v>117</v>
      </c>
      <c r="F410">
        <v>368</v>
      </c>
      <c r="G410" t="s">
        <v>141</v>
      </c>
      <c r="H410" t="s">
        <v>142</v>
      </c>
      <c r="I410" t="s">
        <v>279</v>
      </c>
      <c r="J410" t="s">
        <v>280</v>
      </c>
      <c r="L410" t="s">
        <v>268</v>
      </c>
      <c r="M410" s="8">
        <v>45536</v>
      </c>
      <c r="N410">
        <v>5582165</v>
      </c>
      <c r="O410" t="s">
        <v>123</v>
      </c>
      <c r="P410" t="s">
        <v>146</v>
      </c>
      <c r="Q410">
        <v>2.33</v>
      </c>
      <c r="R410" t="s">
        <v>125</v>
      </c>
      <c r="S410" t="s">
        <v>126</v>
      </c>
      <c r="T410" t="s">
        <v>125</v>
      </c>
      <c r="U410" t="s">
        <v>126</v>
      </c>
      <c r="W410">
        <v>2.33</v>
      </c>
      <c r="Y410">
        <v>2.33</v>
      </c>
      <c r="AS410">
        <v>2.33</v>
      </c>
      <c r="BH410" t="s">
        <v>126</v>
      </c>
      <c r="BI410" t="s">
        <v>126</v>
      </c>
      <c r="BJ410" t="s">
        <v>126</v>
      </c>
      <c r="BK410" t="s">
        <v>126</v>
      </c>
      <c r="BS410" t="s">
        <v>126</v>
      </c>
      <c r="BT410" t="s">
        <v>126</v>
      </c>
      <c r="BU410" t="s">
        <v>126</v>
      </c>
      <c r="BV410" t="s">
        <v>126</v>
      </c>
      <c r="CN410" t="s">
        <v>147</v>
      </c>
      <c r="CP410" t="s">
        <v>257</v>
      </c>
      <c r="CQ410" t="s">
        <v>147</v>
      </c>
    </row>
    <row r="411" spans="1:95" x14ac:dyDescent="0.2">
      <c r="A411" t="s">
        <v>115</v>
      </c>
      <c r="B411" t="s">
        <v>116</v>
      </c>
      <c r="C411">
        <v>210784</v>
      </c>
      <c r="E411" t="s">
        <v>117</v>
      </c>
      <c r="F411">
        <v>368</v>
      </c>
      <c r="G411" t="s">
        <v>141</v>
      </c>
      <c r="H411" t="s">
        <v>142</v>
      </c>
      <c r="I411" t="s">
        <v>279</v>
      </c>
      <c r="J411" t="s">
        <v>280</v>
      </c>
      <c r="L411" t="s">
        <v>322</v>
      </c>
      <c r="M411" s="8">
        <v>45536</v>
      </c>
      <c r="N411">
        <v>5582233</v>
      </c>
      <c r="O411" t="s">
        <v>123</v>
      </c>
      <c r="P411" t="s">
        <v>146</v>
      </c>
      <c r="Q411">
        <v>1.07</v>
      </c>
      <c r="R411" t="s">
        <v>125</v>
      </c>
      <c r="S411" t="s">
        <v>126</v>
      </c>
      <c r="T411" t="s">
        <v>125</v>
      </c>
      <c r="U411" t="s">
        <v>126</v>
      </c>
      <c r="W411">
        <v>1.07</v>
      </c>
      <c r="Y411">
        <v>1.07</v>
      </c>
      <c r="AS411">
        <v>1.07</v>
      </c>
      <c r="BH411" t="s">
        <v>126</v>
      </c>
      <c r="BI411" t="s">
        <v>126</v>
      </c>
      <c r="BJ411" t="s">
        <v>126</v>
      </c>
      <c r="BK411" t="s">
        <v>126</v>
      </c>
      <c r="BS411" t="s">
        <v>126</v>
      </c>
      <c r="BT411" t="s">
        <v>126</v>
      </c>
      <c r="BU411" t="s">
        <v>126</v>
      </c>
      <c r="BV411" t="s">
        <v>126</v>
      </c>
      <c r="CN411" t="s">
        <v>147</v>
      </c>
      <c r="CP411" t="s">
        <v>257</v>
      </c>
      <c r="CQ411" t="s">
        <v>147</v>
      </c>
    </row>
    <row r="412" spans="1:95" x14ac:dyDescent="0.2">
      <c r="A412" t="s">
        <v>115</v>
      </c>
      <c r="B412" t="s">
        <v>116</v>
      </c>
      <c r="C412">
        <v>210784</v>
      </c>
      <c r="E412" t="s">
        <v>117</v>
      </c>
      <c r="F412">
        <v>368</v>
      </c>
      <c r="G412" t="s">
        <v>141</v>
      </c>
      <c r="H412" t="s">
        <v>142</v>
      </c>
      <c r="I412" t="s">
        <v>279</v>
      </c>
      <c r="J412" t="s">
        <v>280</v>
      </c>
      <c r="L412" t="s">
        <v>656</v>
      </c>
      <c r="M412" s="8">
        <v>45536</v>
      </c>
      <c r="N412">
        <v>5577895</v>
      </c>
      <c r="O412" t="s">
        <v>123</v>
      </c>
      <c r="P412" t="s">
        <v>146</v>
      </c>
      <c r="Q412">
        <v>2.8600000000000003</v>
      </c>
      <c r="R412" t="s">
        <v>569</v>
      </c>
      <c r="S412" t="s">
        <v>126</v>
      </c>
      <c r="T412" t="s">
        <v>569</v>
      </c>
      <c r="U412" t="s">
        <v>570</v>
      </c>
      <c r="W412">
        <v>0.88</v>
      </c>
      <c r="X412">
        <v>1.98</v>
      </c>
      <c r="Y412">
        <v>2.8600000000000003</v>
      </c>
      <c r="Z412">
        <v>1.0900000000000001</v>
      </c>
      <c r="AG412">
        <v>0.88</v>
      </c>
      <c r="AI412">
        <v>0.89</v>
      </c>
      <c r="BH412" t="s">
        <v>126</v>
      </c>
      <c r="BI412" t="s">
        <v>126</v>
      </c>
      <c r="BJ412" t="s">
        <v>126</v>
      </c>
      <c r="BK412" t="s">
        <v>126</v>
      </c>
      <c r="BS412" t="s">
        <v>126</v>
      </c>
      <c r="BT412" t="s">
        <v>126</v>
      </c>
      <c r="BU412" t="s">
        <v>126</v>
      </c>
      <c r="BV412" t="s">
        <v>126</v>
      </c>
      <c r="CN412" t="s">
        <v>147</v>
      </c>
      <c r="CP412" t="s">
        <v>267</v>
      </c>
      <c r="CQ412" t="s">
        <v>147</v>
      </c>
    </row>
    <row r="413" spans="1:95" x14ac:dyDescent="0.2">
      <c r="A413" t="s">
        <v>115</v>
      </c>
      <c r="B413" t="s">
        <v>116</v>
      </c>
      <c r="C413">
        <v>210784</v>
      </c>
      <c r="E413" t="s">
        <v>117</v>
      </c>
      <c r="F413">
        <v>368</v>
      </c>
      <c r="G413" t="s">
        <v>141</v>
      </c>
      <c r="H413" t="s">
        <v>142</v>
      </c>
      <c r="I413" t="s">
        <v>279</v>
      </c>
      <c r="J413" t="s">
        <v>280</v>
      </c>
      <c r="L413" t="s">
        <v>267</v>
      </c>
      <c r="M413" s="8">
        <v>45536</v>
      </c>
      <c r="N413">
        <v>5580736</v>
      </c>
      <c r="O413" t="s">
        <v>123</v>
      </c>
      <c r="P413" t="s">
        <v>146</v>
      </c>
      <c r="Q413">
        <v>1.27</v>
      </c>
      <c r="R413" t="s">
        <v>588</v>
      </c>
      <c r="S413" t="s">
        <v>126</v>
      </c>
      <c r="T413" t="s">
        <v>588</v>
      </c>
      <c r="U413" t="s">
        <v>589</v>
      </c>
      <c r="W413">
        <v>0.39</v>
      </c>
      <c r="X413">
        <v>0.88</v>
      </c>
      <c r="Y413">
        <v>1.27</v>
      </c>
      <c r="Z413">
        <v>0.48</v>
      </c>
      <c r="AG413">
        <v>0.39</v>
      </c>
      <c r="AI413">
        <v>0.4</v>
      </c>
      <c r="BH413" t="s">
        <v>126</v>
      </c>
      <c r="BI413" t="s">
        <v>126</v>
      </c>
      <c r="BJ413" t="s">
        <v>126</v>
      </c>
      <c r="BK413" t="s">
        <v>126</v>
      </c>
      <c r="BS413" t="s">
        <v>126</v>
      </c>
      <c r="BT413" t="s">
        <v>126</v>
      </c>
      <c r="BU413" t="s">
        <v>126</v>
      </c>
      <c r="BV413" t="s">
        <v>126</v>
      </c>
      <c r="CN413" t="s">
        <v>147</v>
      </c>
      <c r="CP413" t="s">
        <v>257</v>
      </c>
      <c r="CQ413" t="s">
        <v>147</v>
      </c>
    </row>
    <row r="414" spans="1:95" x14ac:dyDescent="0.2">
      <c r="A414" t="s">
        <v>115</v>
      </c>
      <c r="B414" t="s">
        <v>116</v>
      </c>
      <c r="C414">
        <v>210784</v>
      </c>
      <c r="E414" t="s">
        <v>117</v>
      </c>
      <c r="F414">
        <v>368</v>
      </c>
      <c r="G414" t="s">
        <v>141</v>
      </c>
      <c r="H414" t="s">
        <v>142</v>
      </c>
      <c r="I414" t="s">
        <v>279</v>
      </c>
      <c r="J414" t="s">
        <v>280</v>
      </c>
      <c r="L414" t="s">
        <v>268</v>
      </c>
      <c r="M414" s="8">
        <v>45536</v>
      </c>
      <c r="N414">
        <v>5582109</v>
      </c>
      <c r="O414" t="s">
        <v>123</v>
      </c>
      <c r="P414" t="s">
        <v>146</v>
      </c>
      <c r="Q414">
        <v>3.2299999999999995</v>
      </c>
      <c r="R414" t="s">
        <v>657</v>
      </c>
      <c r="S414" t="s">
        <v>126</v>
      </c>
      <c r="T414" t="s">
        <v>657</v>
      </c>
      <c r="U414" t="s">
        <v>658</v>
      </c>
      <c r="W414">
        <v>1</v>
      </c>
      <c r="X414">
        <v>2.23</v>
      </c>
      <c r="Y414">
        <v>3.2299999999999995</v>
      </c>
      <c r="Z414">
        <v>1.22</v>
      </c>
      <c r="AG414">
        <v>1</v>
      </c>
      <c r="AI414">
        <v>1.01</v>
      </c>
      <c r="BH414" t="s">
        <v>126</v>
      </c>
      <c r="BI414" t="s">
        <v>126</v>
      </c>
      <c r="BJ414" t="s">
        <v>126</v>
      </c>
      <c r="BK414" t="s">
        <v>126</v>
      </c>
      <c r="BS414" t="s">
        <v>126</v>
      </c>
      <c r="BT414" t="s">
        <v>126</v>
      </c>
      <c r="BU414" t="s">
        <v>126</v>
      </c>
      <c r="BV414" t="s">
        <v>126</v>
      </c>
      <c r="CN414" t="s">
        <v>147</v>
      </c>
      <c r="CP414" t="s">
        <v>257</v>
      </c>
      <c r="CQ414" t="s">
        <v>147</v>
      </c>
    </row>
    <row r="415" spans="1:95" x14ac:dyDescent="0.2">
      <c r="A415" t="s">
        <v>115</v>
      </c>
      <c r="B415" t="s">
        <v>116</v>
      </c>
      <c r="C415">
        <v>210784</v>
      </c>
      <c r="E415" t="s">
        <v>117</v>
      </c>
      <c r="F415">
        <v>368</v>
      </c>
      <c r="G415" t="s">
        <v>141</v>
      </c>
      <c r="H415" t="s">
        <v>142</v>
      </c>
      <c r="I415" t="s">
        <v>279</v>
      </c>
      <c r="J415" t="s">
        <v>280</v>
      </c>
      <c r="L415" t="s">
        <v>871</v>
      </c>
      <c r="M415" s="8">
        <v>45536</v>
      </c>
      <c r="N415">
        <v>5566865</v>
      </c>
      <c r="O415" t="s">
        <v>123</v>
      </c>
      <c r="P415" t="s">
        <v>146</v>
      </c>
      <c r="Q415">
        <v>5.0599999999999996</v>
      </c>
      <c r="R415" t="s">
        <v>125</v>
      </c>
      <c r="S415" t="s">
        <v>126</v>
      </c>
      <c r="T415" t="s">
        <v>125</v>
      </c>
      <c r="U415" t="s">
        <v>126</v>
      </c>
      <c r="W415">
        <v>5.0599999999999996</v>
      </c>
      <c r="Y415">
        <v>5.0599999999999996</v>
      </c>
      <c r="BE415">
        <v>5.0599999999999996</v>
      </c>
      <c r="BH415" t="s">
        <v>126</v>
      </c>
      <c r="BI415" t="s">
        <v>126</v>
      </c>
      <c r="BJ415" t="s">
        <v>126</v>
      </c>
      <c r="BK415" t="s">
        <v>126</v>
      </c>
      <c r="BS415" t="s">
        <v>126</v>
      </c>
      <c r="BT415" t="s">
        <v>126</v>
      </c>
      <c r="BU415" t="s">
        <v>126</v>
      </c>
      <c r="BV415" t="s">
        <v>126</v>
      </c>
      <c r="CN415" t="s">
        <v>147</v>
      </c>
      <c r="CP415" t="s">
        <v>267</v>
      </c>
      <c r="CQ415" t="s">
        <v>147</v>
      </c>
    </row>
    <row r="416" spans="1:95" x14ac:dyDescent="0.2">
      <c r="A416" t="s">
        <v>115</v>
      </c>
      <c r="B416" t="s">
        <v>116</v>
      </c>
      <c r="C416">
        <v>210784</v>
      </c>
      <c r="E416" t="s">
        <v>117</v>
      </c>
      <c r="F416">
        <v>368</v>
      </c>
      <c r="G416" t="s">
        <v>141</v>
      </c>
      <c r="H416" t="s">
        <v>142</v>
      </c>
      <c r="I416" t="s">
        <v>279</v>
      </c>
      <c r="J416" t="s">
        <v>280</v>
      </c>
      <c r="L416" t="s">
        <v>871</v>
      </c>
      <c r="M416" s="8">
        <v>45536</v>
      </c>
      <c r="N416">
        <v>5566888</v>
      </c>
      <c r="O416" t="s">
        <v>123</v>
      </c>
      <c r="P416" t="s">
        <v>146</v>
      </c>
      <c r="Q416">
        <v>1.45</v>
      </c>
      <c r="R416" t="s">
        <v>125</v>
      </c>
      <c r="S416" t="s">
        <v>126</v>
      </c>
      <c r="T416" t="s">
        <v>125</v>
      </c>
      <c r="U416" t="s">
        <v>126</v>
      </c>
      <c r="W416">
        <v>1.45</v>
      </c>
      <c r="Y416">
        <v>1.45</v>
      </c>
      <c r="BE416">
        <v>1.45</v>
      </c>
      <c r="BH416" t="s">
        <v>126</v>
      </c>
      <c r="BI416" t="s">
        <v>126</v>
      </c>
      <c r="BJ416" t="s">
        <v>126</v>
      </c>
      <c r="BK416" t="s">
        <v>126</v>
      </c>
      <c r="BS416" t="s">
        <v>126</v>
      </c>
      <c r="BT416" t="s">
        <v>126</v>
      </c>
      <c r="BU416" t="s">
        <v>126</v>
      </c>
      <c r="BV416" t="s">
        <v>126</v>
      </c>
      <c r="CN416" t="s">
        <v>147</v>
      </c>
      <c r="CP416" t="s">
        <v>267</v>
      </c>
      <c r="CQ416" t="s">
        <v>147</v>
      </c>
    </row>
    <row r="417" spans="1:95" x14ac:dyDescent="0.2">
      <c r="A417" t="s">
        <v>115</v>
      </c>
      <c r="B417" t="s">
        <v>116</v>
      </c>
      <c r="C417">
        <v>210784</v>
      </c>
      <c r="E417" t="s">
        <v>117</v>
      </c>
      <c r="F417">
        <v>368</v>
      </c>
      <c r="G417" t="s">
        <v>141</v>
      </c>
      <c r="H417" t="s">
        <v>142</v>
      </c>
      <c r="I417" t="s">
        <v>279</v>
      </c>
      <c r="J417" t="s">
        <v>280</v>
      </c>
      <c r="L417" t="s">
        <v>872</v>
      </c>
      <c r="M417" s="8">
        <v>45536</v>
      </c>
      <c r="N417">
        <v>3.44</v>
      </c>
      <c r="O417" t="s">
        <v>123</v>
      </c>
      <c r="P417" t="s">
        <v>146</v>
      </c>
      <c r="Q417">
        <v>3.44</v>
      </c>
      <c r="R417" t="s">
        <v>125</v>
      </c>
      <c r="S417" t="s">
        <v>126</v>
      </c>
      <c r="T417" t="s">
        <v>125</v>
      </c>
      <c r="U417" t="s">
        <v>126</v>
      </c>
      <c r="W417">
        <v>3.44</v>
      </c>
      <c r="Y417">
        <v>3.44</v>
      </c>
      <c r="BE417">
        <v>3.44</v>
      </c>
      <c r="BH417" t="s">
        <v>126</v>
      </c>
      <c r="BI417" t="s">
        <v>126</v>
      </c>
      <c r="BJ417" t="s">
        <v>126</v>
      </c>
      <c r="BK417" t="s">
        <v>126</v>
      </c>
      <c r="BS417" t="s">
        <v>126</v>
      </c>
      <c r="BT417" t="s">
        <v>126</v>
      </c>
      <c r="BU417" t="s">
        <v>126</v>
      </c>
      <c r="BV417" t="s">
        <v>126</v>
      </c>
      <c r="CN417" t="s">
        <v>147</v>
      </c>
      <c r="CP417" t="s">
        <v>267</v>
      </c>
      <c r="CQ417" t="s">
        <v>147</v>
      </c>
    </row>
    <row r="418" spans="1:95" x14ac:dyDescent="0.2">
      <c r="A418" t="s">
        <v>115</v>
      </c>
      <c r="B418" t="s">
        <v>116</v>
      </c>
      <c r="C418">
        <v>210784</v>
      </c>
      <c r="E418" t="s">
        <v>117</v>
      </c>
      <c r="F418">
        <v>368</v>
      </c>
      <c r="G418" t="s">
        <v>141</v>
      </c>
      <c r="H418" t="s">
        <v>142</v>
      </c>
      <c r="I418" t="s">
        <v>279</v>
      </c>
      <c r="J418" t="s">
        <v>280</v>
      </c>
      <c r="L418" t="s">
        <v>872</v>
      </c>
      <c r="M418" s="8">
        <v>45536</v>
      </c>
      <c r="N418">
        <v>5568806</v>
      </c>
      <c r="O418" t="s">
        <v>123</v>
      </c>
      <c r="P418" t="s">
        <v>146</v>
      </c>
      <c r="Q418">
        <v>1.52</v>
      </c>
      <c r="R418" t="s">
        <v>125</v>
      </c>
      <c r="S418" t="s">
        <v>126</v>
      </c>
      <c r="T418" t="s">
        <v>125</v>
      </c>
      <c r="U418" t="s">
        <v>126</v>
      </c>
      <c r="W418">
        <v>1.52</v>
      </c>
      <c r="Y418">
        <v>1.52</v>
      </c>
      <c r="BE418">
        <v>1.52</v>
      </c>
      <c r="BH418" t="s">
        <v>126</v>
      </c>
      <c r="BI418" t="s">
        <v>126</v>
      </c>
      <c r="BJ418" t="s">
        <v>126</v>
      </c>
      <c r="BK418" t="s">
        <v>126</v>
      </c>
      <c r="BS418" t="s">
        <v>126</v>
      </c>
      <c r="BT418" t="s">
        <v>126</v>
      </c>
      <c r="BU418" t="s">
        <v>126</v>
      </c>
      <c r="BV418" t="s">
        <v>126</v>
      </c>
      <c r="CN418" t="s">
        <v>147</v>
      </c>
      <c r="CP418" t="s">
        <v>267</v>
      </c>
      <c r="CQ418" t="s">
        <v>147</v>
      </c>
    </row>
    <row r="419" spans="1:95" x14ac:dyDescent="0.2">
      <c r="A419" t="s">
        <v>115</v>
      </c>
      <c r="B419" t="s">
        <v>116</v>
      </c>
      <c r="C419">
        <v>210784</v>
      </c>
      <c r="E419" t="s">
        <v>117</v>
      </c>
      <c r="F419">
        <v>368</v>
      </c>
      <c r="G419" t="s">
        <v>141</v>
      </c>
      <c r="H419" t="s">
        <v>142</v>
      </c>
      <c r="I419" t="s">
        <v>279</v>
      </c>
      <c r="J419" t="s">
        <v>280</v>
      </c>
      <c r="L419" t="s">
        <v>873</v>
      </c>
      <c r="M419" s="8">
        <v>45536</v>
      </c>
      <c r="N419">
        <v>5571179</v>
      </c>
      <c r="O419" t="s">
        <v>123</v>
      </c>
      <c r="P419" t="s">
        <v>146</v>
      </c>
      <c r="Q419">
        <v>2.81</v>
      </c>
      <c r="R419" t="s">
        <v>125</v>
      </c>
      <c r="S419" t="s">
        <v>126</v>
      </c>
      <c r="T419" t="s">
        <v>125</v>
      </c>
      <c r="U419" t="s">
        <v>126</v>
      </c>
      <c r="W419">
        <v>2.81</v>
      </c>
      <c r="Y419">
        <v>2.81</v>
      </c>
      <c r="BE419">
        <v>2.81</v>
      </c>
      <c r="BH419" t="s">
        <v>126</v>
      </c>
      <c r="BI419" t="s">
        <v>126</v>
      </c>
      <c r="BJ419" t="s">
        <v>126</v>
      </c>
      <c r="BK419" t="s">
        <v>126</v>
      </c>
      <c r="BS419" t="s">
        <v>126</v>
      </c>
      <c r="BT419" t="s">
        <v>126</v>
      </c>
      <c r="BU419" t="s">
        <v>126</v>
      </c>
      <c r="BV419" t="s">
        <v>126</v>
      </c>
      <c r="CN419" t="s">
        <v>147</v>
      </c>
      <c r="CP419" t="s">
        <v>267</v>
      </c>
      <c r="CQ419" t="s">
        <v>147</v>
      </c>
    </row>
    <row r="420" spans="1:95" x14ac:dyDescent="0.2">
      <c r="A420" t="s">
        <v>115</v>
      </c>
      <c r="B420" t="s">
        <v>116</v>
      </c>
      <c r="C420">
        <v>210784</v>
      </c>
      <c r="E420" t="s">
        <v>117</v>
      </c>
      <c r="F420">
        <v>368</v>
      </c>
      <c r="G420" t="s">
        <v>141</v>
      </c>
      <c r="H420" t="s">
        <v>142</v>
      </c>
      <c r="I420" t="s">
        <v>279</v>
      </c>
      <c r="J420" t="s">
        <v>280</v>
      </c>
      <c r="L420" t="s">
        <v>873</v>
      </c>
      <c r="M420" s="8">
        <v>45536</v>
      </c>
      <c r="N420">
        <v>5570898</v>
      </c>
      <c r="O420" t="s">
        <v>123</v>
      </c>
      <c r="P420" t="s">
        <v>146</v>
      </c>
      <c r="Q420">
        <v>2.02</v>
      </c>
      <c r="R420" t="s">
        <v>125</v>
      </c>
      <c r="S420" t="s">
        <v>126</v>
      </c>
      <c r="T420" t="s">
        <v>125</v>
      </c>
      <c r="U420" t="s">
        <v>126</v>
      </c>
      <c r="W420">
        <v>2.02</v>
      </c>
      <c r="Y420">
        <v>2.02</v>
      </c>
      <c r="BE420">
        <v>2.02</v>
      </c>
      <c r="BH420" t="s">
        <v>126</v>
      </c>
      <c r="BI420" t="s">
        <v>126</v>
      </c>
      <c r="BJ420" t="s">
        <v>126</v>
      </c>
      <c r="BK420" t="s">
        <v>126</v>
      </c>
      <c r="BS420" t="s">
        <v>126</v>
      </c>
      <c r="BT420" t="s">
        <v>126</v>
      </c>
      <c r="BU420" t="s">
        <v>126</v>
      </c>
      <c r="BV420" t="s">
        <v>126</v>
      </c>
      <c r="CN420" t="s">
        <v>147</v>
      </c>
      <c r="CP420" t="s">
        <v>267</v>
      </c>
      <c r="CQ420" t="s">
        <v>147</v>
      </c>
    </row>
    <row r="421" spans="1:95" x14ac:dyDescent="0.2">
      <c r="A421" t="s">
        <v>115</v>
      </c>
      <c r="B421" t="s">
        <v>116</v>
      </c>
      <c r="C421">
        <v>210784</v>
      </c>
      <c r="E421" t="s">
        <v>117</v>
      </c>
      <c r="F421">
        <v>368</v>
      </c>
      <c r="G421" t="s">
        <v>141</v>
      </c>
      <c r="H421" t="s">
        <v>142</v>
      </c>
      <c r="I421" t="s">
        <v>279</v>
      </c>
      <c r="J421" t="s">
        <v>280</v>
      </c>
      <c r="L421" t="s">
        <v>240</v>
      </c>
      <c r="M421" s="8">
        <v>45536</v>
      </c>
      <c r="N421">
        <v>5573044</v>
      </c>
      <c r="O421" t="s">
        <v>123</v>
      </c>
      <c r="P421" t="s">
        <v>146</v>
      </c>
      <c r="Q421">
        <v>2.12</v>
      </c>
      <c r="R421" t="s">
        <v>125</v>
      </c>
      <c r="S421" t="s">
        <v>126</v>
      </c>
      <c r="T421" t="s">
        <v>125</v>
      </c>
      <c r="U421" t="s">
        <v>126</v>
      </c>
      <c r="W421">
        <v>2.12</v>
      </c>
      <c r="Y421">
        <v>2.12</v>
      </c>
      <c r="BE421">
        <v>2.12</v>
      </c>
      <c r="BH421" t="s">
        <v>126</v>
      </c>
      <c r="BI421" t="s">
        <v>126</v>
      </c>
      <c r="BJ421" t="s">
        <v>126</v>
      </c>
      <c r="BK421" t="s">
        <v>126</v>
      </c>
      <c r="BS421" t="s">
        <v>126</v>
      </c>
      <c r="BT421" t="s">
        <v>126</v>
      </c>
      <c r="BU421" t="s">
        <v>126</v>
      </c>
      <c r="BV421" t="s">
        <v>126</v>
      </c>
      <c r="CN421" t="s">
        <v>147</v>
      </c>
      <c r="CP421" t="s">
        <v>267</v>
      </c>
      <c r="CQ421" t="s">
        <v>147</v>
      </c>
    </row>
    <row r="422" spans="1:95" x14ac:dyDescent="0.2">
      <c r="A422" t="s">
        <v>115</v>
      </c>
      <c r="B422" t="s">
        <v>116</v>
      </c>
      <c r="C422">
        <v>210784</v>
      </c>
      <c r="E422" t="s">
        <v>117</v>
      </c>
      <c r="F422">
        <v>368</v>
      </c>
      <c r="G422" t="s">
        <v>141</v>
      </c>
      <c r="H422" t="s">
        <v>142</v>
      </c>
      <c r="I422" t="s">
        <v>279</v>
      </c>
      <c r="J422" t="s">
        <v>280</v>
      </c>
      <c r="L422" t="s">
        <v>874</v>
      </c>
      <c r="M422" s="8">
        <v>45536</v>
      </c>
      <c r="N422">
        <v>5573350</v>
      </c>
      <c r="O422" t="s">
        <v>123</v>
      </c>
      <c r="P422" t="s">
        <v>146</v>
      </c>
      <c r="Q422">
        <v>1.56</v>
      </c>
      <c r="R422" t="s">
        <v>125</v>
      </c>
      <c r="S422" t="s">
        <v>126</v>
      </c>
      <c r="T422" t="s">
        <v>125</v>
      </c>
      <c r="U422" t="s">
        <v>126</v>
      </c>
      <c r="W422">
        <v>1.56</v>
      </c>
      <c r="Y422">
        <v>1.56</v>
      </c>
      <c r="BE422">
        <v>1.56</v>
      </c>
      <c r="BH422" t="s">
        <v>126</v>
      </c>
      <c r="BI422" t="s">
        <v>126</v>
      </c>
      <c r="BJ422" t="s">
        <v>126</v>
      </c>
      <c r="BK422" t="s">
        <v>126</v>
      </c>
      <c r="BS422" t="s">
        <v>126</v>
      </c>
      <c r="BT422" t="s">
        <v>126</v>
      </c>
      <c r="BU422" t="s">
        <v>126</v>
      </c>
      <c r="BV422" t="s">
        <v>126</v>
      </c>
      <c r="CN422" t="s">
        <v>147</v>
      </c>
      <c r="CP422" t="s">
        <v>267</v>
      </c>
      <c r="CQ422" t="s">
        <v>147</v>
      </c>
    </row>
    <row r="423" spans="1:95" x14ac:dyDescent="0.2">
      <c r="A423" t="s">
        <v>115</v>
      </c>
      <c r="B423" t="s">
        <v>116</v>
      </c>
      <c r="C423">
        <v>210784</v>
      </c>
      <c r="E423" t="s">
        <v>117</v>
      </c>
      <c r="F423">
        <v>368</v>
      </c>
      <c r="G423" t="s">
        <v>141</v>
      </c>
      <c r="H423" t="s">
        <v>142</v>
      </c>
      <c r="I423" t="s">
        <v>279</v>
      </c>
      <c r="J423" t="s">
        <v>280</v>
      </c>
      <c r="L423" t="s">
        <v>875</v>
      </c>
      <c r="M423" s="8">
        <v>45536</v>
      </c>
      <c r="N423">
        <v>5573669</v>
      </c>
      <c r="O423" t="s">
        <v>123</v>
      </c>
      <c r="P423" t="s">
        <v>146</v>
      </c>
      <c r="Q423">
        <v>3.13</v>
      </c>
      <c r="R423" t="s">
        <v>125</v>
      </c>
      <c r="S423" t="s">
        <v>126</v>
      </c>
      <c r="T423" t="s">
        <v>125</v>
      </c>
      <c r="U423" t="s">
        <v>126</v>
      </c>
      <c r="W423">
        <v>3.13</v>
      </c>
      <c r="Y423">
        <v>3.13</v>
      </c>
      <c r="BE423">
        <v>3.13</v>
      </c>
      <c r="BH423" t="s">
        <v>126</v>
      </c>
      <c r="BI423" t="s">
        <v>126</v>
      </c>
      <c r="BJ423" t="s">
        <v>126</v>
      </c>
      <c r="BK423" t="s">
        <v>126</v>
      </c>
      <c r="BS423" t="s">
        <v>126</v>
      </c>
      <c r="BT423" t="s">
        <v>126</v>
      </c>
      <c r="BU423" t="s">
        <v>126</v>
      </c>
      <c r="BV423" t="s">
        <v>126</v>
      </c>
      <c r="CN423" t="s">
        <v>147</v>
      </c>
      <c r="CP423" t="s">
        <v>267</v>
      </c>
      <c r="CQ423" t="s">
        <v>147</v>
      </c>
    </row>
    <row r="424" spans="1:95" x14ac:dyDescent="0.2">
      <c r="A424" t="s">
        <v>115</v>
      </c>
      <c r="B424" t="s">
        <v>116</v>
      </c>
      <c r="C424">
        <v>210784</v>
      </c>
      <c r="E424" t="s">
        <v>117</v>
      </c>
      <c r="F424">
        <v>368</v>
      </c>
      <c r="G424" t="s">
        <v>141</v>
      </c>
      <c r="H424" t="s">
        <v>142</v>
      </c>
      <c r="I424" t="s">
        <v>279</v>
      </c>
      <c r="J424" t="s">
        <v>280</v>
      </c>
      <c r="L424" t="s">
        <v>265</v>
      </c>
      <c r="M424" s="8">
        <v>45536</v>
      </c>
      <c r="N424">
        <v>5575276</v>
      </c>
      <c r="O424" t="s">
        <v>123</v>
      </c>
      <c r="P424" t="s">
        <v>146</v>
      </c>
      <c r="Q424">
        <v>3.62</v>
      </c>
      <c r="R424" t="s">
        <v>125</v>
      </c>
      <c r="S424" t="s">
        <v>126</v>
      </c>
      <c r="T424" t="s">
        <v>125</v>
      </c>
      <c r="U424" t="s">
        <v>126</v>
      </c>
      <c r="W424">
        <v>3.62</v>
      </c>
      <c r="Y424">
        <v>3.62</v>
      </c>
      <c r="BE424">
        <v>3.62</v>
      </c>
      <c r="BH424" t="s">
        <v>126</v>
      </c>
      <c r="BI424" t="s">
        <v>126</v>
      </c>
      <c r="BJ424" t="s">
        <v>126</v>
      </c>
      <c r="BK424" t="s">
        <v>126</v>
      </c>
      <c r="BS424" t="s">
        <v>126</v>
      </c>
      <c r="BT424" t="s">
        <v>126</v>
      </c>
      <c r="BU424" t="s">
        <v>126</v>
      </c>
      <c r="BV424" t="s">
        <v>126</v>
      </c>
      <c r="CN424" t="s">
        <v>147</v>
      </c>
      <c r="CP424" t="s">
        <v>267</v>
      </c>
      <c r="CQ424" t="s">
        <v>147</v>
      </c>
    </row>
    <row r="425" spans="1:95" x14ac:dyDescent="0.2">
      <c r="A425" t="s">
        <v>115</v>
      </c>
      <c r="B425" t="s">
        <v>116</v>
      </c>
      <c r="C425">
        <v>210784</v>
      </c>
      <c r="E425" t="s">
        <v>117</v>
      </c>
      <c r="F425">
        <v>368</v>
      </c>
      <c r="G425" t="s">
        <v>141</v>
      </c>
      <c r="H425" t="s">
        <v>142</v>
      </c>
      <c r="I425" t="s">
        <v>279</v>
      </c>
      <c r="J425" t="s">
        <v>280</v>
      </c>
      <c r="L425" t="s">
        <v>266</v>
      </c>
      <c r="M425" s="8">
        <v>45536</v>
      </c>
      <c r="N425">
        <v>5576008</v>
      </c>
      <c r="O425" t="s">
        <v>123</v>
      </c>
      <c r="P425" t="s">
        <v>146</v>
      </c>
      <c r="Q425">
        <v>2.88</v>
      </c>
      <c r="R425" t="s">
        <v>125</v>
      </c>
      <c r="S425" t="s">
        <v>126</v>
      </c>
      <c r="T425" t="s">
        <v>125</v>
      </c>
      <c r="U425" t="s">
        <v>126</v>
      </c>
      <c r="W425">
        <v>2.88</v>
      </c>
      <c r="Y425">
        <v>2.88</v>
      </c>
      <c r="BE425">
        <v>2.88</v>
      </c>
      <c r="BH425" t="s">
        <v>126</v>
      </c>
      <c r="BI425" t="s">
        <v>126</v>
      </c>
      <c r="BJ425" t="s">
        <v>126</v>
      </c>
      <c r="BK425" t="s">
        <v>126</v>
      </c>
      <c r="BS425" t="s">
        <v>126</v>
      </c>
      <c r="BT425" t="s">
        <v>126</v>
      </c>
      <c r="BU425" t="s">
        <v>126</v>
      </c>
      <c r="BV425" t="s">
        <v>126</v>
      </c>
      <c r="CN425" t="s">
        <v>147</v>
      </c>
      <c r="CP425" t="s">
        <v>267</v>
      </c>
      <c r="CQ425" t="s">
        <v>147</v>
      </c>
    </row>
    <row r="426" spans="1:95" x14ac:dyDescent="0.2">
      <c r="A426" t="s">
        <v>115</v>
      </c>
      <c r="B426" t="s">
        <v>116</v>
      </c>
      <c r="C426">
        <v>210784</v>
      </c>
      <c r="E426" t="s">
        <v>117</v>
      </c>
      <c r="F426">
        <v>368</v>
      </c>
      <c r="G426" t="s">
        <v>141</v>
      </c>
      <c r="H426" t="s">
        <v>142</v>
      </c>
      <c r="I426" t="s">
        <v>279</v>
      </c>
      <c r="J426" t="s">
        <v>280</v>
      </c>
      <c r="L426" t="s">
        <v>320</v>
      </c>
      <c r="M426" s="8">
        <v>45536</v>
      </c>
      <c r="N426">
        <v>5576562</v>
      </c>
      <c r="O426" t="s">
        <v>123</v>
      </c>
      <c r="P426" t="s">
        <v>146</v>
      </c>
      <c r="Q426">
        <v>1.61</v>
      </c>
      <c r="R426" t="s">
        <v>125</v>
      </c>
      <c r="S426" t="s">
        <v>126</v>
      </c>
      <c r="T426" t="s">
        <v>125</v>
      </c>
      <c r="U426" t="s">
        <v>126</v>
      </c>
      <c r="W426">
        <v>1.61</v>
      </c>
      <c r="Y426">
        <v>1.61</v>
      </c>
      <c r="BE426">
        <v>1.61</v>
      </c>
      <c r="BH426" t="s">
        <v>126</v>
      </c>
      <c r="BI426" t="s">
        <v>126</v>
      </c>
      <c r="BJ426" t="s">
        <v>126</v>
      </c>
      <c r="BK426" t="s">
        <v>126</v>
      </c>
      <c r="BS426" t="s">
        <v>126</v>
      </c>
      <c r="BT426" t="s">
        <v>126</v>
      </c>
      <c r="BU426" t="s">
        <v>126</v>
      </c>
      <c r="BV426" t="s">
        <v>126</v>
      </c>
      <c r="CN426" t="s">
        <v>147</v>
      </c>
      <c r="CP426" t="s">
        <v>267</v>
      </c>
      <c r="CQ426" t="s">
        <v>147</v>
      </c>
    </row>
    <row r="427" spans="1:95" x14ac:dyDescent="0.2">
      <c r="A427" t="s">
        <v>115</v>
      </c>
      <c r="B427" t="s">
        <v>116</v>
      </c>
      <c r="C427">
        <v>210784</v>
      </c>
      <c r="E427" t="s">
        <v>117</v>
      </c>
      <c r="F427">
        <v>368</v>
      </c>
      <c r="G427" t="s">
        <v>141</v>
      </c>
      <c r="H427" t="s">
        <v>142</v>
      </c>
      <c r="I427" t="s">
        <v>279</v>
      </c>
      <c r="J427" t="s">
        <v>280</v>
      </c>
      <c r="L427" t="s">
        <v>876</v>
      </c>
      <c r="M427" s="8">
        <v>45536</v>
      </c>
      <c r="N427">
        <v>5579151</v>
      </c>
      <c r="O427" t="s">
        <v>123</v>
      </c>
      <c r="P427" t="s">
        <v>146</v>
      </c>
      <c r="Q427">
        <v>1.39</v>
      </c>
      <c r="R427" t="s">
        <v>125</v>
      </c>
      <c r="S427" t="s">
        <v>126</v>
      </c>
      <c r="T427" t="s">
        <v>125</v>
      </c>
      <c r="U427" t="s">
        <v>126</v>
      </c>
      <c r="W427">
        <v>1.39</v>
      </c>
      <c r="Y427">
        <v>1.39</v>
      </c>
      <c r="BE427">
        <v>1.39</v>
      </c>
      <c r="BH427" t="s">
        <v>126</v>
      </c>
      <c r="BI427" t="s">
        <v>126</v>
      </c>
      <c r="BJ427" t="s">
        <v>126</v>
      </c>
      <c r="BK427" t="s">
        <v>126</v>
      </c>
      <c r="BS427" t="s">
        <v>126</v>
      </c>
      <c r="BT427" t="s">
        <v>126</v>
      </c>
      <c r="BU427" t="s">
        <v>126</v>
      </c>
      <c r="BV427" t="s">
        <v>126</v>
      </c>
      <c r="CN427" t="s">
        <v>147</v>
      </c>
      <c r="CP427" t="s">
        <v>257</v>
      </c>
      <c r="CQ427" t="s">
        <v>147</v>
      </c>
    </row>
    <row r="428" spans="1:95" x14ac:dyDescent="0.2">
      <c r="A428" t="s">
        <v>115</v>
      </c>
      <c r="B428" t="s">
        <v>116</v>
      </c>
      <c r="C428">
        <v>210784</v>
      </c>
      <c r="E428" t="s">
        <v>117</v>
      </c>
      <c r="F428">
        <v>368</v>
      </c>
      <c r="G428" t="s">
        <v>141</v>
      </c>
      <c r="H428" t="s">
        <v>142</v>
      </c>
      <c r="I428" t="s">
        <v>279</v>
      </c>
      <c r="J428" t="s">
        <v>280</v>
      </c>
      <c r="L428" t="s">
        <v>267</v>
      </c>
      <c r="M428" s="8">
        <v>45536</v>
      </c>
      <c r="N428">
        <v>5580662</v>
      </c>
      <c r="O428" t="s">
        <v>123</v>
      </c>
      <c r="P428" t="s">
        <v>146</v>
      </c>
      <c r="Q428">
        <v>5.01</v>
      </c>
      <c r="R428" t="s">
        <v>125</v>
      </c>
      <c r="S428" t="s">
        <v>126</v>
      </c>
      <c r="T428" t="s">
        <v>125</v>
      </c>
      <c r="U428" t="s">
        <v>126</v>
      </c>
      <c r="W428">
        <v>5.01</v>
      </c>
      <c r="Y428">
        <v>5.01</v>
      </c>
      <c r="BE428">
        <v>5.01</v>
      </c>
      <c r="BH428" t="s">
        <v>126</v>
      </c>
      <c r="BI428" t="s">
        <v>126</v>
      </c>
      <c r="BJ428" t="s">
        <v>126</v>
      </c>
      <c r="BK428" t="s">
        <v>126</v>
      </c>
      <c r="BS428" t="s">
        <v>126</v>
      </c>
      <c r="BT428" t="s">
        <v>126</v>
      </c>
      <c r="BU428" t="s">
        <v>126</v>
      </c>
      <c r="BV428" t="s">
        <v>126</v>
      </c>
      <c r="CN428" t="s">
        <v>147</v>
      </c>
      <c r="CP428" t="s">
        <v>257</v>
      </c>
      <c r="CQ428" t="s">
        <v>147</v>
      </c>
    </row>
    <row r="429" spans="1:95" x14ac:dyDescent="0.2">
      <c r="A429" t="s">
        <v>115</v>
      </c>
      <c r="B429" t="s">
        <v>116</v>
      </c>
      <c r="C429">
        <v>210784</v>
      </c>
      <c r="E429" t="s">
        <v>117</v>
      </c>
      <c r="F429">
        <v>368</v>
      </c>
      <c r="G429" t="s">
        <v>141</v>
      </c>
      <c r="H429" t="s">
        <v>142</v>
      </c>
      <c r="I429" t="s">
        <v>279</v>
      </c>
      <c r="J429" t="s">
        <v>280</v>
      </c>
      <c r="L429" t="s">
        <v>267</v>
      </c>
      <c r="M429" s="8">
        <v>45536</v>
      </c>
      <c r="N429">
        <v>5581299</v>
      </c>
      <c r="O429" t="s">
        <v>123</v>
      </c>
      <c r="P429" t="s">
        <v>146</v>
      </c>
      <c r="Q429">
        <v>3.4</v>
      </c>
      <c r="R429" t="s">
        <v>125</v>
      </c>
      <c r="S429" t="s">
        <v>126</v>
      </c>
      <c r="T429" t="s">
        <v>125</v>
      </c>
      <c r="U429" t="s">
        <v>126</v>
      </c>
      <c r="W429">
        <v>3.4</v>
      </c>
      <c r="Y429">
        <v>3.4</v>
      </c>
      <c r="BE429">
        <v>3.4</v>
      </c>
      <c r="BH429" t="s">
        <v>126</v>
      </c>
      <c r="BI429" t="s">
        <v>126</v>
      </c>
      <c r="BJ429" t="s">
        <v>126</v>
      </c>
      <c r="BK429" t="s">
        <v>126</v>
      </c>
      <c r="BS429" t="s">
        <v>126</v>
      </c>
      <c r="BT429" t="s">
        <v>126</v>
      </c>
      <c r="BU429" t="s">
        <v>126</v>
      </c>
      <c r="BV429" t="s">
        <v>126</v>
      </c>
      <c r="CN429" t="s">
        <v>147</v>
      </c>
      <c r="CP429" t="s">
        <v>257</v>
      </c>
      <c r="CQ429" t="s">
        <v>147</v>
      </c>
    </row>
    <row r="430" spans="1:95" x14ac:dyDescent="0.2">
      <c r="A430" t="s">
        <v>115</v>
      </c>
      <c r="B430" t="s">
        <v>116</v>
      </c>
      <c r="C430">
        <v>210784</v>
      </c>
      <c r="E430" t="s">
        <v>117</v>
      </c>
      <c r="F430">
        <v>368</v>
      </c>
      <c r="G430" t="s">
        <v>141</v>
      </c>
      <c r="H430" t="s">
        <v>142</v>
      </c>
      <c r="I430" t="s">
        <v>279</v>
      </c>
      <c r="J430" t="s">
        <v>280</v>
      </c>
      <c r="L430" t="s">
        <v>873</v>
      </c>
      <c r="M430" s="8">
        <v>45536</v>
      </c>
      <c r="N430">
        <v>5571166</v>
      </c>
      <c r="O430" t="s">
        <v>123</v>
      </c>
      <c r="P430" t="s">
        <v>146</v>
      </c>
      <c r="Q430">
        <v>3.54</v>
      </c>
      <c r="R430" t="s">
        <v>125</v>
      </c>
      <c r="S430" t="s">
        <v>126</v>
      </c>
      <c r="T430" t="s">
        <v>125</v>
      </c>
      <c r="U430" t="s">
        <v>126</v>
      </c>
      <c r="W430">
        <v>3.54</v>
      </c>
      <c r="Y430">
        <v>3.54</v>
      </c>
      <c r="AG430">
        <v>3.54</v>
      </c>
      <c r="BH430" t="s">
        <v>126</v>
      </c>
      <c r="BI430" t="s">
        <v>126</v>
      </c>
      <c r="BJ430" t="s">
        <v>126</v>
      </c>
      <c r="BK430" t="s">
        <v>126</v>
      </c>
      <c r="BS430" t="s">
        <v>126</v>
      </c>
      <c r="BT430" t="s">
        <v>126</v>
      </c>
      <c r="BU430" t="s">
        <v>126</v>
      </c>
      <c r="BV430" t="s">
        <v>126</v>
      </c>
      <c r="CN430" t="s">
        <v>147</v>
      </c>
      <c r="CP430" t="s">
        <v>267</v>
      </c>
      <c r="CQ430" t="s">
        <v>147</v>
      </c>
    </row>
    <row r="431" spans="1:95" x14ac:dyDescent="0.2">
      <c r="A431" t="s">
        <v>115</v>
      </c>
      <c r="B431" t="s">
        <v>116</v>
      </c>
      <c r="C431">
        <v>210784</v>
      </c>
      <c r="E431" t="s">
        <v>117</v>
      </c>
      <c r="F431">
        <v>368</v>
      </c>
      <c r="G431" t="s">
        <v>141</v>
      </c>
      <c r="H431" t="s">
        <v>142</v>
      </c>
      <c r="I431" t="s">
        <v>279</v>
      </c>
      <c r="J431" t="s">
        <v>280</v>
      </c>
      <c r="L431" t="s">
        <v>873</v>
      </c>
      <c r="M431" s="8">
        <v>45536</v>
      </c>
      <c r="N431">
        <v>5570924</v>
      </c>
      <c r="O431" t="s">
        <v>123</v>
      </c>
      <c r="P431" t="s">
        <v>146</v>
      </c>
      <c r="Q431">
        <v>1.61</v>
      </c>
      <c r="R431" t="s">
        <v>125</v>
      </c>
      <c r="S431" t="s">
        <v>126</v>
      </c>
      <c r="T431" t="s">
        <v>125</v>
      </c>
      <c r="U431" t="s">
        <v>126</v>
      </c>
      <c r="W431">
        <v>1.61</v>
      </c>
      <c r="Y431">
        <v>1.61</v>
      </c>
      <c r="AG431">
        <v>1.61</v>
      </c>
      <c r="BH431" t="s">
        <v>126</v>
      </c>
      <c r="BI431" t="s">
        <v>126</v>
      </c>
      <c r="BJ431" t="s">
        <v>126</v>
      </c>
      <c r="BK431" t="s">
        <v>126</v>
      </c>
      <c r="BS431" t="s">
        <v>126</v>
      </c>
      <c r="BT431" t="s">
        <v>126</v>
      </c>
      <c r="BU431" t="s">
        <v>126</v>
      </c>
      <c r="BV431" t="s">
        <v>126</v>
      </c>
      <c r="CN431" t="s">
        <v>147</v>
      </c>
      <c r="CP431" t="s">
        <v>267</v>
      </c>
      <c r="CQ431" t="s">
        <v>147</v>
      </c>
    </row>
    <row r="432" spans="1:95" x14ac:dyDescent="0.2">
      <c r="A432" t="s">
        <v>115</v>
      </c>
      <c r="B432" t="s">
        <v>116</v>
      </c>
      <c r="C432">
        <v>210784</v>
      </c>
      <c r="E432" t="s">
        <v>117</v>
      </c>
      <c r="F432">
        <v>368</v>
      </c>
      <c r="G432" t="s">
        <v>141</v>
      </c>
      <c r="H432" t="s">
        <v>142</v>
      </c>
      <c r="I432" t="s">
        <v>279</v>
      </c>
      <c r="J432" t="s">
        <v>280</v>
      </c>
      <c r="L432" t="s">
        <v>234</v>
      </c>
      <c r="M432" s="8">
        <v>45536</v>
      </c>
      <c r="N432">
        <v>5578729</v>
      </c>
      <c r="O432" t="s">
        <v>123</v>
      </c>
      <c r="P432" t="s">
        <v>146</v>
      </c>
      <c r="Q432">
        <v>2.87</v>
      </c>
      <c r="R432" t="s">
        <v>125</v>
      </c>
      <c r="S432" t="s">
        <v>126</v>
      </c>
      <c r="T432" t="s">
        <v>125</v>
      </c>
      <c r="U432" t="s">
        <v>126</v>
      </c>
      <c r="W432">
        <v>2.87</v>
      </c>
      <c r="Y432">
        <v>2.87</v>
      </c>
      <c r="AG432">
        <v>2.87</v>
      </c>
      <c r="BH432" t="s">
        <v>126</v>
      </c>
      <c r="BI432" t="s">
        <v>126</v>
      </c>
      <c r="BJ432" t="s">
        <v>126</v>
      </c>
      <c r="BK432" t="s">
        <v>126</v>
      </c>
      <c r="BS432" t="s">
        <v>126</v>
      </c>
      <c r="BT432" t="s">
        <v>126</v>
      </c>
      <c r="BU432" t="s">
        <v>126</v>
      </c>
      <c r="BV432" t="s">
        <v>126</v>
      </c>
      <c r="CN432" t="s">
        <v>147</v>
      </c>
      <c r="CP432" t="s">
        <v>267</v>
      </c>
      <c r="CQ432" t="s">
        <v>147</v>
      </c>
    </row>
    <row r="433" spans="1:95" x14ac:dyDescent="0.2">
      <c r="A433" t="s">
        <v>115</v>
      </c>
      <c r="B433" t="s">
        <v>116</v>
      </c>
      <c r="C433">
        <v>210784</v>
      </c>
      <c r="E433" t="s">
        <v>117</v>
      </c>
      <c r="F433">
        <v>368</v>
      </c>
      <c r="G433" t="s">
        <v>229</v>
      </c>
      <c r="H433" t="s">
        <v>230</v>
      </c>
      <c r="I433" t="s">
        <v>204</v>
      </c>
      <c r="J433" t="s">
        <v>205</v>
      </c>
      <c r="L433" t="s">
        <v>241</v>
      </c>
      <c r="M433" s="8">
        <v>45566</v>
      </c>
      <c r="N433">
        <v>109739</v>
      </c>
      <c r="O433" t="s">
        <v>123</v>
      </c>
      <c r="P433" t="s">
        <v>146</v>
      </c>
      <c r="Q433">
        <v>5.96</v>
      </c>
      <c r="R433" t="s">
        <v>125</v>
      </c>
      <c r="S433" t="s">
        <v>126</v>
      </c>
      <c r="T433" t="s">
        <v>125</v>
      </c>
      <c r="U433" t="s">
        <v>126</v>
      </c>
      <c r="W433">
        <v>5.96</v>
      </c>
      <c r="Y433">
        <v>5.96</v>
      </c>
      <c r="AC433">
        <v>5.96</v>
      </c>
      <c r="BH433" t="s">
        <v>126</v>
      </c>
      <c r="BI433" t="s">
        <v>126</v>
      </c>
      <c r="BJ433" t="s">
        <v>126</v>
      </c>
      <c r="BK433" t="s">
        <v>126</v>
      </c>
      <c r="BS433" t="s">
        <v>126</v>
      </c>
      <c r="BT433" t="s">
        <v>126</v>
      </c>
      <c r="BU433" t="s">
        <v>126</v>
      </c>
      <c r="BV433" t="s">
        <v>126</v>
      </c>
      <c r="CN433" t="s">
        <v>230</v>
      </c>
      <c r="CP433" t="s">
        <v>242</v>
      </c>
      <c r="CQ433" t="s">
        <v>230</v>
      </c>
    </row>
    <row r="434" spans="1:95" x14ac:dyDescent="0.2">
      <c r="A434" t="s">
        <v>115</v>
      </c>
      <c r="B434" t="s">
        <v>116</v>
      </c>
      <c r="C434">
        <v>210784</v>
      </c>
      <c r="E434" t="s">
        <v>117</v>
      </c>
      <c r="F434">
        <v>368</v>
      </c>
      <c r="G434" t="s">
        <v>229</v>
      </c>
      <c r="H434" t="s">
        <v>230</v>
      </c>
      <c r="I434" t="s">
        <v>204</v>
      </c>
      <c r="J434" t="s">
        <v>205</v>
      </c>
      <c r="L434" t="s">
        <v>243</v>
      </c>
      <c r="M434" s="8">
        <v>45566</v>
      </c>
      <c r="N434">
        <v>109893</v>
      </c>
      <c r="O434" t="s">
        <v>123</v>
      </c>
      <c r="P434" t="s">
        <v>146</v>
      </c>
      <c r="Q434">
        <v>3.45</v>
      </c>
      <c r="R434" t="s">
        <v>125</v>
      </c>
      <c r="S434" t="s">
        <v>126</v>
      </c>
      <c r="T434" t="s">
        <v>125</v>
      </c>
      <c r="U434" t="s">
        <v>126</v>
      </c>
      <c r="W434">
        <v>3.45</v>
      </c>
      <c r="Y434">
        <v>3.45</v>
      </c>
      <c r="AC434">
        <v>3.45</v>
      </c>
      <c r="BH434" t="s">
        <v>126</v>
      </c>
      <c r="BI434" t="s">
        <v>126</v>
      </c>
      <c r="BJ434" t="s">
        <v>126</v>
      </c>
      <c r="BK434" t="s">
        <v>126</v>
      </c>
      <c r="BS434" t="s">
        <v>126</v>
      </c>
      <c r="BT434" t="s">
        <v>126</v>
      </c>
      <c r="BU434" t="s">
        <v>126</v>
      </c>
      <c r="BV434" t="s">
        <v>126</v>
      </c>
      <c r="CN434" t="s">
        <v>230</v>
      </c>
      <c r="CP434" t="s">
        <v>242</v>
      </c>
      <c r="CQ434" t="s">
        <v>230</v>
      </c>
    </row>
    <row r="435" spans="1:95" x14ac:dyDescent="0.2">
      <c r="A435" t="s">
        <v>115</v>
      </c>
      <c r="B435" t="s">
        <v>116</v>
      </c>
      <c r="C435">
        <v>210784</v>
      </c>
      <c r="E435" t="s">
        <v>117</v>
      </c>
      <c r="F435">
        <v>368</v>
      </c>
      <c r="G435" t="s">
        <v>229</v>
      </c>
      <c r="H435" t="s">
        <v>230</v>
      </c>
      <c r="I435" t="s">
        <v>204</v>
      </c>
      <c r="J435" t="s">
        <v>205</v>
      </c>
      <c r="L435" t="s">
        <v>244</v>
      </c>
      <c r="M435" s="8">
        <v>45566</v>
      </c>
      <c r="N435">
        <v>110020</v>
      </c>
      <c r="O435" t="s">
        <v>123</v>
      </c>
      <c r="P435" t="s">
        <v>146</v>
      </c>
      <c r="Q435">
        <v>10.35</v>
      </c>
      <c r="R435" t="s">
        <v>125</v>
      </c>
      <c r="S435" t="s">
        <v>126</v>
      </c>
      <c r="T435" t="s">
        <v>125</v>
      </c>
      <c r="U435" t="s">
        <v>126</v>
      </c>
      <c r="W435">
        <v>10.35</v>
      </c>
      <c r="Y435">
        <v>10.35</v>
      </c>
      <c r="AC435">
        <v>10.35</v>
      </c>
      <c r="BH435" t="s">
        <v>126</v>
      </c>
      <c r="BI435" t="s">
        <v>126</v>
      </c>
      <c r="BJ435" t="s">
        <v>126</v>
      </c>
      <c r="BK435" t="s">
        <v>126</v>
      </c>
      <c r="BS435" t="s">
        <v>126</v>
      </c>
      <c r="BT435" t="s">
        <v>126</v>
      </c>
      <c r="BU435" t="s">
        <v>126</v>
      </c>
      <c r="BV435" t="s">
        <v>126</v>
      </c>
      <c r="CN435" t="s">
        <v>230</v>
      </c>
      <c r="CP435" t="s">
        <v>242</v>
      </c>
      <c r="CQ435" t="s">
        <v>230</v>
      </c>
    </row>
    <row r="436" spans="1:95" x14ac:dyDescent="0.2">
      <c r="A436" t="s">
        <v>115</v>
      </c>
      <c r="B436" t="s">
        <v>116</v>
      </c>
      <c r="C436">
        <v>210784</v>
      </c>
      <c r="E436" t="s">
        <v>117</v>
      </c>
      <c r="F436">
        <v>368</v>
      </c>
      <c r="G436" t="s">
        <v>229</v>
      </c>
      <c r="H436" t="s">
        <v>230</v>
      </c>
      <c r="I436" t="s">
        <v>204</v>
      </c>
      <c r="J436" t="s">
        <v>205</v>
      </c>
      <c r="L436" t="s">
        <v>244</v>
      </c>
      <c r="M436" s="8">
        <v>45566</v>
      </c>
      <c r="N436">
        <v>110064</v>
      </c>
      <c r="O436" t="s">
        <v>123</v>
      </c>
      <c r="P436" t="s">
        <v>146</v>
      </c>
      <c r="Q436">
        <v>7.26</v>
      </c>
      <c r="R436" t="s">
        <v>125</v>
      </c>
      <c r="S436" t="s">
        <v>126</v>
      </c>
      <c r="T436" t="s">
        <v>125</v>
      </c>
      <c r="U436" t="s">
        <v>126</v>
      </c>
      <c r="W436">
        <v>7.26</v>
      </c>
      <c r="Y436">
        <v>7.26</v>
      </c>
      <c r="AC436">
        <v>7.26</v>
      </c>
      <c r="BH436" t="s">
        <v>126</v>
      </c>
      <c r="BI436" t="s">
        <v>126</v>
      </c>
      <c r="BJ436" t="s">
        <v>126</v>
      </c>
      <c r="BK436" t="s">
        <v>126</v>
      </c>
      <c r="BS436" t="s">
        <v>126</v>
      </c>
      <c r="BT436" t="s">
        <v>126</v>
      </c>
      <c r="BU436" t="s">
        <v>126</v>
      </c>
      <c r="BV436" t="s">
        <v>126</v>
      </c>
      <c r="CN436" t="s">
        <v>230</v>
      </c>
      <c r="CP436" t="s">
        <v>242</v>
      </c>
      <c r="CQ436" t="s">
        <v>230</v>
      </c>
    </row>
    <row r="437" spans="1:95" x14ac:dyDescent="0.2">
      <c r="A437" t="s">
        <v>115</v>
      </c>
      <c r="B437" t="s">
        <v>116</v>
      </c>
      <c r="C437">
        <v>210784</v>
      </c>
      <c r="E437" t="s">
        <v>117</v>
      </c>
      <c r="F437">
        <v>368</v>
      </c>
      <c r="G437" t="s">
        <v>229</v>
      </c>
      <c r="H437" t="s">
        <v>230</v>
      </c>
      <c r="I437" t="s">
        <v>204</v>
      </c>
      <c r="J437" t="s">
        <v>205</v>
      </c>
      <c r="L437" t="s">
        <v>245</v>
      </c>
      <c r="M437" s="8">
        <v>45566</v>
      </c>
      <c r="N437">
        <v>110175</v>
      </c>
      <c r="O437" t="s">
        <v>123</v>
      </c>
      <c r="P437" t="s">
        <v>146</v>
      </c>
      <c r="Q437">
        <v>9.43</v>
      </c>
      <c r="R437" t="s">
        <v>125</v>
      </c>
      <c r="S437" t="s">
        <v>126</v>
      </c>
      <c r="T437" t="s">
        <v>125</v>
      </c>
      <c r="U437" t="s">
        <v>126</v>
      </c>
      <c r="W437">
        <v>9.43</v>
      </c>
      <c r="Y437">
        <v>9.43</v>
      </c>
      <c r="AC437">
        <v>9.43</v>
      </c>
      <c r="BH437" t="s">
        <v>126</v>
      </c>
      <c r="BI437" t="s">
        <v>126</v>
      </c>
      <c r="BJ437" t="s">
        <v>126</v>
      </c>
      <c r="BK437" t="s">
        <v>126</v>
      </c>
      <c r="BS437" t="s">
        <v>126</v>
      </c>
      <c r="BT437" t="s">
        <v>126</v>
      </c>
      <c r="BU437" t="s">
        <v>126</v>
      </c>
      <c r="BV437" t="s">
        <v>126</v>
      </c>
      <c r="CN437" t="s">
        <v>230</v>
      </c>
      <c r="CP437" t="s">
        <v>242</v>
      </c>
      <c r="CQ437" t="s">
        <v>230</v>
      </c>
    </row>
    <row r="438" spans="1:95" x14ac:dyDescent="0.2">
      <c r="A438" t="s">
        <v>115</v>
      </c>
      <c r="B438" t="s">
        <v>116</v>
      </c>
      <c r="C438">
        <v>210784</v>
      </c>
      <c r="E438" t="s">
        <v>117</v>
      </c>
      <c r="F438">
        <v>368</v>
      </c>
      <c r="G438" t="s">
        <v>229</v>
      </c>
      <c r="H438" t="s">
        <v>230</v>
      </c>
      <c r="I438" t="s">
        <v>204</v>
      </c>
      <c r="J438" t="s">
        <v>205</v>
      </c>
      <c r="L438" t="s">
        <v>246</v>
      </c>
      <c r="M438" s="8">
        <v>45566</v>
      </c>
      <c r="N438">
        <v>110254</v>
      </c>
      <c r="O438" t="s">
        <v>123</v>
      </c>
      <c r="P438" t="s">
        <v>146</v>
      </c>
      <c r="Q438">
        <v>9</v>
      </c>
      <c r="R438" t="s">
        <v>125</v>
      </c>
      <c r="S438" t="s">
        <v>126</v>
      </c>
      <c r="T438" t="s">
        <v>125</v>
      </c>
      <c r="U438" t="s">
        <v>126</v>
      </c>
      <c r="W438">
        <v>9</v>
      </c>
      <c r="Y438">
        <v>9</v>
      </c>
      <c r="AC438">
        <v>9</v>
      </c>
      <c r="BH438" t="s">
        <v>126</v>
      </c>
      <c r="BI438" t="s">
        <v>126</v>
      </c>
      <c r="BJ438" t="s">
        <v>126</v>
      </c>
      <c r="BK438" t="s">
        <v>126</v>
      </c>
      <c r="BS438" t="s">
        <v>126</v>
      </c>
      <c r="BT438" t="s">
        <v>126</v>
      </c>
      <c r="BU438" t="s">
        <v>126</v>
      </c>
      <c r="BV438" t="s">
        <v>126</v>
      </c>
      <c r="CN438" t="s">
        <v>230</v>
      </c>
      <c r="CP438" t="s">
        <v>242</v>
      </c>
      <c r="CQ438" t="s">
        <v>230</v>
      </c>
    </row>
    <row r="439" spans="1:95" x14ac:dyDescent="0.2">
      <c r="A439" t="s">
        <v>115</v>
      </c>
      <c r="B439" t="s">
        <v>116</v>
      </c>
      <c r="C439">
        <v>210784</v>
      </c>
      <c r="E439" t="s">
        <v>117</v>
      </c>
      <c r="F439">
        <v>368</v>
      </c>
      <c r="G439" t="s">
        <v>229</v>
      </c>
      <c r="H439" t="s">
        <v>230</v>
      </c>
      <c r="I439" t="s">
        <v>204</v>
      </c>
      <c r="J439" t="s">
        <v>205</v>
      </c>
      <c r="L439" t="s">
        <v>246</v>
      </c>
      <c r="M439" s="8">
        <v>45566</v>
      </c>
      <c r="N439">
        <v>110208</v>
      </c>
      <c r="O439" t="s">
        <v>123</v>
      </c>
      <c r="P439" t="s">
        <v>146</v>
      </c>
      <c r="Q439">
        <v>10.45</v>
      </c>
      <c r="R439" t="s">
        <v>125</v>
      </c>
      <c r="S439" t="s">
        <v>126</v>
      </c>
      <c r="T439" t="s">
        <v>125</v>
      </c>
      <c r="U439" t="s">
        <v>126</v>
      </c>
      <c r="W439">
        <v>10.45</v>
      </c>
      <c r="Y439">
        <v>10.45</v>
      </c>
      <c r="AC439">
        <v>10.45</v>
      </c>
      <c r="BH439" t="s">
        <v>126</v>
      </c>
      <c r="BI439" t="s">
        <v>126</v>
      </c>
      <c r="BJ439" t="s">
        <v>126</v>
      </c>
      <c r="BK439" t="s">
        <v>126</v>
      </c>
      <c r="BS439" t="s">
        <v>126</v>
      </c>
      <c r="BT439" t="s">
        <v>126</v>
      </c>
      <c r="BU439" t="s">
        <v>126</v>
      </c>
      <c r="BV439" t="s">
        <v>126</v>
      </c>
      <c r="CN439" t="s">
        <v>230</v>
      </c>
      <c r="CP439" t="s">
        <v>242</v>
      </c>
      <c r="CQ439" t="s">
        <v>230</v>
      </c>
    </row>
    <row r="440" spans="1:95" x14ac:dyDescent="0.2">
      <c r="A440" t="s">
        <v>115</v>
      </c>
      <c r="B440" t="s">
        <v>116</v>
      </c>
      <c r="C440">
        <v>210784</v>
      </c>
      <c r="E440" t="s">
        <v>117</v>
      </c>
      <c r="F440">
        <v>368</v>
      </c>
      <c r="G440" t="s">
        <v>229</v>
      </c>
      <c r="H440" t="s">
        <v>230</v>
      </c>
      <c r="I440" t="s">
        <v>204</v>
      </c>
      <c r="J440" t="s">
        <v>205</v>
      </c>
      <c r="L440" t="s">
        <v>247</v>
      </c>
      <c r="M440" s="8">
        <v>45566</v>
      </c>
      <c r="N440">
        <v>110305</v>
      </c>
      <c r="O440" t="s">
        <v>123</v>
      </c>
      <c r="P440" t="s">
        <v>146</v>
      </c>
      <c r="Q440">
        <v>3.94</v>
      </c>
      <c r="R440" t="s">
        <v>125</v>
      </c>
      <c r="S440" t="s">
        <v>126</v>
      </c>
      <c r="T440" t="s">
        <v>125</v>
      </c>
      <c r="U440" t="s">
        <v>126</v>
      </c>
      <c r="W440">
        <v>3.94</v>
      </c>
      <c r="Y440">
        <v>3.94</v>
      </c>
      <c r="AC440">
        <v>3.94</v>
      </c>
      <c r="BH440" t="s">
        <v>126</v>
      </c>
      <c r="BI440" t="s">
        <v>126</v>
      </c>
      <c r="BJ440" t="s">
        <v>126</v>
      </c>
      <c r="BK440" t="s">
        <v>126</v>
      </c>
      <c r="BS440" t="s">
        <v>126</v>
      </c>
      <c r="BT440" t="s">
        <v>126</v>
      </c>
      <c r="BU440" t="s">
        <v>126</v>
      </c>
      <c r="BV440" t="s">
        <v>126</v>
      </c>
      <c r="CN440" t="s">
        <v>230</v>
      </c>
      <c r="CP440" t="s">
        <v>242</v>
      </c>
      <c r="CQ440" t="s">
        <v>230</v>
      </c>
    </row>
    <row r="441" spans="1:95" x14ac:dyDescent="0.2">
      <c r="A441" t="s">
        <v>115</v>
      </c>
      <c r="B441" t="s">
        <v>116</v>
      </c>
      <c r="C441">
        <v>210784</v>
      </c>
      <c r="E441" t="s">
        <v>117</v>
      </c>
      <c r="F441">
        <v>368</v>
      </c>
      <c r="G441" t="s">
        <v>229</v>
      </c>
      <c r="H441" t="s">
        <v>230</v>
      </c>
      <c r="I441" t="s">
        <v>204</v>
      </c>
      <c r="J441" t="s">
        <v>205</v>
      </c>
      <c r="L441" t="s">
        <v>248</v>
      </c>
      <c r="M441" s="8">
        <v>45566</v>
      </c>
      <c r="N441">
        <v>110395</v>
      </c>
      <c r="O441" t="s">
        <v>123</v>
      </c>
      <c r="P441" t="s">
        <v>146</v>
      </c>
      <c r="Q441">
        <v>2</v>
      </c>
      <c r="R441" t="s">
        <v>125</v>
      </c>
      <c r="S441" t="s">
        <v>126</v>
      </c>
      <c r="T441" t="s">
        <v>125</v>
      </c>
      <c r="U441" t="s">
        <v>126</v>
      </c>
      <c r="W441">
        <v>2</v>
      </c>
      <c r="Y441">
        <v>2</v>
      </c>
      <c r="AC441">
        <v>2</v>
      </c>
      <c r="BH441" t="s">
        <v>126</v>
      </c>
      <c r="BI441" t="s">
        <v>126</v>
      </c>
      <c r="BJ441" t="s">
        <v>126</v>
      </c>
      <c r="BK441" t="s">
        <v>126</v>
      </c>
      <c r="BS441" t="s">
        <v>126</v>
      </c>
      <c r="BT441" t="s">
        <v>126</v>
      </c>
      <c r="BU441" t="s">
        <v>126</v>
      </c>
      <c r="BV441" t="s">
        <v>126</v>
      </c>
      <c r="CN441" t="s">
        <v>230</v>
      </c>
      <c r="CP441" t="s">
        <v>242</v>
      </c>
      <c r="CQ441" t="s">
        <v>230</v>
      </c>
    </row>
    <row r="442" spans="1:95" x14ac:dyDescent="0.2">
      <c r="A442" t="s">
        <v>115</v>
      </c>
      <c r="B442" t="s">
        <v>116</v>
      </c>
      <c r="C442">
        <v>210784</v>
      </c>
      <c r="E442" t="s">
        <v>117</v>
      </c>
      <c r="F442">
        <v>368</v>
      </c>
      <c r="G442" t="s">
        <v>229</v>
      </c>
      <c r="H442" t="s">
        <v>230</v>
      </c>
      <c r="I442" t="s">
        <v>204</v>
      </c>
      <c r="J442" t="s">
        <v>205</v>
      </c>
      <c r="L442" t="s">
        <v>247</v>
      </c>
      <c r="M442" s="8">
        <v>45566</v>
      </c>
      <c r="N442">
        <v>110336</v>
      </c>
      <c r="O442" t="s">
        <v>123</v>
      </c>
      <c r="P442" t="s">
        <v>146</v>
      </c>
      <c r="Q442">
        <v>4.22</v>
      </c>
      <c r="R442" t="s">
        <v>125</v>
      </c>
      <c r="S442" t="s">
        <v>126</v>
      </c>
      <c r="T442" t="s">
        <v>125</v>
      </c>
      <c r="U442" t="s">
        <v>126</v>
      </c>
      <c r="W442">
        <v>4.22</v>
      </c>
      <c r="Y442">
        <v>4.22</v>
      </c>
      <c r="AC442">
        <v>4.22</v>
      </c>
      <c r="BH442" t="s">
        <v>126</v>
      </c>
      <c r="BI442" t="s">
        <v>126</v>
      </c>
      <c r="BJ442" t="s">
        <v>126</v>
      </c>
      <c r="BK442" t="s">
        <v>126</v>
      </c>
      <c r="BS442" t="s">
        <v>126</v>
      </c>
      <c r="BT442" t="s">
        <v>126</v>
      </c>
      <c r="BU442" t="s">
        <v>126</v>
      </c>
      <c r="BV442" t="s">
        <v>126</v>
      </c>
      <c r="CN442" t="s">
        <v>230</v>
      </c>
      <c r="CP442" t="s">
        <v>242</v>
      </c>
      <c r="CQ442" t="s">
        <v>230</v>
      </c>
    </row>
    <row r="443" spans="1:95" x14ac:dyDescent="0.2">
      <c r="A443" t="s">
        <v>115</v>
      </c>
      <c r="B443" t="s">
        <v>116</v>
      </c>
      <c r="C443">
        <v>210784</v>
      </c>
      <c r="E443" t="s">
        <v>117</v>
      </c>
      <c r="F443">
        <v>368</v>
      </c>
      <c r="G443" t="s">
        <v>229</v>
      </c>
      <c r="H443" t="s">
        <v>230</v>
      </c>
      <c r="I443" t="s">
        <v>204</v>
      </c>
      <c r="J443" t="s">
        <v>205</v>
      </c>
      <c r="L443" t="s">
        <v>248</v>
      </c>
      <c r="M443" s="8">
        <v>45566</v>
      </c>
      <c r="N443">
        <v>110409</v>
      </c>
      <c r="O443" t="s">
        <v>123</v>
      </c>
      <c r="P443" t="s">
        <v>146</v>
      </c>
      <c r="Q443">
        <v>6.89</v>
      </c>
      <c r="R443" t="s">
        <v>125</v>
      </c>
      <c r="S443" t="s">
        <v>126</v>
      </c>
      <c r="T443" t="s">
        <v>125</v>
      </c>
      <c r="U443" t="s">
        <v>126</v>
      </c>
      <c r="W443">
        <v>6.89</v>
      </c>
      <c r="Y443">
        <v>6.89</v>
      </c>
      <c r="AC443">
        <v>6.89</v>
      </c>
      <c r="BH443" t="s">
        <v>126</v>
      </c>
      <c r="BI443" t="s">
        <v>126</v>
      </c>
      <c r="BJ443" t="s">
        <v>126</v>
      </c>
      <c r="BK443" t="s">
        <v>126</v>
      </c>
      <c r="BS443" t="s">
        <v>126</v>
      </c>
      <c r="BT443" t="s">
        <v>126</v>
      </c>
      <c r="BU443" t="s">
        <v>126</v>
      </c>
      <c r="BV443" t="s">
        <v>126</v>
      </c>
      <c r="CN443" t="s">
        <v>230</v>
      </c>
      <c r="CP443" t="s">
        <v>242</v>
      </c>
      <c r="CQ443" t="s">
        <v>230</v>
      </c>
    </row>
    <row r="444" spans="1:95" x14ac:dyDescent="0.2">
      <c r="A444" t="s">
        <v>115</v>
      </c>
      <c r="B444" t="s">
        <v>116</v>
      </c>
      <c r="C444">
        <v>210784</v>
      </c>
      <c r="E444" t="s">
        <v>117</v>
      </c>
      <c r="F444">
        <v>368</v>
      </c>
      <c r="G444" t="s">
        <v>229</v>
      </c>
      <c r="H444" t="s">
        <v>230</v>
      </c>
      <c r="I444" t="s">
        <v>204</v>
      </c>
      <c r="J444" t="s">
        <v>205</v>
      </c>
      <c r="L444" t="s">
        <v>248</v>
      </c>
      <c r="M444" s="8">
        <v>45566</v>
      </c>
      <c r="N444">
        <v>110419</v>
      </c>
      <c r="O444" t="s">
        <v>123</v>
      </c>
      <c r="P444" t="s">
        <v>146</v>
      </c>
      <c r="Q444">
        <v>8.2799999999999994</v>
      </c>
      <c r="R444" t="s">
        <v>125</v>
      </c>
      <c r="S444" t="s">
        <v>126</v>
      </c>
      <c r="T444" t="s">
        <v>125</v>
      </c>
      <c r="U444" t="s">
        <v>126</v>
      </c>
      <c r="W444">
        <v>8.2799999999999994</v>
      </c>
      <c r="Y444">
        <v>8.2799999999999994</v>
      </c>
      <c r="AC444">
        <v>8.2799999999999994</v>
      </c>
      <c r="BH444" t="s">
        <v>126</v>
      </c>
      <c r="BI444" t="s">
        <v>126</v>
      </c>
      <c r="BJ444" t="s">
        <v>126</v>
      </c>
      <c r="BK444" t="s">
        <v>126</v>
      </c>
      <c r="BS444" t="s">
        <v>126</v>
      </c>
      <c r="BT444" t="s">
        <v>126</v>
      </c>
      <c r="BU444" t="s">
        <v>126</v>
      </c>
      <c r="BV444" t="s">
        <v>126</v>
      </c>
      <c r="CN444" t="s">
        <v>230</v>
      </c>
      <c r="CP444" t="s">
        <v>242</v>
      </c>
      <c r="CQ444" t="s">
        <v>230</v>
      </c>
    </row>
    <row r="445" spans="1:95" x14ac:dyDescent="0.2">
      <c r="A445" t="s">
        <v>115</v>
      </c>
      <c r="B445" t="s">
        <v>116</v>
      </c>
      <c r="C445">
        <v>210784</v>
      </c>
      <c r="E445" t="s">
        <v>117</v>
      </c>
      <c r="F445">
        <v>368</v>
      </c>
      <c r="G445" t="s">
        <v>229</v>
      </c>
      <c r="H445" t="s">
        <v>230</v>
      </c>
      <c r="I445" t="s">
        <v>204</v>
      </c>
      <c r="J445" t="s">
        <v>205</v>
      </c>
      <c r="L445" t="s">
        <v>249</v>
      </c>
      <c r="M445" s="8">
        <v>45566</v>
      </c>
      <c r="N445" t="s">
        <v>250</v>
      </c>
      <c r="O445" t="s">
        <v>123</v>
      </c>
      <c r="P445" t="s">
        <v>146</v>
      </c>
      <c r="Q445">
        <v>8.4</v>
      </c>
      <c r="R445" t="s">
        <v>125</v>
      </c>
      <c r="S445" t="s">
        <v>126</v>
      </c>
      <c r="T445" t="s">
        <v>125</v>
      </c>
      <c r="U445" t="s">
        <v>126</v>
      </c>
      <c r="W445">
        <v>8.4</v>
      </c>
      <c r="Y445">
        <v>8.4</v>
      </c>
      <c r="AC445">
        <v>8.4</v>
      </c>
      <c r="BH445" t="s">
        <v>126</v>
      </c>
      <c r="BI445" t="s">
        <v>126</v>
      </c>
      <c r="BJ445" t="s">
        <v>126</v>
      </c>
      <c r="BK445" t="s">
        <v>126</v>
      </c>
      <c r="BS445" t="s">
        <v>126</v>
      </c>
      <c r="BT445" t="s">
        <v>126</v>
      </c>
      <c r="BU445" t="s">
        <v>126</v>
      </c>
      <c r="BV445" t="s">
        <v>126</v>
      </c>
      <c r="CN445" t="s">
        <v>230</v>
      </c>
      <c r="CP445" t="s">
        <v>242</v>
      </c>
      <c r="CQ445" t="s">
        <v>230</v>
      </c>
    </row>
    <row r="446" spans="1:95" x14ac:dyDescent="0.2">
      <c r="A446" t="s">
        <v>115</v>
      </c>
      <c r="B446" t="s">
        <v>116</v>
      </c>
      <c r="C446">
        <v>210784</v>
      </c>
      <c r="E446" t="s">
        <v>117</v>
      </c>
      <c r="F446">
        <v>368</v>
      </c>
      <c r="G446" t="s">
        <v>229</v>
      </c>
      <c r="H446" t="s">
        <v>230</v>
      </c>
      <c r="I446" t="s">
        <v>204</v>
      </c>
      <c r="J446" t="s">
        <v>205</v>
      </c>
      <c r="L446" t="s">
        <v>249</v>
      </c>
      <c r="M446" s="8">
        <v>45566</v>
      </c>
      <c r="N446" t="s">
        <v>251</v>
      </c>
      <c r="O446" t="s">
        <v>123</v>
      </c>
      <c r="P446" t="s">
        <v>146</v>
      </c>
      <c r="Q446">
        <v>9.93</v>
      </c>
      <c r="R446" t="s">
        <v>125</v>
      </c>
      <c r="S446" t="s">
        <v>126</v>
      </c>
      <c r="T446" t="s">
        <v>125</v>
      </c>
      <c r="U446" t="s">
        <v>126</v>
      </c>
      <c r="W446">
        <v>9.93</v>
      </c>
      <c r="Y446">
        <v>9.93</v>
      </c>
      <c r="AC446">
        <v>9.93</v>
      </c>
      <c r="BH446" t="s">
        <v>126</v>
      </c>
      <c r="BI446" t="s">
        <v>126</v>
      </c>
      <c r="BJ446" t="s">
        <v>126</v>
      </c>
      <c r="BK446" t="s">
        <v>126</v>
      </c>
      <c r="BS446" t="s">
        <v>126</v>
      </c>
      <c r="BT446" t="s">
        <v>126</v>
      </c>
      <c r="BU446" t="s">
        <v>126</v>
      </c>
      <c r="BV446" t="s">
        <v>126</v>
      </c>
      <c r="CN446" t="s">
        <v>230</v>
      </c>
      <c r="CP446" t="s">
        <v>242</v>
      </c>
      <c r="CQ446" t="s">
        <v>230</v>
      </c>
    </row>
    <row r="447" spans="1:95" x14ac:dyDescent="0.2">
      <c r="A447" t="s">
        <v>115</v>
      </c>
      <c r="B447" t="s">
        <v>116</v>
      </c>
      <c r="C447">
        <v>210784</v>
      </c>
      <c r="E447" t="s">
        <v>117</v>
      </c>
      <c r="F447">
        <v>368</v>
      </c>
      <c r="G447" t="s">
        <v>229</v>
      </c>
      <c r="H447" t="s">
        <v>230</v>
      </c>
      <c r="I447" t="s">
        <v>204</v>
      </c>
      <c r="J447" t="s">
        <v>205</v>
      </c>
      <c r="L447" t="s">
        <v>252</v>
      </c>
      <c r="M447" s="8">
        <v>45566</v>
      </c>
      <c r="N447">
        <v>0</v>
      </c>
      <c r="O447" t="s">
        <v>123</v>
      </c>
      <c r="P447" t="s">
        <v>146</v>
      </c>
      <c r="Q447">
        <v>5.91</v>
      </c>
      <c r="R447" t="s">
        <v>125</v>
      </c>
      <c r="S447" t="s">
        <v>126</v>
      </c>
      <c r="T447" t="s">
        <v>125</v>
      </c>
      <c r="U447" t="s">
        <v>126</v>
      </c>
      <c r="W447">
        <v>5.91</v>
      </c>
      <c r="Y447">
        <v>5.91</v>
      </c>
      <c r="AC447">
        <v>5.91</v>
      </c>
      <c r="BH447" t="s">
        <v>126</v>
      </c>
      <c r="BI447" t="s">
        <v>126</v>
      </c>
      <c r="BJ447" t="s">
        <v>126</v>
      </c>
      <c r="BK447" t="s">
        <v>126</v>
      </c>
      <c r="BS447" t="s">
        <v>126</v>
      </c>
      <c r="BT447" t="s">
        <v>126</v>
      </c>
      <c r="BU447" t="s">
        <v>126</v>
      </c>
      <c r="BV447" t="s">
        <v>126</v>
      </c>
      <c r="CN447" t="s">
        <v>230</v>
      </c>
      <c r="CP447" t="s">
        <v>242</v>
      </c>
      <c r="CQ447" t="s">
        <v>230</v>
      </c>
    </row>
    <row r="448" spans="1:95" x14ac:dyDescent="0.2">
      <c r="A448" t="s">
        <v>115</v>
      </c>
      <c r="B448" t="s">
        <v>116</v>
      </c>
      <c r="C448">
        <v>210784</v>
      </c>
      <c r="E448" t="s">
        <v>117</v>
      </c>
      <c r="F448">
        <v>368</v>
      </c>
      <c r="G448" t="s">
        <v>229</v>
      </c>
      <c r="H448" t="s">
        <v>230</v>
      </c>
      <c r="I448" t="s">
        <v>204</v>
      </c>
      <c r="J448" t="s">
        <v>205</v>
      </c>
      <c r="L448" t="s">
        <v>253</v>
      </c>
      <c r="M448" s="8">
        <v>45566</v>
      </c>
      <c r="N448">
        <v>110580</v>
      </c>
      <c r="O448" t="s">
        <v>123</v>
      </c>
      <c r="P448" t="s">
        <v>146</v>
      </c>
      <c r="Q448">
        <v>8.26</v>
      </c>
      <c r="R448" t="s">
        <v>125</v>
      </c>
      <c r="S448" t="s">
        <v>126</v>
      </c>
      <c r="T448" t="s">
        <v>125</v>
      </c>
      <c r="U448" t="s">
        <v>126</v>
      </c>
      <c r="W448">
        <v>8.26</v>
      </c>
      <c r="Y448">
        <v>8.26</v>
      </c>
      <c r="AC448">
        <v>8.26</v>
      </c>
      <c r="BH448" t="s">
        <v>126</v>
      </c>
      <c r="BI448" t="s">
        <v>126</v>
      </c>
      <c r="BJ448" t="s">
        <v>126</v>
      </c>
      <c r="BK448" t="s">
        <v>126</v>
      </c>
      <c r="BS448" t="s">
        <v>126</v>
      </c>
      <c r="BT448" t="s">
        <v>126</v>
      </c>
      <c r="BU448" t="s">
        <v>126</v>
      </c>
      <c r="BV448" t="s">
        <v>126</v>
      </c>
      <c r="CN448" t="s">
        <v>230</v>
      </c>
      <c r="CP448" t="s">
        <v>242</v>
      </c>
      <c r="CQ448" t="s">
        <v>230</v>
      </c>
    </row>
    <row r="449" spans="1:95" x14ac:dyDescent="0.2">
      <c r="A449" t="s">
        <v>115</v>
      </c>
      <c r="B449" t="s">
        <v>116</v>
      </c>
      <c r="C449">
        <v>210784</v>
      </c>
      <c r="E449" t="s">
        <v>117</v>
      </c>
      <c r="F449">
        <v>368</v>
      </c>
      <c r="G449" t="s">
        <v>229</v>
      </c>
      <c r="H449" t="s">
        <v>230</v>
      </c>
      <c r="I449" t="s">
        <v>204</v>
      </c>
      <c r="J449" t="s">
        <v>205</v>
      </c>
      <c r="L449" t="s">
        <v>254</v>
      </c>
      <c r="M449" s="8">
        <v>45566</v>
      </c>
      <c r="N449">
        <v>110839</v>
      </c>
      <c r="O449" t="s">
        <v>123</v>
      </c>
      <c r="P449" t="s">
        <v>146</v>
      </c>
      <c r="Q449">
        <v>9.77</v>
      </c>
      <c r="R449" t="s">
        <v>125</v>
      </c>
      <c r="S449" t="s">
        <v>126</v>
      </c>
      <c r="T449" t="s">
        <v>125</v>
      </c>
      <c r="U449" t="s">
        <v>126</v>
      </c>
      <c r="W449">
        <v>9.77</v>
      </c>
      <c r="Y449">
        <v>9.77</v>
      </c>
      <c r="AC449">
        <v>9.77</v>
      </c>
      <c r="BH449" t="s">
        <v>126</v>
      </c>
      <c r="BI449" t="s">
        <v>126</v>
      </c>
      <c r="BJ449" t="s">
        <v>126</v>
      </c>
      <c r="BK449" t="s">
        <v>126</v>
      </c>
      <c r="BS449" t="s">
        <v>126</v>
      </c>
      <c r="BT449" t="s">
        <v>126</v>
      </c>
      <c r="BU449" t="s">
        <v>126</v>
      </c>
      <c r="BV449" t="s">
        <v>126</v>
      </c>
      <c r="CN449" t="s">
        <v>230</v>
      </c>
      <c r="CP449" t="s">
        <v>242</v>
      </c>
      <c r="CQ449" t="s">
        <v>230</v>
      </c>
    </row>
    <row r="450" spans="1:95" x14ac:dyDescent="0.2">
      <c r="A450" t="s">
        <v>115</v>
      </c>
      <c r="B450" t="s">
        <v>116</v>
      </c>
      <c r="C450">
        <v>210784</v>
      </c>
      <c r="E450" t="s">
        <v>117</v>
      </c>
      <c r="F450">
        <v>368</v>
      </c>
      <c r="G450" t="s">
        <v>229</v>
      </c>
      <c r="H450" t="s">
        <v>230</v>
      </c>
      <c r="I450" t="s">
        <v>204</v>
      </c>
      <c r="J450" t="s">
        <v>205</v>
      </c>
      <c r="L450" t="s">
        <v>255</v>
      </c>
      <c r="M450" s="8">
        <v>45566</v>
      </c>
      <c r="N450">
        <v>110988</v>
      </c>
      <c r="O450" t="s">
        <v>123</v>
      </c>
      <c r="P450" t="s">
        <v>146</v>
      </c>
      <c r="Q450">
        <v>8.59</v>
      </c>
      <c r="R450" t="s">
        <v>125</v>
      </c>
      <c r="S450" t="s">
        <v>126</v>
      </c>
      <c r="T450" t="s">
        <v>125</v>
      </c>
      <c r="U450" t="s">
        <v>126</v>
      </c>
      <c r="W450">
        <v>8.59</v>
      </c>
      <c r="Y450">
        <v>8.59</v>
      </c>
      <c r="AC450">
        <v>8.59</v>
      </c>
      <c r="BH450" t="s">
        <v>126</v>
      </c>
      <c r="BI450" t="s">
        <v>126</v>
      </c>
      <c r="BJ450" t="s">
        <v>126</v>
      </c>
      <c r="BK450" t="s">
        <v>126</v>
      </c>
      <c r="BS450" t="s">
        <v>126</v>
      </c>
      <c r="BT450" t="s">
        <v>126</v>
      </c>
      <c r="BU450" t="s">
        <v>126</v>
      </c>
      <c r="BV450" t="s">
        <v>126</v>
      </c>
      <c r="CN450" t="s">
        <v>230</v>
      </c>
      <c r="CP450" t="s">
        <v>242</v>
      </c>
      <c r="CQ450" t="s">
        <v>230</v>
      </c>
    </row>
    <row r="451" spans="1:95" x14ac:dyDescent="0.2">
      <c r="A451" t="s">
        <v>115</v>
      </c>
      <c r="B451" t="s">
        <v>116</v>
      </c>
      <c r="C451">
        <v>210784</v>
      </c>
      <c r="E451" t="s">
        <v>117</v>
      </c>
      <c r="F451">
        <v>368</v>
      </c>
      <c r="G451" t="s">
        <v>229</v>
      </c>
      <c r="H451" t="s">
        <v>230</v>
      </c>
      <c r="I451" t="s">
        <v>204</v>
      </c>
      <c r="J451" t="s">
        <v>205</v>
      </c>
      <c r="L451" t="s">
        <v>256</v>
      </c>
      <c r="M451" s="8">
        <v>45566</v>
      </c>
      <c r="N451">
        <v>111102</v>
      </c>
      <c r="O451" t="s">
        <v>123</v>
      </c>
      <c r="P451" t="s">
        <v>146</v>
      </c>
      <c r="Q451">
        <v>4.45</v>
      </c>
      <c r="R451" t="s">
        <v>125</v>
      </c>
      <c r="S451" t="s">
        <v>126</v>
      </c>
      <c r="T451" t="s">
        <v>125</v>
      </c>
      <c r="U451" t="s">
        <v>126</v>
      </c>
      <c r="W451">
        <v>4.45</v>
      </c>
      <c r="Y451">
        <v>4.45</v>
      </c>
      <c r="AC451">
        <v>4.45</v>
      </c>
      <c r="BH451" t="s">
        <v>126</v>
      </c>
      <c r="BI451" t="s">
        <v>126</v>
      </c>
      <c r="BJ451" t="s">
        <v>126</v>
      </c>
      <c r="BK451" t="s">
        <v>126</v>
      </c>
      <c r="BS451" t="s">
        <v>126</v>
      </c>
      <c r="BT451" t="s">
        <v>126</v>
      </c>
      <c r="BU451" t="s">
        <v>126</v>
      </c>
      <c r="BV451" t="s">
        <v>126</v>
      </c>
      <c r="CN451" t="s">
        <v>230</v>
      </c>
      <c r="CP451" t="s">
        <v>242</v>
      </c>
      <c r="CQ451" t="s">
        <v>230</v>
      </c>
    </row>
    <row r="452" spans="1:95" x14ac:dyDescent="0.2">
      <c r="A452" t="s">
        <v>115</v>
      </c>
      <c r="B452" t="s">
        <v>116</v>
      </c>
      <c r="C452">
        <v>210784</v>
      </c>
      <c r="E452" t="s">
        <v>117</v>
      </c>
      <c r="F452">
        <v>368</v>
      </c>
      <c r="G452" t="s">
        <v>229</v>
      </c>
      <c r="H452" t="s">
        <v>230</v>
      </c>
      <c r="I452" t="s">
        <v>204</v>
      </c>
      <c r="J452" t="s">
        <v>205</v>
      </c>
      <c r="L452" t="s">
        <v>257</v>
      </c>
      <c r="M452" s="8">
        <v>45566</v>
      </c>
      <c r="N452">
        <v>111412</v>
      </c>
      <c r="O452" t="s">
        <v>123</v>
      </c>
      <c r="P452" t="s">
        <v>146</v>
      </c>
      <c r="Q452">
        <v>11.84</v>
      </c>
      <c r="R452" t="s">
        <v>125</v>
      </c>
      <c r="S452" t="s">
        <v>126</v>
      </c>
      <c r="T452" t="s">
        <v>125</v>
      </c>
      <c r="U452" t="s">
        <v>126</v>
      </c>
      <c r="W452">
        <v>11.84</v>
      </c>
      <c r="Y452">
        <v>11.84</v>
      </c>
      <c r="AC452">
        <v>11.84</v>
      </c>
      <c r="BH452" t="s">
        <v>126</v>
      </c>
      <c r="BI452" t="s">
        <v>126</v>
      </c>
      <c r="BJ452" t="s">
        <v>126</v>
      </c>
      <c r="BK452" t="s">
        <v>126</v>
      </c>
      <c r="BS452" t="s">
        <v>126</v>
      </c>
      <c r="BT452" t="s">
        <v>126</v>
      </c>
      <c r="BU452" t="s">
        <v>126</v>
      </c>
      <c r="BV452" t="s">
        <v>126</v>
      </c>
      <c r="CN452" t="s">
        <v>230</v>
      </c>
      <c r="CP452" t="s">
        <v>242</v>
      </c>
      <c r="CQ452" t="s">
        <v>230</v>
      </c>
    </row>
    <row r="453" spans="1:95" x14ac:dyDescent="0.2">
      <c r="A453" t="s">
        <v>115</v>
      </c>
      <c r="B453" t="s">
        <v>116</v>
      </c>
      <c r="C453">
        <v>210784</v>
      </c>
      <c r="E453" t="s">
        <v>117</v>
      </c>
      <c r="F453">
        <v>368</v>
      </c>
      <c r="G453" t="s">
        <v>141</v>
      </c>
      <c r="H453" t="s">
        <v>142</v>
      </c>
      <c r="I453" t="s">
        <v>204</v>
      </c>
      <c r="J453" t="s">
        <v>205</v>
      </c>
      <c r="L453" t="s">
        <v>241</v>
      </c>
      <c r="M453" s="8">
        <v>45566</v>
      </c>
      <c r="N453">
        <v>109739</v>
      </c>
      <c r="O453" t="s">
        <v>123</v>
      </c>
      <c r="P453" t="s">
        <v>146</v>
      </c>
      <c r="Q453">
        <v>5.96</v>
      </c>
      <c r="R453" t="s">
        <v>125</v>
      </c>
      <c r="S453" t="s">
        <v>126</v>
      </c>
      <c r="T453" t="s">
        <v>125</v>
      </c>
      <c r="U453" t="s">
        <v>126</v>
      </c>
      <c r="W453">
        <v>5.96</v>
      </c>
      <c r="Y453">
        <v>5.96</v>
      </c>
      <c r="AC453">
        <v>5.96</v>
      </c>
      <c r="BH453" t="s">
        <v>126</v>
      </c>
      <c r="BI453" t="s">
        <v>126</v>
      </c>
      <c r="BJ453" t="s">
        <v>126</v>
      </c>
      <c r="BK453" t="s">
        <v>126</v>
      </c>
      <c r="BS453" t="s">
        <v>126</v>
      </c>
      <c r="BT453" t="s">
        <v>126</v>
      </c>
      <c r="BU453" t="s">
        <v>126</v>
      </c>
      <c r="BV453" t="s">
        <v>126</v>
      </c>
      <c r="CN453" t="s">
        <v>147</v>
      </c>
      <c r="CP453" t="s">
        <v>258</v>
      </c>
      <c r="CQ453" t="s">
        <v>147</v>
      </c>
    </row>
    <row r="454" spans="1:95" x14ac:dyDescent="0.2">
      <c r="A454" t="s">
        <v>115</v>
      </c>
      <c r="B454" t="s">
        <v>116</v>
      </c>
      <c r="C454">
        <v>210784</v>
      </c>
      <c r="E454" t="s">
        <v>117</v>
      </c>
      <c r="F454">
        <v>368</v>
      </c>
      <c r="G454" t="s">
        <v>141</v>
      </c>
      <c r="H454" t="s">
        <v>142</v>
      </c>
      <c r="I454" t="s">
        <v>259</v>
      </c>
      <c r="J454" t="s">
        <v>260</v>
      </c>
      <c r="L454" t="s">
        <v>261</v>
      </c>
      <c r="M454" s="8">
        <v>45566</v>
      </c>
      <c r="N454">
        <v>26526</v>
      </c>
      <c r="O454" t="s">
        <v>123</v>
      </c>
      <c r="P454" t="s">
        <v>146</v>
      </c>
      <c r="Q454">
        <v>8</v>
      </c>
      <c r="R454" t="s">
        <v>125</v>
      </c>
      <c r="S454" t="s">
        <v>126</v>
      </c>
      <c r="T454" t="s">
        <v>125</v>
      </c>
      <c r="U454" t="s">
        <v>126</v>
      </c>
      <c r="W454">
        <v>8</v>
      </c>
      <c r="Y454">
        <v>8</v>
      </c>
      <c r="AC454">
        <v>8</v>
      </c>
      <c r="BH454" t="s">
        <v>126</v>
      </c>
      <c r="BI454" t="s">
        <v>126</v>
      </c>
      <c r="BJ454" t="s">
        <v>126</v>
      </c>
      <c r="BK454" t="s">
        <v>126</v>
      </c>
      <c r="BS454" t="s">
        <v>126</v>
      </c>
      <c r="BT454" t="s">
        <v>126</v>
      </c>
      <c r="BU454" t="s">
        <v>126</v>
      </c>
      <c r="BV454" t="s">
        <v>126</v>
      </c>
      <c r="CN454" t="s">
        <v>147</v>
      </c>
      <c r="CP454" t="s">
        <v>258</v>
      </c>
      <c r="CQ454" t="s">
        <v>147</v>
      </c>
    </row>
    <row r="455" spans="1:95" x14ac:dyDescent="0.2">
      <c r="A455" t="s">
        <v>115</v>
      </c>
      <c r="B455" t="s">
        <v>116</v>
      </c>
      <c r="C455">
        <v>210784</v>
      </c>
      <c r="E455" t="s">
        <v>117</v>
      </c>
      <c r="F455">
        <v>368</v>
      </c>
      <c r="G455" t="s">
        <v>141</v>
      </c>
      <c r="H455" t="s">
        <v>142</v>
      </c>
      <c r="I455" t="s">
        <v>204</v>
      </c>
      <c r="J455" t="s">
        <v>205</v>
      </c>
      <c r="L455" t="s">
        <v>243</v>
      </c>
      <c r="M455" s="8">
        <v>45566</v>
      </c>
      <c r="N455">
        <v>109893</v>
      </c>
      <c r="O455" t="s">
        <v>123</v>
      </c>
      <c r="P455" t="s">
        <v>146</v>
      </c>
      <c r="Q455">
        <v>3.45</v>
      </c>
      <c r="R455" t="s">
        <v>125</v>
      </c>
      <c r="S455" t="s">
        <v>126</v>
      </c>
      <c r="T455" t="s">
        <v>125</v>
      </c>
      <c r="U455" t="s">
        <v>126</v>
      </c>
      <c r="W455">
        <v>3.45</v>
      </c>
      <c r="Y455">
        <v>3.45</v>
      </c>
      <c r="AC455">
        <v>3.45</v>
      </c>
      <c r="BH455" t="s">
        <v>126</v>
      </c>
      <c r="BI455" t="s">
        <v>126</v>
      </c>
      <c r="BJ455" t="s">
        <v>126</v>
      </c>
      <c r="BK455" t="s">
        <v>126</v>
      </c>
      <c r="BS455" t="s">
        <v>126</v>
      </c>
      <c r="BT455" t="s">
        <v>126</v>
      </c>
      <c r="BU455" t="s">
        <v>126</v>
      </c>
      <c r="BV455" t="s">
        <v>126</v>
      </c>
      <c r="CN455" t="s">
        <v>147</v>
      </c>
      <c r="CP455" t="s">
        <v>258</v>
      </c>
      <c r="CQ455" t="s">
        <v>147</v>
      </c>
    </row>
    <row r="456" spans="1:95" x14ac:dyDescent="0.2">
      <c r="A456" t="s">
        <v>115</v>
      </c>
      <c r="B456" t="s">
        <v>116</v>
      </c>
      <c r="C456">
        <v>210784</v>
      </c>
      <c r="E456" t="s">
        <v>117</v>
      </c>
      <c r="F456">
        <v>368</v>
      </c>
      <c r="G456" t="s">
        <v>141</v>
      </c>
      <c r="H456" t="s">
        <v>142</v>
      </c>
      <c r="I456" t="s">
        <v>204</v>
      </c>
      <c r="J456" t="s">
        <v>205</v>
      </c>
      <c r="L456" t="s">
        <v>244</v>
      </c>
      <c r="M456" s="8">
        <v>45566</v>
      </c>
      <c r="N456">
        <v>110020</v>
      </c>
      <c r="O456" t="s">
        <v>123</v>
      </c>
      <c r="P456" t="s">
        <v>146</v>
      </c>
      <c r="Q456">
        <v>10.35</v>
      </c>
      <c r="R456" t="s">
        <v>125</v>
      </c>
      <c r="S456" t="s">
        <v>126</v>
      </c>
      <c r="T456" t="s">
        <v>125</v>
      </c>
      <c r="U456" t="s">
        <v>126</v>
      </c>
      <c r="W456">
        <v>10.35</v>
      </c>
      <c r="Y456">
        <v>10.35</v>
      </c>
      <c r="AC456">
        <v>10.35</v>
      </c>
      <c r="BH456" t="s">
        <v>126</v>
      </c>
      <c r="BI456" t="s">
        <v>126</v>
      </c>
      <c r="BJ456" t="s">
        <v>126</v>
      </c>
      <c r="BK456" t="s">
        <v>126</v>
      </c>
      <c r="BS456" t="s">
        <v>126</v>
      </c>
      <c r="BT456" t="s">
        <v>126</v>
      </c>
      <c r="BU456" t="s">
        <v>126</v>
      </c>
      <c r="BV456" t="s">
        <v>126</v>
      </c>
      <c r="CN456" t="s">
        <v>147</v>
      </c>
      <c r="CP456" t="s">
        <v>258</v>
      </c>
      <c r="CQ456" t="s">
        <v>147</v>
      </c>
    </row>
    <row r="457" spans="1:95" x14ac:dyDescent="0.2">
      <c r="A457" t="s">
        <v>115</v>
      </c>
      <c r="B457" t="s">
        <v>116</v>
      </c>
      <c r="C457">
        <v>210784</v>
      </c>
      <c r="E457" t="s">
        <v>117</v>
      </c>
      <c r="F457">
        <v>368</v>
      </c>
      <c r="G457" t="s">
        <v>141</v>
      </c>
      <c r="H457" t="s">
        <v>142</v>
      </c>
      <c r="I457" t="s">
        <v>204</v>
      </c>
      <c r="J457" t="s">
        <v>205</v>
      </c>
      <c r="L457" t="s">
        <v>245</v>
      </c>
      <c r="M457" s="8">
        <v>45566</v>
      </c>
      <c r="N457">
        <v>110175</v>
      </c>
      <c r="O457" t="s">
        <v>123</v>
      </c>
      <c r="P457" t="s">
        <v>146</v>
      </c>
      <c r="Q457">
        <v>9.43</v>
      </c>
      <c r="R457" t="s">
        <v>125</v>
      </c>
      <c r="S457" t="s">
        <v>126</v>
      </c>
      <c r="T457" t="s">
        <v>125</v>
      </c>
      <c r="U457" t="s">
        <v>126</v>
      </c>
      <c r="W457">
        <v>9.43</v>
      </c>
      <c r="Y457">
        <v>9.43</v>
      </c>
      <c r="AC457">
        <v>9.43</v>
      </c>
      <c r="BH457" t="s">
        <v>126</v>
      </c>
      <c r="BI457" t="s">
        <v>126</v>
      </c>
      <c r="BJ457" t="s">
        <v>126</v>
      </c>
      <c r="BK457" t="s">
        <v>126</v>
      </c>
      <c r="BS457" t="s">
        <v>126</v>
      </c>
      <c r="BT457" t="s">
        <v>126</v>
      </c>
      <c r="BU457" t="s">
        <v>126</v>
      </c>
      <c r="BV457" t="s">
        <v>126</v>
      </c>
      <c r="CN457" t="s">
        <v>147</v>
      </c>
      <c r="CP457" t="s">
        <v>258</v>
      </c>
      <c r="CQ457" t="s">
        <v>147</v>
      </c>
    </row>
    <row r="458" spans="1:95" x14ac:dyDescent="0.2">
      <c r="A458" t="s">
        <v>115</v>
      </c>
      <c r="B458" t="s">
        <v>116</v>
      </c>
      <c r="C458">
        <v>210784</v>
      </c>
      <c r="E458" t="s">
        <v>117</v>
      </c>
      <c r="F458">
        <v>368</v>
      </c>
      <c r="G458" t="s">
        <v>141</v>
      </c>
      <c r="H458" t="s">
        <v>142</v>
      </c>
      <c r="I458" t="s">
        <v>204</v>
      </c>
      <c r="J458" t="s">
        <v>205</v>
      </c>
      <c r="L458" t="s">
        <v>246</v>
      </c>
      <c r="M458" s="8">
        <v>45566</v>
      </c>
      <c r="N458">
        <v>110254</v>
      </c>
      <c r="O458" t="s">
        <v>123</v>
      </c>
      <c r="P458" t="s">
        <v>146</v>
      </c>
      <c r="Q458">
        <v>9</v>
      </c>
      <c r="R458" t="s">
        <v>125</v>
      </c>
      <c r="S458" t="s">
        <v>126</v>
      </c>
      <c r="T458" t="s">
        <v>125</v>
      </c>
      <c r="U458" t="s">
        <v>126</v>
      </c>
      <c r="W458">
        <v>9</v>
      </c>
      <c r="Y458">
        <v>9</v>
      </c>
      <c r="AC458">
        <v>9</v>
      </c>
      <c r="BH458" t="s">
        <v>126</v>
      </c>
      <c r="BI458" t="s">
        <v>126</v>
      </c>
      <c r="BJ458" t="s">
        <v>126</v>
      </c>
      <c r="BK458" t="s">
        <v>126</v>
      </c>
      <c r="BS458" t="s">
        <v>126</v>
      </c>
      <c r="BT458" t="s">
        <v>126</v>
      </c>
      <c r="BU458" t="s">
        <v>126</v>
      </c>
      <c r="BV458" t="s">
        <v>126</v>
      </c>
      <c r="CN458" t="s">
        <v>147</v>
      </c>
      <c r="CP458" t="s">
        <v>258</v>
      </c>
      <c r="CQ458" t="s">
        <v>147</v>
      </c>
    </row>
    <row r="459" spans="1:95" x14ac:dyDescent="0.2">
      <c r="A459" t="s">
        <v>115</v>
      </c>
      <c r="B459" t="s">
        <v>116</v>
      </c>
      <c r="C459">
        <v>210784</v>
      </c>
      <c r="E459" t="s">
        <v>117</v>
      </c>
      <c r="F459">
        <v>368</v>
      </c>
      <c r="G459" t="s">
        <v>141</v>
      </c>
      <c r="H459" t="s">
        <v>142</v>
      </c>
      <c r="I459" t="s">
        <v>204</v>
      </c>
      <c r="J459" t="s">
        <v>205</v>
      </c>
      <c r="L459" t="s">
        <v>246</v>
      </c>
      <c r="M459" s="8">
        <v>45566</v>
      </c>
      <c r="N459">
        <v>110208</v>
      </c>
      <c r="O459" t="s">
        <v>123</v>
      </c>
      <c r="P459" t="s">
        <v>146</v>
      </c>
      <c r="Q459">
        <v>10.45</v>
      </c>
      <c r="R459" t="s">
        <v>125</v>
      </c>
      <c r="S459" t="s">
        <v>126</v>
      </c>
      <c r="T459" t="s">
        <v>125</v>
      </c>
      <c r="U459" t="s">
        <v>126</v>
      </c>
      <c r="W459">
        <v>10.45</v>
      </c>
      <c r="Y459">
        <v>10.45</v>
      </c>
      <c r="AC459">
        <v>10.45</v>
      </c>
      <c r="BH459" t="s">
        <v>126</v>
      </c>
      <c r="BI459" t="s">
        <v>126</v>
      </c>
      <c r="BJ459" t="s">
        <v>126</v>
      </c>
      <c r="BK459" t="s">
        <v>126</v>
      </c>
      <c r="BS459" t="s">
        <v>126</v>
      </c>
      <c r="BT459" t="s">
        <v>126</v>
      </c>
      <c r="BU459" t="s">
        <v>126</v>
      </c>
      <c r="BV459" t="s">
        <v>126</v>
      </c>
      <c r="CN459" t="s">
        <v>147</v>
      </c>
      <c r="CP459" t="s">
        <v>258</v>
      </c>
      <c r="CQ459" t="s">
        <v>147</v>
      </c>
    </row>
    <row r="460" spans="1:95" x14ac:dyDescent="0.2">
      <c r="A460" t="s">
        <v>115</v>
      </c>
      <c r="B460" t="s">
        <v>116</v>
      </c>
      <c r="C460">
        <v>210784</v>
      </c>
      <c r="E460" t="s">
        <v>117</v>
      </c>
      <c r="F460">
        <v>368</v>
      </c>
      <c r="G460" t="s">
        <v>141</v>
      </c>
      <c r="H460" t="s">
        <v>142</v>
      </c>
      <c r="I460" t="s">
        <v>204</v>
      </c>
      <c r="J460" t="s">
        <v>205</v>
      </c>
      <c r="L460" t="s">
        <v>247</v>
      </c>
      <c r="M460" s="8">
        <v>45566</v>
      </c>
      <c r="N460">
        <v>110305</v>
      </c>
      <c r="O460" t="s">
        <v>123</v>
      </c>
      <c r="P460" t="s">
        <v>146</v>
      </c>
      <c r="Q460">
        <v>3.94</v>
      </c>
      <c r="R460" t="s">
        <v>125</v>
      </c>
      <c r="S460" t="s">
        <v>126</v>
      </c>
      <c r="T460" t="s">
        <v>125</v>
      </c>
      <c r="U460" t="s">
        <v>126</v>
      </c>
      <c r="W460">
        <v>3.94</v>
      </c>
      <c r="Y460">
        <v>3.94</v>
      </c>
      <c r="AC460">
        <v>3.94</v>
      </c>
      <c r="BH460" t="s">
        <v>126</v>
      </c>
      <c r="BI460" t="s">
        <v>126</v>
      </c>
      <c r="BJ460" t="s">
        <v>126</v>
      </c>
      <c r="BK460" t="s">
        <v>126</v>
      </c>
      <c r="BS460" t="s">
        <v>126</v>
      </c>
      <c r="BT460" t="s">
        <v>126</v>
      </c>
      <c r="BU460" t="s">
        <v>126</v>
      </c>
      <c r="BV460" t="s">
        <v>126</v>
      </c>
      <c r="CN460" t="s">
        <v>147</v>
      </c>
      <c r="CP460" t="s">
        <v>258</v>
      </c>
      <c r="CQ460" t="s">
        <v>147</v>
      </c>
    </row>
    <row r="461" spans="1:95" x14ac:dyDescent="0.2">
      <c r="A461" t="s">
        <v>115</v>
      </c>
      <c r="B461" t="s">
        <v>116</v>
      </c>
      <c r="C461">
        <v>210784</v>
      </c>
      <c r="E461" t="s">
        <v>117</v>
      </c>
      <c r="F461">
        <v>368</v>
      </c>
      <c r="G461" t="s">
        <v>141</v>
      </c>
      <c r="H461" t="s">
        <v>142</v>
      </c>
      <c r="I461" t="s">
        <v>204</v>
      </c>
      <c r="J461" t="s">
        <v>205</v>
      </c>
      <c r="L461" t="s">
        <v>248</v>
      </c>
      <c r="M461" s="8">
        <v>45566</v>
      </c>
      <c r="N461">
        <v>110395</v>
      </c>
      <c r="O461" t="s">
        <v>123</v>
      </c>
      <c r="P461" t="s">
        <v>146</v>
      </c>
      <c r="Q461">
        <v>2</v>
      </c>
      <c r="R461" t="s">
        <v>125</v>
      </c>
      <c r="S461" t="s">
        <v>126</v>
      </c>
      <c r="T461" t="s">
        <v>125</v>
      </c>
      <c r="U461" t="s">
        <v>126</v>
      </c>
      <c r="W461">
        <v>2</v>
      </c>
      <c r="Y461">
        <v>2</v>
      </c>
      <c r="AC461">
        <v>2</v>
      </c>
      <c r="BH461" t="s">
        <v>126</v>
      </c>
      <c r="BI461" t="s">
        <v>126</v>
      </c>
      <c r="BJ461" t="s">
        <v>126</v>
      </c>
      <c r="BK461" t="s">
        <v>126</v>
      </c>
      <c r="BS461" t="s">
        <v>126</v>
      </c>
      <c r="BT461" t="s">
        <v>126</v>
      </c>
      <c r="BU461" t="s">
        <v>126</v>
      </c>
      <c r="BV461" t="s">
        <v>126</v>
      </c>
      <c r="CN461" t="s">
        <v>147</v>
      </c>
      <c r="CP461" t="s">
        <v>258</v>
      </c>
      <c r="CQ461" t="s">
        <v>147</v>
      </c>
    </row>
    <row r="462" spans="1:95" x14ac:dyDescent="0.2">
      <c r="A462" t="s">
        <v>115</v>
      </c>
      <c r="B462" t="s">
        <v>116</v>
      </c>
      <c r="C462">
        <v>210784</v>
      </c>
      <c r="E462" t="s">
        <v>117</v>
      </c>
      <c r="F462">
        <v>368</v>
      </c>
      <c r="G462" t="s">
        <v>141</v>
      </c>
      <c r="H462" t="s">
        <v>142</v>
      </c>
      <c r="I462" t="s">
        <v>204</v>
      </c>
      <c r="J462" t="s">
        <v>205</v>
      </c>
      <c r="L462" t="s">
        <v>247</v>
      </c>
      <c r="M462" s="8">
        <v>45566</v>
      </c>
      <c r="N462">
        <v>110336</v>
      </c>
      <c r="O462" t="s">
        <v>123</v>
      </c>
      <c r="P462" t="s">
        <v>146</v>
      </c>
      <c r="Q462">
        <v>4.22</v>
      </c>
      <c r="R462" t="s">
        <v>125</v>
      </c>
      <c r="S462" t="s">
        <v>126</v>
      </c>
      <c r="T462" t="s">
        <v>125</v>
      </c>
      <c r="U462" t="s">
        <v>126</v>
      </c>
      <c r="W462">
        <v>4.22</v>
      </c>
      <c r="Y462">
        <v>4.22</v>
      </c>
      <c r="AC462">
        <v>4.22</v>
      </c>
      <c r="BH462" t="s">
        <v>126</v>
      </c>
      <c r="BI462" t="s">
        <v>126</v>
      </c>
      <c r="BJ462" t="s">
        <v>126</v>
      </c>
      <c r="BK462" t="s">
        <v>126</v>
      </c>
      <c r="BS462" t="s">
        <v>126</v>
      </c>
      <c r="BT462" t="s">
        <v>126</v>
      </c>
      <c r="BU462" t="s">
        <v>126</v>
      </c>
      <c r="BV462" t="s">
        <v>126</v>
      </c>
      <c r="CN462" t="s">
        <v>147</v>
      </c>
      <c r="CP462" t="s">
        <v>258</v>
      </c>
      <c r="CQ462" t="s">
        <v>147</v>
      </c>
    </row>
    <row r="463" spans="1:95" x14ac:dyDescent="0.2">
      <c r="A463" t="s">
        <v>115</v>
      </c>
      <c r="B463" t="s">
        <v>116</v>
      </c>
      <c r="C463">
        <v>210784</v>
      </c>
      <c r="E463" t="s">
        <v>117</v>
      </c>
      <c r="F463">
        <v>368</v>
      </c>
      <c r="G463" t="s">
        <v>141</v>
      </c>
      <c r="H463" t="s">
        <v>142</v>
      </c>
      <c r="I463" t="s">
        <v>204</v>
      </c>
      <c r="J463" t="s">
        <v>205</v>
      </c>
      <c r="L463" t="s">
        <v>248</v>
      </c>
      <c r="M463" s="8">
        <v>45566</v>
      </c>
      <c r="N463">
        <v>110409</v>
      </c>
      <c r="O463" t="s">
        <v>123</v>
      </c>
      <c r="P463" t="s">
        <v>146</v>
      </c>
      <c r="Q463">
        <v>6.89</v>
      </c>
      <c r="R463" t="s">
        <v>125</v>
      </c>
      <c r="S463" t="s">
        <v>126</v>
      </c>
      <c r="T463" t="s">
        <v>125</v>
      </c>
      <c r="U463" t="s">
        <v>126</v>
      </c>
      <c r="W463">
        <v>6.89</v>
      </c>
      <c r="Y463">
        <v>6.89</v>
      </c>
      <c r="AC463">
        <v>6.89</v>
      </c>
      <c r="BH463" t="s">
        <v>126</v>
      </c>
      <c r="BI463" t="s">
        <v>126</v>
      </c>
      <c r="BJ463" t="s">
        <v>126</v>
      </c>
      <c r="BK463" t="s">
        <v>126</v>
      </c>
      <c r="BS463" t="s">
        <v>126</v>
      </c>
      <c r="BT463" t="s">
        <v>126</v>
      </c>
      <c r="BU463" t="s">
        <v>126</v>
      </c>
      <c r="BV463" t="s">
        <v>126</v>
      </c>
      <c r="CN463" t="s">
        <v>147</v>
      </c>
      <c r="CP463" t="s">
        <v>258</v>
      </c>
      <c r="CQ463" t="s">
        <v>147</v>
      </c>
    </row>
    <row r="464" spans="1:95" x14ac:dyDescent="0.2">
      <c r="A464" t="s">
        <v>115</v>
      </c>
      <c r="B464" t="s">
        <v>116</v>
      </c>
      <c r="C464">
        <v>210784</v>
      </c>
      <c r="E464" t="s">
        <v>117</v>
      </c>
      <c r="F464">
        <v>368</v>
      </c>
      <c r="G464" t="s">
        <v>141</v>
      </c>
      <c r="H464" t="s">
        <v>142</v>
      </c>
      <c r="I464" t="s">
        <v>204</v>
      </c>
      <c r="J464" t="s">
        <v>205</v>
      </c>
      <c r="L464" t="s">
        <v>248</v>
      </c>
      <c r="M464" s="8">
        <v>45566</v>
      </c>
      <c r="N464">
        <v>110419</v>
      </c>
      <c r="O464" t="s">
        <v>123</v>
      </c>
      <c r="P464" t="s">
        <v>146</v>
      </c>
      <c r="Q464">
        <v>8.2799999999999994</v>
      </c>
      <c r="R464" t="s">
        <v>125</v>
      </c>
      <c r="S464" t="s">
        <v>126</v>
      </c>
      <c r="T464" t="s">
        <v>125</v>
      </c>
      <c r="U464" t="s">
        <v>126</v>
      </c>
      <c r="W464">
        <v>8.2799999999999994</v>
      </c>
      <c r="Y464">
        <v>8.2799999999999994</v>
      </c>
      <c r="AC464">
        <v>8.2799999999999994</v>
      </c>
      <c r="BH464" t="s">
        <v>126</v>
      </c>
      <c r="BI464" t="s">
        <v>126</v>
      </c>
      <c r="BJ464" t="s">
        <v>126</v>
      </c>
      <c r="BK464" t="s">
        <v>126</v>
      </c>
      <c r="BS464" t="s">
        <v>126</v>
      </c>
      <c r="BT464" t="s">
        <v>126</v>
      </c>
      <c r="BU464" t="s">
        <v>126</v>
      </c>
      <c r="BV464" t="s">
        <v>126</v>
      </c>
      <c r="CN464" t="s">
        <v>147</v>
      </c>
      <c r="CP464" t="s">
        <v>258</v>
      </c>
      <c r="CQ464" t="s">
        <v>147</v>
      </c>
    </row>
    <row r="465" spans="1:95" x14ac:dyDescent="0.2">
      <c r="A465" t="s">
        <v>115</v>
      </c>
      <c r="B465" t="s">
        <v>116</v>
      </c>
      <c r="C465">
        <v>210784</v>
      </c>
      <c r="E465" t="s">
        <v>117</v>
      </c>
      <c r="F465">
        <v>368</v>
      </c>
      <c r="G465" t="s">
        <v>141</v>
      </c>
      <c r="H465" t="s">
        <v>142</v>
      </c>
      <c r="I465" t="s">
        <v>259</v>
      </c>
      <c r="J465" t="s">
        <v>260</v>
      </c>
      <c r="L465" t="s">
        <v>253</v>
      </c>
      <c r="M465" s="8">
        <v>45566</v>
      </c>
      <c r="N465">
        <v>26737</v>
      </c>
      <c r="O465" t="s">
        <v>123</v>
      </c>
      <c r="P465" t="s">
        <v>146</v>
      </c>
      <c r="Q465">
        <v>8</v>
      </c>
      <c r="R465" t="s">
        <v>125</v>
      </c>
      <c r="S465" t="s">
        <v>126</v>
      </c>
      <c r="T465" t="s">
        <v>125</v>
      </c>
      <c r="U465" t="s">
        <v>126</v>
      </c>
      <c r="W465">
        <v>8</v>
      </c>
      <c r="Y465">
        <v>8</v>
      </c>
      <c r="AC465">
        <v>8</v>
      </c>
      <c r="BH465" t="s">
        <v>126</v>
      </c>
      <c r="BI465" t="s">
        <v>126</v>
      </c>
      <c r="BJ465" t="s">
        <v>126</v>
      </c>
      <c r="BK465" t="s">
        <v>126</v>
      </c>
      <c r="BS465" t="s">
        <v>126</v>
      </c>
      <c r="BT465" t="s">
        <v>126</v>
      </c>
      <c r="BU465" t="s">
        <v>126</v>
      </c>
      <c r="BV465" t="s">
        <v>126</v>
      </c>
      <c r="CN465" t="s">
        <v>147</v>
      </c>
      <c r="CP465" t="s">
        <v>258</v>
      </c>
      <c r="CQ465" t="s">
        <v>147</v>
      </c>
    </row>
    <row r="466" spans="1:95" x14ac:dyDescent="0.2">
      <c r="A466" t="s">
        <v>115</v>
      </c>
      <c r="B466" t="s">
        <v>116</v>
      </c>
      <c r="C466">
        <v>210784</v>
      </c>
      <c r="E466" t="s">
        <v>117</v>
      </c>
      <c r="F466">
        <v>368</v>
      </c>
      <c r="G466" t="s">
        <v>141</v>
      </c>
      <c r="H466" t="s">
        <v>142</v>
      </c>
      <c r="I466" t="s">
        <v>204</v>
      </c>
      <c r="J466" t="s">
        <v>205</v>
      </c>
      <c r="L466" t="s">
        <v>253</v>
      </c>
      <c r="M466" s="8">
        <v>45566</v>
      </c>
      <c r="N466">
        <v>110580</v>
      </c>
      <c r="O466" t="s">
        <v>123</v>
      </c>
      <c r="P466" t="s">
        <v>146</v>
      </c>
      <c r="Q466">
        <v>8.26</v>
      </c>
      <c r="R466" t="s">
        <v>125</v>
      </c>
      <c r="S466" t="s">
        <v>126</v>
      </c>
      <c r="T466" t="s">
        <v>125</v>
      </c>
      <c r="U466" t="s">
        <v>126</v>
      </c>
      <c r="W466">
        <v>8.26</v>
      </c>
      <c r="Y466">
        <v>8.26</v>
      </c>
      <c r="AC466">
        <v>8.26</v>
      </c>
      <c r="BH466" t="s">
        <v>126</v>
      </c>
      <c r="BI466" t="s">
        <v>126</v>
      </c>
      <c r="BJ466" t="s">
        <v>126</v>
      </c>
      <c r="BK466" t="s">
        <v>126</v>
      </c>
      <c r="BS466" t="s">
        <v>126</v>
      </c>
      <c r="BT466" t="s">
        <v>126</v>
      </c>
      <c r="BU466" t="s">
        <v>126</v>
      </c>
      <c r="BV466" t="s">
        <v>126</v>
      </c>
      <c r="CN466" t="s">
        <v>147</v>
      </c>
      <c r="CP466" t="s">
        <v>258</v>
      </c>
      <c r="CQ466" t="s">
        <v>147</v>
      </c>
    </row>
    <row r="467" spans="1:95" x14ac:dyDescent="0.2">
      <c r="A467" t="s">
        <v>115</v>
      </c>
      <c r="B467" t="s">
        <v>116</v>
      </c>
      <c r="C467">
        <v>210784</v>
      </c>
      <c r="E467" t="s">
        <v>117</v>
      </c>
      <c r="F467">
        <v>368</v>
      </c>
      <c r="G467" t="s">
        <v>141</v>
      </c>
      <c r="H467" t="s">
        <v>142</v>
      </c>
      <c r="I467" t="s">
        <v>204</v>
      </c>
      <c r="J467" t="s">
        <v>205</v>
      </c>
      <c r="L467" t="s">
        <v>254</v>
      </c>
      <c r="M467" s="8">
        <v>45566</v>
      </c>
      <c r="N467">
        <v>110839</v>
      </c>
      <c r="O467" t="s">
        <v>123</v>
      </c>
      <c r="P467" t="s">
        <v>146</v>
      </c>
      <c r="Q467">
        <v>9.77</v>
      </c>
      <c r="R467" t="s">
        <v>125</v>
      </c>
      <c r="S467" t="s">
        <v>126</v>
      </c>
      <c r="T467" t="s">
        <v>125</v>
      </c>
      <c r="U467" t="s">
        <v>126</v>
      </c>
      <c r="W467">
        <v>9.77</v>
      </c>
      <c r="Y467">
        <v>9.77</v>
      </c>
      <c r="AC467">
        <v>9.77</v>
      </c>
      <c r="BH467" t="s">
        <v>126</v>
      </c>
      <c r="BI467" t="s">
        <v>126</v>
      </c>
      <c r="BJ467" t="s">
        <v>126</v>
      </c>
      <c r="BK467" t="s">
        <v>126</v>
      </c>
      <c r="BS467" t="s">
        <v>126</v>
      </c>
      <c r="BT467" t="s">
        <v>126</v>
      </c>
      <c r="BU467" t="s">
        <v>126</v>
      </c>
      <c r="BV467" t="s">
        <v>126</v>
      </c>
      <c r="CN467" t="s">
        <v>147</v>
      </c>
      <c r="CP467" t="s">
        <v>258</v>
      </c>
      <c r="CQ467" t="s">
        <v>147</v>
      </c>
    </row>
    <row r="468" spans="1:95" x14ac:dyDescent="0.2">
      <c r="A468" t="s">
        <v>115</v>
      </c>
      <c r="B468" t="s">
        <v>116</v>
      </c>
      <c r="C468">
        <v>210784</v>
      </c>
      <c r="E468" t="s">
        <v>117</v>
      </c>
      <c r="F468">
        <v>368</v>
      </c>
      <c r="G468" t="s">
        <v>141</v>
      </c>
      <c r="H468" t="s">
        <v>142</v>
      </c>
      <c r="I468" t="s">
        <v>204</v>
      </c>
      <c r="J468" t="s">
        <v>205</v>
      </c>
      <c r="L468" t="s">
        <v>255</v>
      </c>
      <c r="M468" s="8">
        <v>45566</v>
      </c>
      <c r="N468">
        <v>110988</v>
      </c>
      <c r="O468" t="s">
        <v>123</v>
      </c>
      <c r="P468" t="s">
        <v>146</v>
      </c>
      <c r="Q468">
        <v>8.59</v>
      </c>
      <c r="R468" t="s">
        <v>125</v>
      </c>
      <c r="S468" t="s">
        <v>126</v>
      </c>
      <c r="T468" t="s">
        <v>125</v>
      </c>
      <c r="U468" t="s">
        <v>126</v>
      </c>
      <c r="W468">
        <v>8.59</v>
      </c>
      <c r="Y468">
        <v>8.59</v>
      </c>
      <c r="AC468">
        <v>8.59</v>
      </c>
      <c r="BH468" t="s">
        <v>126</v>
      </c>
      <c r="BI468" t="s">
        <v>126</v>
      </c>
      <c r="BJ468" t="s">
        <v>126</v>
      </c>
      <c r="BK468" t="s">
        <v>126</v>
      </c>
      <c r="BS468" t="s">
        <v>126</v>
      </c>
      <c r="BT468" t="s">
        <v>126</v>
      </c>
      <c r="BU468" t="s">
        <v>126</v>
      </c>
      <c r="BV468" t="s">
        <v>126</v>
      </c>
      <c r="CN468" t="s">
        <v>147</v>
      </c>
      <c r="CP468" t="s">
        <v>258</v>
      </c>
      <c r="CQ468" t="s">
        <v>147</v>
      </c>
    </row>
    <row r="469" spans="1:95" x14ac:dyDescent="0.2">
      <c r="A469" t="s">
        <v>115</v>
      </c>
      <c r="B469" t="s">
        <v>116</v>
      </c>
      <c r="C469">
        <v>210784</v>
      </c>
      <c r="E469" t="s">
        <v>117</v>
      </c>
      <c r="F469">
        <v>368</v>
      </c>
      <c r="G469" t="s">
        <v>141</v>
      </c>
      <c r="H469" t="s">
        <v>142</v>
      </c>
      <c r="I469" t="s">
        <v>204</v>
      </c>
      <c r="J469" t="s">
        <v>205</v>
      </c>
      <c r="L469" t="s">
        <v>256</v>
      </c>
      <c r="M469" s="8">
        <v>45566</v>
      </c>
      <c r="N469">
        <v>111102</v>
      </c>
      <c r="O469" t="s">
        <v>123</v>
      </c>
      <c r="P469" t="s">
        <v>146</v>
      </c>
      <c r="Q469">
        <v>4.45</v>
      </c>
      <c r="R469" t="s">
        <v>125</v>
      </c>
      <c r="S469" t="s">
        <v>126</v>
      </c>
      <c r="T469" t="s">
        <v>125</v>
      </c>
      <c r="U469" t="s">
        <v>126</v>
      </c>
      <c r="W469">
        <v>4.45</v>
      </c>
      <c r="Y469">
        <v>4.45</v>
      </c>
      <c r="AC469">
        <v>4.45</v>
      </c>
      <c r="BH469" t="s">
        <v>126</v>
      </c>
      <c r="BI469" t="s">
        <v>126</v>
      </c>
      <c r="BJ469" t="s">
        <v>126</v>
      </c>
      <c r="BK469" t="s">
        <v>126</v>
      </c>
      <c r="BS469" t="s">
        <v>126</v>
      </c>
      <c r="BT469" t="s">
        <v>126</v>
      </c>
      <c r="BU469" t="s">
        <v>126</v>
      </c>
      <c r="BV469" t="s">
        <v>126</v>
      </c>
      <c r="CN469" t="s">
        <v>147</v>
      </c>
      <c r="CP469" t="s">
        <v>258</v>
      </c>
      <c r="CQ469" t="s">
        <v>147</v>
      </c>
    </row>
    <row r="470" spans="1:95" x14ac:dyDescent="0.2">
      <c r="A470" t="s">
        <v>115</v>
      </c>
      <c r="B470" t="s">
        <v>116</v>
      </c>
      <c r="C470">
        <v>210784</v>
      </c>
      <c r="E470" t="s">
        <v>117</v>
      </c>
      <c r="F470">
        <v>368</v>
      </c>
      <c r="G470" t="s">
        <v>141</v>
      </c>
      <c r="H470" t="s">
        <v>142</v>
      </c>
      <c r="I470" t="s">
        <v>204</v>
      </c>
      <c r="J470" t="s">
        <v>205</v>
      </c>
      <c r="L470" t="s">
        <v>257</v>
      </c>
      <c r="M470" s="8">
        <v>45566</v>
      </c>
      <c r="N470">
        <v>111412</v>
      </c>
      <c r="O470" t="s">
        <v>123</v>
      </c>
      <c r="P470" t="s">
        <v>146</v>
      </c>
      <c r="Q470">
        <v>11.84</v>
      </c>
      <c r="R470" t="s">
        <v>125</v>
      </c>
      <c r="S470" t="s">
        <v>126</v>
      </c>
      <c r="T470" t="s">
        <v>125</v>
      </c>
      <c r="U470" t="s">
        <v>126</v>
      </c>
      <c r="W470">
        <v>11.84</v>
      </c>
      <c r="Y470">
        <v>11.84</v>
      </c>
      <c r="AC470">
        <v>11.84</v>
      </c>
      <c r="BH470" t="s">
        <v>126</v>
      </c>
      <c r="BI470" t="s">
        <v>126</v>
      </c>
      <c r="BJ470" t="s">
        <v>126</v>
      </c>
      <c r="BK470" t="s">
        <v>126</v>
      </c>
      <c r="BS470" t="s">
        <v>126</v>
      </c>
      <c r="BT470" t="s">
        <v>126</v>
      </c>
      <c r="BU470" t="s">
        <v>126</v>
      </c>
      <c r="BV470" t="s">
        <v>126</v>
      </c>
      <c r="CN470" t="s">
        <v>147</v>
      </c>
      <c r="CP470" t="s">
        <v>258</v>
      </c>
      <c r="CQ470" t="s">
        <v>147</v>
      </c>
    </row>
    <row r="471" spans="1:95" x14ac:dyDescent="0.2">
      <c r="A471" t="s">
        <v>115</v>
      </c>
      <c r="B471" t="s">
        <v>116</v>
      </c>
      <c r="C471">
        <v>210784</v>
      </c>
      <c r="E471" t="s">
        <v>117</v>
      </c>
      <c r="F471">
        <v>368</v>
      </c>
      <c r="G471" t="s">
        <v>141</v>
      </c>
      <c r="H471" t="s">
        <v>142</v>
      </c>
      <c r="I471" t="s">
        <v>279</v>
      </c>
      <c r="J471" t="s">
        <v>280</v>
      </c>
      <c r="L471" t="s">
        <v>261</v>
      </c>
      <c r="M471" s="8">
        <v>45566</v>
      </c>
      <c r="N471">
        <v>5584416</v>
      </c>
      <c r="O471" t="s">
        <v>123</v>
      </c>
      <c r="P471" t="s">
        <v>146</v>
      </c>
      <c r="Q471">
        <v>1.4</v>
      </c>
      <c r="R471" t="s">
        <v>125</v>
      </c>
      <c r="S471" t="s">
        <v>126</v>
      </c>
      <c r="T471" t="s">
        <v>125</v>
      </c>
      <c r="U471" t="s">
        <v>126</v>
      </c>
      <c r="W471">
        <v>1.4</v>
      </c>
      <c r="Y471">
        <v>1.4</v>
      </c>
      <c r="AS471">
        <v>1.4</v>
      </c>
      <c r="BH471" t="s">
        <v>126</v>
      </c>
      <c r="BI471" t="s">
        <v>126</v>
      </c>
      <c r="BJ471" t="s">
        <v>126</v>
      </c>
      <c r="BK471" t="s">
        <v>126</v>
      </c>
      <c r="BS471" t="s">
        <v>126</v>
      </c>
      <c r="BT471" t="s">
        <v>126</v>
      </c>
      <c r="BU471" t="s">
        <v>126</v>
      </c>
      <c r="BV471" t="s">
        <v>126</v>
      </c>
      <c r="CN471" t="s">
        <v>147</v>
      </c>
      <c r="CP471" t="s">
        <v>257</v>
      </c>
      <c r="CQ471" t="s">
        <v>147</v>
      </c>
    </row>
    <row r="472" spans="1:95" x14ac:dyDescent="0.2">
      <c r="A472" t="s">
        <v>115</v>
      </c>
      <c r="B472" t="s">
        <v>116</v>
      </c>
      <c r="C472">
        <v>210784</v>
      </c>
      <c r="E472" t="s">
        <v>117</v>
      </c>
      <c r="F472">
        <v>368</v>
      </c>
      <c r="G472" t="s">
        <v>141</v>
      </c>
      <c r="H472" t="s">
        <v>142</v>
      </c>
      <c r="I472" t="s">
        <v>279</v>
      </c>
      <c r="J472" t="s">
        <v>280</v>
      </c>
      <c r="L472" t="s">
        <v>243</v>
      </c>
      <c r="M472" s="8">
        <v>45566</v>
      </c>
      <c r="N472">
        <v>5585748</v>
      </c>
      <c r="O472" t="s">
        <v>123</v>
      </c>
      <c r="P472" t="s">
        <v>146</v>
      </c>
      <c r="Q472">
        <v>1.07</v>
      </c>
      <c r="R472" t="s">
        <v>125</v>
      </c>
      <c r="S472" t="s">
        <v>126</v>
      </c>
      <c r="T472" t="s">
        <v>125</v>
      </c>
      <c r="U472" t="s">
        <v>126</v>
      </c>
      <c r="W472">
        <v>1.07</v>
      </c>
      <c r="Y472">
        <v>1.07</v>
      </c>
      <c r="AS472">
        <v>1.07</v>
      </c>
      <c r="BH472" t="s">
        <v>126</v>
      </c>
      <c r="BI472" t="s">
        <v>126</v>
      </c>
      <c r="BJ472" t="s">
        <v>126</v>
      </c>
      <c r="BK472" t="s">
        <v>126</v>
      </c>
      <c r="BS472" t="s">
        <v>126</v>
      </c>
      <c r="BT472" t="s">
        <v>126</v>
      </c>
      <c r="BU472" t="s">
        <v>126</v>
      </c>
      <c r="BV472" t="s">
        <v>126</v>
      </c>
      <c r="CN472" t="s">
        <v>147</v>
      </c>
      <c r="CP472" t="s">
        <v>257</v>
      </c>
      <c r="CQ472" t="s">
        <v>147</v>
      </c>
    </row>
    <row r="473" spans="1:95" x14ac:dyDescent="0.2">
      <c r="A473" t="s">
        <v>115</v>
      </c>
      <c r="B473" t="s">
        <v>116</v>
      </c>
      <c r="C473">
        <v>210784</v>
      </c>
      <c r="E473" t="s">
        <v>117</v>
      </c>
      <c r="F473">
        <v>368</v>
      </c>
      <c r="G473" t="s">
        <v>141</v>
      </c>
      <c r="H473" t="s">
        <v>142</v>
      </c>
      <c r="I473" t="s">
        <v>279</v>
      </c>
      <c r="J473" t="s">
        <v>280</v>
      </c>
      <c r="L473" t="s">
        <v>323</v>
      </c>
      <c r="M473" s="8">
        <v>45566</v>
      </c>
      <c r="N473">
        <v>5586913</v>
      </c>
      <c r="O473" t="s">
        <v>123</v>
      </c>
      <c r="P473" t="s">
        <v>146</v>
      </c>
      <c r="Q473">
        <v>3.79</v>
      </c>
      <c r="R473" t="s">
        <v>125</v>
      </c>
      <c r="S473" t="s">
        <v>126</v>
      </c>
      <c r="T473" t="s">
        <v>125</v>
      </c>
      <c r="U473" t="s">
        <v>126</v>
      </c>
      <c r="W473">
        <v>3.79</v>
      </c>
      <c r="Y473">
        <v>3.79</v>
      </c>
      <c r="AS473">
        <v>3.79</v>
      </c>
      <c r="BH473" t="s">
        <v>126</v>
      </c>
      <c r="BI473" t="s">
        <v>126</v>
      </c>
      <c r="BJ473" t="s">
        <v>126</v>
      </c>
      <c r="BK473" t="s">
        <v>126</v>
      </c>
      <c r="BS473" t="s">
        <v>126</v>
      </c>
      <c r="BT473" t="s">
        <v>126</v>
      </c>
      <c r="BU473" t="s">
        <v>126</v>
      </c>
      <c r="BV473" t="s">
        <v>126</v>
      </c>
      <c r="CN473" t="s">
        <v>147</v>
      </c>
      <c r="CP473" t="s">
        <v>257</v>
      </c>
      <c r="CQ473" t="s">
        <v>147</v>
      </c>
    </row>
    <row r="474" spans="1:95" x14ac:dyDescent="0.2">
      <c r="A474" t="s">
        <v>115</v>
      </c>
      <c r="B474" t="s">
        <v>116</v>
      </c>
      <c r="C474">
        <v>210784</v>
      </c>
      <c r="E474" t="s">
        <v>117</v>
      </c>
      <c r="F474">
        <v>368</v>
      </c>
      <c r="G474" t="s">
        <v>141</v>
      </c>
      <c r="H474" t="s">
        <v>142</v>
      </c>
      <c r="I474" t="s">
        <v>279</v>
      </c>
      <c r="J474" t="s">
        <v>280</v>
      </c>
      <c r="L474" t="s">
        <v>244</v>
      </c>
      <c r="M474" s="8">
        <v>45566</v>
      </c>
      <c r="N474">
        <v>5587309</v>
      </c>
      <c r="O474" t="s">
        <v>123</v>
      </c>
      <c r="P474" t="s">
        <v>146</v>
      </c>
      <c r="Q474">
        <v>1.08</v>
      </c>
      <c r="R474" t="s">
        <v>125</v>
      </c>
      <c r="S474" t="s">
        <v>126</v>
      </c>
      <c r="T474" t="s">
        <v>125</v>
      </c>
      <c r="U474" t="s">
        <v>126</v>
      </c>
      <c r="W474">
        <v>1.08</v>
      </c>
      <c r="Y474">
        <v>1.08</v>
      </c>
      <c r="AS474">
        <v>1.08</v>
      </c>
      <c r="BH474" t="s">
        <v>126</v>
      </c>
      <c r="BI474" t="s">
        <v>126</v>
      </c>
      <c r="BJ474" t="s">
        <v>126</v>
      </c>
      <c r="BK474" t="s">
        <v>126</v>
      </c>
      <c r="BS474" t="s">
        <v>126</v>
      </c>
      <c r="BT474" t="s">
        <v>126</v>
      </c>
      <c r="BU474" t="s">
        <v>126</v>
      </c>
      <c r="BV474" t="s">
        <v>126</v>
      </c>
      <c r="CN474" t="s">
        <v>147</v>
      </c>
      <c r="CP474" t="s">
        <v>257</v>
      </c>
      <c r="CQ474" t="s">
        <v>147</v>
      </c>
    </row>
    <row r="475" spans="1:95" x14ac:dyDescent="0.2">
      <c r="A475" t="s">
        <v>115</v>
      </c>
      <c r="B475" t="s">
        <v>116</v>
      </c>
      <c r="C475">
        <v>210784</v>
      </c>
      <c r="E475" t="s">
        <v>117</v>
      </c>
      <c r="F475">
        <v>368</v>
      </c>
      <c r="G475" t="s">
        <v>141</v>
      </c>
      <c r="H475" t="s">
        <v>142</v>
      </c>
      <c r="I475" t="s">
        <v>279</v>
      </c>
      <c r="J475" t="s">
        <v>280</v>
      </c>
      <c r="L475" t="s">
        <v>246</v>
      </c>
      <c r="M475" s="8">
        <v>45566</v>
      </c>
      <c r="N475">
        <v>5589358</v>
      </c>
      <c r="O475" t="s">
        <v>123</v>
      </c>
      <c r="P475" t="s">
        <v>146</v>
      </c>
      <c r="Q475">
        <v>1.19</v>
      </c>
      <c r="R475" t="s">
        <v>125</v>
      </c>
      <c r="S475" t="s">
        <v>126</v>
      </c>
      <c r="T475" t="s">
        <v>125</v>
      </c>
      <c r="U475" t="s">
        <v>126</v>
      </c>
      <c r="W475">
        <v>1.19</v>
      </c>
      <c r="Y475">
        <v>1.19</v>
      </c>
      <c r="AS475">
        <v>1.19</v>
      </c>
      <c r="BH475" t="s">
        <v>126</v>
      </c>
      <c r="BI475" t="s">
        <v>126</v>
      </c>
      <c r="BJ475" t="s">
        <v>126</v>
      </c>
      <c r="BK475" t="s">
        <v>126</v>
      </c>
      <c r="BS475" t="s">
        <v>126</v>
      </c>
      <c r="BT475" t="s">
        <v>126</v>
      </c>
      <c r="BU475" t="s">
        <v>126</v>
      </c>
      <c r="BV475" t="s">
        <v>126</v>
      </c>
      <c r="CN475" t="s">
        <v>147</v>
      </c>
      <c r="CP475" t="s">
        <v>257</v>
      </c>
      <c r="CQ475" t="s">
        <v>147</v>
      </c>
    </row>
    <row r="476" spans="1:95" x14ac:dyDescent="0.2">
      <c r="A476" t="s">
        <v>115</v>
      </c>
      <c r="B476" t="s">
        <v>116</v>
      </c>
      <c r="C476">
        <v>210784</v>
      </c>
      <c r="E476" t="s">
        <v>117</v>
      </c>
      <c r="F476">
        <v>368</v>
      </c>
      <c r="G476" t="s">
        <v>141</v>
      </c>
      <c r="H476" t="s">
        <v>142</v>
      </c>
      <c r="I476" t="s">
        <v>279</v>
      </c>
      <c r="J476" t="s">
        <v>280</v>
      </c>
      <c r="L476" t="s">
        <v>247</v>
      </c>
      <c r="M476" s="8">
        <v>45566</v>
      </c>
      <c r="N476">
        <v>5590031</v>
      </c>
      <c r="O476" t="s">
        <v>123</v>
      </c>
      <c r="P476" t="s">
        <v>146</v>
      </c>
      <c r="Q476">
        <v>1</v>
      </c>
      <c r="R476" t="s">
        <v>125</v>
      </c>
      <c r="S476" t="s">
        <v>126</v>
      </c>
      <c r="T476" t="s">
        <v>125</v>
      </c>
      <c r="U476" t="s">
        <v>126</v>
      </c>
      <c r="W476">
        <v>1</v>
      </c>
      <c r="Y476">
        <v>1</v>
      </c>
      <c r="AS476">
        <v>1</v>
      </c>
      <c r="BH476" t="s">
        <v>126</v>
      </c>
      <c r="BI476" t="s">
        <v>126</v>
      </c>
      <c r="BJ476" t="s">
        <v>126</v>
      </c>
      <c r="BK476" t="s">
        <v>126</v>
      </c>
      <c r="BS476" t="s">
        <v>126</v>
      </c>
      <c r="BT476" t="s">
        <v>126</v>
      </c>
      <c r="BU476" t="s">
        <v>126</v>
      </c>
      <c r="BV476" t="s">
        <v>126</v>
      </c>
      <c r="CN476" t="s">
        <v>147</v>
      </c>
      <c r="CP476" t="s">
        <v>257</v>
      </c>
      <c r="CQ476" t="s">
        <v>147</v>
      </c>
    </row>
    <row r="477" spans="1:95" x14ac:dyDescent="0.2">
      <c r="A477" t="s">
        <v>115</v>
      </c>
      <c r="B477" t="s">
        <v>116</v>
      </c>
      <c r="C477">
        <v>210784</v>
      </c>
      <c r="E477" t="s">
        <v>117</v>
      </c>
      <c r="F477">
        <v>368</v>
      </c>
      <c r="G477" t="s">
        <v>141</v>
      </c>
      <c r="H477" t="s">
        <v>142</v>
      </c>
      <c r="I477" t="s">
        <v>279</v>
      </c>
      <c r="J477" t="s">
        <v>280</v>
      </c>
      <c r="L477" t="s">
        <v>247</v>
      </c>
      <c r="M477" s="8">
        <v>45566</v>
      </c>
      <c r="N477">
        <v>5590272</v>
      </c>
      <c r="O477" t="s">
        <v>123</v>
      </c>
      <c r="P477" t="s">
        <v>146</v>
      </c>
      <c r="Q477">
        <v>2.72</v>
      </c>
      <c r="R477" t="s">
        <v>125</v>
      </c>
      <c r="S477" t="s">
        <v>126</v>
      </c>
      <c r="T477" t="s">
        <v>125</v>
      </c>
      <c r="U477" t="s">
        <v>126</v>
      </c>
      <c r="W477">
        <v>2.72</v>
      </c>
      <c r="Y477">
        <v>2.72</v>
      </c>
      <c r="AS477">
        <v>2.72</v>
      </c>
      <c r="BH477" t="s">
        <v>126</v>
      </c>
      <c r="BI477" t="s">
        <v>126</v>
      </c>
      <c r="BJ477" t="s">
        <v>126</v>
      </c>
      <c r="BK477" t="s">
        <v>126</v>
      </c>
      <c r="BS477" t="s">
        <v>126</v>
      </c>
      <c r="BT477" t="s">
        <v>126</v>
      </c>
      <c r="BU477" t="s">
        <v>126</v>
      </c>
      <c r="BV477" t="s">
        <v>126</v>
      </c>
      <c r="CN477" t="s">
        <v>147</v>
      </c>
      <c r="CP477" t="s">
        <v>257</v>
      </c>
      <c r="CQ477" t="s">
        <v>147</v>
      </c>
    </row>
    <row r="478" spans="1:95" x14ac:dyDescent="0.2">
      <c r="A478" t="s">
        <v>115</v>
      </c>
      <c r="B478" t="s">
        <v>116</v>
      </c>
      <c r="C478">
        <v>210784</v>
      </c>
      <c r="E478" t="s">
        <v>117</v>
      </c>
      <c r="F478">
        <v>368</v>
      </c>
      <c r="G478" t="s">
        <v>141</v>
      </c>
      <c r="H478" t="s">
        <v>142</v>
      </c>
      <c r="I478" t="s">
        <v>279</v>
      </c>
      <c r="J478" t="s">
        <v>280</v>
      </c>
      <c r="L478" t="s">
        <v>253</v>
      </c>
      <c r="M478" s="8">
        <v>45566</v>
      </c>
      <c r="N478">
        <v>5592861</v>
      </c>
      <c r="O478" t="s">
        <v>123</v>
      </c>
      <c r="P478" t="s">
        <v>146</v>
      </c>
      <c r="Q478">
        <v>1.84</v>
      </c>
      <c r="R478" t="s">
        <v>125</v>
      </c>
      <c r="S478" t="s">
        <v>126</v>
      </c>
      <c r="T478" t="s">
        <v>125</v>
      </c>
      <c r="U478" t="s">
        <v>126</v>
      </c>
      <c r="W478">
        <v>1.84</v>
      </c>
      <c r="Y478">
        <v>1.84</v>
      </c>
      <c r="AS478">
        <v>1.84</v>
      </c>
      <c r="BH478" t="s">
        <v>126</v>
      </c>
      <c r="BI478" t="s">
        <v>126</v>
      </c>
      <c r="BJ478" t="s">
        <v>126</v>
      </c>
      <c r="BK478" t="s">
        <v>126</v>
      </c>
      <c r="BS478" t="s">
        <v>126</v>
      </c>
      <c r="BT478" t="s">
        <v>126</v>
      </c>
      <c r="BU478" t="s">
        <v>126</v>
      </c>
      <c r="BV478" t="s">
        <v>126</v>
      </c>
      <c r="CN478" t="s">
        <v>147</v>
      </c>
      <c r="CP478" t="s">
        <v>257</v>
      </c>
      <c r="CQ478" t="s">
        <v>147</v>
      </c>
    </row>
    <row r="479" spans="1:95" x14ac:dyDescent="0.2">
      <c r="A479" t="s">
        <v>115</v>
      </c>
      <c r="B479" t="s">
        <v>116</v>
      </c>
      <c r="C479">
        <v>210784</v>
      </c>
      <c r="E479" t="s">
        <v>117</v>
      </c>
      <c r="F479">
        <v>368</v>
      </c>
      <c r="G479" t="s">
        <v>141</v>
      </c>
      <c r="H479" t="s">
        <v>142</v>
      </c>
      <c r="I479" t="s">
        <v>279</v>
      </c>
      <c r="J479" t="s">
        <v>280</v>
      </c>
      <c r="L479" t="s">
        <v>324</v>
      </c>
      <c r="M479" s="8">
        <v>45566</v>
      </c>
      <c r="N479">
        <v>5593869</v>
      </c>
      <c r="O479" t="s">
        <v>123</v>
      </c>
      <c r="P479" t="s">
        <v>146</v>
      </c>
      <c r="Q479">
        <v>1.84</v>
      </c>
      <c r="R479" t="s">
        <v>125</v>
      </c>
      <c r="S479" t="s">
        <v>126</v>
      </c>
      <c r="T479" t="s">
        <v>125</v>
      </c>
      <c r="U479" t="s">
        <v>126</v>
      </c>
      <c r="W479">
        <v>1.84</v>
      </c>
      <c r="Y479">
        <v>1.84</v>
      </c>
      <c r="AS479">
        <v>1.84</v>
      </c>
      <c r="BH479" t="s">
        <v>126</v>
      </c>
      <c r="BI479" t="s">
        <v>126</v>
      </c>
      <c r="BJ479" t="s">
        <v>126</v>
      </c>
      <c r="BK479" t="s">
        <v>126</v>
      </c>
      <c r="BS479" t="s">
        <v>126</v>
      </c>
      <c r="BT479" t="s">
        <v>126</v>
      </c>
      <c r="BU479" t="s">
        <v>126</v>
      </c>
      <c r="BV479" t="s">
        <v>126</v>
      </c>
      <c r="CN479" t="s">
        <v>147</v>
      </c>
      <c r="CP479" t="s">
        <v>257</v>
      </c>
      <c r="CQ479" t="s">
        <v>147</v>
      </c>
    </row>
    <row r="480" spans="1:95" x14ac:dyDescent="0.2">
      <c r="A480" t="s">
        <v>115</v>
      </c>
      <c r="B480" t="s">
        <v>116</v>
      </c>
      <c r="C480">
        <v>210784</v>
      </c>
      <c r="E480" t="s">
        <v>117</v>
      </c>
      <c r="F480">
        <v>368</v>
      </c>
      <c r="G480" t="s">
        <v>141</v>
      </c>
      <c r="H480" t="s">
        <v>142</v>
      </c>
      <c r="I480" t="s">
        <v>279</v>
      </c>
      <c r="J480" t="s">
        <v>280</v>
      </c>
      <c r="L480" t="s">
        <v>324</v>
      </c>
      <c r="M480" s="8">
        <v>45566</v>
      </c>
      <c r="N480">
        <v>5593704</v>
      </c>
      <c r="O480" t="s">
        <v>123</v>
      </c>
      <c r="P480" t="s">
        <v>146</v>
      </c>
      <c r="Q480">
        <v>3.18</v>
      </c>
      <c r="R480" t="s">
        <v>125</v>
      </c>
      <c r="S480" t="s">
        <v>126</v>
      </c>
      <c r="T480" t="s">
        <v>125</v>
      </c>
      <c r="U480" t="s">
        <v>126</v>
      </c>
      <c r="W480">
        <v>3.18</v>
      </c>
      <c r="Y480">
        <v>3.18</v>
      </c>
      <c r="AS480">
        <v>3.18</v>
      </c>
      <c r="BH480" t="s">
        <v>126</v>
      </c>
      <c r="BI480" t="s">
        <v>126</v>
      </c>
      <c r="BJ480" t="s">
        <v>126</v>
      </c>
      <c r="BK480" t="s">
        <v>126</v>
      </c>
      <c r="BS480" t="s">
        <v>126</v>
      </c>
      <c r="BT480" t="s">
        <v>126</v>
      </c>
      <c r="BU480" t="s">
        <v>126</v>
      </c>
      <c r="BV480" t="s">
        <v>126</v>
      </c>
      <c r="CN480" t="s">
        <v>147</v>
      </c>
      <c r="CP480" t="s">
        <v>257</v>
      </c>
      <c r="CQ480" t="s">
        <v>147</v>
      </c>
    </row>
    <row r="481" spans="1:95" x14ac:dyDescent="0.2">
      <c r="A481" t="s">
        <v>115</v>
      </c>
      <c r="B481" t="s">
        <v>116</v>
      </c>
      <c r="C481">
        <v>210784</v>
      </c>
      <c r="E481" t="s">
        <v>117</v>
      </c>
      <c r="F481">
        <v>368</v>
      </c>
      <c r="G481" t="s">
        <v>141</v>
      </c>
      <c r="H481" t="s">
        <v>142</v>
      </c>
      <c r="I481" t="s">
        <v>279</v>
      </c>
      <c r="J481" t="s">
        <v>280</v>
      </c>
      <c r="L481" t="s">
        <v>325</v>
      </c>
      <c r="M481" s="8">
        <v>45566</v>
      </c>
      <c r="N481">
        <v>5595873</v>
      </c>
      <c r="O481" t="s">
        <v>123</v>
      </c>
      <c r="P481" t="s">
        <v>146</v>
      </c>
      <c r="Q481">
        <v>1.31</v>
      </c>
      <c r="R481" t="s">
        <v>125</v>
      </c>
      <c r="S481" t="s">
        <v>126</v>
      </c>
      <c r="T481" t="s">
        <v>125</v>
      </c>
      <c r="U481" t="s">
        <v>126</v>
      </c>
      <c r="W481">
        <v>1.31</v>
      </c>
      <c r="Y481">
        <v>1.31</v>
      </c>
      <c r="AS481">
        <v>1.31</v>
      </c>
      <c r="BH481" t="s">
        <v>126</v>
      </c>
      <c r="BI481" t="s">
        <v>126</v>
      </c>
      <c r="BJ481" t="s">
        <v>126</v>
      </c>
      <c r="BK481" t="s">
        <v>126</v>
      </c>
      <c r="BS481" t="s">
        <v>126</v>
      </c>
      <c r="BT481" t="s">
        <v>126</v>
      </c>
      <c r="BU481" t="s">
        <v>126</v>
      </c>
      <c r="BV481" t="s">
        <v>126</v>
      </c>
      <c r="CN481" t="s">
        <v>147</v>
      </c>
      <c r="CP481" t="s">
        <v>257</v>
      </c>
      <c r="CQ481" t="s">
        <v>147</v>
      </c>
    </row>
    <row r="482" spans="1:95" x14ac:dyDescent="0.2">
      <c r="A482" t="s">
        <v>115</v>
      </c>
      <c r="B482" t="s">
        <v>116</v>
      </c>
      <c r="C482">
        <v>210784</v>
      </c>
      <c r="E482" t="s">
        <v>117</v>
      </c>
      <c r="F482">
        <v>368</v>
      </c>
      <c r="G482" t="s">
        <v>141</v>
      </c>
      <c r="H482" t="s">
        <v>142</v>
      </c>
      <c r="I482" t="s">
        <v>279</v>
      </c>
      <c r="J482" t="s">
        <v>280</v>
      </c>
      <c r="L482" t="s">
        <v>254</v>
      </c>
      <c r="M482" s="8">
        <v>45566</v>
      </c>
      <c r="N482">
        <v>5595025</v>
      </c>
      <c r="O482" t="s">
        <v>123</v>
      </c>
      <c r="P482" t="s">
        <v>146</v>
      </c>
      <c r="Q482">
        <v>1.81</v>
      </c>
      <c r="R482" t="s">
        <v>125</v>
      </c>
      <c r="S482" t="s">
        <v>126</v>
      </c>
      <c r="T482" t="s">
        <v>125</v>
      </c>
      <c r="U482" t="s">
        <v>126</v>
      </c>
      <c r="W482">
        <v>1.81</v>
      </c>
      <c r="Y482">
        <v>1.81</v>
      </c>
      <c r="AS482">
        <v>1.81</v>
      </c>
      <c r="BH482" t="s">
        <v>126</v>
      </c>
      <c r="BI482" t="s">
        <v>126</v>
      </c>
      <c r="BJ482" t="s">
        <v>126</v>
      </c>
      <c r="BK482" t="s">
        <v>126</v>
      </c>
      <c r="BS482" t="s">
        <v>126</v>
      </c>
      <c r="BT482" t="s">
        <v>126</v>
      </c>
      <c r="BU482" t="s">
        <v>126</v>
      </c>
      <c r="BV482" t="s">
        <v>126</v>
      </c>
      <c r="CN482" t="s">
        <v>147</v>
      </c>
      <c r="CP482" t="s">
        <v>257</v>
      </c>
      <c r="CQ482" t="s">
        <v>147</v>
      </c>
    </row>
    <row r="483" spans="1:95" x14ac:dyDescent="0.2">
      <c r="A483" t="s">
        <v>115</v>
      </c>
      <c r="B483" t="s">
        <v>116</v>
      </c>
      <c r="C483">
        <v>210784</v>
      </c>
      <c r="E483" t="s">
        <v>117</v>
      </c>
      <c r="F483">
        <v>368</v>
      </c>
      <c r="G483" t="s">
        <v>141</v>
      </c>
      <c r="H483" t="s">
        <v>142</v>
      </c>
      <c r="I483" t="s">
        <v>279</v>
      </c>
      <c r="J483" t="s">
        <v>280</v>
      </c>
      <c r="L483" t="s">
        <v>326</v>
      </c>
      <c r="M483" s="8">
        <v>45566</v>
      </c>
      <c r="N483">
        <v>5598517</v>
      </c>
      <c r="O483" t="s">
        <v>123</v>
      </c>
      <c r="P483" t="s">
        <v>146</v>
      </c>
      <c r="Q483">
        <v>3.29</v>
      </c>
      <c r="R483" t="s">
        <v>125</v>
      </c>
      <c r="S483" t="s">
        <v>126</v>
      </c>
      <c r="T483" t="s">
        <v>125</v>
      </c>
      <c r="U483" t="s">
        <v>126</v>
      </c>
      <c r="W483">
        <v>3.29</v>
      </c>
      <c r="Y483">
        <v>3.29</v>
      </c>
      <c r="AS483">
        <v>3.29</v>
      </c>
      <c r="BH483" t="s">
        <v>126</v>
      </c>
      <c r="BI483" t="s">
        <v>126</v>
      </c>
      <c r="BJ483" t="s">
        <v>126</v>
      </c>
      <c r="BK483" t="s">
        <v>126</v>
      </c>
      <c r="BS483" t="s">
        <v>126</v>
      </c>
      <c r="BT483" t="s">
        <v>126</v>
      </c>
      <c r="BU483" t="s">
        <v>126</v>
      </c>
      <c r="BV483" t="s">
        <v>126</v>
      </c>
      <c r="CN483" t="s">
        <v>147</v>
      </c>
      <c r="CP483" t="s">
        <v>257</v>
      </c>
      <c r="CQ483" t="s">
        <v>147</v>
      </c>
    </row>
    <row r="484" spans="1:95" x14ac:dyDescent="0.2">
      <c r="A484" t="s">
        <v>115</v>
      </c>
      <c r="B484" t="s">
        <v>116</v>
      </c>
      <c r="C484">
        <v>210784</v>
      </c>
      <c r="E484" t="s">
        <v>117</v>
      </c>
      <c r="F484">
        <v>368</v>
      </c>
      <c r="G484" t="s">
        <v>141</v>
      </c>
      <c r="H484" t="s">
        <v>142</v>
      </c>
      <c r="I484" t="s">
        <v>279</v>
      </c>
      <c r="J484" t="s">
        <v>280</v>
      </c>
      <c r="L484" t="s">
        <v>256</v>
      </c>
      <c r="M484" s="8">
        <v>45566</v>
      </c>
      <c r="N484">
        <v>5599223</v>
      </c>
      <c r="O484" t="s">
        <v>123</v>
      </c>
      <c r="P484" t="s">
        <v>146</v>
      </c>
      <c r="Q484">
        <v>2.0299999999999998</v>
      </c>
      <c r="R484" t="s">
        <v>125</v>
      </c>
      <c r="S484" t="s">
        <v>126</v>
      </c>
      <c r="T484" t="s">
        <v>125</v>
      </c>
      <c r="U484" t="s">
        <v>126</v>
      </c>
      <c r="W484">
        <v>2.0299999999999998</v>
      </c>
      <c r="Y484">
        <v>2.0299999999999998</v>
      </c>
      <c r="AS484">
        <v>2.0299999999999998</v>
      </c>
      <c r="BH484" t="s">
        <v>126</v>
      </c>
      <c r="BI484" t="s">
        <v>126</v>
      </c>
      <c r="BJ484" t="s">
        <v>126</v>
      </c>
      <c r="BK484" t="s">
        <v>126</v>
      </c>
      <c r="BS484" t="s">
        <v>126</v>
      </c>
      <c r="BT484" t="s">
        <v>126</v>
      </c>
      <c r="BU484" t="s">
        <v>126</v>
      </c>
      <c r="BV484" t="s">
        <v>126</v>
      </c>
      <c r="CN484" t="s">
        <v>147</v>
      </c>
      <c r="CP484" t="s">
        <v>257</v>
      </c>
      <c r="CQ484" t="s">
        <v>147</v>
      </c>
    </row>
    <row r="485" spans="1:95" x14ac:dyDescent="0.2">
      <c r="A485" t="s">
        <v>115</v>
      </c>
      <c r="B485" t="s">
        <v>116</v>
      </c>
      <c r="C485">
        <v>210784</v>
      </c>
      <c r="E485" t="s">
        <v>117</v>
      </c>
      <c r="F485">
        <v>368</v>
      </c>
      <c r="G485" t="s">
        <v>141</v>
      </c>
      <c r="H485" t="s">
        <v>142</v>
      </c>
      <c r="I485" t="s">
        <v>279</v>
      </c>
      <c r="J485" t="s">
        <v>280</v>
      </c>
      <c r="L485" t="s">
        <v>327</v>
      </c>
      <c r="M485" s="8">
        <v>45566</v>
      </c>
      <c r="N485">
        <v>5599426</v>
      </c>
      <c r="O485" t="s">
        <v>123</v>
      </c>
      <c r="P485" t="s">
        <v>146</v>
      </c>
      <c r="Q485">
        <v>1.8</v>
      </c>
      <c r="R485" t="s">
        <v>125</v>
      </c>
      <c r="S485" t="s">
        <v>126</v>
      </c>
      <c r="T485" t="s">
        <v>125</v>
      </c>
      <c r="U485" t="s">
        <v>126</v>
      </c>
      <c r="W485">
        <v>1.8</v>
      </c>
      <c r="Y485">
        <v>1.8</v>
      </c>
      <c r="AS485">
        <v>1.8</v>
      </c>
      <c r="BH485" t="s">
        <v>126</v>
      </c>
      <c r="BI485" t="s">
        <v>126</v>
      </c>
      <c r="BJ485" t="s">
        <v>126</v>
      </c>
      <c r="BK485" t="s">
        <v>126</v>
      </c>
      <c r="BS485" t="s">
        <v>126</v>
      </c>
      <c r="BT485" t="s">
        <v>126</v>
      </c>
      <c r="BU485" t="s">
        <v>126</v>
      </c>
      <c r="BV485" t="s">
        <v>126</v>
      </c>
      <c r="CN485" t="s">
        <v>147</v>
      </c>
      <c r="CP485" t="s">
        <v>257</v>
      </c>
      <c r="CQ485" t="s">
        <v>147</v>
      </c>
    </row>
    <row r="486" spans="1:95" x14ac:dyDescent="0.2">
      <c r="A486" t="s">
        <v>115</v>
      </c>
      <c r="B486" t="s">
        <v>116</v>
      </c>
      <c r="C486">
        <v>210784</v>
      </c>
      <c r="E486" t="s">
        <v>117</v>
      </c>
      <c r="F486">
        <v>368</v>
      </c>
      <c r="G486" t="s">
        <v>141</v>
      </c>
      <c r="H486" t="s">
        <v>142</v>
      </c>
      <c r="I486" t="s">
        <v>279</v>
      </c>
      <c r="J486" t="s">
        <v>280</v>
      </c>
      <c r="L486" t="s">
        <v>327</v>
      </c>
      <c r="M486" s="8">
        <v>45566</v>
      </c>
      <c r="N486">
        <v>5600113</v>
      </c>
      <c r="O486" t="s">
        <v>123</v>
      </c>
      <c r="P486" t="s">
        <v>146</v>
      </c>
      <c r="Q486">
        <v>2.4300000000000002</v>
      </c>
      <c r="R486" t="s">
        <v>125</v>
      </c>
      <c r="S486" t="s">
        <v>126</v>
      </c>
      <c r="T486" t="s">
        <v>125</v>
      </c>
      <c r="U486" t="s">
        <v>126</v>
      </c>
      <c r="W486">
        <v>2.4300000000000002</v>
      </c>
      <c r="Y486">
        <v>2.4300000000000002</v>
      </c>
      <c r="AS486">
        <v>2.4300000000000002</v>
      </c>
      <c r="BH486" t="s">
        <v>126</v>
      </c>
      <c r="BI486" t="s">
        <v>126</v>
      </c>
      <c r="BJ486" t="s">
        <v>126</v>
      </c>
      <c r="BK486" t="s">
        <v>126</v>
      </c>
      <c r="BS486" t="s">
        <v>126</v>
      </c>
      <c r="BT486" t="s">
        <v>126</v>
      </c>
      <c r="BU486" t="s">
        <v>126</v>
      </c>
      <c r="BV486" t="s">
        <v>126</v>
      </c>
      <c r="CN486" t="s">
        <v>147</v>
      </c>
      <c r="CP486" t="s">
        <v>257</v>
      </c>
      <c r="CQ486" t="s">
        <v>147</v>
      </c>
    </row>
    <row r="487" spans="1:95" x14ac:dyDescent="0.2">
      <c r="A487" t="s">
        <v>115</v>
      </c>
      <c r="B487" t="s">
        <v>116</v>
      </c>
      <c r="C487">
        <v>210784</v>
      </c>
      <c r="E487" t="s">
        <v>117</v>
      </c>
      <c r="F487">
        <v>368</v>
      </c>
      <c r="G487" t="s">
        <v>141</v>
      </c>
      <c r="H487" t="s">
        <v>142</v>
      </c>
      <c r="I487" t="s">
        <v>279</v>
      </c>
      <c r="J487" t="s">
        <v>280</v>
      </c>
      <c r="L487" t="s">
        <v>328</v>
      </c>
      <c r="M487" s="8">
        <v>45566</v>
      </c>
      <c r="N487">
        <v>5601723</v>
      </c>
      <c r="O487" t="s">
        <v>123</v>
      </c>
      <c r="P487" t="s">
        <v>146</v>
      </c>
      <c r="Q487">
        <v>2.57</v>
      </c>
      <c r="R487" t="s">
        <v>125</v>
      </c>
      <c r="S487" t="s">
        <v>126</v>
      </c>
      <c r="T487" t="s">
        <v>125</v>
      </c>
      <c r="U487" t="s">
        <v>126</v>
      </c>
      <c r="W487">
        <v>2.57</v>
      </c>
      <c r="Y487">
        <v>2.57</v>
      </c>
      <c r="AS487">
        <v>2.57</v>
      </c>
      <c r="BH487" t="s">
        <v>126</v>
      </c>
      <c r="BI487" t="s">
        <v>126</v>
      </c>
      <c r="BJ487" t="s">
        <v>126</v>
      </c>
      <c r="BK487" t="s">
        <v>126</v>
      </c>
      <c r="BS487" t="s">
        <v>126</v>
      </c>
      <c r="BT487" t="s">
        <v>126</v>
      </c>
      <c r="BU487" t="s">
        <v>126</v>
      </c>
      <c r="BV487" t="s">
        <v>126</v>
      </c>
      <c r="CN487" t="s">
        <v>147</v>
      </c>
      <c r="CP487" t="s">
        <v>329</v>
      </c>
      <c r="CQ487" t="s">
        <v>147</v>
      </c>
    </row>
    <row r="488" spans="1:95" x14ac:dyDescent="0.2">
      <c r="A488" t="s">
        <v>115</v>
      </c>
      <c r="B488" t="s">
        <v>116</v>
      </c>
      <c r="C488">
        <v>210784</v>
      </c>
      <c r="E488" t="s">
        <v>117</v>
      </c>
      <c r="F488">
        <v>368</v>
      </c>
      <c r="G488" t="s">
        <v>141</v>
      </c>
      <c r="H488" t="s">
        <v>142</v>
      </c>
      <c r="I488" t="s">
        <v>279</v>
      </c>
      <c r="J488" t="s">
        <v>280</v>
      </c>
      <c r="L488" t="s">
        <v>328</v>
      </c>
      <c r="M488" s="8">
        <v>45566</v>
      </c>
      <c r="N488">
        <v>5601545</v>
      </c>
      <c r="O488" t="s">
        <v>123</v>
      </c>
      <c r="P488" t="s">
        <v>146</v>
      </c>
      <c r="Q488">
        <v>2.75</v>
      </c>
      <c r="R488" t="s">
        <v>125</v>
      </c>
      <c r="S488" t="s">
        <v>126</v>
      </c>
      <c r="T488" t="s">
        <v>125</v>
      </c>
      <c r="U488" t="s">
        <v>126</v>
      </c>
      <c r="W488">
        <v>2.75</v>
      </c>
      <c r="Y488">
        <v>2.75</v>
      </c>
      <c r="AS488">
        <v>2.75</v>
      </c>
      <c r="BH488" t="s">
        <v>126</v>
      </c>
      <c r="BI488" t="s">
        <v>126</v>
      </c>
      <c r="BJ488" t="s">
        <v>126</v>
      </c>
      <c r="BK488" t="s">
        <v>126</v>
      </c>
      <c r="BS488" t="s">
        <v>126</v>
      </c>
      <c r="BT488" t="s">
        <v>126</v>
      </c>
      <c r="BU488" t="s">
        <v>126</v>
      </c>
      <c r="BV488" t="s">
        <v>126</v>
      </c>
      <c r="CN488" t="s">
        <v>147</v>
      </c>
      <c r="CP488" t="s">
        <v>329</v>
      </c>
      <c r="CQ488" t="s">
        <v>147</v>
      </c>
    </row>
    <row r="489" spans="1:95" x14ac:dyDescent="0.2">
      <c r="A489" t="s">
        <v>115</v>
      </c>
      <c r="B489" t="s">
        <v>116</v>
      </c>
      <c r="C489">
        <v>210784</v>
      </c>
      <c r="E489" t="s">
        <v>117</v>
      </c>
      <c r="F489">
        <v>368</v>
      </c>
      <c r="G489" t="s">
        <v>141</v>
      </c>
      <c r="H489" t="s">
        <v>142</v>
      </c>
      <c r="I489" t="s">
        <v>279</v>
      </c>
      <c r="J489" t="s">
        <v>280</v>
      </c>
      <c r="L489" t="s">
        <v>261</v>
      </c>
      <c r="M489" s="8">
        <v>45566</v>
      </c>
      <c r="N489">
        <v>5584613</v>
      </c>
      <c r="O489" t="s">
        <v>123</v>
      </c>
      <c r="P489" t="s">
        <v>146</v>
      </c>
      <c r="Q489">
        <v>1.43</v>
      </c>
      <c r="R489" t="s">
        <v>569</v>
      </c>
      <c r="S489" t="s">
        <v>126</v>
      </c>
      <c r="T489" t="s">
        <v>569</v>
      </c>
      <c r="U489" t="s">
        <v>570</v>
      </c>
      <c r="W489">
        <v>0.44</v>
      </c>
      <c r="X489">
        <v>0.99</v>
      </c>
      <c r="Y489">
        <v>1.43</v>
      </c>
      <c r="Z489">
        <v>0.54</v>
      </c>
      <c r="AG489">
        <v>0.44</v>
      </c>
      <c r="AI489">
        <v>0.45</v>
      </c>
      <c r="BH489" t="s">
        <v>126</v>
      </c>
      <c r="BI489" t="s">
        <v>126</v>
      </c>
      <c r="BJ489" t="s">
        <v>126</v>
      </c>
      <c r="BK489" t="s">
        <v>126</v>
      </c>
      <c r="BS489" t="s">
        <v>126</v>
      </c>
      <c r="BT489" t="s">
        <v>126</v>
      </c>
      <c r="BU489" t="s">
        <v>126</v>
      </c>
      <c r="BV489" t="s">
        <v>126</v>
      </c>
      <c r="CN489" t="s">
        <v>147</v>
      </c>
      <c r="CP489" t="s">
        <v>257</v>
      </c>
      <c r="CQ489" t="s">
        <v>147</v>
      </c>
    </row>
    <row r="490" spans="1:95" x14ac:dyDescent="0.2">
      <c r="A490" t="s">
        <v>115</v>
      </c>
      <c r="B490" t="s">
        <v>116</v>
      </c>
      <c r="C490">
        <v>210784</v>
      </c>
      <c r="E490" t="s">
        <v>117</v>
      </c>
      <c r="F490">
        <v>368</v>
      </c>
      <c r="G490" t="s">
        <v>141</v>
      </c>
      <c r="H490" t="s">
        <v>142</v>
      </c>
      <c r="I490" t="s">
        <v>279</v>
      </c>
      <c r="J490" t="s">
        <v>280</v>
      </c>
      <c r="L490" t="s">
        <v>261</v>
      </c>
      <c r="M490" s="8">
        <v>45566</v>
      </c>
      <c r="N490">
        <v>5584703</v>
      </c>
      <c r="O490" t="s">
        <v>123</v>
      </c>
      <c r="P490" t="s">
        <v>146</v>
      </c>
      <c r="Q490">
        <v>4.83</v>
      </c>
      <c r="R490" t="s">
        <v>125</v>
      </c>
      <c r="S490" t="s">
        <v>126</v>
      </c>
      <c r="T490" t="s">
        <v>125</v>
      </c>
      <c r="U490" t="s">
        <v>126</v>
      </c>
      <c r="W490">
        <v>4.83</v>
      </c>
      <c r="Y490">
        <v>4.83</v>
      </c>
      <c r="BE490">
        <v>4.83</v>
      </c>
      <c r="BH490" t="s">
        <v>126</v>
      </c>
      <c r="BI490" t="s">
        <v>126</v>
      </c>
      <c r="BJ490" t="s">
        <v>126</v>
      </c>
      <c r="BK490" t="s">
        <v>126</v>
      </c>
      <c r="BS490" t="s">
        <v>126</v>
      </c>
      <c r="BT490" t="s">
        <v>126</v>
      </c>
      <c r="BU490" t="s">
        <v>126</v>
      </c>
      <c r="BV490" t="s">
        <v>126</v>
      </c>
      <c r="CN490" t="s">
        <v>147</v>
      </c>
      <c r="CP490" t="s">
        <v>257</v>
      </c>
      <c r="CQ490" t="s">
        <v>147</v>
      </c>
    </row>
    <row r="491" spans="1:95" x14ac:dyDescent="0.2">
      <c r="A491" t="s">
        <v>115</v>
      </c>
      <c r="B491" t="s">
        <v>116</v>
      </c>
      <c r="C491">
        <v>210784</v>
      </c>
      <c r="E491" t="s">
        <v>117</v>
      </c>
      <c r="F491">
        <v>368</v>
      </c>
      <c r="G491" t="s">
        <v>141</v>
      </c>
      <c r="H491" t="s">
        <v>142</v>
      </c>
      <c r="I491" t="s">
        <v>279</v>
      </c>
      <c r="J491" t="s">
        <v>280</v>
      </c>
      <c r="L491" t="s">
        <v>261</v>
      </c>
      <c r="M491" s="8">
        <v>45566</v>
      </c>
      <c r="N491">
        <v>5584525</v>
      </c>
      <c r="O491" t="s">
        <v>123</v>
      </c>
      <c r="P491" t="s">
        <v>146</v>
      </c>
      <c r="Q491">
        <v>3.03</v>
      </c>
      <c r="R491" t="s">
        <v>125</v>
      </c>
      <c r="S491" t="s">
        <v>126</v>
      </c>
      <c r="T491" t="s">
        <v>125</v>
      </c>
      <c r="U491" t="s">
        <v>126</v>
      </c>
      <c r="W491">
        <v>3.03</v>
      </c>
      <c r="Y491">
        <v>3.03</v>
      </c>
      <c r="BE491">
        <v>3.03</v>
      </c>
      <c r="BH491" t="s">
        <v>126</v>
      </c>
      <c r="BI491" t="s">
        <v>126</v>
      </c>
      <c r="BJ491" t="s">
        <v>126</v>
      </c>
      <c r="BK491" t="s">
        <v>126</v>
      </c>
      <c r="BS491" t="s">
        <v>126</v>
      </c>
      <c r="BT491" t="s">
        <v>126</v>
      </c>
      <c r="BU491" t="s">
        <v>126</v>
      </c>
      <c r="BV491" t="s">
        <v>126</v>
      </c>
      <c r="CN491" t="s">
        <v>147</v>
      </c>
      <c r="CP491" t="s">
        <v>257</v>
      </c>
      <c r="CQ491" t="s">
        <v>147</v>
      </c>
    </row>
    <row r="492" spans="1:95" x14ac:dyDescent="0.2">
      <c r="A492" t="s">
        <v>115</v>
      </c>
      <c r="B492" t="s">
        <v>116</v>
      </c>
      <c r="C492">
        <v>210784</v>
      </c>
      <c r="E492" t="s">
        <v>117</v>
      </c>
      <c r="F492">
        <v>368</v>
      </c>
      <c r="G492" t="s">
        <v>141</v>
      </c>
      <c r="H492" t="s">
        <v>142</v>
      </c>
      <c r="I492" t="s">
        <v>279</v>
      </c>
      <c r="J492" t="s">
        <v>280</v>
      </c>
      <c r="L492" t="s">
        <v>243</v>
      </c>
      <c r="M492" s="8">
        <v>45566</v>
      </c>
      <c r="N492">
        <v>5585427</v>
      </c>
      <c r="O492" t="s">
        <v>123</v>
      </c>
      <c r="P492" t="s">
        <v>146</v>
      </c>
      <c r="Q492">
        <v>2.5</v>
      </c>
      <c r="R492" t="s">
        <v>125</v>
      </c>
      <c r="S492" t="s">
        <v>126</v>
      </c>
      <c r="T492" t="s">
        <v>125</v>
      </c>
      <c r="U492" t="s">
        <v>126</v>
      </c>
      <c r="W492">
        <v>2.5</v>
      </c>
      <c r="Y492">
        <v>2.5</v>
      </c>
      <c r="BE492">
        <v>2.5</v>
      </c>
      <c r="BH492" t="s">
        <v>126</v>
      </c>
      <c r="BI492" t="s">
        <v>126</v>
      </c>
      <c r="BJ492" t="s">
        <v>126</v>
      </c>
      <c r="BK492" t="s">
        <v>126</v>
      </c>
      <c r="BS492" t="s">
        <v>126</v>
      </c>
      <c r="BT492" t="s">
        <v>126</v>
      </c>
      <c r="BU492" t="s">
        <v>126</v>
      </c>
      <c r="BV492" t="s">
        <v>126</v>
      </c>
      <c r="CN492" t="s">
        <v>147</v>
      </c>
      <c r="CP492" t="s">
        <v>257</v>
      </c>
      <c r="CQ492" t="s">
        <v>147</v>
      </c>
    </row>
    <row r="493" spans="1:95" x14ac:dyDescent="0.2">
      <c r="A493" t="s">
        <v>115</v>
      </c>
      <c r="B493" t="s">
        <v>116</v>
      </c>
      <c r="C493">
        <v>210784</v>
      </c>
      <c r="E493" t="s">
        <v>117</v>
      </c>
      <c r="F493">
        <v>368</v>
      </c>
      <c r="G493" t="s">
        <v>141</v>
      </c>
      <c r="H493" t="s">
        <v>142</v>
      </c>
      <c r="I493" t="s">
        <v>279</v>
      </c>
      <c r="J493" t="s">
        <v>280</v>
      </c>
      <c r="L493" t="s">
        <v>244</v>
      </c>
      <c r="M493" s="8">
        <v>45566</v>
      </c>
      <c r="N493">
        <v>5587515</v>
      </c>
      <c r="O493" t="s">
        <v>123</v>
      </c>
      <c r="P493" t="s">
        <v>146</v>
      </c>
      <c r="Q493">
        <v>4.88</v>
      </c>
      <c r="R493" t="s">
        <v>125</v>
      </c>
      <c r="S493" t="s">
        <v>126</v>
      </c>
      <c r="T493" t="s">
        <v>125</v>
      </c>
      <c r="U493" t="s">
        <v>126</v>
      </c>
      <c r="W493">
        <v>4.88</v>
      </c>
      <c r="Y493">
        <v>4.88</v>
      </c>
      <c r="BE493">
        <v>4.88</v>
      </c>
      <c r="BH493" t="s">
        <v>126</v>
      </c>
      <c r="BI493" t="s">
        <v>126</v>
      </c>
      <c r="BJ493" t="s">
        <v>126</v>
      </c>
      <c r="BK493" t="s">
        <v>126</v>
      </c>
      <c r="BS493" t="s">
        <v>126</v>
      </c>
      <c r="BT493" t="s">
        <v>126</v>
      </c>
      <c r="BU493" t="s">
        <v>126</v>
      </c>
      <c r="BV493" t="s">
        <v>126</v>
      </c>
      <c r="CN493" t="s">
        <v>147</v>
      </c>
      <c r="CP493" t="s">
        <v>257</v>
      </c>
      <c r="CQ493" t="s">
        <v>147</v>
      </c>
    </row>
    <row r="494" spans="1:95" x14ac:dyDescent="0.2">
      <c r="A494" t="s">
        <v>115</v>
      </c>
      <c r="B494" t="s">
        <v>116</v>
      </c>
      <c r="C494">
        <v>210784</v>
      </c>
      <c r="E494" t="s">
        <v>117</v>
      </c>
      <c r="F494">
        <v>368</v>
      </c>
      <c r="G494" t="s">
        <v>141</v>
      </c>
      <c r="H494" t="s">
        <v>142</v>
      </c>
      <c r="I494" t="s">
        <v>279</v>
      </c>
      <c r="J494" t="s">
        <v>280</v>
      </c>
      <c r="L494" t="s">
        <v>245</v>
      </c>
      <c r="M494" s="8">
        <v>45566</v>
      </c>
      <c r="N494">
        <v>5588149</v>
      </c>
      <c r="O494" t="s">
        <v>123</v>
      </c>
      <c r="P494" t="s">
        <v>146</v>
      </c>
      <c r="Q494">
        <v>3.89</v>
      </c>
      <c r="R494" t="s">
        <v>125</v>
      </c>
      <c r="S494" t="s">
        <v>126</v>
      </c>
      <c r="T494" t="s">
        <v>125</v>
      </c>
      <c r="U494" t="s">
        <v>126</v>
      </c>
      <c r="W494">
        <v>3.89</v>
      </c>
      <c r="Y494">
        <v>3.89</v>
      </c>
      <c r="BE494">
        <v>3.89</v>
      </c>
      <c r="BH494" t="s">
        <v>126</v>
      </c>
      <c r="BI494" t="s">
        <v>126</v>
      </c>
      <c r="BJ494" t="s">
        <v>126</v>
      </c>
      <c r="BK494" t="s">
        <v>126</v>
      </c>
      <c r="BS494" t="s">
        <v>126</v>
      </c>
      <c r="BT494" t="s">
        <v>126</v>
      </c>
      <c r="BU494" t="s">
        <v>126</v>
      </c>
      <c r="BV494" t="s">
        <v>126</v>
      </c>
      <c r="CN494" t="s">
        <v>147</v>
      </c>
      <c r="CP494" t="s">
        <v>257</v>
      </c>
      <c r="CQ494" t="s">
        <v>147</v>
      </c>
    </row>
    <row r="495" spans="1:95" x14ac:dyDescent="0.2">
      <c r="A495" t="s">
        <v>115</v>
      </c>
      <c r="B495" t="s">
        <v>116</v>
      </c>
      <c r="C495">
        <v>210784</v>
      </c>
      <c r="E495" t="s">
        <v>117</v>
      </c>
      <c r="F495">
        <v>368</v>
      </c>
      <c r="G495" t="s">
        <v>141</v>
      </c>
      <c r="H495" t="s">
        <v>142</v>
      </c>
      <c r="I495" t="s">
        <v>279</v>
      </c>
      <c r="J495" t="s">
        <v>280</v>
      </c>
      <c r="L495" t="s">
        <v>246</v>
      </c>
      <c r="M495" s="8">
        <v>45566</v>
      </c>
      <c r="N495">
        <v>5589445</v>
      </c>
      <c r="O495" t="s">
        <v>123</v>
      </c>
      <c r="P495" t="s">
        <v>146</v>
      </c>
      <c r="Q495">
        <v>2.56</v>
      </c>
      <c r="R495" t="s">
        <v>125</v>
      </c>
      <c r="S495" t="s">
        <v>126</v>
      </c>
      <c r="T495" t="s">
        <v>125</v>
      </c>
      <c r="U495" t="s">
        <v>126</v>
      </c>
      <c r="W495">
        <v>2.56</v>
      </c>
      <c r="Y495">
        <v>2.56</v>
      </c>
      <c r="BE495">
        <v>2.56</v>
      </c>
      <c r="BH495" t="s">
        <v>126</v>
      </c>
      <c r="BI495" t="s">
        <v>126</v>
      </c>
      <c r="BJ495" t="s">
        <v>126</v>
      </c>
      <c r="BK495" t="s">
        <v>126</v>
      </c>
      <c r="BS495" t="s">
        <v>126</v>
      </c>
      <c r="BT495" t="s">
        <v>126</v>
      </c>
      <c r="BU495" t="s">
        <v>126</v>
      </c>
      <c r="BV495" t="s">
        <v>126</v>
      </c>
      <c r="CN495" t="s">
        <v>147</v>
      </c>
      <c r="CP495" t="s">
        <v>257</v>
      </c>
      <c r="CQ495" t="s">
        <v>147</v>
      </c>
    </row>
    <row r="496" spans="1:95" x14ac:dyDescent="0.2">
      <c r="A496" t="s">
        <v>115</v>
      </c>
      <c r="B496" t="s">
        <v>116</v>
      </c>
      <c r="C496">
        <v>210784</v>
      </c>
      <c r="E496" t="s">
        <v>117</v>
      </c>
      <c r="F496">
        <v>368</v>
      </c>
      <c r="G496" t="s">
        <v>141</v>
      </c>
      <c r="H496" t="s">
        <v>142</v>
      </c>
      <c r="I496" t="s">
        <v>279</v>
      </c>
      <c r="J496" t="s">
        <v>280</v>
      </c>
      <c r="L496" t="s">
        <v>247</v>
      </c>
      <c r="M496" s="8">
        <v>45566</v>
      </c>
      <c r="N496">
        <v>5590284</v>
      </c>
      <c r="O496" t="s">
        <v>123</v>
      </c>
      <c r="P496" t="s">
        <v>146</v>
      </c>
      <c r="Q496">
        <v>1.1599999999999999</v>
      </c>
      <c r="R496" t="s">
        <v>125</v>
      </c>
      <c r="S496" t="s">
        <v>126</v>
      </c>
      <c r="T496" t="s">
        <v>125</v>
      </c>
      <c r="U496" t="s">
        <v>126</v>
      </c>
      <c r="W496">
        <v>1.1599999999999999</v>
      </c>
      <c r="Y496">
        <v>1.1599999999999999</v>
      </c>
      <c r="BE496">
        <v>1.1599999999999999</v>
      </c>
      <c r="BH496" t="s">
        <v>126</v>
      </c>
      <c r="BI496" t="s">
        <v>126</v>
      </c>
      <c r="BJ496" t="s">
        <v>126</v>
      </c>
      <c r="BK496" t="s">
        <v>126</v>
      </c>
      <c r="BS496" t="s">
        <v>126</v>
      </c>
      <c r="BT496" t="s">
        <v>126</v>
      </c>
      <c r="BU496" t="s">
        <v>126</v>
      </c>
      <c r="BV496" t="s">
        <v>126</v>
      </c>
      <c r="CN496" t="s">
        <v>147</v>
      </c>
      <c r="CP496" t="s">
        <v>257</v>
      </c>
      <c r="CQ496" t="s">
        <v>147</v>
      </c>
    </row>
    <row r="497" spans="1:95" x14ac:dyDescent="0.2">
      <c r="A497" t="s">
        <v>115</v>
      </c>
      <c r="B497" t="s">
        <v>116</v>
      </c>
      <c r="C497">
        <v>210784</v>
      </c>
      <c r="E497" t="s">
        <v>117</v>
      </c>
      <c r="F497">
        <v>368</v>
      </c>
      <c r="G497" t="s">
        <v>141</v>
      </c>
      <c r="H497" t="s">
        <v>142</v>
      </c>
      <c r="I497" t="s">
        <v>877</v>
      </c>
      <c r="J497" t="s">
        <v>878</v>
      </c>
      <c r="L497" t="s">
        <v>248</v>
      </c>
      <c r="M497" s="8">
        <v>45566</v>
      </c>
      <c r="N497">
        <v>10818620</v>
      </c>
      <c r="O497" t="s">
        <v>123</v>
      </c>
      <c r="P497" t="s">
        <v>146</v>
      </c>
      <c r="Q497">
        <v>2.98</v>
      </c>
      <c r="R497" t="s">
        <v>125</v>
      </c>
      <c r="S497" t="s">
        <v>126</v>
      </c>
      <c r="T497" t="s">
        <v>125</v>
      </c>
      <c r="U497" t="s">
        <v>126</v>
      </c>
      <c r="W497">
        <v>2.98</v>
      </c>
      <c r="Y497">
        <v>2.98</v>
      </c>
      <c r="BE497">
        <v>2.98</v>
      </c>
      <c r="BH497" t="s">
        <v>126</v>
      </c>
      <c r="BI497" t="s">
        <v>126</v>
      </c>
      <c r="BJ497" t="s">
        <v>126</v>
      </c>
      <c r="BK497" t="s">
        <v>126</v>
      </c>
      <c r="BS497" t="s">
        <v>126</v>
      </c>
      <c r="BT497" t="s">
        <v>126</v>
      </c>
      <c r="BU497" t="s">
        <v>126</v>
      </c>
      <c r="BV497" t="s">
        <v>126</v>
      </c>
      <c r="CN497" t="s">
        <v>147</v>
      </c>
      <c r="CP497" t="s">
        <v>257</v>
      </c>
      <c r="CQ497" t="s">
        <v>147</v>
      </c>
    </row>
    <row r="498" spans="1:95" x14ac:dyDescent="0.2">
      <c r="A498" t="s">
        <v>115</v>
      </c>
      <c r="B498" t="s">
        <v>116</v>
      </c>
      <c r="C498">
        <v>210784</v>
      </c>
      <c r="E498" t="s">
        <v>117</v>
      </c>
      <c r="F498">
        <v>368</v>
      </c>
      <c r="G498" t="s">
        <v>141</v>
      </c>
      <c r="H498" t="s">
        <v>142</v>
      </c>
      <c r="I498" t="s">
        <v>279</v>
      </c>
      <c r="J498" t="s">
        <v>280</v>
      </c>
      <c r="L498" t="s">
        <v>248</v>
      </c>
      <c r="M498" s="8">
        <v>45566</v>
      </c>
      <c r="N498">
        <v>5591040</v>
      </c>
      <c r="O498" t="s">
        <v>123</v>
      </c>
      <c r="P498" t="s">
        <v>146</v>
      </c>
      <c r="Q498">
        <v>2.11</v>
      </c>
      <c r="R498" t="s">
        <v>125</v>
      </c>
      <c r="S498" t="s">
        <v>126</v>
      </c>
      <c r="T498" t="s">
        <v>125</v>
      </c>
      <c r="U498" t="s">
        <v>126</v>
      </c>
      <c r="W498">
        <v>2.11</v>
      </c>
      <c r="Y498">
        <v>2.11</v>
      </c>
      <c r="BE498">
        <v>2.11</v>
      </c>
      <c r="BH498" t="s">
        <v>126</v>
      </c>
      <c r="BI498" t="s">
        <v>126</v>
      </c>
      <c r="BJ498" t="s">
        <v>126</v>
      </c>
      <c r="BK498" t="s">
        <v>126</v>
      </c>
      <c r="BS498" t="s">
        <v>126</v>
      </c>
      <c r="BT498" t="s">
        <v>126</v>
      </c>
      <c r="BU498" t="s">
        <v>126</v>
      </c>
      <c r="BV498" t="s">
        <v>126</v>
      </c>
      <c r="CN498" t="s">
        <v>147</v>
      </c>
      <c r="CP498" t="s">
        <v>257</v>
      </c>
      <c r="CQ498" t="s">
        <v>147</v>
      </c>
    </row>
    <row r="499" spans="1:95" x14ac:dyDescent="0.2">
      <c r="A499" t="s">
        <v>115</v>
      </c>
      <c r="B499" t="s">
        <v>116</v>
      </c>
      <c r="C499">
        <v>210784</v>
      </c>
      <c r="E499" t="s">
        <v>117</v>
      </c>
      <c r="F499">
        <v>368</v>
      </c>
      <c r="G499" t="s">
        <v>141</v>
      </c>
      <c r="H499" t="s">
        <v>142</v>
      </c>
      <c r="I499" t="s">
        <v>279</v>
      </c>
      <c r="J499" t="s">
        <v>280</v>
      </c>
      <c r="L499" t="s">
        <v>252</v>
      </c>
      <c r="M499" s="8">
        <v>45566</v>
      </c>
      <c r="N499">
        <v>5591907</v>
      </c>
      <c r="O499" t="s">
        <v>123</v>
      </c>
      <c r="P499" t="s">
        <v>146</v>
      </c>
      <c r="Q499">
        <v>1.61</v>
      </c>
      <c r="R499" t="s">
        <v>125</v>
      </c>
      <c r="S499" t="s">
        <v>126</v>
      </c>
      <c r="T499" t="s">
        <v>125</v>
      </c>
      <c r="U499" t="s">
        <v>126</v>
      </c>
      <c r="W499">
        <v>1.61</v>
      </c>
      <c r="Y499">
        <v>1.61</v>
      </c>
      <c r="BE499">
        <v>1.61</v>
      </c>
      <c r="BH499" t="s">
        <v>126</v>
      </c>
      <c r="BI499" t="s">
        <v>126</v>
      </c>
      <c r="BJ499" t="s">
        <v>126</v>
      </c>
      <c r="BK499" t="s">
        <v>126</v>
      </c>
      <c r="BS499" t="s">
        <v>126</v>
      </c>
      <c r="BT499" t="s">
        <v>126</v>
      </c>
      <c r="BU499" t="s">
        <v>126</v>
      </c>
      <c r="BV499" t="s">
        <v>126</v>
      </c>
      <c r="CN499" t="s">
        <v>147</v>
      </c>
      <c r="CP499" t="s">
        <v>257</v>
      </c>
      <c r="CQ499" t="s">
        <v>147</v>
      </c>
    </row>
    <row r="500" spans="1:95" x14ac:dyDescent="0.2">
      <c r="A500" t="s">
        <v>115</v>
      </c>
      <c r="B500" t="s">
        <v>116</v>
      </c>
      <c r="C500">
        <v>210784</v>
      </c>
      <c r="E500" t="s">
        <v>117</v>
      </c>
      <c r="F500">
        <v>368</v>
      </c>
      <c r="G500" t="s">
        <v>141</v>
      </c>
      <c r="H500" t="s">
        <v>142</v>
      </c>
      <c r="I500" t="s">
        <v>279</v>
      </c>
      <c r="J500" t="s">
        <v>280</v>
      </c>
      <c r="L500" t="s">
        <v>253</v>
      </c>
      <c r="M500" s="8">
        <v>45566</v>
      </c>
      <c r="N500">
        <v>5592612</v>
      </c>
      <c r="O500" t="s">
        <v>123</v>
      </c>
      <c r="P500" t="s">
        <v>146</v>
      </c>
      <c r="Q500">
        <v>2.39</v>
      </c>
      <c r="R500" t="s">
        <v>125</v>
      </c>
      <c r="S500" t="s">
        <v>126</v>
      </c>
      <c r="T500" t="s">
        <v>125</v>
      </c>
      <c r="U500" t="s">
        <v>126</v>
      </c>
      <c r="W500">
        <v>2.39</v>
      </c>
      <c r="Y500">
        <v>2.39</v>
      </c>
      <c r="BE500">
        <v>2.39</v>
      </c>
      <c r="BH500" t="s">
        <v>126</v>
      </c>
      <c r="BI500" t="s">
        <v>126</v>
      </c>
      <c r="BJ500" t="s">
        <v>126</v>
      </c>
      <c r="BK500" t="s">
        <v>126</v>
      </c>
      <c r="BS500" t="s">
        <v>126</v>
      </c>
      <c r="BT500" t="s">
        <v>126</v>
      </c>
      <c r="BU500" t="s">
        <v>126</v>
      </c>
      <c r="BV500" t="s">
        <v>126</v>
      </c>
      <c r="CN500" t="s">
        <v>147</v>
      </c>
      <c r="CP500" t="s">
        <v>257</v>
      </c>
      <c r="CQ500" t="s">
        <v>147</v>
      </c>
    </row>
    <row r="501" spans="1:95" x14ac:dyDescent="0.2">
      <c r="A501" t="s">
        <v>115</v>
      </c>
      <c r="B501" t="s">
        <v>116</v>
      </c>
      <c r="C501">
        <v>210784</v>
      </c>
      <c r="E501" t="s">
        <v>117</v>
      </c>
      <c r="F501">
        <v>368</v>
      </c>
      <c r="G501" t="s">
        <v>141</v>
      </c>
      <c r="H501" t="s">
        <v>142</v>
      </c>
      <c r="I501" t="s">
        <v>279</v>
      </c>
      <c r="J501" t="s">
        <v>280</v>
      </c>
      <c r="L501" t="s">
        <v>324</v>
      </c>
      <c r="M501" s="8">
        <v>45566</v>
      </c>
      <c r="N501">
        <v>5593577</v>
      </c>
      <c r="O501" t="s">
        <v>123</v>
      </c>
      <c r="P501" t="s">
        <v>146</v>
      </c>
      <c r="Q501">
        <v>3.58</v>
      </c>
      <c r="R501" t="s">
        <v>125</v>
      </c>
      <c r="S501" t="s">
        <v>126</v>
      </c>
      <c r="T501" t="s">
        <v>125</v>
      </c>
      <c r="U501" t="s">
        <v>126</v>
      </c>
      <c r="W501">
        <v>3.58</v>
      </c>
      <c r="Y501">
        <v>3.58</v>
      </c>
      <c r="BE501">
        <v>3.58</v>
      </c>
      <c r="BH501" t="s">
        <v>126</v>
      </c>
      <c r="BI501" t="s">
        <v>126</v>
      </c>
      <c r="BJ501" t="s">
        <v>126</v>
      </c>
      <c r="BK501" t="s">
        <v>126</v>
      </c>
      <c r="BS501" t="s">
        <v>126</v>
      </c>
      <c r="BT501" t="s">
        <v>126</v>
      </c>
      <c r="BU501" t="s">
        <v>126</v>
      </c>
      <c r="BV501" t="s">
        <v>126</v>
      </c>
      <c r="CN501" t="s">
        <v>147</v>
      </c>
      <c r="CP501" t="s">
        <v>257</v>
      </c>
      <c r="CQ501" t="s">
        <v>147</v>
      </c>
    </row>
    <row r="502" spans="1:95" x14ac:dyDescent="0.2">
      <c r="A502" t="s">
        <v>115</v>
      </c>
      <c r="B502" t="s">
        <v>116</v>
      </c>
      <c r="C502">
        <v>210784</v>
      </c>
      <c r="E502" t="s">
        <v>117</v>
      </c>
      <c r="F502">
        <v>368</v>
      </c>
      <c r="G502" t="s">
        <v>141</v>
      </c>
      <c r="H502" t="s">
        <v>142</v>
      </c>
      <c r="I502" t="s">
        <v>279</v>
      </c>
      <c r="J502" t="s">
        <v>280</v>
      </c>
      <c r="L502" t="s">
        <v>879</v>
      </c>
      <c r="M502" s="8">
        <v>45566</v>
      </c>
      <c r="N502">
        <v>5594605</v>
      </c>
      <c r="O502" t="s">
        <v>123</v>
      </c>
      <c r="P502" t="s">
        <v>146</v>
      </c>
      <c r="Q502">
        <v>2.19</v>
      </c>
      <c r="R502" t="s">
        <v>125</v>
      </c>
      <c r="S502" t="s">
        <v>126</v>
      </c>
      <c r="T502" t="s">
        <v>125</v>
      </c>
      <c r="U502" t="s">
        <v>126</v>
      </c>
      <c r="W502">
        <v>2.19</v>
      </c>
      <c r="Y502">
        <v>2.19</v>
      </c>
      <c r="BE502">
        <v>2.19</v>
      </c>
      <c r="BH502" t="s">
        <v>126</v>
      </c>
      <c r="BI502" t="s">
        <v>126</v>
      </c>
      <c r="BJ502" t="s">
        <v>126</v>
      </c>
      <c r="BK502" t="s">
        <v>126</v>
      </c>
      <c r="BS502" t="s">
        <v>126</v>
      </c>
      <c r="BT502" t="s">
        <v>126</v>
      </c>
      <c r="BU502" t="s">
        <v>126</v>
      </c>
      <c r="BV502" t="s">
        <v>126</v>
      </c>
      <c r="CN502" t="s">
        <v>147</v>
      </c>
      <c r="CP502" t="s">
        <v>257</v>
      </c>
      <c r="CQ502" t="s">
        <v>147</v>
      </c>
    </row>
    <row r="503" spans="1:95" x14ac:dyDescent="0.2">
      <c r="A503" t="s">
        <v>115</v>
      </c>
      <c r="B503" t="s">
        <v>116</v>
      </c>
      <c r="C503">
        <v>210784</v>
      </c>
      <c r="E503" t="s">
        <v>117</v>
      </c>
      <c r="F503">
        <v>368</v>
      </c>
      <c r="G503" t="s">
        <v>141</v>
      </c>
      <c r="H503" t="s">
        <v>142</v>
      </c>
      <c r="I503" t="s">
        <v>279</v>
      </c>
      <c r="J503" t="s">
        <v>280</v>
      </c>
      <c r="L503" t="s">
        <v>880</v>
      </c>
      <c r="M503" s="8">
        <v>45566</v>
      </c>
      <c r="N503">
        <v>5596739</v>
      </c>
      <c r="O503" t="s">
        <v>123</v>
      </c>
      <c r="P503" t="s">
        <v>146</v>
      </c>
      <c r="Q503">
        <v>4.5</v>
      </c>
      <c r="R503" t="s">
        <v>125</v>
      </c>
      <c r="S503" t="s">
        <v>126</v>
      </c>
      <c r="T503" t="s">
        <v>125</v>
      </c>
      <c r="U503" t="s">
        <v>126</v>
      </c>
      <c r="W503">
        <v>4.5</v>
      </c>
      <c r="Y503">
        <v>4.5</v>
      </c>
      <c r="BE503">
        <v>4.5</v>
      </c>
      <c r="BH503" t="s">
        <v>126</v>
      </c>
      <c r="BI503" t="s">
        <v>126</v>
      </c>
      <c r="BJ503" t="s">
        <v>126</v>
      </c>
      <c r="BK503" t="s">
        <v>126</v>
      </c>
      <c r="BS503" t="s">
        <v>126</v>
      </c>
      <c r="BT503" t="s">
        <v>126</v>
      </c>
      <c r="BU503" t="s">
        <v>126</v>
      </c>
      <c r="BV503" t="s">
        <v>126</v>
      </c>
      <c r="CN503" t="s">
        <v>147</v>
      </c>
      <c r="CP503" t="s">
        <v>257</v>
      </c>
      <c r="CQ503" t="s">
        <v>147</v>
      </c>
    </row>
    <row r="504" spans="1:95" x14ac:dyDescent="0.2">
      <c r="A504" t="s">
        <v>115</v>
      </c>
      <c r="B504" t="s">
        <v>116</v>
      </c>
      <c r="C504">
        <v>210784</v>
      </c>
      <c r="E504" t="s">
        <v>117</v>
      </c>
      <c r="F504">
        <v>368</v>
      </c>
      <c r="G504" t="s">
        <v>141</v>
      </c>
      <c r="H504" t="s">
        <v>142</v>
      </c>
      <c r="I504" t="s">
        <v>279</v>
      </c>
      <c r="J504" t="s">
        <v>280</v>
      </c>
      <c r="L504" t="s">
        <v>255</v>
      </c>
      <c r="M504" s="8">
        <v>45566</v>
      </c>
      <c r="N504">
        <v>5597449</v>
      </c>
      <c r="O504" t="s">
        <v>123</v>
      </c>
      <c r="P504" t="s">
        <v>146</v>
      </c>
      <c r="Q504">
        <v>1.96</v>
      </c>
      <c r="R504" t="s">
        <v>125</v>
      </c>
      <c r="S504" t="s">
        <v>126</v>
      </c>
      <c r="T504" t="s">
        <v>125</v>
      </c>
      <c r="U504" t="s">
        <v>126</v>
      </c>
      <c r="W504">
        <v>1.96</v>
      </c>
      <c r="Y504">
        <v>1.96</v>
      </c>
      <c r="BE504">
        <v>1.96</v>
      </c>
      <c r="BH504" t="s">
        <v>126</v>
      </c>
      <c r="BI504" t="s">
        <v>126</v>
      </c>
      <c r="BJ504" t="s">
        <v>126</v>
      </c>
      <c r="BK504" t="s">
        <v>126</v>
      </c>
      <c r="BS504" t="s">
        <v>126</v>
      </c>
      <c r="BT504" t="s">
        <v>126</v>
      </c>
      <c r="BU504" t="s">
        <v>126</v>
      </c>
      <c r="BV504" t="s">
        <v>126</v>
      </c>
      <c r="CN504" t="s">
        <v>147</v>
      </c>
      <c r="CP504" t="s">
        <v>257</v>
      </c>
      <c r="CQ504" t="s">
        <v>147</v>
      </c>
    </row>
    <row r="505" spans="1:95" x14ac:dyDescent="0.2">
      <c r="A505" t="s">
        <v>115</v>
      </c>
      <c r="B505" t="s">
        <v>116</v>
      </c>
      <c r="C505">
        <v>210784</v>
      </c>
      <c r="E505" t="s">
        <v>117</v>
      </c>
      <c r="F505">
        <v>368</v>
      </c>
      <c r="G505" t="s">
        <v>141</v>
      </c>
      <c r="H505" t="s">
        <v>142</v>
      </c>
      <c r="I505" t="s">
        <v>279</v>
      </c>
      <c r="J505" t="s">
        <v>280</v>
      </c>
      <c r="L505" t="s">
        <v>326</v>
      </c>
      <c r="M505" s="8">
        <v>45566</v>
      </c>
      <c r="N505">
        <v>5598443</v>
      </c>
      <c r="O505" t="s">
        <v>123</v>
      </c>
      <c r="P505" t="s">
        <v>146</v>
      </c>
      <c r="Q505">
        <v>1.44</v>
      </c>
      <c r="R505" t="s">
        <v>125</v>
      </c>
      <c r="S505" t="s">
        <v>126</v>
      </c>
      <c r="T505" t="s">
        <v>125</v>
      </c>
      <c r="U505" t="s">
        <v>126</v>
      </c>
      <c r="W505">
        <v>1.44</v>
      </c>
      <c r="Y505">
        <v>1.44</v>
      </c>
      <c r="BE505">
        <v>1.44</v>
      </c>
      <c r="BH505" t="s">
        <v>126</v>
      </c>
      <c r="BI505" t="s">
        <v>126</v>
      </c>
      <c r="BJ505" t="s">
        <v>126</v>
      </c>
      <c r="BK505" t="s">
        <v>126</v>
      </c>
      <c r="BS505" t="s">
        <v>126</v>
      </c>
      <c r="BT505" t="s">
        <v>126</v>
      </c>
      <c r="BU505" t="s">
        <v>126</v>
      </c>
      <c r="BV505" t="s">
        <v>126</v>
      </c>
      <c r="CN505" t="s">
        <v>147</v>
      </c>
      <c r="CP505" t="s">
        <v>257</v>
      </c>
      <c r="CQ505" t="s">
        <v>147</v>
      </c>
    </row>
    <row r="506" spans="1:95" x14ac:dyDescent="0.2">
      <c r="A506" t="s">
        <v>115</v>
      </c>
      <c r="B506" t="s">
        <v>116</v>
      </c>
      <c r="C506">
        <v>210784</v>
      </c>
      <c r="E506" t="s">
        <v>117</v>
      </c>
      <c r="F506">
        <v>368</v>
      </c>
      <c r="G506" t="s">
        <v>141</v>
      </c>
      <c r="H506" t="s">
        <v>142</v>
      </c>
      <c r="I506" t="s">
        <v>279</v>
      </c>
      <c r="J506" t="s">
        <v>280</v>
      </c>
      <c r="L506" t="s">
        <v>326</v>
      </c>
      <c r="M506" s="8">
        <v>45566</v>
      </c>
      <c r="N506">
        <v>5598324</v>
      </c>
      <c r="O506" t="s">
        <v>123</v>
      </c>
      <c r="P506" t="s">
        <v>146</v>
      </c>
      <c r="Q506">
        <v>3.93</v>
      </c>
      <c r="R506" t="s">
        <v>125</v>
      </c>
      <c r="S506" t="s">
        <v>126</v>
      </c>
      <c r="T506" t="s">
        <v>125</v>
      </c>
      <c r="U506" t="s">
        <v>126</v>
      </c>
      <c r="W506">
        <v>3.93</v>
      </c>
      <c r="Y506">
        <v>3.93</v>
      </c>
      <c r="BE506">
        <v>3.93</v>
      </c>
      <c r="BH506" t="s">
        <v>126</v>
      </c>
      <c r="BI506" t="s">
        <v>126</v>
      </c>
      <c r="BJ506" t="s">
        <v>126</v>
      </c>
      <c r="BK506" t="s">
        <v>126</v>
      </c>
      <c r="BS506" t="s">
        <v>126</v>
      </c>
      <c r="BT506" t="s">
        <v>126</v>
      </c>
      <c r="BU506" t="s">
        <v>126</v>
      </c>
      <c r="BV506" t="s">
        <v>126</v>
      </c>
      <c r="CN506" t="s">
        <v>147</v>
      </c>
      <c r="CP506" t="s">
        <v>257</v>
      </c>
      <c r="CQ506" t="s">
        <v>147</v>
      </c>
    </row>
    <row r="507" spans="1:95" x14ac:dyDescent="0.2">
      <c r="A507" t="s">
        <v>115</v>
      </c>
      <c r="B507" t="s">
        <v>116</v>
      </c>
      <c r="C507">
        <v>210784</v>
      </c>
      <c r="E507" t="s">
        <v>117</v>
      </c>
      <c r="F507">
        <v>368</v>
      </c>
      <c r="G507" t="s">
        <v>141</v>
      </c>
      <c r="H507" t="s">
        <v>142</v>
      </c>
      <c r="I507" t="s">
        <v>279</v>
      </c>
      <c r="J507" t="s">
        <v>280</v>
      </c>
      <c r="L507" t="s">
        <v>326</v>
      </c>
      <c r="M507" s="8">
        <v>45566</v>
      </c>
      <c r="N507">
        <v>5598310</v>
      </c>
      <c r="O507" t="s">
        <v>123</v>
      </c>
      <c r="P507" t="s">
        <v>146</v>
      </c>
      <c r="Q507">
        <v>2.3199999999999998</v>
      </c>
      <c r="R507" t="s">
        <v>125</v>
      </c>
      <c r="S507" t="s">
        <v>126</v>
      </c>
      <c r="T507" t="s">
        <v>125</v>
      </c>
      <c r="U507" t="s">
        <v>126</v>
      </c>
      <c r="W507">
        <v>2.3199999999999998</v>
      </c>
      <c r="Y507">
        <v>2.3199999999999998</v>
      </c>
      <c r="BE507">
        <v>2.3199999999999998</v>
      </c>
      <c r="BH507" t="s">
        <v>126</v>
      </c>
      <c r="BI507" t="s">
        <v>126</v>
      </c>
      <c r="BJ507" t="s">
        <v>126</v>
      </c>
      <c r="BK507" t="s">
        <v>126</v>
      </c>
      <c r="BS507" t="s">
        <v>126</v>
      </c>
      <c r="BT507" t="s">
        <v>126</v>
      </c>
      <c r="BU507" t="s">
        <v>126</v>
      </c>
      <c r="BV507" t="s">
        <v>126</v>
      </c>
      <c r="CN507" t="s">
        <v>147</v>
      </c>
      <c r="CP507" t="s">
        <v>257</v>
      </c>
      <c r="CQ507" t="s">
        <v>147</v>
      </c>
    </row>
    <row r="508" spans="1:95" x14ac:dyDescent="0.2">
      <c r="A508" t="s">
        <v>115</v>
      </c>
      <c r="B508" t="s">
        <v>116</v>
      </c>
      <c r="C508">
        <v>210784</v>
      </c>
      <c r="E508" t="s">
        <v>117</v>
      </c>
      <c r="F508">
        <v>368</v>
      </c>
      <c r="G508" t="s">
        <v>141</v>
      </c>
      <c r="H508" t="s">
        <v>142</v>
      </c>
      <c r="I508" t="s">
        <v>279</v>
      </c>
      <c r="J508" t="s">
        <v>280</v>
      </c>
      <c r="L508" t="s">
        <v>256</v>
      </c>
      <c r="M508" s="8">
        <v>45566</v>
      </c>
      <c r="N508">
        <v>5599116</v>
      </c>
      <c r="O508" t="s">
        <v>123</v>
      </c>
      <c r="P508" t="s">
        <v>146</v>
      </c>
      <c r="Q508">
        <v>0.64</v>
      </c>
      <c r="R508" t="s">
        <v>125</v>
      </c>
      <c r="S508" t="s">
        <v>126</v>
      </c>
      <c r="T508" t="s">
        <v>125</v>
      </c>
      <c r="U508" t="s">
        <v>126</v>
      </c>
      <c r="W508">
        <v>0.64</v>
      </c>
      <c r="Y508">
        <v>0.64</v>
      </c>
      <c r="BE508">
        <v>0.64</v>
      </c>
      <c r="BH508" t="s">
        <v>126</v>
      </c>
      <c r="BI508" t="s">
        <v>126</v>
      </c>
      <c r="BJ508" t="s">
        <v>126</v>
      </c>
      <c r="BK508" t="s">
        <v>126</v>
      </c>
      <c r="BS508" t="s">
        <v>126</v>
      </c>
      <c r="BT508" t="s">
        <v>126</v>
      </c>
      <c r="BU508" t="s">
        <v>126</v>
      </c>
      <c r="BV508" t="s">
        <v>126</v>
      </c>
      <c r="CN508" t="s">
        <v>147</v>
      </c>
      <c r="CP508" t="s">
        <v>257</v>
      </c>
      <c r="CQ508" t="s">
        <v>147</v>
      </c>
    </row>
    <row r="509" spans="1:95" x14ac:dyDescent="0.2">
      <c r="A509" t="s">
        <v>115</v>
      </c>
      <c r="B509" t="s">
        <v>116</v>
      </c>
      <c r="C509">
        <v>210784</v>
      </c>
      <c r="E509" t="s">
        <v>117</v>
      </c>
      <c r="F509">
        <v>368</v>
      </c>
      <c r="G509" t="s">
        <v>141</v>
      </c>
      <c r="H509" t="s">
        <v>142</v>
      </c>
      <c r="I509" t="s">
        <v>279</v>
      </c>
      <c r="J509" t="s">
        <v>280</v>
      </c>
      <c r="L509" t="s">
        <v>327</v>
      </c>
      <c r="M509" s="8">
        <v>45566</v>
      </c>
      <c r="N509">
        <v>5599969</v>
      </c>
      <c r="O509" t="s">
        <v>123</v>
      </c>
      <c r="P509" t="s">
        <v>146</v>
      </c>
      <c r="Q509">
        <v>0.82</v>
      </c>
      <c r="R509" t="s">
        <v>125</v>
      </c>
      <c r="S509" t="s">
        <v>126</v>
      </c>
      <c r="T509" t="s">
        <v>125</v>
      </c>
      <c r="U509" t="s">
        <v>126</v>
      </c>
      <c r="W509">
        <v>0.82</v>
      </c>
      <c r="Y509">
        <v>0.82</v>
      </c>
      <c r="BE509">
        <v>0.82</v>
      </c>
      <c r="BH509" t="s">
        <v>126</v>
      </c>
      <c r="BI509" t="s">
        <v>126</v>
      </c>
      <c r="BJ509" t="s">
        <v>126</v>
      </c>
      <c r="BK509" t="s">
        <v>126</v>
      </c>
      <c r="BS509" t="s">
        <v>126</v>
      </c>
      <c r="BT509" t="s">
        <v>126</v>
      </c>
      <c r="BU509" t="s">
        <v>126</v>
      </c>
      <c r="BV509" t="s">
        <v>126</v>
      </c>
      <c r="CN509" t="s">
        <v>147</v>
      </c>
      <c r="CP509" t="s">
        <v>257</v>
      </c>
      <c r="CQ509" t="s">
        <v>147</v>
      </c>
    </row>
    <row r="510" spans="1:95" x14ac:dyDescent="0.2">
      <c r="A510" t="s">
        <v>115</v>
      </c>
      <c r="B510" t="s">
        <v>116</v>
      </c>
      <c r="C510">
        <v>210784</v>
      </c>
      <c r="E510" t="s">
        <v>117</v>
      </c>
      <c r="F510">
        <v>368</v>
      </c>
      <c r="G510" t="s">
        <v>881</v>
      </c>
      <c r="H510" t="s">
        <v>882</v>
      </c>
      <c r="I510" t="s">
        <v>883</v>
      </c>
      <c r="J510" t="s">
        <v>884</v>
      </c>
      <c r="L510" t="s">
        <v>257</v>
      </c>
      <c r="M510" s="8">
        <v>45566</v>
      </c>
      <c r="N510">
        <v>2062750</v>
      </c>
      <c r="O510" t="s">
        <v>123</v>
      </c>
      <c r="P510" t="s">
        <v>146</v>
      </c>
      <c r="Q510">
        <v>1.95</v>
      </c>
      <c r="R510" t="s">
        <v>125</v>
      </c>
      <c r="S510" t="s">
        <v>126</v>
      </c>
      <c r="T510" t="s">
        <v>125</v>
      </c>
      <c r="U510" t="s">
        <v>126</v>
      </c>
      <c r="W510">
        <v>1.95</v>
      </c>
      <c r="Y510">
        <v>1.95</v>
      </c>
      <c r="BE510">
        <v>1.95</v>
      </c>
      <c r="BH510" t="s">
        <v>126</v>
      </c>
      <c r="BI510" t="s">
        <v>126</v>
      </c>
      <c r="BJ510" t="s">
        <v>126</v>
      </c>
      <c r="BK510" t="s">
        <v>126</v>
      </c>
      <c r="BS510" t="s">
        <v>126</v>
      </c>
      <c r="BT510" t="s">
        <v>126</v>
      </c>
      <c r="BU510" t="s">
        <v>126</v>
      </c>
      <c r="BV510" t="s">
        <v>126</v>
      </c>
      <c r="CN510" t="s">
        <v>882</v>
      </c>
      <c r="CP510" t="s">
        <v>333</v>
      </c>
      <c r="CQ510" t="s">
        <v>882</v>
      </c>
    </row>
    <row r="511" spans="1:95" x14ac:dyDescent="0.2">
      <c r="A511" t="s">
        <v>115</v>
      </c>
      <c r="B511" t="s">
        <v>116</v>
      </c>
      <c r="C511">
        <v>210784</v>
      </c>
      <c r="E511" t="s">
        <v>117</v>
      </c>
      <c r="F511">
        <v>368</v>
      </c>
      <c r="G511" t="s">
        <v>881</v>
      </c>
      <c r="H511" t="s">
        <v>882</v>
      </c>
      <c r="I511" t="s">
        <v>883</v>
      </c>
      <c r="J511" t="s">
        <v>884</v>
      </c>
      <c r="L511" t="s">
        <v>328</v>
      </c>
      <c r="M511" s="8">
        <v>45566</v>
      </c>
      <c r="N511">
        <v>2062361</v>
      </c>
      <c r="O511" t="s">
        <v>123</v>
      </c>
      <c r="P511" t="s">
        <v>146</v>
      </c>
      <c r="Q511">
        <v>2.06</v>
      </c>
      <c r="R511" t="s">
        <v>125</v>
      </c>
      <c r="S511" t="s">
        <v>126</v>
      </c>
      <c r="T511" t="s">
        <v>125</v>
      </c>
      <c r="U511" t="s">
        <v>126</v>
      </c>
      <c r="W511">
        <v>2.06</v>
      </c>
      <c r="Y511">
        <v>2.06</v>
      </c>
      <c r="BE511">
        <v>2.06</v>
      </c>
      <c r="BH511" t="s">
        <v>126</v>
      </c>
      <c r="BI511" t="s">
        <v>126</v>
      </c>
      <c r="BJ511" t="s">
        <v>126</v>
      </c>
      <c r="BK511" t="s">
        <v>126</v>
      </c>
      <c r="BS511" t="s">
        <v>126</v>
      </c>
      <c r="BT511" t="s">
        <v>126</v>
      </c>
      <c r="BU511" t="s">
        <v>126</v>
      </c>
      <c r="BV511" t="s">
        <v>126</v>
      </c>
      <c r="CN511" t="s">
        <v>882</v>
      </c>
      <c r="CP511" t="s">
        <v>333</v>
      </c>
      <c r="CQ511" t="s">
        <v>882</v>
      </c>
    </row>
    <row r="512" spans="1:95" x14ac:dyDescent="0.2">
      <c r="A512" t="s">
        <v>115</v>
      </c>
      <c r="B512" t="s">
        <v>116</v>
      </c>
      <c r="C512">
        <v>210784</v>
      </c>
      <c r="E512" t="s">
        <v>117</v>
      </c>
      <c r="F512">
        <v>368</v>
      </c>
      <c r="G512" t="s">
        <v>141</v>
      </c>
      <c r="H512" t="s">
        <v>142</v>
      </c>
      <c r="I512" t="s">
        <v>279</v>
      </c>
      <c r="J512" t="s">
        <v>280</v>
      </c>
      <c r="L512" t="s">
        <v>328</v>
      </c>
      <c r="M512" s="8">
        <v>45566</v>
      </c>
      <c r="N512">
        <v>5601710</v>
      </c>
      <c r="O512" t="s">
        <v>123</v>
      </c>
      <c r="P512" t="s">
        <v>146</v>
      </c>
      <c r="Q512">
        <v>0.14000000000000001</v>
      </c>
      <c r="R512" t="s">
        <v>125</v>
      </c>
      <c r="S512" t="s">
        <v>126</v>
      </c>
      <c r="T512" t="s">
        <v>125</v>
      </c>
      <c r="U512" t="s">
        <v>126</v>
      </c>
      <c r="W512">
        <v>0.14000000000000001</v>
      </c>
      <c r="Y512">
        <v>0.14000000000000001</v>
      </c>
      <c r="BE512">
        <v>0.14000000000000001</v>
      </c>
      <c r="BH512" t="s">
        <v>126</v>
      </c>
      <c r="BI512" t="s">
        <v>126</v>
      </c>
      <c r="BJ512" t="s">
        <v>126</v>
      </c>
      <c r="BK512" t="s">
        <v>126</v>
      </c>
      <c r="BS512" t="s">
        <v>126</v>
      </c>
      <c r="BT512" t="s">
        <v>126</v>
      </c>
      <c r="BU512" t="s">
        <v>126</v>
      </c>
      <c r="BV512" t="s">
        <v>126</v>
      </c>
      <c r="CN512" t="s">
        <v>147</v>
      </c>
      <c r="CP512" t="s">
        <v>329</v>
      </c>
      <c r="CQ512" t="s">
        <v>147</v>
      </c>
    </row>
    <row r="513" spans="1:95" x14ac:dyDescent="0.2">
      <c r="A513" t="s">
        <v>115</v>
      </c>
      <c r="B513" t="s">
        <v>116</v>
      </c>
      <c r="C513">
        <v>210784</v>
      </c>
      <c r="E513" t="s">
        <v>117</v>
      </c>
      <c r="F513">
        <v>368</v>
      </c>
      <c r="G513" t="s">
        <v>141</v>
      </c>
      <c r="H513" t="s">
        <v>142</v>
      </c>
      <c r="I513" t="s">
        <v>279</v>
      </c>
      <c r="J513" t="s">
        <v>280</v>
      </c>
      <c r="L513" t="s">
        <v>328</v>
      </c>
      <c r="M513" s="8">
        <v>45566</v>
      </c>
      <c r="N513">
        <v>5601547</v>
      </c>
      <c r="O513" t="s">
        <v>123</v>
      </c>
      <c r="P513" t="s">
        <v>146</v>
      </c>
      <c r="Q513">
        <v>1.96</v>
      </c>
      <c r="R513" t="s">
        <v>125</v>
      </c>
      <c r="S513" t="s">
        <v>126</v>
      </c>
      <c r="T513" t="s">
        <v>125</v>
      </c>
      <c r="U513" t="s">
        <v>126</v>
      </c>
      <c r="W513">
        <v>1.96</v>
      </c>
      <c r="Y513">
        <v>1.96</v>
      </c>
      <c r="BE513">
        <v>1.96</v>
      </c>
      <c r="BH513" t="s">
        <v>126</v>
      </c>
      <c r="BI513" t="s">
        <v>126</v>
      </c>
      <c r="BJ513" t="s">
        <v>126</v>
      </c>
      <c r="BK513" t="s">
        <v>126</v>
      </c>
      <c r="BS513" t="s">
        <v>126</v>
      </c>
      <c r="BT513" t="s">
        <v>126</v>
      </c>
      <c r="BU513" t="s">
        <v>126</v>
      </c>
      <c r="BV513" t="s">
        <v>126</v>
      </c>
      <c r="CN513" t="s">
        <v>147</v>
      </c>
      <c r="CP513" t="s">
        <v>329</v>
      </c>
      <c r="CQ513" t="s">
        <v>147</v>
      </c>
    </row>
    <row r="514" spans="1:95" x14ac:dyDescent="0.2">
      <c r="A514" t="s">
        <v>115</v>
      </c>
      <c r="B514" t="s">
        <v>116</v>
      </c>
      <c r="C514">
        <v>210784</v>
      </c>
      <c r="E514" t="s">
        <v>117</v>
      </c>
      <c r="F514">
        <v>368</v>
      </c>
      <c r="G514" t="s">
        <v>141</v>
      </c>
      <c r="H514" t="s">
        <v>142</v>
      </c>
      <c r="I514" t="s">
        <v>204</v>
      </c>
      <c r="J514" t="s">
        <v>205</v>
      </c>
      <c r="L514" t="s">
        <v>262</v>
      </c>
      <c r="M514" s="8">
        <v>45597</v>
      </c>
      <c r="N514">
        <v>110064</v>
      </c>
      <c r="O514" t="s">
        <v>123</v>
      </c>
      <c r="P514" t="s">
        <v>146</v>
      </c>
      <c r="Q514">
        <v>7.26</v>
      </c>
      <c r="R514" t="s">
        <v>125</v>
      </c>
      <c r="S514" t="s">
        <v>126</v>
      </c>
      <c r="T514" t="s">
        <v>125</v>
      </c>
      <c r="U514" t="s">
        <v>126</v>
      </c>
      <c r="W514">
        <v>7.26</v>
      </c>
      <c r="Y514">
        <v>7.26</v>
      </c>
      <c r="AC514">
        <v>7.26</v>
      </c>
      <c r="BH514" t="s">
        <v>126</v>
      </c>
      <c r="BI514" t="s">
        <v>126</v>
      </c>
      <c r="BJ514" t="s">
        <v>126</v>
      </c>
      <c r="BK514" t="s">
        <v>126</v>
      </c>
      <c r="BS514" t="s">
        <v>126</v>
      </c>
      <c r="BT514" t="s">
        <v>126</v>
      </c>
      <c r="BU514" t="s">
        <v>126</v>
      </c>
      <c r="BV514" t="s">
        <v>126</v>
      </c>
      <c r="CN514" t="s">
        <v>147</v>
      </c>
      <c r="CP514" t="s">
        <v>258</v>
      </c>
      <c r="CQ514" t="s">
        <v>147</v>
      </c>
    </row>
    <row r="515" spans="1:95" x14ac:dyDescent="0.2">
      <c r="A515" t="s">
        <v>115</v>
      </c>
      <c r="B515" t="s">
        <v>116</v>
      </c>
      <c r="C515">
        <v>210784</v>
      </c>
      <c r="E515" t="s">
        <v>117</v>
      </c>
      <c r="F515">
        <v>368</v>
      </c>
      <c r="G515" t="s">
        <v>141</v>
      </c>
      <c r="H515" t="s">
        <v>142</v>
      </c>
      <c r="I515" t="s">
        <v>204</v>
      </c>
      <c r="J515" t="s">
        <v>205</v>
      </c>
      <c r="L515" t="s">
        <v>263</v>
      </c>
      <c r="M515" s="8">
        <v>45597</v>
      </c>
      <c r="N515">
        <v>11657</v>
      </c>
      <c r="O515" t="s">
        <v>123</v>
      </c>
      <c r="P515" t="s">
        <v>146</v>
      </c>
      <c r="Q515">
        <v>10.84</v>
      </c>
      <c r="R515" t="s">
        <v>125</v>
      </c>
      <c r="S515" t="s">
        <v>126</v>
      </c>
      <c r="T515" t="s">
        <v>125</v>
      </c>
      <c r="U515" t="s">
        <v>126</v>
      </c>
      <c r="W515">
        <v>10.84</v>
      </c>
      <c r="Y515">
        <v>10.84</v>
      </c>
      <c r="AC515">
        <v>10.84</v>
      </c>
      <c r="BH515" t="s">
        <v>126</v>
      </c>
      <c r="BI515" t="s">
        <v>126</v>
      </c>
      <c r="BJ515" t="s">
        <v>126</v>
      </c>
      <c r="BK515" t="s">
        <v>126</v>
      </c>
      <c r="BS515" t="s">
        <v>126</v>
      </c>
      <c r="BT515" t="s">
        <v>126</v>
      </c>
      <c r="BU515" t="s">
        <v>126</v>
      </c>
      <c r="BV515" t="s">
        <v>126</v>
      </c>
      <c r="CN515" t="s">
        <v>147</v>
      </c>
      <c r="CP515" t="s">
        <v>258</v>
      </c>
      <c r="CQ515" t="s">
        <v>147</v>
      </c>
    </row>
    <row r="516" spans="1:95" x14ac:dyDescent="0.2">
      <c r="A516" t="s">
        <v>115</v>
      </c>
      <c r="B516" t="s">
        <v>116</v>
      </c>
      <c r="C516">
        <v>210784</v>
      </c>
      <c r="E516" t="s">
        <v>117</v>
      </c>
      <c r="F516">
        <v>368</v>
      </c>
      <c r="G516" t="s">
        <v>141</v>
      </c>
      <c r="H516" t="s">
        <v>142</v>
      </c>
      <c r="I516" t="s">
        <v>204</v>
      </c>
      <c r="J516" t="s">
        <v>205</v>
      </c>
      <c r="L516" t="s">
        <v>262</v>
      </c>
      <c r="M516" s="8">
        <v>45597</v>
      </c>
      <c r="N516">
        <v>111947</v>
      </c>
      <c r="O516" t="s">
        <v>123</v>
      </c>
      <c r="P516" t="s">
        <v>146</v>
      </c>
      <c r="Q516">
        <v>10.34</v>
      </c>
      <c r="R516" t="s">
        <v>125</v>
      </c>
      <c r="S516" t="s">
        <v>126</v>
      </c>
      <c r="T516" t="s">
        <v>125</v>
      </c>
      <c r="U516" t="s">
        <v>126</v>
      </c>
      <c r="W516">
        <v>10.34</v>
      </c>
      <c r="Y516">
        <v>10.34</v>
      </c>
      <c r="AC516">
        <v>10.34</v>
      </c>
      <c r="BH516" t="s">
        <v>126</v>
      </c>
      <c r="BI516" t="s">
        <v>126</v>
      </c>
      <c r="BJ516" t="s">
        <v>126</v>
      </c>
      <c r="BK516" t="s">
        <v>126</v>
      </c>
      <c r="BS516" t="s">
        <v>126</v>
      </c>
      <c r="BT516" t="s">
        <v>126</v>
      </c>
      <c r="BU516" t="s">
        <v>126</v>
      </c>
      <c r="BV516" t="s">
        <v>126</v>
      </c>
      <c r="CN516" t="s">
        <v>147</v>
      </c>
      <c r="CP516" t="s">
        <v>258</v>
      </c>
      <c r="CQ516" t="s">
        <v>147</v>
      </c>
    </row>
    <row r="517" spans="1:95" x14ac:dyDescent="0.2">
      <c r="A517" t="s">
        <v>115</v>
      </c>
      <c r="B517" t="s">
        <v>116</v>
      </c>
      <c r="C517">
        <v>210784</v>
      </c>
      <c r="E517" t="s">
        <v>117</v>
      </c>
      <c r="F517">
        <v>368</v>
      </c>
      <c r="G517" t="s">
        <v>141</v>
      </c>
      <c r="H517" t="s">
        <v>142</v>
      </c>
      <c r="I517" t="s">
        <v>204</v>
      </c>
      <c r="J517" t="s">
        <v>205</v>
      </c>
      <c r="L517" t="s">
        <v>264</v>
      </c>
      <c r="M517" s="8">
        <v>45597</v>
      </c>
      <c r="N517">
        <v>112719</v>
      </c>
      <c r="O517" t="s">
        <v>123</v>
      </c>
      <c r="P517" t="s">
        <v>146</v>
      </c>
      <c r="Q517">
        <v>8.1999999999999993</v>
      </c>
      <c r="R517" t="s">
        <v>125</v>
      </c>
      <c r="S517" t="s">
        <v>126</v>
      </c>
      <c r="T517" t="s">
        <v>125</v>
      </c>
      <c r="U517" t="s">
        <v>126</v>
      </c>
      <c r="W517">
        <v>8.1999999999999993</v>
      </c>
      <c r="Y517">
        <v>8.1999999999999993</v>
      </c>
      <c r="AC517">
        <v>8.1999999999999993</v>
      </c>
      <c r="BH517" t="s">
        <v>126</v>
      </c>
      <c r="BI517" t="s">
        <v>126</v>
      </c>
      <c r="BJ517" t="s">
        <v>126</v>
      </c>
      <c r="BK517" t="s">
        <v>126</v>
      </c>
      <c r="BS517" t="s">
        <v>126</v>
      </c>
      <c r="BT517" t="s">
        <v>126</v>
      </c>
      <c r="BU517" t="s">
        <v>126</v>
      </c>
      <c r="BV517" t="s">
        <v>126</v>
      </c>
      <c r="CN517" t="s">
        <v>147</v>
      </c>
      <c r="CP517" t="s">
        <v>258</v>
      </c>
      <c r="CQ517" t="s">
        <v>147</v>
      </c>
    </row>
    <row r="518" spans="1:95" x14ac:dyDescent="0.2">
      <c r="A518" t="s">
        <v>115</v>
      </c>
      <c r="B518" t="s">
        <v>116</v>
      </c>
      <c r="C518">
        <v>210784</v>
      </c>
      <c r="E518" t="s">
        <v>117</v>
      </c>
      <c r="F518">
        <v>368</v>
      </c>
      <c r="G518" t="s">
        <v>141</v>
      </c>
      <c r="H518" t="s">
        <v>142</v>
      </c>
      <c r="I518" t="s">
        <v>279</v>
      </c>
      <c r="J518" t="s">
        <v>280</v>
      </c>
      <c r="L518" t="s">
        <v>263</v>
      </c>
      <c r="M518" s="8">
        <v>45597</v>
      </c>
      <c r="N518">
        <v>5604265</v>
      </c>
      <c r="O518" t="s">
        <v>123</v>
      </c>
      <c r="P518" t="s">
        <v>146</v>
      </c>
      <c r="Q518">
        <v>2.08</v>
      </c>
      <c r="R518" t="s">
        <v>125</v>
      </c>
      <c r="S518" t="s">
        <v>126</v>
      </c>
      <c r="T518" t="s">
        <v>125</v>
      </c>
      <c r="U518" t="s">
        <v>126</v>
      </c>
      <c r="W518">
        <v>2.08</v>
      </c>
      <c r="Y518">
        <v>2.08</v>
      </c>
      <c r="AS518">
        <v>2.08</v>
      </c>
      <c r="BH518" t="s">
        <v>126</v>
      </c>
      <c r="BI518" t="s">
        <v>126</v>
      </c>
      <c r="BJ518" t="s">
        <v>126</v>
      </c>
      <c r="BK518" t="s">
        <v>126</v>
      </c>
      <c r="BS518" t="s">
        <v>126</v>
      </c>
      <c r="BT518" t="s">
        <v>126</v>
      </c>
      <c r="BU518" t="s">
        <v>126</v>
      </c>
      <c r="BV518" t="s">
        <v>126</v>
      </c>
      <c r="CN518" t="s">
        <v>147</v>
      </c>
      <c r="CP518" t="s">
        <v>329</v>
      </c>
      <c r="CQ518" t="s">
        <v>147</v>
      </c>
    </row>
    <row r="519" spans="1:95" x14ac:dyDescent="0.2">
      <c r="A519" t="s">
        <v>115</v>
      </c>
      <c r="B519" t="s">
        <v>116</v>
      </c>
      <c r="C519">
        <v>210784</v>
      </c>
      <c r="E519" t="s">
        <v>117</v>
      </c>
      <c r="F519">
        <v>368</v>
      </c>
      <c r="G519" t="s">
        <v>141</v>
      </c>
      <c r="H519" t="s">
        <v>142</v>
      </c>
      <c r="I519" t="s">
        <v>279</v>
      </c>
      <c r="J519" t="s">
        <v>280</v>
      </c>
      <c r="L519" t="s">
        <v>263</v>
      </c>
      <c r="M519" s="8">
        <v>45597</v>
      </c>
      <c r="N519">
        <v>5604282</v>
      </c>
      <c r="O519" t="s">
        <v>123</v>
      </c>
      <c r="P519" t="s">
        <v>146</v>
      </c>
      <c r="Q519">
        <v>4.68</v>
      </c>
      <c r="R519" t="s">
        <v>125</v>
      </c>
      <c r="S519" t="s">
        <v>126</v>
      </c>
      <c r="T519" t="s">
        <v>125</v>
      </c>
      <c r="U519" t="s">
        <v>126</v>
      </c>
      <c r="W519">
        <v>4.68</v>
      </c>
      <c r="Y519">
        <v>4.68</v>
      </c>
      <c r="AS519">
        <v>4.68</v>
      </c>
      <c r="BH519" t="s">
        <v>126</v>
      </c>
      <c r="BI519" t="s">
        <v>126</v>
      </c>
      <c r="BJ519" t="s">
        <v>126</v>
      </c>
      <c r="BK519" t="s">
        <v>126</v>
      </c>
      <c r="BS519" t="s">
        <v>126</v>
      </c>
      <c r="BT519" t="s">
        <v>126</v>
      </c>
      <c r="BU519" t="s">
        <v>126</v>
      </c>
      <c r="BV519" t="s">
        <v>126</v>
      </c>
      <c r="CN519" t="s">
        <v>147</v>
      </c>
      <c r="CP519" t="s">
        <v>329</v>
      </c>
      <c r="CQ519" t="s">
        <v>147</v>
      </c>
    </row>
    <row r="520" spans="1:95" x14ac:dyDescent="0.2">
      <c r="A520" t="s">
        <v>115</v>
      </c>
      <c r="B520" t="s">
        <v>116</v>
      </c>
      <c r="C520">
        <v>210784</v>
      </c>
      <c r="E520" t="s">
        <v>117</v>
      </c>
      <c r="F520">
        <v>368</v>
      </c>
      <c r="G520" t="s">
        <v>141</v>
      </c>
      <c r="H520" t="s">
        <v>142</v>
      </c>
      <c r="I520" t="s">
        <v>279</v>
      </c>
      <c r="J520" t="s">
        <v>280</v>
      </c>
      <c r="L520" t="s">
        <v>330</v>
      </c>
      <c r="M520" s="8">
        <v>45597</v>
      </c>
      <c r="N520">
        <v>5605435</v>
      </c>
      <c r="O520" t="s">
        <v>123</v>
      </c>
      <c r="P520" t="s">
        <v>146</v>
      </c>
      <c r="Q520">
        <v>3.5</v>
      </c>
      <c r="R520" t="s">
        <v>125</v>
      </c>
      <c r="S520" t="s">
        <v>126</v>
      </c>
      <c r="T520" t="s">
        <v>125</v>
      </c>
      <c r="U520" t="s">
        <v>126</v>
      </c>
      <c r="W520">
        <v>3.5</v>
      </c>
      <c r="Y520">
        <v>3.5</v>
      </c>
      <c r="AS520">
        <v>3.5</v>
      </c>
      <c r="BH520" t="s">
        <v>126</v>
      </c>
      <c r="BI520" t="s">
        <v>126</v>
      </c>
      <c r="BJ520" t="s">
        <v>126</v>
      </c>
      <c r="BK520" t="s">
        <v>126</v>
      </c>
      <c r="BS520" t="s">
        <v>126</v>
      </c>
      <c r="BT520" t="s">
        <v>126</v>
      </c>
      <c r="BU520" t="s">
        <v>126</v>
      </c>
      <c r="BV520" t="s">
        <v>126</v>
      </c>
      <c r="CN520" t="s">
        <v>147</v>
      </c>
      <c r="CP520" t="s">
        <v>329</v>
      </c>
      <c r="CQ520" t="s">
        <v>147</v>
      </c>
    </row>
    <row r="521" spans="1:95" x14ac:dyDescent="0.2">
      <c r="A521" t="s">
        <v>115</v>
      </c>
      <c r="B521" t="s">
        <v>116</v>
      </c>
      <c r="C521">
        <v>210784</v>
      </c>
      <c r="E521" t="s">
        <v>117</v>
      </c>
      <c r="F521">
        <v>368</v>
      </c>
      <c r="G521" t="s">
        <v>141</v>
      </c>
      <c r="H521" t="s">
        <v>142</v>
      </c>
      <c r="I521" t="s">
        <v>279</v>
      </c>
      <c r="J521" t="s">
        <v>280</v>
      </c>
      <c r="L521" t="s">
        <v>330</v>
      </c>
      <c r="M521" s="8">
        <v>45597</v>
      </c>
      <c r="N521">
        <v>5605573</v>
      </c>
      <c r="O521" t="s">
        <v>123</v>
      </c>
      <c r="P521" t="s">
        <v>146</v>
      </c>
      <c r="Q521">
        <v>1.4</v>
      </c>
      <c r="R521" t="s">
        <v>125</v>
      </c>
      <c r="S521" t="s">
        <v>126</v>
      </c>
      <c r="T521" t="s">
        <v>125</v>
      </c>
      <c r="U521" t="s">
        <v>126</v>
      </c>
      <c r="W521">
        <v>1.4</v>
      </c>
      <c r="Y521">
        <v>1.4</v>
      </c>
      <c r="AS521">
        <v>1.4</v>
      </c>
      <c r="BH521" t="s">
        <v>126</v>
      </c>
      <c r="BI521" t="s">
        <v>126</v>
      </c>
      <c r="BJ521" t="s">
        <v>126</v>
      </c>
      <c r="BK521" t="s">
        <v>126</v>
      </c>
      <c r="BS521" t="s">
        <v>126</v>
      </c>
      <c r="BT521" t="s">
        <v>126</v>
      </c>
      <c r="BU521" t="s">
        <v>126</v>
      </c>
      <c r="BV521" t="s">
        <v>126</v>
      </c>
      <c r="CN521" t="s">
        <v>147</v>
      </c>
      <c r="CP521" t="s">
        <v>329</v>
      </c>
      <c r="CQ521" t="s">
        <v>147</v>
      </c>
    </row>
    <row r="522" spans="1:95" x14ac:dyDescent="0.2">
      <c r="A522" t="s">
        <v>115</v>
      </c>
      <c r="B522" t="s">
        <v>116</v>
      </c>
      <c r="C522">
        <v>210784</v>
      </c>
      <c r="E522" t="s">
        <v>117</v>
      </c>
      <c r="F522">
        <v>368</v>
      </c>
      <c r="G522" t="s">
        <v>141</v>
      </c>
      <c r="H522" t="s">
        <v>142</v>
      </c>
      <c r="I522" t="s">
        <v>279</v>
      </c>
      <c r="J522" t="s">
        <v>280</v>
      </c>
      <c r="L522" t="s">
        <v>331</v>
      </c>
      <c r="M522" s="8">
        <v>45597</v>
      </c>
      <c r="N522">
        <v>5607028</v>
      </c>
      <c r="O522" t="s">
        <v>123</v>
      </c>
      <c r="P522" t="s">
        <v>146</v>
      </c>
      <c r="Q522">
        <v>4.4400000000000004</v>
      </c>
      <c r="R522" t="s">
        <v>125</v>
      </c>
      <c r="S522" t="s">
        <v>126</v>
      </c>
      <c r="T522" t="s">
        <v>125</v>
      </c>
      <c r="U522" t="s">
        <v>126</v>
      </c>
      <c r="W522">
        <v>4.4400000000000004</v>
      </c>
      <c r="Y522">
        <v>4.4400000000000004</v>
      </c>
      <c r="AS522">
        <v>4.4400000000000004</v>
      </c>
      <c r="BH522" t="s">
        <v>126</v>
      </c>
      <c r="BI522" t="s">
        <v>126</v>
      </c>
      <c r="BJ522" t="s">
        <v>126</v>
      </c>
      <c r="BK522" t="s">
        <v>126</v>
      </c>
      <c r="BS522" t="s">
        <v>126</v>
      </c>
      <c r="BT522" t="s">
        <v>126</v>
      </c>
      <c r="BU522" t="s">
        <v>126</v>
      </c>
      <c r="BV522" t="s">
        <v>126</v>
      </c>
      <c r="CN522" t="s">
        <v>147</v>
      </c>
      <c r="CP522" t="s">
        <v>329</v>
      </c>
      <c r="CQ522" t="s">
        <v>147</v>
      </c>
    </row>
    <row r="523" spans="1:95" x14ac:dyDescent="0.2">
      <c r="A523" t="s">
        <v>115</v>
      </c>
      <c r="B523" t="s">
        <v>116</v>
      </c>
      <c r="C523">
        <v>210784</v>
      </c>
      <c r="E523" t="s">
        <v>117</v>
      </c>
      <c r="F523">
        <v>368</v>
      </c>
      <c r="G523" t="s">
        <v>141</v>
      </c>
      <c r="H523" t="s">
        <v>142</v>
      </c>
      <c r="I523" t="s">
        <v>279</v>
      </c>
      <c r="J523" t="s">
        <v>280</v>
      </c>
      <c r="L523" t="s">
        <v>331</v>
      </c>
      <c r="M523" s="8">
        <v>45597</v>
      </c>
      <c r="N523">
        <v>5607006</v>
      </c>
      <c r="O523" t="s">
        <v>123</v>
      </c>
      <c r="P523" t="s">
        <v>146</v>
      </c>
      <c r="Q523">
        <v>1.64</v>
      </c>
      <c r="R523" t="s">
        <v>125</v>
      </c>
      <c r="S523" t="s">
        <v>126</v>
      </c>
      <c r="T523" t="s">
        <v>125</v>
      </c>
      <c r="U523" t="s">
        <v>126</v>
      </c>
      <c r="W523">
        <v>1.64</v>
      </c>
      <c r="Y523">
        <v>1.64</v>
      </c>
      <c r="AS523">
        <v>1.64</v>
      </c>
      <c r="BH523" t="s">
        <v>126</v>
      </c>
      <c r="BI523" t="s">
        <v>126</v>
      </c>
      <c r="BJ523" t="s">
        <v>126</v>
      </c>
      <c r="BK523" t="s">
        <v>126</v>
      </c>
      <c r="BS523" t="s">
        <v>126</v>
      </c>
      <c r="BT523" t="s">
        <v>126</v>
      </c>
      <c r="BU523" t="s">
        <v>126</v>
      </c>
      <c r="BV523" t="s">
        <v>126</v>
      </c>
      <c r="CN523" t="s">
        <v>147</v>
      </c>
      <c r="CP523" t="s">
        <v>329</v>
      </c>
      <c r="CQ523" t="s">
        <v>147</v>
      </c>
    </row>
    <row r="524" spans="1:95" x14ac:dyDescent="0.2">
      <c r="A524" t="s">
        <v>115</v>
      </c>
      <c r="B524" t="s">
        <v>116</v>
      </c>
      <c r="C524">
        <v>210784</v>
      </c>
      <c r="E524" t="s">
        <v>117</v>
      </c>
      <c r="F524">
        <v>368</v>
      </c>
      <c r="G524" t="s">
        <v>141</v>
      </c>
      <c r="H524" t="s">
        <v>142</v>
      </c>
      <c r="I524" t="s">
        <v>279</v>
      </c>
      <c r="J524" t="s">
        <v>280</v>
      </c>
      <c r="L524" t="s">
        <v>262</v>
      </c>
      <c r="M524" s="8">
        <v>45597</v>
      </c>
      <c r="N524">
        <v>5608272</v>
      </c>
      <c r="O524" t="s">
        <v>123</v>
      </c>
      <c r="P524" t="s">
        <v>146</v>
      </c>
      <c r="Q524">
        <v>1.1100000000000001</v>
      </c>
      <c r="R524" t="s">
        <v>125</v>
      </c>
      <c r="S524" t="s">
        <v>126</v>
      </c>
      <c r="T524" t="s">
        <v>125</v>
      </c>
      <c r="U524" t="s">
        <v>126</v>
      </c>
      <c r="W524">
        <v>1.1100000000000001</v>
      </c>
      <c r="Y524">
        <v>1.1100000000000001</v>
      </c>
      <c r="AS524">
        <v>1.1100000000000001</v>
      </c>
      <c r="BH524" t="s">
        <v>126</v>
      </c>
      <c r="BI524" t="s">
        <v>126</v>
      </c>
      <c r="BJ524" t="s">
        <v>126</v>
      </c>
      <c r="BK524" t="s">
        <v>126</v>
      </c>
      <c r="BS524" t="s">
        <v>126</v>
      </c>
      <c r="BT524" t="s">
        <v>126</v>
      </c>
      <c r="BU524" t="s">
        <v>126</v>
      </c>
      <c r="BV524" t="s">
        <v>126</v>
      </c>
      <c r="CN524" t="s">
        <v>147</v>
      </c>
      <c r="CP524" t="s">
        <v>329</v>
      </c>
      <c r="CQ524" t="s">
        <v>147</v>
      </c>
    </row>
    <row r="525" spans="1:95" x14ac:dyDescent="0.2">
      <c r="A525" t="s">
        <v>115</v>
      </c>
      <c r="B525" t="s">
        <v>116</v>
      </c>
      <c r="C525">
        <v>210784</v>
      </c>
      <c r="E525" t="s">
        <v>117</v>
      </c>
      <c r="F525">
        <v>368</v>
      </c>
      <c r="G525" t="s">
        <v>141</v>
      </c>
      <c r="H525" t="s">
        <v>142</v>
      </c>
      <c r="I525" t="s">
        <v>279</v>
      </c>
      <c r="J525" t="s">
        <v>280</v>
      </c>
      <c r="L525" t="s">
        <v>262</v>
      </c>
      <c r="M525" s="8">
        <v>45597</v>
      </c>
      <c r="N525">
        <v>5608196</v>
      </c>
      <c r="O525" t="s">
        <v>123</v>
      </c>
      <c r="P525" t="s">
        <v>146</v>
      </c>
      <c r="Q525">
        <v>4.2</v>
      </c>
      <c r="R525" t="s">
        <v>125</v>
      </c>
      <c r="S525" t="s">
        <v>126</v>
      </c>
      <c r="T525" t="s">
        <v>125</v>
      </c>
      <c r="U525" t="s">
        <v>126</v>
      </c>
      <c r="W525">
        <v>4.2</v>
      </c>
      <c r="Y525">
        <v>4.2</v>
      </c>
      <c r="AS525">
        <v>4.2</v>
      </c>
      <c r="BH525" t="s">
        <v>126</v>
      </c>
      <c r="BI525" t="s">
        <v>126</v>
      </c>
      <c r="BJ525" t="s">
        <v>126</v>
      </c>
      <c r="BK525" t="s">
        <v>126</v>
      </c>
      <c r="BS525" t="s">
        <v>126</v>
      </c>
      <c r="BT525" t="s">
        <v>126</v>
      </c>
      <c r="BU525" t="s">
        <v>126</v>
      </c>
      <c r="BV525" t="s">
        <v>126</v>
      </c>
      <c r="CN525" t="s">
        <v>147</v>
      </c>
      <c r="CP525" t="s">
        <v>329</v>
      </c>
      <c r="CQ525" t="s">
        <v>147</v>
      </c>
    </row>
    <row r="526" spans="1:95" x14ac:dyDescent="0.2">
      <c r="A526" t="s">
        <v>115</v>
      </c>
      <c r="B526" t="s">
        <v>116</v>
      </c>
      <c r="C526">
        <v>210784</v>
      </c>
      <c r="E526" t="s">
        <v>117</v>
      </c>
      <c r="F526">
        <v>368</v>
      </c>
      <c r="G526" t="s">
        <v>141</v>
      </c>
      <c r="H526" t="s">
        <v>142</v>
      </c>
      <c r="I526" t="s">
        <v>279</v>
      </c>
      <c r="J526" t="s">
        <v>280</v>
      </c>
      <c r="L526" t="s">
        <v>332</v>
      </c>
      <c r="M526" s="8">
        <v>45597</v>
      </c>
      <c r="N526">
        <v>5609080</v>
      </c>
      <c r="O526" t="s">
        <v>123</v>
      </c>
      <c r="P526" t="s">
        <v>146</v>
      </c>
      <c r="Q526">
        <v>3.59</v>
      </c>
      <c r="R526" t="s">
        <v>125</v>
      </c>
      <c r="S526" t="s">
        <v>126</v>
      </c>
      <c r="T526" t="s">
        <v>125</v>
      </c>
      <c r="U526" t="s">
        <v>126</v>
      </c>
      <c r="W526">
        <v>3.59</v>
      </c>
      <c r="Y526">
        <v>3.59</v>
      </c>
      <c r="AS526">
        <v>3.59</v>
      </c>
      <c r="BH526" t="s">
        <v>126</v>
      </c>
      <c r="BI526" t="s">
        <v>126</v>
      </c>
      <c r="BJ526" t="s">
        <v>126</v>
      </c>
      <c r="BK526" t="s">
        <v>126</v>
      </c>
      <c r="BS526" t="s">
        <v>126</v>
      </c>
      <c r="BT526" t="s">
        <v>126</v>
      </c>
      <c r="BU526" t="s">
        <v>126</v>
      </c>
      <c r="BV526" t="s">
        <v>126</v>
      </c>
      <c r="CN526" t="s">
        <v>147</v>
      </c>
      <c r="CP526" t="s">
        <v>329</v>
      </c>
      <c r="CQ526" t="s">
        <v>147</v>
      </c>
    </row>
    <row r="527" spans="1:95" x14ac:dyDescent="0.2">
      <c r="A527" t="s">
        <v>115</v>
      </c>
      <c r="B527" t="s">
        <v>116</v>
      </c>
      <c r="C527">
        <v>210784</v>
      </c>
      <c r="E527" t="s">
        <v>117</v>
      </c>
      <c r="F527">
        <v>368</v>
      </c>
      <c r="G527" t="s">
        <v>141</v>
      </c>
      <c r="H527" t="s">
        <v>142</v>
      </c>
      <c r="I527" t="s">
        <v>279</v>
      </c>
      <c r="J527" t="s">
        <v>280</v>
      </c>
      <c r="L527" t="s">
        <v>242</v>
      </c>
      <c r="M527" s="8">
        <v>45597</v>
      </c>
      <c r="N527">
        <v>5619761</v>
      </c>
      <c r="O527" t="s">
        <v>123</v>
      </c>
      <c r="P527" t="s">
        <v>146</v>
      </c>
      <c r="Q527">
        <v>3.79</v>
      </c>
      <c r="R527" t="s">
        <v>125</v>
      </c>
      <c r="S527" t="s">
        <v>126</v>
      </c>
      <c r="T527" t="s">
        <v>125</v>
      </c>
      <c r="U527" t="s">
        <v>126</v>
      </c>
      <c r="W527">
        <v>3.79</v>
      </c>
      <c r="Y527">
        <v>3.79</v>
      </c>
      <c r="AS527">
        <v>3.79</v>
      </c>
      <c r="BH527" t="s">
        <v>126</v>
      </c>
      <c r="BI527" t="s">
        <v>126</v>
      </c>
      <c r="BJ527" t="s">
        <v>126</v>
      </c>
      <c r="BK527" t="s">
        <v>126</v>
      </c>
      <c r="BS527" t="s">
        <v>126</v>
      </c>
      <c r="BT527" t="s">
        <v>126</v>
      </c>
      <c r="BU527" t="s">
        <v>126</v>
      </c>
      <c r="BV527" t="s">
        <v>126</v>
      </c>
      <c r="CN527" t="s">
        <v>147</v>
      </c>
      <c r="CP527" t="s">
        <v>329</v>
      </c>
      <c r="CQ527" t="s">
        <v>147</v>
      </c>
    </row>
    <row r="528" spans="1:95" x14ac:dyDescent="0.2">
      <c r="A528" t="s">
        <v>115</v>
      </c>
      <c r="B528" t="s">
        <v>116</v>
      </c>
      <c r="C528">
        <v>210784</v>
      </c>
      <c r="E528" t="s">
        <v>117</v>
      </c>
      <c r="F528">
        <v>368</v>
      </c>
      <c r="G528" t="s">
        <v>141</v>
      </c>
      <c r="H528" t="s">
        <v>142</v>
      </c>
      <c r="I528" t="s">
        <v>279</v>
      </c>
      <c r="J528" t="s">
        <v>280</v>
      </c>
      <c r="L528" t="s">
        <v>242</v>
      </c>
      <c r="M528" s="8">
        <v>45597</v>
      </c>
      <c r="N528">
        <v>5610820</v>
      </c>
      <c r="O528" t="s">
        <v>123</v>
      </c>
      <c r="P528" t="s">
        <v>146</v>
      </c>
      <c r="Q528">
        <v>0.84</v>
      </c>
      <c r="R528" t="s">
        <v>125</v>
      </c>
      <c r="S528" t="s">
        <v>126</v>
      </c>
      <c r="T528" t="s">
        <v>125</v>
      </c>
      <c r="U528" t="s">
        <v>126</v>
      </c>
      <c r="W528">
        <v>0.84</v>
      </c>
      <c r="Y528">
        <v>0.84</v>
      </c>
      <c r="AS528">
        <v>0.84</v>
      </c>
      <c r="BH528" t="s">
        <v>126</v>
      </c>
      <c r="BI528" t="s">
        <v>126</v>
      </c>
      <c r="BJ528" t="s">
        <v>126</v>
      </c>
      <c r="BK528" t="s">
        <v>126</v>
      </c>
      <c r="BS528" t="s">
        <v>126</v>
      </c>
      <c r="BT528" t="s">
        <v>126</v>
      </c>
      <c r="BU528" t="s">
        <v>126</v>
      </c>
      <c r="BV528" t="s">
        <v>126</v>
      </c>
      <c r="CN528" t="s">
        <v>147</v>
      </c>
      <c r="CP528" t="s">
        <v>329</v>
      </c>
      <c r="CQ528" t="s">
        <v>147</v>
      </c>
    </row>
    <row r="529" spans="1:95" x14ac:dyDescent="0.2">
      <c r="A529" t="s">
        <v>115</v>
      </c>
      <c r="B529" t="s">
        <v>116</v>
      </c>
      <c r="C529">
        <v>210784</v>
      </c>
      <c r="E529" t="s">
        <v>117</v>
      </c>
      <c r="F529">
        <v>368</v>
      </c>
      <c r="G529" t="s">
        <v>141</v>
      </c>
      <c r="H529" t="s">
        <v>142</v>
      </c>
      <c r="I529" t="s">
        <v>279</v>
      </c>
      <c r="J529" t="s">
        <v>280</v>
      </c>
      <c r="L529" t="s">
        <v>333</v>
      </c>
      <c r="M529" s="8">
        <v>45597</v>
      </c>
      <c r="N529">
        <v>5611753</v>
      </c>
      <c r="O529" t="s">
        <v>123</v>
      </c>
      <c r="P529" t="s">
        <v>146</v>
      </c>
      <c r="Q529">
        <v>2.37</v>
      </c>
      <c r="R529" t="s">
        <v>125</v>
      </c>
      <c r="S529" t="s">
        <v>126</v>
      </c>
      <c r="T529" t="s">
        <v>125</v>
      </c>
      <c r="U529" t="s">
        <v>126</v>
      </c>
      <c r="W529">
        <v>2.37</v>
      </c>
      <c r="Y529">
        <v>2.37</v>
      </c>
      <c r="AS529">
        <v>2.37</v>
      </c>
      <c r="BH529" t="s">
        <v>126</v>
      </c>
      <c r="BI529" t="s">
        <v>126</v>
      </c>
      <c r="BJ529" t="s">
        <v>126</v>
      </c>
      <c r="BK529" t="s">
        <v>126</v>
      </c>
      <c r="BS529" t="s">
        <v>126</v>
      </c>
      <c r="BT529" t="s">
        <v>126</v>
      </c>
      <c r="BU529" t="s">
        <v>126</v>
      </c>
      <c r="BV529" t="s">
        <v>126</v>
      </c>
      <c r="CN529" t="s">
        <v>147</v>
      </c>
      <c r="CP529" t="s">
        <v>329</v>
      </c>
      <c r="CQ529" t="s">
        <v>147</v>
      </c>
    </row>
    <row r="530" spans="1:95" x14ac:dyDescent="0.2">
      <c r="A530" t="s">
        <v>115</v>
      </c>
      <c r="B530" t="s">
        <v>116</v>
      </c>
      <c r="C530">
        <v>210784</v>
      </c>
      <c r="E530" t="s">
        <v>117</v>
      </c>
      <c r="F530">
        <v>368</v>
      </c>
      <c r="G530" t="s">
        <v>141</v>
      </c>
      <c r="H530" t="s">
        <v>142</v>
      </c>
      <c r="I530" t="s">
        <v>279</v>
      </c>
      <c r="J530" t="s">
        <v>280</v>
      </c>
      <c r="L530" t="s">
        <v>334</v>
      </c>
      <c r="M530" s="8">
        <v>45597</v>
      </c>
      <c r="N530">
        <v>5612545</v>
      </c>
      <c r="O530" t="s">
        <v>123</v>
      </c>
      <c r="P530" t="s">
        <v>146</v>
      </c>
      <c r="Q530">
        <v>3.51</v>
      </c>
      <c r="R530" t="s">
        <v>125</v>
      </c>
      <c r="S530" t="s">
        <v>126</v>
      </c>
      <c r="T530" t="s">
        <v>125</v>
      </c>
      <c r="U530" t="s">
        <v>126</v>
      </c>
      <c r="W530">
        <v>3.51</v>
      </c>
      <c r="Y530">
        <v>3.51</v>
      </c>
      <c r="AS530">
        <v>3.51</v>
      </c>
      <c r="BH530" t="s">
        <v>126</v>
      </c>
      <c r="BI530" t="s">
        <v>126</v>
      </c>
      <c r="BJ530" t="s">
        <v>126</v>
      </c>
      <c r="BK530" t="s">
        <v>126</v>
      </c>
      <c r="BS530" t="s">
        <v>126</v>
      </c>
      <c r="BT530" t="s">
        <v>126</v>
      </c>
      <c r="BU530" t="s">
        <v>126</v>
      </c>
      <c r="BV530" t="s">
        <v>126</v>
      </c>
      <c r="CN530" t="s">
        <v>147</v>
      </c>
      <c r="CP530" t="s">
        <v>329</v>
      </c>
      <c r="CQ530" t="s">
        <v>147</v>
      </c>
    </row>
    <row r="531" spans="1:95" x14ac:dyDescent="0.2">
      <c r="A531" t="s">
        <v>115</v>
      </c>
      <c r="B531" t="s">
        <v>116</v>
      </c>
      <c r="C531">
        <v>210784</v>
      </c>
      <c r="E531" t="s">
        <v>117</v>
      </c>
      <c r="F531">
        <v>368</v>
      </c>
      <c r="G531" t="s">
        <v>141</v>
      </c>
      <c r="H531" t="s">
        <v>142</v>
      </c>
      <c r="I531" t="s">
        <v>279</v>
      </c>
      <c r="J531" t="s">
        <v>280</v>
      </c>
      <c r="L531" t="s">
        <v>335</v>
      </c>
      <c r="M531" s="8">
        <v>45597</v>
      </c>
      <c r="N531">
        <v>5613317</v>
      </c>
      <c r="O531" t="s">
        <v>123</v>
      </c>
      <c r="P531" t="s">
        <v>146</v>
      </c>
      <c r="Q531">
        <v>2.5099999999999998</v>
      </c>
      <c r="R531" t="s">
        <v>125</v>
      </c>
      <c r="S531" t="s">
        <v>126</v>
      </c>
      <c r="T531" t="s">
        <v>125</v>
      </c>
      <c r="U531" t="s">
        <v>126</v>
      </c>
      <c r="W531">
        <v>2.5099999999999998</v>
      </c>
      <c r="Y531">
        <v>2.5099999999999998</v>
      </c>
      <c r="AS531">
        <v>2.5099999999999998</v>
      </c>
      <c r="BH531" t="s">
        <v>126</v>
      </c>
      <c r="BI531" t="s">
        <v>126</v>
      </c>
      <c r="BJ531" t="s">
        <v>126</v>
      </c>
      <c r="BK531" t="s">
        <v>126</v>
      </c>
      <c r="BS531" t="s">
        <v>126</v>
      </c>
      <c r="BT531" t="s">
        <v>126</v>
      </c>
      <c r="BU531" t="s">
        <v>126</v>
      </c>
      <c r="BV531" t="s">
        <v>126</v>
      </c>
      <c r="CN531" t="s">
        <v>147</v>
      </c>
      <c r="CP531" t="s">
        <v>329</v>
      </c>
      <c r="CQ531" t="s">
        <v>147</v>
      </c>
    </row>
    <row r="532" spans="1:95" x14ac:dyDescent="0.2">
      <c r="A532" t="s">
        <v>115</v>
      </c>
      <c r="B532" t="s">
        <v>116</v>
      </c>
      <c r="C532">
        <v>210784</v>
      </c>
      <c r="E532" t="s">
        <v>117</v>
      </c>
      <c r="F532">
        <v>368</v>
      </c>
      <c r="G532" t="s">
        <v>141</v>
      </c>
      <c r="H532" t="s">
        <v>142</v>
      </c>
      <c r="I532" t="s">
        <v>279</v>
      </c>
      <c r="J532" t="s">
        <v>280</v>
      </c>
      <c r="L532" t="s">
        <v>336</v>
      </c>
      <c r="M532" s="8">
        <v>45597</v>
      </c>
      <c r="N532">
        <v>5614316</v>
      </c>
      <c r="O532" t="s">
        <v>123</v>
      </c>
      <c r="P532" t="s">
        <v>146</v>
      </c>
      <c r="Q532">
        <v>3.01</v>
      </c>
      <c r="R532" t="s">
        <v>125</v>
      </c>
      <c r="S532" t="s">
        <v>126</v>
      </c>
      <c r="T532" t="s">
        <v>125</v>
      </c>
      <c r="U532" t="s">
        <v>126</v>
      </c>
      <c r="W532">
        <v>3.01</v>
      </c>
      <c r="Y532">
        <v>3.01</v>
      </c>
      <c r="AS532">
        <v>3.01</v>
      </c>
      <c r="BH532" t="s">
        <v>126</v>
      </c>
      <c r="BI532" t="s">
        <v>126</v>
      </c>
      <c r="BJ532" t="s">
        <v>126</v>
      </c>
      <c r="BK532" t="s">
        <v>126</v>
      </c>
      <c r="BS532" t="s">
        <v>126</v>
      </c>
      <c r="BT532" t="s">
        <v>126</v>
      </c>
      <c r="BU532" t="s">
        <v>126</v>
      </c>
      <c r="BV532" t="s">
        <v>126</v>
      </c>
      <c r="CN532" t="s">
        <v>147</v>
      </c>
      <c r="CP532" t="s">
        <v>329</v>
      </c>
      <c r="CQ532" t="s">
        <v>147</v>
      </c>
    </row>
    <row r="533" spans="1:95" x14ac:dyDescent="0.2">
      <c r="A533" t="s">
        <v>115</v>
      </c>
      <c r="B533" t="s">
        <v>116</v>
      </c>
      <c r="C533">
        <v>210784</v>
      </c>
      <c r="E533" t="s">
        <v>117</v>
      </c>
      <c r="F533">
        <v>368</v>
      </c>
      <c r="G533" t="s">
        <v>141</v>
      </c>
      <c r="H533" t="s">
        <v>142</v>
      </c>
      <c r="I533" t="s">
        <v>279</v>
      </c>
      <c r="J533" t="s">
        <v>280</v>
      </c>
      <c r="L533" t="s">
        <v>337</v>
      </c>
      <c r="M533" s="8">
        <v>45597</v>
      </c>
      <c r="N533">
        <v>5614779</v>
      </c>
      <c r="O533" t="s">
        <v>123</v>
      </c>
      <c r="P533" t="s">
        <v>146</v>
      </c>
      <c r="Q533">
        <v>1.72</v>
      </c>
      <c r="R533" t="s">
        <v>125</v>
      </c>
      <c r="S533" t="s">
        <v>126</v>
      </c>
      <c r="T533" t="s">
        <v>125</v>
      </c>
      <c r="U533" t="s">
        <v>126</v>
      </c>
      <c r="W533">
        <v>1.72</v>
      </c>
      <c r="Y533">
        <v>1.72</v>
      </c>
      <c r="AS533">
        <v>1.72</v>
      </c>
      <c r="BH533" t="s">
        <v>126</v>
      </c>
      <c r="BI533" t="s">
        <v>126</v>
      </c>
      <c r="BJ533" t="s">
        <v>126</v>
      </c>
      <c r="BK533" t="s">
        <v>126</v>
      </c>
      <c r="BS533" t="s">
        <v>126</v>
      </c>
      <c r="BT533" t="s">
        <v>126</v>
      </c>
      <c r="BU533" t="s">
        <v>126</v>
      </c>
      <c r="BV533" t="s">
        <v>126</v>
      </c>
      <c r="CN533" t="s">
        <v>147</v>
      </c>
      <c r="CP533" t="s">
        <v>329</v>
      </c>
      <c r="CQ533" t="s">
        <v>147</v>
      </c>
    </row>
    <row r="534" spans="1:95" x14ac:dyDescent="0.2">
      <c r="A534" t="s">
        <v>115</v>
      </c>
      <c r="B534" t="s">
        <v>116</v>
      </c>
      <c r="C534">
        <v>210784</v>
      </c>
      <c r="E534" t="s">
        <v>117</v>
      </c>
      <c r="F534">
        <v>368</v>
      </c>
      <c r="G534" t="s">
        <v>141</v>
      </c>
      <c r="H534" t="s">
        <v>142</v>
      </c>
      <c r="I534" t="s">
        <v>279</v>
      </c>
      <c r="J534" t="s">
        <v>280</v>
      </c>
      <c r="L534" t="s">
        <v>337</v>
      </c>
      <c r="M534" s="8">
        <v>45597</v>
      </c>
      <c r="N534">
        <v>5615180</v>
      </c>
      <c r="O534" t="s">
        <v>123</v>
      </c>
      <c r="P534" t="s">
        <v>146</v>
      </c>
      <c r="Q534">
        <v>5.57</v>
      </c>
      <c r="R534" t="s">
        <v>125</v>
      </c>
      <c r="S534" t="s">
        <v>126</v>
      </c>
      <c r="T534" t="s">
        <v>125</v>
      </c>
      <c r="U534" t="s">
        <v>126</v>
      </c>
      <c r="W534">
        <v>5.57</v>
      </c>
      <c r="Y534">
        <v>5.57</v>
      </c>
      <c r="AS534">
        <v>5.57</v>
      </c>
      <c r="BH534" t="s">
        <v>126</v>
      </c>
      <c r="BI534" t="s">
        <v>126</v>
      </c>
      <c r="BJ534" t="s">
        <v>126</v>
      </c>
      <c r="BK534" t="s">
        <v>126</v>
      </c>
      <c r="BS534" t="s">
        <v>126</v>
      </c>
      <c r="BT534" t="s">
        <v>126</v>
      </c>
      <c r="BU534" t="s">
        <v>126</v>
      </c>
      <c r="BV534" t="s">
        <v>126</v>
      </c>
      <c r="CN534" t="s">
        <v>147</v>
      </c>
      <c r="CP534" t="s">
        <v>329</v>
      </c>
      <c r="CQ534" t="s">
        <v>147</v>
      </c>
    </row>
    <row r="535" spans="1:95" x14ac:dyDescent="0.2">
      <c r="A535" t="s">
        <v>115</v>
      </c>
      <c r="B535" t="s">
        <v>116</v>
      </c>
      <c r="C535">
        <v>210784</v>
      </c>
      <c r="E535" t="s">
        <v>117</v>
      </c>
      <c r="F535">
        <v>368</v>
      </c>
      <c r="G535" t="s">
        <v>141</v>
      </c>
      <c r="H535" t="s">
        <v>142</v>
      </c>
      <c r="I535" t="s">
        <v>279</v>
      </c>
      <c r="J535" t="s">
        <v>280</v>
      </c>
      <c r="L535" t="s">
        <v>264</v>
      </c>
      <c r="M535" s="8">
        <v>45597</v>
      </c>
      <c r="N535">
        <v>5616742</v>
      </c>
      <c r="O535" t="s">
        <v>123</v>
      </c>
      <c r="P535" t="s">
        <v>146</v>
      </c>
      <c r="Q535">
        <v>2.48</v>
      </c>
      <c r="R535" t="s">
        <v>125</v>
      </c>
      <c r="S535" t="s">
        <v>126</v>
      </c>
      <c r="T535" t="s">
        <v>125</v>
      </c>
      <c r="U535" t="s">
        <v>126</v>
      </c>
      <c r="W535">
        <v>2.48</v>
      </c>
      <c r="Y535">
        <v>2.48</v>
      </c>
      <c r="AS535">
        <v>2.48</v>
      </c>
      <c r="BH535" t="s">
        <v>126</v>
      </c>
      <c r="BI535" t="s">
        <v>126</v>
      </c>
      <c r="BJ535" t="s">
        <v>126</v>
      </c>
      <c r="BK535" t="s">
        <v>126</v>
      </c>
      <c r="BS535" t="s">
        <v>126</v>
      </c>
      <c r="BT535" t="s">
        <v>126</v>
      </c>
      <c r="BU535" t="s">
        <v>126</v>
      </c>
      <c r="BV535" t="s">
        <v>126</v>
      </c>
      <c r="CN535" t="s">
        <v>147</v>
      </c>
      <c r="CP535" t="s">
        <v>329</v>
      </c>
      <c r="CQ535" t="s">
        <v>147</v>
      </c>
    </row>
    <row r="536" spans="1:95" x14ac:dyDescent="0.2">
      <c r="A536" t="s">
        <v>115</v>
      </c>
      <c r="B536" t="s">
        <v>116</v>
      </c>
      <c r="C536">
        <v>210784</v>
      </c>
      <c r="E536" t="s">
        <v>117</v>
      </c>
      <c r="F536">
        <v>368</v>
      </c>
      <c r="G536" t="s">
        <v>141</v>
      </c>
      <c r="H536" t="s">
        <v>142</v>
      </c>
      <c r="I536" t="s">
        <v>279</v>
      </c>
      <c r="J536" t="s">
        <v>280</v>
      </c>
      <c r="L536" t="s">
        <v>338</v>
      </c>
      <c r="M536" s="8">
        <v>45597</v>
      </c>
      <c r="N536">
        <v>5617013</v>
      </c>
      <c r="O536" t="s">
        <v>123</v>
      </c>
      <c r="P536" t="s">
        <v>146</v>
      </c>
      <c r="Q536">
        <v>4.82</v>
      </c>
      <c r="R536" t="s">
        <v>125</v>
      </c>
      <c r="S536" t="s">
        <v>126</v>
      </c>
      <c r="T536" t="s">
        <v>125</v>
      </c>
      <c r="U536" t="s">
        <v>126</v>
      </c>
      <c r="W536">
        <v>4.82</v>
      </c>
      <c r="Y536">
        <v>4.82</v>
      </c>
      <c r="AS536">
        <v>4.82</v>
      </c>
      <c r="BH536" t="s">
        <v>126</v>
      </c>
      <c r="BI536" t="s">
        <v>126</v>
      </c>
      <c r="BJ536" t="s">
        <v>126</v>
      </c>
      <c r="BK536" t="s">
        <v>126</v>
      </c>
      <c r="BS536" t="s">
        <v>126</v>
      </c>
      <c r="BT536" t="s">
        <v>126</v>
      </c>
      <c r="BU536" t="s">
        <v>126</v>
      </c>
      <c r="BV536" t="s">
        <v>126</v>
      </c>
      <c r="CN536" t="s">
        <v>147</v>
      </c>
      <c r="CP536" t="s">
        <v>329</v>
      </c>
      <c r="CQ536" t="s">
        <v>147</v>
      </c>
    </row>
    <row r="537" spans="1:95" x14ac:dyDescent="0.2">
      <c r="A537" t="s">
        <v>115</v>
      </c>
      <c r="B537" t="s">
        <v>116</v>
      </c>
      <c r="C537">
        <v>210784</v>
      </c>
      <c r="E537" t="s">
        <v>117</v>
      </c>
      <c r="F537">
        <v>368</v>
      </c>
      <c r="G537" t="s">
        <v>141</v>
      </c>
      <c r="H537" t="s">
        <v>142</v>
      </c>
      <c r="I537" t="s">
        <v>279</v>
      </c>
      <c r="J537" t="s">
        <v>280</v>
      </c>
      <c r="L537" t="s">
        <v>338</v>
      </c>
      <c r="M537" s="8">
        <v>45597</v>
      </c>
      <c r="N537">
        <v>5617478</v>
      </c>
      <c r="O537" t="s">
        <v>123</v>
      </c>
      <c r="P537" t="s">
        <v>146</v>
      </c>
      <c r="Q537">
        <v>0.38</v>
      </c>
      <c r="R537" t="s">
        <v>125</v>
      </c>
      <c r="S537" t="s">
        <v>126</v>
      </c>
      <c r="T537" t="s">
        <v>125</v>
      </c>
      <c r="U537" t="s">
        <v>126</v>
      </c>
      <c r="W537">
        <v>0.38</v>
      </c>
      <c r="Y537">
        <v>0.38</v>
      </c>
      <c r="AS537">
        <v>0.38</v>
      </c>
      <c r="BH537" t="s">
        <v>126</v>
      </c>
      <c r="BI537" t="s">
        <v>126</v>
      </c>
      <c r="BJ537" t="s">
        <v>126</v>
      </c>
      <c r="BK537" t="s">
        <v>126</v>
      </c>
      <c r="BS537" t="s">
        <v>126</v>
      </c>
      <c r="BT537" t="s">
        <v>126</v>
      </c>
      <c r="BU537" t="s">
        <v>126</v>
      </c>
      <c r="BV537" t="s">
        <v>126</v>
      </c>
      <c r="CN537" t="s">
        <v>147</v>
      </c>
      <c r="CP537" t="s">
        <v>329</v>
      </c>
      <c r="CQ537" t="s">
        <v>147</v>
      </c>
    </row>
    <row r="538" spans="1:95" x14ac:dyDescent="0.2">
      <c r="A538" t="s">
        <v>115</v>
      </c>
      <c r="B538" t="s">
        <v>116</v>
      </c>
      <c r="C538">
        <v>210784</v>
      </c>
      <c r="E538" t="s">
        <v>117</v>
      </c>
      <c r="F538">
        <v>368</v>
      </c>
      <c r="G538" t="s">
        <v>141</v>
      </c>
      <c r="H538" t="s">
        <v>142</v>
      </c>
      <c r="I538" t="s">
        <v>279</v>
      </c>
      <c r="J538" t="s">
        <v>280</v>
      </c>
      <c r="L538" t="s">
        <v>339</v>
      </c>
      <c r="M538" s="8">
        <v>45597</v>
      </c>
      <c r="N538">
        <v>5618298</v>
      </c>
      <c r="O538" t="s">
        <v>123</v>
      </c>
      <c r="P538" t="s">
        <v>146</v>
      </c>
      <c r="Q538">
        <v>0.99</v>
      </c>
      <c r="R538" t="s">
        <v>125</v>
      </c>
      <c r="S538" t="s">
        <v>126</v>
      </c>
      <c r="T538" t="s">
        <v>125</v>
      </c>
      <c r="U538" t="s">
        <v>126</v>
      </c>
      <c r="W538">
        <v>0.99</v>
      </c>
      <c r="Y538">
        <v>0.99</v>
      </c>
      <c r="AS538">
        <v>0.99</v>
      </c>
      <c r="BH538" t="s">
        <v>126</v>
      </c>
      <c r="BI538" t="s">
        <v>126</v>
      </c>
      <c r="BJ538" t="s">
        <v>126</v>
      </c>
      <c r="BK538" t="s">
        <v>126</v>
      </c>
      <c r="BS538" t="s">
        <v>126</v>
      </c>
      <c r="BT538" t="s">
        <v>126</v>
      </c>
      <c r="BU538" t="s">
        <v>126</v>
      </c>
      <c r="BV538" t="s">
        <v>126</v>
      </c>
      <c r="CN538" t="s">
        <v>147</v>
      </c>
      <c r="CP538" t="s">
        <v>329</v>
      </c>
      <c r="CQ538" t="s">
        <v>147</v>
      </c>
    </row>
    <row r="539" spans="1:95" x14ac:dyDescent="0.2">
      <c r="A539" t="s">
        <v>115</v>
      </c>
      <c r="B539" t="s">
        <v>116</v>
      </c>
      <c r="C539">
        <v>210784</v>
      </c>
      <c r="E539" t="s">
        <v>117</v>
      </c>
      <c r="F539">
        <v>368</v>
      </c>
      <c r="G539" t="s">
        <v>141</v>
      </c>
      <c r="H539" t="s">
        <v>142</v>
      </c>
      <c r="I539" t="s">
        <v>279</v>
      </c>
      <c r="J539" t="s">
        <v>280</v>
      </c>
      <c r="L539" t="s">
        <v>339</v>
      </c>
      <c r="M539" s="8">
        <v>45597</v>
      </c>
      <c r="N539">
        <v>5618302</v>
      </c>
      <c r="O539" t="s">
        <v>123</v>
      </c>
      <c r="P539" t="s">
        <v>146</v>
      </c>
      <c r="Q539">
        <v>1.27</v>
      </c>
      <c r="R539" t="s">
        <v>125</v>
      </c>
      <c r="S539" t="s">
        <v>126</v>
      </c>
      <c r="T539" t="s">
        <v>125</v>
      </c>
      <c r="U539" t="s">
        <v>126</v>
      </c>
      <c r="W539">
        <v>1.27</v>
      </c>
      <c r="Y539">
        <v>1.27</v>
      </c>
      <c r="AS539">
        <v>1.27</v>
      </c>
      <c r="BH539" t="s">
        <v>126</v>
      </c>
      <c r="BI539" t="s">
        <v>126</v>
      </c>
      <c r="BJ539" t="s">
        <v>126</v>
      </c>
      <c r="BK539" t="s">
        <v>126</v>
      </c>
      <c r="BS539" t="s">
        <v>126</v>
      </c>
      <c r="BT539" t="s">
        <v>126</v>
      </c>
      <c r="BU539" t="s">
        <v>126</v>
      </c>
      <c r="BV539" t="s">
        <v>126</v>
      </c>
      <c r="CN539" t="s">
        <v>147</v>
      </c>
      <c r="CP539" t="s">
        <v>329</v>
      </c>
      <c r="CQ539" t="s">
        <v>147</v>
      </c>
    </row>
    <row r="540" spans="1:95" x14ac:dyDescent="0.2">
      <c r="A540" t="s">
        <v>115</v>
      </c>
      <c r="B540" t="s">
        <v>116</v>
      </c>
      <c r="C540">
        <v>210784</v>
      </c>
      <c r="E540" t="s">
        <v>117</v>
      </c>
      <c r="F540">
        <v>368</v>
      </c>
      <c r="G540" t="s">
        <v>141</v>
      </c>
      <c r="H540" t="s">
        <v>142</v>
      </c>
      <c r="I540" t="s">
        <v>279</v>
      </c>
      <c r="J540" t="s">
        <v>280</v>
      </c>
      <c r="L540" t="s">
        <v>339</v>
      </c>
      <c r="M540" s="8">
        <v>45597</v>
      </c>
      <c r="N540">
        <v>5618198</v>
      </c>
      <c r="O540" t="s">
        <v>123</v>
      </c>
      <c r="P540" t="s">
        <v>146</v>
      </c>
      <c r="Q540">
        <v>4.91</v>
      </c>
      <c r="R540" t="s">
        <v>125</v>
      </c>
      <c r="S540" t="s">
        <v>126</v>
      </c>
      <c r="T540" t="s">
        <v>125</v>
      </c>
      <c r="U540" t="s">
        <v>126</v>
      </c>
      <c r="W540">
        <v>4.91</v>
      </c>
      <c r="Y540">
        <v>4.91</v>
      </c>
      <c r="AS540">
        <v>4.91</v>
      </c>
      <c r="BH540" t="s">
        <v>126</v>
      </c>
      <c r="BI540" t="s">
        <v>126</v>
      </c>
      <c r="BJ540" t="s">
        <v>126</v>
      </c>
      <c r="BK540" t="s">
        <v>126</v>
      </c>
      <c r="BS540" t="s">
        <v>126</v>
      </c>
      <c r="BT540" t="s">
        <v>126</v>
      </c>
      <c r="BU540" t="s">
        <v>126</v>
      </c>
      <c r="BV540" t="s">
        <v>126</v>
      </c>
      <c r="CN540" t="s">
        <v>147</v>
      </c>
      <c r="CP540" t="s">
        <v>329</v>
      </c>
      <c r="CQ540" t="s">
        <v>147</v>
      </c>
    </row>
    <row r="541" spans="1:95" x14ac:dyDescent="0.2">
      <c r="A541" t="s">
        <v>115</v>
      </c>
      <c r="B541" t="s">
        <v>116</v>
      </c>
      <c r="C541">
        <v>210784</v>
      </c>
      <c r="E541" t="s">
        <v>117</v>
      </c>
      <c r="F541">
        <v>368</v>
      </c>
      <c r="G541" t="s">
        <v>141</v>
      </c>
      <c r="H541" t="s">
        <v>142</v>
      </c>
      <c r="I541" t="s">
        <v>279</v>
      </c>
      <c r="J541" t="s">
        <v>280</v>
      </c>
      <c r="L541" t="s">
        <v>258</v>
      </c>
      <c r="M541" s="8">
        <v>45597</v>
      </c>
      <c r="N541">
        <v>5619817</v>
      </c>
      <c r="O541" t="s">
        <v>123</v>
      </c>
      <c r="P541" t="s">
        <v>146</v>
      </c>
      <c r="Q541">
        <v>5.85</v>
      </c>
      <c r="R541" t="s">
        <v>125</v>
      </c>
      <c r="S541" t="s">
        <v>126</v>
      </c>
      <c r="T541" t="s">
        <v>125</v>
      </c>
      <c r="U541" t="s">
        <v>126</v>
      </c>
      <c r="W541">
        <v>5.85</v>
      </c>
      <c r="Y541">
        <v>5.85</v>
      </c>
      <c r="AS541">
        <v>5.85</v>
      </c>
      <c r="BH541" t="s">
        <v>126</v>
      </c>
      <c r="BI541" t="s">
        <v>126</v>
      </c>
      <c r="BJ541" t="s">
        <v>126</v>
      </c>
      <c r="BK541" t="s">
        <v>126</v>
      </c>
      <c r="BS541" t="s">
        <v>126</v>
      </c>
      <c r="BT541" t="s">
        <v>126</v>
      </c>
      <c r="BU541" t="s">
        <v>126</v>
      </c>
      <c r="BV541" t="s">
        <v>126</v>
      </c>
      <c r="CN541" t="s">
        <v>147</v>
      </c>
      <c r="CP541" t="s">
        <v>340</v>
      </c>
      <c r="CQ541" t="s">
        <v>147</v>
      </c>
    </row>
    <row r="542" spans="1:95" x14ac:dyDescent="0.2">
      <c r="A542" t="s">
        <v>115</v>
      </c>
      <c r="B542" t="s">
        <v>116</v>
      </c>
      <c r="C542">
        <v>210784</v>
      </c>
      <c r="E542" t="s">
        <v>117</v>
      </c>
      <c r="F542">
        <v>368</v>
      </c>
      <c r="G542" t="s">
        <v>314</v>
      </c>
      <c r="H542" t="s">
        <v>115</v>
      </c>
      <c r="I542" t="s">
        <v>515</v>
      </c>
      <c r="J542" t="s">
        <v>516</v>
      </c>
      <c r="L542" t="s">
        <v>329</v>
      </c>
      <c r="M542" s="8">
        <v>45597</v>
      </c>
      <c r="N542" t="s">
        <v>517</v>
      </c>
      <c r="O542" t="s">
        <v>123</v>
      </c>
      <c r="P542" t="s">
        <v>146</v>
      </c>
      <c r="Q542">
        <v>61.91</v>
      </c>
      <c r="R542" t="s">
        <v>125</v>
      </c>
      <c r="S542" t="s">
        <v>126</v>
      </c>
      <c r="T542" t="s">
        <v>125</v>
      </c>
      <c r="U542" t="s">
        <v>126</v>
      </c>
      <c r="W542">
        <v>61.91</v>
      </c>
      <c r="Y542">
        <v>61.91</v>
      </c>
      <c r="AF542">
        <v>61.91</v>
      </c>
      <c r="BH542" t="s">
        <v>126</v>
      </c>
      <c r="BI542" t="s">
        <v>126</v>
      </c>
      <c r="BJ542" t="s">
        <v>126</v>
      </c>
      <c r="BK542" t="s">
        <v>126</v>
      </c>
      <c r="BS542" t="s">
        <v>126</v>
      </c>
      <c r="BT542" t="s">
        <v>126</v>
      </c>
      <c r="BU542" t="s">
        <v>126</v>
      </c>
      <c r="BV542" t="s">
        <v>126</v>
      </c>
      <c r="CN542" t="s">
        <v>518</v>
      </c>
      <c r="CP542" t="s">
        <v>403</v>
      </c>
      <c r="CQ542" t="s">
        <v>518</v>
      </c>
    </row>
    <row r="543" spans="1:95" x14ac:dyDescent="0.2">
      <c r="A543" t="s">
        <v>115</v>
      </c>
      <c r="B543" t="s">
        <v>116</v>
      </c>
      <c r="C543">
        <v>210784</v>
      </c>
      <c r="E543" t="s">
        <v>117</v>
      </c>
      <c r="F543">
        <v>368</v>
      </c>
      <c r="G543" t="s">
        <v>141</v>
      </c>
      <c r="H543" t="s">
        <v>142</v>
      </c>
      <c r="I543" t="s">
        <v>279</v>
      </c>
      <c r="J543" t="s">
        <v>280</v>
      </c>
      <c r="L543" t="s">
        <v>659</v>
      </c>
      <c r="M543" s="8">
        <v>45597</v>
      </c>
      <c r="N543">
        <v>5613599</v>
      </c>
      <c r="O543" t="s">
        <v>123</v>
      </c>
      <c r="P543" t="s">
        <v>146</v>
      </c>
      <c r="Q543">
        <v>0.82000000000000006</v>
      </c>
      <c r="R543" t="s">
        <v>660</v>
      </c>
      <c r="S543" t="s">
        <v>126</v>
      </c>
      <c r="T543" t="s">
        <v>660</v>
      </c>
      <c r="U543" t="s">
        <v>661</v>
      </c>
      <c r="W543">
        <v>0.25</v>
      </c>
      <c r="X543">
        <v>0.57000000000000006</v>
      </c>
      <c r="Y543">
        <v>0.82000000000000006</v>
      </c>
      <c r="Z543">
        <v>0.31</v>
      </c>
      <c r="AG543">
        <v>0.25</v>
      </c>
      <c r="AI543">
        <v>0.26</v>
      </c>
      <c r="BH543" t="s">
        <v>126</v>
      </c>
      <c r="BI543" t="s">
        <v>126</v>
      </c>
      <c r="BJ543" t="s">
        <v>126</v>
      </c>
      <c r="BK543" t="s">
        <v>126</v>
      </c>
      <c r="BS543" t="s">
        <v>126</v>
      </c>
      <c r="BT543" t="s">
        <v>126</v>
      </c>
      <c r="BU543" t="s">
        <v>126</v>
      </c>
      <c r="BV543" t="s">
        <v>126</v>
      </c>
      <c r="CN543" t="s">
        <v>147</v>
      </c>
      <c r="CP543" t="s">
        <v>329</v>
      </c>
      <c r="CQ543" t="s">
        <v>147</v>
      </c>
    </row>
    <row r="544" spans="1:95" x14ac:dyDescent="0.2">
      <c r="A544" t="s">
        <v>115</v>
      </c>
      <c r="B544" t="s">
        <v>116</v>
      </c>
      <c r="C544">
        <v>210784</v>
      </c>
      <c r="E544" t="s">
        <v>117</v>
      </c>
      <c r="F544">
        <v>368</v>
      </c>
      <c r="G544" t="s">
        <v>141</v>
      </c>
      <c r="H544" t="s">
        <v>142</v>
      </c>
      <c r="I544" t="s">
        <v>279</v>
      </c>
      <c r="J544" t="s">
        <v>280</v>
      </c>
      <c r="L544" t="s">
        <v>338</v>
      </c>
      <c r="M544" s="8">
        <v>45597</v>
      </c>
      <c r="N544">
        <v>5617555</v>
      </c>
      <c r="O544" t="s">
        <v>123</v>
      </c>
      <c r="P544" t="s">
        <v>146</v>
      </c>
      <c r="Q544">
        <v>2.1</v>
      </c>
      <c r="R544" t="s">
        <v>596</v>
      </c>
      <c r="S544" t="s">
        <v>126</v>
      </c>
      <c r="T544" t="s">
        <v>596</v>
      </c>
      <c r="U544" t="s">
        <v>597</v>
      </c>
      <c r="W544">
        <v>0.65</v>
      </c>
      <c r="X544">
        <v>1.4500000000000002</v>
      </c>
      <c r="Y544">
        <v>2.1</v>
      </c>
      <c r="Z544">
        <v>0.8</v>
      </c>
      <c r="AG544">
        <v>0.65</v>
      </c>
      <c r="AI544">
        <v>0.65</v>
      </c>
      <c r="BH544" t="s">
        <v>126</v>
      </c>
      <c r="BI544" t="s">
        <v>126</v>
      </c>
      <c r="BJ544" t="s">
        <v>126</v>
      </c>
      <c r="BK544" t="s">
        <v>126</v>
      </c>
      <c r="BS544" t="s">
        <v>126</v>
      </c>
      <c r="BT544" t="s">
        <v>126</v>
      </c>
      <c r="BU544" t="s">
        <v>126</v>
      </c>
      <c r="BV544" t="s">
        <v>126</v>
      </c>
      <c r="CN544" t="s">
        <v>147</v>
      </c>
      <c r="CP544" t="s">
        <v>329</v>
      </c>
      <c r="CQ544" t="s">
        <v>147</v>
      </c>
    </row>
    <row r="545" spans="1:95" x14ac:dyDescent="0.2">
      <c r="A545" t="s">
        <v>115</v>
      </c>
      <c r="B545" t="s">
        <v>116</v>
      </c>
      <c r="C545">
        <v>210784</v>
      </c>
      <c r="E545" t="s">
        <v>117</v>
      </c>
      <c r="F545">
        <v>368</v>
      </c>
      <c r="G545" t="s">
        <v>141</v>
      </c>
      <c r="H545" t="s">
        <v>142</v>
      </c>
      <c r="I545" t="s">
        <v>284</v>
      </c>
      <c r="J545" t="s">
        <v>285</v>
      </c>
      <c r="L545" t="s">
        <v>329</v>
      </c>
      <c r="M545" s="8">
        <v>45597</v>
      </c>
      <c r="N545">
        <v>113417</v>
      </c>
      <c r="O545" t="s">
        <v>123</v>
      </c>
      <c r="P545" t="s">
        <v>146</v>
      </c>
      <c r="Q545">
        <v>0.51</v>
      </c>
      <c r="R545" t="s">
        <v>662</v>
      </c>
      <c r="S545" t="s">
        <v>126</v>
      </c>
      <c r="T545" t="s">
        <v>662</v>
      </c>
      <c r="U545" t="s">
        <v>663</v>
      </c>
      <c r="W545">
        <v>0.48449999999999999</v>
      </c>
      <c r="X545">
        <v>2.5499999999999998E-2</v>
      </c>
      <c r="Y545">
        <v>0.51</v>
      </c>
      <c r="Z545">
        <v>2.5499999999999998E-2</v>
      </c>
      <c r="BE545">
        <v>0.48449999999999999</v>
      </c>
      <c r="BH545" t="s">
        <v>126</v>
      </c>
      <c r="BI545" t="s">
        <v>126</v>
      </c>
      <c r="BJ545" t="s">
        <v>126</v>
      </c>
      <c r="BK545" t="s">
        <v>126</v>
      </c>
      <c r="BS545" t="s">
        <v>126</v>
      </c>
      <c r="BT545" t="s">
        <v>126</v>
      </c>
      <c r="BU545" t="s">
        <v>126</v>
      </c>
      <c r="BV545" t="s">
        <v>126</v>
      </c>
      <c r="CN545" t="s">
        <v>147</v>
      </c>
      <c r="CP545" t="s">
        <v>340</v>
      </c>
      <c r="CQ545" t="s">
        <v>147</v>
      </c>
    </row>
    <row r="546" spans="1:95" x14ac:dyDescent="0.2">
      <c r="A546" t="s">
        <v>115</v>
      </c>
      <c r="B546" t="s">
        <v>116</v>
      </c>
      <c r="C546">
        <v>210784</v>
      </c>
      <c r="E546" t="s">
        <v>117</v>
      </c>
      <c r="F546">
        <v>368</v>
      </c>
      <c r="G546" t="s">
        <v>141</v>
      </c>
      <c r="H546" t="s">
        <v>142</v>
      </c>
      <c r="I546" t="s">
        <v>279</v>
      </c>
      <c r="J546" t="s">
        <v>280</v>
      </c>
      <c r="L546" t="s">
        <v>263</v>
      </c>
      <c r="M546" s="8">
        <v>45597</v>
      </c>
      <c r="N546">
        <v>5604445</v>
      </c>
      <c r="O546" t="s">
        <v>123</v>
      </c>
      <c r="P546" t="s">
        <v>146</v>
      </c>
      <c r="Q546">
        <v>2.62</v>
      </c>
      <c r="R546" t="s">
        <v>125</v>
      </c>
      <c r="S546" t="s">
        <v>126</v>
      </c>
      <c r="T546" t="s">
        <v>125</v>
      </c>
      <c r="U546" t="s">
        <v>126</v>
      </c>
      <c r="W546">
        <v>2.62</v>
      </c>
      <c r="Y546">
        <v>2.62</v>
      </c>
      <c r="BE546">
        <v>2.62</v>
      </c>
      <c r="BH546" t="s">
        <v>126</v>
      </c>
      <c r="BI546" t="s">
        <v>126</v>
      </c>
      <c r="BJ546" t="s">
        <v>126</v>
      </c>
      <c r="BK546" t="s">
        <v>126</v>
      </c>
      <c r="BS546" t="s">
        <v>126</v>
      </c>
      <c r="BT546" t="s">
        <v>126</v>
      </c>
      <c r="BU546" t="s">
        <v>126</v>
      </c>
      <c r="BV546" t="s">
        <v>126</v>
      </c>
      <c r="CN546" t="s">
        <v>147</v>
      </c>
      <c r="CP546" t="s">
        <v>329</v>
      </c>
      <c r="CQ546" t="s">
        <v>147</v>
      </c>
    </row>
    <row r="547" spans="1:95" x14ac:dyDescent="0.2">
      <c r="A547" t="s">
        <v>115</v>
      </c>
      <c r="B547" t="s">
        <v>116</v>
      </c>
      <c r="C547">
        <v>210784</v>
      </c>
      <c r="E547" t="s">
        <v>117</v>
      </c>
      <c r="F547">
        <v>368</v>
      </c>
      <c r="G547" t="s">
        <v>141</v>
      </c>
      <c r="H547" t="s">
        <v>142</v>
      </c>
      <c r="I547" t="s">
        <v>279</v>
      </c>
      <c r="J547" t="s">
        <v>280</v>
      </c>
      <c r="L547" t="s">
        <v>330</v>
      </c>
      <c r="M547" s="8">
        <v>45597</v>
      </c>
      <c r="N547">
        <v>5605693</v>
      </c>
      <c r="O547" t="s">
        <v>123</v>
      </c>
      <c r="P547" t="s">
        <v>146</v>
      </c>
      <c r="Q547">
        <v>1.49</v>
      </c>
      <c r="R547" t="s">
        <v>125</v>
      </c>
      <c r="S547" t="s">
        <v>126</v>
      </c>
      <c r="T547" t="s">
        <v>125</v>
      </c>
      <c r="U547" t="s">
        <v>126</v>
      </c>
      <c r="W547">
        <v>1.49</v>
      </c>
      <c r="Y547">
        <v>1.49</v>
      </c>
      <c r="BE547">
        <v>1.49</v>
      </c>
      <c r="BH547" t="s">
        <v>126</v>
      </c>
      <c r="BI547" t="s">
        <v>126</v>
      </c>
      <c r="BJ547" t="s">
        <v>126</v>
      </c>
      <c r="BK547" t="s">
        <v>126</v>
      </c>
      <c r="BS547" t="s">
        <v>126</v>
      </c>
      <c r="BT547" t="s">
        <v>126</v>
      </c>
      <c r="BU547" t="s">
        <v>126</v>
      </c>
      <c r="BV547" t="s">
        <v>126</v>
      </c>
      <c r="CN547" t="s">
        <v>147</v>
      </c>
      <c r="CP547" t="s">
        <v>329</v>
      </c>
      <c r="CQ547" t="s">
        <v>147</v>
      </c>
    </row>
    <row r="548" spans="1:95" x14ac:dyDescent="0.2">
      <c r="A548" t="s">
        <v>115</v>
      </c>
      <c r="B548" t="s">
        <v>116</v>
      </c>
      <c r="C548">
        <v>210784</v>
      </c>
      <c r="E548" t="s">
        <v>117</v>
      </c>
      <c r="F548">
        <v>368</v>
      </c>
      <c r="G548" t="s">
        <v>141</v>
      </c>
      <c r="H548" t="s">
        <v>142</v>
      </c>
      <c r="I548" t="s">
        <v>279</v>
      </c>
      <c r="J548" t="s">
        <v>280</v>
      </c>
      <c r="L548" t="s">
        <v>242</v>
      </c>
      <c r="M548" s="8">
        <v>45597</v>
      </c>
      <c r="N548">
        <v>5610548</v>
      </c>
      <c r="O548" t="s">
        <v>123</v>
      </c>
      <c r="P548" t="s">
        <v>146</v>
      </c>
      <c r="Q548">
        <v>3.79</v>
      </c>
      <c r="R548" t="s">
        <v>125</v>
      </c>
      <c r="S548" t="s">
        <v>126</v>
      </c>
      <c r="T548" t="s">
        <v>125</v>
      </c>
      <c r="U548" t="s">
        <v>126</v>
      </c>
      <c r="W548">
        <v>3.79</v>
      </c>
      <c r="Y548">
        <v>3.79</v>
      </c>
      <c r="BE548">
        <v>3.79</v>
      </c>
      <c r="BH548" t="s">
        <v>126</v>
      </c>
      <c r="BI548" t="s">
        <v>126</v>
      </c>
      <c r="BJ548" t="s">
        <v>126</v>
      </c>
      <c r="BK548" t="s">
        <v>126</v>
      </c>
      <c r="BS548" t="s">
        <v>126</v>
      </c>
      <c r="BT548" t="s">
        <v>126</v>
      </c>
      <c r="BU548" t="s">
        <v>126</v>
      </c>
      <c r="BV548" t="s">
        <v>126</v>
      </c>
      <c r="CN548" t="s">
        <v>147</v>
      </c>
      <c r="CP548" t="s">
        <v>329</v>
      </c>
      <c r="CQ548" t="s">
        <v>147</v>
      </c>
    </row>
    <row r="549" spans="1:95" x14ac:dyDescent="0.2">
      <c r="A549" t="s">
        <v>115</v>
      </c>
      <c r="B549" t="s">
        <v>116</v>
      </c>
      <c r="C549">
        <v>210784</v>
      </c>
      <c r="E549" t="s">
        <v>117</v>
      </c>
      <c r="F549">
        <v>368</v>
      </c>
      <c r="G549" t="s">
        <v>141</v>
      </c>
      <c r="H549" t="s">
        <v>142</v>
      </c>
      <c r="I549" t="s">
        <v>279</v>
      </c>
      <c r="J549" t="s">
        <v>280</v>
      </c>
      <c r="L549" t="s">
        <v>333</v>
      </c>
      <c r="M549" s="8">
        <v>45597</v>
      </c>
      <c r="N549">
        <v>5611594</v>
      </c>
      <c r="O549" t="s">
        <v>123</v>
      </c>
      <c r="P549" t="s">
        <v>146</v>
      </c>
      <c r="Q549">
        <v>1.2</v>
      </c>
      <c r="R549" t="s">
        <v>125</v>
      </c>
      <c r="S549" t="s">
        <v>126</v>
      </c>
      <c r="T549" t="s">
        <v>125</v>
      </c>
      <c r="U549" t="s">
        <v>126</v>
      </c>
      <c r="W549">
        <v>1.2</v>
      </c>
      <c r="Y549">
        <v>1.2</v>
      </c>
      <c r="BE549">
        <v>1.2</v>
      </c>
      <c r="BH549" t="s">
        <v>126</v>
      </c>
      <c r="BI549" t="s">
        <v>126</v>
      </c>
      <c r="BJ549" t="s">
        <v>126</v>
      </c>
      <c r="BK549" t="s">
        <v>126</v>
      </c>
      <c r="BS549" t="s">
        <v>126</v>
      </c>
      <c r="BT549" t="s">
        <v>126</v>
      </c>
      <c r="BU549" t="s">
        <v>126</v>
      </c>
      <c r="BV549" t="s">
        <v>126</v>
      </c>
      <c r="CN549" t="s">
        <v>147</v>
      </c>
      <c r="CP549" t="s">
        <v>329</v>
      </c>
      <c r="CQ549" t="s">
        <v>147</v>
      </c>
    </row>
    <row r="550" spans="1:95" x14ac:dyDescent="0.2">
      <c r="A550" t="s">
        <v>115</v>
      </c>
      <c r="B550" t="s">
        <v>116</v>
      </c>
      <c r="C550">
        <v>210784</v>
      </c>
      <c r="E550" t="s">
        <v>117</v>
      </c>
      <c r="F550">
        <v>368</v>
      </c>
      <c r="G550" t="s">
        <v>141</v>
      </c>
      <c r="H550" t="s">
        <v>142</v>
      </c>
      <c r="I550" t="s">
        <v>279</v>
      </c>
      <c r="J550" t="s">
        <v>280</v>
      </c>
      <c r="L550" t="s">
        <v>338</v>
      </c>
      <c r="M550" s="8">
        <v>45597</v>
      </c>
      <c r="N550">
        <v>5617391</v>
      </c>
      <c r="O550" t="s">
        <v>123</v>
      </c>
      <c r="P550" t="s">
        <v>146</v>
      </c>
      <c r="Q550">
        <v>1.47</v>
      </c>
      <c r="R550" t="s">
        <v>125</v>
      </c>
      <c r="S550" t="s">
        <v>126</v>
      </c>
      <c r="T550" t="s">
        <v>125</v>
      </c>
      <c r="U550" t="s">
        <v>126</v>
      </c>
      <c r="W550">
        <v>1.47</v>
      </c>
      <c r="Y550">
        <v>1.47</v>
      </c>
      <c r="BE550">
        <v>1.47</v>
      </c>
      <c r="BH550" t="s">
        <v>126</v>
      </c>
      <c r="BI550" t="s">
        <v>126</v>
      </c>
      <c r="BJ550" t="s">
        <v>126</v>
      </c>
      <c r="BK550" t="s">
        <v>126</v>
      </c>
      <c r="BS550" t="s">
        <v>126</v>
      </c>
      <c r="BT550" t="s">
        <v>126</v>
      </c>
      <c r="BU550" t="s">
        <v>126</v>
      </c>
      <c r="BV550" t="s">
        <v>126</v>
      </c>
      <c r="CN550" t="s">
        <v>147</v>
      </c>
      <c r="CP550" t="s">
        <v>329</v>
      </c>
      <c r="CQ550" t="s">
        <v>147</v>
      </c>
    </row>
    <row r="551" spans="1:95" x14ac:dyDescent="0.2">
      <c r="A551" t="s">
        <v>115</v>
      </c>
      <c r="B551" t="s">
        <v>116</v>
      </c>
      <c r="C551">
        <v>210784</v>
      </c>
      <c r="E551" t="s">
        <v>117</v>
      </c>
      <c r="F551">
        <v>368</v>
      </c>
      <c r="G551" t="s">
        <v>141</v>
      </c>
      <c r="H551" t="s">
        <v>142</v>
      </c>
      <c r="I551" t="s">
        <v>172</v>
      </c>
      <c r="J551" t="s">
        <v>173</v>
      </c>
      <c r="L551" t="s">
        <v>329</v>
      </c>
      <c r="M551" s="8">
        <v>45597</v>
      </c>
      <c r="N551">
        <v>119773</v>
      </c>
      <c r="O551" t="s">
        <v>123</v>
      </c>
      <c r="P551" t="s">
        <v>146</v>
      </c>
      <c r="Q551">
        <v>0.84599999999999997</v>
      </c>
      <c r="R551" t="s">
        <v>125</v>
      </c>
      <c r="S551" t="s">
        <v>126</v>
      </c>
      <c r="T551" t="s">
        <v>125</v>
      </c>
      <c r="U551" t="s">
        <v>126</v>
      </c>
      <c r="W551">
        <v>0.84599999999999997</v>
      </c>
      <c r="Y551">
        <v>0.84599999999999997</v>
      </c>
      <c r="AH551">
        <v>0.84599999999999997</v>
      </c>
      <c r="BH551" t="s">
        <v>126</v>
      </c>
      <c r="BI551" t="s">
        <v>126</v>
      </c>
      <c r="BJ551" t="s">
        <v>126</v>
      </c>
      <c r="BK551" t="s">
        <v>126</v>
      </c>
      <c r="BS551" t="s">
        <v>126</v>
      </c>
      <c r="BT551" t="s">
        <v>126</v>
      </c>
      <c r="BU551" t="s">
        <v>126</v>
      </c>
      <c r="BV551" t="s">
        <v>126</v>
      </c>
      <c r="CN551" t="s">
        <v>147</v>
      </c>
      <c r="CP551" t="s">
        <v>357</v>
      </c>
      <c r="CQ551" t="s">
        <v>147</v>
      </c>
    </row>
    <row r="552" spans="1:95" x14ac:dyDescent="0.2">
      <c r="A552" t="s">
        <v>115</v>
      </c>
      <c r="B552" t="s">
        <v>116</v>
      </c>
      <c r="C552">
        <v>210784</v>
      </c>
      <c r="E552" t="s">
        <v>117</v>
      </c>
      <c r="F552">
        <v>368</v>
      </c>
      <c r="G552" t="s">
        <v>141</v>
      </c>
      <c r="H552" t="s">
        <v>142</v>
      </c>
      <c r="I552" t="s">
        <v>259</v>
      </c>
      <c r="J552" t="s">
        <v>260</v>
      </c>
      <c r="L552" t="s">
        <v>272</v>
      </c>
      <c r="M552" s="8">
        <v>45627</v>
      </c>
      <c r="N552">
        <v>113461</v>
      </c>
      <c r="O552" t="s">
        <v>123</v>
      </c>
      <c r="P552" t="s">
        <v>146</v>
      </c>
      <c r="Q552">
        <v>9.94</v>
      </c>
      <c r="R552" t="s">
        <v>125</v>
      </c>
      <c r="S552" t="s">
        <v>126</v>
      </c>
      <c r="T552" t="s">
        <v>125</v>
      </c>
      <c r="U552" t="s">
        <v>126</v>
      </c>
      <c r="W552">
        <v>9.94</v>
      </c>
      <c r="Y552">
        <v>9.94</v>
      </c>
      <c r="AC552">
        <v>9.94</v>
      </c>
      <c r="BH552" t="s">
        <v>126</v>
      </c>
      <c r="BI552" t="s">
        <v>126</v>
      </c>
      <c r="BJ552" t="s">
        <v>126</v>
      </c>
      <c r="BK552" t="s">
        <v>126</v>
      </c>
      <c r="BS552" t="s">
        <v>126</v>
      </c>
      <c r="BT552" t="s">
        <v>126</v>
      </c>
      <c r="BU552" t="s">
        <v>126</v>
      </c>
      <c r="BV552" t="s">
        <v>126</v>
      </c>
      <c r="CN552" t="s">
        <v>147</v>
      </c>
      <c r="CP552" t="s">
        <v>273</v>
      </c>
      <c r="CQ552" t="s">
        <v>147</v>
      </c>
    </row>
    <row r="553" spans="1:95" x14ac:dyDescent="0.2">
      <c r="A553" t="s">
        <v>115</v>
      </c>
      <c r="B553" t="s">
        <v>116</v>
      </c>
      <c r="C553">
        <v>210784</v>
      </c>
      <c r="E553" t="s">
        <v>117</v>
      </c>
      <c r="F553">
        <v>368</v>
      </c>
      <c r="G553" t="s">
        <v>141</v>
      </c>
      <c r="H553" t="s">
        <v>142</v>
      </c>
      <c r="I553" t="s">
        <v>204</v>
      </c>
      <c r="J553" t="s">
        <v>205</v>
      </c>
      <c r="L553" t="s">
        <v>274</v>
      </c>
      <c r="M553" s="8">
        <v>45627</v>
      </c>
      <c r="N553">
        <v>114281</v>
      </c>
      <c r="O553" t="s">
        <v>123</v>
      </c>
      <c r="P553" t="s">
        <v>146</v>
      </c>
      <c r="Q553">
        <v>3.72</v>
      </c>
      <c r="R553" t="s">
        <v>125</v>
      </c>
      <c r="S553" t="s">
        <v>126</v>
      </c>
      <c r="T553" t="s">
        <v>125</v>
      </c>
      <c r="U553" t="s">
        <v>126</v>
      </c>
      <c r="W553">
        <v>3.72</v>
      </c>
      <c r="Y553">
        <v>3.72</v>
      </c>
      <c r="AC553">
        <v>3.72</v>
      </c>
      <c r="BH553" t="s">
        <v>126</v>
      </c>
      <c r="BI553" t="s">
        <v>126</v>
      </c>
      <c r="BJ553" t="s">
        <v>126</v>
      </c>
      <c r="BK553" t="s">
        <v>126</v>
      </c>
      <c r="BS553" t="s">
        <v>126</v>
      </c>
      <c r="BT553" t="s">
        <v>126</v>
      </c>
      <c r="BU553" t="s">
        <v>126</v>
      </c>
      <c r="BV553" t="s">
        <v>126</v>
      </c>
      <c r="CN553" t="s">
        <v>147</v>
      </c>
      <c r="CP553" t="s">
        <v>275</v>
      </c>
      <c r="CQ553" t="s">
        <v>147</v>
      </c>
    </row>
    <row r="554" spans="1:95" x14ac:dyDescent="0.2">
      <c r="A554" t="s">
        <v>115</v>
      </c>
      <c r="B554" t="s">
        <v>116</v>
      </c>
      <c r="C554">
        <v>210784</v>
      </c>
      <c r="E554" t="s">
        <v>117</v>
      </c>
      <c r="F554">
        <v>368</v>
      </c>
      <c r="G554" t="s">
        <v>141</v>
      </c>
      <c r="H554" t="s">
        <v>142</v>
      </c>
      <c r="I554" t="s">
        <v>279</v>
      </c>
      <c r="J554" t="s">
        <v>280</v>
      </c>
      <c r="L554" t="s">
        <v>341</v>
      </c>
      <c r="M554" s="8">
        <v>45627</v>
      </c>
      <c r="N554">
        <v>5621960</v>
      </c>
      <c r="O554" t="s">
        <v>123</v>
      </c>
      <c r="P554" t="s">
        <v>146</v>
      </c>
      <c r="Q554">
        <v>6.49</v>
      </c>
      <c r="R554" t="s">
        <v>125</v>
      </c>
      <c r="S554" t="s">
        <v>126</v>
      </c>
      <c r="T554" t="s">
        <v>125</v>
      </c>
      <c r="U554" t="s">
        <v>126</v>
      </c>
      <c r="W554">
        <v>6.49</v>
      </c>
      <c r="Y554">
        <v>6.49</v>
      </c>
      <c r="AS554">
        <v>6.49</v>
      </c>
      <c r="BH554" t="s">
        <v>126</v>
      </c>
      <c r="BI554" t="s">
        <v>126</v>
      </c>
      <c r="BJ554" t="s">
        <v>126</v>
      </c>
      <c r="BK554" t="s">
        <v>126</v>
      </c>
      <c r="BS554" t="s">
        <v>126</v>
      </c>
      <c r="BT554" t="s">
        <v>126</v>
      </c>
      <c r="BU554" t="s">
        <v>126</v>
      </c>
      <c r="BV554" t="s">
        <v>126</v>
      </c>
      <c r="CN554" t="s">
        <v>147</v>
      </c>
      <c r="CP554" t="s">
        <v>340</v>
      </c>
      <c r="CQ554" t="s">
        <v>147</v>
      </c>
    </row>
    <row r="555" spans="1:95" x14ac:dyDescent="0.2">
      <c r="A555" t="s">
        <v>115</v>
      </c>
      <c r="B555" t="s">
        <v>116</v>
      </c>
      <c r="C555">
        <v>210784</v>
      </c>
      <c r="E555" t="s">
        <v>117</v>
      </c>
      <c r="F555">
        <v>368</v>
      </c>
      <c r="G555" t="s">
        <v>141</v>
      </c>
      <c r="H555" t="s">
        <v>142</v>
      </c>
      <c r="I555" t="s">
        <v>279</v>
      </c>
      <c r="J555" t="s">
        <v>280</v>
      </c>
      <c r="L555" t="s">
        <v>342</v>
      </c>
      <c r="M555" s="8">
        <v>45627</v>
      </c>
      <c r="N555">
        <v>5623891</v>
      </c>
      <c r="O555" t="s">
        <v>123</v>
      </c>
      <c r="P555" t="s">
        <v>146</v>
      </c>
      <c r="Q555">
        <v>0.35</v>
      </c>
      <c r="R555" t="s">
        <v>125</v>
      </c>
      <c r="S555" t="s">
        <v>126</v>
      </c>
      <c r="T555" t="s">
        <v>125</v>
      </c>
      <c r="U555" t="s">
        <v>126</v>
      </c>
      <c r="W555">
        <v>0.35</v>
      </c>
      <c r="Y555">
        <v>0.35</v>
      </c>
      <c r="AS555">
        <v>0.35</v>
      </c>
      <c r="BH555" t="s">
        <v>126</v>
      </c>
      <c r="BI555" t="s">
        <v>126</v>
      </c>
      <c r="BJ555" t="s">
        <v>126</v>
      </c>
      <c r="BK555" t="s">
        <v>126</v>
      </c>
      <c r="BS555" t="s">
        <v>126</v>
      </c>
      <c r="BT555" t="s">
        <v>126</v>
      </c>
      <c r="BU555" t="s">
        <v>126</v>
      </c>
      <c r="BV555" t="s">
        <v>126</v>
      </c>
      <c r="CN555" t="s">
        <v>147</v>
      </c>
      <c r="CP555" t="s">
        <v>273</v>
      </c>
      <c r="CQ555" t="s">
        <v>147</v>
      </c>
    </row>
    <row r="556" spans="1:95" x14ac:dyDescent="0.2">
      <c r="A556" t="s">
        <v>115</v>
      </c>
      <c r="B556" t="s">
        <v>116</v>
      </c>
      <c r="C556">
        <v>210784</v>
      </c>
      <c r="E556" t="s">
        <v>117</v>
      </c>
      <c r="F556">
        <v>368</v>
      </c>
      <c r="G556" t="s">
        <v>141</v>
      </c>
      <c r="H556" t="s">
        <v>142</v>
      </c>
      <c r="I556" t="s">
        <v>279</v>
      </c>
      <c r="J556" t="s">
        <v>280</v>
      </c>
      <c r="L556" t="s">
        <v>342</v>
      </c>
      <c r="M556" s="8">
        <v>45627</v>
      </c>
      <c r="N556">
        <v>5623208</v>
      </c>
      <c r="O556" t="s">
        <v>123</v>
      </c>
      <c r="P556" t="s">
        <v>146</v>
      </c>
      <c r="Q556">
        <v>5.17</v>
      </c>
      <c r="R556" t="s">
        <v>125</v>
      </c>
      <c r="S556" t="s">
        <v>126</v>
      </c>
      <c r="T556" t="s">
        <v>125</v>
      </c>
      <c r="U556" t="s">
        <v>126</v>
      </c>
      <c r="W556">
        <v>5.17</v>
      </c>
      <c r="Y556">
        <v>5.17</v>
      </c>
      <c r="AS556">
        <v>5.17</v>
      </c>
      <c r="BH556" t="s">
        <v>126</v>
      </c>
      <c r="BI556" t="s">
        <v>126</v>
      </c>
      <c r="BJ556" t="s">
        <v>126</v>
      </c>
      <c r="BK556" t="s">
        <v>126</v>
      </c>
      <c r="BS556" t="s">
        <v>126</v>
      </c>
      <c r="BT556" t="s">
        <v>126</v>
      </c>
      <c r="BU556" t="s">
        <v>126</v>
      </c>
      <c r="BV556" t="s">
        <v>126</v>
      </c>
      <c r="CN556" t="s">
        <v>147</v>
      </c>
      <c r="CP556" t="s">
        <v>273</v>
      </c>
      <c r="CQ556" t="s">
        <v>147</v>
      </c>
    </row>
    <row r="557" spans="1:95" x14ac:dyDescent="0.2">
      <c r="A557" t="s">
        <v>115</v>
      </c>
      <c r="B557" t="s">
        <v>116</v>
      </c>
      <c r="C557">
        <v>210784</v>
      </c>
      <c r="E557" t="s">
        <v>117</v>
      </c>
      <c r="F557">
        <v>368</v>
      </c>
      <c r="G557" t="s">
        <v>141</v>
      </c>
      <c r="H557" t="s">
        <v>142</v>
      </c>
      <c r="I557" t="s">
        <v>279</v>
      </c>
      <c r="J557" t="s">
        <v>280</v>
      </c>
      <c r="L557" t="s">
        <v>272</v>
      </c>
      <c r="M557" s="8">
        <v>45627</v>
      </c>
      <c r="N557">
        <v>5625494</v>
      </c>
      <c r="O557" t="s">
        <v>123</v>
      </c>
      <c r="P557" t="s">
        <v>146</v>
      </c>
      <c r="Q557">
        <v>4.9800000000000004</v>
      </c>
      <c r="R557" t="s">
        <v>125</v>
      </c>
      <c r="S557" t="s">
        <v>126</v>
      </c>
      <c r="T557" t="s">
        <v>125</v>
      </c>
      <c r="U557" t="s">
        <v>126</v>
      </c>
      <c r="W557">
        <v>4.9800000000000004</v>
      </c>
      <c r="Y557">
        <v>4.9800000000000004</v>
      </c>
      <c r="AS557">
        <v>4.9800000000000004</v>
      </c>
      <c r="BH557" t="s">
        <v>126</v>
      </c>
      <c r="BI557" t="s">
        <v>126</v>
      </c>
      <c r="BJ557" t="s">
        <v>126</v>
      </c>
      <c r="BK557" t="s">
        <v>126</v>
      </c>
      <c r="BS557" t="s">
        <v>126</v>
      </c>
      <c r="BT557" t="s">
        <v>126</v>
      </c>
      <c r="BU557" t="s">
        <v>126</v>
      </c>
      <c r="BV557" t="s">
        <v>126</v>
      </c>
      <c r="CN557" t="s">
        <v>147</v>
      </c>
      <c r="CP557" t="s">
        <v>273</v>
      </c>
      <c r="CQ557" t="s">
        <v>147</v>
      </c>
    </row>
    <row r="558" spans="1:95" x14ac:dyDescent="0.2">
      <c r="A558" t="s">
        <v>115</v>
      </c>
      <c r="B558" t="s">
        <v>116</v>
      </c>
      <c r="C558">
        <v>210784</v>
      </c>
      <c r="E558" t="s">
        <v>117</v>
      </c>
      <c r="F558">
        <v>368</v>
      </c>
      <c r="G558" t="s">
        <v>141</v>
      </c>
      <c r="H558" t="s">
        <v>142</v>
      </c>
      <c r="I558" t="s">
        <v>279</v>
      </c>
      <c r="J558" t="s">
        <v>280</v>
      </c>
      <c r="L558" t="s">
        <v>272</v>
      </c>
      <c r="M558" s="8">
        <v>45627</v>
      </c>
      <c r="N558">
        <v>5625233</v>
      </c>
      <c r="O558" t="s">
        <v>123</v>
      </c>
      <c r="P558" t="s">
        <v>146</v>
      </c>
      <c r="Q558">
        <v>1.8</v>
      </c>
      <c r="R558" t="s">
        <v>125</v>
      </c>
      <c r="S558" t="s">
        <v>126</v>
      </c>
      <c r="T558" t="s">
        <v>125</v>
      </c>
      <c r="U558" t="s">
        <v>126</v>
      </c>
      <c r="W558">
        <v>1.8</v>
      </c>
      <c r="Y558">
        <v>1.8</v>
      </c>
      <c r="AS558">
        <v>1.8</v>
      </c>
      <c r="BH558" t="s">
        <v>126</v>
      </c>
      <c r="BI558" t="s">
        <v>126</v>
      </c>
      <c r="BJ558" t="s">
        <v>126</v>
      </c>
      <c r="BK558" t="s">
        <v>126</v>
      </c>
      <c r="BS558" t="s">
        <v>126</v>
      </c>
      <c r="BT558" t="s">
        <v>126</v>
      </c>
      <c r="BU558" t="s">
        <v>126</v>
      </c>
      <c r="BV558" t="s">
        <v>126</v>
      </c>
      <c r="CN558" t="s">
        <v>147</v>
      </c>
      <c r="CP558" t="s">
        <v>273</v>
      </c>
      <c r="CQ558" t="s">
        <v>147</v>
      </c>
    </row>
    <row r="559" spans="1:95" x14ac:dyDescent="0.2">
      <c r="A559" t="s">
        <v>115</v>
      </c>
      <c r="B559" t="s">
        <v>116</v>
      </c>
      <c r="C559">
        <v>210784</v>
      </c>
      <c r="E559" t="s">
        <v>117</v>
      </c>
      <c r="F559">
        <v>368</v>
      </c>
      <c r="G559" t="s">
        <v>141</v>
      </c>
      <c r="H559" t="s">
        <v>142</v>
      </c>
      <c r="I559" t="s">
        <v>279</v>
      </c>
      <c r="J559" t="s">
        <v>280</v>
      </c>
      <c r="L559" t="s">
        <v>343</v>
      </c>
      <c r="M559" s="8">
        <v>45627</v>
      </c>
      <c r="N559">
        <v>5627164</v>
      </c>
      <c r="O559" t="s">
        <v>123</v>
      </c>
      <c r="P559" t="s">
        <v>146</v>
      </c>
      <c r="Q559">
        <v>1.72</v>
      </c>
      <c r="R559" t="s">
        <v>125</v>
      </c>
      <c r="S559" t="s">
        <v>126</v>
      </c>
      <c r="T559" t="s">
        <v>125</v>
      </c>
      <c r="U559" t="s">
        <v>126</v>
      </c>
      <c r="W559">
        <v>1.72</v>
      </c>
      <c r="Y559">
        <v>1.72</v>
      </c>
      <c r="AS559">
        <v>1.72</v>
      </c>
      <c r="BH559" t="s">
        <v>126</v>
      </c>
      <c r="BI559" t="s">
        <v>126</v>
      </c>
      <c r="BJ559" t="s">
        <v>126</v>
      </c>
      <c r="BK559" t="s">
        <v>126</v>
      </c>
      <c r="BS559" t="s">
        <v>126</v>
      </c>
      <c r="BT559" t="s">
        <v>126</v>
      </c>
      <c r="BU559" t="s">
        <v>126</v>
      </c>
      <c r="BV559" t="s">
        <v>126</v>
      </c>
      <c r="CN559" t="s">
        <v>147</v>
      </c>
      <c r="CP559" t="s">
        <v>273</v>
      </c>
      <c r="CQ559" t="s">
        <v>147</v>
      </c>
    </row>
    <row r="560" spans="1:95" x14ac:dyDescent="0.2">
      <c r="A560" t="s">
        <v>115</v>
      </c>
      <c r="B560" t="s">
        <v>116</v>
      </c>
      <c r="C560">
        <v>210784</v>
      </c>
      <c r="E560" t="s">
        <v>117</v>
      </c>
      <c r="F560">
        <v>368</v>
      </c>
      <c r="G560" t="s">
        <v>141</v>
      </c>
      <c r="H560" t="s">
        <v>142</v>
      </c>
      <c r="I560" t="s">
        <v>279</v>
      </c>
      <c r="J560" t="s">
        <v>280</v>
      </c>
      <c r="L560" t="s">
        <v>344</v>
      </c>
      <c r="M560" s="8">
        <v>45627</v>
      </c>
      <c r="N560">
        <v>5628008</v>
      </c>
      <c r="O560" t="s">
        <v>123</v>
      </c>
      <c r="P560" t="s">
        <v>146</v>
      </c>
      <c r="Q560">
        <v>5.84</v>
      </c>
      <c r="R560" t="s">
        <v>125</v>
      </c>
      <c r="S560" t="s">
        <v>126</v>
      </c>
      <c r="T560" t="s">
        <v>125</v>
      </c>
      <c r="U560" t="s">
        <v>126</v>
      </c>
      <c r="W560">
        <v>5.84</v>
      </c>
      <c r="Y560">
        <v>5.84</v>
      </c>
      <c r="AS560">
        <v>5.84</v>
      </c>
      <c r="BH560" t="s">
        <v>126</v>
      </c>
      <c r="BI560" t="s">
        <v>126</v>
      </c>
      <c r="BJ560" t="s">
        <v>126</v>
      </c>
      <c r="BK560" t="s">
        <v>126</v>
      </c>
      <c r="BS560" t="s">
        <v>126</v>
      </c>
      <c r="BT560" t="s">
        <v>126</v>
      </c>
      <c r="BU560" t="s">
        <v>126</v>
      </c>
      <c r="BV560" t="s">
        <v>126</v>
      </c>
      <c r="CN560" t="s">
        <v>147</v>
      </c>
      <c r="CP560" t="s">
        <v>273</v>
      </c>
      <c r="CQ560" t="s">
        <v>147</v>
      </c>
    </row>
    <row r="561" spans="1:95" x14ac:dyDescent="0.2">
      <c r="A561" t="s">
        <v>115</v>
      </c>
      <c r="B561" t="s">
        <v>116</v>
      </c>
      <c r="C561">
        <v>210784</v>
      </c>
      <c r="E561" t="s">
        <v>117</v>
      </c>
      <c r="F561">
        <v>368</v>
      </c>
      <c r="G561" t="s">
        <v>141</v>
      </c>
      <c r="H561" t="s">
        <v>142</v>
      </c>
      <c r="I561" t="s">
        <v>279</v>
      </c>
      <c r="J561" t="s">
        <v>280</v>
      </c>
      <c r="L561" t="s">
        <v>345</v>
      </c>
      <c r="M561" s="8">
        <v>45627</v>
      </c>
      <c r="N561">
        <v>5628482</v>
      </c>
      <c r="O561" t="s">
        <v>123</v>
      </c>
      <c r="P561" t="s">
        <v>146</v>
      </c>
      <c r="Q561">
        <v>0.88</v>
      </c>
      <c r="R561" t="s">
        <v>125</v>
      </c>
      <c r="S561" t="s">
        <v>126</v>
      </c>
      <c r="T561" t="s">
        <v>125</v>
      </c>
      <c r="U561" t="s">
        <v>126</v>
      </c>
      <c r="W561">
        <v>0.88</v>
      </c>
      <c r="Y561">
        <v>0.88</v>
      </c>
      <c r="AS561">
        <v>0.88</v>
      </c>
      <c r="BH561" t="s">
        <v>126</v>
      </c>
      <c r="BI561" t="s">
        <v>126</v>
      </c>
      <c r="BJ561" t="s">
        <v>126</v>
      </c>
      <c r="BK561" t="s">
        <v>126</v>
      </c>
      <c r="BS561" t="s">
        <v>126</v>
      </c>
      <c r="BT561" t="s">
        <v>126</v>
      </c>
      <c r="BU561" t="s">
        <v>126</v>
      </c>
      <c r="BV561" t="s">
        <v>126</v>
      </c>
      <c r="CN561" t="s">
        <v>147</v>
      </c>
      <c r="CP561" t="s">
        <v>273</v>
      </c>
      <c r="CQ561" t="s">
        <v>147</v>
      </c>
    </row>
    <row r="562" spans="1:95" x14ac:dyDescent="0.2">
      <c r="A562" t="s">
        <v>115</v>
      </c>
      <c r="B562" t="s">
        <v>116</v>
      </c>
      <c r="C562">
        <v>210784</v>
      </c>
      <c r="E562" t="s">
        <v>117</v>
      </c>
      <c r="F562">
        <v>368</v>
      </c>
      <c r="G562" t="s">
        <v>141</v>
      </c>
      <c r="H562" t="s">
        <v>142</v>
      </c>
      <c r="I562" t="s">
        <v>279</v>
      </c>
      <c r="J562" t="s">
        <v>280</v>
      </c>
      <c r="L562" t="s">
        <v>346</v>
      </c>
      <c r="M562" s="8">
        <v>45627</v>
      </c>
      <c r="N562">
        <v>5629370</v>
      </c>
      <c r="O562" t="s">
        <v>123</v>
      </c>
      <c r="P562" t="s">
        <v>146</v>
      </c>
      <c r="Q562">
        <v>3.3</v>
      </c>
      <c r="R562" t="s">
        <v>125</v>
      </c>
      <c r="S562" t="s">
        <v>126</v>
      </c>
      <c r="T562" t="s">
        <v>125</v>
      </c>
      <c r="U562" t="s">
        <v>126</v>
      </c>
      <c r="W562">
        <v>3.3</v>
      </c>
      <c r="Y562">
        <v>3.3</v>
      </c>
      <c r="AS562">
        <v>3.3</v>
      </c>
      <c r="BH562" t="s">
        <v>126</v>
      </c>
      <c r="BI562" t="s">
        <v>126</v>
      </c>
      <c r="BJ562" t="s">
        <v>126</v>
      </c>
      <c r="BK562" t="s">
        <v>126</v>
      </c>
      <c r="BS562" t="s">
        <v>126</v>
      </c>
      <c r="BT562" t="s">
        <v>126</v>
      </c>
      <c r="BU562" t="s">
        <v>126</v>
      </c>
      <c r="BV562" t="s">
        <v>126</v>
      </c>
      <c r="CN562" t="s">
        <v>147</v>
      </c>
      <c r="CP562" t="s">
        <v>273</v>
      </c>
      <c r="CQ562" t="s">
        <v>147</v>
      </c>
    </row>
    <row r="563" spans="1:95" x14ac:dyDescent="0.2">
      <c r="A563" t="s">
        <v>115</v>
      </c>
      <c r="B563" t="s">
        <v>116</v>
      </c>
      <c r="C563">
        <v>210784</v>
      </c>
      <c r="E563" t="s">
        <v>117</v>
      </c>
      <c r="F563">
        <v>368</v>
      </c>
      <c r="G563" t="s">
        <v>141</v>
      </c>
      <c r="H563" t="s">
        <v>142</v>
      </c>
      <c r="I563" t="s">
        <v>279</v>
      </c>
      <c r="J563" t="s">
        <v>280</v>
      </c>
      <c r="L563" t="s">
        <v>347</v>
      </c>
      <c r="M563" s="8">
        <v>45627</v>
      </c>
      <c r="N563">
        <v>5629979</v>
      </c>
      <c r="O563" t="s">
        <v>123</v>
      </c>
      <c r="P563" t="s">
        <v>146</v>
      </c>
      <c r="Q563">
        <v>4.25</v>
      </c>
      <c r="R563" t="s">
        <v>125</v>
      </c>
      <c r="S563" t="s">
        <v>126</v>
      </c>
      <c r="T563" t="s">
        <v>125</v>
      </c>
      <c r="U563" t="s">
        <v>126</v>
      </c>
      <c r="W563">
        <v>4.25</v>
      </c>
      <c r="Y563">
        <v>4.25</v>
      </c>
      <c r="AS563">
        <v>4.25</v>
      </c>
      <c r="BH563" t="s">
        <v>126</v>
      </c>
      <c r="BI563" t="s">
        <v>126</v>
      </c>
      <c r="BJ563" t="s">
        <v>126</v>
      </c>
      <c r="BK563" t="s">
        <v>126</v>
      </c>
      <c r="BS563" t="s">
        <v>126</v>
      </c>
      <c r="BT563" t="s">
        <v>126</v>
      </c>
      <c r="BU563" t="s">
        <v>126</v>
      </c>
      <c r="BV563" t="s">
        <v>126</v>
      </c>
      <c r="CN563" t="s">
        <v>147</v>
      </c>
      <c r="CP563" t="s">
        <v>273</v>
      </c>
      <c r="CQ563" t="s">
        <v>147</v>
      </c>
    </row>
    <row r="564" spans="1:95" x14ac:dyDescent="0.2">
      <c r="A564" t="s">
        <v>115</v>
      </c>
      <c r="B564" t="s">
        <v>116</v>
      </c>
      <c r="C564">
        <v>210784</v>
      </c>
      <c r="E564" t="s">
        <v>117</v>
      </c>
      <c r="F564">
        <v>368</v>
      </c>
      <c r="G564" t="s">
        <v>141</v>
      </c>
      <c r="H564" t="s">
        <v>142</v>
      </c>
      <c r="I564" t="s">
        <v>279</v>
      </c>
      <c r="J564" t="s">
        <v>280</v>
      </c>
      <c r="L564" t="s">
        <v>348</v>
      </c>
      <c r="M564" s="8">
        <v>45627</v>
      </c>
      <c r="N564">
        <v>5630447</v>
      </c>
      <c r="O564" t="s">
        <v>123</v>
      </c>
      <c r="P564" t="s">
        <v>146</v>
      </c>
      <c r="Q564">
        <v>3.82</v>
      </c>
      <c r="R564" t="s">
        <v>125</v>
      </c>
      <c r="S564" t="s">
        <v>126</v>
      </c>
      <c r="T564" t="s">
        <v>125</v>
      </c>
      <c r="U564" t="s">
        <v>126</v>
      </c>
      <c r="W564">
        <v>3.82</v>
      </c>
      <c r="Y564">
        <v>3.82</v>
      </c>
      <c r="AS564">
        <v>3.82</v>
      </c>
      <c r="BH564" t="s">
        <v>126</v>
      </c>
      <c r="BI564" t="s">
        <v>126</v>
      </c>
      <c r="BJ564" t="s">
        <v>126</v>
      </c>
      <c r="BK564" t="s">
        <v>126</v>
      </c>
      <c r="BS564" t="s">
        <v>126</v>
      </c>
      <c r="BT564" t="s">
        <v>126</v>
      </c>
      <c r="BU564" t="s">
        <v>126</v>
      </c>
      <c r="BV564" t="s">
        <v>126</v>
      </c>
      <c r="CN564" t="s">
        <v>147</v>
      </c>
      <c r="CP564" t="s">
        <v>273</v>
      </c>
      <c r="CQ564" t="s">
        <v>147</v>
      </c>
    </row>
    <row r="565" spans="1:95" x14ac:dyDescent="0.2">
      <c r="A565" t="s">
        <v>115</v>
      </c>
      <c r="B565" t="s">
        <v>116</v>
      </c>
      <c r="C565">
        <v>210784</v>
      </c>
      <c r="E565" t="s">
        <v>117</v>
      </c>
      <c r="F565">
        <v>368</v>
      </c>
      <c r="G565" t="s">
        <v>141</v>
      </c>
      <c r="H565" t="s">
        <v>142</v>
      </c>
      <c r="I565" t="s">
        <v>279</v>
      </c>
      <c r="J565" t="s">
        <v>280</v>
      </c>
      <c r="L565" t="s">
        <v>348</v>
      </c>
      <c r="M565" s="8">
        <v>45627</v>
      </c>
      <c r="N565">
        <v>5630289</v>
      </c>
      <c r="O565" t="s">
        <v>123</v>
      </c>
      <c r="P565" t="s">
        <v>146</v>
      </c>
      <c r="Q565">
        <v>3.29</v>
      </c>
      <c r="R565" t="s">
        <v>125</v>
      </c>
      <c r="S565" t="s">
        <v>126</v>
      </c>
      <c r="T565" t="s">
        <v>125</v>
      </c>
      <c r="U565" t="s">
        <v>126</v>
      </c>
      <c r="W565">
        <v>3.29</v>
      </c>
      <c r="Y565">
        <v>3.29</v>
      </c>
      <c r="AS565">
        <v>3.29</v>
      </c>
      <c r="BH565" t="s">
        <v>126</v>
      </c>
      <c r="BI565" t="s">
        <v>126</v>
      </c>
      <c r="BJ565" t="s">
        <v>126</v>
      </c>
      <c r="BK565" t="s">
        <v>126</v>
      </c>
      <c r="BS565" t="s">
        <v>126</v>
      </c>
      <c r="BT565" t="s">
        <v>126</v>
      </c>
      <c r="BU565" t="s">
        <v>126</v>
      </c>
      <c r="BV565" t="s">
        <v>126</v>
      </c>
      <c r="CN565" t="s">
        <v>147</v>
      </c>
      <c r="CP565" t="s">
        <v>273</v>
      </c>
      <c r="CQ565" t="s">
        <v>147</v>
      </c>
    </row>
    <row r="566" spans="1:95" x14ac:dyDescent="0.2">
      <c r="A566" t="s">
        <v>115</v>
      </c>
      <c r="B566" t="s">
        <v>116</v>
      </c>
      <c r="C566">
        <v>210784</v>
      </c>
      <c r="E566" t="s">
        <v>117</v>
      </c>
      <c r="F566">
        <v>368</v>
      </c>
      <c r="G566" t="s">
        <v>141</v>
      </c>
      <c r="H566" t="s">
        <v>142</v>
      </c>
      <c r="I566" t="s">
        <v>279</v>
      </c>
      <c r="J566" t="s">
        <v>280</v>
      </c>
      <c r="L566" t="s">
        <v>348</v>
      </c>
      <c r="M566" s="8">
        <v>45627</v>
      </c>
      <c r="N566">
        <v>5630071</v>
      </c>
      <c r="O566" t="s">
        <v>123</v>
      </c>
      <c r="P566" t="s">
        <v>146</v>
      </c>
      <c r="Q566">
        <v>2.73</v>
      </c>
      <c r="R566" t="s">
        <v>125</v>
      </c>
      <c r="S566" t="s">
        <v>126</v>
      </c>
      <c r="T566" t="s">
        <v>125</v>
      </c>
      <c r="U566" t="s">
        <v>126</v>
      </c>
      <c r="W566">
        <v>2.73</v>
      </c>
      <c r="Y566">
        <v>2.73</v>
      </c>
      <c r="AS566">
        <v>2.73</v>
      </c>
      <c r="BH566" t="s">
        <v>126</v>
      </c>
      <c r="BI566" t="s">
        <v>126</v>
      </c>
      <c r="BJ566" t="s">
        <v>126</v>
      </c>
      <c r="BK566" t="s">
        <v>126</v>
      </c>
      <c r="BS566" t="s">
        <v>126</v>
      </c>
      <c r="BT566" t="s">
        <v>126</v>
      </c>
      <c r="BU566" t="s">
        <v>126</v>
      </c>
      <c r="BV566" t="s">
        <v>126</v>
      </c>
      <c r="CN566" t="s">
        <v>147</v>
      </c>
      <c r="CP566" t="s">
        <v>273</v>
      </c>
      <c r="CQ566" t="s">
        <v>147</v>
      </c>
    </row>
    <row r="567" spans="1:95" x14ac:dyDescent="0.2">
      <c r="A567" t="s">
        <v>115</v>
      </c>
      <c r="B567" t="s">
        <v>116</v>
      </c>
      <c r="C567">
        <v>210784</v>
      </c>
      <c r="E567" t="s">
        <v>117</v>
      </c>
      <c r="F567">
        <v>368</v>
      </c>
      <c r="G567" t="s">
        <v>141</v>
      </c>
      <c r="H567" t="s">
        <v>142</v>
      </c>
      <c r="I567" t="s">
        <v>279</v>
      </c>
      <c r="J567" t="s">
        <v>280</v>
      </c>
      <c r="L567" t="s">
        <v>349</v>
      </c>
      <c r="M567" s="8">
        <v>45627</v>
      </c>
      <c r="N567">
        <v>5631347</v>
      </c>
      <c r="O567" t="s">
        <v>123</v>
      </c>
      <c r="P567" t="s">
        <v>146</v>
      </c>
      <c r="Q567">
        <v>3.76</v>
      </c>
      <c r="R567" t="s">
        <v>125</v>
      </c>
      <c r="S567" t="s">
        <v>126</v>
      </c>
      <c r="T567" t="s">
        <v>125</v>
      </c>
      <c r="U567" t="s">
        <v>126</v>
      </c>
      <c r="W567">
        <v>3.76</v>
      </c>
      <c r="Y567">
        <v>3.76</v>
      </c>
      <c r="AS567">
        <v>3.76</v>
      </c>
      <c r="BH567" t="s">
        <v>126</v>
      </c>
      <c r="BI567" t="s">
        <v>126</v>
      </c>
      <c r="BJ567" t="s">
        <v>126</v>
      </c>
      <c r="BK567" t="s">
        <v>126</v>
      </c>
      <c r="BS567" t="s">
        <v>126</v>
      </c>
      <c r="BT567" t="s">
        <v>126</v>
      </c>
      <c r="BU567" t="s">
        <v>126</v>
      </c>
      <c r="BV567" t="s">
        <v>126</v>
      </c>
      <c r="CN567" t="s">
        <v>147</v>
      </c>
      <c r="CP567" t="s">
        <v>273</v>
      </c>
      <c r="CQ567" t="s">
        <v>147</v>
      </c>
    </row>
    <row r="568" spans="1:95" x14ac:dyDescent="0.2">
      <c r="A568" t="s">
        <v>115</v>
      </c>
      <c r="B568" t="s">
        <v>116</v>
      </c>
      <c r="C568">
        <v>210784</v>
      </c>
      <c r="E568" t="s">
        <v>117</v>
      </c>
      <c r="F568">
        <v>368</v>
      </c>
      <c r="G568" t="s">
        <v>141</v>
      </c>
      <c r="H568" t="s">
        <v>142</v>
      </c>
      <c r="I568" t="s">
        <v>279</v>
      </c>
      <c r="J568" t="s">
        <v>280</v>
      </c>
      <c r="L568" t="s">
        <v>350</v>
      </c>
      <c r="M568" s="8">
        <v>45627</v>
      </c>
      <c r="N568">
        <v>5632509</v>
      </c>
      <c r="O568" t="s">
        <v>123</v>
      </c>
      <c r="P568" t="s">
        <v>146</v>
      </c>
      <c r="Q568">
        <v>4.76</v>
      </c>
      <c r="R568" t="s">
        <v>125</v>
      </c>
      <c r="S568" t="s">
        <v>126</v>
      </c>
      <c r="T568" t="s">
        <v>125</v>
      </c>
      <c r="U568" t="s">
        <v>126</v>
      </c>
      <c r="W568">
        <v>4.76</v>
      </c>
      <c r="Y568">
        <v>4.76</v>
      </c>
      <c r="AS568">
        <v>4.76</v>
      </c>
      <c r="BH568" t="s">
        <v>126</v>
      </c>
      <c r="BI568" t="s">
        <v>126</v>
      </c>
      <c r="BJ568" t="s">
        <v>126</v>
      </c>
      <c r="BK568" t="s">
        <v>126</v>
      </c>
      <c r="BS568" t="s">
        <v>126</v>
      </c>
      <c r="BT568" t="s">
        <v>126</v>
      </c>
      <c r="BU568" t="s">
        <v>126</v>
      </c>
      <c r="BV568" t="s">
        <v>126</v>
      </c>
      <c r="CN568" t="s">
        <v>147</v>
      </c>
      <c r="CP568" t="s">
        <v>273</v>
      </c>
      <c r="CQ568" t="s">
        <v>147</v>
      </c>
    </row>
    <row r="569" spans="1:95" x14ac:dyDescent="0.2">
      <c r="A569" t="s">
        <v>115</v>
      </c>
      <c r="B569" t="s">
        <v>116</v>
      </c>
      <c r="C569">
        <v>210784</v>
      </c>
      <c r="E569" t="s">
        <v>117</v>
      </c>
      <c r="F569">
        <v>368</v>
      </c>
      <c r="G569" t="s">
        <v>141</v>
      </c>
      <c r="H569" t="s">
        <v>142</v>
      </c>
      <c r="I569" t="s">
        <v>279</v>
      </c>
      <c r="J569" t="s">
        <v>280</v>
      </c>
      <c r="L569" t="s">
        <v>351</v>
      </c>
      <c r="M569" s="8">
        <v>45627</v>
      </c>
      <c r="N569">
        <v>5633893</v>
      </c>
      <c r="O569" t="s">
        <v>123</v>
      </c>
      <c r="P569" t="s">
        <v>146</v>
      </c>
      <c r="Q569">
        <v>5.85</v>
      </c>
      <c r="R569" t="s">
        <v>125</v>
      </c>
      <c r="S569" t="s">
        <v>126</v>
      </c>
      <c r="T569" t="s">
        <v>125</v>
      </c>
      <c r="U569" t="s">
        <v>126</v>
      </c>
      <c r="W569">
        <v>5.85</v>
      </c>
      <c r="Y569">
        <v>5.85</v>
      </c>
      <c r="AS569">
        <v>5.85</v>
      </c>
      <c r="BH569" t="s">
        <v>126</v>
      </c>
      <c r="BI569" t="s">
        <v>126</v>
      </c>
      <c r="BJ569" t="s">
        <v>126</v>
      </c>
      <c r="BK569" t="s">
        <v>126</v>
      </c>
      <c r="BS569" t="s">
        <v>126</v>
      </c>
      <c r="BT569" t="s">
        <v>126</v>
      </c>
      <c r="BU569" t="s">
        <v>126</v>
      </c>
      <c r="BV569" t="s">
        <v>126</v>
      </c>
      <c r="CN569" t="s">
        <v>147</v>
      </c>
      <c r="CP569" t="s">
        <v>275</v>
      </c>
      <c r="CQ569" t="s">
        <v>147</v>
      </c>
    </row>
    <row r="570" spans="1:95" x14ac:dyDescent="0.2">
      <c r="A570" t="s">
        <v>115</v>
      </c>
      <c r="B570" t="s">
        <v>116</v>
      </c>
      <c r="C570">
        <v>210784</v>
      </c>
      <c r="E570" t="s">
        <v>117</v>
      </c>
      <c r="F570">
        <v>368</v>
      </c>
      <c r="G570" t="s">
        <v>141</v>
      </c>
      <c r="H570" t="s">
        <v>142</v>
      </c>
      <c r="I570" t="s">
        <v>279</v>
      </c>
      <c r="J570" t="s">
        <v>280</v>
      </c>
      <c r="L570" t="s">
        <v>352</v>
      </c>
      <c r="M570" s="8">
        <v>45627</v>
      </c>
      <c r="N570">
        <v>5634255</v>
      </c>
      <c r="O570" t="s">
        <v>123</v>
      </c>
      <c r="P570" t="s">
        <v>146</v>
      </c>
      <c r="Q570">
        <v>2.92</v>
      </c>
      <c r="R570" t="s">
        <v>125</v>
      </c>
      <c r="S570" t="s">
        <v>126</v>
      </c>
      <c r="T570" t="s">
        <v>125</v>
      </c>
      <c r="U570" t="s">
        <v>126</v>
      </c>
      <c r="W570">
        <v>2.92</v>
      </c>
      <c r="Y570">
        <v>2.92</v>
      </c>
      <c r="AS570">
        <v>2.92</v>
      </c>
      <c r="BH570" t="s">
        <v>126</v>
      </c>
      <c r="BI570" t="s">
        <v>126</v>
      </c>
      <c r="BJ570" t="s">
        <v>126</v>
      </c>
      <c r="BK570" t="s">
        <v>126</v>
      </c>
      <c r="BS570" t="s">
        <v>126</v>
      </c>
      <c r="BT570" t="s">
        <v>126</v>
      </c>
      <c r="BU570" t="s">
        <v>126</v>
      </c>
      <c r="BV570" t="s">
        <v>126</v>
      </c>
      <c r="CN570" t="s">
        <v>147</v>
      </c>
      <c r="CP570" t="s">
        <v>275</v>
      </c>
      <c r="CQ570" t="s">
        <v>147</v>
      </c>
    </row>
    <row r="571" spans="1:95" x14ac:dyDescent="0.2">
      <c r="A571" t="s">
        <v>115</v>
      </c>
      <c r="B571" t="s">
        <v>116</v>
      </c>
      <c r="C571">
        <v>210784</v>
      </c>
      <c r="E571" t="s">
        <v>117</v>
      </c>
      <c r="F571">
        <v>368</v>
      </c>
      <c r="G571" t="s">
        <v>141</v>
      </c>
      <c r="H571" t="s">
        <v>142</v>
      </c>
      <c r="I571" t="s">
        <v>279</v>
      </c>
      <c r="J571" t="s">
        <v>280</v>
      </c>
      <c r="L571" t="s">
        <v>352</v>
      </c>
      <c r="M571" s="8">
        <v>45627</v>
      </c>
      <c r="N571">
        <v>5634369</v>
      </c>
      <c r="O571" t="s">
        <v>123</v>
      </c>
      <c r="P571" t="s">
        <v>146</v>
      </c>
      <c r="Q571">
        <v>2.81</v>
      </c>
      <c r="R571" t="s">
        <v>125</v>
      </c>
      <c r="S571" t="s">
        <v>126</v>
      </c>
      <c r="T571" t="s">
        <v>125</v>
      </c>
      <c r="U571" t="s">
        <v>126</v>
      </c>
      <c r="W571">
        <v>2.81</v>
      </c>
      <c r="Y571">
        <v>2.81</v>
      </c>
      <c r="AS571">
        <v>2.81</v>
      </c>
      <c r="BH571" t="s">
        <v>126</v>
      </c>
      <c r="BI571" t="s">
        <v>126</v>
      </c>
      <c r="BJ571" t="s">
        <v>126</v>
      </c>
      <c r="BK571" t="s">
        <v>126</v>
      </c>
      <c r="BS571" t="s">
        <v>126</v>
      </c>
      <c r="BT571" t="s">
        <v>126</v>
      </c>
      <c r="BU571" t="s">
        <v>126</v>
      </c>
      <c r="BV571" t="s">
        <v>126</v>
      </c>
      <c r="CN571" t="s">
        <v>147</v>
      </c>
      <c r="CP571" t="s">
        <v>275</v>
      </c>
      <c r="CQ571" t="s">
        <v>147</v>
      </c>
    </row>
    <row r="572" spans="1:95" x14ac:dyDescent="0.2">
      <c r="A572" t="s">
        <v>115</v>
      </c>
      <c r="B572" t="s">
        <v>116</v>
      </c>
      <c r="C572">
        <v>210784</v>
      </c>
      <c r="E572" t="s">
        <v>117</v>
      </c>
      <c r="F572">
        <v>368</v>
      </c>
      <c r="G572" t="s">
        <v>141</v>
      </c>
      <c r="H572" t="s">
        <v>142</v>
      </c>
      <c r="I572" t="s">
        <v>279</v>
      </c>
      <c r="J572" t="s">
        <v>280</v>
      </c>
      <c r="L572" t="s">
        <v>274</v>
      </c>
      <c r="M572" s="8">
        <v>45627</v>
      </c>
      <c r="N572">
        <v>5636388</v>
      </c>
      <c r="O572" t="s">
        <v>123</v>
      </c>
      <c r="P572" t="s">
        <v>146</v>
      </c>
      <c r="Q572">
        <v>6.56</v>
      </c>
      <c r="R572" t="s">
        <v>125</v>
      </c>
      <c r="S572" t="s">
        <v>126</v>
      </c>
      <c r="T572" t="s">
        <v>125</v>
      </c>
      <c r="U572" t="s">
        <v>126</v>
      </c>
      <c r="W572">
        <v>6.56</v>
      </c>
      <c r="Y572">
        <v>6.56</v>
      </c>
      <c r="AS572">
        <v>6.56</v>
      </c>
      <c r="BH572" t="s">
        <v>126</v>
      </c>
      <c r="BI572" t="s">
        <v>126</v>
      </c>
      <c r="BJ572" t="s">
        <v>126</v>
      </c>
      <c r="BK572" t="s">
        <v>126</v>
      </c>
      <c r="BS572" t="s">
        <v>126</v>
      </c>
      <c r="BT572" t="s">
        <v>126</v>
      </c>
      <c r="BU572" t="s">
        <v>126</v>
      </c>
      <c r="BV572" t="s">
        <v>126</v>
      </c>
      <c r="CN572" t="s">
        <v>147</v>
      </c>
      <c r="CP572" t="s">
        <v>275</v>
      </c>
      <c r="CQ572" t="s">
        <v>147</v>
      </c>
    </row>
    <row r="573" spans="1:95" x14ac:dyDescent="0.2">
      <c r="A573" t="s">
        <v>115</v>
      </c>
      <c r="B573" t="s">
        <v>116</v>
      </c>
      <c r="C573">
        <v>210784</v>
      </c>
      <c r="E573" t="s">
        <v>117</v>
      </c>
      <c r="F573">
        <v>368</v>
      </c>
      <c r="G573" t="s">
        <v>141</v>
      </c>
      <c r="H573" t="s">
        <v>142</v>
      </c>
      <c r="I573" t="s">
        <v>279</v>
      </c>
      <c r="J573" t="s">
        <v>280</v>
      </c>
      <c r="L573" t="s">
        <v>353</v>
      </c>
      <c r="M573" s="8">
        <v>45627</v>
      </c>
      <c r="N573">
        <v>5637240</v>
      </c>
      <c r="O573" t="s">
        <v>123</v>
      </c>
      <c r="P573" t="s">
        <v>146</v>
      </c>
      <c r="Q573">
        <v>3.03</v>
      </c>
      <c r="R573" t="s">
        <v>125</v>
      </c>
      <c r="S573" t="s">
        <v>126</v>
      </c>
      <c r="T573" t="s">
        <v>125</v>
      </c>
      <c r="U573" t="s">
        <v>126</v>
      </c>
      <c r="W573">
        <v>3.03</v>
      </c>
      <c r="Y573">
        <v>3.03</v>
      </c>
      <c r="AS573">
        <v>3.03</v>
      </c>
      <c r="BH573" t="s">
        <v>126</v>
      </c>
      <c r="BI573" t="s">
        <v>126</v>
      </c>
      <c r="BJ573" t="s">
        <v>126</v>
      </c>
      <c r="BK573" t="s">
        <v>126</v>
      </c>
      <c r="BS573" t="s">
        <v>126</v>
      </c>
      <c r="BT573" t="s">
        <v>126</v>
      </c>
      <c r="BU573" t="s">
        <v>126</v>
      </c>
      <c r="BV573" t="s">
        <v>126</v>
      </c>
      <c r="CN573" t="s">
        <v>147</v>
      </c>
      <c r="CP573" t="s">
        <v>275</v>
      </c>
      <c r="CQ573" t="s">
        <v>147</v>
      </c>
    </row>
    <row r="574" spans="1:95" x14ac:dyDescent="0.2">
      <c r="A574" t="s">
        <v>115</v>
      </c>
      <c r="B574" t="s">
        <v>116</v>
      </c>
      <c r="C574">
        <v>210784</v>
      </c>
      <c r="E574" t="s">
        <v>117</v>
      </c>
      <c r="F574">
        <v>368</v>
      </c>
      <c r="G574" t="s">
        <v>141</v>
      </c>
      <c r="H574" t="s">
        <v>142</v>
      </c>
      <c r="I574" t="s">
        <v>279</v>
      </c>
      <c r="J574" t="s">
        <v>280</v>
      </c>
      <c r="L574" t="s">
        <v>354</v>
      </c>
      <c r="M574" s="8">
        <v>45627</v>
      </c>
      <c r="N574">
        <v>5637540</v>
      </c>
      <c r="O574" t="s">
        <v>123</v>
      </c>
      <c r="P574" t="s">
        <v>146</v>
      </c>
      <c r="Q574">
        <v>1.23</v>
      </c>
      <c r="R574" t="s">
        <v>125</v>
      </c>
      <c r="S574" t="s">
        <v>126</v>
      </c>
      <c r="T574" t="s">
        <v>125</v>
      </c>
      <c r="U574" t="s">
        <v>126</v>
      </c>
      <c r="W574">
        <v>1.23</v>
      </c>
      <c r="Y574">
        <v>1.23</v>
      </c>
      <c r="AS574">
        <v>1.23</v>
      </c>
      <c r="BH574" t="s">
        <v>126</v>
      </c>
      <c r="BI574" t="s">
        <v>126</v>
      </c>
      <c r="BJ574" t="s">
        <v>126</v>
      </c>
      <c r="BK574" t="s">
        <v>126</v>
      </c>
      <c r="BS574" t="s">
        <v>126</v>
      </c>
      <c r="BT574" t="s">
        <v>126</v>
      </c>
      <c r="BU574" t="s">
        <v>126</v>
      </c>
      <c r="BV574" t="s">
        <v>126</v>
      </c>
      <c r="CN574" t="s">
        <v>147</v>
      </c>
      <c r="CP574" t="s">
        <v>275</v>
      </c>
      <c r="CQ574" t="s">
        <v>147</v>
      </c>
    </row>
    <row r="575" spans="1:95" x14ac:dyDescent="0.2">
      <c r="A575" t="s">
        <v>115</v>
      </c>
      <c r="B575" t="s">
        <v>116</v>
      </c>
      <c r="C575">
        <v>210784</v>
      </c>
      <c r="E575" t="s">
        <v>117</v>
      </c>
      <c r="F575">
        <v>368</v>
      </c>
      <c r="G575" t="s">
        <v>141</v>
      </c>
      <c r="H575" t="s">
        <v>142</v>
      </c>
      <c r="I575" t="s">
        <v>279</v>
      </c>
      <c r="J575" t="s">
        <v>280</v>
      </c>
      <c r="L575" t="s">
        <v>355</v>
      </c>
      <c r="M575" s="8">
        <v>45627</v>
      </c>
      <c r="N575">
        <v>5639276</v>
      </c>
      <c r="O575" t="s">
        <v>123</v>
      </c>
      <c r="P575" t="s">
        <v>146</v>
      </c>
      <c r="Q575">
        <v>6.16</v>
      </c>
      <c r="R575" t="s">
        <v>125</v>
      </c>
      <c r="S575" t="s">
        <v>126</v>
      </c>
      <c r="T575" t="s">
        <v>125</v>
      </c>
      <c r="U575" t="s">
        <v>126</v>
      </c>
      <c r="W575">
        <v>6.16</v>
      </c>
      <c r="Y575">
        <v>6.16</v>
      </c>
      <c r="AS575">
        <v>6.16</v>
      </c>
      <c r="BH575" t="s">
        <v>126</v>
      </c>
      <c r="BI575" t="s">
        <v>126</v>
      </c>
      <c r="BJ575" t="s">
        <v>126</v>
      </c>
      <c r="BK575" t="s">
        <v>126</v>
      </c>
      <c r="BS575" t="s">
        <v>126</v>
      </c>
      <c r="BT575" t="s">
        <v>126</v>
      </c>
      <c r="BU575" t="s">
        <v>126</v>
      </c>
      <c r="BV575" t="s">
        <v>126</v>
      </c>
      <c r="CN575" t="s">
        <v>147</v>
      </c>
      <c r="CP575" t="s">
        <v>275</v>
      </c>
      <c r="CQ575" t="s">
        <v>147</v>
      </c>
    </row>
    <row r="576" spans="1:95" x14ac:dyDescent="0.2">
      <c r="A576" t="s">
        <v>115</v>
      </c>
      <c r="B576" t="s">
        <v>116</v>
      </c>
      <c r="C576">
        <v>210784</v>
      </c>
      <c r="E576" t="s">
        <v>117</v>
      </c>
      <c r="F576">
        <v>368</v>
      </c>
      <c r="G576" t="s">
        <v>141</v>
      </c>
      <c r="H576" t="s">
        <v>142</v>
      </c>
      <c r="I576" t="s">
        <v>279</v>
      </c>
      <c r="J576" t="s">
        <v>280</v>
      </c>
      <c r="L576" t="s">
        <v>342</v>
      </c>
      <c r="M576" s="8">
        <v>45627</v>
      </c>
      <c r="N576">
        <v>5623631</v>
      </c>
      <c r="O576" t="s">
        <v>123</v>
      </c>
      <c r="P576" t="s">
        <v>146</v>
      </c>
      <c r="Q576">
        <v>3.5700000000000003</v>
      </c>
      <c r="R576" t="s">
        <v>610</v>
      </c>
      <c r="S576" t="s">
        <v>126</v>
      </c>
      <c r="T576" t="s">
        <v>610</v>
      </c>
      <c r="U576" t="s">
        <v>611</v>
      </c>
      <c r="W576">
        <v>1.1000000000000001</v>
      </c>
      <c r="X576">
        <v>2.4700000000000002</v>
      </c>
      <c r="Y576">
        <v>3.5700000000000003</v>
      </c>
      <c r="Z576">
        <v>1.36</v>
      </c>
      <c r="AG576">
        <v>1.1000000000000001</v>
      </c>
      <c r="AI576">
        <v>1.1100000000000001</v>
      </c>
      <c r="BH576" t="s">
        <v>126</v>
      </c>
      <c r="BI576" t="s">
        <v>126</v>
      </c>
      <c r="BJ576" t="s">
        <v>126</v>
      </c>
      <c r="BK576" t="s">
        <v>126</v>
      </c>
      <c r="BS576" t="s">
        <v>126</v>
      </c>
      <c r="BT576" t="s">
        <v>126</v>
      </c>
      <c r="BU576" t="s">
        <v>126</v>
      </c>
      <c r="BV576" t="s">
        <v>126</v>
      </c>
      <c r="CN576" t="s">
        <v>147</v>
      </c>
      <c r="CP576" t="s">
        <v>273</v>
      </c>
      <c r="CQ576" t="s">
        <v>147</v>
      </c>
    </row>
    <row r="577" spans="1:95" x14ac:dyDescent="0.2">
      <c r="A577" t="s">
        <v>115</v>
      </c>
      <c r="B577" t="s">
        <v>116</v>
      </c>
      <c r="C577">
        <v>210784</v>
      </c>
      <c r="E577" t="s">
        <v>117</v>
      </c>
      <c r="F577">
        <v>368</v>
      </c>
      <c r="G577" t="s">
        <v>141</v>
      </c>
      <c r="H577" t="s">
        <v>142</v>
      </c>
      <c r="I577" t="s">
        <v>279</v>
      </c>
      <c r="J577" t="s">
        <v>280</v>
      </c>
      <c r="L577" t="s">
        <v>344</v>
      </c>
      <c r="M577" s="8">
        <v>45627</v>
      </c>
      <c r="N577">
        <v>5628274</v>
      </c>
      <c r="O577" t="s">
        <v>123</v>
      </c>
      <c r="P577" t="s">
        <v>146</v>
      </c>
      <c r="Q577">
        <v>1.17</v>
      </c>
      <c r="R577" t="s">
        <v>569</v>
      </c>
      <c r="S577" t="s">
        <v>126</v>
      </c>
      <c r="T577" t="s">
        <v>569</v>
      </c>
      <c r="U577" t="s">
        <v>570</v>
      </c>
      <c r="W577">
        <v>0.36</v>
      </c>
      <c r="X577">
        <v>0.81</v>
      </c>
      <c r="Y577">
        <v>1.17</v>
      </c>
      <c r="Z577">
        <v>0.45</v>
      </c>
      <c r="AG577">
        <v>0.36</v>
      </c>
      <c r="AI577">
        <v>0.36</v>
      </c>
      <c r="BH577" t="s">
        <v>126</v>
      </c>
      <c r="BI577" t="s">
        <v>126</v>
      </c>
      <c r="BJ577" t="s">
        <v>126</v>
      </c>
      <c r="BK577" t="s">
        <v>126</v>
      </c>
      <c r="BS577" t="s">
        <v>126</v>
      </c>
      <c r="BT577" t="s">
        <v>126</v>
      </c>
      <c r="BU577" t="s">
        <v>126</v>
      </c>
      <c r="BV577" t="s">
        <v>126</v>
      </c>
      <c r="CN577" t="s">
        <v>147</v>
      </c>
      <c r="CP577" t="s">
        <v>273</v>
      </c>
      <c r="CQ577" t="s">
        <v>147</v>
      </c>
    </row>
    <row r="578" spans="1:95" x14ac:dyDescent="0.2">
      <c r="A578" t="s">
        <v>115</v>
      </c>
      <c r="B578" t="s">
        <v>116</v>
      </c>
      <c r="C578">
        <v>210784</v>
      </c>
      <c r="E578" t="s">
        <v>117</v>
      </c>
      <c r="F578">
        <v>368</v>
      </c>
      <c r="G578" t="s">
        <v>141</v>
      </c>
      <c r="H578" t="s">
        <v>142</v>
      </c>
      <c r="I578" t="s">
        <v>279</v>
      </c>
      <c r="J578" t="s">
        <v>280</v>
      </c>
      <c r="L578" t="s">
        <v>664</v>
      </c>
      <c r="M578" s="8">
        <v>45627</v>
      </c>
      <c r="N578">
        <v>5634984</v>
      </c>
      <c r="O578" t="s">
        <v>123</v>
      </c>
      <c r="P578" t="s">
        <v>146</v>
      </c>
      <c r="Q578">
        <v>2.19</v>
      </c>
      <c r="R578" t="s">
        <v>665</v>
      </c>
      <c r="S578" t="s">
        <v>126</v>
      </c>
      <c r="T578" t="s">
        <v>665</v>
      </c>
      <c r="U578" t="s">
        <v>666</v>
      </c>
      <c r="W578">
        <v>0.67</v>
      </c>
      <c r="X578">
        <v>1.52</v>
      </c>
      <c r="Y578">
        <v>2.19</v>
      </c>
      <c r="Z578">
        <v>0.84</v>
      </c>
      <c r="AG578">
        <v>0.67</v>
      </c>
      <c r="AI578">
        <v>0.68</v>
      </c>
      <c r="BH578" t="s">
        <v>126</v>
      </c>
      <c r="BI578" t="s">
        <v>126</v>
      </c>
      <c r="BJ578" t="s">
        <v>126</v>
      </c>
      <c r="BK578" t="s">
        <v>126</v>
      </c>
      <c r="BS578" t="s">
        <v>126</v>
      </c>
      <c r="BT578" t="s">
        <v>126</v>
      </c>
      <c r="BU578" t="s">
        <v>126</v>
      </c>
      <c r="BV578" t="s">
        <v>126</v>
      </c>
      <c r="CN578" t="s">
        <v>147</v>
      </c>
      <c r="CP578" t="s">
        <v>275</v>
      </c>
      <c r="CQ578" t="s">
        <v>147</v>
      </c>
    </row>
    <row r="579" spans="1:95" x14ac:dyDescent="0.2">
      <c r="A579" t="s">
        <v>115</v>
      </c>
      <c r="B579" t="s">
        <v>116</v>
      </c>
      <c r="C579">
        <v>210784</v>
      </c>
      <c r="E579" t="s">
        <v>117</v>
      </c>
      <c r="F579">
        <v>368</v>
      </c>
      <c r="G579" t="s">
        <v>141</v>
      </c>
      <c r="H579" t="s">
        <v>142</v>
      </c>
      <c r="I579" t="s">
        <v>279</v>
      </c>
      <c r="J579" t="s">
        <v>280</v>
      </c>
      <c r="L579" t="s">
        <v>355</v>
      </c>
      <c r="M579" s="8">
        <v>45627</v>
      </c>
      <c r="N579">
        <v>5638854</v>
      </c>
      <c r="O579" t="s">
        <v>123</v>
      </c>
      <c r="P579" t="s">
        <v>146</v>
      </c>
      <c r="Q579">
        <v>1.19</v>
      </c>
      <c r="R579" t="s">
        <v>667</v>
      </c>
      <c r="S579" t="s">
        <v>126</v>
      </c>
      <c r="T579" t="s">
        <v>667</v>
      </c>
      <c r="U579" t="s">
        <v>668</v>
      </c>
      <c r="W579">
        <v>0.37</v>
      </c>
      <c r="X579">
        <v>0.82000000000000006</v>
      </c>
      <c r="Y579">
        <v>1.19</v>
      </c>
      <c r="Z579">
        <v>0.45</v>
      </c>
      <c r="AG579">
        <v>0.37</v>
      </c>
      <c r="AI579">
        <v>0.37</v>
      </c>
      <c r="BH579" t="s">
        <v>126</v>
      </c>
      <c r="BI579" t="s">
        <v>126</v>
      </c>
      <c r="BJ579" t="s">
        <v>126</v>
      </c>
      <c r="BK579" t="s">
        <v>126</v>
      </c>
      <c r="BS579" t="s">
        <v>126</v>
      </c>
      <c r="BT579" t="s">
        <v>126</v>
      </c>
      <c r="BU579" t="s">
        <v>126</v>
      </c>
      <c r="BV579" t="s">
        <v>126</v>
      </c>
      <c r="CN579" t="s">
        <v>147</v>
      </c>
      <c r="CP579" t="s">
        <v>275</v>
      </c>
      <c r="CQ579" t="s">
        <v>147</v>
      </c>
    </row>
    <row r="580" spans="1:95" x14ac:dyDescent="0.2">
      <c r="A580" t="s">
        <v>115</v>
      </c>
      <c r="B580" t="s">
        <v>116</v>
      </c>
      <c r="C580">
        <v>210784</v>
      </c>
      <c r="E580" t="s">
        <v>117</v>
      </c>
      <c r="F580">
        <v>368</v>
      </c>
      <c r="G580" t="s">
        <v>141</v>
      </c>
      <c r="H580" t="s">
        <v>142</v>
      </c>
      <c r="I580" t="s">
        <v>279</v>
      </c>
      <c r="J580" t="s">
        <v>280</v>
      </c>
      <c r="L580" t="s">
        <v>355</v>
      </c>
      <c r="M580" s="8">
        <v>45627</v>
      </c>
      <c r="N580">
        <v>5638982</v>
      </c>
      <c r="O580" t="s">
        <v>123</v>
      </c>
      <c r="P580" t="s">
        <v>146</v>
      </c>
      <c r="Q580">
        <v>1.62</v>
      </c>
      <c r="R580" t="s">
        <v>567</v>
      </c>
      <c r="S580" t="s">
        <v>126</v>
      </c>
      <c r="T580" t="s">
        <v>567</v>
      </c>
      <c r="U580" t="s">
        <v>568</v>
      </c>
      <c r="W580">
        <v>0.5</v>
      </c>
      <c r="X580">
        <v>1.1200000000000001</v>
      </c>
      <c r="Y580">
        <v>1.62</v>
      </c>
      <c r="Z580">
        <v>0.62</v>
      </c>
      <c r="AG580">
        <v>0.5</v>
      </c>
      <c r="AI580">
        <v>0.5</v>
      </c>
      <c r="BH580" t="s">
        <v>126</v>
      </c>
      <c r="BI580" t="s">
        <v>126</v>
      </c>
      <c r="BJ580" t="s">
        <v>126</v>
      </c>
      <c r="BK580" t="s">
        <v>126</v>
      </c>
      <c r="BS580" t="s">
        <v>126</v>
      </c>
      <c r="BT580" t="s">
        <v>126</v>
      </c>
      <c r="BU580" t="s">
        <v>126</v>
      </c>
      <c r="BV580" t="s">
        <v>126</v>
      </c>
      <c r="CN580" t="s">
        <v>147</v>
      </c>
      <c r="CP580" t="s">
        <v>275</v>
      </c>
      <c r="CQ580" t="s">
        <v>147</v>
      </c>
    </row>
    <row r="581" spans="1:95" x14ac:dyDescent="0.2">
      <c r="A581" t="s">
        <v>115</v>
      </c>
      <c r="B581" t="s">
        <v>116</v>
      </c>
      <c r="C581">
        <v>210784</v>
      </c>
      <c r="E581" t="s">
        <v>117</v>
      </c>
      <c r="F581">
        <v>368</v>
      </c>
      <c r="G581" t="s">
        <v>141</v>
      </c>
      <c r="H581" t="s">
        <v>142</v>
      </c>
      <c r="I581" t="s">
        <v>279</v>
      </c>
      <c r="J581" t="s">
        <v>280</v>
      </c>
      <c r="L581" t="s">
        <v>340</v>
      </c>
      <c r="M581" s="8">
        <v>45627</v>
      </c>
      <c r="N581">
        <v>5623013</v>
      </c>
      <c r="O581" t="s">
        <v>123</v>
      </c>
      <c r="P581" t="s">
        <v>146</v>
      </c>
      <c r="Q581">
        <v>4.7300000000000004</v>
      </c>
      <c r="R581" t="s">
        <v>125</v>
      </c>
      <c r="S581" t="s">
        <v>126</v>
      </c>
      <c r="T581" t="s">
        <v>125</v>
      </c>
      <c r="U581" t="s">
        <v>126</v>
      </c>
      <c r="W581">
        <v>4.7300000000000004</v>
      </c>
      <c r="Y581">
        <v>4.7300000000000004</v>
      </c>
      <c r="BE581">
        <v>4.7300000000000004</v>
      </c>
      <c r="BH581" t="s">
        <v>126</v>
      </c>
      <c r="BI581" t="s">
        <v>126</v>
      </c>
      <c r="BJ581" t="s">
        <v>126</v>
      </c>
      <c r="BK581" t="s">
        <v>126</v>
      </c>
      <c r="BS581" t="s">
        <v>126</v>
      </c>
      <c r="BT581" t="s">
        <v>126</v>
      </c>
      <c r="BU581" t="s">
        <v>126</v>
      </c>
      <c r="BV581" t="s">
        <v>126</v>
      </c>
      <c r="CN581" t="s">
        <v>147</v>
      </c>
      <c r="CP581" t="s">
        <v>273</v>
      </c>
      <c r="CQ581" t="s">
        <v>147</v>
      </c>
    </row>
    <row r="582" spans="1:95" x14ac:dyDescent="0.2">
      <c r="A582" t="s">
        <v>115</v>
      </c>
      <c r="B582" t="s">
        <v>116</v>
      </c>
      <c r="C582">
        <v>210784</v>
      </c>
      <c r="E582" t="s">
        <v>117</v>
      </c>
      <c r="F582">
        <v>368</v>
      </c>
      <c r="G582" t="s">
        <v>141</v>
      </c>
      <c r="H582" t="s">
        <v>142</v>
      </c>
      <c r="I582" t="s">
        <v>279</v>
      </c>
      <c r="J582" t="s">
        <v>280</v>
      </c>
      <c r="L582" t="s">
        <v>340</v>
      </c>
      <c r="M582" s="8">
        <v>45627</v>
      </c>
      <c r="N582">
        <v>5622877</v>
      </c>
      <c r="O582" t="s">
        <v>123</v>
      </c>
      <c r="P582" t="s">
        <v>146</v>
      </c>
      <c r="Q582">
        <v>2.46</v>
      </c>
      <c r="R582" t="s">
        <v>125</v>
      </c>
      <c r="S582" t="s">
        <v>126</v>
      </c>
      <c r="T582" t="s">
        <v>125</v>
      </c>
      <c r="U582" t="s">
        <v>126</v>
      </c>
      <c r="W582">
        <v>2.46</v>
      </c>
      <c r="Y582">
        <v>2.46</v>
      </c>
      <c r="BE582">
        <v>2.46</v>
      </c>
      <c r="BH582" t="s">
        <v>126</v>
      </c>
      <c r="BI582" t="s">
        <v>126</v>
      </c>
      <c r="BJ582" t="s">
        <v>126</v>
      </c>
      <c r="BK582" t="s">
        <v>126</v>
      </c>
      <c r="BS582" t="s">
        <v>126</v>
      </c>
      <c r="BT582" t="s">
        <v>126</v>
      </c>
      <c r="BU582" t="s">
        <v>126</v>
      </c>
      <c r="BV582" t="s">
        <v>126</v>
      </c>
      <c r="CN582" t="s">
        <v>147</v>
      </c>
      <c r="CP582" t="s">
        <v>273</v>
      </c>
      <c r="CQ582" t="s">
        <v>147</v>
      </c>
    </row>
    <row r="583" spans="1:95" x14ac:dyDescent="0.2">
      <c r="A583" t="s">
        <v>115</v>
      </c>
      <c r="B583" t="s">
        <v>116</v>
      </c>
      <c r="C583">
        <v>210784</v>
      </c>
      <c r="E583" t="s">
        <v>117</v>
      </c>
      <c r="F583">
        <v>368</v>
      </c>
      <c r="G583" t="s">
        <v>141</v>
      </c>
      <c r="H583" t="s">
        <v>142</v>
      </c>
      <c r="I583" t="s">
        <v>279</v>
      </c>
      <c r="J583" t="s">
        <v>280</v>
      </c>
      <c r="L583" t="s">
        <v>340</v>
      </c>
      <c r="M583" s="8">
        <v>45627</v>
      </c>
      <c r="N583">
        <v>5622798</v>
      </c>
      <c r="O583" t="s">
        <v>123</v>
      </c>
      <c r="P583" t="s">
        <v>146</v>
      </c>
      <c r="Q583">
        <v>4.9000000000000004</v>
      </c>
      <c r="R583" t="s">
        <v>125</v>
      </c>
      <c r="S583" t="s">
        <v>126</v>
      </c>
      <c r="T583" t="s">
        <v>125</v>
      </c>
      <c r="U583" t="s">
        <v>126</v>
      </c>
      <c r="W583">
        <v>4.9000000000000004</v>
      </c>
      <c r="Y583">
        <v>4.9000000000000004</v>
      </c>
      <c r="BE583">
        <v>4.9000000000000004</v>
      </c>
      <c r="BH583" t="s">
        <v>126</v>
      </c>
      <c r="BI583" t="s">
        <v>126</v>
      </c>
      <c r="BJ583" t="s">
        <v>126</v>
      </c>
      <c r="BK583" t="s">
        <v>126</v>
      </c>
      <c r="BS583" t="s">
        <v>126</v>
      </c>
      <c r="BT583" t="s">
        <v>126</v>
      </c>
      <c r="BU583" t="s">
        <v>126</v>
      </c>
      <c r="BV583" t="s">
        <v>126</v>
      </c>
      <c r="CN583" t="s">
        <v>147</v>
      </c>
      <c r="CP583" t="s">
        <v>273</v>
      </c>
      <c r="CQ583" t="s">
        <v>147</v>
      </c>
    </row>
    <row r="584" spans="1:95" x14ac:dyDescent="0.2">
      <c r="A584" t="s">
        <v>115</v>
      </c>
      <c r="B584" t="s">
        <v>116</v>
      </c>
      <c r="C584">
        <v>210784</v>
      </c>
      <c r="E584" t="s">
        <v>117</v>
      </c>
      <c r="F584">
        <v>368</v>
      </c>
      <c r="G584" t="s">
        <v>141</v>
      </c>
      <c r="H584" t="s">
        <v>142</v>
      </c>
      <c r="I584" t="s">
        <v>279</v>
      </c>
      <c r="J584" t="s">
        <v>280</v>
      </c>
      <c r="L584" t="s">
        <v>342</v>
      </c>
      <c r="M584" s="8">
        <v>45627</v>
      </c>
      <c r="N584">
        <v>562337</v>
      </c>
      <c r="O584" t="s">
        <v>123</v>
      </c>
      <c r="P584" t="s">
        <v>146</v>
      </c>
      <c r="Q584">
        <v>1.02</v>
      </c>
      <c r="R584" t="s">
        <v>125</v>
      </c>
      <c r="S584" t="s">
        <v>126</v>
      </c>
      <c r="T584" t="s">
        <v>125</v>
      </c>
      <c r="U584" t="s">
        <v>126</v>
      </c>
      <c r="W584">
        <v>1.02</v>
      </c>
      <c r="Y584">
        <v>1.02</v>
      </c>
      <c r="BE584">
        <v>1.02</v>
      </c>
      <c r="BH584" t="s">
        <v>126</v>
      </c>
      <c r="BI584" t="s">
        <v>126</v>
      </c>
      <c r="BJ584" t="s">
        <v>126</v>
      </c>
      <c r="BK584" t="s">
        <v>126</v>
      </c>
      <c r="BS584" t="s">
        <v>126</v>
      </c>
      <c r="BT584" t="s">
        <v>126</v>
      </c>
      <c r="BU584" t="s">
        <v>126</v>
      </c>
      <c r="BV584" t="s">
        <v>126</v>
      </c>
      <c r="CN584" t="s">
        <v>147</v>
      </c>
      <c r="CP584" t="s">
        <v>273</v>
      </c>
      <c r="CQ584" t="s">
        <v>147</v>
      </c>
    </row>
    <row r="585" spans="1:95" x14ac:dyDescent="0.2">
      <c r="A585" t="s">
        <v>115</v>
      </c>
      <c r="B585" t="s">
        <v>116</v>
      </c>
      <c r="C585">
        <v>210784</v>
      </c>
      <c r="E585" t="s">
        <v>117</v>
      </c>
      <c r="F585">
        <v>368</v>
      </c>
      <c r="G585" t="s">
        <v>141</v>
      </c>
      <c r="H585" t="s">
        <v>142</v>
      </c>
      <c r="I585" t="s">
        <v>279</v>
      </c>
      <c r="J585" t="s">
        <v>280</v>
      </c>
      <c r="L585" t="s">
        <v>351</v>
      </c>
      <c r="M585" s="8">
        <v>45627</v>
      </c>
      <c r="N585">
        <v>5633889</v>
      </c>
      <c r="O585" t="s">
        <v>123</v>
      </c>
      <c r="P585" t="s">
        <v>146</v>
      </c>
      <c r="Q585">
        <v>0.71</v>
      </c>
      <c r="R585" t="s">
        <v>125</v>
      </c>
      <c r="S585" t="s">
        <v>126</v>
      </c>
      <c r="T585" t="s">
        <v>125</v>
      </c>
      <c r="U585" t="s">
        <v>126</v>
      </c>
      <c r="W585">
        <v>0.71</v>
      </c>
      <c r="Y585">
        <v>0.71</v>
      </c>
      <c r="BE585">
        <v>0.71</v>
      </c>
      <c r="BH585" t="s">
        <v>126</v>
      </c>
      <c r="BI585" t="s">
        <v>126</v>
      </c>
      <c r="BJ585" t="s">
        <v>126</v>
      </c>
      <c r="BK585" t="s">
        <v>126</v>
      </c>
      <c r="BS585" t="s">
        <v>126</v>
      </c>
      <c r="BT585" t="s">
        <v>126</v>
      </c>
      <c r="BU585" t="s">
        <v>126</v>
      </c>
      <c r="BV585" t="s">
        <v>126</v>
      </c>
      <c r="CN585" t="s">
        <v>147</v>
      </c>
      <c r="CP585" t="s">
        <v>275</v>
      </c>
      <c r="CQ585" t="s">
        <v>147</v>
      </c>
    </row>
    <row r="586" spans="1:95" x14ac:dyDescent="0.2">
      <c r="A586" t="s">
        <v>115</v>
      </c>
      <c r="B586" t="s">
        <v>116</v>
      </c>
      <c r="C586">
        <v>210784</v>
      </c>
      <c r="E586" t="s">
        <v>117</v>
      </c>
      <c r="F586">
        <v>368</v>
      </c>
      <c r="G586" t="s">
        <v>141</v>
      </c>
      <c r="H586" t="s">
        <v>142</v>
      </c>
      <c r="I586" t="s">
        <v>279</v>
      </c>
      <c r="J586" t="s">
        <v>280</v>
      </c>
      <c r="L586" t="s">
        <v>353</v>
      </c>
      <c r="M586" s="8">
        <v>45627</v>
      </c>
      <c r="N586">
        <v>5656777</v>
      </c>
      <c r="O586" t="s">
        <v>123</v>
      </c>
      <c r="P586" t="s">
        <v>146</v>
      </c>
      <c r="Q586">
        <v>2.1</v>
      </c>
      <c r="R586" t="s">
        <v>125</v>
      </c>
      <c r="S586" t="s">
        <v>126</v>
      </c>
      <c r="T586" t="s">
        <v>125</v>
      </c>
      <c r="U586" t="s">
        <v>126</v>
      </c>
      <c r="W586">
        <v>2.1</v>
      </c>
      <c r="Y586">
        <v>2.1</v>
      </c>
      <c r="BE586">
        <v>2.1</v>
      </c>
      <c r="BH586" t="s">
        <v>126</v>
      </c>
      <c r="BI586" t="s">
        <v>126</v>
      </c>
      <c r="BJ586" t="s">
        <v>126</v>
      </c>
      <c r="BK586" t="s">
        <v>126</v>
      </c>
      <c r="BS586" t="s">
        <v>126</v>
      </c>
      <c r="BT586" t="s">
        <v>126</v>
      </c>
      <c r="BU586" t="s">
        <v>126</v>
      </c>
      <c r="BV586" t="s">
        <v>126</v>
      </c>
      <c r="CN586" t="s">
        <v>147</v>
      </c>
      <c r="CP586" t="s">
        <v>275</v>
      </c>
      <c r="CQ586" t="s">
        <v>147</v>
      </c>
    </row>
    <row r="587" spans="1:95" x14ac:dyDescent="0.2">
      <c r="A587" t="s">
        <v>115</v>
      </c>
      <c r="B587" t="s">
        <v>116</v>
      </c>
      <c r="C587">
        <v>210784</v>
      </c>
      <c r="E587" t="s">
        <v>117</v>
      </c>
      <c r="F587">
        <v>368</v>
      </c>
      <c r="G587" t="s">
        <v>141</v>
      </c>
      <c r="H587" t="s">
        <v>142</v>
      </c>
      <c r="I587" t="s">
        <v>172</v>
      </c>
      <c r="J587" t="s">
        <v>173</v>
      </c>
      <c r="L587" t="s">
        <v>349</v>
      </c>
      <c r="M587" s="8">
        <v>45627</v>
      </c>
      <c r="N587">
        <v>119919</v>
      </c>
      <c r="O587" t="s">
        <v>123</v>
      </c>
      <c r="P587" t="s">
        <v>146</v>
      </c>
      <c r="Q587">
        <v>0.7</v>
      </c>
      <c r="R587" t="s">
        <v>125</v>
      </c>
      <c r="S587" t="s">
        <v>126</v>
      </c>
      <c r="T587" t="s">
        <v>125</v>
      </c>
      <c r="U587" t="s">
        <v>126</v>
      </c>
      <c r="W587">
        <v>0.7</v>
      </c>
      <c r="Y587">
        <v>0.7</v>
      </c>
      <c r="AH587">
        <v>0.7</v>
      </c>
      <c r="BH587" t="s">
        <v>126</v>
      </c>
      <c r="BI587" t="s">
        <v>126</v>
      </c>
      <c r="BJ587" t="s">
        <v>126</v>
      </c>
      <c r="BK587" t="s">
        <v>126</v>
      </c>
      <c r="BS587" t="s">
        <v>126</v>
      </c>
      <c r="BT587" t="s">
        <v>126</v>
      </c>
      <c r="BU587" t="s">
        <v>126</v>
      </c>
      <c r="BV587" t="s">
        <v>126</v>
      </c>
      <c r="CN587" t="s">
        <v>147</v>
      </c>
      <c r="CP587" t="s">
        <v>364</v>
      </c>
      <c r="CQ587" t="s">
        <v>147</v>
      </c>
    </row>
    <row r="588" spans="1:95" x14ac:dyDescent="0.2">
      <c r="A588" t="s">
        <v>115</v>
      </c>
      <c r="B588" t="s">
        <v>116</v>
      </c>
      <c r="C588">
        <v>210784</v>
      </c>
      <c r="E588" t="s">
        <v>117</v>
      </c>
      <c r="F588">
        <v>368</v>
      </c>
      <c r="G588" t="s">
        <v>141</v>
      </c>
      <c r="H588" t="s">
        <v>142</v>
      </c>
      <c r="I588" t="s">
        <v>204</v>
      </c>
      <c r="J588" t="s">
        <v>205</v>
      </c>
      <c r="L588" t="s">
        <v>276</v>
      </c>
      <c r="M588" s="8">
        <v>45658</v>
      </c>
      <c r="N588">
        <v>115442</v>
      </c>
      <c r="O588" t="s">
        <v>123</v>
      </c>
      <c r="P588" t="s">
        <v>146</v>
      </c>
      <c r="Q588">
        <v>6.75</v>
      </c>
      <c r="R588" t="s">
        <v>125</v>
      </c>
      <c r="S588" t="s">
        <v>126</v>
      </c>
      <c r="T588" t="s">
        <v>125</v>
      </c>
      <c r="U588" t="s">
        <v>126</v>
      </c>
      <c r="W588">
        <v>6.75</v>
      </c>
      <c r="Y588">
        <v>6.75</v>
      </c>
      <c r="AC588">
        <v>6.75</v>
      </c>
      <c r="BH588" t="s">
        <v>126</v>
      </c>
      <c r="BI588" t="s">
        <v>126</v>
      </c>
      <c r="BJ588" t="s">
        <v>126</v>
      </c>
      <c r="BK588" t="s">
        <v>126</v>
      </c>
      <c r="BS588" t="s">
        <v>126</v>
      </c>
      <c r="BT588" t="s">
        <v>126</v>
      </c>
      <c r="BU588" t="s">
        <v>126</v>
      </c>
      <c r="BV588" t="s">
        <v>126</v>
      </c>
      <c r="CN588" t="s">
        <v>147</v>
      </c>
      <c r="CP588" t="s">
        <v>275</v>
      </c>
      <c r="CQ588" t="s">
        <v>147</v>
      </c>
    </row>
    <row r="589" spans="1:95" x14ac:dyDescent="0.2">
      <c r="A589" t="s">
        <v>115</v>
      </c>
      <c r="B589" t="s">
        <v>116</v>
      </c>
      <c r="C589">
        <v>210784</v>
      </c>
      <c r="E589" t="s">
        <v>117</v>
      </c>
      <c r="F589">
        <v>368</v>
      </c>
      <c r="G589" t="s">
        <v>141</v>
      </c>
      <c r="H589" t="s">
        <v>142</v>
      </c>
      <c r="I589" t="s">
        <v>279</v>
      </c>
      <c r="J589" t="s">
        <v>280</v>
      </c>
      <c r="L589" t="s">
        <v>356</v>
      </c>
      <c r="M589" s="8">
        <v>45658</v>
      </c>
      <c r="N589">
        <v>5639743</v>
      </c>
      <c r="O589" t="s">
        <v>123</v>
      </c>
      <c r="P589" t="s">
        <v>146</v>
      </c>
      <c r="Q589">
        <v>2.5299999999999998</v>
      </c>
      <c r="R589" t="s">
        <v>125</v>
      </c>
      <c r="S589" t="s">
        <v>126</v>
      </c>
      <c r="T589" t="s">
        <v>125</v>
      </c>
      <c r="U589" t="s">
        <v>126</v>
      </c>
      <c r="W589">
        <v>2.5299999999999998</v>
      </c>
      <c r="Y589">
        <v>2.5299999999999998</v>
      </c>
      <c r="AS589">
        <v>2.5299999999999998</v>
      </c>
      <c r="BH589" t="s">
        <v>126</v>
      </c>
      <c r="BI589" t="s">
        <v>126</v>
      </c>
      <c r="BJ589" t="s">
        <v>126</v>
      </c>
      <c r="BK589" t="s">
        <v>126</v>
      </c>
      <c r="BS589" t="s">
        <v>126</v>
      </c>
      <c r="BT589" t="s">
        <v>126</v>
      </c>
      <c r="BU589" t="s">
        <v>126</v>
      </c>
      <c r="BV589" t="s">
        <v>126</v>
      </c>
      <c r="CN589" t="s">
        <v>147</v>
      </c>
      <c r="CP589" t="s">
        <v>275</v>
      </c>
      <c r="CQ589" t="s">
        <v>147</v>
      </c>
    </row>
    <row r="590" spans="1:95" x14ac:dyDescent="0.2">
      <c r="A590" t="s">
        <v>115</v>
      </c>
      <c r="B590" t="s">
        <v>116</v>
      </c>
      <c r="C590">
        <v>210784</v>
      </c>
      <c r="E590" t="s">
        <v>117</v>
      </c>
      <c r="F590">
        <v>368</v>
      </c>
      <c r="G590" t="s">
        <v>141</v>
      </c>
      <c r="H590" t="s">
        <v>142</v>
      </c>
      <c r="I590" t="s">
        <v>279</v>
      </c>
      <c r="J590" t="s">
        <v>280</v>
      </c>
      <c r="L590" t="s">
        <v>357</v>
      </c>
      <c r="M590" s="8">
        <v>45658</v>
      </c>
      <c r="N590">
        <v>56406225</v>
      </c>
      <c r="O590" t="s">
        <v>123</v>
      </c>
      <c r="P590" t="s">
        <v>146</v>
      </c>
      <c r="Q590">
        <v>3.54</v>
      </c>
      <c r="R590" t="s">
        <v>125</v>
      </c>
      <c r="S590" t="s">
        <v>126</v>
      </c>
      <c r="T590" t="s">
        <v>125</v>
      </c>
      <c r="U590" t="s">
        <v>126</v>
      </c>
      <c r="W590">
        <v>3.54</v>
      </c>
      <c r="Y590">
        <v>3.54</v>
      </c>
      <c r="AS590">
        <v>3.54</v>
      </c>
      <c r="BH590" t="s">
        <v>126</v>
      </c>
      <c r="BI590" t="s">
        <v>126</v>
      </c>
      <c r="BJ590" t="s">
        <v>126</v>
      </c>
      <c r="BK590" t="s">
        <v>126</v>
      </c>
      <c r="BS590" t="s">
        <v>126</v>
      </c>
      <c r="BT590" t="s">
        <v>126</v>
      </c>
      <c r="BU590" t="s">
        <v>126</v>
      </c>
      <c r="BV590" t="s">
        <v>126</v>
      </c>
      <c r="CN590" t="s">
        <v>147</v>
      </c>
      <c r="CP590" t="s">
        <v>275</v>
      </c>
      <c r="CQ590" t="s">
        <v>147</v>
      </c>
    </row>
    <row r="591" spans="1:95" x14ac:dyDescent="0.2">
      <c r="A591" t="s">
        <v>115</v>
      </c>
      <c r="B591" t="s">
        <v>116</v>
      </c>
      <c r="C591">
        <v>210784</v>
      </c>
      <c r="E591" t="s">
        <v>117</v>
      </c>
      <c r="F591">
        <v>368</v>
      </c>
      <c r="G591" t="s">
        <v>141</v>
      </c>
      <c r="H591" t="s">
        <v>142</v>
      </c>
      <c r="I591" t="s">
        <v>279</v>
      </c>
      <c r="J591" t="s">
        <v>280</v>
      </c>
      <c r="L591" t="s">
        <v>358</v>
      </c>
      <c r="M591" s="8">
        <v>45658</v>
      </c>
      <c r="N591">
        <v>5642432</v>
      </c>
      <c r="O591" t="s">
        <v>123</v>
      </c>
      <c r="P591" t="s">
        <v>146</v>
      </c>
      <c r="Q591">
        <v>1.85</v>
      </c>
      <c r="R591" t="s">
        <v>125</v>
      </c>
      <c r="S591" t="s">
        <v>126</v>
      </c>
      <c r="T591" t="s">
        <v>125</v>
      </c>
      <c r="U591" t="s">
        <v>126</v>
      </c>
      <c r="W591">
        <v>1.85</v>
      </c>
      <c r="Y591">
        <v>1.85</v>
      </c>
      <c r="AS591">
        <v>1.85</v>
      </c>
      <c r="BH591" t="s">
        <v>126</v>
      </c>
      <c r="BI591" t="s">
        <v>126</v>
      </c>
      <c r="BJ591" t="s">
        <v>126</v>
      </c>
      <c r="BK591" t="s">
        <v>126</v>
      </c>
      <c r="BS591" t="s">
        <v>126</v>
      </c>
      <c r="BT591" t="s">
        <v>126</v>
      </c>
      <c r="BU591" t="s">
        <v>126</v>
      </c>
      <c r="BV591" t="s">
        <v>126</v>
      </c>
      <c r="CN591" t="s">
        <v>147</v>
      </c>
      <c r="CP591" t="s">
        <v>275</v>
      </c>
      <c r="CQ591" t="s">
        <v>147</v>
      </c>
    </row>
    <row r="592" spans="1:95" x14ac:dyDescent="0.2">
      <c r="A592" t="s">
        <v>115</v>
      </c>
      <c r="B592" t="s">
        <v>116</v>
      </c>
      <c r="C592">
        <v>210784</v>
      </c>
      <c r="E592" t="s">
        <v>117</v>
      </c>
      <c r="F592">
        <v>368</v>
      </c>
      <c r="G592" t="s">
        <v>141</v>
      </c>
      <c r="H592" t="s">
        <v>142</v>
      </c>
      <c r="I592" t="s">
        <v>279</v>
      </c>
      <c r="J592" t="s">
        <v>280</v>
      </c>
      <c r="L592" t="s">
        <v>359</v>
      </c>
      <c r="M592" s="8">
        <v>45658</v>
      </c>
      <c r="N592">
        <v>5643083</v>
      </c>
      <c r="O592" t="s">
        <v>123</v>
      </c>
      <c r="P592" t="s">
        <v>146</v>
      </c>
      <c r="Q592">
        <v>4.34</v>
      </c>
      <c r="R592" t="s">
        <v>125</v>
      </c>
      <c r="S592" t="s">
        <v>126</v>
      </c>
      <c r="T592" t="s">
        <v>125</v>
      </c>
      <c r="U592" t="s">
        <v>126</v>
      </c>
      <c r="W592">
        <v>4.34</v>
      </c>
      <c r="Y592">
        <v>4.34</v>
      </c>
      <c r="AS592">
        <v>4.34</v>
      </c>
      <c r="BH592" t="s">
        <v>126</v>
      </c>
      <c r="BI592" t="s">
        <v>126</v>
      </c>
      <c r="BJ592" t="s">
        <v>126</v>
      </c>
      <c r="BK592" t="s">
        <v>126</v>
      </c>
      <c r="BS592" t="s">
        <v>126</v>
      </c>
      <c r="BT592" t="s">
        <v>126</v>
      </c>
      <c r="BU592" t="s">
        <v>126</v>
      </c>
      <c r="BV592" t="s">
        <v>126</v>
      </c>
      <c r="CN592" t="s">
        <v>147</v>
      </c>
      <c r="CP592" t="s">
        <v>275</v>
      </c>
      <c r="CQ592" t="s">
        <v>147</v>
      </c>
    </row>
    <row r="593" spans="1:95" x14ac:dyDescent="0.2">
      <c r="A593" t="s">
        <v>115</v>
      </c>
      <c r="B593" t="s">
        <v>116</v>
      </c>
      <c r="C593">
        <v>210784</v>
      </c>
      <c r="E593" t="s">
        <v>117</v>
      </c>
      <c r="F593">
        <v>368</v>
      </c>
      <c r="G593" t="s">
        <v>141</v>
      </c>
      <c r="H593" t="s">
        <v>142</v>
      </c>
      <c r="I593" t="s">
        <v>279</v>
      </c>
      <c r="J593" t="s">
        <v>280</v>
      </c>
      <c r="L593" t="s">
        <v>360</v>
      </c>
      <c r="M593" s="8">
        <v>45658</v>
      </c>
      <c r="N593">
        <v>5644067</v>
      </c>
      <c r="O593" t="s">
        <v>123</v>
      </c>
      <c r="P593" t="s">
        <v>146</v>
      </c>
      <c r="Q593">
        <v>3.99</v>
      </c>
      <c r="R593" t="s">
        <v>125</v>
      </c>
      <c r="S593" t="s">
        <v>126</v>
      </c>
      <c r="T593" t="s">
        <v>125</v>
      </c>
      <c r="U593" t="s">
        <v>126</v>
      </c>
      <c r="W593">
        <v>3.99</v>
      </c>
      <c r="Y593">
        <v>3.99</v>
      </c>
      <c r="AS593">
        <v>3.99</v>
      </c>
      <c r="BH593" t="s">
        <v>126</v>
      </c>
      <c r="BI593" t="s">
        <v>126</v>
      </c>
      <c r="BJ593" t="s">
        <v>126</v>
      </c>
      <c r="BK593" t="s">
        <v>126</v>
      </c>
      <c r="BS593" t="s">
        <v>126</v>
      </c>
      <c r="BT593" t="s">
        <v>126</v>
      </c>
      <c r="BU593" t="s">
        <v>126</v>
      </c>
      <c r="BV593" t="s">
        <v>126</v>
      </c>
      <c r="CN593" t="s">
        <v>147</v>
      </c>
      <c r="CP593" t="s">
        <v>275</v>
      </c>
      <c r="CQ593" t="s">
        <v>147</v>
      </c>
    </row>
    <row r="594" spans="1:95" x14ac:dyDescent="0.2">
      <c r="A594" t="s">
        <v>115</v>
      </c>
      <c r="B594" t="s">
        <v>116</v>
      </c>
      <c r="C594">
        <v>210784</v>
      </c>
      <c r="E594" t="s">
        <v>117</v>
      </c>
      <c r="F594">
        <v>368</v>
      </c>
      <c r="G594" t="s">
        <v>141</v>
      </c>
      <c r="H594" t="s">
        <v>142</v>
      </c>
      <c r="I594" t="s">
        <v>279</v>
      </c>
      <c r="J594" t="s">
        <v>280</v>
      </c>
      <c r="L594" t="s">
        <v>361</v>
      </c>
      <c r="M594" s="8">
        <v>45658</v>
      </c>
      <c r="N594">
        <v>5645040</v>
      </c>
      <c r="O594" t="s">
        <v>123</v>
      </c>
      <c r="P594" t="s">
        <v>146</v>
      </c>
      <c r="Q594">
        <v>5.23</v>
      </c>
      <c r="R594" t="s">
        <v>125</v>
      </c>
      <c r="S594" t="s">
        <v>126</v>
      </c>
      <c r="T594" t="s">
        <v>125</v>
      </c>
      <c r="U594" t="s">
        <v>126</v>
      </c>
      <c r="W594">
        <v>5.23</v>
      </c>
      <c r="Y594">
        <v>5.23</v>
      </c>
      <c r="AS594">
        <v>5.23</v>
      </c>
      <c r="BH594" t="s">
        <v>126</v>
      </c>
      <c r="BI594" t="s">
        <v>126</v>
      </c>
      <c r="BJ594" t="s">
        <v>126</v>
      </c>
      <c r="BK594" t="s">
        <v>126</v>
      </c>
      <c r="BS594" t="s">
        <v>126</v>
      </c>
      <c r="BT594" t="s">
        <v>126</v>
      </c>
      <c r="BU594" t="s">
        <v>126</v>
      </c>
      <c r="BV594" t="s">
        <v>126</v>
      </c>
      <c r="CN594" t="s">
        <v>147</v>
      </c>
      <c r="CP594" t="s">
        <v>275</v>
      </c>
      <c r="CQ594" t="s">
        <v>147</v>
      </c>
    </row>
    <row r="595" spans="1:95" x14ac:dyDescent="0.2">
      <c r="A595" t="s">
        <v>115</v>
      </c>
      <c r="B595" t="s">
        <v>116</v>
      </c>
      <c r="C595">
        <v>210784</v>
      </c>
      <c r="E595" t="s">
        <v>117</v>
      </c>
      <c r="F595">
        <v>368</v>
      </c>
      <c r="G595" t="s">
        <v>141</v>
      </c>
      <c r="H595" t="s">
        <v>142</v>
      </c>
      <c r="I595" t="s">
        <v>279</v>
      </c>
      <c r="J595" t="s">
        <v>280</v>
      </c>
      <c r="L595" t="s">
        <v>362</v>
      </c>
      <c r="M595" s="8">
        <v>45658</v>
      </c>
      <c r="N595">
        <v>5646115</v>
      </c>
      <c r="O595" t="s">
        <v>123</v>
      </c>
      <c r="P595" t="s">
        <v>146</v>
      </c>
      <c r="Q595">
        <v>0.38</v>
      </c>
      <c r="R595" t="s">
        <v>125</v>
      </c>
      <c r="S595" t="s">
        <v>126</v>
      </c>
      <c r="T595" t="s">
        <v>125</v>
      </c>
      <c r="U595" t="s">
        <v>126</v>
      </c>
      <c r="W595">
        <v>0.38</v>
      </c>
      <c r="Y595">
        <v>0.38</v>
      </c>
      <c r="AS595">
        <v>0.38</v>
      </c>
      <c r="BH595" t="s">
        <v>126</v>
      </c>
      <c r="BI595" t="s">
        <v>126</v>
      </c>
      <c r="BJ595" t="s">
        <v>126</v>
      </c>
      <c r="BK595" t="s">
        <v>126</v>
      </c>
      <c r="BS595" t="s">
        <v>126</v>
      </c>
      <c r="BT595" t="s">
        <v>126</v>
      </c>
      <c r="BU595" t="s">
        <v>126</v>
      </c>
      <c r="BV595" t="s">
        <v>126</v>
      </c>
      <c r="CN595" t="s">
        <v>147</v>
      </c>
      <c r="CP595" t="s">
        <v>275</v>
      </c>
      <c r="CQ595" t="s">
        <v>147</v>
      </c>
    </row>
    <row r="596" spans="1:95" x14ac:dyDescent="0.2">
      <c r="A596" t="s">
        <v>115</v>
      </c>
      <c r="B596" t="s">
        <v>116</v>
      </c>
      <c r="C596">
        <v>210784</v>
      </c>
      <c r="E596" t="s">
        <v>117</v>
      </c>
      <c r="F596">
        <v>368</v>
      </c>
      <c r="G596" t="s">
        <v>141</v>
      </c>
      <c r="H596" t="s">
        <v>142</v>
      </c>
      <c r="I596" t="s">
        <v>279</v>
      </c>
      <c r="J596" t="s">
        <v>280</v>
      </c>
      <c r="L596" t="s">
        <v>363</v>
      </c>
      <c r="M596" s="8">
        <v>45658</v>
      </c>
      <c r="N596">
        <v>5646915</v>
      </c>
      <c r="O596" t="s">
        <v>123</v>
      </c>
      <c r="P596" t="s">
        <v>146</v>
      </c>
      <c r="Q596">
        <v>4.5999999999999996</v>
      </c>
      <c r="R596" t="s">
        <v>125</v>
      </c>
      <c r="S596" t="s">
        <v>126</v>
      </c>
      <c r="T596" t="s">
        <v>125</v>
      </c>
      <c r="U596" t="s">
        <v>126</v>
      </c>
      <c r="W596">
        <v>4.5999999999999996</v>
      </c>
      <c r="Y596">
        <v>4.5999999999999996</v>
      </c>
      <c r="AS596">
        <v>4.5999999999999996</v>
      </c>
      <c r="BH596" t="s">
        <v>126</v>
      </c>
      <c r="BI596" t="s">
        <v>126</v>
      </c>
      <c r="BJ596" t="s">
        <v>126</v>
      </c>
      <c r="BK596" t="s">
        <v>126</v>
      </c>
      <c r="BS596" t="s">
        <v>126</v>
      </c>
      <c r="BT596" t="s">
        <v>126</v>
      </c>
      <c r="BU596" t="s">
        <v>126</v>
      </c>
      <c r="BV596" t="s">
        <v>126</v>
      </c>
      <c r="CN596" t="s">
        <v>147</v>
      </c>
      <c r="CP596" t="s">
        <v>275</v>
      </c>
      <c r="CQ596" t="s">
        <v>147</v>
      </c>
    </row>
    <row r="597" spans="1:95" x14ac:dyDescent="0.2">
      <c r="A597" t="s">
        <v>115</v>
      </c>
      <c r="B597" t="s">
        <v>116</v>
      </c>
      <c r="C597">
        <v>210784</v>
      </c>
      <c r="E597" t="s">
        <v>117</v>
      </c>
      <c r="F597">
        <v>368</v>
      </c>
      <c r="G597" t="s">
        <v>141</v>
      </c>
      <c r="H597" t="s">
        <v>142</v>
      </c>
      <c r="I597" t="s">
        <v>279</v>
      </c>
      <c r="J597" t="s">
        <v>280</v>
      </c>
      <c r="L597" t="s">
        <v>364</v>
      </c>
      <c r="M597" s="8">
        <v>45658</v>
      </c>
      <c r="N597">
        <v>5648647</v>
      </c>
      <c r="O597" t="s">
        <v>123</v>
      </c>
      <c r="P597" t="s">
        <v>146</v>
      </c>
      <c r="Q597">
        <v>4.07</v>
      </c>
      <c r="R597" t="s">
        <v>125</v>
      </c>
      <c r="S597" t="s">
        <v>126</v>
      </c>
      <c r="T597" t="s">
        <v>125</v>
      </c>
      <c r="U597" t="s">
        <v>126</v>
      </c>
      <c r="W597">
        <v>4.07</v>
      </c>
      <c r="Y597">
        <v>4.07</v>
      </c>
      <c r="AS597">
        <v>4.07</v>
      </c>
      <c r="BH597" t="s">
        <v>126</v>
      </c>
      <c r="BI597" t="s">
        <v>126</v>
      </c>
      <c r="BJ597" t="s">
        <v>126</v>
      </c>
      <c r="BK597" t="s">
        <v>126</v>
      </c>
      <c r="BS597" t="s">
        <v>126</v>
      </c>
      <c r="BT597" t="s">
        <v>126</v>
      </c>
      <c r="BU597" t="s">
        <v>126</v>
      </c>
      <c r="BV597" t="s">
        <v>126</v>
      </c>
      <c r="CN597" t="s">
        <v>147</v>
      </c>
      <c r="CP597" t="s">
        <v>275</v>
      </c>
      <c r="CQ597" t="s">
        <v>147</v>
      </c>
    </row>
    <row r="598" spans="1:95" x14ac:dyDescent="0.2">
      <c r="A598" t="s">
        <v>115</v>
      </c>
      <c r="B598" t="s">
        <v>116</v>
      </c>
      <c r="C598">
        <v>210784</v>
      </c>
      <c r="E598" t="s">
        <v>117</v>
      </c>
      <c r="F598">
        <v>368</v>
      </c>
      <c r="G598" t="s">
        <v>141</v>
      </c>
      <c r="H598" t="s">
        <v>142</v>
      </c>
      <c r="I598" t="s">
        <v>279</v>
      </c>
      <c r="J598" t="s">
        <v>280</v>
      </c>
      <c r="L598" t="s">
        <v>365</v>
      </c>
      <c r="M598" s="8">
        <v>45658</v>
      </c>
      <c r="N598">
        <v>5648903</v>
      </c>
      <c r="O598" t="s">
        <v>123</v>
      </c>
      <c r="P598" t="s">
        <v>146</v>
      </c>
      <c r="Q598">
        <v>4.49</v>
      </c>
      <c r="R598" t="s">
        <v>125</v>
      </c>
      <c r="S598" t="s">
        <v>126</v>
      </c>
      <c r="T598" t="s">
        <v>125</v>
      </c>
      <c r="U598" t="s">
        <v>126</v>
      </c>
      <c r="W598">
        <v>4.49</v>
      </c>
      <c r="Y598">
        <v>4.49</v>
      </c>
      <c r="AS598">
        <v>4.49</v>
      </c>
      <c r="BH598" t="s">
        <v>126</v>
      </c>
      <c r="BI598" t="s">
        <v>126</v>
      </c>
      <c r="BJ598" t="s">
        <v>126</v>
      </c>
      <c r="BK598" t="s">
        <v>126</v>
      </c>
      <c r="BS598" t="s">
        <v>126</v>
      </c>
      <c r="BT598" t="s">
        <v>126</v>
      </c>
      <c r="BU598" t="s">
        <v>126</v>
      </c>
      <c r="BV598" t="s">
        <v>126</v>
      </c>
      <c r="CN598" t="s">
        <v>147</v>
      </c>
      <c r="CP598" t="s">
        <v>275</v>
      </c>
      <c r="CQ598" t="s">
        <v>147</v>
      </c>
    </row>
    <row r="599" spans="1:95" x14ac:dyDescent="0.2">
      <c r="A599" t="s">
        <v>115</v>
      </c>
      <c r="B599" t="s">
        <v>116</v>
      </c>
      <c r="C599">
        <v>210784</v>
      </c>
      <c r="E599" t="s">
        <v>117</v>
      </c>
      <c r="F599">
        <v>368</v>
      </c>
      <c r="G599" t="s">
        <v>141</v>
      </c>
      <c r="H599" t="s">
        <v>142</v>
      </c>
      <c r="I599" t="s">
        <v>279</v>
      </c>
      <c r="J599" t="s">
        <v>280</v>
      </c>
      <c r="L599" t="s">
        <v>365</v>
      </c>
      <c r="M599" s="8">
        <v>45658</v>
      </c>
      <c r="N599">
        <v>5649478</v>
      </c>
      <c r="O599" t="s">
        <v>123</v>
      </c>
      <c r="P599" t="s">
        <v>146</v>
      </c>
      <c r="Q599">
        <v>1.98</v>
      </c>
      <c r="R599" t="s">
        <v>125</v>
      </c>
      <c r="S599" t="s">
        <v>126</v>
      </c>
      <c r="T599" t="s">
        <v>125</v>
      </c>
      <c r="U599" t="s">
        <v>126</v>
      </c>
      <c r="W599">
        <v>1.98</v>
      </c>
      <c r="Y599">
        <v>1.98</v>
      </c>
      <c r="AS599">
        <v>1.98</v>
      </c>
      <c r="BH599" t="s">
        <v>126</v>
      </c>
      <c r="BI599" t="s">
        <v>126</v>
      </c>
      <c r="BJ599" t="s">
        <v>126</v>
      </c>
      <c r="BK599" t="s">
        <v>126</v>
      </c>
      <c r="BS599" t="s">
        <v>126</v>
      </c>
      <c r="BT599" t="s">
        <v>126</v>
      </c>
      <c r="BU599" t="s">
        <v>126</v>
      </c>
      <c r="BV599" t="s">
        <v>126</v>
      </c>
      <c r="CN599" t="s">
        <v>147</v>
      </c>
      <c r="CP599" t="s">
        <v>275</v>
      </c>
      <c r="CQ599" t="s">
        <v>147</v>
      </c>
    </row>
    <row r="600" spans="1:95" x14ac:dyDescent="0.2">
      <c r="A600" t="s">
        <v>115</v>
      </c>
      <c r="B600" t="s">
        <v>116</v>
      </c>
      <c r="C600">
        <v>210784</v>
      </c>
      <c r="E600" t="s">
        <v>117</v>
      </c>
      <c r="F600">
        <v>368</v>
      </c>
      <c r="G600" t="s">
        <v>141</v>
      </c>
      <c r="H600" t="s">
        <v>142</v>
      </c>
      <c r="I600" t="s">
        <v>279</v>
      </c>
      <c r="J600" t="s">
        <v>280</v>
      </c>
      <c r="L600" t="s">
        <v>366</v>
      </c>
      <c r="M600" s="8">
        <v>45658</v>
      </c>
      <c r="N600">
        <v>5650178</v>
      </c>
      <c r="O600" t="s">
        <v>123</v>
      </c>
      <c r="P600" t="s">
        <v>146</v>
      </c>
      <c r="Q600">
        <v>1</v>
      </c>
      <c r="R600" t="s">
        <v>125</v>
      </c>
      <c r="S600" t="s">
        <v>126</v>
      </c>
      <c r="T600" t="s">
        <v>125</v>
      </c>
      <c r="U600" t="s">
        <v>126</v>
      </c>
      <c r="W600">
        <v>1</v>
      </c>
      <c r="Y600">
        <v>1</v>
      </c>
      <c r="AS600">
        <v>1</v>
      </c>
      <c r="BH600" t="s">
        <v>126</v>
      </c>
      <c r="BI600" t="s">
        <v>126</v>
      </c>
      <c r="BJ600" t="s">
        <v>126</v>
      </c>
      <c r="BK600" t="s">
        <v>126</v>
      </c>
      <c r="BS600" t="s">
        <v>126</v>
      </c>
      <c r="BT600" t="s">
        <v>126</v>
      </c>
      <c r="BU600" t="s">
        <v>126</v>
      </c>
      <c r="BV600" t="s">
        <v>126</v>
      </c>
      <c r="CN600" t="s">
        <v>147</v>
      </c>
      <c r="CP600" t="s">
        <v>275</v>
      </c>
      <c r="CQ600" t="s">
        <v>147</v>
      </c>
    </row>
    <row r="601" spans="1:95" x14ac:dyDescent="0.2">
      <c r="A601" t="s">
        <v>115</v>
      </c>
      <c r="B601" t="s">
        <v>116</v>
      </c>
      <c r="C601">
        <v>210784</v>
      </c>
      <c r="E601" t="s">
        <v>117</v>
      </c>
      <c r="F601">
        <v>368</v>
      </c>
      <c r="G601" t="s">
        <v>141</v>
      </c>
      <c r="H601" t="s">
        <v>142</v>
      </c>
      <c r="I601" t="s">
        <v>279</v>
      </c>
      <c r="J601" t="s">
        <v>280</v>
      </c>
      <c r="L601" t="s">
        <v>276</v>
      </c>
      <c r="M601" s="8">
        <v>45658</v>
      </c>
      <c r="N601">
        <v>5652228</v>
      </c>
      <c r="O601" t="s">
        <v>123</v>
      </c>
      <c r="P601" t="s">
        <v>146</v>
      </c>
      <c r="Q601">
        <v>8.85</v>
      </c>
      <c r="R601" t="s">
        <v>125</v>
      </c>
      <c r="S601" t="s">
        <v>126</v>
      </c>
      <c r="T601" t="s">
        <v>125</v>
      </c>
      <c r="U601" t="s">
        <v>126</v>
      </c>
      <c r="W601">
        <v>8.85</v>
      </c>
      <c r="Y601">
        <v>8.85</v>
      </c>
      <c r="AS601">
        <v>8.85</v>
      </c>
      <c r="BH601" t="s">
        <v>126</v>
      </c>
      <c r="BI601" t="s">
        <v>126</v>
      </c>
      <c r="BJ601" t="s">
        <v>126</v>
      </c>
      <c r="BK601" t="s">
        <v>126</v>
      </c>
      <c r="BS601" t="s">
        <v>126</v>
      </c>
      <c r="BT601" t="s">
        <v>126</v>
      </c>
      <c r="BU601" t="s">
        <v>126</v>
      </c>
      <c r="BV601" t="s">
        <v>126</v>
      </c>
      <c r="CN601" t="s">
        <v>147</v>
      </c>
      <c r="CP601" t="s">
        <v>275</v>
      </c>
      <c r="CQ601" t="s">
        <v>147</v>
      </c>
    </row>
    <row r="602" spans="1:95" x14ac:dyDescent="0.2">
      <c r="A602" t="s">
        <v>115</v>
      </c>
      <c r="B602" t="s">
        <v>116</v>
      </c>
      <c r="C602">
        <v>210784</v>
      </c>
      <c r="E602" t="s">
        <v>117</v>
      </c>
      <c r="F602">
        <v>368</v>
      </c>
      <c r="G602" t="s">
        <v>141</v>
      </c>
      <c r="H602" t="s">
        <v>142</v>
      </c>
      <c r="I602" t="s">
        <v>279</v>
      </c>
      <c r="J602" t="s">
        <v>280</v>
      </c>
      <c r="L602" t="s">
        <v>367</v>
      </c>
      <c r="M602" s="8">
        <v>45658</v>
      </c>
      <c r="N602">
        <v>5653348</v>
      </c>
      <c r="O602" t="s">
        <v>123</v>
      </c>
      <c r="P602" t="s">
        <v>146</v>
      </c>
      <c r="Q602">
        <v>2.04</v>
      </c>
      <c r="R602" t="s">
        <v>125</v>
      </c>
      <c r="S602" t="s">
        <v>126</v>
      </c>
      <c r="T602" t="s">
        <v>125</v>
      </c>
      <c r="U602" t="s">
        <v>126</v>
      </c>
      <c r="W602">
        <v>2.04</v>
      </c>
      <c r="Y602">
        <v>2.04</v>
      </c>
      <c r="AS602">
        <v>2.04</v>
      </c>
      <c r="BH602" t="s">
        <v>126</v>
      </c>
      <c r="BI602" t="s">
        <v>126</v>
      </c>
      <c r="BJ602" t="s">
        <v>126</v>
      </c>
      <c r="BK602" t="s">
        <v>126</v>
      </c>
      <c r="BS602" t="s">
        <v>126</v>
      </c>
      <c r="BT602" t="s">
        <v>126</v>
      </c>
      <c r="BU602" t="s">
        <v>126</v>
      </c>
      <c r="BV602" t="s">
        <v>126</v>
      </c>
      <c r="CN602" t="s">
        <v>147</v>
      </c>
      <c r="CP602" t="s">
        <v>275</v>
      </c>
      <c r="CQ602" t="s">
        <v>147</v>
      </c>
    </row>
    <row r="603" spans="1:95" x14ac:dyDescent="0.2">
      <c r="A603" t="s">
        <v>115</v>
      </c>
      <c r="B603" t="s">
        <v>116</v>
      </c>
      <c r="C603">
        <v>210784</v>
      </c>
      <c r="E603" t="s">
        <v>117</v>
      </c>
      <c r="F603">
        <v>368</v>
      </c>
      <c r="G603" t="s">
        <v>141</v>
      </c>
      <c r="H603" t="s">
        <v>142</v>
      </c>
      <c r="I603" t="s">
        <v>279</v>
      </c>
      <c r="J603" t="s">
        <v>280</v>
      </c>
      <c r="L603" t="s">
        <v>368</v>
      </c>
      <c r="M603" s="8">
        <v>45658</v>
      </c>
      <c r="N603">
        <v>5654331</v>
      </c>
      <c r="O603" t="s">
        <v>123</v>
      </c>
      <c r="P603" t="s">
        <v>146</v>
      </c>
      <c r="Q603">
        <v>4.13</v>
      </c>
      <c r="R603" t="s">
        <v>125</v>
      </c>
      <c r="S603" t="s">
        <v>126</v>
      </c>
      <c r="T603" t="s">
        <v>125</v>
      </c>
      <c r="U603" t="s">
        <v>126</v>
      </c>
      <c r="W603">
        <v>4.13</v>
      </c>
      <c r="Y603">
        <v>4.13</v>
      </c>
      <c r="AS603">
        <v>4.13</v>
      </c>
      <c r="BH603" t="s">
        <v>126</v>
      </c>
      <c r="BI603" t="s">
        <v>126</v>
      </c>
      <c r="BJ603" t="s">
        <v>126</v>
      </c>
      <c r="BK603" t="s">
        <v>126</v>
      </c>
      <c r="BS603" t="s">
        <v>126</v>
      </c>
      <c r="BT603" t="s">
        <v>126</v>
      </c>
      <c r="BU603" t="s">
        <v>126</v>
      </c>
      <c r="BV603" t="s">
        <v>126</v>
      </c>
      <c r="CN603" t="s">
        <v>147</v>
      </c>
      <c r="CP603" t="s">
        <v>275</v>
      </c>
      <c r="CQ603" t="s">
        <v>147</v>
      </c>
    </row>
    <row r="604" spans="1:95" x14ac:dyDescent="0.2">
      <c r="A604" t="s">
        <v>115</v>
      </c>
      <c r="B604" t="s">
        <v>116</v>
      </c>
      <c r="C604">
        <v>210784</v>
      </c>
      <c r="E604" t="s">
        <v>117</v>
      </c>
      <c r="F604">
        <v>368</v>
      </c>
      <c r="G604" t="s">
        <v>141</v>
      </c>
      <c r="H604" t="s">
        <v>142</v>
      </c>
      <c r="I604" t="s">
        <v>279</v>
      </c>
      <c r="J604" t="s">
        <v>280</v>
      </c>
      <c r="L604" t="s">
        <v>369</v>
      </c>
      <c r="M604" s="8">
        <v>45658</v>
      </c>
      <c r="N604">
        <v>5655679</v>
      </c>
      <c r="O604" t="s">
        <v>123</v>
      </c>
      <c r="P604" t="s">
        <v>146</v>
      </c>
      <c r="Q604">
        <v>1.41</v>
      </c>
      <c r="R604" t="s">
        <v>125</v>
      </c>
      <c r="S604" t="s">
        <v>126</v>
      </c>
      <c r="T604" t="s">
        <v>125</v>
      </c>
      <c r="U604" t="s">
        <v>126</v>
      </c>
      <c r="W604">
        <v>1.41</v>
      </c>
      <c r="Y604">
        <v>1.41</v>
      </c>
      <c r="AS604">
        <v>1.41</v>
      </c>
      <c r="BH604" t="s">
        <v>126</v>
      </c>
      <c r="BI604" t="s">
        <v>126</v>
      </c>
      <c r="BJ604" t="s">
        <v>126</v>
      </c>
      <c r="BK604" t="s">
        <v>126</v>
      </c>
      <c r="BS604" t="s">
        <v>126</v>
      </c>
      <c r="BT604" t="s">
        <v>126</v>
      </c>
      <c r="BU604" t="s">
        <v>126</v>
      </c>
      <c r="BV604" t="s">
        <v>126</v>
      </c>
      <c r="CN604" t="s">
        <v>147</v>
      </c>
      <c r="CP604" t="s">
        <v>275</v>
      </c>
      <c r="CQ604" t="s">
        <v>147</v>
      </c>
    </row>
    <row r="605" spans="1:95" x14ac:dyDescent="0.2">
      <c r="A605" t="s">
        <v>115</v>
      </c>
      <c r="B605" t="s">
        <v>116</v>
      </c>
      <c r="C605">
        <v>210784</v>
      </c>
      <c r="E605" t="s">
        <v>117</v>
      </c>
      <c r="F605">
        <v>368</v>
      </c>
      <c r="G605" t="s">
        <v>141</v>
      </c>
      <c r="H605" t="s">
        <v>142</v>
      </c>
      <c r="I605" t="s">
        <v>279</v>
      </c>
      <c r="J605" t="s">
        <v>280</v>
      </c>
      <c r="L605" t="s">
        <v>369</v>
      </c>
      <c r="M605" s="8">
        <v>45658</v>
      </c>
      <c r="N605">
        <v>5655664</v>
      </c>
      <c r="O605" t="s">
        <v>123</v>
      </c>
      <c r="P605" t="s">
        <v>146</v>
      </c>
      <c r="Q605">
        <v>5.23</v>
      </c>
      <c r="R605" t="s">
        <v>125</v>
      </c>
      <c r="S605" t="s">
        <v>126</v>
      </c>
      <c r="T605" t="s">
        <v>125</v>
      </c>
      <c r="U605" t="s">
        <v>126</v>
      </c>
      <c r="W605">
        <v>5.23</v>
      </c>
      <c r="Y605">
        <v>5.23</v>
      </c>
      <c r="AS605">
        <v>5.23</v>
      </c>
      <c r="BH605" t="s">
        <v>126</v>
      </c>
      <c r="BI605" t="s">
        <v>126</v>
      </c>
      <c r="BJ605" t="s">
        <v>126</v>
      </c>
      <c r="BK605" t="s">
        <v>126</v>
      </c>
      <c r="BS605" t="s">
        <v>126</v>
      </c>
      <c r="BT605" t="s">
        <v>126</v>
      </c>
      <c r="BU605" t="s">
        <v>126</v>
      </c>
      <c r="BV605" t="s">
        <v>126</v>
      </c>
      <c r="CN605" t="s">
        <v>147</v>
      </c>
      <c r="CP605" t="s">
        <v>275</v>
      </c>
      <c r="CQ605" t="s">
        <v>147</v>
      </c>
    </row>
    <row r="606" spans="1:95" x14ac:dyDescent="0.2">
      <c r="A606" t="s">
        <v>115</v>
      </c>
      <c r="B606" t="s">
        <v>116</v>
      </c>
      <c r="C606">
        <v>210784</v>
      </c>
      <c r="E606" t="s">
        <v>117</v>
      </c>
      <c r="F606">
        <v>368</v>
      </c>
      <c r="G606" t="s">
        <v>141</v>
      </c>
      <c r="H606" t="s">
        <v>142</v>
      </c>
      <c r="I606" t="s">
        <v>279</v>
      </c>
      <c r="J606" t="s">
        <v>280</v>
      </c>
      <c r="L606" t="s">
        <v>275</v>
      </c>
      <c r="M606" s="8">
        <v>45658</v>
      </c>
      <c r="N606">
        <v>5657147</v>
      </c>
      <c r="O606" t="s">
        <v>123</v>
      </c>
      <c r="P606" t="s">
        <v>146</v>
      </c>
      <c r="Q606">
        <v>3.21</v>
      </c>
      <c r="R606" t="s">
        <v>125</v>
      </c>
      <c r="S606" t="s">
        <v>126</v>
      </c>
      <c r="T606" t="s">
        <v>125</v>
      </c>
      <c r="U606" t="s">
        <v>126</v>
      </c>
      <c r="W606">
        <v>3.21</v>
      </c>
      <c r="Y606">
        <v>3.21</v>
      </c>
      <c r="AS606">
        <v>3.21</v>
      </c>
      <c r="BH606" t="s">
        <v>126</v>
      </c>
      <c r="BI606" t="s">
        <v>126</v>
      </c>
      <c r="BJ606" t="s">
        <v>126</v>
      </c>
      <c r="BK606" t="s">
        <v>126</v>
      </c>
      <c r="BS606" t="s">
        <v>126</v>
      </c>
      <c r="BT606" t="s">
        <v>126</v>
      </c>
      <c r="BU606" t="s">
        <v>126</v>
      </c>
      <c r="BV606" t="s">
        <v>126</v>
      </c>
      <c r="CN606" t="s">
        <v>147</v>
      </c>
      <c r="CP606" t="s">
        <v>278</v>
      </c>
      <c r="CQ606" t="s">
        <v>147</v>
      </c>
    </row>
    <row r="607" spans="1:95" x14ac:dyDescent="0.2">
      <c r="A607" t="s">
        <v>115</v>
      </c>
      <c r="B607" t="s">
        <v>116</v>
      </c>
      <c r="C607">
        <v>210784</v>
      </c>
      <c r="E607" t="s">
        <v>117</v>
      </c>
      <c r="F607">
        <v>368</v>
      </c>
      <c r="G607" t="s">
        <v>141</v>
      </c>
      <c r="H607" t="s">
        <v>142</v>
      </c>
      <c r="I607" t="s">
        <v>279</v>
      </c>
      <c r="J607" t="s">
        <v>280</v>
      </c>
      <c r="L607" t="s">
        <v>370</v>
      </c>
      <c r="M607" s="8">
        <v>45658</v>
      </c>
      <c r="N607">
        <v>5657851</v>
      </c>
      <c r="O607" t="s">
        <v>123</v>
      </c>
      <c r="P607" t="s">
        <v>146</v>
      </c>
      <c r="Q607">
        <v>5.59</v>
      </c>
      <c r="R607" t="s">
        <v>125</v>
      </c>
      <c r="S607" t="s">
        <v>126</v>
      </c>
      <c r="T607" t="s">
        <v>125</v>
      </c>
      <c r="U607" t="s">
        <v>126</v>
      </c>
      <c r="W607">
        <v>5.59</v>
      </c>
      <c r="Y607">
        <v>5.59</v>
      </c>
      <c r="AS607">
        <v>5.59</v>
      </c>
      <c r="BH607" t="s">
        <v>126</v>
      </c>
      <c r="BI607" t="s">
        <v>126</v>
      </c>
      <c r="BJ607" t="s">
        <v>126</v>
      </c>
      <c r="BK607" t="s">
        <v>126</v>
      </c>
      <c r="BS607" t="s">
        <v>126</v>
      </c>
      <c r="BT607" t="s">
        <v>126</v>
      </c>
      <c r="BU607" t="s">
        <v>126</v>
      </c>
      <c r="BV607" t="s">
        <v>126</v>
      </c>
      <c r="CN607" t="s">
        <v>147</v>
      </c>
      <c r="CP607" t="s">
        <v>278</v>
      </c>
      <c r="CQ607" t="s">
        <v>147</v>
      </c>
    </row>
    <row r="608" spans="1:95" x14ac:dyDescent="0.2">
      <c r="A608" t="s">
        <v>115</v>
      </c>
      <c r="B608" t="s">
        <v>116</v>
      </c>
      <c r="C608">
        <v>210784</v>
      </c>
      <c r="E608" t="s">
        <v>117</v>
      </c>
      <c r="F608">
        <v>368</v>
      </c>
      <c r="G608" t="s">
        <v>141</v>
      </c>
      <c r="H608" t="s">
        <v>142</v>
      </c>
      <c r="I608" t="s">
        <v>279</v>
      </c>
      <c r="J608" t="s">
        <v>280</v>
      </c>
      <c r="L608" t="s">
        <v>359</v>
      </c>
      <c r="M608" s="8">
        <v>45658</v>
      </c>
      <c r="N608">
        <v>5642440</v>
      </c>
      <c r="O608" t="s">
        <v>123</v>
      </c>
      <c r="P608" t="s">
        <v>146</v>
      </c>
      <c r="Q608">
        <v>1.5299999999999998</v>
      </c>
      <c r="R608" t="s">
        <v>544</v>
      </c>
      <c r="S608" t="s">
        <v>126</v>
      </c>
      <c r="T608" t="s">
        <v>544</v>
      </c>
      <c r="U608" t="s">
        <v>545</v>
      </c>
      <c r="W608">
        <v>0.47</v>
      </c>
      <c r="X608">
        <v>1.06</v>
      </c>
      <c r="Y608">
        <v>1.5299999999999998</v>
      </c>
      <c r="Z608">
        <v>0.57999999999999996</v>
      </c>
      <c r="AG608">
        <v>0.47</v>
      </c>
      <c r="AI608">
        <v>0.48</v>
      </c>
      <c r="BH608" t="s">
        <v>126</v>
      </c>
      <c r="BI608" t="s">
        <v>126</v>
      </c>
      <c r="BJ608" t="s">
        <v>126</v>
      </c>
      <c r="BK608" t="s">
        <v>126</v>
      </c>
      <c r="BS608" t="s">
        <v>126</v>
      </c>
      <c r="BT608" t="s">
        <v>126</v>
      </c>
      <c r="BU608" t="s">
        <v>126</v>
      </c>
      <c r="BV608" t="s">
        <v>126</v>
      </c>
      <c r="CN608" t="s">
        <v>147</v>
      </c>
      <c r="CP608" t="s">
        <v>275</v>
      </c>
      <c r="CQ608" t="s">
        <v>147</v>
      </c>
    </row>
    <row r="609" spans="1:95" x14ac:dyDescent="0.2">
      <c r="A609" t="s">
        <v>115</v>
      </c>
      <c r="B609" t="s">
        <v>116</v>
      </c>
      <c r="C609">
        <v>210784</v>
      </c>
      <c r="E609" t="s">
        <v>117</v>
      </c>
      <c r="F609">
        <v>368</v>
      </c>
      <c r="G609" t="s">
        <v>141</v>
      </c>
      <c r="H609" t="s">
        <v>142</v>
      </c>
      <c r="I609" t="s">
        <v>279</v>
      </c>
      <c r="J609" t="s">
        <v>280</v>
      </c>
      <c r="L609" t="s">
        <v>363</v>
      </c>
      <c r="M609" s="8">
        <v>45658</v>
      </c>
      <c r="N609">
        <v>5646722</v>
      </c>
      <c r="O609" t="s">
        <v>123</v>
      </c>
      <c r="P609" t="s">
        <v>146</v>
      </c>
      <c r="Q609">
        <v>3.6599999999999993</v>
      </c>
      <c r="R609" t="s">
        <v>669</v>
      </c>
      <c r="S609" t="s">
        <v>126</v>
      </c>
      <c r="T609" t="s">
        <v>669</v>
      </c>
      <c r="U609" t="s">
        <v>670</v>
      </c>
      <c r="W609">
        <v>1.1299999999999999</v>
      </c>
      <c r="X609">
        <v>2.5299999999999998</v>
      </c>
      <c r="Y609">
        <v>3.6599999999999993</v>
      </c>
      <c r="Z609">
        <v>1.39</v>
      </c>
      <c r="AG609">
        <v>1.1299999999999999</v>
      </c>
      <c r="AI609">
        <v>1.1399999999999999</v>
      </c>
      <c r="BH609" t="s">
        <v>126</v>
      </c>
      <c r="BI609" t="s">
        <v>126</v>
      </c>
      <c r="BJ609" t="s">
        <v>126</v>
      </c>
      <c r="BK609" t="s">
        <v>126</v>
      </c>
      <c r="BS609" t="s">
        <v>126</v>
      </c>
      <c r="BT609" t="s">
        <v>126</v>
      </c>
      <c r="BU609" t="s">
        <v>126</v>
      </c>
      <c r="BV609" t="s">
        <v>126</v>
      </c>
      <c r="CN609" t="s">
        <v>147</v>
      </c>
      <c r="CP609" t="s">
        <v>275</v>
      </c>
      <c r="CQ609" t="s">
        <v>147</v>
      </c>
    </row>
    <row r="610" spans="1:95" x14ac:dyDescent="0.2">
      <c r="A610" t="s">
        <v>115</v>
      </c>
      <c r="B610" t="s">
        <v>116</v>
      </c>
      <c r="C610">
        <v>210784</v>
      </c>
      <c r="E610" t="s">
        <v>117</v>
      </c>
      <c r="F610">
        <v>368</v>
      </c>
      <c r="G610" t="s">
        <v>141</v>
      </c>
      <c r="H610" t="s">
        <v>142</v>
      </c>
      <c r="I610" t="s">
        <v>279</v>
      </c>
      <c r="J610" t="s">
        <v>280</v>
      </c>
      <c r="L610" t="s">
        <v>276</v>
      </c>
      <c r="M610" s="8">
        <v>45658</v>
      </c>
      <c r="N610">
        <v>5651885</v>
      </c>
      <c r="O610" t="s">
        <v>123</v>
      </c>
      <c r="P610" t="s">
        <v>146</v>
      </c>
      <c r="Q610">
        <v>4.4000000000000004</v>
      </c>
      <c r="R610" t="s">
        <v>644</v>
      </c>
      <c r="S610" t="s">
        <v>126</v>
      </c>
      <c r="T610" t="s">
        <v>644</v>
      </c>
      <c r="U610" t="s">
        <v>645</v>
      </c>
      <c r="W610">
        <v>1.36</v>
      </c>
      <c r="X610">
        <v>3.04</v>
      </c>
      <c r="Y610">
        <v>4.4000000000000004</v>
      </c>
      <c r="Z610">
        <v>1.67</v>
      </c>
      <c r="AG610">
        <v>1.36</v>
      </c>
      <c r="AI610">
        <v>1.37</v>
      </c>
      <c r="BH610" t="s">
        <v>126</v>
      </c>
      <c r="BI610" t="s">
        <v>126</v>
      </c>
      <c r="BJ610" t="s">
        <v>126</v>
      </c>
      <c r="BK610" t="s">
        <v>126</v>
      </c>
      <c r="BS610" t="s">
        <v>126</v>
      </c>
      <c r="BT610" t="s">
        <v>126</v>
      </c>
      <c r="BU610" t="s">
        <v>126</v>
      </c>
      <c r="BV610" t="s">
        <v>126</v>
      </c>
      <c r="CN610" t="s">
        <v>147</v>
      </c>
      <c r="CP610" t="s">
        <v>275</v>
      </c>
      <c r="CQ610" t="s">
        <v>147</v>
      </c>
    </row>
    <row r="611" spans="1:95" x14ac:dyDescent="0.2">
      <c r="A611" t="s">
        <v>115</v>
      </c>
      <c r="B611" t="s">
        <v>116</v>
      </c>
      <c r="C611">
        <v>210784</v>
      </c>
      <c r="E611" t="s">
        <v>117</v>
      </c>
      <c r="F611">
        <v>368</v>
      </c>
      <c r="G611" t="s">
        <v>141</v>
      </c>
      <c r="H611" t="s">
        <v>142</v>
      </c>
      <c r="I611" t="s">
        <v>279</v>
      </c>
      <c r="J611" t="s">
        <v>280</v>
      </c>
      <c r="L611" t="s">
        <v>368</v>
      </c>
      <c r="M611" s="8">
        <v>45658</v>
      </c>
      <c r="N611">
        <v>5654343</v>
      </c>
      <c r="O611" t="s">
        <v>123</v>
      </c>
      <c r="P611" t="s">
        <v>146</v>
      </c>
      <c r="Q611">
        <v>1.6099999999999999</v>
      </c>
      <c r="R611" t="s">
        <v>671</v>
      </c>
      <c r="S611" t="s">
        <v>126</v>
      </c>
      <c r="T611" t="s">
        <v>671</v>
      </c>
      <c r="U611" t="s">
        <v>672</v>
      </c>
      <c r="W611">
        <v>0.5</v>
      </c>
      <c r="X611">
        <v>1.1099999999999999</v>
      </c>
      <c r="Y611">
        <v>1.6099999999999999</v>
      </c>
      <c r="Z611">
        <v>0.61</v>
      </c>
      <c r="AG611">
        <v>0.5</v>
      </c>
      <c r="AI611">
        <v>0.5</v>
      </c>
      <c r="BH611" t="s">
        <v>126</v>
      </c>
      <c r="BI611" t="s">
        <v>126</v>
      </c>
      <c r="BJ611" t="s">
        <v>126</v>
      </c>
      <c r="BK611" t="s">
        <v>126</v>
      </c>
      <c r="BS611" t="s">
        <v>126</v>
      </c>
      <c r="BT611" t="s">
        <v>126</v>
      </c>
      <c r="BU611" t="s">
        <v>126</v>
      </c>
      <c r="BV611" t="s">
        <v>126</v>
      </c>
      <c r="CN611" t="s">
        <v>147</v>
      </c>
      <c r="CP611" t="s">
        <v>275</v>
      </c>
      <c r="CQ611" t="s">
        <v>147</v>
      </c>
    </row>
    <row r="612" spans="1:95" x14ac:dyDescent="0.2">
      <c r="A612" t="s">
        <v>115</v>
      </c>
      <c r="B612" t="s">
        <v>116</v>
      </c>
      <c r="C612">
        <v>210784</v>
      </c>
      <c r="E612" t="s">
        <v>117</v>
      </c>
      <c r="F612">
        <v>368</v>
      </c>
      <c r="G612" t="s">
        <v>141</v>
      </c>
      <c r="H612" t="s">
        <v>142</v>
      </c>
      <c r="I612" t="s">
        <v>279</v>
      </c>
      <c r="J612" t="s">
        <v>280</v>
      </c>
      <c r="L612" t="s">
        <v>369</v>
      </c>
      <c r="M612" s="8">
        <v>45658</v>
      </c>
      <c r="N612">
        <v>5655483</v>
      </c>
      <c r="O612" t="s">
        <v>123</v>
      </c>
      <c r="P612" t="s">
        <v>146</v>
      </c>
      <c r="Q612">
        <v>3.84</v>
      </c>
      <c r="R612" t="s">
        <v>673</v>
      </c>
      <c r="S612" t="s">
        <v>126</v>
      </c>
      <c r="T612" t="s">
        <v>673</v>
      </c>
      <c r="U612" t="s">
        <v>674</v>
      </c>
      <c r="W612">
        <v>1.18</v>
      </c>
      <c r="X612">
        <v>2.66</v>
      </c>
      <c r="Y612">
        <v>3.84</v>
      </c>
      <c r="Z612">
        <v>1.46</v>
      </c>
      <c r="AG612">
        <v>1.18</v>
      </c>
      <c r="AI612">
        <v>1.2</v>
      </c>
      <c r="BH612" t="s">
        <v>126</v>
      </c>
      <c r="BI612" t="s">
        <v>126</v>
      </c>
      <c r="BJ612" t="s">
        <v>126</v>
      </c>
      <c r="BK612" t="s">
        <v>126</v>
      </c>
      <c r="BS612" t="s">
        <v>126</v>
      </c>
      <c r="BT612" t="s">
        <v>126</v>
      </c>
      <c r="BU612" t="s">
        <v>126</v>
      </c>
      <c r="BV612" t="s">
        <v>126</v>
      </c>
      <c r="CN612" t="s">
        <v>147</v>
      </c>
      <c r="CP612" t="s">
        <v>275</v>
      </c>
      <c r="CQ612" t="s">
        <v>147</v>
      </c>
    </row>
    <row r="613" spans="1:95" x14ac:dyDescent="0.2">
      <c r="A613" t="s">
        <v>115</v>
      </c>
      <c r="B613" t="s">
        <v>116</v>
      </c>
      <c r="C613">
        <v>210784</v>
      </c>
      <c r="E613" t="s">
        <v>117</v>
      </c>
      <c r="F613">
        <v>368</v>
      </c>
      <c r="G613" t="s">
        <v>141</v>
      </c>
      <c r="H613" t="s">
        <v>142</v>
      </c>
      <c r="I613" t="s">
        <v>279</v>
      </c>
      <c r="J613" t="s">
        <v>280</v>
      </c>
      <c r="L613" t="s">
        <v>675</v>
      </c>
      <c r="M613" s="8">
        <v>45658</v>
      </c>
      <c r="N613">
        <v>5659014</v>
      </c>
      <c r="O613" t="s">
        <v>123</v>
      </c>
      <c r="P613" t="s">
        <v>146</v>
      </c>
      <c r="Q613">
        <v>2.4400000000000004</v>
      </c>
      <c r="R613" t="s">
        <v>581</v>
      </c>
      <c r="S613" t="s">
        <v>126</v>
      </c>
      <c r="T613" t="s">
        <v>581</v>
      </c>
      <c r="U613" t="s">
        <v>582</v>
      </c>
      <c r="W613">
        <v>0.75</v>
      </c>
      <c r="X613">
        <v>1.69</v>
      </c>
      <c r="Y613">
        <v>2.4400000000000004</v>
      </c>
      <c r="Z613">
        <v>0.93</v>
      </c>
      <c r="AG613">
        <v>0.75</v>
      </c>
      <c r="AI613">
        <v>0.76</v>
      </c>
      <c r="BH613" t="s">
        <v>126</v>
      </c>
      <c r="BI613" t="s">
        <v>126</v>
      </c>
      <c r="BJ613" t="s">
        <v>126</v>
      </c>
      <c r="BK613" t="s">
        <v>126</v>
      </c>
      <c r="BS613" t="s">
        <v>126</v>
      </c>
      <c r="BT613" t="s">
        <v>126</v>
      </c>
      <c r="BU613" t="s">
        <v>126</v>
      </c>
      <c r="BV613" t="s">
        <v>126</v>
      </c>
      <c r="CN613" t="s">
        <v>147</v>
      </c>
      <c r="CP613" t="s">
        <v>278</v>
      </c>
      <c r="CQ613" t="s">
        <v>147</v>
      </c>
    </row>
    <row r="614" spans="1:95" x14ac:dyDescent="0.2">
      <c r="A614" t="s">
        <v>115</v>
      </c>
      <c r="B614" t="s">
        <v>116</v>
      </c>
      <c r="C614">
        <v>210784</v>
      </c>
      <c r="E614" t="s">
        <v>117</v>
      </c>
      <c r="F614">
        <v>368</v>
      </c>
      <c r="G614" t="s">
        <v>141</v>
      </c>
      <c r="H614" t="s">
        <v>142</v>
      </c>
      <c r="I614" t="s">
        <v>279</v>
      </c>
      <c r="J614" t="s">
        <v>280</v>
      </c>
      <c r="L614" t="s">
        <v>361</v>
      </c>
      <c r="M614" s="8">
        <v>45658</v>
      </c>
      <c r="N614">
        <v>5644964</v>
      </c>
      <c r="O614" t="s">
        <v>123</v>
      </c>
      <c r="P614" t="s">
        <v>146</v>
      </c>
      <c r="Q614">
        <v>3</v>
      </c>
      <c r="R614" t="s">
        <v>125</v>
      </c>
      <c r="S614" t="s">
        <v>126</v>
      </c>
      <c r="T614" t="s">
        <v>125</v>
      </c>
      <c r="U614" t="s">
        <v>126</v>
      </c>
      <c r="W614">
        <v>3</v>
      </c>
      <c r="Y614">
        <v>3</v>
      </c>
      <c r="BE614">
        <v>3</v>
      </c>
      <c r="BH614" t="s">
        <v>126</v>
      </c>
      <c r="BI614" t="s">
        <v>126</v>
      </c>
      <c r="BJ614" t="s">
        <v>126</v>
      </c>
      <c r="BK614" t="s">
        <v>126</v>
      </c>
      <c r="BS614" t="s">
        <v>126</v>
      </c>
      <c r="BT614" t="s">
        <v>126</v>
      </c>
      <c r="BU614" t="s">
        <v>126</v>
      </c>
      <c r="BV614" t="s">
        <v>126</v>
      </c>
      <c r="CN614" t="s">
        <v>147</v>
      </c>
      <c r="CP614" t="s">
        <v>275</v>
      </c>
      <c r="CQ614" t="s">
        <v>147</v>
      </c>
    </row>
    <row r="615" spans="1:95" x14ac:dyDescent="0.2">
      <c r="A615" t="s">
        <v>115</v>
      </c>
      <c r="B615" t="s">
        <v>116</v>
      </c>
      <c r="C615">
        <v>210784</v>
      </c>
      <c r="E615" t="s">
        <v>117</v>
      </c>
      <c r="F615">
        <v>368</v>
      </c>
      <c r="G615" t="s">
        <v>141</v>
      </c>
      <c r="H615" t="s">
        <v>142</v>
      </c>
      <c r="I615" t="s">
        <v>279</v>
      </c>
      <c r="J615" t="s">
        <v>280</v>
      </c>
      <c r="L615" t="s">
        <v>361</v>
      </c>
      <c r="M615" s="8">
        <v>45658</v>
      </c>
      <c r="N615">
        <v>5644695</v>
      </c>
      <c r="O615" t="s">
        <v>123</v>
      </c>
      <c r="P615" t="s">
        <v>146</v>
      </c>
      <c r="Q615">
        <v>2.2799999999999998</v>
      </c>
      <c r="R615" t="s">
        <v>125</v>
      </c>
      <c r="S615" t="s">
        <v>126</v>
      </c>
      <c r="T615" t="s">
        <v>125</v>
      </c>
      <c r="U615" t="s">
        <v>126</v>
      </c>
      <c r="W615">
        <v>2.2799999999999998</v>
      </c>
      <c r="Y615">
        <v>2.2799999999999998</v>
      </c>
      <c r="BE615">
        <v>2.2799999999999998</v>
      </c>
      <c r="BH615" t="s">
        <v>126</v>
      </c>
      <c r="BI615" t="s">
        <v>126</v>
      </c>
      <c r="BJ615" t="s">
        <v>126</v>
      </c>
      <c r="BK615" t="s">
        <v>126</v>
      </c>
      <c r="BS615" t="s">
        <v>126</v>
      </c>
      <c r="BT615" t="s">
        <v>126</v>
      </c>
      <c r="BU615" t="s">
        <v>126</v>
      </c>
      <c r="BV615" t="s">
        <v>126</v>
      </c>
      <c r="CN615" t="s">
        <v>147</v>
      </c>
      <c r="CP615" t="s">
        <v>275</v>
      </c>
      <c r="CQ615" t="s">
        <v>147</v>
      </c>
    </row>
    <row r="616" spans="1:95" x14ac:dyDescent="0.2">
      <c r="A616" t="s">
        <v>115</v>
      </c>
      <c r="B616" t="s">
        <v>116</v>
      </c>
      <c r="C616">
        <v>210784</v>
      </c>
      <c r="E616" t="s">
        <v>117</v>
      </c>
      <c r="F616">
        <v>368</v>
      </c>
      <c r="G616" t="s">
        <v>141</v>
      </c>
      <c r="H616" t="s">
        <v>142</v>
      </c>
      <c r="I616" t="s">
        <v>279</v>
      </c>
      <c r="J616" t="s">
        <v>280</v>
      </c>
      <c r="L616" t="s">
        <v>362</v>
      </c>
      <c r="M616" s="8">
        <v>45658</v>
      </c>
      <c r="N616">
        <v>5646119</v>
      </c>
      <c r="O616" t="s">
        <v>123</v>
      </c>
      <c r="P616" t="s">
        <v>146</v>
      </c>
      <c r="Q616">
        <v>3.63</v>
      </c>
      <c r="R616" t="s">
        <v>125</v>
      </c>
      <c r="S616" t="s">
        <v>126</v>
      </c>
      <c r="T616" t="s">
        <v>125</v>
      </c>
      <c r="U616" t="s">
        <v>126</v>
      </c>
      <c r="W616">
        <v>3.63</v>
      </c>
      <c r="Y616">
        <v>3.63</v>
      </c>
      <c r="BE616">
        <v>3.63</v>
      </c>
      <c r="BH616" t="s">
        <v>126</v>
      </c>
      <c r="BI616" t="s">
        <v>126</v>
      </c>
      <c r="BJ616" t="s">
        <v>126</v>
      </c>
      <c r="BK616" t="s">
        <v>126</v>
      </c>
      <c r="BS616" t="s">
        <v>126</v>
      </c>
      <c r="BT616" t="s">
        <v>126</v>
      </c>
      <c r="BU616" t="s">
        <v>126</v>
      </c>
      <c r="BV616" t="s">
        <v>126</v>
      </c>
      <c r="CN616" t="s">
        <v>147</v>
      </c>
      <c r="CP616" t="s">
        <v>275</v>
      </c>
      <c r="CQ616" t="s">
        <v>147</v>
      </c>
    </row>
    <row r="617" spans="1:95" x14ac:dyDescent="0.2">
      <c r="A617" t="s">
        <v>115</v>
      </c>
      <c r="B617" t="s">
        <v>116</v>
      </c>
      <c r="C617">
        <v>210784</v>
      </c>
      <c r="E617" t="s">
        <v>117</v>
      </c>
      <c r="F617">
        <v>368</v>
      </c>
      <c r="G617" t="s">
        <v>141</v>
      </c>
      <c r="H617" t="s">
        <v>142</v>
      </c>
      <c r="I617" t="s">
        <v>204</v>
      </c>
      <c r="J617" t="s">
        <v>205</v>
      </c>
      <c r="L617" t="s">
        <v>277</v>
      </c>
      <c r="M617" s="8">
        <v>45689</v>
      </c>
      <c r="N617">
        <v>116179</v>
      </c>
      <c r="O617" t="s">
        <v>123</v>
      </c>
      <c r="P617" t="s">
        <v>146</v>
      </c>
      <c r="Q617">
        <v>9.7899999999999991</v>
      </c>
      <c r="R617" t="s">
        <v>125</v>
      </c>
      <c r="S617" t="s">
        <v>126</v>
      </c>
      <c r="T617" t="s">
        <v>125</v>
      </c>
      <c r="U617" t="s">
        <v>126</v>
      </c>
      <c r="W617">
        <v>9.7899999999999991</v>
      </c>
      <c r="Y617">
        <v>9.7899999999999991</v>
      </c>
      <c r="AC617">
        <v>9.7899999999999991</v>
      </c>
      <c r="BH617" t="s">
        <v>126</v>
      </c>
      <c r="BI617" t="s">
        <v>126</v>
      </c>
      <c r="BJ617" t="s">
        <v>126</v>
      </c>
      <c r="BK617" t="s">
        <v>126</v>
      </c>
      <c r="BS617" t="s">
        <v>126</v>
      </c>
      <c r="BT617" t="s">
        <v>126</v>
      </c>
      <c r="BU617" t="s">
        <v>126</v>
      </c>
      <c r="BV617" t="s">
        <v>126</v>
      </c>
      <c r="CN617" t="s">
        <v>147</v>
      </c>
      <c r="CP617" t="s">
        <v>278</v>
      </c>
      <c r="CQ617" t="s">
        <v>147</v>
      </c>
    </row>
    <row r="618" spans="1:95" x14ac:dyDescent="0.2">
      <c r="A618" t="s">
        <v>115</v>
      </c>
      <c r="B618" t="s">
        <v>116</v>
      </c>
      <c r="C618">
        <v>210784</v>
      </c>
      <c r="E618" t="s">
        <v>117</v>
      </c>
      <c r="F618">
        <v>368</v>
      </c>
      <c r="G618" t="s">
        <v>141</v>
      </c>
      <c r="H618" t="s">
        <v>142</v>
      </c>
      <c r="I618" t="s">
        <v>279</v>
      </c>
      <c r="J618" t="s">
        <v>280</v>
      </c>
      <c r="L618" t="s">
        <v>281</v>
      </c>
      <c r="M618" s="8">
        <v>45689</v>
      </c>
      <c r="N618">
        <v>117387</v>
      </c>
      <c r="O618" t="s">
        <v>123</v>
      </c>
      <c r="P618" t="s">
        <v>146</v>
      </c>
      <c r="Q618">
        <v>1.34</v>
      </c>
      <c r="R618" t="s">
        <v>125</v>
      </c>
      <c r="S618" t="s">
        <v>126</v>
      </c>
      <c r="T618" t="s">
        <v>125</v>
      </c>
      <c r="U618" t="s">
        <v>126</v>
      </c>
      <c r="W618">
        <v>1.34</v>
      </c>
      <c r="Y618">
        <v>1.34</v>
      </c>
      <c r="AC618">
        <v>1.34</v>
      </c>
      <c r="BH618" t="s">
        <v>126</v>
      </c>
      <c r="BI618" t="s">
        <v>126</v>
      </c>
      <c r="BJ618" t="s">
        <v>126</v>
      </c>
      <c r="BK618" t="s">
        <v>126</v>
      </c>
      <c r="BS618" t="s">
        <v>126</v>
      </c>
      <c r="BT618" t="s">
        <v>126</v>
      </c>
      <c r="BU618" t="s">
        <v>126</v>
      </c>
      <c r="BV618" t="s">
        <v>126</v>
      </c>
      <c r="CN618" t="s">
        <v>147</v>
      </c>
      <c r="CP618" t="s">
        <v>278</v>
      </c>
      <c r="CQ618" t="s">
        <v>147</v>
      </c>
    </row>
    <row r="619" spans="1:95" x14ac:dyDescent="0.2">
      <c r="A619" t="s">
        <v>115</v>
      </c>
      <c r="B619" t="s">
        <v>116</v>
      </c>
      <c r="C619">
        <v>210784</v>
      </c>
      <c r="E619" t="s">
        <v>117</v>
      </c>
      <c r="F619">
        <v>368</v>
      </c>
      <c r="G619" t="s">
        <v>141</v>
      </c>
      <c r="H619" t="s">
        <v>142</v>
      </c>
      <c r="I619" t="s">
        <v>279</v>
      </c>
      <c r="J619" t="s">
        <v>280</v>
      </c>
      <c r="L619" t="s">
        <v>277</v>
      </c>
      <c r="M619" s="8">
        <v>45689</v>
      </c>
      <c r="N619">
        <v>5659875</v>
      </c>
      <c r="O619" t="s">
        <v>123</v>
      </c>
      <c r="P619" t="s">
        <v>146</v>
      </c>
      <c r="Q619">
        <v>2.09</v>
      </c>
      <c r="R619" t="s">
        <v>125</v>
      </c>
      <c r="S619" t="s">
        <v>126</v>
      </c>
      <c r="T619" t="s">
        <v>125</v>
      </c>
      <c r="U619" t="s">
        <v>126</v>
      </c>
      <c r="W619">
        <v>2.09</v>
      </c>
      <c r="Y619">
        <v>2.09</v>
      </c>
      <c r="AS619">
        <v>2.09</v>
      </c>
      <c r="BH619" t="s">
        <v>126</v>
      </c>
      <c r="BI619" t="s">
        <v>126</v>
      </c>
      <c r="BJ619" t="s">
        <v>126</v>
      </c>
      <c r="BK619" t="s">
        <v>126</v>
      </c>
      <c r="BS619" t="s">
        <v>126</v>
      </c>
      <c r="BT619" t="s">
        <v>126</v>
      </c>
      <c r="BU619" t="s">
        <v>126</v>
      </c>
      <c r="BV619" t="s">
        <v>126</v>
      </c>
      <c r="CN619" t="s">
        <v>147</v>
      </c>
      <c r="CP619" t="s">
        <v>278</v>
      </c>
      <c r="CQ619" t="s">
        <v>147</v>
      </c>
    </row>
    <row r="620" spans="1:95" x14ac:dyDescent="0.2">
      <c r="A620" t="s">
        <v>115</v>
      </c>
      <c r="B620" t="s">
        <v>116</v>
      </c>
      <c r="C620">
        <v>210784</v>
      </c>
      <c r="E620" t="s">
        <v>117</v>
      </c>
      <c r="F620">
        <v>368</v>
      </c>
      <c r="G620" t="s">
        <v>141</v>
      </c>
      <c r="H620" t="s">
        <v>142</v>
      </c>
      <c r="I620" t="s">
        <v>279</v>
      </c>
      <c r="J620" t="s">
        <v>280</v>
      </c>
      <c r="L620" t="s">
        <v>277</v>
      </c>
      <c r="M620" s="8">
        <v>45689</v>
      </c>
      <c r="N620">
        <v>5659762</v>
      </c>
      <c r="O620" t="s">
        <v>123</v>
      </c>
      <c r="P620" t="s">
        <v>146</v>
      </c>
      <c r="Q620">
        <v>7.7</v>
      </c>
      <c r="R620" t="s">
        <v>125</v>
      </c>
      <c r="S620" t="s">
        <v>126</v>
      </c>
      <c r="T620" t="s">
        <v>125</v>
      </c>
      <c r="U620" t="s">
        <v>126</v>
      </c>
      <c r="W620">
        <v>7.7</v>
      </c>
      <c r="Y620">
        <v>7.7</v>
      </c>
      <c r="AS620">
        <v>7.7</v>
      </c>
      <c r="BH620" t="s">
        <v>126</v>
      </c>
      <c r="BI620" t="s">
        <v>126</v>
      </c>
      <c r="BJ620" t="s">
        <v>126</v>
      </c>
      <c r="BK620" t="s">
        <v>126</v>
      </c>
      <c r="BS620" t="s">
        <v>126</v>
      </c>
      <c r="BT620" t="s">
        <v>126</v>
      </c>
      <c r="BU620" t="s">
        <v>126</v>
      </c>
      <c r="BV620" t="s">
        <v>126</v>
      </c>
      <c r="CN620" t="s">
        <v>147</v>
      </c>
      <c r="CP620" t="s">
        <v>278</v>
      </c>
      <c r="CQ620" t="s">
        <v>147</v>
      </c>
    </row>
    <row r="621" spans="1:95" x14ac:dyDescent="0.2">
      <c r="A621" t="s">
        <v>115</v>
      </c>
      <c r="B621" t="s">
        <v>116</v>
      </c>
      <c r="C621">
        <v>210784</v>
      </c>
      <c r="E621" t="s">
        <v>117</v>
      </c>
      <c r="F621">
        <v>368</v>
      </c>
      <c r="G621" t="s">
        <v>141</v>
      </c>
      <c r="H621" t="s">
        <v>142</v>
      </c>
      <c r="I621" t="s">
        <v>279</v>
      </c>
      <c r="J621" t="s">
        <v>280</v>
      </c>
      <c r="L621" t="s">
        <v>371</v>
      </c>
      <c r="M621" s="8">
        <v>45689</v>
      </c>
      <c r="N621">
        <v>5661697</v>
      </c>
      <c r="O621" t="s">
        <v>123</v>
      </c>
      <c r="P621" t="s">
        <v>146</v>
      </c>
      <c r="Q621">
        <v>5.32</v>
      </c>
      <c r="R621" t="s">
        <v>125</v>
      </c>
      <c r="S621" t="s">
        <v>126</v>
      </c>
      <c r="T621" t="s">
        <v>125</v>
      </c>
      <c r="U621" t="s">
        <v>126</v>
      </c>
      <c r="W621">
        <v>5.32</v>
      </c>
      <c r="Y621">
        <v>5.32</v>
      </c>
      <c r="AS621">
        <v>5.32</v>
      </c>
      <c r="BH621" t="s">
        <v>126</v>
      </c>
      <c r="BI621" t="s">
        <v>126</v>
      </c>
      <c r="BJ621" t="s">
        <v>126</v>
      </c>
      <c r="BK621" t="s">
        <v>126</v>
      </c>
      <c r="BS621" t="s">
        <v>126</v>
      </c>
      <c r="BT621" t="s">
        <v>126</v>
      </c>
      <c r="BU621" t="s">
        <v>126</v>
      </c>
      <c r="BV621" t="s">
        <v>126</v>
      </c>
      <c r="CN621" t="s">
        <v>147</v>
      </c>
      <c r="CP621" t="s">
        <v>278</v>
      </c>
      <c r="CQ621" t="s">
        <v>147</v>
      </c>
    </row>
    <row r="622" spans="1:95" x14ac:dyDescent="0.2">
      <c r="A622" t="s">
        <v>115</v>
      </c>
      <c r="B622" t="s">
        <v>116</v>
      </c>
      <c r="C622">
        <v>210784</v>
      </c>
      <c r="E622" t="s">
        <v>117</v>
      </c>
      <c r="F622">
        <v>368</v>
      </c>
      <c r="G622" t="s">
        <v>141</v>
      </c>
      <c r="H622" t="s">
        <v>142</v>
      </c>
      <c r="I622" t="s">
        <v>279</v>
      </c>
      <c r="J622" t="s">
        <v>280</v>
      </c>
      <c r="L622" t="s">
        <v>372</v>
      </c>
      <c r="M622" s="8">
        <v>45689</v>
      </c>
      <c r="N622">
        <v>5662342</v>
      </c>
      <c r="O622" t="s">
        <v>123</v>
      </c>
      <c r="P622" t="s">
        <v>146</v>
      </c>
      <c r="Q622">
        <v>1.34</v>
      </c>
      <c r="R622" t="s">
        <v>125</v>
      </c>
      <c r="S622" t="s">
        <v>126</v>
      </c>
      <c r="T622" t="s">
        <v>125</v>
      </c>
      <c r="U622" t="s">
        <v>126</v>
      </c>
      <c r="W622">
        <v>1.34</v>
      </c>
      <c r="Y622">
        <v>1.34</v>
      </c>
      <c r="AS622">
        <v>1.34</v>
      </c>
      <c r="BH622" t="s">
        <v>126</v>
      </c>
      <c r="BI622" t="s">
        <v>126</v>
      </c>
      <c r="BJ622" t="s">
        <v>126</v>
      </c>
      <c r="BK622" t="s">
        <v>126</v>
      </c>
      <c r="BS622" t="s">
        <v>126</v>
      </c>
      <c r="BT622" t="s">
        <v>126</v>
      </c>
      <c r="BU622" t="s">
        <v>126</v>
      </c>
      <c r="BV622" t="s">
        <v>126</v>
      </c>
      <c r="CN622" t="s">
        <v>147</v>
      </c>
      <c r="CP622" t="s">
        <v>278</v>
      </c>
      <c r="CQ622" t="s">
        <v>147</v>
      </c>
    </row>
    <row r="623" spans="1:95" x14ac:dyDescent="0.2">
      <c r="A623" t="s">
        <v>115</v>
      </c>
      <c r="B623" t="s">
        <v>116</v>
      </c>
      <c r="C623">
        <v>210784</v>
      </c>
      <c r="E623" t="s">
        <v>117</v>
      </c>
      <c r="F623">
        <v>368</v>
      </c>
      <c r="G623" t="s">
        <v>141</v>
      </c>
      <c r="H623" t="s">
        <v>142</v>
      </c>
      <c r="I623" t="s">
        <v>279</v>
      </c>
      <c r="J623" t="s">
        <v>280</v>
      </c>
      <c r="L623" t="s">
        <v>373</v>
      </c>
      <c r="M623" s="8">
        <v>45689</v>
      </c>
      <c r="N623">
        <v>5663047</v>
      </c>
      <c r="O623" t="s">
        <v>123</v>
      </c>
      <c r="P623" t="s">
        <v>146</v>
      </c>
      <c r="Q623">
        <v>2.77</v>
      </c>
      <c r="R623" t="s">
        <v>125</v>
      </c>
      <c r="S623" t="s">
        <v>126</v>
      </c>
      <c r="T623" t="s">
        <v>125</v>
      </c>
      <c r="U623" t="s">
        <v>126</v>
      </c>
      <c r="W623">
        <v>2.77</v>
      </c>
      <c r="Y623">
        <v>2.77</v>
      </c>
      <c r="AS623">
        <v>2.77</v>
      </c>
      <c r="BH623" t="s">
        <v>126</v>
      </c>
      <c r="BI623" t="s">
        <v>126</v>
      </c>
      <c r="BJ623" t="s">
        <v>126</v>
      </c>
      <c r="BK623" t="s">
        <v>126</v>
      </c>
      <c r="BS623" t="s">
        <v>126</v>
      </c>
      <c r="BT623" t="s">
        <v>126</v>
      </c>
      <c r="BU623" t="s">
        <v>126</v>
      </c>
      <c r="BV623" t="s">
        <v>126</v>
      </c>
      <c r="CN623" t="s">
        <v>147</v>
      </c>
      <c r="CP623" t="s">
        <v>278</v>
      </c>
      <c r="CQ623" t="s">
        <v>147</v>
      </c>
    </row>
    <row r="624" spans="1:95" x14ac:dyDescent="0.2">
      <c r="A624" t="s">
        <v>115</v>
      </c>
      <c r="B624" t="s">
        <v>116</v>
      </c>
      <c r="C624">
        <v>210784</v>
      </c>
      <c r="E624" t="s">
        <v>117</v>
      </c>
      <c r="F624">
        <v>368</v>
      </c>
      <c r="G624" t="s">
        <v>141</v>
      </c>
      <c r="H624" t="s">
        <v>142</v>
      </c>
      <c r="I624" t="s">
        <v>279</v>
      </c>
      <c r="J624" t="s">
        <v>280</v>
      </c>
      <c r="L624" t="s">
        <v>374</v>
      </c>
      <c r="M624" s="8">
        <v>45689</v>
      </c>
      <c r="N624">
        <v>5663894</v>
      </c>
      <c r="O624" t="s">
        <v>123</v>
      </c>
      <c r="P624" t="s">
        <v>146</v>
      </c>
      <c r="Q624">
        <v>1.1399999999999999</v>
      </c>
      <c r="R624" t="s">
        <v>125</v>
      </c>
      <c r="S624" t="s">
        <v>126</v>
      </c>
      <c r="T624" t="s">
        <v>125</v>
      </c>
      <c r="U624" t="s">
        <v>126</v>
      </c>
      <c r="W624">
        <v>1.1399999999999999</v>
      </c>
      <c r="Y624">
        <v>1.1399999999999999</v>
      </c>
      <c r="AS624">
        <v>1.1399999999999999</v>
      </c>
      <c r="BH624" t="s">
        <v>126</v>
      </c>
      <c r="BI624" t="s">
        <v>126</v>
      </c>
      <c r="BJ624" t="s">
        <v>126</v>
      </c>
      <c r="BK624" t="s">
        <v>126</v>
      </c>
      <c r="BS624" t="s">
        <v>126</v>
      </c>
      <c r="BT624" t="s">
        <v>126</v>
      </c>
      <c r="BU624" t="s">
        <v>126</v>
      </c>
      <c r="BV624" t="s">
        <v>126</v>
      </c>
      <c r="CN624" t="s">
        <v>147</v>
      </c>
      <c r="CP624" t="s">
        <v>278</v>
      </c>
      <c r="CQ624" t="s">
        <v>147</v>
      </c>
    </row>
    <row r="625" spans="1:95" x14ac:dyDescent="0.2">
      <c r="A625" t="s">
        <v>115</v>
      </c>
      <c r="B625" t="s">
        <v>116</v>
      </c>
      <c r="C625">
        <v>210784</v>
      </c>
      <c r="E625" t="s">
        <v>117</v>
      </c>
      <c r="F625">
        <v>368</v>
      </c>
      <c r="G625" t="s">
        <v>141</v>
      </c>
      <c r="H625" t="s">
        <v>142</v>
      </c>
      <c r="I625" t="s">
        <v>279</v>
      </c>
      <c r="J625" t="s">
        <v>280</v>
      </c>
      <c r="L625" t="s">
        <v>374</v>
      </c>
      <c r="M625" s="8">
        <v>45689</v>
      </c>
      <c r="N625">
        <v>5663903</v>
      </c>
      <c r="O625" t="s">
        <v>123</v>
      </c>
      <c r="P625" t="s">
        <v>146</v>
      </c>
      <c r="Q625">
        <v>3.18</v>
      </c>
      <c r="R625" t="s">
        <v>125</v>
      </c>
      <c r="S625" t="s">
        <v>126</v>
      </c>
      <c r="T625" t="s">
        <v>125</v>
      </c>
      <c r="U625" t="s">
        <v>126</v>
      </c>
      <c r="W625">
        <v>3.18</v>
      </c>
      <c r="Y625">
        <v>3.18</v>
      </c>
      <c r="AS625">
        <v>3.18</v>
      </c>
      <c r="BH625" t="s">
        <v>126</v>
      </c>
      <c r="BI625" t="s">
        <v>126</v>
      </c>
      <c r="BJ625" t="s">
        <v>126</v>
      </c>
      <c r="BK625" t="s">
        <v>126</v>
      </c>
      <c r="BS625" t="s">
        <v>126</v>
      </c>
      <c r="BT625" t="s">
        <v>126</v>
      </c>
      <c r="BU625" t="s">
        <v>126</v>
      </c>
      <c r="BV625" t="s">
        <v>126</v>
      </c>
      <c r="CN625" t="s">
        <v>147</v>
      </c>
      <c r="CP625" t="s">
        <v>278</v>
      </c>
      <c r="CQ625" t="s">
        <v>147</v>
      </c>
    </row>
    <row r="626" spans="1:95" x14ac:dyDescent="0.2">
      <c r="A626" t="s">
        <v>115</v>
      </c>
      <c r="B626" t="s">
        <v>116</v>
      </c>
      <c r="C626">
        <v>210784</v>
      </c>
      <c r="E626" t="s">
        <v>117</v>
      </c>
      <c r="F626">
        <v>368</v>
      </c>
      <c r="G626" t="s">
        <v>141</v>
      </c>
      <c r="H626" t="s">
        <v>142</v>
      </c>
      <c r="I626" t="s">
        <v>279</v>
      </c>
      <c r="J626" t="s">
        <v>280</v>
      </c>
      <c r="L626" t="s">
        <v>374</v>
      </c>
      <c r="M626" s="8">
        <v>45689</v>
      </c>
      <c r="N626">
        <v>5663823</v>
      </c>
      <c r="O626" t="s">
        <v>123</v>
      </c>
      <c r="P626" t="s">
        <v>146</v>
      </c>
      <c r="Q626">
        <v>7.96</v>
      </c>
      <c r="R626" t="s">
        <v>125</v>
      </c>
      <c r="S626" t="s">
        <v>126</v>
      </c>
      <c r="T626" t="s">
        <v>125</v>
      </c>
      <c r="U626" t="s">
        <v>126</v>
      </c>
      <c r="W626">
        <v>7.96</v>
      </c>
      <c r="Y626">
        <v>7.96</v>
      </c>
      <c r="AS626">
        <v>7.96</v>
      </c>
      <c r="BH626" t="s">
        <v>126</v>
      </c>
      <c r="BI626" t="s">
        <v>126</v>
      </c>
      <c r="BJ626" t="s">
        <v>126</v>
      </c>
      <c r="BK626" t="s">
        <v>126</v>
      </c>
      <c r="BS626" t="s">
        <v>126</v>
      </c>
      <c r="BT626" t="s">
        <v>126</v>
      </c>
      <c r="BU626" t="s">
        <v>126</v>
      </c>
      <c r="BV626" t="s">
        <v>126</v>
      </c>
      <c r="CN626" t="s">
        <v>147</v>
      </c>
      <c r="CP626" t="s">
        <v>278</v>
      </c>
      <c r="CQ626" t="s">
        <v>147</v>
      </c>
    </row>
    <row r="627" spans="1:95" x14ac:dyDescent="0.2">
      <c r="A627" t="s">
        <v>115</v>
      </c>
      <c r="B627" t="s">
        <v>116</v>
      </c>
      <c r="C627">
        <v>210784</v>
      </c>
      <c r="E627" t="s">
        <v>117</v>
      </c>
      <c r="F627">
        <v>368</v>
      </c>
      <c r="G627" t="s">
        <v>141</v>
      </c>
      <c r="H627" t="s">
        <v>142</v>
      </c>
      <c r="I627" t="s">
        <v>279</v>
      </c>
      <c r="J627" t="s">
        <v>280</v>
      </c>
      <c r="L627" t="s">
        <v>375</v>
      </c>
      <c r="M627" s="8">
        <v>45689</v>
      </c>
      <c r="N627">
        <v>5665360</v>
      </c>
      <c r="O627" t="s">
        <v>123</v>
      </c>
      <c r="P627" t="s">
        <v>146</v>
      </c>
      <c r="Q627">
        <v>4.43</v>
      </c>
      <c r="R627" t="s">
        <v>125</v>
      </c>
      <c r="S627" t="s">
        <v>126</v>
      </c>
      <c r="T627" t="s">
        <v>125</v>
      </c>
      <c r="U627" t="s">
        <v>126</v>
      </c>
      <c r="W627">
        <v>4.43</v>
      </c>
      <c r="Y627">
        <v>4.43</v>
      </c>
      <c r="AS627">
        <v>4.43</v>
      </c>
      <c r="BH627" t="s">
        <v>126</v>
      </c>
      <c r="BI627" t="s">
        <v>126</v>
      </c>
      <c r="BJ627" t="s">
        <v>126</v>
      </c>
      <c r="BK627" t="s">
        <v>126</v>
      </c>
      <c r="BS627" t="s">
        <v>126</v>
      </c>
      <c r="BT627" t="s">
        <v>126</v>
      </c>
      <c r="BU627" t="s">
        <v>126</v>
      </c>
      <c r="BV627" t="s">
        <v>126</v>
      </c>
      <c r="CN627" t="s">
        <v>147</v>
      </c>
      <c r="CP627" t="s">
        <v>278</v>
      </c>
      <c r="CQ627" t="s">
        <v>147</v>
      </c>
    </row>
    <row r="628" spans="1:95" x14ac:dyDescent="0.2">
      <c r="A628" t="s">
        <v>115</v>
      </c>
      <c r="B628" t="s">
        <v>116</v>
      </c>
      <c r="C628">
        <v>210784</v>
      </c>
      <c r="E628" t="s">
        <v>117</v>
      </c>
      <c r="F628">
        <v>368</v>
      </c>
      <c r="G628" t="s">
        <v>141</v>
      </c>
      <c r="H628" t="s">
        <v>142</v>
      </c>
      <c r="I628" t="s">
        <v>279</v>
      </c>
      <c r="J628" t="s">
        <v>280</v>
      </c>
      <c r="L628" t="s">
        <v>376</v>
      </c>
      <c r="M628" s="8">
        <v>45689</v>
      </c>
      <c r="N628">
        <v>5665878</v>
      </c>
      <c r="O628" t="s">
        <v>123</v>
      </c>
      <c r="P628" t="s">
        <v>146</v>
      </c>
      <c r="Q628">
        <v>8.18</v>
      </c>
      <c r="R628" t="s">
        <v>125</v>
      </c>
      <c r="S628" t="s">
        <v>126</v>
      </c>
      <c r="T628" t="s">
        <v>125</v>
      </c>
      <c r="U628" t="s">
        <v>126</v>
      </c>
      <c r="W628">
        <v>8.18</v>
      </c>
      <c r="Y628">
        <v>8.18</v>
      </c>
      <c r="AS628">
        <v>8.18</v>
      </c>
      <c r="BH628" t="s">
        <v>126</v>
      </c>
      <c r="BI628" t="s">
        <v>126</v>
      </c>
      <c r="BJ628" t="s">
        <v>126</v>
      </c>
      <c r="BK628" t="s">
        <v>126</v>
      </c>
      <c r="BS628" t="s">
        <v>126</v>
      </c>
      <c r="BT628" t="s">
        <v>126</v>
      </c>
      <c r="BU628" t="s">
        <v>126</v>
      </c>
      <c r="BV628" t="s">
        <v>126</v>
      </c>
      <c r="CN628" t="s">
        <v>147</v>
      </c>
      <c r="CP628" t="s">
        <v>278</v>
      </c>
      <c r="CQ628" t="s">
        <v>147</v>
      </c>
    </row>
    <row r="629" spans="1:95" x14ac:dyDescent="0.2">
      <c r="A629" t="s">
        <v>115</v>
      </c>
      <c r="B629" t="s">
        <v>116</v>
      </c>
      <c r="C629">
        <v>210784</v>
      </c>
      <c r="E629" t="s">
        <v>117</v>
      </c>
      <c r="F629">
        <v>368</v>
      </c>
      <c r="G629" t="s">
        <v>141</v>
      </c>
      <c r="H629" t="s">
        <v>142</v>
      </c>
      <c r="I629" t="s">
        <v>279</v>
      </c>
      <c r="J629" t="s">
        <v>280</v>
      </c>
      <c r="L629" t="s">
        <v>377</v>
      </c>
      <c r="M629" s="8">
        <v>45689</v>
      </c>
      <c r="N629">
        <v>5666225</v>
      </c>
      <c r="O629" t="s">
        <v>123</v>
      </c>
      <c r="P629" t="s">
        <v>146</v>
      </c>
      <c r="Q629">
        <v>3.46</v>
      </c>
      <c r="R629" t="s">
        <v>125</v>
      </c>
      <c r="S629" t="s">
        <v>126</v>
      </c>
      <c r="T629" t="s">
        <v>125</v>
      </c>
      <c r="U629" t="s">
        <v>126</v>
      </c>
      <c r="W629">
        <v>3.46</v>
      </c>
      <c r="Y629">
        <v>3.46</v>
      </c>
      <c r="AS629">
        <v>3.46</v>
      </c>
      <c r="BH629" t="s">
        <v>126</v>
      </c>
      <c r="BI629" t="s">
        <v>126</v>
      </c>
      <c r="BJ629" t="s">
        <v>126</v>
      </c>
      <c r="BK629" t="s">
        <v>126</v>
      </c>
      <c r="BS629" t="s">
        <v>126</v>
      </c>
      <c r="BT629" t="s">
        <v>126</v>
      </c>
      <c r="BU629" t="s">
        <v>126</v>
      </c>
      <c r="BV629" t="s">
        <v>126</v>
      </c>
      <c r="CN629" t="s">
        <v>147</v>
      </c>
      <c r="CP629" t="s">
        <v>278</v>
      </c>
      <c r="CQ629" t="s">
        <v>147</v>
      </c>
    </row>
    <row r="630" spans="1:95" x14ac:dyDescent="0.2">
      <c r="A630" t="s">
        <v>115</v>
      </c>
      <c r="B630" t="s">
        <v>116</v>
      </c>
      <c r="C630">
        <v>210784</v>
      </c>
      <c r="E630" t="s">
        <v>117</v>
      </c>
      <c r="F630">
        <v>368</v>
      </c>
      <c r="G630" t="s">
        <v>141</v>
      </c>
      <c r="H630" t="s">
        <v>142</v>
      </c>
      <c r="I630" t="s">
        <v>279</v>
      </c>
      <c r="J630" t="s">
        <v>280</v>
      </c>
      <c r="L630" t="s">
        <v>378</v>
      </c>
      <c r="M630" s="8">
        <v>45689</v>
      </c>
      <c r="N630">
        <v>5667384</v>
      </c>
      <c r="O630" t="s">
        <v>123</v>
      </c>
      <c r="P630" t="s">
        <v>146</v>
      </c>
      <c r="Q630">
        <v>3.24</v>
      </c>
      <c r="R630" t="s">
        <v>125</v>
      </c>
      <c r="S630" t="s">
        <v>126</v>
      </c>
      <c r="T630" t="s">
        <v>125</v>
      </c>
      <c r="U630" t="s">
        <v>126</v>
      </c>
      <c r="W630">
        <v>3.24</v>
      </c>
      <c r="Y630">
        <v>3.24</v>
      </c>
      <c r="AS630">
        <v>3.24</v>
      </c>
      <c r="BH630" t="s">
        <v>126</v>
      </c>
      <c r="BI630" t="s">
        <v>126</v>
      </c>
      <c r="BJ630" t="s">
        <v>126</v>
      </c>
      <c r="BK630" t="s">
        <v>126</v>
      </c>
      <c r="BS630" t="s">
        <v>126</v>
      </c>
      <c r="BT630" t="s">
        <v>126</v>
      </c>
      <c r="BU630" t="s">
        <v>126</v>
      </c>
      <c r="BV630" t="s">
        <v>126</v>
      </c>
      <c r="CN630" t="s">
        <v>147</v>
      </c>
      <c r="CP630" t="s">
        <v>278</v>
      </c>
      <c r="CQ630" t="s">
        <v>147</v>
      </c>
    </row>
    <row r="631" spans="1:95" x14ac:dyDescent="0.2">
      <c r="A631" t="s">
        <v>115</v>
      </c>
      <c r="B631" t="s">
        <v>116</v>
      </c>
      <c r="C631">
        <v>210784</v>
      </c>
      <c r="E631" t="s">
        <v>117</v>
      </c>
      <c r="F631">
        <v>368</v>
      </c>
      <c r="G631" t="s">
        <v>141</v>
      </c>
      <c r="H631" t="s">
        <v>142</v>
      </c>
      <c r="I631" t="s">
        <v>279</v>
      </c>
      <c r="J631" t="s">
        <v>280</v>
      </c>
      <c r="L631" t="s">
        <v>378</v>
      </c>
      <c r="M631" s="8">
        <v>45689</v>
      </c>
      <c r="N631">
        <v>5667489</v>
      </c>
      <c r="O631" t="s">
        <v>123</v>
      </c>
      <c r="P631" t="s">
        <v>146</v>
      </c>
      <c r="Q631">
        <v>1.74</v>
      </c>
      <c r="R631" t="s">
        <v>125</v>
      </c>
      <c r="S631" t="s">
        <v>126</v>
      </c>
      <c r="T631" t="s">
        <v>125</v>
      </c>
      <c r="U631" t="s">
        <v>126</v>
      </c>
      <c r="W631">
        <v>1.74</v>
      </c>
      <c r="Y631">
        <v>1.74</v>
      </c>
      <c r="AS631">
        <v>1.74</v>
      </c>
      <c r="BH631" t="s">
        <v>126</v>
      </c>
      <c r="BI631" t="s">
        <v>126</v>
      </c>
      <c r="BJ631" t="s">
        <v>126</v>
      </c>
      <c r="BK631" t="s">
        <v>126</v>
      </c>
      <c r="BS631" t="s">
        <v>126</v>
      </c>
      <c r="BT631" t="s">
        <v>126</v>
      </c>
      <c r="BU631" t="s">
        <v>126</v>
      </c>
      <c r="BV631" t="s">
        <v>126</v>
      </c>
      <c r="CN631" t="s">
        <v>147</v>
      </c>
      <c r="CP631" t="s">
        <v>278</v>
      </c>
      <c r="CQ631" t="s">
        <v>147</v>
      </c>
    </row>
    <row r="632" spans="1:95" x14ac:dyDescent="0.2">
      <c r="A632" t="s">
        <v>115</v>
      </c>
      <c r="B632" t="s">
        <v>116</v>
      </c>
      <c r="C632">
        <v>210784</v>
      </c>
      <c r="E632" t="s">
        <v>117</v>
      </c>
      <c r="F632">
        <v>368</v>
      </c>
      <c r="G632" t="s">
        <v>141</v>
      </c>
      <c r="H632" t="s">
        <v>142</v>
      </c>
      <c r="I632" t="s">
        <v>279</v>
      </c>
      <c r="J632" t="s">
        <v>280</v>
      </c>
      <c r="L632" t="s">
        <v>378</v>
      </c>
      <c r="M632" s="8">
        <v>45689</v>
      </c>
      <c r="N632">
        <v>5667573</v>
      </c>
      <c r="O632" t="s">
        <v>123</v>
      </c>
      <c r="P632" t="s">
        <v>146</v>
      </c>
      <c r="Q632">
        <v>5.29</v>
      </c>
      <c r="R632" t="s">
        <v>125</v>
      </c>
      <c r="S632" t="s">
        <v>126</v>
      </c>
      <c r="T632" t="s">
        <v>125</v>
      </c>
      <c r="U632" t="s">
        <v>126</v>
      </c>
      <c r="W632">
        <v>5.29</v>
      </c>
      <c r="Y632">
        <v>5.29</v>
      </c>
      <c r="AS632">
        <v>5.29</v>
      </c>
      <c r="BH632" t="s">
        <v>126</v>
      </c>
      <c r="BI632" t="s">
        <v>126</v>
      </c>
      <c r="BJ632" t="s">
        <v>126</v>
      </c>
      <c r="BK632" t="s">
        <v>126</v>
      </c>
      <c r="BS632" t="s">
        <v>126</v>
      </c>
      <c r="BT632" t="s">
        <v>126</v>
      </c>
      <c r="BU632" t="s">
        <v>126</v>
      </c>
      <c r="BV632" t="s">
        <v>126</v>
      </c>
      <c r="CN632" t="s">
        <v>147</v>
      </c>
      <c r="CP632" t="s">
        <v>278</v>
      </c>
      <c r="CQ632" t="s">
        <v>147</v>
      </c>
    </row>
    <row r="633" spans="1:95" x14ac:dyDescent="0.2">
      <c r="A633" t="s">
        <v>115</v>
      </c>
      <c r="B633" t="s">
        <v>116</v>
      </c>
      <c r="C633">
        <v>210784</v>
      </c>
      <c r="E633" t="s">
        <v>117</v>
      </c>
      <c r="F633">
        <v>368</v>
      </c>
      <c r="G633" t="s">
        <v>141</v>
      </c>
      <c r="H633" t="s">
        <v>142</v>
      </c>
      <c r="I633" t="s">
        <v>279</v>
      </c>
      <c r="J633" t="s">
        <v>280</v>
      </c>
      <c r="L633" t="s">
        <v>379</v>
      </c>
      <c r="M633" s="8">
        <v>45689</v>
      </c>
      <c r="N633">
        <v>5668271</v>
      </c>
      <c r="O633" t="s">
        <v>123</v>
      </c>
      <c r="P633" t="s">
        <v>146</v>
      </c>
      <c r="Q633">
        <v>1.55</v>
      </c>
      <c r="R633" t="s">
        <v>125</v>
      </c>
      <c r="S633" t="s">
        <v>126</v>
      </c>
      <c r="T633" t="s">
        <v>125</v>
      </c>
      <c r="U633" t="s">
        <v>126</v>
      </c>
      <c r="W633">
        <v>1.55</v>
      </c>
      <c r="Y633">
        <v>1.55</v>
      </c>
      <c r="AS633">
        <v>1.55</v>
      </c>
      <c r="BH633" t="s">
        <v>126</v>
      </c>
      <c r="BI633" t="s">
        <v>126</v>
      </c>
      <c r="BJ633" t="s">
        <v>126</v>
      </c>
      <c r="BK633" t="s">
        <v>126</v>
      </c>
      <c r="BS633" t="s">
        <v>126</v>
      </c>
      <c r="BT633" t="s">
        <v>126</v>
      </c>
      <c r="BU633" t="s">
        <v>126</v>
      </c>
      <c r="BV633" t="s">
        <v>126</v>
      </c>
      <c r="CN633" t="s">
        <v>147</v>
      </c>
      <c r="CP633" t="s">
        <v>278</v>
      </c>
      <c r="CQ633" t="s">
        <v>147</v>
      </c>
    </row>
    <row r="634" spans="1:95" x14ac:dyDescent="0.2">
      <c r="A634" t="s">
        <v>115</v>
      </c>
      <c r="B634" t="s">
        <v>116</v>
      </c>
      <c r="C634">
        <v>210784</v>
      </c>
      <c r="E634" t="s">
        <v>117</v>
      </c>
      <c r="F634">
        <v>368</v>
      </c>
      <c r="G634" t="s">
        <v>141</v>
      </c>
      <c r="H634" t="s">
        <v>142</v>
      </c>
      <c r="I634" t="s">
        <v>279</v>
      </c>
      <c r="J634" t="s">
        <v>280</v>
      </c>
      <c r="L634" t="s">
        <v>380</v>
      </c>
      <c r="M634" s="8">
        <v>45689</v>
      </c>
      <c r="N634">
        <v>5669535</v>
      </c>
      <c r="O634" t="s">
        <v>123</v>
      </c>
      <c r="P634" t="s">
        <v>146</v>
      </c>
      <c r="Q634">
        <v>4.2300000000000004</v>
      </c>
      <c r="R634" t="s">
        <v>125</v>
      </c>
      <c r="S634" t="s">
        <v>126</v>
      </c>
      <c r="T634" t="s">
        <v>125</v>
      </c>
      <c r="U634" t="s">
        <v>126</v>
      </c>
      <c r="W634">
        <v>4.2300000000000004</v>
      </c>
      <c r="Y634">
        <v>4.2300000000000004</v>
      </c>
      <c r="AS634">
        <v>4.2300000000000004</v>
      </c>
      <c r="BH634" t="s">
        <v>126</v>
      </c>
      <c r="BI634" t="s">
        <v>126</v>
      </c>
      <c r="BJ634" t="s">
        <v>126</v>
      </c>
      <c r="BK634" t="s">
        <v>126</v>
      </c>
      <c r="BS634" t="s">
        <v>126</v>
      </c>
      <c r="BT634" t="s">
        <v>126</v>
      </c>
      <c r="BU634" t="s">
        <v>126</v>
      </c>
      <c r="BV634" t="s">
        <v>126</v>
      </c>
      <c r="CN634" t="s">
        <v>147</v>
      </c>
      <c r="CP634" t="s">
        <v>278</v>
      </c>
      <c r="CQ634" t="s">
        <v>147</v>
      </c>
    </row>
    <row r="635" spans="1:95" x14ac:dyDescent="0.2">
      <c r="A635" t="s">
        <v>115</v>
      </c>
      <c r="B635" t="s">
        <v>116</v>
      </c>
      <c r="C635">
        <v>210784</v>
      </c>
      <c r="E635" t="s">
        <v>117</v>
      </c>
      <c r="F635">
        <v>368</v>
      </c>
      <c r="G635" t="s">
        <v>141</v>
      </c>
      <c r="H635" t="s">
        <v>142</v>
      </c>
      <c r="I635" t="s">
        <v>279</v>
      </c>
      <c r="J635" t="s">
        <v>280</v>
      </c>
      <c r="L635" t="s">
        <v>380</v>
      </c>
      <c r="M635" s="8">
        <v>45689</v>
      </c>
      <c r="N635">
        <v>5669683</v>
      </c>
      <c r="O635" t="s">
        <v>123</v>
      </c>
      <c r="P635" t="s">
        <v>146</v>
      </c>
      <c r="Q635">
        <v>5.44</v>
      </c>
      <c r="R635" t="s">
        <v>125</v>
      </c>
      <c r="S635" t="s">
        <v>126</v>
      </c>
      <c r="T635" t="s">
        <v>125</v>
      </c>
      <c r="U635" t="s">
        <v>126</v>
      </c>
      <c r="W635">
        <v>5.44</v>
      </c>
      <c r="Y635">
        <v>5.44</v>
      </c>
      <c r="AS635">
        <v>5.44</v>
      </c>
      <c r="BH635" t="s">
        <v>126</v>
      </c>
      <c r="BI635" t="s">
        <v>126</v>
      </c>
      <c r="BJ635" t="s">
        <v>126</v>
      </c>
      <c r="BK635" t="s">
        <v>126</v>
      </c>
      <c r="BS635" t="s">
        <v>126</v>
      </c>
      <c r="BT635" t="s">
        <v>126</v>
      </c>
      <c r="BU635" t="s">
        <v>126</v>
      </c>
      <c r="BV635" t="s">
        <v>126</v>
      </c>
      <c r="CN635" t="s">
        <v>147</v>
      </c>
      <c r="CP635" t="s">
        <v>278</v>
      </c>
      <c r="CQ635" t="s">
        <v>147</v>
      </c>
    </row>
    <row r="636" spans="1:95" x14ac:dyDescent="0.2">
      <c r="A636" t="s">
        <v>115</v>
      </c>
      <c r="B636" t="s">
        <v>116</v>
      </c>
      <c r="C636">
        <v>210784</v>
      </c>
      <c r="E636" t="s">
        <v>117</v>
      </c>
      <c r="F636">
        <v>368</v>
      </c>
      <c r="G636" t="s">
        <v>141</v>
      </c>
      <c r="H636" t="s">
        <v>142</v>
      </c>
      <c r="I636" t="s">
        <v>279</v>
      </c>
      <c r="J636" t="s">
        <v>280</v>
      </c>
      <c r="L636" t="s">
        <v>381</v>
      </c>
      <c r="M636" s="8">
        <v>45689</v>
      </c>
      <c r="N636">
        <v>5670641</v>
      </c>
      <c r="O636" t="s">
        <v>123</v>
      </c>
      <c r="P636" t="s">
        <v>146</v>
      </c>
      <c r="Q636">
        <v>3.74</v>
      </c>
      <c r="R636" t="s">
        <v>125</v>
      </c>
      <c r="S636" t="s">
        <v>126</v>
      </c>
      <c r="T636" t="s">
        <v>125</v>
      </c>
      <c r="U636" t="s">
        <v>126</v>
      </c>
      <c r="W636">
        <v>3.74</v>
      </c>
      <c r="Y636">
        <v>3.74</v>
      </c>
      <c r="AS636">
        <v>3.74</v>
      </c>
      <c r="BH636" t="s">
        <v>126</v>
      </c>
      <c r="BI636" t="s">
        <v>126</v>
      </c>
      <c r="BJ636" t="s">
        <v>126</v>
      </c>
      <c r="BK636" t="s">
        <v>126</v>
      </c>
      <c r="BS636" t="s">
        <v>126</v>
      </c>
      <c r="BT636" t="s">
        <v>126</v>
      </c>
      <c r="BU636" t="s">
        <v>126</v>
      </c>
      <c r="BV636" t="s">
        <v>126</v>
      </c>
      <c r="CN636" t="s">
        <v>147</v>
      </c>
      <c r="CP636" t="s">
        <v>278</v>
      </c>
      <c r="CQ636" t="s">
        <v>147</v>
      </c>
    </row>
    <row r="637" spans="1:95" x14ac:dyDescent="0.2">
      <c r="A637" t="s">
        <v>115</v>
      </c>
      <c r="B637" t="s">
        <v>116</v>
      </c>
      <c r="C637">
        <v>210784</v>
      </c>
      <c r="E637" t="s">
        <v>117</v>
      </c>
      <c r="F637">
        <v>368</v>
      </c>
      <c r="G637" t="s">
        <v>141</v>
      </c>
      <c r="H637" t="s">
        <v>142</v>
      </c>
      <c r="I637" t="s">
        <v>279</v>
      </c>
      <c r="J637" t="s">
        <v>280</v>
      </c>
      <c r="L637" t="s">
        <v>281</v>
      </c>
      <c r="M637" s="8">
        <v>45689</v>
      </c>
      <c r="N637">
        <v>5671712</v>
      </c>
      <c r="O637" t="s">
        <v>123</v>
      </c>
      <c r="P637" t="s">
        <v>146</v>
      </c>
      <c r="Q637">
        <v>6.69</v>
      </c>
      <c r="R637" t="s">
        <v>125</v>
      </c>
      <c r="S637" t="s">
        <v>126</v>
      </c>
      <c r="T637" t="s">
        <v>125</v>
      </c>
      <c r="U637" t="s">
        <v>126</v>
      </c>
      <c r="W637">
        <v>6.69</v>
      </c>
      <c r="Y637">
        <v>6.69</v>
      </c>
      <c r="AS637">
        <v>6.69</v>
      </c>
      <c r="BH637" t="s">
        <v>126</v>
      </c>
      <c r="BI637" t="s">
        <v>126</v>
      </c>
      <c r="BJ637" t="s">
        <v>126</v>
      </c>
      <c r="BK637" t="s">
        <v>126</v>
      </c>
      <c r="BS637" t="s">
        <v>126</v>
      </c>
      <c r="BT637" t="s">
        <v>126</v>
      </c>
      <c r="BU637" t="s">
        <v>126</v>
      </c>
      <c r="BV637" t="s">
        <v>126</v>
      </c>
      <c r="CN637" t="s">
        <v>147</v>
      </c>
      <c r="CP637" t="s">
        <v>278</v>
      </c>
      <c r="CQ637" t="s">
        <v>147</v>
      </c>
    </row>
    <row r="638" spans="1:95" x14ac:dyDescent="0.2">
      <c r="A638" t="s">
        <v>115</v>
      </c>
      <c r="B638" t="s">
        <v>116</v>
      </c>
      <c r="C638">
        <v>210784</v>
      </c>
      <c r="E638" t="s">
        <v>117</v>
      </c>
      <c r="F638">
        <v>368</v>
      </c>
      <c r="G638" t="s">
        <v>141</v>
      </c>
      <c r="H638" t="s">
        <v>142</v>
      </c>
      <c r="I638" t="s">
        <v>279</v>
      </c>
      <c r="J638" t="s">
        <v>280</v>
      </c>
      <c r="L638" t="s">
        <v>382</v>
      </c>
      <c r="M638" s="8">
        <v>45689</v>
      </c>
      <c r="N638">
        <v>5672977</v>
      </c>
      <c r="O638" t="s">
        <v>123</v>
      </c>
      <c r="P638" t="s">
        <v>146</v>
      </c>
      <c r="Q638">
        <v>4.17</v>
      </c>
      <c r="R638" t="s">
        <v>125</v>
      </c>
      <c r="S638" t="s">
        <v>126</v>
      </c>
      <c r="T638" t="s">
        <v>125</v>
      </c>
      <c r="U638" t="s">
        <v>126</v>
      </c>
      <c r="W638">
        <v>4.17</v>
      </c>
      <c r="Y638">
        <v>4.17</v>
      </c>
      <c r="AS638">
        <v>4.17</v>
      </c>
      <c r="BH638" t="s">
        <v>126</v>
      </c>
      <c r="BI638" t="s">
        <v>126</v>
      </c>
      <c r="BJ638" t="s">
        <v>126</v>
      </c>
      <c r="BK638" t="s">
        <v>126</v>
      </c>
      <c r="BS638" t="s">
        <v>126</v>
      </c>
      <c r="BT638" t="s">
        <v>126</v>
      </c>
      <c r="BU638" t="s">
        <v>126</v>
      </c>
      <c r="BV638" t="s">
        <v>126</v>
      </c>
      <c r="CN638" t="s">
        <v>147</v>
      </c>
      <c r="CP638" t="s">
        <v>383</v>
      </c>
      <c r="CQ638" t="s">
        <v>147</v>
      </c>
    </row>
    <row r="639" spans="1:95" x14ac:dyDescent="0.2">
      <c r="A639" t="s">
        <v>115</v>
      </c>
      <c r="B639" t="s">
        <v>116</v>
      </c>
      <c r="C639">
        <v>210784</v>
      </c>
      <c r="E639" t="s">
        <v>117</v>
      </c>
      <c r="F639">
        <v>368</v>
      </c>
      <c r="G639" t="s">
        <v>141</v>
      </c>
      <c r="H639" t="s">
        <v>142</v>
      </c>
      <c r="I639" t="s">
        <v>279</v>
      </c>
      <c r="J639" t="s">
        <v>280</v>
      </c>
      <c r="L639" t="s">
        <v>278</v>
      </c>
      <c r="M639" s="8">
        <v>45689</v>
      </c>
      <c r="N639">
        <v>5674197</v>
      </c>
      <c r="O639" t="s">
        <v>123</v>
      </c>
      <c r="P639" t="s">
        <v>146</v>
      </c>
      <c r="Q639">
        <v>2.3199999999999998</v>
      </c>
      <c r="R639" t="s">
        <v>125</v>
      </c>
      <c r="S639" t="s">
        <v>126</v>
      </c>
      <c r="T639" t="s">
        <v>125</v>
      </c>
      <c r="U639" t="s">
        <v>126</v>
      </c>
      <c r="W639">
        <v>2.3199999999999998</v>
      </c>
      <c r="Y639">
        <v>2.3199999999999998</v>
      </c>
      <c r="AS639">
        <v>2.3199999999999998</v>
      </c>
      <c r="BH639" t="s">
        <v>126</v>
      </c>
      <c r="BI639" t="s">
        <v>126</v>
      </c>
      <c r="BJ639" t="s">
        <v>126</v>
      </c>
      <c r="BK639" t="s">
        <v>126</v>
      </c>
      <c r="BS639" t="s">
        <v>126</v>
      </c>
      <c r="BT639" t="s">
        <v>126</v>
      </c>
      <c r="BU639" t="s">
        <v>126</v>
      </c>
      <c r="BV639" t="s">
        <v>126</v>
      </c>
      <c r="CN639" t="s">
        <v>147</v>
      </c>
      <c r="CP639" t="s">
        <v>383</v>
      </c>
      <c r="CQ639" t="s">
        <v>147</v>
      </c>
    </row>
    <row r="640" spans="1:95" x14ac:dyDescent="0.2">
      <c r="A640" t="s">
        <v>115</v>
      </c>
      <c r="B640" t="s">
        <v>116</v>
      </c>
      <c r="C640">
        <v>210784</v>
      </c>
      <c r="E640" t="s">
        <v>117</v>
      </c>
      <c r="F640">
        <v>368</v>
      </c>
      <c r="G640" t="s">
        <v>141</v>
      </c>
      <c r="H640" t="s">
        <v>142</v>
      </c>
      <c r="I640" t="s">
        <v>279</v>
      </c>
      <c r="J640" t="s">
        <v>280</v>
      </c>
      <c r="L640" t="s">
        <v>278</v>
      </c>
      <c r="M640" s="8">
        <v>45689</v>
      </c>
      <c r="N640">
        <v>5673892</v>
      </c>
      <c r="O640" t="s">
        <v>123</v>
      </c>
      <c r="P640" t="s">
        <v>146</v>
      </c>
      <c r="Q640">
        <v>1.9</v>
      </c>
      <c r="R640" t="s">
        <v>125</v>
      </c>
      <c r="S640" t="s">
        <v>126</v>
      </c>
      <c r="T640" t="s">
        <v>125</v>
      </c>
      <c r="U640" t="s">
        <v>126</v>
      </c>
      <c r="W640">
        <v>1.9</v>
      </c>
      <c r="Y640">
        <v>1.9</v>
      </c>
      <c r="AS640">
        <v>1.9</v>
      </c>
      <c r="BH640" t="s">
        <v>126</v>
      </c>
      <c r="BI640" t="s">
        <v>126</v>
      </c>
      <c r="BJ640" t="s">
        <v>126</v>
      </c>
      <c r="BK640" t="s">
        <v>126</v>
      </c>
      <c r="BS640" t="s">
        <v>126</v>
      </c>
      <c r="BT640" t="s">
        <v>126</v>
      </c>
      <c r="BU640" t="s">
        <v>126</v>
      </c>
      <c r="BV640" t="s">
        <v>126</v>
      </c>
      <c r="CN640" t="s">
        <v>147</v>
      </c>
      <c r="CP640" t="s">
        <v>383</v>
      </c>
      <c r="CQ640" t="s">
        <v>147</v>
      </c>
    </row>
    <row r="641" spans="1:95" x14ac:dyDescent="0.2">
      <c r="A641" t="s">
        <v>115</v>
      </c>
      <c r="B641" t="s">
        <v>116</v>
      </c>
      <c r="C641">
        <v>210784</v>
      </c>
      <c r="E641" t="s">
        <v>117</v>
      </c>
      <c r="F641">
        <v>368</v>
      </c>
      <c r="G641" t="s">
        <v>141</v>
      </c>
      <c r="H641" t="s">
        <v>142</v>
      </c>
      <c r="I641" t="s">
        <v>279</v>
      </c>
      <c r="J641" t="s">
        <v>280</v>
      </c>
      <c r="L641" t="s">
        <v>278</v>
      </c>
      <c r="M641" s="8">
        <v>45689</v>
      </c>
      <c r="N641">
        <v>5673669</v>
      </c>
      <c r="O641" t="s">
        <v>123</v>
      </c>
      <c r="P641" t="s">
        <v>146</v>
      </c>
      <c r="Q641">
        <v>5.19</v>
      </c>
      <c r="R641" t="s">
        <v>125</v>
      </c>
      <c r="S641" t="s">
        <v>126</v>
      </c>
      <c r="T641" t="s">
        <v>125</v>
      </c>
      <c r="U641" t="s">
        <v>126</v>
      </c>
      <c r="W641">
        <v>5.19</v>
      </c>
      <c r="Y641">
        <v>5.19</v>
      </c>
      <c r="AS641">
        <v>5.19</v>
      </c>
      <c r="BH641" t="s">
        <v>126</v>
      </c>
      <c r="BI641" t="s">
        <v>126</v>
      </c>
      <c r="BJ641" t="s">
        <v>126</v>
      </c>
      <c r="BK641" t="s">
        <v>126</v>
      </c>
      <c r="BS641" t="s">
        <v>126</v>
      </c>
      <c r="BT641" t="s">
        <v>126</v>
      </c>
      <c r="BU641" t="s">
        <v>126</v>
      </c>
      <c r="BV641" t="s">
        <v>126</v>
      </c>
      <c r="CN641" t="s">
        <v>147</v>
      </c>
      <c r="CP641" t="s">
        <v>383</v>
      </c>
      <c r="CQ641" t="s">
        <v>147</v>
      </c>
    </row>
    <row r="642" spans="1:95" x14ac:dyDescent="0.2">
      <c r="A642" t="s">
        <v>115</v>
      </c>
      <c r="B642" t="s">
        <v>116</v>
      </c>
      <c r="C642">
        <v>210784</v>
      </c>
      <c r="E642" t="s">
        <v>117</v>
      </c>
      <c r="F642">
        <v>368</v>
      </c>
      <c r="G642" t="s">
        <v>141</v>
      </c>
      <c r="H642" t="s">
        <v>142</v>
      </c>
      <c r="I642" t="s">
        <v>279</v>
      </c>
      <c r="J642" t="s">
        <v>280</v>
      </c>
      <c r="L642" t="s">
        <v>277</v>
      </c>
      <c r="M642" s="8">
        <v>45689</v>
      </c>
      <c r="N642">
        <v>5659887</v>
      </c>
      <c r="O642" t="s">
        <v>123</v>
      </c>
      <c r="P642" t="s">
        <v>146</v>
      </c>
      <c r="Q642">
        <v>3.51</v>
      </c>
      <c r="R642" t="s">
        <v>569</v>
      </c>
      <c r="S642" t="s">
        <v>126</v>
      </c>
      <c r="T642" t="s">
        <v>569</v>
      </c>
      <c r="U642" t="s">
        <v>570</v>
      </c>
      <c r="W642">
        <v>1.08</v>
      </c>
      <c r="X642">
        <v>2.4300000000000002</v>
      </c>
      <c r="Y642">
        <v>3.51</v>
      </c>
      <c r="Z642">
        <v>1.34</v>
      </c>
      <c r="AG642">
        <v>1.08</v>
      </c>
      <c r="AI642">
        <v>1.0900000000000001</v>
      </c>
      <c r="BH642" t="s">
        <v>126</v>
      </c>
      <c r="BI642" t="s">
        <v>126</v>
      </c>
      <c r="BJ642" t="s">
        <v>126</v>
      </c>
      <c r="BK642" t="s">
        <v>126</v>
      </c>
      <c r="BS642" t="s">
        <v>126</v>
      </c>
      <c r="BT642" t="s">
        <v>126</v>
      </c>
      <c r="BU642" t="s">
        <v>126</v>
      </c>
      <c r="BV642" t="s">
        <v>126</v>
      </c>
      <c r="CN642" t="s">
        <v>147</v>
      </c>
      <c r="CP642" t="s">
        <v>278</v>
      </c>
      <c r="CQ642" t="s">
        <v>147</v>
      </c>
    </row>
    <row r="643" spans="1:95" x14ac:dyDescent="0.2">
      <c r="A643" t="s">
        <v>115</v>
      </c>
      <c r="B643" t="s">
        <v>116</v>
      </c>
      <c r="C643">
        <v>210784</v>
      </c>
      <c r="E643" t="s">
        <v>117</v>
      </c>
      <c r="F643">
        <v>368</v>
      </c>
      <c r="G643" t="s">
        <v>141</v>
      </c>
      <c r="H643" t="s">
        <v>142</v>
      </c>
      <c r="I643" t="s">
        <v>279</v>
      </c>
      <c r="J643" t="s">
        <v>280</v>
      </c>
      <c r="L643" t="s">
        <v>676</v>
      </c>
      <c r="M643" s="8">
        <v>45689</v>
      </c>
      <c r="N643">
        <v>5662397</v>
      </c>
      <c r="O643" t="s">
        <v>123</v>
      </c>
      <c r="P643" t="s">
        <v>146</v>
      </c>
      <c r="Q643">
        <v>2.75</v>
      </c>
      <c r="R643" t="s">
        <v>644</v>
      </c>
      <c r="S643" t="s">
        <v>126</v>
      </c>
      <c r="T643" t="s">
        <v>644</v>
      </c>
      <c r="U643" t="s">
        <v>645</v>
      </c>
      <c r="W643">
        <v>0.85</v>
      </c>
      <c r="X643">
        <v>1.9</v>
      </c>
      <c r="Y643">
        <v>2.75</v>
      </c>
      <c r="Z643">
        <v>1.04</v>
      </c>
      <c r="AG643">
        <v>0.85</v>
      </c>
      <c r="AI643">
        <v>0.86</v>
      </c>
      <c r="BH643" t="s">
        <v>126</v>
      </c>
      <c r="BI643" t="s">
        <v>126</v>
      </c>
      <c r="BJ643" t="s">
        <v>126</v>
      </c>
      <c r="BK643" t="s">
        <v>126</v>
      </c>
      <c r="BS643" t="s">
        <v>126</v>
      </c>
      <c r="BT643" t="s">
        <v>126</v>
      </c>
      <c r="BU643" t="s">
        <v>126</v>
      </c>
      <c r="BV643" t="s">
        <v>126</v>
      </c>
      <c r="CN643" t="s">
        <v>147</v>
      </c>
      <c r="CP643" t="s">
        <v>278</v>
      </c>
      <c r="CQ643" t="s">
        <v>147</v>
      </c>
    </row>
    <row r="644" spans="1:95" x14ac:dyDescent="0.2">
      <c r="A644" t="s">
        <v>115</v>
      </c>
      <c r="B644" t="s">
        <v>116</v>
      </c>
      <c r="C644">
        <v>210784</v>
      </c>
      <c r="E644" t="s">
        <v>117</v>
      </c>
      <c r="F644">
        <v>368</v>
      </c>
      <c r="G644" t="s">
        <v>141</v>
      </c>
      <c r="H644" t="s">
        <v>142</v>
      </c>
      <c r="I644" t="s">
        <v>279</v>
      </c>
      <c r="J644" t="s">
        <v>280</v>
      </c>
      <c r="L644" t="s">
        <v>379</v>
      </c>
      <c r="M644" s="8">
        <v>45689</v>
      </c>
      <c r="N644">
        <v>5668425</v>
      </c>
      <c r="O644" t="s">
        <v>123</v>
      </c>
      <c r="P644" t="s">
        <v>146</v>
      </c>
      <c r="Q644">
        <v>1.45</v>
      </c>
      <c r="R644" t="s">
        <v>620</v>
      </c>
      <c r="S644" t="s">
        <v>126</v>
      </c>
      <c r="T644" t="s">
        <v>620</v>
      </c>
      <c r="U644" t="s">
        <v>621</v>
      </c>
      <c r="W644">
        <v>0.45</v>
      </c>
      <c r="X644">
        <v>1</v>
      </c>
      <c r="Y644">
        <v>1.45</v>
      </c>
      <c r="Z644">
        <v>0.55000000000000004</v>
      </c>
      <c r="AG644">
        <v>0.45</v>
      </c>
      <c r="AI644">
        <v>0.45</v>
      </c>
      <c r="BH644" t="s">
        <v>126</v>
      </c>
      <c r="BI644" t="s">
        <v>126</v>
      </c>
      <c r="BJ644" t="s">
        <v>126</v>
      </c>
      <c r="BK644" t="s">
        <v>126</v>
      </c>
      <c r="BS644" t="s">
        <v>126</v>
      </c>
      <c r="BT644" t="s">
        <v>126</v>
      </c>
      <c r="BU644" t="s">
        <v>126</v>
      </c>
      <c r="BV644" t="s">
        <v>126</v>
      </c>
      <c r="CN644" t="s">
        <v>147</v>
      </c>
      <c r="CP644" t="s">
        <v>278</v>
      </c>
      <c r="CQ644" t="s">
        <v>147</v>
      </c>
    </row>
    <row r="645" spans="1:95" x14ac:dyDescent="0.2">
      <c r="A645" t="s">
        <v>115</v>
      </c>
      <c r="B645" t="s">
        <v>116</v>
      </c>
      <c r="C645">
        <v>210784</v>
      </c>
      <c r="E645" t="s">
        <v>117</v>
      </c>
      <c r="F645">
        <v>368</v>
      </c>
      <c r="G645" t="s">
        <v>141</v>
      </c>
      <c r="H645" t="s">
        <v>142</v>
      </c>
      <c r="I645" t="s">
        <v>279</v>
      </c>
      <c r="J645" t="s">
        <v>280</v>
      </c>
      <c r="L645" t="s">
        <v>277</v>
      </c>
      <c r="M645" s="8">
        <v>45689</v>
      </c>
      <c r="N645">
        <v>5659469</v>
      </c>
      <c r="O645" t="s">
        <v>123</v>
      </c>
      <c r="P645" t="s">
        <v>146</v>
      </c>
      <c r="Q645">
        <v>1.19</v>
      </c>
      <c r="R645" t="s">
        <v>125</v>
      </c>
      <c r="S645" t="s">
        <v>126</v>
      </c>
      <c r="T645" t="s">
        <v>125</v>
      </c>
      <c r="U645" t="s">
        <v>126</v>
      </c>
      <c r="W645">
        <v>1.19</v>
      </c>
      <c r="Y645">
        <v>1.19</v>
      </c>
      <c r="BE645">
        <v>1.19</v>
      </c>
      <c r="BH645" t="s">
        <v>126</v>
      </c>
      <c r="BI645" t="s">
        <v>126</v>
      </c>
      <c r="BJ645" t="s">
        <v>126</v>
      </c>
      <c r="BK645" t="s">
        <v>126</v>
      </c>
      <c r="BS645" t="s">
        <v>126</v>
      </c>
      <c r="BT645" t="s">
        <v>126</v>
      </c>
      <c r="BU645" t="s">
        <v>126</v>
      </c>
      <c r="BV645" t="s">
        <v>126</v>
      </c>
      <c r="CN645" t="s">
        <v>147</v>
      </c>
      <c r="CP645" t="s">
        <v>278</v>
      </c>
      <c r="CQ645" t="s">
        <v>147</v>
      </c>
    </row>
    <row r="646" spans="1:95" x14ac:dyDescent="0.2">
      <c r="A646" t="s">
        <v>115</v>
      </c>
      <c r="B646" t="s">
        <v>116</v>
      </c>
      <c r="C646">
        <v>210784</v>
      </c>
      <c r="E646" t="s">
        <v>117</v>
      </c>
      <c r="F646">
        <v>368</v>
      </c>
      <c r="G646" t="s">
        <v>141</v>
      </c>
      <c r="H646" t="s">
        <v>142</v>
      </c>
      <c r="I646" t="s">
        <v>279</v>
      </c>
      <c r="J646" t="s">
        <v>280</v>
      </c>
      <c r="L646" t="s">
        <v>676</v>
      </c>
      <c r="M646" s="8">
        <v>45689</v>
      </c>
      <c r="N646">
        <v>5661500</v>
      </c>
      <c r="O646" t="s">
        <v>123</v>
      </c>
      <c r="P646" t="s">
        <v>146</v>
      </c>
      <c r="Q646">
        <v>1.48</v>
      </c>
      <c r="R646" t="s">
        <v>125</v>
      </c>
      <c r="S646" t="s">
        <v>126</v>
      </c>
      <c r="T646" t="s">
        <v>125</v>
      </c>
      <c r="U646" t="s">
        <v>126</v>
      </c>
      <c r="W646">
        <v>1.48</v>
      </c>
      <c r="Y646">
        <v>1.48</v>
      </c>
      <c r="BE646">
        <v>1.48</v>
      </c>
      <c r="BH646" t="s">
        <v>126</v>
      </c>
      <c r="BI646" t="s">
        <v>126</v>
      </c>
      <c r="BJ646" t="s">
        <v>126</v>
      </c>
      <c r="BK646" t="s">
        <v>126</v>
      </c>
      <c r="BS646" t="s">
        <v>126</v>
      </c>
      <c r="BT646" t="s">
        <v>126</v>
      </c>
      <c r="BU646" t="s">
        <v>126</v>
      </c>
      <c r="BV646" t="s">
        <v>126</v>
      </c>
      <c r="CN646" t="s">
        <v>147</v>
      </c>
      <c r="CP646" t="s">
        <v>278</v>
      </c>
      <c r="CQ646" t="s">
        <v>147</v>
      </c>
    </row>
    <row r="647" spans="1:95" x14ac:dyDescent="0.2">
      <c r="A647" t="s">
        <v>115</v>
      </c>
      <c r="B647" t="s">
        <v>116</v>
      </c>
      <c r="C647">
        <v>210784</v>
      </c>
      <c r="E647" t="s">
        <v>117</v>
      </c>
      <c r="F647">
        <v>368</v>
      </c>
      <c r="G647" t="s">
        <v>141</v>
      </c>
      <c r="H647" t="s">
        <v>142</v>
      </c>
      <c r="I647" t="s">
        <v>279</v>
      </c>
      <c r="J647" t="s">
        <v>280</v>
      </c>
      <c r="L647" t="s">
        <v>376</v>
      </c>
      <c r="M647" s="8">
        <v>45689</v>
      </c>
      <c r="N647">
        <v>5665987</v>
      </c>
      <c r="O647" t="s">
        <v>123</v>
      </c>
      <c r="P647" t="s">
        <v>146</v>
      </c>
      <c r="Q647">
        <v>2.37</v>
      </c>
      <c r="R647" t="s">
        <v>125</v>
      </c>
      <c r="S647" t="s">
        <v>126</v>
      </c>
      <c r="T647" t="s">
        <v>125</v>
      </c>
      <c r="U647" t="s">
        <v>126</v>
      </c>
      <c r="W647">
        <v>2.37</v>
      </c>
      <c r="Y647">
        <v>2.37</v>
      </c>
      <c r="BE647">
        <v>2.37</v>
      </c>
      <c r="BH647" t="s">
        <v>126</v>
      </c>
      <c r="BI647" t="s">
        <v>126</v>
      </c>
      <c r="BJ647" t="s">
        <v>126</v>
      </c>
      <c r="BK647" t="s">
        <v>126</v>
      </c>
      <c r="BS647" t="s">
        <v>126</v>
      </c>
      <c r="BT647" t="s">
        <v>126</v>
      </c>
      <c r="BU647" t="s">
        <v>126</v>
      </c>
      <c r="BV647" t="s">
        <v>126</v>
      </c>
      <c r="CN647" t="s">
        <v>147</v>
      </c>
      <c r="CP647" t="s">
        <v>278</v>
      </c>
      <c r="CQ647" t="s">
        <v>147</v>
      </c>
    </row>
    <row r="648" spans="1:95" x14ac:dyDescent="0.2">
      <c r="A648" t="s">
        <v>115</v>
      </c>
      <c r="B648" t="s">
        <v>116</v>
      </c>
      <c r="C648">
        <v>210784</v>
      </c>
      <c r="E648" t="s">
        <v>117</v>
      </c>
      <c r="F648">
        <v>368</v>
      </c>
      <c r="G648" t="s">
        <v>141</v>
      </c>
      <c r="H648" t="s">
        <v>142</v>
      </c>
      <c r="I648" t="s">
        <v>279</v>
      </c>
      <c r="J648" t="s">
        <v>280</v>
      </c>
      <c r="L648" t="s">
        <v>377</v>
      </c>
      <c r="M648" s="8">
        <v>45689</v>
      </c>
      <c r="N648">
        <v>5666411</v>
      </c>
      <c r="O648" t="s">
        <v>123</v>
      </c>
      <c r="P648" t="s">
        <v>146</v>
      </c>
      <c r="Q648">
        <v>1.21</v>
      </c>
      <c r="R648" t="s">
        <v>125</v>
      </c>
      <c r="S648" t="s">
        <v>126</v>
      </c>
      <c r="T648" t="s">
        <v>125</v>
      </c>
      <c r="U648" t="s">
        <v>126</v>
      </c>
      <c r="W648">
        <v>1.21</v>
      </c>
      <c r="Y648">
        <v>1.21</v>
      </c>
      <c r="BE648">
        <v>1.21</v>
      </c>
      <c r="BH648" t="s">
        <v>126</v>
      </c>
      <c r="BI648" t="s">
        <v>126</v>
      </c>
      <c r="BJ648" t="s">
        <v>126</v>
      </c>
      <c r="BK648" t="s">
        <v>126</v>
      </c>
      <c r="BS648" t="s">
        <v>126</v>
      </c>
      <c r="BT648" t="s">
        <v>126</v>
      </c>
      <c r="BU648" t="s">
        <v>126</v>
      </c>
      <c r="BV648" t="s">
        <v>126</v>
      </c>
      <c r="CN648" t="s">
        <v>147</v>
      </c>
      <c r="CP648" t="s">
        <v>278</v>
      </c>
      <c r="CQ648" t="s">
        <v>147</v>
      </c>
    </row>
    <row r="649" spans="1:95" x14ac:dyDescent="0.2">
      <c r="A649" t="s">
        <v>115</v>
      </c>
      <c r="B649" t="s">
        <v>116</v>
      </c>
      <c r="C649">
        <v>210784</v>
      </c>
      <c r="E649" t="s">
        <v>117</v>
      </c>
      <c r="F649">
        <v>368</v>
      </c>
      <c r="G649" t="s">
        <v>141</v>
      </c>
      <c r="H649" t="s">
        <v>142</v>
      </c>
      <c r="I649" t="s">
        <v>279</v>
      </c>
      <c r="J649" t="s">
        <v>280</v>
      </c>
      <c r="L649" t="s">
        <v>885</v>
      </c>
      <c r="M649" s="8">
        <v>45689</v>
      </c>
      <c r="N649">
        <v>5668604</v>
      </c>
      <c r="O649" t="s">
        <v>123</v>
      </c>
      <c r="P649" t="s">
        <v>146</v>
      </c>
      <c r="Q649">
        <v>1.47</v>
      </c>
      <c r="R649" t="s">
        <v>125</v>
      </c>
      <c r="S649" t="s">
        <v>126</v>
      </c>
      <c r="T649" t="s">
        <v>125</v>
      </c>
      <c r="U649" t="s">
        <v>126</v>
      </c>
      <c r="W649">
        <v>1.47</v>
      </c>
      <c r="Y649">
        <v>1.47</v>
      </c>
      <c r="BE649">
        <v>1.47</v>
      </c>
      <c r="BH649" t="s">
        <v>126</v>
      </c>
      <c r="BI649" t="s">
        <v>126</v>
      </c>
      <c r="BJ649" t="s">
        <v>126</v>
      </c>
      <c r="BK649" t="s">
        <v>126</v>
      </c>
      <c r="BS649" t="s">
        <v>126</v>
      </c>
      <c r="BT649" t="s">
        <v>126</v>
      </c>
      <c r="BU649" t="s">
        <v>126</v>
      </c>
      <c r="BV649" t="s">
        <v>126</v>
      </c>
      <c r="CN649" t="s">
        <v>147</v>
      </c>
      <c r="CP649" t="s">
        <v>278</v>
      </c>
      <c r="CQ649" t="s">
        <v>147</v>
      </c>
    </row>
    <row r="650" spans="1:95" x14ac:dyDescent="0.2">
      <c r="A650" t="s">
        <v>115</v>
      </c>
      <c r="B650" t="s">
        <v>116</v>
      </c>
      <c r="C650">
        <v>210784</v>
      </c>
      <c r="E650" t="s">
        <v>117</v>
      </c>
      <c r="F650">
        <v>368</v>
      </c>
      <c r="G650" t="s">
        <v>141</v>
      </c>
      <c r="H650" t="s">
        <v>142</v>
      </c>
      <c r="I650" t="s">
        <v>279</v>
      </c>
      <c r="J650" t="s">
        <v>280</v>
      </c>
      <c r="L650" t="s">
        <v>281</v>
      </c>
      <c r="M650" s="8">
        <v>45689</v>
      </c>
      <c r="N650">
        <v>5671753</v>
      </c>
      <c r="O650" t="s">
        <v>123</v>
      </c>
      <c r="P650" t="s">
        <v>146</v>
      </c>
      <c r="Q650">
        <v>1.81</v>
      </c>
      <c r="R650" t="s">
        <v>125</v>
      </c>
      <c r="S650" t="s">
        <v>126</v>
      </c>
      <c r="T650" t="s">
        <v>125</v>
      </c>
      <c r="U650" t="s">
        <v>126</v>
      </c>
      <c r="W650">
        <v>1.81</v>
      </c>
      <c r="Y650">
        <v>1.81</v>
      </c>
      <c r="BE650">
        <v>1.81</v>
      </c>
      <c r="BH650" t="s">
        <v>126</v>
      </c>
      <c r="BI650" t="s">
        <v>126</v>
      </c>
      <c r="BJ650" t="s">
        <v>126</v>
      </c>
      <c r="BK650" t="s">
        <v>126</v>
      </c>
      <c r="BS650" t="s">
        <v>126</v>
      </c>
      <c r="BT650" t="s">
        <v>126</v>
      </c>
      <c r="BU650" t="s">
        <v>126</v>
      </c>
      <c r="BV650" t="s">
        <v>126</v>
      </c>
      <c r="CN650" t="s">
        <v>147</v>
      </c>
      <c r="CP650" t="s">
        <v>278</v>
      </c>
      <c r="CQ650" t="s">
        <v>147</v>
      </c>
    </row>
    <row r="651" spans="1:95" x14ac:dyDescent="0.2">
      <c r="A651" t="s">
        <v>115</v>
      </c>
      <c r="B651" t="s">
        <v>116</v>
      </c>
      <c r="C651">
        <v>210784</v>
      </c>
      <c r="E651" t="s">
        <v>117</v>
      </c>
      <c r="F651">
        <v>368</v>
      </c>
      <c r="G651" t="s">
        <v>141</v>
      </c>
      <c r="H651" t="s">
        <v>142</v>
      </c>
      <c r="I651" t="s">
        <v>279</v>
      </c>
      <c r="J651" t="s">
        <v>280</v>
      </c>
      <c r="L651" t="s">
        <v>278</v>
      </c>
      <c r="M651" s="8">
        <v>45689</v>
      </c>
      <c r="N651">
        <v>5673582</v>
      </c>
      <c r="O651" t="s">
        <v>123</v>
      </c>
      <c r="P651" t="s">
        <v>146</v>
      </c>
      <c r="Q651">
        <v>2.1800000000000002</v>
      </c>
      <c r="R651" t="s">
        <v>125</v>
      </c>
      <c r="S651" t="s">
        <v>126</v>
      </c>
      <c r="T651" t="s">
        <v>125</v>
      </c>
      <c r="U651" t="s">
        <v>126</v>
      </c>
      <c r="W651">
        <v>2.1800000000000002</v>
      </c>
      <c r="Y651">
        <v>2.1800000000000002</v>
      </c>
      <c r="BE651">
        <v>2.1800000000000002</v>
      </c>
      <c r="BH651" t="s">
        <v>126</v>
      </c>
      <c r="BI651" t="s">
        <v>126</v>
      </c>
      <c r="BJ651" t="s">
        <v>126</v>
      </c>
      <c r="BK651" t="s">
        <v>126</v>
      </c>
      <c r="BS651" t="s">
        <v>126</v>
      </c>
      <c r="BT651" t="s">
        <v>126</v>
      </c>
      <c r="BU651" t="s">
        <v>126</v>
      </c>
      <c r="BV651" t="s">
        <v>126</v>
      </c>
      <c r="CN651" t="s">
        <v>147</v>
      </c>
      <c r="CP651" t="s">
        <v>383</v>
      </c>
      <c r="CQ651" t="s">
        <v>147</v>
      </c>
    </row>
    <row r="652" spans="1:95" x14ac:dyDescent="0.2">
      <c r="A652" t="s">
        <v>115</v>
      </c>
      <c r="B652" t="s">
        <v>116</v>
      </c>
      <c r="C652">
        <v>210784</v>
      </c>
      <c r="E652" t="s">
        <v>117</v>
      </c>
      <c r="F652">
        <v>368</v>
      </c>
      <c r="G652" t="s">
        <v>141</v>
      </c>
      <c r="H652" t="s">
        <v>142</v>
      </c>
      <c r="I652" t="s">
        <v>279</v>
      </c>
      <c r="J652" t="s">
        <v>280</v>
      </c>
      <c r="L652" t="s">
        <v>886</v>
      </c>
      <c r="M652" s="8">
        <v>45689</v>
      </c>
      <c r="N652">
        <v>5674686</v>
      </c>
      <c r="O652" t="s">
        <v>123</v>
      </c>
      <c r="P652" t="s">
        <v>146</v>
      </c>
      <c r="Q652">
        <v>2.64</v>
      </c>
      <c r="R652" t="s">
        <v>125</v>
      </c>
      <c r="S652" t="s">
        <v>126</v>
      </c>
      <c r="T652" t="s">
        <v>125</v>
      </c>
      <c r="U652" t="s">
        <v>126</v>
      </c>
      <c r="W652">
        <v>2.64</v>
      </c>
      <c r="Y652">
        <v>2.64</v>
      </c>
      <c r="BE652">
        <v>2.64</v>
      </c>
      <c r="BH652" t="s">
        <v>126</v>
      </c>
      <c r="BI652" t="s">
        <v>126</v>
      </c>
      <c r="BJ652" t="s">
        <v>126</v>
      </c>
      <c r="BK652" t="s">
        <v>126</v>
      </c>
      <c r="BS652" t="s">
        <v>126</v>
      </c>
      <c r="BT652" t="s">
        <v>126</v>
      </c>
      <c r="BU652" t="s">
        <v>126</v>
      </c>
      <c r="BV652" t="s">
        <v>126</v>
      </c>
      <c r="CN652" t="s">
        <v>147</v>
      </c>
      <c r="CP652" t="s">
        <v>383</v>
      </c>
      <c r="CQ652" t="s">
        <v>147</v>
      </c>
    </row>
    <row r="653" spans="1:95" x14ac:dyDescent="0.2">
      <c r="A653" t="s">
        <v>115</v>
      </c>
      <c r="B653" t="s">
        <v>116</v>
      </c>
      <c r="C653">
        <v>210784</v>
      </c>
      <c r="E653" t="s">
        <v>117</v>
      </c>
      <c r="F653">
        <v>368</v>
      </c>
      <c r="G653" t="s">
        <v>141</v>
      </c>
      <c r="H653" t="s">
        <v>142</v>
      </c>
      <c r="I653" t="s">
        <v>279</v>
      </c>
      <c r="J653" t="s">
        <v>280</v>
      </c>
      <c r="L653" t="s">
        <v>384</v>
      </c>
      <c r="M653" s="8">
        <v>45717</v>
      </c>
      <c r="N653">
        <v>5676176</v>
      </c>
      <c r="O653" t="s">
        <v>123</v>
      </c>
      <c r="P653" t="s">
        <v>146</v>
      </c>
      <c r="Q653">
        <v>2.21</v>
      </c>
      <c r="R653" t="s">
        <v>125</v>
      </c>
      <c r="S653" t="s">
        <v>126</v>
      </c>
      <c r="T653" t="s">
        <v>125</v>
      </c>
      <c r="U653" t="s">
        <v>126</v>
      </c>
      <c r="W653">
        <v>2.21</v>
      </c>
      <c r="Y653">
        <v>2.21</v>
      </c>
      <c r="AS653">
        <v>2.21</v>
      </c>
      <c r="BH653" t="s">
        <v>126</v>
      </c>
      <c r="BI653" t="s">
        <v>126</v>
      </c>
      <c r="BJ653" t="s">
        <v>126</v>
      </c>
      <c r="BK653" t="s">
        <v>126</v>
      </c>
      <c r="BS653" t="s">
        <v>126</v>
      </c>
      <c r="BT653" t="s">
        <v>126</v>
      </c>
      <c r="BU653" t="s">
        <v>126</v>
      </c>
      <c r="BV653" t="s">
        <v>126</v>
      </c>
      <c r="CN653" t="s">
        <v>147</v>
      </c>
      <c r="CP653" t="s">
        <v>383</v>
      </c>
      <c r="CQ653" t="s">
        <v>147</v>
      </c>
    </row>
    <row r="654" spans="1:95" x14ac:dyDescent="0.2">
      <c r="A654" t="s">
        <v>115</v>
      </c>
      <c r="B654" t="s">
        <v>116</v>
      </c>
      <c r="C654">
        <v>210784</v>
      </c>
      <c r="E654" t="s">
        <v>117</v>
      </c>
      <c r="F654">
        <v>368</v>
      </c>
      <c r="G654" t="s">
        <v>141</v>
      </c>
      <c r="H654" t="s">
        <v>142</v>
      </c>
      <c r="I654" t="s">
        <v>279</v>
      </c>
      <c r="J654" t="s">
        <v>280</v>
      </c>
      <c r="L654" t="s">
        <v>385</v>
      </c>
      <c r="M654" s="8">
        <v>45717</v>
      </c>
      <c r="N654">
        <v>5675697</v>
      </c>
      <c r="O654" t="s">
        <v>123</v>
      </c>
      <c r="P654" t="s">
        <v>146</v>
      </c>
      <c r="Q654">
        <v>8.11</v>
      </c>
      <c r="R654" t="s">
        <v>125</v>
      </c>
      <c r="S654" t="s">
        <v>126</v>
      </c>
      <c r="T654" t="s">
        <v>125</v>
      </c>
      <c r="U654" t="s">
        <v>126</v>
      </c>
      <c r="W654">
        <v>8.11</v>
      </c>
      <c r="Y654">
        <v>8.11</v>
      </c>
      <c r="AS654">
        <v>8.11</v>
      </c>
      <c r="BH654" t="s">
        <v>126</v>
      </c>
      <c r="BI654" t="s">
        <v>126</v>
      </c>
      <c r="BJ654" t="s">
        <v>126</v>
      </c>
      <c r="BK654" t="s">
        <v>126</v>
      </c>
      <c r="BS654" t="s">
        <v>126</v>
      </c>
      <c r="BT654" t="s">
        <v>126</v>
      </c>
      <c r="BU654" t="s">
        <v>126</v>
      </c>
      <c r="BV654" t="s">
        <v>126</v>
      </c>
      <c r="CN654" t="s">
        <v>147</v>
      </c>
      <c r="CP654" t="s">
        <v>383</v>
      </c>
      <c r="CQ654" t="s">
        <v>147</v>
      </c>
    </row>
    <row r="655" spans="1:95" x14ac:dyDescent="0.2">
      <c r="A655" t="s">
        <v>115</v>
      </c>
      <c r="B655" t="s">
        <v>116</v>
      </c>
      <c r="C655">
        <v>210784</v>
      </c>
      <c r="E655" t="s">
        <v>117</v>
      </c>
      <c r="F655">
        <v>368</v>
      </c>
      <c r="G655" t="s">
        <v>141</v>
      </c>
      <c r="H655" t="s">
        <v>142</v>
      </c>
      <c r="I655" t="s">
        <v>279</v>
      </c>
      <c r="J655" t="s">
        <v>280</v>
      </c>
      <c r="L655" t="s">
        <v>384</v>
      </c>
      <c r="M655" s="8">
        <v>45717</v>
      </c>
      <c r="N655">
        <v>5676759</v>
      </c>
      <c r="O655" t="s">
        <v>123</v>
      </c>
      <c r="P655" t="s">
        <v>146</v>
      </c>
      <c r="Q655">
        <v>5.09</v>
      </c>
      <c r="R655" t="s">
        <v>125</v>
      </c>
      <c r="S655" t="s">
        <v>126</v>
      </c>
      <c r="T655" t="s">
        <v>125</v>
      </c>
      <c r="U655" t="s">
        <v>126</v>
      </c>
      <c r="W655">
        <v>5.09</v>
      </c>
      <c r="Y655">
        <v>5.09</v>
      </c>
      <c r="AS655">
        <v>5.09</v>
      </c>
      <c r="BH655" t="s">
        <v>126</v>
      </c>
      <c r="BI655" t="s">
        <v>126</v>
      </c>
      <c r="BJ655" t="s">
        <v>126</v>
      </c>
      <c r="BK655" t="s">
        <v>126</v>
      </c>
      <c r="BS655" t="s">
        <v>126</v>
      </c>
      <c r="BT655" t="s">
        <v>126</v>
      </c>
      <c r="BU655" t="s">
        <v>126</v>
      </c>
      <c r="BV655" t="s">
        <v>126</v>
      </c>
      <c r="CN655" t="s">
        <v>147</v>
      </c>
      <c r="CP655" t="s">
        <v>383</v>
      </c>
      <c r="CQ655" t="s">
        <v>147</v>
      </c>
    </row>
    <row r="656" spans="1:95" x14ac:dyDescent="0.2">
      <c r="A656" t="s">
        <v>115</v>
      </c>
      <c r="B656" t="s">
        <v>116</v>
      </c>
      <c r="C656">
        <v>210784</v>
      </c>
      <c r="E656" t="s">
        <v>117</v>
      </c>
      <c r="F656">
        <v>368</v>
      </c>
      <c r="G656" t="s">
        <v>141</v>
      </c>
      <c r="H656" t="s">
        <v>142</v>
      </c>
      <c r="I656" t="s">
        <v>279</v>
      </c>
      <c r="J656" t="s">
        <v>280</v>
      </c>
      <c r="L656" t="s">
        <v>386</v>
      </c>
      <c r="M656" s="8">
        <v>45717</v>
      </c>
      <c r="N656">
        <v>5677964</v>
      </c>
      <c r="O656" t="s">
        <v>123</v>
      </c>
      <c r="P656" t="s">
        <v>146</v>
      </c>
      <c r="Q656">
        <v>2.58</v>
      </c>
      <c r="R656" t="s">
        <v>125</v>
      </c>
      <c r="S656" t="s">
        <v>126</v>
      </c>
      <c r="T656" t="s">
        <v>125</v>
      </c>
      <c r="U656" t="s">
        <v>126</v>
      </c>
      <c r="W656">
        <v>2.58</v>
      </c>
      <c r="Y656">
        <v>2.58</v>
      </c>
      <c r="AS656">
        <v>2.58</v>
      </c>
      <c r="BH656" t="s">
        <v>126</v>
      </c>
      <c r="BI656" t="s">
        <v>126</v>
      </c>
      <c r="BJ656" t="s">
        <v>126</v>
      </c>
      <c r="BK656" t="s">
        <v>126</v>
      </c>
      <c r="BS656" t="s">
        <v>126</v>
      </c>
      <c r="BT656" t="s">
        <v>126</v>
      </c>
      <c r="BU656" t="s">
        <v>126</v>
      </c>
      <c r="BV656" t="s">
        <v>126</v>
      </c>
      <c r="CN656" t="s">
        <v>147</v>
      </c>
      <c r="CP656" t="s">
        <v>383</v>
      </c>
      <c r="CQ656" t="s">
        <v>147</v>
      </c>
    </row>
    <row r="657" spans="1:95" x14ac:dyDescent="0.2">
      <c r="A657" t="s">
        <v>115</v>
      </c>
      <c r="B657" t="s">
        <v>116</v>
      </c>
      <c r="C657">
        <v>210784</v>
      </c>
      <c r="E657" t="s">
        <v>117</v>
      </c>
      <c r="F657">
        <v>368</v>
      </c>
      <c r="G657" t="s">
        <v>141</v>
      </c>
      <c r="H657" t="s">
        <v>142</v>
      </c>
      <c r="I657" t="s">
        <v>279</v>
      </c>
      <c r="J657" t="s">
        <v>280</v>
      </c>
      <c r="L657" t="s">
        <v>386</v>
      </c>
      <c r="M657" s="8">
        <v>45717</v>
      </c>
      <c r="N657">
        <v>5678202</v>
      </c>
      <c r="O657" t="s">
        <v>123</v>
      </c>
      <c r="P657" t="s">
        <v>146</v>
      </c>
      <c r="Q657">
        <v>5.41</v>
      </c>
      <c r="R657" t="s">
        <v>125</v>
      </c>
      <c r="S657" t="s">
        <v>126</v>
      </c>
      <c r="T657" t="s">
        <v>125</v>
      </c>
      <c r="U657" t="s">
        <v>126</v>
      </c>
      <c r="W657">
        <v>5.41</v>
      </c>
      <c r="Y657">
        <v>5.41</v>
      </c>
      <c r="AS657">
        <v>5.41</v>
      </c>
      <c r="BH657" t="s">
        <v>126</v>
      </c>
      <c r="BI657" t="s">
        <v>126</v>
      </c>
      <c r="BJ657" t="s">
        <v>126</v>
      </c>
      <c r="BK657" t="s">
        <v>126</v>
      </c>
      <c r="BS657" t="s">
        <v>126</v>
      </c>
      <c r="BT657" t="s">
        <v>126</v>
      </c>
      <c r="BU657" t="s">
        <v>126</v>
      </c>
      <c r="BV657" t="s">
        <v>126</v>
      </c>
      <c r="CN657" t="s">
        <v>147</v>
      </c>
      <c r="CP657" t="s">
        <v>383</v>
      </c>
      <c r="CQ657" t="s">
        <v>147</v>
      </c>
    </row>
    <row r="658" spans="1:95" x14ac:dyDescent="0.2">
      <c r="A658" t="s">
        <v>115</v>
      </c>
      <c r="B658" t="s">
        <v>116</v>
      </c>
      <c r="C658">
        <v>210784</v>
      </c>
      <c r="E658" t="s">
        <v>117</v>
      </c>
      <c r="F658">
        <v>368</v>
      </c>
      <c r="G658" t="s">
        <v>141</v>
      </c>
      <c r="H658" t="s">
        <v>142</v>
      </c>
      <c r="I658" t="s">
        <v>279</v>
      </c>
      <c r="J658" t="s">
        <v>280</v>
      </c>
      <c r="L658" t="s">
        <v>387</v>
      </c>
      <c r="M658" s="8">
        <v>45717</v>
      </c>
      <c r="N658">
        <v>5679062</v>
      </c>
      <c r="O658" t="s">
        <v>123</v>
      </c>
      <c r="P658" t="s">
        <v>146</v>
      </c>
      <c r="Q658">
        <v>5.0199999999999996</v>
      </c>
      <c r="R658" t="s">
        <v>125</v>
      </c>
      <c r="S658" t="s">
        <v>126</v>
      </c>
      <c r="T658" t="s">
        <v>125</v>
      </c>
      <c r="U658" t="s">
        <v>126</v>
      </c>
      <c r="W658">
        <v>5.0199999999999996</v>
      </c>
      <c r="Y658">
        <v>5.0199999999999996</v>
      </c>
      <c r="AS658">
        <v>5.0199999999999996</v>
      </c>
      <c r="BH658" t="s">
        <v>126</v>
      </c>
      <c r="BI658" t="s">
        <v>126</v>
      </c>
      <c r="BJ658" t="s">
        <v>126</v>
      </c>
      <c r="BK658" t="s">
        <v>126</v>
      </c>
      <c r="BS658" t="s">
        <v>126</v>
      </c>
      <c r="BT658" t="s">
        <v>126</v>
      </c>
      <c r="BU658" t="s">
        <v>126</v>
      </c>
      <c r="BV658" t="s">
        <v>126</v>
      </c>
      <c r="CN658" t="s">
        <v>147</v>
      </c>
      <c r="CP658" t="s">
        <v>383</v>
      </c>
      <c r="CQ658" t="s">
        <v>147</v>
      </c>
    </row>
    <row r="659" spans="1:95" x14ac:dyDescent="0.2">
      <c r="A659" t="s">
        <v>115</v>
      </c>
      <c r="B659" t="s">
        <v>116</v>
      </c>
      <c r="C659">
        <v>210784</v>
      </c>
      <c r="E659" t="s">
        <v>117</v>
      </c>
      <c r="F659">
        <v>368</v>
      </c>
      <c r="G659" t="s">
        <v>141</v>
      </c>
      <c r="H659" t="s">
        <v>142</v>
      </c>
      <c r="I659" t="s">
        <v>279</v>
      </c>
      <c r="J659" t="s">
        <v>280</v>
      </c>
      <c r="L659" t="s">
        <v>388</v>
      </c>
      <c r="M659" s="8">
        <v>45717</v>
      </c>
      <c r="N659">
        <v>5679618</v>
      </c>
      <c r="O659" t="s">
        <v>123</v>
      </c>
      <c r="P659" t="s">
        <v>146</v>
      </c>
      <c r="Q659">
        <v>2.4</v>
      </c>
      <c r="R659" t="s">
        <v>125</v>
      </c>
      <c r="S659" t="s">
        <v>126</v>
      </c>
      <c r="T659" t="s">
        <v>125</v>
      </c>
      <c r="U659" t="s">
        <v>126</v>
      </c>
      <c r="W659">
        <v>2.4</v>
      </c>
      <c r="Y659">
        <v>2.4</v>
      </c>
      <c r="AS659">
        <v>2.4</v>
      </c>
      <c r="BH659" t="s">
        <v>126</v>
      </c>
      <c r="BI659" t="s">
        <v>126</v>
      </c>
      <c r="BJ659" t="s">
        <v>126</v>
      </c>
      <c r="BK659" t="s">
        <v>126</v>
      </c>
      <c r="BS659" t="s">
        <v>126</v>
      </c>
      <c r="BT659" t="s">
        <v>126</v>
      </c>
      <c r="BU659" t="s">
        <v>126</v>
      </c>
      <c r="BV659" t="s">
        <v>126</v>
      </c>
      <c r="CN659" t="s">
        <v>147</v>
      </c>
      <c r="CP659" t="s">
        <v>383</v>
      </c>
      <c r="CQ659" t="s">
        <v>147</v>
      </c>
    </row>
    <row r="660" spans="1:95" x14ac:dyDescent="0.2">
      <c r="A660" t="s">
        <v>115</v>
      </c>
      <c r="B660" t="s">
        <v>116</v>
      </c>
      <c r="C660">
        <v>210784</v>
      </c>
      <c r="E660" t="s">
        <v>117</v>
      </c>
      <c r="F660">
        <v>368</v>
      </c>
      <c r="G660" t="s">
        <v>141</v>
      </c>
      <c r="H660" t="s">
        <v>142</v>
      </c>
      <c r="I660" t="s">
        <v>279</v>
      </c>
      <c r="J660" t="s">
        <v>280</v>
      </c>
      <c r="L660" t="s">
        <v>389</v>
      </c>
      <c r="M660" s="8">
        <v>45717</v>
      </c>
      <c r="N660">
        <v>5680942</v>
      </c>
      <c r="O660" t="s">
        <v>123</v>
      </c>
      <c r="P660" t="s">
        <v>146</v>
      </c>
      <c r="Q660">
        <v>5.91</v>
      </c>
      <c r="R660" t="s">
        <v>125</v>
      </c>
      <c r="S660" t="s">
        <v>126</v>
      </c>
      <c r="T660" t="s">
        <v>125</v>
      </c>
      <c r="U660" t="s">
        <v>126</v>
      </c>
      <c r="W660">
        <v>5.91</v>
      </c>
      <c r="Y660">
        <v>5.91</v>
      </c>
      <c r="AS660">
        <v>5.91</v>
      </c>
      <c r="BH660" t="s">
        <v>126</v>
      </c>
      <c r="BI660" t="s">
        <v>126</v>
      </c>
      <c r="BJ660" t="s">
        <v>126</v>
      </c>
      <c r="BK660" t="s">
        <v>126</v>
      </c>
      <c r="BS660" t="s">
        <v>126</v>
      </c>
      <c r="BT660" t="s">
        <v>126</v>
      </c>
      <c r="BU660" t="s">
        <v>126</v>
      </c>
      <c r="BV660" t="s">
        <v>126</v>
      </c>
      <c r="CN660" t="s">
        <v>147</v>
      </c>
      <c r="CP660" t="s">
        <v>383</v>
      </c>
      <c r="CQ660" t="s">
        <v>147</v>
      </c>
    </row>
    <row r="661" spans="1:95" x14ac:dyDescent="0.2">
      <c r="A661" t="s">
        <v>115</v>
      </c>
      <c r="B661" t="s">
        <v>116</v>
      </c>
      <c r="C661">
        <v>210784</v>
      </c>
      <c r="E661" t="s">
        <v>117</v>
      </c>
      <c r="F661">
        <v>368</v>
      </c>
      <c r="G661" t="s">
        <v>141</v>
      </c>
      <c r="H661" t="s">
        <v>142</v>
      </c>
      <c r="I661" t="s">
        <v>279</v>
      </c>
      <c r="J661" t="s">
        <v>280</v>
      </c>
      <c r="L661" t="s">
        <v>390</v>
      </c>
      <c r="M661" s="8">
        <v>45717</v>
      </c>
      <c r="N661">
        <v>5681692</v>
      </c>
      <c r="O661" t="s">
        <v>123</v>
      </c>
      <c r="P661" t="s">
        <v>146</v>
      </c>
      <c r="Q661">
        <v>3.21</v>
      </c>
      <c r="R661" t="s">
        <v>125</v>
      </c>
      <c r="S661" t="s">
        <v>126</v>
      </c>
      <c r="T661" t="s">
        <v>125</v>
      </c>
      <c r="U661" t="s">
        <v>126</v>
      </c>
      <c r="W661">
        <v>3.21</v>
      </c>
      <c r="Y661">
        <v>3.21</v>
      </c>
      <c r="AS661">
        <v>3.21</v>
      </c>
      <c r="BH661" t="s">
        <v>126</v>
      </c>
      <c r="BI661" t="s">
        <v>126</v>
      </c>
      <c r="BJ661" t="s">
        <v>126</v>
      </c>
      <c r="BK661" t="s">
        <v>126</v>
      </c>
      <c r="BS661" t="s">
        <v>126</v>
      </c>
      <c r="BT661" t="s">
        <v>126</v>
      </c>
      <c r="BU661" t="s">
        <v>126</v>
      </c>
      <c r="BV661" t="s">
        <v>126</v>
      </c>
      <c r="CN661" t="s">
        <v>147</v>
      </c>
      <c r="CP661" t="s">
        <v>383</v>
      </c>
      <c r="CQ661" t="s">
        <v>147</v>
      </c>
    </row>
    <row r="662" spans="1:95" x14ac:dyDescent="0.2">
      <c r="A662" t="s">
        <v>115</v>
      </c>
      <c r="B662" t="s">
        <v>116</v>
      </c>
      <c r="C662">
        <v>210784</v>
      </c>
      <c r="E662" t="s">
        <v>117</v>
      </c>
      <c r="F662">
        <v>368</v>
      </c>
      <c r="G662" t="s">
        <v>141</v>
      </c>
      <c r="H662" t="s">
        <v>142</v>
      </c>
      <c r="I662" t="s">
        <v>279</v>
      </c>
      <c r="J662" t="s">
        <v>280</v>
      </c>
      <c r="L662" t="s">
        <v>391</v>
      </c>
      <c r="M662" s="8">
        <v>45717</v>
      </c>
      <c r="N662">
        <v>5682397</v>
      </c>
      <c r="O662" t="s">
        <v>123</v>
      </c>
      <c r="P662" t="s">
        <v>146</v>
      </c>
      <c r="Q662">
        <v>4.55</v>
      </c>
      <c r="R662" t="s">
        <v>125</v>
      </c>
      <c r="S662" t="s">
        <v>126</v>
      </c>
      <c r="T662" t="s">
        <v>125</v>
      </c>
      <c r="U662" t="s">
        <v>126</v>
      </c>
      <c r="W662">
        <v>4.55</v>
      </c>
      <c r="Y662">
        <v>4.55</v>
      </c>
      <c r="AS662">
        <v>4.55</v>
      </c>
      <c r="BH662" t="s">
        <v>126</v>
      </c>
      <c r="BI662" t="s">
        <v>126</v>
      </c>
      <c r="BJ662" t="s">
        <v>126</v>
      </c>
      <c r="BK662" t="s">
        <v>126</v>
      </c>
      <c r="BS662" t="s">
        <v>126</v>
      </c>
      <c r="BT662" t="s">
        <v>126</v>
      </c>
      <c r="BU662" t="s">
        <v>126</v>
      </c>
      <c r="BV662" t="s">
        <v>126</v>
      </c>
      <c r="CN662" t="s">
        <v>147</v>
      </c>
      <c r="CP662" t="s">
        <v>383</v>
      </c>
      <c r="CQ662" t="s">
        <v>147</v>
      </c>
    </row>
    <row r="663" spans="1:95" x14ac:dyDescent="0.2">
      <c r="A663" t="s">
        <v>115</v>
      </c>
      <c r="B663" t="s">
        <v>116</v>
      </c>
      <c r="C663">
        <v>210784</v>
      </c>
      <c r="E663" t="s">
        <v>117</v>
      </c>
      <c r="F663">
        <v>368</v>
      </c>
      <c r="G663" t="s">
        <v>141</v>
      </c>
      <c r="H663" t="s">
        <v>142</v>
      </c>
      <c r="I663" t="s">
        <v>279</v>
      </c>
      <c r="J663" t="s">
        <v>280</v>
      </c>
      <c r="L663" t="s">
        <v>391</v>
      </c>
      <c r="M663" s="8">
        <v>45717</v>
      </c>
      <c r="N663">
        <v>5682284</v>
      </c>
      <c r="O663" t="s">
        <v>123</v>
      </c>
      <c r="P663" t="s">
        <v>146</v>
      </c>
      <c r="Q663">
        <v>2.62</v>
      </c>
      <c r="R663" t="s">
        <v>125</v>
      </c>
      <c r="S663" t="s">
        <v>126</v>
      </c>
      <c r="T663" t="s">
        <v>125</v>
      </c>
      <c r="U663" t="s">
        <v>126</v>
      </c>
      <c r="W663">
        <v>2.62</v>
      </c>
      <c r="Y663">
        <v>2.62</v>
      </c>
      <c r="AS663">
        <v>2.62</v>
      </c>
      <c r="BH663" t="s">
        <v>126</v>
      </c>
      <c r="BI663" t="s">
        <v>126</v>
      </c>
      <c r="BJ663" t="s">
        <v>126</v>
      </c>
      <c r="BK663" t="s">
        <v>126</v>
      </c>
      <c r="BS663" t="s">
        <v>126</v>
      </c>
      <c r="BT663" t="s">
        <v>126</v>
      </c>
      <c r="BU663" t="s">
        <v>126</v>
      </c>
      <c r="BV663" t="s">
        <v>126</v>
      </c>
      <c r="CN663" t="s">
        <v>147</v>
      </c>
      <c r="CP663" t="s">
        <v>383</v>
      </c>
      <c r="CQ663" t="s">
        <v>147</v>
      </c>
    </row>
    <row r="664" spans="1:95" x14ac:dyDescent="0.2">
      <c r="A664" t="s">
        <v>115</v>
      </c>
      <c r="B664" t="s">
        <v>116</v>
      </c>
      <c r="C664">
        <v>210784</v>
      </c>
      <c r="E664" t="s">
        <v>117</v>
      </c>
      <c r="F664">
        <v>368</v>
      </c>
      <c r="G664" t="s">
        <v>141</v>
      </c>
      <c r="H664" t="s">
        <v>142</v>
      </c>
      <c r="I664" t="s">
        <v>279</v>
      </c>
      <c r="J664" t="s">
        <v>280</v>
      </c>
      <c r="L664" t="s">
        <v>392</v>
      </c>
      <c r="M664" s="8">
        <v>45717</v>
      </c>
      <c r="N664">
        <v>5682863</v>
      </c>
      <c r="O664" t="s">
        <v>123</v>
      </c>
      <c r="P664" t="s">
        <v>146</v>
      </c>
      <c r="Q664">
        <v>2.02</v>
      </c>
      <c r="R664" t="s">
        <v>125</v>
      </c>
      <c r="S664" t="s">
        <v>126</v>
      </c>
      <c r="T664" t="s">
        <v>125</v>
      </c>
      <c r="U664" t="s">
        <v>126</v>
      </c>
      <c r="W664">
        <v>2.02</v>
      </c>
      <c r="Y664">
        <v>2.02</v>
      </c>
      <c r="AS664">
        <v>2.02</v>
      </c>
      <c r="BH664" t="s">
        <v>126</v>
      </c>
      <c r="BI664" t="s">
        <v>126</v>
      </c>
      <c r="BJ664" t="s">
        <v>126</v>
      </c>
      <c r="BK664" t="s">
        <v>126</v>
      </c>
      <c r="BS664" t="s">
        <v>126</v>
      </c>
      <c r="BT664" t="s">
        <v>126</v>
      </c>
      <c r="BU664" t="s">
        <v>126</v>
      </c>
      <c r="BV664" t="s">
        <v>126</v>
      </c>
      <c r="CN664" t="s">
        <v>147</v>
      </c>
      <c r="CP664" t="s">
        <v>383</v>
      </c>
      <c r="CQ664" t="s">
        <v>147</v>
      </c>
    </row>
    <row r="665" spans="1:95" x14ac:dyDescent="0.2">
      <c r="A665" t="s">
        <v>115</v>
      </c>
      <c r="B665" t="s">
        <v>116</v>
      </c>
      <c r="C665">
        <v>210784</v>
      </c>
      <c r="E665" t="s">
        <v>117</v>
      </c>
      <c r="F665">
        <v>368</v>
      </c>
      <c r="G665" t="s">
        <v>141</v>
      </c>
      <c r="H665" t="s">
        <v>142</v>
      </c>
      <c r="I665" t="s">
        <v>279</v>
      </c>
      <c r="J665" t="s">
        <v>280</v>
      </c>
      <c r="L665" t="s">
        <v>392</v>
      </c>
      <c r="M665" s="8">
        <v>45717</v>
      </c>
      <c r="N665">
        <v>5683043</v>
      </c>
      <c r="O665" t="s">
        <v>123</v>
      </c>
      <c r="P665" t="s">
        <v>146</v>
      </c>
      <c r="Q665">
        <v>4.17</v>
      </c>
      <c r="R665" t="s">
        <v>125</v>
      </c>
      <c r="S665" t="s">
        <v>126</v>
      </c>
      <c r="T665" t="s">
        <v>125</v>
      </c>
      <c r="U665" t="s">
        <v>126</v>
      </c>
      <c r="W665">
        <v>4.17</v>
      </c>
      <c r="Y665">
        <v>4.17</v>
      </c>
      <c r="AS665">
        <v>4.17</v>
      </c>
      <c r="BH665" t="s">
        <v>126</v>
      </c>
      <c r="BI665" t="s">
        <v>126</v>
      </c>
      <c r="BJ665" t="s">
        <v>126</v>
      </c>
      <c r="BK665" t="s">
        <v>126</v>
      </c>
      <c r="BS665" t="s">
        <v>126</v>
      </c>
      <c r="BT665" t="s">
        <v>126</v>
      </c>
      <c r="BU665" t="s">
        <v>126</v>
      </c>
      <c r="BV665" t="s">
        <v>126</v>
      </c>
      <c r="CN665" t="s">
        <v>147</v>
      </c>
      <c r="CP665" t="s">
        <v>383</v>
      </c>
      <c r="CQ665" t="s">
        <v>147</v>
      </c>
    </row>
    <row r="666" spans="1:95" x14ac:dyDescent="0.2">
      <c r="A666" t="s">
        <v>115</v>
      </c>
      <c r="B666" t="s">
        <v>116</v>
      </c>
      <c r="C666">
        <v>210784</v>
      </c>
      <c r="E666" t="s">
        <v>117</v>
      </c>
      <c r="F666">
        <v>368</v>
      </c>
      <c r="G666" t="s">
        <v>141</v>
      </c>
      <c r="H666" t="s">
        <v>142</v>
      </c>
      <c r="I666" t="s">
        <v>279</v>
      </c>
      <c r="J666" t="s">
        <v>280</v>
      </c>
      <c r="L666" t="s">
        <v>393</v>
      </c>
      <c r="M666" s="8">
        <v>45717</v>
      </c>
      <c r="N666">
        <v>5684778</v>
      </c>
      <c r="O666" t="s">
        <v>123</v>
      </c>
      <c r="P666" t="s">
        <v>146</v>
      </c>
      <c r="Q666">
        <v>3.93</v>
      </c>
      <c r="R666" t="s">
        <v>125</v>
      </c>
      <c r="S666" t="s">
        <v>126</v>
      </c>
      <c r="T666" t="s">
        <v>125</v>
      </c>
      <c r="U666" t="s">
        <v>126</v>
      </c>
      <c r="W666">
        <v>3.93</v>
      </c>
      <c r="Y666">
        <v>3.93</v>
      </c>
      <c r="AS666">
        <v>3.93</v>
      </c>
      <c r="BH666" t="s">
        <v>126</v>
      </c>
      <c r="BI666" t="s">
        <v>126</v>
      </c>
      <c r="BJ666" t="s">
        <v>126</v>
      </c>
      <c r="BK666" t="s">
        <v>126</v>
      </c>
      <c r="BS666" t="s">
        <v>126</v>
      </c>
      <c r="BT666" t="s">
        <v>126</v>
      </c>
      <c r="BU666" t="s">
        <v>126</v>
      </c>
      <c r="BV666" t="s">
        <v>126</v>
      </c>
      <c r="CN666" t="s">
        <v>147</v>
      </c>
      <c r="CP666" t="s">
        <v>283</v>
      </c>
      <c r="CQ666" t="s">
        <v>147</v>
      </c>
    </row>
    <row r="667" spans="1:95" x14ac:dyDescent="0.2">
      <c r="A667" t="s">
        <v>115</v>
      </c>
      <c r="B667" t="s">
        <v>116</v>
      </c>
      <c r="C667">
        <v>210784</v>
      </c>
      <c r="E667" t="s">
        <v>117</v>
      </c>
      <c r="F667">
        <v>368</v>
      </c>
      <c r="G667" t="s">
        <v>141</v>
      </c>
      <c r="H667" t="s">
        <v>142</v>
      </c>
      <c r="I667" t="s">
        <v>279</v>
      </c>
      <c r="J667" t="s">
        <v>280</v>
      </c>
      <c r="L667" t="s">
        <v>393</v>
      </c>
      <c r="M667" s="8">
        <v>45717</v>
      </c>
      <c r="N667">
        <v>5684856</v>
      </c>
      <c r="O667" t="s">
        <v>123</v>
      </c>
      <c r="P667" t="s">
        <v>146</v>
      </c>
      <c r="Q667">
        <v>4.57</v>
      </c>
      <c r="R667" t="s">
        <v>125</v>
      </c>
      <c r="S667" t="s">
        <v>126</v>
      </c>
      <c r="T667" t="s">
        <v>125</v>
      </c>
      <c r="U667" t="s">
        <v>126</v>
      </c>
      <c r="W667">
        <v>4.57</v>
      </c>
      <c r="Y667">
        <v>4.57</v>
      </c>
      <c r="AS667">
        <v>4.57</v>
      </c>
      <c r="BH667" t="s">
        <v>126</v>
      </c>
      <c r="BI667" t="s">
        <v>126</v>
      </c>
      <c r="BJ667" t="s">
        <v>126</v>
      </c>
      <c r="BK667" t="s">
        <v>126</v>
      </c>
      <c r="BS667" t="s">
        <v>126</v>
      </c>
      <c r="BT667" t="s">
        <v>126</v>
      </c>
      <c r="BU667" t="s">
        <v>126</v>
      </c>
      <c r="BV667" t="s">
        <v>126</v>
      </c>
      <c r="CN667" t="s">
        <v>147</v>
      </c>
      <c r="CP667" t="s">
        <v>283</v>
      </c>
      <c r="CQ667" t="s">
        <v>147</v>
      </c>
    </row>
    <row r="668" spans="1:95" x14ac:dyDescent="0.2">
      <c r="A668" t="s">
        <v>115</v>
      </c>
      <c r="B668" t="s">
        <v>116</v>
      </c>
      <c r="C668">
        <v>210784</v>
      </c>
      <c r="E668" t="s">
        <v>117</v>
      </c>
      <c r="F668">
        <v>368</v>
      </c>
      <c r="G668" t="s">
        <v>141</v>
      </c>
      <c r="H668" t="s">
        <v>142</v>
      </c>
      <c r="I668" t="s">
        <v>279</v>
      </c>
      <c r="J668" t="s">
        <v>280</v>
      </c>
      <c r="L668" t="s">
        <v>394</v>
      </c>
      <c r="M668" s="8">
        <v>45717</v>
      </c>
      <c r="N668">
        <v>5685473</v>
      </c>
      <c r="O668" t="s">
        <v>123</v>
      </c>
      <c r="P668" t="s">
        <v>146</v>
      </c>
      <c r="Q668">
        <v>1.87</v>
      </c>
      <c r="R668" t="s">
        <v>125</v>
      </c>
      <c r="S668" t="s">
        <v>126</v>
      </c>
      <c r="T668" t="s">
        <v>125</v>
      </c>
      <c r="U668" t="s">
        <v>126</v>
      </c>
      <c r="W668">
        <v>1.87</v>
      </c>
      <c r="Y668">
        <v>1.87</v>
      </c>
      <c r="AS668">
        <v>1.87</v>
      </c>
      <c r="BH668" t="s">
        <v>126</v>
      </c>
      <c r="BI668" t="s">
        <v>126</v>
      </c>
      <c r="BJ668" t="s">
        <v>126</v>
      </c>
      <c r="BK668" t="s">
        <v>126</v>
      </c>
      <c r="BS668" t="s">
        <v>126</v>
      </c>
      <c r="BT668" t="s">
        <v>126</v>
      </c>
      <c r="BU668" t="s">
        <v>126</v>
      </c>
      <c r="BV668" t="s">
        <v>126</v>
      </c>
      <c r="CN668" t="s">
        <v>147</v>
      </c>
      <c r="CP668" t="s">
        <v>283</v>
      </c>
      <c r="CQ668" t="s">
        <v>147</v>
      </c>
    </row>
    <row r="669" spans="1:95" x14ac:dyDescent="0.2">
      <c r="A669" t="s">
        <v>115</v>
      </c>
      <c r="B669" t="s">
        <v>116</v>
      </c>
      <c r="C669">
        <v>210784</v>
      </c>
      <c r="E669" t="s">
        <v>117</v>
      </c>
      <c r="F669">
        <v>368</v>
      </c>
      <c r="G669" t="s">
        <v>141</v>
      </c>
      <c r="H669" t="s">
        <v>142</v>
      </c>
      <c r="I669" t="s">
        <v>279</v>
      </c>
      <c r="J669" t="s">
        <v>280</v>
      </c>
      <c r="L669" t="s">
        <v>394</v>
      </c>
      <c r="M669" s="8">
        <v>45717</v>
      </c>
      <c r="N669">
        <v>5685634</v>
      </c>
      <c r="O669" t="s">
        <v>123</v>
      </c>
      <c r="P669" t="s">
        <v>146</v>
      </c>
      <c r="Q669">
        <v>3.4</v>
      </c>
      <c r="R669" t="s">
        <v>125</v>
      </c>
      <c r="S669" t="s">
        <v>126</v>
      </c>
      <c r="T669" t="s">
        <v>125</v>
      </c>
      <c r="U669" t="s">
        <v>126</v>
      </c>
      <c r="W669">
        <v>3.4</v>
      </c>
      <c r="Y669">
        <v>3.4</v>
      </c>
      <c r="AS669">
        <v>3.4</v>
      </c>
      <c r="BH669" t="s">
        <v>126</v>
      </c>
      <c r="BI669" t="s">
        <v>126</v>
      </c>
      <c r="BJ669" t="s">
        <v>126</v>
      </c>
      <c r="BK669" t="s">
        <v>126</v>
      </c>
      <c r="BS669" t="s">
        <v>126</v>
      </c>
      <c r="BT669" t="s">
        <v>126</v>
      </c>
      <c r="BU669" t="s">
        <v>126</v>
      </c>
      <c r="BV669" t="s">
        <v>126</v>
      </c>
      <c r="CN669" t="s">
        <v>147</v>
      </c>
      <c r="CP669" t="s">
        <v>283</v>
      </c>
      <c r="CQ669" t="s">
        <v>147</v>
      </c>
    </row>
    <row r="670" spans="1:95" x14ac:dyDescent="0.2">
      <c r="A670" t="s">
        <v>115</v>
      </c>
      <c r="B670" t="s">
        <v>116</v>
      </c>
      <c r="C670">
        <v>210784</v>
      </c>
      <c r="E670" t="s">
        <v>117</v>
      </c>
      <c r="F670">
        <v>368</v>
      </c>
      <c r="G670" t="s">
        <v>141</v>
      </c>
      <c r="H670" t="s">
        <v>142</v>
      </c>
      <c r="I670" t="s">
        <v>279</v>
      </c>
      <c r="J670" t="s">
        <v>280</v>
      </c>
      <c r="L670" t="s">
        <v>395</v>
      </c>
      <c r="M670" s="8">
        <v>45717</v>
      </c>
      <c r="N670">
        <v>568072</v>
      </c>
      <c r="O670" t="s">
        <v>123</v>
      </c>
      <c r="P670" t="s">
        <v>146</v>
      </c>
      <c r="Q670">
        <v>1.71</v>
      </c>
      <c r="R670" t="s">
        <v>125</v>
      </c>
      <c r="S670" t="s">
        <v>126</v>
      </c>
      <c r="T670" t="s">
        <v>125</v>
      </c>
      <c r="U670" t="s">
        <v>126</v>
      </c>
      <c r="W670">
        <v>1.71</v>
      </c>
      <c r="Y670">
        <v>1.71</v>
      </c>
      <c r="AS670">
        <v>1.71</v>
      </c>
      <c r="BH670" t="s">
        <v>126</v>
      </c>
      <c r="BI670" t="s">
        <v>126</v>
      </c>
      <c r="BJ670" t="s">
        <v>126</v>
      </c>
      <c r="BK670" t="s">
        <v>126</v>
      </c>
      <c r="BS670" t="s">
        <v>126</v>
      </c>
      <c r="BT670" t="s">
        <v>126</v>
      </c>
      <c r="BU670" t="s">
        <v>126</v>
      </c>
      <c r="BV670" t="s">
        <v>126</v>
      </c>
      <c r="CN670" t="s">
        <v>147</v>
      </c>
      <c r="CP670" t="s">
        <v>283</v>
      </c>
      <c r="CQ670" t="s">
        <v>147</v>
      </c>
    </row>
    <row r="671" spans="1:95" x14ac:dyDescent="0.2">
      <c r="A671" t="s">
        <v>115</v>
      </c>
      <c r="B671" t="s">
        <v>116</v>
      </c>
      <c r="C671">
        <v>210784</v>
      </c>
      <c r="E671" t="s">
        <v>117</v>
      </c>
      <c r="F671">
        <v>368</v>
      </c>
      <c r="G671" t="s">
        <v>141</v>
      </c>
      <c r="H671" t="s">
        <v>142</v>
      </c>
      <c r="I671" t="s">
        <v>279</v>
      </c>
      <c r="J671" t="s">
        <v>280</v>
      </c>
      <c r="L671" t="s">
        <v>396</v>
      </c>
      <c r="M671" s="8">
        <v>45717</v>
      </c>
      <c r="N671">
        <v>5686938</v>
      </c>
      <c r="O671" t="s">
        <v>123</v>
      </c>
      <c r="P671" t="s">
        <v>146</v>
      </c>
      <c r="Q671">
        <v>3.21</v>
      </c>
      <c r="R671" t="s">
        <v>125</v>
      </c>
      <c r="S671" t="s">
        <v>126</v>
      </c>
      <c r="T671" t="s">
        <v>125</v>
      </c>
      <c r="U671" t="s">
        <v>126</v>
      </c>
      <c r="W671">
        <v>3.21</v>
      </c>
      <c r="Y671">
        <v>3.21</v>
      </c>
      <c r="AS671">
        <v>3.21</v>
      </c>
      <c r="BH671" t="s">
        <v>126</v>
      </c>
      <c r="BI671" t="s">
        <v>126</v>
      </c>
      <c r="BJ671" t="s">
        <v>126</v>
      </c>
      <c r="BK671" t="s">
        <v>126</v>
      </c>
      <c r="BS671" t="s">
        <v>126</v>
      </c>
      <c r="BT671" t="s">
        <v>126</v>
      </c>
      <c r="BU671" t="s">
        <v>126</v>
      </c>
      <c r="BV671" t="s">
        <v>126</v>
      </c>
      <c r="CN671" t="s">
        <v>147</v>
      </c>
      <c r="CP671" t="s">
        <v>283</v>
      </c>
      <c r="CQ671" t="s">
        <v>147</v>
      </c>
    </row>
    <row r="672" spans="1:95" x14ac:dyDescent="0.2">
      <c r="A672" t="s">
        <v>115</v>
      </c>
      <c r="B672" t="s">
        <v>116</v>
      </c>
      <c r="C672">
        <v>210784</v>
      </c>
      <c r="E672" t="s">
        <v>117</v>
      </c>
      <c r="F672">
        <v>368</v>
      </c>
      <c r="G672" t="s">
        <v>141</v>
      </c>
      <c r="H672" t="s">
        <v>142</v>
      </c>
      <c r="I672" t="s">
        <v>279</v>
      </c>
      <c r="J672" t="s">
        <v>280</v>
      </c>
      <c r="L672" t="s">
        <v>396</v>
      </c>
      <c r="M672" s="8">
        <v>45717</v>
      </c>
      <c r="N672">
        <v>5686625</v>
      </c>
      <c r="O672" t="s">
        <v>123</v>
      </c>
      <c r="P672" t="s">
        <v>146</v>
      </c>
      <c r="Q672">
        <v>3.71</v>
      </c>
      <c r="R672" t="s">
        <v>125</v>
      </c>
      <c r="S672" t="s">
        <v>126</v>
      </c>
      <c r="T672" t="s">
        <v>125</v>
      </c>
      <c r="U672" t="s">
        <v>126</v>
      </c>
      <c r="W672">
        <v>3.71</v>
      </c>
      <c r="Y672">
        <v>3.71</v>
      </c>
      <c r="AS672">
        <v>3.71</v>
      </c>
      <c r="BH672" t="s">
        <v>126</v>
      </c>
      <c r="BI672" t="s">
        <v>126</v>
      </c>
      <c r="BJ672" t="s">
        <v>126</v>
      </c>
      <c r="BK672" t="s">
        <v>126</v>
      </c>
      <c r="BS672" t="s">
        <v>126</v>
      </c>
      <c r="BT672" t="s">
        <v>126</v>
      </c>
      <c r="BU672" t="s">
        <v>126</v>
      </c>
      <c r="BV672" t="s">
        <v>126</v>
      </c>
      <c r="CN672" t="s">
        <v>147</v>
      </c>
      <c r="CP672" t="s">
        <v>283</v>
      </c>
      <c r="CQ672" t="s">
        <v>147</v>
      </c>
    </row>
    <row r="673" spans="1:95" x14ac:dyDescent="0.2">
      <c r="A673" t="s">
        <v>115</v>
      </c>
      <c r="B673" t="s">
        <v>116</v>
      </c>
      <c r="C673">
        <v>210784</v>
      </c>
      <c r="E673" t="s">
        <v>117</v>
      </c>
      <c r="F673">
        <v>368</v>
      </c>
      <c r="G673" t="s">
        <v>141</v>
      </c>
      <c r="H673" t="s">
        <v>142</v>
      </c>
      <c r="I673" t="s">
        <v>279</v>
      </c>
      <c r="J673" t="s">
        <v>280</v>
      </c>
      <c r="L673" t="s">
        <v>397</v>
      </c>
      <c r="M673" s="8">
        <v>45717</v>
      </c>
      <c r="N673">
        <v>5687527</v>
      </c>
      <c r="O673" t="s">
        <v>123</v>
      </c>
      <c r="P673" t="s">
        <v>146</v>
      </c>
      <c r="Q673">
        <v>2.89</v>
      </c>
      <c r="R673" t="s">
        <v>125</v>
      </c>
      <c r="S673" t="s">
        <v>126</v>
      </c>
      <c r="T673" t="s">
        <v>125</v>
      </c>
      <c r="U673" t="s">
        <v>126</v>
      </c>
      <c r="W673">
        <v>2.89</v>
      </c>
      <c r="Y673">
        <v>2.89</v>
      </c>
      <c r="AS673">
        <v>2.89</v>
      </c>
      <c r="BH673" t="s">
        <v>126</v>
      </c>
      <c r="BI673" t="s">
        <v>126</v>
      </c>
      <c r="BJ673" t="s">
        <v>126</v>
      </c>
      <c r="BK673" t="s">
        <v>126</v>
      </c>
      <c r="BS673" t="s">
        <v>126</v>
      </c>
      <c r="BT673" t="s">
        <v>126</v>
      </c>
      <c r="BU673" t="s">
        <v>126</v>
      </c>
      <c r="BV673" t="s">
        <v>126</v>
      </c>
      <c r="CN673" t="s">
        <v>147</v>
      </c>
      <c r="CP673" t="s">
        <v>283</v>
      </c>
      <c r="CQ673" t="s">
        <v>147</v>
      </c>
    </row>
    <row r="674" spans="1:95" x14ac:dyDescent="0.2">
      <c r="A674" t="s">
        <v>115</v>
      </c>
      <c r="B674" t="s">
        <v>116</v>
      </c>
      <c r="C674">
        <v>210784</v>
      </c>
      <c r="E674" t="s">
        <v>117</v>
      </c>
      <c r="F674">
        <v>368</v>
      </c>
      <c r="G674" t="s">
        <v>141</v>
      </c>
      <c r="H674" t="s">
        <v>142</v>
      </c>
      <c r="I674" t="s">
        <v>279</v>
      </c>
      <c r="J674" t="s">
        <v>280</v>
      </c>
      <c r="L674" t="s">
        <v>398</v>
      </c>
      <c r="M674" s="8">
        <v>45717</v>
      </c>
      <c r="N674">
        <v>5687426</v>
      </c>
      <c r="O674" t="s">
        <v>123</v>
      </c>
      <c r="P674" t="s">
        <v>146</v>
      </c>
      <c r="Q674">
        <v>6.54</v>
      </c>
      <c r="R674" t="s">
        <v>125</v>
      </c>
      <c r="S674" t="s">
        <v>126</v>
      </c>
      <c r="T674" t="s">
        <v>125</v>
      </c>
      <c r="U674" t="s">
        <v>126</v>
      </c>
      <c r="W674">
        <v>6.54</v>
      </c>
      <c r="Y674">
        <v>6.54</v>
      </c>
      <c r="AS674">
        <v>6.54</v>
      </c>
      <c r="BH674" t="s">
        <v>126</v>
      </c>
      <c r="BI674" t="s">
        <v>126</v>
      </c>
      <c r="BJ674" t="s">
        <v>126</v>
      </c>
      <c r="BK674" t="s">
        <v>126</v>
      </c>
      <c r="BS674" t="s">
        <v>126</v>
      </c>
      <c r="BT674" t="s">
        <v>126</v>
      </c>
      <c r="BU674" t="s">
        <v>126</v>
      </c>
      <c r="BV674" t="s">
        <v>126</v>
      </c>
      <c r="CN674" t="s">
        <v>147</v>
      </c>
      <c r="CP674" t="s">
        <v>283</v>
      </c>
      <c r="CQ674" t="s">
        <v>147</v>
      </c>
    </row>
    <row r="675" spans="1:95" x14ac:dyDescent="0.2">
      <c r="A675" t="s">
        <v>115</v>
      </c>
      <c r="B675" t="s">
        <v>116</v>
      </c>
      <c r="C675">
        <v>210784</v>
      </c>
      <c r="E675" t="s">
        <v>117</v>
      </c>
      <c r="F675">
        <v>368</v>
      </c>
      <c r="G675" t="s">
        <v>141</v>
      </c>
      <c r="H675" t="s">
        <v>142</v>
      </c>
      <c r="I675" t="s">
        <v>279</v>
      </c>
      <c r="J675" t="s">
        <v>280</v>
      </c>
      <c r="L675" t="s">
        <v>397</v>
      </c>
      <c r="M675" s="8">
        <v>45717</v>
      </c>
      <c r="N675">
        <v>5688164</v>
      </c>
      <c r="O675" t="s">
        <v>123</v>
      </c>
      <c r="P675" t="s">
        <v>146</v>
      </c>
      <c r="Q675">
        <v>2.89</v>
      </c>
      <c r="R675" t="s">
        <v>125</v>
      </c>
      <c r="S675" t="s">
        <v>126</v>
      </c>
      <c r="T675" t="s">
        <v>125</v>
      </c>
      <c r="U675" t="s">
        <v>126</v>
      </c>
      <c r="W675">
        <v>2.89</v>
      </c>
      <c r="Y675">
        <v>2.89</v>
      </c>
      <c r="AS675">
        <v>2.89</v>
      </c>
      <c r="BH675" t="s">
        <v>126</v>
      </c>
      <c r="BI675" t="s">
        <v>126</v>
      </c>
      <c r="BJ675" t="s">
        <v>126</v>
      </c>
      <c r="BK675" t="s">
        <v>126</v>
      </c>
      <c r="BS675" t="s">
        <v>126</v>
      </c>
      <c r="BT675" t="s">
        <v>126</v>
      </c>
      <c r="BU675" t="s">
        <v>126</v>
      </c>
      <c r="BV675" t="s">
        <v>126</v>
      </c>
      <c r="CN675" t="s">
        <v>147</v>
      </c>
      <c r="CP675" t="s">
        <v>283</v>
      </c>
      <c r="CQ675" t="s">
        <v>147</v>
      </c>
    </row>
    <row r="676" spans="1:95" x14ac:dyDescent="0.2">
      <c r="A676" t="s">
        <v>115</v>
      </c>
      <c r="B676" t="s">
        <v>116</v>
      </c>
      <c r="C676">
        <v>210784</v>
      </c>
      <c r="E676" t="s">
        <v>117</v>
      </c>
      <c r="F676">
        <v>368</v>
      </c>
      <c r="G676" t="s">
        <v>141</v>
      </c>
      <c r="H676" t="s">
        <v>142</v>
      </c>
      <c r="I676" t="s">
        <v>279</v>
      </c>
      <c r="J676" t="s">
        <v>280</v>
      </c>
      <c r="L676" t="s">
        <v>399</v>
      </c>
      <c r="M676" s="8">
        <v>45717</v>
      </c>
      <c r="N676">
        <v>5688785</v>
      </c>
      <c r="O676" t="s">
        <v>123</v>
      </c>
      <c r="P676" t="s">
        <v>146</v>
      </c>
      <c r="Q676">
        <v>5.78</v>
      </c>
      <c r="R676" t="s">
        <v>125</v>
      </c>
      <c r="S676" t="s">
        <v>126</v>
      </c>
      <c r="T676" t="s">
        <v>125</v>
      </c>
      <c r="U676" t="s">
        <v>126</v>
      </c>
      <c r="W676">
        <v>5.78</v>
      </c>
      <c r="Y676">
        <v>5.78</v>
      </c>
      <c r="AS676">
        <v>5.78</v>
      </c>
      <c r="BH676" t="s">
        <v>126</v>
      </c>
      <c r="BI676" t="s">
        <v>126</v>
      </c>
      <c r="BJ676" t="s">
        <v>126</v>
      </c>
      <c r="BK676" t="s">
        <v>126</v>
      </c>
      <c r="BS676" t="s">
        <v>126</v>
      </c>
      <c r="BT676" t="s">
        <v>126</v>
      </c>
      <c r="BU676" t="s">
        <v>126</v>
      </c>
      <c r="BV676" t="s">
        <v>126</v>
      </c>
      <c r="CN676" t="s">
        <v>147</v>
      </c>
      <c r="CP676" t="s">
        <v>283</v>
      </c>
      <c r="CQ676" t="s">
        <v>147</v>
      </c>
    </row>
    <row r="677" spans="1:95" x14ac:dyDescent="0.2">
      <c r="A677" t="s">
        <v>115</v>
      </c>
      <c r="B677" t="s">
        <v>116</v>
      </c>
      <c r="C677">
        <v>210784</v>
      </c>
      <c r="E677" t="s">
        <v>117</v>
      </c>
      <c r="F677">
        <v>368</v>
      </c>
      <c r="G677" t="s">
        <v>141</v>
      </c>
      <c r="H677" t="s">
        <v>142</v>
      </c>
      <c r="I677" t="s">
        <v>279</v>
      </c>
      <c r="J677" t="s">
        <v>280</v>
      </c>
      <c r="L677" t="s">
        <v>400</v>
      </c>
      <c r="M677" s="8">
        <v>45717</v>
      </c>
      <c r="N677">
        <v>5690083</v>
      </c>
      <c r="O677" t="s">
        <v>123</v>
      </c>
      <c r="P677" t="s">
        <v>146</v>
      </c>
      <c r="Q677">
        <v>3.88</v>
      </c>
      <c r="R677" t="s">
        <v>125</v>
      </c>
      <c r="S677" t="s">
        <v>126</v>
      </c>
      <c r="T677" t="s">
        <v>125</v>
      </c>
      <c r="U677" t="s">
        <v>126</v>
      </c>
      <c r="W677">
        <v>3.88</v>
      </c>
      <c r="Y677">
        <v>3.88</v>
      </c>
      <c r="AS677">
        <v>3.88</v>
      </c>
      <c r="BH677" t="s">
        <v>126</v>
      </c>
      <c r="BI677" t="s">
        <v>126</v>
      </c>
      <c r="BJ677" t="s">
        <v>126</v>
      </c>
      <c r="BK677" t="s">
        <v>126</v>
      </c>
      <c r="BS677" t="s">
        <v>126</v>
      </c>
      <c r="BT677" t="s">
        <v>126</v>
      </c>
      <c r="BU677" t="s">
        <v>126</v>
      </c>
      <c r="BV677" t="s">
        <v>126</v>
      </c>
      <c r="CN677" t="s">
        <v>147</v>
      </c>
      <c r="CP677" t="s">
        <v>283</v>
      </c>
      <c r="CQ677" t="s">
        <v>147</v>
      </c>
    </row>
    <row r="678" spans="1:95" x14ac:dyDescent="0.2">
      <c r="A678" t="s">
        <v>115</v>
      </c>
      <c r="B678" t="s">
        <v>116</v>
      </c>
      <c r="C678">
        <v>210784</v>
      </c>
      <c r="E678" t="s">
        <v>117</v>
      </c>
      <c r="F678">
        <v>368</v>
      </c>
      <c r="G678" t="s">
        <v>141</v>
      </c>
      <c r="H678" t="s">
        <v>142</v>
      </c>
      <c r="I678" t="s">
        <v>279</v>
      </c>
      <c r="J678" t="s">
        <v>280</v>
      </c>
      <c r="L678" t="s">
        <v>401</v>
      </c>
      <c r="M678" s="8">
        <v>45717</v>
      </c>
      <c r="N678">
        <v>5691383</v>
      </c>
      <c r="O678" t="s">
        <v>123</v>
      </c>
      <c r="P678" t="s">
        <v>146</v>
      </c>
      <c r="Q678">
        <v>3.44</v>
      </c>
      <c r="R678" t="s">
        <v>125</v>
      </c>
      <c r="S678" t="s">
        <v>126</v>
      </c>
      <c r="T678" t="s">
        <v>125</v>
      </c>
      <c r="U678" t="s">
        <v>126</v>
      </c>
      <c r="W678">
        <v>3.44</v>
      </c>
      <c r="Y678">
        <v>3.44</v>
      </c>
      <c r="AS678">
        <v>3.44</v>
      </c>
      <c r="BH678" t="s">
        <v>126</v>
      </c>
      <c r="BI678" t="s">
        <v>126</v>
      </c>
      <c r="BJ678" t="s">
        <v>126</v>
      </c>
      <c r="BK678" t="s">
        <v>126</v>
      </c>
      <c r="BS678" t="s">
        <v>126</v>
      </c>
      <c r="BT678" t="s">
        <v>126</v>
      </c>
      <c r="BU678" t="s">
        <v>126</v>
      </c>
      <c r="BV678" t="s">
        <v>126</v>
      </c>
      <c r="CN678" t="s">
        <v>147</v>
      </c>
      <c r="CP678" t="s">
        <v>283</v>
      </c>
      <c r="CQ678" t="s">
        <v>147</v>
      </c>
    </row>
    <row r="679" spans="1:95" x14ac:dyDescent="0.2">
      <c r="A679" t="s">
        <v>115</v>
      </c>
      <c r="B679" t="s">
        <v>116</v>
      </c>
      <c r="C679">
        <v>210784</v>
      </c>
      <c r="E679" t="s">
        <v>117</v>
      </c>
      <c r="F679">
        <v>368</v>
      </c>
      <c r="G679" t="s">
        <v>141</v>
      </c>
      <c r="H679" t="s">
        <v>142</v>
      </c>
      <c r="I679" t="s">
        <v>279</v>
      </c>
      <c r="J679" t="s">
        <v>280</v>
      </c>
      <c r="L679" t="s">
        <v>401</v>
      </c>
      <c r="M679" s="8">
        <v>45717</v>
      </c>
      <c r="N679">
        <v>5691482</v>
      </c>
      <c r="O679" t="s">
        <v>123</v>
      </c>
      <c r="P679" t="s">
        <v>146</v>
      </c>
      <c r="Q679">
        <v>5.24</v>
      </c>
      <c r="R679" t="s">
        <v>125</v>
      </c>
      <c r="S679" t="s">
        <v>126</v>
      </c>
      <c r="T679" t="s">
        <v>125</v>
      </c>
      <c r="U679" t="s">
        <v>126</v>
      </c>
      <c r="W679">
        <v>5.24</v>
      </c>
      <c r="Y679">
        <v>5.24</v>
      </c>
      <c r="AS679">
        <v>5.24</v>
      </c>
      <c r="BH679" t="s">
        <v>126</v>
      </c>
      <c r="BI679" t="s">
        <v>126</v>
      </c>
      <c r="BJ679" t="s">
        <v>126</v>
      </c>
      <c r="BK679" t="s">
        <v>126</v>
      </c>
      <c r="BS679" t="s">
        <v>126</v>
      </c>
      <c r="BT679" t="s">
        <v>126</v>
      </c>
      <c r="BU679" t="s">
        <v>126</v>
      </c>
      <c r="BV679" t="s">
        <v>126</v>
      </c>
      <c r="CN679" t="s">
        <v>147</v>
      </c>
      <c r="CP679" t="s">
        <v>283</v>
      </c>
      <c r="CQ679" t="s">
        <v>147</v>
      </c>
    </row>
    <row r="680" spans="1:95" x14ac:dyDescent="0.2">
      <c r="A680" t="s">
        <v>115</v>
      </c>
      <c r="B680" t="s">
        <v>116</v>
      </c>
      <c r="C680">
        <v>210784</v>
      </c>
      <c r="E680" t="s">
        <v>117</v>
      </c>
      <c r="F680">
        <v>368</v>
      </c>
      <c r="G680" t="s">
        <v>141</v>
      </c>
      <c r="H680" t="s">
        <v>142</v>
      </c>
      <c r="I680" t="s">
        <v>279</v>
      </c>
      <c r="J680" t="s">
        <v>280</v>
      </c>
      <c r="L680" t="s">
        <v>383</v>
      </c>
      <c r="M680" s="8">
        <v>45717</v>
      </c>
      <c r="N680">
        <v>5691866</v>
      </c>
      <c r="O680" t="s">
        <v>123</v>
      </c>
      <c r="P680" t="s">
        <v>146</v>
      </c>
      <c r="Q680">
        <v>2.92</v>
      </c>
      <c r="R680" t="s">
        <v>125</v>
      </c>
      <c r="S680" t="s">
        <v>126</v>
      </c>
      <c r="T680" t="s">
        <v>125</v>
      </c>
      <c r="U680" t="s">
        <v>126</v>
      </c>
      <c r="W680">
        <v>2.92</v>
      </c>
      <c r="Y680">
        <v>2.92</v>
      </c>
      <c r="AS680">
        <v>2.92</v>
      </c>
      <c r="BH680" t="s">
        <v>126</v>
      </c>
      <c r="BI680" t="s">
        <v>126</v>
      </c>
      <c r="BJ680" t="s">
        <v>126</v>
      </c>
      <c r="BK680" t="s">
        <v>126</v>
      </c>
      <c r="BS680" t="s">
        <v>126</v>
      </c>
      <c r="BT680" t="s">
        <v>126</v>
      </c>
      <c r="BU680" t="s">
        <v>126</v>
      </c>
      <c r="BV680" t="s">
        <v>126</v>
      </c>
      <c r="CN680" t="s">
        <v>147</v>
      </c>
      <c r="CP680" t="s">
        <v>283</v>
      </c>
      <c r="CQ680" t="s">
        <v>147</v>
      </c>
    </row>
    <row r="681" spans="1:95" x14ac:dyDescent="0.2">
      <c r="A681" t="s">
        <v>115</v>
      </c>
      <c r="B681" t="s">
        <v>116</v>
      </c>
      <c r="C681">
        <v>210784</v>
      </c>
      <c r="E681" t="s">
        <v>117</v>
      </c>
      <c r="F681">
        <v>368</v>
      </c>
      <c r="G681" t="s">
        <v>141</v>
      </c>
      <c r="H681" t="s">
        <v>142</v>
      </c>
      <c r="I681" t="s">
        <v>279</v>
      </c>
      <c r="J681" t="s">
        <v>280</v>
      </c>
      <c r="L681" t="s">
        <v>383</v>
      </c>
      <c r="M681" s="8">
        <v>45717</v>
      </c>
      <c r="N681">
        <v>5692512</v>
      </c>
      <c r="O681" t="s">
        <v>123</v>
      </c>
      <c r="P681" t="s">
        <v>146</v>
      </c>
      <c r="Q681">
        <v>3.11</v>
      </c>
      <c r="R681" t="s">
        <v>125</v>
      </c>
      <c r="S681" t="s">
        <v>126</v>
      </c>
      <c r="T681" t="s">
        <v>125</v>
      </c>
      <c r="U681" t="s">
        <v>126</v>
      </c>
      <c r="W681">
        <v>3.11</v>
      </c>
      <c r="Y681">
        <v>3.11</v>
      </c>
      <c r="AS681">
        <v>3.11</v>
      </c>
      <c r="BH681" t="s">
        <v>126</v>
      </c>
      <c r="BI681" t="s">
        <v>126</v>
      </c>
      <c r="BJ681" t="s">
        <v>126</v>
      </c>
      <c r="BK681" t="s">
        <v>126</v>
      </c>
      <c r="BS681" t="s">
        <v>126</v>
      </c>
      <c r="BT681" t="s">
        <v>126</v>
      </c>
      <c r="BU681" t="s">
        <v>126</v>
      </c>
      <c r="BV681" t="s">
        <v>126</v>
      </c>
      <c r="CN681" t="s">
        <v>147</v>
      </c>
      <c r="CP681" t="s">
        <v>283</v>
      </c>
      <c r="CQ681" t="s">
        <v>147</v>
      </c>
    </row>
    <row r="682" spans="1:95" x14ac:dyDescent="0.2">
      <c r="A682" t="s">
        <v>115</v>
      </c>
      <c r="B682" t="s">
        <v>116</v>
      </c>
      <c r="C682">
        <v>210784</v>
      </c>
      <c r="E682" t="s">
        <v>117</v>
      </c>
      <c r="F682">
        <v>368</v>
      </c>
      <c r="G682" t="s">
        <v>141</v>
      </c>
      <c r="H682" t="s">
        <v>142</v>
      </c>
      <c r="I682" t="s">
        <v>279</v>
      </c>
      <c r="J682" t="s">
        <v>280</v>
      </c>
      <c r="L682" t="s">
        <v>386</v>
      </c>
      <c r="M682" s="8">
        <v>45717</v>
      </c>
      <c r="N682">
        <v>5677793</v>
      </c>
      <c r="O682" t="s">
        <v>123</v>
      </c>
      <c r="P682" t="s">
        <v>146</v>
      </c>
      <c r="Q682">
        <v>0.69</v>
      </c>
      <c r="R682" t="s">
        <v>677</v>
      </c>
      <c r="S682" t="s">
        <v>126</v>
      </c>
      <c r="T682" t="s">
        <v>677</v>
      </c>
      <c r="U682" t="s">
        <v>678</v>
      </c>
      <c r="W682">
        <v>0.21</v>
      </c>
      <c r="X682">
        <v>0.48</v>
      </c>
      <c r="Y682">
        <v>0.69</v>
      </c>
      <c r="Z682">
        <v>0.27</v>
      </c>
      <c r="AG682">
        <v>0.21</v>
      </c>
      <c r="AI682">
        <v>0.21</v>
      </c>
      <c r="BH682" t="s">
        <v>126</v>
      </c>
      <c r="BI682" t="s">
        <v>126</v>
      </c>
      <c r="BJ682" t="s">
        <v>126</v>
      </c>
      <c r="BK682" t="s">
        <v>126</v>
      </c>
      <c r="BS682" t="s">
        <v>126</v>
      </c>
      <c r="BT682" t="s">
        <v>126</v>
      </c>
      <c r="BU682" t="s">
        <v>126</v>
      </c>
      <c r="BV682" t="s">
        <v>126</v>
      </c>
      <c r="CN682" t="s">
        <v>147</v>
      </c>
      <c r="CP682" t="s">
        <v>383</v>
      </c>
      <c r="CQ682" t="s">
        <v>147</v>
      </c>
    </row>
    <row r="683" spans="1:95" x14ac:dyDescent="0.2">
      <c r="A683" t="s">
        <v>115</v>
      </c>
      <c r="B683" t="s">
        <v>116</v>
      </c>
      <c r="C683">
        <v>210784</v>
      </c>
      <c r="E683" t="s">
        <v>117</v>
      </c>
      <c r="F683">
        <v>368</v>
      </c>
      <c r="G683" t="s">
        <v>141</v>
      </c>
      <c r="H683" t="s">
        <v>142</v>
      </c>
      <c r="I683" t="s">
        <v>279</v>
      </c>
      <c r="J683" t="s">
        <v>280</v>
      </c>
      <c r="L683" t="s">
        <v>386</v>
      </c>
      <c r="M683" s="8">
        <v>45717</v>
      </c>
      <c r="N683">
        <v>5677720</v>
      </c>
      <c r="O683" t="s">
        <v>123</v>
      </c>
      <c r="P683" t="s">
        <v>146</v>
      </c>
      <c r="Q683">
        <v>3</v>
      </c>
      <c r="R683" t="s">
        <v>628</v>
      </c>
      <c r="S683" t="s">
        <v>126</v>
      </c>
      <c r="T683" t="s">
        <v>628</v>
      </c>
      <c r="U683" t="s">
        <v>629</v>
      </c>
      <c r="W683">
        <v>0.92</v>
      </c>
      <c r="X683">
        <v>2.08</v>
      </c>
      <c r="Y683">
        <v>3</v>
      </c>
      <c r="Z683">
        <v>1.1499999999999999</v>
      </c>
      <c r="AG683">
        <v>0.92</v>
      </c>
      <c r="AI683">
        <v>0.93</v>
      </c>
      <c r="BH683" t="s">
        <v>126</v>
      </c>
      <c r="BI683" t="s">
        <v>126</v>
      </c>
      <c r="BJ683" t="s">
        <v>126</v>
      </c>
      <c r="BK683" t="s">
        <v>126</v>
      </c>
      <c r="BS683" t="s">
        <v>126</v>
      </c>
      <c r="BT683" t="s">
        <v>126</v>
      </c>
      <c r="BU683" t="s">
        <v>126</v>
      </c>
      <c r="BV683" t="s">
        <v>126</v>
      </c>
      <c r="CN683" t="s">
        <v>147</v>
      </c>
      <c r="CP683" t="s">
        <v>383</v>
      </c>
      <c r="CQ683" t="s">
        <v>147</v>
      </c>
    </row>
    <row r="684" spans="1:95" x14ac:dyDescent="0.2">
      <c r="A684" t="s">
        <v>115</v>
      </c>
      <c r="B684" t="s">
        <v>116</v>
      </c>
      <c r="C684">
        <v>210784</v>
      </c>
      <c r="E684" t="s">
        <v>117</v>
      </c>
      <c r="F684">
        <v>368</v>
      </c>
      <c r="G684" t="s">
        <v>141</v>
      </c>
      <c r="H684" t="s">
        <v>142</v>
      </c>
      <c r="I684" t="s">
        <v>279</v>
      </c>
      <c r="J684" t="s">
        <v>280</v>
      </c>
      <c r="L684" t="s">
        <v>387</v>
      </c>
      <c r="M684" s="8">
        <v>45717</v>
      </c>
      <c r="N684">
        <v>5678758</v>
      </c>
      <c r="O684" t="s">
        <v>123</v>
      </c>
      <c r="P684" t="s">
        <v>146</v>
      </c>
      <c r="Q684">
        <v>2.4500000000000002</v>
      </c>
      <c r="R684" t="s">
        <v>679</v>
      </c>
      <c r="S684" t="s">
        <v>126</v>
      </c>
      <c r="T684" t="s">
        <v>679</v>
      </c>
      <c r="U684" t="s">
        <v>680</v>
      </c>
      <c r="W684">
        <v>0.76</v>
      </c>
      <c r="X684">
        <v>1.69</v>
      </c>
      <c r="Y684">
        <v>2.4500000000000002</v>
      </c>
      <c r="Z684">
        <v>0.93</v>
      </c>
      <c r="AG684">
        <v>0.76</v>
      </c>
      <c r="AI684">
        <v>0.76</v>
      </c>
      <c r="BH684" t="s">
        <v>126</v>
      </c>
      <c r="BI684" t="s">
        <v>126</v>
      </c>
      <c r="BJ684" t="s">
        <v>126</v>
      </c>
      <c r="BK684" t="s">
        <v>126</v>
      </c>
      <c r="BS684" t="s">
        <v>126</v>
      </c>
      <c r="BT684" t="s">
        <v>126</v>
      </c>
      <c r="BU684" t="s">
        <v>126</v>
      </c>
      <c r="BV684" t="s">
        <v>126</v>
      </c>
      <c r="CN684" t="s">
        <v>147</v>
      </c>
      <c r="CP684" t="s">
        <v>383</v>
      </c>
      <c r="CQ684" t="s">
        <v>147</v>
      </c>
    </row>
    <row r="685" spans="1:95" x14ac:dyDescent="0.2">
      <c r="A685" t="s">
        <v>115</v>
      </c>
      <c r="B685" t="s">
        <v>116</v>
      </c>
      <c r="C685">
        <v>210784</v>
      </c>
      <c r="E685" t="s">
        <v>117</v>
      </c>
      <c r="F685">
        <v>368</v>
      </c>
      <c r="G685" t="s">
        <v>141</v>
      </c>
      <c r="H685" t="s">
        <v>142</v>
      </c>
      <c r="I685" t="s">
        <v>279</v>
      </c>
      <c r="J685" t="s">
        <v>280</v>
      </c>
      <c r="L685" t="s">
        <v>388</v>
      </c>
      <c r="M685" s="8">
        <v>45717</v>
      </c>
      <c r="N685">
        <v>5679800</v>
      </c>
      <c r="O685" t="s">
        <v>123</v>
      </c>
      <c r="P685" t="s">
        <v>146</v>
      </c>
      <c r="Q685">
        <v>1.04</v>
      </c>
      <c r="R685" t="s">
        <v>569</v>
      </c>
      <c r="S685" t="s">
        <v>126</v>
      </c>
      <c r="T685" t="s">
        <v>569</v>
      </c>
      <c r="U685" t="s">
        <v>570</v>
      </c>
      <c r="W685">
        <v>0.32</v>
      </c>
      <c r="X685">
        <v>0.72</v>
      </c>
      <c r="Y685">
        <v>1.04</v>
      </c>
      <c r="Z685">
        <v>0.4</v>
      </c>
      <c r="AG685">
        <v>0.32</v>
      </c>
      <c r="AI685">
        <v>0.32</v>
      </c>
      <c r="BH685" t="s">
        <v>126</v>
      </c>
      <c r="BI685" t="s">
        <v>126</v>
      </c>
      <c r="BJ685" t="s">
        <v>126</v>
      </c>
      <c r="BK685" t="s">
        <v>126</v>
      </c>
      <c r="BS685" t="s">
        <v>126</v>
      </c>
      <c r="BT685" t="s">
        <v>126</v>
      </c>
      <c r="BU685" t="s">
        <v>126</v>
      </c>
      <c r="BV685" t="s">
        <v>126</v>
      </c>
      <c r="CN685" t="s">
        <v>147</v>
      </c>
      <c r="CP685" t="s">
        <v>383</v>
      </c>
      <c r="CQ685" t="s">
        <v>147</v>
      </c>
    </row>
    <row r="686" spans="1:95" x14ac:dyDescent="0.2">
      <c r="A686" t="s">
        <v>115</v>
      </c>
      <c r="B686" t="s">
        <v>116</v>
      </c>
      <c r="C686">
        <v>210784</v>
      </c>
      <c r="E686" t="s">
        <v>117</v>
      </c>
      <c r="F686">
        <v>368</v>
      </c>
      <c r="G686" t="s">
        <v>141</v>
      </c>
      <c r="H686" t="s">
        <v>142</v>
      </c>
      <c r="I686" t="s">
        <v>279</v>
      </c>
      <c r="J686" t="s">
        <v>280</v>
      </c>
      <c r="L686" t="s">
        <v>390</v>
      </c>
      <c r="M686" s="8">
        <v>45717</v>
      </c>
      <c r="N686">
        <v>5681113</v>
      </c>
      <c r="O686" t="s">
        <v>123</v>
      </c>
      <c r="P686" t="s">
        <v>146</v>
      </c>
      <c r="Q686">
        <v>3.8299999999999996</v>
      </c>
      <c r="R686" t="s">
        <v>610</v>
      </c>
      <c r="S686" t="s">
        <v>126</v>
      </c>
      <c r="T686" t="s">
        <v>610</v>
      </c>
      <c r="U686" t="s">
        <v>611</v>
      </c>
      <c r="W686">
        <v>1.18</v>
      </c>
      <c r="X686">
        <v>2.65</v>
      </c>
      <c r="Y686">
        <v>3.8299999999999996</v>
      </c>
      <c r="Z686">
        <v>1.46</v>
      </c>
      <c r="AG686">
        <v>1.18</v>
      </c>
      <c r="AI686">
        <v>1.19</v>
      </c>
      <c r="BH686" t="s">
        <v>126</v>
      </c>
      <c r="BI686" t="s">
        <v>126</v>
      </c>
      <c r="BJ686" t="s">
        <v>126</v>
      </c>
      <c r="BK686" t="s">
        <v>126</v>
      </c>
      <c r="BS686" t="s">
        <v>126</v>
      </c>
      <c r="BT686" t="s">
        <v>126</v>
      </c>
      <c r="BU686" t="s">
        <v>126</v>
      </c>
      <c r="BV686" t="s">
        <v>126</v>
      </c>
      <c r="CN686" t="s">
        <v>147</v>
      </c>
      <c r="CP686" t="s">
        <v>383</v>
      </c>
      <c r="CQ686" t="s">
        <v>147</v>
      </c>
    </row>
    <row r="687" spans="1:95" x14ac:dyDescent="0.2">
      <c r="A687" t="s">
        <v>115</v>
      </c>
      <c r="B687" t="s">
        <v>116</v>
      </c>
      <c r="C687">
        <v>210784</v>
      </c>
      <c r="E687" t="s">
        <v>117</v>
      </c>
      <c r="F687">
        <v>368</v>
      </c>
      <c r="G687" t="s">
        <v>141</v>
      </c>
      <c r="H687" t="s">
        <v>142</v>
      </c>
      <c r="I687" t="s">
        <v>279</v>
      </c>
      <c r="J687" t="s">
        <v>280</v>
      </c>
      <c r="L687" t="s">
        <v>384</v>
      </c>
      <c r="M687" s="8">
        <v>45717</v>
      </c>
      <c r="N687">
        <v>5676681</v>
      </c>
      <c r="O687" t="s">
        <v>123</v>
      </c>
      <c r="P687" t="s">
        <v>146</v>
      </c>
      <c r="Q687">
        <v>0.8</v>
      </c>
      <c r="R687" t="s">
        <v>125</v>
      </c>
      <c r="S687" t="s">
        <v>126</v>
      </c>
      <c r="T687" t="s">
        <v>125</v>
      </c>
      <c r="U687" t="s">
        <v>126</v>
      </c>
      <c r="W687">
        <v>0.8</v>
      </c>
      <c r="Y687">
        <v>0.8</v>
      </c>
      <c r="BE687">
        <v>0.8</v>
      </c>
      <c r="BH687" t="s">
        <v>126</v>
      </c>
      <c r="BI687" t="s">
        <v>126</v>
      </c>
      <c r="BJ687" t="s">
        <v>126</v>
      </c>
      <c r="BK687" t="s">
        <v>126</v>
      </c>
      <c r="BS687" t="s">
        <v>126</v>
      </c>
      <c r="BT687" t="s">
        <v>126</v>
      </c>
      <c r="BU687" t="s">
        <v>126</v>
      </c>
      <c r="BV687" t="s">
        <v>126</v>
      </c>
      <c r="CN687" t="s">
        <v>147</v>
      </c>
      <c r="CP687" t="s">
        <v>383</v>
      </c>
      <c r="CQ687" t="s">
        <v>147</v>
      </c>
    </row>
    <row r="688" spans="1:95" x14ac:dyDescent="0.2">
      <c r="A688" t="s">
        <v>115</v>
      </c>
      <c r="B688" t="s">
        <v>116</v>
      </c>
      <c r="C688">
        <v>210784</v>
      </c>
      <c r="E688" t="s">
        <v>117</v>
      </c>
      <c r="F688">
        <v>368</v>
      </c>
      <c r="G688" t="s">
        <v>141</v>
      </c>
      <c r="H688" t="s">
        <v>142</v>
      </c>
      <c r="I688" t="s">
        <v>279</v>
      </c>
      <c r="J688" t="s">
        <v>280</v>
      </c>
      <c r="L688" t="s">
        <v>887</v>
      </c>
      <c r="M688" s="8">
        <v>45717</v>
      </c>
      <c r="N688">
        <v>5676919</v>
      </c>
      <c r="O688" t="s">
        <v>123</v>
      </c>
      <c r="P688" t="s">
        <v>146</v>
      </c>
      <c r="Q688">
        <v>2.44</v>
      </c>
      <c r="R688" t="s">
        <v>125</v>
      </c>
      <c r="S688" t="s">
        <v>126</v>
      </c>
      <c r="T688" t="s">
        <v>125</v>
      </c>
      <c r="U688" t="s">
        <v>126</v>
      </c>
      <c r="W688">
        <v>2.44</v>
      </c>
      <c r="Y688">
        <v>2.44</v>
      </c>
      <c r="BE688">
        <v>2.44</v>
      </c>
      <c r="BH688" t="s">
        <v>126</v>
      </c>
      <c r="BI688" t="s">
        <v>126</v>
      </c>
      <c r="BJ688" t="s">
        <v>126</v>
      </c>
      <c r="BK688" t="s">
        <v>126</v>
      </c>
      <c r="BS688" t="s">
        <v>126</v>
      </c>
      <c r="BT688" t="s">
        <v>126</v>
      </c>
      <c r="BU688" t="s">
        <v>126</v>
      </c>
      <c r="BV688" t="s">
        <v>126</v>
      </c>
      <c r="CN688" t="s">
        <v>147</v>
      </c>
      <c r="CP688" t="s">
        <v>383</v>
      </c>
      <c r="CQ688" t="s">
        <v>147</v>
      </c>
    </row>
    <row r="689" spans="1:95" x14ac:dyDescent="0.2">
      <c r="A689" t="s">
        <v>115</v>
      </c>
      <c r="B689" t="s">
        <v>116</v>
      </c>
      <c r="C689">
        <v>210784</v>
      </c>
      <c r="E689" t="s">
        <v>117</v>
      </c>
      <c r="F689">
        <v>368</v>
      </c>
      <c r="G689" t="s">
        <v>141</v>
      </c>
      <c r="H689" t="s">
        <v>142</v>
      </c>
      <c r="I689" t="s">
        <v>279</v>
      </c>
      <c r="J689" t="s">
        <v>280</v>
      </c>
      <c r="L689" t="s">
        <v>887</v>
      </c>
      <c r="M689" s="8">
        <v>45717</v>
      </c>
      <c r="N689">
        <v>5677314</v>
      </c>
      <c r="O689" t="s">
        <v>123</v>
      </c>
      <c r="P689" t="s">
        <v>146</v>
      </c>
      <c r="Q689">
        <v>1.62</v>
      </c>
      <c r="R689" t="s">
        <v>125</v>
      </c>
      <c r="S689" t="s">
        <v>126</v>
      </c>
      <c r="T689" t="s">
        <v>125</v>
      </c>
      <c r="U689" t="s">
        <v>126</v>
      </c>
      <c r="W689">
        <v>1.62</v>
      </c>
      <c r="Y689">
        <v>1.62</v>
      </c>
      <c r="BE689">
        <v>1.62</v>
      </c>
      <c r="BH689" t="s">
        <v>126</v>
      </c>
      <c r="BI689" t="s">
        <v>126</v>
      </c>
      <c r="BJ689" t="s">
        <v>126</v>
      </c>
      <c r="BK689" t="s">
        <v>126</v>
      </c>
      <c r="BS689" t="s">
        <v>126</v>
      </c>
      <c r="BT689" t="s">
        <v>126</v>
      </c>
      <c r="BU689" t="s">
        <v>126</v>
      </c>
      <c r="BV689" t="s">
        <v>126</v>
      </c>
      <c r="CN689" t="s">
        <v>147</v>
      </c>
      <c r="CP689" t="s">
        <v>383</v>
      </c>
      <c r="CQ689" t="s">
        <v>147</v>
      </c>
    </row>
    <row r="690" spans="1:95" x14ac:dyDescent="0.2">
      <c r="A690" t="s">
        <v>115</v>
      </c>
      <c r="B690" t="s">
        <v>116</v>
      </c>
      <c r="C690">
        <v>210784</v>
      </c>
      <c r="E690" t="s">
        <v>117</v>
      </c>
      <c r="F690">
        <v>368</v>
      </c>
      <c r="G690" t="s">
        <v>141</v>
      </c>
      <c r="H690" t="s">
        <v>142</v>
      </c>
      <c r="I690" t="s">
        <v>279</v>
      </c>
      <c r="J690" t="s">
        <v>280</v>
      </c>
      <c r="L690" t="s">
        <v>391</v>
      </c>
      <c r="M690" s="8">
        <v>45717</v>
      </c>
      <c r="N690">
        <v>5682158</v>
      </c>
      <c r="O690" t="s">
        <v>123</v>
      </c>
      <c r="P690" t="s">
        <v>146</v>
      </c>
      <c r="Q690">
        <v>1.28</v>
      </c>
      <c r="R690" t="s">
        <v>125</v>
      </c>
      <c r="S690" t="s">
        <v>126</v>
      </c>
      <c r="T690" t="s">
        <v>125</v>
      </c>
      <c r="U690" t="s">
        <v>126</v>
      </c>
      <c r="W690">
        <v>1.28</v>
      </c>
      <c r="Y690">
        <v>1.28</v>
      </c>
      <c r="BE690">
        <v>1.28</v>
      </c>
      <c r="BH690" t="s">
        <v>126</v>
      </c>
      <c r="BI690" t="s">
        <v>126</v>
      </c>
      <c r="BJ690" t="s">
        <v>126</v>
      </c>
      <c r="BK690" t="s">
        <v>126</v>
      </c>
      <c r="BS690" t="s">
        <v>126</v>
      </c>
      <c r="BT690" t="s">
        <v>126</v>
      </c>
      <c r="BU690" t="s">
        <v>126</v>
      </c>
      <c r="BV690" t="s">
        <v>126</v>
      </c>
      <c r="CN690" t="s">
        <v>147</v>
      </c>
      <c r="CP690" t="s">
        <v>383</v>
      </c>
      <c r="CQ690" t="s">
        <v>147</v>
      </c>
    </row>
    <row r="691" spans="1:95" x14ac:dyDescent="0.2">
      <c r="A691" t="s">
        <v>115</v>
      </c>
      <c r="B691" t="s">
        <v>116</v>
      </c>
      <c r="C691">
        <v>210784</v>
      </c>
      <c r="E691" t="s">
        <v>117</v>
      </c>
      <c r="F691">
        <v>368</v>
      </c>
      <c r="G691" t="s">
        <v>141</v>
      </c>
      <c r="H691" t="s">
        <v>142</v>
      </c>
      <c r="I691" t="s">
        <v>279</v>
      </c>
      <c r="J691" t="s">
        <v>280</v>
      </c>
      <c r="L691" t="s">
        <v>392</v>
      </c>
      <c r="M691" s="8">
        <v>45717</v>
      </c>
      <c r="N691">
        <v>5683006</v>
      </c>
      <c r="O691" t="s">
        <v>123</v>
      </c>
      <c r="P691" t="s">
        <v>146</v>
      </c>
      <c r="Q691">
        <v>1.07</v>
      </c>
      <c r="R691" t="s">
        <v>125</v>
      </c>
      <c r="S691" t="s">
        <v>126</v>
      </c>
      <c r="T691" t="s">
        <v>125</v>
      </c>
      <c r="U691" t="s">
        <v>126</v>
      </c>
      <c r="W691">
        <v>1.07</v>
      </c>
      <c r="Y691">
        <v>1.07</v>
      </c>
      <c r="BE691">
        <v>1.07</v>
      </c>
      <c r="BH691" t="s">
        <v>126</v>
      </c>
      <c r="BI691" t="s">
        <v>126</v>
      </c>
      <c r="BJ691" t="s">
        <v>126</v>
      </c>
      <c r="BK691" t="s">
        <v>126</v>
      </c>
      <c r="BS691" t="s">
        <v>126</v>
      </c>
      <c r="BT691" t="s">
        <v>126</v>
      </c>
      <c r="BU691" t="s">
        <v>126</v>
      </c>
      <c r="BV691" t="s">
        <v>126</v>
      </c>
      <c r="CN691" t="s">
        <v>147</v>
      </c>
      <c r="CP691" t="s">
        <v>383</v>
      </c>
      <c r="CQ691" t="s">
        <v>147</v>
      </c>
    </row>
    <row r="692" spans="1:95" x14ac:dyDescent="0.2">
      <c r="A692" t="s">
        <v>115</v>
      </c>
      <c r="B692" t="s">
        <v>116</v>
      </c>
      <c r="C692">
        <v>210784</v>
      </c>
      <c r="E692" t="s">
        <v>117</v>
      </c>
      <c r="F692">
        <v>368</v>
      </c>
      <c r="G692" t="s">
        <v>141</v>
      </c>
      <c r="H692" t="s">
        <v>142</v>
      </c>
      <c r="I692" t="s">
        <v>279</v>
      </c>
      <c r="J692" t="s">
        <v>280</v>
      </c>
      <c r="L692" t="s">
        <v>888</v>
      </c>
      <c r="M692" s="8">
        <v>45717</v>
      </c>
      <c r="N692">
        <v>5684036</v>
      </c>
      <c r="O692" t="s">
        <v>123</v>
      </c>
      <c r="P692" t="s">
        <v>146</v>
      </c>
      <c r="Q692">
        <v>1.2</v>
      </c>
      <c r="R692" t="s">
        <v>125</v>
      </c>
      <c r="S692" t="s">
        <v>126</v>
      </c>
      <c r="T692" t="s">
        <v>125</v>
      </c>
      <c r="U692" t="s">
        <v>126</v>
      </c>
      <c r="W692">
        <v>1.2</v>
      </c>
      <c r="Y692">
        <v>1.2</v>
      </c>
      <c r="BE692">
        <v>1.2</v>
      </c>
      <c r="BH692" t="s">
        <v>126</v>
      </c>
      <c r="BI692" t="s">
        <v>126</v>
      </c>
      <c r="BJ692" t="s">
        <v>126</v>
      </c>
      <c r="BK692" t="s">
        <v>126</v>
      </c>
      <c r="BS692" t="s">
        <v>126</v>
      </c>
      <c r="BT692" t="s">
        <v>126</v>
      </c>
      <c r="BU692" t="s">
        <v>126</v>
      </c>
      <c r="BV692" t="s">
        <v>126</v>
      </c>
      <c r="CN692" t="s">
        <v>147</v>
      </c>
      <c r="CP692" t="s">
        <v>383</v>
      </c>
      <c r="CQ692" t="s">
        <v>147</v>
      </c>
    </row>
    <row r="693" spans="1:95" x14ac:dyDescent="0.2">
      <c r="A693" t="s">
        <v>115</v>
      </c>
      <c r="B693" t="s">
        <v>116</v>
      </c>
      <c r="C693">
        <v>210784</v>
      </c>
      <c r="E693" t="s">
        <v>117</v>
      </c>
      <c r="F693">
        <v>368</v>
      </c>
      <c r="G693" t="s">
        <v>141</v>
      </c>
      <c r="H693" t="s">
        <v>142</v>
      </c>
      <c r="I693" t="s">
        <v>279</v>
      </c>
      <c r="J693" t="s">
        <v>280</v>
      </c>
      <c r="L693" t="s">
        <v>888</v>
      </c>
      <c r="M693" s="8">
        <v>45717</v>
      </c>
      <c r="N693">
        <v>5683814</v>
      </c>
      <c r="O693" t="s">
        <v>123</v>
      </c>
      <c r="P693" t="s">
        <v>146</v>
      </c>
      <c r="Q693">
        <v>1.6</v>
      </c>
      <c r="R693" t="s">
        <v>125</v>
      </c>
      <c r="S693" t="s">
        <v>126</v>
      </c>
      <c r="T693" t="s">
        <v>125</v>
      </c>
      <c r="U693" t="s">
        <v>126</v>
      </c>
      <c r="W693">
        <v>1.6</v>
      </c>
      <c r="Y693">
        <v>1.6</v>
      </c>
      <c r="BE693">
        <v>1.6</v>
      </c>
      <c r="BH693" t="s">
        <v>126</v>
      </c>
      <c r="BI693" t="s">
        <v>126</v>
      </c>
      <c r="BJ693" t="s">
        <v>126</v>
      </c>
      <c r="BK693" t="s">
        <v>126</v>
      </c>
      <c r="BS693" t="s">
        <v>126</v>
      </c>
      <c r="BT693" t="s">
        <v>126</v>
      </c>
      <c r="BU693" t="s">
        <v>126</v>
      </c>
      <c r="BV693" t="s">
        <v>126</v>
      </c>
      <c r="CN693" t="s">
        <v>147</v>
      </c>
      <c r="CP693" t="s">
        <v>383</v>
      </c>
      <c r="CQ693" t="s">
        <v>147</v>
      </c>
    </row>
    <row r="694" spans="1:95" x14ac:dyDescent="0.2">
      <c r="A694" t="s">
        <v>115</v>
      </c>
      <c r="B694" t="s">
        <v>116</v>
      </c>
      <c r="C694">
        <v>210784</v>
      </c>
      <c r="E694" t="s">
        <v>117</v>
      </c>
      <c r="F694">
        <v>368</v>
      </c>
      <c r="G694" t="s">
        <v>141</v>
      </c>
      <c r="H694" t="s">
        <v>142</v>
      </c>
      <c r="I694" t="s">
        <v>279</v>
      </c>
      <c r="J694" t="s">
        <v>280</v>
      </c>
      <c r="L694" t="s">
        <v>393</v>
      </c>
      <c r="M694" s="8">
        <v>45717</v>
      </c>
      <c r="N694">
        <v>5684845</v>
      </c>
      <c r="O694" t="s">
        <v>123</v>
      </c>
      <c r="P694" t="s">
        <v>146</v>
      </c>
      <c r="Q694">
        <v>0.56000000000000005</v>
      </c>
      <c r="R694" t="s">
        <v>125</v>
      </c>
      <c r="S694" t="s">
        <v>126</v>
      </c>
      <c r="T694" t="s">
        <v>125</v>
      </c>
      <c r="U694" t="s">
        <v>126</v>
      </c>
      <c r="W694">
        <v>0.56000000000000005</v>
      </c>
      <c r="Y694">
        <v>0.56000000000000005</v>
      </c>
      <c r="BE694">
        <v>0.56000000000000005</v>
      </c>
      <c r="BH694" t="s">
        <v>126</v>
      </c>
      <c r="BI694" t="s">
        <v>126</v>
      </c>
      <c r="BJ694" t="s">
        <v>126</v>
      </c>
      <c r="BK694" t="s">
        <v>126</v>
      </c>
      <c r="BS694" t="s">
        <v>126</v>
      </c>
      <c r="BT694" t="s">
        <v>126</v>
      </c>
      <c r="BU694" t="s">
        <v>126</v>
      </c>
      <c r="BV694" t="s">
        <v>126</v>
      </c>
      <c r="CN694" t="s">
        <v>147</v>
      </c>
      <c r="CP694" t="s">
        <v>383</v>
      </c>
      <c r="CQ694" t="s">
        <v>147</v>
      </c>
    </row>
    <row r="695" spans="1:95" x14ac:dyDescent="0.2">
      <c r="A695" t="s">
        <v>115</v>
      </c>
      <c r="B695" t="s">
        <v>116</v>
      </c>
      <c r="C695">
        <v>210784</v>
      </c>
      <c r="E695" t="s">
        <v>117</v>
      </c>
      <c r="F695">
        <v>368</v>
      </c>
      <c r="G695" t="s">
        <v>141</v>
      </c>
      <c r="H695" t="s">
        <v>142</v>
      </c>
      <c r="I695" t="s">
        <v>279</v>
      </c>
      <c r="J695" t="s">
        <v>280</v>
      </c>
      <c r="L695" t="s">
        <v>394</v>
      </c>
      <c r="M695" s="8">
        <v>45717</v>
      </c>
      <c r="N695">
        <v>5685225</v>
      </c>
      <c r="O695" t="s">
        <v>123</v>
      </c>
      <c r="P695" t="s">
        <v>146</v>
      </c>
      <c r="Q695">
        <v>0.77</v>
      </c>
      <c r="R695" t="s">
        <v>125</v>
      </c>
      <c r="S695" t="s">
        <v>126</v>
      </c>
      <c r="T695" t="s">
        <v>125</v>
      </c>
      <c r="U695" t="s">
        <v>126</v>
      </c>
      <c r="W695">
        <v>0.77</v>
      </c>
      <c r="Y695">
        <v>0.77</v>
      </c>
      <c r="BE695">
        <v>0.77</v>
      </c>
      <c r="BH695" t="s">
        <v>126</v>
      </c>
      <c r="BI695" t="s">
        <v>126</v>
      </c>
      <c r="BJ695" t="s">
        <v>126</v>
      </c>
      <c r="BK695" t="s">
        <v>126</v>
      </c>
      <c r="BS695" t="s">
        <v>126</v>
      </c>
      <c r="BT695" t="s">
        <v>126</v>
      </c>
      <c r="BU695" t="s">
        <v>126</v>
      </c>
      <c r="BV695" t="s">
        <v>126</v>
      </c>
      <c r="CN695" t="s">
        <v>147</v>
      </c>
      <c r="CP695" t="s">
        <v>383</v>
      </c>
      <c r="CQ695" t="s">
        <v>147</v>
      </c>
    </row>
    <row r="696" spans="1:95" x14ac:dyDescent="0.2">
      <c r="A696" t="s">
        <v>115</v>
      </c>
      <c r="B696" t="s">
        <v>116</v>
      </c>
      <c r="C696">
        <v>210784</v>
      </c>
      <c r="E696" t="s">
        <v>117</v>
      </c>
      <c r="F696">
        <v>368</v>
      </c>
      <c r="G696" t="s">
        <v>141</v>
      </c>
      <c r="H696" t="s">
        <v>142</v>
      </c>
      <c r="I696" t="s">
        <v>279</v>
      </c>
      <c r="J696" t="s">
        <v>280</v>
      </c>
      <c r="L696" t="s">
        <v>395</v>
      </c>
      <c r="M696" s="8">
        <v>45717</v>
      </c>
      <c r="N696">
        <v>5686432</v>
      </c>
      <c r="O696" t="s">
        <v>123</v>
      </c>
      <c r="P696" t="s">
        <v>146</v>
      </c>
      <c r="Q696">
        <v>1.0900000000000001</v>
      </c>
      <c r="R696" t="s">
        <v>125</v>
      </c>
      <c r="S696" t="s">
        <v>126</v>
      </c>
      <c r="T696" t="s">
        <v>125</v>
      </c>
      <c r="U696" t="s">
        <v>126</v>
      </c>
      <c r="W696">
        <v>1.0900000000000001</v>
      </c>
      <c r="Y696">
        <v>1.0900000000000001</v>
      </c>
      <c r="BE696">
        <v>1.0900000000000001</v>
      </c>
      <c r="BH696" t="s">
        <v>126</v>
      </c>
      <c r="BI696" t="s">
        <v>126</v>
      </c>
      <c r="BJ696" t="s">
        <v>126</v>
      </c>
      <c r="BK696" t="s">
        <v>126</v>
      </c>
      <c r="BS696" t="s">
        <v>126</v>
      </c>
      <c r="BT696" t="s">
        <v>126</v>
      </c>
      <c r="BU696" t="s">
        <v>126</v>
      </c>
      <c r="BV696" t="s">
        <v>126</v>
      </c>
      <c r="CN696" t="s">
        <v>147</v>
      </c>
      <c r="CP696" t="s">
        <v>402</v>
      </c>
      <c r="CQ696" t="s">
        <v>147</v>
      </c>
    </row>
    <row r="697" spans="1:95" x14ac:dyDescent="0.2">
      <c r="A697" t="s">
        <v>115</v>
      </c>
      <c r="B697" t="s">
        <v>116</v>
      </c>
      <c r="C697">
        <v>210784</v>
      </c>
      <c r="E697" t="s">
        <v>117</v>
      </c>
      <c r="F697">
        <v>368</v>
      </c>
      <c r="G697" t="s">
        <v>141</v>
      </c>
      <c r="H697" t="s">
        <v>142</v>
      </c>
      <c r="I697" t="s">
        <v>279</v>
      </c>
      <c r="J697" t="s">
        <v>280</v>
      </c>
      <c r="L697" t="s">
        <v>398</v>
      </c>
      <c r="M697" s="8">
        <v>45717</v>
      </c>
      <c r="N697">
        <v>5688065</v>
      </c>
      <c r="O697" t="s">
        <v>123</v>
      </c>
      <c r="P697" t="s">
        <v>146</v>
      </c>
      <c r="Q697">
        <v>1.86</v>
      </c>
      <c r="R697" t="s">
        <v>125</v>
      </c>
      <c r="S697" t="s">
        <v>126</v>
      </c>
      <c r="T697" t="s">
        <v>125</v>
      </c>
      <c r="U697" t="s">
        <v>126</v>
      </c>
      <c r="W697">
        <v>1.86</v>
      </c>
      <c r="Y697">
        <v>1.86</v>
      </c>
      <c r="BE697">
        <v>1.86</v>
      </c>
      <c r="BH697" t="s">
        <v>126</v>
      </c>
      <c r="BI697" t="s">
        <v>126</v>
      </c>
      <c r="BJ697" t="s">
        <v>126</v>
      </c>
      <c r="BK697" t="s">
        <v>126</v>
      </c>
      <c r="BS697" t="s">
        <v>126</v>
      </c>
      <c r="BT697" t="s">
        <v>126</v>
      </c>
      <c r="BU697" t="s">
        <v>126</v>
      </c>
      <c r="BV697" t="s">
        <v>126</v>
      </c>
      <c r="CN697" t="s">
        <v>147</v>
      </c>
      <c r="CP697" t="s">
        <v>402</v>
      </c>
      <c r="CQ697" t="s">
        <v>147</v>
      </c>
    </row>
    <row r="698" spans="1:95" x14ac:dyDescent="0.2">
      <c r="A698" t="s">
        <v>115</v>
      </c>
      <c r="B698" t="s">
        <v>116</v>
      </c>
      <c r="C698">
        <v>210784</v>
      </c>
      <c r="E698" t="s">
        <v>117</v>
      </c>
      <c r="F698">
        <v>368</v>
      </c>
      <c r="G698" t="s">
        <v>141</v>
      </c>
      <c r="H698" t="s">
        <v>142</v>
      </c>
      <c r="I698" t="s">
        <v>279</v>
      </c>
      <c r="J698" t="s">
        <v>280</v>
      </c>
      <c r="L698" t="s">
        <v>399</v>
      </c>
      <c r="M698" s="8">
        <v>45717</v>
      </c>
      <c r="N698">
        <v>5688609</v>
      </c>
      <c r="O698" t="s">
        <v>123</v>
      </c>
      <c r="P698" t="s">
        <v>146</v>
      </c>
      <c r="Q698">
        <v>2.4500000000000002</v>
      </c>
      <c r="R698" t="s">
        <v>125</v>
      </c>
      <c r="S698" t="s">
        <v>126</v>
      </c>
      <c r="T698" t="s">
        <v>125</v>
      </c>
      <c r="U698" t="s">
        <v>126</v>
      </c>
      <c r="W698">
        <v>2.4500000000000002</v>
      </c>
      <c r="Y698">
        <v>2.4500000000000002</v>
      </c>
      <c r="BE698">
        <v>2.4500000000000002</v>
      </c>
      <c r="BH698" t="s">
        <v>126</v>
      </c>
      <c r="BI698" t="s">
        <v>126</v>
      </c>
      <c r="BJ698" t="s">
        <v>126</v>
      </c>
      <c r="BK698" t="s">
        <v>126</v>
      </c>
      <c r="BS698" t="s">
        <v>126</v>
      </c>
      <c r="BT698" t="s">
        <v>126</v>
      </c>
      <c r="BU698" t="s">
        <v>126</v>
      </c>
      <c r="BV698" t="s">
        <v>126</v>
      </c>
      <c r="CN698" t="s">
        <v>147</v>
      </c>
      <c r="CP698" t="s">
        <v>402</v>
      </c>
      <c r="CQ698" t="s">
        <v>147</v>
      </c>
    </row>
    <row r="699" spans="1:95" x14ac:dyDescent="0.2">
      <c r="A699" t="s">
        <v>115</v>
      </c>
      <c r="B699" t="s">
        <v>116</v>
      </c>
      <c r="C699">
        <v>210784</v>
      </c>
      <c r="E699" t="s">
        <v>117</v>
      </c>
      <c r="F699">
        <v>368</v>
      </c>
      <c r="G699" t="s">
        <v>141</v>
      </c>
      <c r="H699" t="s">
        <v>142</v>
      </c>
      <c r="I699" t="s">
        <v>279</v>
      </c>
      <c r="J699" t="s">
        <v>280</v>
      </c>
      <c r="L699" t="s">
        <v>399</v>
      </c>
      <c r="M699" s="8">
        <v>45717</v>
      </c>
      <c r="N699">
        <v>5688998</v>
      </c>
      <c r="O699" t="s">
        <v>123</v>
      </c>
      <c r="P699" t="s">
        <v>146</v>
      </c>
      <c r="Q699">
        <v>0.54</v>
      </c>
      <c r="R699" t="s">
        <v>125</v>
      </c>
      <c r="S699" t="s">
        <v>126</v>
      </c>
      <c r="T699" t="s">
        <v>125</v>
      </c>
      <c r="U699" t="s">
        <v>126</v>
      </c>
      <c r="W699">
        <v>0.54</v>
      </c>
      <c r="Y699">
        <v>0.54</v>
      </c>
      <c r="BE699">
        <v>0.54</v>
      </c>
      <c r="BH699" t="s">
        <v>126</v>
      </c>
      <c r="BI699" t="s">
        <v>126</v>
      </c>
      <c r="BJ699" t="s">
        <v>126</v>
      </c>
      <c r="BK699" t="s">
        <v>126</v>
      </c>
      <c r="BS699" t="s">
        <v>126</v>
      </c>
      <c r="BT699" t="s">
        <v>126</v>
      </c>
      <c r="BU699" t="s">
        <v>126</v>
      </c>
      <c r="BV699" t="s">
        <v>126</v>
      </c>
      <c r="CN699" t="s">
        <v>147</v>
      </c>
      <c r="CP699" t="s">
        <v>402</v>
      </c>
      <c r="CQ699" t="s">
        <v>147</v>
      </c>
    </row>
    <row r="700" spans="1:95" x14ac:dyDescent="0.2">
      <c r="A700" t="s">
        <v>115</v>
      </c>
      <c r="B700" t="s">
        <v>116</v>
      </c>
      <c r="C700">
        <v>210784</v>
      </c>
      <c r="E700" t="s">
        <v>117</v>
      </c>
      <c r="F700">
        <v>368</v>
      </c>
      <c r="G700" t="s">
        <v>141</v>
      </c>
      <c r="H700" t="s">
        <v>142</v>
      </c>
      <c r="I700" t="s">
        <v>279</v>
      </c>
      <c r="J700" t="s">
        <v>280</v>
      </c>
      <c r="L700" t="s">
        <v>400</v>
      </c>
      <c r="M700" s="8">
        <v>45717</v>
      </c>
      <c r="N700">
        <v>5690675</v>
      </c>
      <c r="O700" t="s">
        <v>123</v>
      </c>
      <c r="P700" t="s">
        <v>146</v>
      </c>
      <c r="Q700">
        <v>1.07</v>
      </c>
      <c r="R700" t="s">
        <v>125</v>
      </c>
      <c r="S700" t="s">
        <v>126</v>
      </c>
      <c r="T700" t="s">
        <v>125</v>
      </c>
      <c r="U700" t="s">
        <v>126</v>
      </c>
      <c r="W700">
        <v>1.07</v>
      </c>
      <c r="Y700">
        <v>1.07</v>
      </c>
      <c r="BE700">
        <v>1.07</v>
      </c>
      <c r="BH700" t="s">
        <v>126</v>
      </c>
      <c r="BI700" t="s">
        <v>126</v>
      </c>
      <c r="BJ700" t="s">
        <v>126</v>
      </c>
      <c r="BK700" t="s">
        <v>126</v>
      </c>
      <c r="BS700" t="s">
        <v>126</v>
      </c>
      <c r="BT700" t="s">
        <v>126</v>
      </c>
      <c r="BU700" t="s">
        <v>126</v>
      </c>
      <c r="BV700" t="s">
        <v>126</v>
      </c>
      <c r="CN700" t="s">
        <v>147</v>
      </c>
      <c r="CP700" t="s">
        <v>283</v>
      </c>
      <c r="CQ700" t="s">
        <v>147</v>
      </c>
    </row>
    <row r="701" spans="1:95" x14ac:dyDescent="0.2">
      <c r="A701" t="s">
        <v>115</v>
      </c>
      <c r="B701" t="s">
        <v>116</v>
      </c>
      <c r="C701">
        <v>210784</v>
      </c>
      <c r="E701" t="s">
        <v>117</v>
      </c>
      <c r="F701">
        <v>368</v>
      </c>
      <c r="G701" t="s">
        <v>141</v>
      </c>
      <c r="H701" t="s">
        <v>142</v>
      </c>
      <c r="I701" t="s">
        <v>279</v>
      </c>
      <c r="J701" t="s">
        <v>280</v>
      </c>
      <c r="L701" t="s">
        <v>383</v>
      </c>
      <c r="M701" s="8">
        <v>45717</v>
      </c>
      <c r="N701">
        <v>5691907</v>
      </c>
      <c r="O701" t="s">
        <v>123</v>
      </c>
      <c r="P701" t="s">
        <v>146</v>
      </c>
      <c r="Q701">
        <v>1.0900000000000001</v>
      </c>
      <c r="R701" t="s">
        <v>125</v>
      </c>
      <c r="S701" t="s">
        <v>126</v>
      </c>
      <c r="T701" t="s">
        <v>125</v>
      </c>
      <c r="U701" t="s">
        <v>126</v>
      </c>
      <c r="W701">
        <v>1.0900000000000001</v>
      </c>
      <c r="Y701">
        <v>1.0900000000000001</v>
      </c>
      <c r="BE701">
        <v>1.0900000000000001</v>
      </c>
      <c r="BH701" t="s">
        <v>126</v>
      </c>
      <c r="BI701" t="s">
        <v>126</v>
      </c>
      <c r="BJ701" t="s">
        <v>126</v>
      </c>
      <c r="BK701" t="s">
        <v>126</v>
      </c>
      <c r="BS701" t="s">
        <v>126</v>
      </c>
      <c r="BT701" t="s">
        <v>126</v>
      </c>
      <c r="BU701" t="s">
        <v>126</v>
      </c>
      <c r="BV701" t="s">
        <v>126</v>
      </c>
      <c r="CN701" t="s">
        <v>147</v>
      </c>
      <c r="CP701" t="s">
        <v>283</v>
      </c>
      <c r="CQ701" t="s">
        <v>147</v>
      </c>
    </row>
    <row r="702" spans="1:95" x14ac:dyDescent="0.2">
      <c r="A702" t="s">
        <v>115</v>
      </c>
      <c r="B702" t="s">
        <v>116</v>
      </c>
      <c r="C702">
        <v>210784</v>
      </c>
      <c r="E702" t="s">
        <v>117</v>
      </c>
      <c r="F702">
        <v>368</v>
      </c>
      <c r="G702" t="s">
        <v>141</v>
      </c>
      <c r="H702" t="s">
        <v>142</v>
      </c>
      <c r="I702" t="s">
        <v>204</v>
      </c>
      <c r="J702" t="s">
        <v>205</v>
      </c>
      <c r="L702" t="s">
        <v>282</v>
      </c>
      <c r="M702" s="8">
        <v>45748</v>
      </c>
      <c r="N702">
        <v>120677</v>
      </c>
      <c r="O702" t="s">
        <v>123</v>
      </c>
      <c r="P702" t="s">
        <v>146</v>
      </c>
      <c r="Q702">
        <v>7.59</v>
      </c>
      <c r="R702" t="s">
        <v>125</v>
      </c>
      <c r="S702" t="s">
        <v>126</v>
      </c>
      <c r="T702" t="s">
        <v>125</v>
      </c>
      <c r="U702" t="s">
        <v>126</v>
      </c>
      <c r="W702">
        <v>7.59</v>
      </c>
      <c r="Y702">
        <v>7.59</v>
      </c>
      <c r="AC702">
        <v>7.59</v>
      </c>
      <c r="BH702" t="s">
        <v>126</v>
      </c>
      <c r="BI702" t="s">
        <v>126</v>
      </c>
      <c r="BJ702" t="s">
        <v>126</v>
      </c>
      <c r="BK702" t="s">
        <v>126</v>
      </c>
      <c r="BS702" t="s">
        <v>126</v>
      </c>
      <c r="BT702" t="s">
        <v>126</v>
      </c>
      <c r="BU702" t="s">
        <v>126</v>
      </c>
      <c r="BV702" t="s">
        <v>126</v>
      </c>
      <c r="CN702" t="s">
        <v>147</v>
      </c>
      <c r="CP702" t="s">
        <v>283</v>
      </c>
      <c r="CQ702" t="s">
        <v>147</v>
      </c>
    </row>
    <row r="703" spans="1:95" x14ac:dyDescent="0.2">
      <c r="A703" t="s">
        <v>115</v>
      </c>
      <c r="B703" t="s">
        <v>116</v>
      </c>
      <c r="C703">
        <v>210784</v>
      </c>
      <c r="E703" t="s">
        <v>117</v>
      </c>
      <c r="F703">
        <v>368</v>
      </c>
      <c r="G703" t="s">
        <v>141</v>
      </c>
      <c r="H703" t="s">
        <v>142</v>
      </c>
      <c r="I703" t="s">
        <v>279</v>
      </c>
      <c r="J703" t="s">
        <v>280</v>
      </c>
      <c r="L703" t="s">
        <v>402</v>
      </c>
      <c r="M703" s="8">
        <v>45748</v>
      </c>
      <c r="N703">
        <v>5693047</v>
      </c>
      <c r="O703" t="s">
        <v>123</v>
      </c>
      <c r="P703" t="s">
        <v>146</v>
      </c>
      <c r="Q703">
        <v>4.03</v>
      </c>
      <c r="R703" t="s">
        <v>125</v>
      </c>
      <c r="S703" t="s">
        <v>126</v>
      </c>
      <c r="T703" t="s">
        <v>125</v>
      </c>
      <c r="U703" t="s">
        <v>126</v>
      </c>
      <c r="W703">
        <v>4.03</v>
      </c>
      <c r="Y703">
        <v>4.03</v>
      </c>
      <c r="AS703">
        <v>4.03</v>
      </c>
      <c r="BH703" t="s">
        <v>126</v>
      </c>
      <c r="BI703" t="s">
        <v>126</v>
      </c>
      <c r="BJ703" t="s">
        <v>126</v>
      </c>
      <c r="BK703" t="s">
        <v>126</v>
      </c>
      <c r="BS703" t="s">
        <v>126</v>
      </c>
      <c r="BT703" t="s">
        <v>126</v>
      </c>
      <c r="BU703" t="s">
        <v>126</v>
      </c>
      <c r="BV703" t="s">
        <v>126</v>
      </c>
      <c r="CN703" t="s">
        <v>147</v>
      </c>
      <c r="CP703" t="s">
        <v>283</v>
      </c>
      <c r="CQ703" t="s">
        <v>147</v>
      </c>
    </row>
    <row r="704" spans="1:95" x14ac:dyDescent="0.2">
      <c r="A704" t="s">
        <v>115</v>
      </c>
      <c r="B704" t="s">
        <v>116</v>
      </c>
      <c r="C704">
        <v>210784</v>
      </c>
      <c r="E704" t="s">
        <v>117</v>
      </c>
      <c r="F704">
        <v>368</v>
      </c>
      <c r="G704" t="s">
        <v>141</v>
      </c>
      <c r="H704" t="s">
        <v>142</v>
      </c>
      <c r="I704" t="s">
        <v>279</v>
      </c>
      <c r="J704" t="s">
        <v>280</v>
      </c>
      <c r="L704" t="s">
        <v>403</v>
      </c>
      <c r="M704" s="8">
        <v>45748</v>
      </c>
      <c r="N704">
        <v>5693665</v>
      </c>
      <c r="O704" t="s">
        <v>123</v>
      </c>
      <c r="P704" t="s">
        <v>146</v>
      </c>
      <c r="Q704">
        <v>4.6900000000000004</v>
      </c>
      <c r="R704" t="s">
        <v>125</v>
      </c>
      <c r="S704" t="s">
        <v>126</v>
      </c>
      <c r="T704" t="s">
        <v>125</v>
      </c>
      <c r="U704" t="s">
        <v>126</v>
      </c>
      <c r="W704">
        <v>4.6900000000000004</v>
      </c>
      <c r="Y704">
        <v>4.6900000000000004</v>
      </c>
      <c r="AS704">
        <v>4.6900000000000004</v>
      </c>
      <c r="BH704" t="s">
        <v>126</v>
      </c>
      <c r="BI704" t="s">
        <v>126</v>
      </c>
      <c r="BJ704" t="s">
        <v>126</v>
      </c>
      <c r="BK704" t="s">
        <v>126</v>
      </c>
      <c r="BS704" t="s">
        <v>126</v>
      </c>
      <c r="BT704" t="s">
        <v>126</v>
      </c>
      <c r="BU704" t="s">
        <v>126</v>
      </c>
      <c r="BV704" t="s">
        <v>126</v>
      </c>
      <c r="CN704" t="s">
        <v>147</v>
      </c>
      <c r="CP704" t="s">
        <v>283</v>
      </c>
      <c r="CQ704" t="s">
        <v>147</v>
      </c>
    </row>
    <row r="705" spans="1:95" x14ac:dyDescent="0.2">
      <c r="A705" t="s">
        <v>115</v>
      </c>
      <c r="B705" t="s">
        <v>116</v>
      </c>
      <c r="C705">
        <v>210784</v>
      </c>
      <c r="E705" t="s">
        <v>117</v>
      </c>
      <c r="F705">
        <v>368</v>
      </c>
      <c r="G705" t="s">
        <v>141</v>
      </c>
      <c r="H705" t="s">
        <v>142</v>
      </c>
      <c r="I705" t="s">
        <v>279</v>
      </c>
      <c r="J705" t="s">
        <v>280</v>
      </c>
      <c r="L705" t="s">
        <v>404</v>
      </c>
      <c r="M705" s="8">
        <v>45748</v>
      </c>
      <c r="N705">
        <v>5694989</v>
      </c>
      <c r="O705" t="s">
        <v>123</v>
      </c>
      <c r="P705" t="s">
        <v>146</v>
      </c>
      <c r="Q705">
        <v>5.42</v>
      </c>
      <c r="R705" t="s">
        <v>125</v>
      </c>
      <c r="S705" t="s">
        <v>126</v>
      </c>
      <c r="T705" t="s">
        <v>125</v>
      </c>
      <c r="U705" t="s">
        <v>126</v>
      </c>
      <c r="W705">
        <v>5.42</v>
      </c>
      <c r="Y705">
        <v>5.42</v>
      </c>
      <c r="AS705">
        <v>5.42</v>
      </c>
      <c r="BH705" t="s">
        <v>126</v>
      </c>
      <c r="BI705" t="s">
        <v>126</v>
      </c>
      <c r="BJ705" t="s">
        <v>126</v>
      </c>
      <c r="BK705" t="s">
        <v>126</v>
      </c>
      <c r="BS705" t="s">
        <v>126</v>
      </c>
      <c r="BT705" t="s">
        <v>126</v>
      </c>
      <c r="BU705" t="s">
        <v>126</v>
      </c>
      <c r="BV705" t="s">
        <v>126</v>
      </c>
      <c r="CN705" t="s">
        <v>147</v>
      </c>
      <c r="CP705" t="s">
        <v>283</v>
      </c>
      <c r="CQ705" t="s">
        <v>147</v>
      </c>
    </row>
    <row r="706" spans="1:95" x14ac:dyDescent="0.2">
      <c r="A706" t="s">
        <v>115</v>
      </c>
      <c r="B706" t="s">
        <v>116</v>
      </c>
      <c r="C706">
        <v>210784</v>
      </c>
      <c r="E706" t="s">
        <v>117</v>
      </c>
      <c r="F706">
        <v>368</v>
      </c>
      <c r="G706" t="s">
        <v>141</v>
      </c>
      <c r="H706" t="s">
        <v>142</v>
      </c>
      <c r="I706" t="s">
        <v>279</v>
      </c>
      <c r="J706" t="s">
        <v>280</v>
      </c>
      <c r="L706" t="s">
        <v>404</v>
      </c>
      <c r="M706" s="8">
        <v>45748</v>
      </c>
      <c r="N706">
        <v>5695385</v>
      </c>
      <c r="O706" t="s">
        <v>123</v>
      </c>
      <c r="P706" t="s">
        <v>146</v>
      </c>
      <c r="Q706">
        <v>2.79</v>
      </c>
      <c r="R706" t="s">
        <v>125</v>
      </c>
      <c r="S706" t="s">
        <v>126</v>
      </c>
      <c r="T706" t="s">
        <v>125</v>
      </c>
      <c r="U706" t="s">
        <v>126</v>
      </c>
      <c r="W706">
        <v>2.79</v>
      </c>
      <c r="Y706">
        <v>2.79</v>
      </c>
      <c r="AS706">
        <v>2.79</v>
      </c>
      <c r="BH706" t="s">
        <v>126</v>
      </c>
      <c r="BI706" t="s">
        <v>126</v>
      </c>
      <c r="BJ706" t="s">
        <v>126</v>
      </c>
      <c r="BK706" t="s">
        <v>126</v>
      </c>
      <c r="BS706" t="s">
        <v>126</v>
      </c>
      <c r="BT706" t="s">
        <v>126</v>
      </c>
      <c r="BU706" t="s">
        <v>126</v>
      </c>
      <c r="BV706" t="s">
        <v>126</v>
      </c>
      <c r="CN706" t="s">
        <v>147</v>
      </c>
      <c r="CP706" t="s">
        <v>283</v>
      </c>
      <c r="CQ706" t="s">
        <v>147</v>
      </c>
    </row>
    <row r="707" spans="1:95" x14ac:dyDescent="0.2">
      <c r="A707" t="s">
        <v>115</v>
      </c>
      <c r="B707" t="s">
        <v>116</v>
      </c>
      <c r="C707">
        <v>210784</v>
      </c>
      <c r="E707" t="s">
        <v>117</v>
      </c>
      <c r="F707">
        <v>368</v>
      </c>
      <c r="G707" t="s">
        <v>141</v>
      </c>
      <c r="H707" t="s">
        <v>142</v>
      </c>
      <c r="I707" t="s">
        <v>279</v>
      </c>
      <c r="J707" t="s">
        <v>280</v>
      </c>
      <c r="L707" t="s">
        <v>404</v>
      </c>
      <c r="M707" s="8">
        <v>45748</v>
      </c>
      <c r="N707">
        <v>5695611</v>
      </c>
      <c r="O707" t="s">
        <v>123</v>
      </c>
      <c r="P707" t="s">
        <v>146</v>
      </c>
      <c r="Q707">
        <v>1.6</v>
      </c>
      <c r="R707" t="s">
        <v>125</v>
      </c>
      <c r="S707" t="s">
        <v>126</v>
      </c>
      <c r="T707" t="s">
        <v>125</v>
      </c>
      <c r="U707" t="s">
        <v>126</v>
      </c>
      <c r="W707">
        <v>1.6</v>
      </c>
      <c r="Y707">
        <v>1.6</v>
      </c>
      <c r="AS707">
        <v>1.6</v>
      </c>
      <c r="BH707" t="s">
        <v>126</v>
      </c>
      <c r="BI707" t="s">
        <v>126</v>
      </c>
      <c r="BJ707" t="s">
        <v>126</v>
      </c>
      <c r="BK707" t="s">
        <v>126</v>
      </c>
      <c r="BS707" t="s">
        <v>126</v>
      </c>
      <c r="BT707" t="s">
        <v>126</v>
      </c>
      <c r="BU707" t="s">
        <v>126</v>
      </c>
      <c r="BV707" t="s">
        <v>126</v>
      </c>
      <c r="CN707" t="s">
        <v>147</v>
      </c>
      <c r="CP707" t="s">
        <v>283</v>
      </c>
      <c r="CQ707" t="s">
        <v>147</v>
      </c>
    </row>
    <row r="708" spans="1:95" x14ac:dyDescent="0.2">
      <c r="A708" t="s">
        <v>115</v>
      </c>
      <c r="B708" t="s">
        <v>116</v>
      </c>
      <c r="C708">
        <v>210784</v>
      </c>
      <c r="E708" t="s">
        <v>117</v>
      </c>
      <c r="F708">
        <v>368</v>
      </c>
      <c r="G708" t="s">
        <v>141</v>
      </c>
      <c r="H708" t="s">
        <v>142</v>
      </c>
      <c r="I708" t="s">
        <v>279</v>
      </c>
      <c r="J708" t="s">
        <v>280</v>
      </c>
      <c r="L708" t="s">
        <v>405</v>
      </c>
      <c r="M708" s="8">
        <v>45748</v>
      </c>
      <c r="N708">
        <v>5696677</v>
      </c>
      <c r="O708" t="s">
        <v>123</v>
      </c>
      <c r="P708" t="s">
        <v>146</v>
      </c>
      <c r="Q708">
        <v>7.38</v>
      </c>
      <c r="R708" t="s">
        <v>125</v>
      </c>
      <c r="S708" t="s">
        <v>126</v>
      </c>
      <c r="T708" t="s">
        <v>125</v>
      </c>
      <c r="U708" t="s">
        <v>126</v>
      </c>
      <c r="W708">
        <v>7.38</v>
      </c>
      <c r="Y708">
        <v>7.38</v>
      </c>
      <c r="AS708">
        <v>7.38</v>
      </c>
      <c r="BH708" t="s">
        <v>126</v>
      </c>
      <c r="BI708" t="s">
        <v>126</v>
      </c>
      <c r="BJ708" t="s">
        <v>126</v>
      </c>
      <c r="BK708" t="s">
        <v>126</v>
      </c>
      <c r="BS708" t="s">
        <v>126</v>
      </c>
      <c r="BT708" t="s">
        <v>126</v>
      </c>
      <c r="BU708" t="s">
        <v>126</v>
      </c>
      <c r="BV708" t="s">
        <v>126</v>
      </c>
      <c r="CN708" t="s">
        <v>147</v>
      </c>
      <c r="CP708" t="s">
        <v>283</v>
      </c>
      <c r="CQ708" t="s">
        <v>147</v>
      </c>
    </row>
    <row r="709" spans="1:95" x14ac:dyDescent="0.2">
      <c r="A709" t="s">
        <v>115</v>
      </c>
      <c r="B709" t="s">
        <v>116</v>
      </c>
      <c r="C709">
        <v>210784</v>
      </c>
      <c r="E709" t="s">
        <v>117</v>
      </c>
      <c r="F709">
        <v>368</v>
      </c>
      <c r="G709" t="s">
        <v>141</v>
      </c>
      <c r="H709" t="s">
        <v>142</v>
      </c>
      <c r="I709" t="s">
        <v>279</v>
      </c>
      <c r="J709" t="s">
        <v>280</v>
      </c>
      <c r="L709" t="s">
        <v>406</v>
      </c>
      <c r="M709" s="8">
        <v>45748</v>
      </c>
      <c r="N709">
        <v>5697116</v>
      </c>
      <c r="O709" t="s">
        <v>123</v>
      </c>
      <c r="P709" t="s">
        <v>146</v>
      </c>
      <c r="Q709">
        <v>3.65</v>
      </c>
      <c r="R709" t="s">
        <v>125</v>
      </c>
      <c r="S709" t="s">
        <v>126</v>
      </c>
      <c r="T709" t="s">
        <v>125</v>
      </c>
      <c r="U709" t="s">
        <v>126</v>
      </c>
      <c r="W709">
        <v>3.65</v>
      </c>
      <c r="Y709">
        <v>3.65</v>
      </c>
      <c r="AS709">
        <v>3.65</v>
      </c>
      <c r="BH709" t="s">
        <v>126</v>
      </c>
      <c r="BI709" t="s">
        <v>126</v>
      </c>
      <c r="BJ709" t="s">
        <v>126</v>
      </c>
      <c r="BK709" t="s">
        <v>126</v>
      </c>
      <c r="BS709" t="s">
        <v>126</v>
      </c>
      <c r="BT709" t="s">
        <v>126</v>
      </c>
      <c r="BU709" t="s">
        <v>126</v>
      </c>
      <c r="BV709" t="s">
        <v>126</v>
      </c>
      <c r="CN709" t="s">
        <v>147</v>
      </c>
      <c r="CP709" t="s">
        <v>283</v>
      </c>
      <c r="CQ709" t="s">
        <v>147</v>
      </c>
    </row>
    <row r="710" spans="1:95" x14ac:dyDescent="0.2">
      <c r="A710" t="s">
        <v>115</v>
      </c>
      <c r="B710" t="s">
        <v>116</v>
      </c>
      <c r="C710">
        <v>210784</v>
      </c>
      <c r="E710" t="s">
        <v>117</v>
      </c>
      <c r="F710">
        <v>368</v>
      </c>
      <c r="G710" t="s">
        <v>141</v>
      </c>
      <c r="H710" t="s">
        <v>142</v>
      </c>
      <c r="I710" t="s">
        <v>279</v>
      </c>
      <c r="J710" t="s">
        <v>280</v>
      </c>
      <c r="L710" t="s">
        <v>406</v>
      </c>
      <c r="M710" s="8">
        <v>45748</v>
      </c>
      <c r="N710">
        <v>5697505</v>
      </c>
      <c r="O710" t="s">
        <v>123</v>
      </c>
      <c r="P710" t="s">
        <v>146</v>
      </c>
      <c r="Q710">
        <v>2.6</v>
      </c>
      <c r="R710" t="s">
        <v>125</v>
      </c>
      <c r="S710" t="s">
        <v>126</v>
      </c>
      <c r="T710" t="s">
        <v>125</v>
      </c>
      <c r="U710" t="s">
        <v>126</v>
      </c>
      <c r="W710">
        <v>2.6</v>
      </c>
      <c r="Y710">
        <v>2.6</v>
      </c>
      <c r="AS710">
        <v>2.6</v>
      </c>
      <c r="BH710" t="s">
        <v>126</v>
      </c>
      <c r="BI710" t="s">
        <v>126</v>
      </c>
      <c r="BJ710" t="s">
        <v>126</v>
      </c>
      <c r="BK710" t="s">
        <v>126</v>
      </c>
      <c r="BS710" t="s">
        <v>126</v>
      </c>
      <c r="BT710" t="s">
        <v>126</v>
      </c>
      <c r="BU710" t="s">
        <v>126</v>
      </c>
      <c r="BV710" t="s">
        <v>126</v>
      </c>
      <c r="CN710" t="s">
        <v>147</v>
      </c>
      <c r="CP710" t="s">
        <v>283</v>
      </c>
      <c r="CQ710" t="s">
        <v>147</v>
      </c>
    </row>
    <row r="711" spans="1:95" x14ac:dyDescent="0.2">
      <c r="A711" t="s">
        <v>115</v>
      </c>
      <c r="B711" t="s">
        <v>116</v>
      </c>
      <c r="C711">
        <v>210784</v>
      </c>
      <c r="E711" t="s">
        <v>117</v>
      </c>
      <c r="F711">
        <v>368</v>
      </c>
      <c r="G711" t="s">
        <v>141</v>
      </c>
      <c r="H711" t="s">
        <v>142</v>
      </c>
      <c r="I711" t="s">
        <v>279</v>
      </c>
      <c r="J711" t="s">
        <v>280</v>
      </c>
      <c r="L711" t="s">
        <v>407</v>
      </c>
      <c r="M711" s="8">
        <v>45748</v>
      </c>
      <c r="N711">
        <v>5698013</v>
      </c>
      <c r="O711" t="s">
        <v>123</v>
      </c>
      <c r="P711" t="s">
        <v>146</v>
      </c>
      <c r="Q711">
        <v>2.02</v>
      </c>
      <c r="R711" t="s">
        <v>125</v>
      </c>
      <c r="S711" t="s">
        <v>126</v>
      </c>
      <c r="T711" t="s">
        <v>125</v>
      </c>
      <c r="U711" t="s">
        <v>126</v>
      </c>
      <c r="W711">
        <v>2.02</v>
      </c>
      <c r="Y711">
        <v>2.02</v>
      </c>
      <c r="AS711">
        <v>2.02</v>
      </c>
      <c r="BH711" t="s">
        <v>126</v>
      </c>
      <c r="BI711" t="s">
        <v>126</v>
      </c>
      <c r="BJ711" t="s">
        <v>126</v>
      </c>
      <c r="BK711" t="s">
        <v>126</v>
      </c>
      <c r="BS711" t="s">
        <v>126</v>
      </c>
      <c r="BT711" t="s">
        <v>126</v>
      </c>
      <c r="BU711" t="s">
        <v>126</v>
      </c>
      <c r="BV711" t="s">
        <v>126</v>
      </c>
      <c r="CN711" t="s">
        <v>147</v>
      </c>
      <c r="CP711" t="s">
        <v>283</v>
      </c>
      <c r="CQ711" t="s">
        <v>147</v>
      </c>
    </row>
    <row r="712" spans="1:95" x14ac:dyDescent="0.2">
      <c r="A712" t="s">
        <v>115</v>
      </c>
      <c r="B712" t="s">
        <v>116</v>
      </c>
      <c r="C712">
        <v>210784</v>
      </c>
      <c r="E712" t="s">
        <v>117</v>
      </c>
      <c r="F712">
        <v>368</v>
      </c>
      <c r="G712" t="s">
        <v>141</v>
      </c>
      <c r="H712" t="s">
        <v>142</v>
      </c>
      <c r="I712" t="s">
        <v>279</v>
      </c>
      <c r="J712" t="s">
        <v>280</v>
      </c>
      <c r="L712" t="s">
        <v>407</v>
      </c>
      <c r="M712" s="8">
        <v>45748</v>
      </c>
      <c r="N712">
        <v>5698176</v>
      </c>
      <c r="O712" t="s">
        <v>123</v>
      </c>
      <c r="P712" t="s">
        <v>146</v>
      </c>
      <c r="Q712">
        <v>2.73</v>
      </c>
      <c r="R712" t="s">
        <v>125</v>
      </c>
      <c r="S712" t="s">
        <v>126</v>
      </c>
      <c r="T712" t="s">
        <v>125</v>
      </c>
      <c r="U712" t="s">
        <v>126</v>
      </c>
      <c r="W712">
        <v>2.73</v>
      </c>
      <c r="Y712">
        <v>2.73</v>
      </c>
      <c r="AS712">
        <v>2.73</v>
      </c>
      <c r="BH712" t="s">
        <v>126</v>
      </c>
      <c r="BI712" t="s">
        <v>126</v>
      </c>
      <c r="BJ712" t="s">
        <v>126</v>
      </c>
      <c r="BK712" t="s">
        <v>126</v>
      </c>
      <c r="BS712" t="s">
        <v>126</v>
      </c>
      <c r="BT712" t="s">
        <v>126</v>
      </c>
      <c r="BU712" t="s">
        <v>126</v>
      </c>
      <c r="BV712" t="s">
        <v>126</v>
      </c>
      <c r="CN712" t="s">
        <v>147</v>
      </c>
      <c r="CP712" t="s">
        <v>283</v>
      </c>
      <c r="CQ712" t="s">
        <v>147</v>
      </c>
    </row>
    <row r="713" spans="1:95" x14ac:dyDescent="0.2">
      <c r="A713" t="s">
        <v>115</v>
      </c>
      <c r="B713" t="s">
        <v>116</v>
      </c>
      <c r="C713">
        <v>210784</v>
      </c>
      <c r="E713" t="s">
        <v>117</v>
      </c>
      <c r="F713">
        <v>368</v>
      </c>
      <c r="G713" t="s">
        <v>141</v>
      </c>
      <c r="H713" t="s">
        <v>142</v>
      </c>
      <c r="I713" t="s">
        <v>279</v>
      </c>
      <c r="J713" t="s">
        <v>280</v>
      </c>
      <c r="L713" t="s">
        <v>407</v>
      </c>
      <c r="M713" s="8">
        <v>45748</v>
      </c>
      <c r="N713">
        <v>5698277</v>
      </c>
      <c r="O713" t="s">
        <v>123</v>
      </c>
      <c r="P713" t="s">
        <v>146</v>
      </c>
      <c r="Q713">
        <v>2.69</v>
      </c>
      <c r="R713" t="s">
        <v>125</v>
      </c>
      <c r="S713" t="s">
        <v>126</v>
      </c>
      <c r="T713" t="s">
        <v>125</v>
      </c>
      <c r="U713" t="s">
        <v>126</v>
      </c>
      <c r="W713">
        <v>2.69</v>
      </c>
      <c r="Y713">
        <v>2.69</v>
      </c>
      <c r="AS713">
        <v>2.69</v>
      </c>
      <c r="BH713" t="s">
        <v>126</v>
      </c>
      <c r="BI713" t="s">
        <v>126</v>
      </c>
      <c r="BJ713" t="s">
        <v>126</v>
      </c>
      <c r="BK713" t="s">
        <v>126</v>
      </c>
      <c r="BS713" t="s">
        <v>126</v>
      </c>
      <c r="BT713" t="s">
        <v>126</v>
      </c>
      <c r="BU713" t="s">
        <v>126</v>
      </c>
      <c r="BV713" t="s">
        <v>126</v>
      </c>
      <c r="CN713" t="s">
        <v>147</v>
      </c>
      <c r="CP713" t="s">
        <v>283</v>
      </c>
      <c r="CQ713" t="s">
        <v>147</v>
      </c>
    </row>
    <row r="714" spans="1:95" x14ac:dyDescent="0.2">
      <c r="A714" t="s">
        <v>115</v>
      </c>
      <c r="B714" t="s">
        <v>116</v>
      </c>
      <c r="C714">
        <v>210784</v>
      </c>
      <c r="E714" t="s">
        <v>117</v>
      </c>
      <c r="F714">
        <v>368</v>
      </c>
      <c r="G714" t="s">
        <v>141</v>
      </c>
      <c r="H714" t="s">
        <v>142</v>
      </c>
      <c r="I714" t="s">
        <v>279</v>
      </c>
      <c r="J714" t="s">
        <v>280</v>
      </c>
      <c r="L714" t="s">
        <v>408</v>
      </c>
      <c r="M714" s="8">
        <v>45748</v>
      </c>
      <c r="N714">
        <v>5698999</v>
      </c>
      <c r="O714" t="s">
        <v>123</v>
      </c>
      <c r="P714" t="s">
        <v>146</v>
      </c>
      <c r="Q714">
        <v>3.28</v>
      </c>
      <c r="R714" t="s">
        <v>125</v>
      </c>
      <c r="S714" t="s">
        <v>126</v>
      </c>
      <c r="T714" t="s">
        <v>125</v>
      </c>
      <c r="U714" t="s">
        <v>126</v>
      </c>
      <c r="W714">
        <v>3.28</v>
      </c>
      <c r="Y714">
        <v>3.28</v>
      </c>
      <c r="AS714">
        <v>3.28</v>
      </c>
      <c r="BH714" t="s">
        <v>126</v>
      </c>
      <c r="BI714" t="s">
        <v>126</v>
      </c>
      <c r="BJ714" t="s">
        <v>126</v>
      </c>
      <c r="BK714" t="s">
        <v>126</v>
      </c>
      <c r="BS714" t="s">
        <v>126</v>
      </c>
      <c r="BT714" t="s">
        <v>126</v>
      </c>
      <c r="BU714" t="s">
        <v>126</v>
      </c>
      <c r="BV714" t="s">
        <v>126</v>
      </c>
      <c r="CN714" t="s">
        <v>147</v>
      </c>
      <c r="CP714" t="s">
        <v>283</v>
      </c>
      <c r="CQ714" t="s">
        <v>147</v>
      </c>
    </row>
    <row r="715" spans="1:95" x14ac:dyDescent="0.2">
      <c r="A715" t="s">
        <v>115</v>
      </c>
      <c r="B715" t="s">
        <v>116</v>
      </c>
      <c r="C715">
        <v>210784</v>
      </c>
      <c r="E715" t="s">
        <v>117</v>
      </c>
      <c r="F715">
        <v>368</v>
      </c>
      <c r="G715" t="s">
        <v>141</v>
      </c>
      <c r="H715" t="s">
        <v>142</v>
      </c>
      <c r="I715" t="s">
        <v>279</v>
      </c>
      <c r="J715" t="s">
        <v>280</v>
      </c>
      <c r="L715" t="s">
        <v>409</v>
      </c>
      <c r="M715" s="8">
        <v>45748</v>
      </c>
      <c r="N715">
        <v>5700482</v>
      </c>
      <c r="O715" t="s">
        <v>123</v>
      </c>
      <c r="P715" t="s">
        <v>146</v>
      </c>
      <c r="Q715">
        <v>4.17</v>
      </c>
      <c r="R715" t="s">
        <v>125</v>
      </c>
      <c r="S715" t="s">
        <v>126</v>
      </c>
      <c r="T715" t="s">
        <v>125</v>
      </c>
      <c r="U715" t="s">
        <v>126</v>
      </c>
      <c r="W715">
        <v>4.17</v>
      </c>
      <c r="Y715">
        <v>4.17</v>
      </c>
      <c r="AS715">
        <v>4.17</v>
      </c>
      <c r="BH715" t="s">
        <v>126</v>
      </c>
      <c r="BI715" t="s">
        <v>126</v>
      </c>
      <c r="BJ715" t="s">
        <v>126</v>
      </c>
      <c r="BK715" t="s">
        <v>126</v>
      </c>
      <c r="BS715" t="s">
        <v>126</v>
      </c>
      <c r="BT715" t="s">
        <v>126</v>
      </c>
      <c r="BU715" t="s">
        <v>126</v>
      </c>
      <c r="BV715" t="s">
        <v>126</v>
      </c>
      <c r="CN715" t="s">
        <v>147</v>
      </c>
      <c r="CP715" t="s">
        <v>283</v>
      </c>
      <c r="CQ715" t="s">
        <v>147</v>
      </c>
    </row>
    <row r="716" spans="1:95" x14ac:dyDescent="0.2">
      <c r="A716" t="s">
        <v>115</v>
      </c>
      <c r="B716" t="s">
        <v>116</v>
      </c>
      <c r="C716">
        <v>210784</v>
      </c>
      <c r="E716" t="s">
        <v>117</v>
      </c>
      <c r="F716">
        <v>368</v>
      </c>
      <c r="G716" t="s">
        <v>141</v>
      </c>
      <c r="H716" t="s">
        <v>142</v>
      </c>
      <c r="I716" t="s">
        <v>279</v>
      </c>
      <c r="J716" t="s">
        <v>280</v>
      </c>
      <c r="L716" t="s">
        <v>410</v>
      </c>
      <c r="M716" s="8">
        <v>45748</v>
      </c>
      <c r="N716">
        <v>5699448</v>
      </c>
      <c r="O716" t="s">
        <v>123</v>
      </c>
      <c r="P716" t="s">
        <v>146</v>
      </c>
      <c r="Q716">
        <v>2.2200000000000002</v>
      </c>
      <c r="R716" t="s">
        <v>125</v>
      </c>
      <c r="S716" t="s">
        <v>126</v>
      </c>
      <c r="T716" t="s">
        <v>125</v>
      </c>
      <c r="U716" t="s">
        <v>126</v>
      </c>
      <c r="W716">
        <v>2.2200000000000002</v>
      </c>
      <c r="Y716">
        <v>2.2200000000000002</v>
      </c>
      <c r="AS716">
        <v>2.2200000000000002</v>
      </c>
      <c r="BH716" t="s">
        <v>126</v>
      </c>
      <c r="BI716" t="s">
        <v>126</v>
      </c>
      <c r="BJ716" t="s">
        <v>126</v>
      </c>
      <c r="BK716" t="s">
        <v>126</v>
      </c>
      <c r="BS716" t="s">
        <v>126</v>
      </c>
      <c r="BT716" t="s">
        <v>126</v>
      </c>
      <c r="BU716" t="s">
        <v>126</v>
      </c>
      <c r="BV716" t="s">
        <v>126</v>
      </c>
      <c r="CN716" t="s">
        <v>147</v>
      </c>
      <c r="CP716" t="s">
        <v>283</v>
      </c>
      <c r="CQ716" t="s">
        <v>147</v>
      </c>
    </row>
    <row r="717" spans="1:95" x14ac:dyDescent="0.2">
      <c r="A717" t="s">
        <v>115</v>
      </c>
      <c r="B717" t="s">
        <v>116</v>
      </c>
      <c r="C717">
        <v>210784</v>
      </c>
      <c r="E717" t="s">
        <v>117</v>
      </c>
      <c r="F717">
        <v>368</v>
      </c>
      <c r="G717" t="s">
        <v>141</v>
      </c>
      <c r="H717" t="s">
        <v>142</v>
      </c>
      <c r="I717" t="s">
        <v>279</v>
      </c>
      <c r="J717" t="s">
        <v>280</v>
      </c>
      <c r="L717" t="s">
        <v>409</v>
      </c>
      <c r="M717" s="8">
        <v>45748</v>
      </c>
      <c r="N717">
        <v>5700814</v>
      </c>
      <c r="O717" t="s">
        <v>123</v>
      </c>
      <c r="P717" t="s">
        <v>146</v>
      </c>
      <c r="Q717">
        <v>1.02</v>
      </c>
      <c r="R717" t="s">
        <v>125</v>
      </c>
      <c r="S717" t="s">
        <v>126</v>
      </c>
      <c r="T717" t="s">
        <v>125</v>
      </c>
      <c r="U717" t="s">
        <v>126</v>
      </c>
      <c r="W717">
        <v>1.02</v>
      </c>
      <c r="Y717">
        <v>1.02</v>
      </c>
      <c r="AS717">
        <v>1.02</v>
      </c>
      <c r="BH717" t="s">
        <v>126</v>
      </c>
      <c r="BI717" t="s">
        <v>126</v>
      </c>
      <c r="BJ717" t="s">
        <v>126</v>
      </c>
      <c r="BK717" t="s">
        <v>126</v>
      </c>
      <c r="BS717" t="s">
        <v>126</v>
      </c>
      <c r="BT717" t="s">
        <v>126</v>
      </c>
      <c r="BU717" t="s">
        <v>126</v>
      </c>
      <c r="BV717" t="s">
        <v>126</v>
      </c>
      <c r="CN717" t="s">
        <v>147</v>
      </c>
      <c r="CP717" t="s">
        <v>283</v>
      </c>
      <c r="CQ717" t="s">
        <v>147</v>
      </c>
    </row>
    <row r="718" spans="1:95" x14ac:dyDescent="0.2">
      <c r="A718" t="s">
        <v>115</v>
      </c>
      <c r="B718" t="s">
        <v>116</v>
      </c>
      <c r="C718">
        <v>210784</v>
      </c>
      <c r="E718" t="s">
        <v>117</v>
      </c>
      <c r="F718">
        <v>368</v>
      </c>
      <c r="G718" t="s">
        <v>141</v>
      </c>
      <c r="H718" t="s">
        <v>142</v>
      </c>
      <c r="I718" t="s">
        <v>279</v>
      </c>
      <c r="J718" t="s">
        <v>280</v>
      </c>
      <c r="L718" t="s">
        <v>409</v>
      </c>
      <c r="M718" s="8">
        <v>45748</v>
      </c>
      <c r="N718">
        <v>5700302</v>
      </c>
      <c r="O718" t="s">
        <v>123</v>
      </c>
      <c r="P718" t="s">
        <v>146</v>
      </c>
      <c r="Q718">
        <v>3.6</v>
      </c>
      <c r="R718" t="s">
        <v>125</v>
      </c>
      <c r="S718" t="s">
        <v>126</v>
      </c>
      <c r="T718" t="s">
        <v>125</v>
      </c>
      <c r="U718" t="s">
        <v>126</v>
      </c>
      <c r="W718">
        <v>3.6</v>
      </c>
      <c r="Y718">
        <v>3.6</v>
      </c>
      <c r="AS718">
        <v>3.6</v>
      </c>
      <c r="BH718" t="s">
        <v>126</v>
      </c>
      <c r="BI718" t="s">
        <v>126</v>
      </c>
      <c r="BJ718" t="s">
        <v>126</v>
      </c>
      <c r="BK718" t="s">
        <v>126</v>
      </c>
      <c r="BS718" t="s">
        <v>126</v>
      </c>
      <c r="BT718" t="s">
        <v>126</v>
      </c>
      <c r="BU718" t="s">
        <v>126</v>
      </c>
      <c r="BV718" t="s">
        <v>126</v>
      </c>
      <c r="CN718" t="s">
        <v>147</v>
      </c>
      <c r="CP718" t="s">
        <v>283</v>
      </c>
      <c r="CQ718" t="s">
        <v>147</v>
      </c>
    </row>
    <row r="719" spans="1:95" x14ac:dyDescent="0.2">
      <c r="A719" t="s">
        <v>115</v>
      </c>
      <c r="B719" t="s">
        <v>116</v>
      </c>
      <c r="C719">
        <v>210784</v>
      </c>
      <c r="E719" t="s">
        <v>117</v>
      </c>
      <c r="F719">
        <v>368</v>
      </c>
      <c r="G719" t="s">
        <v>141</v>
      </c>
      <c r="H719" t="s">
        <v>142</v>
      </c>
      <c r="I719" t="s">
        <v>279</v>
      </c>
      <c r="J719" t="s">
        <v>280</v>
      </c>
      <c r="L719" t="s">
        <v>411</v>
      </c>
      <c r="M719" s="8">
        <v>45748</v>
      </c>
      <c r="N719">
        <v>5701495</v>
      </c>
      <c r="O719" t="s">
        <v>123</v>
      </c>
      <c r="P719" t="s">
        <v>146</v>
      </c>
      <c r="Q719">
        <v>2.52</v>
      </c>
      <c r="R719" t="s">
        <v>125</v>
      </c>
      <c r="S719" t="s">
        <v>126</v>
      </c>
      <c r="T719" t="s">
        <v>125</v>
      </c>
      <c r="U719" t="s">
        <v>126</v>
      </c>
      <c r="W719">
        <v>2.52</v>
      </c>
      <c r="Y719">
        <v>2.52</v>
      </c>
      <c r="AS719">
        <v>2.52</v>
      </c>
      <c r="BH719" t="s">
        <v>126</v>
      </c>
      <c r="BI719" t="s">
        <v>126</v>
      </c>
      <c r="BJ719" t="s">
        <v>126</v>
      </c>
      <c r="BK719" t="s">
        <v>126</v>
      </c>
      <c r="BS719" t="s">
        <v>126</v>
      </c>
      <c r="BT719" t="s">
        <v>126</v>
      </c>
      <c r="BU719" t="s">
        <v>126</v>
      </c>
      <c r="BV719" t="s">
        <v>126</v>
      </c>
      <c r="CN719" t="s">
        <v>147</v>
      </c>
      <c r="CP719" t="s">
        <v>283</v>
      </c>
      <c r="CQ719" t="s">
        <v>147</v>
      </c>
    </row>
    <row r="720" spans="1:95" x14ac:dyDescent="0.2">
      <c r="A720" t="s">
        <v>115</v>
      </c>
      <c r="B720" t="s">
        <v>116</v>
      </c>
      <c r="C720">
        <v>210784</v>
      </c>
      <c r="E720" t="s">
        <v>117</v>
      </c>
      <c r="F720">
        <v>368</v>
      </c>
      <c r="G720" t="s">
        <v>141</v>
      </c>
      <c r="H720" t="s">
        <v>142</v>
      </c>
      <c r="I720" t="s">
        <v>279</v>
      </c>
      <c r="J720" t="s">
        <v>280</v>
      </c>
      <c r="L720" t="s">
        <v>412</v>
      </c>
      <c r="M720" s="8">
        <v>45748</v>
      </c>
      <c r="N720">
        <v>5703131</v>
      </c>
      <c r="O720" t="s">
        <v>123</v>
      </c>
      <c r="P720" t="s">
        <v>146</v>
      </c>
      <c r="Q720">
        <v>3.15</v>
      </c>
      <c r="R720" t="s">
        <v>125</v>
      </c>
      <c r="S720" t="s">
        <v>126</v>
      </c>
      <c r="T720" t="s">
        <v>125</v>
      </c>
      <c r="U720" t="s">
        <v>126</v>
      </c>
      <c r="W720">
        <v>3.15</v>
      </c>
      <c r="Y720">
        <v>3.15</v>
      </c>
      <c r="AS720">
        <v>3.15</v>
      </c>
      <c r="BH720" t="s">
        <v>126</v>
      </c>
      <c r="BI720" t="s">
        <v>126</v>
      </c>
      <c r="BJ720" t="s">
        <v>126</v>
      </c>
      <c r="BK720" t="s">
        <v>126</v>
      </c>
      <c r="BS720" t="s">
        <v>126</v>
      </c>
      <c r="BT720" t="s">
        <v>126</v>
      </c>
      <c r="BU720" t="s">
        <v>126</v>
      </c>
      <c r="BV720" t="s">
        <v>126</v>
      </c>
      <c r="CN720" t="s">
        <v>147</v>
      </c>
      <c r="CP720" t="s">
        <v>283</v>
      </c>
      <c r="CQ720" t="s">
        <v>147</v>
      </c>
    </row>
    <row r="721" spans="1:95" x14ac:dyDescent="0.2">
      <c r="A721" t="s">
        <v>115</v>
      </c>
      <c r="B721" t="s">
        <v>116</v>
      </c>
      <c r="C721">
        <v>210784</v>
      </c>
      <c r="E721" t="s">
        <v>117</v>
      </c>
      <c r="F721">
        <v>368</v>
      </c>
      <c r="G721" t="s">
        <v>141</v>
      </c>
      <c r="H721" t="s">
        <v>142</v>
      </c>
      <c r="I721" t="s">
        <v>279</v>
      </c>
      <c r="J721" t="s">
        <v>280</v>
      </c>
      <c r="L721" t="s">
        <v>413</v>
      </c>
      <c r="M721" s="8">
        <v>45748</v>
      </c>
      <c r="N721">
        <v>5704867</v>
      </c>
      <c r="O721" t="s">
        <v>123</v>
      </c>
      <c r="P721" t="s">
        <v>146</v>
      </c>
      <c r="Q721">
        <v>6.67</v>
      </c>
      <c r="R721" t="s">
        <v>125</v>
      </c>
      <c r="S721" t="s">
        <v>126</v>
      </c>
      <c r="T721" t="s">
        <v>125</v>
      </c>
      <c r="U721" t="s">
        <v>126</v>
      </c>
      <c r="W721">
        <v>6.67</v>
      </c>
      <c r="Y721">
        <v>6.67</v>
      </c>
      <c r="AS721">
        <v>6.67</v>
      </c>
      <c r="BH721" t="s">
        <v>126</v>
      </c>
      <c r="BI721" t="s">
        <v>126</v>
      </c>
      <c r="BJ721" t="s">
        <v>126</v>
      </c>
      <c r="BK721" t="s">
        <v>126</v>
      </c>
      <c r="BS721" t="s">
        <v>126</v>
      </c>
      <c r="BT721" t="s">
        <v>126</v>
      </c>
      <c r="BU721" t="s">
        <v>126</v>
      </c>
      <c r="BV721" t="s">
        <v>126</v>
      </c>
      <c r="CN721" t="s">
        <v>147</v>
      </c>
      <c r="CP721" t="s">
        <v>283</v>
      </c>
      <c r="CQ721" t="s">
        <v>147</v>
      </c>
    </row>
    <row r="722" spans="1:95" x14ac:dyDescent="0.2">
      <c r="A722" t="s">
        <v>115</v>
      </c>
      <c r="B722" t="s">
        <v>116</v>
      </c>
      <c r="C722">
        <v>210784</v>
      </c>
      <c r="E722" t="s">
        <v>117</v>
      </c>
      <c r="F722">
        <v>368</v>
      </c>
      <c r="G722" t="s">
        <v>141</v>
      </c>
      <c r="H722" t="s">
        <v>142</v>
      </c>
      <c r="I722" t="s">
        <v>279</v>
      </c>
      <c r="J722" t="s">
        <v>280</v>
      </c>
      <c r="L722" t="s">
        <v>414</v>
      </c>
      <c r="M722" s="8">
        <v>45748</v>
      </c>
      <c r="N722">
        <v>5705638</v>
      </c>
      <c r="O722" t="s">
        <v>123</v>
      </c>
      <c r="P722" t="s">
        <v>146</v>
      </c>
      <c r="Q722">
        <v>2.95</v>
      </c>
      <c r="R722" t="s">
        <v>125</v>
      </c>
      <c r="S722" t="s">
        <v>126</v>
      </c>
      <c r="T722" t="s">
        <v>125</v>
      </c>
      <c r="U722" t="s">
        <v>126</v>
      </c>
      <c r="W722">
        <v>2.95</v>
      </c>
      <c r="Y722">
        <v>2.95</v>
      </c>
      <c r="AS722">
        <v>2.95</v>
      </c>
      <c r="BH722" t="s">
        <v>126</v>
      </c>
      <c r="BI722" t="s">
        <v>126</v>
      </c>
      <c r="BJ722" t="s">
        <v>126</v>
      </c>
      <c r="BK722" t="s">
        <v>126</v>
      </c>
      <c r="BS722" t="s">
        <v>126</v>
      </c>
      <c r="BT722" t="s">
        <v>126</v>
      </c>
      <c r="BU722" t="s">
        <v>126</v>
      </c>
      <c r="BV722" t="s">
        <v>126</v>
      </c>
      <c r="CN722" t="s">
        <v>147</v>
      </c>
      <c r="CP722" t="s">
        <v>283</v>
      </c>
      <c r="CQ722" t="s">
        <v>147</v>
      </c>
    </row>
    <row r="723" spans="1:95" x14ac:dyDescent="0.2">
      <c r="A723" t="s">
        <v>115</v>
      </c>
      <c r="B723" t="s">
        <v>116</v>
      </c>
      <c r="C723">
        <v>210784</v>
      </c>
      <c r="E723" t="s">
        <v>117</v>
      </c>
      <c r="F723">
        <v>368</v>
      </c>
      <c r="G723" t="s">
        <v>141</v>
      </c>
      <c r="H723" t="s">
        <v>142</v>
      </c>
      <c r="I723" t="s">
        <v>279</v>
      </c>
      <c r="J723" t="s">
        <v>280</v>
      </c>
      <c r="L723" t="s">
        <v>415</v>
      </c>
      <c r="M723" s="8">
        <v>45748</v>
      </c>
      <c r="N723">
        <v>5707047</v>
      </c>
      <c r="O723" t="s">
        <v>123</v>
      </c>
      <c r="P723" t="s">
        <v>146</v>
      </c>
      <c r="Q723">
        <v>6.47</v>
      </c>
      <c r="R723" t="s">
        <v>125</v>
      </c>
      <c r="S723" t="s">
        <v>126</v>
      </c>
      <c r="T723" t="s">
        <v>125</v>
      </c>
      <c r="U723" t="s">
        <v>126</v>
      </c>
      <c r="W723">
        <v>6.47</v>
      </c>
      <c r="Y723">
        <v>6.47</v>
      </c>
      <c r="AS723">
        <v>6.47</v>
      </c>
      <c r="BH723" t="s">
        <v>126</v>
      </c>
      <c r="BI723" t="s">
        <v>126</v>
      </c>
      <c r="BJ723" t="s">
        <v>126</v>
      </c>
      <c r="BK723" t="s">
        <v>126</v>
      </c>
      <c r="BS723" t="s">
        <v>126</v>
      </c>
      <c r="BT723" t="s">
        <v>126</v>
      </c>
      <c r="BU723" t="s">
        <v>126</v>
      </c>
      <c r="BV723" t="s">
        <v>126</v>
      </c>
      <c r="CN723" t="s">
        <v>147</v>
      </c>
      <c r="CP723" t="s">
        <v>283</v>
      </c>
      <c r="CQ723" t="s">
        <v>147</v>
      </c>
    </row>
    <row r="724" spans="1:95" x14ac:dyDescent="0.2">
      <c r="A724" t="s">
        <v>115</v>
      </c>
      <c r="B724" t="s">
        <v>116</v>
      </c>
      <c r="C724">
        <v>210784</v>
      </c>
      <c r="E724" t="s">
        <v>117</v>
      </c>
      <c r="F724">
        <v>368</v>
      </c>
      <c r="G724" t="s">
        <v>141</v>
      </c>
      <c r="H724" t="s">
        <v>142</v>
      </c>
      <c r="I724" t="s">
        <v>279</v>
      </c>
      <c r="J724" t="s">
        <v>280</v>
      </c>
      <c r="L724" t="s">
        <v>415</v>
      </c>
      <c r="M724" s="8">
        <v>45748</v>
      </c>
      <c r="N724">
        <v>5707660</v>
      </c>
      <c r="O724" t="s">
        <v>123</v>
      </c>
      <c r="P724" t="s">
        <v>146</v>
      </c>
      <c r="Q724">
        <v>4.63</v>
      </c>
      <c r="R724" t="s">
        <v>125</v>
      </c>
      <c r="S724" t="s">
        <v>126</v>
      </c>
      <c r="T724" t="s">
        <v>125</v>
      </c>
      <c r="U724" t="s">
        <v>126</v>
      </c>
      <c r="W724">
        <v>4.63</v>
      </c>
      <c r="Y724">
        <v>4.63</v>
      </c>
      <c r="AS724">
        <v>4.63</v>
      </c>
      <c r="BH724" t="s">
        <v>126</v>
      </c>
      <c r="BI724" t="s">
        <v>126</v>
      </c>
      <c r="BJ724" t="s">
        <v>126</v>
      </c>
      <c r="BK724" t="s">
        <v>126</v>
      </c>
      <c r="BS724" t="s">
        <v>126</v>
      </c>
      <c r="BT724" t="s">
        <v>126</v>
      </c>
      <c r="BU724" t="s">
        <v>126</v>
      </c>
      <c r="BV724" t="s">
        <v>126</v>
      </c>
      <c r="CN724" t="s">
        <v>147</v>
      </c>
      <c r="CP724" t="s">
        <v>283</v>
      </c>
      <c r="CQ724" t="s">
        <v>147</v>
      </c>
    </row>
    <row r="725" spans="1:95" x14ac:dyDescent="0.2">
      <c r="A725" t="s">
        <v>115</v>
      </c>
      <c r="B725" t="s">
        <v>116</v>
      </c>
      <c r="C725">
        <v>210784</v>
      </c>
      <c r="E725" t="s">
        <v>117</v>
      </c>
      <c r="F725">
        <v>368</v>
      </c>
      <c r="G725" t="s">
        <v>141</v>
      </c>
      <c r="H725" t="s">
        <v>142</v>
      </c>
      <c r="I725" t="s">
        <v>279</v>
      </c>
      <c r="J725" t="s">
        <v>280</v>
      </c>
      <c r="L725" t="s">
        <v>416</v>
      </c>
      <c r="M725" s="8">
        <v>45748</v>
      </c>
      <c r="N725">
        <v>5708911</v>
      </c>
      <c r="O725" t="s">
        <v>123</v>
      </c>
      <c r="P725" t="s">
        <v>146</v>
      </c>
      <c r="Q725">
        <v>5.85</v>
      </c>
      <c r="R725" t="s">
        <v>125</v>
      </c>
      <c r="S725" t="s">
        <v>126</v>
      </c>
      <c r="T725" t="s">
        <v>125</v>
      </c>
      <c r="U725" t="s">
        <v>126</v>
      </c>
      <c r="W725">
        <v>5.85</v>
      </c>
      <c r="Y725">
        <v>5.85</v>
      </c>
      <c r="AS725">
        <v>5.85</v>
      </c>
      <c r="BH725" t="s">
        <v>126</v>
      </c>
      <c r="BI725" t="s">
        <v>126</v>
      </c>
      <c r="BJ725" t="s">
        <v>126</v>
      </c>
      <c r="BK725" t="s">
        <v>126</v>
      </c>
      <c r="BS725" t="s">
        <v>126</v>
      </c>
      <c r="BT725" t="s">
        <v>126</v>
      </c>
      <c r="BU725" t="s">
        <v>126</v>
      </c>
      <c r="BV725" t="s">
        <v>126</v>
      </c>
      <c r="CN725" t="s">
        <v>147</v>
      </c>
      <c r="CP725" t="s">
        <v>289</v>
      </c>
      <c r="CQ725" t="s">
        <v>147</v>
      </c>
    </row>
    <row r="726" spans="1:95" x14ac:dyDescent="0.2">
      <c r="A726" t="s">
        <v>115</v>
      </c>
      <c r="B726" t="s">
        <v>116</v>
      </c>
      <c r="C726">
        <v>210784</v>
      </c>
      <c r="E726" t="s">
        <v>117</v>
      </c>
      <c r="F726">
        <v>368</v>
      </c>
      <c r="G726" t="s">
        <v>141</v>
      </c>
      <c r="H726" t="s">
        <v>142</v>
      </c>
      <c r="I726" t="s">
        <v>279</v>
      </c>
      <c r="J726" t="s">
        <v>280</v>
      </c>
      <c r="L726" t="s">
        <v>416</v>
      </c>
      <c r="M726" s="8">
        <v>45748</v>
      </c>
      <c r="N726">
        <v>5708801</v>
      </c>
      <c r="O726" t="s">
        <v>123</v>
      </c>
      <c r="P726" t="s">
        <v>146</v>
      </c>
      <c r="Q726">
        <v>1.89</v>
      </c>
      <c r="R726" t="s">
        <v>125</v>
      </c>
      <c r="S726" t="s">
        <v>126</v>
      </c>
      <c r="T726" t="s">
        <v>125</v>
      </c>
      <c r="U726" t="s">
        <v>126</v>
      </c>
      <c r="W726">
        <v>1.89</v>
      </c>
      <c r="Y726">
        <v>1.89</v>
      </c>
      <c r="AS726">
        <v>1.89</v>
      </c>
      <c r="BH726" t="s">
        <v>126</v>
      </c>
      <c r="BI726" t="s">
        <v>126</v>
      </c>
      <c r="BJ726" t="s">
        <v>126</v>
      </c>
      <c r="BK726" t="s">
        <v>126</v>
      </c>
      <c r="BS726" t="s">
        <v>126</v>
      </c>
      <c r="BT726" t="s">
        <v>126</v>
      </c>
      <c r="BU726" t="s">
        <v>126</v>
      </c>
      <c r="BV726" t="s">
        <v>126</v>
      </c>
      <c r="CN726" t="s">
        <v>147</v>
      </c>
      <c r="CP726" t="s">
        <v>289</v>
      </c>
      <c r="CQ726" t="s">
        <v>147</v>
      </c>
    </row>
    <row r="727" spans="1:95" x14ac:dyDescent="0.2">
      <c r="A727" t="s">
        <v>115</v>
      </c>
      <c r="B727" t="s">
        <v>116</v>
      </c>
      <c r="C727">
        <v>210784</v>
      </c>
      <c r="E727" t="s">
        <v>117</v>
      </c>
      <c r="F727">
        <v>368</v>
      </c>
      <c r="G727" t="s">
        <v>141</v>
      </c>
      <c r="H727" t="s">
        <v>142</v>
      </c>
      <c r="I727" t="s">
        <v>279</v>
      </c>
      <c r="J727" t="s">
        <v>280</v>
      </c>
      <c r="L727" t="s">
        <v>417</v>
      </c>
      <c r="M727" s="8">
        <v>45748</v>
      </c>
      <c r="N727">
        <v>5709752</v>
      </c>
      <c r="O727" t="s">
        <v>123</v>
      </c>
      <c r="P727" t="s">
        <v>146</v>
      </c>
      <c r="Q727">
        <v>2.78</v>
      </c>
      <c r="R727" t="s">
        <v>125</v>
      </c>
      <c r="S727" t="s">
        <v>126</v>
      </c>
      <c r="T727" t="s">
        <v>125</v>
      </c>
      <c r="U727" t="s">
        <v>126</v>
      </c>
      <c r="W727">
        <v>2.78</v>
      </c>
      <c r="Y727">
        <v>2.78</v>
      </c>
      <c r="AS727">
        <v>2.78</v>
      </c>
      <c r="BH727" t="s">
        <v>126</v>
      </c>
      <c r="BI727" t="s">
        <v>126</v>
      </c>
      <c r="BJ727" t="s">
        <v>126</v>
      </c>
      <c r="BK727" t="s">
        <v>126</v>
      </c>
      <c r="BS727" t="s">
        <v>126</v>
      </c>
      <c r="BT727" t="s">
        <v>126</v>
      </c>
      <c r="BU727" t="s">
        <v>126</v>
      </c>
      <c r="BV727" t="s">
        <v>126</v>
      </c>
      <c r="CN727" t="s">
        <v>147</v>
      </c>
      <c r="CP727" t="s">
        <v>289</v>
      </c>
      <c r="CQ727" t="s">
        <v>147</v>
      </c>
    </row>
    <row r="728" spans="1:95" x14ac:dyDescent="0.2">
      <c r="A728" t="s">
        <v>115</v>
      </c>
      <c r="B728" t="s">
        <v>116</v>
      </c>
      <c r="C728">
        <v>210784</v>
      </c>
      <c r="E728" t="s">
        <v>117</v>
      </c>
      <c r="F728">
        <v>368</v>
      </c>
      <c r="G728" t="s">
        <v>141</v>
      </c>
      <c r="H728" t="s">
        <v>142</v>
      </c>
      <c r="I728" t="s">
        <v>279</v>
      </c>
      <c r="J728" t="s">
        <v>280</v>
      </c>
      <c r="L728" t="s">
        <v>403</v>
      </c>
      <c r="M728" s="8">
        <v>45748</v>
      </c>
      <c r="N728">
        <v>5693914</v>
      </c>
      <c r="O728" t="s">
        <v>123</v>
      </c>
      <c r="P728" t="s">
        <v>146</v>
      </c>
      <c r="Q728">
        <v>1</v>
      </c>
      <c r="R728" t="s">
        <v>681</v>
      </c>
      <c r="S728" t="s">
        <v>126</v>
      </c>
      <c r="T728" t="s">
        <v>681</v>
      </c>
      <c r="U728" t="s">
        <v>682</v>
      </c>
      <c r="W728">
        <v>0.31</v>
      </c>
      <c r="X728">
        <v>0.69</v>
      </c>
      <c r="Y728">
        <v>1</v>
      </c>
      <c r="Z728">
        <v>0.38</v>
      </c>
      <c r="AG728">
        <v>0.31</v>
      </c>
      <c r="AI728">
        <v>0.31</v>
      </c>
      <c r="BH728" t="s">
        <v>126</v>
      </c>
      <c r="BI728" t="s">
        <v>126</v>
      </c>
      <c r="BJ728" t="s">
        <v>126</v>
      </c>
      <c r="BK728" t="s">
        <v>126</v>
      </c>
      <c r="BS728" t="s">
        <v>126</v>
      </c>
      <c r="BT728" t="s">
        <v>126</v>
      </c>
      <c r="BU728" t="s">
        <v>126</v>
      </c>
      <c r="BV728" t="s">
        <v>126</v>
      </c>
      <c r="CN728" t="s">
        <v>147</v>
      </c>
      <c r="CP728" t="s">
        <v>283</v>
      </c>
      <c r="CQ728" t="s">
        <v>147</v>
      </c>
    </row>
    <row r="729" spans="1:95" x14ac:dyDescent="0.2">
      <c r="A729" t="s">
        <v>115</v>
      </c>
      <c r="B729" t="s">
        <v>116</v>
      </c>
      <c r="C729">
        <v>210784</v>
      </c>
      <c r="E729" t="s">
        <v>117</v>
      </c>
      <c r="F729">
        <v>368</v>
      </c>
      <c r="G729" t="s">
        <v>141</v>
      </c>
      <c r="H729" t="s">
        <v>142</v>
      </c>
      <c r="I729" t="s">
        <v>279</v>
      </c>
      <c r="J729" t="s">
        <v>280</v>
      </c>
      <c r="L729" t="s">
        <v>403</v>
      </c>
      <c r="M729" s="8">
        <v>45748</v>
      </c>
      <c r="N729">
        <v>5693945</v>
      </c>
      <c r="O729" t="s">
        <v>123</v>
      </c>
      <c r="P729" t="s">
        <v>146</v>
      </c>
      <c r="Q729">
        <v>1.9099999999999997</v>
      </c>
      <c r="R729" t="s">
        <v>598</v>
      </c>
      <c r="S729" t="s">
        <v>126</v>
      </c>
      <c r="T729" t="s">
        <v>598</v>
      </c>
      <c r="U729" t="s">
        <v>599</v>
      </c>
      <c r="W729">
        <v>0.59</v>
      </c>
      <c r="X729">
        <v>1.3199999999999998</v>
      </c>
      <c r="Y729">
        <v>1.9099999999999997</v>
      </c>
      <c r="Z729">
        <v>0.73</v>
      </c>
      <c r="AG729">
        <v>0.59</v>
      </c>
      <c r="AI729">
        <v>0.59</v>
      </c>
      <c r="BH729" t="s">
        <v>126</v>
      </c>
      <c r="BI729" t="s">
        <v>126</v>
      </c>
      <c r="BJ729" t="s">
        <v>126</v>
      </c>
      <c r="BK729" t="s">
        <v>126</v>
      </c>
      <c r="BS729" t="s">
        <v>126</v>
      </c>
      <c r="BT729" t="s">
        <v>126</v>
      </c>
      <c r="BU729" t="s">
        <v>126</v>
      </c>
      <c r="BV729" t="s">
        <v>126</v>
      </c>
      <c r="CN729" t="s">
        <v>147</v>
      </c>
      <c r="CP729" t="s">
        <v>283</v>
      </c>
      <c r="CQ729" t="s">
        <v>147</v>
      </c>
    </row>
    <row r="730" spans="1:95" x14ac:dyDescent="0.2">
      <c r="A730" t="s">
        <v>115</v>
      </c>
      <c r="B730" t="s">
        <v>116</v>
      </c>
      <c r="C730">
        <v>210784</v>
      </c>
      <c r="E730" t="s">
        <v>117</v>
      </c>
      <c r="F730">
        <v>368</v>
      </c>
      <c r="G730" t="s">
        <v>141</v>
      </c>
      <c r="H730" t="s">
        <v>142</v>
      </c>
      <c r="I730" t="s">
        <v>279</v>
      </c>
      <c r="J730" t="s">
        <v>280</v>
      </c>
      <c r="L730" t="s">
        <v>405</v>
      </c>
      <c r="M730" s="8">
        <v>45748</v>
      </c>
      <c r="N730">
        <v>5696060</v>
      </c>
      <c r="O730" t="s">
        <v>123</v>
      </c>
      <c r="P730" t="s">
        <v>146</v>
      </c>
      <c r="Q730">
        <v>6.14</v>
      </c>
      <c r="R730" t="s">
        <v>683</v>
      </c>
      <c r="S730" t="s">
        <v>126</v>
      </c>
      <c r="T730" t="s">
        <v>683</v>
      </c>
      <c r="U730" t="s">
        <v>684</v>
      </c>
      <c r="W730">
        <v>1.89</v>
      </c>
      <c r="X730">
        <v>4.25</v>
      </c>
      <c r="Y730">
        <v>6.14</v>
      </c>
      <c r="Z730">
        <v>2.34</v>
      </c>
      <c r="AG730">
        <v>1.89</v>
      </c>
      <c r="AI730">
        <v>1.91</v>
      </c>
      <c r="BH730" t="s">
        <v>126</v>
      </c>
      <c r="BI730" t="s">
        <v>126</v>
      </c>
      <c r="BJ730" t="s">
        <v>126</v>
      </c>
      <c r="BK730" t="s">
        <v>126</v>
      </c>
      <c r="BS730" t="s">
        <v>126</v>
      </c>
      <c r="BT730" t="s">
        <v>126</v>
      </c>
      <c r="BU730" t="s">
        <v>126</v>
      </c>
      <c r="BV730" t="s">
        <v>126</v>
      </c>
      <c r="CN730" t="s">
        <v>147</v>
      </c>
      <c r="CP730" t="s">
        <v>283</v>
      </c>
      <c r="CQ730" t="s">
        <v>147</v>
      </c>
    </row>
    <row r="731" spans="1:95" x14ac:dyDescent="0.2">
      <c r="A731" t="s">
        <v>115</v>
      </c>
      <c r="B731" t="s">
        <v>116</v>
      </c>
      <c r="C731">
        <v>210784</v>
      </c>
      <c r="E731" t="s">
        <v>117</v>
      </c>
      <c r="F731">
        <v>368</v>
      </c>
      <c r="G731" t="s">
        <v>141</v>
      </c>
      <c r="H731" t="s">
        <v>142</v>
      </c>
      <c r="I731" t="s">
        <v>279</v>
      </c>
      <c r="J731" t="s">
        <v>280</v>
      </c>
      <c r="L731" t="s">
        <v>409</v>
      </c>
      <c r="M731" s="8">
        <v>45748</v>
      </c>
      <c r="N731">
        <v>1850594</v>
      </c>
      <c r="O731" t="s">
        <v>123</v>
      </c>
      <c r="P731" t="s">
        <v>146</v>
      </c>
      <c r="Q731">
        <v>2.66</v>
      </c>
      <c r="R731" t="s">
        <v>602</v>
      </c>
      <c r="S731" t="s">
        <v>126</v>
      </c>
      <c r="T731" t="s">
        <v>602</v>
      </c>
      <c r="U731" t="s">
        <v>603</v>
      </c>
      <c r="W731">
        <v>0.82</v>
      </c>
      <c r="X731">
        <v>1.8399999999999999</v>
      </c>
      <c r="Y731">
        <v>2.66</v>
      </c>
      <c r="Z731">
        <v>1.01</v>
      </c>
      <c r="AG731">
        <v>0.82</v>
      </c>
      <c r="AI731">
        <v>0.83</v>
      </c>
      <c r="BH731" t="s">
        <v>126</v>
      </c>
      <c r="BI731" t="s">
        <v>126</v>
      </c>
      <c r="BJ731" t="s">
        <v>126</v>
      </c>
      <c r="BK731" t="s">
        <v>126</v>
      </c>
      <c r="BS731" t="s">
        <v>126</v>
      </c>
      <c r="BT731" t="s">
        <v>126</v>
      </c>
      <c r="BU731" t="s">
        <v>126</v>
      </c>
      <c r="BV731" t="s">
        <v>126</v>
      </c>
      <c r="CN731" t="s">
        <v>147</v>
      </c>
      <c r="CP731" t="s">
        <v>283</v>
      </c>
      <c r="CQ731" t="s">
        <v>147</v>
      </c>
    </row>
    <row r="732" spans="1:95" x14ac:dyDescent="0.2">
      <c r="A732" t="s">
        <v>115</v>
      </c>
      <c r="B732" t="s">
        <v>116</v>
      </c>
      <c r="C732">
        <v>210784</v>
      </c>
      <c r="E732" t="s">
        <v>117</v>
      </c>
      <c r="F732">
        <v>368</v>
      </c>
      <c r="G732" t="s">
        <v>141</v>
      </c>
      <c r="H732" t="s">
        <v>142</v>
      </c>
      <c r="I732" t="s">
        <v>279</v>
      </c>
      <c r="J732" t="s">
        <v>280</v>
      </c>
      <c r="L732" t="s">
        <v>685</v>
      </c>
      <c r="M732" s="8">
        <v>45748</v>
      </c>
      <c r="N732">
        <v>5703750</v>
      </c>
      <c r="O732" t="s">
        <v>123</v>
      </c>
      <c r="P732" t="s">
        <v>146</v>
      </c>
      <c r="Q732">
        <v>4</v>
      </c>
      <c r="R732" t="s">
        <v>574</v>
      </c>
      <c r="S732" t="s">
        <v>126</v>
      </c>
      <c r="T732" t="s">
        <v>574</v>
      </c>
      <c r="U732" t="s">
        <v>575</v>
      </c>
      <c r="W732">
        <v>1.23</v>
      </c>
      <c r="X732">
        <v>2.77</v>
      </c>
      <c r="Y732">
        <v>4</v>
      </c>
      <c r="Z732">
        <v>1.52</v>
      </c>
      <c r="AG732">
        <v>1.23</v>
      </c>
      <c r="AI732">
        <v>1.25</v>
      </c>
      <c r="BH732" t="s">
        <v>126</v>
      </c>
      <c r="BI732" t="s">
        <v>126</v>
      </c>
      <c r="BJ732" t="s">
        <v>126</v>
      </c>
      <c r="BK732" t="s">
        <v>126</v>
      </c>
      <c r="BS732" t="s">
        <v>126</v>
      </c>
      <c r="BT732" t="s">
        <v>126</v>
      </c>
      <c r="BU732" t="s">
        <v>126</v>
      </c>
      <c r="BV732" t="s">
        <v>126</v>
      </c>
      <c r="CN732" t="s">
        <v>147</v>
      </c>
      <c r="CP732" t="s">
        <v>283</v>
      </c>
      <c r="CQ732" t="s">
        <v>147</v>
      </c>
    </row>
    <row r="733" spans="1:95" x14ac:dyDescent="0.2">
      <c r="A733" t="s">
        <v>115</v>
      </c>
      <c r="B733" t="s">
        <v>116</v>
      </c>
      <c r="C733">
        <v>210784</v>
      </c>
      <c r="E733" t="s">
        <v>117</v>
      </c>
      <c r="F733">
        <v>368</v>
      </c>
      <c r="G733" t="s">
        <v>141</v>
      </c>
      <c r="H733" t="s">
        <v>142</v>
      </c>
      <c r="I733" t="s">
        <v>279</v>
      </c>
      <c r="J733" t="s">
        <v>280</v>
      </c>
      <c r="L733" t="s">
        <v>686</v>
      </c>
      <c r="M733" s="8">
        <v>45748</v>
      </c>
      <c r="N733">
        <v>5703995</v>
      </c>
      <c r="O733" t="s">
        <v>123</v>
      </c>
      <c r="P733" t="s">
        <v>146</v>
      </c>
      <c r="Q733">
        <v>2.2400000000000002</v>
      </c>
      <c r="R733" t="s">
        <v>592</v>
      </c>
      <c r="S733" t="s">
        <v>126</v>
      </c>
      <c r="T733" t="s">
        <v>592</v>
      </c>
      <c r="U733" t="s">
        <v>593</v>
      </c>
      <c r="W733">
        <v>0.69</v>
      </c>
      <c r="X733">
        <v>1.5499999999999998</v>
      </c>
      <c r="Y733">
        <v>2.2400000000000002</v>
      </c>
      <c r="Z733">
        <v>0.85</v>
      </c>
      <c r="AG733">
        <v>0.69</v>
      </c>
      <c r="AI733">
        <v>0.7</v>
      </c>
      <c r="BH733" t="s">
        <v>126</v>
      </c>
      <c r="BI733" t="s">
        <v>126</v>
      </c>
      <c r="BJ733" t="s">
        <v>126</v>
      </c>
      <c r="BK733" t="s">
        <v>126</v>
      </c>
      <c r="BS733" t="s">
        <v>126</v>
      </c>
      <c r="BT733" t="s">
        <v>126</v>
      </c>
      <c r="BU733" t="s">
        <v>126</v>
      </c>
      <c r="BV733" t="s">
        <v>126</v>
      </c>
      <c r="CN733" t="s">
        <v>147</v>
      </c>
      <c r="CP733" t="s">
        <v>283</v>
      </c>
      <c r="CQ733" t="s">
        <v>147</v>
      </c>
    </row>
    <row r="734" spans="1:95" x14ac:dyDescent="0.2">
      <c r="A734" t="s">
        <v>115</v>
      </c>
      <c r="B734" t="s">
        <v>116</v>
      </c>
      <c r="C734">
        <v>210784</v>
      </c>
      <c r="E734" t="s">
        <v>117</v>
      </c>
      <c r="F734">
        <v>368</v>
      </c>
      <c r="G734" t="s">
        <v>141</v>
      </c>
      <c r="H734" t="s">
        <v>142</v>
      </c>
      <c r="I734" t="s">
        <v>279</v>
      </c>
      <c r="J734" t="s">
        <v>280</v>
      </c>
      <c r="L734" t="s">
        <v>687</v>
      </c>
      <c r="M734" s="8">
        <v>45748</v>
      </c>
      <c r="N734">
        <v>5706312</v>
      </c>
      <c r="O734" t="s">
        <v>123</v>
      </c>
      <c r="P734" t="s">
        <v>146</v>
      </c>
      <c r="Q734">
        <v>2.09</v>
      </c>
      <c r="R734" t="s">
        <v>688</v>
      </c>
      <c r="S734" t="s">
        <v>126</v>
      </c>
      <c r="T734" t="s">
        <v>688</v>
      </c>
      <c r="U734" t="s">
        <v>689</v>
      </c>
      <c r="W734">
        <v>0.64</v>
      </c>
      <c r="X734">
        <v>1.4500000000000002</v>
      </c>
      <c r="Y734">
        <v>2.09</v>
      </c>
      <c r="Z734">
        <v>0.8</v>
      </c>
      <c r="AG734">
        <v>0.64</v>
      </c>
      <c r="AI734">
        <v>0.65</v>
      </c>
      <c r="BH734" t="s">
        <v>126</v>
      </c>
      <c r="BI734" t="s">
        <v>126</v>
      </c>
      <c r="BJ734" t="s">
        <v>126</v>
      </c>
      <c r="BK734" t="s">
        <v>126</v>
      </c>
      <c r="BS734" t="s">
        <v>126</v>
      </c>
      <c r="BT734" t="s">
        <v>126</v>
      </c>
      <c r="BU734" t="s">
        <v>126</v>
      </c>
      <c r="BV734" t="s">
        <v>126</v>
      </c>
      <c r="CN734" t="s">
        <v>147</v>
      </c>
      <c r="CP734" t="s">
        <v>283</v>
      </c>
      <c r="CQ734" t="s">
        <v>147</v>
      </c>
    </row>
    <row r="735" spans="1:95" x14ac:dyDescent="0.2">
      <c r="A735" t="s">
        <v>115</v>
      </c>
      <c r="B735" t="s">
        <v>116</v>
      </c>
      <c r="C735">
        <v>210784</v>
      </c>
      <c r="E735" t="s">
        <v>117</v>
      </c>
      <c r="F735">
        <v>368</v>
      </c>
      <c r="G735" t="s">
        <v>141</v>
      </c>
      <c r="H735" t="s">
        <v>142</v>
      </c>
      <c r="I735" t="s">
        <v>279</v>
      </c>
      <c r="J735" t="s">
        <v>280</v>
      </c>
      <c r="L735" t="s">
        <v>416</v>
      </c>
      <c r="M735" s="8">
        <v>45748</v>
      </c>
      <c r="N735">
        <v>570892</v>
      </c>
      <c r="O735" t="s">
        <v>123</v>
      </c>
      <c r="P735" t="s">
        <v>146</v>
      </c>
      <c r="Q735">
        <v>2.08</v>
      </c>
      <c r="R735" t="s">
        <v>569</v>
      </c>
      <c r="S735" t="s">
        <v>126</v>
      </c>
      <c r="T735" t="s">
        <v>569</v>
      </c>
      <c r="U735" t="s">
        <v>570</v>
      </c>
      <c r="W735">
        <v>0.64</v>
      </c>
      <c r="X735">
        <v>1.44</v>
      </c>
      <c r="Y735">
        <v>2.08</v>
      </c>
      <c r="Z735">
        <v>0.79</v>
      </c>
      <c r="AG735">
        <v>0.64</v>
      </c>
      <c r="AI735">
        <v>0.65</v>
      </c>
      <c r="BH735" t="s">
        <v>126</v>
      </c>
      <c r="BI735" t="s">
        <v>126</v>
      </c>
      <c r="BJ735" t="s">
        <v>126</v>
      </c>
      <c r="BK735" t="s">
        <v>126</v>
      </c>
      <c r="BS735" t="s">
        <v>126</v>
      </c>
      <c r="BT735" t="s">
        <v>126</v>
      </c>
      <c r="BU735" t="s">
        <v>126</v>
      </c>
      <c r="BV735" t="s">
        <v>126</v>
      </c>
      <c r="CN735" t="s">
        <v>147</v>
      </c>
      <c r="CP735" t="s">
        <v>289</v>
      </c>
      <c r="CQ735" t="s">
        <v>147</v>
      </c>
    </row>
    <row r="736" spans="1:95" x14ac:dyDescent="0.2">
      <c r="A736" t="s">
        <v>115</v>
      </c>
      <c r="B736" t="s">
        <v>116</v>
      </c>
      <c r="C736">
        <v>210784</v>
      </c>
      <c r="E736" t="s">
        <v>117</v>
      </c>
      <c r="F736">
        <v>368</v>
      </c>
      <c r="G736" t="s">
        <v>141</v>
      </c>
      <c r="H736" t="s">
        <v>142</v>
      </c>
      <c r="I736" t="s">
        <v>279</v>
      </c>
      <c r="J736" t="s">
        <v>280</v>
      </c>
      <c r="L736" t="s">
        <v>690</v>
      </c>
      <c r="M736" s="8">
        <v>45748</v>
      </c>
      <c r="N736">
        <v>5710343</v>
      </c>
      <c r="O736" t="s">
        <v>123</v>
      </c>
      <c r="P736" t="s">
        <v>146</v>
      </c>
      <c r="Q736">
        <v>4.01</v>
      </c>
      <c r="R736" t="s">
        <v>623</v>
      </c>
      <c r="S736" t="s">
        <v>126</v>
      </c>
      <c r="T736" t="s">
        <v>623</v>
      </c>
      <c r="U736" t="s">
        <v>624</v>
      </c>
      <c r="W736">
        <v>1.24</v>
      </c>
      <c r="X736">
        <v>2.77</v>
      </c>
      <c r="Y736">
        <v>4.01</v>
      </c>
      <c r="Z736">
        <v>1.52</v>
      </c>
      <c r="AG736">
        <v>1.24</v>
      </c>
      <c r="AI736">
        <v>1.25</v>
      </c>
      <c r="BH736" t="s">
        <v>126</v>
      </c>
      <c r="BI736" t="s">
        <v>126</v>
      </c>
      <c r="BJ736" t="s">
        <v>126</v>
      </c>
      <c r="BK736" t="s">
        <v>126</v>
      </c>
      <c r="BS736" t="s">
        <v>126</v>
      </c>
      <c r="BT736" t="s">
        <v>126</v>
      </c>
      <c r="BU736" t="s">
        <v>126</v>
      </c>
      <c r="BV736" t="s">
        <v>126</v>
      </c>
      <c r="CN736" t="s">
        <v>147</v>
      </c>
      <c r="CP736" t="s">
        <v>289</v>
      </c>
      <c r="CQ736" t="s">
        <v>147</v>
      </c>
    </row>
    <row r="737" spans="1:95" x14ac:dyDescent="0.2">
      <c r="A737" t="s">
        <v>115</v>
      </c>
      <c r="B737" t="s">
        <v>116</v>
      </c>
      <c r="C737">
        <v>210784</v>
      </c>
      <c r="E737" t="s">
        <v>117</v>
      </c>
      <c r="F737">
        <v>368</v>
      </c>
      <c r="G737" t="s">
        <v>141</v>
      </c>
      <c r="H737" t="s">
        <v>142</v>
      </c>
      <c r="I737" t="s">
        <v>279</v>
      </c>
      <c r="J737" t="s">
        <v>280</v>
      </c>
      <c r="L737" t="s">
        <v>690</v>
      </c>
      <c r="M737" s="8">
        <v>45748</v>
      </c>
      <c r="N737">
        <v>5710512</v>
      </c>
      <c r="O737" t="s">
        <v>123</v>
      </c>
      <c r="P737" t="s">
        <v>146</v>
      </c>
      <c r="Q737">
        <v>1.0900000000000001</v>
      </c>
      <c r="R737" t="s">
        <v>648</v>
      </c>
      <c r="S737" t="s">
        <v>126</v>
      </c>
      <c r="T737" t="s">
        <v>648</v>
      </c>
      <c r="U737" t="s">
        <v>649</v>
      </c>
      <c r="W737">
        <v>0.34</v>
      </c>
      <c r="X737">
        <v>0.75</v>
      </c>
      <c r="Y737">
        <v>1.0900000000000001</v>
      </c>
      <c r="Z737">
        <v>0.41</v>
      </c>
      <c r="AG737">
        <v>0.34</v>
      </c>
      <c r="AI737">
        <v>0.34</v>
      </c>
      <c r="BH737" t="s">
        <v>126</v>
      </c>
      <c r="BI737" t="s">
        <v>126</v>
      </c>
      <c r="BJ737" t="s">
        <v>126</v>
      </c>
      <c r="BK737" t="s">
        <v>126</v>
      </c>
      <c r="BS737" t="s">
        <v>126</v>
      </c>
      <c r="BT737" t="s">
        <v>126</v>
      </c>
      <c r="BU737" t="s">
        <v>126</v>
      </c>
      <c r="BV737" t="s">
        <v>126</v>
      </c>
      <c r="CN737" t="s">
        <v>147</v>
      </c>
      <c r="CP737" t="s">
        <v>289</v>
      </c>
      <c r="CQ737" t="s">
        <v>147</v>
      </c>
    </row>
    <row r="738" spans="1:95" x14ac:dyDescent="0.2">
      <c r="A738" t="s">
        <v>115</v>
      </c>
      <c r="B738" t="s">
        <v>116</v>
      </c>
      <c r="C738">
        <v>210784</v>
      </c>
      <c r="E738" t="s">
        <v>117</v>
      </c>
      <c r="F738">
        <v>368</v>
      </c>
      <c r="G738" t="s">
        <v>141</v>
      </c>
      <c r="H738" t="s">
        <v>142</v>
      </c>
      <c r="I738" t="s">
        <v>279</v>
      </c>
      <c r="J738" t="s">
        <v>280</v>
      </c>
      <c r="L738" t="s">
        <v>402</v>
      </c>
      <c r="M738" s="8">
        <v>45748</v>
      </c>
      <c r="N738">
        <v>5693201</v>
      </c>
      <c r="O738" t="s">
        <v>123</v>
      </c>
      <c r="P738" t="s">
        <v>146</v>
      </c>
      <c r="Q738">
        <v>2.65</v>
      </c>
      <c r="R738" t="s">
        <v>125</v>
      </c>
      <c r="S738" t="s">
        <v>126</v>
      </c>
      <c r="T738" t="s">
        <v>125</v>
      </c>
      <c r="U738" t="s">
        <v>126</v>
      </c>
      <c r="W738">
        <v>2.65</v>
      </c>
      <c r="Y738">
        <v>2.65</v>
      </c>
      <c r="BE738">
        <v>2.65</v>
      </c>
      <c r="BH738" t="s">
        <v>126</v>
      </c>
      <c r="BI738" t="s">
        <v>126</v>
      </c>
      <c r="BJ738" t="s">
        <v>126</v>
      </c>
      <c r="BK738" t="s">
        <v>126</v>
      </c>
      <c r="BS738" t="s">
        <v>126</v>
      </c>
      <c r="BT738" t="s">
        <v>126</v>
      </c>
      <c r="BU738" t="s">
        <v>126</v>
      </c>
      <c r="BV738" t="s">
        <v>126</v>
      </c>
      <c r="CN738" t="s">
        <v>147</v>
      </c>
      <c r="CP738" t="s">
        <v>283</v>
      </c>
      <c r="CQ738" t="s">
        <v>147</v>
      </c>
    </row>
    <row r="739" spans="1:95" x14ac:dyDescent="0.2">
      <c r="A739" t="s">
        <v>115</v>
      </c>
      <c r="B739" t="s">
        <v>116</v>
      </c>
      <c r="C739">
        <v>210784</v>
      </c>
      <c r="E739" t="s">
        <v>117</v>
      </c>
      <c r="F739">
        <v>368</v>
      </c>
      <c r="G739" t="s">
        <v>141</v>
      </c>
      <c r="H739" t="s">
        <v>142</v>
      </c>
      <c r="I739" t="s">
        <v>279</v>
      </c>
      <c r="J739" t="s">
        <v>280</v>
      </c>
      <c r="L739" t="s">
        <v>889</v>
      </c>
      <c r="M739" s="8">
        <v>45748</v>
      </c>
      <c r="N739">
        <v>5694809</v>
      </c>
      <c r="O739" t="s">
        <v>123</v>
      </c>
      <c r="P739" t="s">
        <v>146</v>
      </c>
      <c r="Q739">
        <v>0.51</v>
      </c>
      <c r="R739" t="s">
        <v>125</v>
      </c>
      <c r="S739" t="s">
        <v>126</v>
      </c>
      <c r="T739" t="s">
        <v>125</v>
      </c>
      <c r="U739" t="s">
        <v>126</v>
      </c>
      <c r="W739">
        <v>0.51</v>
      </c>
      <c r="Y739">
        <v>0.51</v>
      </c>
      <c r="BE739">
        <v>0.51</v>
      </c>
      <c r="BH739" t="s">
        <v>126</v>
      </c>
      <c r="BI739" t="s">
        <v>126</v>
      </c>
      <c r="BJ739" t="s">
        <v>126</v>
      </c>
      <c r="BK739" t="s">
        <v>126</v>
      </c>
      <c r="BS739" t="s">
        <v>126</v>
      </c>
      <c r="BT739" t="s">
        <v>126</v>
      </c>
      <c r="BU739" t="s">
        <v>126</v>
      </c>
      <c r="BV739" t="s">
        <v>126</v>
      </c>
      <c r="CN739" t="s">
        <v>147</v>
      </c>
      <c r="CP739" t="s">
        <v>283</v>
      </c>
      <c r="CQ739" t="s">
        <v>147</v>
      </c>
    </row>
    <row r="740" spans="1:95" x14ac:dyDescent="0.2">
      <c r="A740" t="s">
        <v>115</v>
      </c>
      <c r="B740" t="s">
        <v>116</v>
      </c>
      <c r="C740">
        <v>210784</v>
      </c>
      <c r="E740" t="s">
        <v>117</v>
      </c>
      <c r="F740">
        <v>368</v>
      </c>
      <c r="G740" t="s">
        <v>141</v>
      </c>
      <c r="H740" t="s">
        <v>142</v>
      </c>
      <c r="I740" t="s">
        <v>279</v>
      </c>
      <c r="J740" t="s">
        <v>280</v>
      </c>
      <c r="L740" t="s">
        <v>408</v>
      </c>
      <c r="M740" s="8">
        <v>45748</v>
      </c>
      <c r="N740">
        <v>5698714</v>
      </c>
      <c r="O740" t="s">
        <v>123</v>
      </c>
      <c r="P740" t="s">
        <v>146</v>
      </c>
      <c r="Q740">
        <v>0.93</v>
      </c>
      <c r="R740" t="s">
        <v>125</v>
      </c>
      <c r="S740" t="s">
        <v>126</v>
      </c>
      <c r="T740" t="s">
        <v>125</v>
      </c>
      <c r="U740" t="s">
        <v>126</v>
      </c>
      <c r="W740">
        <v>0.93</v>
      </c>
      <c r="Y740">
        <v>0.93</v>
      </c>
      <c r="BE740">
        <v>0.93</v>
      </c>
      <c r="BH740" t="s">
        <v>126</v>
      </c>
      <c r="BI740" t="s">
        <v>126</v>
      </c>
      <c r="BJ740" t="s">
        <v>126</v>
      </c>
      <c r="BK740" t="s">
        <v>126</v>
      </c>
      <c r="BS740" t="s">
        <v>126</v>
      </c>
      <c r="BT740" t="s">
        <v>126</v>
      </c>
      <c r="BU740" t="s">
        <v>126</v>
      </c>
      <c r="BV740" t="s">
        <v>126</v>
      </c>
      <c r="CN740" t="s">
        <v>147</v>
      </c>
      <c r="CP740" t="s">
        <v>283</v>
      </c>
      <c r="CQ740" t="s">
        <v>147</v>
      </c>
    </row>
    <row r="741" spans="1:95" x14ac:dyDescent="0.2">
      <c r="A741" t="s">
        <v>115</v>
      </c>
      <c r="B741" t="s">
        <v>116</v>
      </c>
      <c r="C741">
        <v>210784</v>
      </c>
      <c r="E741" t="s">
        <v>117</v>
      </c>
      <c r="F741">
        <v>368</v>
      </c>
      <c r="G741" t="s">
        <v>141</v>
      </c>
      <c r="H741" t="s">
        <v>142</v>
      </c>
      <c r="I741" t="s">
        <v>279</v>
      </c>
      <c r="J741" t="s">
        <v>280</v>
      </c>
      <c r="L741" t="s">
        <v>408</v>
      </c>
      <c r="M741" s="8">
        <v>45748</v>
      </c>
      <c r="N741">
        <v>5698893</v>
      </c>
      <c r="O741" t="s">
        <v>123</v>
      </c>
      <c r="P741" t="s">
        <v>146</v>
      </c>
      <c r="Q741">
        <v>2.4900000000000002</v>
      </c>
      <c r="R741" t="s">
        <v>125</v>
      </c>
      <c r="S741" t="s">
        <v>126</v>
      </c>
      <c r="T741" t="s">
        <v>125</v>
      </c>
      <c r="U741" t="s">
        <v>126</v>
      </c>
      <c r="W741">
        <v>2.4900000000000002</v>
      </c>
      <c r="Y741">
        <v>2.4900000000000002</v>
      </c>
      <c r="BE741">
        <v>2.4900000000000002</v>
      </c>
      <c r="BH741" t="s">
        <v>126</v>
      </c>
      <c r="BI741" t="s">
        <v>126</v>
      </c>
      <c r="BJ741" t="s">
        <v>126</v>
      </c>
      <c r="BK741" t="s">
        <v>126</v>
      </c>
      <c r="BS741" t="s">
        <v>126</v>
      </c>
      <c r="BT741" t="s">
        <v>126</v>
      </c>
      <c r="BU741" t="s">
        <v>126</v>
      </c>
      <c r="BV741" t="s">
        <v>126</v>
      </c>
      <c r="CN741" t="s">
        <v>147</v>
      </c>
      <c r="CP741" t="s">
        <v>283</v>
      </c>
      <c r="CQ741" t="s">
        <v>147</v>
      </c>
    </row>
    <row r="742" spans="1:95" x14ac:dyDescent="0.2">
      <c r="A742" t="s">
        <v>115</v>
      </c>
      <c r="B742" t="s">
        <v>116</v>
      </c>
      <c r="C742">
        <v>210784</v>
      </c>
      <c r="E742" t="s">
        <v>117</v>
      </c>
      <c r="F742">
        <v>368</v>
      </c>
      <c r="G742" t="s">
        <v>141</v>
      </c>
      <c r="H742" t="s">
        <v>142</v>
      </c>
      <c r="I742" t="s">
        <v>279</v>
      </c>
      <c r="J742" t="s">
        <v>280</v>
      </c>
      <c r="L742" t="s">
        <v>410</v>
      </c>
      <c r="M742" s="8">
        <v>45748</v>
      </c>
      <c r="N742">
        <v>5699795</v>
      </c>
      <c r="O742" t="s">
        <v>123</v>
      </c>
      <c r="P742" t="s">
        <v>146</v>
      </c>
      <c r="Q742">
        <v>0.6</v>
      </c>
      <c r="R742" t="s">
        <v>125</v>
      </c>
      <c r="S742" t="s">
        <v>126</v>
      </c>
      <c r="T742" t="s">
        <v>125</v>
      </c>
      <c r="U742" t="s">
        <v>126</v>
      </c>
      <c r="W742">
        <v>0.6</v>
      </c>
      <c r="Y742">
        <v>0.6</v>
      </c>
      <c r="BE742">
        <v>0.6</v>
      </c>
      <c r="BH742" t="s">
        <v>126</v>
      </c>
      <c r="BI742" t="s">
        <v>126</v>
      </c>
      <c r="BJ742" t="s">
        <v>126</v>
      </c>
      <c r="BK742" t="s">
        <v>126</v>
      </c>
      <c r="BS742" t="s">
        <v>126</v>
      </c>
      <c r="BT742" t="s">
        <v>126</v>
      </c>
      <c r="BU742" t="s">
        <v>126</v>
      </c>
      <c r="BV742" t="s">
        <v>126</v>
      </c>
      <c r="CN742" t="s">
        <v>147</v>
      </c>
      <c r="CP742" t="s">
        <v>283</v>
      </c>
      <c r="CQ742" t="s">
        <v>147</v>
      </c>
    </row>
    <row r="743" spans="1:95" x14ac:dyDescent="0.2">
      <c r="A743" t="s">
        <v>115</v>
      </c>
      <c r="B743" t="s">
        <v>116</v>
      </c>
      <c r="C743">
        <v>210784</v>
      </c>
      <c r="E743" t="s">
        <v>117</v>
      </c>
      <c r="F743">
        <v>368</v>
      </c>
      <c r="G743" t="s">
        <v>141</v>
      </c>
      <c r="H743" t="s">
        <v>142</v>
      </c>
      <c r="I743" t="s">
        <v>279</v>
      </c>
      <c r="J743" t="s">
        <v>280</v>
      </c>
      <c r="L743" t="s">
        <v>412</v>
      </c>
      <c r="M743" s="8">
        <v>45748</v>
      </c>
      <c r="N743">
        <v>5703133</v>
      </c>
      <c r="O743" t="s">
        <v>123</v>
      </c>
      <c r="P743" t="s">
        <v>146</v>
      </c>
      <c r="Q743">
        <v>1.2</v>
      </c>
      <c r="R743" t="s">
        <v>125</v>
      </c>
      <c r="S743" t="s">
        <v>126</v>
      </c>
      <c r="T743" t="s">
        <v>125</v>
      </c>
      <c r="U743" t="s">
        <v>126</v>
      </c>
      <c r="W743">
        <v>1.2</v>
      </c>
      <c r="Y743">
        <v>1.2</v>
      </c>
      <c r="BE743">
        <v>1.2</v>
      </c>
      <c r="BH743" t="s">
        <v>126</v>
      </c>
      <c r="BI743" t="s">
        <v>126</v>
      </c>
      <c r="BJ743" t="s">
        <v>126</v>
      </c>
      <c r="BK743" t="s">
        <v>126</v>
      </c>
      <c r="BS743" t="s">
        <v>126</v>
      </c>
      <c r="BT743" t="s">
        <v>126</v>
      </c>
      <c r="BU743" t="s">
        <v>126</v>
      </c>
      <c r="BV743" t="s">
        <v>126</v>
      </c>
      <c r="CN743" t="s">
        <v>147</v>
      </c>
      <c r="CP743" t="s">
        <v>283</v>
      </c>
      <c r="CQ743" t="s">
        <v>147</v>
      </c>
    </row>
    <row r="744" spans="1:95" x14ac:dyDescent="0.2">
      <c r="A744" t="s">
        <v>115</v>
      </c>
      <c r="B744" t="s">
        <v>116</v>
      </c>
      <c r="C744">
        <v>210784</v>
      </c>
      <c r="E744" t="s">
        <v>117</v>
      </c>
      <c r="F744">
        <v>368</v>
      </c>
      <c r="G744" t="s">
        <v>141</v>
      </c>
      <c r="H744" t="s">
        <v>142</v>
      </c>
      <c r="I744" t="s">
        <v>279</v>
      </c>
      <c r="J744" t="s">
        <v>280</v>
      </c>
      <c r="L744" t="s">
        <v>686</v>
      </c>
      <c r="M744" s="8">
        <v>45748</v>
      </c>
      <c r="N744">
        <v>5703948</v>
      </c>
      <c r="O744" t="s">
        <v>123</v>
      </c>
      <c r="P744" t="s">
        <v>146</v>
      </c>
      <c r="Q744">
        <v>1.68</v>
      </c>
      <c r="R744" t="s">
        <v>125</v>
      </c>
      <c r="S744" t="s">
        <v>126</v>
      </c>
      <c r="T744" t="s">
        <v>125</v>
      </c>
      <c r="U744" t="s">
        <v>126</v>
      </c>
      <c r="W744">
        <v>1.68</v>
      </c>
      <c r="Y744">
        <v>1.68</v>
      </c>
      <c r="BE744">
        <v>1.68</v>
      </c>
      <c r="BH744" t="s">
        <v>126</v>
      </c>
      <c r="BI744" t="s">
        <v>126</v>
      </c>
      <c r="BJ744" t="s">
        <v>126</v>
      </c>
      <c r="BK744" t="s">
        <v>126</v>
      </c>
      <c r="BS744" t="s">
        <v>126</v>
      </c>
      <c r="BT744" t="s">
        <v>126</v>
      </c>
      <c r="BU744" t="s">
        <v>126</v>
      </c>
      <c r="BV744" t="s">
        <v>126</v>
      </c>
      <c r="CN744" t="s">
        <v>147</v>
      </c>
      <c r="CP744" t="s">
        <v>283</v>
      </c>
      <c r="CQ744" t="s">
        <v>147</v>
      </c>
    </row>
    <row r="745" spans="1:95" x14ac:dyDescent="0.2">
      <c r="A745" t="s">
        <v>115</v>
      </c>
      <c r="B745" t="s">
        <v>116</v>
      </c>
      <c r="C745">
        <v>210784</v>
      </c>
      <c r="E745" t="s">
        <v>117</v>
      </c>
      <c r="F745">
        <v>368</v>
      </c>
      <c r="G745" t="s">
        <v>141</v>
      </c>
      <c r="H745" t="s">
        <v>142</v>
      </c>
      <c r="I745" t="s">
        <v>279</v>
      </c>
      <c r="J745" t="s">
        <v>280</v>
      </c>
      <c r="L745" t="s">
        <v>414</v>
      </c>
      <c r="M745" s="8">
        <v>45748</v>
      </c>
      <c r="N745">
        <v>5705682</v>
      </c>
      <c r="O745" t="s">
        <v>123</v>
      </c>
      <c r="P745" t="s">
        <v>146</v>
      </c>
      <c r="Q745">
        <v>0.79</v>
      </c>
      <c r="R745" t="s">
        <v>125</v>
      </c>
      <c r="S745" t="s">
        <v>126</v>
      </c>
      <c r="T745" t="s">
        <v>125</v>
      </c>
      <c r="U745" t="s">
        <v>126</v>
      </c>
      <c r="W745">
        <v>0.79</v>
      </c>
      <c r="Y745">
        <v>0.79</v>
      </c>
      <c r="BE745">
        <v>0.79</v>
      </c>
      <c r="BH745" t="s">
        <v>126</v>
      </c>
      <c r="BI745" t="s">
        <v>126</v>
      </c>
      <c r="BJ745" t="s">
        <v>126</v>
      </c>
      <c r="BK745" t="s">
        <v>126</v>
      </c>
      <c r="BS745" t="s">
        <v>126</v>
      </c>
      <c r="BT745" t="s">
        <v>126</v>
      </c>
      <c r="BU745" t="s">
        <v>126</v>
      </c>
      <c r="BV745" t="s">
        <v>126</v>
      </c>
      <c r="CN745" t="s">
        <v>147</v>
      </c>
      <c r="CP745" t="s">
        <v>283</v>
      </c>
      <c r="CQ745" t="s">
        <v>147</v>
      </c>
    </row>
    <row r="746" spans="1:95" x14ac:dyDescent="0.2">
      <c r="A746" t="s">
        <v>115</v>
      </c>
      <c r="B746" t="s">
        <v>116</v>
      </c>
      <c r="C746">
        <v>210784</v>
      </c>
      <c r="E746" t="s">
        <v>117</v>
      </c>
      <c r="F746">
        <v>368</v>
      </c>
      <c r="G746" t="s">
        <v>141</v>
      </c>
      <c r="H746" t="s">
        <v>142</v>
      </c>
      <c r="I746" t="s">
        <v>279</v>
      </c>
      <c r="J746" t="s">
        <v>280</v>
      </c>
      <c r="L746" t="s">
        <v>890</v>
      </c>
      <c r="M746" s="8">
        <v>45748</v>
      </c>
      <c r="N746">
        <v>5707130</v>
      </c>
      <c r="O746" t="s">
        <v>123</v>
      </c>
      <c r="P746" t="s">
        <v>146</v>
      </c>
      <c r="Q746">
        <v>1.7</v>
      </c>
      <c r="R746" t="s">
        <v>125</v>
      </c>
      <c r="S746" t="s">
        <v>126</v>
      </c>
      <c r="T746" t="s">
        <v>125</v>
      </c>
      <c r="U746" t="s">
        <v>126</v>
      </c>
      <c r="W746">
        <v>1.7</v>
      </c>
      <c r="Y746">
        <v>1.7</v>
      </c>
      <c r="BE746">
        <v>1.7</v>
      </c>
      <c r="BH746" t="s">
        <v>126</v>
      </c>
      <c r="BI746" t="s">
        <v>126</v>
      </c>
      <c r="BJ746" t="s">
        <v>126</v>
      </c>
      <c r="BK746" t="s">
        <v>126</v>
      </c>
      <c r="BS746" t="s">
        <v>126</v>
      </c>
      <c r="BT746" t="s">
        <v>126</v>
      </c>
      <c r="BU746" t="s">
        <v>126</v>
      </c>
      <c r="BV746" t="s">
        <v>126</v>
      </c>
      <c r="CN746" t="s">
        <v>147</v>
      </c>
      <c r="CP746" t="s">
        <v>283</v>
      </c>
      <c r="CQ746" t="s">
        <v>147</v>
      </c>
    </row>
    <row r="747" spans="1:95" x14ac:dyDescent="0.2">
      <c r="A747" t="s">
        <v>115</v>
      </c>
      <c r="B747" t="s">
        <v>116</v>
      </c>
      <c r="C747">
        <v>210784</v>
      </c>
      <c r="E747" t="s">
        <v>117</v>
      </c>
      <c r="F747">
        <v>368</v>
      </c>
      <c r="G747" t="s">
        <v>141</v>
      </c>
      <c r="H747" t="s">
        <v>142</v>
      </c>
      <c r="I747" t="s">
        <v>279</v>
      </c>
      <c r="J747" t="s">
        <v>280</v>
      </c>
      <c r="L747" t="s">
        <v>891</v>
      </c>
      <c r="M747" s="8">
        <v>45748</v>
      </c>
      <c r="N747">
        <v>5708124</v>
      </c>
      <c r="O747" t="s">
        <v>123</v>
      </c>
      <c r="P747" t="s">
        <v>146</v>
      </c>
      <c r="Q747">
        <v>1.1000000000000001</v>
      </c>
      <c r="R747" t="s">
        <v>125</v>
      </c>
      <c r="S747" t="s">
        <v>126</v>
      </c>
      <c r="T747" t="s">
        <v>125</v>
      </c>
      <c r="U747" t="s">
        <v>126</v>
      </c>
      <c r="W747">
        <v>1.1000000000000001</v>
      </c>
      <c r="Y747">
        <v>1.1000000000000001</v>
      </c>
      <c r="BE747">
        <v>1.1000000000000001</v>
      </c>
      <c r="BH747" t="s">
        <v>126</v>
      </c>
      <c r="BI747" t="s">
        <v>126</v>
      </c>
      <c r="BJ747" t="s">
        <v>126</v>
      </c>
      <c r="BK747" t="s">
        <v>126</v>
      </c>
      <c r="BS747" t="s">
        <v>126</v>
      </c>
      <c r="BT747" t="s">
        <v>126</v>
      </c>
      <c r="BU747" t="s">
        <v>126</v>
      </c>
      <c r="BV747" t="s">
        <v>126</v>
      </c>
      <c r="CN747" t="s">
        <v>147</v>
      </c>
      <c r="CP747" t="s">
        <v>283</v>
      </c>
      <c r="CQ747" t="s">
        <v>147</v>
      </c>
    </row>
    <row r="748" spans="1:95" x14ac:dyDescent="0.2">
      <c r="A748" t="s">
        <v>115</v>
      </c>
      <c r="B748" t="s">
        <v>116</v>
      </c>
      <c r="C748">
        <v>210784</v>
      </c>
      <c r="E748" t="s">
        <v>117</v>
      </c>
      <c r="F748">
        <v>368</v>
      </c>
      <c r="G748" t="s">
        <v>141</v>
      </c>
      <c r="H748" t="s">
        <v>142</v>
      </c>
      <c r="I748" t="s">
        <v>279</v>
      </c>
      <c r="J748" t="s">
        <v>280</v>
      </c>
      <c r="L748" t="s">
        <v>417</v>
      </c>
      <c r="M748" s="8">
        <v>45748</v>
      </c>
      <c r="N748">
        <v>5709607</v>
      </c>
      <c r="O748" t="s">
        <v>123</v>
      </c>
      <c r="P748" t="s">
        <v>146</v>
      </c>
      <c r="Q748">
        <v>2.4700000000000002</v>
      </c>
      <c r="R748" t="s">
        <v>125</v>
      </c>
      <c r="S748" t="s">
        <v>126</v>
      </c>
      <c r="T748" t="s">
        <v>125</v>
      </c>
      <c r="U748" t="s">
        <v>126</v>
      </c>
      <c r="W748">
        <v>2.4700000000000002</v>
      </c>
      <c r="Y748">
        <v>2.4700000000000002</v>
      </c>
      <c r="BE748">
        <v>2.4700000000000002</v>
      </c>
      <c r="BH748" t="s">
        <v>126</v>
      </c>
      <c r="BI748" t="s">
        <v>126</v>
      </c>
      <c r="BJ748" t="s">
        <v>126</v>
      </c>
      <c r="BK748" t="s">
        <v>126</v>
      </c>
      <c r="BS748" t="s">
        <v>126</v>
      </c>
      <c r="BT748" t="s">
        <v>126</v>
      </c>
      <c r="BU748" t="s">
        <v>126</v>
      </c>
      <c r="BV748" t="s">
        <v>126</v>
      </c>
      <c r="CN748" t="s">
        <v>147</v>
      </c>
      <c r="CP748" t="s">
        <v>289</v>
      </c>
      <c r="CQ748" t="s">
        <v>147</v>
      </c>
    </row>
    <row r="749" spans="1:95" x14ac:dyDescent="0.2">
      <c r="A749" t="s">
        <v>115</v>
      </c>
      <c r="B749" t="s">
        <v>116</v>
      </c>
      <c r="C749">
        <v>210784</v>
      </c>
      <c r="E749" t="s">
        <v>117</v>
      </c>
      <c r="F749">
        <v>368</v>
      </c>
      <c r="G749" t="s">
        <v>141</v>
      </c>
      <c r="H749" t="s">
        <v>142</v>
      </c>
      <c r="I749" t="s">
        <v>279</v>
      </c>
      <c r="J749" t="s">
        <v>280</v>
      </c>
      <c r="L749" t="s">
        <v>417</v>
      </c>
      <c r="M749" s="8">
        <v>45748</v>
      </c>
      <c r="N749">
        <v>5709593</v>
      </c>
      <c r="O749" t="s">
        <v>123</v>
      </c>
      <c r="P749" t="s">
        <v>146</v>
      </c>
      <c r="Q749">
        <v>1.27</v>
      </c>
      <c r="R749" t="s">
        <v>125</v>
      </c>
      <c r="S749" t="s">
        <v>126</v>
      </c>
      <c r="T749" t="s">
        <v>125</v>
      </c>
      <c r="U749" t="s">
        <v>126</v>
      </c>
      <c r="W749">
        <v>1.27</v>
      </c>
      <c r="Y749">
        <v>1.27</v>
      </c>
      <c r="BE749">
        <v>1.27</v>
      </c>
      <c r="BH749" t="s">
        <v>126</v>
      </c>
      <c r="BI749" t="s">
        <v>126</v>
      </c>
      <c r="BJ749" t="s">
        <v>126</v>
      </c>
      <c r="BK749" t="s">
        <v>126</v>
      </c>
      <c r="BS749" t="s">
        <v>126</v>
      </c>
      <c r="BT749" t="s">
        <v>126</v>
      </c>
      <c r="BU749" t="s">
        <v>126</v>
      </c>
      <c r="BV749" t="s">
        <v>126</v>
      </c>
      <c r="CN749" t="s">
        <v>147</v>
      </c>
      <c r="CP749" t="s">
        <v>289</v>
      </c>
      <c r="CQ749" t="s">
        <v>147</v>
      </c>
    </row>
    <row r="750" spans="1:95" x14ac:dyDescent="0.2">
      <c r="A750" t="s">
        <v>115</v>
      </c>
      <c r="B750" t="s">
        <v>116</v>
      </c>
      <c r="C750">
        <v>210784</v>
      </c>
      <c r="E750" t="s">
        <v>117</v>
      </c>
      <c r="F750">
        <v>368</v>
      </c>
      <c r="G750" t="s">
        <v>141</v>
      </c>
      <c r="H750" t="s">
        <v>142</v>
      </c>
      <c r="I750" t="s">
        <v>284</v>
      </c>
      <c r="J750" t="s">
        <v>285</v>
      </c>
      <c r="L750" t="s">
        <v>286</v>
      </c>
      <c r="M750" s="8">
        <v>45778</v>
      </c>
      <c r="N750">
        <v>120262</v>
      </c>
      <c r="O750" t="s">
        <v>123</v>
      </c>
      <c r="P750" t="s">
        <v>146</v>
      </c>
      <c r="Q750">
        <v>5.81</v>
      </c>
      <c r="R750" t="s">
        <v>125</v>
      </c>
      <c r="S750" t="s">
        <v>126</v>
      </c>
      <c r="T750" t="s">
        <v>125</v>
      </c>
      <c r="U750" t="s">
        <v>126</v>
      </c>
      <c r="W750">
        <v>5.81</v>
      </c>
      <c r="Y750">
        <v>5.81</v>
      </c>
      <c r="AC750">
        <v>5.81</v>
      </c>
      <c r="BH750" t="s">
        <v>126</v>
      </c>
      <c r="BI750" t="s">
        <v>126</v>
      </c>
      <c r="BJ750" t="s">
        <v>126</v>
      </c>
      <c r="BK750" t="s">
        <v>126</v>
      </c>
      <c r="BS750" t="s">
        <v>126</v>
      </c>
      <c r="BT750" t="s">
        <v>126</v>
      </c>
      <c r="BU750" t="s">
        <v>126</v>
      </c>
      <c r="BV750" t="s">
        <v>126</v>
      </c>
      <c r="CN750" t="s">
        <v>147</v>
      </c>
      <c r="CP750" t="s">
        <v>175</v>
      </c>
      <c r="CQ750" t="s">
        <v>147</v>
      </c>
    </row>
    <row r="751" spans="1:95" x14ac:dyDescent="0.2">
      <c r="A751" t="s">
        <v>115</v>
      </c>
      <c r="B751" t="s">
        <v>116</v>
      </c>
      <c r="C751">
        <v>210784</v>
      </c>
      <c r="E751" t="s">
        <v>117</v>
      </c>
      <c r="F751">
        <v>368</v>
      </c>
      <c r="G751" t="s">
        <v>141</v>
      </c>
      <c r="H751" t="s">
        <v>142</v>
      </c>
      <c r="I751" t="s">
        <v>130</v>
      </c>
      <c r="J751" t="s">
        <v>131</v>
      </c>
      <c r="L751" t="s">
        <v>288</v>
      </c>
      <c r="M751" s="8">
        <v>45778</v>
      </c>
      <c r="N751">
        <v>7310371</v>
      </c>
      <c r="O751" t="s">
        <v>123</v>
      </c>
      <c r="P751" t="s">
        <v>146</v>
      </c>
      <c r="Q751">
        <v>13.19</v>
      </c>
      <c r="R751" t="s">
        <v>125</v>
      </c>
      <c r="S751" t="s">
        <v>126</v>
      </c>
      <c r="T751" t="s">
        <v>125</v>
      </c>
      <c r="U751" t="s">
        <v>126</v>
      </c>
      <c r="W751">
        <v>13.19</v>
      </c>
      <c r="Y751">
        <v>13.19</v>
      </c>
      <c r="AC751">
        <v>13.19</v>
      </c>
      <c r="BH751" t="s">
        <v>126</v>
      </c>
      <c r="BI751" t="s">
        <v>126</v>
      </c>
      <c r="BJ751" t="s">
        <v>126</v>
      </c>
      <c r="BK751" t="s">
        <v>126</v>
      </c>
      <c r="BS751" t="s">
        <v>126</v>
      </c>
      <c r="BT751" t="s">
        <v>126</v>
      </c>
      <c r="BU751" t="s">
        <v>126</v>
      </c>
      <c r="BV751" t="s">
        <v>126</v>
      </c>
      <c r="CN751" t="s">
        <v>147</v>
      </c>
      <c r="CP751" t="s">
        <v>175</v>
      </c>
      <c r="CQ751" t="s">
        <v>147</v>
      </c>
    </row>
    <row r="752" spans="1:95" x14ac:dyDescent="0.2">
      <c r="A752" t="s">
        <v>115</v>
      </c>
      <c r="B752" t="s">
        <v>116</v>
      </c>
      <c r="C752">
        <v>210784</v>
      </c>
      <c r="E752" t="s">
        <v>117</v>
      </c>
      <c r="F752">
        <v>368</v>
      </c>
      <c r="G752" t="s">
        <v>141</v>
      </c>
      <c r="H752" t="s">
        <v>142</v>
      </c>
      <c r="I752" t="s">
        <v>130</v>
      </c>
      <c r="J752" t="s">
        <v>131</v>
      </c>
      <c r="L752" t="s">
        <v>290</v>
      </c>
      <c r="M752" s="8">
        <v>45778</v>
      </c>
      <c r="N752">
        <v>7309375</v>
      </c>
      <c r="O752" t="s">
        <v>123</v>
      </c>
      <c r="P752" t="s">
        <v>146</v>
      </c>
      <c r="Q752">
        <v>11.1</v>
      </c>
      <c r="R752" t="s">
        <v>125</v>
      </c>
      <c r="S752" t="s">
        <v>126</v>
      </c>
      <c r="T752" t="s">
        <v>125</v>
      </c>
      <c r="U752" t="s">
        <v>126</v>
      </c>
      <c r="W752">
        <v>11.1</v>
      </c>
      <c r="Y752">
        <v>11.1</v>
      </c>
      <c r="AC752">
        <v>11.1</v>
      </c>
      <c r="BH752" t="s">
        <v>126</v>
      </c>
      <c r="BI752" t="s">
        <v>126</v>
      </c>
      <c r="BJ752" t="s">
        <v>126</v>
      </c>
      <c r="BK752" t="s">
        <v>126</v>
      </c>
      <c r="BS752" t="s">
        <v>126</v>
      </c>
      <c r="BT752" t="s">
        <v>126</v>
      </c>
      <c r="BU752" t="s">
        <v>126</v>
      </c>
      <c r="BV752" t="s">
        <v>126</v>
      </c>
      <c r="CN752" t="s">
        <v>147</v>
      </c>
      <c r="CP752" t="s">
        <v>175</v>
      </c>
      <c r="CQ752" t="s">
        <v>147</v>
      </c>
    </row>
    <row r="753" spans="1:95" x14ac:dyDescent="0.2">
      <c r="A753" t="s">
        <v>115</v>
      </c>
      <c r="B753" t="s">
        <v>116</v>
      </c>
      <c r="C753">
        <v>210784</v>
      </c>
      <c r="E753" t="s">
        <v>117</v>
      </c>
      <c r="F753">
        <v>368</v>
      </c>
      <c r="G753" t="s">
        <v>141</v>
      </c>
      <c r="H753" t="s">
        <v>142</v>
      </c>
      <c r="I753" t="s">
        <v>279</v>
      </c>
      <c r="J753" t="s">
        <v>280</v>
      </c>
      <c r="L753" t="s">
        <v>418</v>
      </c>
      <c r="M753" s="8">
        <v>45778</v>
      </c>
      <c r="N753">
        <v>5711141</v>
      </c>
      <c r="O753" t="s">
        <v>123</v>
      </c>
      <c r="P753" t="s">
        <v>146</v>
      </c>
      <c r="Q753">
        <v>2.5</v>
      </c>
      <c r="R753" t="s">
        <v>125</v>
      </c>
      <c r="S753" t="s">
        <v>126</v>
      </c>
      <c r="T753" t="s">
        <v>125</v>
      </c>
      <c r="U753" t="s">
        <v>126</v>
      </c>
      <c r="W753">
        <v>2.5</v>
      </c>
      <c r="Y753">
        <v>2.5</v>
      </c>
      <c r="AS753">
        <v>2.5</v>
      </c>
      <c r="BH753" t="s">
        <v>126</v>
      </c>
      <c r="BI753" t="s">
        <v>126</v>
      </c>
      <c r="BJ753" t="s">
        <v>126</v>
      </c>
      <c r="BK753" t="s">
        <v>126</v>
      </c>
      <c r="BS753" t="s">
        <v>126</v>
      </c>
      <c r="BT753" t="s">
        <v>126</v>
      </c>
      <c r="BU753" t="s">
        <v>126</v>
      </c>
      <c r="BV753" t="s">
        <v>126</v>
      </c>
      <c r="CN753" t="s">
        <v>147</v>
      </c>
      <c r="CP753" t="s">
        <v>289</v>
      </c>
      <c r="CQ753" t="s">
        <v>147</v>
      </c>
    </row>
    <row r="754" spans="1:95" x14ac:dyDescent="0.2">
      <c r="A754" t="s">
        <v>115</v>
      </c>
      <c r="B754" t="s">
        <v>116</v>
      </c>
      <c r="C754">
        <v>210784</v>
      </c>
      <c r="E754" t="s">
        <v>117</v>
      </c>
      <c r="F754">
        <v>368</v>
      </c>
      <c r="G754" t="s">
        <v>141</v>
      </c>
      <c r="H754" t="s">
        <v>142</v>
      </c>
      <c r="I754" t="s">
        <v>279</v>
      </c>
      <c r="J754" t="s">
        <v>280</v>
      </c>
      <c r="L754" t="s">
        <v>283</v>
      </c>
      <c r="M754" s="8">
        <v>45778</v>
      </c>
      <c r="N754">
        <v>5711940</v>
      </c>
      <c r="O754" t="s">
        <v>123</v>
      </c>
      <c r="P754" t="s">
        <v>146</v>
      </c>
      <c r="Q754">
        <v>3.39</v>
      </c>
      <c r="R754" t="s">
        <v>125</v>
      </c>
      <c r="S754" t="s">
        <v>126</v>
      </c>
      <c r="T754" t="s">
        <v>125</v>
      </c>
      <c r="U754" t="s">
        <v>126</v>
      </c>
      <c r="W754">
        <v>3.39</v>
      </c>
      <c r="Y754">
        <v>3.39</v>
      </c>
      <c r="AS754">
        <v>3.39</v>
      </c>
      <c r="BH754" t="s">
        <v>126</v>
      </c>
      <c r="BI754" t="s">
        <v>126</v>
      </c>
      <c r="BJ754" t="s">
        <v>126</v>
      </c>
      <c r="BK754" t="s">
        <v>126</v>
      </c>
      <c r="BS754" t="s">
        <v>126</v>
      </c>
      <c r="BT754" t="s">
        <v>126</v>
      </c>
      <c r="BU754" t="s">
        <v>126</v>
      </c>
      <c r="BV754" t="s">
        <v>126</v>
      </c>
      <c r="CN754" t="s">
        <v>147</v>
      </c>
      <c r="CP754" t="s">
        <v>289</v>
      </c>
      <c r="CQ754" t="s">
        <v>147</v>
      </c>
    </row>
    <row r="755" spans="1:95" x14ac:dyDescent="0.2">
      <c r="A755" t="s">
        <v>115</v>
      </c>
      <c r="B755" t="s">
        <v>116</v>
      </c>
      <c r="C755">
        <v>210784</v>
      </c>
      <c r="E755" t="s">
        <v>117</v>
      </c>
      <c r="F755">
        <v>368</v>
      </c>
      <c r="G755" t="s">
        <v>141</v>
      </c>
      <c r="H755" t="s">
        <v>142</v>
      </c>
      <c r="I755" t="s">
        <v>279</v>
      </c>
      <c r="J755" t="s">
        <v>280</v>
      </c>
      <c r="L755" t="s">
        <v>283</v>
      </c>
      <c r="M755" s="8">
        <v>45778</v>
      </c>
      <c r="N755">
        <v>5711420</v>
      </c>
      <c r="O755" t="s">
        <v>123</v>
      </c>
      <c r="P755" t="s">
        <v>146</v>
      </c>
      <c r="Q755">
        <v>4.5999999999999996</v>
      </c>
      <c r="R755" t="s">
        <v>125</v>
      </c>
      <c r="S755" t="s">
        <v>126</v>
      </c>
      <c r="T755" t="s">
        <v>125</v>
      </c>
      <c r="U755" t="s">
        <v>126</v>
      </c>
      <c r="W755">
        <v>4.5999999999999996</v>
      </c>
      <c r="Y755">
        <v>4.5999999999999996</v>
      </c>
      <c r="AS755">
        <v>4.5999999999999996</v>
      </c>
      <c r="BH755" t="s">
        <v>126</v>
      </c>
      <c r="BI755" t="s">
        <v>126</v>
      </c>
      <c r="BJ755" t="s">
        <v>126</v>
      </c>
      <c r="BK755" t="s">
        <v>126</v>
      </c>
      <c r="BS755" t="s">
        <v>126</v>
      </c>
      <c r="BT755" t="s">
        <v>126</v>
      </c>
      <c r="BU755" t="s">
        <v>126</v>
      </c>
      <c r="BV755" t="s">
        <v>126</v>
      </c>
      <c r="CN755" t="s">
        <v>147</v>
      </c>
      <c r="CP755" t="s">
        <v>289</v>
      </c>
      <c r="CQ755" t="s">
        <v>147</v>
      </c>
    </row>
    <row r="756" spans="1:95" x14ac:dyDescent="0.2">
      <c r="A756" t="s">
        <v>115</v>
      </c>
      <c r="B756" t="s">
        <v>116</v>
      </c>
      <c r="C756">
        <v>210784</v>
      </c>
      <c r="E756" t="s">
        <v>117</v>
      </c>
      <c r="F756">
        <v>368</v>
      </c>
      <c r="G756" t="s">
        <v>141</v>
      </c>
      <c r="H756" t="s">
        <v>142</v>
      </c>
      <c r="I756" t="s">
        <v>279</v>
      </c>
      <c r="J756" t="s">
        <v>280</v>
      </c>
      <c r="L756" t="s">
        <v>283</v>
      </c>
      <c r="M756" s="8">
        <v>45778</v>
      </c>
      <c r="N756">
        <v>5712076</v>
      </c>
      <c r="O756" t="s">
        <v>123</v>
      </c>
      <c r="P756" t="s">
        <v>146</v>
      </c>
      <c r="Q756">
        <v>1.67</v>
      </c>
      <c r="R756" t="s">
        <v>125</v>
      </c>
      <c r="S756" t="s">
        <v>126</v>
      </c>
      <c r="T756" t="s">
        <v>125</v>
      </c>
      <c r="U756" t="s">
        <v>126</v>
      </c>
      <c r="W756">
        <v>1.67</v>
      </c>
      <c r="Y756">
        <v>1.67</v>
      </c>
      <c r="AS756">
        <v>1.67</v>
      </c>
      <c r="BH756" t="s">
        <v>126</v>
      </c>
      <c r="BI756" t="s">
        <v>126</v>
      </c>
      <c r="BJ756" t="s">
        <v>126</v>
      </c>
      <c r="BK756" t="s">
        <v>126</v>
      </c>
      <c r="BS756" t="s">
        <v>126</v>
      </c>
      <c r="BT756" t="s">
        <v>126</v>
      </c>
      <c r="BU756" t="s">
        <v>126</v>
      </c>
      <c r="BV756" t="s">
        <v>126</v>
      </c>
      <c r="CN756" t="s">
        <v>147</v>
      </c>
      <c r="CP756" t="s">
        <v>289</v>
      </c>
      <c r="CQ756" t="s">
        <v>147</v>
      </c>
    </row>
    <row r="757" spans="1:95" x14ac:dyDescent="0.2">
      <c r="A757" t="s">
        <v>115</v>
      </c>
      <c r="B757" t="s">
        <v>116</v>
      </c>
      <c r="C757">
        <v>210784</v>
      </c>
      <c r="E757" t="s">
        <v>117</v>
      </c>
      <c r="F757">
        <v>368</v>
      </c>
      <c r="G757" t="s">
        <v>141</v>
      </c>
      <c r="H757" t="s">
        <v>142</v>
      </c>
      <c r="I757" t="s">
        <v>279</v>
      </c>
      <c r="J757" t="s">
        <v>280</v>
      </c>
      <c r="L757" t="s">
        <v>419</v>
      </c>
      <c r="M757" s="8">
        <v>45778</v>
      </c>
      <c r="N757">
        <v>5712985</v>
      </c>
      <c r="O757" t="s">
        <v>123</v>
      </c>
      <c r="P757" t="s">
        <v>146</v>
      </c>
      <c r="Q757">
        <v>5.57</v>
      </c>
      <c r="R757" t="s">
        <v>125</v>
      </c>
      <c r="S757" t="s">
        <v>126</v>
      </c>
      <c r="T757" t="s">
        <v>125</v>
      </c>
      <c r="U757" t="s">
        <v>126</v>
      </c>
      <c r="W757">
        <v>5.57</v>
      </c>
      <c r="Y757">
        <v>5.57</v>
      </c>
      <c r="AS757">
        <v>5.57</v>
      </c>
      <c r="BH757" t="s">
        <v>126</v>
      </c>
      <c r="BI757" t="s">
        <v>126</v>
      </c>
      <c r="BJ757" t="s">
        <v>126</v>
      </c>
      <c r="BK757" t="s">
        <v>126</v>
      </c>
      <c r="BS757" t="s">
        <v>126</v>
      </c>
      <c r="BT757" t="s">
        <v>126</v>
      </c>
      <c r="BU757" t="s">
        <v>126</v>
      </c>
      <c r="BV757" t="s">
        <v>126</v>
      </c>
      <c r="CN757" t="s">
        <v>147</v>
      </c>
      <c r="CP757" t="s">
        <v>289</v>
      </c>
      <c r="CQ757" t="s">
        <v>147</v>
      </c>
    </row>
    <row r="758" spans="1:95" x14ac:dyDescent="0.2">
      <c r="A758" t="s">
        <v>115</v>
      </c>
      <c r="B758" t="s">
        <v>116</v>
      </c>
      <c r="C758">
        <v>210784</v>
      </c>
      <c r="E758" t="s">
        <v>117</v>
      </c>
      <c r="F758">
        <v>368</v>
      </c>
      <c r="G758" t="s">
        <v>141</v>
      </c>
      <c r="H758" t="s">
        <v>142</v>
      </c>
      <c r="I758" t="s">
        <v>279</v>
      </c>
      <c r="J758" t="s">
        <v>280</v>
      </c>
      <c r="L758" t="s">
        <v>419</v>
      </c>
      <c r="M758" s="8">
        <v>45778</v>
      </c>
      <c r="N758">
        <v>5713153</v>
      </c>
      <c r="O758" t="s">
        <v>123</v>
      </c>
      <c r="P758" t="s">
        <v>146</v>
      </c>
      <c r="Q758">
        <v>1.27</v>
      </c>
      <c r="R758" t="s">
        <v>125</v>
      </c>
      <c r="S758" t="s">
        <v>126</v>
      </c>
      <c r="T758" t="s">
        <v>125</v>
      </c>
      <c r="U758" t="s">
        <v>126</v>
      </c>
      <c r="W758">
        <v>1.27</v>
      </c>
      <c r="Y758">
        <v>1.27</v>
      </c>
      <c r="AS758">
        <v>1.27</v>
      </c>
      <c r="BH758" t="s">
        <v>126</v>
      </c>
      <c r="BI758" t="s">
        <v>126</v>
      </c>
      <c r="BJ758" t="s">
        <v>126</v>
      </c>
      <c r="BK758" t="s">
        <v>126</v>
      </c>
      <c r="BS758" t="s">
        <v>126</v>
      </c>
      <c r="BT758" t="s">
        <v>126</v>
      </c>
      <c r="BU758" t="s">
        <v>126</v>
      </c>
      <c r="BV758" t="s">
        <v>126</v>
      </c>
      <c r="CN758" t="s">
        <v>147</v>
      </c>
      <c r="CP758" t="s">
        <v>289</v>
      </c>
      <c r="CQ758" t="s">
        <v>147</v>
      </c>
    </row>
    <row r="759" spans="1:95" x14ac:dyDescent="0.2">
      <c r="A759" t="s">
        <v>115</v>
      </c>
      <c r="B759" t="s">
        <v>116</v>
      </c>
      <c r="C759">
        <v>210784</v>
      </c>
      <c r="E759" t="s">
        <v>117</v>
      </c>
      <c r="F759">
        <v>368</v>
      </c>
      <c r="G759" t="s">
        <v>141</v>
      </c>
      <c r="H759" t="s">
        <v>142</v>
      </c>
      <c r="I759" t="s">
        <v>279</v>
      </c>
      <c r="J759" t="s">
        <v>280</v>
      </c>
      <c r="L759" t="s">
        <v>420</v>
      </c>
      <c r="M759" s="8">
        <v>45778</v>
      </c>
      <c r="N759">
        <v>5714468</v>
      </c>
      <c r="O759" t="s">
        <v>123</v>
      </c>
      <c r="P759" t="s">
        <v>146</v>
      </c>
      <c r="Q759">
        <v>5.56</v>
      </c>
      <c r="R759" t="s">
        <v>125</v>
      </c>
      <c r="S759" t="s">
        <v>126</v>
      </c>
      <c r="T759" t="s">
        <v>125</v>
      </c>
      <c r="U759" t="s">
        <v>126</v>
      </c>
      <c r="W759">
        <v>5.56</v>
      </c>
      <c r="Y759">
        <v>5.56</v>
      </c>
      <c r="AS759">
        <v>5.56</v>
      </c>
      <c r="BH759" t="s">
        <v>126</v>
      </c>
      <c r="BI759" t="s">
        <v>126</v>
      </c>
      <c r="BJ759" t="s">
        <v>126</v>
      </c>
      <c r="BK759" t="s">
        <v>126</v>
      </c>
      <c r="BS759" t="s">
        <v>126</v>
      </c>
      <c r="BT759" t="s">
        <v>126</v>
      </c>
      <c r="BU759" t="s">
        <v>126</v>
      </c>
      <c r="BV759" t="s">
        <v>126</v>
      </c>
      <c r="CN759" t="s">
        <v>147</v>
      </c>
      <c r="CP759" t="s">
        <v>289</v>
      </c>
      <c r="CQ759" t="s">
        <v>147</v>
      </c>
    </row>
    <row r="760" spans="1:95" x14ac:dyDescent="0.2">
      <c r="A760" t="s">
        <v>115</v>
      </c>
      <c r="B760" t="s">
        <v>116</v>
      </c>
      <c r="C760">
        <v>210784</v>
      </c>
      <c r="E760" t="s">
        <v>117</v>
      </c>
      <c r="F760">
        <v>368</v>
      </c>
      <c r="G760" t="s">
        <v>141</v>
      </c>
      <c r="H760" t="s">
        <v>142</v>
      </c>
      <c r="I760" t="s">
        <v>279</v>
      </c>
      <c r="J760" t="s">
        <v>280</v>
      </c>
      <c r="L760" t="s">
        <v>421</v>
      </c>
      <c r="M760" s="8">
        <v>45778</v>
      </c>
      <c r="N760">
        <v>5715113</v>
      </c>
      <c r="O760" t="s">
        <v>123</v>
      </c>
      <c r="P760" t="s">
        <v>146</v>
      </c>
      <c r="Q760">
        <v>3.16</v>
      </c>
      <c r="R760" t="s">
        <v>125</v>
      </c>
      <c r="S760" t="s">
        <v>126</v>
      </c>
      <c r="T760" t="s">
        <v>125</v>
      </c>
      <c r="U760" t="s">
        <v>126</v>
      </c>
      <c r="W760">
        <v>3.16</v>
      </c>
      <c r="Y760">
        <v>3.16</v>
      </c>
      <c r="AS760">
        <v>3.16</v>
      </c>
      <c r="BH760" t="s">
        <v>126</v>
      </c>
      <c r="BI760" t="s">
        <v>126</v>
      </c>
      <c r="BJ760" t="s">
        <v>126</v>
      </c>
      <c r="BK760" t="s">
        <v>126</v>
      </c>
      <c r="BS760" t="s">
        <v>126</v>
      </c>
      <c r="BT760" t="s">
        <v>126</v>
      </c>
      <c r="BU760" t="s">
        <v>126</v>
      </c>
      <c r="BV760" t="s">
        <v>126</v>
      </c>
      <c r="CN760" t="s">
        <v>147</v>
      </c>
      <c r="CP760" t="s">
        <v>289</v>
      </c>
      <c r="CQ760" t="s">
        <v>147</v>
      </c>
    </row>
    <row r="761" spans="1:95" x14ac:dyDescent="0.2">
      <c r="A761" t="s">
        <v>115</v>
      </c>
      <c r="B761" t="s">
        <v>116</v>
      </c>
      <c r="C761">
        <v>210784</v>
      </c>
      <c r="E761" t="s">
        <v>117</v>
      </c>
      <c r="F761">
        <v>368</v>
      </c>
      <c r="G761" t="s">
        <v>141</v>
      </c>
      <c r="H761" t="s">
        <v>142</v>
      </c>
      <c r="I761" t="s">
        <v>279</v>
      </c>
      <c r="J761" t="s">
        <v>280</v>
      </c>
      <c r="L761" t="s">
        <v>422</v>
      </c>
      <c r="M761" s="8">
        <v>45778</v>
      </c>
      <c r="N761">
        <v>5716220</v>
      </c>
      <c r="O761" t="s">
        <v>123</v>
      </c>
      <c r="P761" t="s">
        <v>146</v>
      </c>
      <c r="Q761">
        <v>6.16</v>
      </c>
      <c r="R761" t="s">
        <v>125</v>
      </c>
      <c r="S761" t="s">
        <v>126</v>
      </c>
      <c r="T761" t="s">
        <v>125</v>
      </c>
      <c r="U761" t="s">
        <v>126</v>
      </c>
      <c r="W761">
        <v>6.16</v>
      </c>
      <c r="Y761">
        <v>6.16</v>
      </c>
      <c r="AS761">
        <v>6.16</v>
      </c>
      <c r="BH761" t="s">
        <v>126</v>
      </c>
      <c r="BI761" t="s">
        <v>126</v>
      </c>
      <c r="BJ761" t="s">
        <v>126</v>
      </c>
      <c r="BK761" t="s">
        <v>126</v>
      </c>
      <c r="BS761" t="s">
        <v>126</v>
      </c>
      <c r="BT761" t="s">
        <v>126</v>
      </c>
      <c r="BU761" t="s">
        <v>126</v>
      </c>
      <c r="BV761" t="s">
        <v>126</v>
      </c>
      <c r="CN761" t="s">
        <v>147</v>
      </c>
      <c r="CP761" t="s">
        <v>289</v>
      </c>
      <c r="CQ761" t="s">
        <v>147</v>
      </c>
    </row>
    <row r="762" spans="1:95" x14ac:dyDescent="0.2">
      <c r="A762" t="s">
        <v>115</v>
      </c>
      <c r="B762" t="s">
        <v>116</v>
      </c>
      <c r="C762">
        <v>210784</v>
      </c>
      <c r="E762" t="s">
        <v>117</v>
      </c>
      <c r="F762">
        <v>368</v>
      </c>
      <c r="G762" t="s">
        <v>141</v>
      </c>
      <c r="H762" t="s">
        <v>142</v>
      </c>
      <c r="I762" t="s">
        <v>279</v>
      </c>
      <c r="J762" t="s">
        <v>280</v>
      </c>
      <c r="L762" t="s">
        <v>423</v>
      </c>
      <c r="M762" s="8">
        <v>45778</v>
      </c>
      <c r="N762">
        <v>5716410</v>
      </c>
      <c r="O762" t="s">
        <v>123</v>
      </c>
      <c r="P762" t="s">
        <v>146</v>
      </c>
      <c r="Q762">
        <v>2</v>
      </c>
      <c r="R762" t="s">
        <v>125</v>
      </c>
      <c r="S762" t="s">
        <v>126</v>
      </c>
      <c r="T762" t="s">
        <v>125</v>
      </c>
      <c r="U762" t="s">
        <v>126</v>
      </c>
      <c r="W762">
        <v>2</v>
      </c>
      <c r="Y762">
        <v>2</v>
      </c>
      <c r="AS762">
        <v>2</v>
      </c>
      <c r="BH762" t="s">
        <v>126</v>
      </c>
      <c r="BI762" t="s">
        <v>126</v>
      </c>
      <c r="BJ762" t="s">
        <v>126</v>
      </c>
      <c r="BK762" t="s">
        <v>126</v>
      </c>
      <c r="BS762" t="s">
        <v>126</v>
      </c>
      <c r="BT762" t="s">
        <v>126</v>
      </c>
      <c r="BU762" t="s">
        <v>126</v>
      </c>
      <c r="BV762" t="s">
        <v>126</v>
      </c>
      <c r="CN762" t="s">
        <v>147</v>
      </c>
      <c r="CP762" t="s">
        <v>289</v>
      </c>
      <c r="CQ762" t="s">
        <v>147</v>
      </c>
    </row>
    <row r="763" spans="1:95" x14ac:dyDescent="0.2">
      <c r="A763" t="s">
        <v>115</v>
      </c>
      <c r="B763" t="s">
        <v>116</v>
      </c>
      <c r="C763">
        <v>210784</v>
      </c>
      <c r="E763" t="s">
        <v>117</v>
      </c>
      <c r="F763">
        <v>368</v>
      </c>
      <c r="G763" t="s">
        <v>141</v>
      </c>
      <c r="H763" t="s">
        <v>142</v>
      </c>
      <c r="I763" t="s">
        <v>279</v>
      </c>
      <c r="J763" t="s">
        <v>280</v>
      </c>
      <c r="L763" t="s">
        <v>424</v>
      </c>
      <c r="M763" s="8">
        <v>45778</v>
      </c>
      <c r="N763">
        <v>5717250</v>
      </c>
      <c r="O763" t="s">
        <v>123</v>
      </c>
      <c r="P763" t="s">
        <v>146</v>
      </c>
      <c r="Q763">
        <v>3.92</v>
      </c>
      <c r="R763" t="s">
        <v>125</v>
      </c>
      <c r="S763" t="s">
        <v>126</v>
      </c>
      <c r="T763" t="s">
        <v>125</v>
      </c>
      <c r="U763" t="s">
        <v>126</v>
      </c>
      <c r="W763">
        <v>3.92</v>
      </c>
      <c r="Y763">
        <v>3.92</v>
      </c>
      <c r="AS763">
        <v>3.92</v>
      </c>
      <c r="BH763" t="s">
        <v>126</v>
      </c>
      <c r="BI763" t="s">
        <v>126</v>
      </c>
      <c r="BJ763" t="s">
        <v>126</v>
      </c>
      <c r="BK763" t="s">
        <v>126</v>
      </c>
      <c r="BS763" t="s">
        <v>126</v>
      </c>
      <c r="BT763" t="s">
        <v>126</v>
      </c>
      <c r="BU763" t="s">
        <v>126</v>
      </c>
      <c r="BV763" t="s">
        <v>126</v>
      </c>
      <c r="CN763" t="s">
        <v>147</v>
      </c>
      <c r="CP763" t="s">
        <v>289</v>
      </c>
      <c r="CQ763" t="s">
        <v>147</v>
      </c>
    </row>
    <row r="764" spans="1:95" x14ac:dyDescent="0.2">
      <c r="A764" t="s">
        <v>115</v>
      </c>
      <c r="B764" t="s">
        <v>116</v>
      </c>
      <c r="C764">
        <v>210784</v>
      </c>
      <c r="E764" t="s">
        <v>117</v>
      </c>
      <c r="F764">
        <v>368</v>
      </c>
      <c r="G764" t="s">
        <v>141</v>
      </c>
      <c r="H764" t="s">
        <v>142</v>
      </c>
      <c r="I764" t="s">
        <v>279</v>
      </c>
      <c r="J764" t="s">
        <v>280</v>
      </c>
      <c r="L764" t="s">
        <v>425</v>
      </c>
      <c r="M764" s="8">
        <v>45778</v>
      </c>
      <c r="N764">
        <v>5718040</v>
      </c>
      <c r="O764" t="s">
        <v>123</v>
      </c>
      <c r="P764" t="s">
        <v>146</v>
      </c>
      <c r="Q764">
        <v>3.12</v>
      </c>
      <c r="R764" t="s">
        <v>125</v>
      </c>
      <c r="S764" t="s">
        <v>126</v>
      </c>
      <c r="T764" t="s">
        <v>125</v>
      </c>
      <c r="U764" t="s">
        <v>126</v>
      </c>
      <c r="W764">
        <v>3.12</v>
      </c>
      <c r="Y764">
        <v>3.12</v>
      </c>
      <c r="AS764">
        <v>3.12</v>
      </c>
      <c r="BH764" t="s">
        <v>126</v>
      </c>
      <c r="BI764" t="s">
        <v>126</v>
      </c>
      <c r="BJ764" t="s">
        <v>126</v>
      </c>
      <c r="BK764" t="s">
        <v>126</v>
      </c>
      <c r="BS764" t="s">
        <v>126</v>
      </c>
      <c r="BT764" t="s">
        <v>126</v>
      </c>
      <c r="BU764" t="s">
        <v>126</v>
      </c>
      <c r="BV764" t="s">
        <v>126</v>
      </c>
      <c r="CN764" t="s">
        <v>147</v>
      </c>
      <c r="CP764" t="s">
        <v>289</v>
      </c>
      <c r="CQ764" t="s">
        <v>147</v>
      </c>
    </row>
    <row r="765" spans="1:95" x14ac:dyDescent="0.2">
      <c r="A765" t="s">
        <v>115</v>
      </c>
      <c r="B765" t="s">
        <v>116</v>
      </c>
      <c r="C765">
        <v>210784</v>
      </c>
      <c r="E765" t="s">
        <v>117</v>
      </c>
      <c r="F765">
        <v>368</v>
      </c>
      <c r="G765" t="s">
        <v>141</v>
      </c>
      <c r="H765" t="s">
        <v>142</v>
      </c>
      <c r="I765" t="s">
        <v>279</v>
      </c>
      <c r="J765" t="s">
        <v>280</v>
      </c>
      <c r="L765" t="s">
        <v>426</v>
      </c>
      <c r="M765" s="8">
        <v>45778</v>
      </c>
      <c r="N765">
        <v>5718612</v>
      </c>
      <c r="O765" t="s">
        <v>123</v>
      </c>
      <c r="P765" t="s">
        <v>146</v>
      </c>
      <c r="Q765">
        <v>6.5</v>
      </c>
      <c r="R765" t="s">
        <v>125</v>
      </c>
      <c r="S765" t="s">
        <v>126</v>
      </c>
      <c r="T765" t="s">
        <v>125</v>
      </c>
      <c r="U765" t="s">
        <v>126</v>
      </c>
      <c r="W765">
        <v>6.5</v>
      </c>
      <c r="Y765">
        <v>6.5</v>
      </c>
      <c r="AS765">
        <v>6.5</v>
      </c>
      <c r="BH765" t="s">
        <v>126</v>
      </c>
      <c r="BI765" t="s">
        <v>126</v>
      </c>
      <c r="BJ765" t="s">
        <v>126</v>
      </c>
      <c r="BK765" t="s">
        <v>126</v>
      </c>
      <c r="BS765" t="s">
        <v>126</v>
      </c>
      <c r="BT765" t="s">
        <v>126</v>
      </c>
      <c r="BU765" t="s">
        <v>126</v>
      </c>
      <c r="BV765" t="s">
        <v>126</v>
      </c>
      <c r="CN765" t="s">
        <v>147</v>
      </c>
      <c r="CP765" t="s">
        <v>289</v>
      </c>
      <c r="CQ765" t="s">
        <v>147</v>
      </c>
    </row>
    <row r="766" spans="1:95" x14ac:dyDescent="0.2">
      <c r="A766" t="s">
        <v>115</v>
      </c>
      <c r="B766" t="s">
        <v>116</v>
      </c>
      <c r="C766">
        <v>210784</v>
      </c>
      <c r="E766" t="s">
        <v>117</v>
      </c>
      <c r="F766">
        <v>368</v>
      </c>
      <c r="G766" t="s">
        <v>141</v>
      </c>
      <c r="H766" t="s">
        <v>142</v>
      </c>
      <c r="I766" t="s">
        <v>279</v>
      </c>
      <c r="J766" t="s">
        <v>280</v>
      </c>
      <c r="L766" t="s">
        <v>427</v>
      </c>
      <c r="M766" s="8">
        <v>45778</v>
      </c>
      <c r="N766">
        <v>5719927</v>
      </c>
      <c r="O766" t="s">
        <v>123</v>
      </c>
      <c r="P766" t="s">
        <v>146</v>
      </c>
      <c r="Q766">
        <v>5.81</v>
      </c>
      <c r="R766" t="s">
        <v>125</v>
      </c>
      <c r="S766" t="s">
        <v>126</v>
      </c>
      <c r="T766" t="s">
        <v>125</v>
      </c>
      <c r="U766" t="s">
        <v>126</v>
      </c>
      <c r="W766">
        <v>5.81</v>
      </c>
      <c r="Y766">
        <v>5.81</v>
      </c>
      <c r="AS766">
        <v>5.81</v>
      </c>
      <c r="BH766" t="s">
        <v>126</v>
      </c>
      <c r="BI766" t="s">
        <v>126</v>
      </c>
      <c r="BJ766" t="s">
        <v>126</v>
      </c>
      <c r="BK766" t="s">
        <v>126</v>
      </c>
      <c r="BS766" t="s">
        <v>126</v>
      </c>
      <c r="BT766" t="s">
        <v>126</v>
      </c>
      <c r="BU766" t="s">
        <v>126</v>
      </c>
      <c r="BV766" t="s">
        <v>126</v>
      </c>
      <c r="CN766" t="s">
        <v>147</v>
      </c>
      <c r="CP766" t="s">
        <v>289</v>
      </c>
      <c r="CQ766" t="s">
        <v>147</v>
      </c>
    </row>
    <row r="767" spans="1:95" x14ac:dyDescent="0.2">
      <c r="A767" t="s">
        <v>115</v>
      </c>
      <c r="B767" t="s">
        <v>116</v>
      </c>
      <c r="C767">
        <v>210784</v>
      </c>
      <c r="E767" t="s">
        <v>117</v>
      </c>
      <c r="F767">
        <v>368</v>
      </c>
      <c r="G767" t="s">
        <v>141</v>
      </c>
      <c r="H767" t="s">
        <v>142</v>
      </c>
      <c r="I767" t="s">
        <v>279</v>
      </c>
      <c r="J767" t="s">
        <v>280</v>
      </c>
      <c r="L767" t="s">
        <v>427</v>
      </c>
      <c r="M767" s="8">
        <v>45778</v>
      </c>
      <c r="N767">
        <v>5720114</v>
      </c>
      <c r="O767" t="s">
        <v>123</v>
      </c>
      <c r="P767" t="s">
        <v>146</v>
      </c>
      <c r="Q767">
        <v>7.53</v>
      </c>
      <c r="R767" t="s">
        <v>125</v>
      </c>
      <c r="S767" t="s">
        <v>126</v>
      </c>
      <c r="T767" t="s">
        <v>125</v>
      </c>
      <c r="U767" t="s">
        <v>126</v>
      </c>
      <c r="W767">
        <v>7.53</v>
      </c>
      <c r="Y767">
        <v>7.53</v>
      </c>
      <c r="AS767">
        <v>7.53</v>
      </c>
      <c r="BH767" t="s">
        <v>126</v>
      </c>
      <c r="BI767" t="s">
        <v>126</v>
      </c>
      <c r="BJ767" t="s">
        <v>126</v>
      </c>
      <c r="BK767" t="s">
        <v>126</v>
      </c>
      <c r="BS767" t="s">
        <v>126</v>
      </c>
      <c r="BT767" t="s">
        <v>126</v>
      </c>
      <c r="BU767" t="s">
        <v>126</v>
      </c>
      <c r="BV767" t="s">
        <v>126</v>
      </c>
      <c r="CN767" t="s">
        <v>147</v>
      </c>
      <c r="CP767" t="s">
        <v>289</v>
      </c>
      <c r="CQ767" t="s">
        <v>147</v>
      </c>
    </row>
    <row r="768" spans="1:95" x14ac:dyDescent="0.2">
      <c r="A768" t="s">
        <v>115</v>
      </c>
      <c r="B768" t="s">
        <v>116</v>
      </c>
      <c r="C768">
        <v>210784</v>
      </c>
      <c r="E768" t="s">
        <v>117</v>
      </c>
      <c r="F768">
        <v>368</v>
      </c>
      <c r="G768" t="s">
        <v>141</v>
      </c>
      <c r="H768" t="s">
        <v>142</v>
      </c>
      <c r="I768" t="s">
        <v>279</v>
      </c>
      <c r="J768" t="s">
        <v>280</v>
      </c>
      <c r="L768" t="s">
        <v>428</v>
      </c>
      <c r="M768" s="8">
        <v>45778</v>
      </c>
      <c r="N768">
        <v>5720462</v>
      </c>
      <c r="O768" t="s">
        <v>123</v>
      </c>
      <c r="P768" t="s">
        <v>146</v>
      </c>
      <c r="Q768">
        <v>3.72</v>
      </c>
      <c r="R768" t="s">
        <v>125</v>
      </c>
      <c r="S768" t="s">
        <v>126</v>
      </c>
      <c r="T768" t="s">
        <v>125</v>
      </c>
      <c r="U768" t="s">
        <v>126</v>
      </c>
      <c r="W768">
        <v>3.72</v>
      </c>
      <c r="Y768">
        <v>3.72</v>
      </c>
      <c r="AS768">
        <v>3.72</v>
      </c>
      <c r="BH768" t="s">
        <v>126</v>
      </c>
      <c r="BI768" t="s">
        <v>126</v>
      </c>
      <c r="BJ768" t="s">
        <v>126</v>
      </c>
      <c r="BK768" t="s">
        <v>126</v>
      </c>
      <c r="BS768" t="s">
        <v>126</v>
      </c>
      <c r="BT768" t="s">
        <v>126</v>
      </c>
      <c r="BU768" t="s">
        <v>126</v>
      </c>
      <c r="BV768" t="s">
        <v>126</v>
      </c>
      <c r="CN768" t="s">
        <v>147</v>
      </c>
      <c r="CP768" t="s">
        <v>289</v>
      </c>
      <c r="CQ768" t="s">
        <v>147</v>
      </c>
    </row>
    <row r="769" spans="1:95" x14ac:dyDescent="0.2">
      <c r="A769" t="s">
        <v>115</v>
      </c>
      <c r="B769" t="s">
        <v>116</v>
      </c>
      <c r="C769">
        <v>210784</v>
      </c>
      <c r="E769" t="s">
        <v>117</v>
      </c>
      <c r="F769">
        <v>368</v>
      </c>
      <c r="G769" t="s">
        <v>141</v>
      </c>
      <c r="H769" t="s">
        <v>142</v>
      </c>
      <c r="I769" t="s">
        <v>279</v>
      </c>
      <c r="J769" t="s">
        <v>280</v>
      </c>
      <c r="L769" t="s">
        <v>428</v>
      </c>
      <c r="M769" s="8">
        <v>45778</v>
      </c>
      <c r="N769">
        <v>5720561</v>
      </c>
      <c r="O769" t="s">
        <v>123</v>
      </c>
      <c r="P769" t="s">
        <v>146</v>
      </c>
      <c r="Q769">
        <v>2.44</v>
      </c>
      <c r="R769" t="s">
        <v>125</v>
      </c>
      <c r="S769" t="s">
        <v>126</v>
      </c>
      <c r="T769" t="s">
        <v>125</v>
      </c>
      <c r="U769" t="s">
        <v>126</v>
      </c>
      <c r="W769">
        <v>2.44</v>
      </c>
      <c r="Y769">
        <v>2.44</v>
      </c>
      <c r="AS769">
        <v>2.44</v>
      </c>
      <c r="BH769" t="s">
        <v>126</v>
      </c>
      <c r="BI769" t="s">
        <v>126</v>
      </c>
      <c r="BJ769" t="s">
        <v>126</v>
      </c>
      <c r="BK769" t="s">
        <v>126</v>
      </c>
      <c r="BS769" t="s">
        <v>126</v>
      </c>
      <c r="BT769" t="s">
        <v>126</v>
      </c>
      <c r="BU769" t="s">
        <v>126</v>
      </c>
      <c r="BV769" t="s">
        <v>126</v>
      </c>
      <c r="CN769" t="s">
        <v>147</v>
      </c>
      <c r="CP769" t="s">
        <v>289</v>
      </c>
      <c r="CQ769" t="s">
        <v>147</v>
      </c>
    </row>
    <row r="770" spans="1:95" x14ac:dyDescent="0.2">
      <c r="A770" t="s">
        <v>115</v>
      </c>
      <c r="B770" t="s">
        <v>116</v>
      </c>
      <c r="C770">
        <v>210784</v>
      </c>
      <c r="E770" t="s">
        <v>117</v>
      </c>
      <c r="F770">
        <v>368</v>
      </c>
      <c r="G770" t="s">
        <v>141</v>
      </c>
      <c r="H770" t="s">
        <v>142</v>
      </c>
      <c r="I770" t="s">
        <v>279</v>
      </c>
      <c r="J770" t="s">
        <v>280</v>
      </c>
      <c r="L770" t="s">
        <v>429</v>
      </c>
      <c r="M770" s="8">
        <v>45778</v>
      </c>
      <c r="N770">
        <v>5722060</v>
      </c>
      <c r="O770" t="s">
        <v>123</v>
      </c>
      <c r="P770" t="s">
        <v>146</v>
      </c>
      <c r="Q770">
        <v>3.59</v>
      </c>
      <c r="R770" t="s">
        <v>125</v>
      </c>
      <c r="S770" t="s">
        <v>126</v>
      </c>
      <c r="T770" t="s">
        <v>125</v>
      </c>
      <c r="U770" t="s">
        <v>126</v>
      </c>
      <c r="W770">
        <v>3.59</v>
      </c>
      <c r="Y770">
        <v>3.59</v>
      </c>
      <c r="AS770">
        <v>3.59</v>
      </c>
      <c r="BH770" t="s">
        <v>126</v>
      </c>
      <c r="BI770" t="s">
        <v>126</v>
      </c>
      <c r="BJ770" t="s">
        <v>126</v>
      </c>
      <c r="BK770" t="s">
        <v>126</v>
      </c>
      <c r="BS770" t="s">
        <v>126</v>
      </c>
      <c r="BT770" t="s">
        <v>126</v>
      </c>
      <c r="BU770" t="s">
        <v>126</v>
      </c>
      <c r="BV770" t="s">
        <v>126</v>
      </c>
      <c r="CN770" t="s">
        <v>147</v>
      </c>
      <c r="CP770" t="s">
        <v>289</v>
      </c>
      <c r="CQ770" t="s">
        <v>147</v>
      </c>
    </row>
    <row r="771" spans="1:95" x14ac:dyDescent="0.2">
      <c r="A771" t="s">
        <v>115</v>
      </c>
      <c r="B771" t="s">
        <v>116</v>
      </c>
      <c r="C771">
        <v>210784</v>
      </c>
      <c r="E771" t="s">
        <v>117</v>
      </c>
      <c r="F771">
        <v>368</v>
      </c>
      <c r="G771" t="s">
        <v>141</v>
      </c>
      <c r="H771" t="s">
        <v>142</v>
      </c>
      <c r="I771" t="s">
        <v>279</v>
      </c>
      <c r="J771" t="s">
        <v>280</v>
      </c>
      <c r="L771" t="s">
        <v>429</v>
      </c>
      <c r="M771" s="8">
        <v>45778</v>
      </c>
      <c r="N771">
        <v>5722151</v>
      </c>
      <c r="O771" t="s">
        <v>123</v>
      </c>
      <c r="P771" t="s">
        <v>146</v>
      </c>
      <c r="Q771">
        <v>3.81</v>
      </c>
      <c r="R771" t="s">
        <v>125</v>
      </c>
      <c r="S771" t="s">
        <v>126</v>
      </c>
      <c r="T771" t="s">
        <v>125</v>
      </c>
      <c r="U771" t="s">
        <v>126</v>
      </c>
      <c r="W771">
        <v>3.81</v>
      </c>
      <c r="Y771">
        <v>3.81</v>
      </c>
      <c r="AS771">
        <v>3.81</v>
      </c>
      <c r="BH771" t="s">
        <v>126</v>
      </c>
      <c r="BI771" t="s">
        <v>126</v>
      </c>
      <c r="BJ771" t="s">
        <v>126</v>
      </c>
      <c r="BK771" t="s">
        <v>126</v>
      </c>
      <c r="BS771" t="s">
        <v>126</v>
      </c>
      <c r="BT771" t="s">
        <v>126</v>
      </c>
      <c r="BU771" t="s">
        <v>126</v>
      </c>
      <c r="BV771" t="s">
        <v>126</v>
      </c>
      <c r="CN771" t="s">
        <v>147</v>
      </c>
      <c r="CP771" t="s">
        <v>289</v>
      </c>
      <c r="CQ771" t="s">
        <v>147</v>
      </c>
    </row>
    <row r="772" spans="1:95" x14ac:dyDescent="0.2">
      <c r="A772" t="s">
        <v>115</v>
      </c>
      <c r="B772" t="s">
        <v>116</v>
      </c>
      <c r="C772">
        <v>210784</v>
      </c>
      <c r="E772" t="s">
        <v>117</v>
      </c>
      <c r="F772">
        <v>368</v>
      </c>
      <c r="G772" t="s">
        <v>141</v>
      </c>
      <c r="H772" t="s">
        <v>142</v>
      </c>
      <c r="I772" t="s">
        <v>279</v>
      </c>
      <c r="J772" t="s">
        <v>280</v>
      </c>
      <c r="L772" t="s">
        <v>286</v>
      </c>
      <c r="M772" s="8">
        <v>45778</v>
      </c>
      <c r="N772">
        <v>5724497</v>
      </c>
      <c r="O772" t="s">
        <v>123</v>
      </c>
      <c r="P772" t="s">
        <v>146</v>
      </c>
      <c r="Q772">
        <v>3.92</v>
      </c>
      <c r="R772" t="s">
        <v>125</v>
      </c>
      <c r="S772" t="s">
        <v>126</v>
      </c>
      <c r="T772" t="s">
        <v>125</v>
      </c>
      <c r="U772" t="s">
        <v>126</v>
      </c>
      <c r="W772">
        <v>3.92</v>
      </c>
      <c r="Y772">
        <v>3.92</v>
      </c>
      <c r="AS772">
        <v>3.92</v>
      </c>
      <c r="BH772" t="s">
        <v>126</v>
      </c>
      <c r="BI772" t="s">
        <v>126</v>
      </c>
      <c r="BJ772" t="s">
        <v>126</v>
      </c>
      <c r="BK772" t="s">
        <v>126</v>
      </c>
      <c r="BS772" t="s">
        <v>126</v>
      </c>
      <c r="BT772" t="s">
        <v>126</v>
      </c>
      <c r="BU772" t="s">
        <v>126</v>
      </c>
      <c r="BV772" t="s">
        <v>126</v>
      </c>
      <c r="CN772" t="s">
        <v>147</v>
      </c>
      <c r="CP772" t="s">
        <v>289</v>
      </c>
      <c r="CQ772" t="s">
        <v>147</v>
      </c>
    </row>
    <row r="773" spans="1:95" x14ac:dyDescent="0.2">
      <c r="A773" t="s">
        <v>115</v>
      </c>
      <c r="B773" t="s">
        <v>116</v>
      </c>
      <c r="C773">
        <v>210784</v>
      </c>
      <c r="E773" t="s">
        <v>117</v>
      </c>
      <c r="F773">
        <v>368</v>
      </c>
      <c r="G773" t="s">
        <v>141</v>
      </c>
      <c r="H773" t="s">
        <v>142</v>
      </c>
      <c r="I773" t="s">
        <v>279</v>
      </c>
      <c r="J773" t="s">
        <v>280</v>
      </c>
      <c r="L773" t="s">
        <v>419</v>
      </c>
      <c r="M773" s="8">
        <v>45778</v>
      </c>
      <c r="N773">
        <v>5712460</v>
      </c>
      <c r="O773" t="s">
        <v>123</v>
      </c>
      <c r="P773" t="s">
        <v>146</v>
      </c>
      <c r="Q773">
        <v>2.21</v>
      </c>
      <c r="R773" t="s">
        <v>569</v>
      </c>
      <c r="S773" t="s">
        <v>126</v>
      </c>
      <c r="T773" t="s">
        <v>569</v>
      </c>
      <c r="U773" t="s">
        <v>570</v>
      </c>
      <c r="W773">
        <v>0.68</v>
      </c>
      <c r="X773">
        <v>1.5299999999999998</v>
      </c>
      <c r="Y773">
        <v>2.21</v>
      </c>
      <c r="Z773">
        <v>0.84</v>
      </c>
      <c r="AG773">
        <v>0.68</v>
      </c>
      <c r="AI773">
        <v>0.69</v>
      </c>
      <c r="BH773" t="s">
        <v>126</v>
      </c>
      <c r="BI773" t="s">
        <v>126</v>
      </c>
      <c r="BJ773" t="s">
        <v>126</v>
      </c>
      <c r="BK773" t="s">
        <v>126</v>
      </c>
      <c r="BS773" t="s">
        <v>126</v>
      </c>
      <c r="BT773" t="s">
        <v>126</v>
      </c>
      <c r="BU773" t="s">
        <v>126</v>
      </c>
      <c r="BV773" t="s">
        <v>126</v>
      </c>
      <c r="CN773" t="s">
        <v>147</v>
      </c>
      <c r="CP773" t="s">
        <v>289</v>
      </c>
      <c r="CQ773" t="s">
        <v>147</v>
      </c>
    </row>
    <row r="774" spans="1:95" x14ac:dyDescent="0.2">
      <c r="A774" t="s">
        <v>115</v>
      </c>
      <c r="B774" t="s">
        <v>116</v>
      </c>
      <c r="C774">
        <v>210784</v>
      </c>
      <c r="E774" t="s">
        <v>117</v>
      </c>
      <c r="F774">
        <v>368</v>
      </c>
      <c r="G774" t="s">
        <v>141</v>
      </c>
      <c r="H774" t="s">
        <v>142</v>
      </c>
      <c r="I774" t="s">
        <v>279</v>
      </c>
      <c r="J774" t="s">
        <v>280</v>
      </c>
      <c r="L774" t="s">
        <v>691</v>
      </c>
      <c r="M774" s="8">
        <v>45778</v>
      </c>
      <c r="N774">
        <v>5713699</v>
      </c>
      <c r="O774" t="s">
        <v>123</v>
      </c>
      <c r="P774" t="s">
        <v>146</v>
      </c>
      <c r="Q774">
        <v>4.34</v>
      </c>
      <c r="R774" t="s">
        <v>635</v>
      </c>
      <c r="S774" t="s">
        <v>126</v>
      </c>
      <c r="T774" t="s">
        <v>635</v>
      </c>
      <c r="U774" t="s">
        <v>636</v>
      </c>
      <c r="W774">
        <v>1.34</v>
      </c>
      <c r="X774">
        <v>3</v>
      </c>
      <c r="Y774">
        <v>4.34</v>
      </c>
      <c r="Z774">
        <v>1.65</v>
      </c>
      <c r="AG774">
        <v>1.34</v>
      </c>
      <c r="AI774">
        <v>1.35</v>
      </c>
      <c r="BH774" t="s">
        <v>126</v>
      </c>
      <c r="BI774" t="s">
        <v>126</v>
      </c>
      <c r="BJ774" t="s">
        <v>126</v>
      </c>
      <c r="BK774" t="s">
        <v>126</v>
      </c>
      <c r="BS774" t="s">
        <v>126</v>
      </c>
      <c r="BT774" t="s">
        <v>126</v>
      </c>
      <c r="BU774" t="s">
        <v>126</v>
      </c>
      <c r="BV774" t="s">
        <v>126</v>
      </c>
      <c r="CN774" t="s">
        <v>147</v>
      </c>
      <c r="CP774" t="s">
        <v>289</v>
      </c>
      <c r="CQ774" t="s">
        <v>147</v>
      </c>
    </row>
    <row r="775" spans="1:95" x14ac:dyDescent="0.2">
      <c r="A775" t="s">
        <v>115</v>
      </c>
      <c r="B775" t="s">
        <v>116</v>
      </c>
      <c r="C775">
        <v>210784</v>
      </c>
      <c r="E775" t="s">
        <v>117</v>
      </c>
      <c r="F775">
        <v>368</v>
      </c>
      <c r="G775" t="s">
        <v>141</v>
      </c>
      <c r="H775" t="s">
        <v>142</v>
      </c>
      <c r="I775" t="s">
        <v>279</v>
      </c>
      <c r="J775" t="s">
        <v>280</v>
      </c>
      <c r="L775" t="s">
        <v>420</v>
      </c>
      <c r="M775" s="8">
        <v>45778</v>
      </c>
      <c r="N775">
        <v>5714566</v>
      </c>
      <c r="O775" t="s">
        <v>123</v>
      </c>
      <c r="P775" t="s">
        <v>146</v>
      </c>
      <c r="Q775">
        <v>2.95</v>
      </c>
      <c r="R775" t="s">
        <v>594</v>
      </c>
      <c r="S775" t="s">
        <v>126</v>
      </c>
      <c r="T775" t="s">
        <v>594</v>
      </c>
      <c r="U775" t="s">
        <v>595</v>
      </c>
      <c r="W775">
        <v>0.91</v>
      </c>
      <c r="X775">
        <v>2.04</v>
      </c>
      <c r="Y775">
        <v>2.95</v>
      </c>
      <c r="Z775">
        <v>1.1200000000000001</v>
      </c>
      <c r="AG775">
        <v>0.91</v>
      </c>
      <c r="AI775">
        <v>0.92</v>
      </c>
      <c r="BH775" t="s">
        <v>126</v>
      </c>
      <c r="BI775" t="s">
        <v>126</v>
      </c>
      <c r="BJ775" t="s">
        <v>126</v>
      </c>
      <c r="BK775" t="s">
        <v>126</v>
      </c>
      <c r="BS775" t="s">
        <v>126</v>
      </c>
      <c r="BT775" t="s">
        <v>126</v>
      </c>
      <c r="BU775" t="s">
        <v>126</v>
      </c>
      <c r="BV775" t="s">
        <v>126</v>
      </c>
      <c r="CN775" t="s">
        <v>147</v>
      </c>
      <c r="CP775" t="s">
        <v>289</v>
      </c>
      <c r="CQ775" t="s">
        <v>147</v>
      </c>
    </row>
    <row r="776" spans="1:95" x14ac:dyDescent="0.2">
      <c r="A776" t="s">
        <v>115</v>
      </c>
      <c r="B776" t="s">
        <v>116</v>
      </c>
      <c r="C776">
        <v>210784</v>
      </c>
      <c r="E776" t="s">
        <v>117</v>
      </c>
      <c r="F776">
        <v>368</v>
      </c>
      <c r="G776" t="s">
        <v>141</v>
      </c>
      <c r="H776" t="s">
        <v>142</v>
      </c>
      <c r="I776" t="s">
        <v>279</v>
      </c>
      <c r="J776" t="s">
        <v>280</v>
      </c>
      <c r="L776" t="s">
        <v>692</v>
      </c>
      <c r="M776" s="8">
        <v>45778</v>
      </c>
      <c r="N776">
        <v>5719040</v>
      </c>
      <c r="O776" t="s">
        <v>123</v>
      </c>
      <c r="P776" t="s">
        <v>146</v>
      </c>
      <c r="Q776">
        <v>3.87</v>
      </c>
      <c r="R776" t="s">
        <v>574</v>
      </c>
      <c r="S776" t="s">
        <v>126</v>
      </c>
      <c r="T776" t="s">
        <v>574</v>
      </c>
      <c r="U776" t="s">
        <v>575</v>
      </c>
      <c r="W776">
        <v>1.19</v>
      </c>
      <c r="X776">
        <v>2.6799999999999997</v>
      </c>
      <c r="Y776">
        <v>3.87</v>
      </c>
      <c r="Z776">
        <v>1.47</v>
      </c>
      <c r="AG776">
        <v>1.19</v>
      </c>
      <c r="AI776">
        <v>1.21</v>
      </c>
      <c r="BH776" t="s">
        <v>126</v>
      </c>
      <c r="BI776" t="s">
        <v>126</v>
      </c>
      <c r="BJ776" t="s">
        <v>126</v>
      </c>
      <c r="BK776" t="s">
        <v>126</v>
      </c>
      <c r="BS776" t="s">
        <v>126</v>
      </c>
      <c r="BT776" t="s">
        <v>126</v>
      </c>
      <c r="BU776" t="s">
        <v>126</v>
      </c>
      <c r="BV776" t="s">
        <v>126</v>
      </c>
      <c r="CN776" t="s">
        <v>147</v>
      </c>
      <c r="CP776" t="s">
        <v>289</v>
      </c>
      <c r="CQ776" t="s">
        <v>147</v>
      </c>
    </row>
    <row r="777" spans="1:95" x14ac:dyDescent="0.2">
      <c r="A777" t="s">
        <v>115</v>
      </c>
      <c r="B777" t="s">
        <v>116</v>
      </c>
      <c r="C777">
        <v>210784</v>
      </c>
      <c r="E777" t="s">
        <v>117</v>
      </c>
      <c r="F777">
        <v>368</v>
      </c>
      <c r="G777" t="s">
        <v>141</v>
      </c>
      <c r="H777" t="s">
        <v>142</v>
      </c>
      <c r="I777" t="s">
        <v>279</v>
      </c>
      <c r="J777" t="s">
        <v>280</v>
      </c>
      <c r="L777" t="s">
        <v>693</v>
      </c>
      <c r="M777" s="8">
        <v>45778</v>
      </c>
      <c r="N777">
        <v>5721203</v>
      </c>
      <c r="O777" t="s">
        <v>123</v>
      </c>
      <c r="P777" t="s">
        <v>146</v>
      </c>
      <c r="Q777">
        <v>1.3</v>
      </c>
      <c r="R777" t="s">
        <v>569</v>
      </c>
      <c r="S777" t="s">
        <v>126</v>
      </c>
      <c r="T777" t="s">
        <v>569</v>
      </c>
      <c r="U777" t="s">
        <v>570</v>
      </c>
      <c r="W777">
        <v>0.4</v>
      </c>
      <c r="X777">
        <v>0.9</v>
      </c>
      <c r="Y777">
        <v>1.3</v>
      </c>
      <c r="Z777">
        <v>0.5</v>
      </c>
      <c r="AG777">
        <v>0.4</v>
      </c>
      <c r="AI777">
        <v>0.4</v>
      </c>
      <c r="BH777" t="s">
        <v>126</v>
      </c>
      <c r="BI777" t="s">
        <v>126</v>
      </c>
      <c r="BJ777" t="s">
        <v>126</v>
      </c>
      <c r="BK777" t="s">
        <v>126</v>
      </c>
      <c r="BS777" t="s">
        <v>126</v>
      </c>
      <c r="BT777" t="s">
        <v>126</v>
      </c>
      <c r="BU777" t="s">
        <v>126</v>
      </c>
      <c r="BV777" t="s">
        <v>126</v>
      </c>
      <c r="CN777" t="s">
        <v>147</v>
      </c>
      <c r="CP777" t="s">
        <v>289</v>
      </c>
      <c r="CQ777" t="s">
        <v>147</v>
      </c>
    </row>
    <row r="778" spans="1:95" x14ac:dyDescent="0.2">
      <c r="A778" t="s">
        <v>115</v>
      </c>
      <c r="B778" t="s">
        <v>116</v>
      </c>
      <c r="C778">
        <v>210784</v>
      </c>
      <c r="E778" t="s">
        <v>117</v>
      </c>
      <c r="F778">
        <v>368</v>
      </c>
      <c r="G778" t="s">
        <v>141</v>
      </c>
      <c r="H778" t="s">
        <v>142</v>
      </c>
      <c r="I778" t="s">
        <v>279</v>
      </c>
      <c r="J778" t="s">
        <v>280</v>
      </c>
      <c r="L778" t="s">
        <v>290</v>
      </c>
      <c r="M778" s="8">
        <v>45778</v>
      </c>
      <c r="N778">
        <v>5722686</v>
      </c>
      <c r="O778" t="s">
        <v>123</v>
      </c>
      <c r="P778" t="s">
        <v>146</v>
      </c>
      <c r="Q778">
        <v>3.13</v>
      </c>
      <c r="R778" t="s">
        <v>628</v>
      </c>
      <c r="S778" t="s">
        <v>126</v>
      </c>
      <c r="T778" t="s">
        <v>628</v>
      </c>
      <c r="U778" t="s">
        <v>629</v>
      </c>
      <c r="W778">
        <v>0.96</v>
      </c>
      <c r="X778">
        <v>2.17</v>
      </c>
      <c r="Y778">
        <v>3.13</v>
      </c>
      <c r="Z778">
        <v>1.2</v>
      </c>
      <c r="AG778">
        <v>0.96</v>
      </c>
      <c r="AI778">
        <v>0.97</v>
      </c>
      <c r="BH778" t="s">
        <v>126</v>
      </c>
      <c r="BI778" t="s">
        <v>126</v>
      </c>
      <c r="BJ778" t="s">
        <v>126</v>
      </c>
      <c r="BK778" t="s">
        <v>126</v>
      </c>
      <c r="BS778" t="s">
        <v>126</v>
      </c>
      <c r="BT778" t="s">
        <v>126</v>
      </c>
      <c r="BU778" t="s">
        <v>126</v>
      </c>
      <c r="BV778" t="s">
        <v>126</v>
      </c>
      <c r="CN778" t="s">
        <v>147</v>
      </c>
      <c r="CP778" t="s">
        <v>289</v>
      </c>
      <c r="CQ778" t="s">
        <v>147</v>
      </c>
    </row>
    <row r="779" spans="1:95" x14ac:dyDescent="0.2">
      <c r="A779" t="s">
        <v>115</v>
      </c>
      <c r="B779" t="s">
        <v>116</v>
      </c>
      <c r="C779">
        <v>210784</v>
      </c>
      <c r="E779" t="s">
        <v>117</v>
      </c>
      <c r="F779">
        <v>368</v>
      </c>
      <c r="G779" t="s">
        <v>141</v>
      </c>
      <c r="H779" t="s">
        <v>142</v>
      </c>
      <c r="I779" t="s">
        <v>279</v>
      </c>
      <c r="J779" t="s">
        <v>280</v>
      </c>
      <c r="L779" t="s">
        <v>694</v>
      </c>
      <c r="M779" s="8">
        <v>45778</v>
      </c>
      <c r="N779">
        <v>5723247</v>
      </c>
      <c r="O779" t="s">
        <v>123</v>
      </c>
      <c r="P779" t="s">
        <v>146</v>
      </c>
      <c r="Q779">
        <v>2.9200000000000004</v>
      </c>
      <c r="R779" t="s">
        <v>559</v>
      </c>
      <c r="S779" t="s">
        <v>126</v>
      </c>
      <c r="T779" t="s">
        <v>559</v>
      </c>
      <c r="U779" t="s">
        <v>560</v>
      </c>
      <c r="W779">
        <v>0.9</v>
      </c>
      <c r="X779">
        <v>2.02</v>
      </c>
      <c r="Y779">
        <v>2.9200000000000004</v>
      </c>
      <c r="Z779">
        <v>1.1100000000000001</v>
      </c>
      <c r="AG779">
        <v>0.9</v>
      </c>
      <c r="AI779">
        <v>0.91</v>
      </c>
      <c r="BH779" t="s">
        <v>126</v>
      </c>
      <c r="BI779" t="s">
        <v>126</v>
      </c>
      <c r="BJ779" t="s">
        <v>126</v>
      </c>
      <c r="BK779" t="s">
        <v>126</v>
      </c>
      <c r="BS779" t="s">
        <v>126</v>
      </c>
      <c r="BT779" t="s">
        <v>126</v>
      </c>
      <c r="BU779" t="s">
        <v>126</v>
      </c>
      <c r="BV779" t="s">
        <v>126</v>
      </c>
      <c r="CN779" t="s">
        <v>147</v>
      </c>
      <c r="CP779" t="s">
        <v>289</v>
      </c>
      <c r="CQ779" t="s">
        <v>147</v>
      </c>
    </row>
    <row r="780" spans="1:95" x14ac:dyDescent="0.2">
      <c r="A780" t="s">
        <v>115</v>
      </c>
      <c r="B780" t="s">
        <v>116</v>
      </c>
      <c r="C780">
        <v>210784</v>
      </c>
      <c r="E780" t="s">
        <v>117</v>
      </c>
      <c r="F780">
        <v>368</v>
      </c>
      <c r="G780" t="s">
        <v>141</v>
      </c>
      <c r="H780" t="s">
        <v>142</v>
      </c>
      <c r="I780" t="s">
        <v>279</v>
      </c>
      <c r="J780" t="s">
        <v>280</v>
      </c>
      <c r="L780" t="s">
        <v>695</v>
      </c>
      <c r="M780" s="8">
        <v>45778</v>
      </c>
      <c r="N780">
        <v>5724759</v>
      </c>
      <c r="O780" t="s">
        <v>123</v>
      </c>
      <c r="P780" t="s">
        <v>146</v>
      </c>
      <c r="Q780">
        <v>1.7</v>
      </c>
      <c r="R780" t="s">
        <v>665</v>
      </c>
      <c r="S780" t="s">
        <v>126</v>
      </c>
      <c r="T780" t="s">
        <v>665</v>
      </c>
      <c r="U780" t="s">
        <v>666</v>
      </c>
      <c r="W780">
        <v>0.52</v>
      </c>
      <c r="X780">
        <v>1.1800000000000002</v>
      </c>
      <c r="Y780">
        <v>1.7</v>
      </c>
      <c r="Z780">
        <v>0.65</v>
      </c>
      <c r="AG780">
        <v>0.52</v>
      </c>
      <c r="AI780">
        <v>0.53</v>
      </c>
      <c r="BH780" t="s">
        <v>126</v>
      </c>
      <c r="BI780" t="s">
        <v>126</v>
      </c>
      <c r="BJ780" t="s">
        <v>126</v>
      </c>
      <c r="BK780" t="s">
        <v>126</v>
      </c>
      <c r="BS780" t="s">
        <v>126</v>
      </c>
      <c r="BT780" t="s">
        <v>126</v>
      </c>
      <c r="BU780" t="s">
        <v>126</v>
      </c>
      <c r="BV780" t="s">
        <v>126</v>
      </c>
      <c r="CN780" t="s">
        <v>147</v>
      </c>
      <c r="CP780" t="s">
        <v>289</v>
      </c>
      <c r="CQ780" t="s">
        <v>147</v>
      </c>
    </row>
    <row r="781" spans="1:95" x14ac:dyDescent="0.2">
      <c r="A781" t="s">
        <v>115</v>
      </c>
      <c r="B781" t="s">
        <v>116</v>
      </c>
      <c r="C781">
        <v>210784</v>
      </c>
      <c r="E781" t="s">
        <v>117</v>
      </c>
      <c r="F781">
        <v>368</v>
      </c>
      <c r="G781" t="s">
        <v>141</v>
      </c>
      <c r="H781" t="s">
        <v>142</v>
      </c>
      <c r="I781" t="s">
        <v>279</v>
      </c>
      <c r="J781" t="s">
        <v>280</v>
      </c>
      <c r="L781" t="s">
        <v>696</v>
      </c>
      <c r="M781" s="8">
        <v>45778</v>
      </c>
      <c r="N781">
        <v>5726019</v>
      </c>
      <c r="O781" t="s">
        <v>123</v>
      </c>
      <c r="P781" t="s">
        <v>146</v>
      </c>
      <c r="Q781">
        <v>2.16</v>
      </c>
      <c r="R781" t="s">
        <v>679</v>
      </c>
      <c r="S781" t="s">
        <v>126</v>
      </c>
      <c r="T781" t="s">
        <v>679</v>
      </c>
      <c r="U781" t="s">
        <v>680</v>
      </c>
      <c r="W781">
        <v>0.67</v>
      </c>
      <c r="X781">
        <v>1.49</v>
      </c>
      <c r="Y781">
        <v>2.16</v>
      </c>
      <c r="Z781">
        <v>0.82</v>
      </c>
      <c r="AG781">
        <v>0.67</v>
      </c>
      <c r="AI781">
        <v>0.67</v>
      </c>
      <c r="BH781" t="s">
        <v>126</v>
      </c>
      <c r="BI781" t="s">
        <v>126</v>
      </c>
      <c r="BJ781" t="s">
        <v>126</v>
      </c>
      <c r="BK781" t="s">
        <v>126</v>
      </c>
      <c r="BS781" t="s">
        <v>126</v>
      </c>
      <c r="BT781" t="s">
        <v>126</v>
      </c>
      <c r="BU781" t="s">
        <v>126</v>
      </c>
      <c r="BV781" t="s">
        <v>126</v>
      </c>
      <c r="CN781" t="s">
        <v>147</v>
      </c>
      <c r="CP781" t="s">
        <v>432</v>
      </c>
      <c r="CQ781" t="s">
        <v>147</v>
      </c>
    </row>
    <row r="782" spans="1:95" x14ac:dyDescent="0.2">
      <c r="A782" t="s">
        <v>115</v>
      </c>
      <c r="B782" t="s">
        <v>116</v>
      </c>
      <c r="C782">
        <v>210784</v>
      </c>
      <c r="E782" t="s">
        <v>117</v>
      </c>
      <c r="F782">
        <v>368</v>
      </c>
      <c r="G782" t="s">
        <v>141</v>
      </c>
      <c r="H782" t="s">
        <v>142</v>
      </c>
      <c r="I782" t="s">
        <v>279</v>
      </c>
      <c r="J782" t="s">
        <v>280</v>
      </c>
      <c r="L782" t="s">
        <v>696</v>
      </c>
      <c r="M782" s="8">
        <v>45778</v>
      </c>
      <c r="N782">
        <v>5725957</v>
      </c>
      <c r="O782" t="s">
        <v>123</v>
      </c>
      <c r="P782" t="s">
        <v>146</v>
      </c>
      <c r="Q782">
        <v>4.71</v>
      </c>
      <c r="R782" t="s">
        <v>614</v>
      </c>
      <c r="S782" t="s">
        <v>126</v>
      </c>
      <c r="T782" t="s">
        <v>614</v>
      </c>
      <c r="U782" t="s">
        <v>615</v>
      </c>
      <c r="W782">
        <v>1.45</v>
      </c>
      <c r="X782">
        <v>3.26</v>
      </c>
      <c r="Y782">
        <v>4.71</v>
      </c>
      <c r="Z782">
        <v>1.79</v>
      </c>
      <c r="AG782">
        <v>1.45</v>
      </c>
      <c r="AI782">
        <v>1.47</v>
      </c>
      <c r="BH782" t="s">
        <v>126</v>
      </c>
      <c r="BI782" t="s">
        <v>126</v>
      </c>
      <c r="BJ782" t="s">
        <v>126</v>
      </c>
      <c r="BK782" t="s">
        <v>126</v>
      </c>
      <c r="BS782" t="s">
        <v>126</v>
      </c>
      <c r="BT782" t="s">
        <v>126</v>
      </c>
      <c r="BU782" t="s">
        <v>126</v>
      </c>
      <c r="BV782" t="s">
        <v>126</v>
      </c>
      <c r="CN782" t="s">
        <v>147</v>
      </c>
      <c r="CP782" t="s">
        <v>432</v>
      </c>
      <c r="CQ782" t="s">
        <v>147</v>
      </c>
    </row>
    <row r="783" spans="1:95" x14ac:dyDescent="0.2">
      <c r="A783" t="s">
        <v>115</v>
      </c>
      <c r="B783" t="s">
        <v>116</v>
      </c>
      <c r="C783">
        <v>210784</v>
      </c>
      <c r="E783" t="s">
        <v>117</v>
      </c>
      <c r="F783">
        <v>368</v>
      </c>
      <c r="G783" t="s">
        <v>141</v>
      </c>
      <c r="H783" t="s">
        <v>142</v>
      </c>
      <c r="I783" t="s">
        <v>284</v>
      </c>
      <c r="J783" t="s">
        <v>285</v>
      </c>
      <c r="L783" t="s">
        <v>288</v>
      </c>
      <c r="M783" s="8">
        <v>45778</v>
      </c>
      <c r="N783">
        <v>120434</v>
      </c>
      <c r="O783" t="s">
        <v>123</v>
      </c>
      <c r="P783" t="s">
        <v>146</v>
      </c>
      <c r="Q783">
        <v>0.67999999999999994</v>
      </c>
      <c r="R783" t="s">
        <v>697</v>
      </c>
      <c r="S783" t="s">
        <v>126</v>
      </c>
      <c r="T783" t="s">
        <v>697</v>
      </c>
      <c r="U783" t="s">
        <v>698</v>
      </c>
      <c r="W783">
        <v>0.66639999999999999</v>
      </c>
      <c r="X783">
        <v>1.3599999999999999E-2</v>
      </c>
      <c r="Y783">
        <v>0.67999999999999994</v>
      </c>
      <c r="AI783">
        <v>1.3599999999999999E-2</v>
      </c>
      <c r="BE783">
        <v>0.66639999999999999</v>
      </c>
      <c r="BH783" t="s">
        <v>126</v>
      </c>
      <c r="BI783" t="s">
        <v>126</v>
      </c>
      <c r="BJ783" t="s">
        <v>126</v>
      </c>
      <c r="BK783" t="s">
        <v>126</v>
      </c>
      <c r="BS783" t="s">
        <v>126</v>
      </c>
      <c r="BT783" t="s">
        <v>126</v>
      </c>
      <c r="BU783" t="s">
        <v>126</v>
      </c>
      <c r="BV783" t="s">
        <v>126</v>
      </c>
      <c r="CN783" t="s">
        <v>147</v>
      </c>
      <c r="CP783" t="s">
        <v>432</v>
      </c>
      <c r="CQ783" t="s">
        <v>147</v>
      </c>
    </row>
    <row r="784" spans="1:95" x14ac:dyDescent="0.2">
      <c r="A784" t="s">
        <v>115</v>
      </c>
      <c r="B784" t="s">
        <v>116</v>
      </c>
      <c r="C784">
        <v>210784</v>
      </c>
      <c r="E784" t="s">
        <v>117</v>
      </c>
      <c r="F784">
        <v>368</v>
      </c>
      <c r="G784" t="s">
        <v>141</v>
      </c>
      <c r="H784" t="s">
        <v>142</v>
      </c>
      <c r="I784" t="s">
        <v>279</v>
      </c>
      <c r="J784" t="s">
        <v>280</v>
      </c>
      <c r="L784" t="s">
        <v>288</v>
      </c>
      <c r="M784" s="8">
        <v>45778</v>
      </c>
      <c r="N784">
        <v>5726739</v>
      </c>
      <c r="O784" t="s">
        <v>123</v>
      </c>
      <c r="P784" t="s">
        <v>146</v>
      </c>
      <c r="Q784">
        <v>3.3200000000000003</v>
      </c>
      <c r="R784" t="s">
        <v>544</v>
      </c>
      <c r="S784" t="s">
        <v>126</v>
      </c>
      <c r="T784" t="s">
        <v>544</v>
      </c>
      <c r="U784" t="s">
        <v>545</v>
      </c>
      <c r="W784">
        <v>1.02</v>
      </c>
      <c r="X784">
        <v>2.2999999999999998</v>
      </c>
      <c r="Y784">
        <v>3.3200000000000003</v>
      </c>
      <c r="Z784">
        <v>1.27</v>
      </c>
      <c r="AG784">
        <v>1.02</v>
      </c>
      <c r="AI784">
        <v>1.03</v>
      </c>
      <c r="BH784" t="s">
        <v>126</v>
      </c>
      <c r="BI784" t="s">
        <v>126</v>
      </c>
      <c r="BJ784" t="s">
        <v>126</v>
      </c>
      <c r="BK784" t="s">
        <v>126</v>
      </c>
      <c r="BS784" t="s">
        <v>126</v>
      </c>
      <c r="BT784" t="s">
        <v>126</v>
      </c>
      <c r="BU784" t="s">
        <v>126</v>
      </c>
      <c r="BV784" t="s">
        <v>126</v>
      </c>
      <c r="CN784" t="s">
        <v>147</v>
      </c>
      <c r="CP784" t="s">
        <v>432</v>
      </c>
      <c r="CQ784" t="s">
        <v>147</v>
      </c>
    </row>
    <row r="785" spans="1:95" x14ac:dyDescent="0.2">
      <c r="A785" t="s">
        <v>115</v>
      </c>
      <c r="B785" t="s">
        <v>116</v>
      </c>
      <c r="C785">
        <v>210784</v>
      </c>
      <c r="E785" t="s">
        <v>117</v>
      </c>
      <c r="F785">
        <v>368</v>
      </c>
      <c r="G785" t="s">
        <v>141</v>
      </c>
      <c r="H785" t="s">
        <v>142</v>
      </c>
      <c r="I785" t="s">
        <v>279</v>
      </c>
      <c r="J785" t="s">
        <v>280</v>
      </c>
      <c r="L785" t="s">
        <v>699</v>
      </c>
      <c r="M785" s="8">
        <v>45778</v>
      </c>
      <c r="N785">
        <v>5727458</v>
      </c>
      <c r="O785" t="s">
        <v>123</v>
      </c>
      <c r="P785" t="s">
        <v>146</v>
      </c>
      <c r="Q785">
        <v>4.97</v>
      </c>
      <c r="R785" t="s">
        <v>683</v>
      </c>
      <c r="S785" t="s">
        <v>126</v>
      </c>
      <c r="T785" t="s">
        <v>683</v>
      </c>
      <c r="U785" t="s">
        <v>684</v>
      </c>
      <c r="W785">
        <v>1.53</v>
      </c>
      <c r="X785">
        <v>3.44</v>
      </c>
      <c r="Y785">
        <v>4.97</v>
      </c>
      <c r="Z785">
        <v>1.89</v>
      </c>
      <c r="AG785">
        <v>1.53</v>
      </c>
      <c r="AI785">
        <v>1.55</v>
      </c>
      <c r="BH785" t="s">
        <v>126</v>
      </c>
      <c r="BI785" t="s">
        <v>126</v>
      </c>
      <c r="BJ785" t="s">
        <v>126</v>
      </c>
      <c r="BK785" t="s">
        <v>126</v>
      </c>
      <c r="BS785" t="s">
        <v>126</v>
      </c>
      <c r="BT785" t="s">
        <v>126</v>
      </c>
      <c r="BU785" t="s">
        <v>126</v>
      </c>
      <c r="BV785" t="s">
        <v>126</v>
      </c>
      <c r="CN785" t="s">
        <v>147</v>
      </c>
      <c r="CP785" t="s">
        <v>432</v>
      </c>
      <c r="CQ785" t="s">
        <v>147</v>
      </c>
    </row>
    <row r="786" spans="1:95" x14ac:dyDescent="0.2">
      <c r="A786" t="s">
        <v>115</v>
      </c>
      <c r="B786" t="s">
        <v>116</v>
      </c>
      <c r="C786">
        <v>210784</v>
      </c>
      <c r="E786" t="s">
        <v>117</v>
      </c>
      <c r="F786">
        <v>368</v>
      </c>
      <c r="G786" t="s">
        <v>141</v>
      </c>
      <c r="H786" t="s">
        <v>142</v>
      </c>
      <c r="I786" t="s">
        <v>279</v>
      </c>
      <c r="J786" t="s">
        <v>280</v>
      </c>
      <c r="L786" t="s">
        <v>700</v>
      </c>
      <c r="M786" s="8">
        <v>45778</v>
      </c>
      <c r="N786">
        <v>5728359</v>
      </c>
      <c r="O786" t="s">
        <v>123</v>
      </c>
      <c r="P786" t="s">
        <v>146</v>
      </c>
      <c r="Q786">
        <v>0.96</v>
      </c>
      <c r="R786" t="s">
        <v>701</v>
      </c>
      <c r="S786" t="s">
        <v>126</v>
      </c>
      <c r="T786" t="s">
        <v>701</v>
      </c>
      <c r="U786" t="s">
        <v>702</v>
      </c>
      <c r="W786">
        <v>0.3</v>
      </c>
      <c r="X786">
        <v>0.65999999999999992</v>
      </c>
      <c r="Y786">
        <v>0.96</v>
      </c>
      <c r="Z786">
        <v>0.36</v>
      </c>
      <c r="AG786">
        <v>0.3</v>
      </c>
      <c r="AI786">
        <v>0.3</v>
      </c>
      <c r="BH786" t="s">
        <v>126</v>
      </c>
      <c r="BI786" t="s">
        <v>126</v>
      </c>
      <c r="BJ786" t="s">
        <v>126</v>
      </c>
      <c r="BK786" t="s">
        <v>126</v>
      </c>
      <c r="BS786" t="s">
        <v>126</v>
      </c>
      <c r="BT786" t="s">
        <v>126</v>
      </c>
      <c r="BU786" t="s">
        <v>126</v>
      </c>
      <c r="BV786" t="s">
        <v>126</v>
      </c>
      <c r="CN786" t="s">
        <v>147</v>
      </c>
      <c r="CP786" t="s">
        <v>432</v>
      </c>
      <c r="CQ786" t="s">
        <v>147</v>
      </c>
    </row>
    <row r="787" spans="1:95" x14ac:dyDescent="0.2">
      <c r="A787" t="s">
        <v>115</v>
      </c>
      <c r="B787" t="s">
        <v>116</v>
      </c>
      <c r="C787">
        <v>210784</v>
      </c>
      <c r="E787" t="s">
        <v>117</v>
      </c>
      <c r="F787">
        <v>368</v>
      </c>
      <c r="G787" t="s">
        <v>141</v>
      </c>
      <c r="H787" t="s">
        <v>142</v>
      </c>
      <c r="I787" t="s">
        <v>279</v>
      </c>
      <c r="J787" t="s">
        <v>280</v>
      </c>
      <c r="L787" t="s">
        <v>700</v>
      </c>
      <c r="M787" s="8">
        <v>45778</v>
      </c>
      <c r="N787">
        <v>5728533</v>
      </c>
      <c r="O787" t="s">
        <v>123</v>
      </c>
      <c r="P787" t="s">
        <v>146</v>
      </c>
      <c r="Q787">
        <v>0.42000000000000004</v>
      </c>
      <c r="R787" t="s">
        <v>596</v>
      </c>
      <c r="S787" t="s">
        <v>126</v>
      </c>
      <c r="T787" t="s">
        <v>596</v>
      </c>
      <c r="U787" t="s">
        <v>597</v>
      </c>
      <c r="W787">
        <v>0.13</v>
      </c>
      <c r="X787">
        <v>0.29000000000000004</v>
      </c>
      <c r="Y787">
        <v>0.42000000000000004</v>
      </c>
      <c r="Z787">
        <v>0.16</v>
      </c>
      <c r="AG787">
        <v>0.13</v>
      </c>
      <c r="AI787">
        <v>0.13</v>
      </c>
      <c r="BH787" t="s">
        <v>126</v>
      </c>
      <c r="BI787" t="s">
        <v>126</v>
      </c>
      <c r="BJ787" t="s">
        <v>126</v>
      </c>
      <c r="BK787" t="s">
        <v>126</v>
      </c>
      <c r="BS787" t="s">
        <v>126</v>
      </c>
      <c r="BT787" t="s">
        <v>126</v>
      </c>
      <c r="BU787" t="s">
        <v>126</v>
      </c>
      <c r="BV787" t="s">
        <v>126</v>
      </c>
      <c r="CN787" t="s">
        <v>147</v>
      </c>
      <c r="CP787" t="s">
        <v>432</v>
      </c>
      <c r="CQ787" t="s">
        <v>147</v>
      </c>
    </row>
    <row r="788" spans="1:95" x14ac:dyDescent="0.2">
      <c r="A788" t="s">
        <v>115</v>
      </c>
      <c r="B788" t="s">
        <v>116</v>
      </c>
      <c r="C788">
        <v>210784</v>
      </c>
      <c r="E788" t="s">
        <v>117</v>
      </c>
      <c r="F788">
        <v>368</v>
      </c>
      <c r="G788" t="s">
        <v>141</v>
      </c>
      <c r="H788" t="s">
        <v>142</v>
      </c>
      <c r="I788" t="s">
        <v>279</v>
      </c>
      <c r="J788" t="s">
        <v>280</v>
      </c>
      <c r="L788" t="s">
        <v>700</v>
      </c>
      <c r="M788" s="8">
        <v>45778</v>
      </c>
      <c r="N788">
        <v>5728530</v>
      </c>
      <c r="O788" t="s">
        <v>123</v>
      </c>
      <c r="P788" t="s">
        <v>146</v>
      </c>
      <c r="Q788">
        <v>0.78</v>
      </c>
      <c r="R788" t="s">
        <v>569</v>
      </c>
      <c r="S788" t="s">
        <v>126</v>
      </c>
      <c r="T788" t="s">
        <v>569</v>
      </c>
      <c r="U788" t="s">
        <v>570</v>
      </c>
      <c r="W788">
        <v>0.24</v>
      </c>
      <c r="X788">
        <v>0.54</v>
      </c>
      <c r="Y788">
        <v>0.78</v>
      </c>
      <c r="Z788">
        <v>0.3</v>
      </c>
      <c r="AG788">
        <v>0.24</v>
      </c>
      <c r="AI788">
        <v>0.24</v>
      </c>
      <c r="BH788" t="s">
        <v>126</v>
      </c>
      <c r="BI788" t="s">
        <v>126</v>
      </c>
      <c r="BJ788" t="s">
        <v>126</v>
      </c>
      <c r="BK788" t="s">
        <v>126</v>
      </c>
      <c r="BS788" t="s">
        <v>126</v>
      </c>
      <c r="BT788" t="s">
        <v>126</v>
      </c>
      <c r="BU788" t="s">
        <v>126</v>
      </c>
      <c r="BV788" t="s">
        <v>126</v>
      </c>
      <c r="CN788" t="s">
        <v>147</v>
      </c>
      <c r="CP788" t="s">
        <v>432</v>
      </c>
      <c r="CQ788" t="s">
        <v>147</v>
      </c>
    </row>
    <row r="789" spans="1:95" x14ac:dyDescent="0.2">
      <c r="A789" t="s">
        <v>115</v>
      </c>
      <c r="B789" t="s">
        <v>116</v>
      </c>
      <c r="C789">
        <v>210784</v>
      </c>
      <c r="E789" t="s">
        <v>117</v>
      </c>
      <c r="F789">
        <v>368</v>
      </c>
      <c r="G789" t="s">
        <v>141</v>
      </c>
      <c r="H789" t="s">
        <v>142</v>
      </c>
      <c r="I789" t="s">
        <v>279</v>
      </c>
      <c r="J789" t="s">
        <v>280</v>
      </c>
      <c r="L789" t="s">
        <v>283</v>
      </c>
      <c r="M789" s="8">
        <v>45778</v>
      </c>
      <c r="N789">
        <v>5711577</v>
      </c>
      <c r="O789" t="s">
        <v>123</v>
      </c>
      <c r="P789" t="s">
        <v>146</v>
      </c>
      <c r="Q789">
        <v>2.12</v>
      </c>
      <c r="R789" t="s">
        <v>125</v>
      </c>
      <c r="S789" t="s">
        <v>126</v>
      </c>
      <c r="T789" t="s">
        <v>125</v>
      </c>
      <c r="U789" t="s">
        <v>126</v>
      </c>
      <c r="W789">
        <v>2.12</v>
      </c>
      <c r="Y789">
        <v>2.12</v>
      </c>
      <c r="BE789">
        <v>2.12</v>
      </c>
      <c r="BH789" t="s">
        <v>126</v>
      </c>
      <c r="BI789" t="s">
        <v>126</v>
      </c>
      <c r="BJ789" t="s">
        <v>126</v>
      </c>
      <c r="BK789" t="s">
        <v>126</v>
      </c>
      <c r="BS789" t="s">
        <v>126</v>
      </c>
      <c r="BT789" t="s">
        <v>126</v>
      </c>
      <c r="BU789" t="s">
        <v>126</v>
      </c>
      <c r="BV789" t="s">
        <v>126</v>
      </c>
      <c r="CN789" t="s">
        <v>147</v>
      </c>
      <c r="CP789" t="s">
        <v>289</v>
      </c>
      <c r="CQ789" t="s">
        <v>147</v>
      </c>
    </row>
    <row r="790" spans="1:95" x14ac:dyDescent="0.2">
      <c r="A790" t="s">
        <v>115</v>
      </c>
      <c r="B790" t="s">
        <v>116</v>
      </c>
      <c r="C790">
        <v>210784</v>
      </c>
      <c r="E790" t="s">
        <v>117</v>
      </c>
      <c r="F790">
        <v>368</v>
      </c>
      <c r="G790" t="s">
        <v>141</v>
      </c>
      <c r="H790" t="s">
        <v>142</v>
      </c>
      <c r="I790" t="s">
        <v>279</v>
      </c>
      <c r="J790" t="s">
        <v>280</v>
      </c>
      <c r="L790" t="s">
        <v>892</v>
      </c>
      <c r="M790" s="8">
        <v>45778</v>
      </c>
      <c r="N790">
        <v>5712266</v>
      </c>
      <c r="O790" t="s">
        <v>123</v>
      </c>
      <c r="P790" t="s">
        <v>146</v>
      </c>
      <c r="Q790">
        <v>1.0900000000000001</v>
      </c>
      <c r="R790" t="s">
        <v>125</v>
      </c>
      <c r="S790" t="s">
        <v>126</v>
      </c>
      <c r="T790" t="s">
        <v>125</v>
      </c>
      <c r="U790" t="s">
        <v>126</v>
      </c>
      <c r="W790">
        <v>1.0900000000000001</v>
      </c>
      <c r="Y790">
        <v>1.0900000000000001</v>
      </c>
      <c r="BE790">
        <v>1.0900000000000001</v>
      </c>
      <c r="BH790" t="s">
        <v>126</v>
      </c>
      <c r="BI790" t="s">
        <v>126</v>
      </c>
      <c r="BJ790" t="s">
        <v>126</v>
      </c>
      <c r="BK790" t="s">
        <v>126</v>
      </c>
      <c r="BS790" t="s">
        <v>126</v>
      </c>
      <c r="BT790" t="s">
        <v>126</v>
      </c>
      <c r="BU790" t="s">
        <v>126</v>
      </c>
      <c r="BV790" t="s">
        <v>126</v>
      </c>
      <c r="CN790" t="s">
        <v>147</v>
      </c>
      <c r="CP790" t="s">
        <v>289</v>
      </c>
      <c r="CQ790" t="s">
        <v>147</v>
      </c>
    </row>
    <row r="791" spans="1:95" x14ac:dyDescent="0.2">
      <c r="A791" t="s">
        <v>115</v>
      </c>
      <c r="B791" t="s">
        <v>116</v>
      </c>
      <c r="C791">
        <v>210784</v>
      </c>
      <c r="E791" t="s">
        <v>117</v>
      </c>
      <c r="F791">
        <v>368</v>
      </c>
      <c r="G791" t="s">
        <v>141</v>
      </c>
      <c r="H791" t="s">
        <v>142</v>
      </c>
      <c r="I791" t="s">
        <v>279</v>
      </c>
      <c r="J791" t="s">
        <v>280</v>
      </c>
      <c r="L791" t="s">
        <v>419</v>
      </c>
      <c r="M791" s="8">
        <v>45778</v>
      </c>
      <c r="N791">
        <v>5713118</v>
      </c>
      <c r="O791" t="s">
        <v>123</v>
      </c>
      <c r="P791" t="s">
        <v>146</v>
      </c>
      <c r="Q791">
        <v>0.72</v>
      </c>
      <c r="R791" t="s">
        <v>125</v>
      </c>
      <c r="S791" t="s">
        <v>126</v>
      </c>
      <c r="T791" t="s">
        <v>125</v>
      </c>
      <c r="U791" t="s">
        <v>126</v>
      </c>
      <c r="W791">
        <v>0.72</v>
      </c>
      <c r="Y791">
        <v>0.72</v>
      </c>
      <c r="BE791">
        <v>0.72</v>
      </c>
      <c r="BH791" t="s">
        <v>126</v>
      </c>
      <c r="BI791" t="s">
        <v>126</v>
      </c>
      <c r="BJ791" t="s">
        <v>126</v>
      </c>
      <c r="BK791" t="s">
        <v>126</v>
      </c>
      <c r="BS791" t="s">
        <v>126</v>
      </c>
      <c r="BT791" t="s">
        <v>126</v>
      </c>
      <c r="BU791" t="s">
        <v>126</v>
      </c>
      <c r="BV791" t="s">
        <v>126</v>
      </c>
      <c r="CN791" t="s">
        <v>147</v>
      </c>
      <c r="CP791" t="s">
        <v>289</v>
      </c>
      <c r="CQ791" t="s">
        <v>147</v>
      </c>
    </row>
    <row r="792" spans="1:95" x14ac:dyDescent="0.2">
      <c r="A792" t="s">
        <v>115</v>
      </c>
      <c r="B792" t="s">
        <v>116</v>
      </c>
      <c r="C792">
        <v>210784</v>
      </c>
      <c r="E792" t="s">
        <v>117</v>
      </c>
      <c r="F792">
        <v>368</v>
      </c>
      <c r="G792" t="s">
        <v>141</v>
      </c>
      <c r="H792" t="s">
        <v>142</v>
      </c>
      <c r="I792" t="s">
        <v>279</v>
      </c>
      <c r="J792" t="s">
        <v>280</v>
      </c>
      <c r="L792" t="s">
        <v>691</v>
      </c>
      <c r="M792" s="8">
        <v>45778</v>
      </c>
      <c r="N792">
        <v>5713402</v>
      </c>
      <c r="O792" t="s">
        <v>123</v>
      </c>
      <c r="P792" t="s">
        <v>146</v>
      </c>
      <c r="Q792">
        <v>2.29</v>
      </c>
      <c r="R792" t="s">
        <v>125</v>
      </c>
      <c r="S792" t="s">
        <v>126</v>
      </c>
      <c r="T792" t="s">
        <v>125</v>
      </c>
      <c r="U792" t="s">
        <v>126</v>
      </c>
      <c r="W792">
        <v>2.29</v>
      </c>
      <c r="Y792">
        <v>2.29</v>
      </c>
      <c r="BE792">
        <v>2.29</v>
      </c>
      <c r="BH792" t="s">
        <v>126</v>
      </c>
      <c r="BI792" t="s">
        <v>126</v>
      </c>
      <c r="BJ792" t="s">
        <v>126</v>
      </c>
      <c r="BK792" t="s">
        <v>126</v>
      </c>
      <c r="BS792" t="s">
        <v>126</v>
      </c>
      <c r="BT792" t="s">
        <v>126</v>
      </c>
      <c r="BU792" t="s">
        <v>126</v>
      </c>
      <c r="BV792" t="s">
        <v>126</v>
      </c>
      <c r="CN792" t="s">
        <v>147</v>
      </c>
      <c r="CP792" t="s">
        <v>289</v>
      </c>
      <c r="CQ792" t="s">
        <v>147</v>
      </c>
    </row>
    <row r="793" spans="1:95" x14ac:dyDescent="0.2">
      <c r="A793" t="s">
        <v>115</v>
      </c>
      <c r="B793" t="s">
        <v>116</v>
      </c>
      <c r="C793">
        <v>210784</v>
      </c>
      <c r="E793" t="s">
        <v>117</v>
      </c>
      <c r="F793">
        <v>368</v>
      </c>
      <c r="G793" t="s">
        <v>141</v>
      </c>
      <c r="H793" t="s">
        <v>142</v>
      </c>
      <c r="I793" t="s">
        <v>279</v>
      </c>
      <c r="J793" t="s">
        <v>280</v>
      </c>
      <c r="L793" t="s">
        <v>420</v>
      </c>
      <c r="M793" s="8">
        <v>45778</v>
      </c>
      <c r="N793">
        <v>5714512</v>
      </c>
      <c r="O793" t="s">
        <v>123</v>
      </c>
      <c r="P793" t="s">
        <v>146</v>
      </c>
      <c r="Q793">
        <v>0.88</v>
      </c>
      <c r="R793" t="s">
        <v>125</v>
      </c>
      <c r="S793" t="s">
        <v>126</v>
      </c>
      <c r="T793" t="s">
        <v>125</v>
      </c>
      <c r="U793" t="s">
        <v>126</v>
      </c>
      <c r="W793">
        <v>0.88</v>
      </c>
      <c r="Y793">
        <v>0.88</v>
      </c>
      <c r="BE793">
        <v>0.88</v>
      </c>
      <c r="BH793" t="s">
        <v>126</v>
      </c>
      <c r="BI793" t="s">
        <v>126</v>
      </c>
      <c r="BJ793" t="s">
        <v>126</v>
      </c>
      <c r="BK793" t="s">
        <v>126</v>
      </c>
      <c r="BS793" t="s">
        <v>126</v>
      </c>
      <c r="BT793" t="s">
        <v>126</v>
      </c>
      <c r="BU793" t="s">
        <v>126</v>
      </c>
      <c r="BV793" t="s">
        <v>126</v>
      </c>
      <c r="CN793" t="s">
        <v>147</v>
      </c>
      <c r="CP793" t="s">
        <v>289</v>
      </c>
      <c r="CQ793" t="s">
        <v>147</v>
      </c>
    </row>
    <row r="794" spans="1:95" x14ac:dyDescent="0.2">
      <c r="A794" t="s">
        <v>115</v>
      </c>
      <c r="B794" t="s">
        <v>116</v>
      </c>
      <c r="C794">
        <v>210784</v>
      </c>
      <c r="E794" t="s">
        <v>117</v>
      </c>
      <c r="F794">
        <v>368</v>
      </c>
      <c r="G794" t="s">
        <v>141</v>
      </c>
      <c r="H794" t="s">
        <v>142</v>
      </c>
      <c r="I794" t="s">
        <v>279</v>
      </c>
      <c r="J794" t="s">
        <v>280</v>
      </c>
      <c r="L794" t="s">
        <v>423</v>
      </c>
      <c r="M794" s="8">
        <v>45778</v>
      </c>
      <c r="N794">
        <v>5716289</v>
      </c>
      <c r="O794" t="s">
        <v>123</v>
      </c>
      <c r="P794" t="s">
        <v>146</v>
      </c>
      <c r="Q794">
        <v>3.23</v>
      </c>
      <c r="R794" t="s">
        <v>125</v>
      </c>
      <c r="S794" t="s">
        <v>126</v>
      </c>
      <c r="T794" t="s">
        <v>125</v>
      </c>
      <c r="U794" t="s">
        <v>126</v>
      </c>
      <c r="W794">
        <v>3.23</v>
      </c>
      <c r="Y794">
        <v>3.23</v>
      </c>
      <c r="BE794">
        <v>3.23</v>
      </c>
      <c r="BH794" t="s">
        <v>126</v>
      </c>
      <c r="BI794" t="s">
        <v>126</v>
      </c>
      <c r="BJ794" t="s">
        <v>126</v>
      </c>
      <c r="BK794" t="s">
        <v>126</v>
      </c>
      <c r="BS794" t="s">
        <v>126</v>
      </c>
      <c r="BT794" t="s">
        <v>126</v>
      </c>
      <c r="BU794" t="s">
        <v>126</v>
      </c>
      <c r="BV794" t="s">
        <v>126</v>
      </c>
      <c r="CN794" t="s">
        <v>147</v>
      </c>
      <c r="CP794" t="s">
        <v>289</v>
      </c>
      <c r="CQ794" t="s">
        <v>147</v>
      </c>
    </row>
    <row r="795" spans="1:95" x14ac:dyDescent="0.2">
      <c r="A795" t="s">
        <v>115</v>
      </c>
      <c r="B795" t="s">
        <v>116</v>
      </c>
      <c r="C795">
        <v>210784</v>
      </c>
      <c r="E795" t="s">
        <v>117</v>
      </c>
      <c r="F795">
        <v>368</v>
      </c>
      <c r="G795" t="s">
        <v>141</v>
      </c>
      <c r="H795" t="s">
        <v>142</v>
      </c>
      <c r="I795" t="s">
        <v>279</v>
      </c>
      <c r="J795" t="s">
        <v>280</v>
      </c>
      <c r="L795" t="s">
        <v>422</v>
      </c>
      <c r="M795" s="8">
        <v>45778</v>
      </c>
      <c r="N795">
        <v>5716013</v>
      </c>
      <c r="O795" t="s">
        <v>123</v>
      </c>
      <c r="P795" t="s">
        <v>146</v>
      </c>
      <c r="Q795">
        <v>1.82</v>
      </c>
      <c r="R795" t="s">
        <v>125</v>
      </c>
      <c r="S795" t="s">
        <v>126</v>
      </c>
      <c r="T795" t="s">
        <v>125</v>
      </c>
      <c r="U795" t="s">
        <v>126</v>
      </c>
      <c r="W795">
        <v>1.82</v>
      </c>
      <c r="Y795">
        <v>1.82</v>
      </c>
      <c r="BE795">
        <v>1.82</v>
      </c>
      <c r="BH795" t="s">
        <v>126</v>
      </c>
      <c r="BI795" t="s">
        <v>126</v>
      </c>
      <c r="BJ795" t="s">
        <v>126</v>
      </c>
      <c r="BK795" t="s">
        <v>126</v>
      </c>
      <c r="BS795" t="s">
        <v>126</v>
      </c>
      <c r="BT795" t="s">
        <v>126</v>
      </c>
      <c r="BU795" t="s">
        <v>126</v>
      </c>
      <c r="BV795" t="s">
        <v>126</v>
      </c>
      <c r="CN795" t="s">
        <v>147</v>
      </c>
      <c r="CP795" t="s">
        <v>289</v>
      </c>
      <c r="CQ795" t="s">
        <v>147</v>
      </c>
    </row>
    <row r="796" spans="1:95" x14ac:dyDescent="0.2">
      <c r="A796" t="s">
        <v>115</v>
      </c>
      <c r="B796" t="s">
        <v>116</v>
      </c>
      <c r="C796">
        <v>210784</v>
      </c>
      <c r="E796" t="s">
        <v>117</v>
      </c>
      <c r="F796">
        <v>368</v>
      </c>
      <c r="G796" t="s">
        <v>141</v>
      </c>
      <c r="H796" t="s">
        <v>142</v>
      </c>
      <c r="I796" t="s">
        <v>279</v>
      </c>
      <c r="J796" t="s">
        <v>280</v>
      </c>
      <c r="L796" t="s">
        <v>424</v>
      </c>
      <c r="M796" s="8">
        <v>45778</v>
      </c>
      <c r="N796">
        <v>5717166</v>
      </c>
      <c r="O796" t="s">
        <v>123</v>
      </c>
      <c r="P796" t="s">
        <v>146</v>
      </c>
      <c r="Q796">
        <v>1.58</v>
      </c>
      <c r="R796" t="s">
        <v>125</v>
      </c>
      <c r="S796" t="s">
        <v>126</v>
      </c>
      <c r="T796" t="s">
        <v>125</v>
      </c>
      <c r="U796" t="s">
        <v>126</v>
      </c>
      <c r="W796">
        <v>1.58</v>
      </c>
      <c r="Y796">
        <v>1.58</v>
      </c>
      <c r="BE796">
        <v>1.58</v>
      </c>
      <c r="BH796" t="s">
        <v>126</v>
      </c>
      <c r="BI796" t="s">
        <v>126</v>
      </c>
      <c r="BJ796" t="s">
        <v>126</v>
      </c>
      <c r="BK796" t="s">
        <v>126</v>
      </c>
      <c r="BS796" t="s">
        <v>126</v>
      </c>
      <c r="BT796" t="s">
        <v>126</v>
      </c>
      <c r="BU796" t="s">
        <v>126</v>
      </c>
      <c r="BV796" t="s">
        <v>126</v>
      </c>
      <c r="CN796" t="s">
        <v>147</v>
      </c>
      <c r="CP796" t="s">
        <v>289</v>
      </c>
      <c r="CQ796" t="s">
        <v>147</v>
      </c>
    </row>
    <row r="797" spans="1:95" x14ac:dyDescent="0.2">
      <c r="A797" t="s">
        <v>115</v>
      </c>
      <c r="B797" t="s">
        <v>116</v>
      </c>
      <c r="C797">
        <v>210784</v>
      </c>
      <c r="E797" t="s">
        <v>117</v>
      </c>
      <c r="F797">
        <v>368</v>
      </c>
      <c r="G797" t="s">
        <v>141</v>
      </c>
      <c r="H797" t="s">
        <v>142</v>
      </c>
      <c r="I797" t="s">
        <v>279</v>
      </c>
      <c r="J797" t="s">
        <v>280</v>
      </c>
      <c r="L797" t="s">
        <v>424</v>
      </c>
      <c r="M797" s="8">
        <v>45778</v>
      </c>
      <c r="N797">
        <v>5717176</v>
      </c>
      <c r="O797" t="s">
        <v>123</v>
      </c>
      <c r="P797" t="s">
        <v>146</v>
      </c>
      <c r="Q797">
        <v>1.06</v>
      </c>
      <c r="R797" t="s">
        <v>125</v>
      </c>
      <c r="S797" t="s">
        <v>126</v>
      </c>
      <c r="T797" t="s">
        <v>125</v>
      </c>
      <c r="U797" t="s">
        <v>126</v>
      </c>
      <c r="W797">
        <v>1.06</v>
      </c>
      <c r="Y797">
        <v>1.06</v>
      </c>
      <c r="BE797">
        <v>1.06</v>
      </c>
      <c r="BH797" t="s">
        <v>126</v>
      </c>
      <c r="BI797" t="s">
        <v>126</v>
      </c>
      <c r="BJ797" t="s">
        <v>126</v>
      </c>
      <c r="BK797" t="s">
        <v>126</v>
      </c>
      <c r="BS797" t="s">
        <v>126</v>
      </c>
      <c r="BT797" t="s">
        <v>126</v>
      </c>
      <c r="BU797" t="s">
        <v>126</v>
      </c>
      <c r="BV797" t="s">
        <v>126</v>
      </c>
      <c r="CN797" t="s">
        <v>147</v>
      </c>
      <c r="CP797" t="s">
        <v>289</v>
      </c>
      <c r="CQ797" t="s">
        <v>147</v>
      </c>
    </row>
    <row r="798" spans="1:95" x14ac:dyDescent="0.2">
      <c r="A798" t="s">
        <v>115</v>
      </c>
      <c r="B798" t="s">
        <v>116</v>
      </c>
      <c r="C798">
        <v>210784</v>
      </c>
      <c r="E798" t="s">
        <v>117</v>
      </c>
      <c r="F798">
        <v>368</v>
      </c>
      <c r="G798" t="s">
        <v>141</v>
      </c>
      <c r="H798" t="s">
        <v>142</v>
      </c>
      <c r="I798" t="s">
        <v>279</v>
      </c>
      <c r="J798" t="s">
        <v>280</v>
      </c>
      <c r="L798" t="s">
        <v>426</v>
      </c>
      <c r="M798" s="8">
        <v>45778</v>
      </c>
      <c r="N798">
        <v>5718687</v>
      </c>
      <c r="O798" t="s">
        <v>123</v>
      </c>
      <c r="P798" t="s">
        <v>146</v>
      </c>
      <c r="Q798">
        <v>1.1200000000000001</v>
      </c>
      <c r="R798" t="s">
        <v>125</v>
      </c>
      <c r="S798" t="s">
        <v>126</v>
      </c>
      <c r="T798" t="s">
        <v>125</v>
      </c>
      <c r="U798" t="s">
        <v>126</v>
      </c>
      <c r="W798">
        <v>1.1200000000000001</v>
      </c>
      <c r="Y798">
        <v>1.1200000000000001</v>
      </c>
      <c r="BE798">
        <v>1.1200000000000001</v>
      </c>
      <c r="BH798" t="s">
        <v>126</v>
      </c>
      <c r="BI798" t="s">
        <v>126</v>
      </c>
      <c r="BJ798" t="s">
        <v>126</v>
      </c>
      <c r="BK798" t="s">
        <v>126</v>
      </c>
      <c r="BS798" t="s">
        <v>126</v>
      </c>
      <c r="BT798" t="s">
        <v>126</v>
      </c>
      <c r="BU798" t="s">
        <v>126</v>
      </c>
      <c r="BV798" t="s">
        <v>126</v>
      </c>
      <c r="CN798" t="s">
        <v>147</v>
      </c>
      <c r="CP798" t="s">
        <v>289</v>
      </c>
      <c r="CQ798" t="s">
        <v>147</v>
      </c>
    </row>
    <row r="799" spans="1:95" x14ac:dyDescent="0.2">
      <c r="A799" t="s">
        <v>115</v>
      </c>
      <c r="B799" t="s">
        <v>116</v>
      </c>
      <c r="C799">
        <v>210784</v>
      </c>
      <c r="E799" t="s">
        <v>117</v>
      </c>
      <c r="F799">
        <v>368</v>
      </c>
      <c r="G799" t="s">
        <v>141</v>
      </c>
      <c r="H799" t="s">
        <v>142</v>
      </c>
      <c r="I799" t="s">
        <v>279</v>
      </c>
      <c r="J799" t="s">
        <v>280</v>
      </c>
      <c r="L799" t="s">
        <v>692</v>
      </c>
      <c r="M799" s="8">
        <v>45778</v>
      </c>
      <c r="N799">
        <v>5719553</v>
      </c>
      <c r="O799" t="s">
        <v>123</v>
      </c>
      <c r="P799" t="s">
        <v>146</v>
      </c>
      <c r="Q799">
        <v>0.57999999999999996</v>
      </c>
      <c r="R799" t="s">
        <v>125</v>
      </c>
      <c r="S799" t="s">
        <v>126</v>
      </c>
      <c r="T799" t="s">
        <v>125</v>
      </c>
      <c r="U799" t="s">
        <v>126</v>
      </c>
      <c r="W799">
        <v>0.57999999999999996</v>
      </c>
      <c r="Y799">
        <v>0.57999999999999996</v>
      </c>
      <c r="BE799">
        <v>0.57999999999999996</v>
      </c>
      <c r="BH799" t="s">
        <v>126</v>
      </c>
      <c r="BI799" t="s">
        <v>126</v>
      </c>
      <c r="BJ799" t="s">
        <v>126</v>
      </c>
      <c r="BK799" t="s">
        <v>126</v>
      </c>
      <c r="BS799" t="s">
        <v>126</v>
      </c>
      <c r="BT799" t="s">
        <v>126</v>
      </c>
      <c r="BU799" t="s">
        <v>126</v>
      </c>
      <c r="BV799" t="s">
        <v>126</v>
      </c>
      <c r="CN799" t="s">
        <v>147</v>
      </c>
      <c r="CP799" t="s">
        <v>289</v>
      </c>
      <c r="CQ799" t="s">
        <v>147</v>
      </c>
    </row>
    <row r="800" spans="1:95" x14ac:dyDescent="0.2">
      <c r="A800" t="s">
        <v>115</v>
      </c>
      <c r="B800" t="s">
        <v>116</v>
      </c>
      <c r="C800">
        <v>210784</v>
      </c>
      <c r="E800" t="s">
        <v>117</v>
      </c>
      <c r="F800">
        <v>368</v>
      </c>
      <c r="G800" t="s">
        <v>141</v>
      </c>
      <c r="H800" t="s">
        <v>142</v>
      </c>
      <c r="I800" t="s">
        <v>279</v>
      </c>
      <c r="J800" t="s">
        <v>280</v>
      </c>
      <c r="L800" t="s">
        <v>692</v>
      </c>
      <c r="M800" s="8">
        <v>45778</v>
      </c>
      <c r="N800">
        <v>5719566</v>
      </c>
      <c r="O800" t="s">
        <v>123</v>
      </c>
      <c r="P800" t="s">
        <v>146</v>
      </c>
      <c r="Q800">
        <v>7.91</v>
      </c>
      <c r="R800" t="s">
        <v>125</v>
      </c>
      <c r="S800" t="s">
        <v>126</v>
      </c>
      <c r="T800" t="s">
        <v>125</v>
      </c>
      <c r="U800" t="s">
        <v>126</v>
      </c>
      <c r="W800">
        <v>7.91</v>
      </c>
      <c r="Y800">
        <v>7.91</v>
      </c>
      <c r="BE800">
        <v>7.91</v>
      </c>
      <c r="BH800" t="s">
        <v>126</v>
      </c>
      <c r="BI800" t="s">
        <v>126</v>
      </c>
      <c r="BJ800" t="s">
        <v>126</v>
      </c>
      <c r="BK800" t="s">
        <v>126</v>
      </c>
      <c r="BS800" t="s">
        <v>126</v>
      </c>
      <c r="BT800" t="s">
        <v>126</v>
      </c>
      <c r="BU800" t="s">
        <v>126</v>
      </c>
      <c r="BV800" t="s">
        <v>126</v>
      </c>
      <c r="CN800" t="s">
        <v>147</v>
      </c>
      <c r="CP800" t="s">
        <v>289</v>
      </c>
      <c r="CQ800" t="s">
        <v>147</v>
      </c>
    </row>
    <row r="801" spans="1:95" x14ac:dyDescent="0.2">
      <c r="A801" t="s">
        <v>115</v>
      </c>
      <c r="B801" t="s">
        <v>116</v>
      </c>
      <c r="C801">
        <v>210784</v>
      </c>
      <c r="E801" t="s">
        <v>117</v>
      </c>
      <c r="F801">
        <v>368</v>
      </c>
      <c r="G801" t="s">
        <v>141</v>
      </c>
      <c r="H801" t="s">
        <v>142</v>
      </c>
      <c r="I801" t="s">
        <v>279</v>
      </c>
      <c r="J801" t="s">
        <v>280</v>
      </c>
      <c r="L801" t="s">
        <v>428</v>
      </c>
      <c r="M801" s="8">
        <v>45778</v>
      </c>
      <c r="N801">
        <v>5720516</v>
      </c>
      <c r="O801" t="s">
        <v>123</v>
      </c>
      <c r="P801" t="s">
        <v>146</v>
      </c>
      <c r="Q801">
        <v>1.37</v>
      </c>
      <c r="R801" t="s">
        <v>125</v>
      </c>
      <c r="S801" t="s">
        <v>126</v>
      </c>
      <c r="T801" t="s">
        <v>125</v>
      </c>
      <c r="U801" t="s">
        <v>126</v>
      </c>
      <c r="W801">
        <v>1.37</v>
      </c>
      <c r="Y801">
        <v>1.37</v>
      </c>
      <c r="BE801">
        <v>1.37</v>
      </c>
      <c r="BH801" t="s">
        <v>126</v>
      </c>
      <c r="BI801" t="s">
        <v>126</v>
      </c>
      <c r="BJ801" t="s">
        <v>126</v>
      </c>
      <c r="BK801" t="s">
        <v>126</v>
      </c>
      <c r="BS801" t="s">
        <v>126</v>
      </c>
      <c r="BT801" t="s">
        <v>126</v>
      </c>
      <c r="BU801" t="s">
        <v>126</v>
      </c>
      <c r="BV801" t="s">
        <v>126</v>
      </c>
      <c r="CN801" t="s">
        <v>147</v>
      </c>
      <c r="CP801" t="s">
        <v>289</v>
      </c>
      <c r="CQ801" t="s">
        <v>147</v>
      </c>
    </row>
    <row r="802" spans="1:95" x14ac:dyDescent="0.2">
      <c r="A802" t="s">
        <v>115</v>
      </c>
      <c r="B802" t="s">
        <v>116</v>
      </c>
      <c r="C802">
        <v>210784</v>
      </c>
      <c r="E802" t="s">
        <v>117</v>
      </c>
      <c r="F802">
        <v>368</v>
      </c>
      <c r="G802" t="s">
        <v>141</v>
      </c>
      <c r="H802" t="s">
        <v>142</v>
      </c>
      <c r="I802" t="s">
        <v>279</v>
      </c>
      <c r="J802" t="s">
        <v>280</v>
      </c>
      <c r="L802" t="s">
        <v>429</v>
      </c>
      <c r="M802" s="8">
        <v>45778</v>
      </c>
      <c r="N802">
        <v>5721946</v>
      </c>
      <c r="O802" t="s">
        <v>123</v>
      </c>
      <c r="P802" t="s">
        <v>146</v>
      </c>
      <c r="Q802">
        <v>0.42</v>
      </c>
      <c r="R802" t="s">
        <v>125</v>
      </c>
      <c r="S802" t="s">
        <v>126</v>
      </c>
      <c r="T802" t="s">
        <v>125</v>
      </c>
      <c r="U802" t="s">
        <v>126</v>
      </c>
      <c r="W802">
        <v>0.42</v>
      </c>
      <c r="Y802">
        <v>0.42</v>
      </c>
      <c r="BE802">
        <v>0.42</v>
      </c>
      <c r="BH802" t="s">
        <v>126</v>
      </c>
      <c r="BI802" t="s">
        <v>126</v>
      </c>
      <c r="BJ802" t="s">
        <v>126</v>
      </c>
      <c r="BK802" t="s">
        <v>126</v>
      </c>
      <c r="BS802" t="s">
        <v>126</v>
      </c>
      <c r="BT802" t="s">
        <v>126</v>
      </c>
      <c r="BU802" t="s">
        <v>126</v>
      </c>
      <c r="BV802" t="s">
        <v>126</v>
      </c>
      <c r="CN802" t="s">
        <v>147</v>
      </c>
      <c r="CP802" t="s">
        <v>289</v>
      </c>
      <c r="CQ802" t="s">
        <v>147</v>
      </c>
    </row>
    <row r="803" spans="1:95" x14ac:dyDescent="0.2">
      <c r="A803" t="s">
        <v>115</v>
      </c>
      <c r="B803" t="s">
        <v>116</v>
      </c>
      <c r="C803">
        <v>210784</v>
      </c>
      <c r="E803" t="s">
        <v>117</v>
      </c>
      <c r="F803">
        <v>368</v>
      </c>
      <c r="G803" t="s">
        <v>141</v>
      </c>
      <c r="H803" t="s">
        <v>142</v>
      </c>
      <c r="I803" t="s">
        <v>279</v>
      </c>
      <c r="J803" t="s">
        <v>280</v>
      </c>
      <c r="L803" t="s">
        <v>694</v>
      </c>
      <c r="M803" s="8">
        <v>45778</v>
      </c>
      <c r="N803">
        <v>5723117</v>
      </c>
      <c r="O803" t="s">
        <v>123</v>
      </c>
      <c r="P803" t="s">
        <v>146</v>
      </c>
      <c r="Q803">
        <v>2.29</v>
      </c>
      <c r="R803" t="s">
        <v>125</v>
      </c>
      <c r="S803" t="s">
        <v>126</v>
      </c>
      <c r="T803" t="s">
        <v>125</v>
      </c>
      <c r="U803" t="s">
        <v>126</v>
      </c>
      <c r="W803">
        <v>2.29</v>
      </c>
      <c r="Y803">
        <v>2.29</v>
      </c>
      <c r="BE803">
        <v>2.29</v>
      </c>
      <c r="BH803" t="s">
        <v>126</v>
      </c>
      <c r="BI803" t="s">
        <v>126</v>
      </c>
      <c r="BJ803" t="s">
        <v>126</v>
      </c>
      <c r="BK803" t="s">
        <v>126</v>
      </c>
      <c r="BS803" t="s">
        <v>126</v>
      </c>
      <c r="BT803" t="s">
        <v>126</v>
      </c>
      <c r="BU803" t="s">
        <v>126</v>
      </c>
      <c r="BV803" t="s">
        <v>126</v>
      </c>
      <c r="CN803" t="s">
        <v>147</v>
      </c>
      <c r="CP803" t="s">
        <v>289</v>
      </c>
      <c r="CQ803" t="s">
        <v>147</v>
      </c>
    </row>
    <row r="804" spans="1:95" x14ac:dyDescent="0.2">
      <c r="A804" t="s">
        <v>115</v>
      </c>
      <c r="B804" t="s">
        <v>116</v>
      </c>
      <c r="C804">
        <v>210784</v>
      </c>
      <c r="E804" t="s">
        <v>117</v>
      </c>
      <c r="F804">
        <v>368</v>
      </c>
      <c r="G804" t="s">
        <v>141</v>
      </c>
      <c r="H804" t="s">
        <v>142</v>
      </c>
      <c r="I804" t="s">
        <v>279</v>
      </c>
      <c r="J804" t="s">
        <v>280</v>
      </c>
      <c r="L804" t="s">
        <v>286</v>
      </c>
      <c r="M804" s="8">
        <v>45778</v>
      </c>
      <c r="N804">
        <v>5724502</v>
      </c>
      <c r="O804" t="s">
        <v>123</v>
      </c>
      <c r="P804" t="s">
        <v>146</v>
      </c>
      <c r="Q804">
        <v>1.17</v>
      </c>
      <c r="R804" t="s">
        <v>125</v>
      </c>
      <c r="S804" t="s">
        <v>126</v>
      </c>
      <c r="T804" t="s">
        <v>125</v>
      </c>
      <c r="U804" t="s">
        <v>126</v>
      </c>
      <c r="W804">
        <v>1.17</v>
      </c>
      <c r="Y804">
        <v>1.17</v>
      </c>
      <c r="BE804">
        <v>1.17</v>
      </c>
      <c r="BH804" t="s">
        <v>126</v>
      </c>
      <c r="BI804" t="s">
        <v>126</v>
      </c>
      <c r="BJ804" t="s">
        <v>126</v>
      </c>
      <c r="BK804" t="s">
        <v>126</v>
      </c>
      <c r="BS804" t="s">
        <v>126</v>
      </c>
      <c r="BT804" t="s">
        <v>126</v>
      </c>
      <c r="BU804" t="s">
        <v>126</v>
      </c>
      <c r="BV804" t="s">
        <v>126</v>
      </c>
      <c r="CN804" t="s">
        <v>147</v>
      </c>
      <c r="CP804" t="s">
        <v>289</v>
      </c>
      <c r="CQ804" t="s">
        <v>147</v>
      </c>
    </row>
    <row r="805" spans="1:95" x14ac:dyDescent="0.2">
      <c r="A805" t="s">
        <v>115</v>
      </c>
      <c r="B805" t="s">
        <v>116</v>
      </c>
      <c r="C805">
        <v>210784</v>
      </c>
      <c r="E805" t="s">
        <v>117</v>
      </c>
      <c r="F805">
        <v>368</v>
      </c>
      <c r="G805" t="s">
        <v>141</v>
      </c>
      <c r="H805" t="s">
        <v>142</v>
      </c>
      <c r="I805" t="s">
        <v>279</v>
      </c>
      <c r="J805" t="s">
        <v>280</v>
      </c>
      <c r="L805" t="s">
        <v>696</v>
      </c>
      <c r="M805" s="8">
        <v>45778</v>
      </c>
      <c r="N805">
        <v>5726018</v>
      </c>
      <c r="O805" t="s">
        <v>123</v>
      </c>
      <c r="P805" t="s">
        <v>146</v>
      </c>
      <c r="Q805">
        <v>2.23</v>
      </c>
      <c r="R805" t="s">
        <v>125</v>
      </c>
      <c r="S805" t="s">
        <v>126</v>
      </c>
      <c r="T805" t="s">
        <v>125</v>
      </c>
      <c r="U805" t="s">
        <v>126</v>
      </c>
      <c r="W805">
        <v>2.23</v>
      </c>
      <c r="Y805">
        <v>2.23</v>
      </c>
      <c r="BE805">
        <v>2.23</v>
      </c>
      <c r="BH805" t="s">
        <v>126</v>
      </c>
      <c r="BI805" t="s">
        <v>126</v>
      </c>
      <c r="BJ805" t="s">
        <v>126</v>
      </c>
      <c r="BK805" t="s">
        <v>126</v>
      </c>
      <c r="BS805" t="s">
        <v>126</v>
      </c>
      <c r="BT805" t="s">
        <v>126</v>
      </c>
      <c r="BU805" t="s">
        <v>126</v>
      </c>
      <c r="BV805" t="s">
        <v>126</v>
      </c>
      <c r="CN805" t="s">
        <v>147</v>
      </c>
      <c r="CP805" t="s">
        <v>432</v>
      </c>
      <c r="CQ805" t="s">
        <v>147</v>
      </c>
    </row>
    <row r="806" spans="1:95" x14ac:dyDescent="0.2">
      <c r="A806" t="s">
        <v>115</v>
      </c>
      <c r="B806" t="s">
        <v>116</v>
      </c>
      <c r="C806">
        <v>210784</v>
      </c>
      <c r="E806" t="s">
        <v>117</v>
      </c>
      <c r="F806">
        <v>368</v>
      </c>
      <c r="G806" t="s">
        <v>141</v>
      </c>
      <c r="H806" t="s">
        <v>142</v>
      </c>
      <c r="I806" t="s">
        <v>279</v>
      </c>
      <c r="J806" t="s">
        <v>280</v>
      </c>
      <c r="L806" t="s">
        <v>699</v>
      </c>
      <c r="M806" s="8">
        <v>45778</v>
      </c>
      <c r="N806">
        <v>5727408</v>
      </c>
      <c r="O806" t="s">
        <v>123</v>
      </c>
      <c r="P806" t="s">
        <v>146</v>
      </c>
      <c r="Q806">
        <v>0.47</v>
      </c>
      <c r="R806" t="s">
        <v>125</v>
      </c>
      <c r="S806" t="s">
        <v>126</v>
      </c>
      <c r="T806" t="s">
        <v>125</v>
      </c>
      <c r="U806" t="s">
        <v>126</v>
      </c>
      <c r="W806">
        <v>0.47</v>
      </c>
      <c r="Y806">
        <v>0.47</v>
      </c>
      <c r="BE806">
        <v>0.47</v>
      </c>
      <c r="BH806" t="s">
        <v>126</v>
      </c>
      <c r="BI806" t="s">
        <v>126</v>
      </c>
      <c r="BJ806" t="s">
        <v>126</v>
      </c>
      <c r="BK806" t="s">
        <v>126</v>
      </c>
      <c r="BS806" t="s">
        <v>126</v>
      </c>
      <c r="BT806" t="s">
        <v>126</v>
      </c>
      <c r="BU806" t="s">
        <v>126</v>
      </c>
      <c r="BV806" t="s">
        <v>126</v>
      </c>
      <c r="CN806" t="s">
        <v>147</v>
      </c>
      <c r="CP806" t="s">
        <v>432</v>
      </c>
      <c r="CQ806" t="s">
        <v>147</v>
      </c>
    </row>
    <row r="807" spans="1:95" x14ac:dyDescent="0.2">
      <c r="A807" t="s">
        <v>115</v>
      </c>
      <c r="B807" t="s">
        <v>116</v>
      </c>
      <c r="C807">
        <v>210784</v>
      </c>
      <c r="E807" t="s">
        <v>117</v>
      </c>
      <c r="F807">
        <v>368</v>
      </c>
      <c r="G807" t="s">
        <v>118</v>
      </c>
      <c r="H807" t="s">
        <v>119</v>
      </c>
      <c r="I807" t="s">
        <v>120</v>
      </c>
      <c r="J807" t="s">
        <v>121</v>
      </c>
      <c r="L807" t="s">
        <v>129</v>
      </c>
      <c r="M807" s="8">
        <v>45809</v>
      </c>
      <c r="N807">
        <v>132637</v>
      </c>
      <c r="O807" t="s">
        <v>123</v>
      </c>
      <c r="P807" t="s">
        <v>124</v>
      </c>
      <c r="Q807">
        <v>17.420000000000002</v>
      </c>
      <c r="R807" t="s">
        <v>125</v>
      </c>
      <c r="S807" t="s">
        <v>126</v>
      </c>
      <c r="T807" t="s">
        <v>125</v>
      </c>
      <c r="U807" t="s">
        <v>126</v>
      </c>
      <c r="W807">
        <v>17.420000000000002</v>
      </c>
      <c r="Y807">
        <v>17.420000000000002</v>
      </c>
      <c r="AA807">
        <v>17.420000000000002</v>
      </c>
      <c r="BH807" t="s">
        <v>126</v>
      </c>
      <c r="BI807" t="s">
        <v>126</v>
      </c>
      <c r="BJ807" t="s">
        <v>126</v>
      </c>
      <c r="BK807" t="s">
        <v>126</v>
      </c>
      <c r="BS807" t="s">
        <v>126</v>
      </c>
      <c r="BT807" t="s">
        <v>126</v>
      </c>
      <c r="BU807" t="s">
        <v>126</v>
      </c>
      <c r="BV807" t="s">
        <v>126</v>
      </c>
      <c r="CN807" t="s">
        <v>127</v>
      </c>
      <c r="CP807" t="s">
        <v>128</v>
      </c>
      <c r="CQ807" t="s">
        <v>127</v>
      </c>
    </row>
    <row r="808" spans="1:95" x14ac:dyDescent="0.2">
      <c r="A808" t="s">
        <v>115</v>
      </c>
      <c r="B808" t="s">
        <v>116</v>
      </c>
      <c r="C808">
        <v>210784</v>
      </c>
      <c r="E808" t="s">
        <v>117</v>
      </c>
      <c r="F808">
        <v>368</v>
      </c>
      <c r="G808" t="s">
        <v>118</v>
      </c>
      <c r="H808" t="s">
        <v>119</v>
      </c>
      <c r="I808" t="s">
        <v>120</v>
      </c>
      <c r="J808" t="s">
        <v>121</v>
      </c>
      <c r="L808" t="s">
        <v>129</v>
      </c>
      <c r="M808" s="8">
        <v>45809</v>
      </c>
      <c r="N808">
        <v>132650</v>
      </c>
      <c r="O808" t="s">
        <v>123</v>
      </c>
      <c r="P808" t="s">
        <v>124</v>
      </c>
      <c r="Q808">
        <v>11.99</v>
      </c>
      <c r="R808" t="s">
        <v>125</v>
      </c>
      <c r="S808" t="s">
        <v>126</v>
      </c>
      <c r="T808" t="s">
        <v>125</v>
      </c>
      <c r="U808" t="s">
        <v>126</v>
      </c>
      <c r="W808">
        <v>11.99</v>
      </c>
      <c r="Y808">
        <v>11.99</v>
      </c>
      <c r="AA808">
        <v>11.99</v>
      </c>
      <c r="BH808" t="s">
        <v>126</v>
      </c>
      <c r="BI808" t="s">
        <v>126</v>
      </c>
      <c r="BJ808" t="s">
        <v>126</v>
      </c>
      <c r="BK808" t="s">
        <v>126</v>
      </c>
      <c r="BS808" t="s">
        <v>126</v>
      </c>
      <c r="BT808" t="s">
        <v>126</v>
      </c>
      <c r="BU808" t="s">
        <v>126</v>
      </c>
      <c r="BV808" t="s">
        <v>126</v>
      </c>
      <c r="CN808" t="s">
        <v>127</v>
      </c>
      <c r="CP808" t="s">
        <v>128</v>
      </c>
      <c r="CQ808" t="s">
        <v>127</v>
      </c>
    </row>
    <row r="809" spans="1:95" x14ac:dyDescent="0.2">
      <c r="A809" t="s">
        <v>115</v>
      </c>
      <c r="B809" t="s">
        <v>116</v>
      </c>
      <c r="C809">
        <v>210784</v>
      </c>
      <c r="E809" t="s">
        <v>117</v>
      </c>
      <c r="F809">
        <v>368</v>
      </c>
      <c r="G809" t="s">
        <v>141</v>
      </c>
      <c r="H809" t="s">
        <v>142</v>
      </c>
      <c r="I809" t="s">
        <v>284</v>
      </c>
      <c r="J809" t="s">
        <v>285</v>
      </c>
      <c r="L809" t="s">
        <v>287</v>
      </c>
      <c r="M809" s="8">
        <v>45809</v>
      </c>
      <c r="N809">
        <v>121725</v>
      </c>
      <c r="O809" t="s">
        <v>123</v>
      </c>
      <c r="P809" t="s">
        <v>146</v>
      </c>
      <c r="Q809">
        <v>5</v>
      </c>
      <c r="R809" t="s">
        <v>125</v>
      </c>
      <c r="S809" t="s">
        <v>126</v>
      </c>
      <c r="T809" t="s">
        <v>125</v>
      </c>
      <c r="U809" t="s">
        <v>126</v>
      </c>
      <c r="W809">
        <v>5</v>
      </c>
      <c r="Y809">
        <v>5</v>
      </c>
      <c r="AC809">
        <v>5</v>
      </c>
      <c r="BH809" t="s">
        <v>126</v>
      </c>
      <c r="BI809" t="s">
        <v>126</v>
      </c>
      <c r="BJ809" t="s">
        <v>126</v>
      </c>
      <c r="BK809" t="s">
        <v>126</v>
      </c>
      <c r="BS809" t="s">
        <v>126</v>
      </c>
      <c r="BT809" t="s">
        <v>126</v>
      </c>
      <c r="BU809" t="s">
        <v>126</v>
      </c>
      <c r="BV809" t="s">
        <v>126</v>
      </c>
      <c r="CN809" t="s">
        <v>147</v>
      </c>
      <c r="CP809" t="s">
        <v>175</v>
      </c>
      <c r="CQ809" t="s">
        <v>147</v>
      </c>
    </row>
    <row r="810" spans="1:95" x14ac:dyDescent="0.2">
      <c r="A810" t="s">
        <v>115</v>
      </c>
      <c r="B810" t="s">
        <v>116</v>
      </c>
      <c r="C810">
        <v>210784</v>
      </c>
      <c r="E810" t="s">
        <v>117</v>
      </c>
      <c r="F810">
        <v>368</v>
      </c>
      <c r="G810" t="s">
        <v>141</v>
      </c>
      <c r="H810" t="s">
        <v>142</v>
      </c>
      <c r="I810" t="s">
        <v>130</v>
      </c>
      <c r="J810" t="s">
        <v>131</v>
      </c>
      <c r="L810" t="s">
        <v>289</v>
      </c>
      <c r="M810" s="8">
        <v>45809</v>
      </c>
      <c r="N810">
        <v>7311174</v>
      </c>
      <c r="O810" t="s">
        <v>123</v>
      </c>
      <c r="P810" t="s">
        <v>146</v>
      </c>
      <c r="Q810">
        <v>10.57</v>
      </c>
      <c r="R810" t="s">
        <v>125</v>
      </c>
      <c r="S810" t="s">
        <v>126</v>
      </c>
      <c r="T810" t="s">
        <v>125</v>
      </c>
      <c r="U810" t="s">
        <v>126</v>
      </c>
      <c r="W810">
        <v>10.57</v>
      </c>
      <c r="Y810">
        <v>10.57</v>
      </c>
      <c r="AC810">
        <v>10.57</v>
      </c>
      <c r="BH810" t="s">
        <v>126</v>
      </c>
      <c r="BI810" t="s">
        <v>126</v>
      </c>
      <c r="BJ810" t="s">
        <v>126</v>
      </c>
      <c r="BK810" t="s">
        <v>126</v>
      </c>
      <c r="BS810" t="s">
        <v>126</v>
      </c>
      <c r="BT810" t="s">
        <v>126</v>
      </c>
      <c r="BU810" t="s">
        <v>126</v>
      </c>
      <c r="BV810" t="s">
        <v>126</v>
      </c>
      <c r="CN810" t="s">
        <v>147</v>
      </c>
      <c r="CP810" t="s">
        <v>175</v>
      </c>
      <c r="CQ810" t="s">
        <v>147</v>
      </c>
    </row>
    <row r="811" spans="1:95" x14ac:dyDescent="0.2">
      <c r="A811" t="s">
        <v>115</v>
      </c>
      <c r="B811" t="s">
        <v>116</v>
      </c>
      <c r="C811">
        <v>210784</v>
      </c>
      <c r="E811" t="s">
        <v>117</v>
      </c>
      <c r="F811">
        <v>368</v>
      </c>
      <c r="G811" t="s">
        <v>141</v>
      </c>
      <c r="H811" t="s">
        <v>142</v>
      </c>
      <c r="I811" t="s">
        <v>279</v>
      </c>
      <c r="J811" t="s">
        <v>280</v>
      </c>
      <c r="L811" t="s">
        <v>430</v>
      </c>
      <c r="M811" s="8">
        <v>45809</v>
      </c>
      <c r="N811">
        <v>5743498</v>
      </c>
      <c r="O811" t="s">
        <v>123</v>
      </c>
      <c r="P811" t="s">
        <v>146</v>
      </c>
      <c r="Q811">
        <v>4.25</v>
      </c>
      <c r="R811" t="s">
        <v>125</v>
      </c>
      <c r="S811" t="s">
        <v>126</v>
      </c>
      <c r="T811" t="s">
        <v>125</v>
      </c>
      <c r="U811" t="s">
        <v>126</v>
      </c>
      <c r="W811">
        <v>4.25</v>
      </c>
      <c r="Y811">
        <v>4.25</v>
      </c>
      <c r="AS811">
        <v>4.25</v>
      </c>
      <c r="BH811" t="s">
        <v>126</v>
      </c>
      <c r="BI811" t="s">
        <v>126</v>
      </c>
      <c r="BJ811" t="s">
        <v>126</v>
      </c>
      <c r="BK811" t="s">
        <v>126</v>
      </c>
      <c r="BS811" t="s">
        <v>126</v>
      </c>
      <c r="BT811" t="s">
        <v>126</v>
      </c>
      <c r="BU811" t="s">
        <v>126</v>
      </c>
      <c r="BV811" t="s">
        <v>126</v>
      </c>
      <c r="CN811" t="s">
        <v>147</v>
      </c>
      <c r="CP811" t="s">
        <v>431</v>
      </c>
      <c r="CQ811" t="s">
        <v>147</v>
      </c>
    </row>
    <row r="812" spans="1:95" x14ac:dyDescent="0.2">
      <c r="A812" t="s">
        <v>115</v>
      </c>
      <c r="B812" t="s">
        <v>116</v>
      </c>
      <c r="C812">
        <v>210784</v>
      </c>
      <c r="E812" t="s">
        <v>117</v>
      </c>
      <c r="F812">
        <v>368</v>
      </c>
      <c r="G812" t="s">
        <v>141</v>
      </c>
      <c r="H812" t="s">
        <v>142</v>
      </c>
      <c r="I812" t="s">
        <v>279</v>
      </c>
      <c r="J812" t="s">
        <v>280</v>
      </c>
      <c r="L812" t="s">
        <v>287</v>
      </c>
      <c r="M812" s="8">
        <v>45809</v>
      </c>
      <c r="N812">
        <v>5744997</v>
      </c>
      <c r="O812" t="s">
        <v>123</v>
      </c>
      <c r="P812" t="s">
        <v>146</v>
      </c>
      <c r="Q812">
        <v>3.27</v>
      </c>
      <c r="R812" t="s">
        <v>125</v>
      </c>
      <c r="S812" t="s">
        <v>126</v>
      </c>
      <c r="T812" t="s">
        <v>125</v>
      </c>
      <c r="U812" t="s">
        <v>126</v>
      </c>
      <c r="W812">
        <v>3.27</v>
      </c>
      <c r="Y812">
        <v>3.27</v>
      </c>
      <c r="AS812">
        <v>3.27</v>
      </c>
      <c r="BH812" t="s">
        <v>126</v>
      </c>
      <c r="BI812" t="s">
        <v>126</v>
      </c>
      <c r="BJ812" t="s">
        <v>126</v>
      </c>
      <c r="BK812" t="s">
        <v>126</v>
      </c>
      <c r="BS812" t="s">
        <v>126</v>
      </c>
      <c r="BT812" t="s">
        <v>126</v>
      </c>
      <c r="BU812" t="s">
        <v>126</v>
      </c>
      <c r="BV812" t="s">
        <v>126</v>
      </c>
      <c r="CN812" t="s">
        <v>147</v>
      </c>
      <c r="CP812" t="s">
        <v>431</v>
      </c>
      <c r="CQ812" t="s">
        <v>147</v>
      </c>
    </row>
    <row r="813" spans="1:95" x14ac:dyDescent="0.2">
      <c r="A813" t="s">
        <v>115</v>
      </c>
      <c r="B813" t="s">
        <v>116</v>
      </c>
      <c r="C813">
        <v>210784</v>
      </c>
      <c r="E813" t="s">
        <v>117</v>
      </c>
      <c r="F813">
        <v>368</v>
      </c>
      <c r="G813" t="s">
        <v>141</v>
      </c>
      <c r="H813" t="s">
        <v>142</v>
      </c>
      <c r="I813" t="s">
        <v>279</v>
      </c>
      <c r="J813" t="s">
        <v>280</v>
      </c>
      <c r="L813" t="s">
        <v>432</v>
      </c>
      <c r="M813" s="8">
        <v>45809</v>
      </c>
      <c r="N813">
        <v>5746149</v>
      </c>
      <c r="O813" t="s">
        <v>123</v>
      </c>
      <c r="P813" t="s">
        <v>146</v>
      </c>
      <c r="Q813">
        <v>3.11</v>
      </c>
      <c r="R813" t="s">
        <v>125</v>
      </c>
      <c r="S813" t="s">
        <v>126</v>
      </c>
      <c r="T813" t="s">
        <v>125</v>
      </c>
      <c r="U813" t="s">
        <v>126</v>
      </c>
      <c r="W813">
        <v>3.11</v>
      </c>
      <c r="Y813">
        <v>3.11</v>
      </c>
      <c r="AS813">
        <v>3.11</v>
      </c>
      <c r="BH813" t="s">
        <v>126</v>
      </c>
      <c r="BI813" t="s">
        <v>126</v>
      </c>
      <c r="BJ813" t="s">
        <v>126</v>
      </c>
      <c r="BK813" t="s">
        <v>126</v>
      </c>
      <c r="BS813" t="s">
        <v>126</v>
      </c>
      <c r="BT813" t="s">
        <v>126</v>
      </c>
      <c r="BU813" t="s">
        <v>126</v>
      </c>
      <c r="BV813" t="s">
        <v>126</v>
      </c>
      <c r="CN813" t="s">
        <v>147</v>
      </c>
      <c r="CP813" t="s">
        <v>431</v>
      </c>
      <c r="CQ813" t="s">
        <v>147</v>
      </c>
    </row>
    <row r="814" spans="1:95" x14ac:dyDescent="0.2">
      <c r="A814" t="s">
        <v>115</v>
      </c>
      <c r="B814" t="s">
        <v>116</v>
      </c>
      <c r="C814">
        <v>210784</v>
      </c>
      <c r="E814" t="s">
        <v>117</v>
      </c>
      <c r="F814">
        <v>368</v>
      </c>
      <c r="G814" t="s">
        <v>141</v>
      </c>
      <c r="H814" t="s">
        <v>142</v>
      </c>
      <c r="I814" t="s">
        <v>519</v>
      </c>
      <c r="J814" t="s">
        <v>520</v>
      </c>
      <c r="L814" t="s">
        <v>521</v>
      </c>
      <c r="M814" s="8">
        <v>45809</v>
      </c>
      <c r="N814">
        <v>610172</v>
      </c>
      <c r="O814" t="s">
        <v>123</v>
      </c>
      <c r="P814" t="s">
        <v>146</v>
      </c>
      <c r="Q814">
        <v>4.3</v>
      </c>
      <c r="R814" t="s">
        <v>125</v>
      </c>
      <c r="S814" t="s">
        <v>126</v>
      </c>
      <c r="T814" t="s">
        <v>125</v>
      </c>
      <c r="U814" t="s">
        <v>126</v>
      </c>
      <c r="W814">
        <v>4.3</v>
      </c>
      <c r="Y814">
        <v>4.3</v>
      </c>
      <c r="AF814">
        <v>4.3</v>
      </c>
      <c r="BH814" t="s">
        <v>126</v>
      </c>
      <c r="BI814" t="s">
        <v>126</v>
      </c>
      <c r="BJ814" t="s">
        <v>126</v>
      </c>
      <c r="BK814" t="s">
        <v>126</v>
      </c>
      <c r="BS814" t="s">
        <v>126</v>
      </c>
      <c r="BT814" t="s">
        <v>126</v>
      </c>
      <c r="BU814" t="s">
        <v>126</v>
      </c>
      <c r="BV814" t="s">
        <v>126</v>
      </c>
      <c r="CN814" t="s">
        <v>147</v>
      </c>
      <c r="CP814" t="s">
        <v>432</v>
      </c>
      <c r="CQ814" t="s">
        <v>147</v>
      </c>
    </row>
    <row r="815" spans="1:95" x14ac:dyDescent="0.2">
      <c r="A815" t="s">
        <v>115</v>
      </c>
      <c r="B815" t="s">
        <v>116</v>
      </c>
      <c r="C815">
        <v>210784</v>
      </c>
      <c r="E815" t="s">
        <v>117</v>
      </c>
      <c r="F815">
        <v>368</v>
      </c>
      <c r="G815" t="s">
        <v>141</v>
      </c>
      <c r="H815" t="s">
        <v>142</v>
      </c>
      <c r="I815" t="s">
        <v>279</v>
      </c>
      <c r="J815" t="s">
        <v>280</v>
      </c>
      <c r="L815" t="s">
        <v>289</v>
      </c>
      <c r="M815" s="8">
        <v>45809</v>
      </c>
      <c r="N815">
        <v>5729013</v>
      </c>
      <c r="O815" t="s">
        <v>123</v>
      </c>
      <c r="P815" t="s">
        <v>146</v>
      </c>
      <c r="Q815">
        <v>1.28</v>
      </c>
      <c r="R815" t="s">
        <v>703</v>
      </c>
      <c r="S815" t="s">
        <v>126</v>
      </c>
      <c r="T815" t="s">
        <v>703</v>
      </c>
      <c r="U815" t="s">
        <v>704</v>
      </c>
      <c r="W815">
        <v>0.39</v>
      </c>
      <c r="X815">
        <v>0.89</v>
      </c>
      <c r="Y815">
        <v>1.28</v>
      </c>
      <c r="Z815">
        <v>0.49</v>
      </c>
      <c r="AG815">
        <v>0.39</v>
      </c>
      <c r="AI815">
        <v>0.4</v>
      </c>
      <c r="BH815" t="s">
        <v>126</v>
      </c>
      <c r="BI815" t="s">
        <v>126</v>
      </c>
      <c r="BJ815" t="s">
        <v>126</v>
      </c>
      <c r="BK815" t="s">
        <v>126</v>
      </c>
      <c r="BS815" t="s">
        <v>126</v>
      </c>
      <c r="BT815" t="s">
        <v>126</v>
      </c>
      <c r="BU815" t="s">
        <v>126</v>
      </c>
      <c r="BV815" t="s">
        <v>126</v>
      </c>
      <c r="CN815" t="s">
        <v>147</v>
      </c>
      <c r="CP815" t="s">
        <v>432</v>
      </c>
      <c r="CQ815" t="s">
        <v>147</v>
      </c>
    </row>
    <row r="816" spans="1:95" x14ac:dyDescent="0.2">
      <c r="A816" t="s">
        <v>115</v>
      </c>
      <c r="B816" t="s">
        <v>116</v>
      </c>
      <c r="C816">
        <v>210784</v>
      </c>
      <c r="E816" t="s">
        <v>117</v>
      </c>
      <c r="F816">
        <v>368</v>
      </c>
      <c r="G816" t="s">
        <v>141</v>
      </c>
      <c r="H816" t="s">
        <v>142</v>
      </c>
      <c r="I816" t="s">
        <v>279</v>
      </c>
      <c r="J816" t="s">
        <v>280</v>
      </c>
      <c r="L816" t="s">
        <v>705</v>
      </c>
      <c r="M816" s="8">
        <v>45809</v>
      </c>
      <c r="N816">
        <v>5730232</v>
      </c>
      <c r="O816" t="s">
        <v>123</v>
      </c>
      <c r="P816" t="s">
        <v>146</v>
      </c>
      <c r="Q816">
        <v>7.09</v>
      </c>
      <c r="R816" t="s">
        <v>598</v>
      </c>
      <c r="S816" t="s">
        <v>126</v>
      </c>
      <c r="T816" t="s">
        <v>598</v>
      </c>
      <c r="U816" t="s">
        <v>599</v>
      </c>
      <c r="W816">
        <v>2.19</v>
      </c>
      <c r="X816">
        <v>4.9000000000000004</v>
      </c>
      <c r="Y816">
        <v>7.09</v>
      </c>
      <c r="Z816">
        <v>2.69</v>
      </c>
      <c r="AG816">
        <v>2.19</v>
      </c>
      <c r="AI816">
        <v>2.21</v>
      </c>
      <c r="BH816" t="s">
        <v>126</v>
      </c>
      <c r="BI816" t="s">
        <v>126</v>
      </c>
      <c r="BJ816" t="s">
        <v>126</v>
      </c>
      <c r="BK816" t="s">
        <v>126</v>
      </c>
      <c r="BS816" t="s">
        <v>126</v>
      </c>
      <c r="BT816" t="s">
        <v>126</v>
      </c>
      <c r="BU816" t="s">
        <v>126</v>
      </c>
      <c r="BV816" t="s">
        <v>126</v>
      </c>
      <c r="CN816" t="s">
        <v>147</v>
      </c>
      <c r="CP816" t="s">
        <v>432</v>
      </c>
      <c r="CQ816" t="s">
        <v>147</v>
      </c>
    </row>
    <row r="817" spans="1:95" x14ac:dyDescent="0.2">
      <c r="A817" t="s">
        <v>115</v>
      </c>
      <c r="B817" t="s">
        <v>116</v>
      </c>
      <c r="C817">
        <v>210784</v>
      </c>
      <c r="E817" t="s">
        <v>117</v>
      </c>
      <c r="F817">
        <v>368</v>
      </c>
      <c r="G817" t="s">
        <v>141</v>
      </c>
      <c r="H817" t="s">
        <v>142</v>
      </c>
      <c r="I817" t="s">
        <v>279</v>
      </c>
      <c r="J817" t="s">
        <v>280</v>
      </c>
      <c r="L817" t="s">
        <v>705</v>
      </c>
      <c r="M817" s="8">
        <v>45809</v>
      </c>
      <c r="N817">
        <v>5729986</v>
      </c>
      <c r="O817" t="s">
        <v>123</v>
      </c>
      <c r="P817" t="s">
        <v>146</v>
      </c>
      <c r="Q817">
        <v>3.84</v>
      </c>
      <c r="R817" t="s">
        <v>673</v>
      </c>
      <c r="S817" t="s">
        <v>126</v>
      </c>
      <c r="T817" t="s">
        <v>673</v>
      </c>
      <c r="U817" t="s">
        <v>674</v>
      </c>
      <c r="W817">
        <v>1.18</v>
      </c>
      <c r="X817">
        <v>2.66</v>
      </c>
      <c r="Y817">
        <v>3.84</v>
      </c>
      <c r="Z817">
        <v>1.46</v>
      </c>
      <c r="AG817">
        <v>1.18</v>
      </c>
      <c r="AI817">
        <v>1.2</v>
      </c>
      <c r="BH817" t="s">
        <v>126</v>
      </c>
      <c r="BI817" t="s">
        <v>126</v>
      </c>
      <c r="BJ817" t="s">
        <v>126</v>
      </c>
      <c r="BK817" t="s">
        <v>126</v>
      </c>
      <c r="BS817" t="s">
        <v>126</v>
      </c>
      <c r="BT817" t="s">
        <v>126</v>
      </c>
      <c r="BU817" t="s">
        <v>126</v>
      </c>
      <c r="BV817" t="s">
        <v>126</v>
      </c>
      <c r="CN817" t="s">
        <v>147</v>
      </c>
      <c r="CP817" t="s">
        <v>432</v>
      </c>
      <c r="CQ817" t="s">
        <v>147</v>
      </c>
    </row>
    <row r="818" spans="1:95" x14ac:dyDescent="0.2">
      <c r="A818" t="s">
        <v>115</v>
      </c>
      <c r="B818" t="s">
        <v>116</v>
      </c>
      <c r="C818">
        <v>210784</v>
      </c>
      <c r="E818" t="s">
        <v>117</v>
      </c>
      <c r="F818">
        <v>368</v>
      </c>
      <c r="G818" t="s">
        <v>141</v>
      </c>
      <c r="H818" t="s">
        <v>142</v>
      </c>
      <c r="I818" t="s">
        <v>279</v>
      </c>
      <c r="J818" t="s">
        <v>280</v>
      </c>
      <c r="L818" t="s">
        <v>706</v>
      </c>
      <c r="M818" s="8">
        <v>45809</v>
      </c>
      <c r="N818">
        <v>5730764</v>
      </c>
      <c r="O818" t="s">
        <v>123</v>
      </c>
      <c r="P818" t="s">
        <v>146</v>
      </c>
      <c r="Q818">
        <v>2.79</v>
      </c>
      <c r="R818" t="s">
        <v>559</v>
      </c>
      <c r="S818" t="s">
        <v>126</v>
      </c>
      <c r="T818" t="s">
        <v>559</v>
      </c>
      <c r="U818" t="s">
        <v>560</v>
      </c>
      <c r="W818">
        <v>0.86</v>
      </c>
      <c r="X818">
        <v>1.9300000000000002</v>
      </c>
      <c r="Y818">
        <v>2.79</v>
      </c>
      <c r="Z818">
        <v>1.06</v>
      </c>
      <c r="AG818">
        <v>0.86</v>
      </c>
      <c r="AI818">
        <v>0.87</v>
      </c>
      <c r="BH818" t="s">
        <v>126</v>
      </c>
      <c r="BI818" t="s">
        <v>126</v>
      </c>
      <c r="BJ818" t="s">
        <v>126</v>
      </c>
      <c r="BK818" t="s">
        <v>126</v>
      </c>
      <c r="BS818" t="s">
        <v>126</v>
      </c>
      <c r="BT818" t="s">
        <v>126</v>
      </c>
      <c r="BU818" t="s">
        <v>126</v>
      </c>
      <c r="BV818" t="s">
        <v>126</v>
      </c>
      <c r="CN818" t="s">
        <v>147</v>
      </c>
      <c r="CP818" t="s">
        <v>432</v>
      </c>
      <c r="CQ818" t="s">
        <v>147</v>
      </c>
    </row>
    <row r="819" spans="1:95" x14ac:dyDescent="0.2">
      <c r="A819" t="s">
        <v>115</v>
      </c>
      <c r="B819" t="s">
        <v>116</v>
      </c>
      <c r="C819">
        <v>210784</v>
      </c>
      <c r="E819" t="s">
        <v>117</v>
      </c>
      <c r="F819">
        <v>368</v>
      </c>
      <c r="G819" t="s">
        <v>141</v>
      </c>
      <c r="H819" t="s">
        <v>142</v>
      </c>
      <c r="I819" t="s">
        <v>279</v>
      </c>
      <c r="J819" t="s">
        <v>280</v>
      </c>
      <c r="L819" t="s">
        <v>706</v>
      </c>
      <c r="M819" s="8">
        <v>45809</v>
      </c>
      <c r="N819">
        <v>5731082</v>
      </c>
      <c r="O819" t="s">
        <v>123</v>
      </c>
      <c r="P819" t="s">
        <v>146</v>
      </c>
      <c r="Q819">
        <v>2.2599999999999998</v>
      </c>
      <c r="R819" t="s">
        <v>707</v>
      </c>
      <c r="S819" t="s">
        <v>126</v>
      </c>
      <c r="T819" t="s">
        <v>707</v>
      </c>
      <c r="U819" t="s">
        <v>708</v>
      </c>
      <c r="W819">
        <v>0.7</v>
      </c>
      <c r="X819">
        <v>1.56</v>
      </c>
      <c r="Y819">
        <v>2.2599999999999998</v>
      </c>
      <c r="Z819">
        <v>0.86</v>
      </c>
      <c r="AG819">
        <v>0.7</v>
      </c>
      <c r="AI819">
        <v>0.7</v>
      </c>
      <c r="BH819" t="s">
        <v>126</v>
      </c>
      <c r="BI819" t="s">
        <v>126</v>
      </c>
      <c r="BJ819" t="s">
        <v>126</v>
      </c>
      <c r="BK819" t="s">
        <v>126</v>
      </c>
      <c r="BS819" t="s">
        <v>126</v>
      </c>
      <c r="BT819" t="s">
        <v>126</v>
      </c>
      <c r="BU819" t="s">
        <v>126</v>
      </c>
      <c r="BV819" t="s">
        <v>126</v>
      </c>
      <c r="CN819" t="s">
        <v>147</v>
      </c>
      <c r="CP819" t="s">
        <v>432</v>
      </c>
      <c r="CQ819" t="s">
        <v>147</v>
      </c>
    </row>
    <row r="820" spans="1:95" x14ac:dyDescent="0.2">
      <c r="A820" t="s">
        <v>115</v>
      </c>
      <c r="B820" t="s">
        <v>116</v>
      </c>
      <c r="C820">
        <v>210784</v>
      </c>
      <c r="E820" t="s">
        <v>117</v>
      </c>
      <c r="F820">
        <v>368</v>
      </c>
      <c r="G820" t="s">
        <v>141</v>
      </c>
      <c r="H820" t="s">
        <v>142</v>
      </c>
      <c r="I820" t="s">
        <v>279</v>
      </c>
      <c r="J820" t="s">
        <v>280</v>
      </c>
      <c r="L820" t="s">
        <v>709</v>
      </c>
      <c r="M820" s="8">
        <v>45809</v>
      </c>
      <c r="N820">
        <v>5731689</v>
      </c>
      <c r="O820" t="s">
        <v>123</v>
      </c>
      <c r="P820" t="s">
        <v>146</v>
      </c>
      <c r="Q820">
        <v>2.6</v>
      </c>
      <c r="R820" t="s">
        <v>569</v>
      </c>
      <c r="S820" t="s">
        <v>126</v>
      </c>
      <c r="T820" t="s">
        <v>569</v>
      </c>
      <c r="U820" t="s">
        <v>570</v>
      </c>
      <c r="W820">
        <v>0.8</v>
      </c>
      <c r="X820">
        <v>1.8</v>
      </c>
      <c r="Y820">
        <v>2.6</v>
      </c>
      <c r="Z820">
        <v>0.99</v>
      </c>
      <c r="AG820">
        <v>0.8</v>
      </c>
      <c r="AI820">
        <v>0.81</v>
      </c>
      <c r="BH820" t="s">
        <v>126</v>
      </c>
      <c r="BI820" t="s">
        <v>126</v>
      </c>
      <c r="BJ820" t="s">
        <v>126</v>
      </c>
      <c r="BK820" t="s">
        <v>126</v>
      </c>
      <c r="BS820" t="s">
        <v>126</v>
      </c>
      <c r="BT820" t="s">
        <v>126</v>
      </c>
      <c r="BU820" t="s">
        <v>126</v>
      </c>
      <c r="BV820" t="s">
        <v>126</v>
      </c>
      <c r="CN820" t="s">
        <v>147</v>
      </c>
      <c r="CP820" t="s">
        <v>432</v>
      </c>
      <c r="CQ820" t="s">
        <v>147</v>
      </c>
    </row>
    <row r="821" spans="1:95" x14ac:dyDescent="0.2">
      <c r="A821" t="s">
        <v>115</v>
      </c>
      <c r="B821" t="s">
        <v>116</v>
      </c>
      <c r="C821">
        <v>210784</v>
      </c>
      <c r="E821" t="s">
        <v>117</v>
      </c>
      <c r="F821">
        <v>368</v>
      </c>
      <c r="G821" t="s">
        <v>141</v>
      </c>
      <c r="H821" t="s">
        <v>142</v>
      </c>
      <c r="I821" t="s">
        <v>279</v>
      </c>
      <c r="J821" t="s">
        <v>280</v>
      </c>
      <c r="L821" t="s">
        <v>129</v>
      </c>
      <c r="M821" s="8">
        <v>45809</v>
      </c>
      <c r="N821">
        <v>5732269</v>
      </c>
      <c r="O821" t="s">
        <v>123</v>
      </c>
      <c r="P821" t="s">
        <v>146</v>
      </c>
      <c r="Q821">
        <v>3.4300000000000006</v>
      </c>
      <c r="R821" t="s">
        <v>710</v>
      </c>
      <c r="S821" t="s">
        <v>126</v>
      </c>
      <c r="T821" t="s">
        <v>710</v>
      </c>
      <c r="U821" t="s">
        <v>711</v>
      </c>
      <c r="W821">
        <v>1.06</v>
      </c>
      <c r="X821">
        <v>2.37</v>
      </c>
      <c r="Y821">
        <v>3.4300000000000006</v>
      </c>
      <c r="Z821">
        <v>1.3</v>
      </c>
      <c r="AG821">
        <v>1.06</v>
      </c>
      <c r="AI821">
        <v>1.07</v>
      </c>
      <c r="BH821" t="s">
        <v>126</v>
      </c>
      <c r="BI821" t="s">
        <v>126</v>
      </c>
      <c r="BJ821" t="s">
        <v>126</v>
      </c>
      <c r="BK821" t="s">
        <v>126</v>
      </c>
      <c r="BS821" t="s">
        <v>126</v>
      </c>
      <c r="BT821" t="s">
        <v>126</v>
      </c>
      <c r="BU821" t="s">
        <v>126</v>
      </c>
      <c r="BV821" t="s">
        <v>126</v>
      </c>
      <c r="CN821" t="s">
        <v>147</v>
      </c>
      <c r="CP821" t="s">
        <v>432</v>
      </c>
      <c r="CQ821" t="s">
        <v>147</v>
      </c>
    </row>
    <row r="822" spans="1:95" x14ac:dyDescent="0.2">
      <c r="A822" t="s">
        <v>115</v>
      </c>
      <c r="B822" t="s">
        <v>116</v>
      </c>
      <c r="C822">
        <v>210784</v>
      </c>
      <c r="E822" t="s">
        <v>117</v>
      </c>
      <c r="F822">
        <v>368</v>
      </c>
      <c r="G822" t="s">
        <v>141</v>
      </c>
      <c r="H822" t="s">
        <v>142</v>
      </c>
      <c r="I822" t="s">
        <v>279</v>
      </c>
      <c r="J822" t="s">
        <v>280</v>
      </c>
      <c r="L822" t="s">
        <v>129</v>
      </c>
      <c r="M822" s="8">
        <v>45809</v>
      </c>
      <c r="N822">
        <v>5732366</v>
      </c>
      <c r="O822" t="s">
        <v>123</v>
      </c>
      <c r="P822" t="s">
        <v>146</v>
      </c>
      <c r="Q822">
        <v>0.17</v>
      </c>
      <c r="R822" t="s">
        <v>712</v>
      </c>
      <c r="S822" t="s">
        <v>126</v>
      </c>
      <c r="T822" t="s">
        <v>712</v>
      </c>
      <c r="U822" t="s">
        <v>713</v>
      </c>
      <c r="W822">
        <v>0.05</v>
      </c>
      <c r="X822">
        <v>0.12000000000000001</v>
      </c>
      <c r="Y822">
        <v>0.17</v>
      </c>
      <c r="Z822">
        <v>7.0000000000000007E-2</v>
      </c>
      <c r="AG822">
        <v>0.05</v>
      </c>
      <c r="AI822">
        <v>0.05</v>
      </c>
      <c r="BH822" t="s">
        <v>126</v>
      </c>
      <c r="BI822" t="s">
        <v>126</v>
      </c>
      <c r="BJ822" t="s">
        <v>126</v>
      </c>
      <c r="BK822" t="s">
        <v>126</v>
      </c>
      <c r="BS822" t="s">
        <v>126</v>
      </c>
      <c r="BT822" t="s">
        <v>126</v>
      </c>
      <c r="BU822" t="s">
        <v>126</v>
      </c>
      <c r="BV822" t="s">
        <v>126</v>
      </c>
      <c r="CN822" t="s">
        <v>147</v>
      </c>
      <c r="CP822" t="s">
        <v>432</v>
      </c>
      <c r="CQ822" t="s">
        <v>147</v>
      </c>
    </row>
    <row r="823" spans="1:95" x14ac:dyDescent="0.2">
      <c r="A823" t="s">
        <v>115</v>
      </c>
      <c r="B823" t="s">
        <v>116</v>
      </c>
      <c r="C823">
        <v>210784</v>
      </c>
      <c r="E823" t="s">
        <v>117</v>
      </c>
      <c r="F823">
        <v>368</v>
      </c>
      <c r="G823" t="s">
        <v>141</v>
      </c>
      <c r="H823" t="s">
        <v>142</v>
      </c>
      <c r="I823" t="s">
        <v>279</v>
      </c>
      <c r="J823" t="s">
        <v>280</v>
      </c>
      <c r="L823" t="s">
        <v>129</v>
      </c>
      <c r="M823" s="8">
        <v>45809</v>
      </c>
      <c r="N823">
        <v>5732383</v>
      </c>
      <c r="O823" t="s">
        <v>123</v>
      </c>
      <c r="P823" t="s">
        <v>146</v>
      </c>
      <c r="Q823">
        <v>3.7699999999999996</v>
      </c>
      <c r="R823" t="s">
        <v>569</v>
      </c>
      <c r="S823" t="s">
        <v>126</v>
      </c>
      <c r="T823" t="s">
        <v>569</v>
      </c>
      <c r="U823" t="s">
        <v>570</v>
      </c>
      <c r="W823">
        <v>1.1599999999999999</v>
      </c>
      <c r="X823">
        <v>2.61</v>
      </c>
      <c r="Y823">
        <v>3.7699999999999996</v>
      </c>
      <c r="Z823">
        <v>1.44</v>
      </c>
      <c r="AG823">
        <v>1.1599999999999999</v>
      </c>
      <c r="AI823">
        <v>1.17</v>
      </c>
      <c r="BH823" t="s">
        <v>126</v>
      </c>
      <c r="BI823" t="s">
        <v>126</v>
      </c>
      <c r="BJ823" t="s">
        <v>126</v>
      </c>
      <c r="BK823" t="s">
        <v>126</v>
      </c>
      <c r="BS823" t="s">
        <v>126</v>
      </c>
      <c r="BT823" t="s">
        <v>126</v>
      </c>
      <c r="BU823" t="s">
        <v>126</v>
      </c>
      <c r="BV823" t="s">
        <v>126</v>
      </c>
      <c r="CN823" t="s">
        <v>147</v>
      </c>
      <c r="CP823" t="s">
        <v>432</v>
      </c>
      <c r="CQ823" t="s">
        <v>147</v>
      </c>
    </row>
    <row r="824" spans="1:95" x14ac:dyDescent="0.2">
      <c r="A824" t="s">
        <v>115</v>
      </c>
      <c r="B824" t="s">
        <v>116</v>
      </c>
      <c r="C824">
        <v>210784</v>
      </c>
      <c r="E824" t="s">
        <v>117</v>
      </c>
      <c r="F824">
        <v>368</v>
      </c>
      <c r="G824" t="s">
        <v>141</v>
      </c>
      <c r="H824" t="s">
        <v>142</v>
      </c>
      <c r="I824" t="s">
        <v>279</v>
      </c>
      <c r="J824" t="s">
        <v>280</v>
      </c>
      <c r="L824" t="s">
        <v>714</v>
      </c>
      <c r="M824" s="8">
        <v>45809</v>
      </c>
      <c r="N824">
        <v>5732850</v>
      </c>
      <c r="O824" t="s">
        <v>123</v>
      </c>
      <c r="P824" t="s">
        <v>146</v>
      </c>
      <c r="Q824">
        <v>1.24</v>
      </c>
      <c r="R824" t="s">
        <v>715</v>
      </c>
      <c r="S824" t="s">
        <v>126</v>
      </c>
      <c r="T824" t="s">
        <v>715</v>
      </c>
      <c r="U824" t="s">
        <v>716</v>
      </c>
      <c r="W824">
        <v>0.38</v>
      </c>
      <c r="X824">
        <v>0.86</v>
      </c>
      <c r="Y824">
        <v>1.24</v>
      </c>
      <c r="Z824">
        <v>0.47</v>
      </c>
      <c r="AG824">
        <v>0.38</v>
      </c>
      <c r="AI824">
        <v>0.39</v>
      </c>
      <c r="BH824" t="s">
        <v>126</v>
      </c>
      <c r="BI824" t="s">
        <v>126</v>
      </c>
      <c r="BJ824" t="s">
        <v>126</v>
      </c>
      <c r="BK824" t="s">
        <v>126</v>
      </c>
      <c r="BS824" t="s">
        <v>126</v>
      </c>
      <c r="BT824" t="s">
        <v>126</v>
      </c>
      <c r="BU824" t="s">
        <v>126</v>
      </c>
      <c r="BV824" t="s">
        <v>126</v>
      </c>
      <c r="CN824" t="s">
        <v>147</v>
      </c>
      <c r="CP824" t="s">
        <v>432</v>
      </c>
      <c r="CQ824" t="s">
        <v>147</v>
      </c>
    </row>
    <row r="825" spans="1:95" x14ac:dyDescent="0.2">
      <c r="A825" t="s">
        <v>115</v>
      </c>
      <c r="B825" t="s">
        <v>116</v>
      </c>
      <c r="C825">
        <v>210784</v>
      </c>
      <c r="E825" t="s">
        <v>117</v>
      </c>
      <c r="F825">
        <v>368</v>
      </c>
      <c r="G825" t="s">
        <v>141</v>
      </c>
      <c r="H825" t="s">
        <v>142</v>
      </c>
      <c r="I825" t="s">
        <v>279</v>
      </c>
      <c r="J825" t="s">
        <v>280</v>
      </c>
      <c r="L825" t="s">
        <v>717</v>
      </c>
      <c r="M825" s="8">
        <v>45809</v>
      </c>
      <c r="N825">
        <v>5733458</v>
      </c>
      <c r="O825" t="s">
        <v>123</v>
      </c>
      <c r="P825" t="s">
        <v>146</v>
      </c>
      <c r="Q825">
        <v>3.7299999999999995</v>
      </c>
      <c r="R825" t="s">
        <v>602</v>
      </c>
      <c r="S825" t="s">
        <v>126</v>
      </c>
      <c r="T825" t="s">
        <v>602</v>
      </c>
      <c r="U825" t="s">
        <v>603</v>
      </c>
      <c r="W825">
        <v>1.1499999999999999</v>
      </c>
      <c r="X825">
        <v>2.58</v>
      </c>
      <c r="Y825">
        <v>3.7299999999999995</v>
      </c>
      <c r="Z825">
        <v>1.42</v>
      </c>
      <c r="AG825">
        <v>1.1499999999999999</v>
      </c>
      <c r="AI825">
        <v>1.1599999999999999</v>
      </c>
      <c r="BH825" t="s">
        <v>126</v>
      </c>
      <c r="BI825" t="s">
        <v>126</v>
      </c>
      <c r="BJ825" t="s">
        <v>126</v>
      </c>
      <c r="BK825" t="s">
        <v>126</v>
      </c>
      <c r="BS825" t="s">
        <v>126</v>
      </c>
      <c r="BT825" t="s">
        <v>126</v>
      </c>
      <c r="BU825" t="s">
        <v>126</v>
      </c>
      <c r="BV825" t="s">
        <v>126</v>
      </c>
      <c r="CN825" t="s">
        <v>147</v>
      </c>
      <c r="CP825" t="s">
        <v>432</v>
      </c>
      <c r="CQ825" t="s">
        <v>147</v>
      </c>
    </row>
    <row r="826" spans="1:95" x14ac:dyDescent="0.2">
      <c r="A826" t="s">
        <v>115</v>
      </c>
      <c r="B826" t="s">
        <v>116</v>
      </c>
      <c r="C826">
        <v>210784</v>
      </c>
      <c r="E826" t="s">
        <v>117</v>
      </c>
      <c r="F826">
        <v>368</v>
      </c>
      <c r="G826" t="s">
        <v>141</v>
      </c>
      <c r="H826" t="s">
        <v>142</v>
      </c>
      <c r="I826" t="s">
        <v>279</v>
      </c>
      <c r="J826" t="s">
        <v>280</v>
      </c>
      <c r="L826" t="s">
        <v>718</v>
      </c>
      <c r="M826" s="8">
        <v>45809</v>
      </c>
      <c r="N826">
        <v>5734017</v>
      </c>
      <c r="O826" t="s">
        <v>123</v>
      </c>
      <c r="P826" t="s">
        <v>146</v>
      </c>
      <c r="Q826">
        <v>3.6799999999999997</v>
      </c>
      <c r="R826" t="s">
        <v>588</v>
      </c>
      <c r="S826" t="s">
        <v>126</v>
      </c>
      <c r="T826" t="s">
        <v>588</v>
      </c>
      <c r="U826" t="s">
        <v>589</v>
      </c>
      <c r="W826">
        <v>1.1299999999999999</v>
      </c>
      <c r="X826">
        <v>2.5499999999999998</v>
      </c>
      <c r="Y826">
        <v>3.6799999999999997</v>
      </c>
      <c r="Z826">
        <v>1.4</v>
      </c>
      <c r="AG826">
        <v>1.1299999999999999</v>
      </c>
      <c r="AI826">
        <v>1.1499999999999999</v>
      </c>
      <c r="BH826" t="s">
        <v>126</v>
      </c>
      <c r="BI826" t="s">
        <v>126</v>
      </c>
      <c r="BJ826" t="s">
        <v>126</v>
      </c>
      <c r="BK826" t="s">
        <v>126</v>
      </c>
      <c r="BS826" t="s">
        <v>126</v>
      </c>
      <c r="BT826" t="s">
        <v>126</v>
      </c>
      <c r="BU826" t="s">
        <v>126</v>
      </c>
      <c r="BV826" t="s">
        <v>126</v>
      </c>
      <c r="CN826" t="s">
        <v>147</v>
      </c>
      <c r="CP826" t="s">
        <v>432</v>
      </c>
      <c r="CQ826" t="s">
        <v>147</v>
      </c>
    </row>
    <row r="827" spans="1:95" x14ac:dyDescent="0.2">
      <c r="A827" t="s">
        <v>115</v>
      </c>
      <c r="B827" t="s">
        <v>116</v>
      </c>
      <c r="C827">
        <v>210784</v>
      </c>
      <c r="E827" t="s">
        <v>117</v>
      </c>
      <c r="F827">
        <v>368</v>
      </c>
      <c r="G827" t="s">
        <v>141</v>
      </c>
      <c r="H827" t="s">
        <v>142</v>
      </c>
      <c r="I827" t="s">
        <v>279</v>
      </c>
      <c r="J827" t="s">
        <v>280</v>
      </c>
      <c r="L827" t="s">
        <v>719</v>
      </c>
      <c r="M827" s="8">
        <v>45809</v>
      </c>
      <c r="N827">
        <v>5735100</v>
      </c>
      <c r="O827" t="s">
        <v>123</v>
      </c>
      <c r="P827" t="s">
        <v>146</v>
      </c>
      <c r="Q827">
        <v>3.05</v>
      </c>
      <c r="R827" t="s">
        <v>559</v>
      </c>
      <c r="S827" t="s">
        <v>126</v>
      </c>
      <c r="T827" t="s">
        <v>559</v>
      </c>
      <c r="U827" t="s">
        <v>560</v>
      </c>
      <c r="W827">
        <v>0.94</v>
      </c>
      <c r="X827">
        <v>2.11</v>
      </c>
      <c r="Y827">
        <v>3.05</v>
      </c>
      <c r="Z827">
        <v>1.1599999999999999</v>
      </c>
      <c r="AG827">
        <v>0.94</v>
      </c>
      <c r="AI827">
        <v>0.95</v>
      </c>
      <c r="BH827" t="s">
        <v>126</v>
      </c>
      <c r="BI827" t="s">
        <v>126</v>
      </c>
      <c r="BJ827" t="s">
        <v>126</v>
      </c>
      <c r="BK827" t="s">
        <v>126</v>
      </c>
      <c r="BS827" t="s">
        <v>126</v>
      </c>
      <c r="BT827" t="s">
        <v>126</v>
      </c>
      <c r="BU827" t="s">
        <v>126</v>
      </c>
      <c r="BV827" t="s">
        <v>126</v>
      </c>
      <c r="CN827" t="s">
        <v>147</v>
      </c>
      <c r="CP827" t="s">
        <v>432</v>
      </c>
      <c r="CQ827" t="s">
        <v>147</v>
      </c>
    </row>
    <row r="828" spans="1:95" x14ac:dyDescent="0.2">
      <c r="A828" t="s">
        <v>115</v>
      </c>
      <c r="B828" t="s">
        <v>116</v>
      </c>
      <c r="C828">
        <v>210784</v>
      </c>
      <c r="E828" t="s">
        <v>117</v>
      </c>
      <c r="F828">
        <v>368</v>
      </c>
      <c r="G828" t="s">
        <v>141</v>
      </c>
      <c r="H828" t="s">
        <v>142</v>
      </c>
      <c r="I828" t="s">
        <v>279</v>
      </c>
      <c r="J828" t="s">
        <v>280</v>
      </c>
      <c r="L828" t="s">
        <v>719</v>
      </c>
      <c r="M828" s="8">
        <v>45809</v>
      </c>
      <c r="N828">
        <v>5734976</v>
      </c>
      <c r="O828" t="s">
        <v>123</v>
      </c>
      <c r="P828" t="s">
        <v>146</v>
      </c>
      <c r="Q828">
        <v>2.5</v>
      </c>
      <c r="R828" t="s">
        <v>592</v>
      </c>
      <c r="S828" t="s">
        <v>126</v>
      </c>
      <c r="T828" t="s">
        <v>592</v>
      </c>
      <c r="U828" t="s">
        <v>593</v>
      </c>
      <c r="W828">
        <v>0.77</v>
      </c>
      <c r="X828">
        <v>1.73</v>
      </c>
      <c r="Y828">
        <v>2.5</v>
      </c>
      <c r="Z828">
        <v>0.95</v>
      </c>
      <c r="AG828">
        <v>0.77</v>
      </c>
      <c r="AI828">
        <v>0.78</v>
      </c>
      <c r="BH828" t="s">
        <v>126</v>
      </c>
      <c r="BI828" t="s">
        <v>126</v>
      </c>
      <c r="BJ828" t="s">
        <v>126</v>
      </c>
      <c r="BK828" t="s">
        <v>126</v>
      </c>
      <c r="BS828" t="s">
        <v>126</v>
      </c>
      <c r="BT828" t="s">
        <v>126</v>
      </c>
      <c r="BU828" t="s">
        <v>126</v>
      </c>
      <c r="BV828" t="s">
        <v>126</v>
      </c>
      <c r="CN828" t="s">
        <v>147</v>
      </c>
      <c r="CP828" t="s">
        <v>432</v>
      </c>
      <c r="CQ828" t="s">
        <v>147</v>
      </c>
    </row>
    <row r="829" spans="1:95" x14ac:dyDescent="0.2">
      <c r="A829" t="s">
        <v>115</v>
      </c>
      <c r="B829" t="s">
        <v>116</v>
      </c>
      <c r="C829">
        <v>210784</v>
      </c>
      <c r="E829" t="s">
        <v>117</v>
      </c>
      <c r="F829">
        <v>368</v>
      </c>
      <c r="G829" t="s">
        <v>141</v>
      </c>
      <c r="H829" t="s">
        <v>142</v>
      </c>
      <c r="I829" t="s">
        <v>279</v>
      </c>
      <c r="J829" t="s">
        <v>280</v>
      </c>
      <c r="L829" t="s">
        <v>720</v>
      </c>
      <c r="M829" s="8">
        <v>45809</v>
      </c>
      <c r="N829">
        <v>5736035</v>
      </c>
      <c r="O829" t="s">
        <v>123</v>
      </c>
      <c r="P829" t="s">
        <v>146</v>
      </c>
      <c r="Q829">
        <v>1.9099999999999997</v>
      </c>
      <c r="R829" t="s">
        <v>598</v>
      </c>
      <c r="S829" t="s">
        <v>126</v>
      </c>
      <c r="T829" t="s">
        <v>598</v>
      </c>
      <c r="U829" t="s">
        <v>599</v>
      </c>
      <c r="W829">
        <v>0.59</v>
      </c>
      <c r="X829">
        <v>1.3199999999999998</v>
      </c>
      <c r="Y829">
        <v>1.9099999999999997</v>
      </c>
      <c r="Z829">
        <v>0.73</v>
      </c>
      <c r="AG829">
        <v>0.59</v>
      </c>
      <c r="AI829">
        <v>0.59</v>
      </c>
      <c r="BH829" t="s">
        <v>126</v>
      </c>
      <c r="BI829" t="s">
        <v>126</v>
      </c>
      <c r="BJ829" t="s">
        <v>126</v>
      </c>
      <c r="BK829" t="s">
        <v>126</v>
      </c>
      <c r="BS829" t="s">
        <v>126</v>
      </c>
      <c r="BT829" t="s">
        <v>126</v>
      </c>
      <c r="BU829" t="s">
        <v>126</v>
      </c>
      <c r="BV829" t="s">
        <v>126</v>
      </c>
      <c r="CN829" t="s">
        <v>147</v>
      </c>
      <c r="CP829" t="s">
        <v>432</v>
      </c>
      <c r="CQ829" t="s">
        <v>147</v>
      </c>
    </row>
    <row r="830" spans="1:95" x14ac:dyDescent="0.2">
      <c r="A830" t="s">
        <v>115</v>
      </c>
      <c r="B830" t="s">
        <v>116</v>
      </c>
      <c r="C830">
        <v>210784</v>
      </c>
      <c r="E830" t="s">
        <v>117</v>
      </c>
      <c r="F830">
        <v>368</v>
      </c>
      <c r="G830" t="s">
        <v>141</v>
      </c>
      <c r="H830" t="s">
        <v>142</v>
      </c>
      <c r="I830" t="s">
        <v>279</v>
      </c>
      <c r="J830" t="s">
        <v>280</v>
      </c>
      <c r="L830" t="s">
        <v>720</v>
      </c>
      <c r="M830" s="8">
        <v>45809</v>
      </c>
      <c r="N830">
        <v>5736090</v>
      </c>
      <c r="O830" t="s">
        <v>123</v>
      </c>
      <c r="P830" t="s">
        <v>146</v>
      </c>
      <c r="Q830">
        <v>2.96</v>
      </c>
      <c r="R830" t="s">
        <v>581</v>
      </c>
      <c r="S830" t="s">
        <v>126</v>
      </c>
      <c r="T830" t="s">
        <v>581</v>
      </c>
      <c r="U830" t="s">
        <v>582</v>
      </c>
      <c r="W830">
        <v>0.91</v>
      </c>
      <c r="X830">
        <v>2.0499999999999998</v>
      </c>
      <c r="Y830">
        <v>2.96</v>
      </c>
      <c r="Z830">
        <v>1.1299999999999999</v>
      </c>
      <c r="AG830">
        <v>0.91</v>
      </c>
      <c r="AI830">
        <v>0.92</v>
      </c>
      <c r="BH830" t="s">
        <v>126</v>
      </c>
      <c r="BI830" t="s">
        <v>126</v>
      </c>
      <c r="BJ830" t="s">
        <v>126</v>
      </c>
      <c r="BK830" t="s">
        <v>126</v>
      </c>
      <c r="BS830" t="s">
        <v>126</v>
      </c>
      <c r="BT830" t="s">
        <v>126</v>
      </c>
      <c r="BU830" t="s">
        <v>126</v>
      </c>
      <c r="BV830" t="s">
        <v>126</v>
      </c>
      <c r="CN830" t="s">
        <v>147</v>
      </c>
      <c r="CP830" t="s">
        <v>432</v>
      </c>
      <c r="CQ830" t="s">
        <v>147</v>
      </c>
    </row>
    <row r="831" spans="1:95" x14ac:dyDescent="0.2">
      <c r="A831" t="s">
        <v>115</v>
      </c>
      <c r="B831" t="s">
        <v>116</v>
      </c>
      <c r="C831">
        <v>210784</v>
      </c>
      <c r="E831" t="s">
        <v>117</v>
      </c>
      <c r="F831">
        <v>368</v>
      </c>
      <c r="G831" t="s">
        <v>141</v>
      </c>
      <c r="H831" t="s">
        <v>142</v>
      </c>
      <c r="I831" t="s">
        <v>279</v>
      </c>
      <c r="J831" t="s">
        <v>280</v>
      </c>
      <c r="L831" t="s">
        <v>721</v>
      </c>
      <c r="M831" s="8">
        <v>45809</v>
      </c>
      <c r="N831">
        <v>5736870</v>
      </c>
      <c r="O831" t="s">
        <v>123</v>
      </c>
      <c r="P831" t="s">
        <v>146</v>
      </c>
      <c r="Q831">
        <v>3.01</v>
      </c>
      <c r="R831" t="s">
        <v>710</v>
      </c>
      <c r="S831" t="s">
        <v>126</v>
      </c>
      <c r="T831" t="s">
        <v>710</v>
      </c>
      <c r="U831" t="s">
        <v>711</v>
      </c>
      <c r="W831">
        <v>0.93</v>
      </c>
      <c r="X831">
        <v>2.08</v>
      </c>
      <c r="Y831">
        <v>3.01</v>
      </c>
      <c r="Z831">
        <v>1.1399999999999999</v>
      </c>
      <c r="AG831">
        <v>0.93</v>
      </c>
      <c r="AI831">
        <v>0.94</v>
      </c>
      <c r="BH831" t="s">
        <v>126</v>
      </c>
      <c r="BI831" t="s">
        <v>126</v>
      </c>
      <c r="BJ831" t="s">
        <v>126</v>
      </c>
      <c r="BK831" t="s">
        <v>126</v>
      </c>
      <c r="BS831" t="s">
        <v>126</v>
      </c>
      <c r="BT831" t="s">
        <v>126</v>
      </c>
      <c r="BU831" t="s">
        <v>126</v>
      </c>
      <c r="BV831" t="s">
        <v>126</v>
      </c>
      <c r="CN831" t="s">
        <v>147</v>
      </c>
      <c r="CP831" t="s">
        <v>432</v>
      </c>
      <c r="CQ831" t="s">
        <v>147</v>
      </c>
    </row>
    <row r="832" spans="1:95" x14ac:dyDescent="0.2">
      <c r="A832" t="s">
        <v>115</v>
      </c>
      <c r="B832" t="s">
        <v>116</v>
      </c>
      <c r="C832">
        <v>210784</v>
      </c>
      <c r="E832" t="s">
        <v>117</v>
      </c>
      <c r="F832">
        <v>368</v>
      </c>
      <c r="G832" t="s">
        <v>141</v>
      </c>
      <c r="H832" t="s">
        <v>142</v>
      </c>
      <c r="I832" t="s">
        <v>279</v>
      </c>
      <c r="J832" t="s">
        <v>280</v>
      </c>
      <c r="L832" t="s">
        <v>722</v>
      </c>
      <c r="M832" s="8">
        <v>45809</v>
      </c>
      <c r="N832">
        <v>5737910</v>
      </c>
      <c r="O832" t="s">
        <v>123</v>
      </c>
      <c r="P832" t="s">
        <v>146</v>
      </c>
      <c r="Q832">
        <v>3.1099999999999994</v>
      </c>
      <c r="R832" t="s">
        <v>669</v>
      </c>
      <c r="S832" t="s">
        <v>126</v>
      </c>
      <c r="T832" t="s">
        <v>669</v>
      </c>
      <c r="U832" t="s">
        <v>670</v>
      </c>
      <c r="W832">
        <v>0.96</v>
      </c>
      <c r="X832">
        <v>2.15</v>
      </c>
      <c r="Y832">
        <v>3.1099999999999994</v>
      </c>
      <c r="Z832">
        <v>1.18</v>
      </c>
      <c r="AG832">
        <v>0.96</v>
      </c>
      <c r="AI832">
        <v>0.97</v>
      </c>
      <c r="BH832" t="s">
        <v>126</v>
      </c>
      <c r="BI832" t="s">
        <v>126</v>
      </c>
      <c r="BJ832" t="s">
        <v>126</v>
      </c>
      <c r="BK832" t="s">
        <v>126</v>
      </c>
      <c r="BS832" t="s">
        <v>126</v>
      </c>
      <c r="BT832" t="s">
        <v>126</v>
      </c>
      <c r="BU832" t="s">
        <v>126</v>
      </c>
      <c r="BV832" t="s">
        <v>126</v>
      </c>
      <c r="CN832" t="s">
        <v>147</v>
      </c>
      <c r="CP832" t="s">
        <v>432</v>
      </c>
      <c r="CQ832" t="s">
        <v>147</v>
      </c>
    </row>
    <row r="833" spans="1:95" x14ac:dyDescent="0.2">
      <c r="A833" t="s">
        <v>115</v>
      </c>
      <c r="B833" t="s">
        <v>116</v>
      </c>
      <c r="C833">
        <v>210784</v>
      </c>
      <c r="E833" t="s">
        <v>117</v>
      </c>
      <c r="F833">
        <v>368</v>
      </c>
      <c r="G833" t="s">
        <v>141</v>
      </c>
      <c r="H833" t="s">
        <v>142</v>
      </c>
      <c r="I833" t="s">
        <v>279</v>
      </c>
      <c r="J833" t="s">
        <v>280</v>
      </c>
      <c r="L833" t="s">
        <v>723</v>
      </c>
      <c r="M833" s="8">
        <v>45809</v>
      </c>
      <c r="N833">
        <v>5738575</v>
      </c>
      <c r="O833" t="s">
        <v>123</v>
      </c>
      <c r="P833" t="s">
        <v>146</v>
      </c>
      <c r="Q833">
        <v>2.73</v>
      </c>
      <c r="R833" t="s">
        <v>569</v>
      </c>
      <c r="S833" t="s">
        <v>126</v>
      </c>
      <c r="T833" t="s">
        <v>569</v>
      </c>
      <c r="U833" t="s">
        <v>570</v>
      </c>
      <c r="W833">
        <v>0.84</v>
      </c>
      <c r="X833">
        <v>1.8900000000000001</v>
      </c>
      <c r="Y833">
        <v>2.73</v>
      </c>
      <c r="Z833">
        <v>1.04</v>
      </c>
      <c r="AG833">
        <v>0.84</v>
      </c>
      <c r="AI833">
        <v>0.85</v>
      </c>
      <c r="BH833" t="s">
        <v>126</v>
      </c>
      <c r="BI833" t="s">
        <v>126</v>
      </c>
      <c r="BJ833" t="s">
        <v>126</v>
      </c>
      <c r="BK833" t="s">
        <v>126</v>
      </c>
      <c r="BS833" t="s">
        <v>126</v>
      </c>
      <c r="BT833" t="s">
        <v>126</v>
      </c>
      <c r="BU833" t="s">
        <v>126</v>
      </c>
      <c r="BV833" t="s">
        <v>126</v>
      </c>
      <c r="CN833" t="s">
        <v>147</v>
      </c>
      <c r="CP833" t="s">
        <v>432</v>
      </c>
      <c r="CQ833" t="s">
        <v>147</v>
      </c>
    </row>
    <row r="834" spans="1:95" x14ac:dyDescent="0.2">
      <c r="A834" t="s">
        <v>115</v>
      </c>
      <c r="B834" t="s">
        <v>116</v>
      </c>
      <c r="C834">
        <v>210784</v>
      </c>
      <c r="E834" t="s">
        <v>117</v>
      </c>
      <c r="F834">
        <v>368</v>
      </c>
      <c r="G834" t="s">
        <v>141</v>
      </c>
      <c r="H834" t="s">
        <v>142</v>
      </c>
      <c r="I834" t="s">
        <v>279</v>
      </c>
      <c r="J834" t="s">
        <v>280</v>
      </c>
      <c r="L834" t="s">
        <v>723</v>
      </c>
      <c r="M834" s="8">
        <v>45809</v>
      </c>
      <c r="N834">
        <v>5738630</v>
      </c>
      <c r="O834" t="s">
        <v>123</v>
      </c>
      <c r="P834" t="s">
        <v>146</v>
      </c>
      <c r="Q834">
        <v>4.3499999999999996</v>
      </c>
      <c r="R834" t="s">
        <v>592</v>
      </c>
      <c r="S834" t="s">
        <v>126</v>
      </c>
      <c r="T834" t="s">
        <v>592</v>
      </c>
      <c r="U834" t="s">
        <v>593</v>
      </c>
      <c r="W834">
        <v>1.34</v>
      </c>
      <c r="X834">
        <v>3.01</v>
      </c>
      <c r="Y834">
        <v>4.3499999999999996</v>
      </c>
      <c r="Z834">
        <v>1.66</v>
      </c>
      <c r="AG834">
        <v>1.34</v>
      </c>
      <c r="AI834">
        <v>1.35</v>
      </c>
      <c r="BH834" t="s">
        <v>126</v>
      </c>
      <c r="BI834" t="s">
        <v>126</v>
      </c>
      <c r="BJ834" t="s">
        <v>126</v>
      </c>
      <c r="BK834" t="s">
        <v>126</v>
      </c>
      <c r="BS834" t="s">
        <v>126</v>
      </c>
      <c r="BT834" t="s">
        <v>126</v>
      </c>
      <c r="BU834" t="s">
        <v>126</v>
      </c>
      <c r="BV834" t="s">
        <v>126</v>
      </c>
      <c r="CN834" t="s">
        <v>147</v>
      </c>
      <c r="CP834" t="s">
        <v>432</v>
      </c>
      <c r="CQ834" t="s">
        <v>147</v>
      </c>
    </row>
    <row r="835" spans="1:95" x14ac:dyDescent="0.2">
      <c r="A835" t="s">
        <v>115</v>
      </c>
      <c r="B835" t="s">
        <v>116</v>
      </c>
      <c r="C835">
        <v>210784</v>
      </c>
      <c r="E835" t="s">
        <v>117</v>
      </c>
      <c r="F835">
        <v>368</v>
      </c>
      <c r="G835" t="s">
        <v>141</v>
      </c>
      <c r="H835" t="s">
        <v>142</v>
      </c>
      <c r="I835" t="s">
        <v>279</v>
      </c>
      <c r="J835" t="s">
        <v>280</v>
      </c>
      <c r="L835" t="s">
        <v>724</v>
      </c>
      <c r="M835" s="8">
        <v>45809</v>
      </c>
      <c r="N835">
        <v>5739363</v>
      </c>
      <c r="O835" t="s">
        <v>123</v>
      </c>
      <c r="P835" t="s">
        <v>146</v>
      </c>
      <c r="Q835">
        <v>2.0500000000000003</v>
      </c>
      <c r="R835" t="s">
        <v>673</v>
      </c>
      <c r="S835" t="s">
        <v>126</v>
      </c>
      <c r="T835" t="s">
        <v>673</v>
      </c>
      <c r="U835" t="s">
        <v>674</v>
      </c>
      <c r="W835">
        <v>0.63</v>
      </c>
      <c r="X835">
        <v>1.42</v>
      </c>
      <c r="Y835">
        <v>2.0500000000000003</v>
      </c>
      <c r="Z835">
        <v>0.78</v>
      </c>
      <c r="AG835">
        <v>0.63</v>
      </c>
      <c r="AI835">
        <v>0.64</v>
      </c>
      <c r="BH835" t="s">
        <v>126</v>
      </c>
      <c r="BI835" t="s">
        <v>126</v>
      </c>
      <c r="BJ835" t="s">
        <v>126</v>
      </c>
      <c r="BK835" t="s">
        <v>126</v>
      </c>
      <c r="BS835" t="s">
        <v>126</v>
      </c>
      <c r="BT835" t="s">
        <v>126</v>
      </c>
      <c r="BU835" t="s">
        <v>126</v>
      </c>
      <c r="BV835" t="s">
        <v>126</v>
      </c>
      <c r="CN835" t="s">
        <v>147</v>
      </c>
      <c r="CP835" t="s">
        <v>432</v>
      </c>
      <c r="CQ835" t="s">
        <v>147</v>
      </c>
    </row>
    <row r="836" spans="1:95" x14ac:dyDescent="0.2">
      <c r="A836" t="s">
        <v>115</v>
      </c>
      <c r="B836" t="s">
        <v>116</v>
      </c>
      <c r="C836">
        <v>210784</v>
      </c>
      <c r="E836" t="s">
        <v>117</v>
      </c>
      <c r="F836">
        <v>368</v>
      </c>
      <c r="G836" t="s">
        <v>141</v>
      </c>
      <c r="H836" t="s">
        <v>142</v>
      </c>
      <c r="I836" t="s">
        <v>279</v>
      </c>
      <c r="J836" t="s">
        <v>280</v>
      </c>
      <c r="L836" t="s">
        <v>521</v>
      </c>
      <c r="M836" s="8">
        <v>45809</v>
      </c>
      <c r="N836">
        <v>5740145</v>
      </c>
      <c r="O836" t="s">
        <v>123</v>
      </c>
      <c r="P836" t="s">
        <v>146</v>
      </c>
      <c r="Q836">
        <v>4.4800000000000004</v>
      </c>
      <c r="R836" t="s">
        <v>592</v>
      </c>
      <c r="S836" t="s">
        <v>126</v>
      </c>
      <c r="T836" t="s">
        <v>592</v>
      </c>
      <c r="U836" t="s">
        <v>593</v>
      </c>
      <c r="W836">
        <v>1.38</v>
      </c>
      <c r="X836">
        <v>3.0999999999999996</v>
      </c>
      <c r="Y836">
        <v>4.4800000000000004</v>
      </c>
      <c r="Z836">
        <v>1.7</v>
      </c>
      <c r="AG836">
        <v>1.38</v>
      </c>
      <c r="AI836">
        <v>1.4</v>
      </c>
      <c r="BH836" t="s">
        <v>126</v>
      </c>
      <c r="BI836" t="s">
        <v>126</v>
      </c>
      <c r="BJ836" t="s">
        <v>126</v>
      </c>
      <c r="BK836" t="s">
        <v>126</v>
      </c>
      <c r="BS836" t="s">
        <v>126</v>
      </c>
      <c r="BT836" t="s">
        <v>126</v>
      </c>
      <c r="BU836" t="s">
        <v>126</v>
      </c>
      <c r="BV836" t="s">
        <v>126</v>
      </c>
      <c r="CN836" t="s">
        <v>147</v>
      </c>
      <c r="CP836" t="s">
        <v>432</v>
      </c>
      <c r="CQ836" t="s">
        <v>147</v>
      </c>
    </row>
    <row r="837" spans="1:95" x14ac:dyDescent="0.2">
      <c r="A837" t="s">
        <v>115</v>
      </c>
      <c r="B837" t="s">
        <v>116</v>
      </c>
      <c r="C837">
        <v>210784</v>
      </c>
      <c r="E837" t="s">
        <v>117</v>
      </c>
      <c r="F837">
        <v>368</v>
      </c>
      <c r="G837" t="s">
        <v>141</v>
      </c>
      <c r="H837" t="s">
        <v>142</v>
      </c>
      <c r="I837" t="s">
        <v>279</v>
      </c>
      <c r="J837" t="s">
        <v>280</v>
      </c>
      <c r="L837" t="s">
        <v>725</v>
      </c>
      <c r="M837" s="8">
        <v>45809</v>
      </c>
      <c r="N837">
        <v>5740779</v>
      </c>
      <c r="O837" t="s">
        <v>123</v>
      </c>
      <c r="P837" t="s">
        <v>146</v>
      </c>
      <c r="Q837">
        <v>2.02</v>
      </c>
      <c r="R837" t="s">
        <v>586</v>
      </c>
      <c r="S837" t="s">
        <v>126</v>
      </c>
      <c r="T837" t="s">
        <v>586</v>
      </c>
      <c r="U837" t="s">
        <v>587</v>
      </c>
      <c r="W837">
        <v>0.62</v>
      </c>
      <c r="X837">
        <v>1.4</v>
      </c>
      <c r="Y837">
        <v>2.02</v>
      </c>
      <c r="Z837">
        <v>0.77</v>
      </c>
      <c r="AG837">
        <v>0.62</v>
      </c>
      <c r="AI837">
        <v>0.63</v>
      </c>
      <c r="BH837" t="s">
        <v>126</v>
      </c>
      <c r="BI837" t="s">
        <v>126</v>
      </c>
      <c r="BJ837" t="s">
        <v>126</v>
      </c>
      <c r="BK837" t="s">
        <v>126</v>
      </c>
      <c r="BS837" t="s">
        <v>126</v>
      </c>
      <c r="BT837" t="s">
        <v>126</v>
      </c>
      <c r="BU837" t="s">
        <v>126</v>
      </c>
      <c r="BV837" t="s">
        <v>126</v>
      </c>
      <c r="CN837" t="s">
        <v>147</v>
      </c>
      <c r="CP837" t="s">
        <v>432</v>
      </c>
      <c r="CQ837" t="s">
        <v>147</v>
      </c>
    </row>
    <row r="838" spans="1:95" x14ac:dyDescent="0.2">
      <c r="A838" t="s">
        <v>115</v>
      </c>
      <c r="B838" t="s">
        <v>116</v>
      </c>
      <c r="C838">
        <v>210784</v>
      </c>
      <c r="E838" t="s">
        <v>117</v>
      </c>
      <c r="F838">
        <v>368</v>
      </c>
      <c r="G838" t="s">
        <v>141</v>
      </c>
      <c r="H838" t="s">
        <v>142</v>
      </c>
      <c r="I838" t="s">
        <v>279</v>
      </c>
      <c r="J838" t="s">
        <v>280</v>
      </c>
      <c r="L838" t="s">
        <v>725</v>
      </c>
      <c r="M838" s="8">
        <v>45809</v>
      </c>
      <c r="N838">
        <v>5740896</v>
      </c>
      <c r="O838" t="s">
        <v>123</v>
      </c>
      <c r="P838" t="s">
        <v>146</v>
      </c>
      <c r="Q838">
        <v>4.42</v>
      </c>
      <c r="R838" t="s">
        <v>569</v>
      </c>
      <c r="S838" t="s">
        <v>126</v>
      </c>
      <c r="T838" t="s">
        <v>569</v>
      </c>
      <c r="U838" t="s">
        <v>570</v>
      </c>
      <c r="W838">
        <v>1.36</v>
      </c>
      <c r="X838">
        <v>3.0599999999999996</v>
      </c>
      <c r="Y838">
        <v>4.42</v>
      </c>
      <c r="Z838">
        <v>1.68</v>
      </c>
      <c r="AG838">
        <v>1.36</v>
      </c>
      <c r="AI838">
        <v>1.38</v>
      </c>
      <c r="BH838" t="s">
        <v>126</v>
      </c>
      <c r="BI838" t="s">
        <v>126</v>
      </c>
      <c r="BJ838" t="s">
        <v>126</v>
      </c>
      <c r="BK838" t="s">
        <v>126</v>
      </c>
      <c r="BS838" t="s">
        <v>126</v>
      </c>
      <c r="BT838" t="s">
        <v>126</v>
      </c>
      <c r="BU838" t="s">
        <v>126</v>
      </c>
      <c r="BV838" t="s">
        <v>126</v>
      </c>
      <c r="CN838" t="s">
        <v>147</v>
      </c>
      <c r="CP838" t="s">
        <v>432</v>
      </c>
      <c r="CQ838" t="s">
        <v>147</v>
      </c>
    </row>
    <row r="839" spans="1:95" x14ac:dyDescent="0.2">
      <c r="A839" t="s">
        <v>115</v>
      </c>
      <c r="B839" t="s">
        <v>116</v>
      </c>
      <c r="C839">
        <v>210784</v>
      </c>
      <c r="E839" t="s">
        <v>117</v>
      </c>
      <c r="F839">
        <v>368</v>
      </c>
      <c r="G839" t="s">
        <v>141</v>
      </c>
      <c r="H839" t="s">
        <v>142</v>
      </c>
      <c r="I839" t="s">
        <v>279</v>
      </c>
      <c r="J839" t="s">
        <v>280</v>
      </c>
      <c r="L839" t="s">
        <v>726</v>
      </c>
      <c r="M839" s="8">
        <v>45809</v>
      </c>
      <c r="N839">
        <v>5741389</v>
      </c>
      <c r="O839" t="s">
        <v>123</v>
      </c>
      <c r="P839" t="s">
        <v>146</v>
      </c>
      <c r="Q839">
        <v>3.6599999999999993</v>
      </c>
      <c r="R839" t="s">
        <v>669</v>
      </c>
      <c r="S839" t="s">
        <v>126</v>
      </c>
      <c r="T839" t="s">
        <v>669</v>
      </c>
      <c r="U839" t="s">
        <v>670</v>
      </c>
      <c r="W839">
        <v>1.1299999999999999</v>
      </c>
      <c r="X839">
        <v>2.5299999999999998</v>
      </c>
      <c r="Y839">
        <v>3.6599999999999993</v>
      </c>
      <c r="Z839">
        <v>1.39</v>
      </c>
      <c r="AG839">
        <v>1.1299999999999999</v>
      </c>
      <c r="AI839">
        <v>1.1399999999999999</v>
      </c>
      <c r="BH839" t="s">
        <v>126</v>
      </c>
      <c r="BI839" t="s">
        <v>126</v>
      </c>
      <c r="BJ839" t="s">
        <v>126</v>
      </c>
      <c r="BK839" t="s">
        <v>126</v>
      </c>
      <c r="BS839" t="s">
        <v>126</v>
      </c>
      <c r="BT839" t="s">
        <v>126</v>
      </c>
      <c r="BU839" t="s">
        <v>126</v>
      </c>
      <c r="BV839" t="s">
        <v>126</v>
      </c>
      <c r="CN839" t="s">
        <v>147</v>
      </c>
      <c r="CP839" t="s">
        <v>432</v>
      </c>
      <c r="CQ839" t="s">
        <v>147</v>
      </c>
    </row>
    <row r="840" spans="1:95" x14ac:dyDescent="0.2">
      <c r="A840" t="s">
        <v>115</v>
      </c>
      <c r="B840" t="s">
        <v>116</v>
      </c>
      <c r="C840">
        <v>210784</v>
      </c>
      <c r="E840" t="s">
        <v>117</v>
      </c>
      <c r="F840">
        <v>368</v>
      </c>
      <c r="G840" t="s">
        <v>141</v>
      </c>
      <c r="H840" t="s">
        <v>142</v>
      </c>
      <c r="I840" t="s">
        <v>279</v>
      </c>
      <c r="J840" t="s">
        <v>280</v>
      </c>
      <c r="L840" t="s">
        <v>726</v>
      </c>
      <c r="M840" s="8">
        <v>45809</v>
      </c>
      <c r="N840">
        <v>5741708</v>
      </c>
      <c r="O840" t="s">
        <v>123</v>
      </c>
      <c r="P840" t="s">
        <v>146</v>
      </c>
      <c r="Q840">
        <v>2.68</v>
      </c>
      <c r="R840" t="s">
        <v>707</v>
      </c>
      <c r="S840" t="s">
        <v>126</v>
      </c>
      <c r="T840" t="s">
        <v>707</v>
      </c>
      <c r="U840" t="s">
        <v>708</v>
      </c>
      <c r="W840">
        <v>0.83</v>
      </c>
      <c r="X840">
        <v>1.85</v>
      </c>
      <c r="Y840">
        <v>2.68</v>
      </c>
      <c r="Z840">
        <v>1.02</v>
      </c>
      <c r="AG840">
        <v>0.83</v>
      </c>
      <c r="AI840">
        <v>0.83</v>
      </c>
      <c r="BH840" t="s">
        <v>126</v>
      </c>
      <c r="BI840" t="s">
        <v>126</v>
      </c>
      <c r="BJ840" t="s">
        <v>126</v>
      </c>
      <c r="BK840" t="s">
        <v>126</v>
      </c>
      <c r="BS840" t="s">
        <v>126</v>
      </c>
      <c r="BT840" t="s">
        <v>126</v>
      </c>
      <c r="BU840" t="s">
        <v>126</v>
      </c>
      <c r="BV840" t="s">
        <v>126</v>
      </c>
      <c r="CN840" t="s">
        <v>147</v>
      </c>
      <c r="CP840" t="s">
        <v>432</v>
      </c>
      <c r="CQ840" t="s">
        <v>147</v>
      </c>
    </row>
    <row r="841" spans="1:95" x14ac:dyDescent="0.2">
      <c r="A841" t="s">
        <v>115</v>
      </c>
      <c r="B841" t="s">
        <v>116</v>
      </c>
      <c r="C841">
        <v>210784</v>
      </c>
      <c r="E841" t="s">
        <v>117</v>
      </c>
      <c r="F841">
        <v>368</v>
      </c>
      <c r="G841" t="s">
        <v>141</v>
      </c>
      <c r="H841" t="s">
        <v>142</v>
      </c>
      <c r="I841" t="s">
        <v>279</v>
      </c>
      <c r="J841" t="s">
        <v>280</v>
      </c>
      <c r="L841" t="s">
        <v>727</v>
      </c>
      <c r="M841" s="8">
        <v>45809</v>
      </c>
      <c r="N841">
        <v>5742457</v>
      </c>
      <c r="O841" t="s">
        <v>123</v>
      </c>
      <c r="P841" t="s">
        <v>146</v>
      </c>
      <c r="Q841">
        <v>4.8100000000000005</v>
      </c>
      <c r="R841" t="s">
        <v>569</v>
      </c>
      <c r="S841" t="s">
        <v>126</v>
      </c>
      <c r="T841" t="s">
        <v>569</v>
      </c>
      <c r="U841" t="s">
        <v>570</v>
      </c>
      <c r="W841">
        <v>1.48</v>
      </c>
      <c r="X841">
        <v>3.33</v>
      </c>
      <c r="Y841">
        <v>4.8100000000000005</v>
      </c>
      <c r="Z841">
        <v>1.83</v>
      </c>
      <c r="AG841">
        <v>1.48</v>
      </c>
      <c r="AI841">
        <v>1.5</v>
      </c>
      <c r="BH841" t="s">
        <v>126</v>
      </c>
      <c r="BI841" t="s">
        <v>126</v>
      </c>
      <c r="BJ841" t="s">
        <v>126</v>
      </c>
      <c r="BK841" t="s">
        <v>126</v>
      </c>
      <c r="BS841" t="s">
        <v>126</v>
      </c>
      <c r="BT841" t="s">
        <v>126</v>
      </c>
      <c r="BU841" t="s">
        <v>126</v>
      </c>
      <c r="BV841" t="s">
        <v>126</v>
      </c>
      <c r="CN841" t="s">
        <v>147</v>
      </c>
      <c r="CP841" t="s">
        <v>432</v>
      </c>
      <c r="CQ841" t="s">
        <v>147</v>
      </c>
    </row>
    <row r="842" spans="1:95" x14ac:dyDescent="0.2">
      <c r="A842" t="s">
        <v>115</v>
      </c>
      <c r="B842" t="s">
        <v>116</v>
      </c>
      <c r="C842">
        <v>210784</v>
      </c>
      <c r="E842" t="s">
        <v>117</v>
      </c>
      <c r="F842">
        <v>368</v>
      </c>
      <c r="G842" t="s">
        <v>141</v>
      </c>
      <c r="H842" t="s">
        <v>142</v>
      </c>
      <c r="I842" t="s">
        <v>279</v>
      </c>
      <c r="J842" t="s">
        <v>280</v>
      </c>
      <c r="L842" t="s">
        <v>430</v>
      </c>
      <c r="M842" s="8">
        <v>45809</v>
      </c>
      <c r="N842">
        <v>5743014</v>
      </c>
      <c r="O842" t="s">
        <v>123</v>
      </c>
      <c r="P842" t="s">
        <v>146</v>
      </c>
      <c r="Q842">
        <v>2.72</v>
      </c>
      <c r="R842" t="s">
        <v>635</v>
      </c>
      <c r="S842" t="s">
        <v>126</v>
      </c>
      <c r="T842" t="s">
        <v>635</v>
      </c>
      <c r="U842" t="s">
        <v>636</v>
      </c>
      <c r="W842">
        <v>0.84</v>
      </c>
      <c r="X842">
        <v>1.88</v>
      </c>
      <c r="Y842">
        <v>2.72</v>
      </c>
      <c r="Z842">
        <v>1.03</v>
      </c>
      <c r="AG842">
        <v>0.84</v>
      </c>
      <c r="AI842">
        <v>0.85</v>
      </c>
      <c r="BH842" t="s">
        <v>126</v>
      </c>
      <c r="BI842" t="s">
        <v>126</v>
      </c>
      <c r="BJ842" t="s">
        <v>126</v>
      </c>
      <c r="BK842" t="s">
        <v>126</v>
      </c>
      <c r="BS842" t="s">
        <v>126</v>
      </c>
      <c r="BT842" t="s">
        <v>126</v>
      </c>
      <c r="BU842" t="s">
        <v>126</v>
      </c>
      <c r="BV842" t="s">
        <v>126</v>
      </c>
      <c r="CN842" t="s">
        <v>147</v>
      </c>
      <c r="CP842" t="s">
        <v>431</v>
      </c>
      <c r="CQ842" t="s">
        <v>147</v>
      </c>
    </row>
    <row r="843" spans="1:95" x14ac:dyDescent="0.2">
      <c r="A843" t="s">
        <v>115</v>
      </c>
      <c r="B843" t="s">
        <v>116</v>
      </c>
      <c r="C843">
        <v>210784</v>
      </c>
      <c r="E843" t="s">
        <v>117</v>
      </c>
      <c r="F843">
        <v>368</v>
      </c>
      <c r="G843" t="s">
        <v>141</v>
      </c>
      <c r="H843" t="s">
        <v>142</v>
      </c>
      <c r="I843" t="s">
        <v>279</v>
      </c>
      <c r="J843" t="s">
        <v>280</v>
      </c>
      <c r="L843" t="s">
        <v>728</v>
      </c>
      <c r="M843" s="8">
        <v>45809</v>
      </c>
      <c r="N843">
        <v>5744142</v>
      </c>
      <c r="O843" t="s">
        <v>123</v>
      </c>
      <c r="P843" t="s">
        <v>146</v>
      </c>
      <c r="Q843">
        <v>2.84</v>
      </c>
      <c r="R843" t="s">
        <v>562</v>
      </c>
      <c r="S843" t="s">
        <v>126</v>
      </c>
      <c r="T843" t="s">
        <v>562</v>
      </c>
      <c r="U843" t="s">
        <v>563</v>
      </c>
      <c r="W843">
        <v>0.88</v>
      </c>
      <c r="X843">
        <v>1.96</v>
      </c>
      <c r="Y843">
        <v>2.84</v>
      </c>
      <c r="Z843">
        <v>1.08</v>
      </c>
      <c r="AG843">
        <v>0.88</v>
      </c>
      <c r="AI843">
        <v>0.88</v>
      </c>
      <c r="BH843" t="s">
        <v>126</v>
      </c>
      <c r="BI843" t="s">
        <v>126</v>
      </c>
      <c r="BJ843" t="s">
        <v>126</v>
      </c>
      <c r="BK843" t="s">
        <v>126</v>
      </c>
      <c r="BS843" t="s">
        <v>126</v>
      </c>
      <c r="BT843" t="s">
        <v>126</v>
      </c>
      <c r="BU843" t="s">
        <v>126</v>
      </c>
      <c r="BV843" t="s">
        <v>126</v>
      </c>
      <c r="CN843" t="s">
        <v>147</v>
      </c>
      <c r="CP843" t="s">
        <v>431</v>
      </c>
      <c r="CQ843" t="s">
        <v>147</v>
      </c>
    </row>
    <row r="844" spans="1:95" x14ac:dyDescent="0.2">
      <c r="A844" t="s">
        <v>115</v>
      </c>
      <c r="B844" t="s">
        <v>116</v>
      </c>
      <c r="C844">
        <v>210784</v>
      </c>
      <c r="E844" t="s">
        <v>117</v>
      </c>
      <c r="F844">
        <v>368</v>
      </c>
      <c r="G844" t="s">
        <v>141</v>
      </c>
      <c r="H844" t="s">
        <v>142</v>
      </c>
      <c r="I844" t="s">
        <v>279</v>
      </c>
      <c r="J844" t="s">
        <v>280</v>
      </c>
      <c r="L844" t="s">
        <v>287</v>
      </c>
      <c r="M844" s="8">
        <v>45809</v>
      </c>
      <c r="N844">
        <v>5744849</v>
      </c>
      <c r="O844" t="s">
        <v>123</v>
      </c>
      <c r="P844" t="s">
        <v>146</v>
      </c>
      <c r="Q844">
        <v>3.96</v>
      </c>
      <c r="R844" t="s">
        <v>610</v>
      </c>
      <c r="S844" t="s">
        <v>126</v>
      </c>
      <c r="T844" t="s">
        <v>610</v>
      </c>
      <c r="U844" t="s">
        <v>611</v>
      </c>
      <c r="W844">
        <v>1.22</v>
      </c>
      <c r="X844">
        <v>2.74</v>
      </c>
      <c r="Y844">
        <v>3.96</v>
      </c>
      <c r="Z844">
        <v>1.51</v>
      </c>
      <c r="AG844">
        <v>1.22</v>
      </c>
      <c r="AI844">
        <v>1.23</v>
      </c>
      <c r="BH844" t="s">
        <v>126</v>
      </c>
      <c r="BI844" t="s">
        <v>126</v>
      </c>
      <c r="BJ844" t="s">
        <v>126</v>
      </c>
      <c r="BK844" t="s">
        <v>126</v>
      </c>
      <c r="BS844" t="s">
        <v>126</v>
      </c>
      <c r="BT844" t="s">
        <v>126</v>
      </c>
      <c r="BU844" t="s">
        <v>126</v>
      </c>
      <c r="BV844" t="s">
        <v>126</v>
      </c>
      <c r="CN844" t="s">
        <v>147</v>
      </c>
      <c r="CP844" t="s">
        <v>431</v>
      </c>
      <c r="CQ844" t="s">
        <v>147</v>
      </c>
    </row>
    <row r="845" spans="1:95" x14ac:dyDescent="0.2">
      <c r="A845" t="s">
        <v>115</v>
      </c>
      <c r="B845" t="s">
        <v>116</v>
      </c>
      <c r="C845">
        <v>210784</v>
      </c>
      <c r="E845" t="s">
        <v>117</v>
      </c>
      <c r="F845">
        <v>368</v>
      </c>
      <c r="G845" t="s">
        <v>141</v>
      </c>
      <c r="H845" t="s">
        <v>142</v>
      </c>
      <c r="I845" t="s">
        <v>279</v>
      </c>
      <c r="J845" t="s">
        <v>280</v>
      </c>
      <c r="L845" t="s">
        <v>432</v>
      </c>
      <c r="M845" s="8">
        <v>45809</v>
      </c>
      <c r="N845">
        <v>5745979</v>
      </c>
      <c r="O845" t="s">
        <v>123</v>
      </c>
      <c r="P845" t="s">
        <v>146</v>
      </c>
      <c r="Q845">
        <v>4.01</v>
      </c>
      <c r="R845" t="s">
        <v>623</v>
      </c>
      <c r="S845" t="s">
        <v>126</v>
      </c>
      <c r="T845" t="s">
        <v>623</v>
      </c>
      <c r="U845" t="s">
        <v>624</v>
      </c>
      <c r="W845">
        <v>1.24</v>
      </c>
      <c r="X845">
        <v>2.77</v>
      </c>
      <c r="Y845">
        <v>4.01</v>
      </c>
      <c r="Z845">
        <v>1.52</v>
      </c>
      <c r="AG845">
        <v>1.24</v>
      </c>
      <c r="AI845">
        <v>1.25</v>
      </c>
      <c r="BH845" t="s">
        <v>126</v>
      </c>
      <c r="BI845" t="s">
        <v>126</v>
      </c>
      <c r="BJ845" t="s">
        <v>126</v>
      </c>
      <c r="BK845" t="s">
        <v>126</v>
      </c>
      <c r="BS845" t="s">
        <v>126</v>
      </c>
      <c r="BT845" t="s">
        <v>126</v>
      </c>
      <c r="BU845" t="s">
        <v>126</v>
      </c>
      <c r="BV845" t="s">
        <v>126</v>
      </c>
      <c r="CN845" t="s">
        <v>147</v>
      </c>
      <c r="CP845" t="s">
        <v>431</v>
      </c>
      <c r="CQ845" t="s">
        <v>147</v>
      </c>
    </row>
    <row r="846" spans="1:95" x14ac:dyDescent="0.2">
      <c r="A846" t="s">
        <v>115</v>
      </c>
      <c r="B846" t="s">
        <v>116</v>
      </c>
      <c r="C846">
        <v>210784</v>
      </c>
      <c r="E846" t="s">
        <v>117</v>
      </c>
      <c r="F846">
        <v>368</v>
      </c>
      <c r="G846" t="s">
        <v>141</v>
      </c>
      <c r="H846" t="s">
        <v>142</v>
      </c>
      <c r="I846" t="s">
        <v>279</v>
      </c>
      <c r="J846" t="s">
        <v>280</v>
      </c>
      <c r="L846" t="s">
        <v>289</v>
      </c>
      <c r="M846" s="8">
        <v>45809</v>
      </c>
      <c r="N846">
        <v>5729078</v>
      </c>
      <c r="O846" t="s">
        <v>123</v>
      </c>
      <c r="P846" t="s">
        <v>146</v>
      </c>
      <c r="Q846">
        <v>0.8</v>
      </c>
      <c r="R846" t="s">
        <v>125</v>
      </c>
      <c r="S846" t="s">
        <v>126</v>
      </c>
      <c r="T846" t="s">
        <v>125</v>
      </c>
      <c r="U846" t="s">
        <v>126</v>
      </c>
      <c r="W846">
        <v>0.8</v>
      </c>
      <c r="Y846">
        <v>0.8</v>
      </c>
      <c r="BE846">
        <v>0.8</v>
      </c>
      <c r="BH846" t="s">
        <v>126</v>
      </c>
      <c r="BI846" t="s">
        <v>126</v>
      </c>
      <c r="BJ846" t="s">
        <v>126</v>
      </c>
      <c r="BK846" t="s">
        <v>126</v>
      </c>
      <c r="BS846" t="s">
        <v>126</v>
      </c>
      <c r="BT846" t="s">
        <v>126</v>
      </c>
      <c r="BU846" t="s">
        <v>126</v>
      </c>
      <c r="BV846" t="s">
        <v>126</v>
      </c>
      <c r="CN846" t="s">
        <v>147</v>
      </c>
      <c r="CP846" t="s">
        <v>432</v>
      </c>
      <c r="CQ846" t="s">
        <v>147</v>
      </c>
    </row>
    <row r="847" spans="1:95" x14ac:dyDescent="0.2">
      <c r="A847" t="s">
        <v>115</v>
      </c>
      <c r="B847" t="s">
        <v>116</v>
      </c>
      <c r="C847">
        <v>210784</v>
      </c>
      <c r="E847" t="s">
        <v>117</v>
      </c>
      <c r="F847">
        <v>368</v>
      </c>
      <c r="G847" t="s">
        <v>141</v>
      </c>
      <c r="H847" t="s">
        <v>142</v>
      </c>
      <c r="I847" t="s">
        <v>279</v>
      </c>
      <c r="J847" t="s">
        <v>280</v>
      </c>
      <c r="L847" t="s">
        <v>705</v>
      </c>
      <c r="M847" s="8">
        <v>45809</v>
      </c>
      <c r="N847">
        <v>5730307</v>
      </c>
      <c r="O847" t="s">
        <v>123</v>
      </c>
      <c r="P847" t="s">
        <v>146</v>
      </c>
      <c r="Q847">
        <v>0.87</v>
      </c>
      <c r="R847" t="s">
        <v>125</v>
      </c>
      <c r="S847" t="s">
        <v>126</v>
      </c>
      <c r="T847" t="s">
        <v>125</v>
      </c>
      <c r="U847" t="s">
        <v>126</v>
      </c>
      <c r="W847">
        <v>0.87</v>
      </c>
      <c r="Y847">
        <v>0.87</v>
      </c>
      <c r="BE847">
        <v>0.87</v>
      </c>
      <c r="BH847" t="s">
        <v>126</v>
      </c>
      <c r="BI847" t="s">
        <v>126</v>
      </c>
      <c r="BJ847" t="s">
        <v>126</v>
      </c>
      <c r="BK847" t="s">
        <v>126</v>
      </c>
      <c r="BS847" t="s">
        <v>126</v>
      </c>
      <c r="BT847" t="s">
        <v>126</v>
      </c>
      <c r="BU847" t="s">
        <v>126</v>
      </c>
      <c r="BV847" t="s">
        <v>126</v>
      </c>
      <c r="CN847" t="s">
        <v>147</v>
      </c>
      <c r="CP847" t="s">
        <v>432</v>
      </c>
      <c r="CQ847" t="s">
        <v>147</v>
      </c>
    </row>
    <row r="848" spans="1:95" x14ac:dyDescent="0.2">
      <c r="A848" t="s">
        <v>115</v>
      </c>
      <c r="B848" t="s">
        <v>116</v>
      </c>
      <c r="C848">
        <v>210784</v>
      </c>
      <c r="E848" t="s">
        <v>117</v>
      </c>
      <c r="F848">
        <v>368</v>
      </c>
      <c r="G848" t="s">
        <v>141</v>
      </c>
      <c r="H848" t="s">
        <v>142</v>
      </c>
      <c r="I848" t="s">
        <v>279</v>
      </c>
      <c r="J848" t="s">
        <v>280</v>
      </c>
      <c r="L848" t="s">
        <v>129</v>
      </c>
      <c r="M848" s="8">
        <v>45809</v>
      </c>
      <c r="N848">
        <v>5732628</v>
      </c>
      <c r="O848" t="s">
        <v>123</v>
      </c>
      <c r="P848" t="s">
        <v>146</v>
      </c>
      <c r="Q848">
        <v>1.27</v>
      </c>
      <c r="R848" t="s">
        <v>125</v>
      </c>
      <c r="S848" t="s">
        <v>126</v>
      </c>
      <c r="T848" t="s">
        <v>125</v>
      </c>
      <c r="U848" t="s">
        <v>126</v>
      </c>
      <c r="W848">
        <v>1.27</v>
      </c>
      <c r="Y848">
        <v>1.27</v>
      </c>
      <c r="BE848">
        <v>1.27</v>
      </c>
      <c r="BH848" t="s">
        <v>126</v>
      </c>
      <c r="BI848" t="s">
        <v>126</v>
      </c>
      <c r="BJ848" t="s">
        <v>126</v>
      </c>
      <c r="BK848" t="s">
        <v>126</v>
      </c>
      <c r="BS848" t="s">
        <v>126</v>
      </c>
      <c r="BT848" t="s">
        <v>126</v>
      </c>
      <c r="BU848" t="s">
        <v>126</v>
      </c>
      <c r="BV848" t="s">
        <v>126</v>
      </c>
      <c r="CN848" t="s">
        <v>147</v>
      </c>
      <c r="CP848" t="s">
        <v>432</v>
      </c>
      <c r="CQ848" t="s">
        <v>147</v>
      </c>
    </row>
    <row r="849" spans="1:95" x14ac:dyDescent="0.2">
      <c r="A849" t="s">
        <v>115</v>
      </c>
      <c r="B849" t="s">
        <v>116</v>
      </c>
      <c r="C849">
        <v>210784</v>
      </c>
      <c r="E849" t="s">
        <v>117</v>
      </c>
      <c r="F849">
        <v>368</v>
      </c>
      <c r="G849" t="s">
        <v>141</v>
      </c>
      <c r="H849" t="s">
        <v>142</v>
      </c>
      <c r="I849" t="s">
        <v>279</v>
      </c>
      <c r="J849" t="s">
        <v>280</v>
      </c>
      <c r="L849" t="s">
        <v>718</v>
      </c>
      <c r="M849" s="8">
        <v>45809</v>
      </c>
      <c r="N849">
        <v>5734453</v>
      </c>
      <c r="O849" t="s">
        <v>123</v>
      </c>
      <c r="P849" t="s">
        <v>146</v>
      </c>
      <c r="Q849">
        <v>1.47</v>
      </c>
      <c r="R849" t="s">
        <v>125</v>
      </c>
      <c r="S849" t="s">
        <v>126</v>
      </c>
      <c r="T849" t="s">
        <v>125</v>
      </c>
      <c r="U849" t="s">
        <v>126</v>
      </c>
      <c r="W849">
        <v>1.47</v>
      </c>
      <c r="Y849">
        <v>1.47</v>
      </c>
      <c r="BE849">
        <v>1.47</v>
      </c>
      <c r="BH849" t="s">
        <v>126</v>
      </c>
      <c r="BI849" t="s">
        <v>126</v>
      </c>
      <c r="BJ849" t="s">
        <v>126</v>
      </c>
      <c r="BK849" t="s">
        <v>126</v>
      </c>
      <c r="BS849" t="s">
        <v>126</v>
      </c>
      <c r="BT849" t="s">
        <v>126</v>
      </c>
      <c r="BU849" t="s">
        <v>126</v>
      </c>
      <c r="BV849" t="s">
        <v>126</v>
      </c>
      <c r="CN849" t="s">
        <v>147</v>
      </c>
      <c r="CP849" t="s">
        <v>432</v>
      </c>
      <c r="CQ849" t="s">
        <v>147</v>
      </c>
    </row>
    <row r="850" spans="1:95" x14ac:dyDescent="0.2">
      <c r="A850" t="s">
        <v>115</v>
      </c>
      <c r="B850" t="s">
        <v>116</v>
      </c>
      <c r="C850">
        <v>210784</v>
      </c>
      <c r="E850" t="s">
        <v>117</v>
      </c>
      <c r="F850">
        <v>368</v>
      </c>
      <c r="G850" t="s">
        <v>141</v>
      </c>
      <c r="H850" t="s">
        <v>142</v>
      </c>
      <c r="I850" t="s">
        <v>279</v>
      </c>
      <c r="J850" t="s">
        <v>280</v>
      </c>
      <c r="L850" t="s">
        <v>719</v>
      </c>
      <c r="M850" s="8">
        <v>45809</v>
      </c>
      <c r="N850">
        <v>5735314</v>
      </c>
      <c r="O850" t="s">
        <v>123</v>
      </c>
      <c r="P850" t="s">
        <v>146</v>
      </c>
      <c r="Q850">
        <v>0.65</v>
      </c>
      <c r="R850" t="s">
        <v>125</v>
      </c>
      <c r="S850" t="s">
        <v>126</v>
      </c>
      <c r="T850" t="s">
        <v>125</v>
      </c>
      <c r="U850" t="s">
        <v>126</v>
      </c>
      <c r="W850">
        <v>0.65</v>
      </c>
      <c r="Y850">
        <v>0.65</v>
      </c>
      <c r="BE850">
        <v>0.65</v>
      </c>
      <c r="BH850" t="s">
        <v>126</v>
      </c>
      <c r="BI850" t="s">
        <v>126</v>
      </c>
      <c r="BJ850" t="s">
        <v>126</v>
      </c>
      <c r="BK850" t="s">
        <v>126</v>
      </c>
      <c r="BS850" t="s">
        <v>126</v>
      </c>
      <c r="BT850" t="s">
        <v>126</v>
      </c>
      <c r="BU850" t="s">
        <v>126</v>
      </c>
      <c r="BV850" t="s">
        <v>126</v>
      </c>
      <c r="CN850" t="s">
        <v>147</v>
      </c>
      <c r="CP850" t="s">
        <v>432</v>
      </c>
      <c r="CQ850" t="s">
        <v>147</v>
      </c>
    </row>
    <row r="851" spans="1:95" x14ac:dyDescent="0.2">
      <c r="A851" t="s">
        <v>115</v>
      </c>
      <c r="B851" t="s">
        <v>116</v>
      </c>
      <c r="C851">
        <v>210784</v>
      </c>
      <c r="E851" t="s">
        <v>117</v>
      </c>
      <c r="F851">
        <v>368</v>
      </c>
      <c r="G851" t="s">
        <v>141</v>
      </c>
      <c r="H851" t="s">
        <v>142</v>
      </c>
      <c r="I851" t="s">
        <v>279</v>
      </c>
      <c r="J851" t="s">
        <v>280</v>
      </c>
      <c r="L851" t="s">
        <v>722</v>
      </c>
      <c r="M851" s="8">
        <v>45809</v>
      </c>
      <c r="N851">
        <v>5737709</v>
      </c>
      <c r="O851" t="s">
        <v>123</v>
      </c>
      <c r="P851" t="s">
        <v>146</v>
      </c>
      <c r="Q851">
        <v>2.23</v>
      </c>
      <c r="R851" t="s">
        <v>125</v>
      </c>
      <c r="S851" t="s">
        <v>126</v>
      </c>
      <c r="T851" t="s">
        <v>125</v>
      </c>
      <c r="U851" t="s">
        <v>126</v>
      </c>
      <c r="W851">
        <v>2.23</v>
      </c>
      <c r="Y851">
        <v>2.23</v>
      </c>
      <c r="BE851">
        <v>2.23</v>
      </c>
      <c r="BH851" t="s">
        <v>126</v>
      </c>
      <c r="BI851" t="s">
        <v>126</v>
      </c>
      <c r="BJ851" t="s">
        <v>126</v>
      </c>
      <c r="BK851" t="s">
        <v>126</v>
      </c>
      <c r="BS851" t="s">
        <v>126</v>
      </c>
      <c r="BT851" t="s">
        <v>126</v>
      </c>
      <c r="BU851" t="s">
        <v>126</v>
      </c>
      <c r="BV851" t="s">
        <v>126</v>
      </c>
      <c r="CN851" t="s">
        <v>147</v>
      </c>
      <c r="CP851" t="s">
        <v>432</v>
      </c>
      <c r="CQ851" t="s">
        <v>147</v>
      </c>
    </row>
    <row r="852" spans="1:95" x14ac:dyDescent="0.2">
      <c r="A852" t="s">
        <v>115</v>
      </c>
      <c r="B852" t="s">
        <v>116</v>
      </c>
      <c r="C852">
        <v>210784</v>
      </c>
      <c r="E852" t="s">
        <v>117</v>
      </c>
      <c r="F852">
        <v>368</v>
      </c>
      <c r="G852" t="s">
        <v>141</v>
      </c>
      <c r="H852" t="s">
        <v>142</v>
      </c>
      <c r="I852" t="s">
        <v>279</v>
      </c>
      <c r="J852" t="s">
        <v>280</v>
      </c>
      <c r="L852" t="s">
        <v>723</v>
      </c>
      <c r="M852" s="8">
        <v>45809</v>
      </c>
      <c r="N852">
        <v>5738629</v>
      </c>
      <c r="O852" t="s">
        <v>123</v>
      </c>
      <c r="P852" t="s">
        <v>146</v>
      </c>
      <c r="Q852">
        <v>1.49</v>
      </c>
      <c r="R852" t="s">
        <v>125</v>
      </c>
      <c r="S852" t="s">
        <v>126</v>
      </c>
      <c r="T852" t="s">
        <v>125</v>
      </c>
      <c r="U852" t="s">
        <v>126</v>
      </c>
      <c r="W852">
        <v>1.49</v>
      </c>
      <c r="Y852">
        <v>1.49</v>
      </c>
      <c r="BE852">
        <v>1.49</v>
      </c>
      <c r="BH852" t="s">
        <v>126</v>
      </c>
      <c r="BI852" t="s">
        <v>126</v>
      </c>
      <c r="BJ852" t="s">
        <v>126</v>
      </c>
      <c r="BK852" t="s">
        <v>126</v>
      </c>
      <c r="BS852" t="s">
        <v>126</v>
      </c>
      <c r="BT852" t="s">
        <v>126</v>
      </c>
      <c r="BU852" t="s">
        <v>126</v>
      </c>
      <c r="BV852" t="s">
        <v>126</v>
      </c>
      <c r="CN852" t="s">
        <v>147</v>
      </c>
      <c r="CP852" t="s">
        <v>432</v>
      </c>
      <c r="CQ852" t="s">
        <v>147</v>
      </c>
    </row>
    <row r="853" spans="1:95" x14ac:dyDescent="0.2">
      <c r="A853" t="s">
        <v>115</v>
      </c>
      <c r="B853" t="s">
        <v>116</v>
      </c>
      <c r="C853">
        <v>210784</v>
      </c>
      <c r="E853" t="s">
        <v>117</v>
      </c>
      <c r="F853">
        <v>368</v>
      </c>
      <c r="G853" t="s">
        <v>141</v>
      </c>
      <c r="H853" t="s">
        <v>142</v>
      </c>
      <c r="I853" t="s">
        <v>279</v>
      </c>
      <c r="J853" t="s">
        <v>280</v>
      </c>
      <c r="L853" t="s">
        <v>521</v>
      </c>
      <c r="M853" s="8">
        <v>45809</v>
      </c>
      <c r="N853">
        <v>5740130</v>
      </c>
      <c r="O853" t="s">
        <v>123</v>
      </c>
      <c r="P853" t="s">
        <v>146</v>
      </c>
      <c r="Q853">
        <v>0.83</v>
      </c>
      <c r="R853" t="s">
        <v>125</v>
      </c>
      <c r="S853" t="s">
        <v>126</v>
      </c>
      <c r="T853" t="s">
        <v>125</v>
      </c>
      <c r="U853" t="s">
        <v>126</v>
      </c>
      <c r="W853">
        <v>0.83</v>
      </c>
      <c r="Y853">
        <v>0.83</v>
      </c>
      <c r="BE853">
        <v>0.83</v>
      </c>
      <c r="BH853" t="s">
        <v>126</v>
      </c>
      <c r="BI853" t="s">
        <v>126</v>
      </c>
      <c r="BJ853" t="s">
        <v>126</v>
      </c>
      <c r="BK853" t="s">
        <v>126</v>
      </c>
      <c r="BS853" t="s">
        <v>126</v>
      </c>
      <c r="BT853" t="s">
        <v>126</v>
      </c>
      <c r="BU853" t="s">
        <v>126</v>
      </c>
      <c r="BV853" t="s">
        <v>126</v>
      </c>
      <c r="CN853" t="s">
        <v>147</v>
      </c>
      <c r="CP853" t="s">
        <v>432</v>
      </c>
      <c r="CQ853" t="s">
        <v>147</v>
      </c>
    </row>
    <row r="854" spans="1:95" x14ac:dyDescent="0.2">
      <c r="A854" t="s">
        <v>115</v>
      </c>
      <c r="B854" t="s">
        <v>116</v>
      </c>
      <c r="C854">
        <v>210784</v>
      </c>
      <c r="E854" t="s">
        <v>117</v>
      </c>
      <c r="F854">
        <v>368</v>
      </c>
      <c r="G854" t="s">
        <v>141</v>
      </c>
      <c r="H854" t="s">
        <v>142</v>
      </c>
      <c r="I854" t="s">
        <v>279</v>
      </c>
      <c r="J854" t="s">
        <v>280</v>
      </c>
      <c r="L854" t="s">
        <v>726</v>
      </c>
      <c r="M854" s="8">
        <v>45809</v>
      </c>
      <c r="N854">
        <v>5741558</v>
      </c>
      <c r="O854" t="s">
        <v>123</v>
      </c>
      <c r="P854" t="s">
        <v>146</v>
      </c>
      <c r="Q854">
        <v>5.46</v>
      </c>
      <c r="R854" t="s">
        <v>125</v>
      </c>
      <c r="S854" t="s">
        <v>126</v>
      </c>
      <c r="T854" t="s">
        <v>125</v>
      </c>
      <c r="U854" t="s">
        <v>126</v>
      </c>
      <c r="W854">
        <v>5.46</v>
      </c>
      <c r="Y854">
        <v>5.46</v>
      </c>
      <c r="BE854">
        <v>5.46</v>
      </c>
      <c r="BH854" t="s">
        <v>126</v>
      </c>
      <c r="BI854" t="s">
        <v>126</v>
      </c>
      <c r="BJ854" t="s">
        <v>126</v>
      </c>
      <c r="BK854" t="s">
        <v>126</v>
      </c>
      <c r="BS854" t="s">
        <v>126</v>
      </c>
      <c r="BT854" t="s">
        <v>126</v>
      </c>
      <c r="BU854" t="s">
        <v>126</v>
      </c>
      <c r="BV854" t="s">
        <v>126</v>
      </c>
      <c r="CN854" t="s">
        <v>147</v>
      </c>
      <c r="CP854" t="s">
        <v>432</v>
      </c>
      <c r="CQ854" t="s">
        <v>147</v>
      </c>
    </row>
    <row r="855" spans="1:95" x14ac:dyDescent="0.2">
      <c r="A855" t="s">
        <v>115</v>
      </c>
      <c r="B855" t="s">
        <v>116</v>
      </c>
      <c r="C855">
        <v>210784</v>
      </c>
      <c r="E855" t="s">
        <v>117</v>
      </c>
      <c r="F855">
        <v>368</v>
      </c>
      <c r="G855" t="s">
        <v>141</v>
      </c>
      <c r="H855" t="s">
        <v>142</v>
      </c>
      <c r="I855" t="s">
        <v>279</v>
      </c>
      <c r="J855" t="s">
        <v>280</v>
      </c>
      <c r="L855" t="s">
        <v>726</v>
      </c>
      <c r="M855" s="8">
        <v>45809</v>
      </c>
      <c r="N855">
        <v>5741918</v>
      </c>
      <c r="O855" t="s">
        <v>123</v>
      </c>
      <c r="P855" t="s">
        <v>146</v>
      </c>
      <c r="Q855">
        <v>2.06</v>
      </c>
      <c r="R855" t="s">
        <v>125</v>
      </c>
      <c r="S855" t="s">
        <v>126</v>
      </c>
      <c r="T855" t="s">
        <v>125</v>
      </c>
      <c r="U855" t="s">
        <v>126</v>
      </c>
      <c r="W855">
        <v>2.06</v>
      </c>
      <c r="Y855">
        <v>2.06</v>
      </c>
      <c r="BE855">
        <v>2.06</v>
      </c>
      <c r="BH855" t="s">
        <v>126</v>
      </c>
      <c r="BI855" t="s">
        <v>126</v>
      </c>
      <c r="BJ855" t="s">
        <v>126</v>
      </c>
      <c r="BK855" t="s">
        <v>126</v>
      </c>
      <c r="BS855" t="s">
        <v>126</v>
      </c>
      <c r="BT855" t="s">
        <v>126</v>
      </c>
      <c r="BU855" t="s">
        <v>126</v>
      </c>
      <c r="BV855" t="s">
        <v>126</v>
      </c>
      <c r="CN855" t="s">
        <v>147</v>
      </c>
      <c r="CP855" t="s">
        <v>432</v>
      </c>
      <c r="CQ855" t="s">
        <v>147</v>
      </c>
    </row>
    <row r="856" spans="1:95" x14ac:dyDescent="0.2">
      <c r="A856" t="s">
        <v>115</v>
      </c>
      <c r="B856" t="s">
        <v>116</v>
      </c>
      <c r="C856">
        <v>210784</v>
      </c>
      <c r="E856" t="s">
        <v>117</v>
      </c>
      <c r="F856">
        <v>368</v>
      </c>
      <c r="G856" t="s">
        <v>141</v>
      </c>
      <c r="H856" t="s">
        <v>142</v>
      </c>
      <c r="I856" t="s">
        <v>279</v>
      </c>
      <c r="J856" t="s">
        <v>280</v>
      </c>
      <c r="L856" t="s">
        <v>727</v>
      </c>
      <c r="M856" s="8">
        <v>45809</v>
      </c>
      <c r="N856">
        <v>5742672</v>
      </c>
      <c r="O856" t="s">
        <v>123</v>
      </c>
      <c r="P856" t="s">
        <v>146</v>
      </c>
      <c r="Q856">
        <v>0.48</v>
      </c>
      <c r="R856" t="s">
        <v>125</v>
      </c>
      <c r="S856" t="s">
        <v>126</v>
      </c>
      <c r="T856" t="s">
        <v>125</v>
      </c>
      <c r="U856" t="s">
        <v>126</v>
      </c>
      <c r="W856">
        <v>0.48</v>
      </c>
      <c r="Y856">
        <v>0.48</v>
      </c>
      <c r="BE856">
        <v>0.48</v>
      </c>
      <c r="BH856" t="s">
        <v>126</v>
      </c>
      <c r="BI856" t="s">
        <v>126</v>
      </c>
      <c r="BJ856" t="s">
        <v>126</v>
      </c>
      <c r="BK856" t="s">
        <v>126</v>
      </c>
      <c r="BS856" t="s">
        <v>126</v>
      </c>
      <c r="BT856" t="s">
        <v>126</v>
      </c>
      <c r="BU856" t="s">
        <v>126</v>
      </c>
      <c r="BV856" t="s">
        <v>126</v>
      </c>
      <c r="CN856" t="s">
        <v>147</v>
      </c>
      <c r="CP856" t="s">
        <v>432</v>
      </c>
      <c r="CQ856" t="s">
        <v>147</v>
      </c>
    </row>
    <row r="857" spans="1:95" x14ac:dyDescent="0.2">
      <c r="A857" t="s">
        <v>115</v>
      </c>
      <c r="B857" t="s">
        <v>116</v>
      </c>
      <c r="C857">
        <v>210784</v>
      </c>
      <c r="E857" t="s">
        <v>117</v>
      </c>
      <c r="F857">
        <v>368</v>
      </c>
      <c r="G857" t="s">
        <v>141</v>
      </c>
      <c r="H857" t="s">
        <v>142</v>
      </c>
      <c r="I857" t="s">
        <v>279</v>
      </c>
      <c r="J857" t="s">
        <v>280</v>
      </c>
      <c r="L857" t="s">
        <v>728</v>
      </c>
      <c r="M857" s="8">
        <v>45809</v>
      </c>
      <c r="N857">
        <v>5744141</v>
      </c>
      <c r="O857" t="s">
        <v>123</v>
      </c>
      <c r="P857" t="s">
        <v>146</v>
      </c>
      <c r="Q857">
        <v>1.86</v>
      </c>
      <c r="R857" t="s">
        <v>125</v>
      </c>
      <c r="S857" t="s">
        <v>126</v>
      </c>
      <c r="T857" t="s">
        <v>125</v>
      </c>
      <c r="U857" t="s">
        <v>126</v>
      </c>
      <c r="W857">
        <v>1.86</v>
      </c>
      <c r="Y857">
        <v>1.86</v>
      </c>
      <c r="BE857">
        <v>1.86</v>
      </c>
      <c r="BH857" t="s">
        <v>126</v>
      </c>
      <c r="BI857" t="s">
        <v>126</v>
      </c>
      <c r="BJ857" t="s">
        <v>126</v>
      </c>
      <c r="BK857" t="s">
        <v>126</v>
      </c>
      <c r="BS857" t="s">
        <v>126</v>
      </c>
      <c r="BT857" t="s">
        <v>126</v>
      </c>
      <c r="BU857" t="s">
        <v>126</v>
      </c>
      <c r="BV857" t="s">
        <v>126</v>
      </c>
      <c r="CN857" t="s">
        <v>147</v>
      </c>
      <c r="CP857" t="s">
        <v>431</v>
      </c>
      <c r="CQ857" t="s">
        <v>147</v>
      </c>
    </row>
    <row r="858" spans="1:95" x14ac:dyDescent="0.2">
      <c r="A858" t="s">
        <v>115</v>
      </c>
      <c r="B858" t="s">
        <v>116</v>
      </c>
      <c r="C858">
        <v>210784</v>
      </c>
      <c r="E858" t="s">
        <v>117</v>
      </c>
      <c r="F858">
        <v>368</v>
      </c>
      <c r="G858" t="s">
        <v>141</v>
      </c>
      <c r="H858" t="s">
        <v>142</v>
      </c>
      <c r="I858" t="s">
        <v>279</v>
      </c>
      <c r="J858" t="s">
        <v>280</v>
      </c>
      <c r="L858" t="s">
        <v>432</v>
      </c>
      <c r="M858" s="8">
        <v>45809</v>
      </c>
      <c r="N858">
        <v>5745421</v>
      </c>
      <c r="O858" t="s">
        <v>123</v>
      </c>
      <c r="P858" t="s">
        <v>146</v>
      </c>
      <c r="Q858">
        <v>1.67</v>
      </c>
      <c r="R858" t="s">
        <v>125</v>
      </c>
      <c r="S858" t="s">
        <v>126</v>
      </c>
      <c r="T858" t="s">
        <v>125</v>
      </c>
      <c r="U858" t="s">
        <v>126</v>
      </c>
      <c r="W858">
        <v>1.67</v>
      </c>
      <c r="Y858">
        <v>1.67</v>
      </c>
      <c r="BE858">
        <v>1.67</v>
      </c>
      <c r="BH858" t="s">
        <v>126</v>
      </c>
      <c r="BI858" t="s">
        <v>126</v>
      </c>
      <c r="BJ858" t="s">
        <v>126</v>
      </c>
      <c r="BK858" t="s">
        <v>126</v>
      </c>
      <c r="BS858" t="s">
        <v>126</v>
      </c>
      <c r="BT858" t="s">
        <v>126</v>
      </c>
      <c r="BU858" t="s">
        <v>126</v>
      </c>
      <c r="BV858" t="s">
        <v>126</v>
      </c>
      <c r="CN858" t="s">
        <v>147</v>
      </c>
      <c r="CP858" t="s">
        <v>431</v>
      </c>
      <c r="CQ858" t="s">
        <v>147</v>
      </c>
    </row>
    <row r="859" spans="1:95" x14ac:dyDescent="0.2">
      <c r="A859" t="s">
        <v>115</v>
      </c>
      <c r="B859" t="s">
        <v>116</v>
      </c>
      <c r="C859">
        <v>210784</v>
      </c>
      <c r="E859" t="s">
        <v>117</v>
      </c>
      <c r="F859">
        <v>368</v>
      </c>
      <c r="G859" t="s">
        <v>141</v>
      </c>
      <c r="H859" t="s">
        <v>142</v>
      </c>
      <c r="I859" t="s">
        <v>172</v>
      </c>
      <c r="J859" t="s">
        <v>173</v>
      </c>
      <c r="L859" t="s">
        <v>174</v>
      </c>
      <c r="M859" s="8">
        <v>45839</v>
      </c>
      <c r="N859">
        <v>124365</v>
      </c>
      <c r="O859" t="s">
        <v>123</v>
      </c>
      <c r="P859" t="s">
        <v>146</v>
      </c>
      <c r="Q859">
        <v>4.149</v>
      </c>
      <c r="R859" t="s">
        <v>125</v>
      </c>
      <c r="S859" t="s">
        <v>126</v>
      </c>
      <c r="T859" t="s">
        <v>125</v>
      </c>
      <c r="U859" t="s">
        <v>126</v>
      </c>
      <c r="W859">
        <v>4.149</v>
      </c>
      <c r="Y859">
        <v>4.149</v>
      </c>
      <c r="AB859">
        <v>4.149</v>
      </c>
      <c r="BH859" t="s">
        <v>126</v>
      </c>
      <c r="BI859" t="s">
        <v>126</v>
      </c>
      <c r="BJ859" t="s">
        <v>126</v>
      </c>
      <c r="BK859" t="s">
        <v>126</v>
      </c>
      <c r="BS859" t="s">
        <v>126</v>
      </c>
      <c r="BT859" t="s">
        <v>126</v>
      </c>
      <c r="BU859" t="s">
        <v>126</v>
      </c>
      <c r="BV859" t="s">
        <v>126</v>
      </c>
      <c r="CN859" t="s">
        <v>147</v>
      </c>
      <c r="CP859" t="s">
        <v>175</v>
      </c>
      <c r="CQ859" t="s">
        <v>147</v>
      </c>
    </row>
    <row r="860" spans="1:95" x14ac:dyDescent="0.2">
      <c r="A860" t="s">
        <v>115</v>
      </c>
      <c r="B860" t="s">
        <v>116</v>
      </c>
      <c r="C860">
        <v>210784</v>
      </c>
      <c r="E860" t="s">
        <v>117</v>
      </c>
      <c r="F860">
        <v>368</v>
      </c>
      <c r="G860" t="s">
        <v>141</v>
      </c>
      <c r="H860" t="s">
        <v>142</v>
      </c>
      <c r="I860" t="s">
        <v>130</v>
      </c>
      <c r="J860" t="s">
        <v>131</v>
      </c>
      <c r="L860" t="s">
        <v>291</v>
      </c>
      <c r="M860" s="8">
        <v>45839</v>
      </c>
      <c r="N860">
        <v>7318773</v>
      </c>
      <c r="O860" t="s">
        <v>123</v>
      </c>
      <c r="P860" t="s">
        <v>146</v>
      </c>
      <c r="Q860">
        <v>12.32</v>
      </c>
      <c r="R860" t="s">
        <v>125</v>
      </c>
      <c r="S860" t="s">
        <v>126</v>
      </c>
      <c r="T860" t="s">
        <v>125</v>
      </c>
      <c r="U860" t="s">
        <v>126</v>
      </c>
      <c r="W860">
        <v>12.32</v>
      </c>
      <c r="Y860">
        <v>12.32</v>
      </c>
      <c r="AC860">
        <v>12.32</v>
      </c>
      <c r="BH860" t="s">
        <v>126</v>
      </c>
      <c r="BI860" t="s">
        <v>126</v>
      </c>
      <c r="BJ860" t="s">
        <v>126</v>
      </c>
      <c r="BK860" t="s">
        <v>126</v>
      </c>
      <c r="BS860" t="s">
        <v>126</v>
      </c>
      <c r="BT860" t="s">
        <v>126</v>
      </c>
      <c r="BU860" t="s">
        <v>126</v>
      </c>
      <c r="BV860" t="s">
        <v>126</v>
      </c>
      <c r="CN860" t="s">
        <v>147</v>
      </c>
      <c r="CP860" t="s">
        <v>175</v>
      </c>
      <c r="CQ860" t="s">
        <v>147</v>
      </c>
    </row>
    <row r="861" spans="1:95" x14ac:dyDescent="0.2">
      <c r="A861" t="s">
        <v>115</v>
      </c>
      <c r="B861" t="s">
        <v>116</v>
      </c>
      <c r="C861">
        <v>210784</v>
      </c>
      <c r="E861" t="s">
        <v>117</v>
      </c>
      <c r="F861">
        <v>368</v>
      </c>
      <c r="G861" t="s">
        <v>141</v>
      </c>
      <c r="H861" t="s">
        <v>142</v>
      </c>
      <c r="I861" t="s">
        <v>279</v>
      </c>
      <c r="J861" t="s">
        <v>280</v>
      </c>
      <c r="L861" t="s">
        <v>433</v>
      </c>
      <c r="M861" s="8">
        <v>45839</v>
      </c>
      <c r="N861">
        <v>5751489</v>
      </c>
      <c r="O861" t="s">
        <v>123</v>
      </c>
      <c r="P861" t="s">
        <v>146</v>
      </c>
      <c r="Q861">
        <v>3.4</v>
      </c>
      <c r="R861" t="s">
        <v>125</v>
      </c>
      <c r="S861" t="s">
        <v>126</v>
      </c>
      <c r="T861" t="s">
        <v>125</v>
      </c>
      <c r="U861" t="s">
        <v>126</v>
      </c>
      <c r="W861">
        <v>3.4</v>
      </c>
      <c r="Y861">
        <v>3.4</v>
      </c>
      <c r="AS861">
        <v>3.4</v>
      </c>
      <c r="BH861" t="s">
        <v>126</v>
      </c>
      <c r="BI861" t="s">
        <v>126</v>
      </c>
      <c r="BJ861" t="s">
        <v>126</v>
      </c>
      <c r="BK861" t="s">
        <v>126</v>
      </c>
      <c r="BS861" t="s">
        <v>126</v>
      </c>
      <c r="BT861" t="s">
        <v>126</v>
      </c>
      <c r="BU861" t="s">
        <v>126</v>
      </c>
      <c r="BV861" t="s">
        <v>126</v>
      </c>
      <c r="CN861" t="s">
        <v>147</v>
      </c>
      <c r="CP861" t="s">
        <v>431</v>
      </c>
      <c r="CQ861" t="s">
        <v>147</v>
      </c>
    </row>
    <row r="862" spans="1:95" x14ac:dyDescent="0.2">
      <c r="A862" t="s">
        <v>115</v>
      </c>
      <c r="B862" t="s">
        <v>116</v>
      </c>
      <c r="C862">
        <v>210784</v>
      </c>
      <c r="E862" t="s">
        <v>117</v>
      </c>
      <c r="F862">
        <v>368</v>
      </c>
      <c r="G862" t="s">
        <v>141</v>
      </c>
      <c r="H862" t="s">
        <v>142</v>
      </c>
      <c r="I862" t="s">
        <v>279</v>
      </c>
      <c r="J862" t="s">
        <v>280</v>
      </c>
      <c r="L862" t="s">
        <v>434</v>
      </c>
      <c r="M862" s="8">
        <v>45839</v>
      </c>
      <c r="N862">
        <v>5754129</v>
      </c>
      <c r="O862" t="s">
        <v>123</v>
      </c>
      <c r="P862" t="s">
        <v>146</v>
      </c>
      <c r="Q862">
        <v>3.18</v>
      </c>
      <c r="R862" t="s">
        <v>125</v>
      </c>
      <c r="S862" t="s">
        <v>126</v>
      </c>
      <c r="T862" t="s">
        <v>125</v>
      </c>
      <c r="U862" t="s">
        <v>126</v>
      </c>
      <c r="W862">
        <v>3.18</v>
      </c>
      <c r="Y862">
        <v>3.18</v>
      </c>
      <c r="AS862">
        <v>3.18</v>
      </c>
      <c r="BH862" t="s">
        <v>126</v>
      </c>
      <c r="BI862" t="s">
        <v>126</v>
      </c>
      <c r="BJ862" t="s">
        <v>126</v>
      </c>
      <c r="BK862" t="s">
        <v>126</v>
      </c>
      <c r="BS862" t="s">
        <v>126</v>
      </c>
      <c r="BT862" t="s">
        <v>126</v>
      </c>
      <c r="BU862" t="s">
        <v>126</v>
      </c>
      <c r="BV862" t="s">
        <v>126</v>
      </c>
      <c r="CN862" t="s">
        <v>147</v>
      </c>
      <c r="CP862" t="s">
        <v>431</v>
      </c>
      <c r="CQ862" t="s">
        <v>147</v>
      </c>
    </row>
    <row r="863" spans="1:95" x14ac:dyDescent="0.2">
      <c r="A863" t="s">
        <v>115</v>
      </c>
      <c r="B863" t="s">
        <v>116</v>
      </c>
      <c r="C863">
        <v>210784</v>
      </c>
      <c r="E863" t="s">
        <v>117</v>
      </c>
      <c r="F863">
        <v>368</v>
      </c>
      <c r="G863" t="s">
        <v>141</v>
      </c>
      <c r="H863" t="s">
        <v>142</v>
      </c>
      <c r="I863" t="s">
        <v>279</v>
      </c>
      <c r="J863" t="s">
        <v>280</v>
      </c>
      <c r="L863" t="s">
        <v>435</v>
      </c>
      <c r="M863" s="8">
        <v>45839</v>
      </c>
      <c r="N863">
        <v>5755592</v>
      </c>
      <c r="O863" t="s">
        <v>123</v>
      </c>
      <c r="P863" t="s">
        <v>146</v>
      </c>
      <c r="Q863">
        <v>1.33</v>
      </c>
      <c r="R863" t="s">
        <v>125</v>
      </c>
      <c r="S863" t="s">
        <v>126</v>
      </c>
      <c r="T863" t="s">
        <v>125</v>
      </c>
      <c r="U863" t="s">
        <v>126</v>
      </c>
      <c r="W863">
        <v>1.33</v>
      </c>
      <c r="Y863">
        <v>1.33</v>
      </c>
      <c r="AS863">
        <v>1.33</v>
      </c>
      <c r="BH863" t="s">
        <v>126</v>
      </c>
      <c r="BI863" t="s">
        <v>126</v>
      </c>
      <c r="BJ863" t="s">
        <v>126</v>
      </c>
      <c r="BK863" t="s">
        <v>126</v>
      </c>
      <c r="BS863" t="s">
        <v>126</v>
      </c>
      <c r="BT863" t="s">
        <v>126</v>
      </c>
      <c r="BU863" t="s">
        <v>126</v>
      </c>
      <c r="BV863" t="s">
        <v>126</v>
      </c>
      <c r="CN863" t="s">
        <v>147</v>
      </c>
      <c r="CP863" t="s">
        <v>431</v>
      </c>
      <c r="CQ863" t="s">
        <v>147</v>
      </c>
    </row>
    <row r="864" spans="1:95" x14ac:dyDescent="0.2">
      <c r="A864" t="s">
        <v>115</v>
      </c>
      <c r="B864" t="s">
        <v>116</v>
      </c>
      <c r="C864">
        <v>210784</v>
      </c>
      <c r="E864" t="s">
        <v>117</v>
      </c>
      <c r="F864">
        <v>368</v>
      </c>
      <c r="G864" t="s">
        <v>141</v>
      </c>
      <c r="H864" t="s">
        <v>142</v>
      </c>
      <c r="I864" t="s">
        <v>279</v>
      </c>
      <c r="J864" t="s">
        <v>280</v>
      </c>
      <c r="L864" t="s">
        <v>436</v>
      </c>
      <c r="M864" s="8">
        <v>45839</v>
      </c>
      <c r="N864">
        <v>5756663</v>
      </c>
      <c r="O864" t="s">
        <v>123</v>
      </c>
      <c r="P864" t="s">
        <v>146</v>
      </c>
      <c r="Q864">
        <v>4.71</v>
      </c>
      <c r="R864" t="s">
        <v>125</v>
      </c>
      <c r="S864" t="s">
        <v>126</v>
      </c>
      <c r="T864" t="s">
        <v>125</v>
      </c>
      <c r="U864" t="s">
        <v>126</v>
      </c>
      <c r="W864">
        <v>4.71</v>
      </c>
      <c r="Y864">
        <v>4.71</v>
      </c>
      <c r="AS864">
        <v>4.71</v>
      </c>
      <c r="BH864" t="s">
        <v>126</v>
      </c>
      <c r="BI864" t="s">
        <v>126</v>
      </c>
      <c r="BJ864" t="s">
        <v>126</v>
      </c>
      <c r="BK864" t="s">
        <v>126</v>
      </c>
      <c r="BS864" t="s">
        <v>126</v>
      </c>
      <c r="BT864" t="s">
        <v>126</v>
      </c>
      <c r="BU864" t="s">
        <v>126</v>
      </c>
      <c r="BV864" t="s">
        <v>126</v>
      </c>
      <c r="CN864" t="s">
        <v>147</v>
      </c>
      <c r="CP864" t="s">
        <v>431</v>
      </c>
      <c r="CQ864" t="s">
        <v>147</v>
      </c>
    </row>
    <row r="865" spans="1:95" x14ac:dyDescent="0.2">
      <c r="A865" t="s">
        <v>115</v>
      </c>
      <c r="B865" t="s">
        <v>116</v>
      </c>
      <c r="C865">
        <v>210784</v>
      </c>
      <c r="E865" t="s">
        <v>117</v>
      </c>
      <c r="F865">
        <v>368</v>
      </c>
      <c r="G865" t="s">
        <v>141</v>
      </c>
      <c r="H865" t="s">
        <v>142</v>
      </c>
      <c r="I865" t="s">
        <v>279</v>
      </c>
      <c r="J865" t="s">
        <v>280</v>
      </c>
      <c r="L865" t="s">
        <v>437</v>
      </c>
      <c r="M865" s="8">
        <v>45839</v>
      </c>
      <c r="N865">
        <v>5757648</v>
      </c>
      <c r="O865" t="s">
        <v>123</v>
      </c>
      <c r="P865" t="s">
        <v>146</v>
      </c>
      <c r="Q865">
        <v>4.78</v>
      </c>
      <c r="R865" t="s">
        <v>125</v>
      </c>
      <c r="S865" t="s">
        <v>126</v>
      </c>
      <c r="T865" t="s">
        <v>125</v>
      </c>
      <c r="U865" t="s">
        <v>126</v>
      </c>
      <c r="W865">
        <v>4.78</v>
      </c>
      <c r="Y865">
        <v>4.78</v>
      </c>
      <c r="AS865">
        <v>4.78</v>
      </c>
      <c r="BH865" t="s">
        <v>126</v>
      </c>
      <c r="BI865" t="s">
        <v>126</v>
      </c>
      <c r="BJ865" t="s">
        <v>126</v>
      </c>
      <c r="BK865" t="s">
        <v>126</v>
      </c>
      <c r="BS865" t="s">
        <v>126</v>
      </c>
      <c r="BT865" t="s">
        <v>126</v>
      </c>
      <c r="BU865" t="s">
        <v>126</v>
      </c>
      <c r="BV865" t="s">
        <v>126</v>
      </c>
      <c r="CN865" t="s">
        <v>147</v>
      </c>
      <c r="CP865" t="s">
        <v>431</v>
      </c>
      <c r="CQ865" t="s">
        <v>147</v>
      </c>
    </row>
    <row r="866" spans="1:95" x14ac:dyDescent="0.2">
      <c r="A866" t="s">
        <v>115</v>
      </c>
      <c r="B866" t="s">
        <v>116</v>
      </c>
      <c r="C866">
        <v>210784</v>
      </c>
      <c r="E866" t="s">
        <v>117</v>
      </c>
      <c r="F866">
        <v>368</v>
      </c>
      <c r="G866" t="s">
        <v>141</v>
      </c>
      <c r="H866" t="s">
        <v>142</v>
      </c>
      <c r="I866" t="s">
        <v>279</v>
      </c>
      <c r="J866" t="s">
        <v>280</v>
      </c>
      <c r="L866" t="s">
        <v>437</v>
      </c>
      <c r="M866" s="8">
        <v>45839</v>
      </c>
      <c r="N866">
        <v>5758310</v>
      </c>
      <c r="O866" t="s">
        <v>123</v>
      </c>
      <c r="P866" t="s">
        <v>146</v>
      </c>
      <c r="Q866">
        <v>4.92</v>
      </c>
      <c r="R866" t="s">
        <v>125</v>
      </c>
      <c r="S866" t="s">
        <v>126</v>
      </c>
      <c r="T866" t="s">
        <v>125</v>
      </c>
      <c r="U866" t="s">
        <v>126</v>
      </c>
      <c r="W866">
        <v>4.92</v>
      </c>
      <c r="Y866">
        <v>4.92</v>
      </c>
      <c r="AS866">
        <v>4.92</v>
      </c>
      <c r="BH866" t="s">
        <v>126</v>
      </c>
      <c r="BI866" t="s">
        <v>126</v>
      </c>
      <c r="BJ866" t="s">
        <v>126</v>
      </c>
      <c r="BK866" t="s">
        <v>126</v>
      </c>
      <c r="BS866" t="s">
        <v>126</v>
      </c>
      <c r="BT866" t="s">
        <v>126</v>
      </c>
      <c r="BU866" t="s">
        <v>126</v>
      </c>
      <c r="BV866" t="s">
        <v>126</v>
      </c>
      <c r="CN866" t="s">
        <v>147</v>
      </c>
      <c r="CP866" t="s">
        <v>431</v>
      </c>
      <c r="CQ866" t="s">
        <v>147</v>
      </c>
    </row>
    <row r="867" spans="1:95" x14ac:dyDescent="0.2">
      <c r="A867" t="s">
        <v>115</v>
      </c>
      <c r="B867" t="s">
        <v>116</v>
      </c>
      <c r="C867">
        <v>210784</v>
      </c>
      <c r="E867" t="s">
        <v>117</v>
      </c>
      <c r="F867">
        <v>368</v>
      </c>
      <c r="G867" t="s">
        <v>141</v>
      </c>
      <c r="H867" t="s">
        <v>142</v>
      </c>
      <c r="I867" t="s">
        <v>279</v>
      </c>
      <c r="J867" t="s">
        <v>280</v>
      </c>
      <c r="L867" t="s">
        <v>438</v>
      </c>
      <c r="M867" s="8">
        <v>45839</v>
      </c>
      <c r="N867">
        <v>5759020</v>
      </c>
      <c r="O867" t="s">
        <v>123</v>
      </c>
      <c r="P867" t="s">
        <v>146</v>
      </c>
      <c r="Q867">
        <v>3.78</v>
      </c>
      <c r="R867" t="s">
        <v>125</v>
      </c>
      <c r="S867" t="s">
        <v>126</v>
      </c>
      <c r="T867" t="s">
        <v>125</v>
      </c>
      <c r="U867" t="s">
        <v>126</v>
      </c>
      <c r="W867">
        <v>3.78</v>
      </c>
      <c r="Y867">
        <v>3.78</v>
      </c>
      <c r="AS867">
        <v>3.78</v>
      </c>
      <c r="BH867" t="s">
        <v>126</v>
      </c>
      <c r="BI867" t="s">
        <v>126</v>
      </c>
      <c r="BJ867" t="s">
        <v>126</v>
      </c>
      <c r="BK867" t="s">
        <v>126</v>
      </c>
      <c r="BS867" t="s">
        <v>126</v>
      </c>
      <c r="BT867" t="s">
        <v>126</v>
      </c>
      <c r="BU867" t="s">
        <v>126</v>
      </c>
      <c r="BV867" t="s">
        <v>126</v>
      </c>
      <c r="CN867" t="s">
        <v>147</v>
      </c>
      <c r="CP867" t="s">
        <v>431</v>
      </c>
      <c r="CQ867" t="s">
        <v>147</v>
      </c>
    </row>
    <row r="868" spans="1:95" x14ac:dyDescent="0.2">
      <c r="A868" t="s">
        <v>115</v>
      </c>
      <c r="B868" t="s">
        <v>116</v>
      </c>
      <c r="C868">
        <v>210784</v>
      </c>
      <c r="E868" t="s">
        <v>117</v>
      </c>
      <c r="F868">
        <v>368</v>
      </c>
      <c r="G868" t="s">
        <v>141</v>
      </c>
      <c r="H868" t="s">
        <v>142</v>
      </c>
      <c r="I868" t="s">
        <v>279</v>
      </c>
      <c r="J868" t="s">
        <v>280</v>
      </c>
      <c r="L868" t="s">
        <v>439</v>
      </c>
      <c r="M868" s="8">
        <v>45839</v>
      </c>
      <c r="N868">
        <v>5760789</v>
      </c>
      <c r="O868" t="s">
        <v>123</v>
      </c>
      <c r="P868" t="s">
        <v>146</v>
      </c>
      <c r="Q868">
        <v>2.4300000000000002</v>
      </c>
      <c r="R868" t="s">
        <v>125</v>
      </c>
      <c r="S868" t="s">
        <v>126</v>
      </c>
      <c r="T868" t="s">
        <v>125</v>
      </c>
      <c r="U868" t="s">
        <v>126</v>
      </c>
      <c r="W868">
        <v>2.4300000000000002</v>
      </c>
      <c r="Y868">
        <v>2.4300000000000002</v>
      </c>
      <c r="AS868">
        <v>2.4300000000000002</v>
      </c>
      <c r="BH868" t="s">
        <v>126</v>
      </c>
      <c r="BI868" t="s">
        <v>126</v>
      </c>
      <c r="BJ868" t="s">
        <v>126</v>
      </c>
      <c r="BK868" t="s">
        <v>126</v>
      </c>
      <c r="BS868" t="s">
        <v>126</v>
      </c>
      <c r="BT868" t="s">
        <v>126</v>
      </c>
      <c r="BU868" t="s">
        <v>126</v>
      </c>
      <c r="BV868" t="s">
        <v>126</v>
      </c>
      <c r="CN868" t="s">
        <v>147</v>
      </c>
      <c r="CP868" t="s">
        <v>431</v>
      </c>
      <c r="CQ868" t="s">
        <v>147</v>
      </c>
    </row>
    <row r="869" spans="1:95" x14ac:dyDescent="0.2">
      <c r="A869" t="s">
        <v>115</v>
      </c>
      <c r="B869" t="s">
        <v>116</v>
      </c>
      <c r="C869">
        <v>210784</v>
      </c>
      <c r="E869" t="s">
        <v>117</v>
      </c>
      <c r="F869">
        <v>368</v>
      </c>
      <c r="G869" t="s">
        <v>141</v>
      </c>
      <c r="H869" t="s">
        <v>142</v>
      </c>
      <c r="I869" t="s">
        <v>279</v>
      </c>
      <c r="J869" t="s">
        <v>280</v>
      </c>
      <c r="L869" t="s">
        <v>439</v>
      </c>
      <c r="M869" s="8">
        <v>45839</v>
      </c>
      <c r="N869">
        <v>5761394</v>
      </c>
      <c r="O869" t="s">
        <v>123</v>
      </c>
      <c r="P869" t="s">
        <v>146</v>
      </c>
      <c r="Q869">
        <v>4.04</v>
      </c>
      <c r="R869" t="s">
        <v>125</v>
      </c>
      <c r="S869" t="s">
        <v>126</v>
      </c>
      <c r="T869" t="s">
        <v>125</v>
      </c>
      <c r="U869" t="s">
        <v>126</v>
      </c>
      <c r="W869">
        <v>4.04</v>
      </c>
      <c r="Y869">
        <v>4.04</v>
      </c>
      <c r="AS869">
        <v>4.04</v>
      </c>
      <c r="BH869" t="s">
        <v>126</v>
      </c>
      <c r="BI869" t="s">
        <v>126</v>
      </c>
      <c r="BJ869" t="s">
        <v>126</v>
      </c>
      <c r="BK869" t="s">
        <v>126</v>
      </c>
      <c r="BS869" t="s">
        <v>126</v>
      </c>
      <c r="BT869" t="s">
        <v>126</v>
      </c>
      <c r="BU869" t="s">
        <v>126</v>
      </c>
      <c r="BV869" t="s">
        <v>126</v>
      </c>
      <c r="CN869" t="s">
        <v>147</v>
      </c>
      <c r="CP869" t="s">
        <v>431</v>
      </c>
      <c r="CQ869" t="s">
        <v>147</v>
      </c>
    </row>
    <row r="870" spans="1:95" x14ac:dyDescent="0.2">
      <c r="A870" t="s">
        <v>115</v>
      </c>
      <c r="B870" t="s">
        <v>116</v>
      </c>
      <c r="C870">
        <v>210784</v>
      </c>
      <c r="E870" t="s">
        <v>117</v>
      </c>
      <c r="F870">
        <v>368</v>
      </c>
      <c r="G870" t="s">
        <v>141</v>
      </c>
      <c r="H870" t="s">
        <v>142</v>
      </c>
      <c r="I870" t="s">
        <v>279</v>
      </c>
      <c r="J870" t="s">
        <v>280</v>
      </c>
      <c r="L870" t="s">
        <v>440</v>
      </c>
      <c r="M870" s="8">
        <v>45839</v>
      </c>
      <c r="N870">
        <v>5762375</v>
      </c>
      <c r="O870" t="s">
        <v>123</v>
      </c>
      <c r="P870" t="s">
        <v>146</v>
      </c>
      <c r="Q870">
        <v>5.63</v>
      </c>
      <c r="R870" t="s">
        <v>125</v>
      </c>
      <c r="S870" t="s">
        <v>126</v>
      </c>
      <c r="T870" t="s">
        <v>125</v>
      </c>
      <c r="U870" t="s">
        <v>126</v>
      </c>
      <c r="W870">
        <v>5.63</v>
      </c>
      <c r="Y870">
        <v>5.63</v>
      </c>
      <c r="AS870">
        <v>5.63</v>
      </c>
      <c r="BH870" t="s">
        <v>126</v>
      </c>
      <c r="BI870" t="s">
        <v>126</v>
      </c>
      <c r="BJ870" t="s">
        <v>126</v>
      </c>
      <c r="BK870" t="s">
        <v>126</v>
      </c>
      <c r="BS870" t="s">
        <v>126</v>
      </c>
      <c r="BT870" t="s">
        <v>126</v>
      </c>
      <c r="BU870" t="s">
        <v>126</v>
      </c>
      <c r="BV870" t="s">
        <v>126</v>
      </c>
      <c r="CN870" t="s">
        <v>147</v>
      </c>
      <c r="CP870" t="s">
        <v>431</v>
      </c>
      <c r="CQ870" t="s">
        <v>147</v>
      </c>
    </row>
    <row r="871" spans="1:95" x14ac:dyDescent="0.2">
      <c r="A871" t="s">
        <v>115</v>
      </c>
      <c r="B871" t="s">
        <v>116</v>
      </c>
      <c r="C871">
        <v>210784</v>
      </c>
      <c r="E871" t="s">
        <v>117</v>
      </c>
      <c r="F871">
        <v>368</v>
      </c>
      <c r="G871" t="s">
        <v>141</v>
      </c>
      <c r="H871" t="s">
        <v>142</v>
      </c>
      <c r="I871" t="s">
        <v>279</v>
      </c>
      <c r="J871" t="s">
        <v>280</v>
      </c>
      <c r="L871" t="s">
        <v>441</v>
      </c>
      <c r="M871" s="8">
        <v>45839</v>
      </c>
      <c r="N871">
        <v>5763284</v>
      </c>
      <c r="O871" t="s">
        <v>123</v>
      </c>
      <c r="P871" t="s">
        <v>146</v>
      </c>
      <c r="Q871">
        <v>4.5199999999999996</v>
      </c>
      <c r="R871" t="s">
        <v>125</v>
      </c>
      <c r="S871" t="s">
        <v>126</v>
      </c>
      <c r="T871" t="s">
        <v>125</v>
      </c>
      <c r="U871" t="s">
        <v>126</v>
      </c>
      <c r="W871">
        <v>4.5199999999999996</v>
      </c>
      <c r="Y871">
        <v>4.5199999999999996</v>
      </c>
      <c r="AS871">
        <v>4.5199999999999996</v>
      </c>
      <c r="BH871" t="s">
        <v>126</v>
      </c>
      <c r="BI871" t="s">
        <v>126</v>
      </c>
      <c r="BJ871" t="s">
        <v>126</v>
      </c>
      <c r="BK871" t="s">
        <v>126</v>
      </c>
      <c r="BS871" t="s">
        <v>126</v>
      </c>
      <c r="BT871" t="s">
        <v>126</v>
      </c>
      <c r="BU871" t="s">
        <v>126</v>
      </c>
      <c r="BV871" t="s">
        <v>126</v>
      </c>
      <c r="CN871" t="s">
        <v>147</v>
      </c>
      <c r="CP871" t="s">
        <v>442</v>
      </c>
      <c r="CQ871" t="s">
        <v>147</v>
      </c>
    </row>
    <row r="872" spans="1:95" x14ac:dyDescent="0.2">
      <c r="A872" t="s">
        <v>115</v>
      </c>
      <c r="B872" t="s">
        <v>116</v>
      </c>
      <c r="C872">
        <v>210784</v>
      </c>
      <c r="E872" t="s">
        <v>117</v>
      </c>
      <c r="F872">
        <v>368</v>
      </c>
      <c r="G872" t="s">
        <v>141</v>
      </c>
      <c r="H872" t="s">
        <v>142</v>
      </c>
      <c r="I872" t="s">
        <v>279</v>
      </c>
      <c r="J872" t="s">
        <v>280</v>
      </c>
      <c r="L872" t="s">
        <v>729</v>
      </c>
      <c r="M872" s="8">
        <v>45839</v>
      </c>
      <c r="N872">
        <v>5747081</v>
      </c>
      <c r="O872" t="s">
        <v>123</v>
      </c>
      <c r="P872" t="s">
        <v>146</v>
      </c>
      <c r="Q872">
        <v>5.74</v>
      </c>
      <c r="R872" t="s">
        <v>584</v>
      </c>
      <c r="S872" t="s">
        <v>126</v>
      </c>
      <c r="T872" t="s">
        <v>584</v>
      </c>
      <c r="U872" t="s">
        <v>585</v>
      </c>
      <c r="W872">
        <v>1.77</v>
      </c>
      <c r="X872">
        <v>3.97</v>
      </c>
      <c r="Y872">
        <v>5.74</v>
      </c>
      <c r="Z872">
        <v>2.1800000000000002</v>
      </c>
      <c r="AG872">
        <v>1.77</v>
      </c>
      <c r="AI872">
        <v>1.79</v>
      </c>
      <c r="BH872" t="s">
        <v>126</v>
      </c>
      <c r="BI872" t="s">
        <v>126</v>
      </c>
      <c r="BJ872" t="s">
        <v>126</v>
      </c>
      <c r="BK872" t="s">
        <v>126</v>
      </c>
      <c r="BS872" t="s">
        <v>126</v>
      </c>
      <c r="BT872" t="s">
        <v>126</v>
      </c>
      <c r="BU872" t="s">
        <v>126</v>
      </c>
      <c r="BV872" t="s">
        <v>126</v>
      </c>
      <c r="CN872" t="s">
        <v>147</v>
      </c>
      <c r="CP872" t="s">
        <v>431</v>
      </c>
      <c r="CQ872" t="s">
        <v>147</v>
      </c>
    </row>
    <row r="873" spans="1:95" x14ac:dyDescent="0.2">
      <c r="A873" t="s">
        <v>115</v>
      </c>
      <c r="B873" t="s">
        <v>116</v>
      </c>
      <c r="C873">
        <v>210784</v>
      </c>
      <c r="E873" t="s">
        <v>117</v>
      </c>
      <c r="F873">
        <v>368</v>
      </c>
      <c r="G873" t="s">
        <v>141</v>
      </c>
      <c r="H873" t="s">
        <v>142</v>
      </c>
      <c r="I873" t="s">
        <v>279</v>
      </c>
      <c r="J873" t="s">
        <v>280</v>
      </c>
      <c r="L873" t="s">
        <v>729</v>
      </c>
      <c r="M873" s="8">
        <v>45839</v>
      </c>
      <c r="N873">
        <v>5747634</v>
      </c>
      <c r="O873" t="s">
        <v>123</v>
      </c>
      <c r="P873" t="s">
        <v>146</v>
      </c>
      <c r="Q873">
        <v>2.4900000000000002</v>
      </c>
      <c r="R873" t="s">
        <v>623</v>
      </c>
      <c r="S873" t="s">
        <v>126</v>
      </c>
      <c r="T873" t="s">
        <v>623</v>
      </c>
      <c r="U873" t="s">
        <v>624</v>
      </c>
      <c r="W873">
        <v>0.77</v>
      </c>
      <c r="X873">
        <v>1.72</v>
      </c>
      <c r="Y873">
        <v>2.4900000000000002</v>
      </c>
      <c r="Z873">
        <v>0.94</v>
      </c>
      <c r="AG873">
        <v>0.77</v>
      </c>
      <c r="AI873">
        <v>0.78</v>
      </c>
      <c r="BH873" t="s">
        <v>126</v>
      </c>
      <c r="BI873" t="s">
        <v>126</v>
      </c>
      <c r="BJ873" t="s">
        <v>126</v>
      </c>
      <c r="BK873" t="s">
        <v>126</v>
      </c>
      <c r="BS873" t="s">
        <v>126</v>
      </c>
      <c r="BT873" t="s">
        <v>126</v>
      </c>
      <c r="BU873" t="s">
        <v>126</v>
      </c>
      <c r="BV873" t="s">
        <v>126</v>
      </c>
      <c r="CN873" t="s">
        <v>147</v>
      </c>
      <c r="CP873" t="s">
        <v>431</v>
      </c>
      <c r="CQ873" t="s">
        <v>147</v>
      </c>
    </row>
    <row r="874" spans="1:95" x14ac:dyDescent="0.2">
      <c r="A874" t="s">
        <v>115</v>
      </c>
      <c r="B874" t="s">
        <v>116</v>
      </c>
      <c r="C874">
        <v>210784</v>
      </c>
      <c r="E874" t="s">
        <v>117</v>
      </c>
      <c r="F874">
        <v>368</v>
      </c>
      <c r="G874" t="s">
        <v>141</v>
      </c>
      <c r="H874" t="s">
        <v>142</v>
      </c>
      <c r="I874" t="s">
        <v>279</v>
      </c>
      <c r="J874" t="s">
        <v>280</v>
      </c>
      <c r="L874" t="s">
        <v>730</v>
      </c>
      <c r="M874" s="8">
        <v>45839</v>
      </c>
      <c r="N874">
        <v>5749840</v>
      </c>
      <c r="O874" t="s">
        <v>123</v>
      </c>
      <c r="P874" t="s">
        <v>146</v>
      </c>
      <c r="Q874">
        <v>2.6</v>
      </c>
      <c r="R874" t="s">
        <v>569</v>
      </c>
      <c r="S874" t="s">
        <v>126</v>
      </c>
      <c r="T874" t="s">
        <v>569</v>
      </c>
      <c r="U874" t="s">
        <v>570</v>
      </c>
      <c r="W874">
        <v>0.8</v>
      </c>
      <c r="X874">
        <v>1.8</v>
      </c>
      <c r="Y874">
        <v>2.6</v>
      </c>
      <c r="Z874">
        <v>0.99</v>
      </c>
      <c r="AG874">
        <v>0.8</v>
      </c>
      <c r="AI874">
        <v>0.81</v>
      </c>
      <c r="BH874" t="s">
        <v>126</v>
      </c>
      <c r="BI874" t="s">
        <v>126</v>
      </c>
      <c r="BJ874" t="s">
        <v>126</v>
      </c>
      <c r="BK874" t="s">
        <v>126</v>
      </c>
      <c r="BS874" t="s">
        <v>126</v>
      </c>
      <c r="BT874" t="s">
        <v>126</v>
      </c>
      <c r="BU874" t="s">
        <v>126</v>
      </c>
      <c r="BV874" t="s">
        <v>126</v>
      </c>
      <c r="CN874" t="s">
        <v>147</v>
      </c>
      <c r="CP874" t="s">
        <v>431</v>
      </c>
      <c r="CQ874" t="s">
        <v>147</v>
      </c>
    </row>
    <row r="875" spans="1:95" x14ac:dyDescent="0.2">
      <c r="A875" t="s">
        <v>115</v>
      </c>
      <c r="B875" t="s">
        <v>116</v>
      </c>
      <c r="C875">
        <v>210784</v>
      </c>
      <c r="E875" t="s">
        <v>117</v>
      </c>
      <c r="F875">
        <v>368</v>
      </c>
      <c r="G875" t="s">
        <v>141</v>
      </c>
      <c r="H875" t="s">
        <v>142</v>
      </c>
      <c r="I875" t="s">
        <v>279</v>
      </c>
      <c r="J875" t="s">
        <v>280</v>
      </c>
      <c r="L875" t="s">
        <v>731</v>
      </c>
      <c r="M875" s="8">
        <v>45839</v>
      </c>
      <c r="N875">
        <v>5750768</v>
      </c>
      <c r="O875" t="s">
        <v>123</v>
      </c>
      <c r="P875" t="s">
        <v>146</v>
      </c>
      <c r="Q875">
        <v>3.3</v>
      </c>
      <c r="R875" t="s">
        <v>644</v>
      </c>
      <c r="S875" t="s">
        <v>126</v>
      </c>
      <c r="T875" t="s">
        <v>644</v>
      </c>
      <c r="U875" t="s">
        <v>645</v>
      </c>
      <c r="W875">
        <v>1.02</v>
      </c>
      <c r="X875">
        <v>2.2800000000000002</v>
      </c>
      <c r="Y875">
        <v>3.3</v>
      </c>
      <c r="Z875">
        <v>1.25</v>
      </c>
      <c r="AG875">
        <v>1.02</v>
      </c>
      <c r="AI875">
        <v>1.03</v>
      </c>
      <c r="BH875" t="s">
        <v>126</v>
      </c>
      <c r="BI875" t="s">
        <v>126</v>
      </c>
      <c r="BJ875" t="s">
        <v>126</v>
      </c>
      <c r="BK875" t="s">
        <v>126</v>
      </c>
      <c r="BS875" t="s">
        <v>126</v>
      </c>
      <c r="BT875" t="s">
        <v>126</v>
      </c>
      <c r="BU875" t="s">
        <v>126</v>
      </c>
      <c r="BV875" t="s">
        <v>126</v>
      </c>
      <c r="CN875" t="s">
        <v>147</v>
      </c>
      <c r="CP875" t="s">
        <v>431</v>
      </c>
      <c r="CQ875" t="s">
        <v>147</v>
      </c>
    </row>
    <row r="876" spans="1:95" x14ac:dyDescent="0.2">
      <c r="A876" t="s">
        <v>115</v>
      </c>
      <c r="B876" t="s">
        <v>116</v>
      </c>
      <c r="C876">
        <v>210784</v>
      </c>
      <c r="E876" t="s">
        <v>117</v>
      </c>
      <c r="F876">
        <v>368</v>
      </c>
      <c r="G876" t="s">
        <v>141</v>
      </c>
      <c r="H876" t="s">
        <v>142</v>
      </c>
      <c r="I876" t="s">
        <v>279</v>
      </c>
      <c r="J876" t="s">
        <v>280</v>
      </c>
      <c r="L876" t="s">
        <v>291</v>
      </c>
      <c r="M876" s="8">
        <v>45839</v>
      </c>
      <c r="N876">
        <v>5752257</v>
      </c>
      <c r="O876" t="s">
        <v>123</v>
      </c>
      <c r="P876" t="s">
        <v>146</v>
      </c>
      <c r="Q876">
        <v>3.7299999999999995</v>
      </c>
      <c r="R876" t="s">
        <v>602</v>
      </c>
      <c r="S876" t="s">
        <v>126</v>
      </c>
      <c r="T876" t="s">
        <v>602</v>
      </c>
      <c r="U876" t="s">
        <v>603</v>
      </c>
      <c r="W876">
        <v>1.1499999999999999</v>
      </c>
      <c r="X876">
        <v>2.58</v>
      </c>
      <c r="Y876">
        <v>3.7299999999999995</v>
      </c>
      <c r="Z876">
        <v>1.42</v>
      </c>
      <c r="AG876">
        <v>1.1499999999999999</v>
      </c>
      <c r="AI876">
        <v>1.1599999999999999</v>
      </c>
      <c r="BH876" t="s">
        <v>126</v>
      </c>
      <c r="BI876" t="s">
        <v>126</v>
      </c>
      <c r="BJ876" t="s">
        <v>126</v>
      </c>
      <c r="BK876" t="s">
        <v>126</v>
      </c>
      <c r="BS876" t="s">
        <v>126</v>
      </c>
      <c r="BT876" t="s">
        <v>126</v>
      </c>
      <c r="BU876" t="s">
        <v>126</v>
      </c>
      <c r="BV876" t="s">
        <v>126</v>
      </c>
      <c r="CN876" t="s">
        <v>147</v>
      </c>
      <c r="CP876" t="s">
        <v>431</v>
      </c>
      <c r="CQ876" t="s">
        <v>147</v>
      </c>
    </row>
    <row r="877" spans="1:95" x14ac:dyDescent="0.2">
      <c r="A877" t="s">
        <v>115</v>
      </c>
      <c r="B877" t="s">
        <v>116</v>
      </c>
      <c r="C877">
        <v>210784</v>
      </c>
      <c r="E877" t="s">
        <v>117</v>
      </c>
      <c r="F877">
        <v>368</v>
      </c>
      <c r="G877" t="s">
        <v>141</v>
      </c>
      <c r="H877" t="s">
        <v>142</v>
      </c>
      <c r="I877" t="s">
        <v>279</v>
      </c>
      <c r="J877" t="s">
        <v>280</v>
      </c>
      <c r="L877" t="s">
        <v>434</v>
      </c>
      <c r="M877" s="8">
        <v>45839</v>
      </c>
      <c r="N877">
        <v>5753447</v>
      </c>
      <c r="O877" t="s">
        <v>123</v>
      </c>
      <c r="P877" t="s">
        <v>146</v>
      </c>
      <c r="Q877">
        <v>3.91</v>
      </c>
      <c r="R877" t="s">
        <v>596</v>
      </c>
      <c r="S877" t="s">
        <v>126</v>
      </c>
      <c r="T877" t="s">
        <v>596</v>
      </c>
      <c r="U877" t="s">
        <v>597</v>
      </c>
      <c r="W877">
        <v>1.21</v>
      </c>
      <c r="X877">
        <v>2.7</v>
      </c>
      <c r="Y877">
        <v>3.91</v>
      </c>
      <c r="Z877">
        <v>1.48</v>
      </c>
      <c r="AG877">
        <v>1.21</v>
      </c>
      <c r="AI877">
        <v>1.22</v>
      </c>
      <c r="BH877" t="s">
        <v>126</v>
      </c>
      <c r="BI877" t="s">
        <v>126</v>
      </c>
      <c r="BJ877" t="s">
        <v>126</v>
      </c>
      <c r="BK877" t="s">
        <v>126</v>
      </c>
      <c r="BS877" t="s">
        <v>126</v>
      </c>
      <c r="BT877" t="s">
        <v>126</v>
      </c>
      <c r="BU877" t="s">
        <v>126</v>
      </c>
      <c r="BV877" t="s">
        <v>126</v>
      </c>
      <c r="CN877" t="s">
        <v>147</v>
      </c>
      <c r="CP877" t="s">
        <v>431</v>
      </c>
      <c r="CQ877" t="s">
        <v>147</v>
      </c>
    </row>
    <row r="878" spans="1:95" x14ac:dyDescent="0.2">
      <c r="A878" t="s">
        <v>115</v>
      </c>
      <c r="B878" t="s">
        <v>116</v>
      </c>
      <c r="C878">
        <v>210784</v>
      </c>
      <c r="E878" t="s">
        <v>117</v>
      </c>
      <c r="F878">
        <v>368</v>
      </c>
      <c r="G878" t="s">
        <v>141</v>
      </c>
      <c r="H878" t="s">
        <v>142</v>
      </c>
      <c r="I878" t="s">
        <v>279</v>
      </c>
      <c r="J878" t="s">
        <v>280</v>
      </c>
      <c r="L878" t="s">
        <v>434</v>
      </c>
      <c r="M878" s="8">
        <v>45839</v>
      </c>
      <c r="N878">
        <v>5754040</v>
      </c>
      <c r="O878" t="s">
        <v>123</v>
      </c>
      <c r="P878" t="s">
        <v>146</v>
      </c>
      <c r="Q878">
        <v>4.6199999999999992</v>
      </c>
      <c r="R878" t="s">
        <v>581</v>
      </c>
      <c r="S878" t="s">
        <v>126</v>
      </c>
      <c r="T878" t="s">
        <v>581</v>
      </c>
      <c r="U878" t="s">
        <v>582</v>
      </c>
      <c r="W878">
        <v>1.42</v>
      </c>
      <c r="X878">
        <v>3.2</v>
      </c>
      <c r="Y878">
        <v>4.6199999999999992</v>
      </c>
      <c r="Z878">
        <v>1.76</v>
      </c>
      <c r="AG878">
        <v>1.42</v>
      </c>
      <c r="AI878">
        <v>1.44</v>
      </c>
      <c r="BH878" t="s">
        <v>126</v>
      </c>
      <c r="BI878" t="s">
        <v>126</v>
      </c>
      <c r="BJ878" t="s">
        <v>126</v>
      </c>
      <c r="BK878" t="s">
        <v>126</v>
      </c>
      <c r="BS878" t="s">
        <v>126</v>
      </c>
      <c r="BT878" t="s">
        <v>126</v>
      </c>
      <c r="BU878" t="s">
        <v>126</v>
      </c>
      <c r="BV878" t="s">
        <v>126</v>
      </c>
      <c r="CN878" t="s">
        <v>147</v>
      </c>
      <c r="CP878" t="s">
        <v>431</v>
      </c>
      <c r="CQ878" t="s">
        <v>147</v>
      </c>
    </row>
    <row r="879" spans="1:95" x14ac:dyDescent="0.2">
      <c r="A879" t="s">
        <v>115</v>
      </c>
      <c r="B879" t="s">
        <v>116</v>
      </c>
      <c r="C879">
        <v>210784</v>
      </c>
      <c r="E879" t="s">
        <v>117</v>
      </c>
      <c r="F879">
        <v>368</v>
      </c>
      <c r="G879" t="s">
        <v>141</v>
      </c>
      <c r="H879" t="s">
        <v>142</v>
      </c>
      <c r="I879" t="s">
        <v>279</v>
      </c>
      <c r="J879" t="s">
        <v>280</v>
      </c>
      <c r="L879" t="s">
        <v>434</v>
      </c>
      <c r="M879" s="8">
        <v>45839</v>
      </c>
      <c r="N879">
        <v>5753692</v>
      </c>
      <c r="O879" t="s">
        <v>123</v>
      </c>
      <c r="P879" t="s">
        <v>146</v>
      </c>
      <c r="Q879">
        <v>0.09</v>
      </c>
      <c r="R879" t="s">
        <v>732</v>
      </c>
      <c r="S879" t="s">
        <v>126</v>
      </c>
      <c r="T879" t="s">
        <v>732</v>
      </c>
      <c r="U879" t="s">
        <v>733</v>
      </c>
      <c r="W879">
        <v>0.03</v>
      </c>
      <c r="X879">
        <v>0.06</v>
      </c>
      <c r="Y879">
        <v>0.09</v>
      </c>
      <c r="Z879">
        <v>0.03</v>
      </c>
      <c r="AG879">
        <v>0.03</v>
      </c>
      <c r="AI879">
        <v>0.03</v>
      </c>
      <c r="BH879" t="s">
        <v>126</v>
      </c>
      <c r="BI879" t="s">
        <v>126</v>
      </c>
      <c r="BJ879" t="s">
        <v>126</v>
      </c>
      <c r="BK879" t="s">
        <v>126</v>
      </c>
      <c r="BS879" t="s">
        <v>126</v>
      </c>
      <c r="BT879" t="s">
        <v>126</v>
      </c>
      <c r="BU879" t="s">
        <v>126</v>
      </c>
      <c r="BV879" t="s">
        <v>126</v>
      </c>
      <c r="CN879" t="s">
        <v>147</v>
      </c>
      <c r="CP879" t="s">
        <v>431</v>
      </c>
      <c r="CQ879" t="s">
        <v>147</v>
      </c>
    </row>
    <row r="880" spans="1:95" x14ac:dyDescent="0.2">
      <c r="A880" t="s">
        <v>115</v>
      </c>
      <c r="B880" t="s">
        <v>116</v>
      </c>
      <c r="C880">
        <v>210784</v>
      </c>
      <c r="E880" t="s">
        <v>117</v>
      </c>
      <c r="F880">
        <v>368</v>
      </c>
      <c r="G880" t="s">
        <v>141</v>
      </c>
      <c r="H880" t="s">
        <v>142</v>
      </c>
      <c r="I880" t="s">
        <v>279</v>
      </c>
      <c r="J880" t="s">
        <v>280</v>
      </c>
      <c r="L880" t="s">
        <v>734</v>
      </c>
      <c r="M880" s="8">
        <v>45839</v>
      </c>
      <c r="N880">
        <v>5754905</v>
      </c>
      <c r="O880" t="s">
        <v>123</v>
      </c>
      <c r="P880" t="s">
        <v>146</v>
      </c>
      <c r="Q880">
        <v>3.2</v>
      </c>
      <c r="R880" t="s">
        <v>631</v>
      </c>
      <c r="S880" t="s">
        <v>126</v>
      </c>
      <c r="T880" t="s">
        <v>631</v>
      </c>
      <c r="U880" t="s">
        <v>632</v>
      </c>
      <c r="W880">
        <v>0.99</v>
      </c>
      <c r="X880">
        <v>2.21</v>
      </c>
      <c r="Y880">
        <v>3.2</v>
      </c>
      <c r="Z880">
        <v>1.21</v>
      </c>
      <c r="AG880">
        <v>0.99</v>
      </c>
      <c r="AI880">
        <v>1</v>
      </c>
      <c r="BH880" t="s">
        <v>126</v>
      </c>
      <c r="BI880" t="s">
        <v>126</v>
      </c>
      <c r="BJ880" t="s">
        <v>126</v>
      </c>
      <c r="BK880" t="s">
        <v>126</v>
      </c>
      <c r="BS880" t="s">
        <v>126</v>
      </c>
      <c r="BT880" t="s">
        <v>126</v>
      </c>
      <c r="BU880" t="s">
        <v>126</v>
      </c>
      <c r="BV880" t="s">
        <v>126</v>
      </c>
      <c r="CN880" t="s">
        <v>147</v>
      </c>
      <c r="CP880" t="s">
        <v>431</v>
      </c>
      <c r="CQ880" t="s">
        <v>147</v>
      </c>
    </row>
    <row r="881" spans="1:95" x14ac:dyDescent="0.2">
      <c r="A881" t="s">
        <v>115</v>
      </c>
      <c r="B881" t="s">
        <v>116</v>
      </c>
      <c r="C881">
        <v>210784</v>
      </c>
      <c r="E881" t="s">
        <v>117</v>
      </c>
      <c r="F881">
        <v>368</v>
      </c>
      <c r="G881" t="s">
        <v>141</v>
      </c>
      <c r="H881" t="s">
        <v>142</v>
      </c>
      <c r="I881" t="s">
        <v>279</v>
      </c>
      <c r="J881" t="s">
        <v>280</v>
      </c>
      <c r="L881" t="s">
        <v>735</v>
      </c>
      <c r="M881" s="8">
        <v>45839</v>
      </c>
      <c r="N881">
        <v>5756544</v>
      </c>
      <c r="O881" t="s">
        <v>123</v>
      </c>
      <c r="P881" t="s">
        <v>146</v>
      </c>
      <c r="Q881">
        <v>5.55</v>
      </c>
      <c r="R881" t="s">
        <v>610</v>
      </c>
      <c r="S881" t="s">
        <v>126</v>
      </c>
      <c r="T881" t="s">
        <v>610</v>
      </c>
      <c r="U881" t="s">
        <v>611</v>
      </c>
      <c r="W881">
        <v>1.71</v>
      </c>
      <c r="X881">
        <v>3.84</v>
      </c>
      <c r="Y881">
        <v>5.55</v>
      </c>
      <c r="Z881">
        <v>2.11</v>
      </c>
      <c r="AG881">
        <v>1.71</v>
      </c>
      <c r="AI881">
        <v>1.73</v>
      </c>
      <c r="BH881" t="s">
        <v>126</v>
      </c>
      <c r="BI881" t="s">
        <v>126</v>
      </c>
      <c r="BJ881" t="s">
        <v>126</v>
      </c>
      <c r="BK881" t="s">
        <v>126</v>
      </c>
      <c r="BS881" t="s">
        <v>126</v>
      </c>
      <c r="BT881" t="s">
        <v>126</v>
      </c>
      <c r="BU881" t="s">
        <v>126</v>
      </c>
      <c r="BV881" t="s">
        <v>126</v>
      </c>
      <c r="CN881" t="s">
        <v>147</v>
      </c>
      <c r="CP881" t="s">
        <v>431</v>
      </c>
      <c r="CQ881" t="s">
        <v>147</v>
      </c>
    </row>
    <row r="882" spans="1:95" x14ac:dyDescent="0.2">
      <c r="A882" t="s">
        <v>115</v>
      </c>
      <c r="B882" t="s">
        <v>116</v>
      </c>
      <c r="C882">
        <v>210784</v>
      </c>
      <c r="E882" t="s">
        <v>117</v>
      </c>
      <c r="F882">
        <v>368</v>
      </c>
      <c r="G882" t="s">
        <v>141</v>
      </c>
      <c r="H882" t="s">
        <v>142</v>
      </c>
      <c r="I882" t="s">
        <v>279</v>
      </c>
      <c r="J882" t="s">
        <v>280</v>
      </c>
      <c r="L882" t="s">
        <v>436</v>
      </c>
      <c r="M882" s="8">
        <v>45839</v>
      </c>
      <c r="N882">
        <v>5757034</v>
      </c>
      <c r="O882" t="s">
        <v>123</v>
      </c>
      <c r="P882" t="s">
        <v>146</v>
      </c>
      <c r="Q882">
        <v>4.76</v>
      </c>
      <c r="R882" t="s">
        <v>635</v>
      </c>
      <c r="S882" t="s">
        <v>126</v>
      </c>
      <c r="T882" t="s">
        <v>635</v>
      </c>
      <c r="U882" t="s">
        <v>636</v>
      </c>
      <c r="W882">
        <v>1.47</v>
      </c>
      <c r="X882">
        <v>3.29</v>
      </c>
      <c r="Y882">
        <v>4.76</v>
      </c>
      <c r="Z882">
        <v>1.81</v>
      </c>
      <c r="AG882">
        <v>1.47</v>
      </c>
      <c r="AI882">
        <v>1.48</v>
      </c>
      <c r="BH882" t="s">
        <v>126</v>
      </c>
      <c r="BI882" t="s">
        <v>126</v>
      </c>
      <c r="BJ882" t="s">
        <v>126</v>
      </c>
      <c r="BK882" t="s">
        <v>126</v>
      </c>
      <c r="BS882" t="s">
        <v>126</v>
      </c>
      <c r="BT882" t="s">
        <v>126</v>
      </c>
      <c r="BU882" t="s">
        <v>126</v>
      </c>
      <c r="BV882" t="s">
        <v>126</v>
      </c>
      <c r="CN882" t="s">
        <v>147</v>
      </c>
      <c r="CP882" t="s">
        <v>431</v>
      </c>
      <c r="CQ882" t="s">
        <v>147</v>
      </c>
    </row>
    <row r="883" spans="1:95" x14ac:dyDescent="0.2">
      <c r="A883" t="s">
        <v>115</v>
      </c>
      <c r="B883" t="s">
        <v>116</v>
      </c>
      <c r="C883">
        <v>210784</v>
      </c>
      <c r="E883" t="s">
        <v>117</v>
      </c>
      <c r="F883">
        <v>368</v>
      </c>
      <c r="G883" t="s">
        <v>141</v>
      </c>
      <c r="H883" t="s">
        <v>142</v>
      </c>
      <c r="I883" t="s">
        <v>279</v>
      </c>
      <c r="J883" t="s">
        <v>280</v>
      </c>
      <c r="L883" t="s">
        <v>436</v>
      </c>
      <c r="M883" s="8">
        <v>45839</v>
      </c>
      <c r="N883">
        <v>5757300</v>
      </c>
      <c r="O883" t="s">
        <v>123</v>
      </c>
      <c r="P883" t="s">
        <v>146</v>
      </c>
      <c r="Q883">
        <v>2</v>
      </c>
      <c r="R883" t="s">
        <v>681</v>
      </c>
      <c r="S883" t="s">
        <v>126</v>
      </c>
      <c r="T883" t="s">
        <v>681</v>
      </c>
      <c r="U883" t="s">
        <v>682</v>
      </c>
      <c r="W883">
        <v>0.62</v>
      </c>
      <c r="X883">
        <v>1.38</v>
      </c>
      <c r="Y883">
        <v>2</v>
      </c>
      <c r="Z883">
        <v>0.76</v>
      </c>
      <c r="AG883">
        <v>0.62</v>
      </c>
      <c r="AI883">
        <v>0.62</v>
      </c>
      <c r="BH883" t="s">
        <v>126</v>
      </c>
      <c r="BI883" t="s">
        <v>126</v>
      </c>
      <c r="BJ883" t="s">
        <v>126</v>
      </c>
      <c r="BK883" t="s">
        <v>126</v>
      </c>
      <c r="BS883" t="s">
        <v>126</v>
      </c>
      <c r="BT883" t="s">
        <v>126</v>
      </c>
      <c r="BU883" t="s">
        <v>126</v>
      </c>
      <c r="BV883" t="s">
        <v>126</v>
      </c>
      <c r="CN883" t="s">
        <v>147</v>
      </c>
      <c r="CP883" t="s">
        <v>431</v>
      </c>
      <c r="CQ883" t="s">
        <v>147</v>
      </c>
    </row>
    <row r="884" spans="1:95" x14ac:dyDescent="0.2">
      <c r="A884" t="s">
        <v>115</v>
      </c>
      <c r="B884" t="s">
        <v>116</v>
      </c>
      <c r="C884">
        <v>210784</v>
      </c>
      <c r="E884" t="s">
        <v>117</v>
      </c>
      <c r="F884">
        <v>368</v>
      </c>
      <c r="G884" t="s">
        <v>141</v>
      </c>
      <c r="H884" t="s">
        <v>142</v>
      </c>
      <c r="I884" t="s">
        <v>279</v>
      </c>
      <c r="J884" t="s">
        <v>280</v>
      </c>
      <c r="L884" t="s">
        <v>736</v>
      </c>
      <c r="M884" s="8">
        <v>45839</v>
      </c>
      <c r="N884">
        <v>5757377</v>
      </c>
      <c r="O884" t="s">
        <v>123</v>
      </c>
      <c r="P884" t="s">
        <v>146</v>
      </c>
      <c r="Q884">
        <v>4.17</v>
      </c>
      <c r="R884" t="s">
        <v>631</v>
      </c>
      <c r="S884" t="s">
        <v>126</v>
      </c>
      <c r="T884" t="s">
        <v>631</v>
      </c>
      <c r="U884" t="s">
        <v>632</v>
      </c>
      <c r="W884">
        <v>1.29</v>
      </c>
      <c r="X884">
        <v>2.88</v>
      </c>
      <c r="Y884">
        <v>4.17</v>
      </c>
      <c r="Z884">
        <v>1.58</v>
      </c>
      <c r="AG884">
        <v>1.29</v>
      </c>
      <c r="AI884">
        <v>1.3</v>
      </c>
      <c r="BH884" t="s">
        <v>126</v>
      </c>
      <c r="BI884" t="s">
        <v>126</v>
      </c>
      <c r="BJ884" t="s">
        <v>126</v>
      </c>
      <c r="BK884" t="s">
        <v>126</v>
      </c>
      <c r="BS884" t="s">
        <v>126</v>
      </c>
      <c r="BT884" t="s">
        <v>126</v>
      </c>
      <c r="BU884" t="s">
        <v>126</v>
      </c>
      <c r="BV884" t="s">
        <v>126</v>
      </c>
      <c r="CN884" t="s">
        <v>147</v>
      </c>
      <c r="CP884" t="s">
        <v>431</v>
      </c>
      <c r="CQ884" t="s">
        <v>147</v>
      </c>
    </row>
    <row r="885" spans="1:95" x14ac:dyDescent="0.2">
      <c r="A885" t="s">
        <v>115</v>
      </c>
      <c r="B885" t="s">
        <v>116</v>
      </c>
      <c r="C885">
        <v>210784</v>
      </c>
      <c r="E885" t="s">
        <v>117</v>
      </c>
      <c r="F885">
        <v>368</v>
      </c>
      <c r="G885" t="s">
        <v>141</v>
      </c>
      <c r="H885" t="s">
        <v>142</v>
      </c>
      <c r="I885" t="s">
        <v>279</v>
      </c>
      <c r="J885" t="s">
        <v>280</v>
      </c>
      <c r="L885" t="s">
        <v>437</v>
      </c>
      <c r="M885" s="8">
        <v>45839</v>
      </c>
      <c r="N885">
        <v>5758251</v>
      </c>
      <c r="O885" t="s">
        <v>123</v>
      </c>
      <c r="P885" t="s">
        <v>146</v>
      </c>
      <c r="Q885">
        <v>2.4699999999999998</v>
      </c>
      <c r="R885" t="s">
        <v>569</v>
      </c>
      <c r="S885" t="s">
        <v>126</v>
      </c>
      <c r="T885" t="s">
        <v>569</v>
      </c>
      <c r="U885" t="s">
        <v>570</v>
      </c>
      <c r="W885">
        <v>0.76</v>
      </c>
      <c r="X885">
        <v>1.71</v>
      </c>
      <c r="Y885">
        <v>2.4699999999999998</v>
      </c>
      <c r="Z885">
        <v>0.94</v>
      </c>
      <c r="AG885">
        <v>0.76</v>
      </c>
      <c r="AI885">
        <v>0.77</v>
      </c>
      <c r="BH885" t="s">
        <v>126</v>
      </c>
      <c r="BI885" t="s">
        <v>126</v>
      </c>
      <c r="BJ885" t="s">
        <v>126</v>
      </c>
      <c r="BK885" t="s">
        <v>126</v>
      </c>
      <c r="BS885" t="s">
        <v>126</v>
      </c>
      <c r="BT885" t="s">
        <v>126</v>
      </c>
      <c r="BU885" t="s">
        <v>126</v>
      </c>
      <c r="BV885" t="s">
        <v>126</v>
      </c>
      <c r="CN885" t="s">
        <v>147</v>
      </c>
      <c r="CP885" t="s">
        <v>431</v>
      </c>
      <c r="CQ885" t="s">
        <v>147</v>
      </c>
    </row>
    <row r="886" spans="1:95" x14ac:dyDescent="0.2">
      <c r="A886" t="s">
        <v>115</v>
      </c>
      <c r="B886" t="s">
        <v>116</v>
      </c>
      <c r="C886">
        <v>210784</v>
      </c>
      <c r="E886" t="s">
        <v>117</v>
      </c>
      <c r="F886">
        <v>368</v>
      </c>
      <c r="G886" t="s">
        <v>141</v>
      </c>
      <c r="H886" t="s">
        <v>142</v>
      </c>
      <c r="I886" t="s">
        <v>279</v>
      </c>
      <c r="J886" t="s">
        <v>280</v>
      </c>
      <c r="L886" t="s">
        <v>737</v>
      </c>
      <c r="M886" s="8">
        <v>45839</v>
      </c>
      <c r="N886">
        <v>5759879</v>
      </c>
      <c r="O886" t="s">
        <v>123</v>
      </c>
      <c r="P886" t="s">
        <v>146</v>
      </c>
      <c r="Q886">
        <v>4.17</v>
      </c>
      <c r="R886" t="s">
        <v>631</v>
      </c>
      <c r="S886" t="s">
        <v>126</v>
      </c>
      <c r="T886" t="s">
        <v>631</v>
      </c>
      <c r="U886" t="s">
        <v>632</v>
      </c>
      <c r="W886">
        <v>1.29</v>
      </c>
      <c r="X886">
        <v>2.88</v>
      </c>
      <c r="Y886">
        <v>4.17</v>
      </c>
      <c r="Z886">
        <v>1.58</v>
      </c>
      <c r="AG886">
        <v>1.29</v>
      </c>
      <c r="AI886">
        <v>1.3</v>
      </c>
      <c r="BH886" t="s">
        <v>126</v>
      </c>
      <c r="BI886" t="s">
        <v>126</v>
      </c>
      <c r="BJ886" t="s">
        <v>126</v>
      </c>
      <c r="BK886" t="s">
        <v>126</v>
      </c>
      <c r="BS886" t="s">
        <v>126</v>
      </c>
      <c r="BT886" t="s">
        <v>126</v>
      </c>
      <c r="BU886" t="s">
        <v>126</v>
      </c>
      <c r="BV886" t="s">
        <v>126</v>
      </c>
      <c r="CN886" t="s">
        <v>147</v>
      </c>
      <c r="CP886" t="s">
        <v>431</v>
      </c>
      <c r="CQ886" t="s">
        <v>147</v>
      </c>
    </row>
    <row r="887" spans="1:95" x14ac:dyDescent="0.2">
      <c r="A887" t="s">
        <v>115</v>
      </c>
      <c r="B887" t="s">
        <v>116</v>
      </c>
      <c r="C887">
        <v>210784</v>
      </c>
      <c r="E887" t="s">
        <v>117</v>
      </c>
      <c r="F887">
        <v>368</v>
      </c>
      <c r="G887" t="s">
        <v>141</v>
      </c>
      <c r="H887" t="s">
        <v>142</v>
      </c>
      <c r="I887" t="s">
        <v>279</v>
      </c>
      <c r="J887" t="s">
        <v>280</v>
      </c>
      <c r="L887" t="s">
        <v>431</v>
      </c>
      <c r="M887" s="8">
        <v>45839</v>
      </c>
      <c r="N887">
        <v>5764726</v>
      </c>
      <c r="O887" t="s">
        <v>123</v>
      </c>
      <c r="P887" t="s">
        <v>146</v>
      </c>
      <c r="Q887">
        <v>4.1000000000000005</v>
      </c>
      <c r="R887" t="s">
        <v>673</v>
      </c>
      <c r="S887" t="s">
        <v>126</v>
      </c>
      <c r="T887" t="s">
        <v>673</v>
      </c>
      <c r="U887" t="s">
        <v>674</v>
      </c>
      <c r="W887">
        <v>1.26</v>
      </c>
      <c r="X887">
        <v>2.84</v>
      </c>
      <c r="Y887">
        <v>4.1000000000000005</v>
      </c>
      <c r="Z887">
        <v>1.56</v>
      </c>
      <c r="AG887">
        <v>1.26</v>
      </c>
      <c r="AI887">
        <v>1.28</v>
      </c>
      <c r="BH887" t="s">
        <v>126</v>
      </c>
      <c r="BI887" t="s">
        <v>126</v>
      </c>
      <c r="BJ887" t="s">
        <v>126</v>
      </c>
      <c r="BK887" t="s">
        <v>126</v>
      </c>
      <c r="BS887" t="s">
        <v>126</v>
      </c>
      <c r="BT887" t="s">
        <v>126</v>
      </c>
      <c r="BU887" t="s">
        <v>126</v>
      </c>
      <c r="BV887" t="s">
        <v>126</v>
      </c>
      <c r="CN887" t="s">
        <v>147</v>
      </c>
      <c r="CP887" t="s">
        <v>442</v>
      </c>
      <c r="CQ887" t="s">
        <v>147</v>
      </c>
    </row>
    <row r="888" spans="1:95" x14ac:dyDescent="0.2">
      <c r="A888" t="s">
        <v>115</v>
      </c>
      <c r="B888" t="s">
        <v>116</v>
      </c>
      <c r="C888">
        <v>210784</v>
      </c>
      <c r="E888" t="s">
        <v>117</v>
      </c>
      <c r="F888">
        <v>368</v>
      </c>
      <c r="G888" t="s">
        <v>141</v>
      </c>
      <c r="H888" t="s">
        <v>142</v>
      </c>
      <c r="I888" t="s">
        <v>279</v>
      </c>
      <c r="J888" t="s">
        <v>280</v>
      </c>
      <c r="L888" t="s">
        <v>431</v>
      </c>
      <c r="M888" s="8">
        <v>45839</v>
      </c>
      <c r="N888">
        <v>5764777</v>
      </c>
      <c r="O888" t="s">
        <v>123</v>
      </c>
      <c r="P888" t="s">
        <v>146</v>
      </c>
      <c r="Q888">
        <v>4.1000000000000005</v>
      </c>
      <c r="R888" t="s">
        <v>673</v>
      </c>
      <c r="S888" t="s">
        <v>126</v>
      </c>
      <c r="T888" t="s">
        <v>673</v>
      </c>
      <c r="U888" t="s">
        <v>674</v>
      </c>
      <c r="W888">
        <v>1.26</v>
      </c>
      <c r="X888">
        <v>2.84</v>
      </c>
      <c r="Y888">
        <v>4.1000000000000005</v>
      </c>
      <c r="Z888">
        <v>1.56</v>
      </c>
      <c r="AG888">
        <v>1.26</v>
      </c>
      <c r="AI888">
        <v>1.28</v>
      </c>
      <c r="BH888" t="s">
        <v>126</v>
      </c>
      <c r="BI888" t="s">
        <v>126</v>
      </c>
      <c r="BJ888" t="s">
        <v>126</v>
      </c>
      <c r="BK888" t="s">
        <v>126</v>
      </c>
      <c r="BS888" t="s">
        <v>126</v>
      </c>
      <c r="BT888" t="s">
        <v>126</v>
      </c>
      <c r="BU888" t="s">
        <v>126</v>
      </c>
      <c r="BV888" t="s">
        <v>126</v>
      </c>
      <c r="CN888" t="s">
        <v>147</v>
      </c>
      <c r="CP888" t="s">
        <v>442</v>
      </c>
      <c r="CQ888" t="s">
        <v>147</v>
      </c>
    </row>
    <row r="889" spans="1:95" x14ac:dyDescent="0.2">
      <c r="A889" t="s">
        <v>115</v>
      </c>
      <c r="B889" t="s">
        <v>116</v>
      </c>
      <c r="C889">
        <v>210784</v>
      </c>
      <c r="E889" t="s">
        <v>117</v>
      </c>
      <c r="F889">
        <v>368</v>
      </c>
      <c r="G889" t="s">
        <v>141</v>
      </c>
      <c r="H889" t="s">
        <v>142</v>
      </c>
      <c r="I889" t="s">
        <v>279</v>
      </c>
      <c r="J889" t="s">
        <v>280</v>
      </c>
      <c r="L889" t="s">
        <v>431</v>
      </c>
      <c r="M889" s="8">
        <v>45839</v>
      </c>
      <c r="N889">
        <v>5764889</v>
      </c>
      <c r="O889" t="s">
        <v>123</v>
      </c>
      <c r="P889" t="s">
        <v>146</v>
      </c>
      <c r="Q889">
        <v>3.3200000000000003</v>
      </c>
      <c r="R889" t="s">
        <v>544</v>
      </c>
      <c r="S889" t="s">
        <v>126</v>
      </c>
      <c r="T889" t="s">
        <v>544</v>
      </c>
      <c r="U889" t="s">
        <v>545</v>
      </c>
      <c r="W889">
        <v>1.02</v>
      </c>
      <c r="X889">
        <v>2.2999999999999998</v>
      </c>
      <c r="Y889">
        <v>3.3200000000000003</v>
      </c>
      <c r="Z889">
        <v>1.27</v>
      </c>
      <c r="AG889">
        <v>1.02</v>
      </c>
      <c r="AI889">
        <v>1.03</v>
      </c>
      <c r="BH889" t="s">
        <v>126</v>
      </c>
      <c r="BI889" t="s">
        <v>126</v>
      </c>
      <c r="BJ889" t="s">
        <v>126</v>
      </c>
      <c r="BK889" t="s">
        <v>126</v>
      </c>
      <c r="BS889" t="s">
        <v>126</v>
      </c>
      <c r="BT889" t="s">
        <v>126</v>
      </c>
      <c r="BU889" t="s">
        <v>126</v>
      </c>
      <c r="BV889" t="s">
        <v>126</v>
      </c>
      <c r="CN889" t="s">
        <v>147</v>
      </c>
      <c r="CP889" t="s">
        <v>442</v>
      </c>
      <c r="CQ889" t="s">
        <v>147</v>
      </c>
    </row>
    <row r="890" spans="1:95" x14ac:dyDescent="0.2">
      <c r="A890" t="s">
        <v>115</v>
      </c>
      <c r="B890" t="s">
        <v>116</v>
      </c>
      <c r="C890">
        <v>210784</v>
      </c>
      <c r="E890" t="s">
        <v>117</v>
      </c>
      <c r="F890">
        <v>368</v>
      </c>
      <c r="G890" t="s">
        <v>141</v>
      </c>
      <c r="H890" t="s">
        <v>142</v>
      </c>
      <c r="I890" t="s">
        <v>279</v>
      </c>
      <c r="J890" t="s">
        <v>280</v>
      </c>
      <c r="L890" t="s">
        <v>174</v>
      </c>
      <c r="M890" s="8">
        <v>45839</v>
      </c>
      <c r="N890">
        <v>5746846</v>
      </c>
      <c r="O890" t="s">
        <v>123</v>
      </c>
      <c r="P890" t="s">
        <v>146</v>
      </c>
      <c r="Q890">
        <v>1.17</v>
      </c>
      <c r="R890" t="s">
        <v>125</v>
      </c>
      <c r="S890" t="s">
        <v>126</v>
      </c>
      <c r="T890" t="s">
        <v>125</v>
      </c>
      <c r="U890" t="s">
        <v>126</v>
      </c>
      <c r="W890">
        <v>1.17</v>
      </c>
      <c r="Y890">
        <v>1.17</v>
      </c>
      <c r="BE890">
        <v>1.17</v>
      </c>
      <c r="BH890" t="s">
        <v>126</v>
      </c>
      <c r="BI890" t="s">
        <v>126</v>
      </c>
      <c r="BJ890" t="s">
        <v>126</v>
      </c>
      <c r="BK890" t="s">
        <v>126</v>
      </c>
      <c r="BS890" t="s">
        <v>126</v>
      </c>
      <c r="BT890" t="s">
        <v>126</v>
      </c>
      <c r="BU890" t="s">
        <v>126</v>
      </c>
      <c r="BV890" t="s">
        <v>126</v>
      </c>
      <c r="CN890" t="s">
        <v>147</v>
      </c>
      <c r="CP890" t="s">
        <v>431</v>
      </c>
      <c r="CQ890" t="s">
        <v>147</v>
      </c>
    </row>
    <row r="891" spans="1:95" x14ac:dyDescent="0.2">
      <c r="A891" t="s">
        <v>115</v>
      </c>
      <c r="B891" t="s">
        <v>116</v>
      </c>
      <c r="C891">
        <v>210784</v>
      </c>
      <c r="E891" t="s">
        <v>117</v>
      </c>
      <c r="F891">
        <v>368</v>
      </c>
      <c r="G891" t="s">
        <v>141</v>
      </c>
      <c r="H891" t="s">
        <v>142</v>
      </c>
      <c r="I891" t="s">
        <v>279</v>
      </c>
      <c r="J891" t="s">
        <v>280</v>
      </c>
      <c r="L891" t="s">
        <v>893</v>
      </c>
      <c r="M891" s="8">
        <v>45839</v>
      </c>
      <c r="N891">
        <v>5748136</v>
      </c>
      <c r="O891" t="s">
        <v>123</v>
      </c>
      <c r="P891" t="s">
        <v>146</v>
      </c>
      <c r="Q891">
        <v>1.48</v>
      </c>
      <c r="R891" t="s">
        <v>125</v>
      </c>
      <c r="S891" t="s">
        <v>126</v>
      </c>
      <c r="T891" t="s">
        <v>125</v>
      </c>
      <c r="U891" t="s">
        <v>126</v>
      </c>
      <c r="W891">
        <v>1.48</v>
      </c>
      <c r="Y891">
        <v>1.48</v>
      </c>
      <c r="BE891">
        <v>1.48</v>
      </c>
      <c r="BH891" t="s">
        <v>126</v>
      </c>
      <c r="BI891" t="s">
        <v>126</v>
      </c>
      <c r="BJ891" t="s">
        <v>126</v>
      </c>
      <c r="BK891" t="s">
        <v>126</v>
      </c>
      <c r="BS891" t="s">
        <v>126</v>
      </c>
      <c r="BT891" t="s">
        <v>126</v>
      </c>
      <c r="BU891" t="s">
        <v>126</v>
      </c>
      <c r="BV891" t="s">
        <v>126</v>
      </c>
      <c r="CN891" t="s">
        <v>147</v>
      </c>
      <c r="CP891" t="s">
        <v>431</v>
      </c>
      <c r="CQ891" t="s">
        <v>147</v>
      </c>
    </row>
    <row r="892" spans="1:95" x14ac:dyDescent="0.2">
      <c r="A892" t="s">
        <v>115</v>
      </c>
      <c r="B892" t="s">
        <v>116</v>
      </c>
      <c r="C892">
        <v>210784</v>
      </c>
      <c r="E892" t="s">
        <v>117</v>
      </c>
      <c r="F892">
        <v>368</v>
      </c>
      <c r="G892" t="s">
        <v>141</v>
      </c>
      <c r="H892" t="s">
        <v>142</v>
      </c>
      <c r="I892" t="s">
        <v>279</v>
      </c>
      <c r="J892" t="s">
        <v>280</v>
      </c>
      <c r="L892" t="s">
        <v>730</v>
      </c>
      <c r="M892" s="8">
        <v>45839</v>
      </c>
      <c r="N892">
        <v>5749893</v>
      </c>
      <c r="O892" t="s">
        <v>123</v>
      </c>
      <c r="P892" t="s">
        <v>146</v>
      </c>
      <c r="Q892">
        <v>0.81</v>
      </c>
      <c r="R892" t="s">
        <v>125</v>
      </c>
      <c r="S892" t="s">
        <v>126</v>
      </c>
      <c r="T892" t="s">
        <v>125</v>
      </c>
      <c r="U892" t="s">
        <v>126</v>
      </c>
      <c r="W892">
        <v>0.81</v>
      </c>
      <c r="Y892">
        <v>0.81</v>
      </c>
      <c r="BE892">
        <v>0.81</v>
      </c>
      <c r="BH892" t="s">
        <v>126</v>
      </c>
      <c r="BI892" t="s">
        <v>126</v>
      </c>
      <c r="BJ892" t="s">
        <v>126</v>
      </c>
      <c r="BK892" t="s">
        <v>126</v>
      </c>
      <c r="BS892" t="s">
        <v>126</v>
      </c>
      <c r="BT892" t="s">
        <v>126</v>
      </c>
      <c r="BU892" t="s">
        <v>126</v>
      </c>
      <c r="BV892" t="s">
        <v>126</v>
      </c>
      <c r="CN892" t="s">
        <v>147</v>
      </c>
      <c r="CP892" t="s">
        <v>431</v>
      </c>
      <c r="CQ892" t="s">
        <v>147</v>
      </c>
    </row>
    <row r="893" spans="1:95" x14ac:dyDescent="0.2">
      <c r="A893" t="s">
        <v>115</v>
      </c>
      <c r="B893" t="s">
        <v>116</v>
      </c>
      <c r="C893">
        <v>210784</v>
      </c>
      <c r="E893" t="s">
        <v>117</v>
      </c>
      <c r="F893">
        <v>368</v>
      </c>
      <c r="G893" t="s">
        <v>141</v>
      </c>
      <c r="H893" t="s">
        <v>142</v>
      </c>
      <c r="I893" t="s">
        <v>279</v>
      </c>
      <c r="J893" t="s">
        <v>280</v>
      </c>
      <c r="L893" t="s">
        <v>894</v>
      </c>
      <c r="M893" s="8">
        <v>45839</v>
      </c>
      <c r="N893">
        <v>5752925</v>
      </c>
      <c r="O893" t="s">
        <v>123</v>
      </c>
      <c r="P893" t="s">
        <v>146</v>
      </c>
      <c r="Q893">
        <v>1.39</v>
      </c>
      <c r="R893" t="s">
        <v>125</v>
      </c>
      <c r="S893" t="s">
        <v>126</v>
      </c>
      <c r="T893" t="s">
        <v>125</v>
      </c>
      <c r="U893" t="s">
        <v>126</v>
      </c>
      <c r="W893">
        <v>1.39</v>
      </c>
      <c r="Y893">
        <v>1.39</v>
      </c>
      <c r="BE893">
        <v>1.39</v>
      </c>
      <c r="BH893" t="s">
        <v>126</v>
      </c>
      <c r="BI893" t="s">
        <v>126</v>
      </c>
      <c r="BJ893" t="s">
        <v>126</v>
      </c>
      <c r="BK893" t="s">
        <v>126</v>
      </c>
      <c r="BS893" t="s">
        <v>126</v>
      </c>
      <c r="BT893" t="s">
        <v>126</v>
      </c>
      <c r="BU893" t="s">
        <v>126</v>
      </c>
      <c r="BV893" t="s">
        <v>126</v>
      </c>
      <c r="CN893" t="s">
        <v>147</v>
      </c>
      <c r="CP893" t="s">
        <v>431</v>
      </c>
      <c r="CQ893" t="s">
        <v>147</v>
      </c>
    </row>
    <row r="894" spans="1:95" x14ac:dyDescent="0.2">
      <c r="A894" t="s">
        <v>115</v>
      </c>
      <c r="B894" t="s">
        <v>116</v>
      </c>
      <c r="C894">
        <v>210784</v>
      </c>
      <c r="E894" t="s">
        <v>117</v>
      </c>
      <c r="F894">
        <v>368</v>
      </c>
      <c r="G894" t="s">
        <v>141</v>
      </c>
      <c r="H894" t="s">
        <v>142</v>
      </c>
      <c r="I894" t="s">
        <v>279</v>
      </c>
      <c r="J894" t="s">
        <v>280</v>
      </c>
      <c r="L894" t="s">
        <v>734</v>
      </c>
      <c r="M894" s="8">
        <v>45839</v>
      </c>
      <c r="N894">
        <v>5754284</v>
      </c>
      <c r="O894" t="s">
        <v>123</v>
      </c>
      <c r="P894" t="s">
        <v>146</v>
      </c>
      <c r="Q894">
        <v>1.47</v>
      </c>
      <c r="R894" t="s">
        <v>125</v>
      </c>
      <c r="S894" t="s">
        <v>126</v>
      </c>
      <c r="T894" t="s">
        <v>125</v>
      </c>
      <c r="U894" t="s">
        <v>126</v>
      </c>
      <c r="W894">
        <v>1.47</v>
      </c>
      <c r="Y894">
        <v>1.47</v>
      </c>
      <c r="BE894">
        <v>1.47</v>
      </c>
      <c r="BH894" t="s">
        <v>126</v>
      </c>
      <c r="BI894" t="s">
        <v>126</v>
      </c>
      <c r="BJ894" t="s">
        <v>126</v>
      </c>
      <c r="BK894" t="s">
        <v>126</v>
      </c>
      <c r="BS894" t="s">
        <v>126</v>
      </c>
      <c r="BT894" t="s">
        <v>126</v>
      </c>
      <c r="BU894" t="s">
        <v>126</v>
      </c>
      <c r="BV894" t="s">
        <v>126</v>
      </c>
      <c r="CN894" t="s">
        <v>147</v>
      </c>
      <c r="CP894" t="s">
        <v>431</v>
      </c>
      <c r="CQ894" t="s">
        <v>147</v>
      </c>
    </row>
    <row r="895" spans="1:95" x14ac:dyDescent="0.2">
      <c r="A895" t="s">
        <v>115</v>
      </c>
      <c r="B895" t="s">
        <v>116</v>
      </c>
      <c r="C895">
        <v>210784</v>
      </c>
      <c r="E895" t="s">
        <v>117</v>
      </c>
      <c r="F895">
        <v>368</v>
      </c>
      <c r="G895" t="s">
        <v>141</v>
      </c>
      <c r="H895" t="s">
        <v>142</v>
      </c>
      <c r="I895" t="s">
        <v>279</v>
      </c>
      <c r="J895" t="s">
        <v>280</v>
      </c>
      <c r="L895" t="s">
        <v>435</v>
      </c>
      <c r="M895" s="8">
        <v>45839</v>
      </c>
      <c r="N895">
        <v>5755765</v>
      </c>
      <c r="O895" t="s">
        <v>123</v>
      </c>
      <c r="P895" t="s">
        <v>146</v>
      </c>
      <c r="Q895">
        <v>1.35</v>
      </c>
      <c r="R895" t="s">
        <v>125</v>
      </c>
      <c r="S895" t="s">
        <v>126</v>
      </c>
      <c r="T895" t="s">
        <v>125</v>
      </c>
      <c r="U895" t="s">
        <v>126</v>
      </c>
      <c r="W895">
        <v>1.35</v>
      </c>
      <c r="Y895">
        <v>1.35</v>
      </c>
      <c r="BE895">
        <v>1.35</v>
      </c>
      <c r="BH895" t="s">
        <v>126</v>
      </c>
      <c r="BI895" t="s">
        <v>126</v>
      </c>
      <c r="BJ895" t="s">
        <v>126</v>
      </c>
      <c r="BK895" t="s">
        <v>126</v>
      </c>
      <c r="BS895" t="s">
        <v>126</v>
      </c>
      <c r="BT895" t="s">
        <v>126</v>
      </c>
      <c r="BU895" t="s">
        <v>126</v>
      </c>
      <c r="BV895" t="s">
        <v>126</v>
      </c>
      <c r="CN895" t="s">
        <v>147</v>
      </c>
      <c r="CP895" t="s">
        <v>431</v>
      </c>
      <c r="CQ895" t="s">
        <v>147</v>
      </c>
    </row>
    <row r="896" spans="1:95" x14ac:dyDescent="0.2">
      <c r="A896" t="s">
        <v>115</v>
      </c>
      <c r="B896" t="s">
        <v>116</v>
      </c>
      <c r="C896">
        <v>210784</v>
      </c>
      <c r="E896" t="s">
        <v>117</v>
      </c>
      <c r="F896">
        <v>368</v>
      </c>
      <c r="G896" t="s">
        <v>141</v>
      </c>
      <c r="H896" t="s">
        <v>142</v>
      </c>
      <c r="I896" t="s">
        <v>279</v>
      </c>
      <c r="J896" t="s">
        <v>280</v>
      </c>
      <c r="L896" t="s">
        <v>735</v>
      </c>
      <c r="M896" s="8">
        <v>45839</v>
      </c>
      <c r="N896">
        <v>5755269</v>
      </c>
      <c r="O896" t="s">
        <v>123</v>
      </c>
      <c r="P896" t="s">
        <v>146</v>
      </c>
      <c r="Q896">
        <v>0.61</v>
      </c>
      <c r="R896" t="s">
        <v>125</v>
      </c>
      <c r="S896" t="s">
        <v>126</v>
      </c>
      <c r="T896" t="s">
        <v>125</v>
      </c>
      <c r="U896" t="s">
        <v>126</v>
      </c>
      <c r="W896">
        <v>0.61</v>
      </c>
      <c r="Y896">
        <v>0.61</v>
      </c>
      <c r="BE896">
        <v>0.61</v>
      </c>
      <c r="BH896" t="s">
        <v>126</v>
      </c>
      <c r="BI896" t="s">
        <v>126</v>
      </c>
      <c r="BJ896" t="s">
        <v>126</v>
      </c>
      <c r="BK896" t="s">
        <v>126</v>
      </c>
      <c r="BS896" t="s">
        <v>126</v>
      </c>
      <c r="BT896" t="s">
        <v>126</v>
      </c>
      <c r="BU896" t="s">
        <v>126</v>
      </c>
      <c r="BV896" t="s">
        <v>126</v>
      </c>
      <c r="CN896" t="s">
        <v>147</v>
      </c>
      <c r="CP896" t="s">
        <v>431</v>
      </c>
      <c r="CQ896" t="s">
        <v>147</v>
      </c>
    </row>
    <row r="897" spans="1:95" x14ac:dyDescent="0.2">
      <c r="A897" t="s">
        <v>115</v>
      </c>
      <c r="B897" t="s">
        <v>116</v>
      </c>
      <c r="C897">
        <v>210784</v>
      </c>
      <c r="E897" t="s">
        <v>117</v>
      </c>
      <c r="F897">
        <v>368</v>
      </c>
      <c r="G897" t="s">
        <v>141</v>
      </c>
      <c r="H897" t="s">
        <v>142</v>
      </c>
      <c r="I897" t="s">
        <v>279</v>
      </c>
      <c r="J897" t="s">
        <v>280</v>
      </c>
      <c r="L897" t="s">
        <v>895</v>
      </c>
      <c r="M897" s="8">
        <v>45839</v>
      </c>
      <c r="N897">
        <v>5760645</v>
      </c>
      <c r="O897" t="s">
        <v>123</v>
      </c>
      <c r="P897" t="s">
        <v>146</v>
      </c>
      <c r="Q897">
        <v>4.1900000000000004</v>
      </c>
      <c r="R897" t="s">
        <v>125</v>
      </c>
      <c r="S897" t="s">
        <v>126</v>
      </c>
      <c r="T897" t="s">
        <v>125</v>
      </c>
      <c r="U897" t="s">
        <v>126</v>
      </c>
      <c r="W897">
        <v>4.1900000000000004</v>
      </c>
      <c r="Y897">
        <v>4.1900000000000004</v>
      </c>
      <c r="BE897">
        <v>4.1900000000000004</v>
      </c>
      <c r="BH897" t="s">
        <v>126</v>
      </c>
      <c r="BI897" t="s">
        <v>126</v>
      </c>
      <c r="BJ897" t="s">
        <v>126</v>
      </c>
      <c r="BK897" t="s">
        <v>126</v>
      </c>
      <c r="BS897" t="s">
        <v>126</v>
      </c>
      <c r="BT897" t="s">
        <v>126</v>
      </c>
      <c r="BU897" t="s">
        <v>126</v>
      </c>
      <c r="BV897" t="s">
        <v>126</v>
      </c>
      <c r="CN897" t="s">
        <v>147</v>
      </c>
      <c r="CP897" t="s">
        <v>431</v>
      </c>
      <c r="CQ897" t="s">
        <v>147</v>
      </c>
    </row>
    <row r="898" spans="1:95" x14ac:dyDescent="0.2">
      <c r="A898" t="s">
        <v>115</v>
      </c>
      <c r="B898" t="s">
        <v>116</v>
      </c>
      <c r="C898">
        <v>210784</v>
      </c>
      <c r="E898" t="s">
        <v>117</v>
      </c>
      <c r="F898">
        <v>368</v>
      </c>
      <c r="G898" t="s">
        <v>118</v>
      </c>
      <c r="H898" t="s">
        <v>119</v>
      </c>
      <c r="I898" t="s">
        <v>120</v>
      </c>
      <c r="J898" t="s">
        <v>121</v>
      </c>
      <c r="L898" t="s">
        <v>298</v>
      </c>
      <c r="M898" s="8">
        <v>45870</v>
      </c>
      <c r="N898">
        <v>134024</v>
      </c>
      <c r="O898" t="s">
        <v>123</v>
      </c>
      <c r="P898" t="s">
        <v>124</v>
      </c>
      <c r="Q898">
        <v>10.74</v>
      </c>
      <c r="R898" t="s">
        <v>125</v>
      </c>
      <c r="S898" t="s">
        <v>126</v>
      </c>
      <c r="T898" t="s">
        <v>125</v>
      </c>
      <c r="U898" t="s">
        <v>126</v>
      </c>
      <c r="W898">
        <v>10.74</v>
      </c>
      <c r="Y898">
        <v>10.74</v>
      </c>
      <c r="AC898">
        <v>10.74</v>
      </c>
      <c r="BH898" t="s">
        <v>126</v>
      </c>
      <c r="BI898" t="s">
        <v>126</v>
      </c>
      <c r="BJ898" t="s">
        <v>126</v>
      </c>
      <c r="BK898" t="s">
        <v>126</v>
      </c>
      <c r="BS898" t="s">
        <v>126</v>
      </c>
      <c r="BT898" t="s">
        <v>126</v>
      </c>
      <c r="BU898" t="s">
        <v>126</v>
      </c>
      <c r="BV898" t="s">
        <v>126</v>
      </c>
      <c r="CN898" t="s">
        <v>127</v>
      </c>
      <c r="CP898" t="s">
        <v>128</v>
      </c>
      <c r="CQ898" t="s">
        <v>127</v>
      </c>
    </row>
    <row r="899" spans="1:95" x14ac:dyDescent="0.2">
      <c r="A899" t="s">
        <v>115</v>
      </c>
      <c r="B899" t="s">
        <v>116</v>
      </c>
      <c r="C899">
        <v>210784</v>
      </c>
      <c r="E899" t="s">
        <v>117</v>
      </c>
      <c r="F899">
        <v>368</v>
      </c>
      <c r="G899" t="s">
        <v>118</v>
      </c>
      <c r="H899" t="s">
        <v>119</v>
      </c>
      <c r="I899" t="s">
        <v>120</v>
      </c>
      <c r="J899" t="s">
        <v>121</v>
      </c>
      <c r="L899" t="s">
        <v>299</v>
      </c>
      <c r="M899" s="8">
        <v>45870</v>
      </c>
      <c r="N899">
        <v>134066</v>
      </c>
      <c r="O899" t="s">
        <v>123</v>
      </c>
      <c r="P899" t="s">
        <v>124</v>
      </c>
      <c r="Q899">
        <v>11.28</v>
      </c>
      <c r="R899" t="s">
        <v>125</v>
      </c>
      <c r="S899" t="s">
        <v>126</v>
      </c>
      <c r="T899" t="s">
        <v>125</v>
      </c>
      <c r="U899" t="s">
        <v>126</v>
      </c>
      <c r="W899">
        <v>11.28</v>
      </c>
      <c r="Y899">
        <v>11.28</v>
      </c>
      <c r="AC899">
        <v>11.28</v>
      </c>
      <c r="BH899" t="s">
        <v>126</v>
      </c>
      <c r="BI899" t="s">
        <v>126</v>
      </c>
      <c r="BJ899" t="s">
        <v>126</v>
      </c>
      <c r="BK899" t="s">
        <v>126</v>
      </c>
      <c r="BS899" t="s">
        <v>126</v>
      </c>
      <c r="BT899" t="s">
        <v>126</v>
      </c>
      <c r="BU899" t="s">
        <v>126</v>
      </c>
      <c r="BV899" t="s">
        <v>126</v>
      </c>
      <c r="CN899" t="s">
        <v>127</v>
      </c>
      <c r="CP899" t="s">
        <v>128</v>
      </c>
      <c r="CQ899" t="s">
        <v>127</v>
      </c>
    </row>
    <row r="900" spans="1:95" x14ac:dyDescent="0.2">
      <c r="A900" t="s">
        <v>115</v>
      </c>
      <c r="B900" t="s">
        <v>116</v>
      </c>
      <c r="C900">
        <v>210784</v>
      </c>
      <c r="E900" t="s">
        <v>117</v>
      </c>
      <c r="F900">
        <v>368</v>
      </c>
      <c r="G900" t="s">
        <v>118</v>
      </c>
      <c r="H900" t="s">
        <v>119</v>
      </c>
      <c r="I900" t="s">
        <v>120</v>
      </c>
      <c r="J900" t="s">
        <v>121</v>
      </c>
      <c r="L900" t="s">
        <v>299</v>
      </c>
      <c r="M900" s="8">
        <v>45870</v>
      </c>
      <c r="N900">
        <v>134067</v>
      </c>
      <c r="O900" t="s">
        <v>123</v>
      </c>
      <c r="P900" t="s">
        <v>124</v>
      </c>
      <c r="Q900">
        <v>12.6</v>
      </c>
      <c r="R900" t="s">
        <v>125</v>
      </c>
      <c r="S900" t="s">
        <v>126</v>
      </c>
      <c r="T900" t="s">
        <v>125</v>
      </c>
      <c r="U900" t="s">
        <v>126</v>
      </c>
      <c r="W900">
        <v>12.6</v>
      </c>
      <c r="Y900">
        <v>12.6</v>
      </c>
      <c r="AC900">
        <v>12.6</v>
      </c>
      <c r="BH900" t="s">
        <v>126</v>
      </c>
      <c r="BI900" t="s">
        <v>126</v>
      </c>
      <c r="BJ900" t="s">
        <v>126</v>
      </c>
      <c r="BK900" t="s">
        <v>126</v>
      </c>
      <c r="BS900" t="s">
        <v>126</v>
      </c>
      <c r="BT900" t="s">
        <v>126</v>
      </c>
      <c r="BU900" t="s">
        <v>126</v>
      </c>
      <c r="BV900" t="s">
        <v>126</v>
      </c>
      <c r="CN900" t="s">
        <v>127</v>
      </c>
      <c r="CP900" t="s">
        <v>128</v>
      </c>
      <c r="CQ900" t="s">
        <v>127</v>
      </c>
    </row>
    <row r="901" spans="1:95" x14ac:dyDescent="0.2">
      <c r="A901" t="s">
        <v>115</v>
      </c>
      <c r="B901" t="s">
        <v>116</v>
      </c>
      <c r="C901">
        <v>210784</v>
      </c>
      <c r="E901" t="s">
        <v>117</v>
      </c>
      <c r="F901">
        <v>368</v>
      </c>
      <c r="G901" t="s">
        <v>118</v>
      </c>
      <c r="H901" t="s">
        <v>119</v>
      </c>
      <c r="I901" t="s">
        <v>120</v>
      </c>
      <c r="J901" t="s">
        <v>121</v>
      </c>
      <c r="L901" t="s">
        <v>299</v>
      </c>
      <c r="M901" s="8">
        <v>45870</v>
      </c>
      <c r="N901">
        <v>134080</v>
      </c>
      <c r="O901" t="s">
        <v>123</v>
      </c>
      <c r="P901" t="s">
        <v>124</v>
      </c>
      <c r="Q901">
        <v>13.04</v>
      </c>
      <c r="R901" t="s">
        <v>125</v>
      </c>
      <c r="S901" t="s">
        <v>126</v>
      </c>
      <c r="T901" t="s">
        <v>125</v>
      </c>
      <c r="U901" t="s">
        <v>126</v>
      </c>
      <c r="W901">
        <v>13.04</v>
      </c>
      <c r="Y901">
        <v>13.04</v>
      </c>
      <c r="AC901">
        <v>13.04</v>
      </c>
      <c r="BH901" t="s">
        <v>126</v>
      </c>
      <c r="BI901" t="s">
        <v>126</v>
      </c>
      <c r="BJ901" t="s">
        <v>126</v>
      </c>
      <c r="BK901" t="s">
        <v>126</v>
      </c>
      <c r="BS901" t="s">
        <v>126</v>
      </c>
      <c r="BT901" t="s">
        <v>126</v>
      </c>
      <c r="BU901" t="s">
        <v>126</v>
      </c>
      <c r="BV901" t="s">
        <v>126</v>
      </c>
      <c r="CN901" t="s">
        <v>127</v>
      </c>
      <c r="CP901" t="s">
        <v>128</v>
      </c>
      <c r="CQ901" t="s">
        <v>127</v>
      </c>
    </row>
    <row r="902" spans="1:95" x14ac:dyDescent="0.2">
      <c r="A902" t="s">
        <v>115</v>
      </c>
      <c r="B902" t="s">
        <v>116</v>
      </c>
      <c r="C902">
        <v>210784</v>
      </c>
      <c r="E902" t="s">
        <v>117</v>
      </c>
      <c r="F902">
        <v>368</v>
      </c>
      <c r="G902" t="s">
        <v>141</v>
      </c>
      <c r="H902" t="s">
        <v>142</v>
      </c>
      <c r="I902" t="s">
        <v>279</v>
      </c>
      <c r="J902" t="s">
        <v>280</v>
      </c>
      <c r="L902" t="s">
        <v>175</v>
      </c>
      <c r="M902" s="8">
        <v>45870</v>
      </c>
      <c r="N902">
        <v>5766780</v>
      </c>
      <c r="O902" t="s">
        <v>123</v>
      </c>
      <c r="P902" t="s">
        <v>146</v>
      </c>
      <c r="Q902">
        <v>1.1200000000000001</v>
      </c>
      <c r="R902" t="s">
        <v>125</v>
      </c>
      <c r="S902" t="s">
        <v>126</v>
      </c>
      <c r="T902" t="s">
        <v>125</v>
      </c>
      <c r="U902" t="s">
        <v>126</v>
      </c>
      <c r="W902">
        <v>1.1200000000000001</v>
      </c>
      <c r="Y902">
        <v>1.1200000000000001</v>
      </c>
      <c r="AS902">
        <v>1.1200000000000001</v>
      </c>
      <c r="BH902" t="s">
        <v>126</v>
      </c>
      <c r="BI902" t="s">
        <v>126</v>
      </c>
      <c r="BJ902" t="s">
        <v>126</v>
      </c>
      <c r="BK902" t="s">
        <v>126</v>
      </c>
      <c r="BS902" t="s">
        <v>126</v>
      </c>
      <c r="BT902" t="s">
        <v>126</v>
      </c>
      <c r="BU902" t="s">
        <v>126</v>
      </c>
      <c r="BV902" t="s">
        <v>126</v>
      </c>
      <c r="CN902" t="s">
        <v>147</v>
      </c>
      <c r="CP902" t="s">
        <v>442</v>
      </c>
      <c r="CQ902" t="s">
        <v>147</v>
      </c>
    </row>
    <row r="903" spans="1:95" x14ac:dyDescent="0.2">
      <c r="A903" t="s">
        <v>115</v>
      </c>
      <c r="B903" t="s">
        <v>116</v>
      </c>
      <c r="C903">
        <v>210784</v>
      </c>
      <c r="E903" t="s">
        <v>117</v>
      </c>
      <c r="F903">
        <v>368</v>
      </c>
      <c r="G903" t="s">
        <v>141</v>
      </c>
      <c r="H903" t="s">
        <v>142</v>
      </c>
      <c r="I903" t="s">
        <v>279</v>
      </c>
      <c r="J903" t="s">
        <v>280</v>
      </c>
      <c r="L903" t="s">
        <v>443</v>
      </c>
      <c r="M903" s="8">
        <v>45870</v>
      </c>
      <c r="N903">
        <v>5768325</v>
      </c>
      <c r="O903" t="s">
        <v>123</v>
      </c>
      <c r="P903" t="s">
        <v>146</v>
      </c>
      <c r="Q903">
        <v>3.9</v>
      </c>
      <c r="R903" t="s">
        <v>125</v>
      </c>
      <c r="S903" t="s">
        <v>126</v>
      </c>
      <c r="T903" t="s">
        <v>125</v>
      </c>
      <c r="U903" t="s">
        <v>126</v>
      </c>
      <c r="W903">
        <v>3.9</v>
      </c>
      <c r="Y903">
        <v>3.9</v>
      </c>
      <c r="AS903">
        <v>3.9</v>
      </c>
      <c r="BH903" t="s">
        <v>126</v>
      </c>
      <c r="BI903" t="s">
        <v>126</v>
      </c>
      <c r="BJ903" t="s">
        <v>126</v>
      </c>
      <c r="BK903" t="s">
        <v>126</v>
      </c>
      <c r="BS903" t="s">
        <v>126</v>
      </c>
      <c r="BT903" t="s">
        <v>126</v>
      </c>
      <c r="BU903" t="s">
        <v>126</v>
      </c>
      <c r="BV903" t="s">
        <v>126</v>
      </c>
      <c r="CN903" t="s">
        <v>147</v>
      </c>
      <c r="CP903" t="s">
        <v>442</v>
      </c>
      <c r="CQ903" t="s">
        <v>147</v>
      </c>
    </row>
    <row r="904" spans="1:95" x14ac:dyDescent="0.2">
      <c r="A904" t="s">
        <v>115</v>
      </c>
      <c r="B904" t="s">
        <v>116</v>
      </c>
      <c r="C904">
        <v>210784</v>
      </c>
      <c r="E904" t="s">
        <v>117</v>
      </c>
      <c r="F904">
        <v>368</v>
      </c>
      <c r="G904" t="s">
        <v>141</v>
      </c>
      <c r="H904" t="s">
        <v>142</v>
      </c>
      <c r="I904" t="s">
        <v>279</v>
      </c>
      <c r="J904" t="s">
        <v>280</v>
      </c>
      <c r="L904" t="s">
        <v>444</v>
      </c>
      <c r="M904" s="8">
        <v>45870</v>
      </c>
      <c r="N904">
        <v>5769247</v>
      </c>
      <c r="O904" t="s">
        <v>123</v>
      </c>
      <c r="P904" t="s">
        <v>146</v>
      </c>
      <c r="Q904">
        <v>3.51</v>
      </c>
      <c r="R904" t="s">
        <v>125</v>
      </c>
      <c r="S904" t="s">
        <v>126</v>
      </c>
      <c r="T904" t="s">
        <v>125</v>
      </c>
      <c r="U904" t="s">
        <v>126</v>
      </c>
      <c r="W904">
        <v>3.51</v>
      </c>
      <c r="Y904">
        <v>3.51</v>
      </c>
      <c r="AS904">
        <v>3.51</v>
      </c>
      <c r="BH904" t="s">
        <v>126</v>
      </c>
      <c r="BI904" t="s">
        <v>126</v>
      </c>
      <c r="BJ904" t="s">
        <v>126</v>
      </c>
      <c r="BK904" t="s">
        <v>126</v>
      </c>
      <c r="BS904" t="s">
        <v>126</v>
      </c>
      <c r="BT904" t="s">
        <v>126</v>
      </c>
      <c r="BU904" t="s">
        <v>126</v>
      </c>
      <c r="BV904" t="s">
        <v>126</v>
      </c>
      <c r="CN904" t="s">
        <v>147</v>
      </c>
      <c r="CP904" t="s">
        <v>442</v>
      </c>
      <c r="CQ904" t="s">
        <v>147</v>
      </c>
    </row>
    <row r="905" spans="1:95" x14ac:dyDescent="0.2">
      <c r="A905" t="s">
        <v>115</v>
      </c>
      <c r="B905" t="s">
        <v>116</v>
      </c>
      <c r="C905">
        <v>210784</v>
      </c>
      <c r="E905" t="s">
        <v>117</v>
      </c>
      <c r="F905">
        <v>368</v>
      </c>
      <c r="G905" t="s">
        <v>141</v>
      </c>
      <c r="H905" t="s">
        <v>142</v>
      </c>
      <c r="I905" t="s">
        <v>279</v>
      </c>
      <c r="J905" t="s">
        <v>280</v>
      </c>
      <c r="L905" t="s">
        <v>445</v>
      </c>
      <c r="M905" s="8">
        <v>45870</v>
      </c>
      <c r="N905">
        <v>5770098</v>
      </c>
      <c r="O905" t="s">
        <v>123</v>
      </c>
      <c r="P905" t="s">
        <v>146</v>
      </c>
      <c r="Q905">
        <v>4.59</v>
      </c>
      <c r="R905" t="s">
        <v>125</v>
      </c>
      <c r="S905" t="s">
        <v>126</v>
      </c>
      <c r="T905" t="s">
        <v>125</v>
      </c>
      <c r="U905" t="s">
        <v>126</v>
      </c>
      <c r="W905">
        <v>4.59</v>
      </c>
      <c r="Y905">
        <v>4.59</v>
      </c>
      <c r="AS905">
        <v>4.59</v>
      </c>
      <c r="BH905" t="s">
        <v>126</v>
      </c>
      <c r="BI905" t="s">
        <v>126</v>
      </c>
      <c r="BJ905" t="s">
        <v>126</v>
      </c>
      <c r="BK905" t="s">
        <v>126</v>
      </c>
      <c r="BS905" t="s">
        <v>126</v>
      </c>
      <c r="BT905" t="s">
        <v>126</v>
      </c>
      <c r="BU905" t="s">
        <v>126</v>
      </c>
      <c r="BV905" t="s">
        <v>126</v>
      </c>
      <c r="CN905" t="s">
        <v>147</v>
      </c>
      <c r="CP905" t="s">
        <v>442</v>
      </c>
      <c r="CQ905" t="s">
        <v>147</v>
      </c>
    </row>
    <row r="906" spans="1:95" x14ac:dyDescent="0.2">
      <c r="A906" t="s">
        <v>115</v>
      </c>
      <c r="B906" t="s">
        <v>116</v>
      </c>
      <c r="C906">
        <v>210784</v>
      </c>
      <c r="E906" t="s">
        <v>117</v>
      </c>
      <c r="F906">
        <v>368</v>
      </c>
      <c r="G906" t="s">
        <v>141</v>
      </c>
      <c r="H906" t="s">
        <v>142</v>
      </c>
      <c r="I906" t="s">
        <v>279</v>
      </c>
      <c r="J906" t="s">
        <v>280</v>
      </c>
      <c r="L906" t="s">
        <v>446</v>
      </c>
      <c r="M906" s="8">
        <v>45870</v>
      </c>
      <c r="N906">
        <v>5770327</v>
      </c>
      <c r="O906" t="s">
        <v>123</v>
      </c>
      <c r="P906" t="s">
        <v>146</v>
      </c>
      <c r="Q906">
        <v>3.64</v>
      </c>
      <c r="R906" t="s">
        <v>125</v>
      </c>
      <c r="S906" t="s">
        <v>126</v>
      </c>
      <c r="T906" t="s">
        <v>125</v>
      </c>
      <c r="U906" t="s">
        <v>126</v>
      </c>
      <c r="W906">
        <v>3.64</v>
      </c>
      <c r="Y906">
        <v>3.64</v>
      </c>
      <c r="AS906">
        <v>3.64</v>
      </c>
      <c r="BH906" t="s">
        <v>126</v>
      </c>
      <c r="BI906" t="s">
        <v>126</v>
      </c>
      <c r="BJ906" t="s">
        <v>126</v>
      </c>
      <c r="BK906" t="s">
        <v>126</v>
      </c>
      <c r="BS906" t="s">
        <v>126</v>
      </c>
      <c r="BT906" t="s">
        <v>126</v>
      </c>
      <c r="BU906" t="s">
        <v>126</v>
      </c>
      <c r="BV906" t="s">
        <v>126</v>
      </c>
      <c r="CN906" t="s">
        <v>147</v>
      </c>
      <c r="CP906" t="s">
        <v>442</v>
      </c>
      <c r="CQ906" t="s">
        <v>147</v>
      </c>
    </row>
    <row r="907" spans="1:95" x14ac:dyDescent="0.2">
      <c r="A907" t="s">
        <v>115</v>
      </c>
      <c r="B907" t="s">
        <v>116</v>
      </c>
      <c r="C907">
        <v>210784</v>
      </c>
      <c r="E907" t="s">
        <v>117</v>
      </c>
      <c r="F907">
        <v>368</v>
      </c>
      <c r="G907" t="s">
        <v>141</v>
      </c>
      <c r="H907" t="s">
        <v>142</v>
      </c>
      <c r="I907" t="s">
        <v>279</v>
      </c>
      <c r="J907" t="s">
        <v>280</v>
      </c>
      <c r="L907" t="s">
        <v>447</v>
      </c>
      <c r="M907" s="8">
        <v>45870</v>
      </c>
      <c r="N907">
        <v>5770693</v>
      </c>
      <c r="O907" t="s">
        <v>123</v>
      </c>
      <c r="P907" t="s">
        <v>146</v>
      </c>
      <c r="Q907">
        <v>5.9</v>
      </c>
      <c r="R907" t="s">
        <v>125</v>
      </c>
      <c r="S907" t="s">
        <v>126</v>
      </c>
      <c r="T907" t="s">
        <v>125</v>
      </c>
      <c r="U907" t="s">
        <v>126</v>
      </c>
      <c r="W907">
        <v>5.9</v>
      </c>
      <c r="Y907">
        <v>5.9</v>
      </c>
      <c r="AS907">
        <v>5.9</v>
      </c>
      <c r="BH907" t="s">
        <v>126</v>
      </c>
      <c r="BI907" t="s">
        <v>126</v>
      </c>
      <c r="BJ907" t="s">
        <v>126</v>
      </c>
      <c r="BK907" t="s">
        <v>126</v>
      </c>
      <c r="BS907" t="s">
        <v>126</v>
      </c>
      <c r="BT907" t="s">
        <v>126</v>
      </c>
      <c r="BU907" t="s">
        <v>126</v>
      </c>
      <c r="BV907" t="s">
        <v>126</v>
      </c>
      <c r="CN907" t="s">
        <v>147</v>
      </c>
      <c r="CP907" t="s">
        <v>442</v>
      </c>
      <c r="CQ907" t="s">
        <v>147</v>
      </c>
    </row>
    <row r="908" spans="1:95" x14ac:dyDescent="0.2">
      <c r="A908" t="s">
        <v>115</v>
      </c>
      <c r="B908" t="s">
        <v>116</v>
      </c>
      <c r="C908">
        <v>210784</v>
      </c>
      <c r="E908" t="s">
        <v>117</v>
      </c>
      <c r="F908">
        <v>368</v>
      </c>
      <c r="G908" t="s">
        <v>141</v>
      </c>
      <c r="H908" t="s">
        <v>142</v>
      </c>
      <c r="I908" t="s">
        <v>279</v>
      </c>
      <c r="J908" t="s">
        <v>280</v>
      </c>
      <c r="L908" t="s">
        <v>448</v>
      </c>
      <c r="M908" s="8">
        <v>45870</v>
      </c>
      <c r="N908">
        <v>5771299</v>
      </c>
      <c r="O908" t="s">
        <v>123</v>
      </c>
      <c r="P908" t="s">
        <v>146</v>
      </c>
      <c r="Q908">
        <v>2.82</v>
      </c>
      <c r="R908" t="s">
        <v>125</v>
      </c>
      <c r="S908" t="s">
        <v>126</v>
      </c>
      <c r="T908" t="s">
        <v>125</v>
      </c>
      <c r="U908" t="s">
        <v>126</v>
      </c>
      <c r="W908">
        <v>2.82</v>
      </c>
      <c r="Y908">
        <v>2.82</v>
      </c>
      <c r="AS908">
        <v>2.82</v>
      </c>
      <c r="BH908" t="s">
        <v>126</v>
      </c>
      <c r="BI908" t="s">
        <v>126</v>
      </c>
      <c r="BJ908" t="s">
        <v>126</v>
      </c>
      <c r="BK908" t="s">
        <v>126</v>
      </c>
      <c r="BS908" t="s">
        <v>126</v>
      </c>
      <c r="BT908" t="s">
        <v>126</v>
      </c>
      <c r="BU908" t="s">
        <v>126</v>
      </c>
      <c r="BV908" t="s">
        <v>126</v>
      </c>
      <c r="CN908" t="s">
        <v>147</v>
      </c>
      <c r="CP908" t="s">
        <v>442</v>
      </c>
      <c r="CQ908" t="s">
        <v>147</v>
      </c>
    </row>
    <row r="909" spans="1:95" x14ac:dyDescent="0.2">
      <c r="A909" t="s">
        <v>115</v>
      </c>
      <c r="B909" t="s">
        <v>116</v>
      </c>
      <c r="C909">
        <v>210784</v>
      </c>
      <c r="E909" t="s">
        <v>117</v>
      </c>
      <c r="F909">
        <v>368</v>
      </c>
      <c r="G909" t="s">
        <v>141</v>
      </c>
      <c r="H909" t="s">
        <v>142</v>
      </c>
      <c r="I909" t="s">
        <v>279</v>
      </c>
      <c r="J909" t="s">
        <v>280</v>
      </c>
      <c r="L909" t="s">
        <v>448</v>
      </c>
      <c r="M909" s="8">
        <v>45870</v>
      </c>
      <c r="N909">
        <v>5771997</v>
      </c>
      <c r="O909" t="s">
        <v>123</v>
      </c>
      <c r="P909" t="s">
        <v>146</v>
      </c>
      <c r="Q909">
        <v>3.68</v>
      </c>
      <c r="R909" t="s">
        <v>125</v>
      </c>
      <c r="S909" t="s">
        <v>126</v>
      </c>
      <c r="T909" t="s">
        <v>125</v>
      </c>
      <c r="U909" t="s">
        <v>126</v>
      </c>
      <c r="W909">
        <v>3.68</v>
      </c>
      <c r="Y909">
        <v>3.68</v>
      </c>
      <c r="AS909">
        <v>3.68</v>
      </c>
      <c r="BH909" t="s">
        <v>126</v>
      </c>
      <c r="BI909" t="s">
        <v>126</v>
      </c>
      <c r="BJ909" t="s">
        <v>126</v>
      </c>
      <c r="BK909" t="s">
        <v>126</v>
      </c>
      <c r="BS909" t="s">
        <v>126</v>
      </c>
      <c r="BT909" t="s">
        <v>126</v>
      </c>
      <c r="BU909" t="s">
        <v>126</v>
      </c>
      <c r="BV909" t="s">
        <v>126</v>
      </c>
      <c r="CN909" t="s">
        <v>147</v>
      </c>
      <c r="CP909" t="s">
        <v>442</v>
      </c>
      <c r="CQ909" t="s">
        <v>147</v>
      </c>
    </row>
    <row r="910" spans="1:95" x14ac:dyDescent="0.2">
      <c r="A910" t="s">
        <v>115</v>
      </c>
      <c r="B910" t="s">
        <v>116</v>
      </c>
      <c r="C910">
        <v>210784</v>
      </c>
      <c r="E910" t="s">
        <v>117</v>
      </c>
      <c r="F910">
        <v>368</v>
      </c>
      <c r="G910" t="s">
        <v>141</v>
      </c>
      <c r="H910" t="s">
        <v>142</v>
      </c>
      <c r="I910" t="s">
        <v>279</v>
      </c>
      <c r="J910" t="s">
        <v>280</v>
      </c>
      <c r="L910" t="s">
        <v>449</v>
      </c>
      <c r="M910" s="8">
        <v>45870</v>
      </c>
      <c r="N910">
        <v>5772794</v>
      </c>
      <c r="O910" t="s">
        <v>123</v>
      </c>
      <c r="P910" t="s">
        <v>146</v>
      </c>
      <c r="Q910">
        <v>3.39</v>
      </c>
      <c r="R910" t="s">
        <v>125</v>
      </c>
      <c r="S910" t="s">
        <v>126</v>
      </c>
      <c r="T910" t="s">
        <v>125</v>
      </c>
      <c r="U910" t="s">
        <v>126</v>
      </c>
      <c r="W910">
        <v>3.39</v>
      </c>
      <c r="Y910">
        <v>3.39</v>
      </c>
      <c r="AS910">
        <v>3.39</v>
      </c>
      <c r="BH910" t="s">
        <v>126</v>
      </c>
      <c r="BI910" t="s">
        <v>126</v>
      </c>
      <c r="BJ910" t="s">
        <v>126</v>
      </c>
      <c r="BK910" t="s">
        <v>126</v>
      </c>
      <c r="BS910" t="s">
        <v>126</v>
      </c>
      <c r="BT910" t="s">
        <v>126</v>
      </c>
      <c r="BU910" t="s">
        <v>126</v>
      </c>
      <c r="BV910" t="s">
        <v>126</v>
      </c>
      <c r="CN910" t="s">
        <v>147</v>
      </c>
      <c r="CP910" t="s">
        <v>442</v>
      </c>
      <c r="CQ910" t="s">
        <v>147</v>
      </c>
    </row>
    <row r="911" spans="1:95" x14ac:dyDescent="0.2">
      <c r="A911" t="s">
        <v>115</v>
      </c>
      <c r="B911" t="s">
        <v>116</v>
      </c>
      <c r="C911">
        <v>210784</v>
      </c>
      <c r="E911" t="s">
        <v>117</v>
      </c>
      <c r="F911">
        <v>368</v>
      </c>
      <c r="G911" t="s">
        <v>141</v>
      </c>
      <c r="H911" t="s">
        <v>142</v>
      </c>
      <c r="I911" t="s">
        <v>279</v>
      </c>
      <c r="J911" t="s">
        <v>280</v>
      </c>
      <c r="L911" t="s">
        <v>450</v>
      </c>
      <c r="M911" s="8">
        <v>45870</v>
      </c>
      <c r="N911">
        <v>5773528</v>
      </c>
      <c r="O911" t="s">
        <v>123</v>
      </c>
      <c r="P911" t="s">
        <v>146</v>
      </c>
      <c r="Q911">
        <v>5.36</v>
      </c>
      <c r="R911" t="s">
        <v>125</v>
      </c>
      <c r="S911" t="s">
        <v>126</v>
      </c>
      <c r="T911" t="s">
        <v>125</v>
      </c>
      <c r="U911" t="s">
        <v>126</v>
      </c>
      <c r="W911">
        <v>5.36</v>
      </c>
      <c r="Y911">
        <v>5.36</v>
      </c>
      <c r="AS911">
        <v>5.36</v>
      </c>
      <c r="BH911" t="s">
        <v>126</v>
      </c>
      <c r="BI911" t="s">
        <v>126</v>
      </c>
      <c r="BJ911" t="s">
        <v>126</v>
      </c>
      <c r="BK911" t="s">
        <v>126</v>
      </c>
      <c r="BS911" t="s">
        <v>126</v>
      </c>
      <c r="BT911" t="s">
        <v>126</v>
      </c>
      <c r="BU911" t="s">
        <v>126</v>
      </c>
      <c r="BV911" t="s">
        <v>126</v>
      </c>
      <c r="CN911" t="s">
        <v>147</v>
      </c>
      <c r="CP911" t="s">
        <v>442</v>
      </c>
      <c r="CQ911" t="s">
        <v>147</v>
      </c>
    </row>
    <row r="912" spans="1:95" x14ac:dyDescent="0.2">
      <c r="A912" t="s">
        <v>115</v>
      </c>
      <c r="B912" t="s">
        <v>116</v>
      </c>
      <c r="C912">
        <v>210784</v>
      </c>
      <c r="E912" t="s">
        <v>117</v>
      </c>
      <c r="F912">
        <v>368</v>
      </c>
      <c r="G912" t="s">
        <v>141</v>
      </c>
      <c r="H912" t="s">
        <v>142</v>
      </c>
      <c r="I912" t="s">
        <v>279</v>
      </c>
      <c r="J912" t="s">
        <v>280</v>
      </c>
      <c r="L912" t="s">
        <v>451</v>
      </c>
      <c r="M912" s="8">
        <v>45870</v>
      </c>
      <c r="N912">
        <v>5774383</v>
      </c>
      <c r="O912" t="s">
        <v>123</v>
      </c>
      <c r="P912" t="s">
        <v>146</v>
      </c>
      <c r="Q912">
        <v>3.59</v>
      </c>
      <c r="R912" t="s">
        <v>125</v>
      </c>
      <c r="S912" t="s">
        <v>126</v>
      </c>
      <c r="T912" t="s">
        <v>125</v>
      </c>
      <c r="U912" t="s">
        <v>126</v>
      </c>
      <c r="W912">
        <v>3.59</v>
      </c>
      <c r="Y912">
        <v>3.59</v>
      </c>
      <c r="AS912">
        <v>3.59</v>
      </c>
      <c r="BH912" t="s">
        <v>126</v>
      </c>
      <c r="BI912" t="s">
        <v>126</v>
      </c>
      <c r="BJ912" t="s">
        <v>126</v>
      </c>
      <c r="BK912" t="s">
        <v>126</v>
      </c>
      <c r="BS912" t="s">
        <v>126</v>
      </c>
      <c r="BT912" t="s">
        <v>126</v>
      </c>
      <c r="BU912" t="s">
        <v>126</v>
      </c>
      <c r="BV912" t="s">
        <v>126</v>
      </c>
      <c r="CN912" t="s">
        <v>147</v>
      </c>
      <c r="CP912" t="s">
        <v>442</v>
      </c>
      <c r="CQ912" t="s">
        <v>147</v>
      </c>
    </row>
    <row r="913" spans="1:95" x14ac:dyDescent="0.2">
      <c r="A913" t="s">
        <v>115</v>
      </c>
      <c r="B913" t="s">
        <v>116</v>
      </c>
      <c r="C913">
        <v>210784</v>
      </c>
      <c r="E913" t="s">
        <v>117</v>
      </c>
      <c r="F913">
        <v>368</v>
      </c>
      <c r="G913" t="s">
        <v>141</v>
      </c>
      <c r="H913" t="s">
        <v>142</v>
      </c>
      <c r="I913" t="s">
        <v>279</v>
      </c>
      <c r="J913" t="s">
        <v>280</v>
      </c>
      <c r="L913" t="s">
        <v>452</v>
      </c>
      <c r="M913" s="8">
        <v>45870</v>
      </c>
      <c r="N913">
        <v>5774603</v>
      </c>
      <c r="O913" t="s">
        <v>123</v>
      </c>
      <c r="P913" t="s">
        <v>146</v>
      </c>
      <c r="Q913">
        <v>2.77</v>
      </c>
      <c r="R913" t="s">
        <v>125</v>
      </c>
      <c r="S913" t="s">
        <v>126</v>
      </c>
      <c r="T913" t="s">
        <v>125</v>
      </c>
      <c r="U913" t="s">
        <v>126</v>
      </c>
      <c r="W913">
        <v>2.77</v>
      </c>
      <c r="Y913">
        <v>2.77</v>
      </c>
      <c r="AS913">
        <v>2.77</v>
      </c>
      <c r="BH913" t="s">
        <v>126</v>
      </c>
      <c r="BI913" t="s">
        <v>126</v>
      </c>
      <c r="BJ913" t="s">
        <v>126</v>
      </c>
      <c r="BK913" t="s">
        <v>126</v>
      </c>
      <c r="BS913" t="s">
        <v>126</v>
      </c>
      <c r="BT913" t="s">
        <v>126</v>
      </c>
      <c r="BU913" t="s">
        <v>126</v>
      </c>
      <c r="BV913" t="s">
        <v>126</v>
      </c>
      <c r="CN913" t="s">
        <v>147</v>
      </c>
      <c r="CP913" t="s">
        <v>442</v>
      </c>
      <c r="CQ913" t="s">
        <v>147</v>
      </c>
    </row>
    <row r="914" spans="1:95" x14ac:dyDescent="0.2">
      <c r="A914" t="s">
        <v>115</v>
      </c>
      <c r="B914" t="s">
        <v>116</v>
      </c>
      <c r="C914">
        <v>210784</v>
      </c>
      <c r="E914" t="s">
        <v>117</v>
      </c>
      <c r="F914">
        <v>368</v>
      </c>
      <c r="G914" t="s">
        <v>141</v>
      </c>
      <c r="H914" t="s">
        <v>142</v>
      </c>
      <c r="I914" t="s">
        <v>279</v>
      </c>
      <c r="J914" t="s">
        <v>280</v>
      </c>
      <c r="L914" t="s">
        <v>453</v>
      </c>
      <c r="M914" s="8">
        <v>45870</v>
      </c>
      <c r="N914">
        <v>5776091</v>
      </c>
      <c r="O914" t="s">
        <v>123</v>
      </c>
      <c r="P914" t="s">
        <v>146</v>
      </c>
      <c r="Q914">
        <v>3.59</v>
      </c>
      <c r="R914" t="s">
        <v>125</v>
      </c>
      <c r="S914" t="s">
        <v>126</v>
      </c>
      <c r="T914" t="s">
        <v>125</v>
      </c>
      <c r="U914" t="s">
        <v>126</v>
      </c>
      <c r="W914">
        <v>3.59</v>
      </c>
      <c r="Y914">
        <v>3.59</v>
      </c>
      <c r="AS914">
        <v>3.59</v>
      </c>
      <c r="BH914" t="s">
        <v>126</v>
      </c>
      <c r="BI914" t="s">
        <v>126</v>
      </c>
      <c r="BJ914" t="s">
        <v>126</v>
      </c>
      <c r="BK914" t="s">
        <v>126</v>
      </c>
      <c r="BS914" t="s">
        <v>126</v>
      </c>
      <c r="BT914" t="s">
        <v>126</v>
      </c>
      <c r="BU914" t="s">
        <v>126</v>
      </c>
      <c r="BV914" t="s">
        <v>126</v>
      </c>
      <c r="CN914" t="s">
        <v>147</v>
      </c>
      <c r="CP914" t="s">
        <v>442</v>
      </c>
      <c r="CQ914" t="s">
        <v>147</v>
      </c>
    </row>
    <row r="915" spans="1:95" x14ac:dyDescent="0.2">
      <c r="A915" t="s">
        <v>115</v>
      </c>
      <c r="B915" t="s">
        <v>116</v>
      </c>
      <c r="C915">
        <v>210784</v>
      </c>
      <c r="E915" t="s">
        <v>117</v>
      </c>
      <c r="F915">
        <v>368</v>
      </c>
      <c r="G915" t="s">
        <v>141</v>
      </c>
      <c r="H915" t="s">
        <v>142</v>
      </c>
      <c r="I915" t="s">
        <v>279</v>
      </c>
      <c r="J915" t="s">
        <v>280</v>
      </c>
      <c r="L915" t="s">
        <v>298</v>
      </c>
      <c r="M915" s="8">
        <v>45870</v>
      </c>
      <c r="N915">
        <v>5776875</v>
      </c>
      <c r="O915" t="s">
        <v>123</v>
      </c>
      <c r="P915" t="s">
        <v>146</v>
      </c>
      <c r="Q915">
        <v>5.74</v>
      </c>
      <c r="R915" t="s">
        <v>125</v>
      </c>
      <c r="S915" t="s">
        <v>126</v>
      </c>
      <c r="T915" t="s">
        <v>125</v>
      </c>
      <c r="U915" t="s">
        <v>126</v>
      </c>
      <c r="W915">
        <v>5.74</v>
      </c>
      <c r="Y915">
        <v>5.74</v>
      </c>
      <c r="AS915">
        <v>5.74</v>
      </c>
      <c r="BH915" t="s">
        <v>126</v>
      </c>
      <c r="BI915" t="s">
        <v>126</v>
      </c>
      <c r="BJ915" t="s">
        <v>126</v>
      </c>
      <c r="BK915" t="s">
        <v>126</v>
      </c>
      <c r="BS915" t="s">
        <v>126</v>
      </c>
      <c r="BT915" t="s">
        <v>126</v>
      </c>
      <c r="BU915" t="s">
        <v>126</v>
      </c>
      <c r="BV915" t="s">
        <v>126</v>
      </c>
      <c r="CN915" t="s">
        <v>147</v>
      </c>
      <c r="CP915" t="s">
        <v>442</v>
      </c>
      <c r="CQ915" t="s">
        <v>147</v>
      </c>
    </row>
    <row r="916" spans="1:95" x14ac:dyDescent="0.2">
      <c r="A916" t="s">
        <v>115</v>
      </c>
      <c r="B916" t="s">
        <v>116</v>
      </c>
      <c r="C916">
        <v>210784</v>
      </c>
      <c r="E916" t="s">
        <v>117</v>
      </c>
      <c r="F916">
        <v>368</v>
      </c>
      <c r="G916" t="s">
        <v>141</v>
      </c>
      <c r="H916" t="s">
        <v>142</v>
      </c>
      <c r="I916" t="s">
        <v>279</v>
      </c>
      <c r="J916" t="s">
        <v>280</v>
      </c>
      <c r="L916" t="s">
        <v>454</v>
      </c>
      <c r="M916" s="8">
        <v>45870</v>
      </c>
      <c r="N916">
        <v>5777713</v>
      </c>
      <c r="O916" t="s">
        <v>123</v>
      </c>
      <c r="P916" t="s">
        <v>146</v>
      </c>
      <c r="Q916">
        <v>5.07</v>
      </c>
      <c r="R916" t="s">
        <v>125</v>
      </c>
      <c r="S916" t="s">
        <v>126</v>
      </c>
      <c r="T916" t="s">
        <v>125</v>
      </c>
      <c r="U916" t="s">
        <v>126</v>
      </c>
      <c r="W916">
        <v>5.07</v>
      </c>
      <c r="Y916">
        <v>5.07</v>
      </c>
      <c r="AS916">
        <v>5.07</v>
      </c>
      <c r="BH916" t="s">
        <v>126</v>
      </c>
      <c r="BI916" t="s">
        <v>126</v>
      </c>
      <c r="BJ916" t="s">
        <v>126</v>
      </c>
      <c r="BK916" t="s">
        <v>126</v>
      </c>
      <c r="BS916" t="s">
        <v>126</v>
      </c>
      <c r="BT916" t="s">
        <v>126</v>
      </c>
      <c r="BU916" t="s">
        <v>126</v>
      </c>
      <c r="BV916" t="s">
        <v>126</v>
      </c>
      <c r="CN916" t="s">
        <v>147</v>
      </c>
      <c r="CP916" t="s">
        <v>442</v>
      </c>
      <c r="CQ916" t="s">
        <v>147</v>
      </c>
    </row>
    <row r="917" spans="1:95" x14ac:dyDescent="0.2">
      <c r="A917" t="s">
        <v>115</v>
      </c>
      <c r="B917" t="s">
        <v>116</v>
      </c>
      <c r="C917">
        <v>210784</v>
      </c>
      <c r="E917" t="s">
        <v>117</v>
      </c>
      <c r="F917">
        <v>368</v>
      </c>
      <c r="G917" t="s">
        <v>141</v>
      </c>
      <c r="H917" t="s">
        <v>142</v>
      </c>
      <c r="I917" t="s">
        <v>279</v>
      </c>
      <c r="J917" t="s">
        <v>280</v>
      </c>
      <c r="L917" t="s">
        <v>455</v>
      </c>
      <c r="M917" s="8">
        <v>45870</v>
      </c>
      <c r="N917">
        <v>5780518</v>
      </c>
      <c r="O917" t="s">
        <v>123</v>
      </c>
      <c r="P917" t="s">
        <v>146</v>
      </c>
      <c r="Q917">
        <v>1.35</v>
      </c>
      <c r="R917" t="s">
        <v>125</v>
      </c>
      <c r="S917" t="s">
        <v>126</v>
      </c>
      <c r="T917" t="s">
        <v>125</v>
      </c>
      <c r="U917" t="s">
        <v>126</v>
      </c>
      <c r="W917">
        <v>1.35</v>
      </c>
      <c r="Y917">
        <v>1.35</v>
      </c>
      <c r="AS917">
        <v>1.35</v>
      </c>
      <c r="BH917" t="s">
        <v>126</v>
      </c>
      <c r="BI917" t="s">
        <v>126</v>
      </c>
      <c r="BJ917" t="s">
        <v>126</v>
      </c>
      <c r="BK917" t="s">
        <v>126</v>
      </c>
      <c r="BS917" t="s">
        <v>126</v>
      </c>
      <c r="BT917" t="s">
        <v>126</v>
      </c>
      <c r="BU917" t="s">
        <v>126</v>
      </c>
      <c r="BV917" t="s">
        <v>126</v>
      </c>
      <c r="CN917" t="s">
        <v>147</v>
      </c>
      <c r="CP917" t="s">
        <v>442</v>
      </c>
      <c r="CQ917" t="s">
        <v>147</v>
      </c>
    </row>
    <row r="918" spans="1:95" x14ac:dyDescent="0.2">
      <c r="A918" t="s">
        <v>115</v>
      </c>
      <c r="B918" t="s">
        <v>116</v>
      </c>
      <c r="C918">
        <v>210784</v>
      </c>
      <c r="E918" t="s">
        <v>117</v>
      </c>
      <c r="F918">
        <v>368</v>
      </c>
      <c r="G918" t="s">
        <v>141</v>
      </c>
      <c r="H918" t="s">
        <v>142</v>
      </c>
      <c r="I918" t="s">
        <v>279</v>
      </c>
      <c r="J918" t="s">
        <v>280</v>
      </c>
      <c r="L918" t="s">
        <v>738</v>
      </c>
      <c r="M918" s="8">
        <v>45870</v>
      </c>
      <c r="N918">
        <v>5765738</v>
      </c>
      <c r="O918" t="s">
        <v>123</v>
      </c>
      <c r="P918" t="s">
        <v>146</v>
      </c>
      <c r="Q918">
        <v>3.96</v>
      </c>
      <c r="R918" t="s">
        <v>610</v>
      </c>
      <c r="S918" t="s">
        <v>126</v>
      </c>
      <c r="T918" t="s">
        <v>610</v>
      </c>
      <c r="U918" t="s">
        <v>611</v>
      </c>
      <c r="W918">
        <v>1.22</v>
      </c>
      <c r="X918">
        <v>2.74</v>
      </c>
      <c r="Y918">
        <v>3.96</v>
      </c>
      <c r="Z918">
        <v>1.51</v>
      </c>
      <c r="AG918">
        <v>1.22</v>
      </c>
      <c r="AI918">
        <v>1.23</v>
      </c>
      <c r="BH918" t="s">
        <v>126</v>
      </c>
      <c r="BI918" t="s">
        <v>126</v>
      </c>
      <c r="BJ918" t="s">
        <v>126</v>
      </c>
      <c r="BK918" t="s">
        <v>126</v>
      </c>
      <c r="BS918" t="s">
        <v>126</v>
      </c>
      <c r="BT918" t="s">
        <v>126</v>
      </c>
      <c r="BU918" t="s">
        <v>126</v>
      </c>
      <c r="BV918" t="s">
        <v>126</v>
      </c>
      <c r="CN918" t="s">
        <v>147</v>
      </c>
      <c r="CP918" t="s">
        <v>442</v>
      </c>
      <c r="CQ918" t="s">
        <v>147</v>
      </c>
    </row>
    <row r="919" spans="1:95" x14ac:dyDescent="0.2">
      <c r="A919" t="s">
        <v>115</v>
      </c>
      <c r="B919" t="s">
        <v>116</v>
      </c>
      <c r="C919">
        <v>210784</v>
      </c>
      <c r="E919" t="s">
        <v>117</v>
      </c>
      <c r="F919">
        <v>368</v>
      </c>
      <c r="G919" t="s">
        <v>141</v>
      </c>
      <c r="H919" t="s">
        <v>142</v>
      </c>
      <c r="I919" t="s">
        <v>279</v>
      </c>
      <c r="J919" t="s">
        <v>280</v>
      </c>
      <c r="L919" t="s">
        <v>739</v>
      </c>
      <c r="M919" s="8">
        <v>45870</v>
      </c>
      <c r="N919">
        <v>5765895</v>
      </c>
      <c r="O919" t="s">
        <v>123</v>
      </c>
      <c r="P919" t="s">
        <v>146</v>
      </c>
      <c r="Q919">
        <v>5.9399999999999995</v>
      </c>
      <c r="R919" t="s">
        <v>610</v>
      </c>
      <c r="S919" t="s">
        <v>126</v>
      </c>
      <c r="T919" t="s">
        <v>610</v>
      </c>
      <c r="U919" t="s">
        <v>611</v>
      </c>
      <c r="W919">
        <v>1.83</v>
      </c>
      <c r="X919">
        <v>4.1099999999999994</v>
      </c>
      <c r="Y919">
        <v>5.9399999999999995</v>
      </c>
      <c r="Z919">
        <v>2.2599999999999998</v>
      </c>
      <c r="AG919">
        <v>1.83</v>
      </c>
      <c r="AI919">
        <v>1.85</v>
      </c>
      <c r="BH919" t="s">
        <v>126</v>
      </c>
      <c r="BI919" t="s">
        <v>126</v>
      </c>
      <c r="BJ919" t="s">
        <v>126</v>
      </c>
      <c r="BK919" t="s">
        <v>126</v>
      </c>
      <c r="BS919" t="s">
        <v>126</v>
      </c>
      <c r="BT919" t="s">
        <v>126</v>
      </c>
      <c r="BU919" t="s">
        <v>126</v>
      </c>
      <c r="BV919" t="s">
        <v>126</v>
      </c>
      <c r="CN919" t="s">
        <v>147</v>
      </c>
      <c r="CP919" t="s">
        <v>442</v>
      </c>
      <c r="CQ919" t="s">
        <v>147</v>
      </c>
    </row>
    <row r="920" spans="1:95" x14ac:dyDescent="0.2">
      <c r="A920" t="s">
        <v>115</v>
      </c>
      <c r="B920" t="s">
        <v>116</v>
      </c>
      <c r="C920">
        <v>210784</v>
      </c>
      <c r="E920" t="s">
        <v>117</v>
      </c>
      <c r="F920">
        <v>368</v>
      </c>
      <c r="G920" t="s">
        <v>141</v>
      </c>
      <c r="H920" t="s">
        <v>142</v>
      </c>
      <c r="I920" t="s">
        <v>279</v>
      </c>
      <c r="J920" t="s">
        <v>280</v>
      </c>
      <c r="L920" t="s">
        <v>444</v>
      </c>
      <c r="M920" s="8">
        <v>45870</v>
      </c>
      <c r="N920">
        <v>5768551</v>
      </c>
      <c r="O920" t="s">
        <v>123</v>
      </c>
      <c r="P920" t="s">
        <v>146</v>
      </c>
      <c r="Q920">
        <v>3.99</v>
      </c>
      <c r="R920" t="s">
        <v>602</v>
      </c>
      <c r="S920" t="s">
        <v>126</v>
      </c>
      <c r="T920" t="s">
        <v>602</v>
      </c>
      <c r="U920" t="s">
        <v>603</v>
      </c>
      <c r="W920">
        <v>1.23</v>
      </c>
      <c r="X920">
        <v>2.76</v>
      </c>
      <c r="Y920">
        <v>3.99</v>
      </c>
      <c r="Z920">
        <v>1.52</v>
      </c>
      <c r="AG920">
        <v>1.23</v>
      </c>
      <c r="AI920">
        <v>1.24</v>
      </c>
      <c r="BH920" t="s">
        <v>126</v>
      </c>
      <c r="BI920" t="s">
        <v>126</v>
      </c>
      <c r="BJ920" t="s">
        <v>126</v>
      </c>
      <c r="BK920" t="s">
        <v>126</v>
      </c>
      <c r="BS920" t="s">
        <v>126</v>
      </c>
      <c r="BT920" t="s">
        <v>126</v>
      </c>
      <c r="BU920" t="s">
        <v>126</v>
      </c>
      <c r="BV920" t="s">
        <v>126</v>
      </c>
      <c r="CN920" t="s">
        <v>147</v>
      </c>
      <c r="CP920" t="s">
        <v>442</v>
      </c>
      <c r="CQ920" t="s">
        <v>147</v>
      </c>
    </row>
    <row r="921" spans="1:95" x14ac:dyDescent="0.2">
      <c r="A921" t="s">
        <v>115</v>
      </c>
      <c r="B921" t="s">
        <v>116</v>
      </c>
      <c r="C921">
        <v>210784</v>
      </c>
      <c r="E921" t="s">
        <v>117</v>
      </c>
      <c r="F921">
        <v>368</v>
      </c>
      <c r="G921" t="s">
        <v>141</v>
      </c>
      <c r="H921" t="s">
        <v>142</v>
      </c>
      <c r="I921" t="s">
        <v>279</v>
      </c>
      <c r="J921" t="s">
        <v>280</v>
      </c>
      <c r="L921" t="s">
        <v>447</v>
      </c>
      <c r="M921" s="8">
        <v>45870</v>
      </c>
      <c r="N921">
        <v>5771178</v>
      </c>
      <c r="O921" t="s">
        <v>123</v>
      </c>
      <c r="P921" t="s">
        <v>146</v>
      </c>
      <c r="Q921">
        <v>4.09</v>
      </c>
      <c r="R921" t="s">
        <v>610</v>
      </c>
      <c r="S921" t="s">
        <v>126</v>
      </c>
      <c r="T921" t="s">
        <v>610</v>
      </c>
      <c r="U921" t="s">
        <v>611</v>
      </c>
      <c r="W921">
        <v>1.26</v>
      </c>
      <c r="X921">
        <v>2.83</v>
      </c>
      <c r="Y921">
        <v>4.09</v>
      </c>
      <c r="Z921">
        <v>1.56</v>
      </c>
      <c r="AG921">
        <v>1.26</v>
      </c>
      <c r="AI921">
        <v>1.27</v>
      </c>
      <c r="BH921" t="s">
        <v>126</v>
      </c>
      <c r="BI921" t="s">
        <v>126</v>
      </c>
      <c r="BJ921" t="s">
        <v>126</v>
      </c>
      <c r="BK921" t="s">
        <v>126</v>
      </c>
      <c r="BS921" t="s">
        <v>126</v>
      </c>
      <c r="BT921" t="s">
        <v>126</v>
      </c>
      <c r="BU921" t="s">
        <v>126</v>
      </c>
      <c r="BV921" t="s">
        <v>126</v>
      </c>
      <c r="CN921" t="s">
        <v>147</v>
      </c>
      <c r="CP921" t="s">
        <v>442</v>
      </c>
      <c r="CQ921" t="s">
        <v>147</v>
      </c>
    </row>
    <row r="922" spans="1:95" x14ac:dyDescent="0.2">
      <c r="A922" t="s">
        <v>115</v>
      </c>
      <c r="B922" t="s">
        <v>116</v>
      </c>
      <c r="C922">
        <v>210784</v>
      </c>
      <c r="E922" t="s">
        <v>117</v>
      </c>
      <c r="F922">
        <v>368</v>
      </c>
      <c r="G922" t="s">
        <v>141</v>
      </c>
      <c r="H922" t="s">
        <v>142</v>
      </c>
      <c r="I922" t="s">
        <v>279</v>
      </c>
      <c r="J922" t="s">
        <v>280</v>
      </c>
      <c r="L922" t="s">
        <v>451</v>
      </c>
      <c r="M922" s="8">
        <v>45870</v>
      </c>
      <c r="N922">
        <v>5773785</v>
      </c>
      <c r="O922" t="s">
        <v>123</v>
      </c>
      <c r="P922" t="s">
        <v>146</v>
      </c>
      <c r="Q922">
        <v>3.2</v>
      </c>
      <c r="R922" t="s">
        <v>631</v>
      </c>
      <c r="S922" t="s">
        <v>126</v>
      </c>
      <c r="T922" t="s">
        <v>631</v>
      </c>
      <c r="U922" t="s">
        <v>632</v>
      </c>
      <c r="W922">
        <v>0.99</v>
      </c>
      <c r="X922">
        <v>2.21</v>
      </c>
      <c r="Y922">
        <v>3.2</v>
      </c>
      <c r="Z922">
        <v>1.21</v>
      </c>
      <c r="AG922">
        <v>0.99</v>
      </c>
      <c r="AI922">
        <v>1</v>
      </c>
      <c r="BH922" t="s">
        <v>126</v>
      </c>
      <c r="BI922" t="s">
        <v>126</v>
      </c>
      <c r="BJ922" t="s">
        <v>126</v>
      </c>
      <c r="BK922" t="s">
        <v>126</v>
      </c>
      <c r="BS922" t="s">
        <v>126</v>
      </c>
      <c r="BT922" t="s">
        <v>126</v>
      </c>
      <c r="BU922" t="s">
        <v>126</v>
      </c>
      <c r="BV922" t="s">
        <v>126</v>
      </c>
      <c r="CN922" t="s">
        <v>147</v>
      </c>
      <c r="CP922" t="s">
        <v>442</v>
      </c>
      <c r="CQ922" t="s">
        <v>147</v>
      </c>
    </row>
    <row r="923" spans="1:95" x14ac:dyDescent="0.2">
      <c r="A923" t="s">
        <v>115</v>
      </c>
      <c r="B923" t="s">
        <v>116</v>
      </c>
      <c r="C923">
        <v>210784</v>
      </c>
      <c r="E923" t="s">
        <v>117</v>
      </c>
      <c r="F923">
        <v>368</v>
      </c>
      <c r="G923" t="s">
        <v>141</v>
      </c>
      <c r="H923" t="s">
        <v>142</v>
      </c>
      <c r="I923" t="s">
        <v>279</v>
      </c>
      <c r="J923" t="s">
        <v>280</v>
      </c>
      <c r="L923" t="s">
        <v>453</v>
      </c>
      <c r="M923" s="8">
        <v>45870</v>
      </c>
      <c r="N923">
        <v>5775583</v>
      </c>
      <c r="O923" t="s">
        <v>123</v>
      </c>
      <c r="P923" t="s">
        <v>146</v>
      </c>
      <c r="Q923">
        <v>3.47</v>
      </c>
      <c r="R923" t="s">
        <v>584</v>
      </c>
      <c r="S923" t="s">
        <v>126</v>
      </c>
      <c r="T923" t="s">
        <v>584</v>
      </c>
      <c r="U923" t="s">
        <v>585</v>
      </c>
      <c r="W923">
        <v>1.07</v>
      </c>
      <c r="X923">
        <v>2.4000000000000004</v>
      </c>
      <c r="Y923">
        <v>3.47</v>
      </c>
      <c r="Z923">
        <v>1.32</v>
      </c>
      <c r="AG923">
        <v>1.07</v>
      </c>
      <c r="AI923">
        <v>1.08</v>
      </c>
      <c r="BH923" t="s">
        <v>126</v>
      </c>
      <c r="BI923" t="s">
        <v>126</v>
      </c>
      <c r="BJ923" t="s">
        <v>126</v>
      </c>
      <c r="BK923" t="s">
        <v>126</v>
      </c>
      <c r="BS923" t="s">
        <v>126</v>
      </c>
      <c r="BT923" t="s">
        <v>126</v>
      </c>
      <c r="BU923" t="s">
        <v>126</v>
      </c>
      <c r="BV923" t="s">
        <v>126</v>
      </c>
      <c r="CN923" t="s">
        <v>147</v>
      </c>
      <c r="CP923" t="s">
        <v>442</v>
      </c>
      <c r="CQ923" t="s">
        <v>147</v>
      </c>
    </row>
    <row r="924" spans="1:95" x14ac:dyDescent="0.2">
      <c r="A924" t="s">
        <v>115</v>
      </c>
      <c r="B924" t="s">
        <v>116</v>
      </c>
      <c r="C924">
        <v>210784</v>
      </c>
      <c r="E924" t="s">
        <v>117</v>
      </c>
      <c r="F924">
        <v>368</v>
      </c>
      <c r="G924" t="s">
        <v>141</v>
      </c>
      <c r="H924" t="s">
        <v>142</v>
      </c>
      <c r="I924" t="s">
        <v>279</v>
      </c>
      <c r="J924" t="s">
        <v>280</v>
      </c>
      <c r="L924" t="s">
        <v>453</v>
      </c>
      <c r="M924" s="8">
        <v>45870</v>
      </c>
      <c r="N924">
        <v>5776193</v>
      </c>
      <c r="O924" t="s">
        <v>123</v>
      </c>
      <c r="P924" t="s">
        <v>146</v>
      </c>
      <c r="Q924">
        <v>1.31</v>
      </c>
      <c r="R924" t="s">
        <v>740</v>
      </c>
      <c r="S924" t="s">
        <v>126</v>
      </c>
      <c r="T924" t="s">
        <v>740</v>
      </c>
      <c r="U924" t="s">
        <v>741</v>
      </c>
      <c r="W924">
        <v>0.4</v>
      </c>
      <c r="X924">
        <v>0.90999999999999992</v>
      </c>
      <c r="Y924">
        <v>1.31</v>
      </c>
      <c r="Z924">
        <v>0.5</v>
      </c>
      <c r="AG924">
        <v>0.4</v>
      </c>
      <c r="AI924">
        <v>0.41</v>
      </c>
      <c r="BH924" t="s">
        <v>126</v>
      </c>
      <c r="BI924" t="s">
        <v>126</v>
      </c>
      <c r="BJ924" t="s">
        <v>126</v>
      </c>
      <c r="BK924" t="s">
        <v>126</v>
      </c>
      <c r="BS924" t="s">
        <v>126</v>
      </c>
      <c r="BT924" t="s">
        <v>126</v>
      </c>
      <c r="BU924" t="s">
        <v>126</v>
      </c>
      <c r="BV924" t="s">
        <v>126</v>
      </c>
      <c r="CN924" t="s">
        <v>147</v>
      </c>
      <c r="CP924" t="s">
        <v>442</v>
      </c>
      <c r="CQ924" t="s">
        <v>147</v>
      </c>
    </row>
    <row r="925" spans="1:95" x14ac:dyDescent="0.2">
      <c r="A925" t="s">
        <v>115</v>
      </c>
      <c r="B925" t="s">
        <v>116</v>
      </c>
      <c r="C925">
        <v>210784</v>
      </c>
      <c r="E925" t="s">
        <v>117</v>
      </c>
      <c r="F925">
        <v>368</v>
      </c>
      <c r="G925" t="s">
        <v>141</v>
      </c>
      <c r="H925" t="s">
        <v>142</v>
      </c>
      <c r="I925" t="s">
        <v>279</v>
      </c>
      <c r="J925" t="s">
        <v>280</v>
      </c>
      <c r="L925" t="s">
        <v>742</v>
      </c>
      <c r="M925" s="8">
        <v>45870</v>
      </c>
      <c r="N925">
        <v>5779094</v>
      </c>
      <c r="O925" t="s">
        <v>123</v>
      </c>
      <c r="P925" t="s">
        <v>146</v>
      </c>
      <c r="Q925">
        <v>3.75</v>
      </c>
      <c r="R925" t="s">
        <v>577</v>
      </c>
      <c r="S925" t="s">
        <v>126</v>
      </c>
      <c r="T925" t="s">
        <v>577</v>
      </c>
      <c r="U925" t="s">
        <v>578</v>
      </c>
      <c r="W925">
        <v>1.1599999999999999</v>
      </c>
      <c r="X925">
        <v>2.59</v>
      </c>
      <c r="Y925">
        <v>3.75</v>
      </c>
      <c r="Z925">
        <v>1.42</v>
      </c>
      <c r="AG925">
        <v>1.1599999999999999</v>
      </c>
      <c r="AI925">
        <v>1.17</v>
      </c>
      <c r="BH925" t="s">
        <v>126</v>
      </c>
      <c r="BI925" t="s">
        <v>126</v>
      </c>
      <c r="BJ925" t="s">
        <v>126</v>
      </c>
      <c r="BK925" t="s">
        <v>126</v>
      </c>
      <c r="BS925" t="s">
        <v>126</v>
      </c>
      <c r="BT925" t="s">
        <v>126</v>
      </c>
      <c r="BU925" t="s">
        <v>126</v>
      </c>
      <c r="BV925" t="s">
        <v>126</v>
      </c>
      <c r="CN925" t="s">
        <v>147</v>
      </c>
      <c r="CP925" t="s">
        <v>442</v>
      </c>
      <c r="CQ925" t="s">
        <v>147</v>
      </c>
    </row>
    <row r="926" spans="1:95" x14ac:dyDescent="0.2">
      <c r="A926" t="s">
        <v>115</v>
      </c>
      <c r="B926" t="s">
        <v>116</v>
      </c>
      <c r="C926">
        <v>210784</v>
      </c>
      <c r="E926" t="s">
        <v>117</v>
      </c>
      <c r="F926">
        <v>368</v>
      </c>
      <c r="G926" t="s">
        <v>141</v>
      </c>
      <c r="H926" t="s">
        <v>142</v>
      </c>
      <c r="I926" t="s">
        <v>279</v>
      </c>
      <c r="J926" t="s">
        <v>280</v>
      </c>
      <c r="L926" t="s">
        <v>742</v>
      </c>
      <c r="M926" s="8">
        <v>45870</v>
      </c>
      <c r="N926">
        <v>5779514</v>
      </c>
      <c r="O926" t="s">
        <v>123</v>
      </c>
      <c r="P926" t="s">
        <v>146</v>
      </c>
      <c r="Q926">
        <v>4.1100000000000003</v>
      </c>
      <c r="R926" t="s">
        <v>710</v>
      </c>
      <c r="S926" t="s">
        <v>126</v>
      </c>
      <c r="T926" t="s">
        <v>710</v>
      </c>
      <c r="U926" t="s">
        <v>711</v>
      </c>
      <c r="W926">
        <v>1.27</v>
      </c>
      <c r="X926">
        <v>2.84</v>
      </c>
      <c r="Y926">
        <v>4.1100000000000003</v>
      </c>
      <c r="Z926">
        <v>1.56</v>
      </c>
      <c r="AG926">
        <v>1.27</v>
      </c>
      <c r="AI926">
        <v>1.28</v>
      </c>
      <c r="BH926" t="s">
        <v>126</v>
      </c>
      <c r="BI926" t="s">
        <v>126</v>
      </c>
      <c r="BJ926" t="s">
        <v>126</v>
      </c>
      <c r="BK926" t="s">
        <v>126</v>
      </c>
      <c r="BS926" t="s">
        <v>126</v>
      </c>
      <c r="BT926" t="s">
        <v>126</v>
      </c>
      <c r="BU926" t="s">
        <v>126</v>
      </c>
      <c r="BV926" t="s">
        <v>126</v>
      </c>
      <c r="CN926" t="s">
        <v>147</v>
      </c>
      <c r="CP926" t="s">
        <v>442</v>
      </c>
      <c r="CQ926" t="s">
        <v>147</v>
      </c>
    </row>
    <row r="927" spans="1:95" x14ac:dyDescent="0.2">
      <c r="A927" t="s">
        <v>115</v>
      </c>
      <c r="B927" t="s">
        <v>116</v>
      </c>
      <c r="C927">
        <v>210784</v>
      </c>
      <c r="E927" t="s">
        <v>117</v>
      </c>
      <c r="F927">
        <v>368</v>
      </c>
      <c r="G927" t="s">
        <v>141</v>
      </c>
      <c r="H927" t="s">
        <v>142</v>
      </c>
      <c r="I927" t="s">
        <v>279</v>
      </c>
      <c r="J927" t="s">
        <v>280</v>
      </c>
      <c r="L927" t="s">
        <v>743</v>
      </c>
      <c r="M927" s="8">
        <v>45870</v>
      </c>
      <c r="N927">
        <v>5781175</v>
      </c>
      <c r="O927" t="s">
        <v>123</v>
      </c>
      <c r="P927" t="s">
        <v>146</v>
      </c>
      <c r="Q927">
        <v>3.41</v>
      </c>
      <c r="R927" t="s">
        <v>614</v>
      </c>
      <c r="S927" t="s">
        <v>126</v>
      </c>
      <c r="T927" t="s">
        <v>614</v>
      </c>
      <c r="U927" t="s">
        <v>615</v>
      </c>
      <c r="W927">
        <v>1.05</v>
      </c>
      <c r="X927">
        <v>2.3600000000000003</v>
      </c>
      <c r="Y927">
        <v>3.41</v>
      </c>
      <c r="Z927">
        <v>1.3</v>
      </c>
      <c r="AG927">
        <v>1.05</v>
      </c>
      <c r="AI927">
        <v>1.06</v>
      </c>
      <c r="BH927" t="s">
        <v>126</v>
      </c>
      <c r="BI927" t="s">
        <v>126</v>
      </c>
      <c r="BJ927" t="s">
        <v>126</v>
      </c>
      <c r="BK927" t="s">
        <v>126</v>
      </c>
      <c r="BS927" t="s">
        <v>126</v>
      </c>
      <c r="BT927" t="s">
        <v>126</v>
      </c>
      <c r="BU927" t="s">
        <v>126</v>
      </c>
      <c r="BV927" t="s">
        <v>126</v>
      </c>
      <c r="CN927" t="s">
        <v>147</v>
      </c>
      <c r="CP927" t="s">
        <v>457</v>
      </c>
      <c r="CQ927" t="s">
        <v>147</v>
      </c>
    </row>
    <row r="928" spans="1:95" x14ac:dyDescent="0.2">
      <c r="A928" t="s">
        <v>115</v>
      </c>
      <c r="B928" t="s">
        <v>116</v>
      </c>
      <c r="C928">
        <v>210784</v>
      </c>
      <c r="E928" t="s">
        <v>117</v>
      </c>
      <c r="F928">
        <v>368</v>
      </c>
      <c r="G928" t="s">
        <v>141</v>
      </c>
      <c r="H928" t="s">
        <v>142</v>
      </c>
      <c r="I928" t="s">
        <v>279</v>
      </c>
      <c r="J928" t="s">
        <v>280</v>
      </c>
      <c r="L928" t="s">
        <v>442</v>
      </c>
      <c r="M928" s="8">
        <v>45870</v>
      </c>
      <c r="N928">
        <v>5782071</v>
      </c>
      <c r="O928" t="s">
        <v>123</v>
      </c>
      <c r="P928" t="s">
        <v>146</v>
      </c>
      <c r="Q928">
        <v>5.39</v>
      </c>
      <c r="R928" t="s">
        <v>592</v>
      </c>
      <c r="S928" t="s">
        <v>126</v>
      </c>
      <c r="T928" t="s">
        <v>592</v>
      </c>
      <c r="U928" t="s">
        <v>593</v>
      </c>
      <c r="W928">
        <v>1.66</v>
      </c>
      <c r="X928">
        <v>3.7299999999999995</v>
      </c>
      <c r="Y928">
        <v>5.39</v>
      </c>
      <c r="Z928">
        <v>2.0499999999999998</v>
      </c>
      <c r="AG928">
        <v>1.66</v>
      </c>
      <c r="AI928">
        <v>1.68</v>
      </c>
      <c r="BH928" t="s">
        <v>126</v>
      </c>
      <c r="BI928" t="s">
        <v>126</v>
      </c>
      <c r="BJ928" t="s">
        <v>126</v>
      </c>
      <c r="BK928" t="s">
        <v>126</v>
      </c>
      <c r="BS928" t="s">
        <v>126</v>
      </c>
      <c r="BT928" t="s">
        <v>126</v>
      </c>
      <c r="BU928" t="s">
        <v>126</v>
      </c>
      <c r="BV928" t="s">
        <v>126</v>
      </c>
      <c r="CN928" t="s">
        <v>147</v>
      </c>
      <c r="CP928" t="s">
        <v>457</v>
      </c>
      <c r="CQ928" t="s">
        <v>147</v>
      </c>
    </row>
    <row r="929" spans="1:95" x14ac:dyDescent="0.2">
      <c r="A929" t="s">
        <v>115</v>
      </c>
      <c r="B929" t="s">
        <v>116</v>
      </c>
      <c r="C929">
        <v>210784</v>
      </c>
      <c r="E929" t="s">
        <v>117</v>
      </c>
      <c r="F929">
        <v>368</v>
      </c>
      <c r="G929" t="s">
        <v>141</v>
      </c>
      <c r="H929" t="s">
        <v>142</v>
      </c>
      <c r="I929" t="s">
        <v>279</v>
      </c>
      <c r="J929" t="s">
        <v>280</v>
      </c>
      <c r="L929" t="s">
        <v>744</v>
      </c>
      <c r="M929" s="8">
        <v>45870</v>
      </c>
      <c r="N929">
        <v>5782852</v>
      </c>
      <c r="O929" t="s">
        <v>123</v>
      </c>
      <c r="P929" t="s">
        <v>146</v>
      </c>
      <c r="Q929">
        <v>3.82</v>
      </c>
      <c r="R929" t="s">
        <v>598</v>
      </c>
      <c r="S929" t="s">
        <v>126</v>
      </c>
      <c r="T929" t="s">
        <v>598</v>
      </c>
      <c r="U929" t="s">
        <v>599</v>
      </c>
      <c r="W929">
        <v>1.18</v>
      </c>
      <c r="X929">
        <v>2.6399999999999997</v>
      </c>
      <c r="Y929">
        <v>3.82</v>
      </c>
      <c r="Z929">
        <v>1.45</v>
      </c>
      <c r="AG929">
        <v>1.18</v>
      </c>
      <c r="AI929">
        <v>1.19</v>
      </c>
      <c r="BH929" t="s">
        <v>126</v>
      </c>
      <c r="BI929" t="s">
        <v>126</v>
      </c>
      <c r="BJ929" t="s">
        <v>126</v>
      </c>
      <c r="BK929" t="s">
        <v>126</v>
      </c>
      <c r="BS929" t="s">
        <v>126</v>
      </c>
      <c r="BT929" t="s">
        <v>126</v>
      </c>
      <c r="BU929" t="s">
        <v>126</v>
      </c>
      <c r="BV929" t="s">
        <v>126</v>
      </c>
      <c r="CN929" t="s">
        <v>147</v>
      </c>
      <c r="CP929" t="s">
        <v>457</v>
      </c>
      <c r="CQ929" t="s">
        <v>147</v>
      </c>
    </row>
    <row r="930" spans="1:95" x14ac:dyDescent="0.2">
      <c r="A930" t="s">
        <v>115</v>
      </c>
      <c r="B930" t="s">
        <v>116</v>
      </c>
      <c r="C930">
        <v>210784</v>
      </c>
      <c r="E930" t="s">
        <v>117</v>
      </c>
      <c r="F930">
        <v>368</v>
      </c>
      <c r="G930" t="s">
        <v>141</v>
      </c>
      <c r="H930" t="s">
        <v>142</v>
      </c>
      <c r="I930" t="s">
        <v>279</v>
      </c>
      <c r="J930" t="s">
        <v>280</v>
      </c>
      <c r="L930" t="s">
        <v>739</v>
      </c>
      <c r="M930" s="8">
        <v>45870</v>
      </c>
      <c r="N930">
        <v>5765863</v>
      </c>
      <c r="O930" t="s">
        <v>123</v>
      </c>
      <c r="P930" t="s">
        <v>146</v>
      </c>
      <c r="Q930">
        <v>0.9</v>
      </c>
      <c r="R930" t="s">
        <v>125</v>
      </c>
      <c r="S930" t="s">
        <v>126</v>
      </c>
      <c r="T930" t="s">
        <v>125</v>
      </c>
      <c r="U930" t="s">
        <v>126</v>
      </c>
      <c r="W930">
        <v>0.9</v>
      </c>
      <c r="Y930">
        <v>0.9</v>
      </c>
      <c r="BE930">
        <v>0.9</v>
      </c>
      <c r="BH930" t="s">
        <v>126</v>
      </c>
      <c r="BI930" t="s">
        <v>126</v>
      </c>
      <c r="BJ930" t="s">
        <v>126</v>
      </c>
      <c r="BK930" t="s">
        <v>126</v>
      </c>
      <c r="BS930" t="s">
        <v>126</v>
      </c>
      <c r="BT930" t="s">
        <v>126</v>
      </c>
      <c r="BU930" t="s">
        <v>126</v>
      </c>
      <c r="BV930" t="s">
        <v>126</v>
      </c>
      <c r="CN930" t="s">
        <v>147</v>
      </c>
      <c r="CP930" t="s">
        <v>442</v>
      </c>
      <c r="CQ930" t="s">
        <v>147</v>
      </c>
    </row>
    <row r="931" spans="1:95" x14ac:dyDescent="0.2">
      <c r="A931" t="s">
        <v>115</v>
      </c>
      <c r="B931" t="s">
        <v>116</v>
      </c>
      <c r="C931">
        <v>210784</v>
      </c>
      <c r="E931" t="s">
        <v>117</v>
      </c>
      <c r="F931">
        <v>368</v>
      </c>
      <c r="G931" t="s">
        <v>118</v>
      </c>
      <c r="H931" t="s">
        <v>119</v>
      </c>
      <c r="I931" t="s">
        <v>120</v>
      </c>
      <c r="J931" t="s">
        <v>121</v>
      </c>
      <c r="L931" t="s">
        <v>292</v>
      </c>
      <c r="M931" s="8">
        <v>45901</v>
      </c>
      <c r="N931">
        <v>134325</v>
      </c>
      <c r="O931" t="s">
        <v>123</v>
      </c>
      <c r="P931" t="s">
        <v>124</v>
      </c>
      <c r="Q931">
        <v>11.91</v>
      </c>
      <c r="R931" t="s">
        <v>125</v>
      </c>
      <c r="S931" t="s">
        <v>126</v>
      </c>
      <c r="T931" t="s">
        <v>125</v>
      </c>
      <c r="U931" t="s">
        <v>126</v>
      </c>
      <c r="W931">
        <v>11.91</v>
      </c>
      <c r="Y931">
        <v>11.91</v>
      </c>
      <c r="AC931">
        <v>11.91</v>
      </c>
      <c r="BH931" t="s">
        <v>126</v>
      </c>
      <c r="BI931" t="s">
        <v>126</v>
      </c>
      <c r="BJ931" t="s">
        <v>126</v>
      </c>
      <c r="BK931" t="s">
        <v>126</v>
      </c>
      <c r="BS931" t="s">
        <v>126</v>
      </c>
      <c r="BT931" t="s">
        <v>126</v>
      </c>
      <c r="BU931" t="s">
        <v>126</v>
      </c>
      <c r="BV931" t="s">
        <v>126</v>
      </c>
      <c r="CN931" t="s">
        <v>127</v>
      </c>
      <c r="CP931" t="s">
        <v>128</v>
      </c>
      <c r="CQ931" t="s">
        <v>127</v>
      </c>
    </row>
    <row r="932" spans="1:95" x14ac:dyDescent="0.2">
      <c r="A932" t="s">
        <v>115</v>
      </c>
      <c r="B932" t="s">
        <v>116</v>
      </c>
      <c r="C932">
        <v>210784</v>
      </c>
      <c r="E932" t="s">
        <v>117</v>
      </c>
      <c r="F932">
        <v>368</v>
      </c>
      <c r="G932" t="s">
        <v>118</v>
      </c>
      <c r="H932" t="s">
        <v>119</v>
      </c>
      <c r="I932" t="s">
        <v>120</v>
      </c>
      <c r="J932" t="s">
        <v>121</v>
      </c>
      <c r="L932" t="s">
        <v>292</v>
      </c>
      <c r="M932" s="8">
        <v>45901</v>
      </c>
      <c r="N932">
        <v>134326</v>
      </c>
      <c r="O932" t="s">
        <v>123</v>
      </c>
      <c r="P932" t="s">
        <v>124</v>
      </c>
      <c r="Q932">
        <v>13.31</v>
      </c>
      <c r="R932" t="s">
        <v>125</v>
      </c>
      <c r="S932" t="s">
        <v>126</v>
      </c>
      <c r="T932" t="s">
        <v>125</v>
      </c>
      <c r="U932" t="s">
        <v>126</v>
      </c>
      <c r="W932">
        <v>13.31</v>
      </c>
      <c r="Y932">
        <v>13.31</v>
      </c>
      <c r="AC932">
        <v>13.31</v>
      </c>
      <c r="BH932" t="s">
        <v>126</v>
      </c>
      <c r="BI932" t="s">
        <v>126</v>
      </c>
      <c r="BJ932" t="s">
        <v>126</v>
      </c>
      <c r="BK932" t="s">
        <v>126</v>
      </c>
      <c r="BS932" t="s">
        <v>126</v>
      </c>
      <c r="BT932" t="s">
        <v>126</v>
      </c>
      <c r="BU932" t="s">
        <v>126</v>
      </c>
      <c r="BV932" t="s">
        <v>126</v>
      </c>
      <c r="CN932" t="s">
        <v>127</v>
      </c>
      <c r="CP932" t="s">
        <v>128</v>
      </c>
      <c r="CQ932" t="s">
        <v>127</v>
      </c>
    </row>
    <row r="933" spans="1:95" x14ac:dyDescent="0.2">
      <c r="A933" t="s">
        <v>115</v>
      </c>
      <c r="B933" t="s">
        <v>116</v>
      </c>
      <c r="C933">
        <v>210784</v>
      </c>
      <c r="E933" t="s">
        <v>117</v>
      </c>
      <c r="F933">
        <v>368</v>
      </c>
      <c r="G933" t="s">
        <v>118</v>
      </c>
      <c r="H933" t="s">
        <v>119</v>
      </c>
      <c r="I933" t="s">
        <v>120</v>
      </c>
      <c r="J933" t="s">
        <v>121</v>
      </c>
      <c r="L933" t="s">
        <v>292</v>
      </c>
      <c r="M933" s="8">
        <v>45901</v>
      </c>
      <c r="N933">
        <v>134332</v>
      </c>
      <c r="O933" t="s">
        <v>123</v>
      </c>
      <c r="P933" t="s">
        <v>124</v>
      </c>
      <c r="Q933">
        <v>13.95</v>
      </c>
      <c r="R933" t="s">
        <v>125</v>
      </c>
      <c r="S933" t="s">
        <v>126</v>
      </c>
      <c r="T933" t="s">
        <v>125</v>
      </c>
      <c r="U933" t="s">
        <v>126</v>
      </c>
      <c r="W933">
        <v>13.95</v>
      </c>
      <c r="Y933">
        <v>13.95</v>
      </c>
      <c r="AC933">
        <v>13.95</v>
      </c>
      <c r="BH933" t="s">
        <v>126</v>
      </c>
      <c r="BI933" t="s">
        <v>126</v>
      </c>
      <c r="BJ933" t="s">
        <v>126</v>
      </c>
      <c r="BK933" t="s">
        <v>126</v>
      </c>
      <c r="BS933" t="s">
        <v>126</v>
      </c>
      <c r="BT933" t="s">
        <v>126</v>
      </c>
      <c r="BU933" t="s">
        <v>126</v>
      </c>
      <c r="BV933" t="s">
        <v>126</v>
      </c>
      <c r="CN933" t="s">
        <v>127</v>
      </c>
      <c r="CP933" t="s">
        <v>128</v>
      </c>
      <c r="CQ933" t="s">
        <v>127</v>
      </c>
    </row>
    <row r="934" spans="1:95" x14ac:dyDescent="0.2">
      <c r="A934" t="s">
        <v>115</v>
      </c>
      <c r="B934" t="s">
        <v>116</v>
      </c>
      <c r="C934">
        <v>210784</v>
      </c>
      <c r="E934" t="s">
        <v>117</v>
      </c>
      <c r="F934">
        <v>368</v>
      </c>
      <c r="G934" t="s">
        <v>118</v>
      </c>
      <c r="H934" t="s">
        <v>119</v>
      </c>
      <c r="I934" t="s">
        <v>120</v>
      </c>
      <c r="J934" t="s">
        <v>121</v>
      </c>
      <c r="L934" t="s">
        <v>292</v>
      </c>
      <c r="M934" s="8">
        <v>45901</v>
      </c>
      <c r="N934">
        <v>134347</v>
      </c>
      <c r="O934" t="s">
        <v>123</v>
      </c>
      <c r="P934" t="s">
        <v>124</v>
      </c>
      <c r="Q934">
        <v>13.86</v>
      </c>
      <c r="R934" t="s">
        <v>125</v>
      </c>
      <c r="S934" t="s">
        <v>126</v>
      </c>
      <c r="T934" t="s">
        <v>125</v>
      </c>
      <c r="U934" t="s">
        <v>126</v>
      </c>
      <c r="W934">
        <v>13.86</v>
      </c>
      <c r="Y934">
        <v>13.86</v>
      </c>
      <c r="AC934">
        <v>13.86</v>
      </c>
      <c r="BH934" t="s">
        <v>126</v>
      </c>
      <c r="BI934" t="s">
        <v>126</v>
      </c>
      <c r="BJ934" t="s">
        <v>126</v>
      </c>
      <c r="BK934" t="s">
        <v>126</v>
      </c>
      <c r="BS934" t="s">
        <v>126</v>
      </c>
      <c r="BT934" t="s">
        <v>126</v>
      </c>
      <c r="BU934" t="s">
        <v>126</v>
      </c>
      <c r="BV934" t="s">
        <v>126</v>
      </c>
      <c r="CN934" t="s">
        <v>127</v>
      </c>
      <c r="CP934" t="s">
        <v>128</v>
      </c>
      <c r="CQ934" t="s">
        <v>127</v>
      </c>
    </row>
    <row r="935" spans="1:95" x14ac:dyDescent="0.2">
      <c r="A935" t="s">
        <v>115</v>
      </c>
      <c r="B935" t="s">
        <v>116</v>
      </c>
      <c r="C935">
        <v>210784</v>
      </c>
      <c r="E935" t="s">
        <v>117</v>
      </c>
      <c r="F935">
        <v>368</v>
      </c>
      <c r="G935" t="s">
        <v>118</v>
      </c>
      <c r="H935" t="s">
        <v>119</v>
      </c>
      <c r="I935" t="s">
        <v>120</v>
      </c>
      <c r="J935" t="s">
        <v>121</v>
      </c>
      <c r="L935" t="s">
        <v>292</v>
      </c>
      <c r="M935" s="8">
        <v>45901</v>
      </c>
      <c r="N935">
        <v>134353</v>
      </c>
      <c r="O935" t="s">
        <v>123</v>
      </c>
      <c r="P935" t="s">
        <v>124</v>
      </c>
      <c r="Q935">
        <v>15.44</v>
      </c>
      <c r="R935" t="s">
        <v>125</v>
      </c>
      <c r="S935" t="s">
        <v>126</v>
      </c>
      <c r="T935" t="s">
        <v>125</v>
      </c>
      <c r="U935" t="s">
        <v>126</v>
      </c>
      <c r="W935">
        <v>15.44</v>
      </c>
      <c r="Y935">
        <v>15.44</v>
      </c>
      <c r="AC935">
        <v>15.44</v>
      </c>
      <c r="BH935" t="s">
        <v>126</v>
      </c>
      <c r="BI935" t="s">
        <v>126</v>
      </c>
      <c r="BJ935" t="s">
        <v>126</v>
      </c>
      <c r="BK935" t="s">
        <v>126</v>
      </c>
      <c r="BS935" t="s">
        <v>126</v>
      </c>
      <c r="BT935" t="s">
        <v>126</v>
      </c>
      <c r="BU935" t="s">
        <v>126</v>
      </c>
      <c r="BV935" t="s">
        <v>126</v>
      </c>
      <c r="CN935" t="s">
        <v>127</v>
      </c>
      <c r="CP935" t="s">
        <v>128</v>
      </c>
      <c r="CQ935" t="s">
        <v>127</v>
      </c>
    </row>
    <row r="936" spans="1:95" x14ac:dyDescent="0.2">
      <c r="A936" t="s">
        <v>115</v>
      </c>
      <c r="B936" t="s">
        <v>116</v>
      </c>
      <c r="C936">
        <v>210784</v>
      </c>
      <c r="E936" t="s">
        <v>117</v>
      </c>
      <c r="F936">
        <v>368</v>
      </c>
      <c r="G936" t="s">
        <v>118</v>
      </c>
      <c r="H936" t="s">
        <v>119</v>
      </c>
      <c r="I936" t="s">
        <v>120</v>
      </c>
      <c r="J936" t="s">
        <v>121</v>
      </c>
      <c r="L936" t="s">
        <v>292</v>
      </c>
      <c r="M936" s="8">
        <v>45901</v>
      </c>
      <c r="N936">
        <v>134357</v>
      </c>
      <c r="O936" t="s">
        <v>123</v>
      </c>
      <c r="P936" t="s">
        <v>124</v>
      </c>
      <c r="Q936">
        <v>17.28</v>
      </c>
      <c r="R936" t="s">
        <v>125</v>
      </c>
      <c r="S936" t="s">
        <v>126</v>
      </c>
      <c r="T936" t="s">
        <v>125</v>
      </c>
      <c r="U936" t="s">
        <v>126</v>
      </c>
      <c r="W936">
        <v>17.28</v>
      </c>
      <c r="Y936">
        <v>17.28</v>
      </c>
      <c r="AC936">
        <v>17.28</v>
      </c>
      <c r="BH936" t="s">
        <v>126</v>
      </c>
      <c r="BI936" t="s">
        <v>126</v>
      </c>
      <c r="BJ936" t="s">
        <v>126</v>
      </c>
      <c r="BK936" t="s">
        <v>126</v>
      </c>
      <c r="BS936" t="s">
        <v>126</v>
      </c>
      <c r="BT936" t="s">
        <v>126</v>
      </c>
      <c r="BU936" t="s">
        <v>126</v>
      </c>
      <c r="BV936" t="s">
        <v>126</v>
      </c>
      <c r="CN936" t="s">
        <v>127</v>
      </c>
      <c r="CP936" t="s">
        <v>128</v>
      </c>
      <c r="CQ936" t="s">
        <v>127</v>
      </c>
    </row>
    <row r="937" spans="1:95" x14ac:dyDescent="0.2">
      <c r="A937" t="s">
        <v>115</v>
      </c>
      <c r="B937" t="s">
        <v>116</v>
      </c>
      <c r="C937">
        <v>210784</v>
      </c>
      <c r="E937" t="s">
        <v>117</v>
      </c>
      <c r="F937">
        <v>368</v>
      </c>
      <c r="G937" t="s">
        <v>141</v>
      </c>
      <c r="H937" t="s">
        <v>142</v>
      </c>
      <c r="I937" t="s">
        <v>279</v>
      </c>
      <c r="J937" t="s">
        <v>280</v>
      </c>
      <c r="L937" t="s">
        <v>456</v>
      </c>
      <c r="M937" s="8">
        <v>45901</v>
      </c>
      <c r="N937">
        <v>5785214</v>
      </c>
      <c r="O937" t="s">
        <v>123</v>
      </c>
      <c r="P937" t="s">
        <v>146</v>
      </c>
      <c r="Q937">
        <v>2.5499999999999998</v>
      </c>
      <c r="R937" t="s">
        <v>125</v>
      </c>
      <c r="S937" t="s">
        <v>126</v>
      </c>
      <c r="T937" t="s">
        <v>125</v>
      </c>
      <c r="U937" t="s">
        <v>126</v>
      </c>
      <c r="W937">
        <v>2.5499999999999998</v>
      </c>
      <c r="Y937">
        <v>2.5499999999999998</v>
      </c>
      <c r="AS937">
        <v>2.5499999999999998</v>
      </c>
      <c r="BH937" t="s">
        <v>126</v>
      </c>
      <c r="BI937" t="s">
        <v>126</v>
      </c>
      <c r="BJ937" t="s">
        <v>126</v>
      </c>
      <c r="BK937" t="s">
        <v>126</v>
      </c>
      <c r="BS937" t="s">
        <v>126</v>
      </c>
      <c r="BT937" t="s">
        <v>126</v>
      </c>
      <c r="BU937" t="s">
        <v>126</v>
      </c>
      <c r="BV937" t="s">
        <v>126</v>
      </c>
      <c r="CN937" t="s">
        <v>147</v>
      </c>
      <c r="CP937" t="s">
        <v>457</v>
      </c>
      <c r="CQ937" t="s">
        <v>147</v>
      </c>
    </row>
    <row r="938" spans="1:95" x14ac:dyDescent="0.2">
      <c r="A938" t="s">
        <v>115</v>
      </c>
      <c r="B938" t="s">
        <v>116</v>
      </c>
      <c r="C938">
        <v>210784</v>
      </c>
      <c r="E938" t="s">
        <v>117</v>
      </c>
      <c r="F938">
        <v>368</v>
      </c>
      <c r="G938" t="s">
        <v>141</v>
      </c>
      <c r="H938" t="s">
        <v>142</v>
      </c>
      <c r="I938" t="s">
        <v>279</v>
      </c>
      <c r="J938" t="s">
        <v>280</v>
      </c>
      <c r="L938" t="s">
        <v>458</v>
      </c>
      <c r="M938" s="8">
        <v>45901</v>
      </c>
      <c r="N938">
        <v>5786792</v>
      </c>
      <c r="O938" t="s">
        <v>123</v>
      </c>
      <c r="P938" t="s">
        <v>146</v>
      </c>
      <c r="Q938">
        <v>3.2</v>
      </c>
      <c r="R938" t="s">
        <v>125</v>
      </c>
      <c r="S938" t="s">
        <v>126</v>
      </c>
      <c r="T938" t="s">
        <v>125</v>
      </c>
      <c r="U938" t="s">
        <v>126</v>
      </c>
      <c r="W938">
        <v>3.2</v>
      </c>
      <c r="Y938">
        <v>3.2</v>
      </c>
      <c r="AS938">
        <v>3.2</v>
      </c>
      <c r="BH938" t="s">
        <v>126</v>
      </c>
      <c r="BI938" t="s">
        <v>126</v>
      </c>
      <c r="BJ938" t="s">
        <v>126</v>
      </c>
      <c r="BK938" t="s">
        <v>126</v>
      </c>
      <c r="BS938" t="s">
        <v>126</v>
      </c>
      <c r="BT938" t="s">
        <v>126</v>
      </c>
      <c r="BU938" t="s">
        <v>126</v>
      </c>
      <c r="BV938" t="s">
        <v>126</v>
      </c>
      <c r="CN938" t="s">
        <v>147</v>
      </c>
      <c r="CP938" t="s">
        <v>457</v>
      </c>
      <c r="CQ938" t="s">
        <v>147</v>
      </c>
    </row>
    <row r="939" spans="1:95" x14ac:dyDescent="0.2">
      <c r="A939" t="s">
        <v>115</v>
      </c>
      <c r="B939" t="s">
        <v>116</v>
      </c>
      <c r="C939">
        <v>210784</v>
      </c>
      <c r="E939" t="s">
        <v>117</v>
      </c>
      <c r="F939">
        <v>368</v>
      </c>
      <c r="G939" t="s">
        <v>141</v>
      </c>
      <c r="H939" t="s">
        <v>142</v>
      </c>
      <c r="I939" t="s">
        <v>279</v>
      </c>
      <c r="J939" t="s">
        <v>280</v>
      </c>
      <c r="L939" t="s">
        <v>459</v>
      </c>
      <c r="M939" s="8">
        <v>45901</v>
      </c>
      <c r="N939">
        <v>5788062</v>
      </c>
      <c r="O939" t="s">
        <v>123</v>
      </c>
      <c r="P939" t="s">
        <v>146</v>
      </c>
      <c r="Q939">
        <v>5.61</v>
      </c>
      <c r="R939" t="s">
        <v>125</v>
      </c>
      <c r="S939" t="s">
        <v>126</v>
      </c>
      <c r="T939" t="s">
        <v>125</v>
      </c>
      <c r="U939" t="s">
        <v>126</v>
      </c>
      <c r="W939">
        <v>5.61</v>
      </c>
      <c r="Y939">
        <v>5.61</v>
      </c>
      <c r="AS939">
        <v>5.61</v>
      </c>
      <c r="BH939" t="s">
        <v>126</v>
      </c>
      <c r="BI939" t="s">
        <v>126</v>
      </c>
      <c r="BJ939" t="s">
        <v>126</v>
      </c>
      <c r="BK939" t="s">
        <v>126</v>
      </c>
      <c r="BS939" t="s">
        <v>126</v>
      </c>
      <c r="BT939" t="s">
        <v>126</v>
      </c>
      <c r="BU939" t="s">
        <v>126</v>
      </c>
      <c r="BV939" t="s">
        <v>126</v>
      </c>
      <c r="CN939" t="s">
        <v>147</v>
      </c>
      <c r="CP939" t="s">
        <v>457</v>
      </c>
      <c r="CQ939" t="s">
        <v>147</v>
      </c>
    </row>
    <row r="940" spans="1:95" x14ac:dyDescent="0.2">
      <c r="A940" t="s">
        <v>115</v>
      </c>
      <c r="B940" t="s">
        <v>116</v>
      </c>
      <c r="C940">
        <v>210784</v>
      </c>
      <c r="E940" t="s">
        <v>117</v>
      </c>
      <c r="F940">
        <v>368</v>
      </c>
      <c r="G940" t="s">
        <v>141</v>
      </c>
      <c r="H940" t="s">
        <v>142</v>
      </c>
      <c r="I940" t="s">
        <v>279</v>
      </c>
      <c r="J940" t="s">
        <v>280</v>
      </c>
      <c r="L940" t="s">
        <v>460</v>
      </c>
      <c r="M940" s="8">
        <v>45901</v>
      </c>
      <c r="N940">
        <v>5789929</v>
      </c>
      <c r="O940" t="s">
        <v>123</v>
      </c>
      <c r="P940" t="s">
        <v>146</v>
      </c>
      <c r="Q940">
        <v>5.21</v>
      </c>
      <c r="R940" t="s">
        <v>125</v>
      </c>
      <c r="S940" t="s">
        <v>126</v>
      </c>
      <c r="T940" t="s">
        <v>125</v>
      </c>
      <c r="U940" t="s">
        <v>126</v>
      </c>
      <c r="W940">
        <v>5.21</v>
      </c>
      <c r="Y940">
        <v>5.21</v>
      </c>
      <c r="AS940">
        <v>5.21</v>
      </c>
      <c r="BH940" t="s">
        <v>126</v>
      </c>
      <c r="BI940" t="s">
        <v>126</v>
      </c>
      <c r="BJ940" t="s">
        <v>126</v>
      </c>
      <c r="BK940" t="s">
        <v>126</v>
      </c>
      <c r="BS940" t="s">
        <v>126</v>
      </c>
      <c r="BT940" t="s">
        <v>126</v>
      </c>
      <c r="BU940" t="s">
        <v>126</v>
      </c>
      <c r="BV940" t="s">
        <v>126</v>
      </c>
      <c r="CN940" t="s">
        <v>147</v>
      </c>
      <c r="CP940" t="s">
        <v>457</v>
      </c>
      <c r="CQ940" t="s">
        <v>147</v>
      </c>
    </row>
    <row r="941" spans="1:95" x14ac:dyDescent="0.2">
      <c r="A941" t="s">
        <v>115</v>
      </c>
      <c r="B941" t="s">
        <v>116</v>
      </c>
      <c r="C941">
        <v>210784</v>
      </c>
      <c r="E941" t="s">
        <v>117</v>
      </c>
      <c r="F941">
        <v>368</v>
      </c>
      <c r="G941" t="s">
        <v>141</v>
      </c>
      <c r="H941" t="s">
        <v>142</v>
      </c>
      <c r="I941" t="s">
        <v>279</v>
      </c>
      <c r="J941" t="s">
        <v>280</v>
      </c>
      <c r="L941" t="s">
        <v>461</v>
      </c>
      <c r="M941" s="8">
        <v>45901</v>
      </c>
      <c r="N941">
        <v>5790961</v>
      </c>
      <c r="O941" t="s">
        <v>123</v>
      </c>
      <c r="P941" t="s">
        <v>146</v>
      </c>
      <c r="Q941">
        <v>5.18</v>
      </c>
      <c r="R941" t="s">
        <v>125</v>
      </c>
      <c r="S941" t="s">
        <v>126</v>
      </c>
      <c r="T941" t="s">
        <v>125</v>
      </c>
      <c r="U941" t="s">
        <v>126</v>
      </c>
      <c r="W941">
        <v>5.18</v>
      </c>
      <c r="Y941">
        <v>5.18</v>
      </c>
      <c r="AS941">
        <v>5.18</v>
      </c>
      <c r="BH941" t="s">
        <v>126</v>
      </c>
      <c r="BI941" t="s">
        <v>126</v>
      </c>
      <c r="BJ941" t="s">
        <v>126</v>
      </c>
      <c r="BK941" t="s">
        <v>126</v>
      </c>
      <c r="BS941" t="s">
        <v>126</v>
      </c>
      <c r="BT941" t="s">
        <v>126</v>
      </c>
      <c r="BU941" t="s">
        <v>126</v>
      </c>
      <c r="BV941" t="s">
        <v>126</v>
      </c>
      <c r="CN941" t="s">
        <v>147</v>
      </c>
      <c r="CP941" t="s">
        <v>457</v>
      </c>
      <c r="CQ941" t="s">
        <v>147</v>
      </c>
    </row>
    <row r="942" spans="1:95" x14ac:dyDescent="0.2">
      <c r="A942" t="s">
        <v>115</v>
      </c>
      <c r="B942" t="s">
        <v>116</v>
      </c>
      <c r="C942">
        <v>210784</v>
      </c>
      <c r="E942" t="s">
        <v>117</v>
      </c>
      <c r="F942">
        <v>368</v>
      </c>
      <c r="G942" t="s">
        <v>141</v>
      </c>
      <c r="H942" t="s">
        <v>142</v>
      </c>
      <c r="I942" t="s">
        <v>279</v>
      </c>
      <c r="J942" t="s">
        <v>280</v>
      </c>
      <c r="L942" t="s">
        <v>461</v>
      </c>
      <c r="M942" s="8">
        <v>45901</v>
      </c>
      <c r="N942">
        <v>5791183</v>
      </c>
      <c r="O942" t="s">
        <v>123</v>
      </c>
      <c r="P942" t="s">
        <v>146</v>
      </c>
      <c r="Q942">
        <v>3.5</v>
      </c>
      <c r="R942" t="s">
        <v>125</v>
      </c>
      <c r="S942" t="s">
        <v>126</v>
      </c>
      <c r="T942" t="s">
        <v>125</v>
      </c>
      <c r="U942" t="s">
        <v>126</v>
      </c>
      <c r="W942">
        <v>3.5</v>
      </c>
      <c r="Y942">
        <v>3.5</v>
      </c>
      <c r="AS942">
        <v>3.5</v>
      </c>
      <c r="BH942" t="s">
        <v>126</v>
      </c>
      <c r="BI942" t="s">
        <v>126</v>
      </c>
      <c r="BJ942" t="s">
        <v>126</v>
      </c>
      <c r="BK942" t="s">
        <v>126</v>
      </c>
      <c r="BS942" t="s">
        <v>126</v>
      </c>
      <c r="BT942" t="s">
        <v>126</v>
      </c>
      <c r="BU942" t="s">
        <v>126</v>
      </c>
      <c r="BV942" t="s">
        <v>126</v>
      </c>
      <c r="CN942" t="s">
        <v>147</v>
      </c>
      <c r="CP942" t="s">
        <v>457</v>
      </c>
      <c r="CQ942" t="s">
        <v>147</v>
      </c>
    </row>
    <row r="943" spans="1:95" x14ac:dyDescent="0.2">
      <c r="A943" t="s">
        <v>115</v>
      </c>
      <c r="B943" t="s">
        <v>116</v>
      </c>
      <c r="C943">
        <v>210784</v>
      </c>
      <c r="E943" t="s">
        <v>117</v>
      </c>
      <c r="F943">
        <v>368</v>
      </c>
      <c r="G943" t="s">
        <v>141</v>
      </c>
      <c r="H943" t="s">
        <v>142</v>
      </c>
      <c r="I943" t="s">
        <v>279</v>
      </c>
      <c r="J943" t="s">
        <v>280</v>
      </c>
      <c r="L943" t="s">
        <v>462</v>
      </c>
      <c r="M943" s="8">
        <v>45901</v>
      </c>
      <c r="N943">
        <v>5791955</v>
      </c>
      <c r="O943" t="s">
        <v>123</v>
      </c>
      <c r="P943" t="s">
        <v>146</v>
      </c>
      <c r="Q943">
        <v>3.69</v>
      </c>
      <c r="R943" t="s">
        <v>125</v>
      </c>
      <c r="S943" t="s">
        <v>126</v>
      </c>
      <c r="T943" t="s">
        <v>125</v>
      </c>
      <c r="U943" t="s">
        <v>126</v>
      </c>
      <c r="W943">
        <v>3.69</v>
      </c>
      <c r="Y943">
        <v>3.69</v>
      </c>
      <c r="AS943">
        <v>3.69</v>
      </c>
      <c r="BH943" t="s">
        <v>126</v>
      </c>
      <c r="BI943" t="s">
        <v>126</v>
      </c>
      <c r="BJ943" t="s">
        <v>126</v>
      </c>
      <c r="BK943" t="s">
        <v>126</v>
      </c>
      <c r="BS943" t="s">
        <v>126</v>
      </c>
      <c r="BT943" t="s">
        <v>126</v>
      </c>
      <c r="BU943" t="s">
        <v>126</v>
      </c>
      <c r="BV943" t="s">
        <v>126</v>
      </c>
      <c r="CN943" t="s">
        <v>147</v>
      </c>
      <c r="CP943" t="s">
        <v>457</v>
      </c>
      <c r="CQ943" t="s">
        <v>147</v>
      </c>
    </row>
    <row r="944" spans="1:95" x14ac:dyDescent="0.2">
      <c r="A944" t="s">
        <v>115</v>
      </c>
      <c r="B944" t="s">
        <v>116</v>
      </c>
      <c r="C944">
        <v>210784</v>
      </c>
      <c r="E944" t="s">
        <v>117</v>
      </c>
      <c r="F944">
        <v>368</v>
      </c>
      <c r="G944" t="s">
        <v>141</v>
      </c>
      <c r="H944" t="s">
        <v>142</v>
      </c>
      <c r="I944" t="s">
        <v>279</v>
      </c>
      <c r="J944" t="s">
        <v>280</v>
      </c>
      <c r="L944" t="s">
        <v>462</v>
      </c>
      <c r="M944" s="8">
        <v>45901</v>
      </c>
      <c r="N944">
        <v>5792261</v>
      </c>
      <c r="O944" t="s">
        <v>123</v>
      </c>
      <c r="P944" t="s">
        <v>146</v>
      </c>
      <c r="Q944">
        <v>3.35</v>
      </c>
      <c r="R944" t="s">
        <v>125</v>
      </c>
      <c r="S944" t="s">
        <v>126</v>
      </c>
      <c r="T944" t="s">
        <v>125</v>
      </c>
      <c r="U944" t="s">
        <v>126</v>
      </c>
      <c r="W944">
        <v>3.35</v>
      </c>
      <c r="Y944">
        <v>3.35</v>
      </c>
      <c r="AS944">
        <v>3.35</v>
      </c>
      <c r="BH944" t="s">
        <v>126</v>
      </c>
      <c r="BI944" t="s">
        <v>126</v>
      </c>
      <c r="BJ944" t="s">
        <v>126</v>
      </c>
      <c r="BK944" t="s">
        <v>126</v>
      </c>
      <c r="BS944" t="s">
        <v>126</v>
      </c>
      <c r="BT944" t="s">
        <v>126</v>
      </c>
      <c r="BU944" t="s">
        <v>126</v>
      </c>
      <c r="BV944" t="s">
        <v>126</v>
      </c>
      <c r="CN944" t="s">
        <v>147</v>
      </c>
      <c r="CP944" t="s">
        <v>457</v>
      </c>
      <c r="CQ944" t="s">
        <v>147</v>
      </c>
    </row>
    <row r="945" spans="1:95" x14ac:dyDescent="0.2">
      <c r="A945" t="s">
        <v>115</v>
      </c>
      <c r="B945" t="s">
        <v>116</v>
      </c>
      <c r="C945">
        <v>210784</v>
      </c>
      <c r="E945" t="s">
        <v>117</v>
      </c>
      <c r="F945">
        <v>368</v>
      </c>
      <c r="G945" t="s">
        <v>141</v>
      </c>
      <c r="H945" t="s">
        <v>142</v>
      </c>
      <c r="I945" t="s">
        <v>279</v>
      </c>
      <c r="J945" t="s">
        <v>280</v>
      </c>
      <c r="L945" t="s">
        <v>463</v>
      </c>
      <c r="M945" s="8">
        <v>45901</v>
      </c>
      <c r="N945">
        <v>5792680</v>
      </c>
      <c r="O945" t="s">
        <v>123</v>
      </c>
      <c r="P945" t="s">
        <v>146</v>
      </c>
      <c r="Q945">
        <v>4</v>
      </c>
      <c r="R945" t="s">
        <v>125</v>
      </c>
      <c r="S945" t="s">
        <v>126</v>
      </c>
      <c r="T945" t="s">
        <v>125</v>
      </c>
      <c r="U945" t="s">
        <v>126</v>
      </c>
      <c r="W945">
        <v>4</v>
      </c>
      <c r="Y945">
        <v>4</v>
      </c>
      <c r="AS945">
        <v>4</v>
      </c>
      <c r="BH945" t="s">
        <v>126</v>
      </c>
      <c r="BI945" t="s">
        <v>126</v>
      </c>
      <c r="BJ945" t="s">
        <v>126</v>
      </c>
      <c r="BK945" t="s">
        <v>126</v>
      </c>
      <c r="BS945" t="s">
        <v>126</v>
      </c>
      <c r="BT945" t="s">
        <v>126</v>
      </c>
      <c r="BU945" t="s">
        <v>126</v>
      </c>
      <c r="BV945" t="s">
        <v>126</v>
      </c>
      <c r="CN945" t="s">
        <v>147</v>
      </c>
      <c r="CP945" t="s">
        <v>457</v>
      </c>
      <c r="CQ945" t="s">
        <v>147</v>
      </c>
    </row>
    <row r="946" spans="1:95" x14ac:dyDescent="0.2">
      <c r="A946" t="s">
        <v>115</v>
      </c>
      <c r="B946" t="s">
        <v>116</v>
      </c>
      <c r="C946">
        <v>210784</v>
      </c>
      <c r="E946" t="s">
        <v>117</v>
      </c>
      <c r="F946">
        <v>368</v>
      </c>
      <c r="G946" t="s">
        <v>141</v>
      </c>
      <c r="H946" t="s">
        <v>142</v>
      </c>
      <c r="I946" t="s">
        <v>279</v>
      </c>
      <c r="J946" t="s">
        <v>280</v>
      </c>
      <c r="L946" t="s">
        <v>463</v>
      </c>
      <c r="M946" s="8">
        <v>45901</v>
      </c>
      <c r="N946">
        <v>5793110</v>
      </c>
      <c r="O946" t="s">
        <v>123</v>
      </c>
      <c r="P946" t="s">
        <v>146</v>
      </c>
      <c r="Q946">
        <v>1.92</v>
      </c>
      <c r="R946" t="s">
        <v>125</v>
      </c>
      <c r="S946" t="s">
        <v>126</v>
      </c>
      <c r="T946" t="s">
        <v>125</v>
      </c>
      <c r="U946" t="s">
        <v>126</v>
      </c>
      <c r="W946">
        <v>1.92</v>
      </c>
      <c r="Y946">
        <v>1.92</v>
      </c>
      <c r="AS946">
        <v>1.92</v>
      </c>
      <c r="BH946" t="s">
        <v>126</v>
      </c>
      <c r="BI946" t="s">
        <v>126</v>
      </c>
      <c r="BJ946" t="s">
        <v>126</v>
      </c>
      <c r="BK946" t="s">
        <v>126</v>
      </c>
      <c r="BS946" t="s">
        <v>126</v>
      </c>
      <c r="BT946" t="s">
        <v>126</v>
      </c>
      <c r="BU946" t="s">
        <v>126</v>
      </c>
      <c r="BV946" t="s">
        <v>126</v>
      </c>
      <c r="CN946" t="s">
        <v>147</v>
      </c>
      <c r="CP946" t="s">
        <v>457</v>
      </c>
      <c r="CQ946" t="s">
        <v>147</v>
      </c>
    </row>
    <row r="947" spans="1:95" x14ac:dyDescent="0.2">
      <c r="A947" t="s">
        <v>115</v>
      </c>
      <c r="B947" t="s">
        <v>116</v>
      </c>
      <c r="C947">
        <v>210784</v>
      </c>
      <c r="E947" t="s">
        <v>117</v>
      </c>
      <c r="F947">
        <v>368</v>
      </c>
      <c r="G947" t="s">
        <v>141</v>
      </c>
      <c r="H947" t="s">
        <v>142</v>
      </c>
      <c r="I947" t="s">
        <v>279</v>
      </c>
      <c r="J947" t="s">
        <v>280</v>
      </c>
      <c r="L947" t="s">
        <v>464</v>
      </c>
      <c r="M947" s="8">
        <v>45901</v>
      </c>
      <c r="N947">
        <v>5793814</v>
      </c>
      <c r="O947" t="s">
        <v>123</v>
      </c>
      <c r="P947" t="s">
        <v>146</v>
      </c>
      <c r="Q947">
        <v>3.6</v>
      </c>
      <c r="R947" t="s">
        <v>125</v>
      </c>
      <c r="S947" t="s">
        <v>126</v>
      </c>
      <c r="T947" t="s">
        <v>125</v>
      </c>
      <c r="U947" t="s">
        <v>126</v>
      </c>
      <c r="W947">
        <v>3.6</v>
      </c>
      <c r="Y947">
        <v>3.6</v>
      </c>
      <c r="AS947">
        <v>3.6</v>
      </c>
      <c r="BH947" t="s">
        <v>126</v>
      </c>
      <c r="BI947" t="s">
        <v>126</v>
      </c>
      <c r="BJ947" t="s">
        <v>126</v>
      </c>
      <c r="BK947" t="s">
        <v>126</v>
      </c>
      <c r="BS947" t="s">
        <v>126</v>
      </c>
      <c r="BT947" t="s">
        <v>126</v>
      </c>
      <c r="BU947" t="s">
        <v>126</v>
      </c>
      <c r="BV947" t="s">
        <v>126</v>
      </c>
      <c r="CN947" t="s">
        <v>147</v>
      </c>
      <c r="CP947" t="s">
        <v>457</v>
      </c>
      <c r="CQ947" t="s">
        <v>147</v>
      </c>
    </row>
    <row r="948" spans="1:95" x14ac:dyDescent="0.2">
      <c r="A948" t="s">
        <v>115</v>
      </c>
      <c r="B948" t="s">
        <v>116</v>
      </c>
      <c r="C948">
        <v>210784</v>
      </c>
      <c r="E948" t="s">
        <v>117</v>
      </c>
      <c r="F948">
        <v>368</v>
      </c>
      <c r="G948" t="s">
        <v>141</v>
      </c>
      <c r="H948" t="s">
        <v>142</v>
      </c>
      <c r="I948" t="s">
        <v>279</v>
      </c>
      <c r="J948" t="s">
        <v>280</v>
      </c>
      <c r="L948" t="s">
        <v>465</v>
      </c>
      <c r="M948" s="8">
        <v>45901</v>
      </c>
      <c r="N948">
        <v>5794643</v>
      </c>
      <c r="O948" t="s">
        <v>123</v>
      </c>
      <c r="P948" t="s">
        <v>146</v>
      </c>
      <c r="Q948">
        <v>4.08</v>
      </c>
      <c r="R948" t="s">
        <v>125</v>
      </c>
      <c r="S948" t="s">
        <v>126</v>
      </c>
      <c r="T948" t="s">
        <v>125</v>
      </c>
      <c r="U948" t="s">
        <v>126</v>
      </c>
      <c r="W948">
        <v>4.08</v>
      </c>
      <c r="Y948">
        <v>4.08</v>
      </c>
      <c r="AS948">
        <v>4.08</v>
      </c>
      <c r="BH948" t="s">
        <v>126</v>
      </c>
      <c r="BI948" t="s">
        <v>126</v>
      </c>
      <c r="BJ948" t="s">
        <v>126</v>
      </c>
      <c r="BK948" t="s">
        <v>126</v>
      </c>
      <c r="BS948" t="s">
        <v>126</v>
      </c>
      <c r="BT948" t="s">
        <v>126</v>
      </c>
      <c r="BU948" t="s">
        <v>126</v>
      </c>
      <c r="BV948" t="s">
        <v>126</v>
      </c>
      <c r="CN948" t="s">
        <v>147</v>
      </c>
      <c r="CP948" t="s">
        <v>457</v>
      </c>
      <c r="CQ948" t="s">
        <v>147</v>
      </c>
    </row>
    <row r="949" spans="1:95" x14ac:dyDescent="0.2">
      <c r="A949" t="s">
        <v>115</v>
      </c>
      <c r="B949" t="s">
        <v>116</v>
      </c>
      <c r="C949">
        <v>210784</v>
      </c>
      <c r="E949" t="s">
        <v>117</v>
      </c>
      <c r="F949">
        <v>368</v>
      </c>
      <c r="G949" t="s">
        <v>141</v>
      </c>
      <c r="H949" t="s">
        <v>142</v>
      </c>
      <c r="I949" t="s">
        <v>279</v>
      </c>
      <c r="J949" t="s">
        <v>280</v>
      </c>
      <c r="L949" t="s">
        <v>466</v>
      </c>
      <c r="M949" s="8">
        <v>45901</v>
      </c>
      <c r="N949">
        <v>5795419</v>
      </c>
      <c r="O949" t="s">
        <v>123</v>
      </c>
      <c r="P949" t="s">
        <v>146</v>
      </c>
      <c r="Q949">
        <v>4.66</v>
      </c>
      <c r="R949" t="s">
        <v>125</v>
      </c>
      <c r="S949" t="s">
        <v>126</v>
      </c>
      <c r="T949" t="s">
        <v>125</v>
      </c>
      <c r="U949" t="s">
        <v>126</v>
      </c>
      <c r="W949">
        <v>4.66</v>
      </c>
      <c r="Y949">
        <v>4.66</v>
      </c>
      <c r="AS949">
        <v>4.66</v>
      </c>
      <c r="BH949" t="s">
        <v>126</v>
      </c>
      <c r="BI949" t="s">
        <v>126</v>
      </c>
      <c r="BJ949" t="s">
        <v>126</v>
      </c>
      <c r="BK949" t="s">
        <v>126</v>
      </c>
      <c r="BS949" t="s">
        <v>126</v>
      </c>
      <c r="BT949" t="s">
        <v>126</v>
      </c>
      <c r="BU949" t="s">
        <v>126</v>
      </c>
      <c r="BV949" t="s">
        <v>126</v>
      </c>
      <c r="CN949" t="s">
        <v>147</v>
      </c>
      <c r="CP949" t="s">
        <v>457</v>
      </c>
      <c r="CQ949" t="s">
        <v>147</v>
      </c>
    </row>
    <row r="950" spans="1:95" x14ac:dyDescent="0.2">
      <c r="A950" t="s">
        <v>115</v>
      </c>
      <c r="B950" t="s">
        <v>116</v>
      </c>
      <c r="C950">
        <v>210784</v>
      </c>
      <c r="E950" t="s">
        <v>117</v>
      </c>
      <c r="F950">
        <v>368</v>
      </c>
      <c r="G950" t="s">
        <v>141</v>
      </c>
      <c r="H950" t="s">
        <v>142</v>
      </c>
      <c r="I950" t="s">
        <v>279</v>
      </c>
      <c r="J950" t="s">
        <v>280</v>
      </c>
      <c r="L950" t="s">
        <v>467</v>
      </c>
      <c r="M950" s="8">
        <v>45901</v>
      </c>
      <c r="N950">
        <v>5796138</v>
      </c>
      <c r="O950" t="s">
        <v>123</v>
      </c>
      <c r="P950" t="s">
        <v>146</v>
      </c>
      <c r="Q950">
        <v>4.4800000000000004</v>
      </c>
      <c r="R950" t="s">
        <v>125</v>
      </c>
      <c r="S950" t="s">
        <v>126</v>
      </c>
      <c r="T950" t="s">
        <v>125</v>
      </c>
      <c r="U950" t="s">
        <v>126</v>
      </c>
      <c r="W950">
        <v>4.4800000000000004</v>
      </c>
      <c r="Y950">
        <v>4.4800000000000004</v>
      </c>
      <c r="AS950">
        <v>4.4800000000000004</v>
      </c>
      <c r="BH950" t="s">
        <v>126</v>
      </c>
      <c r="BI950" t="s">
        <v>126</v>
      </c>
      <c r="BJ950" t="s">
        <v>126</v>
      </c>
      <c r="BK950" t="s">
        <v>126</v>
      </c>
      <c r="BS950" t="s">
        <v>126</v>
      </c>
      <c r="BT950" t="s">
        <v>126</v>
      </c>
      <c r="BU950" t="s">
        <v>126</v>
      </c>
      <c r="BV950" t="s">
        <v>126</v>
      </c>
      <c r="CN950" t="s">
        <v>147</v>
      </c>
      <c r="CP950" t="s">
        <v>457</v>
      </c>
      <c r="CQ950" t="s">
        <v>147</v>
      </c>
    </row>
    <row r="951" spans="1:95" x14ac:dyDescent="0.2">
      <c r="A951" t="s">
        <v>115</v>
      </c>
      <c r="B951" t="s">
        <v>116</v>
      </c>
      <c r="C951">
        <v>210784</v>
      </c>
      <c r="E951" t="s">
        <v>117</v>
      </c>
      <c r="F951">
        <v>368</v>
      </c>
      <c r="G951" t="s">
        <v>141</v>
      </c>
      <c r="H951" t="s">
        <v>142</v>
      </c>
      <c r="I951" t="s">
        <v>279</v>
      </c>
      <c r="J951" t="s">
        <v>280</v>
      </c>
      <c r="L951" t="s">
        <v>468</v>
      </c>
      <c r="M951" s="8">
        <v>45901</v>
      </c>
      <c r="N951">
        <v>5798882</v>
      </c>
      <c r="O951" t="s">
        <v>123</v>
      </c>
      <c r="P951" t="s">
        <v>146</v>
      </c>
      <c r="Q951">
        <v>5.08</v>
      </c>
      <c r="R951" t="s">
        <v>125</v>
      </c>
      <c r="S951" t="s">
        <v>126</v>
      </c>
      <c r="T951" t="s">
        <v>125</v>
      </c>
      <c r="U951" t="s">
        <v>126</v>
      </c>
      <c r="W951">
        <v>5.08</v>
      </c>
      <c r="Y951">
        <v>5.08</v>
      </c>
      <c r="AS951">
        <v>5.08</v>
      </c>
      <c r="BH951" t="s">
        <v>126</v>
      </c>
      <c r="BI951" t="s">
        <v>126</v>
      </c>
      <c r="BJ951" t="s">
        <v>126</v>
      </c>
      <c r="BK951" t="s">
        <v>126</v>
      </c>
      <c r="BS951" t="s">
        <v>126</v>
      </c>
      <c r="BT951" t="s">
        <v>126</v>
      </c>
      <c r="BU951" t="s">
        <v>126</v>
      </c>
      <c r="BV951" t="s">
        <v>126</v>
      </c>
      <c r="CN951" t="s">
        <v>147</v>
      </c>
      <c r="CP951" t="s">
        <v>469</v>
      </c>
      <c r="CQ951" t="s">
        <v>147</v>
      </c>
    </row>
    <row r="952" spans="1:95" x14ac:dyDescent="0.2">
      <c r="A952" t="s">
        <v>115</v>
      </c>
      <c r="B952" t="s">
        <v>116</v>
      </c>
      <c r="C952">
        <v>210784</v>
      </c>
      <c r="E952" t="s">
        <v>117</v>
      </c>
      <c r="F952">
        <v>368</v>
      </c>
      <c r="G952" t="s">
        <v>141</v>
      </c>
      <c r="H952" t="s">
        <v>142</v>
      </c>
      <c r="I952" t="s">
        <v>279</v>
      </c>
      <c r="J952" t="s">
        <v>280</v>
      </c>
      <c r="L952" t="s">
        <v>468</v>
      </c>
      <c r="M952" s="8">
        <v>45901</v>
      </c>
      <c r="N952">
        <v>5798962</v>
      </c>
      <c r="O952" t="s">
        <v>123</v>
      </c>
      <c r="P952" t="s">
        <v>146</v>
      </c>
      <c r="Q952">
        <v>2.65</v>
      </c>
      <c r="R952" t="s">
        <v>125</v>
      </c>
      <c r="S952" t="s">
        <v>126</v>
      </c>
      <c r="T952" t="s">
        <v>125</v>
      </c>
      <c r="U952" t="s">
        <v>126</v>
      </c>
      <c r="W952">
        <v>2.65</v>
      </c>
      <c r="Y952">
        <v>2.65</v>
      </c>
      <c r="AS952">
        <v>2.65</v>
      </c>
      <c r="BH952" t="s">
        <v>126</v>
      </c>
      <c r="BI952" t="s">
        <v>126</v>
      </c>
      <c r="BJ952" t="s">
        <v>126</v>
      </c>
      <c r="BK952" t="s">
        <v>126</v>
      </c>
      <c r="BS952" t="s">
        <v>126</v>
      </c>
      <c r="BT952" t="s">
        <v>126</v>
      </c>
      <c r="BU952" t="s">
        <v>126</v>
      </c>
      <c r="BV952" t="s">
        <v>126</v>
      </c>
      <c r="CN952" t="s">
        <v>147</v>
      </c>
      <c r="CP952" t="s">
        <v>469</v>
      </c>
      <c r="CQ952" t="s">
        <v>147</v>
      </c>
    </row>
    <row r="953" spans="1:95" x14ac:dyDescent="0.2">
      <c r="A953" t="s">
        <v>115</v>
      </c>
      <c r="B953" t="s">
        <v>116</v>
      </c>
      <c r="C953">
        <v>210784</v>
      </c>
      <c r="E953" t="s">
        <v>117</v>
      </c>
      <c r="F953">
        <v>368</v>
      </c>
      <c r="G953" t="s">
        <v>141</v>
      </c>
      <c r="H953" t="s">
        <v>142</v>
      </c>
      <c r="I953" t="s">
        <v>279</v>
      </c>
      <c r="J953" t="s">
        <v>280</v>
      </c>
      <c r="L953" t="s">
        <v>470</v>
      </c>
      <c r="M953" s="8">
        <v>45901</v>
      </c>
      <c r="N953">
        <v>5799644</v>
      </c>
      <c r="O953" t="s">
        <v>123</v>
      </c>
      <c r="P953" t="s">
        <v>146</v>
      </c>
      <c r="Q953">
        <v>5.08</v>
      </c>
      <c r="R953" t="s">
        <v>125</v>
      </c>
      <c r="S953" t="s">
        <v>126</v>
      </c>
      <c r="T953" t="s">
        <v>125</v>
      </c>
      <c r="U953" t="s">
        <v>126</v>
      </c>
      <c r="W953">
        <v>5.08</v>
      </c>
      <c r="Y953">
        <v>5.08</v>
      </c>
      <c r="AS953">
        <v>5.08</v>
      </c>
      <c r="BH953" t="s">
        <v>126</v>
      </c>
      <c r="BI953" t="s">
        <v>126</v>
      </c>
      <c r="BJ953" t="s">
        <v>126</v>
      </c>
      <c r="BK953" t="s">
        <v>126</v>
      </c>
      <c r="BS953" t="s">
        <v>126</v>
      </c>
      <c r="BT953" t="s">
        <v>126</v>
      </c>
      <c r="BU953" t="s">
        <v>126</v>
      </c>
      <c r="BV953" t="s">
        <v>126</v>
      </c>
      <c r="CN953" t="s">
        <v>147</v>
      </c>
      <c r="CP953" t="s">
        <v>469</v>
      </c>
      <c r="CQ953" t="s">
        <v>147</v>
      </c>
    </row>
    <row r="954" spans="1:95" x14ac:dyDescent="0.2">
      <c r="A954" t="s">
        <v>115</v>
      </c>
      <c r="B954" t="s">
        <v>116</v>
      </c>
      <c r="C954">
        <v>210784</v>
      </c>
      <c r="E954" t="s">
        <v>117</v>
      </c>
      <c r="F954">
        <v>368</v>
      </c>
      <c r="G954" t="s">
        <v>141</v>
      </c>
      <c r="H954" t="s">
        <v>142</v>
      </c>
      <c r="I954" t="s">
        <v>519</v>
      </c>
      <c r="J954" t="s">
        <v>520</v>
      </c>
      <c r="L954" t="s">
        <v>522</v>
      </c>
      <c r="M954" s="8">
        <v>45901</v>
      </c>
      <c r="N954" t="s">
        <v>523</v>
      </c>
      <c r="O954" t="s">
        <v>123</v>
      </c>
      <c r="P954" t="s">
        <v>146</v>
      </c>
      <c r="Q954">
        <v>1E-3</v>
      </c>
      <c r="R954" t="s">
        <v>125</v>
      </c>
      <c r="S954" t="s">
        <v>126</v>
      </c>
      <c r="T954" t="s">
        <v>125</v>
      </c>
      <c r="U954" t="s">
        <v>126</v>
      </c>
      <c r="W954">
        <v>1E-3</v>
      </c>
      <c r="Y954">
        <v>1E-3</v>
      </c>
      <c r="AF954">
        <v>1E-3</v>
      </c>
      <c r="BH954" t="s">
        <v>126</v>
      </c>
      <c r="BI954" t="s">
        <v>126</v>
      </c>
      <c r="BJ954" t="s">
        <v>126</v>
      </c>
      <c r="BK954" t="s">
        <v>126</v>
      </c>
      <c r="BS954" t="s">
        <v>126</v>
      </c>
      <c r="BT954" t="s">
        <v>126</v>
      </c>
      <c r="BU954" t="s">
        <v>126</v>
      </c>
      <c r="BV954" t="s">
        <v>126</v>
      </c>
      <c r="CN954" t="s">
        <v>147</v>
      </c>
      <c r="CP954" t="s">
        <v>460</v>
      </c>
      <c r="CQ954" t="s">
        <v>147</v>
      </c>
    </row>
    <row r="955" spans="1:95" x14ac:dyDescent="0.2">
      <c r="A955" t="s">
        <v>115</v>
      </c>
      <c r="B955" t="s">
        <v>116</v>
      </c>
      <c r="C955">
        <v>210784</v>
      </c>
      <c r="E955" t="s">
        <v>117</v>
      </c>
      <c r="F955">
        <v>368</v>
      </c>
      <c r="G955" t="s">
        <v>141</v>
      </c>
      <c r="H955" t="s">
        <v>142</v>
      </c>
      <c r="I955" t="s">
        <v>279</v>
      </c>
      <c r="J955" t="s">
        <v>280</v>
      </c>
      <c r="L955" t="s">
        <v>456</v>
      </c>
      <c r="M955" s="8">
        <v>45901</v>
      </c>
      <c r="N955">
        <v>5785297</v>
      </c>
      <c r="O955" t="s">
        <v>123</v>
      </c>
      <c r="P955" t="s">
        <v>146</v>
      </c>
      <c r="Q955">
        <v>4.07</v>
      </c>
      <c r="R955" t="s">
        <v>588</v>
      </c>
      <c r="S955" t="s">
        <v>126</v>
      </c>
      <c r="T955" t="s">
        <v>588</v>
      </c>
      <c r="U955" t="s">
        <v>589</v>
      </c>
      <c r="W955">
        <v>1.25</v>
      </c>
      <c r="X955">
        <v>2.8200000000000003</v>
      </c>
      <c r="Y955">
        <v>4.07</v>
      </c>
      <c r="Z955">
        <v>1.55</v>
      </c>
      <c r="AG955">
        <v>1.25</v>
      </c>
      <c r="AI955">
        <v>1.27</v>
      </c>
      <c r="BH955" t="s">
        <v>126</v>
      </c>
      <c r="BI955" t="s">
        <v>126</v>
      </c>
      <c r="BJ955" t="s">
        <v>126</v>
      </c>
      <c r="BK955" t="s">
        <v>126</v>
      </c>
      <c r="BS955" t="s">
        <v>126</v>
      </c>
      <c r="BT955" t="s">
        <v>126</v>
      </c>
      <c r="BU955" t="s">
        <v>126</v>
      </c>
      <c r="BV955" t="s">
        <v>126</v>
      </c>
      <c r="CN955" t="s">
        <v>147</v>
      </c>
      <c r="CP955" t="s">
        <v>457</v>
      </c>
      <c r="CQ955" t="s">
        <v>147</v>
      </c>
    </row>
    <row r="956" spans="1:95" x14ac:dyDescent="0.2">
      <c r="A956" t="s">
        <v>115</v>
      </c>
      <c r="B956" t="s">
        <v>116</v>
      </c>
      <c r="C956">
        <v>210784</v>
      </c>
      <c r="E956" t="s">
        <v>117</v>
      </c>
      <c r="F956">
        <v>368</v>
      </c>
      <c r="G956" t="s">
        <v>141</v>
      </c>
      <c r="H956" t="s">
        <v>142</v>
      </c>
      <c r="I956" t="s">
        <v>279</v>
      </c>
      <c r="J956" t="s">
        <v>280</v>
      </c>
      <c r="L956" t="s">
        <v>292</v>
      </c>
      <c r="M956" s="8">
        <v>45901</v>
      </c>
      <c r="N956">
        <v>5787892</v>
      </c>
      <c r="O956" t="s">
        <v>123</v>
      </c>
      <c r="P956" t="s">
        <v>146</v>
      </c>
      <c r="Q956">
        <v>4.2</v>
      </c>
      <c r="R956" t="s">
        <v>588</v>
      </c>
      <c r="S956" t="s">
        <v>126</v>
      </c>
      <c r="T956" t="s">
        <v>588</v>
      </c>
      <c r="U956" t="s">
        <v>589</v>
      </c>
      <c r="W956">
        <v>1.29</v>
      </c>
      <c r="X956">
        <v>2.91</v>
      </c>
      <c r="Y956">
        <v>4.2</v>
      </c>
      <c r="Z956">
        <v>1.6</v>
      </c>
      <c r="AG956">
        <v>1.29</v>
      </c>
      <c r="AI956">
        <v>1.31</v>
      </c>
      <c r="BH956" t="s">
        <v>126</v>
      </c>
      <c r="BI956" t="s">
        <v>126</v>
      </c>
      <c r="BJ956" t="s">
        <v>126</v>
      </c>
      <c r="BK956" t="s">
        <v>126</v>
      </c>
      <c r="BS956" t="s">
        <v>126</v>
      </c>
      <c r="BT956" t="s">
        <v>126</v>
      </c>
      <c r="BU956" t="s">
        <v>126</v>
      </c>
      <c r="BV956" t="s">
        <v>126</v>
      </c>
      <c r="CN956" t="s">
        <v>147</v>
      </c>
      <c r="CP956" t="s">
        <v>457</v>
      </c>
      <c r="CQ956" t="s">
        <v>147</v>
      </c>
    </row>
    <row r="957" spans="1:95" x14ac:dyDescent="0.2">
      <c r="A957" t="s">
        <v>115</v>
      </c>
      <c r="B957" t="s">
        <v>116</v>
      </c>
      <c r="C957">
        <v>210784</v>
      </c>
      <c r="E957" t="s">
        <v>117</v>
      </c>
      <c r="F957">
        <v>368</v>
      </c>
      <c r="G957" t="s">
        <v>141</v>
      </c>
      <c r="H957" t="s">
        <v>142</v>
      </c>
      <c r="I957" t="s">
        <v>279</v>
      </c>
      <c r="J957" t="s">
        <v>280</v>
      </c>
      <c r="L957" t="s">
        <v>459</v>
      </c>
      <c r="M957" s="8">
        <v>45901</v>
      </c>
      <c r="N957">
        <v>5788719</v>
      </c>
      <c r="O957" t="s">
        <v>123</v>
      </c>
      <c r="P957" t="s">
        <v>146</v>
      </c>
      <c r="Q957">
        <v>3.49</v>
      </c>
      <c r="R957" t="s">
        <v>596</v>
      </c>
      <c r="S957" t="s">
        <v>126</v>
      </c>
      <c r="T957" t="s">
        <v>596</v>
      </c>
      <c r="U957" t="s">
        <v>597</v>
      </c>
      <c r="W957">
        <v>1.08</v>
      </c>
      <c r="X957">
        <v>2.41</v>
      </c>
      <c r="Y957">
        <v>3.49</v>
      </c>
      <c r="Z957">
        <v>1.0900000000000001</v>
      </c>
      <c r="AG957">
        <v>1.08</v>
      </c>
      <c r="AI957">
        <v>1.32</v>
      </c>
      <c r="BH957" t="s">
        <v>126</v>
      </c>
      <c r="BI957" t="s">
        <v>126</v>
      </c>
      <c r="BJ957" t="s">
        <v>126</v>
      </c>
      <c r="BK957" t="s">
        <v>126</v>
      </c>
      <c r="BS957" t="s">
        <v>126</v>
      </c>
      <c r="BT957" t="s">
        <v>126</v>
      </c>
      <c r="BU957" t="s">
        <v>126</v>
      </c>
      <c r="BV957" t="s">
        <v>126</v>
      </c>
      <c r="CN957" t="s">
        <v>147</v>
      </c>
      <c r="CP957" t="s">
        <v>457</v>
      </c>
      <c r="CQ957" t="s">
        <v>147</v>
      </c>
    </row>
    <row r="958" spans="1:95" x14ac:dyDescent="0.2">
      <c r="A958" t="s">
        <v>115</v>
      </c>
      <c r="B958" t="s">
        <v>116</v>
      </c>
      <c r="C958">
        <v>210784</v>
      </c>
      <c r="E958" t="s">
        <v>117</v>
      </c>
      <c r="F958">
        <v>368</v>
      </c>
      <c r="G958" t="s">
        <v>141</v>
      </c>
      <c r="H958" t="s">
        <v>142</v>
      </c>
      <c r="I958" t="s">
        <v>279</v>
      </c>
      <c r="J958" t="s">
        <v>280</v>
      </c>
      <c r="L958" t="s">
        <v>460</v>
      </c>
      <c r="M958" s="8">
        <v>45901</v>
      </c>
      <c r="N958">
        <v>578913</v>
      </c>
      <c r="O958" t="s">
        <v>123</v>
      </c>
      <c r="P958" t="s">
        <v>146</v>
      </c>
      <c r="Q958">
        <v>6.65</v>
      </c>
      <c r="R958" t="s">
        <v>745</v>
      </c>
      <c r="S958" t="s">
        <v>126</v>
      </c>
      <c r="T958" t="s">
        <v>745</v>
      </c>
      <c r="U958" t="s">
        <v>746</v>
      </c>
      <c r="W958">
        <v>4.1199999999999992</v>
      </c>
      <c r="X958">
        <v>2.5299999999999998</v>
      </c>
      <c r="Y958">
        <v>6.65</v>
      </c>
      <c r="Z958">
        <v>2.5299999999999998</v>
      </c>
      <c r="AG958">
        <v>2.0499999999999998</v>
      </c>
      <c r="AH958">
        <v>2.0699999999999998</v>
      </c>
      <c r="BH958" t="s">
        <v>126</v>
      </c>
      <c r="BI958" t="s">
        <v>126</v>
      </c>
      <c r="BJ958" t="s">
        <v>126</v>
      </c>
      <c r="BK958" t="s">
        <v>126</v>
      </c>
      <c r="BS958" t="s">
        <v>126</v>
      </c>
      <c r="BT958" t="s">
        <v>126</v>
      </c>
      <c r="BU958" t="s">
        <v>126</v>
      </c>
      <c r="BV958" t="s">
        <v>126</v>
      </c>
      <c r="CN958" t="s">
        <v>147</v>
      </c>
      <c r="CP958" t="s">
        <v>457</v>
      </c>
      <c r="CQ958" t="s">
        <v>147</v>
      </c>
    </row>
    <row r="959" spans="1:95" x14ac:dyDescent="0.2">
      <c r="A959" t="s">
        <v>115</v>
      </c>
      <c r="B959" t="s">
        <v>116</v>
      </c>
      <c r="C959">
        <v>210784</v>
      </c>
      <c r="E959" t="s">
        <v>117</v>
      </c>
      <c r="F959">
        <v>368</v>
      </c>
      <c r="G959" t="s">
        <v>141</v>
      </c>
      <c r="H959" t="s">
        <v>142</v>
      </c>
      <c r="I959" t="s">
        <v>279</v>
      </c>
      <c r="J959" t="s">
        <v>280</v>
      </c>
      <c r="L959" t="s">
        <v>460</v>
      </c>
      <c r="M959" s="8">
        <v>45901</v>
      </c>
      <c r="N959">
        <v>5790297</v>
      </c>
      <c r="O959" t="s">
        <v>123</v>
      </c>
      <c r="P959" t="s">
        <v>146</v>
      </c>
      <c r="Q959">
        <v>3.24</v>
      </c>
      <c r="R959" t="s">
        <v>567</v>
      </c>
      <c r="S959" t="s">
        <v>126</v>
      </c>
      <c r="T959" t="s">
        <v>567</v>
      </c>
      <c r="U959" t="s">
        <v>568</v>
      </c>
      <c r="W959">
        <v>1</v>
      </c>
      <c r="X959">
        <v>2.2400000000000002</v>
      </c>
      <c r="Y959">
        <v>3.24</v>
      </c>
      <c r="Z959">
        <v>1.23</v>
      </c>
      <c r="AG959">
        <v>1</v>
      </c>
      <c r="AI959">
        <v>1.01</v>
      </c>
      <c r="BH959" t="s">
        <v>126</v>
      </c>
      <c r="BI959" t="s">
        <v>126</v>
      </c>
      <c r="BJ959" t="s">
        <v>126</v>
      </c>
      <c r="BK959" t="s">
        <v>126</v>
      </c>
      <c r="BS959" t="s">
        <v>126</v>
      </c>
      <c r="BT959" t="s">
        <v>126</v>
      </c>
      <c r="BU959" t="s">
        <v>126</v>
      </c>
      <c r="BV959" t="s">
        <v>126</v>
      </c>
      <c r="CN959" t="s">
        <v>147</v>
      </c>
      <c r="CP959" t="s">
        <v>457</v>
      </c>
      <c r="CQ959" t="s">
        <v>147</v>
      </c>
    </row>
    <row r="960" spans="1:95" x14ac:dyDescent="0.2">
      <c r="A960" t="s">
        <v>115</v>
      </c>
      <c r="B960" t="s">
        <v>116</v>
      </c>
      <c r="C960">
        <v>210784</v>
      </c>
      <c r="E960" t="s">
        <v>117</v>
      </c>
      <c r="F960">
        <v>368</v>
      </c>
      <c r="G960" t="s">
        <v>141</v>
      </c>
      <c r="H960" t="s">
        <v>142</v>
      </c>
      <c r="I960" t="s">
        <v>279</v>
      </c>
      <c r="J960" t="s">
        <v>280</v>
      </c>
      <c r="L960" t="s">
        <v>747</v>
      </c>
      <c r="M960" s="8">
        <v>45901</v>
      </c>
      <c r="N960">
        <v>5796801</v>
      </c>
      <c r="O960" t="s">
        <v>123</v>
      </c>
      <c r="P960" t="s">
        <v>146</v>
      </c>
      <c r="Q960">
        <v>5.76</v>
      </c>
      <c r="R960" t="s">
        <v>710</v>
      </c>
      <c r="S960" t="s">
        <v>126</v>
      </c>
      <c r="T960" t="s">
        <v>710</v>
      </c>
      <c r="U960" t="s">
        <v>711</v>
      </c>
      <c r="W960">
        <v>1.78</v>
      </c>
      <c r="X960">
        <v>3.98</v>
      </c>
      <c r="Y960">
        <v>5.76</v>
      </c>
      <c r="Z960">
        <v>2.19</v>
      </c>
      <c r="AG960">
        <v>1.78</v>
      </c>
      <c r="AI960">
        <v>1.79</v>
      </c>
      <c r="BH960" t="s">
        <v>126</v>
      </c>
      <c r="BI960" t="s">
        <v>126</v>
      </c>
      <c r="BJ960" t="s">
        <v>126</v>
      </c>
      <c r="BK960" t="s">
        <v>126</v>
      </c>
      <c r="BS960" t="s">
        <v>126</v>
      </c>
      <c r="BT960" t="s">
        <v>126</v>
      </c>
      <c r="BU960" t="s">
        <v>126</v>
      </c>
      <c r="BV960" t="s">
        <v>126</v>
      </c>
      <c r="CN960" t="s">
        <v>147</v>
      </c>
      <c r="CP960" t="s">
        <v>457</v>
      </c>
      <c r="CQ960" t="s">
        <v>147</v>
      </c>
    </row>
    <row r="961" spans="1:95" x14ac:dyDescent="0.2">
      <c r="A961" t="s">
        <v>115</v>
      </c>
      <c r="B961" t="s">
        <v>116</v>
      </c>
      <c r="C961">
        <v>210784</v>
      </c>
      <c r="E961" t="s">
        <v>117</v>
      </c>
      <c r="F961">
        <v>368</v>
      </c>
      <c r="G961" t="s">
        <v>141</v>
      </c>
      <c r="H961" t="s">
        <v>142</v>
      </c>
      <c r="I961" t="s">
        <v>279</v>
      </c>
      <c r="J961" t="s">
        <v>280</v>
      </c>
      <c r="L961" t="s">
        <v>748</v>
      </c>
      <c r="M961" s="8">
        <v>45901</v>
      </c>
      <c r="N961">
        <v>5798128</v>
      </c>
      <c r="O961" t="s">
        <v>123</v>
      </c>
      <c r="P961" t="s">
        <v>146</v>
      </c>
      <c r="Q961">
        <v>5.62</v>
      </c>
      <c r="R961" t="s">
        <v>683</v>
      </c>
      <c r="S961" t="s">
        <v>126</v>
      </c>
      <c r="T961" t="s">
        <v>683</v>
      </c>
      <c r="U961" t="s">
        <v>684</v>
      </c>
      <c r="W961">
        <v>1.73</v>
      </c>
      <c r="X961">
        <v>3.89</v>
      </c>
      <c r="Y961">
        <v>5.62</v>
      </c>
      <c r="Z961">
        <v>2.14</v>
      </c>
      <c r="AG961">
        <v>1.73</v>
      </c>
      <c r="AI961">
        <v>1.75</v>
      </c>
      <c r="BH961" t="s">
        <v>126</v>
      </c>
      <c r="BI961" t="s">
        <v>126</v>
      </c>
      <c r="BJ961" t="s">
        <v>126</v>
      </c>
      <c r="BK961" t="s">
        <v>126</v>
      </c>
      <c r="BS961" t="s">
        <v>126</v>
      </c>
      <c r="BT961" t="s">
        <v>126</v>
      </c>
      <c r="BU961" t="s">
        <v>126</v>
      </c>
      <c r="BV961" t="s">
        <v>126</v>
      </c>
      <c r="CN961" t="s">
        <v>147</v>
      </c>
      <c r="CP961" t="s">
        <v>469</v>
      </c>
      <c r="CQ961" t="s">
        <v>147</v>
      </c>
    </row>
    <row r="962" spans="1:95" x14ac:dyDescent="0.2">
      <c r="A962" t="s">
        <v>115</v>
      </c>
      <c r="B962" t="s">
        <v>116</v>
      </c>
      <c r="C962">
        <v>210784</v>
      </c>
      <c r="E962" t="s">
        <v>117</v>
      </c>
      <c r="F962">
        <v>368</v>
      </c>
      <c r="G962" t="s">
        <v>141</v>
      </c>
      <c r="H962" t="s">
        <v>142</v>
      </c>
      <c r="I962" t="s">
        <v>279</v>
      </c>
      <c r="J962" t="s">
        <v>280</v>
      </c>
      <c r="L962" t="s">
        <v>896</v>
      </c>
      <c r="M962" s="8">
        <v>45901</v>
      </c>
      <c r="N962">
        <v>5784436</v>
      </c>
      <c r="O962" t="s">
        <v>123</v>
      </c>
      <c r="P962" t="s">
        <v>146</v>
      </c>
      <c r="Q962">
        <v>3.9</v>
      </c>
      <c r="R962" t="s">
        <v>125</v>
      </c>
      <c r="S962" t="s">
        <v>126</v>
      </c>
      <c r="T962" t="s">
        <v>125</v>
      </c>
      <c r="U962" t="s">
        <v>126</v>
      </c>
      <c r="W962">
        <v>3.9</v>
      </c>
      <c r="Y962">
        <v>3.9</v>
      </c>
      <c r="BE962">
        <v>3.9</v>
      </c>
      <c r="BH962" t="s">
        <v>126</v>
      </c>
      <c r="BI962" t="s">
        <v>126</v>
      </c>
      <c r="BJ962" t="s">
        <v>126</v>
      </c>
      <c r="BK962" t="s">
        <v>126</v>
      </c>
      <c r="BS962" t="s">
        <v>126</v>
      </c>
      <c r="BT962" t="s">
        <v>126</v>
      </c>
      <c r="BU962" t="s">
        <v>126</v>
      </c>
      <c r="BV962" t="s">
        <v>126</v>
      </c>
      <c r="CN962" t="s">
        <v>147</v>
      </c>
      <c r="CP962" t="s">
        <v>457</v>
      </c>
      <c r="CQ962" t="s">
        <v>147</v>
      </c>
    </row>
    <row r="963" spans="1:95" x14ac:dyDescent="0.2">
      <c r="A963" t="s">
        <v>115</v>
      </c>
      <c r="B963" t="s">
        <v>116</v>
      </c>
      <c r="C963">
        <v>210784</v>
      </c>
      <c r="E963" t="s">
        <v>117</v>
      </c>
      <c r="F963">
        <v>368</v>
      </c>
      <c r="G963" t="s">
        <v>141</v>
      </c>
      <c r="H963" t="s">
        <v>142</v>
      </c>
      <c r="I963" t="s">
        <v>279</v>
      </c>
      <c r="J963" t="s">
        <v>280</v>
      </c>
      <c r="L963" t="s">
        <v>897</v>
      </c>
      <c r="M963" s="8">
        <v>45901</v>
      </c>
      <c r="N963">
        <v>5786000</v>
      </c>
      <c r="O963" t="s">
        <v>123</v>
      </c>
      <c r="P963" t="s">
        <v>146</v>
      </c>
      <c r="Q963">
        <v>1.92</v>
      </c>
      <c r="R963" t="s">
        <v>125</v>
      </c>
      <c r="S963" t="s">
        <v>126</v>
      </c>
      <c r="T963" t="s">
        <v>125</v>
      </c>
      <c r="U963" t="s">
        <v>126</v>
      </c>
      <c r="W963">
        <v>1.92</v>
      </c>
      <c r="Y963">
        <v>1.92</v>
      </c>
      <c r="BE963">
        <v>1.92</v>
      </c>
      <c r="BH963" t="s">
        <v>126</v>
      </c>
      <c r="BI963" t="s">
        <v>126</v>
      </c>
      <c r="BJ963" t="s">
        <v>126</v>
      </c>
      <c r="BK963" t="s">
        <v>126</v>
      </c>
      <c r="BS963" t="s">
        <v>126</v>
      </c>
      <c r="BT963" t="s">
        <v>126</v>
      </c>
      <c r="BU963" t="s">
        <v>126</v>
      </c>
      <c r="BV963" t="s">
        <v>126</v>
      </c>
      <c r="CN963" t="s">
        <v>147</v>
      </c>
      <c r="CP963" t="s">
        <v>457</v>
      </c>
      <c r="CQ963" t="s">
        <v>147</v>
      </c>
    </row>
    <row r="964" spans="1:95" x14ac:dyDescent="0.2">
      <c r="A964" t="s">
        <v>115</v>
      </c>
      <c r="B964" t="s">
        <v>116</v>
      </c>
      <c r="C964">
        <v>210784</v>
      </c>
      <c r="E964" t="s">
        <v>117</v>
      </c>
      <c r="F964">
        <v>368</v>
      </c>
      <c r="G964" t="s">
        <v>141</v>
      </c>
      <c r="H964" t="s">
        <v>142</v>
      </c>
      <c r="I964" t="s">
        <v>279</v>
      </c>
      <c r="J964" t="s">
        <v>280</v>
      </c>
      <c r="L964" t="s">
        <v>457</v>
      </c>
      <c r="M964" s="8">
        <v>45901</v>
      </c>
      <c r="N964">
        <v>5800426</v>
      </c>
      <c r="O964" t="s">
        <v>123</v>
      </c>
      <c r="P964" t="s">
        <v>146</v>
      </c>
      <c r="Q964">
        <v>5.81</v>
      </c>
      <c r="R964" t="s">
        <v>125</v>
      </c>
      <c r="S964" t="s">
        <v>126</v>
      </c>
      <c r="T964" t="s">
        <v>125</v>
      </c>
      <c r="U964" t="s">
        <v>126</v>
      </c>
      <c r="W964">
        <v>5.81</v>
      </c>
      <c r="Y964">
        <v>5.81</v>
      </c>
      <c r="AE964">
        <v>5.81</v>
      </c>
      <c r="BH964" t="s">
        <v>126</v>
      </c>
      <c r="BI964" t="s">
        <v>126</v>
      </c>
      <c r="BJ964" t="s">
        <v>126</v>
      </c>
      <c r="BK964" t="s">
        <v>126</v>
      </c>
      <c r="BS964" t="s">
        <v>126</v>
      </c>
      <c r="BT964" t="s">
        <v>126</v>
      </c>
      <c r="BU964" t="s">
        <v>126</v>
      </c>
      <c r="BV964" t="s">
        <v>126</v>
      </c>
      <c r="CN964" t="s">
        <v>147</v>
      </c>
      <c r="CP964" t="s">
        <v>469</v>
      </c>
      <c r="CQ964" t="s">
        <v>147</v>
      </c>
    </row>
    <row r="965" spans="1:95" x14ac:dyDescent="0.2">
      <c r="A965" t="s">
        <v>115</v>
      </c>
      <c r="B965" t="s">
        <v>116</v>
      </c>
      <c r="C965">
        <v>210784</v>
      </c>
      <c r="E965" t="s">
        <v>117</v>
      </c>
      <c r="F965">
        <v>368</v>
      </c>
      <c r="G965" t="s">
        <v>141</v>
      </c>
      <c r="H965" t="s">
        <v>142</v>
      </c>
      <c r="I965" t="s">
        <v>279</v>
      </c>
      <c r="J965" t="s">
        <v>280</v>
      </c>
      <c r="L965" t="s">
        <v>920</v>
      </c>
      <c r="M965" s="8">
        <v>45901</v>
      </c>
      <c r="N965">
        <v>5801536</v>
      </c>
      <c r="O965" t="s">
        <v>123</v>
      </c>
      <c r="P965" t="s">
        <v>146</v>
      </c>
      <c r="Q965">
        <v>3.86</v>
      </c>
      <c r="R965" t="s">
        <v>125</v>
      </c>
      <c r="S965" t="s">
        <v>126</v>
      </c>
      <c r="T965" t="s">
        <v>125</v>
      </c>
      <c r="U965" t="s">
        <v>126</v>
      </c>
      <c r="W965">
        <v>3.86</v>
      </c>
      <c r="Y965">
        <v>3.86</v>
      </c>
      <c r="AE965">
        <v>3.86</v>
      </c>
      <c r="BH965" t="s">
        <v>126</v>
      </c>
      <c r="BI965" t="s">
        <v>126</v>
      </c>
      <c r="BJ965" t="s">
        <v>126</v>
      </c>
      <c r="BK965" t="s">
        <v>126</v>
      </c>
      <c r="BS965" t="s">
        <v>126</v>
      </c>
      <c r="BT965" t="s">
        <v>126</v>
      </c>
      <c r="BU965" t="s">
        <v>126</v>
      </c>
      <c r="BV965" t="s">
        <v>126</v>
      </c>
      <c r="CN965" t="s">
        <v>147</v>
      </c>
      <c r="CP965" t="s">
        <v>469</v>
      </c>
      <c r="CQ965" t="s">
        <v>147</v>
      </c>
    </row>
    <row r="966" spans="1:95" x14ac:dyDescent="0.2">
      <c r="A966" t="s">
        <v>115</v>
      </c>
      <c r="B966" t="s">
        <v>116</v>
      </c>
      <c r="C966">
        <v>210784</v>
      </c>
      <c r="E966" t="s">
        <v>117</v>
      </c>
      <c r="F966">
        <v>368</v>
      </c>
      <c r="G966" t="s">
        <v>141</v>
      </c>
      <c r="H966" t="s">
        <v>142</v>
      </c>
      <c r="I966" t="s">
        <v>279</v>
      </c>
      <c r="J966" t="s">
        <v>280</v>
      </c>
      <c r="L966" t="s">
        <v>456</v>
      </c>
      <c r="M966" s="8">
        <v>45901</v>
      </c>
      <c r="N966">
        <v>5785168</v>
      </c>
      <c r="O966" t="s">
        <v>123</v>
      </c>
      <c r="P966" t="s">
        <v>146</v>
      </c>
      <c r="Q966">
        <v>0.375</v>
      </c>
      <c r="R966" t="s">
        <v>125</v>
      </c>
      <c r="S966" t="s">
        <v>126</v>
      </c>
      <c r="T966" t="s">
        <v>125</v>
      </c>
      <c r="U966" t="s">
        <v>126</v>
      </c>
      <c r="W966">
        <v>0.375</v>
      </c>
      <c r="Y966">
        <v>0.375</v>
      </c>
      <c r="AP966">
        <v>0.375</v>
      </c>
      <c r="BH966" t="s">
        <v>126</v>
      </c>
      <c r="BI966" t="s">
        <v>126</v>
      </c>
      <c r="BJ966" t="s">
        <v>126</v>
      </c>
      <c r="BK966" t="s">
        <v>126</v>
      </c>
      <c r="BS966" t="s">
        <v>126</v>
      </c>
      <c r="BT966" t="s">
        <v>126</v>
      </c>
      <c r="BU966" t="s">
        <v>126</v>
      </c>
      <c r="BV966" t="s">
        <v>126</v>
      </c>
      <c r="CN966" t="s">
        <v>147</v>
      </c>
      <c r="CP966" t="s">
        <v>456</v>
      </c>
      <c r="CQ966" t="s">
        <v>147</v>
      </c>
    </row>
    <row r="967" spans="1:95" x14ac:dyDescent="0.2">
      <c r="A967" t="s">
        <v>115</v>
      </c>
      <c r="B967" t="s">
        <v>116</v>
      </c>
      <c r="C967">
        <v>210784</v>
      </c>
      <c r="E967" t="s">
        <v>117</v>
      </c>
      <c r="F967">
        <v>368</v>
      </c>
      <c r="G967" t="s">
        <v>141</v>
      </c>
      <c r="H967" t="s">
        <v>142</v>
      </c>
      <c r="I967" t="s">
        <v>279</v>
      </c>
      <c r="J967" t="s">
        <v>280</v>
      </c>
      <c r="L967" t="s">
        <v>522</v>
      </c>
      <c r="M967" s="8">
        <v>45901</v>
      </c>
      <c r="N967">
        <v>5789456</v>
      </c>
      <c r="O967" t="s">
        <v>123</v>
      </c>
      <c r="P967" t="s">
        <v>146</v>
      </c>
      <c r="Q967">
        <v>0.375</v>
      </c>
      <c r="R967" t="s">
        <v>125</v>
      </c>
      <c r="S967" t="s">
        <v>126</v>
      </c>
      <c r="T967" t="s">
        <v>125</v>
      </c>
      <c r="U967" t="s">
        <v>126</v>
      </c>
      <c r="W967">
        <v>0.375</v>
      </c>
      <c r="Y967">
        <v>0.375</v>
      </c>
      <c r="AP967">
        <v>0.375</v>
      </c>
      <c r="BH967" t="s">
        <v>126</v>
      </c>
      <c r="BI967" t="s">
        <v>126</v>
      </c>
      <c r="BJ967" t="s">
        <v>126</v>
      </c>
      <c r="BK967" t="s">
        <v>126</v>
      </c>
      <c r="BS967" t="s">
        <v>126</v>
      </c>
      <c r="BT967" t="s">
        <v>126</v>
      </c>
      <c r="BU967" t="s">
        <v>126</v>
      </c>
      <c r="BV967" t="s">
        <v>126</v>
      </c>
      <c r="CN967" t="s">
        <v>147</v>
      </c>
      <c r="CP967" t="s">
        <v>460</v>
      </c>
      <c r="CQ967" t="s">
        <v>147</v>
      </c>
    </row>
    <row r="968" spans="1:95" x14ac:dyDescent="0.2">
      <c r="A968" t="s">
        <v>115</v>
      </c>
      <c r="B968" t="s">
        <v>116</v>
      </c>
      <c r="C968">
        <v>210784</v>
      </c>
      <c r="E968" t="s">
        <v>117</v>
      </c>
      <c r="F968">
        <v>368</v>
      </c>
      <c r="G968" t="s">
        <v>118</v>
      </c>
      <c r="H968" t="s">
        <v>119</v>
      </c>
      <c r="I968" t="s">
        <v>120</v>
      </c>
      <c r="J968" t="s">
        <v>121</v>
      </c>
      <c r="L968" t="s">
        <v>122</v>
      </c>
      <c r="M968" s="8">
        <v>45931</v>
      </c>
      <c r="N968">
        <v>135606</v>
      </c>
      <c r="O968" t="s">
        <v>123</v>
      </c>
      <c r="P968" t="s">
        <v>124</v>
      </c>
      <c r="Q968">
        <v>14.09</v>
      </c>
      <c r="R968" t="s">
        <v>125</v>
      </c>
      <c r="S968" t="s">
        <v>126</v>
      </c>
      <c r="T968" t="s">
        <v>125</v>
      </c>
      <c r="U968" t="s">
        <v>126</v>
      </c>
      <c r="W968">
        <v>14.09</v>
      </c>
      <c r="Y968">
        <v>14.09</v>
      </c>
      <c r="AA968">
        <v>14.09</v>
      </c>
      <c r="BH968" t="s">
        <v>126</v>
      </c>
      <c r="BI968" t="s">
        <v>126</v>
      </c>
      <c r="BJ968" t="s">
        <v>126</v>
      </c>
      <c r="BK968" t="s">
        <v>126</v>
      </c>
      <c r="BS968" t="s">
        <v>126</v>
      </c>
      <c r="BT968" t="s">
        <v>126</v>
      </c>
      <c r="BU968" t="s">
        <v>126</v>
      </c>
      <c r="BV968" t="s">
        <v>126</v>
      </c>
      <c r="CN968" t="s">
        <v>127</v>
      </c>
      <c r="CP968" t="s">
        <v>128</v>
      </c>
      <c r="CQ968" t="s">
        <v>127</v>
      </c>
    </row>
    <row r="969" spans="1:95" x14ac:dyDescent="0.2">
      <c r="A969" t="s">
        <v>115</v>
      </c>
      <c r="B969" t="s">
        <v>116</v>
      </c>
      <c r="C969">
        <v>210784</v>
      </c>
      <c r="E969" t="s">
        <v>117</v>
      </c>
      <c r="F969">
        <v>368</v>
      </c>
      <c r="G969" t="s">
        <v>118</v>
      </c>
      <c r="H969" t="s">
        <v>119</v>
      </c>
      <c r="I969" t="s">
        <v>120</v>
      </c>
      <c r="J969" t="s">
        <v>121</v>
      </c>
      <c r="L969" t="s">
        <v>293</v>
      </c>
      <c r="M969" s="8">
        <v>45931</v>
      </c>
      <c r="N969">
        <v>135243</v>
      </c>
      <c r="O969" t="s">
        <v>123</v>
      </c>
      <c r="P969" t="s">
        <v>124</v>
      </c>
      <c r="Q969">
        <v>14.22</v>
      </c>
      <c r="R969" t="s">
        <v>125</v>
      </c>
      <c r="S969" t="s">
        <v>126</v>
      </c>
      <c r="T969" t="s">
        <v>125</v>
      </c>
      <c r="U969" t="s">
        <v>126</v>
      </c>
      <c r="W969">
        <v>14.22</v>
      </c>
      <c r="Y969">
        <v>14.22</v>
      </c>
      <c r="AC969">
        <v>14.22</v>
      </c>
      <c r="BH969" t="s">
        <v>126</v>
      </c>
      <c r="BI969" t="s">
        <v>126</v>
      </c>
      <c r="BJ969" t="s">
        <v>126</v>
      </c>
      <c r="BK969" t="s">
        <v>126</v>
      </c>
      <c r="BS969" t="s">
        <v>126</v>
      </c>
      <c r="BT969" t="s">
        <v>126</v>
      </c>
      <c r="BU969" t="s">
        <v>126</v>
      </c>
      <c r="BV969" t="s">
        <v>126</v>
      </c>
      <c r="CN969" t="s">
        <v>127</v>
      </c>
      <c r="CP969" t="s">
        <v>128</v>
      </c>
      <c r="CQ969" t="s">
        <v>127</v>
      </c>
    </row>
    <row r="970" spans="1:95" x14ac:dyDescent="0.2">
      <c r="A970" t="s">
        <v>115</v>
      </c>
      <c r="B970" t="s">
        <v>116</v>
      </c>
      <c r="C970">
        <v>210784</v>
      </c>
      <c r="E970" t="s">
        <v>117</v>
      </c>
      <c r="F970">
        <v>368</v>
      </c>
      <c r="G970" t="s">
        <v>118</v>
      </c>
      <c r="H970" t="s">
        <v>119</v>
      </c>
      <c r="I970" t="s">
        <v>120</v>
      </c>
      <c r="J970" t="s">
        <v>121</v>
      </c>
      <c r="L970" t="s">
        <v>293</v>
      </c>
      <c r="M970" s="8">
        <v>45931</v>
      </c>
      <c r="N970">
        <v>135252</v>
      </c>
      <c r="O970" t="s">
        <v>123</v>
      </c>
      <c r="P970" t="s">
        <v>124</v>
      </c>
      <c r="Q970">
        <v>13.87</v>
      </c>
      <c r="R970" t="s">
        <v>125</v>
      </c>
      <c r="S970" t="s">
        <v>126</v>
      </c>
      <c r="T970" t="s">
        <v>125</v>
      </c>
      <c r="U970" t="s">
        <v>126</v>
      </c>
      <c r="W970">
        <v>13.87</v>
      </c>
      <c r="Y970">
        <v>13.87</v>
      </c>
      <c r="AC970">
        <v>13.87</v>
      </c>
      <c r="BH970" t="s">
        <v>126</v>
      </c>
      <c r="BI970" t="s">
        <v>126</v>
      </c>
      <c r="BJ970" t="s">
        <v>126</v>
      </c>
      <c r="BK970" t="s">
        <v>126</v>
      </c>
      <c r="BS970" t="s">
        <v>126</v>
      </c>
      <c r="BT970" t="s">
        <v>126</v>
      </c>
      <c r="BU970" t="s">
        <v>126</v>
      </c>
      <c r="BV970" t="s">
        <v>126</v>
      </c>
      <c r="CN970" t="s">
        <v>127</v>
      </c>
      <c r="CP970" t="s">
        <v>128</v>
      </c>
      <c r="CQ970" t="s">
        <v>127</v>
      </c>
    </row>
    <row r="971" spans="1:95" x14ac:dyDescent="0.2">
      <c r="A971" t="s">
        <v>115</v>
      </c>
      <c r="B971" t="s">
        <v>116</v>
      </c>
      <c r="C971">
        <v>210784</v>
      </c>
      <c r="E971" t="s">
        <v>117</v>
      </c>
      <c r="F971">
        <v>368</v>
      </c>
      <c r="G971" t="s">
        <v>118</v>
      </c>
      <c r="H971" t="s">
        <v>119</v>
      </c>
      <c r="I971" t="s">
        <v>120</v>
      </c>
      <c r="J971" t="s">
        <v>121</v>
      </c>
      <c r="L971" t="s">
        <v>294</v>
      </c>
      <c r="M971" s="8">
        <v>45931</v>
      </c>
      <c r="N971">
        <v>135304</v>
      </c>
      <c r="O971" t="s">
        <v>123</v>
      </c>
      <c r="P971" t="s">
        <v>124</v>
      </c>
      <c r="Q971">
        <v>11.4</v>
      </c>
      <c r="R971" t="s">
        <v>125</v>
      </c>
      <c r="S971" t="s">
        <v>126</v>
      </c>
      <c r="T971" t="s">
        <v>125</v>
      </c>
      <c r="U971" t="s">
        <v>126</v>
      </c>
      <c r="W971">
        <v>11.4</v>
      </c>
      <c r="Y971">
        <v>11.4</v>
      </c>
      <c r="AC971">
        <v>11.4</v>
      </c>
      <c r="BH971" t="s">
        <v>126</v>
      </c>
      <c r="BI971" t="s">
        <v>126</v>
      </c>
      <c r="BJ971" t="s">
        <v>126</v>
      </c>
      <c r="BK971" t="s">
        <v>126</v>
      </c>
      <c r="BS971" t="s">
        <v>126</v>
      </c>
      <c r="BT971" t="s">
        <v>126</v>
      </c>
      <c r="BU971" t="s">
        <v>126</v>
      </c>
      <c r="BV971" t="s">
        <v>126</v>
      </c>
      <c r="CN971" t="s">
        <v>127</v>
      </c>
      <c r="CP971" t="s">
        <v>128</v>
      </c>
      <c r="CQ971" t="s">
        <v>127</v>
      </c>
    </row>
    <row r="972" spans="1:95" x14ac:dyDescent="0.2">
      <c r="A972" t="s">
        <v>115</v>
      </c>
      <c r="B972" t="s">
        <v>116</v>
      </c>
      <c r="C972">
        <v>210784</v>
      </c>
      <c r="E972" t="s">
        <v>117</v>
      </c>
      <c r="F972">
        <v>368</v>
      </c>
      <c r="G972" t="s">
        <v>118</v>
      </c>
      <c r="H972" t="s">
        <v>119</v>
      </c>
      <c r="I972" t="s">
        <v>120</v>
      </c>
      <c r="J972" t="s">
        <v>121</v>
      </c>
      <c r="L972" t="s">
        <v>295</v>
      </c>
      <c r="M972" s="8">
        <v>45931</v>
      </c>
      <c r="N972">
        <v>135444</v>
      </c>
      <c r="O972" t="s">
        <v>123</v>
      </c>
      <c r="P972" t="s">
        <v>124</v>
      </c>
      <c r="Q972">
        <v>12.22</v>
      </c>
      <c r="R972" t="s">
        <v>125</v>
      </c>
      <c r="S972" t="s">
        <v>126</v>
      </c>
      <c r="T972" t="s">
        <v>125</v>
      </c>
      <c r="U972" t="s">
        <v>126</v>
      </c>
      <c r="W972">
        <v>12.22</v>
      </c>
      <c r="Y972">
        <v>12.22</v>
      </c>
      <c r="AC972">
        <v>12.22</v>
      </c>
      <c r="BH972" t="s">
        <v>126</v>
      </c>
      <c r="BI972" t="s">
        <v>126</v>
      </c>
      <c r="BJ972" t="s">
        <v>126</v>
      </c>
      <c r="BK972" t="s">
        <v>126</v>
      </c>
      <c r="BS972" t="s">
        <v>126</v>
      </c>
      <c r="BT972" t="s">
        <v>126</v>
      </c>
      <c r="BU972" t="s">
        <v>126</v>
      </c>
      <c r="BV972" t="s">
        <v>126</v>
      </c>
      <c r="CN972" t="s">
        <v>127</v>
      </c>
      <c r="CP972" t="s">
        <v>128</v>
      </c>
      <c r="CQ972" t="s">
        <v>127</v>
      </c>
    </row>
    <row r="973" spans="1:95" x14ac:dyDescent="0.2">
      <c r="A973" t="s">
        <v>115</v>
      </c>
      <c r="B973" t="s">
        <v>116</v>
      </c>
      <c r="C973">
        <v>210784</v>
      </c>
      <c r="E973" t="s">
        <v>117</v>
      </c>
      <c r="F973">
        <v>368</v>
      </c>
      <c r="G973" t="s">
        <v>118</v>
      </c>
      <c r="H973" t="s">
        <v>119</v>
      </c>
      <c r="I973" t="s">
        <v>120</v>
      </c>
      <c r="J973" t="s">
        <v>121</v>
      </c>
      <c r="L973" t="s">
        <v>296</v>
      </c>
      <c r="M973" s="8">
        <v>45931</v>
      </c>
      <c r="N973">
        <v>135528</v>
      </c>
      <c r="O973" t="s">
        <v>123</v>
      </c>
      <c r="P973" t="s">
        <v>124</v>
      </c>
      <c r="Q973">
        <v>8.4499999999999993</v>
      </c>
      <c r="R973" t="s">
        <v>125</v>
      </c>
      <c r="S973" t="s">
        <v>126</v>
      </c>
      <c r="T973" t="s">
        <v>125</v>
      </c>
      <c r="U973" t="s">
        <v>126</v>
      </c>
      <c r="W973">
        <v>8.4499999999999993</v>
      </c>
      <c r="Y973">
        <v>8.4499999999999993</v>
      </c>
      <c r="AC973">
        <v>8.4499999999999993</v>
      </c>
      <c r="BH973" t="s">
        <v>126</v>
      </c>
      <c r="BI973" t="s">
        <v>126</v>
      </c>
      <c r="BJ973" t="s">
        <v>126</v>
      </c>
      <c r="BK973" t="s">
        <v>126</v>
      </c>
      <c r="BS973" t="s">
        <v>126</v>
      </c>
      <c r="BT973" t="s">
        <v>126</v>
      </c>
      <c r="BU973" t="s">
        <v>126</v>
      </c>
      <c r="BV973" t="s">
        <v>126</v>
      </c>
      <c r="CN973" t="s">
        <v>127</v>
      </c>
      <c r="CP973" t="s">
        <v>128</v>
      </c>
      <c r="CQ973" t="s">
        <v>127</v>
      </c>
    </row>
    <row r="974" spans="1:95" x14ac:dyDescent="0.2">
      <c r="A974" t="s">
        <v>115</v>
      </c>
      <c r="B974" t="s">
        <v>116</v>
      </c>
      <c r="C974">
        <v>210784</v>
      </c>
      <c r="E974" t="s">
        <v>117</v>
      </c>
      <c r="F974">
        <v>368</v>
      </c>
      <c r="G974" t="s">
        <v>141</v>
      </c>
      <c r="H974" t="s">
        <v>142</v>
      </c>
      <c r="I974" t="s">
        <v>279</v>
      </c>
      <c r="J974" t="s">
        <v>280</v>
      </c>
      <c r="L974" t="s">
        <v>471</v>
      </c>
      <c r="M974" s="8">
        <v>45931</v>
      </c>
      <c r="N974">
        <v>5801804</v>
      </c>
      <c r="O974" t="s">
        <v>123</v>
      </c>
      <c r="P974" t="s">
        <v>146</v>
      </c>
      <c r="Q974">
        <v>3.16</v>
      </c>
      <c r="R974" t="s">
        <v>125</v>
      </c>
      <c r="S974" t="s">
        <v>126</v>
      </c>
      <c r="T974" t="s">
        <v>125</v>
      </c>
      <c r="U974" t="s">
        <v>126</v>
      </c>
      <c r="W974">
        <v>3.16</v>
      </c>
      <c r="Y974">
        <v>3.16</v>
      </c>
      <c r="AS974">
        <v>3.16</v>
      </c>
      <c r="BH974" t="s">
        <v>126</v>
      </c>
      <c r="BI974" t="s">
        <v>126</v>
      </c>
      <c r="BJ974" t="s">
        <v>126</v>
      </c>
      <c r="BK974" t="s">
        <v>126</v>
      </c>
      <c r="BS974" t="s">
        <v>126</v>
      </c>
      <c r="BT974" t="s">
        <v>126</v>
      </c>
      <c r="BU974" t="s">
        <v>126</v>
      </c>
      <c r="BV974" t="s">
        <v>126</v>
      </c>
      <c r="CN974" t="s">
        <v>147</v>
      </c>
      <c r="CP974" t="s">
        <v>469</v>
      </c>
      <c r="CQ974" t="s">
        <v>147</v>
      </c>
    </row>
    <row r="975" spans="1:95" x14ac:dyDescent="0.2">
      <c r="A975" t="s">
        <v>115</v>
      </c>
      <c r="B975" t="s">
        <v>116</v>
      </c>
      <c r="C975">
        <v>210784</v>
      </c>
      <c r="E975" t="s">
        <v>117</v>
      </c>
      <c r="F975">
        <v>368</v>
      </c>
      <c r="G975" t="s">
        <v>141</v>
      </c>
      <c r="H975" t="s">
        <v>142</v>
      </c>
      <c r="I975" t="s">
        <v>279</v>
      </c>
      <c r="J975" t="s">
        <v>280</v>
      </c>
      <c r="L975" t="s">
        <v>471</v>
      </c>
      <c r="M975" s="8">
        <v>45931</v>
      </c>
      <c r="N975">
        <v>5802055</v>
      </c>
      <c r="O975" t="s">
        <v>123</v>
      </c>
      <c r="P975" t="s">
        <v>146</v>
      </c>
      <c r="Q975">
        <v>2.88</v>
      </c>
      <c r="R975" t="s">
        <v>125</v>
      </c>
      <c r="S975" t="s">
        <v>126</v>
      </c>
      <c r="T975" t="s">
        <v>125</v>
      </c>
      <c r="U975" t="s">
        <v>126</v>
      </c>
      <c r="W975">
        <v>2.88</v>
      </c>
      <c r="Y975">
        <v>2.88</v>
      </c>
      <c r="AS975">
        <v>2.88</v>
      </c>
      <c r="BH975" t="s">
        <v>126</v>
      </c>
      <c r="BI975" t="s">
        <v>126</v>
      </c>
      <c r="BJ975" t="s">
        <v>126</v>
      </c>
      <c r="BK975" t="s">
        <v>126</v>
      </c>
      <c r="BS975" t="s">
        <v>126</v>
      </c>
      <c r="BT975" t="s">
        <v>126</v>
      </c>
      <c r="BU975" t="s">
        <v>126</v>
      </c>
      <c r="BV975" t="s">
        <v>126</v>
      </c>
      <c r="CN975" t="s">
        <v>147</v>
      </c>
      <c r="CP975" t="s">
        <v>469</v>
      </c>
      <c r="CQ975" t="s">
        <v>147</v>
      </c>
    </row>
    <row r="976" spans="1:95" x14ac:dyDescent="0.2">
      <c r="A976" t="s">
        <v>115</v>
      </c>
      <c r="B976" t="s">
        <v>116</v>
      </c>
      <c r="C976">
        <v>210784</v>
      </c>
      <c r="E976" t="s">
        <v>117</v>
      </c>
      <c r="F976">
        <v>368</v>
      </c>
      <c r="G976" t="s">
        <v>141</v>
      </c>
      <c r="H976" t="s">
        <v>142</v>
      </c>
      <c r="I976" t="s">
        <v>279</v>
      </c>
      <c r="J976" t="s">
        <v>280</v>
      </c>
      <c r="L976" t="s">
        <v>472</v>
      </c>
      <c r="M976" s="8">
        <v>45931</v>
      </c>
      <c r="N976">
        <v>5803283</v>
      </c>
      <c r="O976" t="s">
        <v>123</v>
      </c>
      <c r="P976" t="s">
        <v>146</v>
      </c>
      <c r="Q976">
        <v>5.18</v>
      </c>
      <c r="R976" t="s">
        <v>125</v>
      </c>
      <c r="S976" t="s">
        <v>126</v>
      </c>
      <c r="T976" t="s">
        <v>125</v>
      </c>
      <c r="U976" t="s">
        <v>126</v>
      </c>
      <c r="W976">
        <v>5.18</v>
      </c>
      <c r="Y976">
        <v>5.18</v>
      </c>
      <c r="AS976">
        <v>5.18</v>
      </c>
      <c r="BH976" t="s">
        <v>126</v>
      </c>
      <c r="BI976" t="s">
        <v>126</v>
      </c>
      <c r="BJ976" t="s">
        <v>126</v>
      </c>
      <c r="BK976" t="s">
        <v>126</v>
      </c>
      <c r="BS976" t="s">
        <v>126</v>
      </c>
      <c r="BT976" t="s">
        <v>126</v>
      </c>
      <c r="BU976" t="s">
        <v>126</v>
      </c>
      <c r="BV976" t="s">
        <v>126</v>
      </c>
      <c r="CN976" t="s">
        <v>147</v>
      </c>
      <c r="CP976" t="s">
        <v>469</v>
      </c>
      <c r="CQ976" t="s">
        <v>147</v>
      </c>
    </row>
    <row r="977" spans="1:95" x14ac:dyDescent="0.2">
      <c r="A977" t="s">
        <v>115</v>
      </c>
      <c r="B977" t="s">
        <v>116</v>
      </c>
      <c r="C977">
        <v>210784</v>
      </c>
      <c r="E977" t="s">
        <v>117</v>
      </c>
      <c r="F977">
        <v>368</v>
      </c>
      <c r="G977" t="s">
        <v>141</v>
      </c>
      <c r="H977" t="s">
        <v>142</v>
      </c>
      <c r="I977" t="s">
        <v>279</v>
      </c>
      <c r="J977" t="s">
        <v>280</v>
      </c>
      <c r="L977" t="s">
        <v>472</v>
      </c>
      <c r="M977" s="8">
        <v>45931</v>
      </c>
      <c r="N977">
        <v>5803397</v>
      </c>
      <c r="O977" t="s">
        <v>123</v>
      </c>
      <c r="P977" t="s">
        <v>146</v>
      </c>
      <c r="Q977">
        <v>4.38</v>
      </c>
      <c r="R977" t="s">
        <v>125</v>
      </c>
      <c r="S977" t="s">
        <v>126</v>
      </c>
      <c r="T977" t="s">
        <v>125</v>
      </c>
      <c r="U977" t="s">
        <v>126</v>
      </c>
      <c r="W977">
        <v>4.38</v>
      </c>
      <c r="Y977">
        <v>4.38</v>
      </c>
      <c r="AS977">
        <v>4.38</v>
      </c>
      <c r="BH977" t="s">
        <v>126</v>
      </c>
      <c r="BI977" t="s">
        <v>126</v>
      </c>
      <c r="BJ977" t="s">
        <v>126</v>
      </c>
      <c r="BK977" t="s">
        <v>126</v>
      </c>
      <c r="BS977" t="s">
        <v>126</v>
      </c>
      <c r="BT977" t="s">
        <v>126</v>
      </c>
      <c r="BU977" t="s">
        <v>126</v>
      </c>
      <c r="BV977" t="s">
        <v>126</v>
      </c>
      <c r="CN977" t="s">
        <v>147</v>
      </c>
      <c r="CP977" t="s">
        <v>469</v>
      </c>
      <c r="CQ977" t="s">
        <v>147</v>
      </c>
    </row>
    <row r="978" spans="1:95" x14ac:dyDescent="0.2">
      <c r="A978" t="s">
        <v>115</v>
      </c>
      <c r="B978" t="s">
        <v>116</v>
      </c>
      <c r="C978">
        <v>210784</v>
      </c>
      <c r="E978" t="s">
        <v>117</v>
      </c>
      <c r="F978">
        <v>368</v>
      </c>
      <c r="G978" t="s">
        <v>141</v>
      </c>
      <c r="H978" t="s">
        <v>142</v>
      </c>
      <c r="I978" t="s">
        <v>279</v>
      </c>
      <c r="J978" t="s">
        <v>280</v>
      </c>
      <c r="L978" t="s">
        <v>473</v>
      </c>
      <c r="M978" s="8">
        <v>45931</v>
      </c>
      <c r="N978">
        <v>5807487</v>
      </c>
      <c r="O978" t="s">
        <v>123</v>
      </c>
      <c r="P978" t="s">
        <v>146</v>
      </c>
      <c r="Q978">
        <v>3.89</v>
      </c>
      <c r="R978" t="s">
        <v>125</v>
      </c>
      <c r="S978" t="s">
        <v>126</v>
      </c>
      <c r="T978" t="s">
        <v>125</v>
      </c>
      <c r="U978" t="s">
        <v>126</v>
      </c>
      <c r="W978">
        <v>3.89</v>
      </c>
      <c r="Y978">
        <v>3.89</v>
      </c>
      <c r="AS978">
        <v>3.89</v>
      </c>
      <c r="BH978" t="s">
        <v>126</v>
      </c>
      <c r="BI978" t="s">
        <v>126</v>
      </c>
      <c r="BJ978" t="s">
        <v>126</v>
      </c>
      <c r="BK978" t="s">
        <v>126</v>
      </c>
      <c r="BS978" t="s">
        <v>126</v>
      </c>
      <c r="BT978" t="s">
        <v>126</v>
      </c>
      <c r="BU978" t="s">
        <v>126</v>
      </c>
      <c r="BV978" t="s">
        <v>126</v>
      </c>
      <c r="CN978" t="s">
        <v>147</v>
      </c>
      <c r="CP978" t="s">
        <v>469</v>
      </c>
      <c r="CQ978" t="s">
        <v>147</v>
      </c>
    </row>
    <row r="979" spans="1:95" x14ac:dyDescent="0.2">
      <c r="A979" t="s">
        <v>115</v>
      </c>
      <c r="B979" t="s">
        <v>116</v>
      </c>
      <c r="C979">
        <v>210784</v>
      </c>
      <c r="E979" t="s">
        <v>117</v>
      </c>
      <c r="F979">
        <v>368</v>
      </c>
      <c r="G979" t="s">
        <v>141</v>
      </c>
      <c r="H979" t="s">
        <v>142</v>
      </c>
      <c r="I979" t="s">
        <v>279</v>
      </c>
      <c r="J979" t="s">
        <v>280</v>
      </c>
      <c r="L979" t="s">
        <v>474</v>
      </c>
      <c r="M979" s="8">
        <v>45931</v>
      </c>
      <c r="N979">
        <v>5808200</v>
      </c>
      <c r="O979" t="s">
        <v>123</v>
      </c>
      <c r="P979" t="s">
        <v>146</v>
      </c>
      <c r="Q979">
        <v>4.87</v>
      </c>
      <c r="R979" t="s">
        <v>125</v>
      </c>
      <c r="S979" t="s">
        <v>126</v>
      </c>
      <c r="T979" t="s">
        <v>125</v>
      </c>
      <c r="U979" t="s">
        <v>126</v>
      </c>
      <c r="W979">
        <v>4.87</v>
      </c>
      <c r="Y979">
        <v>4.87</v>
      </c>
      <c r="AS979">
        <v>4.87</v>
      </c>
      <c r="BH979" t="s">
        <v>126</v>
      </c>
      <c r="BI979" t="s">
        <v>126</v>
      </c>
      <c r="BJ979" t="s">
        <v>126</v>
      </c>
      <c r="BK979" t="s">
        <v>126</v>
      </c>
      <c r="BS979" t="s">
        <v>126</v>
      </c>
      <c r="BT979" t="s">
        <v>126</v>
      </c>
      <c r="BU979" t="s">
        <v>126</v>
      </c>
      <c r="BV979" t="s">
        <v>126</v>
      </c>
      <c r="CN979" t="s">
        <v>147</v>
      </c>
      <c r="CP979" t="s">
        <v>469</v>
      </c>
      <c r="CQ979" t="s">
        <v>147</v>
      </c>
    </row>
    <row r="980" spans="1:95" x14ac:dyDescent="0.2">
      <c r="A980" t="s">
        <v>115</v>
      </c>
      <c r="B980" t="s">
        <v>116</v>
      </c>
      <c r="C980">
        <v>210784</v>
      </c>
      <c r="E980" t="s">
        <v>117</v>
      </c>
      <c r="F980">
        <v>368</v>
      </c>
      <c r="G980" t="s">
        <v>141</v>
      </c>
      <c r="H980" t="s">
        <v>142</v>
      </c>
      <c r="I980" t="s">
        <v>279</v>
      </c>
      <c r="J980" t="s">
        <v>280</v>
      </c>
      <c r="L980" t="s">
        <v>293</v>
      </c>
      <c r="M980" s="8">
        <v>45931</v>
      </c>
      <c r="N980">
        <v>5811084</v>
      </c>
      <c r="O980" t="s">
        <v>123</v>
      </c>
      <c r="P980" t="s">
        <v>146</v>
      </c>
      <c r="Q980">
        <v>0.56000000000000005</v>
      </c>
      <c r="R980" t="s">
        <v>125</v>
      </c>
      <c r="S980" t="s">
        <v>126</v>
      </c>
      <c r="T980" t="s">
        <v>125</v>
      </c>
      <c r="U980" t="s">
        <v>126</v>
      </c>
      <c r="W980">
        <v>0.56000000000000005</v>
      </c>
      <c r="Y980">
        <v>0.56000000000000005</v>
      </c>
      <c r="AS980">
        <v>0.56000000000000005</v>
      </c>
      <c r="BH980" t="s">
        <v>126</v>
      </c>
      <c r="BI980" t="s">
        <v>126</v>
      </c>
      <c r="BJ980" t="s">
        <v>126</v>
      </c>
      <c r="BK980" t="s">
        <v>126</v>
      </c>
      <c r="BS980" t="s">
        <v>126</v>
      </c>
      <c r="BT980" t="s">
        <v>126</v>
      </c>
      <c r="BU980" t="s">
        <v>126</v>
      </c>
      <c r="BV980" t="s">
        <v>126</v>
      </c>
      <c r="CN980" t="s">
        <v>147</v>
      </c>
      <c r="CP980" t="s">
        <v>469</v>
      </c>
      <c r="CQ980" t="s">
        <v>147</v>
      </c>
    </row>
    <row r="981" spans="1:95" x14ac:dyDescent="0.2">
      <c r="A981" t="s">
        <v>115</v>
      </c>
      <c r="B981" t="s">
        <v>116</v>
      </c>
      <c r="C981">
        <v>210784</v>
      </c>
      <c r="E981" t="s">
        <v>117</v>
      </c>
      <c r="F981">
        <v>368</v>
      </c>
      <c r="G981" t="s">
        <v>141</v>
      </c>
      <c r="H981" t="s">
        <v>142</v>
      </c>
      <c r="I981" t="s">
        <v>279</v>
      </c>
      <c r="J981" t="s">
        <v>280</v>
      </c>
      <c r="L981" t="s">
        <v>475</v>
      </c>
      <c r="M981" s="8">
        <v>45931</v>
      </c>
      <c r="N981">
        <v>5816514</v>
      </c>
      <c r="O981" t="s">
        <v>123</v>
      </c>
      <c r="P981" t="s">
        <v>146</v>
      </c>
      <c r="Q981">
        <v>2.99</v>
      </c>
      <c r="R981" t="s">
        <v>125</v>
      </c>
      <c r="S981" t="s">
        <v>126</v>
      </c>
      <c r="T981" t="s">
        <v>125</v>
      </c>
      <c r="U981" t="s">
        <v>126</v>
      </c>
      <c r="W981">
        <v>2.99</v>
      </c>
      <c r="Y981">
        <v>2.99</v>
      </c>
      <c r="AS981">
        <v>2.99</v>
      </c>
      <c r="BH981" t="s">
        <v>126</v>
      </c>
      <c r="BI981" t="s">
        <v>126</v>
      </c>
      <c r="BJ981" t="s">
        <v>126</v>
      </c>
      <c r="BK981" t="s">
        <v>126</v>
      </c>
      <c r="BS981" t="s">
        <v>126</v>
      </c>
      <c r="BT981" t="s">
        <v>126</v>
      </c>
      <c r="BU981" t="s">
        <v>126</v>
      </c>
      <c r="BV981" t="s">
        <v>126</v>
      </c>
      <c r="CN981" t="s">
        <v>147</v>
      </c>
      <c r="CP981" t="s">
        <v>476</v>
      </c>
      <c r="CQ981" t="s">
        <v>147</v>
      </c>
    </row>
    <row r="982" spans="1:95" x14ac:dyDescent="0.2">
      <c r="A982" t="s">
        <v>115</v>
      </c>
      <c r="B982" t="s">
        <v>116</v>
      </c>
      <c r="C982">
        <v>210784</v>
      </c>
      <c r="E982" t="s">
        <v>117</v>
      </c>
      <c r="F982">
        <v>368</v>
      </c>
      <c r="G982" t="s">
        <v>141</v>
      </c>
      <c r="H982" t="s">
        <v>142</v>
      </c>
      <c r="I982" t="s">
        <v>279</v>
      </c>
      <c r="J982" t="s">
        <v>280</v>
      </c>
      <c r="L982" t="s">
        <v>477</v>
      </c>
      <c r="M982" s="8">
        <v>45931</v>
      </c>
      <c r="N982">
        <v>5816883</v>
      </c>
      <c r="O982" t="s">
        <v>123</v>
      </c>
      <c r="P982" t="s">
        <v>146</v>
      </c>
      <c r="Q982">
        <v>1.68</v>
      </c>
      <c r="R982" t="s">
        <v>125</v>
      </c>
      <c r="S982" t="s">
        <v>126</v>
      </c>
      <c r="T982" t="s">
        <v>125</v>
      </c>
      <c r="U982" t="s">
        <v>126</v>
      </c>
      <c r="W982">
        <v>1.68</v>
      </c>
      <c r="Y982">
        <v>1.68</v>
      </c>
      <c r="AS982">
        <v>1.68</v>
      </c>
      <c r="BH982" t="s">
        <v>126</v>
      </c>
      <c r="BI982" t="s">
        <v>126</v>
      </c>
      <c r="BJ982" t="s">
        <v>126</v>
      </c>
      <c r="BK982" t="s">
        <v>126</v>
      </c>
      <c r="BS982" t="s">
        <v>126</v>
      </c>
      <c r="BT982" t="s">
        <v>126</v>
      </c>
      <c r="BU982" t="s">
        <v>126</v>
      </c>
      <c r="BV982" t="s">
        <v>126</v>
      </c>
      <c r="CN982" t="s">
        <v>147</v>
      </c>
      <c r="CP982" t="s">
        <v>476</v>
      </c>
      <c r="CQ982" t="s">
        <v>147</v>
      </c>
    </row>
    <row r="983" spans="1:95" x14ac:dyDescent="0.2">
      <c r="A983" t="s">
        <v>115</v>
      </c>
      <c r="B983" t="s">
        <v>116</v>
      </c>
      <c r="C983">
        <v>210784</v>
      </c>
      <c r="E983" t="s">
        <v>117</v>
      </c>
      <c r="F983">
        <v>368</v>
      </c>
      <c r="G983" t="s">
        <v>141</v>
      </c>
      <c r="H983" t="s">
        <v>142</v>
      </c>
      <c r="I983" t="s">
        <v>279</v>
      </c>
      <c r="J983" t="s">
        <v>280</v>
      </c>
      <c r="L983" t="s">
        <v>478</v>
      </c>
      <c r="M983" s="8">
        <v>45931</v>
      </c>
      <c r="N983">
        <v>5819496</v>
      </c>
      <c r="O983" t="s">
        <v>123</v>
      </c>
      <c r="P983" t="s">
        <v>146</v>
      </c>
      <c r="Q983">
        <v>2.73</v>
      </c>
      <c r="R983" t="s">
        <v>125</v>
      </c>
      <c r="S983" t="s">
        <v>126</v>
      </c>
      <c r="T983" t="s">
        <v>125</v>
      </c>
      <c r="U983" t="s">
        <v>126</v>
      </c>
      <c r="W983">
        <v>2.73</v>
      </c>
      <c r="Y983">
        <v>2.73</v>
      </c>
      <c r="AS983">
        <v>2.73</v>
      </c>
      <c r="BH983" t="s">
        <v>126</v>
      </c>
      <c r="BI983" t="s">
        <v>126</v>
      </c>
      <c r="BJ983" t="s">
        <v>126</v>
      </c>
      <c r="BK983" t="s">
        <v>126</v>
      </c>
      <c r="BS983" t="s">
        <v>126</v>
      </c>
      <c r="BT983" t="s">
        <v>126</v>
      </c>
      <c r="BU983" t="s">
        <v>126</v>
      </c>
      <c r="BV983" t="s">
        <v>126</v>
      </c>
      <c r="CN983" t="s">
        <v>147</v>
      </c>
      <c r="CP983" t="s">
        <v>476</v>
      </c>
      <c r="CQ983" t="s">
        <v>147</v>
      </c>
    </row>
    <row r="984" spans="1:95" x14ac:dyDescent="0.2">
      <c r="A984" t="s">
        <v>115</v>
      </c>
      <c r="B984" t="s">
        <v>116</v>
      </c>
      <c r="C984">
        <v>210784</v>
      </c>
      <c r="E984" t="s">
        <v>117</v>
      </c>
      <c r="F984">
        <v>368</v>
      </c>
      <c r="G984" t="s">
        <v>141</v>
      </c>
      <c r="H984" t="s">
        <v>142</v>
      </c>
      <c r="I984" t="s">
        <v>279</v>
      </c>
      <c r="J984" t="s">
        <v>280</v>
      </c>
      <c r="L984" t="s">
        <v>471</v>
      </c>
      <c r="M984" s="8">
        <v>45931</v>
      </c>
      <c r="N984">
        <v>5802518</v>
      </c>
      <c r="O984" t="s">
        <v>123</v>
      </c>
      <c r="P984" t="s">
        <v>146</v>
      </c>
      <c r="Q984">
        <v>5.04</v>
      </c>
      <c r="R984" t="s">
        <v>574</v>
      </c>
      <c r="S984" t="s">
        <v>126</v>
      </c>
      <c r="T984" t="s">
        <v>574</v>
      </c>
      <c r="U984" t="s">
        <v>575</v>
      </c>
      <c r="W984">
        <v>1.55</v>
      </c>
      <c r="X984">
        <v>3.49</v>
      </c>
      <c r="Y984">
        <v>5.04</v>
      </c>
      <c r="Z984">
        <v>1.92</v>
      </c>
      <c r="AG984">
        <v>1.55</v>
      </c>
      <c r="AI984">
        <v>1.57</v>
      </c>
      <c r="BH984" t="s">
        <v>126</v>
      </c>
      <c r="BI984" t="s">
        <v>126</v>
      </c>
      <c r="BJ984" t="s">
        <v>126</v>
      </c>
      <c r="BK984" t="s">
        <v>126</v>
      </c>
      <c r="BS984" t="s">
        <v>126</v>
      </c>
      <c r="BT984" t="s">
        <v>126</v>
      </c>
      <c r="BU984" t="s">
        <v>126</v>
      </c>
      <c r="BV984" t="s">
        <v>126</v>
      </c>
      <c r="CN984" t="s">
        <v>147</v>
      </c>
      <c r="CP984" t="s">
        <v>469</v>
      </c>
      <c r="CQ984" t="s">
        <v>147</v>
      </c>
    </row>
    <row r="985" spans="1:95" x14ac:dyDescent="0.2">
      <c r="A985" t="s">
        <v>115</v>
      </c>
      <c r="B985" t="s">
        <v>116</v>
      </c>
      <c r="C985">
        <v>210784</v>
      </c>
      <c r="E985" t="s">
        <v>117</v>
      </c>
      <c r="F985">
        <v>368</v>
      </c>
      <c r="G985" t="s">
        <v>141</v>
      </c>
      <c r="H985" t="s">
        <v>142</v>
      </c>
      <c r="I985" t="s">
        <v>279</v>
      </c>
      <c r="J985" t="s">
        <v>280</v>
      </c>
      <c r="L985" t="s">
        <v>472</v>
      </c>
      <c r="M985" s="8">
        <v>45931</v>
      </c>
      <c r="N985">
        <v>5803928</v>
      </c>
      <c r="O985" t="s">
        <v>123</v>
      </c>
      <c r="P985" t="s">
        <v>146</v>
      </c>
      <c r="Q985">
        <v>4.29</v>
      </c>
      <c r="R985" t="s">
        <v>569</v>
      </c>
      <c r="S985" t="s">
        <v>126</v>
      </c>
      <c r="T985" t="s">
        <v>569</v>
      </c>
      <c r="U985" t="s">
        <v>570</v>
      </c>
      <c r="W985">
        <v>1.32</v>
      </c>
      <c r="X985">
        <v>2.9699999999999998</v>
      </c>
      <c r="Y985">
        <v>4.29</v>
      </c>
      <c r="Z985">
        <v>1.63</v>
      </c>
      <c r="AG985">
        <v>1.32</v>
      </c>
      <c r="AI985">
        <v>1.34</v>
      </c>
      <c r="BH985" t="s">
        <v>126</v>
      </c>
      <c r="BI985" t="s">
        <v>126</v>
      </c>
      <c r="BJ985" t="s">
        <v>126</v>
      </c>
      <c r="BK985" t="s">
        <v>126</v>
      </c>
      <c r="BS985" t="s">
        <v>126</v>
      </c>
      <c r="BT985" t="s">
        <v>126</v>
      </c>
      <c r="BU985" t="s">
        <v>126</v>
      </c>
      <c r="BV985" t="s">
        <v>126</v>
      </c>
      <c r="CN985" t="s">
        <v>147</v>
      </c>
      <c r="CP985" t="s">
        <v>469</v>
      </c>
      <c r="CQ985" t="s">
        <v>147</v>
      </c>
    </row>
    <row r="986" spans="1:95" x14ac:dyDescent="0.2">
      <c r="A986" t="s">
        <v>115</v>
      </c>
      <c r="B986" t="s">
        <v>116</v>
      </c>
      <c r="C986">
        <v>210784</v>
      </c>
      <c r="E986" t="s">
        <v>117</v>
      </c>
      <c r="F986">
        <v>368</v>
      </c>
      <c r="G986" t="s">
        <v>141</v>
      </c>
      <c r="H986" t="s">
        <v>142</v>
      </c>
      <c r="I986" t="s">
        <v>279</v>
      </c>
      <c r="J986" t="s">
        <v>280</v>
      </c>
      <c r="L986" t="s">
        <v>749</v>
      </c>
      <c r="M986" s="8">
        <v>45931</v>
      </c>
      <c r="N986">
        <v>5805910</v>
      </c>
      <c r="O986" t="s">
        <v>123</v>
      </c>
      <c r="P986" t="s">
        <v>146</v>
      </c>
      <c r="Q986">
        <v>5.8900000000000006</v>
      </c>
      <c r="R986" t="s">
        <v>710</v>
      </c>
      <c r="S986" t="s">
        <v>126</v>
      </c>
      <c r="T986" t="s">
        <v>710</v>
      </c>
      <c r="U986" t="s">
        <v>711</v>
      </c>
      <c r="W986">
        <v>1.82</v>
      </c>
      <c r="X986">
        <v>4.07</v>
      </c>
      <c r="Y986">
        <v>5.8900000000000006</v>
      </c>
      <c r="Z986">
        <v>2.2400000000000002</v>
      </c>
      <c r="AG986">
        <v>1.82</v>
      </c>
      <c r="AI986">
        <v>1.83</v>
      </c>
      <c r="BH986" t="s">
        <v>126</v>
      </c>
      <c r="BI986" t="s">
        <v>126</v>
      </c>
      <c r="BJ986" t="s">
        <v>126</v>
      </c>
      <c r="BK986" t="s">
        <v>126</v>
      </c>
      <c r="BS986" t="s">
        <v>126</v>
      </c>
      <c r="BT986" t="s">
        <v>126</v>
      </c>
      <c r="BU986" t="s">
        <v>126</v>
      </c>
      <c r="BV986" t="s">
        <v>126</v>
      </c>
      <c r="CN986" t="s">
        <v>147</v>
      </c>
      <c r="CP986" t="s">
        <v>469</v>
      </c>
      <c r="CQ986" t="s">
        <v>147</v>
      </c>
    </row>
    <row r="987" spans="1:95" x14ac:dyDescent="0.2">
      <c r="A987" t="s">
        <v>115</v>
      </c>
      <c r="B987" t="s">
        <v>116</v>
      </c>
      <c r="C987">
        <v>210784</v>
      </c>
      <c r="E987" t="s">
        <v>117</v>
      </c>
      <c r="F987">
        <v>368</v>
      </c>
      <c r="G987" t="s">
        <v>141</v>
      </c>
      <c r="H987" t="s">
        <v>142</v>
      </c>
      <c r="I987" t="s">
        <v>279</v>
      </c>
      <c r="J987" t="s">
        <v>280</v>
      </c>
      <c r="L987" t="s">
        <v>750</v>
      </c>
      <c r="M987" s="8">
        <v>45931</v>
      </c>
      <c r="N987">
        <v>5806673</v>
      </c>
      <c r="O987" t="s">
        <v>123</v>
      </c>
      <c r="P987" t="s">
        <v>146</v>
      </c>
      <c r="Q987">
        <v>2.75</v>
      </c>
      <c r="R987" t="s">
        <v>644</v>
      </c>
      <c r="S987" t="s">
        <v>126</v>
      </c>
      <c r="T987" t="s">
        <v>644</v>
      </c>
      <c r="U987" t="s">
        <v>645</v>
      </c>
      <c r="W987">
        <v>0.85</v>
      </c>
      <c r="X987">
        <v>1.9</v>
      </c>
      <c r="Y987">
        <v>2.75</v>
      </c>
      <c r="Z987">
        <v>1.04</v>
      </c>
      <c r="AG987">
        <v>0.85</v>
      </c>
      <c r="AI987">
        <v>0.86</v>
      </c>
      <c r="BH987" t="s">
        <v>126</v>
      </c>
      <c r="BI987" t="s">
        <v>126</v>
      </c>
      <c r="BJ987" t="s">
        <v>126</v>
      </c>
      <c r="BK987" t="s">
        <v>126</v>
      </c>
      <c r="BS987" t="s">
        <v>126</v>
      </c>
      <c r="BT987" t="s">
        <v>126</v>
      </c>
      <c r="BU987" t="s">
        <v>126</v>
      </c>
      <c r="BV987" t="s">
        <v>126</v>
      </c>
      <c r="CN987" t="s">
        <v>147</v>
      </c>
      <c r="CP987" t="s">
        <v>469</v>
      </c>
      <c r="CQ987" t="s">
        <v>147</v>
      </c>
    </row>
    <row r="988" spans="1:95" x14ac:dyDescent="0.2">
      <c r="A988" t="s">
        <v>115</v>
      </c>
      <c r="B988" t="s">
        <v>116</v>
      </c>
      <c r="C988">
        <v>210784</v>
      </c>
      <c r="E988" t="s">
        <v>117</v>
      </c>
      <c r="F988">
        <v>368</v>
      </c>
      <c r="G988" t="s">
        <v>141</v>
      </c>
      <c r="H988" t="s">
        <v>142</v>
      </c>
      <c r="I988" t="s">
        <v>279</v>
      </c>
      <c r="J988" t="s">
        <v>280</v>
      </c>
      <c r="L988" t="s">
        <v>750</v>
      </c>
      <c r="M988" s="8">
        <v>45931</v>
      </c>
      <c r="N988">
        <v>5806754</v>
      </c>
      <c r="O988" t="s">
        <v>123</v>
      </c>
      <c r="P988" t="s">
        <v>146</v>
      </c>
      <c r="Q988">
        <v>1.8574999999999999</v>
      </c>
      <c r="R988" t="s">
        <v>586</v>
      </c>
      <c r="S988" t="s">
        <v>126</v>
      </c>
      <c r="T988" t="s">
        <v>586</v>
      </c>
      <c r="U988" t="s">
        <v>587</v>
      </c>
      <c r="W988">
        <v>0.56999999999999995</v>
      </c>
      <c r="X988">
        <v>1.2875000000000001</v>
      </c>
      <c r="Y988">
        <v>1.8574999999999999</v>
      </c>
      <c r="Z988">
        <v>0.70750000000000002</v>
      </c>
      <c r="AG988">
        <v>0.56999999999999995</v>
      </c>
      <c r="AI988">
        <v>0.57999999999999996</v>
      </c>
      <c r="BH988" t="s">
        <v>126</v>
      </c>
      <c r="BI988" t="s">
        <v>126</v>
      </c>
      <c r="BJ988" t="s">
        <v>126</v>
      </c>
      <c r="BK988" t="s">
        <v>126</v>
      </c>
      <c r="BS988" t="s">
        <v>126</v>
      </c>
      <c r="BT988" t="s">
        <v>126</v>
      </c>
      <c r="BU988" t="s">
        <v>126</v>
      </c>
      <c r="BV988" t="s">
        <v>126</v>
      </c>
      <c r="CN988" t="s">
        <v>147</v>
      </c>
      <c r="CP988" t="s">
        <v>469</v>
      </c>
      <c r="CQ988" t="s">
        <v>147</v>
      </c>
    </row>
    <row r="989" spans="1:95" x14ac:dyDescent="0.2">
      <c r="A989" t="s">
        <v>115</v>
      </c>
      <c r="B989" t="s">
        <v>116</v>
      </c>
      <c r="C989">
        <v>210784</v>
      </c>
      <c r="E989" t="s">
        <v>117</v>
      </c>
      <c r="F989">
        <v>368</v>
      </c>
      <c r="G989" t="s">
        <v>141</v>
      </c>
      <c r="H989" t="s">
        <v>142</v>
      </c>
      <c r="I989" t="s">
        <v>279</v>
      </c>
      <c r="J989" t="s">
        <v>280</v>
      </c>
      <c r="L989" t="s">
        <v>294</v>
      </c>
      <c r="M989" s="8">
        <v>45931</v>
      </c>
      <c r="N989">
        <v>5812367</v>
      </c>
      <c r="O989" t="s">
        <v>123</v>
      </c>
      <c r="P989" t="s">
        <v>146</v>
      </c>
      <c r="Q989">
        <v>2.6657000000000002</v>
      </c>
      <c r="R989" t="s">
        <v>751</v>
      </c>
      <c r="S989" t="s">
        <v>126</v>
      </c>
      <c r="T989" t="s">
        <v>751</v>
      </c>
      <c r="U989" t="s">
        <v>752</v>
      </c>
      <c r="W989">
        <v>0.82</v>
      </c>
      <c r="X989">
        <v>1.8456999999999999</v>
      </c>
      <c r="Y989">
        <v>2.6657000000000002</v>
      </c>
      <c r="Z989">
        <v>1.0157</v>
      </c>
      <c r="AG989">
        <v>0.82</v>
      </c>
      <c r="AI989">
        <v>0.83</v>
      </c>
      <c r="BH989" t="s">
        <v>126</v>
      </c>
      <c r="BI989" t="s">
        <v>126</v>
      </c>
      <c r="BJ989" t="s">
        <v>126</v>
      </c>
      <c r="BK989" t="s">
        <v>126</v>
      </c>
      <c r="BS989" t="s">
        <v>126</v>
      </c>
      <c r="BT989" t="s">
        <v>126</v>
      </c>
      <c r="BU989" t="s">
        <v>126</v>
      </c>
      <c r="BV989" t="s">
        <v>126</v>
      </c>
      <c r="CN989" t="s">
        <v>147</v>
      </c>
      <c r="CP989" t="s">
        <v>469</v>
      </c>
      <c r="CQ989" t="s">
        <v>147</v>
      </c>
    </row>
    <row r="990" spans="1:95" x14ac:dyDescent="0.2">
      <c r="A990" t="s">
        <v>115</v>
      </c>
      <c r="B990" t="s">
        <v>116</v>
      </c>
      <c r="C990">
        <v>210784</v>
      </c>
      <c r="E990" t="s">
        <v>117</v>
      </c>
      <c r="F990">
        <v>368</v>
      </c>
      <c r="G990" t="s">
        <v>141</v>
      </c>
      <c r="H990" t="s">
        <v>142</v>
      </c>
      <c r="I990" t="s">
        <v>279</v>
      </c>
      <c r="J990" t="s">
        <v>280</v>
      </c>
      <c r="L990" t="s">
        <v>753</v>
      </c>
      <c r="M990" s="8">
        <v>45931</v>
      </c>
      <c r="N990">
        <v>5810880</v>
      </c>
      <c r="O990" t="s">
        <v>123</v>
      </c>
      <c r="P990" t="s">
        <v>146</v>
      </c>
      <c r="Q990">
        <v>2.0299999999999998</v>
      </c>
      <c r="R990" t="s">
        <v>620</v>
      </c>
      <c r="S990" t="s">
        <v>126</v>
      </c>
      <c r="T990" t="s">
        <v>620</v>
      </c>
      <c r="U990" t="s">
        <v>621</v>
      </c>
      <c r="W990">
        <v>0.63</v>
      </c>
      <c r="X990">
        <v>1.4</v>
      </c>
      <c r="Y990">
        <v>2.0299999999999998</v>
      </c>
      <c r="Z990">
        <v>0.77</v>
      </c>
      <c r="AG990">
        <v>0.63</v>
      </c>
      <c r="AI990">
        <v>0.63</v>
      </c>
      <c r="BH990" t="s">
        <v>126</v>
      </c>
      <c r="BI990" t="s">
        <v>126</v>
      </c>
      <c r="BJ990" t="s">
        <v>126</v>
      </c>
      <c r="BK990" t="s">
        <v>126</v>
      </c>
      <c r="BS990" t="s">
        <v>126</v>
      </c>
      <c r="BT990" t="s">
        <v>126</v>
      </c>
      <c r="BU990" t="s">
        <v>126</v>
      </c>
      <c r="BV990" t="s">
        <v>126</v>
      </c>
      <c r="CN990" t="s">
        <v>147</v>
      </c>
      <c r="CP990" t="s">
        <v>469</v>
      </c>
      <c r="CQ990" t="s">
        <v>147</v>
      </c>
    </row>
    <row r="991" spans="1:95" x14ac:dyDescent="0.2">
      <c r="A991" t="s">
        <v>115</v>
      </c>
      <c r="B991" t="s">
        <v>116</v>
      </c>
      <c r="C991">
        <v>210784</v>
      </c>
      <c r="E991" t="s">
        <v>117</v>
      </c>
      <c r="F991">
        <v>368</v>
      </c>
      <c r="G991" t="s">
        <v>141</v>
      </c>
      <c r="H991" t="s">
        <v>142</v>
      </c>
      <c r="I991" t="s">
        <v>279</v>
      </c>
      <c r="J991" t="s">
        <v>280</v>
      </c>
      <c r="L991" t="s">
        <v>293</v>
      </c>
      <c r="M991" s="8">
        <v>45931</v>
      </c>
      <c r="N991">
        <v>5811398</v>
      </c>
      <c r="O991" t="s">
        <v>123</v>
      </c>
      <c r="P991" t="s">
        <v>146</v>
      </c>
      <c r="Q991">
        <v>1.75</v>
      </c>
      <c r="R991" t="s">
        <v>567</v>
      </c>
      <c r="S991" t="s">
        <v>126</v>
      </c>
      <c r="T991" t="s">
        <v>567</v>
      </c>
      <c r="U991" t="s">
        <v>568</v>
      </c>
      <c r="W991">
        <v>0.54</v>
      </c>
      <c r="X991">
        <v>1.21</v>
      </c>
      <c r="Y991">
        <v>1.75</v>
      </c>
      <c r="Z991">
        <v>0.67</v>
      </c>
      <c r="AG991">
        <v>0.54</v>
      </c>
      <c r="AI991">
        <v>0.54</v>
      </c>
      <c r="BH991" t="s">
        <v>126</v>
      </c>
      <c r="BI991" t="s">
        <v>126</v>
      </c>
      <c r="BJ991" t="s">
        <v>126</v>
      </c>
      <c r="BK991" t="s">
        <v>126</v>
      </c>
      <c r="BS991" t="s">
        <v>126</v>
      </c>
      <c r="BT991" t="s">
        <v>126</v>
      </c>
      <c r="BU991" t="s">
        <v>126</v>
      </c>
      <c r="BV991" t="s">
        <v>126</v>
      </c>
      <c r="CN991" t="s">
        <v>147</v>
      </c>
      <c r="CP991" t="s">
        <v>469</v>
      </c>
      <c r="CQ991" t="s">
        <v>147</v>
      </c>
    </row>
    <row r="992" spans="1:95" x14ac:dyDescent="0.2">
      <c r="A992" t="s">
        <v>115</v>
      </c>
      <c r="B992" t="s">
        <v>116</v>
      </c>
      <c r="C992">
        <v>210784</v>
      </c>
      <c r="E992" t="s">
        <v>117</v>
      </c>
      <c r="F992">
        <v>368</v>
      </c>
      <c r="G992" t="s">
        <v>141</v>
      </c>
      <c r="H992" t="s">
        <v>142</v>
      </c>
      <c r="I992" t="s">
        <v>279</v>
      </c>
      <c r="J992" t="s">
        <v>280</v>
      </c>
      <c r="L992" t="s">
        <v>293</v>
      </c>
      <c r="M992" s="8">
        <v>45931</v>
      </c>
      <c r="N992">
        <v>5811416</v>
      </c>
      <c r="O992" t="s">
        <v>123</v>
      </c>
      <c r="P992" t="s">
        <v>146</v>
      </c>
      <c r="Q992">
        <v>0.1295</v>
      </c>
      <c r="R992" t="s">
        <v>598</v>
      </c>
      <c r="S992" t="s">
        <v>126</v>
      </c>
      <c r="T992" t="s">
        <v>598</v>
      </c>
      <c r="U992" t="s">
        <v>599</v>
      </c>
      <c r="W992">
        <v>0.04</v>
      </c>
      <c r="X992">
        <v>8.9499999999999996E-2</v>
      </c>
      <c r="Y992">
        <v>0.1295</v>
      </c>
      <c r="Z992">
        <v>4.9500000000000002E-2</v>
      </c>
      <c r="AG992">
        <v>0.04</v>
      </c>
      <c r="AI992">
        <v>0.04</v>
      </c>
      <c r="BH992" t="s">
        <v>126</v>
      </c>
      <c r="BI992" t="s">
        <v>126</v>
      </c>
      <c r="BJ992" t="s">
        <v>126</v>
      </c>
      <c r="BK992" t="s">
        <v>126</v>
      </c>
      <c r="BS992" t="s">
        <v>126</v>
      </c>
      <c r="BT992" t="s">
        <v>126</v>
      </c>
      <c r="BU992" t="s">
        <v>126</v>
      </c>
      <c r="BV992" t="s">
        <v>126</v>
      </c>
      <c r="CN992" t="s">
        <v>147</v>
      </c>
      <c r="CP992" t="s">
        <v>469</v>
      </c>
      <c r="CQ992" t="s">
        <v>147</v>
      </c>
    </row>
    <row r="993" spans="1:95" x14ac:dyDescent="0.2">
      <c r="A993" t="s">
        <v>115</v>
      </c>
      <c r="B993" t="s">
        <v>116</v>
      </c>
      <c r="C993">
        <v>210784</v>
      </c>
      <c r="E993" t="s">
        <v>117</v>
      </c>
      <c r="F993">
        <v>368</v>
      </c>
      <c r="G993" t="s">
        <v>141</v>
      </c>
      <c r="H993" t="s">
        <v>142</v>
      </c>
      <c r="I993" t="s">
        <v>279</v>
      </c>
      <c r="J993" t="s">
        <v>280</v>
      </c>
      <c r="L993" t="s">
        <v>293</v>
      </c>
      <c r="M993" s="8">
        <v>45931</v>
      </c>
      <c r="N993">
        <v>5811599</v>
      </c>
      <c r="O993" t="s">
        <v>123</v>
      </c>
      <c r="P993" t="s">
        <v>146</v>
      </c>
      <c r="Q993">
        <v>5.7610999999999999</v>
      </c>
      <c r="R993" t="s">
        <v>710</v>
      </c>
      <c r="S993" t="s">
        <v>126</v>
      </c>
      <c r="T993" t="s">
        <v>710</v>
      </c>
      <c r="U993" t="s">
        <v>711</v>
      </c>
      <c r="W993">
        <v>1.78</v>
      </c>
      <c r="X993">
        <v>3.9811000000000001</v>
      </c>
      <c r="Y993">
        <v>5.7610999999999999</v>
      </c>
      <c r="Z993">
        <v>2.1911</v>
      </c>
      <c r="AG993">
        <v>1.78</v>
      </c>
      <c r="AI993">
        <v>1.79</v>
      </c>
      <c r="BH993" t="s">
        <v>126</v>
      </c>
      <c r="BI993" t="s">
        <v>126</v>
      </c>
      <c r="BJ993" t="s">
        <v>126</v>
      </c>
      <c r="BK993" t="s">
        <v>126</v>
      </c>
      <c r="BS993" t="s">
        <v>126</v>
      </c>
      <c r="BT993" t="s">
        <v>126</v>
      </c>
      <c r="BU993" t="s">
        <v>126</v>
      </c>
      <c r="BV993" t="s">
        <v>126</v>
      </c>
      <c r="CN993" t="s">
        <v>147</v>
      </c>
      <c r="CP993" t="s">
        <v>469</v>
      </c>
      <c r="CQ993" t="s">
        <v>147</v>
      </c>
    </row>
    <row r="994" spans="1:95" x14ac:dyDescent="0.2">
      <c r="A994" t="s">
        <v>115</v>
      </c>
      <c r="B994" t="s">
        <v>116</v>
      </c>
      <c r="C994">
        <v>210784</v>
      </c>
      <c r="E994" t="s">
        <v>117</v>
      </c>
      <c r="F994">
        <v>368</v>
      </c>
      <c r="G994" t="s">
        <v>141</v>
      </c>
      <c r="H994" t="s">
        <v>142</v>
      </c>
      <c r="I994" t="s">
        <v>279</v>
      </c>
      <c r="J994" t="s">
        <v>280</v>
      </c>
      <c r="L994" t="s">
        <v>293</v>
      </c>
      <c r="M994" s="8">
        <v>45931</v>
      </c>
      <c r="N994">
        <v>5811410</v>
      </c>
      <c r="O994" t="s">
        <v>123</v>
      </c>
      <c r="P994" t="s">
        <v>146</v>
      </c>
      <c r="Q994">
        <v>2.8540999999999999</v>
      </c>
      <c r="R994" t="s">
        <v>754</v>
      </c>
      <c r="S994" t="s">
        <v>126</v>
      </c>
      <c r="T994" t="s">
        <v>754</v>
      </c>
      <c r="U994" t="s">
        <v>755</v>
      </c>
      <c r="W994">
        <v>0.89</v>
      </c>
      <c r="X994">
        <v>1.9641000000000002</v>
      </c>
      <c r="Y994">
        <v>2.8540999999999999</v>
      </c>
      <c r="Z994">
        <v>1.0841000000000001</v>
      </c>
      <c r="AG994">
        <v>0.89</v>
      </c>
      <c r="AI994">
        <v>0.88</v>
      </c>
      <c r="BH994" t="s">
        <v>126</v>
      </c>
      <c r="BI994" t="s">
        <v>126</v>
      </c>
      <c r="BJ994" t="s">
        <v>126</v>
      </c>
      <c r="BK994" t="s">
        <v>126</v>
      </c>
      <c r="BS994" t="s">
        <v>126</v>
      </c>
      <c r="BT994" t="s">
        <v>126</v>
      </c>
      <c r="BU994" t="s">
        <v>126</v>
      </c>
      <c r="BV994" t="s">
        <v>126</v>
      </c>
      <c r="CN994" t="s">
        <v>147</v>
      </c>
      <c r="CP994" t="s">
        <v>469</v>
      </c>
      <c r="CQ994" t="s">
        <v>147</v>
      </c>
    </row>
    <row r="995" spans="1:95" x14ac:dyDescent="0.2">
      <c r="A995" t="s">
        <v>115</v>
      </c>
      <c r="B995" t="s">
        <v>116</v>
      </c>
      <c r="C995">
        <v>210784</v>
      </c>
      <c r="E995" t="s">
        <v>117</v>
      </c>
      <c r="F995">
        <v>368</v>
      </c>
      <c r="G995" t="s">
        <v>141</v>
      </c>
      <c r="H995" t="s">
        <v>142</v>
      </c>
      <c r="I995" t="s">
        <v>279</v>
      </c>
      <c r="J995" t="s">
        <v>280</v>
      </c>
      <c r="L995" t="s">
        <v>294</v>
      </c>
      <c r="M995" s="8">
        <v>45931</v>
      </c>
      <c r="N995">
        <v>5812455</v>
      </c>
      <c r="O995" t="s">
        <v>123</v>
      </c>
      <c r="P995" t="s">
        <v>146</v>
      </c>
      <c r="Q995">
        <v>4.6802999999999999</v>
      </c>
      <c r="R995" t="s">
        <v>756</v>
      </c>
      <c r="S995" t="s">
        <v>126</v>
      </c>
      <c r="T995" t="s">
        <v>756</v>
      </c>
      <c r="U995" t="s">
        <v>757</v>
      </c>
      <c r="W995">
        <v>1.45</v>
      </c>
      <c r="X995">
        <v>3.2302999999999997</v>
      </c>
      <c r="Y995">
        <v>4.6802999999999999</v>
      </c>
      <c r="Z995">
        <v>1.7803</v>
      </c>
      <c r="AG995">
        <v>1.45</v>
      </c>
      <c r="AI995">
        <v>1.45</v>
      </c>
      <c r="BH995" t="s">
        <v>126</v>
      </c>
      <c r="BI995" t="s">
        <v>126</v>
      </c>
      <c r="BJ995" t="s">
        <v>126</v>
      </c>
      <c r="BK995" t="s">
        <v>126</v>
      </c>
      <c r="BS995" t="s">
        <v>126</v>
      </c>
      <c r="BT995" t="s">
        <v>126</v>
      </c>
      <c r="BU995" t="s">
        <v>126</v>
      </c>
      <c r="BV995" t="s">
        <v>126</v>
      </c>
      <c r="CN995" t="s">
        <v>147</v>
      </c>
      <c r="CP995" t="s">
        <v>469</v>
      </c>
      <c r="CQ995" t="s">
        <v>147</v>
      </c>
    </row>
    <row r="996" spans="1:95" x14ac:dyDescent="0.2">
      <c r="A996" t="s">
        <v>115</v>
      </c>
      <c r="B996" t="s">
        <v>116</v>
      </c>
      <c r="C996">
        <v>210784</v>
      </c>
      <c r="E996" t="s">
        <v>117</v>
      </c>
      <c r="F996">
        <v>368</v>
      </c>
      <c r="G996" t="s">
        <v>141</v>
      </c>
      <c r="H996" t="s">
        <v>142</v>
      </c>
      <c r="I996" t="s">
        <v>279</v>
      </c>
      <c r="J996" t="s">
        <v>280</v>
      </c>
      <c r="L996" t="s">
        <v>295</v>
      </c>
      <c r="M996" s="8">
        <v>45931</v>
      </c>
      <c r="N996">
        <v>5814936</v>
      </c>
      <c r="O996" t="s">
        <v>123</v>
      </c>
      <c r="P996" t="s">
        <v>146</v>
      </c>
      <c r="Q996">
        <v>4.5683999999999996</v>
      </c>
      <c r="R996" t="s">
        <v>567</v>
      </c>
      <c r="S996" t="s">
        <v>126</v>
      </c>
      <c r="T996" t="s">
        <v>567</v>
      </c>
      <c r="U996" t="s">
        <v>568</v>
      </c>
      <c r="W996">
        <v>1.41</v>
      </c>
      <c r="X996">
        <v>3.1583999999999999</v>
      </c>
      <c r="Y996">
        <v>4.5683999999999996</v>
      </c>
      <c r="Z996">
        <v>1.7383999999999999</v>
      </c>
      <c r="AG996">
        <v>1.41</v>
      </c>
      <c r="AI996">
        <v>1.42</v>
      </c>
      <c r="BH996" t="s">
        <v>126</v>
      </c>
      <c r="BI996" t="s">
        <v>126</v>
      </c>
      <c r="BJ996" t="s">
        <v>126</v>
      </c>
      <c r="BK996" t="s">
        <v>126</v>
      </c>
      <c r="BS996" t="s">
        <v>126</v>
      </c>
      <c r="BT996" t="s">
        <v>126</v>
      </c>
      <c r="BU996" t="s">
        <v>126</v>
      </c>
      <c r="BV996" t="s">
        <v>126</v>
      </c>
      <c r="CN996" t="s">
        <v>147</v>
      </c>
      <c r="CP996" t="s">
        <v>476</v>
      </c>
      <c r="CQ996" t="s">
        <v>147</v>
      </c>
    </row>
    <row r="997" spans="1:95" x14ac:dyDescent="0.2">
      <c r="A997" t="s">
        <v>115</v>
      </c>
      <c r="B997" t="s">
        <v>116</v>
      </c>
      <c r="C997">
        <v>210784</v>
      </c>
      <c r="E997" t="s">
        <v>117</v>
      </c>
      <c r="F997">
        <v>368</v>
      </c>
      <c r="G997" t="s">
        <v>141</v>
      </c>
      <c r="H997" t="s">
        <v>142</v>
      </c>
      <c r="I997" t="s">
        <v>279</v>
      </c>
      <c r="J997" t="s">
        <v>280</v>
      </c>
      <c r="L997" t="s">
        <v>295</v>
      </c>
      <c r="M997" s="8">
        <v>45931</v>
      </c>
      <c r="N997">
        <v>5815064</v>
      </c>
      <c r="O997" t="s">
        <v>123</v>
      </c>
      <c r="P997" t="s">
        <v>146</v>
      </c>
      <c r="Q997">
        <v>2.8264999999999998</v>
      </c>
      <c r="R997" t="s">
        <v>683</v>
      </c>
      <c r="S997" t="s">
        <v>126</v>
      </c>
      <c r="T997" t="s">
        <v>683</v>
      </c>
      <c r="U997" t="s">
        <v>684</v>
      </c>
      <c r="W997">
        <v>0.87</v>
      </c>
      <c r="X997">
        <v>1.9565000000000001</v>
      </c>
      <c r="Y997">
        <v>2.8264999999999998</v>
      </c>
      <c r="Z997">
        <v>1.0765</v>
      </c>
      <c r="AG997">
        <v>0.87</v>
      </c>
      <c r="AI997">
        <v>0.88</v>
      </c>
      <c r="BH997" t="s">
        <v>126</v>
      </c>
      <c r="BI997" t="s">
        <v>126</v>
      </c>
      <c r="BJ997" t="s">
        <v>126</v>
      </c>
      <c r="BK997" t="s">
        <v>126</v>
      </c>
      <c r="BS997" t="s">
        <v>126</v>
      </c>
      <c r="BT997" t="s">
        <v>126</v>
      </c>
      <c r="BU997" t="s">
        <v>126</v>
      </c>
      <c r="BV997" t="s">
        <v>126</v>
      </c>
      <c r="CN997" t="s">
        <v>147</v>
      </c>
      <c r="CP997" t="s">
        <v>476</v>
      </c>
      <c r="CQ997" t="s">
        <v>147</v>
      </c>
    </row>
    <row r="998" spans="1:95" x14ac:dyDescent="0.2">
      <c r="A998" t="s">
        <v>115</v>
      </c>
      <c r="B998" t="s">
        <v>116</v>
      </c>
      <c r="C998">
        <v>210784</v>
      </c>
      <c r="E998" t="s">
        <v>117</v>
      </c>
      <c r="F998">
        <v>368</v>
      </c>
      <c r="G998" t="s">
        <v>141</v>
      </c>
      <c r="H998" t="s">
        <v>142</v>
      </c>
      <c r="I998" t="s">
        <v>279</v>
      </c>
      <c r="J998" t="s">
        <v>280</v>
      </c>
      <c r="L998" t="s">
        <v>758</v>
      </c>
      <c r="M998" s="8">
        <v>45931</v>
      </c>
      <c r="N998">
        <v>5815310</v>
      </c>
      <c r="O998" t="s">
        <v>123</v>
      </c>
      <c r="P998" t="s">
        <v>146</v>
      </c>
      <c r="Q998">
        <v>4.26</v>
      </c>
      <c r="R998" t="s">
        <v>574</v>
      </c>
      <c r="S998" t="s">
        <v>126</v>
      </c>
      <c r="T998" t="s">
        <v>574</v>
      </c>
      <c r="U998" t="s">
        <v>575</v>
      </c>
      <c r="W998">
        <v>1.31</v>
      </c>
      <c r="X998">
        <v>2.95</v>
      </c>
      <c r="Y998">
        <v>4.26</v>
      </c>
      <c r="Z998">
        <v>1.62</v>
      </c>
      <c r="AG998">
        <v>1.31</v>
      </c>
      <c r="AI998">
        <v>1.33</v>
      </c>
      <c r="BH998" t="s">
        <v>126</v>
      </c>
      <c r="BI998" t="s">
        <v>126</v>
      </c>
      <c r="BJ998" t="s">
        <v>126</v>
      </c>
      <c r="BK998" t="s">
        <v>126</v>
      </c>
      <c r="BS998" t="s">
        <v>126</v>
      </c>
      <c r="BT998" t="s">
        <v>126</v>
      </c>
      <c r="BU998" t="s">
        <v>126</v>
      </c>
      <c r="BV998" t="s">
        <v>126</v>
      </c>
      <c r="CN998" t="s">
        <v>147</v>
      </c>
      <c r="CP998" t="s">
        <v>476</v>
      </c>
      <c r="CQ998" t="s">
        <v>147</v>
      </c>
    </row>
    <row r="999" spans="1:95" x14ac:dyDescent="0.2">
      <c r="A999" t="s">
        <v>115</v>
      </c>
      <c r="B999" t="s">
        <v>116</v>
      </c>
      <c r="C999">
        <v>210784</v>
      </c>
      <c r="E999" t="s">
        <v>117</v>
      </c>
      <c r="F999">
        <v>368</v>
      </c>
      <c r="G999" t="s">
        <v>141</v>
      </c>
      <c r="H999" t="s">
        <v>142</v>
      </c>
      <c r="I999" t="s">
        <v>279</v>
      </c>
      <c r="J999" t="s">
        <v>280</v>
      </c>
      <c r="L999" t="s">
        <v>758</v>
      </c>
      <c r="M999" s="8">
        <v>45931</v>
      </c>
      <c r="N999">
        <v>5815416</v>
      </c>
      <c r="O999" t="s">
        <v>123</v>
      </c>
      <c r="P999" t="s">
        <v>146</v>
      </c>
      <c r="Q999">
        <v>6.1946999999999992</v>
      </c>
      <c r="R999" t="s">
        <v>562</v>
      </c>
      <c r="S999" t="s">
        <v>126</v>
      </c>
      <c r="T999" t="s">
        <v>562</v>
      </c>
      <c r="U999" t="s">
        <v>563</v>
      </c>
      <c r="W999">
        <v>1.92</v>
      </c>
      <c r="X999">
        <v>4.2746999999999993</v>
      </c>
      <c r="Y999">
        <v>6.1946999999999992</v>
      </c>
      <c r="Z999">
        <v>2.3546999999999998</v>
      </c>
      <c r="AG999">
        <v>1.92</v>
      </c>
      <c r="AI999">
        <v>1.92</v>
      </c>
      <c r="BH999" t="s">
        <v>126</v>
      </c>
      <c r="BI999" t="s">
        <v>126</v>
      </c>
      <c r="BJ999" t="s">
        <v>126</v>
      </c>
      <c r="BK999" t="s">
        <v>126</v>
      </c>
      <c r="BS999" t="s">
        <v>126</v>
      </c>
      <c r="BT999" t="s">
        <v>126</v>
      </c>
      <c r="BU999" t="s">
        <v>126</v>
      </c>
      <c r="BV999" t="s">
        <v>126</v>
      </c>
      <c r="CN999" t="s">
        <v>147</v>
      </c>
      <c r="CP999" t="s">
        <v>476</v>
      </c>
      <c r="CQ999" t="s">
        <v>147</v>
      </c>
    </row>
    <row r="1000" spans="1:95" x14ac:dyDescent="0.2">
      <c r="A1000" t="s">
        <v>115</v>
      </c>
      <c r="B1000" t="s">
        <v>116</v>
      </c>
      <c r="C1000">
        <v>210784</v>
      </c>
      <c r="E1000" t="s">
        <v>117</v>
      </c>
      <c r="F1000">
        <v>368</v>
      </c>
      <c r="G1000" t="s">
        <v>141</v>
      </c>
      <c r="H1000" t="s">
        <v>142</v>
      </c>
      <c r="I1000" t="s">
        <v>279</v>
      </c>
      <c r="J1000" t="s">
        <v>280</v>
      </c>
      <c r="L1000" t="s">
        <v>475</v>
      </c>
      <c r="M1000" s="8">
        <v>45931</v>
      </c>
      <c r="N1000">
        <v>5816110</v>
      </c>
      <c r="O1000" t="s">
        <v>123</v>
      </c>
      <c r="P1000" t="s">
        <v>146</v>
      </c>
      <c r="Q1000">
        <v>2.7599</v>
      </c>
      <c r="R1000" t="s">
        <v>592</v>
      </c>
      <c r="S1000" t="s">
        <v>126</v>
      </c>
      <c r="T1000" t="s">
        <v>592</v>
      </c>
      <c r="U1000" t="s">
        <v>593</v>
      </c>
      <c r="W1000">
        <v>0.85</v>
      </c>
      <c r="X1000">
        <v>1.9098999999999999</v>
      </c>
      <c r="Y1000">
        <v>2.7599</v>
      </c>
      <c r="Z1000">
        <v>1.0499000000000001</v>
      </c>
      <c r="AG1000">
        <v>0.85</v>
      </c>
      <c r="AI1000">
        <v>0.86</v>
      </c>
      <c r="BH1000" t="s">
        <v>126</v>
      </c>
      <c r="BI1000" t="s">
        <v>126</v>
      </c>
      <c r="BJ1000" t="s">
        <v>126</v>
      </c>
      <c r="BK1000" t="s">
        <v>126</v>
      </c>
      <c r="BS1000" t="s">
        <v>126</v>
      </c>
      <c r="BT1000" t="s">
        <v>126</v>
      </c>
      <c r="BU1000" t="s">
        <v>126</v>
      </c>
      <c r="BV1000" t="s">
        <v>126</v>
      </c>
      <c r="CN1000" t="s">
        <v>147</v>
      </c>
      <c r="CP1000" t="s">
        <v>476</v>
      </c>
      <c r="CQ1000" t="s">
        <v>147</v>
      </c>
    </row>
    <row r="1001" spans="1:95" x14ac:dyDescent="0.2">
      <c r="A1001" t="s">
        <v>115</v>
      </c>
      <c r="B1001" t="s">
        <v>116</v>
      </c>
      <c r="C1001">
        <v>210784</v>
      </c>
      <c r="E1001" t="s">
        <v>117</v>
      </c>
      <c r="F1001">
        <v>368</v>
      </c>
      <c r="G1001" t="s">
        <v>141</v>
      </c>
      <c r="H1001" t="s">
        <v>142</v>
      </c>
      <c r="I1001" t="s">
        <v>279</v>
      </c>
      <c r="J1001" t="s">
        <v>280</v>
      </c>
      <c r="L1001" t="s">
        <v>759</v>
      </c>
      <c r="M1001" s="8">
        <v>45931</v>
      </c>
      <c r="N1001">
        <v>5817826</v>
      </c>
      <c r="O1001" t="s">
        <v>123</v>
      </c>
      <c r="P1001" t="s">
        <v>146</v>
      </c>
      <c r="Q1001">
        <v>6.1004000000000005</v>
      </c>
      <c r="R1001" t="s">
        <v>559</v>
      </c>
      <c r="S1001" t="s">
        <v>126</v>
      </c>
      <c r="T1001" t="s">
        <v>559</v>
      </c>
      <c r="U1001" t="s">
        <v>560</v>
      </c>
      <c r="W1001">
        <v>1.88</v>
      </c>
      <c r="X1001">
        <v>4.2203999999999997</v>
      </c>
      <c r="Y1001">
        <v>6.1004000000000005</v>
      </c>
      <c r="Z1001">
        <v>2.3203999999999998</v>
      </c>
      <c r="AG1001">
        <v>1.88</v>
      </c>
      <c r="AI1001">
        <v>1.9</v>
      </c>
      <c r="BH1001" t="s">
        <v>126</v>
      </c>
      <c r="BI1001" t="s">
        <v>126</v>
      </c>
      <c r="BJ1001" t="s">
        <v>126</v>
      </c>
      <c r="BK1001" t="s">
        <v>126</v>
      </c>
      <c r="BS1001" t="s">
        <v>126</v>
      </c>
      <c r="BT1001" t="s">
        <v>126</v>
      </c>
      <c r="BU1001" t="s">
        <v>126</v>
      </c>
      <c r="BV1001" t="s">
        <v>126</v>
      </c>
      <c r="CN1001" t="s">
        <v>147</v>
      </c>
      <c r="CP1001" t="s">
        <v>476</v>
      </c>
      <c r="CQ1001" t="s">
        <v>147</v>
      </c>
    </row>
    <row r="1002" spans="1:95" x14ac:dyDescent="0.2">
      <c r="A1002" t="s">
        <v>115</v>
      </c>
      <c r="B1002" t="s">
        <v>116</v>
      </c>
      <c r="C1002">
        <v>210784</v>
      </c>
      <c r="E1002" t="s">
        <v>117</v>
      </c>
      <c r="F1002">
        <v>368</v>
      </c>
      <c r="G1002" t="s">
        <v>141</v>
      </c>
      <c r="H1002" t="s">
        <v>142</v>
      </c>
      <c r="I1002" t="s">
        <v>279</v>
      </c>
      <c r="J1002" t="s">
        <v>280</v>
      </c>
      <c r="L1002" t="s">
        <v>296</v>
      </c>
      <c r="M1002" s="8">
        <v>45931</v>
      </c>
      <c r="N1002">
        <v>5818669</v>
      </c>
      <c r="O1002" t="s">
        <v>123</v>
      </c>
      <c r="P1002" t="s">
        <v>146</v>
      </c>
      <c r="Q1002">
        <v>2.8089</v>
      </c>
      <c r="R1002" t="s">
        <v>707</v>
      </c>
      <c r="S1002" t="s">
        <v>126</v>
      </c>
      <c r="T1002" t="s">
        <v>707</v>
      </c>
      <c r="U1002" t="s">
        <v>708</v>
      </c>
      <c r="W1002">
        <v>0.87</v>
      </c>
      <c r="X1002">
        <v>1.9388999999999998</v>
      </c>
      <c r="Y1002">
        <v>2.8089</v>
      </c>
      <c r="Z1002">
        <v>1.0689</v>
      </c>
      <c r="AG1002">
        <v>0.87</v>
      </c>
      <c r="AI1002">
        <v>0.87</v>
      </c>
      <c r="BH1002" t="s">
        <v>126</v>
      </c>
      <c r="BI1002" t="s">
        <v>126</v>
      </c>
      <c r="BJ1002" t="s">
        <v>126</v>
      </c>
      <c r="BK1002" t="s">
        <v>126</v>
      </c>
      <c r="BS1002" t="s">
        <v>126</v>
      </c>
      <c r="BT1002" t="s">
        <v>126</v>
      </c>
      <c r="BU1002" t="s">
        <v>126</v>
      </c>
      <c r="BV1002" t="s">
        <v>126</v>
      </c>
      <c r="CN1002" t="s">
        <v>147</v>
      </c>
      <c r="CP1002" t="s">
        <v>476</v>
      </c>
      <c r="CQ1002" t="s">
        <v>147</v>
      </c>
    </row>
    <row r="1003" spans="1:95" x14ac:dyDescent="0.2">
      <c r="A1003" t="s">
        <v>115</v>
      </c>
      <c r="B1003" t="s">
        <v>116</v>
      </c>
      <c r="C1003">
        <v>210784</v>
      </c>
      <c r="E1003" t="s">
        <v>117</v>
      </c>
      <c r="F1003">
        <v>368</v>
      </c>
      <c r="G1003" t="s">
        <v>141</v>
      </c>
      <c r="H1003" t="s">
        <v>142</v>
      </c>
      <c r="I1003" t="s">
        <v>279</v>
      </c>
      <c r="J1003" t="s">
        <v>280</v>
      </c>
      <c r="L1003" t="s">
        <v>296</v>
      </c>
      <c r="M1003" s="8">
        <v>45931</v>
      </c>
      <c r="N1003">
        <v>5817973</v>
      </c>
      <c r="O1003" t="s">
        <v>123</v>
      </c>
      <c r="P1003" t="s">
        <v>146</v>
      </c>
      <c r="Q1003">
        <v>4.42</v>
      </c>
      <c r="R1003" t="s">
        <v>569</v>
      </c>
      <c r="S1003" t="s">
        <v>126</v>
      </c>
      <c r="T1003" t="s">
        <v>569</v>
      </c>
      <c r="U1003" t="s">
        <v>570</v>
      </c>
      <c r="W1003">
        <v>1.36</v>
      </c>
      <c r="X1003">
        <v>3.0599999999999996</v>
      </c>
      <c r="Y1003">
        <v>4.42</v>
      </c>
      <c r="Z1003">
        <v>1.68</v>
      </c>
      <c r="AG1003">
        <v>1.36</v>
      </c>
      <c r="AI1003">
        <v>1.38</v>
      </c>
      <c r="BH1003" t="s">
        <v>126</v>
      </c>
      <c r="BI1003" t="s">
        <v>126</v>
      </c>
      <c r="BJ1003" t="s">
        <v>126</v>
      </c>
      <c r="BK1003" t="s">
        <v>126</v>
      </c>
      <c r="BS1003" t="s">
        <v>126</v>
      </c>
      <c r="BT1003" t="s">
        <v>126</v>
      </c>
      <c r="BU1003" t="s">
        <v>126</v>
      </c>
      <c r="BV1003" t="s">
        <v>126</v>
      </c>
      <c r="CN1003" t="s">
        <v>147</v>
      </c>
      <c r="CP1003" t="s">
        <v>476</v>
      </c>
      <c r="CQ1003" t="s">
        <v>147</v>
      </c>
    </row>
    <row r="1004" spans="1:95" x14ac:dyDescent="0.2">
      <c r="A1004" t="s">
        <v>115</v>
      </c>
      <c r="B1004" t="s">
        <v>116</v>
      </c>
      <c r="C1004">
        <v>210784</v>
      </c>
      <c r="E1004" t="s">
        <v>117</v>
      </c>
      <c r="F1004">
        <v>368</v>
      </c>
      <c r="G1004" t="s">
        <v>118</v>
      </c>
      <c r="H1004" t="s">
        <v>119</v>
      </c>
      <c r="I1004" t="s">
        <v>120</v>
      </c>
      <c r="J1004" t="s">
        <v>121</v>
      </c>
      <c r="L1004" t="s">
        <v>753</v>
      </c>
      <c r="M1004" s="8">
        <v>45931</v>
      </c>
      <c r="N1004">
        <v>135194</v>
      </c>
      <c r="O1004" t="s">
        <v>123</v>
      </c>
      <c r="P1004" t="s">
        <v>124</v>
      </c>
      <c r="Q1004">
        <v>14.66</v>
      </c>
      <c r="R1004" t="s">
        <v>125</v>
      </c>
      <c r="S1004" t="s">
        <v>126</v>
      </c>
      <c r="T1004" t="s">
        <v>125</v>
      </c>
      <c r="U1004" t="s">
        <v>126</v>
      </c>
      <c r="W1004">
        <v>14.66</v>
      </c>
      <c r="Y1004">
        <v>14.66</v>
      </c>
      <c r="AA1004">
        <v>7.33</v>
      </c>
      <c r="AC1004">
        <v>7.33</v>
      </c>
      <c r="BH1004" t="s">
        <v>126</v>
      </c>
      <c r="BI1004" t="s">
        <v>126</v>
      </c>
      <c r="BJ1004" t="s">
        <v>126</v>
      </c>
      <c r="BK1004" t="s">
        <v>126</v>
      </c>
      <c r="BS1004" t="s">
        <v>126</v>
      </c>
      <c r="BT1004" t="s">
        <v>126</v>
      </c>
      <c r="BU1004" t="s">
        <v>126</v>
      </c>
      <c r="BV1004" t="s">
        <v>126</v>
      </c>
      <c r="CN1004" t="s">
        <v>127</v>
      </c>
      <c r="CP1004" t="s">
        <v>128</v>
      </c>
      <c r="CQ1004" t="s">
        <v>127</v>
      </c>
    </row>
    <row r="1005" spans="1:95" x14ac:dyDescent="0.2">
      <c r="A1005" t="s">
        <v>115</v>
      </c>
      <c r="B1005" t="s">
        <v>116</v>
      </c>
      <c r="C1005">
        <v>210784</v>
      </c>
      <c r="E1005" t="s">
        <v>117</v>
      </c>
      <c r="F1005">
        <v>368</v>
      </c>
      <c r="G1005" t="s">
        <v>141</v>
      </c>
      <c r="H1005" t="s">
        <v>142</v>
      </c>
      <c r="I1005" t="s">
        <v>279</v>
      </c>
      <c r="J1005" t="s">
        <v>280</v>
      </c>
      <c r="L1005" t="s">
        <v>749</v>
      </c>
      <c r="M1005" s="8">
        <v>45931</v>
      </c>
      <c r="N1005">
        <v>5805895</v>
      </c>
      <c r="O1005" t="s">
        <v>123</v>
      </c>
      <c r="P1005" t="s">
        <v>146</v>
      </c>
      <c r="Q1005">
        <v>3.5</v>
      </c>
      <c r="R1005" t="s">
        <v>125</v>
      </c>
      <c r="S1005" t="s">
        <v>126</v>
      </c>
      <c r="T1005" t="s">
        <v>125</v>
      </c>
      <c r="U1005" t="s">
        <v>126</v>
      </c>
      <c r="W1005">
        <v>3.5</v>
      </c>
      <c r="Y1005">
        <v>3.5</v>
      </c>
      <c r="BE1005">
        <v>3.5</v>
      </c>
      <c r="BH1005" t="s">
        <v>126</v>
      </c>
      <c r="BI1005" t="s">
        <v>126</v>
      </c>
      <c r="BJ1005" t="s">
        <v>126</v>
      </c>
      <c r="BK1005" t="s">
        <v>126</v>
      </c>
      <c r="BS1005" t="s">
        <v>126</v>
      </c>
      <c r="BT1005" t="s">
        <v>126</v>
      </c>
      <c r="BU1005" t="s">
        <v>126</v>
      </c>
      <c r="BV1005" t="s">
        <v>126</v>
      </c>
      <c r="CN1005" t="s">
        <v>147</v>
      </c>
      <c r="CP1005" t="s">
        <v>469</v>
      </c>
      <c r="CQ1005" t="s">
        <v>147</v>
      </c>
    </row>
    <row r="1006" spans="1:95" x14ac:dyDescent="0.2">
      <c r="A1006" t="s">
        <v>115</v>
      </c>
      <c r="B1006" t="s">
        <v>116</v>
      </c>
      <c r="C1006">
        <v>210784</v>
      </c>
      <c r="E1006" t="s">
        <v>117</v>
      </c>
      <c r="F1006">
        <v>368</v>
      </c>
      <c r="G1006" t="s">
        <v>141</v>
      </c>
      <c r="H1006" t="s">
        <v>142</v>
      </c>
      <c r="I1006" t="s">
        <v>279</v>
      </c>
      <c r="J1006" t="s">
        <v>280</v>
      </c>
      <c r="L1006" t="s">
        <v>898</v>
      </c>
      <c r="M1006" s="8">
        <v>45931</v>
      </c>
      <c r="N1006">
        <v>5810069</v>
      </c>
      <c r="O1006" t="s">
        <v>123</v>
      </c>
      <c r="P1006" t="s">
        <v>146</v>
      </c>
      <c r="Q1006">
        <v>1.38</v>
      </c>
      <c r="R1006" t="s">
        <v>125</v>
      </c>
      <c r="S1006" t="s">
        <v>126</v>
      </c>
      <c r="T1006" t="s">
        <v>125</v>
      </c>
      <c r="U1006" t="s">
        <v>126</v>
      </c>
      <c r="W1006">
        <v>1.38</v>
      </c>
      <c r="Y1006">
        <v>1.38</v>
      </c>
      <c r="BE1006">
        <v>1.38</v>
      </c>
      <c r="BH1006" t="s">
        <v>126</v>
      </c>
      <c r="BI1006" t="s">
        <v>126</v>
      </c>
      <c r="BJ1006" t="s">
        <v>126</v>
      </c>
      <c r="BK1006" t="s">
        <v>126</v>
      </c>
      <c r="BS1006" t="s">
        <v>126</v>
      </c>
      <c r="BT1006" t="s">
        <v>126</v>
      </c>
      <c r="BU1006" t="s">
        <v>126</v>
      </c>
      <c r="BV1006" t="s">
        <v>126</v>
      </c>
      <c r="CN1006" t="s">
        <v>147</v>
      </c>
      <c r="CP1006" t="s">
        <v>469</v>
      </c>
      <c r="CQ1006" t="s">
        <v>147</v>
      </c>
    </row>
    <row r="1007" spans="1:95" x14ac:dyDescent="0.2">
      <c r="A1007" t="s">
        <v>115</v>
      </c>
      <c r="B1007" t="s">
        <v>116</v>
      </c>
      <c r="C1007">
        <v>210784</v>
      </c>
      <c r="E1007" t="s">
        <v>117</v>
      </c>
      <c r="F1007">
        <v>368</v>
      </c>
      <c r="G1007" t="s">
        <v>141</v>
      </c>
      <c r="H1007" t="s">
        <v>142</v>
      </c>
      <c r="I1007" t="s">
        <v>279</v>
      </c>
      <c r="J1007" t="s">
        <v>280</v>
      </c>
      <c r="L1007" t="s">
        <v>899</v>
      </c>
      <c r="M1007" s="8">
        <v>45931</v>
      </c>
      <c r="N1007">
        <v>5813097</v>
      </c>
      <c r="O1007" t="s">
        <v>123</v>
      </c>
      <c r="P1007" t="s">
        <v>146</v>
      </c>
      <c r="Q1007">
        <v>4.9000000000000004</v>
      </c>
      <c r="R1007" t="s">
        <v>125</v>
      </c>
      <c r="S1007" t="s">
        <v>126</v>
      </c>
      <c r="T1007" t="s">
        <v>125</v>
      </c>
      <c r="U1007" t="s">
        <v>126</v>
      </c>
      <c r="W1007">
        <v>4.9000000000000004</v>
      </c>
      <c r="Y1007">
        <v>4.9000000000000004</v>
      </c>
      <c r="BE1007">
        <v>4.9000000000000004</v>
      </c>
      <c r="BH1007" t="s">
        <v>126</v>
      </c>
      <c r="BI1007" t="s">
        <v>126</v>
      </c>
      <c r="BJ1007" t="s">
        <v>126</v>
      </c>
      <c r="BK1007" t="s">
        <v>126</v>
      </c>
      <c r="BS1007" t="s">
        <v>126</v>
      </c>
      <c r="BT1007" t="s">
        <v>126</v>
      </c>
      <c r="BU1007" t="s">
        <v>126</v>
      </c>
      <c r="BV1007" t="s">
        <v>126</v>
      </c>
      <c r="CN1007" t="s">
        <v>147</v>
      </c>
      <c r="CP1007" t="s">
        <v>469</v>
      </c>
      <c r="CQ1007" t="s">
        <v>147</v>
      </c>
    </row>
    <row r="1008" spans="1:95" x14ac:dyDescent="0.2">
      <c r="A1008" t="s">
        <v>115</v>
      </c>
      <c r="B1008" t="s">
        <v>116</v>
      </c>
      <c r="C1008">
        <v>210784</v>
      </c>
      <c r="E1008" t="s">
        <v>117</v>
      </c>
      <c r="F1008">
        <v>368</v>
      </c>
      <c r="G1008" t="s">
        <v>141</v>
      </c>
      <c r="H1008" t="s">
        <v>142</v>
      </c>
      <c r="I1008" t="s">
        <v>279</v>
      </c>
      <c r="J1008" t="s">
        <v>280</v>
      </c>
      <c r="L1008" t="s">
        <v>899</v>
      </c>
      <c r="M1008" s="8">
        <v>45931</v>
      </c>
      <c r="N1008">
        <v>5813537</v>
      </c>
      <c r="O1008" t="s">
        <v>123</v>
      </c>
      <c r="P1008" t="s">
        <v>146</v>
      </c>
      <c r="Q1008">
        <v>4.25</v>
      </c>
      <c r="R1008" t="s">
        <v>125</v>
      </c>
      <c r="S1008" t="s">
        <v>126</v>
      </c>
      <c r="T1008" t="s">
        <v>125</v>
      </c>
      <c r="U1008" t="s">
        <v>126</v>
      </c>
      <c r="W1008">
        <v>4.25</v>
      </c>
      <c r="Y1008">
        <v>4.25</v>
      </c>
      <c r="BE1008">
        <v>4.25</v>
      </c>
      <c r="BH1008" t="s">
        <v>126</v>
      </c>
      <c r="BI1008" t="s">
        <v>126</v>
      </c>
      <c r="BJ1008" t="s">
        <v>126</v>
      </c>
      <c r="BK1008" t="s">
        <v>126</v>
      </c>
      <c r="BS1008" t="s">
        <v>126</v>
      </c>
      <c r="BT1008" t="s">
        <v>126</v>
      </c>
      <c r="BU1008" t="s">
        <v>126</v>
      </c>
      <c r="BV1008" t="s">
        <v>126</v>
      </c>
      <c r="CN1008" t="s">
        <v>147</v>
      </c>
      <c r="CP1008" t="s">
        <v>469</v>
      </c>
      <c r="CQ1008" t="s">
        <v>147</v>
      </c>
    </row>
    <row r="1009" spans="1:95" x14ac:dyDescent="0.2">
      <c r="A1009" t="s">
        <v>115</v>
      </c>
      <c r="B1009" t="s">
        <v>116</v>
      </c>
      <c r="C1009">
        <v>210784</v>
      </c>
      <c r="E1009" t="s">
        <v>117</v>
      </c>
      <c r="F1009">
        <v>368</v>
      </c>
      <c r="G1009" t="s">
        <v>141</v>
      </c>
      <c r="H1009" t="s">
        <v>142</v>
      </c>
      <c r="I1009" t="s">
        <v>279</v>
      </c>
      <c r="J1009" t="s">
        <v>280</v>
      </c>
      <c r="L1009" t="s">
        <v>477</v>
      </c>
      <c r="M1009" s="8">
        <v>45931</v>
      </c>
      <c r="N1009">
        <v>5816833</v>
      </c>
      <c r="O1009" t="s">
        <v>123</v>
      </c>
      <c r="P1009" t="s">
        <v>146</v>
      </c>
      <c r="Q1009">
        <v>3.46</v>
      </c>
      <c r="R1009" t="s">
        <v>125</v>
      </c>
      <c r="S1009" t="s">
        <v>126</v>
      </c>
      <c r="T1009" t="s">
        <v>125</v>
      </c>
      <c r="U1009" t="s">
        <v>126</v>
      </c>
      <c r="W1009">
        <v>3.46</v>
      </c>
      <c r="Y1009">
        <v>3.46</v>
      </c>
      <c r="BE1009">
        <v>3.46</v>
      </c>
      <c r="BH1009" t="s">
        <v>126</v>
      </c>
      <c r="BI1009" t="s">
        <v>126</v>
      </c>
      <c r="BJ1009" t="s">
        <v>126</v>
      </c>
      <c r="BK1009" t="s">
        <v>126</v>
      </c>
      <c r="BS1009" t="s">
        <v>126</v>
      </c>
      <c r="BT1009" t="s">
        <v>126</v>
      </c>
      <c r="BU1009" t="s">
        <v>126</v>
      </c>
      <c r="BV1009" t="s">
        <v>126</v>
      </c>
      <c r="CN1009" t="s">
        <v>147</v>
      </c>
      <c r="CP1009" t="s">
        <v>476</v>
      </c>
      <c r="CQ1009" t="s">
        <v>147</v>
      </c>
    </row>
    <row r="1010" spans="1:95" x14ac:dyDescent="0.2">
      <c r="A1010" t="s">
        <v>115</v>
      </c>
      <c r="B1010" t="s">
        <v>116</v>
      </c>
      <c r="C1010">
        <v>210784</v>
      </c>
      <c r="E1010" t="s">
        <v>117</v>
      </c>
      <c r="F1010">
        <v>368</v>
      </c>
      <c r="G1010" t="s">
        <v>141</v>
      </c>
      <c r="H1010" t="s">
        <v>142</v>
      </c>
      <c r="I1010" t="s">
        <v>279</v>
      </c>
      <c r="J1010" t="s">
        <v>280</v>
      </c>
      <c r="L1010" t="s">
        <v>759</v>
      </c>
      <c r="M1010" s="8">
        <v>45931</v>
      </c>
      <c r="N1010">
        <v>5817584</v>
      </c>
      <c r="O1010" t="s">
        <v>123</v>
      </c>
      <c r="P1010" t="s">
        <v>146</v>
      </c>
      <c r="Q1010">
        <v>3.32</v>
      </c>
      <c r="R1010" t="s">
        <v>125</v>
      </c>
      <c r="S1010" t="s">
        <v>126</v>
      </c>
      <c r="T1010" t="s">
        <v>125</v>
      </c>
      <c r="U1010" t="s">
        <v>126</v>
      </c>
      <c r="W1010">
        <v>3.32</v>
      </c>
      <c r="Y1010">
        <v>3.32</v>
      </c>
      <c r="BE1010">
        <v>3.32</v>
      </c>
      <c r="BH1010" t="s">
        <v>126</v>
      </c>
      <c r="BI1010" t="s">
        <v>126</v>
      </c>
      <c r="BJ1010" t="s">
        <v>126</v>
      </c>
      <c r="BK1010" t="s">
        <v>126</v>
      </c>
      <c r="BS1010" t="s">
        <v>126</v>
      </c>
      <c r="BT1010" t="s">
        <v>126</v>
      </c>
      <c r="BU1010" t="s">
        <v>126</v>
      </c>
      <c r="BV1010" t="s">
        <v>126</v>
      </c>
      <c r="CN1010" t="s">
        <v>147</v>
      </c>
      <c r="CP1010" t="s">
        <v>476</v>
      </c>
      <c r="CQ1010" t="s">
        <v>147</v>
      </c>
    </row>
    <row r="1011" spans="1:95" x14ac:dyDescent="0.2">
      <c r="A1011" t="s">
        <v>115</v>
      </c>
      <c r="B1011" t="s">
        <v>116</v>
      </c>
      <c r="C1011">
        <v>210784</v>
      </c>
      <c r="E1011" t="s">
        <v>117</v>
      </c>
      <c r="F1011">
        <v>368</v>
      </c>
      <c r="G1011" t="s">
        <v>141</v>
      </c>
      <c r="H1011" t="s">
        <v>142</v>
      </c>
      <c r="I1011" t="s">
        <v>279</v>
      </c>
      <c r="J1011" t="s">
        <v>280</v>
      </c>
      <c r="L1011" t="s">
        <v>900</v>
      </c>
      <c r="M1011" s="8">
        <v>45931</v>
      </c>
      <c r="N1011">
        <v>5820241</v>
      </c>
      <c r="O1011" t="s">
        <v>123</v>
      </c>
      <c r="P1011" t="s">
        <v>146</v>
      </c>
      <c r="Q1011">
        <v>2.9</v>
      </c>
      <c r="R1011" t="s">
        <v>125</v>
      </c>
      <c r="S1011" t="s">
        <v>126</v>
      </c>
      <c r="T1011" t="s">
        <v>125</v>
      </c>
      <c r="U1011" t="s">
        <v>126</v>
      </c>
      <c r="W1011">
        <v>2.9</v>
      </c>
      <c r="Y1011">
        <v>2.9</v>
      </c>
      <c r="BE1011">
        <v>2.9</v>
      </c>
      <c r="BH1011" t="s">
        <v>126</v>
      </c>
      <c r="BI1011" t="s">
        <v>126</v>
      </c>
      <c r="BJ1011" t="s">
        <v>126</v>
      </c>
      <c r="BK1011" t="s">
        <v>126</v>
      </c>
      <c r="BS1011" t="s">
        <v>126</v>
      </c>
      <c r="BT1011" t="s">
        <v>126</v>
      </c>
      <c r="BU1011" t="s">
        <v>126</v>
      </c>
      <c r="BV1011" t="s">
        <v>126</v>
      </c>
      <c r="CN1011" t="s">
        <v>147</v>
      </c>
      <c r="CP1011" t="s">
        <v>476</v>
      </c>
      <c r="CQ1011" t="s">
        <v>147</v>
      </c>
    </row>
    <row r="1012" spans="1:95" x14ac:dyDescent="0.2">
      <c r="A1012" t="s">
        <v>115</v>
      </c>
      <c r="B1012" t="s">
        <v>116</v>
      </c>
      <c r="C1012">
        <v>210784</v>
      </c>
      <c r="E1012" t="s">
        <v>117</v>
      </c>
      <c r="F1012">
        <v>368</v>
      </c>
      <c r="G1012" t="s">
        <v>141</v>
      </c>
      <c r="H1012" t="s">
        <v>142</v>
      </c>
      <c r="I1012" t="s">
        <v>279</v>
      </c>
      <c r="J1012" t="s">
        <v>280</v>
      </c>
      <c r="L1012" t="s">
        <v>122</v>
      </c>
      <c r="M1012" s="8">
        <v>45931</v>
      </c>
      <c r="N1012">
        <v>5820942</v>
      </c>
      <c r="O1012" t="s">
        <v>123</v>
      </c>
      <c r="P1012" t="s">
        <v>146</v>
      </c>
      <c r="Q1012">
        <v>2.5499999999999998</v>
      </c>
      <c r="R1012" t="s">
        <v>125</v>
      </c>
      <c r="S1012" t="s">
        <v>126</v>
      </c>
      <c r="T1012" t="s">
        <v>125</v>
      </c>
      <c r="U1012" t="s">
        <v>126</v>
      </c>
      <c r="W1012">
        <v>2.5499999999999998</v>
      </c>
      <c r="Y1012">
        <v>2.5499999999999998</v>
      </c>
      <c r="BE1012">
        <v>2.5499999999999998</v>
      </c>
      <c r="BH1012" t="s">
        <v>126</v>
      </c>
      <c r="BI1012" t="s">
        <v>126</v>
      </c>
      <c r="BJ1012" t="s">
        <v>126</v>
      </c>
      <c r="BK1012" t="s">
        <v>126</v>
      </c>
      <c r="BS1012" t="s">
        <v>126</v>
      </c>
      <c r="BT1012" t="s">
        <v>126</v>
      </c>
      <c r="BU1012" t="s">
        <v>126</v>
      </c>
      <c r="BV1012" t="s">
        <v>126</v>
      </c>
      <c r="CN1012" t="s">
        <v>147</v>
      </c>
      <c r="CP1012" t="s">
        <v>476</v>
      </c>
      <c r="CQ1012" t="s">
        <v>147</v>
      </c>
    </row>
    <row r="1013" spans="1:95" x14ac:dyDescent="0.2">
      <c r="A1013" t="s">
        <v>115</v>
      </c>
      <c r="B1013" t="s">
        <v>116</v>
      </c>
      <c r="C1013">
        <v>210784</v>
      </c>
      <c r="E1013" t="s">
        <v>117</v>
      </c>
      <c r="F1013">
        <v>368</v>
      </c>
      <c r="G1013" t="s">
        <v>141</v>
      </c>
      <c r="H1013" t="s">
        <v>142</v>
      </c>
      <c r="I1013" t="s">
        <v>279</v>
      </c>
      <c r="J1013" t="s">
        <v>280</v>
      </c>
      <c r="L1013" t="s">
        <v>921</v>
      </c>
      <c r="M1013" s="8">
        <v>45931</v>
      </c>
      <c r="N1013">
        <v>5805050</v>
      </c>
      <c r="O1013" t="s">
        <v>123</v>
      </c>
      <c r="P1013" t="s">
        <v>146</v>
      </c>
      <c r="Q1013">
        <v>4.95</v>
      </c>
      <c r="R1013" t="s">
        <v>125</v>
      </c>
      <c r="S1013" t="s">
        <v>126</v>
      </c>
      <c r="T1013" t="s">
        <v>125</v>
      </c>
      <c r="U1013" t="s">
        <v>126</v>
      </c>
      <c r="W1013">
        <v>4.95</v>
      </c>
      <c r="Y1013">
        <v>4.95</v>
      </c>
      <c r="AE1013">
        <v>4.95</v>
      </c>
      <c r="BH1013" t="s">
        <v>126</v>
      </c>
      <c r="BI1013" t="s">
        <v>126</v>
      </c>
      <c r="BJ1013" t="s">
        <v>126</v>
      </c>
      <c r="BK1013" t="s">
        <v>126</v>
      </c>
      <c r="BS1013" t="s">
        <v>126</v>
      </c>
      <c r="BT1013" t="s">
        <v>126</v>
      </c>
      <c r="BU1013" t="s">
        <v>126</v>
      </c>
      <c r="BV1013" t="s">
        <v>126</v>
      </c>
      <c r="CN1013" t="s">
        <v>147</v>
      </c>
      <c r="CP1013" t="s">
        <v>469</v>
      </c>
      <c r="CQ1013" t="s">
        <v>147</v>
      </c>
    </row>
    <row r="1014" spans="1:95" x14ac:dyDescent="0.2">
      <c r="A1014" t="s">
        <v>115</v>
      </c>
      <c r="B1014" t="s">
        <v>116</v>
      </c>
      <c r="C1014">
        <v>210784</v>
      </c>
      <c r="E1014" t="s">
        <v>117</v>
      </c>
      <c r="F1014">
        <v>368</v>
      </c>
      <c r="G1014" t="s">
        <v>141</v>
      </c>
      <c r="H1014" t="s">
        <v>142</v>
      </c>
      <c r="I1014" t="s">
        <v>279</v>
      </c>
      <c r="J1014" t="s">
        <v>280</v>
      </c>
      <c r="L1014" t="s">
        <v>479</v>
      </c>
      <c r="M1014" s="8">
        <v>45962</v>
      </c>
      <c r="N1014">
        <v>5823114</v>
      </c>
      <c r="O1014" t="s">
        <v>123</v>
      </c>
      <c r="P1014" t="s">
        <v>146</v>
      </c>
      <c r="Q1014">
        <v>2.66</v>
      </c>
      <c r="R1014" t="s">
        <v>125</v>
      </c>
      <c r="S1014" t="s">
        <v>126</v>
      </c>
      <c r="T1014" t="s">
        <v>125</v>
      </c>
      <c r="U1014" t="s">
        <v>126</v>
      </c>
      <c r="W1014">
        <v>2.66</v>
      </c>
      <c r="Y1014">
        <v>2.66</v>
      </c>
      <c r="AS1014">
        <v>2.66</v>
      </c>
      <c r="BH1014" t="s">
        <v>126</v>
      </c>
      <c r="BI1014" t="s">
        <v>126</v>
      </c>
      <c r="BJ1014" t="s">
        <v>126</v>
      </c>
      <c r="BK1014" t="s">
        <v>126</v>
      </c>
      <c r="BS1014" t="s">
        <v>126</v>
      </c>
      <c r="BT1014" t="s">
        <v>126</v>
      </c>
      <c r="BU1014" t="s">
        <v>126</v>
      </c>
      <c r="BV1014" t="s">
        <v>126</v>
      </c>
      <c r="CN1014" t="s">
        <v>147</v>
      </c>
      <c r="CP1014" t="s">
        <v>476</v>
      </c>
      <c r="CQ1014" t="s">
        <v>147</v>
      </c>
    </row>
    <row r="1015" spans="1:95" x14ac:dyDescent="0.2">
      <c r="A1015" t="s">
        <v>115</v>
      </c>
      <c r="B1015" t="s">
        <v>116</v>
      </c>
      <c r="C1015">
        <v>210784</v>
      </c>
      <c r="E1015" t="s">
        <v>117</v>
      </c>
      <c r="F1015">
        <v>368</v>
      </c>
      <c r="G1015" t="s">
        <v>141</v>
      </c>
      <c r="H1015" t="s">
        <v>142</v>
      </c>
      <c r="I1015" t="s">
        <v>279</v>
      </c>
      <c r="J1015" t="s">
        <v>280</v>
      </c>
      <c r="L1015" t="s">
        <v>480</v>
      </c>
      <c r="M1015" s="8">
        <v>45962</v>
      </c>
      <c r="N1015">
        <v>5822962</v>
      </c>
      <c r="O1015" t="s">
        <v>123</v>
      </c>
      <c r="P1015" t="s">
        <v>146</v>
      </c>
      <c r="Q1015">
        <v>5.4</v>
      </c>
      <c r="R1015" t="s">
        <v>125</v>
      </c>
      <c r="S1015" t="s">
        <v>126</v>
      </c>
      <c r="T1015" t="s">
        <v>125</v>
      </c>
      <c r="U1015" t="s">
        <v>126</v>
      </c>
      <c r="W1015">
        <v>5.4</v>
      </c>
      <c r="Y1015">
        <v>5.4</v>
      </c>
      <c r="AS1015">
        <v>5.4</v>
      </c>
      <c r="BH1015" t="s">
        <v>126</v>
      </c>
      <c r="BI1015" t="s">
        <v>126</v>
      </c>
      <c r="BJ1015" t="s">
        <v>126</v>
      </c>
      <c r="BK1015" t="s">
        <v>126</v>
      </c>
      <c r="BS1015" t="s">
        <v>126</v>
      </c>
      <c r="BT1015" t="s">
        <v>126</v>
      </c>
      <c r="BU1015" t="s">
        <v>126</v>
      </c>
      <c r="BV1015" t="s">
        <v>126</v>
      </c>
      <c r="CN1015" t="s">
        <v>147</v>
      </c>
      <c r="CP1015" t="s">
        <v>476</v>
      </c>
      <c r="CQ1015" t="s">
        <v>147</v>
      </c>
    </row>
    <row r="1016" spans="1:95" x14ac:dyDescent="0.2">
      <c r="A1016" t="s">
        <v>115</v>
      </c>
      <c r="B1016" t="s">
        <v>116</v>
      </c>
      <c r="C1016">
        <v>210784</v>
      </c>
      <c r="E1016" t="s">
        <v>117</v>
      </c>
      <c r="F1016">
        <v>368</v>
      </c>
      <c r="G1016" t="s">
        <v>141</v>
      </c>
      <c r="H1016" t="s">
        <v>142</v>
      </c>
      <c r="I1016" t="s">
        <v>279</v>
      </c>
      <c r="J1016" t="s">
        <v>280</v>
      </c>
      <c r="L1016" t="s">
        <v>481</v>
      </c>
      <c r="M1016" s="8">
        <v>45962</v>
      </c>
      <c r="N1016">
        <v>5826644</v>
      </c>
      <c r="O1016" t="s">
        <v>123</v>
      </c>
      <c r="P1016" t="s">
        <v>146</v>
      </c>
      <c r="Q1016">
        <v>6.1</v>
      </c>
      <c r="R1016" t="s">
        <v>125</v>
      </c>
      <c r="S1016" t="s">
        <v>126</v>
      </c>
      <c r="T1016" t="s">
        <v>125</v>
      </c>
      <c r="U1016" t="s">
        <v>126</v>
      </c>
      <c r="W1016">
        <v>6.1</v>
      </c>
      <c r="Y1016">
        <v>6.1</v>
      </c>
      <c r="AS1016">
        <v>6.1</v>
      </c>
      <c r="BH1016" t="s">
        <v>126</v>
      </c>
      <c r="BI1016" t="s">
        <v>126</v>
      </c>
      <c r="BJ1016" t="s">
        <v>126</v>
      </c>
      <c r="BK1016" t="s">
        <v>126</v>
      </c>
      <c r="BS1016" t="s">
        <v>126</v>
      </c>
      <c r="BT1016" t="s">
        <v>126</v>
      </c>
      <c r="BU1016" t="s">
        <v>126</v>
      </c>
      <c r="BV1016" t="s">
        <v>126</v>
      </c>
      <c r="CN1016" t="s">
        <v>147</v>
      </c>
      <c r="CP1016" t="s">
        <v>476</v>
      </c>
      <c r="CQ1016" t="s">
        <v>147</v>
      </c>
    </row>
    <row r="1017" spans="1:95" x14ac:dyDescent="0.2">
      <c r="A1017" t="s">
        <v>115</v>
      </c>
      <c r="B1017" t="s">
        <v>116</v>
      </c>
      <c r="C1017">
        <v>210784</v>
      </c>
      <c r="E1017" t="s">
        <v>117</v>
      </c>
      <c r="F1017">
        <v>368</v>
      </c>
      <c r="G1017" t="s">
        <v>141</v>
      </c>
      <c r="H1017" t="s">
        <v>142</v>
      </c>
      <c r="I1017" t="s">
        <v>279</v>
      </c>
      <c r="J1017" t="s">
        <v>280</v>
      </c>
      <c r="L1017" t="s">
        <v>482</v>
      </c>
      <c r="M1017" s="8">
        <v>45962</v>
      </c>
      <c r="N1017">
        <v>5826054</v>
      </c>
      <c r="O1017" t="s">
        <v>123</v>
      </c>
      <c r="P1017" t="s">
        <v>146</v>
      </c>
      <c r="Q1017">
        <v>6.24</v>
      </c>
      <c r="R1017" t="s">
        <v>125</v>
      </c>
      <c r="S1017" t="s">
        <v>126</v>
      </c>
      <c r="T1017" t="s">
        <v>125</v>
      </c>
      <c r="U1017" t="s">
        <v>126</v>
      </c>
      <c r="W1017">
        <v>6.24</v>
      </c>
      <c r="Y1017">
        <v>6.24</v>
      </c>
      <c r="AS1017">
        <v>6.24</v>
      </c>
      <c r="BH1017" t="s">
        <v>126</v>
      </c>
      <c r="BI1017" t="s">
        <v>126</v>
      </c>
      <c r="BJ1017" t="s">
        <v>126</v>
      </c>
      <c r="BK1017" t="s">
        <v>126</v>
      </c>
      <c r="BS1017" t="s">
        <v>126</v>
      </c>
      <c r="BT1017" t="s">
        <v>126</v>
      </c>
      <c r="BU1017" t="s">
        <v>126</v>
      </c>
      <c r="BV1017" t="s">
        <v>126</v>
      </c>
      <c r="CN1017" t="s">
        <v>147</v>
      </c>
      <c r="CP1017" t="s">
        <v>476</v>
      </c>
      <c r="CQ1017" t="s">
        <v>147</v>
      </c>
    </row>
    <row r="1018" spans="1:95" x14ac:dyDescent="0.2">
      <c r="A1018" t="s">
        <v>115</v>
      </c>
      <c r="B1018" t="s">
        <v>116</v>
      </c>
      <c r="C1018">
        <v>210784</v>
      </c>
      <c r="E1018" t="s">
        <v>117</v>
      </c>
      <c r="F1018">
        <v>368</v>
      </c>
      <c r="G1018" t="s">
        <v>141</v>
      </c>
      <c r="H1018" t="s">
        <v>142</v>
      </c>
      <c r="I1018" t="s">
        <v>279</v>
      </c>
      <c r="J1018" t="s">
        <v>280</v>
      </c>
      <c r="L1018" t="s">
        <v>483</v>
      </c>
      <c r="M1018" s="8">
        <v>45962</v>
      </c>
      <c r="N1018">
        <v>5833552</v>
      </c>
      <c r="O1018" t="s">
        <v>123</v>
      </c>
      <c r="P1018" t="s">
        <v>146</v>
      </c>
      <c r="Q1018">
        <v>4.34</v>
      </c>
      <c r="R1018" t="s">
        <v>125</v>
      </c>
      <c r="S1018" t="s">
        <v>126</v>
      </c>
      <c r="T1018" t="s">
        <v>125</v>
      </c>
      <c r="U1018" t="s">
        <v>126</v>
      </c>
      <c r="W1018">
        <v>4.34</v>
      </c>
      <c r="Y1018">
        <v>4.34</v>
      </c>
      <c r="AS1018">
        <v>4.34</v>
      </c>
      <c r="BH1018" t="s">
        <v>126</v>
      </c>
      <c r="BI1018" t="s">
        <v>126</v>
      </c>
      <c r="BJ1018" t="s">
        <v>126</v>
      </c>
      <c r="BK1018" t="s">
        <v>126</v>
      </c>
      <c r="BS1018" t="s">
        <v>126</v>
      </c>
      <c r="BT1018" t="s">
        <v>126</v>
      </c>
      <c r="BU1018" t="s">
        <v>126</v>
      </c>
      <c r="BV1018" t="s">
        <v>126</v>
      </c>
      <c r="CN1018" t="s">
        <v>147</v>
      </c>
      <c r="CP1018" t="s">
        <v>484</v>
      </c>
      <c r="CQ1018" t="s">
        <v>147</v>
      </c>
    </row>
    <row r="1019" spans="1:95" x14ac:dyDescent="0.2">
      <c r="A1019" t="s">
        <v>115</v>
      </c>
      <c r="B1019" t="s">
        <v>116</v>
      </c>
      <c r="C1019">
        <v>210784</v>
      </c>
      <c r="E1019" t="s">
        <v>117</v>
      </c>
      <c r="F1019">
        <v>368</v>
      </c>
      <c r="G1019" t="s">
        <v>141</v>
      </c>
      <c r="H1019" t="s">
        <v>142</v>
      </c>
      <c r="I1019" t="s">
        <v>279</v>
      </c>
      <c r="J1019" t="s">
        <v>280</v>
      </c>
      <c r="L1019" t="s">
        <v>485</v>
      </c>
      <c r="M1019" s="8">
        <v>45962</v>
      </c>
      <c r="N1019">
        <v>5834291</v>
      </c>
      <c r="O1019" t="s">
        <v>123</v>
      </c>
      <c r="P1019" t="s">
        <v>146</v>
      </c>
      <c r="Q1019">
        <v>6.76</v>
      </c>
      <c r="R1019" t="s">
        <v>125</v>
      </c>
      <c r="S1019" t="s">
        <v>126</v>
      </c>
      <c r="T1019" t="s">
        <v>125</v>
      </c>
      <c r="U1019" t="s">
        <v>126</v>
      </c>
      <c r="W1019">
        <v>6.76</v>
      </c>
      <c r="Y1019">
        <v>6.76</v>
      </c>
      <c r="AS1019">
        <v>6.76</v>
      </c>
      <c r="BH1019" t="s">
        <v>126</v>
      </c>
      <c r="BI1019" t="s">
        <v>126</v>
      </c>
      <c r="BJ1019" t="s">
        <v>126</v>
      </c>
      <c r="BK1019" t="s">
        <v>126</v>
      </c>
      <c r="BS1019" t="s">
        <v>126</v>
      </c>
      <c r="BT1019" t="s">
        <v>126</v>
      </c>
      <c r="BU1019" t="s">
        <v>126</v>
      </c>
      <c r="BV1019" t="s">
        <v>126</v>
      </c>
      <c r="CN1019" t="s">
        <v>147</v>
      </c>
      <c r="CP1019" t="s">
        <v>484</v>
      </c>
      <c r="CQ1019" t="s">
        <v>147</v>
      </c>
    </row>
    <row r="1020" spans="1:95" x14ac:dyDescent="0.2">
      <c r="A1020" t="s">
        <v>115</v>
      </c>
      <c r="B1020" t="s">
        <v>116</v>
      </c>
      <c r="C1020">
        <v>210784</v>
      </c>
      <c r="E1020" t="s">
        <v>117</v>
      </c>
      <c r="F1020">
        <v>368</v>
      </c>
      <c r="G1020" t="s">
        <v>314</v>
      </c>
      <c r="H1020" t="s">
        <v>115</v>
      </c>
      <c r="I1020" t="s">
        <v>515</v>
      </c>
      <c r="J1020" t="s">
        <v>516</v>
      </c>
      <c r="L1020" t="s">
        <v>524</v>
      </c>
      <c r="M1020" s="8">
        <v>45962</v>
      </c>
      <c r="N1020" t="s">
        <v>525</v>
      </c>
      <c r="O1020" t="s">
        <v>123</v>
      </c>
      <c r="P1020" t="s">
        <v>146</v>
      </c>
      <c r="Q1020">
        <v>121.94</v>
      </c>
      <c r="R1020" t="s">
        <v>125</v>
      </c>
      <c r="S1020" t="s">
        <v>126</v>
      </c>
      <c r="T1020" t="s">
        <v>125</v>
      </c>
      <c r="U1020" t="s">
        <v>126</v>
      </c>
      <c r="W1020">
        <v>121.94</v>
      </c>
      <c r="Y1020">
        <v>121.94</v>
      </c>
      <c r="AF1020">
        <v>121.94</v>
      </c>
      <c r="BH1020" t="s">
        <v>126</v>
      </c>
      <c r="BI1020" t="s">
        <v>126</v>
      </c>
      <c r="BJ1020" t="s">
        <v>126</v>
      </c>
      <c r="BK1020" t="s">
        <v>126</v>
      </c>
      <c r="BS1020" t="s">
        <v>126</v>
      </c>
      <c r="BT1020" t="s">
        <v>126</v>
      </c>
      <c r="BU1020" t="s">
        <v>126</v>
      </c>
      <c r="BV1020" t="s">
        <v>126</v>
      </c>
      <c r="CN1020" t="s">
        <v>526</v>
      </c>
      <c r="CP1020" t="s">
        <v>527</v>
      </c>
      <c r="CQ1020" t="s">
        <v>526</v>
      </c>
    </row>
    <row r="1021" spans="1:95" x14ac:dyDescent="0.2">
      <c r="A1021" t="s">
        <v>115</v>
      </c>
      <c r="B1021" t="s">
        <v>116</v>
      </c>
      <c r="C1021">
        <v>210784</v>
      </c>
      <c r="E1021" t="s">
        <v>117</v>
      </c>
      <c r="F1021">
        <v>368</v>
      </c>
      <c r="G1021" t="s">
        <v>141</v>
      </c>
      <c r="H1021" t="s">
        <v>142</v>
      </c>
      <c r="I1021" t="s">
        <v>279</v>
      </c>
      <c r="J1021" t="s">
        <v>280</v>
      </c>
      <c r="L1021" t="s">
        <v>480</v>
      </c>
      <c r="M1021" s="8">
        <v>45962</v>
      </c>
      <c r="N1021">
        <v>5822312</v>
      </c>
      <c r="O1021" t="s">
        <v>123</v>
      </c>
      <c r="P1021" t="s">
        <v>146</v>
      </c>
      <c r="Q1021">
        <v>4.42</v>
      </c>
      <c r="R1021" t="s">
        <v>569</v>
      </c>
      <c r="S1021" t="s">
        <v>126</v>
      </c>
      <c r="T1021" t="s">
        <v>569</v>
      </c>
      <c r="U1021" t="s">
        <v>570</v>
      </c>
      <c r="W1021">
        <v>1.36</v>
      </c>
      <c r="X1021">
        <v>3.0599999999999996</v>
      </c>
      <c r="Y1021">
        <v>4.42</v>
      </c>
      <c r="Z1021">
        <v>1.68</v>
      </c>
      <c r="AG1021">
        <v>1.36</v>
      </c>
      <c r="AI1021">
        <v>1.38</v>
      </c>
      <c r="BH1021" t="s">
        <v>126</v>
      </c>
      <c r="BI1021" t="s">
        <v>126</v>
      </c>
      <c r="BJ1021" t="s">
        <v>126</v>
      </c>
      <c r="BK1021" t="s">
        <v>126</v>
      </c>
      <c r="BS1021" t="s">
        <v>126</v>
      </c>
      <c r="BT1021" t="s">
        <v>126</v>
      </c>
      <c r="BU1021" t="s">
        <v>126</v>
      </c>
      <c r="BV1021" t="s">
        <v>126</v>
      </c>
      <c r="CN1021" t="s">
        <v>147</v>
      </c>
      <c r="CP1021" t="s">
        <v>476</v>
      </c>
      <c r="CQ1021" t="s">
        <v>147</v>
      </c>
    </row>
    <row r="1022" spans="1:95" x14ac:dyDescent="0.2">
      <c r="A1022" t="s">
        <v>115</v>
      </c>
      <c r="B1022" t="s">
        <v>116</v>
      </c>
      <c r="C1022">
        <v>210784</v>
      </c>
      <c r="E1022" t="s">
        <v>117</v>
      </c>
      <c r="F1022">
        <v>368</v>
      </c>
      <c r="G1022" t="s">
        <v>141</v>
      </c>
      <c r="H1022" t="s">
        <v>142</v>
      </c>
      <c r="I1022" t="s">
        <v>279</v>
      </c>
      <c r="J1022" t="s">
        <v>280</v>
      </c>
      <c r="L1022" t="s">
        <v>760</v>
      </c>
      <c r="M1022" s="8">
        <v>45962</v>
      </c>
      <c r="N1022">
        <v>5824677</v>
      </c>
      <c r="O1022" t="s">
        <v>123</v>
      </c>
      <c r="P1022" t="s">
        <v>146</v>
      </c>
      <c r="Q1022">
        <v>3.12</v>
      </c>
      <c r="R1022" t="s">
        <v>569</v>
      </c>
      <c r="S1022" t="s">
        <v>126</v>
      </c>
      <c r="T1022" t="s">
        <v>569</v>
      </c>
      <c r="U1022" t="s">
        <v>570</v>
      </c>
      <c r="W1022">
        <v>0.96</v>
      </c>
      <c r="X1022">
        <v>2.16</v>
      </c>
      <c r="Y1022">
        <v>3.12</v>
      </c>
      <c r="Z1022">
        <v>1.19</v>
      </c>
      <c r="AG1022">
        <v>0.96</v>
      </c>
      <c r="AI1022">
        <v>0.97</v>
      </c>
      <c r="BH1022" t="s">
        <v>126</v>
      </c>
      <c r="BI1022" t="s">
        <v>126</v>
      </c>
      <c r="BJ1022" t="s">
        <v>126</v>
      </c>
      <c r="BK1022" t="s">
        <v>126</v>
      </c>
      <c r="BS1022" t="s">
        <v>126</v>
      </c>
      <c r="BT1022" t="s">
        <v>126</v>
      </c>
      <c r="BU1022" t="s">
        <v>126</v>
      </c>
      <c r="BV1022" t="s">
        <v>126</v>
      </c>
      <c r="CN1022" t="s">
        <v>147</v>
      </c>
      <c r="CP1022" t="s">
        <v>476</v>
      </c>
      <c r="CQ1022" t="s">
        <v>147</v>
      </c>
    </row>
    <row r="1023" spans="1:95" x14ac:dyDescent="0.2">
      <c r="A1023" t="s">
        <v>115</v>
      </c>
      <c r="B1023" t="s">
        <v>116</v>
      </c>
      <c r="C1023">
        <v>210784</v>
      </c>
      <c r="E1023" t="s">
        <v>117</v>
      </c>
      <c r="F1023">
        <v>368</v>
      </c>
      <c r="G1023" t="s">
        <v>141</v>
      </c>
      <c r="H1023" t="s">
        <v>142</v>
      </c>
      <c r="I1023" t="s">
        <v>279</v>
      </c>
      <c r="J1023" t="s">
        <v>280</v>
      </c>
      <c r="L1023" t="s">
        <v>481</v>
      </c>
      <c r="M1023" s="8">
        <v>45962</v>
      </c>
      <c r="N1023">
        <v>5826776</v>
      </c>
      <c r="O1023" t="s">
        <v>123</v>
      </c>
      <c r="P1023" t="s">
        <v>146</v>
      </c>
      <c r="Q1023">
        <v>5.25</v>
      </c>
      <c r="R1023" t="s">
        <v>567</v>
      </c>
      <c r="S1023" t="s">
        <v>126</v>
      </c>
      <c r="T1023" t="s">
        <v>567</v>
      </c>
      <c r="U1023" t="s">
        <v>568</v>
      </c>
      <c r="W1023">
        <v>1.62</v>
      </c>
      <c r="X1023">
        <v>3.63</v>
      </c>
      <c r="Y1023">
        <v>5.25</v>
      </c>
      <c r="Z1023">
        <v>2</v>
      </c>
      <c r="AG1023">
        <v>1.62</v>
      </c>
      <c r="AI1023">
        <v>1.63</v>
      </c>
      <c r="BH1023" t="s">
        <v>126</v>
      </c>
      <c r="BI1023" t="s">
        <v>126</v>
      </c>
      <c r="BJ1023" t="s">
        <v>126</v>
      </c>
      <c r="BK1023" t="s">
        <v>126</v>
      </c>
      <c r="BS1023" t="s">
        <v>126</v>
      </c>
      <c r="BT1023" t="s">
        <v>126</v>
      </c>
      <c r="BU1023" t="s">
        <v>126</v>
      </c>
      <c r="BV1023" t="s">
        <v>126</v>
      </c>
      <c r="CN1023" t="s">
        <v>147</v>
      </c>
      <c r="CP1023" t="s">
        <v>476</v>
      </c>
      <c r="CQ1023" t="s">
        <v>147</v>
      </c>
    </row>
    <row r="1024" spans="1:95" x14ac:dyDescent="0.2">
      <c r="A1024" t="s">
        <v>115</v>
      </c>
      <c r="B1024" t="s">
        <v>116</v>
      </c>
      <c r="C1024">
        <v>210784</v>
      </c>
      <c r="E1024" t="s">
        <v>117</v>
      </c>
      <c r="F1024">
        <v>368</v>
      </c>
      <c r="G1024" t="s">
        <v>118</v>
      </c>
      <c r="H1024" t="s">
        <v>119</v>
      </c>
      <c r="I1024" t="s">
        <v>130</v>
      </c>
      <c r="J1024" t="s">
        <v>131</v>
      </c>
      <c r="L1024" t="s">
        <v>762</v>
      </c>
      <c r="M1024" s="8">
        <v>45962</v>
      </c>
      <c r="N1024">
        <v>7343722</v>
      </c>
      <c r="O1024" t="s">
        <v>123</v>
      </c>
      <c r="P1024" t="s">
        <v>124</v>
      </c>
      <c r="Q1024">
        <v>5.7</v>
      </c>
      <c r="R1024" t="s">
        <v>125</v>
      </c>
      <c r="S1024" t="s">
        <v>126</v>
      </c>
      <c r="T1024" t="s">
        <v>125</v>
      </c>
      <c r="U1024" t="s">
        <v>126</v>
      </c>
      <c r="W1024">
        <v>5.7</v>
      </c>
      <c r="Y1024">
        <v>5.7</v>
      </c>
      <c r="AA1024">
        <v>2.5</v>
      </c>
      <c r="AC1024">
        <v>3.2</v>
      </c>
      <c r="BH1024" t="s">
        <v>126</v>
      </c>
      <c r="BI1024" t="s">
        <v>126</v>
      </c>
      <c r="BJ1024" t="s">
        <v>126</v>
      </c>
      <c r="BK1024" t="s">
        <v>126</v>
      </c>
      <c r="BS1024" t="s">
        <v>126</v>
      </c>
      <c r="BT1024" t="s">
        <v>126</v>
      </c>
      <c r="BU1024" t="s">
        <v>126</v>
      </c>
      <c r="BV1024" t="s">
        <v>126</v>
      </c>
      <c r="CN1024" t="s">
        <v>127</v>
      </c>
      <c r="CP1024" t="s">
        <v>128</v>
      </c>
      <c r="CQ1024" t="s">
        <v>127</v>
      </c>
    </row>
    <row r="1025" spans="1:95" x14ac:dyDescent="0.2">
      <c r="A1025" t="s">
        <v>115</v>
      </c>
      <c r="B1025" t="s">
        <v>116</v>
      </c>
      <c r="C1025">
        <v>210784</v>
      </c>
      <c r="E1025" t="s">
        <v>117</v>
      </c>
      <c r="F1025">
        <v>368</v>
      </c>
      <c r="G1025" t="s">
        <v>141</v>
      </c>
      <c r="H1025" t="s">
        <v>142</v>
      </c>
      <c r="I1025" t="s">
        <v>279</v>
      </c>
      <c r="J1025" t="s">
        <v>280</v>
      </c>
      <c r="L1025" t="s">
        <v>765</v>
      </c>
      <c r="M1025" s="8">
        <v>45962</v>
      </c>
      <c r="N1025">
        <v>5829416</v>
      </c>
      <c r="O1025" t="s">
        <v>123</v>
      </c>
      <c r="P1025" t="s">
        <v>146</v>
      </c>
      <c r="Q1025">
        <v>2.2999999999999998</v>
      </c>
      <c r="R1025" t="s">
        <v>669</v>
      </c>
      <c r="S1025" t="s">
        <v>126</v>
      </c>
      <c r="T1025" t="s">
        <v>669</v>
      </c>
      <c r="U1025" t="s">
        <v>670</v>
      </c>
      <c r="W1025">
        <v>0.71</v>
      </c>
      <c r="X1025">
        <v>1.5899999999999999</v>
      </c>
      <c r="Y1025">
        <v>2.2999999999999998</v>
      </c>
      <c r="Z1025">
        <v>0.87</v>
      </c>
      <c r="AG1025">
        <v>0.71</v>
      </c>
      <c r="AI1025">
        <v>0.72</v>
      </c>
      <c r="BH1025" t="s">
        <v>126</v>
      </c>
      <c r="BI1025" t="s">
        <v>126</v>
      </c>
      <c r="BJ1025" t="s">
        <v>126</v>
      </c>
      <c r="BK1025" t="s">
        <v>126</v>
      </c>
      <c r="BS1025" t="s">
        <v>126</v>
      </c>
      <c r="BT1025" t="s">
        <v>126</v>
      </c>
      <c r="BU1025" t="s">
        <v>126</v>
      </c>
      <c r="BV1025" t="s">
        <v>126</v>
      </c>
      <c r="CN1025" t="s">
        <v>147</v>
      </c>
      <c r="CP1025" t="s">
        <v>484</v>
      </c>
      <c r="CQ1025" t="s">
        <v>147</v>
      </c>
    </row>
    <row r="1026" spans="1:95" x14ac:dyDescent="0.2">
      <c r="A1026" t="s">
        <v>115</v>
      </c>
      <c r="B1026" t="s">
        <v>116</v>
      </c>
      <c r="C1026">
        <v>210784</v>
      </c>
      <c r="E1026" t="s">
        <v>117</v>
      </c>
      <c r="F1026">
        <v>368</v>
      </c>
      <c r="G1026" t="s">
        <v>141</v>
      </c>
      <c r="H1026" t="s">
        <v>142</v>
      </c>
      <c r="I1026" t="s">
        <v>279</v>
      </c>
      <c r="J1026" t="s">
        <v>280</v>
      </c>
      <c r="L1026" t="s">
        <v>766</v>
      </c>
      <c r="M1026" s="8">
        <v>45962</v>
      </c>
      <c r="N1026">
        <v>5829494</v>
      </c>
      <c r="O1026" t="s">
        <v>123</v>
      </c>
      <c r="P1026" t="s">
        <v>146</v>
      </c>
      <c r="Q1026">
        <v>0.51</v>
      </c>
      <c r="R1026" t="s">
        <v>767</v>
      </c>
      <c r="S1026" t="s">
        <v>126</v>
      </c>
      <c r="T1026" t="s">
        <v>767</v>
      </c>
      <c r="U1026" t="s">
        <v>768</v>
      </c>
      <c r="W1026">
        <v>0.16</v>
      </c>
      <c r="X1026">
        <v>0.35</v>
      </c>
      <c r="Y1026">
        <v>0.51</v>
      </c>
      <c r="Z1026">
        <v>0.19</v>
      </c>
      <c r="AG1026">
        <v>0.16</v>
      </c>
      <c r="AI1026">
        <v>0.16</v>
      </c>
      <c r="BH1026" t="s">
        <v>126</v>
      </c>
      <c r="BI1026" t="s">
        <v>126</v>
      </c>
      <c r="BJ1026" t="s">
        <v>126</v>
      </c>
      <c r="BK1026" t="s">
        <v>126</v>
      </c>
      <c r="BS1026" t="s">
        <v>126</v>
      </c>
      <c r="BT1026" t="s">
        <v>126</v>
      </c>
      <c r="BU1026" t="s">
        <v>126</v>
      </c>
      <c r="BV1026" t="s">
        <v>126</v>
      </c>
      <c r="CN1026" t="s">
        <v>147</v>
      </c>
      <c r="CP1026" t="s">
        <v>484</v>
      </c>
      <c r="CQ1026" t="s">
        <v>147</v>
      </c>
    </row>
    <row r="1027" spans="1:95" x14ac:dyDescent="0.2">
      <c r="A1027" t="s">
        <v>115</v>
      </c>
      <c r="B1027" t="s">
        <v>116</v>
      </c>
      <c r="C1027">
        <v>210784</v>
      </c>
      <c r="E1027" t="s">
        <v>117</v>
      </c>
      <c r="F1027">
        <v>368</v>
      </c>
      <c r="G1027" t="s">
        <v>141</v>
      </c>
      <c r="H1027" t="s">
        <v>142</v>
      </c>
      <c r="I1027" t="s">
        <v>279</v>
      </c>
      <c r="J1027" t="s">
        <v>280</v>
      </c>
      <c r="L1027" t="s">
        <v>479</v>
      </c>
      <c r="M1027" s="8">
        <v>45962</v>
      </c>
      <c r="N1027">
        <v>5823712</v>
      </c>
      <c r="O1027" t="s">
        <v>123</v>
      </c>
      <c r="P1027" t="s">
        <v>146</v>
      </c>
      <c r="Q1027">
        <v>2.88</v>
      </c>
      <c r="R1027" t="s">
        <v>125</v>
      </c>
      <c r="S1027" t="s">
        <v>126</v>
      </c>
      <c r="T1027" t="s">
        <v>125</v>
      </c>
      <c r="U1027" t="s">
        <v>126</v>
      </c>
      <c r="W1027">
        <v>2.88</v>
      </c>
      <c r="Y1027">
        <v>2.88</v>
      </c>
      <c r="BE1027">
        <v>2.88</v>
      </c>
      <c r="BH1027" t="s">
        <v>126</v>
      </c>
      <c r="BI1027" t="s">
        <v>126</v>
      </c>
      <c r="BJ1027" t="s">
        <v>126</v>
      </c>
      <c r="BK1027" t="s">
        <v>126</v>
      </c>
      <c r="BS1027" t="s">
        <v>126</v>
      </c>
      <c r="BT1027" t="s">
        <v>126</v>
      </c>
      <c r="BU1027" t="s">
        <v>126</v>
      </c>
      <c r="BV1027" t="s">
        <v>126</v>
      </c>
      <c r="CN1027" t="s">
        <v>147</v>
      </c>
      <c r="CP1027" t="s">
        <v>476</v>
      </c>
      <c r="CQ1027" t="s">
        <v>147</v>
      </c>
    </row>
    <row r="1028" spans="1:95" x14ac:dyDescent="0.2">
      <c r="A1028" t="s">
        <v>115</v>
      </c>
      <c r="B1028" t="s">
        <v>116</v>
      </c>
      <c r="C1028">
        <v>210784</v>
      </c>
      <c r="E1028" t="s">
        <v>117</v>
      </c>
      <c r="F1028">
        <v>368</v>
      </c>
      <c r="G1028" t="s">
        <v>141</v>
      </c>
      <c r="H1028" t="s">
        <v>142</v>
      </c>
      <c r="I1028" t="s">
        <v>279</v>
      </c>
      <c r="J1028" t="s">
        <v>280</v>
      </c>
      <c r="L1028" t="s">
        <v>901</v>
      </c>
      <c r="M1028" s="8">
        <v>45962</v>
      </c>
      <c r="N1028">
        <v>5824355</v>
      </c>
      <c r="O1028" t="s">
        <v>123</v>
      </c>
      <c r="P1028" t="s">
        <v>146</v>
      </c>
      <c r="Q1028">
        <v>5.0599999999999996</v>
      </c>
      <c r="R1028" t="s">
        <v>125</v>
      </c>
      <c r="S1028" t="s">
        <v>126</v>
      </c>
      <c r="T1028" t="s">
        <v>125</v>
      </c>
      <c r="U1028" t="s">
        <v>126</v>
      </c>
      <c r="W1028">
        <v>5.0599999999999996</v>
      </c>
      <c r="Y1028">
        <v>5.0599999999999996</v>
      </c>
      <c r="BE1028">
        <v>5.0599999999999996</v>
      </c>
      <c r="BH1028" t="s">
        <v>126</v>
      </c>
      <c r="BI1028" t="s">
        <v>126</v>
      </c>
      <c r="BJ1028" t="s">
        <v>126</v>
      </c>
      <c r="BK1028" t="s">
        <v>126</v>
      </c>
      <c r="BS1028" t="s">
        <v>126</v>
      </c>
      <c r="BT1028" t="s">
        <v>126</v>
      </c>
      <c r="BU1028" t="s">
        <v>126</v>
      </c>
      <c r="BV1028" t="s">
        <v>126</v>
      </c>
      <c r="CN1028" t="s">
        <v>147</v>
      </c>
      <c r="CP1028" t="s">
        <v>476</v>
      </c>
      <c r="CQ1028" t="s">
        <v>147</v>
      </c>
    </row>
    <row r="1029" spans="1:95" x14ac:dyDescent="0.2">
      <c r="A1029" t="s">
        <v>115</v>
      </c>
      <c r="B1029" t="s">
        <v>116</v>
      </c>
      <c r="C1029">
        <v>210784</v>
      </c>
      <c r="E1029" t="s">
        <v>117</v>
      </c>
      <c r="F1029">
        <v>368</v>
      </c>
      <c r="G1029" t="s">
        <v>141</v>
      </c>
      <c r="H1029" t="s">
        <v>142</v>
      </c>
      <c r="I1029" t="s">
        <v>279</v>
      </c>
      <c r="J1029" t="s">
        <v>280</v>
      </c>
      <c r="L1029" t="s">
        <v>481</v>
      </c>
      <c r="M1029" s="8">
        <v>45962</v>
      </c>
      <c r="N1029">
        <v>5827188</v>
      </c>
      <c r="O1029" t="s">
        <v>123</v>
      </c>
      <c r="P1029" t="s">
        <v>146</v>
      </c>
      <c r="Q1029">
        <v>3.61</v>
      </c>
      <c r="R1029" t="s">
        <v>125</v>
      </c>
      <c r="S1029" t="s">
        <v>126</v>
      </c>
      <c r="T1029" t="s">
        <v>125</v>
      </c>
      <c r="U1029" t="s">
        <v>126</v>
      </c>
      <c r="W1029">
        <v>3.61</v>
      </c>
      <c r="Y1029">
        <v>3.61</v>
      </c>
      <c r="BE1029">
        <v>3.61</v>
      </c>
      <c r="BH1029" t="s">
        <v>126</v>
      </c>
      <c r="BI1029" t="s">
        <v>126</v>
      </c>
      <c r="BJ1029" t="s">
        <v>126</v>
      </c>
      <c r="BK1029" t="s">
        <v>126</v>
      </c>
      <c r="BS1029" t="s">
        <v>126</v>
      </c>
      <c r="BT1029" t="s">
        <v>126</v>
      </c>
      <c r="BU1029" t="s">
        <v>126</v>
      </c>
      <c r="BV1029" t="s">
        <v>126</v>
      </c>
      <c r="CN1029" t="s">
        <v>147</v>
      </c>
      <c r="CP1029" t="s">
        <v>476</v>
      </c>
      <c r="CQ1029" t="s">
        <v>147</v>
      </c>
    </row>
    <row r="1030" spans="1:95" x14ac:dyDescent="0.2">
      <c r="A1030" t="s">
        <v>115</v>
      </c>
      <c r="B1030" t="s">
        <v>116</v>
      </c>
      <c r="C1030">
        <v>210784</v>
      </c>
      <c r="E1030" t="s">
        <v>117</v>
      </c>
      <c r="F1030">
        <v>368</v>
      </c>
      <c r="G1030" t="s">
        <v>141</v>
      </c>
      <c r="H1030" t="s">
        <v>142</v>
      </c>
      <c r="I1030" t="s">
        <v>279</v>
      </c>
      <c r="J1030" t="s">
        <v>280</v>
      </c>
      <c r="L1030" t="s">
        <v>902</v>
      </c>
      <c r="M1030" s="8">
        <v>45962</v>
      </c>
      <c r="N1030">
        <v>5827569</v>
      </c>
      <c r="O1030" t="s">
        <v>123</v>
      </c>
      <c r="P1030" t="s">
        <v>146</v>
      </c>
      <c r="Q1030">
        <v>5.15</v>
      </c>
      <c r="R1030" t="s">
        <v>125</v>
      </c>
      <c r="S1030" t="s">
        <v>126</v>
      </c>
      <c r="T1030" t="s">
        <v>125</v>
      </c>
      <c r="U1030" t="s">
        <v>126</v>
      </c>
      <c r="W1030">
        <v>5.15</v>
      </c>
      <c r="Y1030">
        <v>5.15</v>
      </c>
      <c r="BE1030">
        <v>5.15</v>
      </c>
      <c r="BH1030" t="s">
        <v>126</v>
      </c>
      <c r="BI1030" t="s">
        <v>126</v>
      </c>
      <c r="BJ1030" t="s">
        <v>126</v>
      </c>
      <c r="BK1030" t="s">
        <v>126</v>
      </c>
      <c r="BS1030" t="s">
        <v>126</v>
      </c>
      <c r="BT1030" t="s">
        <v>126</v>
      </c>
      <c r="BU1030" t="s">
        <v>126</v>
      </c>
      <c r="BV1030" t="s">
        <v>126</v>
      </c>
      <c r="CN1030" t="s">
        <v>147</v>
      </c>
      <c r="CP1030" t="s">
        <v>476</v>
      </c>
      <c r="CQ1030" t="s">
        <v>147</v>
      </c>
    </row>
    <row r="1031" spans="1:95" x14ac:dyDescent="0.2">
      <c r="A1031" t="s">
        <v>115</v>
      </c>
      <c r="B1031" t="s">
        <v>116</v>
      </c>
      <c r="C1031">
        <v>210784</v>
      </c>
      <c r="E1031" t="s">
        <v>117</v>
      </c>
      <c r="F1031">
        <v>368</v>
      </c>
      <c r="G1031" t="s">
        <v>141</v>
      </c>
      <c r="H1031" t="s">
        <v>142</v>
      </c>
      <c r="I1031" t="s">
        <v>279</v>
      </c>
      <c r="J1031" t="s">
        <v>280</v>
      </c>
      <c r="L1031" t="s">
        <v>903</v>
      </c>
      <c r="M1031" s="8">
        <v>45962</v>
      </c>
      <c r="N1031">
        <v>5828156</v>
      </c>
      <c r="O1031" t="s">
        <v>123</v>
      </c>
      <c r="P1031" t="s">
        <v>146</v>
      </c>
      <c r="Q1031">
        <v>5.34</v>
      </c>
      <c r="R1031" t="s">
        <v>125</v>
      </c>
      <c r="S1031" t="s">
        <v>126</v>
      </c>
      <c r="T1031" t="s">
        <v>125</v>
      </c>
      <c r="U1031" t="s">
        <v>126</v>
      </c>
      <c r="W1031">
        <v>5.34</v>
      </c>
      <c r="Y1031">
        <v>5.34</v>
      </c>
      <c r="BE1031">
        <v>5.34</v>
      </c>
      <c r="BH1031" t="s">
        <v>126</v>
      </c>
      <c r="BI1031" t="s">
        <v>126</v>
      </c>
      <c r="BJ1031" t="s">
        <v>126</v>
      </c>
      <c r="BK1031" t="s">
        <v>126</v>
      </c>
      <c r="BS1031" t="s">
        <v>126</v>
      </c>
      <c r="BT1031" t="s">
        <v>126</v>
      </c>
      <c r="BU1031" t="s">
        <v>126</v>
      </c>
      <c r="BV1031" t="s">
        <v>126</v>
      </c>
      <c r="CN1031" t="s">
        <v>147</v>
      </c>
      <c r="CP1031" t="s">
        <v>476</v>
      </c>
      <c r="CQ1031" t="s">
        <v>147</v>
      </c>
    </row>
    <row r="1032" spans="1:95" x14ac:dyDescent="0.2">
      <c r="A1032" t="s">
        <v>115</v>
      </c>
      <c r="B1032" t="s">
        <v>116</v>
      </c>
      <c r="C1032">
        <v>210784</v>
      </c>
      <c r="E1032" t="s">
        <v>117</v>
      </c>
      <c r="F1032">
        <v>368</v>
      </c>
      <c r="G1032" t="s">
        <v>141</v>
      </c>
      <c r="H1032" t="s">
        <v>142</v>
      </c>
      <c r="I1032" t="s">
        <v>279</v>
      </c>
      <c r="J1032" t="s">
        <v>280</v>
      </c>
      <c r="L1032" t="s">
        <v>765</v>
      </c>
      <c r="M1032" s="8">
        <v>45962</v>
      </c>
      <c r="N1032">
        <v>5829537</v>
      </c>
      <c r="O1032" t="s">
        <v>123</v>
      </c>
      <c r="P1032" t="s">
        <v>146</v>
      </c>
      <c r="Q1032">
        <v>5.45</v>
      </c>
      <c r="R1032" t="s">
        <v>125</v>
      </c>
      <c r="S1032" t="s">
        <v>126</v>
      </c>
      <c r="T1032" t="s">
        <v>125</v>
      </c>
      <c r="U1032" t="s">
        <v>126</v>
      </c>
      <c r="W1032">
        <v>5.45</v>
      </c>
      <c r="Y1032">
        <v>5.45</v>
      </c>
      <c r="BE1032">
        <v>5.45</v>
      </c>
      <c r="BH1032" t="s">
        <v>126</v>
      </c>
      <c r="BI1032" t="s">
        <v>126</v>
      </c>
      <c r="BJ1032" t="s">
        <v>126</v>
      </c>
      <c r="BK1032" t="s">
        <v>126</v>
      </c>
      <c r="BS1032" t="s">
        <v>126</v>
      </c>
      <c r="BT1032" t="s">
        <v>126</v>
      </c>
      <c r="BU1032" t="s">
        <v>126</v>
      </c>
      <c r="BV1032" t="s">
        <v>126</v>
      </c>
      <c r="CN1032" t="s">
        <v>147</v>
      </c>
      <c r="CP1032" t="s">
        <v>484</v>
      </c>
      <c r="CQ1032" t="s">
        <v>147</v>
      </c>
    </row>
    <row r="1033" spans="1:95" x14ac:dyDescent="0.2">
      <c r="A1033" t="s">
        <v>115</v>
      </c>
      <c r="B1033" t="s">
        <v>116</v>
      </c>
      <c r="C1033">
        <v>210784</v>
      </c>
      <c r="E1033" t="s">
        <v>117</v>
      </c>
      <c r="F1033">
        <v>368</v>
      </c>
      <c r="G1033" t="s">
        <v>141</v>
      </c>
      <c r="H1033" t="s">
        <v>142</v>
      </c>
      <c r="I1033" t="s">
        <v>279</v>
      </c>
      <c r="J1033" t="s">
        <v>280</v>
      </c>
      <c r="L1033" t="s">
        <v>904</v>
      </c>
      <c r="M1033" s="8">
        <v>45962</v>
      </c>
      <c r="N1033">
        <v>5830491</v>
      </c>
      <c r="O1033" t="s">
        <v>123</v>
      </c>
      <c r="P1033" t="s">
        <v>146</v>
      </c>
      <c r="Q1033">
        <v>5.52</v>
      </c>
      <c r="R1033" t="s">
        <v>125</v>
      </c>
      <c r="S1033" t="s">
        <v>126</v>
      </c>
      <c r="T1033" t="s">
        <v>125</v>
      </c>
      <c r="U1033" t="s">
        <v>126</v>
      </c>
      <c r="W1033">
        <v>5.52</v>
      </c>
      <c r="Y1033">
        <v>5.52</v>
      </c>
      <c r="BE1033">
        <v>5.52</v>
      </c>
      <c r="BH1033" t="s">
        <v>126</v>
      </c>
      <c r="BI1033" t="s">
        <v>126</v>
      </c>
      <c r="BJ1033" t="s">
        <v>126</v>
      </c>
      <c r="BK1033" t="s">
        <v>126</v>
      </c>
      <c r="BS1033" t="s">
        <v>126</v>
      </c>
      <c r="BT1033" t="s">
        <v>126</v>
      </c>
      <c r="BU1033" t="s">
        <v>126</v>
      </c>
      <c r="BV1033" t="s">
        <v>126</v>
      </c>
      <c r="CN1033" t="s">
        <v>147</v>
      </c>
      <c r="CP1033" t="s">
        <v>484</v>
      </c>
      <c r="CQ1033" t="s">
        <v>147</v>
      </c>
    </row>
    <row r="1034" spans="1:95" x14ac:dyDescent="0.2">
      <c r="A1034" t="s">
        <v>115</v>
      </c>
      <c r="B1034" t="s">
        <v>116</v>
      </c>
      <c r="C1034">
        <v>210784</v>
      </c>
      <c r="E1034" t="s">
        <v>117</v>
      </c>
      <c r="F1034">
        <v>368</v>
      </c>
      <c r="G1034" t="s">
        <v>141</v>
      </c>
      <c r="H1034" t="s">
        <v>142</v>
      </c>
      <c r="I1034" t="s">
        <v>279</v>
      </c>
      <c r="J1034" t="s">
        <v>280</v>
      </c>
      <c r="L1034" t="s">
        <v>524</v>
      </c>
      <c r="M1034" s="8">
        <v>45962</v>
      </c>
      <c r="N1034">
        <v>5830914</v>
      </c>
      <c r="O1034" t="s">
        <v>123</v>
      </c>
      <c r="P1034" t="s">
        <v>146</v>
      </c>
      <c r="Q1034">
        <v>5.74</v>
      </c>
      <c r="R1034" t="s">
        <v>125</v>
      </c>
      <c r="S1034" t="s">
        <v>126</v>
      </c>
      <c r="T1034" t="s">
        <v>125</v>
      </c>
      <c r="U1034" t="s">
        <v>126</v>
      </c>
      <c r="W1034">
        <v>5.74</v>
      </c>
      <c r="Y1034">
        <v>5.74</v>
      </c>
      <c r="BE1034">
        <v>5.74</v>
      </c>
      <c r="BH1034" t="s">
        <v>126</v>
      </c>
      <c r="BI1034" t="s">
        <v>126</v>
      </c>
      <c r="BJ1034" t="s">
        <v>126</v>
      </c>
      <c r="BK1034" t="s">
        <v>126</v>
      </c>
      <c r="BS1034" t="s">
        <v>126</v>
      </c>
      <c r="BT1034" t="s">
        <v>126</v>
      </c>
      <c r="BU1034" t="s">
        <v>126</v>
      </c>
      <c r="BV1034" t="s">
        <v>126</v>
      </c>
      <c r="CN1034" t="s">
        <v>147</v>
      </c>
      <c r="CP1034" t="s">
        <v>484</v>
      </c>
      <c r="CQ1034" t="s">
        <v>147</v>
      </c>
    </row>
    <row r="1035" spans="1:95" x14ac:dyDescent="0.2">
      <c r="A1035" t="s">
        <v>115</v>
      </c>
      <c r="B1035" t="s">
        <v>116</v>
      </c>
      <c r="C1035">
        <v>210784</v>
      </c>
      <c r="E1035" t="s">
        <v>117</v>
      </c>
      <c r="F1035">
        <v>368</v>
      </c>
      <c r="G1035" t="s">
        <v>141</v>
      </c>
      <c r="H1035" t="s">
        <v>142</v>
      </c>
      <c r="I1035" t="s">
        <v>279</v>
      </c>
      <c r="J1035" t="s">
        <v>280</v>
      </c>
      <c r="L1035" t="s">
        <v>905</v>
      </c>
      <c r="M1035" s="8">
        <v>45962</v>
      </c>
      <c r="N1035">
        <v>5831906</v>
      </c>
      <c r="O1035" t="s">
        <v>123</v>
      </c>
      <c r="P1035" t="s">
        <v>146</v>
      </c>
      <c r="Q1035">
        <v>4.6500000000000004</v>
      </c>
      <c r="R1035" t="s">
        <v>125</v>
      </c>
      <c r="S1035" t="s">
        <v>126</v>
      </c>
      <c r="T1035" t="s">
        <v>125</v>
      </c>
      <c r="U1035" t="s">
        <v>126</v>
      </c>
      <c r="W1035">
        <v>4.6500000000000004</v>
      </c>
      <c r="Y1035">
        <v>4.6500000000000004</v>
      </c>
      <c r="BE1035">
        <v>4.6500000000000004</v>
      </c>
      <c r="BH1035" t="s">
        <v>126</v>
      </c>
      <c r="BI1035" t="s">
        <v>126</v>
      </c>
      <c r="BJ1035" t="s">
        <v>126</v>
      </c>
      <c r="BK1035" t="s">
        <v>126</v>
      </c>
      <c r="BS1035" t="s">
        <v>126</v>
      </c>
      <c r="BT1035" t="s">
        <v>126</v>
      </c>
      <c r="BU1035" t="s">
        <v>126</v>
      </c>
      <c r="BV1035" t="s">
        <v>126</v>
      </c>
      <c r="CN1035" t="s">
        <v>147</v>
      </c>
      <c r="CP1035" t="s">
        <v>484</v>
      </c>
      <c r="CQ1035" t="s">
        <v>147</v>
      </c>
    </row>
    <row r="1036" spans="1:95" x14ac:dyDescent="0.2">
      <c r="A1036" t="s">
        <v>115</v>
      </c>
      <c r="B1036" t="s">
        <v>116</v>
      </c>
      <c r="C1036">
        <v>210784</v>
      </c>
      <c r="E1036" t="s">
        <v>117</v>
      </c>
      <c r="F1036">
        <v>368</v>
      </c>
      <c r="G1036" t="s">
        <v>141</v>
      </c>
      <c r="H1036" t="s">
        <v>142</v>
      </c>
      <c r="I1036" t="s">
        <v>279</v>
      </c>
      <c r="J1036" t="s">
        <v>280</v>
      </c>
      <c r="L1036" t="s">
        <v>905</v>
      </c>
      <c r="M1036" s="8">
        <v>45962</v>
      </c>
      <c r="N1036">
        <v>5831718</v>
      </c>
      <c r="O1036" t="s">
        <v>123</v>
      </c>
      <c r="P1036" t="s">
        <v>146</v>
      </c>
      <c r="Q1036">
        <v>7.12</v>
      </c>
      <c r="R1036" t="s">
        <v>125</v>
      </c>
      <c r="S1036" t="s">
        <v>126</v>
      </c>
      <c r="T1036" t="s">
        <v>125</v>
      </c>
      <c r="U1036" t="s">
        <v>126</v>
      </c>
      <c r="W1036">
        <v>7.12</v>
      </c>
      <c r="Y1036">
        <v>7.12</v>
      </c>
      <c r="BE1036">
        <v>7.12</v>
      </c>
      <c r="BH1036" t="s">
        <v>126</v>
      </c>
      <c r="BI1036" t="s">
        <v>126</v>
      </c>
      <c r="BJ1036" t="s">
        <v>126</v>
      </c>
      <c r="BK1036" t="s">
        <v>126</v>
      </c>
      <c r="BS1036" t="s">
        <v>126</v>
      </c>
      <c r="BT1036" t="s">
        <v>126</v>
      </c>
      <c r="BU1036" t="s">
        <v>126</v>
      </c>
      <c r="BV1036" t="s">
        <v>126</v>
      </c>
      <c r="CN1036" t="s">
        <v>147</v>
      </c>
      <c r="CP1036" t="s">
        <v>484</v>
      </c>
      <c r="CQ1036" t="s">
        <v>147</v>
      </c>
    </row>
    <row r="1037" spans="1:95" x14ac:dyDescent="0.2">
      <c r="A1037" t="s">
        <v>115</v>
      </c>
      <c r="B1037" t="s">
        <v>116</v>
      </c>
      <c r="C1037">
        <v>210784</v>
      </c>
      <c r="E1037" t="s">
        <v>117</v>
      </c>
      <c r="F1037">
        <v>368</v>
      </c>
      <c r="G1037" t="s">
        <v>141</v>
      </c>
      <c r="H1037" t="s">
        <v>142</v>
      </c>
      <c r="I1037" t="s">
        <v>279</v>
      </c>
      <c r="J1037" t="s">
        <v>280</v>
      </c>
      <c r="L1037" t="s">
        <v>906</v>
      </c>
      <c r="M1037" s="8">
        <v>45962</v>
      </c>
      <c r="N1037">
        <v>5832786</v>
      </c>
      <c r="O1037" t="s">
        <v>123</v>
      </c>
      <c r="P1037" t="s">
        <v>146</v>
      </c>
      <c r="Q1037">
        <v>7.63</v>
      </c>
      <c r="R1037" t="s">
        <v>125</v>
      </c>
      <c r="S1037" t="s">
        <v>126</v>
      </c>
      <c r="T1037" t="s">
        <v>125</v>
      </c>
      <c r="U1037" t="s">
        <v>126</v>
      </c>
      <c r="W1037">
        <v>7.63</v>
      </c>
      <c r="Y1037">
        <v>7.63</v>
      </c>
      <c r="BE1037">
        <v>7.63</v>
      </c>
      <c r="BH1037" t="s">
        <v>126</v>
      </c>
      <c r="BI1037" t="s">
        <v>126</v>
      </c>
      <c r="BJ1037" t="s">
        <v>126</v>
      </c>
      <c r="BK1037" t="s">
        <v>126</v>
      </c>
      <c r="BS1037" t="s">
        <v>126</v>
      </c>
      <c r="BT1037" t="s">
        <v>126</v>
      </c>
      <c r="BU1037" t="s">
        <v>126</v>
      </c>
      <c r="BV1037" t="s">
        <v>126</v>
      </c>
      <c r="CN1037" t="s">
        <v>147</v>
      </c>
      <c r="CP1037" t="s">
        <v>484</v>
      </c>
      <c r="CQ1037" t="s">
        <v>147</v>
      </c>
    </row>
    <row r="1038" spans="1:95" x14ac:dyDescent="0.2">
      <c r="A1038" t="s">
        <v>115</v>
      </c>
      <c r="B1038" t="s">
        <v>116</v>
      </c>
      <c r="C1038">
        <v>210784</v>
      </c>
      <c r="E1038" t="s">
        <v>117</v>
      </c>
      <c r="F1038">
        <v>368</v>
      </c>
      <c r="G1038" t="s">
        <v>141</v>
      </c>
      <c r="H1038" t="s">
        <v>142</v>
      </c>
      <c r="I1038" t="s">
        <v>279</v>
      </c>
      <c r="J1038" t="s">
        <v>280</v>
      </c>
      <c r="L1038" t="s">
        <v>483</v>
      </c>
      <c r="M1038" s="8">
        <v>45962</v>
      </c>
      <c r="N1038">
        <v>5833517</v>
      </c>
      <c r="O1038" t="s">
        <v>123</v>
      </c>
      <c r="P1038" t="s">
        <v>146</v>
      </c>
      <c r="Q1038">
        <v>5.43</v>
      </c>
      <c r="R1038" t="s">
        <v>125</v>
      </c>
      <c r="S1038" t="s">
        <v>126</v>
      </c>
      <c r="T1038" t="s">
        <v>125</v>
      </c>
      <c r="U1038" t="s">
        <v>126</v>
      </c>
      <c r="W1038">
        <v>5.43</v>
      </c>
      <c r="Y1038">
        <v>5.43</v>
      </c>
      <c r="BE1038">
        <v>5.43</v>
      </c>
      <c r="BH1038" t="s">
        <v>126</v>
      </c>
      <c r="BI1038" t="s">
        <v>126</v>
      </c>
      <c r="BJ1038" t="s">
        <v>126</v>
      </c>
      <c r="BK1038" t="s">
        <v>126</v>
      </c>
      <c r="BS1038" t="s">
        <v>126</v>
      </c>
      <c r="BT1038" t="s">
        <v>126</v>
      </c>
      <c r="BU1038" t="s">
        <v>126</v>
      </c>
      <c r="BV1038" t="s">
        <v>126</v>
      </c>
      <c r="CN1038" t="s">
        <v>147</v>
      </c>
      <c r="CP1038" t="s">
        <v>484</v>
      </c>
      <c r="CQ1038" t="s">
        <v>147</v>
      </c>
    </row>
    <row r="1039" spans="1:95" x14ac:dyDescent="0.2">
      <c r="A1039" t="s">
        <v>115</v>
      </c>
      <c r="B1039" t="s">
        <v>116</v>
      </c>
      <c r="C1039">
        <v>210784</v>
      </c>
      <c r="E1039" t="s">
        <v>117</v>
      </c>
      <c r="F1039">
        <v>368</v>
      </c>
      <c r="G1039" t="s">
        <v>141</v>
      </c>
      <c r="H1039" t="s">
        <v>142</v>
      </c>
      <c r="I1039" t="s">
        <v>279</v>
      </c>
      <c r="J1039" t="s">
        <v>280</v>
      </c>
      <c r="L1039" t="s">
        <v>762</v>
      </c>
      <c r="M1039" s="8">
        <v>45962</v>
      </c>
      <c r="N1039">
        <v>5834807</v>
      </c>
      <c r="O1039" t="s">
        <v>123</v>
      </c>
      <c r="P1039" t="s">
        <v>146</v>
      </c>
      <c r="Q1039">
        <v>3.97</v>
      </c>
      <c r="R1039" t="s">
        <v>125</v>
      </c>
      <c r="S1039" t="s">
        <v>126</v>
      </c>
      <c r="T1039" t="s">
        <v>125</v>
      </c>
      <c r="U1039" t="s">
        <v>126</v>
      </c>
      <c r="W1039">
        <v>3.97</v>
      </c>
      <c r="Y1039">
        <v>3.97</v>
      </c>
      <c r="BE1039">
        <v>3.97</v>
      </c>
      <c r="BH1039" t="s">
        <v>126</v>
      </c>
      <c r="BI1039" t="s">
        <v>126</v>
      </c>
      <c r="BJ1039" t="s">
        <v>126</v>
      </c>
      <c r="BK1039" t="s">
        <v>126</v>
      </c>
      <c r="BS1039" t="s">
        <v>126</v>
      </c>
      <c r="BT1039" t="s">
        <v>126</v>
      </c>
      <c r="BU1039" t="s">
        <v>126</v>
      </c>
      <c r="BV1039" t="s">
        <v>126</v>
      </c>
      <c r="CN1039" t="s">
        <v>147</v>
      </c>
      <c r="CP1039" t="s">
        <v>484</v>
      </c>
      <c r="CQ1039" t="s">
        <v>147</v>
      </c>
    </row>
    <row r="1040" spans="1:95" x14ac:dyDescent="0.2">
      <c r="A1040" t="s">
        <v>115</v>
      </c>
      <c r="B1040" t="s">
        <v>116</v>
      </c>
      <c r="C1040">
        <v>210784</v>
      </c>
      <c r="E1040" t="s">
        <v>117</v>
      </c>
      <c r="F1040">
        <v>368</v>
      </c>
      <c r="G1040" t="s">
        <v>141</v>
      </c>
      <c r="H1040" t="s">
        <v>142</v>
      </c>
      <c r="I1040" t="s">
        <v>279</v>
      </c>
      <c r="J1040" t="s">
        <v>280</v>
      </c>
      <c r="L1040" t="s">
        <v>485</v>
      </c>
      <c r="M1040" s="8">
        <v>45962</v>
      </c>
      <c r="N1040">
        <v>5834689</v>
      </c>
      <c r="O1040" t="s">
        <v>123</v>
      </c>
      <c r="P1040" t="s">
        <v>146</v>
      </c>
      <c r="Q1040">
        <v>2.81</v>
      </c>
      <c r="R1040" t="s">
        <v>125</v>
      </c>
      <c r="S1040" t="s">
        <v>126</v>
      </c>
      <c r="T1040" t="s">
        <v>125</v>
      </c>
      <c r="U1040" t="s">
        <v>126</v>
      </c>
      <c r="W1040">
        <v>2.81</v>
      </c>
      <c r="Y1040">
        <v>2.81</v>
      </c>
      <c r="BE1040">
        <v>2.81</v>
      </c>
      <c r="BH1040" t="s">
        <v>126</v>
      </c>
      <c r="BI1040" t="s">
        <v>126</v>
      </c>
      <c r="BJ1040" t="s">
        <v>126</v>
      </c>
      <c r="BK1040" t="s">
        <v>126</v>
      </c>
      <c r="BS1040" t="s">
        <v>126</v>
      </c>
      <c r="BT1040" t="s">
        <v>126</v>
      </c>
      <c r="BU1040" t="s">
        <v>126</v>
      </c>
      <c r="BV1040" t="s">
        <v>126</v>
      </c>
      <c r="CN1040" t="s">
        <v>147</v>
      </c>
      <c r="CP1040" t="s">
        <v>484</v>
      </c>
      <c r="CQ1040" t="s">
        <v>147</v>
      </c>
    </row>
    <row r="1041" spans="1:95" x14ac:dyDescent="0.2">
      <c r="A1041" t="s">
        <v>115</v>
      </c>
      <c r="B1041" t="s">
        <v>116</v>
      </c>
      <c r="C1041">
        <v>210784</v>
      </c>
      <c r="E1041" t="s">
        <v>117</v>
      </c>
      <c r="F1041">
        <v>368</v>
      </c>
      <c r="G1041" t="s">
        <v>141</v>
      </c>
      <c r="H1041" t="s">
        <v>142</v>
      </c>
      <c r="I1041" t="s">
        <v>279</v>
      </c>
      <c r="J1041" t="s">
        <v>280</v>
      </c>
      <c r="L1041" t="s">
        <v>907</v>
      </c>
      <c r="M1041" s="8">
        <v>45962</v>
      </c>
      <c r="N1041">
        <v>5836243</v>
      </c>
      <c r="O1041" t="s">
        <v>123</v>
      </c>
      <c r="P1041" t="s">
        <v>146</v>
      </c>
      <c r="Q1041">
        <v>3.99</v>
      </c>
      <c r="R1041" t="s">
        <v>125</v>
      </c>
      <c r="S1041" t="s">
        <v>126</v>
      </c>
      <c r="T1041" t="s">
        <v>125</v>
      </c>
      <c r="U1041" t="s">
        <v>126</v>
      </c>
      <c r="W1041">
        <v>3.99</v>
      </c>
      <c r="Y1041">
        <v>3.99</v>
      </c>
      <c r="BE1041">
        <v>3.99</v>
      </c>
      <c r="BH1041" t="s">
        <v>126</v>
      </c>
      <c r="BI1041" t="s">
        <v>126</v>
      </c>
      <c r="BJ1041" t="s">
        <v>126</v>
      </c>
      <c r="BK1041" t="s">
        <v>126</v>
      </c>
      <c r="BS1041" t="s">
        <v>126</v>
      </c>
      <c r="BT1041" t="s">
        <v>126</v>
      </c>
      <c r="BU1041" t="s">
        <v>126</v>
      </c>
      <c r="BV1041" t="s">
        <v>126</v>
      </c>
      <c r="CN1041" t="s">
        <v>147</v>
      </c>
      <c r="CP1041" t="s">
        <v>484</v>
      </c>
      <c r="CQ1041" t="s">
        <v>147</v>
      </c>
    </row>
    <row r="1042" spans="1:95" x14ac:dyDescent="0.2">
      <c r="A1042" t="s">
        <v>115</v>
      </c>
      <c r="B1042" t="s">
        <v>116</v>
      </c>
      <c r="C1042">
        <v>210784</v>
      </c>
      <c r="E1042" t="s">
        <v>117</v>
      </c>
      <c r="F1042">
        <v>368</v>
      </c>
      <c r="G1042" t="s">
        <v>141</v>
      </c>
      <c r="H1042" t="s">
        <v>142</v>
      </c>
      <c r="I1042" t="s">
        <v>279</v>
      </c>
      <c r="J1042" t="s">
        <v>280</v>
      </c>
      <c r="L1042" t="s">
        <v>907</v>
      </c>
      <c r="M1042" s="8">
        <v>45962</v>
      </c>
      <c r="N1042">
        <v>5836137</v>
      </c>
      <c r="O1042" t="s">
        <v>123</v>
      </c>
      <c r="P1042" t="s">
        <v>146</v>
      </c>
      <c r="Q1042">
        <v>4.59</v>
      </c>
      <c r="R1042" t="s">
        <v>125</v>
      </c>
      <c r="S1042" t="s">
        <v>126</v>
      </c>
      <c r="T1042" t="s">
        <v>125</v>
      </c>
      <c r="U1042" t="s">
        <v>126</v>
      </c>
      <c r="W1042">
        <v>4.59</v>
      </c>
      <c r="Y1042">
        <v>4.59</v>
      </c>
      <c r="BE1042">
        <v>4.59</v>
      </c>
      <c r="BH1042" t="s">
        <v>126</v>
      </c>
      <c r="BI1042" t="s">
        <v>126</v>
      </c>
      <c r="BJ1042" t="s">
        <v>126</v>
      </c>
      <c r="BK1042" t="s">
        <v>126</v>
      </c>
      <c r="BS1042" t="s">
        <v>126</v>
      </c>
      <c r="BT1042" t="s">
        <v>126</v>
      </c>
      <c r="BU1042" t="s">
        <v>126</v>
      </c>
      <c r="BV1042" t="s">
        <v>126</v>
      </c>
      <c r="CN1042" t="s">
        <v>147</v>
      </c>
      <c r="CP1042" t="s">
        <v>484</v>
      </c>
      <c r="CQ1042" t="s">
        <v>147</v>
      </c>
    </row>
    <row r="1043" spans="1:95" x14ac:dyDescent="0.2">
      <c r="A1043" t="s">
        <v>115</v>
      </c>
      <c r="B1043" t="s">
        <v>116</v>
      </c>
      <c r="C1043">
        <v>210784</v>
      </c>
      <c r="E1043" t="s">
        <v>117</v>
      </c>
      <c r="F1043">
        <v>368</v>
      </c>
      <c r="G1043" t="s">
        <v>118</v>
      </c>
      <c r="H1043" t="s">
        <v>119</v>
      </c>
      <c r="I1043" t="s">
        <v>120</v>
      </c>
      <c r="J1043" t="s">
        <v>121</v>
      </c>
      <c r="L1043" t="s">
        <v>297</v>
      </c>
      <c r="M1043" s="8">
        <v>45992</v>
      </c>
      <c r="N1043">
        <v>136416</v>
      </c>
      <c r="O1043" t="s">
        <v>123</v>
      </c>
      <c r="P1043" t="s">
        <v>124</v>
      </c>
      <c r="Q1043">
        <v>10.220000000000001</v>
      </c>
      <c r="R1043" t="s">
        <v>125</v>
      </c>
      <c r="S1043" t="s">
        <v>126</v>
      </c>
      <c r="T1043" t="s">
        <v>125</v>
      </c>
      <c r="U1043" t="s">
        <v>126</v>
      </c>
      <c r="W1043">
        <v>10.220000000000001</v>
      </c>
      <c r="Y1043">
        <v>10.220000000000001</v>
      </c>
      <c r="AC1043">
        <v>10.220000000000001</v>
      </c>
      <c r="BH1043" t="s">
        <v>126</v>
      </c>
      <c r="BI1043" t="s">
        <v>126</v>
      </c>
      <c r="BJ1043" t="s">
        <v>126</v>
      </c>
      <c r="BK1043" t="s">
        <v>126</v>
      </c>
      <c r="BS1043" t="s">
        <v>126</v>
      </c>
      <c r="BT1043" t="s">
        <v>126</v>
      </c>
      <c r="BU1043" t="s">
        <v>126</v>
      </c>
      <c r="BV1043" t="s">
        <v>126</v>
      </c>
      <c r="CN1043" t="s">
        <v>127</v>
      </c>
      <c r="CP1043" t="s">
        <v>128</v>
      </c>
      <c r="CQ1043" t="s">
        <v>127</v>
      </c>
    </row>
    <row r="1044" spans="1:95" x14ac:dyDescent="0.2">
      <c r="A1044" t="s">
        <v>115</v>
      </c>
      <c r="B1044" t="s">
        <v>116</v>
      </c>
      <c r="C1044">
        <v>210784</v>
      </c>
      <c r="E1044" t="s">
        <v>117</v>
      </c>
      <c r="F1044">
        <v>368</v>
      </c>
      <c r="G1044" t="s">
        <v>141</v>
      </c>
      <c r="H1044" t="s">
        <v>142</v>
      </c>
      <c r="I1044" t="s">
        <v>279</v>
      </c>
      <c r="J1044" t="s">
        <v>280</v>
      </c>
      <c r="L1044" t="s">
        <v>486</v>
      </c>
      <c r="M1044" s="8">
        <v>45992</v>
      </c>
      <c r="N1044">
        <v>5841870</v>
      </c>
      <c r="O1044" t="s">
        <v>123</v>
      </c>
      <c r="P1044" t="s">
        <v>146</v>
      </c>
      <c r="Q1044">
        <v>6.59</v>
      </c>
      <c r="R1044" t="s">
        <v>125</v>
      </c>
      <c r="S1044" t="s">
        <v>126</v>
      </c>
      <c r="T1044" t="s">
        <v>125</v>
      </c>
      <c r="U1044" t="s">
        <v>126</v>
      </c>
      <c r="W1044">
        <v>6.59</v>
      </c>
      <c r="Y1044">
        <v>6.59</v>
      </c>
      <c r="AS1044">
        <v>6.59</v>
      </c>
      <c r="BH1044" t="s">
        <v>126</v>
      </c>
      <c r="BI1044" t="s">
        <v>126</v>
      </c>
      <c r="BJ1044" t="s">
        <v>126</v>
      </c>
      <c r="BK1044" t="s">
        <v>126</v>
      </c>
      <c r="BS1044" t="s">
        <v>126</v>
      </c>
      <c r="BT1044" t="s">
        <v>126</v>
      </c>
      <c r="BU1044" t="s">
        <v>126</v>
      </c>
      <c r="BV1044" t="s">
        <v>126</v>
      </c>
      <c r="CN1044" t="s">
        <v>147</v>
      </c>
      <c r="CP1044" t="s">
        <v>484</v>
      </c>
      <c r="CQ1044" t="s">
        <v>147</v>
      </c>
    </row>
    <row r="1045" spans="1:95" x14ac:dyDescent="0.2">
      <c r="A1045" t="s">
        <v>115</v>
      </c>
      <c r="B1045" t="s">
        <v>116</v>
      </c>
      <c r="C1045">
        <v>210784</v>
      </c>
      <c r="E1045" t="s">
        <v>117</v>
      </c>
      <c r="F1045">
        <v>368</v>
      </c>
      <c r="G1045" t="s">
        <v>141</v>
      </c>
      <c r="H1045" t="s">
        <v>142</v>
      </c>
      <c r="I1045" t="s">
        <v>279</v>
      </c>
      <c r="J1045" t="s">
        <v>280</v>
      </c>
      <c r="L1045" t="s">
        <v>487</v>
      </c>
      <c r="M1045" s="8">
        <v>45992</v>
      </c>
      <c r="N1045">
        <v>5842823</v>
      </c>
      <c r="O1045" t="s">
        <v>123</v>
      </c>
      <c r="P1045" t="s">
        <v>146</v>
      </c>
      <c r="Q1045">
        <v>7.23</v>
      </c>
      <c r="R1045" t="s">
        <v>125</v>
      </c>
      <c r="S1045" t="s">
        <v>126</v>
      </c>
      <c r="T1045" t="s">
        <v>125</v>
      </c>
      <c r="U1045" t="s">
        <v>126</v>
      </c>
      <c r="W1045">
        <v>7.23</v>
      </c>
      <c r="Y1045">
        <v>7.23</v>
      </c>
      <c r="AS1045">
        <v>7.23</v>
      </c>
      <c r="BH1045" t="s">
        <v>126</v>
      </c>
      <c r="BI1045" t="s">
        <v>126</v>
      </c>
      <c r="BJ1045" t="s">
        <v>126</v>
      </c>
      <c r="BK1045" t="s">
        <v>126</v>
      </c>
      <c r="BS1045" t="s">
        <v>126</v>
      </c>
      <c r="BT1045" t="s">
        <v>126</v>
      </c>
      <c r="BU1045" t="s">
        <v>126</v>
      </c>
      <c r="BV1045" t="s">
        <v>126</v>
      </c>
      <c r="CN1045" t="s">
        <v>147</v>
      </c>
      <c r="CP1045" t="s">
        <v>484</v>
      </c>
      <c r="CQ1045" t="s">
        <v>147</v>
      </c>
    </row>
    <row r="1046" spans="1:95" x14ac:dyDescent="0.2">
      <c r="A1046" t="s">
        <v>115</v>
      </c>
      <c r="B1046" t="s">
        <v>116</v>
      </c>
      <c r="C1046">
        <v>210784</v>
      </c>
      <c r="E1046" t="s">
        <v>117</v>
      </c>
      <c r="F1046">
        <v>368</v>
      </c>
      <c r="G1046" t="s">
        <v>141</v>
      </c>
      <c r="H1046" t="s">
        <v>142</v>
      </c>
      <c r="I1046" t="s">
        <v>279</v>
      </c>
      <c r="J1046" t="s">
        <v>280</v>
      </c>
      <c r="L1046" t="s">
        <v>297</v>
      </c>
      <c r="M1046" s="8">
        <v>45992</v>
      </c>
      <c r="N1046">
        <v>5844027</v>
      </c>
      <c r="O1046" t="s">
        <v>123</v>
      </c>
      <c r="P1046" t="s">
        <v>146</v>
      </c>
      <c r="Q1046">
        <v>4.21</v>
      </c>
      <c r="R1046" t="s">
        <v>125</v>
      </c>
      <c r="S1046" t="s">
        <v>126</v>
      </c>
      <c r="T1046" t="s">
        <v>125</v>
      </c>
      <c r="U1046" t="s">
        <v>126</v>
      </c>
      <c r="W1046">
        <v>4.21</v>
      </c>
      <c r="Y1046">
        <v>4.21</v>
      </c>
      <c r="AS1046">
        <v>4.21</v>
      </c>
      <c r="BH1046" t="s">
        <v>126</v>
      </c>
      <c r="BI1046" t="s">
        <v>126</v>
      </c>
      <c r="BJ1046" t="s">
        <v>126</v>
      </c>
      <c r="BK1046" t="s">
        <v>126</v>
      </c>
      <c r="BS1046" t="s">
        <v>126</v>
      </c>
      <c r="BT1046" t="s">
        <v>126</v>
      </c>
      <c r="BU1046" t="s">
        <v>126</v>
      </c>
      <c r="BV1046" t="s">
        <v>126</v>
      </c>
      <c r="CN1046" t="s">
        <v>147</v>
      </c>
      <c r="CP1046" t="s">
        <v>484</v>
      </c>
      <c r="CQ1046" t="s">
        <v>147</v>
      </c>
    </row>
    <row r="1047" spans="1:95" x14ac:dyDescent="0.2">
      <c r="A1047" t="s">
        <v>115</v>
      </c>
      <c r="B1047" t="s">
        <v>116</v>
      </c>
      <c r="C1047">
        <v>210784</v>
      </c>
      <c r="E1047" t="s">
        <v>117</v>
      </c>
      <c r="F1047">
        <v>368</v>
      </c>
      <c r="G1047" t="s">
        <v>141</v>
      </c>
      <c r="H1047" t="s">
        <v>142</v>
      </c>
      <c r="I1047" t="s">
        <v>279</v>
      </c>
      <c r="J1047" t="s">
        <v>280</v>
      </c>
      <c r="L1047" t="s">
        <v>488</v>
      </c>
      <c r="M1047" s="8">
        <v>45992</v>
      </c>
      <c r="N1047">
        <v>5844846</v>
      </c>
      <c r="O1047" t="s">
        <v>123</v>
      </c>
      <c r="P1047" t="s">
        <v>146</v>
      </c>
      <c r="Q1047">
        <v>6.28</v>
      </c>
      <c r="R1047" t="s">
        <v>125</v>
      </c>
      <c r="S1047" t="s">
        <v>126</v>
      </c>
      <c r="T1047" t="s">
        <v>125</v>
      </c>
      <c r="U1047" t="s">
        <v>126</v>
      </c>
      <c r="W1047">
        <v>6.28</v>
      </c>
      <c r="Y1047">
        <v>6.28</v>
      </c>
      <c r="AS1047">
        <v>6.28</v>
      </c>
      <c r="BH1047" t="s">
        <v>126</v>
      </c>
      <c r="BI1047" t="s">
        <v>126</v>
      </c>
      <c r="BJ1047" t="s">
        <v>126</v>
      </c>
      <c r="BK1047" t="s">
        <v>126</v>
      </c>
      <c r="BS1047" t="s">
        <v>126</v>
      </c>
      <c r="BT1047" t="s">
        <v>126</v>
      </c>
      <c r="BU1047" t="s">
        <v>126</v>
      </c>
      <c r="BV1047" t="s">
        <v>126</v>
      </c>
      <c r="CN1047" t="s">
        <v>147</v>
      </c>
      <c r="CP1047" t="s">
        <v>484</v>
      </c>
      <c r="CQ1047" t="s">
        <v>147</v>
      </c>
    </row>
    <row r="1048" spans="1:95" x14ac:dyDescent="0.2">
      <c r="A1048" t="s">
        <v>115</v>
      </c>
      <c r="B1048" t="s">
        <v>116</v>
      </c>
      <c r="C1048">
        <v>210784</v>
      </c>
      <c r="E1048" t="s">
        <v>117</v>
      </c>
      <c r="F1048">
        <v>368</v>
      </c>
      <c r="G1048" t="s">
        <v>141</v>
      </c>
      <c r="H1048" t="s">
        <v>142</v>
      </c>
      <c r="I1048" t="s">
        <v>279</v>
      </c>
      <c r="J1048" t="s">
        <v>280</v>
      </c>
      <c r="L1048" t="s">
        <v>489</v>
      </c>
      <c r="M1048" s="8">
        <v>45992</v>
      </c>
      <c r="N1048">
        <v>5846280</v>
      </c>
      <c r="O1048" t="s">
        <v>123</v>
      </c>
      <c r="P1048" t="s">
        <v>146</v>
      </c>
      <c r="Q1048">
        <v>4.82</v>
      </c>
      <c r="R1048" t="s">
        <v>125</v>
      </c>
      <c r="S1048" t="s">
        <v>126</v>
      </c>
      <c r="T1048" t="s">
        <v>125</v>
      </c>
      <c r="U1048" t="s">
        <v>126</v>
      </c>
      <c r="W1048">
        <v>4.82</v>
      </c>
      <c r="Y1048">
        <v>4.82</v>
      </c>
      <c r="AS1048">
        <v>4.82</v>
      </c>
      <c r="BH1048" t="s">
        <v>126</v>
      </c>
      <c r="BI1048" t="s">
        <v>126</v>
      </c>
      <c r="BJ1048" t="s">
        <v>126</v>
      </c>
      <c r="BK1048" t="s">
        <v>126</v>
      </c>
      <c r="BS1048" t="s">
        <v>126</v>
      </c>
      <c r="BT1048" t="s">
        <v>126</v>
      </c>
      <c r="BU1048" t="s">
        <v>126</v>
      </c>
      <c r="BV1048" t="s">
        <v>126</v>
      </c>
      <c r="CN1048" t="s">
        <v>147</v>
      </c>
      <c r="CP1048" t="s">
        <v>484</v>
      </c>
      <c r="CQ1048" t="s">
        <v>147</v>
      </c>
    </row>
    <row r="1049" spans="1:95" x14ac:dyDescent="0.2">
      <c r="A1049" t="s">
        <v>115</v>
      </c>
      <c r="B1049" t="s">
        <v>116</v>
      </c>
      <c r="C1049">
        <v>210784</v>
      </c>
      <c r="E1049" t="s">
        <v>117</v>
      </c>
      <c r="F1049">
        <v>368</v>
      </c>
      <c r="G1049" t="s">
        <v>141</v>
      </c>
      <c r="H1049" t="s">
        <v>142</v>
      </c>
      <c r="I1049" t="s">
        <v>279</v>
      </c>
      <c r="J1049" t="s">
        <v>280</v>
      </c>
      <c r="L1049" t="s">
        <v>128</v>
      </c>
      <c r="M1049" s="8">
        <v>45992</v>
      </c>
      <c r="N1049">
        <v>5848673</v>
      </c>
      <c r="O1049" t="s">
        <v>123</v>
      </c>
      <c r="P1049" t="s">
        <v>146</v>
      </c>
      <c r="Q1049">
        <v>5.82</v>
      </c>
      <c r="R1049" t="s">
        <v>125</v>
      </c>
      <c r="S1049" t="s">
        <v>126</v>
      </c>
      <c r="T1049" t="s">
        <v>125</v>
      </c>
      <c r="U1049" t="s">
        <v>126</v>
      </c>
      <c r="W1049">
        <v>5.82</v>
      </c>
      <c r="Y1049">
        <v>5.82</v>
      </c>
      <c r="AS1049">
        <v>5.82</v>
      </c>
      <c r="BH1049" t="s">
        <v>126</v>
      </c>
      <c r="BI1049" t="s">
        <v>126</v>
      </c>
      <c r="BJ1049" t="s">
        <v>126</v>
      </c>
      <c r="BK1049" t="s">
        <v>126</v>
      </c>
      <c r="BS1049" t="s">
        <v>126</v>
      </c>
      <c r="BT1049" t="s">
        <v>126</v>
      </c>
      <c r="BU1049" t="s">
        <v>126</v>
      </c>
      <c r="BV1049" t="s">
        <v>126</v>
      </c>
      <c r="CN1049" t="s">
        <v>147</v>
      </c>
      <c r="CP1049" t="s">
        <v>484</v>
      </c>
      <c r="CQ1049" t="s">
        <v>147</v>
      </c>
    </row>
    <row r="1050" spans="1:95" x14ac:dyDescent="0.2">
      <c r="A1050" t="s">
        <v>115</v>
      </c>
      <c r="B1050" t="s">
        <v>116</v>
      </c>
      <c r="C1050">
        <v>210784</v>
      </c>
      <c r="E1050" t="s">
        <v>117</v>
      </c>
      <c r="F1050">
        <v>368</v>
      </c>
      <c r="G1050" t="s">
        <v>118</v>
      </c>
      <c r="H1050" t="s">
        <v>119</v>
      </c>
      <c r="I1050" t="s">
        <v>120</v>
      </c>
      <c r="J1050" t="s">
        <v>121</v>
      </c>
      <c r="L1050" t="s">
        <v>761</v>
      </c>
      <c r="M1050" s="8">
        <v>45992</v>
      </c>
      <c r="N1050">
        <v>136142</v>
      </c>
      <c r="O1050" t="s">
        <v>123</v>
      </c>
      <c r="P1050" t="s">
        <v>124</v>
      </c>
      <c r="Q1050">
        <v>14.6106</v>
      </c>
      <c r="R1050" t="s">
        <v>125</v>
      </c>
      <c r="S1050" t="s">
        <v>126</v>
      </c>
      <c r="T1050" t="s">
        <v>125</v>
      </c>
      <c r="U1050" t="s">
        <v>126</v>
      </c>
      <c r="W1050">
        <v>14.6106</v>
      </c>
      <c r="Y1050">
        <v>14.6106</v>
      </c>
      <c r="AA1050">
        <v>7.3006000000000002</v>
      </c>
      <c r="AC1050">
        <v>7.31</v>
      </c>
      <c r="BH1050" t="s">
        <v>126</v>
      </c>
      <c r="BI1050" t="s">
        <v>126</v>
      </c>
      <c r="BJ1050" t="s">
        <v>126</v>
      </c>
      <c r="BK1050" t="s">
        <v>126</v>
      </c>
      <c r="BS1050" t="s">
        <v>126</v>
      </c>
      <c r="BT1050" t="s">
        <v>126</v>
      </c>
      <c r="BU1050" t="s">
        <v>126</v>
      </c>
      <c r="BV1050" t="s">
        <v>126</v>
      </c>
      <c r="CN1050" t="s">
        <v>127</v>
      </c>
      <c r="CP1050" t="s">
        <v>128</v>
      </c>
      <c r="CQ1050" t="s">
        <v>127</v>
      </c>
    </row>
    <row r="1051" spans="1:95" x14ac:dyDescent="0.2">
      <c r="A1051" t="s">
        <v>115</v>
      </c>
      <c r="B1051" t="s">
        <v>116</v>
      </c>
      <c r="C1051">
        <v>210784</v>
      </c>
      <c r="E1051" t="s">
        <v>117</v>
      </c>
      <c r="F1051">
        <v>368</v>
      </c>
      <c r="G1051" t="s">
        <v>118</v>
      </c>
      <c r="H1051" t="s">
        <v>119</v>
      </c>
      <c r="I1051" t="s">
        <v>130</v>
      </c>
      <c r="J1051" t="s">
        <v>131</v>
      </c>
      <c r="L1051" t="s">
        <v>763</v>
      </c>
      <c r="M1051" s="8">
        <v>45992</v>
      </c>
      <c r="N1051">
        <v>7344375</v>
      </c>
      <c r="O1051" t="s">
        <v>123</v>
      </c>
      <c r="P1051" t="s">
        <v>124</v>
      </c>
      <c r="Q1051">
        <v>12.5404</v>
      </c>
      <c r="R1051" t="s">
        <v>125</v>
      </c>
      <c r="S1051" t="s">
        <v>126</v>
      </c>
      <c r="T1051" t="s">
        <v>125</v>
      </c>
      <c r="U1051" t="s">
        <v>126</v>
      </c>
      <c r="W1051">
        <v>12.5404</v>
      </c>
      <c r="Y1051">
        <v>12.5404</v>
      </c>
      <c r="AA1051">
        <v>6.0004</v>
      </c>
      <c r="AC1051">
        <v>6.54</v>
      </c>
      <c r="BH1051" t="s">
        <v>126</v>
      </c>
      <c r="BI1051" t="s">
        <v>126</v>
      </c>
      <c r="BJ1051" t="s">
        <v>126</v>
      </c>
      <c r="BK1051" t="s">
        <v>126</v>
      </c>
      <c r="BS1051" t="s">
        <v>126</v>
      </c>
      <c r="BT1051" t="s">
        <v>126</v>
      </c>
      <c r="BU1051" t="s">
        <v>126</v>
      </c>
      <c r="BV1051" t="s">
        <v>126</v>
      </c>
      <c r="CN1051" t="s">
        <v>127</v>
      </c>
      <c r="CP1051" t="s">
        <v>128</v>
      </c>
      <c r="CQ1051" t="s">
        <v>127</v>
      </c>
    </row>
    <row r="1052" spans="1:95" x14ac:dyDescent="0.2">
      <c r="A1052" t="s">
        <v>115</v>
      </c>
      <c r="B1052" t="s">
        <v>116</v>
      </c>
      <c r="C1052">
        <v>210784</v>
      </c>
      <c r="E1052" t="s">
        <v>117</v>
      </c>
      <c r="F1052">
        <v>368</v>
      </c>
      <c r="G1052" t="s">
        <v>118</v>
      </c>
      <c r="H1052" t="s">
        <v>119</v>
      </c>
      <c r="I1052" t="s">
        <v>130</v>
      </c>
      <c r="J1052" t="s">
        <v>131</v>
      </c>
      <c r="L1052" t="s">
        <v>763</v>
      </c>
      <c r="M1052" s="8">
        <v>45992</v>
      </c>
      <c r="N1052">
        <v>7344275</v>
      </c>
      <c r="O1052" t="s">
        <v>123</v>
      </c>
      <c r="P1052" t="s">
        <v>124</v>
      </c>
      <c r="Q1052">
        <v>16.480600000000003</v>
      </c>
      <c r="R1052" t="s">
        <v>125</v>
      </c>
      <c r="S1052" t="s">
        <v>126</v>
      </c>
      <c r="T1052" t="s">
        <v>125</v>
      </c>
      <c r="U1052" t="s">
        <v>126</v>
      </c>
      <c r="W1052">
        <v>16.480600000000003</v>
      </c>
      <c r="Y1052">
        <v>16.480600000000003</v>
      </c>
      <c r="AA1052">
        <v>8</v>
      </c>
      <c r="AC1052">
        <v>8.4806000000000008</v>
      </c>
      <c r="BH1052" t="s">
        <v>126</v>
      </c>
      <c r="BI1052" t="s">
        <v>126</v>
      </c>
      <c r="BJ1052" t="s">
        <v>126</v>
      </c>
      <c r="BK1052" t="s">
        <v>126</v>
      </c>
      <c r="BS1052" t="s">
        <v>126</v>
      </c>
      <c r="BT1052" t="s">
        <v>126</v>
      </c>
      <c r="BU1052" t="s">
        <v>126</v>
      </c>
      <c r="BV1052" t="s">
        <v>126</v>
      </c>
      <c r="CN1052" t="s">
        <v>764</v>
      </c>
      <c r="CP1052" t="s">
        <v>128</v>
      </c>
      <c r="CQ1052" t="s">
        <v>764</v>
      </c>
    </row>
    <row r="1053" spans="1:95" x14ac:dyDescent="0.2">
      <c r="A1053" t="s">
        <v>115</v>
      </c>
      <c r="B1053" t="s">
        <v>116</v>
      </c>
      <c r="C1053">
        <v>210784</v>
      </c>
      <c r="E1053" t="s">
        <v>117</v>
      </c>
      <c r="F1053">
        <v>368</v>
      </c>
      <c r="G1053" t="s">
        <v>118</v>
      </c>
      <c r="H1053" t="s">
        <v>119</v>
      </c>
      <c r="I1053" t="s">
        <v>130</v>
      </c>
      <c r="J1053" t="s">
        <v>131</v>
      </c>
      <c r="L1053" t="s">
        <v>763</v>
      </c>
      <c r="M1053" s="8">
        <v>45992</v>
      </c>
      <c r="N1053">
        <v>7344431</v>
      </c>
      <c r="O1053" t="s">
        <v>123</v>
      </c>
      <c r="P1053" t="s">
        <v>124</v>
      </c>
      <c r="Q1053">
        <v>6.04</v>
      </c>
      <c r="R1053" t="s">
        <v>125</v>
      </c>
      <c r="S1053" t="s">
        <v>126</v>
      </c>
      <c r="T1053" t="s">
        <v>125</v>
      </c>
      <c r="U1053" t="s">
        <v>126</v>
      </c>
      <c r="W1053">
        <v>6.04</v>
      </c>
      <c r="Y1053">
        <v>6.04</v>
      </c>
      <c r="AA1053">
        <v>3.0001000000000002</v>
      </c>
      <c r="AC1053">
        <v>3.0398999999999998</v>
      </c>
      <c r="BH1053" t="s">
        <v>126</v>
      </c>
      <c r="BI1053" t="s">
        <v>126</v>
      </c>
      <c r="BJ1053" t="s">
        <v>126</v>
      </c>
      <c r="BK1053" t="s">
        <v>126</v>
      </c>
      <c r="BS1053" t="s">
        <v>126</v>
      </c>
      <c r="BT1053" t="s">
        <v>126</v>
      </c>
      <c r="BU1053" t="s">
        <v>126</v>
      </c>
      <c r="BV1053" t="s">
        <v>126</v>
      </c>
      <c r="CN1053" t="s">
        <v>127</v>
      </c>
      <c r="CP1053" t="s">
        <v>128</v>
      </c>
      <c r="CQ1053" t="s">
        <v>127</v>
      </c>
    </row>
    <row r="1054" spans="1:95" x14ac:dyDescent="0.2">
      <c r="A1054" t="s">
        <v>115</v>
      </c>
      <c r="B1054" t="s">
        <v>116</v>
      </c>
      <c r="C1054">
        <v>210784</v>
      </c>
      <c r="E1054" t="s">
        <v>117</v>
      </c>
      <c r="F1054">
        <v>368</v>
      </c>
      <c r="G1054" t="s">
        <v>118</v>
      </c>
      <c r="H1054" t="s">
        <v>119</v>
      </c>
      <c r="I1054" t="s">
        <v>130</v>
      </c>
      <c r="J1054" t="s">
        <v>131</v>
      </c>
      <c r="L1054" t="s">
        <v>476</v>
      </c>
      <c r="M1054" s="8">
        <v>45992</v>
      </c>
      <c r="N1054">
        <v>7344548</v>
      </c>
      <c r="O1054" t="s">
        <v>123</v>
      </c>
      <c r="P1054" t="s">
        <v>124</v>
      </c>
      <c r="Q1054">
        <v>10.73</v>
      </c>
      <c r="R1054" t="s">
        <v>125</v>
      </c>
      <c r="S1054" t="s">
        <v>126</v>
      </c>
      <c r="T1054" t="s">
        <v>125</v>
      </c>
      <c r="U1054" t="s">
        <v>126</v>
      </c>
      <c r="W1054">
        <v>10.73</v>
      </c>
      <c r="Y1054">
        <v>10.73</v>
      </c>
      <c r="AA1054">
        <v>5.0002000000000004</v>
      </c>
      <c r="AC1054">
        <v>5.7298</v>
      </c>
      <c r="BH1054" t="s">
        <v>126</v>
      </c>
      <c r="BI1054" t="s">
        <v>126</v>
      </c>
      <c r="BJ1054" t="s">
        <v>126</v>
      </c>
      <c r="BK1054" t="s">
        <v>126</v>
      </c>
      <c r="BS1054" t="s">
        <v>126</v>
      </c>
      <c r="BT1054" t="s">
        <v>126</v>
      </c>
      <c r="BU1054" t="s">
        <v>126</v>
      </c>
      <c r="BV1054" t="s">
        <v>126</v>
      </c>
      <c r="CN1054" t="s">
        <v>127</v>
      </c>
      <c r="CP1054" t="s">
        <v>128</v>
      </c>
      <c r="CQ1054" t="s">
        <v>127</v>
      </c>
    </row>
    <row r="1055" spans="1:95" x14ac:dyDescent="0.2">
      <c r="A1055" t="s">
        <v>115</v>
      </c>
      <c r="B1055" t="s">
        <v>116</v>
      </c>
      <c r="C1055">
        <v>210784</v>
      </c>
      <c r="E1055" t="s">
        <v>117</v>
      </c>
      <c r="F1055">
        <v>368</v>
      </c>
      <c r="G1055" t="s">
        <v>118</v>
      </c>
      <c r="H1055" t="s">
        <v>119</v>
      </c>
      <c r="I1055" t="s">
        <v>130</v>
      </c>
      <c r="J1055" t="s">
        <v>131</v>
      </c>
      <c r="L1055" t="s">
        <v>476</v>
      </c>
      <c r="M1055" s="8">
        <v>45992</v>
      </c>
      <c r="N1055">
        <v>7344656</v>
      </c>
      <c r="O1055" t="s">
        <v>123</v>
      </c>
      <c r="P1055" t="s">
        <v>124</v>
      </c>
      <c r="Q1055">
        <v>13.68</v>
      </c>
      <c r="R1055" t="s">
        <v>125</v>
      </c>
      <c r="S1055" t="s">
        <v>126</v>
      </c>
      <c r="T1055" t="s">
        <v>125</v>
      </c>
      <c r="U1055" t="s">
        <v>126</v>
      </c>
      <c r="W1055">
        <v>13.68</v>
      </c>
      <c r="Y1055">
        <v>13.68</v>
      </c>
      <c r="AA1055">
        <v>6</v>
      </c>
      <c r="AC1055">
        <v>7.68</v>
      </c>
      <c r="BH1055" t="s">
        <v>126</v>
      </c>
      <c r="BI1055" t="s">
        <v>126</v>
      </c>
      <c r="BJ1055" t="s">
        <v>126</v>
      </c>
      <c r="BK1055" t="s">
        <v>126</v>
      </c>
      <c r="BS1055" t="s">
        <v>126</v>
      </c>
      <c r="BT1055" t="s">
        <v>126</v>
      </c>
      <c r="BU1055" t="s">
        <v>126</v>
      </c>
      <c r="BV1055" t="s">
        <v>126</v>
      </c>
      <c r="CN1055" t="s">
        <v>127</v>
      </c>
      <c r="CP1055" t="s">
        <v>128</v>
      </c>
      <c r="CQ1055" t="s">
        <v>127</v>
      </c>
    </row>
    <row r="1056" spans="1:95" x14ac:dyDescent="0.2">
      <c r="A1056" t="s">
        <v>115</v>
      </c>
      <c r="B1056" t="s">
        <v>116</v>
      </c>
      <c r="C1056">
        <v>210784</v>
      </c>
      <c r="E1056" t="s">
        <v>117</v>
      </c>
      <c r="F1056">
        <v>368</v>
      </c>
      <c r="G1056" t="s">
        <v>141</v>
      </c>
      <c r="H1056" t="s">
        <v>142</v>
      </c>
      <c r="I1056" t="s">
        <v>279</v>
      </c>
      <c r="J1056" t="s">
        <v>280</v>
      </c>
      <c r="L1056" t="s">
        <v>476</v>
      </c>
      <c r="M1056" s="8">
        <v>45992</v>
      </c>
      <c r="N1056">
        <v>5838919</v>
      </c>
      <c r="O1056" t="s">
        <v>123</v>
      </c>
      <c r="P1056" t="s">
        <v>146</v>
      </c>
      <c r="Q1056">
        <v>4.6500000000000004</v>
      </c>
      <c r="R1056" t="s">
        <v>574</v>
      </c>
      <c r="S1056" t="s">
        <v>126</v>
      </c>
      <c r="T1056" t="s">
        <v>574</v>
      </c>
      <c r="U1056" t="s">
        <v>575</v>
      </c>
      <c r="W1056">
        <v>1.43</v>
      </c>
      <c r="X1056">
        <v>3.2199999999999998</v>
      </c>
      <c r="Y1056">
        <v>4.6500000000000004</v>
      </c>
      <c r="Z1056">
        <v>1.77</v>
      </c>
      <c r="AG1056">
        <v>1.43</v>
      </c>
      <c r="AI1056">
        <v>1.45</v>
      </c>
      <c r="BH1056" t="s">
        <v>126</v>
      </c>
      <c r="BI1056" t="s">
        <v>126</v>
      </c>
      <c r="BJ1056" t="s">
        <v>126</v>
      </c>
      <c r="BK1056" t="s">
        <v>126</v>
      </c>
      <c r="BS1056" t="s">
        <v>126</v>
      </c>
      <c r="BT1056" t="s">
        <v>126</v>
      </c>
      <c r="BU1056" t="s">
        <v>126</v>
      </c>
      <c r="BV1056" t="s">
        <v>126</v>
      </c>
      <c r="CN1056" t="s">
        <v>147</v>
      </c>
      <c r="CP1056" t="s">
        <v>484</v>
      </c>
      <c r="CQ1056" t="s">
        <v>147</v>
      </c>
    </row>
    <row r="1057" spans="1:95" x14ac:dyDescent="0.2">
      <c r="A1057" t="s">
        <v>115</v>
      </c>
      <c r="B1057" t="s">
        <v>116</v>
      </c>
      <c r="C1057">
        <v>210784</v>
      </c>
      <c r="E1057" t="s">
        <v>117</v>
      </c>
      <c r="F1057">
        <v>368</v>
      </c>
      <c r="G1057" t="s">
        <v>141</v>
      </c>
      <c r="H1057" t="s">
        <v>142</v>
      </c>
      <c r="I1057" t="s">
        <v>279</v>
      </c>
      <c r="J1057" t="s">
        <v>280</v>
      </c>
      <c r="L1057" t="s">
        <v>769</v>
      </c>
      <c r="M1057" s="8">
        <v>45992</v>
      </c>
      <c r="N1057">
        <v>5841619</v>
      </c>
      <c r="O1057" t="s">
        <v>123</v>
      </c>
      <c r="P1057" t="s">
        <v>146</v>
      </c>
      <c r="Q1057">
        <v>5.9848000000000008</v>
      </c>
      <c r="R1057" t="s">
        <v>644</v>
      </c>
      <c r="S1057" t="s">
        <v>126</v>
      </c>
      <c r="T1057" t="s">
        <v>644</v>
      </c>
      <c r="U1057" t="s">
        <v>645</v>
      </c>
      <c r="W1057">
        <v>1.85</v>
      </c>
      <c r="X1057">
        <v>4.1348000000000003</v>
      </c>
      <c r="Y1057">
        <v>5.9848000000000008</v>
      </c>
      <c r="Z1057">
        <v>2.2747999999999999</v>
      </c>
      <c r="AG1057">
        <v>1.85</v>
      </c>
      <c r="AI1057">
        <v>1.86</v>
      </c>
      <c r="BH1057" t="s">
        <v>126</v>
      </c>
      <c r="BI1057" t="s">
        <v>126</v>
      </c>
      <c r="BJ1057" t="s">
        <v>126</v>
      </c>
      <c r="BK1057" t="s">
        <v>126</v>
      </c>
      <c r="BS1057" t="s">
        <v>126</v>
      </c>
      <c r="BT1057" t="s">
        <v>126</v>
      </c>
      <c r="BU1057" t="s">
        <v>126</v>
      </c>
      <c r="BV1057" t="s">
        <v>126</v>
      </c>
      <c r="CN1057" t="s">
        <v>147</v>
      </c>
      <c r="CP1057" t="s">
        <v>484</v>
      </c>
      <c r="CQ1057" t="s">
        <v>147</v>
      </c>
    </row>
    <row r="1058" spans="1:95" x14ac:dyDescent="0.2">
      <c r="A1058" t="s">
        <v>115</v>
      </c>
      <c r="B1058" t="s">
        <v>116</v>
      </c>
      <c r="C1058">
        <v>210784</v>
      </c>
      <c r="E1058" t="s">
        <v>117</v>
      </c>
      <c r="F1058">
        <v>368</v>
      </c>
      <c r="G1058" t="s">
        <v>141</v>
      </c>
      <c r="H1058" t="s">
        <v>142</v>
      </c>
      <c r="I1058" t="s">
        <v>279</v>
      </c>
      <c r="J1058" t="s">
        <v>280</v>
      </c>
      <c r="L1058" t="s">
        <v>486</v>
      </c>
      <c r="M1058" s="8">
        <v>45992</v>
      </c>
      <c r="N1058">
        <v>5841610</v>
      </c>
      <c r="O1058" t="s">
        <v>123</v>
      </c>
      <c r="P1058" t="s">
        <v>146</v>
      </c>
      <c r="Q1058">
        <v>6.73</v>
      </c>
      <c r="R1058" t="s">
        <v>751</v>
      </c>
      <c r="S1058" t="s">
        <v>126</v>
      </c>
      <c r="T1058" t="s">
        <v>751</v>
      </c>
      <c r="U1058" t="s">
        <v>752</v>
      </c>
      <c r="W1058">
        <v>2.0699999999999998</v>
      </c>
      <c r="X1058">
        <v>4.66</v>
      </c>
      <c r="Y1058">
        <v>6.73</v>
      </c>
      <c r="Z1058">
        <v>2.56</v>
      </c>
      <c r="AG1058">
        <v>2.0699999999999998</v>
      </c>
      <c r="AI1058">
        <v>2.1</v>
      </c>
      <c r="BH1058" t="s">
        <v>126</v>
      </c>
      <c r="BI1058" t="s">
        <v>126</v>
      </c>
      <c r="BJ1058" t="s">
        <v>126</v>
      </c>
      <c r="BK1058" t="s">
        <v>126</v>
      </c>
      <c r="BS1058" t="s">
        <v>126</v>
      </c>
      <c r="BT1058" t="s">
        <v>126</v>
      </c>
      <c r="BU1058" t="s">
        <v>126</v>
      </c>
      <c r="BV1058" t="s">
        <v>126</v>
      </c>
      <c r="CN1058" t="s">
        <v>147</v>
      </c>
      <c r="CP1058" t="s">
        <v>484</v>
      </c>
      <c r="CQ1058" t="s">
        <v>147</v>
      </c>
    </row>
    <row r="1059" spans="1:95" x14ac:dyDescent="0.2">
      <c r="A1059" t="s">
        <v>115</v>
      </c>
      <c r="B1059" t="s">
        <v>116</v>
      </c>
      <c r="C1059">
        <v>210784</v>
      </c>
      <c r="E1059" t="s">
        <v>117</v>
      </c>
      <c r="F1059">
        <v>368</v>
      </c>
      <c r="G1059" t="s">
        <v>141</v>
      </c>
      <c r="H1059" t="s">
        <v>142</v>
      </c>
      <c r="I1059" t="s">
        <v>279</v>
      </c>
      <c r="J1059" t="s">
        <v>280</v>
      </c>
      <c r="L1059" t="s">
        <v>770</v>
      </c>
      <c r="M1059" s="8">
        <v>45992</v>
      </c>
      <c r="N1059">
        <v>5843872</v>
      </c>
      <c r="O1059" t="s">
        <v>123</v>
      </c>
      <c r="P1059" t="s">
        <v>146</v>
      </c>
      <c r="Q1059">
        <v>5.1943000000000001</v>
      </c>
      <c r="R1059" t="s">
        <v>592</v>
      </c>
      <c r="S1059" t="s">
        <v>126</v>
      </c>
      <c r="T1059" t="s">
        <v>592</v>
      </c>
      <c r="U1059" t="s">
        <v>593</v>
      </c>
      <c r="W1059">
        <v>1.6</v>
      </c>
      <c r="X1059">
        <v>3.5943000000000001</v>
      </c>
      <c r="Y1059">
        <v>5.1943000000000001</v>
      </c>
      <c r="Z1059">
        <v>1.9742999999999999</v>
      </c>
      <c r="AG1059">
        <v>1.6</v>
      </c>
      <c r="AI1059">
        <v>1.62</v>
      </c>
      <c r="BH1059" t="s">
        <v>126</v>
      </c>
      <c r="BI1059" t="s">
        <v>126</v>
      </c>
      <c r="BJ1059" t="s">
        <v>126</v>
      </c>
      <c r="BK1059" t="s">
        <v>126</v>
      </c>
      <c r="BS1059" t="s">
        <v>126</v>
      </c>
      <c r="BT1059" t="s">
        <v>126</v>
      </c>
      <c r="BU1059" t="s">
        <v>126</v>
      </c>
      <c r="BV1059" t="s">
        <v>126</v>
      </c>
      <c r="CN1059" t="s">
        <v>147</v>
      </c>
      <c r="CP1059" t="s">
        <v>484</v>
      </c>
      <c r="CQ1059" t="s">
        <v>147</v>
      </c>
    </row>
    <row r="1060" spans="1:95" x14ac:dyDescent="0.2">
      <c r="A1060" t="s">
        <v>115</v>
      </c>
      <c r="B1060" t="s">
        <v>116</v>
      </c>
      <c r="C1060">
        <v>210784</v>
      </c>
      <c r="E1060" t="s">
        <v>117</v>
      </c>
      <c r="F1060">
        <v>368</v>
      </c>
      <c r="G1060" t="s">
        <v>141</v>
      </c>
      <c r="H1060" t="s">
        <v>142</v>
      </c>
      <c r="I1060" t="s">
        <v>279</v>
      </c>
      <c r="J1060" t="s">
        <v>280</v>
      </c>
      <c r="L1060" t="s">
        <v>489</v>
      </c>
      <c r="M1060" s="8">
        <v>45992</v>
      </c>
      <c r="N1060">
        <v>5846125</v>
      </c>
      <c r="O1060" t="s">
        <v>123</v>
      </c>
      <c r="P1060" t="s">
        <v>146</v>
      </c>
      <c r="Q1060">
        <v>5.63</v>
      </c>
      <c r="R1060" t="s">
        <v>644</v>
      </c>
      <c r="S1060" t="s">
        <v>126</v>
      </c>
      <c r="T1060" t="s">
        <v>644</v>
      </c>
      <c r="U1060" t="s">
        <v>645</v>
      </c>
      <c r="W1060">
        <v>1.74</v>
      </c>
      <c r="X1060">
        <v>3.89</v>
      </c>
      <c r="Y1060">
        <v>5.63</v>
      </c>
      <c r="Z1060">
        <v>2.14</v>
      </c>
      <c r="AG1060">
        <v>1.74</v>
      </c>
      <c r="AI1060">
        <v>1.75</v>
      </c>
      <c r="BH1060" t="s">
        <v>126</v>
      </c>
      <c r="BI1060" t="s">
        <v>126</v>
      </c>
      <c r="BJ1060" t="s">
        <v>126</v>
      </c>
      <c r="BK1060" t="s">
        <v>126</v>
      </c>
      <c r="BS1060" t="s">
        <v>126</v>
      </c>
      <c r="BT1060" t="s">
        <v>126</v>
      </c>
      <c r="BU1060" t="s">
        <v>126</v>
      </c>
      <c r="BV1060" t="s">
        <v>126</v>
      </c>
      <c r="CN1060" t="s">
        <v>147</v>
      </c>
      <c r="CP1060" t="s">
        <v>484</v>
      </c>
      <c r="CQ1060" t="s">
        <v>147</v>
      </c>
    </row>
    <row r="1061" spans="1:95" x14ac:dyDescent="0.2">
      <c r="A1061" t="s">
        <v>115</v>
      </c>
      <c r="B1061" t="s">
        <v>116</v>
      </c>
      <c r="C1061">
        <v>210784</v>
      </c>
      <c r="E1061" t="s">
        <v>117</v>
      </c>
      <c r="F1061">
        <v>368</v>
      </c>
      <c r="G1061" t="s">
        <v>141</v>
      </c>
      <c r="H1061" t="s">
        <v>142</v>
      </c>
      <c r="I1061" t="s">
        <v>279</v>
      </c>
      <c r="J1061" t="s">
        <v>280</v>
      </c>
      <c r="L1061" t="s">
        <v>771</v>
      </c>
      <c r="M1061" s="8">
        <v>45992</v>
      </c>
      <c r="N1061">
        <v>5847101</v>
      </c>
      <c r="O1061" t="s">
        <v>123</v>
      </c>
      <c r="P1061" t="s">
        <v>146</v>
      </c>
      <c r="Q1061">
        <v>1.8574999999999999</v>
      </c>
      <c r="R1061" t="s">
        <v>586</v>
      </c>
      <c r="S1061" t="s">
        <v>126</v>
      </c>
      <c r="T1061" t="s">
        <v>586</v>
      </c>
      <c r="U1061" t="s">
        <v>587</v>
      </c>
      <c r="W1061">
        <v>0.56999999999999995</v>
      </c>
      <c r="X1061">
        <v>1.2875000000000001</v>
      </c>
      <c r="Y1061">
        <v>1.8574999999999999</v>
      </c>
      <c r="Z1061">
        <v>0.70750000000000002</v>
      </c>
      <c r="AG1061">
        <v>0.56999999999999995</v>
      </c>
      <c r="AI1061">
        <v>0.57999999999999996</v>
      </c>
      <c r="BH1061" t="s">
        <v>126</v>
      </c>
      <c r="BI1061" t="s">
        <v>126</v>
      </c>
      <c r="BJ1061" t="s">
        <v>126</v>
      </c>
      <c r="BK1061" t="s">
        <v>126</v>
      </c>
      <c r="BS1061" t="s">
        <v>126</v>
      </c>
      <c r="BT1061" t="s">
        <v>126</v>
      </c>
      <c r="BU1061" t="s">
        <v>126</v>
      </c>
      <c r="BV1061" t="s">
        <v>126</v>
      </c>
      <c r="CN1061" t="s">
        <v>147</v>
      </c>
      <c r="CP1061" t="s">
        <v>484</v>
      </c>
      <c r="CQ1061" t="s">
        <v>147</v>
      </c>
    </row>
    <row r="1062" spans="1:95" x14ac:dyDescent="0.2">
      <c r="A1062" t="s">
        <v>115</v>
      </c>
      <c r="B1062" t="s">
        <v>116</v>
      </c>
      <c r="C1062">
        <v>210784</v>
      </c>
      <c r="E1062" t="s">
        <v>117</v>
      </c>
      <c r="F1062">
        <v>368</v>
      </c>
      <c r="G1062" t="s">
        <v>141</v>
      </c>
      <c r="H1062" t="s">
        <v>142</v>
      </c>
      <c r="I1062" t="s">
        <v>279</v>
      </c>
      <c r="J1062" t="s">
        <v>280</v>
      </c>
      <c r="L1062" t="s">
        <v>771</v>
      </c>
      <c r="M1062" s="8">
        <v>45992</v>
      </c>
      <c r="N1062">
        <v>5847195</v>
      </c>
      <c r="O1062" t="s">
        <v>123</v>
      </c>
      <c r="P1062" t="s">
        <v>146</v>
      </c>
      <c r="Q1062">
        <v>2.036</v>
      </c>
      <c r="R1062" t="s">
        <v>631</v>
      </c>
      <c r="S1062" t="s">
        <v>126</v>
      </c>
      <c r="T1062" t="s">
        <v>631</v>
      </c>
      <c r="U1062" t="s">
        <v>632</v>
      </c>
      <c r="W1062">
        <v>0.63</v>
      </c>
      <c r="X1062">
        <v>1.4060000000000001</v>
      </c>
      <c r="Y1062">
        <v>2.036</v>
      </c>
      <c r="Z1062">
        <v>0.77600000000000002</v>
      </c>
      <c r="AG1062">
        <v>0.63</v>
      </c>
      <c r="AI1062">
        <v>0.63</v>
      </c>
      <c r="BH1062" t="s">
        <v>126</v>
      </c>
      <c r="BI1062" t="s">
        <v>126</v>
      </c>
      <c r="BJ1062" t="s">
        <v>126</v>
      </c>
      <c r="BK1062" t="s">
        <v>126</v>
      </c>
      <c r="BS1062" t="s">
        <v>126</v>
      </c>
      <c r="BT1062" t="s">
        <v>126</v>
      </c>
      <c r="BU1062" t="s">
        <v>126</v>
      </c>
      <c r="BV1062" t="s">
        <v>126</v>
      </c>
      <c r="CN1062" t="s">
        <v>147</v>
      </c>
      <c r="CP1062" t="s">
        <v>484</v>
      </c>
      <c r="CQ1062" t="s">
        <v>147</v>
      </c>
    </row>
    <row r="1063" spans="1:95" x14ac:dyDescent="0.2">
      <c r="A1063" t="s">
        <v>115</v>
      </c>
      <c r="B1063" t="s">
        <v>116</v>
      </c>
      <c r="C1063">
        <v>210784</v>
      </c>
      <c r="E1063" t="s">
        <v>117</v>
      </c>
      <c r="F1063">
        <v>368</v>
      </c>
      <c r="G1063" t="s">
        <v>141</v>
      </c>
      <c r="H1063" t="s">
        <v>142</v>
      </c>
      <c r="I1063" t="s">
        <v>279</v>
      </c>
      <c r="J1063" t="s">
        <v>280</v>
      </c>
      <c r="L1063" t="s">
        <v>772</v>
      </c>
      <c r="M1063" s="8">
        <v>45992</v>
      </c>
      <c r="N1063">
        <v>5849073</v>
      </c>
      <c r="O1063" t="s">
        <v>123</v>
      </c>
      <c r="P1063" t="s">
        <v>146</v>
      </c>
      <c r="Q1063">
        <v>0.96900000000000008</v>
      </c>
      <c r="R1063" t="s">
        <v>657</v>
      </c>
      <c r="S1063" t="s">
        <v>126</v>
      </c>
      <c r="T1063" t="s">
        <v>657</v>
      </c>
      <c r="U1063" t="s">
        <v>658</v>
      </c>
      <c r="W1063">
        <v>0.3</v>
      </c>
      <c r="X1063">
        <v>0.66900000000000004</v>
      </c>
      <c r="Y1063">
        <v>0.96900000000000008</v>
      </c>
      <c r="Z1063">
        <v>0.36899999999999999</v>
      </c>
      <c r="AG1063">
        <v>0.3</v>
      </c>
      <c r="AI1063">
        <v>0.3</v>
      </c>
      <c r="BH1063" t="s">
        <v>126</v>
      </c>
      <c r="BI1063" t="s">
        <v>126</v>
      </c>
      <c r="BJ1063" t="s">
        <v>126</v>
      </c>
      <c r="BK1063" t="s">
        <v>126</v>
      </c>
      <c r="BS1063" t="s">
        <v>126</v>
      </c>
      <c r="BT1063" t="s">
        <v>126</v>
      </c>
      <c r="BU1063" t="s">
        <v>126</v>
      </c>
      <c r="BV1063" t="s">
        <v>126</v>
      </c>
      <c r="CN1063" t="s">
        <v>147</v>
      </c>
      <c r="CP1063" t="s">
        <v>484</v>
      </c>
      <c r="CQ1063" t="s">
        <v>147</v>
      </c>
    </row>
    <row r="1064" spans="1:95" x14ac:dyDescent="0.2">
      <c r="A1064" t="s">
        <v>115</v>
      </c>
      <c r="B1064" t="s">
        <v>116</v>
      </c>
      <c r="C1064">
        <v>210784</v>
      </c>
      <c r="E1064" t="s">
        <v>117</v>
      </c>
      <c r="F1064">
        <v>368</v>
      </c>
      <c r="G1064" t="s">
        <v>141</v>
      </c>
      <c r="H1064" t="s">
        <v>142</v>
      </c>
      <c r="I1064" t="s">
        <v>279</v>
      </c>
      <c r="J1064" t="s">
        <v>280</v>
      </c>
      <c r="L1064" t="s">
        <v>773</v>
      </c>
      <c r="M1064" s="8">
        <v>45992</v>
      </c>
      <c r="N1064">
        <v>5850582</v>
      </c>
      <c r="O1064" t="s">
        <v>123</v>
      </c>
      <c r="P1064" t="s">
        <v>146</v>
      </c>
      <c r="Q1064">
        <v>0.76750000000000007</v>
      </c>
      <c r="R1064" t="s">
        <v>623</v>
      </c>
      <c r="S1064" t="s">
        <v>126</v>
      </c>
      <c r="T1064" t="s">
        <v>623</v>
      </c>
      <c r="U1064" t="s">
        <v>624</v>
      </c>
      <c r="W1064">
        <v>0.23730000000000001</v>
      </c>
      <c r="X1064">
        <v>0.5302</v>
      </c>
      <c r="Y1064">
        <v>0.76750000000000007</v>
      </c>
      <c r="Z1064">
        <v>0.29289999999999999</v>
      </c>
      <c r="AG1064">
        <v>0.23730000000000001</v>
      </c>
      <c r="AI1064">
        <v>0.23730000000000001</v>
      </c>
      <c r="BH1064" t="s">
        <v>126</v>
      </c>
      <c r="BI1064" t="s">
        <v>126</v>
      </c>
      <c r="BJ1064" t="s">
        <v>126</v>
      </c>
      <c r="BK1064" t="s">
        <v>126</v>
      </c>
      <c r="BS1064" t="s">
        <v>126</v>
      </c>
      <c r="BT1064" t="s">
        <v>126</v>
      </c>
      <c r="BU1064" t="s">
        <v>126</v>
      </c>
      <c r="BV1064" t="s">
        <v>126</v>
      </c>
      <c r="CN1064" t="s">
        <v>147</v>
      </c>
      <c r="CP1064" t="s">
        <v>484</v>
      </c>
      <c r="CQ1064" t="s">
        <v>147</v>
      </c>
    </row>
    <row r="1065" spans="1:95" x14ac:dyDescent="0.2">
      <c r="A1065" t="s">
        <v>115</v>
      </c>
      <c r="B1065" t="s">
        <v>116</v>
      </c>
      <c r="C1065">
        <v>210784</v>
      </c>
      <c r="E1065" t="s">
        <v>117</v>
      </c>
      <c r="F1065">
        <v>368</v>
      </c>
      <c r="G1065" t="s">
        <v>141</v>
      </c>
      <c r="H1065" t="s">
        <v>142</v>
      </c>
      <c r="I1065" t="s">
        <v>279</v>
      </c>
      <c r="J1065" t="s">
        <v>280</v>
      </c>
      <c r="L1065" t="s">
        <v>773</v>
      </c>
      <c r="M1065" s="8">
        <v>45992</v>
      </c>
      <c r="N1065">
        <v>5850604</v>
      </c>
      <c r="O1065" t="s">
        <v>123</v>
      </c>
      <c r="P1065" t="s">
        <v>146</v>
      </c>
      <c r="Q1065">
        <v>5.15</v>
      </c>
      <c r="R1065" t="s">
        <v>669</v>
      </c>
      <c r="S1065" t="s">
        <v>126</v>
      </c>
      <c r="T1065" t="s">
        <v>669</v>
      </c>
      <c r="U1065" t="s">
        <v>670</v>
      </c>
      <c r="W1065">
        <v>1.59</v>
      </c>
      <c r="X1065">
        <v>3.56</v>
      </c>
      <c r="Y1065">
        <v>5.15</v>
      </c>
      <c r="Z1065">
        <v>1.96</v>
      </c>
      <c r="AG1065">
        <v>1.59</v>
      </c>
      <c r="AI1065">
        <v>1.6</v>
      </c>
      <c r="BH1065" t="s">
        <v>126</v>
      </c>
      <c r="BI1065" t="s">
        <v>126</v>
      </c>
      <c r="BJ1065" t="s">
        <v>126</v>
      </c>
      <c r="BK1065" t="s">
        <v>126</v>
      </c>
      <c r="BS1065" t="s">
        <v>126</v>
      </c>
      <c r="BT1065" t="s">
        <v>126</v>
      </c>
      <c r="BU1065" t="s">
        <v>126</v>
      </c>
      <c r="BV1065" t="s">
        <v>126</v>
      </c>
      <c r="CN1065" t="s">
        <v>147</v>
      </c>
      <c r="CP1065" t="s">
        <v>484</v>
      </c>
      <c r="CQ1065" t="s">
        <v>147</v>
      </c>
    </row>
    <row r="1066" spans="1:95" x14ac:dyDescent="0.2">
      <c r="A1066" t="s">
        <v>115</v>
      </c>
      <c r="B1066" t="s">
        <v>116</v>
      </c>
      <c r="C1066">
        <v>210784</v>
      </c>
      <c r="E1066" t="s">
        <v>117</v>
      </c>
      <c r="F1066">
        <v>368</v>
      </c>
      <c r="G1066" t="s">
        <v>141</v>
      </c>
      <c r="H1066" t="s">
        <v>142</v>
      </c>
      <c r="I1066" t="s">
        <v>279</v>
      </c>
      <c r="J1066" t="s">
        <v>280</v>
      </c>
      <c r="L1066" t="s">
        <v>773</v>
      </c>
      <c r="M1066" s="8">
        <v>45992</v>
      </c>
      <c r="N1066">
        <v>5851264</v>
      </c>
      <c r="O1066" t="s">
        <v>123</v>
      </c>
      <c r="P1066" t="s">
        <v>146</v>
      </c>
      <c r="Q1066">
        <v>0.98</v>
      </c>
      <c r="R1066" t="s">
        <v>774</v>
      </c>
      <c r="S1066" t="s">
        <v>126</v>
      </c>
      <c r="T1066" t="s">
        <v>774</v>
      </c>
      <c r="U1066" t="s">
        <v>775</v>
      </c>
      <c r="W1066">
        <v>0.3</v>
      </c>
      <c r="X1066">
        <v>0.67999999999999994</v>
      </c>
      <c r="Y1066">
        <v>0.98</v>
      </c>
      <c r="Z1066">
        <v>0.37</v>
      </c>
      <c r="AG1066">
        <v>0.3</v>
      </c>
      <c r="AI1066">
        <v>0.31</v>
      </c>
      <c r="BH1066" t="s">
        <v>126</v>
      </c>
      <c r="BI1066" t="s">
        <v>126</v>
      </c>
      <c r="BJ1066" t="s">
        <v>126</v>
      </c>
      <c r="BK1066" t="s">
        <v>126</v>
      </c>
      <c r="BS1066" t="s">
        <v>126</v>
      </c>
      <c r="BT1066" t="s">
        <v>126</v>
      </c>
      <c r="BU1066" t="s">
        <v>126</v>
      </c>
      <c r="BV1066" t="s">
        <v>126</v>
      </c>
      <c r="CN1066" t="s">
        <v>147</v>
      </c>
      <c r="CP1066" t="s">
        <v>484</v>
      </c>
      <c r="CQ1066" t="s">
        <v>147</v>
      </c>
    </row>
    <row r="1067" spans="1:95" x14ac:dyDescent="0.2">
      <c r="A1067" t="s">
        <v>115</v>
      </c>
      <c r="B1067" t="s">
        <v>116</v>
      </c>
      <c r="C1067">
        <v>210784</v>
      </c>
      <c r="E1067" t="s">
        <v>117</v>
      </c>
      <c r="F1067">
        <v>368</v>
      </c>
      <c r="G1067" t="s">
        <v>141</v>
      </c>
      <c r="H1067" t="s">
        <v>142</v>
      </c>
      <c r="I1067" t="s">
        <v>279</v>
      </c>
      <c r="J1067" t="s">
        <v>280</v>
      </c>
      <c r="L1067" t="s">
        <v>776</v>
      </c>
      <c r="M1067" s="8">
        <v>45992</v>
      </c>
      <c r="N1067">
        <v>5853562</v>
      </c>
      <c r="O1067" t="s">
        <v>123</v>
      </c>
      <c r="P1067" t="s">
        <v>146</v>
      </c>
      <c r="Q1067">
        <v>1.6901000000000002</v>
      </c>
      <c r="R1067" t="s">
        <v>559</v>
      </c>
      <c r="S1067" t="s">
        <v>126</v>
      </c>
      <c r="T1067" t="s">
        <v>559</v>
      </c>
      <c r="U1067" t="s">
        <v>560</v>
      </c>
      <c r="W1067">
        <v>0.52090000000000003</v>
      </c>
      <c r="X1067">
        <v>1.1692</v>
      </c>
      <c r="Y1067">
        <v>1.6901000000000002</v>
      </c>
      <c r="Z1067">
        <v>0.64290000000000003</v>
      </c>
      <c r="AG1067">
        <v>0.52090000000000003</v>
      </c>
      <c r="AI1067">
        <v>0.52629999999999999</v>
      </c>
      <c r="BH1067" t="s">
        <v>126</v>
      </c>
      <c r="BI1067" t="s">
        <v>126</v>
      </c>
      <c r="BJ1067" t="s">
        <v>126</v>
      </c>
      <c r="BK1067" t="s">
        <v>126</v>
      </c>
      <c r="BS1067" t="s">
        <v>126</v>
      </c>
      <c r="BT1067" t="s">
        <v>126</v>
      </c>
      <c r="BU1067" t="s">
        <v>126</v>
      </c>
      <c r="BV1067" t="s">
        <v>126</v>
      </c>
      <c r="CN1067" t="s">
        <v>147</v>
      </c>
      <c r="CP1067" t="s">
        <v>490</v>
      </c>
      <c r="CQ1067" t="s">
        <v>147</v>
      </c>
    </row>
    <row r="1068" spans="1:95" x14ac:dyDescent="0.2">
      <c r="A1068" t="s">
        <v>115</v>
      </c>
      <c r="B1068" t="s">
        <v>116</v>
      </c>
      <c r="C1068">
        <v>210784</v>
      </c>
      <c r="E1068" t="s">
        <v>117</v>
      </c>
      <c r="F1068">
        <v>368</v>
      </c>
      <c r="G1068" t="s">
        <v>141</v>
      </c>
      <c r="H1068" t="s">
        <v>142</v>
      </c>
      <c r="I1068" t="s">
        <v>279</v>
      </c>
      <c r="J1068" t="s">
        <v>280</v>
      </c>
      <c r="L1068" t="s">
        <v>484</v>
      </c>
      <c r="M1068" s="8">
        <v>45992</v>
      </c>
      <c r="N1068">
        <v>5854840</v>
      </c>
      <c r="O1068" t="s">
        <v>123</v>
      </c>
      <c r="P1068" t="s">
        <v>146</v>
      </c>
      <c r="Q1068">
        <v>6.58</v>
      </c>
      <c r="R1068" t="s">
        <v>559</v>
      </c>
      <c r="S1068" t="s">
        <v>126</v>
      </c>
      <c r="T1068" t="s">
        <v>559</v>
      </c>
      <c r="U1068" t="s">
        <v>560</v>
      </c>
      <c r="W1068">
        <v>2.028</v>
      </c>
      <c r="X1068">
        <v>4.5519999999999996</v>
      </c>
      <c r="Y1068">
        <v>6.58</v>
      </c>
      <c r="Z1068">
        <v>2.5030000000000001</v>
      </c>
      <c r="AG1068">
        <v>2.028</v>
      </c>
      <c r="AI1068">
        <v>2.0489999999999999</v>
      </c>
      <c r="BH1068" t="s">
        <v>126</v>
      </c>
      <c r="BI1068" t="s">
        <v>126</v>
      </c>
      <c r="BJ1068" t="s">
        <v>126</v>
      </c>
      <c r="BK1068" t="s">
        <v>126</v>
      </c>
      <c r="BS1068" t="s">
        <v>126</v>
      </c>
      <c r="BT1068" t="s">
        <v>126</v>
      </c>
      <c r="BU1068" t="s">
        <v>126</v>
      </c>
      <c r="BV1068" t="s">
        <v>126</v>
      </c>
      <c r="CN1068" t="s">
        <v>147</v>
      </c>
      <c r="CP1068" t="s">
        <v>490</v>
      </c>
      <c r="CQ1068" t="s">
        <v>147</v>
      </c>
    </row>
    <row r="1069" spans="1:95" x14ac:dyDescent="0.2">
      <c r="A1069" t="s">
        <v>115</v>
      </c>
      <c r="B1069" t="s">
        <v>116</v>
      </c>
      <c r="C1069">
        <v>210784</v>
      </c>
      <c r="E1069" t="s">
        <v>117</v>
      </c>
      <c r="F1069">
        <v>368</v>
      </c>
      <c r="G1069" t="s">
        <v>118</v>
      </c>
      <c r="H1069" t="s">
        <v>119</v>
      </c>
      <c r="I1069" t="s">
        <v>130</v>
      </c>
      <c r="J1069" t="s">
        <v>131</v>
      </c>
      <c r="L1069" t="s">
        <v>770</v>
      </c>
      <c r="M1069" s="8">
        <v>45992</v>
      </c>
      <c r="N1069">
        <v>7346397</v>
      </c>
      <c r="O1069" t="s">
        <v>123</v>
      </c>
      <c r="P1069" t="s">
        <v>124</v>
      </c>
      <c r="Q1069">
        <v>15.870000000000001</v>
      </c>
      <c r="R1069" t="s">
        <v>125</v>
      </c>
      <c r="S1069" t="s">
        <v>126</v>
      </c>
      <c r="T1069" t="s">
        <v>125</v>
      </c>
      <c r="U1069" t="s">
        <v>126</v>
      </c>
      <c r="W1069">
        <v>15.870000000000001</v>
      </c>
      <c r="Y1069">
        <v>15.870000000000001</v>
      </c>
      <c r="AA1069">
        <v>5.87</v>
      </c>
      <c r="AC1069">
        <v>10</v>
      </c>
      <c r="BH1069" t="s">
        <v>126</v>
      </c>
      <c r="BI1069" t="s">
        <v>126</v>
      </c>
      <c r="BJ1069" t="s">
        <v>126</v>
      </c>
      <c r="BK1069" t="s">
        <v>126</v>
      </c>
      <c r="BS1069" t="s">
        <v>126</v>
      </c>
      <c r="BT1069" t="s">
        <v>126</v>
      </c>
      <c r="BU1069" t="s">
        <v>126</v>
      </c>
      <c r="BV1069" t="s">
        <v>126</v>
      </c>
      <c r="CN1069" t="s">
        <v>127</v>
      </c>
      <c r="CP1069" t="s">
        <v>136</v>
      </c>
      <c r="CQ1069" t="s">
        <v>127</v>
      </c>
    </row>
    <row r="1070" spans="1:95" x14ac:dyDescent="0.2">
      <c r="A1070" t="s">
        <v>115</v>
      </c>
      <c r="B1070" t="s">
        <v>116</v>
      </c>
      <c r="C1070">
        <v>210784</v>
      </c>
      <c r="E1070" t="s">
        <v>117</v>
      </c>
      <c r="F1070">
        <v>368</v>
      </c>
      <c r="G1070" t="s">
        <v>118</v>
      </c>
      <c r="H1070" t="s">
        <v>119</v>
      </c>
      <c r="I1070" t="s">
        <v>130</v>
      </c>
      <c r="J1070" t="s">
        <v>131</v>
      </c>
      <c r="L1070" t="s">
        <v>297</v>
      </c>
      <c r="M1070" s="8">
        <v>45992</v>
      </c>
      <c r="N1070">
        <v>7346616</v>
      </c>
      <c r="O1070" t="s">
        <v>123</v>
      </c>
      <c r="P1070" t="s">
        <v>124</v>
      </c>
      <c r="Q1070">
        <v>10.17</v>
      </c>
      <c r="R1070" t="s">
        <v>125</v>
      </c>
      <c r="S1070" t="s">
        <v>126</v>
      </c>
      <c r="T1070" t="s">
        <v>125</v>
      </c>
      <c r="U1070" t="s">
        <v>126</v>
      </c>
      <c r="W1070">
        <v>10.17</v>
      </c>
      <c r="Y1070">
        <v>10.17</v>
      </c>
      <c r="AA1070">
        <v>4.9996</v>
      </c>
      <c r="AC1070">
        <v>5.1703999999999999</v>
      </c>
      <c r="BH1070" t="s">
        <v>126</v>
      </c>
      <c r="BI1070" t="s">
        <v>126</v>
      </c>
      <c r="BJ1070" t="s">
        <v>126</v>
      </c>
      <c r="BK1070" t="s">
        <v>126</v>
      </c>
      <c r="BS1070" t="s">
        <v>126</v>
      </c>
      <c r="BT1070" t="s">
        <v>126</v>
      </c>
      <c r="BU1070" t="s">
        <v>126</v>
      </c>
      <c r="BV1070" t="s">
        <v>126</v>
      </c>
      <c r="CN1070" t="s">
        <v>127</v>
      </c>
      <c r="CP1070" t="s">
        <v>136</v>
      </c>
      <c r="CQ1070" t="s">
        <v>127</v>
      </c>
    </row>
    <row r="1071" spans="1:95" x14ac:dyDescent="0.2">
      <c r="A1071" t="s">
        <v>115</v>
      </c>
      <c r="B1071" t="s">
        <v>116</v>
      </c>
      <c r="C1071">
        <v>210784</v>
      </c>
      <c r="E1071" t="s">
        <v>117</v>
      </c>
      <c r="F1071">
        <v>368</v>
      </c>
      <c r="G1071" t="s">
        <v>141</v>
      </c>
      <c r="H1071" t="s">
        <v>142</v>
      </c>
      <c r="I1071" t="s">
        <v>279</v>
      </c>
      <c r="J1071" t="s">
        <v>280</v>
      </c>
      <c r="L1071" t="s">
        <v>763</v>
      </c>
      <c r="M1071" s="8">
        <v>45992</v>
      </c>
      <c r="N1071">
        <v>5838082</v>
      </c>
      <c r="O1071" t="s">
        <v>123</v>
      </c>
      <c r="P1071" t="s">
        <v>146</v>
      </c>
      <c r="Q1071">
        <v>3.48</v>
      </c>
      <c r="R1071" t="s">
        <v>125</v>
      </c>
      <c r="S1071" t="s">
        <v>126</v>
      </c>
      <c r="T1071" t="s">
        <v>125</v>
      </c>
      <c r="U1071" t="s">
        <v>126</v>
      </c>
      <c r="W1071">
        <v>3.48</v>
      </c>
      <c r="Y1071">
        <v>3.48</v>
      </c>
      <c r="BE1071">
        <v>3.48</v>
      </c>
      <c r="BH1071" t="s">
        <v>126</v>
      </c>
      <c r="BI1071" t="s">
        <v>126</v>
      </c>
      <c r="BJ1071" t="s">
        <v>126</v>
      </c>
      <c r="BK1071" t="s">
        <v>126</v>
      </c>
      <c r="BS1071" t="s">
        <v>126</v>
      </c>
      <c r="BT1071" t="s">
        <v>126</v>
      </c>
      <c r="BU1071" t="s">
        <v>126</v>
      </c>
      <c r="BV1071" t="s">
        <v>126</v>
      </c>
      <c r="CN1071" t="s">
        <v>147</v>
      </c>
      <c r="CP1071" t="s">
        <v>484</v>
      </c>
      <c r="CQ1071" t="s">
        <v>147</v>
      </c>
    </row>
    <row r="1072" spans="1:95" x14ac:dyDescent="0.2">
      <c r="A1072" t="s">
        <v>115</v>
      </c>
      <c r="B1072" t="s">
        <v>116</v>
      </c>
      <c r="C1072">
        <v>210784</v>
      </c>
      <c r="E1072" t="s">
        <v>117</v>
      </c>
      <c r="F1072">
        <v>368</v>
      </c>
      <c r="G1072" t="s">
        <v>141</v>
      </c>
      <c r="H1072" t="s">
        <v>142</v>
      </c>
      <c r="I1072" t="s">
        <v>279</v>
      </c>
      <c r="J1072" t="s">
        <v>280</v>
      </c>
      <c r="L1072" t="s">
        <v>763</v>
      </c>
      <c r="M1072" s="8">
        <v>45992</v>
      </c>
      <c r="N1072">
        <v>5837663</v>
      </c>
      <c r="O1072" t="s">
        <v>123</v>
      </c>
      <c r="P1072" t="s">
        <v>146</v>
      </c>
      <c r="Q1072">
        <v>8.85</v>
      </c>
      <c r="R1072" t="s">
        <v>125</v>
      </c>
      <c r="S1072" t="s">
        <v>126</v>
      </c>
      <c r="T1072" t="s">
        <v>125</v>
      </c>
      <c r="U1072" t="s">
        <v>126</v>
      </c>
      <c r="W1072">
        <v>8.85</v>
      </c>
      <c r="Y1072">
        <v>8.85</v>
      </c>
      <c r="BE1072">
        <v>8.85</v>
      </c>
      <c r="BH1072" t="s">
        <v>126</v>
      </c>
      <c r="BI1072" t="s">
        <v>126</v>
      </c>
      <c r="BJ1072" t="s">
        <v>126</v>
      </c>
      <c r="BK1072" t="s">
        <v>126</v>
      </c>
      <c r="BS1072" t="s">
        <v>126</v>
      </c>
      <c r="BT1072" t="s">
        <v>126</v>
      </c>
      <c r="BU1072" t="s">
        <v>126</v>
      </c>
      <c r="BV1072" t="s">
        <v>126</v>
      </c>
      <c r="CN1072" t="s">
        <v>147</v>
      </c>
      <c r="CP1072" t="s">
        <v>484</v>
      </c>
      <c r="CQ1072" t="s">
        <v>147</v>
      </c>
    </row>
    <row r="1073" spans="1:95" x14ac:dyDescent="0.2">
      <c r="A1073" t="s">
        <v>115</v>
      </c>
      <c r="B1073" t="s">
        <v>116</v>
      </c>
      <c r="C1073">
        <v>210784</v>
      </c>
      <c r="E1073" t="s">
        <v>117</v>
      </c>
      <c r="F1073">
        <v>368</v>
      </c>
      <c r="G1073" t="s">
        <v>141</v>
      </c>
      <c r="H1073" t="s">
        <v>142</v>
      </c>
      <c r="I1073" t="s">
        <v>279</v>
      </c>
      <c r="J1073" t="s">
        <v>280</v>
      </c>
      <c r="L1073" t="s">
        <v>761</v>
      </c>
      <c r="M1073" s="8">
        <v>45992</v>
      </c>
      <c r="N1073">
        <v>5839608</v>
      </c>
      <c r="O1073" t="s">
        <v>123</v>
      </c>
      <c r="P1073" t="s">
        <v>146</v>
      </c>
      <c r="Q1073">
        <v>6.54</v>
      </c>
      <c r="R1073" t="s">
        <v>125</v>
      </c>
      <c r="S1073" t="s">
        <v>126</v>
      </c>
      <c r="T1073" t="s">
        <v>125</v>
      </c>
      <c r="U1073" t="s">
        <v>126</v>
      </c>
      <c r="W1073">
        <v>6.54</v>
      </c>
      <c r="Y1073">
        <v>6.54</v>
      </c>
      <c r="BE1073">
        <v>6.54</v>
      </c>
      <c r="BH1073" t="s">
        <v>126</v>
      </c>
      <c r="BI1073" t="s">
        <v>126</v>
      </c>
      <c r="BJ1073" t="s">
        <v>126</v>
      </c>
      <c r="BK1073" t="s">
        <v>126</v>
      </c>
      <c r="BS1073" t="s">
        <v>126</v>
      </c>
      <c r="BT1073" t="s">
        <v>126</v>
      </c>
      <c r="BU1073" t="s">
        <v>126</v>
      </c>
      <c r="BV1073" t="s">
        <v>126</v>
      </c>
      <c r="CN1073" t="s">
        <v>147</v>
      </c>
      <c r="CP1073" t="s">
        <v>484</v>
      </c>
      <c r="CQ1073" t="s">
        <v>147</v>
      </c>
    </row>
    <row r="1074" spans="1:95" x14ac:dyDescent="0.2">
      <c r="A1074" t="s">
        <v>115</v>
      </c>
      <c r="B1074" t="s">
        <v>116</v>
      </c>
      <c r="C1074">
        <v>210784</v>
      </c>
      <c r="E1074" t="s">
        <v>117</v>
      </c>
      <c r="F1074">
        <v>368</v>
      </c>
      <c r="G1074" t="s">
        <v>141</v>
      </c>
      <c r="H1074" t="s">
        <v>142</v>
      </c>
      <c r="I1074" t="s">
        <v>279</v>
      </c>
      <c r="J1074" t="s">
        <v>280</v>
      </c>
      <c r="L1074" t="s">
        <v>769</v>
      </c>
      <c r="M1074" s="8">
        <v>45992</v>
      </c>
      <c r="N1074">
        <v>5841267</v>
      </c>
      <c r="O1074" t="s">
        <v>123</v>
      </c>
      <c r="P1074" t="s">
        <v>146</v>
      </c>
      <c r="Q1074">
        <v>4.72</v>
      </c>
      <c r="R1074" t="s">
        <v>125</v>
      </c>
      <c r="S1074" t="s">
        <v>126</v>
      </c>
      <c r="T1074" t="s">
        <v>125</v>
      </c>
      <c r="U1074" t="s">
        <v>126</v>
      </c>
      <c r="W1074">
        <v>4.72</v>
      </c>
      <c r="Y1074">
        <v>4.72</v>
      </c>
      <c r="BE1074">
        <v>4.72</v>
      </c>
      <c r="BH1074" t="s">
        <v>126</v>
      </c>
      <c r="BI1074" t="s">
        <v>126</v>
      </c>
      <c r="BJ1074" t="s">
        <v>126</v>
      </c>
      <c r="BK1074" t="s">
        <v>126</v>
      </c>
      <c r="BS1074" t="s">
        <v>126</v>
      </c>
      <c r="BT1074" t="s">
        <v>126</v>
      </c>
      <c r="BU1074" t="s">
        <v>126</v>
      </c>
      <c r="BV1074" t="s">
        <v>126</v>
      </c>
      <c r="CN1074" t="s">
        <v>147</v>
      </c>
      <c r="CP1074" t="s">
        <v>484</v>
      </c>
      <c r="CQ1074" t="s">
        <v>147</v>
      </c>
    </row>
    <row r="1075" spans="1:95" x14ac:dyDescent="0.2">
      <c r="A1075" t="s">
        <v>115</v>
      </c>
      <c r="B1075" t="s">
        <v>116</v>
      </c>
      <c r="C1075">
        <v>210784</v>
      </c>
      <c r="E1075" t="s">
        <v>117</v>
      </c>
      <c r="F1075">
        <v>368</v>
      </c>
      <c r="G1075" t="s">
        <v>141</v>
      </c>
      <c r="H1075" t="s">
        <v>142</v>
      </c>
      <c r="I1075" t="s">
        <v>279</v>
      </c>
      <c r="J1075" t="s">
        <v>280</v>
      </c>
      <c r="L1075" t="s">
        <v>486</v>
      </c>
      <c r="M1075" s="8">
        <v>45992</v>
      </c>
      <c r="N1075">
        <v>5842294</v>
      </c>
      <c r="O1075" t="s">
        <v>123</v>
      </c>
      <c r="P1075" t="s">
        <v>146</v>
      </c>
      <c r="Q1075">
        <v>4.08</v>
      </c>
      <c r="R1075" t="s">
        <v>125</v>
      </c>
      <c r="S1075" t="s">
        <v>126</v>
      </c>
      <c r="T1075" t="s">
        <v>125</v>
      </c>
      <c r="U1075" t="s">
        <v>126</v>
      </c>
      <c r="W1075">
        <v>4.08</v>
      </c>
      <c r="Y1075">
        <v>4.08</v>
      </c>
      <c r="BE1075">
        <v>4.08</v>
      </c>
      <c r="BH1075" t="s">
        <v>126</v>
      </c>
      <c r="BI1075" t="s">
        <v>126</v>
      </c>
      <c r="BJ1075" t="s">
        <v>126</v>
      </c>
      <c r="BK1075" t="s">
        <v>126</v>
      </c>
      <c r="BS1075" t="s">
        <v>126</v>
      </c>
      <c r="BT1075" t="s">
        <v>126</v>
      </c>
      <c r="BU1075" t="s">
        <v>126</v>
      </c>
      <c r="BV1075" t="s">
        <v>126</v>
      </c>
      <c r="CN1075" t="s">
        <v>147</v>
      </c>
      <c r="CP1075" t="s">
        <v>484</v>
      </c>
      <c r="CQ1075" t="s">
        <v>147</v>
      </c>
    </row>
    <row r="1076" spans="1:95" x14ac:dyDescent="0.2">
      <c r="A1076" t="s">
        <v>115</v>
      </c>
      <c r="B1076" t="s">
        <v>116</v>
      </c>
      <c r="C1076">
        <v>210784</v>
      </c>
      <c r="E1076" t="s">
        <v>117</v>
      </c>
      <c r="F1076">
        <v>368</v>
      </c>
      <c r="G1076" t="s">
        <v>141</v>
      </c>
      <c r="H1076" t="s">
        <v>142</v>
      </c>
      <c r="I1076" t="s">
        <v>279</v>
      </c>
      <c r="J1076" t="s">
        <v>280</v>
      </c>
      <c r="L1076" t="s">
        <v>487</v>
      </c>
      <c r="M1076" s="8">
        <v>45992</v>
      </c>
      <c r="N1076">
        <v>5842694</v>
      </c>
      <c r="O1076" t="s">
        <v>123</v>
      </c>
      <c r="P1076" t="s">
        <v>146</v>
      </c>
      <c r="Q1076">
        <v>9.35</v>
      </c>
      <c r="R1076" t="s">
        <v>125</v>
      </c>
      <c r="S1076" t="s">
        <v>126</v>
      </c>
      <c r="T1076" t="s">
        <v>125</v>
      </c>
      <c r="U1076" t="s">
        <v>126</v>
      </c>
      <c r="W1076">
        <v>9.35</v>
      </c>
      <c r="Y1076">
        <v>9.35</v>
      </c>
      <c r="BE1076">
        <v>9.35</v>
      </c>
      <c r="BH1076" t="s">
        <v>126</v>
      </c>
      <c r="BI1076" t="s">
        <v>126</v>
      </c>
      <c r="BJ1076" t="s">
        <v>126</v>
      </c>
      <c r="BK1076" t="s">
        <v>126</v>
      </c>
      <c r="BS1076" t="s">
        <v>126</v>
      </c>
      <c r="BT1076" t="s">
        <v>126</v>
      </c>
      <c r="BU1076" t="s">
        <v>126</v>
      </c>
      <c r="BV1076" t="s">
        <v>126</v>
      </c>
      <c r="CN1076" t="s">
        <v>147</v>
      </c>
      <c r="CP1076" t="s">
        <v>484</v>
      </c>
      <c r="CQ1076" t="s">
        <v>147</v>
      </c>
    </row>
    <row r="1077" spans="1:95" x14ac:dyDescent="0.2">
      <c r="A1077" t="s">
        <v>115</v>
      </c>
      <c r="B1077" t="s">
        <v>116</v>
      </c>
      <c r="C1077">
        <v>210784</v>
      </c>
      <c r="E1077" t="s">
        <v>117</v>
      </c>
      <c r="F1077">
        <v>368</v>
      </c>
      <c r="G1077" t="s">
        <v>141</v>
      </c>
      <c r="H1077" t="s">
        <v>142</v>
      </c>
      <c r="I1077" t="s">
        <v>279</v>
      </c>
      <c r="J1077" t="s">
        <v>280</v>
      </c>
      <c r="L1077" t="s">
        <v>297</v>
      </c>
      <c r="M1077" s="8">
        <v>45992</v>
      </c>
      <c r="N1077">
        <v>58444221</v>
      </c>
      <c r="O1077" t="s">
        <v>123</v>
      </c>
      <c r="P1077" t="s">
        <v>146</v>
      </c>
      <c r="Q1077">
        <v>3.78</v>
      </c>
      <c r="R1077" t="s">
        <v>125</v>
      </c>
      <c r="S1077" t="s">
        <v>126</v>
      </c>
      <c r="T1077" t="s">
        <v>125</v>
      </c>
      <c r="U1077" t="s">
        <v>126</v>
      </c>
      <c r="W1077">
        <v>3.78</v>
      </c>
      <c r="Y1077">
        <v>3.78</v>
      </c>
      <c r="BE1077">
        <v>3.78</v>
      </c>
      <c r="BH1077" t="s">
        <v>126</v>
      </c>
      <c r="BI1077" t="s">
        <v>126</v>
      </c>
      <c r="BJ1077" t="s">
        <v>126</v>
      </c>
      <c r="BK1077" t="s">
        <v>126</v>
      </c>
      <c r="BS1077" t="s">
        <v>126</v>
      </c>
      <c r="BT1077" t="s">
        <v>126</v>
      </c>
      <c r="BU1077" t="s">
        <v>126</v>
      </c>
      <c r="BV1077" t="s">
        <v>126</v>
      </c>
      <c r="CN1077" t="s">
        <v>147</v>
      </c>
      <c r="CP1077" t="s">
        <v>484</v>
      </c>
      <c r="CQ1077" t="s">
        <v>147</v>
      </c>
    </row>
    <row r="1078" spans="1:95" x14ac:dyDescent="0.2">
      <c r="A1078" t="s">
        <v>115</v>
      </c>
      <c r="B1078" t="s">
        <v>116</v>
      </c>
      <c r="C1078">
        <v>210784</v>
      </c>
      <c r="E1078" t="s">
        <v>117</v>
      </c>
      <c r="F1078">
        <v>368</v>
      </c>
      <c r="G1078" t="s">
        <v>141</v>
      </c>
      <c r="H1078" t="s">
        <v>142</v>
      </c>
      <c r="I1078" t="s">
        <v>279</v>
      </c>
      <c r="J1078" t="s">
        <v>280</v>
      </c>
      <c r="L1078" t="s">
        <v>772</v>
      </c>
      <c r="M1078" s="8">
        <v>45992</v>
      </c>
      <c r="N1078">
        <v>5848804</v>
      </c>
      <c r="O1078" t="s">
        <v>123</v>
      </c>
      <c r="P1078" t="s">
        <v>146</v>
      </c>
      <c r="Q1078">
        <v>9.91</v>
      </c>
      <c r="R1078" t="s">
        <v>125</v>
      </c>
      <c r="S1078" t="s">
        <v>126</v>
      </c>
      <c r="T1078" t="s">
        <v>125</v>
      </c>
      <c r="U1078" t="s">
        <v>126</v>
      </c>
      <c r="W1078">
        <v>9.91</v>
      </c>
      <c r="Y1078">
        <v>9.91</v>
      </c>
      <c r="BE1078">
        <v>9.91</v>
      </c>
      <c r="BH1078" t="s">
        <v>126</v>
      </c>
      <c r="BI1078" t="s">
        <v>126</v>
      </c>
      <c r="BJ1078" t="s">
        <v>126</v>
      </c>
      <c r="BK1078" t="s">
        <v>126</v>
      </c>
      <c r="BS1078" t="s">
        <v>126</v>
      </c>
      <c r="BT1078" t="s">
        <v>126</v>
      </c>
      <c r="BU1078" t="s">
        <v>126</v>
      </c>
      <c r="BV1078" t="s">
        <v>126</v>
      </c>
      <c r="CN1078" t="s">
        <v>147</v>
      </c>
      <c r="CP1078" t="s">
        <v>484</v>
      </c>
      <c r="CQ1078" t="s">
        <v>147</v>
      </c>
    </row>
    <row r="1079" spans="1:95" x14ac:dyDescent="0.2">
      <c r="A1079" t="s">
        <v>115</v>
      </c>
      <c r="B1079" t="s">
        <v>116</v>
      </c>
      <c r="C1079">
        <v>210784</v>
      </c>
      <c r="E1079" t="s">
        <v>117</v>
      </c>
      <c r="F1079">
        <v>368</v>
      </c>
      <c r="G1079" t="s">
        <v>141</v>
      </c>
      <c r="H1079" t="s">
        <v>142</v>
      </c>
      <c r="I1079" t="s">
        <v>279</v>
      </c>
      <c r="J1079" t="s">
        <v>280</v>
      </c>
      <c r="L1079" t="s">
        <v>908</v>
      </c>
      <c r="M1079" s="8">
        <v>45992</v>
      </c>
      <c r="N1079">
        <v>5851782</v>
      </c>
      <c r="O1079" t="s">
        <v>123</v>
      </c>
      <c r="P1079" t="s">
        <v>146</v>
      </c>
      <c r="Q1079">
        <v>5.81</v>
      </c>
      <c r="R1079" t="s">
        <v>125</v>
      </c>
      <c r="S1079" t="s">
        <v>126</v>
      </c>
      <c r="T1079" t="s">
        <v>125</v>
      </c>
      <c r="U1079" t="s">
        <v>126</v>
      </c>
      <c r="W1079">
        <v>5.81</v>
      </c>
      <c r="Y1079">
        <v>5.81</v>
      </c>
      <c r="BE1079">
        <v>5.81</v>
      </c>
      <c r="BH1079" t="s">
        <v>126</v>
      </c>
      <c r="BI1079" t="s">
        <v>126</v>
      </c>
      <c r="BJ1079" t="s">
        <v>126</v>
      </c>
      <c r="BK1079" t="s">
        <v>126</v>
      </c>
      <c r="BS1079" t="s">
        <v>126</v>
      </c>
      <c r="BT1079" t="s">
        <v>126</v>
      </c>
      <c r="BU1079" t="s">
        <v>126</v>
      </c>
      <c r="BV1079" t="s">
        <v>126</v>
      </c>
      <c r="CN1079" t="s">
        <v>147</v>
      </c>
      <c r="CP1079" t="s">
        <v>484</v>
      </c>
      <c r="CQ1079" t="s">
        <v>147</v>
      </c>
    </row>
    <row r="1080" spans="1:95" x14ac:dyDescent="0.2">
      <c r="A1080" t="s">
        <v>115</v>
      </c>
      <c r="B1080" t="s">
        <v>116</v>
      </c>
      <c r="C1080">
        <v>210784</v>
      </c>
      <c r="E1080" t="s">
        <v>117</v>
      </c>
      <c r="F1080">
        <v>368</v>
      </c>
      <c r="G1080" t="s">
        <v>141</v>
      </c>
      <c r="H1080" t="s">
        <v>142</v>
      </c>
      <c r="I1080" t="s">
        <v>279</v>
      </c>
      <c r="J1080" t="s">
        <v>280</v>
      </c>
      <c r="L1080" t="s">
        <v>776</v>
      </c>
      <c r="M1080" s="8">
        <v>45992</v>
      </c>
      <c r="N1080">
        <v>5853423</v>
      </c>
      <c r="O1080" t="s">
        <v>123</v>
      </c>
      <c r="P1080" t="s">
        <v>146</v>
      </c>
      <c r="Q1080">
        <v>2.68</v>
      </c>
      <c r="R1080" t="s">
        <v>125</v>
      </c>
      <c r="S1080" t="s">
        <v>126</v>
      </c>
      <c r="T1080" t="s">
        <v>125</v>
      </c>
      <c r="U1080" t="s">
        <v>126</v>
      </c>
      <c r="W1080">
        <v>2.68</v>
      </c>
      <c r="Y1080">
        <v>2.68</v>
      </c>
      <c r="BE1080">
        <v>2.68</v>
      </c>
      <c r="BH1080" t="s">
        <v>126</v>
      </c>
      <c r="BI1080" t="s">
        <v>126</v>
      </c>
      <c r="BJ1080" t="s">
        <v>126</v>
      </c>
      <c r="BK1080" t="s">
        <v>126</v>
      </c>
      <c r="BS1080" t="s">
        <v>126</v>
      </c>
      <c r="BT1080" t="s">
        <v>126</v>
      </c>
      <c r="BU1080" t="s">
        <v>126</v>
      </c>
      <c r="BV1080" t="s">
        <v>126</v>
      </c>
      <c r="CN1080" t="s">
        <v>147</v>
      </c>
      <c r="CP1080" t="s">
        <v>490</v>
      </c>
      <c r="CQ1080" t="s">
        <v>147</v>
      </c>
    </row>
    <row r="1081" spans="1:95" x14ac:dyDescent="0.2">
      <c r="A1081" t="s">
        <v>115</v>
      </c>
      <c r="B1081" t="s">
        <v>116</v>
      </c>
      <c r="C1081">
        <v>210784</v>
      </c>
      <c r="E1081" t="s">
        <v>117</v>
      </c>
      <c r="F1081">
        <v>368</v>
      </c>
      <c r="G1081" t="s">
        <v>141</v>
      </c>
      <c r="H1081" t="s">
        <v>142</v>
      </c>
      <c r="I1081" t="s">
        <v>279</v>
      </c>
      <c r="J1081" t="s">
        <v>280</v>
      </c>
      <c r="L1081" t="s">
        <v>484</v>
      </c>
      <c r="M1081" s="8">
        <v>45992</v>
      </c>
      <c r="N1081">
        <v>5854794</v>
      </c>
      <c r="O1081" t="s">
        <v>123</v>
      </c>
      <c r="P1081" t="s">
        <v>146</v>
      </c>
      <c r="Q1081">
        <v>5.54</v>
      </c>
      <c r="R1081" t="s">
        <v>125</v>
      </c>
      <c r="S1081" t="s">
        <v>126</v>
      </c>
      <c r="T1081" t="s">
        <v>125</v>
      </c>
      <c r="U1081" t="s">
        <v>126</v>
      </c>
      <c r="W1081">
        <v>5.54</v>
      </c>
      <c r="Y1081">
        <v>5.54</v>
      </c>
      <c r="BE1081">
        <v>5.54</v>
      </c>
      <c r="BH1081" t="s">
        <v>126</v>
      </c>
      <c r="BI1081" t="s">
        <v>126</v>
      </c>
      <c r="BJ1081" t="s">
        <v>126</v>
      </c>
      <c r="BK1081" t="s">
        <v>126</v>
      </c>
      <c r="BS1081" t="s">
        <v>126</v>
      </c>
      <c r="BT1081" t="s">
        <v>126</v>
      </c>
      <c r="BU1081" t="s">
        <v>126</v>
      </c>
      <c r="BV1081" t="s">
        <v>126</v>
      </c>
      <c r="CN1081" t="s">
        <v>147</v>
      </c>
      <c r="CP1081" t="s">
        <v>490</v>
      </c>
      <c r="CQ1081" t="s">
        <v>147</v>
      </c>
    </row>
    <row r="1082" spans="1:95" x14ac:dyDescent="0.2">
      <c r="A1082" t="s">
        <v>115</v>
      </c>
      <c r="B1082" t="s">
        <v>116</v>
      </c>
      <c r="C1082">
        <v>210784</v>
      </c>
      <c r="E1082" t="s">
        <v>117</v>
      </c>
      <c r="F1082">
        <v>368</v>
      </c>
      <c r="G1082" t="s">
        <v>118</v>
      </c>
      <c r="H1082" t="s">
        <v>119</v>
      </c>
      <c r="I1082" t="s">
        <v>130</v>
      </c>
      <c r="J1082" t="s">
        <v>131</v>
      </c>
      <c r="L1082" t="s">
        <v>132</v>
      </c>
      <c r="M1082" s="8">
        <v>46023</v>
      </c>
      <c r="N1082">
        <v>7349991</v>
      </c>
      <c r="O1082" t="s">
        <v>123</v>
      </c>
      <c r="P1082" t="s">
        <v>124</v>
      </c>
      <c r="Q1082">
        <v>16.59</v>
      </c>
      <c r="R1082" t="s">
        <v>125</v>
      </c>
      <c r="S1082" t="s">
        <v>126</v>
      </c>
      <c r="T1082" t="s">
        <v>125</v>
      </c>
      <c r="U1082" t="s">
        <v>126</v>
      </c>
      <c r="W1082">
        <v>16.59</v>
      </c>
      <c r="Y1082">
        <v>16.59</v>
      </c>
      <c r="AA1082">
        <v>16.59</v>
      </c>
      <c r="BH1082" t="s">
        <v>126</v>
      </c>
      <c r="BI1082" t="s">
        <v>126</v>
      </c>
      <c r="BJ1082" t="s">
        <v>126</v>
      </c>
      <c r="BK1082" t="s">
        <v>126</v>
      </c>
      <c r="BS1082" t="s">
        <v>126</v>
      </c>
      <c r="BT1082" t="s">
        <v>126</v>
      </c>
      <c r="BU1082" t="s">
        <v>126</v>
      </c>
      <c r="BV1082" t="s">
        <v>126</v>
      </c>
      <c r="CN1082" t="s">
        <v>119</v>
      </c>
      <c r="CP1082" t="s">
        <v>133</v>
      </c>
      <c r="CQ1082" t="s">
        <v>119</v>
      </c>
    </row>
    <row r="1083" spans="1:95" x14ac:dyDescent="0.2">
      <c r="A1083" t="s">
        <v>115</v>
      </c>
      <c r="B1083" t="s">
        <v>116</v>
      </c>
      <c r="C1083">
        <v>210784</v>
      </c>
      <c r="E1083" t="s">
        <v>117</v>
      </c>
      <c r="F1083">
        <v>368</v>
      </c>
      <c r="G1083" t="s">
        <v>118</v>
      </c>
      <c r="H1083" t="s">
        <v>119</v>
      </c>
      <c r="I1083" t="s">
        <v>130</v>
      </c>
      <c r="J1083" t="s">
        <v>131</v>
      </c>
      <c r="L1083" t="s">
        <v>132</v>
      </c>
      <c r="M1083" s="8">
        <v>46023</v>
      </c>
      <c r="N1083">
        <v>7349999</v>
      </c>
      <c r="O1083" t="s">
        <v>123</v>
      </c>
      <c r="P1083" t="s">
        <v>124</v>
      </c>
      <c r="Q1083">
        <v>18.82</v>
      </c>
      <c r="R1083" t="s">
        <v>125</v>
      </c>
      <c r="S1083" t="s">
        <v>126</v>
      </c>
      <c r="T1083" t="s">
        <v>125</v>
      </c>
      <c r="U1083" t="s">
        <v>126</v>
      </c>
      <c r="W1083">
        <v>18.82</v>
      </c>
      <c r="Y1083">
        <v>18.82</v>
      </c>
      <c r="AA1083">
        <v>18.82</v>
      </c>
      <c r="BH1083" t="s">
        <v>126</v>
      </c>
      <c r="BI1083" t="s">
        <v>126</v>
      </c>
      <c r="BJ1083" t="s">
        <v>126</v>
      </c>
      <c r="BK1083" t="s">
        <v>126</v>
      </c>
      <c r="BS1083" t="s">
        <v>126</v>
      </c>
      <c r="BT1083" t="s">
        <v>126</v>
      </c>
      <c r="BU1083" t="s">
        <v>126</v>
      </c>
      <c r="BV1083" t="s">
        <v>126</v>
      </c>
      <c r="CN1083" t="s">
        <v>119</v>
      </c>
      <c r="CP1083" t="s">
        <v>133</v>
      </c>
      <c r="CQ1083" t="s">
        <v>119</v>
      </c>
    </row>
    <row r="1084" spans="1:95" x14ac:dyDescent="0.2">
      <c r="A1084" t="s">
        <v>115</v>
      </c>
      <c r="B1084" t="s">
        <v>116</v>
      </c>
      <c r="C1084">
        <v>210784</v>
      </c>
      <c r="E1084" t="s">
        <v>117</v>
      </c>
      <c r="F1084">
        <v>368</v>
      </c>
      <c r="G1084" t="s">
        <v>118</v>
      </c>
      <c r="H1084" t="s">
        <v>119</v>
      </c>
      <c r="I1084" t="s">
        <v>130</v>
      </c>
      <c r="J1084" t="s">
        <v>131</v>
      </c>
      <c r="L1084" t="s">
        <v>132</v>
      </c>
      <c r="M1084" s="8">
        <v>46023</v>
      </c>
      <c r="N1084">
        <v>7350062</v>
      </c>
      <c r="O1084" t="s">
        <v>123</v>
      </c>
      <c r="P1084" t="s">
        <v>124</v>
      </c>
      <c r="Q1084">
        <v>17.190000000000001</v>
      </c>
      <c r="R1084" t="s">
        <v>125</v>
      </c>
      <c r="S1084" t="s">
        <v>126</v>
      </c>
      <c r="T1084" t="s">
        <v>125</v>
      </c>
      <c r="U1084" t="s">
        <v>126</v>
      </c>
      <c r="W1084">
        <v>17.190000000000001</v>
      </c>
      <c r="Y1084">
        <v>17.190000000000001</v>
      </c>
      <c r="AA1084">
        <v>17.190000000000001</v>
      </c>
      <c r="BH1084" t="s">
        <v>126</v>
      </c>
      <c r="BI1084" t="s">
        <v>126</v>
      </c>
      <c r="BJ1084" t="s">
        <v>126</v>
      </c>
      <c r="BK1084" t="s">
        <v>126</v>
      </c>
      <c r="BS1084" t="s">
        <v>126</v>
      </c>
      <c r="BT1084" t="s">
        <v>126</v>
      </c>
      <c r="BU1084" t="s">
        <v>126</v>
      </c>
      <c r="BV1084" t="s">
        <v>126</v>
      </c>
      <c r="CN1084" t="s">
        <v>119</v>
      </c>
      <c r="CP1084" t="s">
        <v>133</v>
      </c>
      <c r="CQ1084" t="s">
        <v>119</v>
      </c>
    </row>
    <row r="1085" spans="1:95" x14ac:dyDescent="0.2">
      <c r="A1085" t="s">
        <v>115</v>
      </c>
      <c r="B1085" t="s">
        <v>116</v>
      </c>
      <c r="C1085">
        <v>210784</v>
      </c>
      <c r="E1085" t="s">
        <v>117</v>
      </c>
      <c r="F1085">
        <v>368</v>
      </c>
      <c r="G1085" t="s">
        <v>118</v>
      </c>
      <c r="H1085" t="s">
        <v>119</v>
      </c>
      <c r="I1085" t="s">
        <v>130</v>
      </c>
      <c r="J1085" t="s">
        <v>131</v>
      </c>
      <c r="L1085" t="s">
        <v>132</v>
      </c>
      <c r="M1085" s="8">
        <v>46023</v>
      </c>
      <c r="N1085">
        <v>7350115</v>
      </c>
      <c r="O1085" t="s">
        <v>123</v>
      </c>
      <c r="P1085" t="s">
        <v>124</v>
      </c>
      <c r="Q1085">
        <v>17.22</v>
      </c>
      <c r="R1085" t="s">
        <v>125</v>
      </c>
      <c r="S1085" t="s">
        <v>126</v>
      </c>
      <c r="T1085" t="s">
        <v>125</v>
      </c>
      <c r="U1085" t="s">
        <v>126</v>
      </c>
      <c r="W1085">
        <v>17.22</v>
      </c>
      <c r="Y1085">
        <v>17.22</v>
      </c>
      <c r="AA1085">
        <v>17.22</v>
      </c>
      <c r="BH1085" t="s">
        <v>126</v>
      </c>
      <c r="BI1085" t="s">
        <v>126</v>
      </c>
      <c r="BJ1085" t="s">
        <v>126</v>
      </c>
      <c r="BK1085" t="s">
        <v>126</v>
      </c>
      <c r="BS1085" t="s">
        <v>126</v>
      </c>
      <c r="BT1085" t="s">
        <v>126</v>
      </c>
      <c r="BU1085" t="s">
        <v>126</v>
      </c>
      <c r="BV1085" t="s">
        <v>126</v>
      </c>
      <c r="CN1085" t="s">
        <v>119</v>
      </c>
      <c r="CP1085" t="s">
        <v>133</v>
      </c>
      <c r="CQ1085" t="s">
        <v>119</v>
      </c>
    </row>
    <row r="1086" spans="1:95" x14ac:dyDescent="0.2">
      <c r="A1086" t="s">
        <v>115</v>
      </c>
      <c r="B1086" t="s">
        <v>116</v>
      </c>
      <c r="C1086">
        <v>210784</v>
      </c>
      <c r="E1086" t="s">
        <v>117</v>
      </c>
      <c r="F1086">
        <v>368</v>
      </c>
      <c r="G1086" t="s">
        <v>118</v>
      </c>
      <c r="H1086" t="s">
        <v>119</v>
      </c>
      <c r="I1086" t="s">
        <v>130</v>
      </c>
      <c r="J1086" t="s">
        <v>131</v>
      </c>
      <c r="L1086" t="s">
        <v>132</v>
      </c>
      <c r="M1086" s="8">
        <v>46023</v>
      </c>
      <c r="N1086">
        <v>7350129</v>
      </c>
      <c r="O1086" t="s">
        <v>123</v>
      </c>
      <c r="P1086" t="s">
        <v>124</v>
      </c>
      <c r="Q1086">
        <v>16.32</v>
      </c>
      <c r="R1086" t="s">
        <v>125</v>
      </c>
      <c r="S1086" t="s">
        <v>126</v>
      </c>
      <c r="T1086" t="s">
        <v>125</v>
      </c>
      <c r="U1086" t="s">
        <v>126</v>
      </c>
      <c r="W1086">
        <v>16.32</v>
      </c>
      <c r="Y1086">
        <v>16.32</v>
      </c>
      <c r="AA1086">
        <v>16.32</v>
      </c>
      <c r="BH1086" t="s">
        <v>126</v>
      </c>
      <c r="BI1086" t="s">
        <v>126</v>
      </c>
      <c r="BJ1086" t="s">
        <v>126</v>
      </c>
      <c r="BK1086" t="s">
        <v>126</v>
      </c>
      <c r="BS1086" t="s">
        <v>126</v>
      </c>
      <c r="BT1086" t="s">
        <v>126</v>
      </c>
      <c r="BU1086" t="s">
        <v>126</v>
      </c>
      <c r="BV1086" t="s">
        <v>126</v>
      </c>
      <c r="CN1086" t="s">
        <v>119</v>
      </c>
      <c r="CP1086" t="s">
        <v>133</v>
      </c>
      <c r="CQ1086" t="s">
        <v>119</v>
      </c>
    </row>
    <row r="1087" spans="1:95" x14ac:dyDescent="0.2">
      <c r="A1087" t="s">
        <v>115</v>
      </c>
      <c r="B1087" t="s">
        <v>116</v>
      </c>
      <c r="C1087">
        <v>210784</v>
      </c>
      <c r="E1087" t="s">
        <v>117</v>
      </c>
      <c r="F1087">
        <v>368</v>
      </c>
      <c r="G1087" t="s">
        <v>118</v>
      </c>
      <c r="H1087" t="s">
        <v>119</v>
      </c>
      <c r="I1087" t="s">
        <v>130</v>
      </c>
      <c r="J1087" t="s">
        <v>131</v>
      </c>
      <c r="L1087" t="s">
        <v>132</v>
      </c>
      <c r="M1087" s="8">
        <v>46023</v>
      </c>
      <c r="N1087">
        <v>7350166</v>
      </c>
      <c r="O1087" t="s">
        <v>123</v>
      </c>
      <c r="P1087" t="s">
        <v>124</v>
      </c>
      <c r="Q1087">
        <v>18.05</v>
      </c>
      <c r="R1087" t="s">
        <v>125</v>
      </c>
      <c r="S1087" t="s">
        <v>126</v>
      </c>
      <c r="T1087" t="s">
        <v>125</v>
      </c>
      <c r="U1087" t="s">
        <v>126</v>
      </c>
      <c r="W1087">
        <v>18.05</v>
      </c>
      <c r="Y1087">
        <v>18.05</v>
      </c>
      <c r="AA1087">
        <v>18.05</v>
      </c>
      <c r="BH1087" t="s">
        <v>126</v>
      </c>
      <c r="BI1087" t="s">
        <v>126</v>
      </c>
      <c r="BJ1087" t="s">
        <v>126</v>
      </c>
      <c r="BK1087" t="s">
        <v>126</v>
      </c>
      <c r="BS1087" t="s">
        <v>126</v>
      </c>
      <c r="BT1087" t="s">
        <v>126</v>
      </c>
      <c r="BU1087" t="s">
        <v>126</v>
      </c>
      <c r="BV1087" t="s">
        <v>126</v>
      </c>
      <c r="CN1087" t="s">
        <v>119</v>
      </c>
      <c r="CP1087" t="s">
        <v>133</v>
      </c>
      <c r="CQ1087" t="s">
        <v>119</v>
      </c>
    </row>
    <row r="1088" spans="1:95" x14ac:dyDescent="0.2">
      <c r="A1088" t="s">
        <v>115</v>
      </c>
      <c r="B1088" t="s">
        <v>116</v>
      </c>
      <c r="C1088">
        <v>210784</v>
      </c>
      <c r="E1088" t="s">
        <v>117</v>
      </c>
      <c r="F1088">
        <v>368</v>
      </c>
      <c r="G1088" t="s">
        <v>118</v>
      </c>
      <c r="H1088" t="s">
        <v>119</v>
      </c>
      <c r="I1088" t="s">
        <v>130</v>
      </c>
      <c r="J1088" t="s">
        <v>131</v>
      </c>
      <c r="L1088" t="s">
        <v>132</v>
      </c>
      <c r="M1088" s="8">
        <v>46023</v>
      </c>
      <c r="N1088">
        <v>7350178</v>
      </c>
      <c r="O1088" t="s">
        <v>123</v>
      </c>
      <c r="P1088" t="s">
        <v>124</v>
      </c>
      <c r="Q1088">
        <v>15.54</v>
      </c>
      <c r="R1088" t="s">
        <v>125</v>
      </c>
      <c r="S1088" t="s">
        <v>126</v>
      </c>
      <c r="T1088" t="s">
        <v>125</v>
      </c>
      <c r="U1088" t="s">
        <v>126</v>
      </c>
      <c r="W1088">
        <v>15.54</v>
      </c>
      <c r="Y1088">
        <v>15.54</v>
      </c>
      <c r="AA1088">
        <v>15.54</v>
      </c>
      <c r="BH1088" t="s">
        <v>126</v>
      </c>
      <c r="BI1088" t="s">
        <v>126</v>
      </c>
      <c r="BJ1088" t="s">
        <v>126</v>
      </c>
      <c r="BK1088" t="s">
        <v>126</v>
      </c>
      <c r="BS1088" t="s">
        <v>126</v>
      </c>
      <c r="BT1088" t="s">
        <v>126</v>
      </c>
      <c r="BU1088" t="s">
        <v>126</v>
      </c>
      <c r="BV1088" t="s">
        <v>126</v>
      </c>
      <c r="CN1088" t="s">
        <v>119</v>
      </c>
      <c r="CP1088" t="s">
        <v>133</v>
      </c>
      <c r="CQ1088" t="s">
        <v>119</v>
      </c>
    </row>
    <row r="1089" spans="1:95" x14ac:dyDescent="0.2">
      <c r="A1089" t="s">
        <v>115</v>
      </c>
      <c r="B1089" t="s">
        <v>116</v>
      </c>
      <c r="C1089">
        <v>210784</v>
      </c>
      <c r="E1089" t="s">
        <v>117</v>
      </c>
      <c r="F1089">
        <v>368</v>
      </c>
      <c r="G1089" t="s">
        <v>118</v>
      </c>
      <c r="H1089" t="s">
        <v>119</v>
      </c>
      <c r="I1089" t="s">
        <v>120</v>
      </c>
      <c r="J1089" t="s">
        <v>121</v>
      </c>
      <c r="L1089" t="s">
        <v>134</v>
      </c>
      <c r="M1089" s="8">
        <v>46023</v>
      </c>
      <c r="N1089">
        <v>136655</v>
      </c>
      <c r="O1089" t="s">
        <v>123</v>
      </c>
      <c r="P1089" t="s">
        <v>124</v>
      </c>
      <c r="Q1089">
        <v>14.75</v>
      </c>
      <c r="R1089" t="s">
        <v>125</v>
      </c>
      <c r="S1089" t="s">
        <v>126</v>
      </c>
      <c r="T1089" t="s">
        <v>125</v>
      </c>
      <c r="U1089" t="s">
        <v>126</v>
      </c>
      <c r="W1089">
        <v>14.75</v>
      </c>
      <c r="Y1089">
        <v>14.75</v>
      </c>
      <c r="AA1089">
        <v>14.75</v>
      </c>
      <c r="BH1089" t="s">
        <v>126</v>
      </c>
      <c r="BI1089" t="s">
        <v>126</v>
      </c>
      <c r="BJ1089" t="s">
        <v>126</v>
      </c>
      <c r="BK1089" t="s">
        <v>126</v>
      </c>
      <c r="BS1089" t="s">
        <v>126</v>
      </c>
      <c r="BT1089" t="s">
        <v>126</v>
      </c>
      <c r="BU1089" t="s">
        <v>126</v>
      </c>
      <c r="BV1089" t="s">
        <v>126</v>
      </c>
      <c r="CN1089" t="s">
        <v>119</v>
      </c>
      <c r="CP1089" t="s">
        <v>133</v>
      </c>
      <c r="CQ1089" t="s">
        <v>119</v>
      </c>
    </row>
    <row r="1090" spans="1:95" x14ac:dyDescent="0.2">
      <c r="A1090" t="s">
        <v>115</v>
      </c>
      <c r="B1090" t="s">
        <v>116</v>
      </c>
      <c r="C1090">
        <v>210784</v>
      </c>
      <c r="E1090" t="s">
        <v>117</v>
      </c>
      <c r="F1090">
        <v>368</v>
      </c>
      <c r="G1090" t="s">
        <v>118</v>
      </c>
      <c r="H1090" t="s">
        <v>119</v>
      </c>
      <c r="I1090" t="s">
        <v>130</v>
      </c>
      <c r="J1090" t="s">
        <v>131</v>
      </c>
      <c r="L1090" t="s">
        <v>135</v>
      </c>
      <c r="M1090" s="8">
        <v>46023</v>
      </c>
      <c r="N1090">
        <v>7350217</v>
      </c>
      <c r="O1090" t="s">
        <v>123</v>
      </c>
      <c r="P1090" t="s">
        <v>124</v>
      </c>
      <c r="Q1090">
        <v>16.420000000000002</v>
      </c>
      <c r="R1090" t="s">
        <v>125</v>
      </c>
      <c r="S1090" t="s">
        <v>126</v>
      </c>
      <c r="T1090" t="s">
        <v>125</v>
      </c>
      <c r="U1090" t="s">
        <v>126</v>
      </c>
      <c r="W1090">
        <v>16.420000000000002</v>
      </c>
      <c r="Y1090">
        <v>16.420000000000002</v>
      </c>
      <c r="AA1090">
        <v>16.420000000000002</v>
      </c>
      <c r="BH1090" t="s">
        <v>126</v>
      </c>
      <c r="BI1090" t="s">
        <v>126</v>
      </c>
      <c r="BJ1090" t="s">
        <v>126</v>
      </c>
      <c r="BK1090" t="s">
        <v>126</v>
      </c>
      <c r="BS1090" t="s">
        <v>126</v>
      </c>
      <c r="BT1090" t="s">
        <v>126</v>
      </c>
      <c r="BU1090" t="s">
        <v>126</v>
      </c>
      <c r="BV1090" t="s">
        <v>126</v>
      </c>
      <c r="CN1090" t="s">
        <v>127</v>
      </c>
      <c r="CP1090" t="s">
        <v>136</v>
      </c>
      <c r="CQ1090" t="s">
        <v>127</v>
      </c>
    </row>
    <row r="1091" spans="1:95" x14ac:dyDescent="0.2">
      <c r="A1091" t="s">
        <v>115</v>
      </c>
      <c r="B1091" t="s">
        <v>116</v>
      </c>
      <c r="C1091">
        <v>210784</v>
      </c>
      <c r="E1091" t="s">
        <v>117</v>
      </c>
      <c r="F1091">
        <v>368</v>
      </c>
      <c r="G1091" t="s">
        <v>118</v>
      </c>
      <c r="H1091" t="s">
        <v>119</v>
      </c>
      <c r="I1091" t="s">
        <v>120</v>
      </c>
      <c r="J1091" t="s">
        <v>121</v>
      </c>
      <c r="L1091" t="s">
        <v>137</v>
      </c>
      <c r="M1091" s="8">
        <v>46023</v>
      </c>
      <c r="N1091">
        <v>136807</v>
      </c>
      <c r="O1091" t="s">
        <v>123</v>
      </c>
      <c r="P1091" t="s">
        <v>124</v>
      </c>
      <c r="Q1091">
        <v>20.77</v>
      </c>
      <c r="R1091" t="s">
        <v>125</v>
      </c>
      <c r="S1091" t="s">
        <v>126</v>
      </c>
      <c r="T1091" t="s">
        <v>125</v>
      </c>
      <c r="U1091" t="s">
        <v>126</v>
      </c>
      <c r="W1091">
        <v>20.77</v>
      </c>
      <c r="Y1091">
        <v>20.77</v>
      </c>
      <c r="AA1091">
        <v>20.77</v>
      </c>
      <c r="BH1091" t="s">
        <v>126</v>
      </c>
      <c r="BI1091" t="s">
        <v>126</v>
      </c>
      <c r="BJ1091" t="s">
        <v>126</v>
      </c>
      <c r="BK1091" t="s">
        <v>126</v>
      </c>
      <c r="BS1091" t="s">
        <v>126</v>
      </c>
      <c r="BT1091" t="s">
        <v>126</v>
      </c>
      <c r="BU1091" t="s">
        <v>126</v>
      </c>
      <c r="BV1091" t="s">
        <v>126</v>
      </c>
      <c r="CN1091" t="s">
        <v>127</v>
      </c>
      <c r="CP1091" t="s">
        <v>136</v>
      </c>
      <c r="CQ1091" t="s">
        <v>127</v>
      </c>
    </row>
    <row r="1092" spans="1:95" x14ac:dyDescent="0.2">
      <c r="A1092" t="s">
        <v>115</v>
      </c>
      <c r="B1092" t="s">
        <v>116</v>
      </c>
      <c r="C1092">
        <v>210784</v>
      </c>
      <c r="E1092" t="s">
        <v>117</v>
      </c>
      <c r="F1092">
        <v>368</v>
      </c>
      <c r="G1092" t="s">
        <v>118</v>
      </c>
      <c r="H1092" t="s">
        <v>119</v>
      </c>
      <c r="I1092" t="s">
        <v>120</v>
      </c>
      <c r="J1092" t="s">
        <v>121</v>
      </c>
      <c r="L1092" t="s">
        <v>138</v>
      </c>
      <c r="M1092" s="8">
        <v>46023</v>
      </c>
      <c r="N1092">
        <v>136936</v>
      </c>
      <c r="O1092" t="s">
        <v>123</v>
      </c>
      <c r="P1092" t="s">
        <v>124</v>
      </c>
      <c r="Q1092">
        <v>7.33</v>
      </c>
      <c r="R1092" t="s">
        <v>125</v>
      </c>
      <c r="S1092" t="s">
        <v>126</v>
      </c>
      <c r="T1092" t="s">
        <v>125</v>
      </c>
      <c r="U1092" t="s">
        <v>126</v>
      </c>
      <c r="W1092">
        <v>7.33</v>
      </c>
      <c r="Y1092">
        <v>7.33</v>
      </c>
      <c r="AA1092">
        <v>7.33</v>
      </c>
      <c r="BH1092" t="s">
        <v>126</v>
      </c>
      <c r="BI1092" t="s">
        <v>126</v>
      </c>
      <c r="BJ1092" t="s">
        <v>126</v>
      </c>
      <c r="BK1092" t="s">
        <v>126</v>
      </c>
      <c r="BS1092" t="s">
        <v>126</v>
      </c>
      <c r="BT1092" t="s">
        <v>126</v>
      </c>
      <c r="BU1092" t="s">
        <v>126</v>
      </c>
      <c r="BV1092" t="s">
        <v>126</v>
      </c>
      <c r="CN1092" t="s">
        <v>127</v>
      </c>
      <c r="CP1092" t="s">
        <v>136</v>
      </c>
      <c r="CQ1092" t="s">
        <v>127</v>
      </c>
    </row>
    <row r="1093" spans="1:95" x14ac:dyDescent="0.2">
      <c r="A1093" t="s">
        <v>115</v>
      </c>
      <c r="B1093" t="s">
        <v>116</v>
      </c>
      <c r="C1093">
        <v>210784</v>
      </c>
      <c r="E1093" t="s">
        <v>117</v>
      </c>
      <c r="F1093">
        <v>368</v>
      </c>
      <c r="G1093" t="s">
        <v>118</v>
      </c>
      <c r="H1093" t="s">
        <v>119</v>
      </c>
      <c r="I1093" t="s">
        <v>120</v>
      </c>
      <c r="J1093" t="s">
        <v>121</v>
      </c>
      <c r="L1093" t="s">
        <v>132</v>
      </c>
      <c r="M1093" s="8">
        <v>46023</v>
      </c>
      <c r="N1093">
        <v>136664</v>
      </c>
      <c r="O1093" t="s">
        <v>123</v>
      </c>
      <c r="P1093" t="s">
        <v>124</v>
      </c>
      <c r="Q1093">
        <v>17.98</v>
      </c>
      <c r="R1093" t="s">
        <v>125</v>
      </c>
      <c r="S1093" t="s">
        <v>126</v>
      </c>
      <c r="T1093" t="s">
        <v>125</v>
      </c>
      <c r="U1093" t="s">
        <v>126</v>
      </c>
      <c r="W1093">
        <v>17.98</v>
      </c>
      <c r="Y1093">
        <v>17.98</v>
      </c>
      <c r="AC1093">
        <v>17.98</v>
      </c>
      <c r="BH1093" t="s">
        <v>126</v>
      </c>
      <c r="BI1093" t="s">
        <v>126</v>
      </c>
      <c r="BJ1093" t="s">
        <v>126</v>
      </c>
      <c r="BK1093" t="s">
        <v>126</v>
      </c>
      <c r="BS1093" t="s">
        <v>126</v>
      </c>
      <c r="BT1093" t="s">
        <v>126</v>
      </c>
      <c r="BU1093" t="s">
        <v>126</v>
      </c>
      <c r="BV1093" t="s">
        <v>126</v>
      </c>
      <c r="CN1093" t="s">
        <v>119</v>
      </c>
      <c r="CP1093" t="s">
        <v>133</v>
      </c>
      <c r="CQ1093" t="s">
        <v>119</v>
      </c>
    </row>
    <row r="1094" spans="1:95" x14ac:dyDescent="0.2">
      <c r="A1094" t="s">
        <v>115</v>
      </c>
      <c r="B1094" t="s">
        <v>116</v>
      </c>
      <c r="C1094">
        <v>210784</v>
      </c>
      <c r="E1094" t="s">
        <v>117</v>
      </c>
      <c r="F1094">
        <v>368</v>
      </c>
      <c r="G1094" t="s">
        <v>118</v>
      </c>
      <c r="H1094" t="s">
        <v>119</v>
      </c>
      <c r="I1094" t="s">
        <v>120</v>
      </c>
      <c r="J1094" t="s">
        <v>121</v>
      </c>
      <c r="L1094" t="s">
        <v>137</v>
      </c>
      <c r="M1094" s="8">
        <v>46023</v>
      </c>
      <c r="N1094">
        <v>136805</v>
      </c>
      <c r="O1094" t="s">
        <v>123</v>
      </c>
      <c r="P1094" t="s">
        <v>124</v>
      </c>
      <c r="Q1094">
        <v>13.51</v>
      </c>
      <c r="R1094" t="s">
        <v>125</v>
      </c>
      <c r="S1094" t="s">
        <v>126</v>
      </c>
      <c r="T1094" t="s">
        <v>125</v>
      </c>
      <c r="U1094" t="s">
        <v>126</v>
      </c>
      <c r="W1094">
        <v>13.51</v>
      </c>
      <c r="Y1094">
        <v>13.51</v>
      </c>
      <c r="AC1094">
        <v>13.51</v>
      </c>
      <c r="BH1094" t="s">
        <v>126</v>
      </c>
      <c r="BI1094" t="s">
        <v>126</v>
      </c>
      <c r="BJ1094" t="s">
        <v>126</v>
      </c>
      <c r="BK1094" t="s">
        <v>126</v>
      </c>
      <c r="BS1094" t="s">
        <v>126</v>
      </c>
      <c r="BT1094" t="s">
        <v>126</v>
      </c>
      <c r="BU1094" t="s">
        <v>126</v>
      </c>
      <c r="BV1094" t="s">
        <v>126</v>
      </c>
      <c r="CN1094" t="s">
        <v>127</v>
      </c>
      <c r="CP1094" t="s">
        <v>136</v>
      </c>
      <c r="CQ1094" t="s">
        <v>127</v>
      </c>
    </row>
    <row r="1095" spans="1:95" x14ac:dyDescent="0.2">
      <c r="A1095" t="s">
        <v>115</v>
      </c>
      <c r="B1095" t="s">
        <v>116</v>
      </c>
      <c r="C1095">
        <v>210784</v>
      </c>
      <c r="E1095" t="s">
        <v>117</v>
      </c>
      <c r="F1095">
        <v>368</v>
      </c>
      <c r="G1095" t="s">
        <v>118</v>
      </c>
      <c r="H1095" t="s">
        <v>119</v>
      </c>
      <c r="I1095" t="s">
        <v>120</v>
      </c>
      <c r="J1095" t="s">
        <v>121</v>
      </c>
      <c r="L1095" t="s">
        <v>300</v>
      </c>
      <c r="M1095" s="8">
        <v>46023</v>
      </c>
      <c r="N1095">
        <v>136945</v>
      </c>
      <c r="O1095" t="s">
        <v>123</v>
      </c>
      <c r="P1095" t="s">
        <v>124</v>
      </c>
      <c r="Q1095">
        <v>7.72</v>
      </c>
      <c r="R1095" t="s">
        <v>125</v>
      </c>
      <c r="S1095" t="s">
        <v>126</v>
      </c>
      <c r="T1095" t="s">
        <v>125</v>
      </c>
      <c r="U1095" t="s">
        <v>126</v>
      </c>
      <c r="W1095">
        <v>7.72</v>
      </c>
      <c r="Y1095">
        <v>7.72</v>
      </c>
      <c r="AC1095">
        <v>7.72</v>
      </c>
      <c r="BH1095" t="s">
        <v>126</v>
      </c>
      <c r="BI1095" t="s">
        <v>126</v>
      </c>
      <c r="BJ1095" t="s">
        <v>126</v>
      </c>
      <c r="BK1095" t="s">
        <v>126</v>
      </c>
      <c r="BS1095" t="s">
        <v>126</v>
      </c>
      <c r="BT1095" t="s">
        <v>126</v>
      </c>
      <c r="BU1095" t="s">
        <v>126</v>
      </c>
      <c r="BV1095" t="s">
        <v>126</v>
      </c>
      <c r="CN1095" t="s">
        <v>127</v>
      </c>
      <c r="CP1095" t="s">
        <v>136</v>
      </c>
      <c r="CQ1095" t="s">
        <v>127</v>
      </c>
    </row>
    <row r="1096" spans="1:95" x14ac:dyDescent="0.2">
      <c r="A1096" t="s">
        <v>115</v>
      </c>
      <c r="B1096" t="s">
        <v>116</v>
      </c>
      <c r="C1096">
        <v>210784</v>
      </c>
      <c r="E1096" t="s">
        <v>117</v>
      </c>
      <c r="F1096">
        <v>368</v>
      </c>
      <c r="G1096" t="s">
        <v>141</v>
      </c>
      <c r="H1096" t="s">
        <v>142</v>
      </c>
      <c r="I1096" t="s">
        <v>279</v>
      </c>
      <c r="J1096" t="s">
        <v>280</v>
      </c>
      <c r="L1096" t="s">
        <v>135</v>
      </c>
      <c r="M1096" s="8">
        <v>46023</v>
      </c>
      <c r="N1096">
        <v>5861133</v>
      </c>
      <c r="O1096" t="s">
        <v>123</v>
      </c>
      <c r="P1096" t="s">
        <v>146</v>
      </c>
      <c r="Q1096">
        <v>6.24</v>
      </c>
      <c r="R1096" t="s">
        <v>125</v>
      </c>
      <c r="S1096" t="s">
        <v>126</v>
      </c>
      <c r="T1096" t="s">
        <v>125</v>
      </c>
      <c r="U1096" t="s">
        <v>126</v>
      </c>
      <c r="W1096">
        <v>6.24</v>
      </c>
      <c r="Y1096">
        <v>6.24</v>
      </c>
      <c r="AS1096">
        <v>6.24</v>
      </c>
      <c r="BH1096" t="s">
        <v>126</v>
      </c>
      <c r="BI1096" t="s">
        <v>126</v>
      </c>
      <c r="BJ1096" t="s">
        <v>126</v>
      </c>
      <c r="BK1096" t="s">
        <v>126</v>
      </c>
      <c r="BS1096" t="s">
        <v>126</v>
      </c>
      <c r="BT1096" t="s">
        <v>126</v>
      </c>
      <c r="BU1096" t="s">
        <v>126</v>
      </c>
      <c r="BV1096" t="s">
        <v>126</v>
      </c>
      <c r="CN1096" t="s">
        <v>147</v>
      </c>
      <c r="CP1096" t="s">
        <v>490</v>
      </c>
      <c r="CQ1096" t="s">
        <v>147</v>
      </c>
    </row>
    <row r="1097" spans="1:95" x14ac:dyDescent="0.2">
      <c r="A1097" t="s">
        <v>115</v>
      </c>
      <c r="B1097" t="s">
        <v>116</v>
      </c>
      <c r="C1097">
        <v>210784</v>
      </c>
      <c r="E1097" t="s">
        <v>117</v>
      </c>
      <c r="F1097">
        <v>368</v>
      </c>
      <c r="G1097" t="s">
        <v>141</v>
      </c>
      <c r="H1097" t="s">
        <v>142</v>
      </c>
      <c r="I1097" t="s">
        <v>279</v>
      </c>
      <c r="J1097" t="s">
        <v>280</v>
      </c>
      <c r="L1097" t="s">
        <v>491</v>
      </c>
      <c r="M1097" s="8">
        <v>46023</v>
      </c>
      <c r="N1097">
        <v>5863450</v>
      </c>
      <c r="O1097" t="s">
        <v>123</v>
      </c>
      <c r="P1097" t="s">
        <v>146</v>
      </c>
      <c r="Q1097">
        <v>4.5599999999999996</v>
      </c>
      <c r="R1097" t="s">
        <v>125</v>
      </c>
      <c r="S1097" t="s">
        <v>126</v>
      </c>
      <c r="T1097" t="s">
        <v>125</v>
      </c>
      <c r="U1097" t="s">
        <v>126</v>
      </c>
      <c r="W1097">
        <v>4.5599999999999996</v>
      </c>
      <c r="Y1097">
        <v>4.5599999999999996</v>
      </c>
      <c r="AS1097">
        <v>4.5599999999999996</v>
      </c>
      <c r="BH1097" t="s">
        <v>126</v>
      </c>
      <c r="BI1097" t="s">
        <v>126</v>
      </c>
      <c r="BJ1097" t="s">
        <v>126</v>
      </c>
      <c r="BK1097" t="s">
        <v>126</v>
      </c>
      <c r="BS1097" t="s">
        <v>126</v>
      </c>
      <c r="BT1097" t="s">
        <v>126</v>
      </c>
      <c r="BU1097" t="s">
        <v>126</v>
      </c>
      <c r="BV1097" t="s">
        <v>126</v>
      </c>
      <c r="CN1097" t="s">
        <v>147</v>
      </c>
      <c r="CP1097" t="s">
        <v>490</v>
      </c>
      <c r="CQ1097" t="s">
        <v>147</v>
      </c>
    </row>
    <row r="1098" spans="1:95" x14ac:dyDescent="0.2">
      <c r="A1098" t="s">
        <v>115</v>
      </c>
      <c r="B1098" t="s">
        <v>116</v>
      </c>
      <c r="C1098">
        <v>210784</v>
      </c>
      <c r="E1098" t="s">
        <v>117</v>
      </c>
      <c r="F1098">
        <v>368</v>
      </c>
      <c r="G1098" t="s">
        <v>118</v>
      </c>
      <c r="H1098" t="s">
        <v>119</v>
      </c>
      <c r="I1098" t="s">
        <v>130</v>
      </c>
      <c r="J1098" t="s">
        <v>131</v>
      </c>
      <c r="L1098" t="s">
        <v>132</v>
      </c>
      <c r="M1098" s="8">
        <v>46023</v>
      </c>
      <c r="N1098">
        <v>7349987</v>
      </c>
      <c r="O1098" t="s">
        <v>123</v>
      </c>
      <c r="P1098" t="s">
        <v>146</v>
      </c>
      <c r="Q1098">
        <v>16.3</v>
      </c>
      <c r="R1098" t="s">
        <v>125</v>
      </c>
      <c r="S1098" t="s">
        <v>126</v>
      </c>
      <c r="T1098" t="s">
        <v>125</v>
      </c>
      <c r="U1098" t="s">
        <v>126</v>
      </c>
      <c r="W1098">
        <v>16.3</v>
      </c>
      <c r="Y1098">
        <v>16.3</v>
      </c>
      <c r="AA1098">
        <v>7</v>
      </c>
      <c r="AC1098">
        <v>9.3000000000000007</v>
      </c>
      <c r="BH1098" t="s">
        <v>126</v>
      </c>
      <c r="BI1098" t="s">
        <v>126</v>
      </c>
      <c r="BJ1098" t="s">
        <v>126</v>
      </c>
      <c r="BK1098" t="s">
        <v>126</v>
      </c>
      <c r="BS1098" t="s">
        <v>126</v>
      </c>
      <c r="BT1098" t="s">
        <v>126</v>
      </c>
      <c r="BU1098" t="s">
        <v>126</v>
      </c>
      <c r="BV1098" t="s">
        <v>126</v>
      </c>
      <c r="CN1098" t="s">
        <v>127</v>
      </c>
      <c r="CP1098" t="s">
        <v>133</v>
      </c>
      <c r="CQ1098" t="s">
        <v>127</v>
      </c>
    </row>
    <row r="1099" spans="1:95" x14ac:dyDescent="0.2">
      <c r="A1099" t="s">
        <v>115</v>
      </c>
      <c r="B1099" t="s">
        <v>116</v>
      </c>
      <c r="C1099">
        <v>210784</v>
      </c>
      <c r="E1099" t="s">
        <v>117</v>
      </c>
      <c r="F1099">
        <v>368</v>
      </c>
      <c r="G1099" t="s">
        <v>118</v>
      </c>
      <c r="H1099" t="s">
        <v>119</v>
      </c>
      <c r="I1099" t="s">
        <v>130</v>
      </c>
      <c r="J1099" t="s">
        <v>131</v>
      </c>
      <c r="L1099" t="s">
        <v>132</v>
      </c>
      <c r="M1099" s="8">
        <v>46023</v>
      </c>
      <c r="N1099">
        <v>7350014</v>
      </c>
      <c r="O1099" t="s">
        <v>123</v>
      </c>
      <c r="P1099" t="s">
        <v>124</v>
      </c>
      <c r="Q1099">
        <v>14.08</v>
      </c>
      <c r="R1099" t="s">
        <v>125</v>
      </c>
      <c r="S1099" t="s">
        <v>126</v>
      </c>
      <c r="T1099" t="s">
        <v>125</v>
      </c>
      <c r="U1099" t="s">
        <v>126</v>
      </c>
      <c r="W1099">
        <v>14.08</v>
      </c>
      <c r="Y1099">
        <v>14.08</v>
      </c>
      <c r="AA1099">
        <v>7.0006000000000004</v>
      </c>
      <c r="AC1099">
        <v>7.0793999999999997</v>
      </c>
      <c r="BH1099" t="s">
        <v>126</v>
      </c>
      <c r="BI1099" t="s">
        <v>126</v>
      </c>
      <c r="BJ1099" t="s">
        <v>126</v>
      </c>
      <c r="BK1099" t="s">
        <v>126</v>
      </c>
      <c r="BS1099" t="s">
        <v>126</v>
      </c>
      <c r="BT1099" t="s">
        <v>126</v>
      </c>
      <c r="BU1099" t="s">
        <v>126</v>
      </c>
      <c r="BV1099" t="s">
        <v>126</v>
      </c>
      <c r="CN1099" t="s">
        <v>119</v>
      </c>
      <c r="CP1099" t="s">
        <v>133</v>
      </c>
      <c r="CQ1099" t="s">
        <v>119</v>
      </c>
    </row>
    <row r="1100" spans="1:95" x14ac:dyDescent="0.2">
      <c r="A1100" t="s">
        <v>115</v>
      </c>
      <c r="B1100" t="s">
        <v>116</v>
      </c>
      <c r="C1100">
        <v>210784</v>
      </c>
      <c r="E1100" t="s">
        <v>117</v>
      </c>
      <c r="F1100">
        <v>368</v>
      </c>
      <c r="G1100" t="s">
        <v>118</v>
      </c>
      <c r="H1100" t="s">
        <v>119</v>
      </c>
      <c r="I1100" t="s">
        <v>130</v>
      </c>
      <c r="J1100" t="s">
        <v>131</v>
      </c>
      <c r="L1100" t="s">
        <v>132</v>
      </c>
      <c r="M1100" s="8">
        <v>46023</v>
      </c>
      <c r="N1100">
        <v>7350033</v>
      </c>
      <c r="O1100" t="s">
        <v>123</v>
      </c>
      <c r="P1100" t="s">
        <v>124</v>
      </c>
      <c r="Q1100">
        <v>15.18</v>
      </c>
      <c r="R1100" t="s">
        <v>125</v>
      </c>
      <c r="S1100" t="s">
        <v>126</v>
      </c>
      <c r="T1100" t="s">
        <v>125</v>
      </c>
      <c r="U1100" t="s">
        <v>126</v>
      </c>
      <c r="W1100">
        <v>15.18</v>
      </c>
      <c r="Y1100">
        <v>15.18</v>
      </c>
      <c r="AA1100">
        <v>10</v>
      </c>
      <c r="AC1100">
        <v>5.18</v>
      </c>
      <c r="BH1100" t="s">
        <v>126</v>
      </c>
      <c r="BI1100" t="s">
        <v>126</v>
      </c>
      <c r="BJ1100" t="s">
        <v>126</v>
      </c>
      <c r="BK1100" t="s">
        <v>126</v>
      </c>
      <c r="BS1100" t="s">
        <v>126</v>
      </c>
      <c r="BT1100" t="s">
        <v>126</v>
      </c>
      <c r="BU1100" t="s">
        <v>126</v>
      </c>
      <c r="BV1100" t="s">
        <v>126</v>
      </c>
      <c r="CN1100" t="s">
        <v>119</v>
      </c>
      <c r="CP1100" t="s">
        <v>133</v>
      </c>
      <c r="CQ1100" t="s">
        <v>119</v>
      </c>
    </row>
    <row r="1101" spans="1:95" x14ac:dyDescent="0.2">
      <c r="A1101" t="s">
        <v>115</v>
      </c>
      <c r="B1101" t="s">
        <v>116</v>
      </c>
      <c r="C1101">
        <v>210784</v>
      </c>
      <c r="E1101" t="s">
        <v>117</v>
      </c>
      <c r="F1101">
        <v>368</v>
      </c>
      <c r="G1101" t="s">
        <v>118</v>
      </c>
      <c r="H1101" t="s">
        <v>119</v>
      </c>
      <c r="I1101" t="s">
        <v>130</v>
      </c>
      <c r="J1101" t="s">
        <v>131</v>
      </c>
      <c r="L1101" t="s">
        <v>132</v>
      </c>
      <c r="M1101" s="8">
        <v>46023</v>
      </c>
      <c r="N1101">
        <v>7350050</v>
      </c>
      <c r="O1101" t="s">
        <v>123</v>
      </c>
      <c r="P1101" t="s">
        <v>124</v>
      </c>
      <c r="Q1101">
        <v>16.84</v>
      </c>
      <c r="R1101" t="s">
        <v>125</v>
      </c>
      <c r="S1101" t="s">
        <v>126</v>
      </c>
      <c r="T1101" t="s">
        <v>125</v>
      </c>
      <c r="U1101" t="s">
        <v>126</v>
      </c>
      <c r="W1101">
        <v>16.84</v>
      </c>
      <c r="Y1101">
        <v>16.84</v>
      </c>
      <c r="AA1101">
        <v>7</v>
      </c>
      <c r="AC1101">
        <v>9.84</v>
      </c>
      <c r="BH1101" t="s">
        <v>126</v>
      </c>
      <c r="BI1101" t="s">
        <v>126</v>
      </c>
      <c r="BJ1101" t="s">
        <v>126</v>
      </c>
      <c r="BK1101" t="s">
        <v>126</v>
      </c>
      <c r="BS1101" t="s">
        <v>126</v>
      </c>
      <c r="BT1101" t="s">
        <v>126</v>
      </c>
      <c r="BU1101" t="s">
        <v>126</v>
      </c>
      <c r="BV1101" t="s">
        <v>126</v>
      </c>
      <c r="CN1101" t="s">
        <v>119</v>
      </c>
      <c r="CP1101" t="s">
        <v>133</v>
      </c>
      <c r="CQ1101" t="s">
        <v>119</v>
      </c>
    </row>
    <row r="1102" spans="1:95" x14ac:dyDescent="0.2">
      <c r="A1102" t="s">
        <v>115</v>
      </c>
      <c r="B1102" t="s">
        <v>116</v>
      </c>
      <c r="C1102">
        <v>210784</v>
      </c>
      <c r="E1102" t="s">
        <v>117</v>
      </c>
      <c r="F1102">
        <v>368</v>
      </c>
      <c r="G1102" t="s">
        <v>118</v>
      </c>
      <c r="H1102" t="s">
        <v>119</v>
      </c>
      <c r="I1102" t="s">
        <v>130</v>
      </c>
      <c r="J1102" t="s">
        <v>131</v>
      </c>
      <c r="L1102" t="s">
        <v>132</v>
      </c>
      <c r="M1102" s="8">
        <v>46023</v>
      </c>
      <c r="N1102">
        <v>7350067</v>
      </c>
      <c r="O1102" t="s">
        <v>123</v>
      </c>
      <c r="P1102" t="s">
        <v>124</v>
      </c>
      <c r="Q1102">
        <v>16.439999999999998</v>
      </c>
      <c r="R1102" t="s">
        <v>125</v>
      </c>
      <c r="S1102" t="s">
        <v>126</v>
      </c>
      <c r="T1102" t="s">
        <v>125</v>
      </c>
      <c r="U1102" t="s">
        <v>126</v>
      </c>
      <c r="W1102">
        <v>16.439999999999998</v>
      </c>
      <c r="Y1102">
        <v>16.439999999999998</v>
      </c>
      <c r="AA1102">
        <v>8</v>
      </c>
      <c r="AC1102">
        <v>8.44</v>
      </c>
      <c r="BH1102" t="s">
        <v>126</v>
      </c>
      <c r="BI1102" t="s">
        <v>126</v>
      </c>
      <c r="BJ1102" t="s">
        <v>126</v>
      </c>
      <c r="BK1102" t="s">
        <v>126</v>
      </c>
      <c r="BS1102" t="s">
        <v>126</v>
      </c>
      <c r="BT1102" t="s">
        <v>126</v>
      </c>
      <c r="BU1102" t="s">
        <v>126</v>
      </c>
      <c r="BV1102" t="s">
        <v>126</v>
      </c>
      <c r="CN1102" t="s">
        <v>119</v>
      </c>
      <c r="CP1102" t="s">
        <v>133</v>
      </c>
      <c r="CQ1102" t="s">
        <v>119</v>
      </c>
    </row>
    <row r="1103" spans="1:95" x14ac:dyDescent="0.2">
      <c r="A1103" t="s">
        <v>115</v>
      </c>
      <c r="B1103" t="s">
        <v>116</v>
      </c>
      <c r="C1103">
        <v>210784</v>
      </c>
      <c r="E1103" t="s">
        <v>117</v>
      </c>
      <c r="F1103">
        <v>368</v>
      </c>
      <c r="G1103" t="s">
        <v>118</v>
      </c>
      <c r="H1103" t="s">
        <v>119</v>
      </c>
      <c r="I1103" t="s">
        <v>130</v>
      </c>
      <c r="J1103" t="s">
        <v>131</v>
      </c>
      <c r="L1103" t="s">
        <v>132</v>
      </c>
      <c r="M1103" s="8">
        <v>46023</v>
      </c>
      <c r="N1103">
        <v>7350119</v>
      </c>
      <c r="O1103" t="s">
        <v>123</v>
      </c>
      <c r="P1103" t="s">
        <v>124</v>
      </c>
      <c r="Q1103">
        <v>15.950299999999999</v>
      </c>
      <c r="R1103" t="s">
        <v>125</v>
      </c>
      <c r="S1103" t="s">
        <v>126</v>
      </c>
      <c r="T1103" t="s">
        <v>125</v>
      </c>
      <c r="U1103" t="s">
        <v>126</v>
      </c>
      <c r="W1103">
        <v>15.950299999999999</v>
      </c>
      <c r="Y1103">
        <v>15.950299999999999</v>
      </c>
      <c r="AA1103">
        <v>10.95</v>
      </c>
      <c r="AC1103">
        <v>5.0003000000000002</v>
      </c>
      <c r="BH1103" t="s">
        <v>126</v>
      </c>
      <c r="BI1103" t="s">
        <v>126</v>
      </c>
      <c r="BJ1103" t="s">
        <v>126</v>
      </c>
      <c r="BK1103" t="s">
        <v>126</v>
      </c>
      <c r="BS1103" t="s">
        <v>126</v>
      </c>
      <c r="BT1103" t="s">
        <v>126</v>
      </c>
      <c r="BU1103" t="s">
        <v>126</v>
      </c>
      <c r="BV1103" t="s">
        <v>126</v>
      </c>
      <c r="CN1103" t="s">
        <v>119</v>
      </c>
      <c r="CP1103" t="s">
        <v>133</v>
      </c>
      <c r="CQ1103" t="s">
        <v>119</v>
      </c>
    </row>
    <row r="1104" spans="1:95" x14ac:dyDescent="0.2">
      <c r="A1104" t="s">
        <v>115</v>
      </c>
      <c r="B1104" t="s">
        <v>116</v>
      </c>
      <c r="C1104">
        <v>210784</v>
      </c>
      <c r="E1104" t="s">
        <v>117</v>
      </c>
      <c r="F1104">
        <v>368</v>
      </c>
      <c r="G1104" t="s">
        <v>118</v>
      </c>
      <c r="H1104" t="s">
        <v>119</v>
      </c>
      <c r="I1104" t="s">
        <v>130</v>
      </c>
      <c r="J1104" t="s">
        <v>131</v>
      </c>
      <c r="L1104" t="s">
        <v>132</v>
      </c>
      <c r="M1104" s="8">
        <v>46023</v>
      </c>
      <c r="N1104">
        <v>7350161</v>
      </c>
      <c r="O1104" t="s">
        <v>123</v>
      </c>
      <c r="P1104" t="s">
        <v>124</v>
      </c>
      <c r="Q1104">
        <v>16.699400000000001</v>
      </c>
      <c r="R1104" t="s">
        <v>125</v>
      </c>
      <c r="S1104" t="s">
        <v>126</v>
      </c>
      <c r="T1104" t="s">
        <v>125</v>
      </c>
      <c r="U1104" t="s">
        <v>126</v>
      </c>
      <c r="W1104">
        <v>16.699400000000001</v>
      </c>
      <c r="Y1104">
        <v>16.699400000000001</v>
      </c>
      <c r="AA1104">
        <v>7</v>
      </c>
      <c r="AC1104">
        <v>9.6994000000000007</v>
      </c>
      <c r="BH1104" t="s">
        <v>126</v>
      </c>
      <c r="BI1104" t="s">
        <v>126</v>
      </c>
      <c r="BJ1104" t="s">
        <v>126</v>
      </c>
      <c r="BK1104" t="s">
        <v>126</v>
      </c>
      <c r="BS1104" t="s">
        <v>126</v>
      </c>
      <c r="BT1104" t="s">
        <v>126</v>
      </c>
      <c r="BU1104" t="s">
        <v>126</v>
      </c>
      <c r="BV1104" t="s">
        <v>126</v>
      </c>
      <c r="CN1104" t="s">
        <v>119</v>
      </c>
      <c r="CP1104" t="s">
        <v>133</v>
      </c>
      <c r="CQ1104" t="s">
        <v>119</v>
      </c>
    </row>
    <row r="1105" spans="1:95" x14ac:dyDescent="0.2">
      <c r="A1105" t="s">
        <v>115</v>
      </c>
      <c r="B1105" t="s">
        <v>116</v>
      </c>
      <c r="C1105">
        <v>210784</v>
      </c>
      <c r="E1105" t="s">
        <v>117</v>
      </c>
      <c r="F1105">
        <v>368</v>
      </c>
      <c r="G1105" t="s">
        <v>118</v>
      </c>
      <c r="H1105" t="s">
        <v>119</v>
      </c>
      <c r="I1105" t="s">
        <v>130</v>
      </c>
      <c r="J1105" t="s">
        <v>131</v>
      </c>
      <c r="L1105" t="s">
        <v>132</v>
      </c>
      <c r="M1105" s="8">
        <v>46023</v>
      </c>
      <c r="N1105">
        <v>7350170</v>
      </c>
      <c r="O1105" t="s">
        <v>123</v>
      </c>
      <c r="P1105" t="s">
        <v>124</v>
      </c>
      <c r="Q1105">
        <v>17.34</v>
      </c>
      <c r="R1105" t="s">
        <v>125</v>
      </c>
      <c r="S1105" t="s">
        <v>126</v>
      </c>
      <c r="T1105" t="s">
        <v>125</v>
      </c>
      <c r="U1105" t="s">
        <v>126</v>
      </c>
      <c r="W1105">
        <v>17.34</v>
      </c>
      <c r="Y1105">
        <v>17.34</v>
      </c>
      <c r="AA1105">
        <v>10.34</v>
      </c>
      <c r="AC1105">
        <v>7</v>
      </c>
      <c r="BH1105" t="s">
        <v>126</v>
      </c>
      <c r="BI1105" t="s">
        <v>126</v>
      </c>
      <c r="BJ1105" t="s">
        <v>126</v>
      </c>
      <c r="BK1105" t="s">
        <v>126</v>
      </c>
      <c r="BS1105" t="s">
        <v>126</v>
      </c>
      <c r="BT1105" t="s">
        <v>126</v>
      </c>
      <c r="BU1105" t="s">
        <v>126</v>
      </c>
      <c r="BV1105" t="s">
        <v>126</v>
      </c>
      <c r="CN1105" t="s">
        <v>119</v>
      </c>
      <c r="CP1105" t="s">
        <v>133</v>
      </c>
      <c r="CQ1105" t="s">
        <v>119</v>
      </c>
    </row>
    <row r="1106" spans="1:95" x14ac:dyDescent="0.2">
      <c r="A1106" t="s">
        <v>115</v>
      </c>
      <c r="B1106" t="s">
        <v>116</v>
      </c>
      <c r="C1106">
        <v>210784</v>
      </c>
      <c r="E1106" t="s">
        <v>117</v>
      </c>
      <c r="F1106">
        <v>368</v>
      </c>
      <c r="G1106" t="s">
        <v>141</v>
      </c>
      <c r="H1106" t="s">
        <v>142</v>
      </c>
      <c r="I1106" t="s">
        <v>279</v>
      </c>
      <c r="J1106" t="s">
        <v>280</v>
      </c>
      <c r="L1106" t="s">
        <v>777</v>
      </c>
      <c r="M1106" s="8">
        <v>46023</v>
      </c>
      <c r="N1106">
        <v>5855904</v>
      </c>
      <c r="O1106" t="s">
        <v>123</v>
      </c>
      <c r="P1106" t="s">
        <v>146</v>
      </c>
      <c r="Q1106">
        <v>2.84</v>
      </c>
      <c r="R1106" t="s">
        <v>559</v>
      </c>
      <c r="S1106" t="s">
        <v>126</v>
      </c>
      <c r="T1106" t="s">
        <v>559</v>
      </c>
      <c r="U1106" t="s">
        <v>560</v>
      </c>
      <c r="W1106">
        <v>0.87529999999999997</v>
      </c>
      <c r="X1106">
        <v>1.9647000000000001</v>
      </c>
      <c r="Y1106">
        <v>2.84</v>
      </c>
      <c r="Z1106">
        <v>1.0803</v>
      </c>
      <c r="AG1106">
        <v>0.87529999999999997</v>
      </c>
      <c r="AI1106">
        <v>0.88439999999999996</v>
      </c>
      <c r="BH1106" t="s">
        <v>126</v>
      </c>
      <c r="BI1106" t="s">
        <v>126</v>
      </c>
      <c r="BJ1106" t="s">
        <v>126</v>
      </c>
      <c r="BK1106" t="s">
        <v>126</v>
      </c>
      <c r="BS1106" t="s">
        <v>126</v>
      </c>
      <c r="BT1106" t="s">
        <v>126</v>
      </c>
      <c r="BU1106" t="s">
        <v>126</v>
      </c>
      <c r="BV1106" t="s">
        <v>126</v>
      </c>
      <c r="CN1106" t="s">
        <v>147</v>
      </c>
      <c r="CP1106" t="s">
        <v>490</v>
      </c>
      <c r="CQ1106" t="s">
        <v>147</v>
      </c>
    </row>
    <row r="1107" spans="1:95" x14ac:dyDescent="0.2">
      <c r="A1107" t="s">
        <v>115</v>
      </c>
      <c r="B1107" t="s">
        <v>116</v>
      </c>
      <c r="C1107">
        <v>210784</v>
      </c>
      <c r="E1107" t="s">
        <v>117</v>
      </c>
      <c r="F1107">
        <v>368</v>
      </c>
      <c r="G1107" t="s">
        <v>141</v>
      </c>
      <c r="H1107" t="s">
        <v>142</v>
      </c>
      <c r="I1107" t="s">
        <v>279</v>
      </c>
      <c r="J1107" t="s">
        <v>280</v>
      </c>
      <c r="L1107" t="s">
        <v>778</v>
      </c>
      <c r="M1107" s="8">
        <v>46023</v>
      </c>
      <c r="N1107">
        <v>5957516</v>
      </c>
      <c r="O1107" t="s">
        <v>123</v>
      </c>
      <c r="P1107" t="s">
        <v>146</v>
      </c>
      <c r="Q1107">
        <v>5.8800000000000008</v>
      </c>
      <c r="R1107" t="s">
        <v>559</v>
      </c>
      <c r="S1107" t="s">
        <v>126</v>
      </c>
      <c r="T1107" t="s">
        <v>559</v>
      </c>
      <c r="U1107" t="s">
        <v>560</v>
      </c>
      <c r="W1107">
        <v>1.8122</v>
      </c>
      <c r="X1107">
        <v>4.0678000000000001</v>
      </c>
      <c r="Y1107">
        <v>5.8800000000000008</v>
      </c>
      <c r="Z1107">
        <v>2.2368000000000001</v>
      </c>
      <c r="AG1107">
        <v>1.8122</v>
      </c>
      <c r="AI1107">
        <v>1.831</v>
      </c>
      <c r="BH1107" t="s">
        <v>126</v>
      </c>
      <c r="BI1107" t="s">
        <v>126</v>
      </c>
      <c r="BJ1107" t="s">
        <v>126</v>
      </c>
      <c r="BK1107" t="s">
        <v>126</v>
      </c>
      <c r="BS1107" t="s">
        <v>126</v>
      </c>
      <c r="BT1107" t="s">
        <v>126</v>
      </c>
      <c r="BU1107" t="s">
        <v>126</v>
      </c>
      <c r="BV1107" t="s">
        <v>126</v>
      </c>
      <c r="CN1107" t="s">
        <v>147</v>
      </c>
      <c r="CP1107" t="s">
        <v>490</v>
      </c>
      <c r="CQ1107" t="s">
        <v>147</v>
      </c>
    </row>
    <row r="1108" spans="1:95" x14ac:dyDescent="0.2">
      <c r="A1108" t="s">
        <v>115</v>
      </c>
      <c r="B1108" t="s">
        <v>116</v>
      </c>
      <c r="C1108">
        <v>210784</v>
      </c>
      <c r="E1108" t="s">
        <v>117</v>
      </c>
      <c r="F1108">
        <v>368</v>
      </c>
      <c r="G1108" t="s">
        <v>141</v>
      </c>
      <c r="H1108" t="s">
        <v>142</v>
      </c>
      <c r="I1108" t="s">
        <v>279</v>
      </c>
      <c r="J1108" t="s">
        <v>280</v>
      </c>
      <c r="L1108" t="s">
        <v>778</v>
      </c>
      <c r="M1108" s="8">
        <v>46023</v>
      </c>
      <c r="N1108">
        <v>5857578</v>
      </c>
      <c r="O1108" t="s">
        <v>123</v>
      </c>
      <c r="P1108" t="s">
        <v>146</v>
      </c>
      <c r="Q1108">
        <v>2.88</v>
      </c>
      <c r="R1108" t="s">
        <v>559</v>
      </c>
      <c r="S1108" t="s">
        <v>126</v>
      </c>
      <c r="T1108" t="s">
        <v>559</v>
      </c>
      <c r="U1108" t="s">
        <v>560</v>
      </c>
      <c r="W1108">
        <v>0.88759999999999994</v>
      </c>
      <c r="X1108">
        <v>1.9923999999999999</v>
      </c>
      <c r="Y1108">
        <v>2.88</v>
      </c>
      <c r="Z1108">
        <v>1.0955999999999999</v>
      </c>
      <c r="AG1108">
        <v>0.88759999999999994</v>
      </c>
      <c r="AI1108">
        <v>0.89680000000000004</v>
      </c>
      <c r="BH1108" t="s">
        <v>126</v>
      </c>
      <c r="BI1108" t="s">
        <v>126</v>
      </c>
      <c r="BJ1108" t="s">
        <v>126</v>
      </c>
      <c r="BK1108" t="s">
        <v>126</v>
      </c>
      <c r="BS1108" t="s">
        <v>126</v>
      </c>
      <c r="BT1108" t="s">
        <v>126</v>
      </c>
      <c r="BU1108" t="s">
        <v>126</v>
      </c>
      <c r="BV1108" t="s">
        <v>126</v>
      </c>
      <c r="CN1108" t="s">
        <v>147</v>
      </c>
      <c r="CP1108" t="s">
        <v>490</v>
      </c>
      <c r="CQ1108" t="s">
        <v>147</v>
      </c>
    </row>
    <row r="1109" spans="1:95" x14ac:dyDescent="0.2">
      <c r="A1109" t="s">
        <v>115</v>
      </c>
      <c r="B1109" t="s">
        <v>116</v>
      </c>
      <c r="C1109">
        <v>210784</v>
      </c>
      <c r="E1109" t="s">
        <v>117</v>
      </c>
      <c r="F1109">
        <v>368</v>
      </c>
      <c r="G1109" t="s">
        <v>141</v>
      </c>
      <c r="H1109" t="s">
        <v>142</v>
      </c>
      <c r="I1109" t="s">
        <v>279</v>
      </c>
      <c r="J1109" t="s">
        <v>280</v>
      </c>
      <c r="L1109" t="s">
        <v>779</v>
      </c>
      <c r="M1109" s="8">
        <v>46023</v>
      </c>
      <c r="N1109">
        <v>5858284</v>
      </c>
      <c r="O1109" t="s">
        <v>123</v>
      </c>
      <c r="P1109" t="s">
        <v>146</v>
      </c>
      <c r="Q1109">
        <v>2.58</v>
      </c>
      <c r="R1109" t="s">
        <v>559</v>
      </c>
      <c r="S1109" t="s">
        <v>126</v>
      </c>
      <c r="T1109" t="s">
        <v>559</v>
      </c>
      <c r="U1109" t="s">
        <v>560</v>
      </c>
      <c r="W1109">
        <v>0.79520000000000002</v>
      </c>
      <c r="X1109">
        <v>1.7848000000000002</v>
      </c>
      <c r="Y1109">
        <v>2.58</v>
      </c>
      <c r="Z1109">
        <v>0.98140000000000005</v>
      </c>
      <c r="AG1109">
        <v>0.79520000000000002</v>
      </c>
      <c r="AI1109">
        <v>0.8034</v>
      </c>
      <c r="BH1109" t="s">
        <v>126</v>
      </c>
      <c r="BI1109" t="s">
        <v>126</v>
      </c>
      <c r="BJ1109" t="s">
        <v>126</v>
      </c>
      <c r="BK1109" t="s">
        <v>126</v>
      </c>
      <c r="BS1109" t="s">
        <v>126</v>
      </c>
      <c r="BT1109" t="s">
        <v>126</v>
      </c>
      <c r="BU1109" t="s">
        <v>126</v>
      </c>
      <c r="BV1109" t="s">
        <v>126</v>
      </c>
      <c r="CN1109" t="s">
        <v>147</v>
      </c>
      <c r="CP1109" t="s">
        <v>490</v>
      </c>
      <c r="CQ1109" t="s">
        <v>147</v>
      </c>
    </row>
    <row r="1110" spans="1:95" x14ac:dyDescent="0.2">
      <c r="A1110" t="s">
        <v>115</v>
      </c>
      <c r="B1110" t="s">
        <v>116</v>
      </c>
      <c r="C1110">
        <v>210784</v>
      </c>
      <c r="E1110" t="s">
        <v>117</v>
      </c>
      <c r="F1110">
        <v>368</v>
      </c>
      <c r="G1110" t="s">
        <v>141</v>
      </c>
      <c r="H1110" t="s">
        <v>142</v>
      </c>
      <c r="I1110" t="s">
        <v>279</v>
      </c>
      <c r="J1110" t="s">
        <v>280</v>
      </c>
      <c r="L1110" t="s">
        <v>780</v>
      </c>
      <c r="M1110" s="8">
        <v>46023</v>
      </c>
      <c r="N1110">
        <v>5859235</v>
      </c>
      <c r="O1110" t="s">
        <v>123</v>
      </c>
      <c r="P1110" t="s">
        <v>146</v>
      </c>
      <c r="Q1110">
        <v>1.7399999999999998</v>
      </c>
      <c r="R1110" t="s">
        <v>559</v>
      </c>
      <c r="S1110" t="s">
        <v>126</v>
      </c>
      <c r="T1110" t="s">
        <v>559</v>
      </c>
      <c r="U1110" t="s">
        <v>560</v>
      </c>
      <c r="W1110">
        <v>0.5363</v>
      </c>
      <c r="X1110">
        <v>1.2037</v>
      </c>
      <c r="Y1110">
        <v>1.7399999999999998</v>
      </c>
      <c r="Z1110">
        <v>0.66190000000000004</v>
      </c>
      <c r="AG1110">
        <v>0.5363</v>
      </c>
      <c r="AI1110">
        <v>0.54179999999999995</v>
      </c>
      <c r="BH1110" t="s">
        <v>126</v>
      </c>
      <c r="BI1110" t="s">
        <v>126</v>
      </c>
      <c r="BJ1110" t="s">
        <v>126</v>
      </c>
      <c r="BK1110" t="s">
        <v>126</v>
      </c>
      <c r="BS1110" t="s">
        <v>126</v>
      </c>
      <c r="BT1110" t="s">
        <v>126</v>
      </c>
      <c r="BU1110" t="s">
        <v>126</v>
      </c>
      <c r="BV1110" t="s">
        <v>126</v>
      </c>
      <c r="CN1110" t="s">
        <v>147</v>
      </c>
      <c r="CP1110" t="s">
        <v>490</v>
      </c>
      <c r="CQ1110" t="s">
        <v>147</v>
      </c>
    </row>
    <row r="1111" spans="1:95" x14ac:dyDescent="0.2">
      <c r="A1111" t="s">
        <v>115</v>
      </c>
      <c r="B1111" t="s">
        <v>116</v>
      </c>
      <c r="C1111">
        <v>210784</v>
      </c>
      <c r="E1111" t="s">
        <v>117</v>
      </c>
      <c r="F1111">
        <v>368</v>
      </c>
      <c r="G1111" t="s">
        <v>141</v>
      </c>
      <c r="H1111" t="s">
        <v>142</v>
      </c>
      <c r="I1111" t="s">
        <v>279</v>
      </c>
      <c r="J1111" t="s">
        <v>280</v>
      </c>
      <c r="L1111" t="s">
        <v>134</v>
      </c>
      <c r="M1111" s="8">
        <v>46023</v>
      </c>
      <c r="N1111">
        <v>5859943</v>
      </c>
      <c r="O1111" t="s">
        <v>123</v>
      </c>
      <c r="P1111" t="s">
        <v>146</v>
      </c>
      <c r="Q1111">
        <v>2.8098999999999998</v>
      </c>
      <c r="R1111" t="s">
        <v>559</v>
      </c>
      <c r="S1111" t="s">
        <v>126</v>
      </c>
      <c r="T1111" t="s">
        <v>559</v>
      </c>
      <c r="U1111" t="s">
        <v>560</v>
      </c>
      <c r="W1111">
        <v>0.86599999999999999</v>
      </c>
      <c r="X1111">
        <v>1.9439</v>
      </c>
      <c r="Y1111">
        <v>2.8098999999999998</v>
      </c>
      <c r="Z1111">
        <v>1.0689</v>
      </c>
      <c r="AG1111">
        <v>0.86599999999999999</v>
      </c>
      <c r="AI1111">
        <v>0.875</v>
      </c>
      <c r="BH1111" t="s">
        <v>126</v>
      </c>
      <c r="BI1111" t="s">
        <v>126</v>
      </c>
      <c r="BJ1111" t="s">
        <v>126</v>
      </c>
      <c r="BK1111" t="s">
        <v>126</v>
      </c>
      <c r="BS1111" t="s">
        <v>126</v>
      </c>
      <c r="BT1111" t="s">
        <v>126</v>
      </c>
      <c r="BU1111" t="s">
        <v>126</v>
      </c>
      <c r="BV1111" t="s">
        <v>126</v>
      </c>
      <c r="CN1111" t="s">
        <v>147</v>
      </c>
      <c r="CP1111" t="s">
        <v>490</v>
      </c>
      <c r="CQ1111" t="s">
        <v>147</v>
      </c>
    </row>
    <row r="1112" spans="1:95" x14ac:dyDescent="0.2">
      <c r="A1112" t="s">
        <v>115</v>
      </c>
      <c r="B1112" t="s">
        <v>116</v>
      </c>
      <c r="C1112">
        <v>210784</v>
      </c>
      <c r="E1112" t="s">
        <v>117</v>
      </c>
      <c r="F1112">
        <v>368</v>
      </c>
      <c r="G1112" t="s">
        <v>141</v>
      </c>
      <c r="H1112" t="s">
        <v>142</v>
      </c>
      <c r="I1112" t="s">
        <v>279</v>
      </c>
      <c r="J1112" t="s">
        <v>280</v>
      </c>
      <c r="L1112" t="s">
        <v>135</v>
      </c>
      <c r="M1112" s="8">
        <v>46023</v>
      </c>
      <c r="N1112">
        <v>5860854</v>
      </c>
      <c r="O1112" t="s">
        <v>123</v>
      </c>
      <c r="P1112" t="s">
        <v>146</v>
      </c>
      <c r="Q1112">
        <v>6.0400000000000009</v>
      </c>
      <c r="R1112" t="s">
        <v>559</v>
      </c>
      <c r="S1112" t="s">
        <v>126</v>
      </c>
      <c r="T1112" t="s">
        <v>559</v>
      </c>
      <c r="U1112" t="s">
        <v>560</v>
      </c>
      <c r="W1112">
        <v>1.8614999999999999</v>
      </c>
      <c r="X1112">
        <v>4.1784999999999997</v>
      </c>
      <c r="Y1112">
        <v>6.0400000000000009</v>
      </c>
      <c r="Z1112">
        <v>2.2976000000000001</v>
      </c>
      <c r="AG1112">
        <v>1.8614999999999999</v>
      </c>
      <c r="AI1112">
        <v>1.8809</v>
      </c>
      <c r="BH1112" t="s">
        <v>126</v>
      </c>
      <c r="BI1112" t="s">
        <v>126</v>
      </c>
      <c r="BJ1112" t="s">
        <v>126</v>
      </c>
      <c r="BK1112" t="s">
        <v>126</v>
      </c>
      <c r="BS1112" t="s">
        <v>126</v>
      </c>
      <c r="BT1112" t="s">
        <v>126</v>
      </c>
      <c r="BU1112" t="s">
        <v>126</v>
      </c>
      <c r="BV1112" t="s">
        <v>126</v>
      </c>
      <c r="CN1112" t="s">
        <v>147</v>
      </c>
      <c r="CP1112" t="s">
        <v>490</v>
      </c>
      <c r="CQ1112" t="s">
        <v>147</v>
      </c>
    </row>
    <row r="1113" spans="1:95" x14ac:dyDescent="0.2">
      <c r="A1113" t="s">
        <v>115</v>
      </c>
      <c r="B1113" t="s">
        <v>116</v>
      </c>
      <c r="C1113">
        <v>210784</v>
      </c>
      <c r="E1113" t="s">
        <v>117</v>
      </c>
      <c r="F1113">
        <v>368</v>
      </c>
      <c r="G1113" t="s">
        <v>141</v>
      </c>
      <c r="H1113" t="s">
        <v>142</v>
      </c>
      <c r="I1113" t="s">
        <v>279</v>
      </c>
      <c r="J1113" t="s">
        <v>280</v>
      </c>
      <c r="L1113" t="s">
        <v>781</v>
      </c>
      <c r="M1113" s="8">
        <v>46023</v>
      </c>
      <c r="N1113">
        <v>5861777</v>
      </c>
      <c r="O1113" t="s">
        <v>123</v>
      </c>
      <c r="P1113" t="s">
        <v>146</v>
      </c>
      <c r="Q1113">
        <v>4.79</v>
      </c>
      <c r="R1113" t="s">
        <v>559</v>
      </c>
      <c r="S1113" t="s">
        <v>126</v>
      </c>
      <c r="T1113" t="s">
        <v>559</v>
      </c>
      <c r="U1113" t="s">
        <v>560</v>
      </c>
      <c r="W1113">
        <v>1.4762999999999999</v>
      </c>
      <c r="X1113">
        <v>3.3136999999999999</v>
      </c>
      <c r="Y1113">
        <v>4.79</v>
      </c>
      <c r="Z1113">
        <v>1.8221000000000001</v>
      </c>
      <c r="AG1113">
        <v>1.4762999999999999</v>
      </c>
      <c r="AI1113">
        <v>1.4916</v>
      </c>
      <c r="BH1113" t="s">
        <v>126</v>
      </c>
      <c r="BI1113" t="s">
        <v>126</v>
      </c>
      <c r="BJ1113" t="s">
        <v>126</v>
      </c>
      <c r="BK1113" t="s">
        <v>126</v>
      </c>
      <c r="BS1113" t="s">
        <v>126</v>
      </c>
      <c r="BT1113" t="s">
        <v>126</v>
      </c>
      <c r="BU1113" t="s">
        <v>126</v>
      </c>
      <c r="BV1113" t="s">
        <v>126</v>
      </c>
      <c r="CN1113" t="s">
        <v>147</v>
      </c>
      <c r="CP1113" t="s">
        <v>490</v>
      </c>
      <c r="CQ1113" t="s">
        <v>147</v>
      </c>
    </row>
    <row r="1114" spans="1:95" x14ac:dyDescent="0.2">
      <c r="A1114" t="s">
        <v>115</v>
      </c>
      <c r="B1114" t="s">
        <v>116</v>
      </c>
      <c r="C1114">
        <v>210784</v>
      </c>
      <c r="E1114" t="s">
        <v>117</v>
      </c>
      <c r="F1114">
        <v>368</v>
      </c>
      <c r="G1114" t="s">
        <v>141</v>
      </c>
      <c r="H1114" t="s">
        <v>142</v>
      </c>
      <c r="I1114" t="s">
        <v>279</v>
      </c>
      <c r="J1114" t="s">
        <v>280</v>
      </c>
      <c r="L1114" t="s">
        <v>133</v>
      </c>
      <c r="M1114" s="8">
        <v>46023</v>
      </c>
      <c r="N1114">
        <v>5865513</v>
      </c>
      <c r="O1114" t="s">
        <v>123</v>
      </c>
      <c r="P1114" t="s">
        <v>146</v>
      </c>
      <c r="Q1114">
        <v>3.3199000000000005</v>
      </c>
      <c r="R1114" t="s">
        <v>559</v>
      </c>
      <c r="S1114" t="s">
        <v>126</v>
      </c>
      <c r="T1114" t="s">
        <v>559</v>
      </c>
      <c r="U1114" t="s">
        <v>560</v>
      </c>
      <c r="W1114">
        <v>1.0232000000000001</v>
      </c>
      <c r="X1114">
        <v>2.2967</v>
      </c>
      <c r="Y1114">
        <v>3.3199000000000005</v>
      </c>
      <c r="Z1114">
        <v>1.2628999999999999</v>
      </c>
      <c r="AG1114">
        <v>1.0232000000000001</v>
      </c>
      <c r="AI1114">
        <v>1.0338000000000001</v>
      </c>
      <c r="BH1114" t="s">
        <v>126</v>
      </c>
      <c r="BI1114" t="s">
        <v>126</v>
      </c>
      <c r="BJ1114" t="s">
        <v>126</v>
      </c>
      <c r="BK1114" t="s">
        <v>126</v>
      </c>
      <c r="BS1114" t="s">
        <v>126</v>
      </c>
      <c r="BT1114" t="s">
        <v>126</v>
      </c>
      <c r="BU1114" t="s">
        <v>126</v>
      </c>
      <c r="BV1114" t="s">
        <v>126</v>
      </c>
      <c r="CN1114" t="s">
        <v>147</v>
      </c>
      <c r="CP1114" t="s">
        <v>490</v>
      </c>
      <c r="CQ1114" t="s">
        <v>147</v>
      </c>
    </row>
    <row r="1115" spans="1:95" x14ac:dyDescent="0.2">
      <c r="A1115" t="s">
        <v>115</v>
      </c>
      <c r="B1115" t="s">
        <v>116</v>
      </c>
      <c r="C1115">
        <v>210784</v>
      </c>
      <c r="E1115" t="s">
        <v>117</v>
      </c>
      <c r="F1115">
        <v>368</v>
      </c>
      <c r="G1115" t="s">
        <v>141</v>
      </c>
      <c r="H1115" t="s">
        <v>142</v>
      </c>
      <c r="I1115" t="s">
        <v>279</v>
      </c>
      <c r="J1115" t="s">
        <v>280</v>
      </c>
      <c r="L1115" t="s">
        <v>133</v>
      </c>
      <c r="M1115" s="8">
        <v>46023</v>
      </c>
      <c r="N1115">
        <v>5864307</v>
      </c>
      <c r="O1115" t="s">
        <v>123</v>
      </c>
      <c r="P1115" t="s">
        <v>146</v>
      </c>
      <c r="Q1115">
        <v>3.1301000000000001</v>
      </c>
      <c r="R1115" t="s">
        <v>559</v>
      </c>
      <c r="S1115" t="s">
        <v>126</v>
      </c>
      <c r="T1115" t="s">
        <v>559</v>
      </c>
      <c r="U1115" t="s">
        <v>560</v>
      </c>
      <c r="W1115">
        <v>0.9647</v>
      </c>
      <c r="X1115">
        <v>2.1654</v>
      </c>
      <c r="Y1115">
        <v>3.1301000000000001</v>
      </c>
      <c r="Z1115">
        <v>1.1907000000000001</v>
      </c>
      <c r="AG1115">
        <v>0.9647</v>
      </c>
      <c r="AI1115">
        <v>0.97470000000000001</v>
      </c>
      <c r="BH1115" t="s">
        <v>126</v>
      </c>
      <c r="BI1115" t="s">
        <v>126</v>
      </c>
      <c r="BJ1115" t="s">
        <v>126</v>
      </c>
      <c r="BK1115" t="s">
        <v>126</v>
      </c>
      <c r="BS1115" t="s">
        <v>126</v>
      </c>
      <c r="BT1115" t="s">
        <v>126</v>
      </c>
      <c r="BU1115" t="s">
        <v>126</v>
      </c>
      <c r="BV1115" t="s">
        <v>126</v>
      </c>
      <c r="CN1115" t="s">
        <v>147</v>
      </c>
      <c r="CP1115" t="s">
        <v>490</v>
      </c>
      <c r="CQ1115" t="s">
        <v>147</v>
      </c>
    </row>
    <row r="1116" spans="1:95" x14ac:dyDescent="0.2">
      <c r="A1116" t="s">
        <v>115</v>
      </c>
      <c r="B1116" t="s">
        <v>116</v>
      </c>
      <c r="C1116">
        <v>210784</v>
      </c>
      <c r="E1116" t="s">
        <v>117</v>
      </c>
      <c r="F1116">
        <v>368</v>
      </c>
      <c r="G1116" t="s">
        <v>141</v>
      </c>
      <c r="H1116" t="s">
        <v>142</v>
      </c>
      <c r="I1116" t="s">
        <v>279</v>
      </c>
      <c r="J1116" t="s">
        <v>280</v>
      </c>
      <c r="L1116" t="s">
        <v>782</v>
      </c>
      <c r="M1116" s="8">
        <v>46023</v>
      </c>
      <c r="N1116">
        <v>5865333</v>
      </c>
      <c r="O1116" t="s">
        <v>123</v>
      </c>
      <c r="P1116" t="s">
        <v>146</v>
      </c>
      <c r="Q1116">
        <v>2.17</v>
      </c>
      <c r="R1116" t="s">
        <v>559</v>
      </c>
      <c r="S1116" t="s">
        <v>126</v>
      </c>
      <c r="T1116" t="s">
        <v>559</v>
      </c>
      <c r="U1116" t="s">
        <v>560</v>
      </c>
      <c r="W1116">
        <v>0.66879999999999995</v>
      </c>
      <c r="X1116">
        <v>1.5011999999999999</v>
      </c>
      <c r="Y1116">
        <v>2.17</v>
      </c>
      <c r="Z1116">
        <v>0.82550000000000001</v>
      </c>
      <c r="AG1116">
        <v>0.66879999999999995</v>
      </c>
      <c r="AI1116">
        <v>0.67569999999999997</v>
      </c>
      <c r="BH1116" t="s">
        <v>126</v>
      </c>
      <c r="BI1116" t="s">
        <v>126</v>
      </c>
      <c r="BJ1116" t="s">
        <v>126</v>
      </c>
      <c r="BK1116" t="s">
        <v>126</v>
      </c>
      <c r="BS1116" t="s">
        <v>126</v>
      </c>
      <c r="BT1116" t="s">
        <v>126</v>
      </c>
      <c r="BU1116" t="s">
        <v>126</v>
      </c>
      <c r="BV1116" t="s">
        <v>126</v>
      </c>
      <c r="CN1116" t="s">
        <v>147</v>
      </c>
      <c r="CP1116" t="s">
        <v>490</v>
      </c>
      <c r="CQ1116" t="s">
        <v>147</v>
      </c>
    </row>
    <row r="1117" spans="1:95" x14ac:dyDescent="0.2">
      <c r="A1117" t="s">
        <v>115</v>
      </c>
      <c r="B1117" t="s">
        <v>116</v>
      </c>
      <c r="C1117">
        <v>210784</v>
      </c>
      <c r="E1117" t="s">
        <v>117</v>
      </c>
      <c r="F1117">
        <v>368</v>
      </c>
      <c r="G1117" t="s">
        <v>141</v>
      </c>
      <c r="H1117" t="s">
        <v>142</v>
      </c>
      <c r="I1117" t="s">
        <v>279</v>
      </c>
      <c r="J1117" t="s">
        <v>280</v>
      </c>
      <c r="L1117" t="s">
        <v>137</v>
      </c>
      <c r="M1117" s="8">
        <v>46023</v>
      </c>
      <c r="N1117">
        <v>5865657</v>
      </c>
      <c r="O1117" t="s">
        <v>123</v>
      </c>
      <c r="P1117" t="s">
        <v>146</v>
      </c>
      <c r="Q1117">
        <v>7.26</v>
      </c>
      <c r="R1117" t="s">
        <v>559</v>
      </c>
      <c r="S1117" t="s">
        <v>126</v>
      </c>
      <c r="T1117" t="s">
        <v>559</v>
      </c>
      <c r="U1117" t="s">
        <v>560</v>
      </c>
      <c r="W1117">
        <v>2.2374999999999998</v>
      </c>
      <c r="X1117">
        <v>5.0225</v>
      </c>
      <c r="Y1117">
        <v>7.26</v>
      </c>
      <c r="Z1117">
        <v>2.7616999999999998</v>
      </c>
      <c r="AG1117">
        <v>2.2374999999999998</v>
      </c>
      <c r="AI1117">
        <v>2.2608000000000001</v>
      </c>
      <c r="BH1117" t="s">
        <v>126</v>
      </c>
      <c r="BI1117" t="s">
        <v>126</v>
      </c>
      <c r="BJ1117" t="s">
        <v>126</v>
      </c>
      <c r="BK1117" t="s">
        <v>126</v>
      </c>
      <c r="BS1117" t="s">
        <v>126</v>
      </c>
      <c r="BT1117" t="s">
        <v>126</v>
      </c>
      <c r="BU1117" t="s">
        <v>126</v>
      </c>
      <c r="BV1117" t="s">
        <v>126</v>
      </c>
      <c r="CN1117" t="s">
        <v>147</v>
      </c>
      <c r="CP1117" t="s">
        <v>490</v>
      </c>
      <c r="CQ1117" t="s">
        <v>147</v>
      </c>
    </row>
    <row r="1118" spans="1:95" x14ac:dyDescent="0.2">
      <c r="A1118" t="s">
        <v>115</v>
      </c>
      <c r="B1118" t="s">
        <v>116</v>
      </c>
      <c r="C1118">
        <v>210784</v>
      </c>
      <c r="E1118" t="s">
        <v>117</v>
      </c>
      <c r="F1118">
        <v>368</v>
      </c>
      <c r="G1118" t="s">
        <v>141</v>
      </c>
      <c r="H1118" t="s">
        <v>142</v>
      </c>
      <c r="I1118" t="s">
        <v>279</v>
      </c>
      <c r="J1118" t="s">
        <v>280</v>
      </c>
      <c r="L1118" t="s">
        <v>783</v>
      </c>
      <c r="M1118" s="8">
        <v>46023</v>
      </c>
      <c r="N1118">
        <v>5866969</v>
      </c>
      <c r="O1118" t="s">
        <v>123</v>
      </c>
      <c r="P1118" t="s">
        <v>146</v>
      </c>
      <c r="Q1118">
        <v>5.6900999999999993</v>
      </c>
      <c r="R1118" t="s">
        <v>559</v>
      </c>
      <c r="S1118" t="s">
        <v>126</v>
      </c>
      <c r="T1118" t="s">
        <v>559</v>
      </c>
      <c r="U1118" t="s">
        <v>560</v>
      </c>
      <c r="W1118">
        <v>1.7537</v>
      </c>
      <c r="X1118">
        <v>3.9363999999999999</v>
      </c>
      <c r="Y1118">
        <v>5.6900999999999993</v>
      </c>
      <c r="Z1118">
        <v>2.1644999999999999</v>
      </c>
      <c r="AG1118">
        <v>1.7537</v>
      </c>
      <c r="AI1118">
        <v>1.7719</v>
      </c>
      <c r="BH1118" t="s">
        <v>126</v>
      </c>
      <c r="BI1118" t="s">
        <v>126</v>
      </c>
      <c r="BJ1118" t="s">
        <v>126</v>
      </c>
      <c r="BK1118" t="s">
        <v>126</v>
      </c>
      <c r="BS1118" t="s">
        <v>126</v>
      </c>
      <c r="BT1118" t="s">
        <v>126</v>
      </c>
      <c r="BU1118" t="s">
        <v>126</v>
      </c>
      <c r="BV1118" t="s">
        <v>126</v>
      </c>
      <c r="CN1118" t="s">
        <v>147</v>
      </c>
      <c r="CP1118" t="s">
        <v>490</v>
      </c>
      <c r="CQ1118" t="s">
        <v>147</v>
      </c>
    </row>
    <row r="1119" spans="1:95" x14ac:dyDescent="0.2">
      <c r="A1119" t="s">
        <v>115</v>
      </c>
      <c r="B1119" t="s">
        <v>116</v>
      </c>
      <c r="C1119">
        <v>210784</v>
      </c>
      <c r="E1119" t="s">
        <v>117</v>
      </c>
      <c r="F1119">
        <v>368</v>
      </c>
      <c r="G1119" t="s">
        <v>141</v>
      </c>
      <c r="H1119" t="s">
        <v>142</v>
      </c>
      <c r="I1119" t="s">
        <v>279</v>
      </c>
      <c r="J1119" t="s">
        <v>280</v>
      </c>
      <c r="L1119" t="s">
        <v>783</v>
      </c>
      <c r="M1119" s="8">
        <v>46023</v>
      </c>
      <c r="N1119">
        <v>5866897</v>
      </c>
      <c r="O1119" t="s">
        <v>123</v>
      </c>
      <c r="P1119" t="s">
        <v>146</v>
      </c>
      <c r="Q1119">
        <v>4.78</v>
      </c>
      <c r="R1119" t="s">
        <v>559</v>
      </c>
      <c r="S1119" t="s">
        <v>126</v>
      </c>
      <c r="T1119" t="s">
        <v>559</v>
      </c>
      <c r="U1119" t="s">
        <v>560</v>
      </c>
      <c r="W1119">
        <v>1.4732000000000001</v>
      </c>
      <c r="X1119">
        <v>3.3068</v>
      </c>
      <c r="Y1119">
        <v>4.78</v>
      </c>
      <c r="Z1119">
        <v>1.8183</v>
      </c>
      <c r="AG1119">
        <v>1.4732000000000001</v>
      </c>
      <c r="AI1119">
        <v>1.4884999999999999</v>
      </c>
      <c r="BH1119" t="s">
        <v>126</v>
      </c>
      <c r="BI1119" t="s">
        <v>126</v>
      </c>
      <c r="BJ1119" t="s">
        <v>126</v>
      </c>
      <c r="BK1119" t="s">
        <v>126</v>
      </c>
      <c r="BS1119" t="s">
        <v>126</v>
      </c>
      <c r="BT1119" t="s">
        <v>126</v>
      </c>
      <c r="BU1119" t="s">
        <v>126</v>
      </c>
      <c r="BV1119" t="s">
        <v>126</v>
      </c>
      <c r="CN1119" t="s">
        <v>147</v>
      </c>
      <c r="CP1119" t="s">
        <v>490</v>
      </c>
      <c r="CQ1119" t="s">
        <v>147</v>
      </c>
    </row>
    <row r="1120" spans="1:95" x14ac:dyDescent="0.2">
      <c r="A1120" t="s">
        <v>115</v>
      </c>
      <c r="B1120" t="s">
        <v>116</v>
      </c>
      <c r="C1120">
        <v>210784</v>
      </c>
      <c r="E1120" t="s">
        <v>117</v>
      </c>
      <c r="F1120">
        <v>368</v>
      </c>
      <c r="G1120" t="s">
        <v>141</v>
      </c>
      <c r="H1120" t="s">
        <v>142</v>
      </c>
      <c r="I1120" t="s">
        <v>279</v>
      </c>
      <c r="J1120" t="s">
        <v>280</v>
      </c>
      <c r="L1120" t="s">
        <v>784</v>
      </c>
      <c r="M1120" s="8">
        <v>46023</v>
      </c>
      <c r="N1120">
        <v>5867766</v>
      </c>
      <c r="O1120" t="s">
        <v>123</v>
      </c>
      <c r="P1120" t="s">
        <v>146</v>
      </c>
      <c r="Q1120">
        <v>0.76</v>
      </c>
      <c r="R1120" t="s">
        <v>559</v>
      </c>
      <c r="S1120" t="s">
        <v>126</v>
      </c>
      <c r="T1120" t="s">
        <v>559</v>
      </c>
      <c r="U1120" t="s">
        <v>560</v>
      </c>
      <c r="W1120">
        <v>0.23419999999999999</v>
      </c>
      <c r="X1120">
        <v>0.52580000000000005</v>
      </c>
      <c r="Y1120">
        <v>0.76</v>
      </c>
      <c r="Z1120">
        <v>0.28910000000000002</v>
      </c>
      <c r="AG1120">
        <v>0.23419999999999999</v>
      </c>
      <c r="AI1120">
        <v>0.23669999999999999</v>
      </c>
      <c r="BH1120" t="s">
        <v>126</v>
      </c>
      <c r="BI1120" t="s">
        <v>126</v>
      </c>
      <c r="BJ1120" t="s">
        <v>126</v>
      </c>
      <c r="BK1120" t="s">
        <v>126</v>
      </c>
      <c r="BS1120" t="s">
        <v>126</v>
      </c>
      <c r="BT1120" t="s">
        <v>126</v>
      </c>
      <c r="BU1120" t="s">
        <v>126</v>
      </c>
      <c r="BV1120" t="s">
        <v>126</v>
      </c>
      <c r="CN1120" t="s">
        <v>147</v>
      </c>
      <c r="CP1120" t="s">
        <v>490</v>
      </c>
      <c r="CQ1120" t="s">
        <v>147</v>
      </c>
    </row>
    <row r="1121" spans="1:95" x14ac:dyDescent="0.2">
      <c r="A1121" t="s">
        <v>115</v>
      </c>
      <c r="B1121" t="s">
        <v>116</v>
      </c>
      <c r="C1121">
        <v>210784</v>
      </c>
      <c r="E1121" t="s">
        <v>117</v>
      </c>
      <c r="F1121">
        <v>368</v>
      </c>
      <c r="G1121" t="s">
        <v>141</v>
      </c>
      <c r="H1121" t="s">
        <v>142</v>
      </c>
      <c r="I1121" t="s">
        <v>279</v>
      </c>
      <c r="J1121" t="s">
        <v>280</v>
      </c>
      <c r="L1121" t="s">
        <v>785</v>
      </c>
      <c r="M1121" s="8">
        <v>46023</v>
      </c>
      <c r="N1121">
        <v>5868276</v>
      </c>
      <c r="O1121" t="s">
        <v>123</v>
      </c>
      <c r="P1121" t="s">
        <v>146</v>
      </c>
      <c r="Q1121">
        <v>5.55</v>
      </c>
      <c r="R1121" t="s">
        <v>559</v>
      </c>
      <c r="S1121" t="s">
        <v>126</v>
      </c>
      <c r="T1121" t="s">
        <v>559</v>
      </c>
      <c r="U1121" t="s">
        <v>560</v>
      </c>
      <c r="W1121">
        <v>1.7104999999999999</v>
      </c>
      <c r="X1121">
        <v>3.8395000000000001</v>
      </c>
      <c r="Y1121">
        <v>5.55</v>
      </c>
      <c r="Z1121">
        <v>2.1112000000000002</v>
      </c>
      <c r="AG1121">
        <v>1.7104999999999999</v>
      </c>
      <c r="AI1121">
        <v>1.7282999999999999</v>
      </c>
      <c r="BH1121" t="s">
        <v>126</v>
      </c>
      <c r="BI1121" t="s">
        <v>126</v>
      </c>
      <c r="BJ1121" t="s">
        <v>126</v>
      </c>
      <c r="BK1121" t="s">
        <v>126</v>
      </c>
      <c r="BS1121" t="s">
        <v>126</v>
      </c>
      <c r="BT1121" t="s">
        <v>126</v>
      </c>
      <c r="BU1121" t="s">
        <v>126</v>
      </c>
      <c r="BV1121" t="s">
        <v>126</v>
      </c>
      <c r="CN1121" t="s">
        <v>147</v>
      </c>
      <c r="CP1121" t="s">
        <v>490</v>
      </c>
      <c r="CQ1121" t="s">
        <v>147</v>
      </c>
    </row>
    <row r="1122" spans="1:95" x14ac:dyDescent="0.2">
      <c r="A1122" t="s">
        <v>115</v>
      </c>
      <c r="B1122" t="s">
        <v>116</v>
      </c>
      <c r="C1122">
        <v>210784</v>
      </c>
      <c r="E1122" t="s">
        <v>117</v>
      </c>
      <c r="F1122">
        <v>368</v>
      </c>
      <c r="G1122" t="s">
        <v>141</v>
      </c>
      <c r="H1122" t="s">
        <v>142</v>
      </c>
      <c r="I1122" t="s">
        <v>279</v>
      </c>
      <c r="J1122" t="s">
        <v>280</v>
      </c>
      <c r="L1122" t="s">
        <v>785</v>
      </c>
      <c r="M1122" s="8">
        <v>46023</v>
      </c>
      <c r="N1122">
        <v>5868623</v>
      </c>
      <c r="O1122" t="s">
        <v>123</v>
      </c>
      <c r="P1122" t="s">
        <v>146</v>
      </c>
      <c r="Q1122">
        <v>3.89</v>
      </c>
      <c r="R1122" t="s">
        <v>559</v>
      </c>
      <c r="S1122" t="s">
        <v>126</v>
      </c>
      <c r="T1122" t="s">
        <v>559</v>
      </c>
      <c r="U1122" t="s">
        <v>560</v>
      </c>
      <c r="W1122">
        <v>1.1989000000000001</v>
      </c>
      <c r="X1122">
        <v>2.6911</v>
      </c>
      <c r="Y1122">
        <v>3.89</v>
      </c>
      <c r="Z1122">
        <v>1.4798</v>
      </c>
      <c r="AG1122">
        <v>1.1989000000000001</v>
      </c>
      <c r="AI1122">
        <v>1.2113</v>
      </c>
      <c r="BH1122" t="s">
        <v>126</v>
      </c>
      <c r="BI1122" t="s">
        <v>126</v>
      </c>
      <c r="BJ1122" t="s">
        <v>126</v>
      </c>
      <c r="BK1122" t="s">
        <v>126</v>
      </c>
      <c r="BS1122" t="s">
        <v>126</v>
      </c>
      <c r="BT1122" t="s">
        <v>126</v>
      </c>
      <c r="BU1122" t="s">
        <v>126</v>
      </c>
      <c r="BV1122" t="s">
        <v>126</v>
      </c>
      <c r="CN1122" t="s">
        <v>147</v>
      </c>
      <c r="CP1122" t="s">
        <v>490</v>
      </c>
      <c r="CQ1122" t="s">
        <v>147</v>
      </c>
    </row>
    <row r="1123" spans="1:95" x14ac:dyDescent="0.2">
      <c r="A1123" t="s">
        <v>115</v>
      </c>
      <c r="B1123" t="s">
        <v>116</v>
      </c>
      <c r="C1123">
        <v>210784</v>
      </c>
      <c r="E1123" t="s">
        <v>117</v>
      </c>
      <c r="F1123">
        <v>368</v>
      </c>
      <c r="G1123" t="s">
        <v>141</v>
      </c>
      <c r="H1123" t="s">
        <v>142</v>
      </c>
      <c r="I1123" t="s">
        <v>279</v>
      </c>
      <c r="J1123" t="s">
        <v>280</v>
      </c>
      <c r="L1123" t="s">
        <v>786</v>
      </c>
      <c r="M1123" s="8">
        <v>46023</v>
      </c>
      <c r="N1123">
        <v>5869389</v>
      </c>
      <c r="O1123" t="s">
        <v>123</v>
      </c>
      <c r="P1123" t="s">
        <v>146</v>
      </c>
      <c r="Q1123">
        <v>4.7700000000000005</v>
      </c>
      <c r="R1123" t="s">
        <v>559</v>
      </c>
      <c r="S1123" t="s">
        <v>126</v>
      </c>
      <c r="T1123" t="s">
        <v>559</v>
      </c>
      <c r="U1123" t="s">
        <v>560</v>
      </c>
      <c r="W1123">
        <v>1.4701</v>
      </c>
      <c r="X1123">
        <v>3.2999000000000001</v>
      </c>
      <c r="Y1123">
        <v>4.7700000000000005</v>
      </c>
      <c r="Z1123">
        <v>1.8145</v>
      </c>
      <c r="AG1123">
        <v>1.4701</v>
      </c>
      <c r="AI1123">
        <v>1.4854000000000001</v>
      </c>
      <c r="BH1123" t="s">
        <v>126</v>
      </c>
      <c r="BI1123" t="s">
        <v>126</v>
      </c>
      <c r="BJ1123" t="s">
        <v>126</v>
      </c>
      <c r="BK1123" t="s">
        <v>126</v>
      </c>
      <c r="BS1123" t="s">
        <v>126</v>
      </c>
      <c r="BT1123" t="s">
        <v>126</v>
      </c>
      <c r="BU1123" t="s">
        <v>126</v>
      </c>
      <c r="BV1123" t="s">
        <v>126</v>
      </c>
      <c r="CN1123" t="s">
        <v>147</v>
      </c>
      <c r="CP1123" t="s">
        <v>490</v>
      </c>
      <c r="CQ1123" t="s">
        <v>147</v>
      </c>
    </row>
    <row r="1124" spans="1:95" x14ac:dyDescent="0.2">
      <c r="A1124" t="s">
        <v>115</v>
      </c>
      <c r="B1124" t="s">
        <v>116</v>
      </c>
      <c r="C1124">
        <v>210784</v>
      </c>
      <c r="E1124" t="s">
        <v>117</v>
      </c>
      <c r="F1124">
        <v>368</v>
      </c>
      <c r="G1124" t="s">
        <v>141</v>
      </c>
      <c r="H1124" t="s">
        <v>142</v>
      </c>
      <c r="I1124" t="s">
        <v>279</v>
      </c>
      <c r="J1124" t="s">
        <v>280</v>
      </c>
      <c r="L1124" t="s">
        <v>138</v>
      </c>
      <c r="M1124" s="8">
        <v>46023</v>
      </c>
      <c r="N1124">
        <v>5870638</v>
      </c>
      <c r="O1124" t="s">
        <v>123</v>
      </c>
      <c r="P1124" t="s">
        <v>146</v>
      </c>
      <c r="Q1124">
        <v>5.0298999999999996</v>
      </c>
      <c r="R1124" t="s">
        <v>559</v>
      </c>
      <c r="S1124" t="s">
        <v>126</v>
      </c>
      <c r="T1124" t="s">
        <v>559</v>
      </c>
      <c r="U1124" t="s">
        <v>560</v>
      </c>
      <c r="W1124">
        <v>1.5502</v>
      </c>
      <c r="X1124">
        <v>3.4797000000000002</v>
      </c>
      <c r="Y1124">
        <v>5.0298999999999996</v>
      </c>
      <c r="Z1124">
        <v>1.9134</v>
      </c>
      <c r="AG1124">
        <v>1.5502</v>
      </c>
      <c r="AI1124">
        <v>1.5663</v>
      </c>
      <c r="BH1124" t="s">
        <v>126</v>
      </c>
      <c r="BI1124" t="s">
        <v>126</v>
      </c>
      <c r="BJ1124" t="s">
        <v>126</v>
      </c>
      <c r="BK1124" t="s">
        <v>126</v>
      </c>
      <c r="BS1124" t="s">
        <v>126</v>
      </c>
      <c r="BT1124" t="s">
        <v>126</v>
      </c>
      <c r="BU1124" t="s">
        <v>126</v>
      </c>
      <c r="BV1124" t="s">
        <v>126</v>
      </c>
      <c r="CN1124" t="s">
        <v>147</v>
      </c>
      <c r="CP1124" t="s">
        <v>490</v>
      </c>
      <c r="CQ1124" t="s">
        <v>147</v>
      </c>
    </row>
    <row r="1125" spans="1:95" x14ac:dyDescent="0.2">
      <c r="A1125" t="s">
        <v>115</v>
      </c>
      <c r="B1125" t="s">
        <v>116</v>
      </c>
      <c r="C1125">
        <v>210784</v>
      </c>
      <c r="E1125" t="s">
        <v>117</v>
      </c>
      <c r="F1125">
        <v>368</v>
      </c>
      <c r="G1125" t="s">
        <v>141</v>
      </c>
      <c r="H1125" t="s">
        <v>142</v>
      </c>
      <c r="I1125" t="s">
        <v>279</v>
      </c>
      <c r="J1125" t="s">
        <v>280</v>
      </c>
      <c r="L1125" t="s">
        <v>138</v>
      </c>
      <c r="M1125" s="8">
        <v>46023</v>
      </c>
      <c r="N1125">
        <v>5870359</v>
      </c>
      <c r="O1125" t="s">
        <v>123</v>
      </c>
      <c r="P1125" t="s">
        <v>146</v>
      </c>
      <c r="Q1125">
        <v>7.67</v>
      </c>
      <c r="R1125" t="s">
        <v>559</v>
      </c>
      <c r="S1125" t="s">
        <v>126</v>
      </c>
      <c r="T1125" t="s">
        <v>559</v>
      </c>
      <c r="U1125" t="s">
        <v>560</v>
      </c>
      <c r="W1125">
        <v>2.3639000000000001</v>
      </c>
      <c r="X1125">
        <v>5.3060999999999998</v>
      </c>
      <c r="Y1125">
        <v>7.67</v>
      </c>
      <c r="Z1125">
        <v>2.9177</v>
      </c>
      <c r="AG1125">
        <v>2.3639000000000001</v>
      </c>
      <c r="AI1125">
        <v>2.3883999999999999</v>
      </c>
      <c r="BH1125" t="s">
        <v>126</v>
      </c>
      <c r="BI1125" t="s">
        <v>126</v>
      </c>
      <c r="BJ1125" t="s">
        <v>126</v>
      </c>
      <c r="BK1125" t="s">
        <v>126</v>
      </c>
      <c r="BS1125" t="s">
        <v>126</v>
      </c>
      <c r="BT1125" t="s">
        <v>126</v>
      </c>
      <c r="BU1125" t="s">
        <v>126</v>
      </c>
      <c r="BV1125" t="s">
        <v>126</v>
      </c>
      <c r="CN1125" t="s">
        <v>147</v>
      </c>
      <c r="CP1125" t="s">
        <v>490</v>
      </c>
      <c r="CQ1125" t="s">
        <v>147</v>
      </c>
    </row>
    <row r="1126" spans="1:95" x14ac:dyDescent="0.2">
      <c r="A1126" t="s">
        <v>115</v>
      </c>
      <c r="B1126" t="s">
        <v>116</v>
      </c>
      <c r="C1126">
        <v>210784</v>
      </c>
      <c r="E1126" t="s">
        <v>117</v>
      </c>
      <c r="F1126">
        <v>368</v>
      </c>
      <c r="G1126" t="s">
        <v>118</v>
      </c>
      <c r="H1126" t="s">
        <v>119</v>
      </c>
      <c r="I1126" t="s">
        <v>130</v>
      </c>
      <c r="J1126" t="s">
        <v>131</v>
      </c>
      <c r="L1126" t="s">
        <v>135</v>
      </c>
      <c r="M1126" s="8">
        <v>46023</v>
      </c>
      <c r="N1126">
        <v>7350213</v>
      </c>
      <c r="O1126" t="s">
        <v>123</v>
      </c>
      <c r="P1126" t="s">
        <v>124</v>
      </c>
      <c r="Q1126">
        <v>18.939999999999998</v>
      </c>
      <c r="R1126" t="s">
        <v>125</v>
      </c>
      <c r="S1126" t="s">
        <v>126</v>
      </c>
      <c r="T1126" t="s">
        <v>125</v>
      </c>
      <c r="U1126" t="s">
        <v>126</v>
      </c>
      <c r="W1126">
        <v>18.939999999999998</v>
      </c>
      <c r="Y1126">
        <v>18.939999999999998</v>
      </c>
      <c r="AA1126">
        <v>8.94</v>
      </c>
      <c r="AC1126">
        <v>10</v>
      </c>
      <c r="BH1126" t="s">
        <v>126</v>
      </c>
      <c r="BI1126" t="s">
        <v>126</v>
      </c>
      <c r="BJ1126" t="s">
        <v>126</v>
      </c>
      <c r="BK1126" t="s">
        <v>126</v>
      </c>
      <c r="BS1126" t="s">
        <v>126</v>
      </c>
      <c r="BT1126" t="s">
        <v>126</v>
      </c>
      <c r="BU1126" t="s">
        <v>126</v>
      </c>
      <c r="BV1126" t="s">
        <v>126</v>
      </c>
      <c r="CN1126" t="s">
        <v>127</v>
      </c>
      <c r="CP1126" t="s">
        <v>136</v>
      </c>
      <c r="CQ1126" t="s">
        <v>127</v>
      </c>
    </row>
    <row r="1127" spans="1:95" x14ac:dyDescent="0.2">
      <c r="A1127" t="s">
        <v>115</v>
      </c>
      <c r="B1127" t="s">
        <v>116</v>
      </c>
      <c r="C1127">
        <v>210784</v>
      </c>
      <c r="E1127" t="s">
        <v>117</v>
      </c>
      <c r="F1127">
        <v>368</v>
      </c>
      <c r="G1127" t="s">
        <v>118</v>
      </c>
      <c r="H1127" t="s">
        <v>119</v>
      </c>
      <c r="I1127" t="s">
        <v>130</v>
      </c>
      <c r="J1127" t="s">
        <v>131</v>
      </c>
      <c r="L1127" t="s">
        <v>135</v>
      </c>
      <c r="M1127" s="8">
        <v>46023</v>
      </c>
      <c r="N1127">
        <v>7350242</v>
      </c>
      <c r="O1127" t="s">
        <v>123</v>
      </c>
      <c r="P1127" t="s">
        <v>124</v>
      </c>
      <c r="Q1127">
        <v>17.8399</v>
      </c>
      <c r="R1127" t="s">
        <v>125</v>
      </c>
      <c r="S1127" t="s">
        <v>126</v>
      </c>
      <c r="T1127" t="s">
        <v>125</v>
      </c>
      <c r="U1127" t="s">
        <v>126</v>
      </c>
      <c r="W1127">
        <v>17.8399</v>
      </c>
      <c r="Y1127">
        <v>17.8399</v>
      </c>
      <c r="AA1127">
        <v>15.84</v>
      </c>
      <c r="AC1127">
        <v>1.9999</v>
      </c>
      <c r="BH1127" t="s">
        <v>126</v>
      </c>
      <c r="BI1127" t="s">
        <v>126</v>
      </c>
      <c r="BJ1127" t="s">
        <v>126</v>
      </c>
      <c r="BK1127" t="s">
        <v>126</v>
      </c>
      <c r="BS1127" t="s">
        <v>126</v>
      </c>
      <c r="BT1127" t="s">
        <v>126</v>
      </c>
      <c r="BU1127" t="s">
        <v>126</v>
      </c>
      <c r="BV1127" t="s">
        <v>126</v>
      </c>
      <c r="CN1127" t="s">
        <v>127</v>
      </c>
      <c r="CP1127" t="s">
        <v>136</v>
      </c>
      <c r="CQ1127" t="s">
        <v>127</v>
      </c>
    </row>
    <row r="1128" spans="1:95" x14ac:dyDescent="0.2">
      <c r="A1128" t="s">
        <v>115</v>
      </c>
      <c r="B1128" t="s">
        <v>116</v>
      </c>
      <c r="C1128">
        <v>210784</v>
      </c>
      <c r="E1128" t="s">
        <v>117</v>
      </c>
      <c r="F1128">
        <v>368</v>
      </c>
      <c r="G1128" t="s">
        <v>141</v>
      </c>
      <c r="H1128" t="s">
        <v>142</v>
      </c>
      <c r="I1128" t="s">
        <v>279</v>
      </c>
      <c r="J1128" t="s">
        <v>280</v>
      </c>
      <c r="L1128" t="s">
        <v>787</v>
      </c>
      <c r="M1128" s="8">
        <v>46023</v>
      </c>
      <c r="N1128">
        <v>5873002</v>
      </c>
      <c r="O1128" t="s">
        <v>123</v>
      </c>
      <c r="P1128" t="s">
        <v>146</v>
      </c>
      <c r="Q1128">
        <v>4.6100000000000003</v>
      </c>
      <c r="R1128" t="s">
        <v>559</v>
      </c>
      <c r="S1128" t="s">
        <v>126</v>
      </c>
      <c r="T1128" t="s">
        <v>559</v>
      </c>
      <c r="U1128" t="s">
        <v>560</v>
      </c>
      <c r="W1128">
        <v>1.4208000000000001</v>
      </c>
      <c r="X1128">
        <v>3.1892</v>
      </c>
      <c r="Y1128">
        <v>4.6100000000000003</v>
      </c>
      <c r="Z1128">
        <v>1.7536</v>
      </c>
      <c r="AG1128">
        <v>1.4208000000000001</v>
      </c>
      <c r="AI1128">
        <v>1.4356</v>
      </c>
      <c r="BH1128" t="s">
        <v>126</v>
      </c>
      <c r="BI1128" t="s">
        <v>126</v>
      </c>
      <c r="BJ1128" t="s">
        <v>126</v>
      </c>
      <c r="BK1128" t="s">
        <v>126</v>
      </c>
      <c r="BS1128" t="s">
        <v>126</v>
      </c>
      <c r="BT1128" t="s">
        <v>126</v>
      </c>
      <c r="BU1128" t="s">
        <v>126</v>
      </c>
      <c r="BV1128" t="s">
        <v>126</v>
      </c>
      <c r="CN1128" t="s">
        <v>147</v>
      </c>
      <c r="CP1128" t="s">
        <v>304</v>
      </c>
      <c r="CQ1128" t="s">
        <v>147</v>
      </c>
    </row>
    <row r="1129" spans="1:95" x14ac:dyDescent="0.2">
      <c r="A1129" t="s">
        <v>115</v>
      </c>
      <c r="B1129" t="s">
        <v>116</v>
      </c>
      <c r="C1129">
        <v>210784</v>
      </c>
      <c r="E1129" t="s">
        <v>117</v>
      </c>
      <c r="F1129">
        <v>368</v>
      </c>
      <c r="G1129" t="s">
        <v>141</v>
      </c>
      <c r="H1129" t="s">
        <v>142</v>
      </c>
      <c r="I1129" t="s">
        <v>279</v>
      </c>
      <c r="J1129" t="s">
        <v>280</v>
      </c>
      <c r="L1129" t="s">
        <v>788</v>
      </c>
      <c r="M1129" s="8">
        <v>46023</v>
      </c>
      <c r="N1129">
        <v>5873666</v>
      </c>
      <c r="O1129" t="s">
        <v>123</v>
      </c>
      <c r="P1129" t="s">
        <v>146</v>
      </c>
      <c r="Q1129">
        <v>4.79</v>
      </c>
      <c r="R1129" t="s">
        <v>559</v>
      </c>
      <c r="S1129" t="s">
        <v>126</v>
      </c>
      <c r="T1129" t="s">
        <v>559</v>
      </c>
      <c r="U1129" t="s">
        <v>560</v>
      </c>
      <c r="W1129">
        <v>1.4762999999999999</v>
      </c>
      <c r="X1129">
        <v>3.3136999999999999</v>
      </c>
      <c r="Y1129">
        <v>4.79</v>
      </c>
      <c r="Z1129">
        <v>1.8221000000000001</v>
      </c>
      <c r="AG1129">
        <v>1.4762999999999999</v>
      </c>
      <c r="AI1129">
        <v>1.4916</v>
      </c>
      <c r="BH1129" t="s">
        <v>126</v>
      </c>
      <c r="BI1129" t="s">
        <v>126</v>
      </c>
      <c r="BJ1129" t="s">
        <v>126</v>
      </c>
      <c r="BK1129" t="s">
        <v>126</v>
      </c>
      <c r="BS1129" t="s">
        <v>126</v>
      </c>
      <c r="BT1129" t="s">
        <v>126</v>
      </c>
      <c r="BU1129" t="s">
        <v>126</v>
      </c>
      <c r="BV1129" t="s">
        <v>126</v>
      </c>
      <c r="CN1129" t="s">
        <v>147</v>
      </c>
      <c r="CP1129" t="s">
        <v>304</v>
      </c>
      <c r="CQ1129" t="s">
        <v>147</v>
      </c>
    </row>
    <row r="1130" spans="1:95" x14ac:dyDescent="0.2">
      <c r="A1130" t="s">
        <v>115</v>
      </c>
      <c r="B1130" t="s">
        <v>116</v>
      </c>
      <c r="C1130">
        <v>210784</v>
      </c>
      <c r="E1130" t="s">
        <v>117</v>
      </c>
      <c r="F1130">
        <v>368</v>
      </c>
      <c r="G1130" t="s">
        <v>141</v>
      </c>
      <c r="H1130" t="s">
        <v>142</v>
      </c>
      <c r="I1130" t="s">
        <v>279</v>
      </c>
      <c r="J1130" t="s">
        <v>280</v>
      </c>
      <c r="L1130" t="s">
        <v>132</v>
      </c>
      <c r="M1130" s="8">
        <v>46023</v>
      </c>
      <c r="N1130">
        <v>5860599</v>
      </c>
      <c r="O1130" t="s">
        <v>123</v>
      </c>
      <c r="P1130" t="s">
        <v>146</v>
      </c>
      <c r="Q1130">
        <v>7.1</v>
      </c>
      <c r="R1130" t="s">
        <v>125</v>
      </c>
      <c r="S1130" t="s">
        <v>126</v>
      </c>
      <c r="T1130" t="s">
        <v>125</v>
      </c>
      <c r="U1130" t="s">
        <v>126</v>
      </c>
      <c r="W1130">
        <v>7.1</v>
      </c>
      <c r="Y1130">
        <v>7.1</v>
      </c>
      <c r="BE1130">
        <v>7.1</v>
      </c>
      <c r="BH1130" t="s">
        <v>126</v>
      </c>
      <c r="BI1130" t="s">
        <v>126</v>
      </c>
      <c r="BJ1130" t="s">
        <v>126</v>
      </c>
      <c r="BK1130" t="s">
        <v>126</v>
      </c>
      <c r="BS1130" t="s">
        <v>126</v>
      </c>
      <c r="BT1130" t="s">
        <v>126</v>
      </c>
      <c r="BU1130" t="s">
        <v>126</v>
      </c>
      <c r="BV1130" t="s">
        <v>126</v>
      </c>
      <c r="CN1130" t="s">
        <v>147</v>
      </c>
      <c r="CP1130" t="s">
        <v>490</v>
      </c>
      <c r="CQ1130" t="s">
        <v>147</v>
      </c>
    </row>
    <row r="1131" spans="1:95" x14ac:dyDescent="0.2">
      <c r="A1131" t="s">
        <v>115</v>
      </c>
      <c r="B1131" t="s">
        <v>116</v>
      </c>
      <c r="C1131">
        <v>210784</v>
      </c>
      <c r="E1131" t="s">
        <v>117</v>
      </c>
      <c r="F1131">
        <v>368</v>
      </c>
      <c r="G1131" t="s">
        <v>141</v>
      </c>
      <c r="H1131" t="s">
        <v>142</v>
      </c>
      <c r="I1131" t="s">
        <v>279</v>
      </c>
      <c r="J1131" t="s">
        <v>280</v>
      </c>
      <c r="L1131" t="s">
        <v>909</v>
      </c>
      <c r="M1131" s="8">
        <v>46023</v>
      </c>
      <c r="N1131">
        <v>5862630</v>
      </c>
      <c r="O1131" t="s">
        <v>123</v>
      </c>
      <c r="P1131" t="s">
        <v>146</v>
      </c>
      <c r="Q1131">
        <v>4.4800000000000004</v>
      </c>
      <c r="R1131" t="s">
        <v>125</v>
      </c>
      <c r="S1131" t="s">
        <v>126</v>
      </c>
      <c r="T1131" t="s">
        <v>125</v>
      </c>
      <c r="U1131" t="s">
        <v>126</v>
      </c>
      <c r="W1131">
        <v>4.4800000000000004</v>
      </c>
      <c r="Y1131">
        <v>4.4800000000000004</v>
      </c>
      <c r="BE1131">
        <v>4.4800000000000004</v>
      </c>
      <c r="BH1131" t="s">
        <v>126</v>
      </c>
      <c r="BI1131" t="s">
        <v>126</v>
      </c>
      <c r="BJ1131" t="s">
        <v>126</v>
      </c>
      <c r="BK1131" t="s">
        <v>126</v>
      </c>
      <c r="BS1131" t="s">
        <v>126</v>
      </c>
      <c r="BT1131" t="s">
        <v>126</v>
      </c>
      <c r="BU1131" t="s">
        <v>126</v>
      </c>
      <c r="BV1131" t="s">
        <v>126</v>
      </c>
      <c r="CN1131" t="s">
        <v>147</v>
      </c>
      <c r="CP1131" t="s">
        <v>490</v>
      </c>
      <c r="CQ1131" t="s">
        <v>147</v>
      </c>
    </row>
    <row r="1132" spans="1:95" x14ac:dyDescent="0.2">
      <c r="A1132" t="s">
        <v>115</v>
      </c>
      <c r="B1132" t="s">
        <v>116</v>
      </c>
      <c r="C1132">
        <v>210784</v>
      </c>
      <c r="E1132" t="s">
        <v>117</v>
      </c>
      <c r="F1132">
        <v>368</v>
      </c>
      <c r="G1132" t="s">
        <v>141</v>
      </c>
      <c r="H1132" t="s">
        <v>142</v>
      </c>
      <c r="I1132" t="s">
        <v>279</v>
      </c>
      <c r="J1132" t="s">
        <v>280</v>
      </c>
      <c r="L1132" t="s">
        <v>137</v>
      </c>
      <c r="M1132" s="8">
        <v>46023</v>
      </c>
      <c r="N1132">
        <v>5865589</v>
      </c>
      <c r="O1132" t="s">
        <v>123</v>
      </c>
      <c r="P1132" t="s">
        <v>146</v>
      </c>
      <c r="Q1132">
        <v>7.19</v>
      </c>
      <c r="R1132" t="s">
        <v>125</v>
      </c>
      <c r="S1132" t="s">
        <v>126</v>
      </c>
      <c r="T1132" t="s">
        <v>125</v>
      </c>
      <c r="U1132" t="s">
        <v>126</v>
      </c>
      <c r="W1132">
        <v>7.19</v>
      </c>
      <c r="Y1132">
        <v>7.19</v>
      </c>
      <c r="BE1132">
        <v>7.19</v>
      </c>
      <c r="BH1132" t="s">
        <v>126</v>
      </c>
      <c r="BI1132" t="s">
        <v>126</v>
      </c>
      <c r="BJ1132" t="s">
        <v>126</v>
      </c>
      <c r="BK1132" t="s">
        <v>126</v>
      </c>
      <c r="BS1132" t="s">
        <v>126</v>
      </c>
      <c r="BT1132" t="s">
        <v>126</v>
      </c>
      <c r="BU1132" t="s">
        <v>126</v>
      </c>
      <c r="BV1132" t="s">
        <v>126</v>
      </c>
      <c r="CN1132" t="s">
        <v>147</v>
      </c>
      <c r="CP1132" t="s">
        <v>490</v>
      </c>
      <c r="CQ1132" t="s">
        <v>147</v>
      </c>
    </row>
    <row r="1133" spans="1:95" x14ac:dyDescent="0.2">
      <c r="A1133" t="s">
        <v>115</v>
      </c>
      <c r="B1133" t="s">
        <v>116</v>
      </c>
      <c r="C1133">
        <v>210784</v>
      </c>
      <c r="E1133" t="s">
        <v>117</v>
      </c>
      <c r="F1133">
        <v>368</v>
      </c>
      <c r="G1133" t="s">
        <v>141</v>
      </c>
      <c r="H1133" t="s">
        <v>142</v>
      </c>
      <c r="I1133" t="s">
        <v>279</v>
      </c>
      <c r="J1133" t="s">
        <v>280</v>
      </c>
      <c r="L1133" t="s">
        <v>300</v>
      </c>
      <c r="M1133" s="8">
        <v>46023</v>
      </c>
      <c r="N1133">
        <v>5871097</v>
      </c>
      <c r="O1133" t="s">
        <v>123</v>
      </c>
      <c r="P1133" t="s">
        <v>146</v>
      </c>
      <c r="Q1133">
        <v>3.05</v>
      </c>
      <c r="R1133" t="s">
        <v>125</v>
      </c>
      <c r="S1133" t="s">
        <v>126</v>
      </c>
      <c r="T1133" t="s">
        <v>125</v>
      </c>
      <c r="U1133" t="s">
        <v>126</v>
      </c>
      <c r="W1133">
        <v>3.05</v>
      </c>
      <c r="Y1133">
        <v>3.05</v>
      </c>
      <c r="BE1133">
        <v>3.05</v>
      </c>
      <c r="BH1133" t="s">
        <v>126</v>
      </c>
      <c r="BI1133" t="s">
        <v>126</v>
      </c>
      <c r="BJ1133" t="s">
        <v>126</v>
      </c>
      <c r="BK1133" t="s">
        <v>126</v>
      </c>
      <c r="BS1133" t="s">
        <v>126</v>
      </c>
      <c r="BT1133" t="s">
        <v>126</v>
      </c>
      <c r="BU1133" t="s">
        <v>126</v>
      </c>
      <c r="BV1133" t="s">
        <v>126</v>
      </c>
      <c r="CN1133" t="s">
        <v>147</v>
      </c>
      <c r="CP1133" t="s">
        <v>490</v>
      </c>
      <c r="CQ1133" t="s">
        <v>147</v>
      </c>
    </row>
    <row r="1134" spans="1:95" x14ac:dyDescent="0.2">
      <c r="A1134" t="s">
        <v>115</v>
      </c>
      <c r="B1134" t="s">
        <v>116</v>
      </c>
      <c r="C1134">
        <v>210784</v>
      </c>
      <c r="E1134" t="s">
        <v>117</v>
      </c>
      <c r="F1134">
        <v>368</v>
      </c>
      <c r="G1134" t="s">
        <v>141</v>
      </c>
      <c r="H1134" t="s">
        <v>142</v>
      </c>
      <c r="I1134" t="s">
        <v>279</v>
      </c>
      <c r="J1134" t="s">
        <v>280</v>
      </c>
      <c r="L1134" t="s">
        <v>910</v>
      </c>
      <c r="M1134" s="8">
        <v>46023</v>
      </c>
      <c r="N1134">
        <v>5871777</v>
      </c>
      <c r="O1134" t="s">
        <v>123</v>
      </c>
      <c r="P1134" t="s">
        <v>146</v>
      </c>
      <c r="Q1134">
        <v>4.68</v>
      </c>
      <c r="R1134" t="s">
        <v>125</v>
      </c>
      <c r="S1134" t="s">
        <v>126</v>
      </c>
      <c r="T1134" t="s">
        <v>125</v>
      </c>
      <c r="U1134" t="s">
        <v>126</v>
      </c>
      <c r="W1134">
        <v>4.68</v>
      </c>
      <c r="Y1134">
        <v>4.68</v>
      </c>
      <c r="BE1134">
        <v>4.68</v>
      </c>
      <c r="BH1134" t="s">
        <v>126</v>
      </c>
      <c r="BI1134" t="s">
        <v>126</v>
      </c>
      <c r="BJ1134" t="s">
        <v>126</v>
      </c>
      <c r="BK1134" t="s">
        <v>126</v>
      </c>
      <c r="BS1134" t="s">
        <v>126</v>
      </c>
      <c r="BT1134" t="s">
        <v>126</v>
      </c>
      <c r="BU1134" t="s">
        <v>126</v>
      </c>
      <c r="BV1134" t="s">
        <v>126</v>
      </c>
      <c r="CN1134" t="s">
        <v>147</v>
      </c>
      <c r="CP1134" t="s">
        <v>304</v>
      </c>
      <c r="CQ1134" t="s">
        <v>147</v>
      </c>
    </row>
    <row r="1135" spans="1:95" x14ac:dyDescent="0.2">
      <c r="A1135" t="s">
        <v>115</v>
      </c>
      <c r="B1135" t="s">
        <v>116</v>
      </c>
      <c r="C1135">
        <v>210784</v>
      </c>
      <c r="E1135" t="s">
        <v>117</v>
      </c>
      <c r="F1135">
        <v>368</v>
      </c>
      <c r="G1135" t="s">
        <v>141</v>
      </c>
      <c r="H1135" t="s">
        <v>142</v>
      </c>
      <c r="I1135" t="s">
        <v>279</v>
      </c>
      <c r="J1135" t="s">
        <v>280</v>
      </c>
      <c r="L1135" t="s">
        <v>910</v>
      </c>
      <c r="M1135" s="8">
        <v>46023</v>
      </c>
      <c r="N1135">
        <v>5872135</v>
      </c>
      <c r="O1135" t="s">
        <v>123</v>
      </c>
      <c r="P1135" t="s">
        <v>146</v>
      </c>
      <c r="Q1135">
        <v>2.63</v>
      </c>
      <c r="R1135" t="s">
        <v>125</v>
      </c>
      <c r="S1135" t="s">
        <v>126</v>
      </c>
      <c r="T1135" t="s">
        <v>125</v>
      </c>
      <c r="U1135" t="s">
        <v>126</v>
      </c>
      <c r="W1135">
        <v>2.63</v>
      </c>
      <c r="Y1135">
        <v>2.63</v>
      </c>
      <c r="BE1135">
        <v>2.63</v>
      </c>
      <c r="BH1135" t="s">
        <v>126</v>
      </c>
      <c r="BI1135" t="s">
        <v>126</v>
      </c>
      <c r="BJ1135" t="s">
        <v>126</v>
      </c>
      <c r="BK1135" t="s">
        <v>126</v>
      </c>
      <c r="BS1135" t="s">
        <v>126</v>
      </c>
      <c r="BT1135" t="s">
        <v>126</v>
      </c>
      <c r="BU1135" t="s">
        <v>126</v>
      </c>
      <c r="BV1135" t="s">
        <v>126</v>
      </c>
      <c r="CN1135" t="s">
        <v>147</v>
      </c>
      <c r="CP1135" t="s">
        <v>304</v>
      </c>
      <c r="CQ1135" t="s">
        <v>147</v>
      </c>
    </row>
    <row r="1136" spans="1:95" x14ac:dyDescent="0.2">
      <c r="A1136" t="s">
        <v>115</v>
      </c>
      <c r="B1136" t="s">
        <v>116</v>
      </c>
      <c r="C1136">
        <v>210784</v>
      </c>
      <c r="E1136" t="s">
        <v>117</v>
      </c>
      <c r="F1136">
        <v>368</v>
      </c>
      <c r="G1136" t="s">
        <v>118</v>
      </c>
      <c r="H1136" t="s">
        <v>119</v>
      </c>
      <c r="I1136" t="s">
        <v>120</v>
      </c>
      <c r="J1136" t="s">
        <v>121</v>
      </c>
      <c r="L1136" t="s">
        <v>139</v>
      </c>
      <c r="M1136" s="8">
        <v>46054</v>
      </c>
      <c r="N1136">
        <v>137382</v>
      </c>
      <c r="O1136" t="s">
        <v>123</v>
      </c>
      <c r="P1136" t="s">
        <v>124</v>
      </c>
      <c r="Q1136">
        <v>6.13</v>
      </c>
      <c r="R1136" t="s">
        <v>125</v>
      </c>
      <c r="S1136" t="s">
        <v>126</v>
      </c>
      <c r="T1136" t="s">
        <v>125</v>
      </c>
      <c r="U1136" t="s">
        <v>126</v>
      </c>
      <c r="W1136">
        <v>6.13</v>
      </c>
      <c r="Y1136">
        <v>6.13</v>
      </c>
      <c r="AA1136">
        <v>6.13</v>
      </c>
      <c r="BH1136" t="s">
        <v>126</v>
      </c>
      <c r="BI1136" t="s">
        <v>126</v>
      </c>
      <c r="BJ1136" t="s">
        <v>126</v>
      </c>
      <c r="BK1136" t="s">
        <v>126</v>
      </c>
      <c r="BS1136" t="s">
        <v>126</v>
      </c>
      <c r="BT1136" t="s">
        <v>126</v>
      </c>
      <c r="BU1136" t="s">
        <v>126</v>
      </c>
      <c r="BV1136" t="s">
        <v>126</v>
      </c>
      <c r="CN1136" t="s">
        <v>127</v>
      </c>
      <c r="CP1136" t="s">
        <v>140</v>
      </c>
      <c r="CQ1136" t="s">
        <v>127</v>
      </c>
    </row>
    <row r="1137" spans="1:95" x14ac:dyDescent="0.2">
      <c r="A1137" t="s">
        <v>115</v>
      </c>
      <c r="B1137" t="s">
        <v>116</v>
      </c>
      <c r="C1137">
        <v>210784</v>
      </c>
      <c r="E1137" t="s">
        <v>117</v>
      </c>
      <c r="F1137">
        <v>368</v>
      </c>
      <c r="G1137" t="s">
        <v>118</v>
      </c>
      <c r="H1137" t="s">
        <v>119</v>
      </c>
      <c r="I1137" t="s">
        <v>120</v>
      </c>
      <c r="J1137" t="s">
        <v>121</v>
      </c>
      <c r="L1137" t="s">
        <v>139</v>
      </c>
      <c r="M1137" s="8">
        <v>46054</v>
      </c>
      <c r="N1137">
        <v>137394</v>
      </c>
      <c r="O1137" t="s">
        <v>123</v>
      </c>
      <c r="P1137" t="s">
        <v>124</v>
      </c>
      <c r="Q1137">
        <v>3.72</v>
      </c>
      <c r="R1137" t="s">
        <v>125</v>
      </c>
      <c r="S1137" t="s">
        <v>126</v>
      </c>
      <c r="T1137" t="s">
        <v>125</v>
      </c>
      <c r="U1137" t="s">
        <v>126</v>
      </c>
      <c r="W1137">
        <v>3.72</v>
      </c>
      <c r="Y1137">
        <v>3.72</v>
      </c>
      <c r="AA1137">
        <v>3.72</v>
      </c>
      <c r="BH1137" t="s">
        <v>126</v>
      </c>
      <c r="BI1137" t="s">
        <v>126</v>
      </c>
      <c r="BJ1137" t="s">
        <v>126</v>
      </c>
      <c r="BK1137" t="s">
        <v>126</v>
      </c>
      <c r="BS1137" t="s">
        <v>126</v>
      </c>
      <c r="BT1137" t="s">
        <v>126</v>
      </c>
      <c r="BU1137" t="s">
        <v>126</v>
      </c>
      <c r="BV1137" t="s">
        <v>126</v>
      </c>
      <c r="CN1137" t="s">
        <v>127</v>
      </c>
      <c r="CP1137" t="s">
        <v>140</v>
      </c>
      <c r="CQ1137" t="s">
        <v>127</v>
      </c>
    </row>
    <row r="1138" spans="1:95" x14ac:dyDescent="0.2">
      <c r="A1138" t="s">
        <v>115</v>
      </c>
      <c r="B1138" t="s">
        <v>116</v>
      </c>
      <c r="C1138">
        <v>210784</v>
      </c>
      <c r="E1138" t="s">
        <v>117</v>
      </c>
      <c r="F1138">
        <v>368</v>
      </c>
      <c r="G1138" t="s">
        <v>141</v>
      </c>
      <c r="H1138" t="s">
        <v>142</v>
      </c>
      <c r="I1138" t="s">
        <v>301</v>
      </c>
      <c r="J1138" t="s">
        <v>302</v>
      </c>
      <c r="L1138" t="s">
        <v>303</v>
      </c>
      <c r="M1138" s="8">
        <v>46054</v>
      </c>
      <c r="N1138">
        <v>118750</v>
      </c>
      <c r="O1138" t="s">
        <v>123</v>
      </c>
      <c r="P1138" t="s">
        <v>146</v>
      </c>
      <c r="Q1138">
        <v>8</v>
      </c>
      <c r="R1138" t="s">
        <v>125</v>
      </c>
      <c r="S1138" t="s">
        <v>126</v>
      </c>
      <c r="T1138" t="s">
        <v>125</v>
      </c>
      <c r="U1138" t="s">
        <v>126</v>
      </c>
      <c r="W1138">
        <v>8</v>
      </c>
      <c r="Y1138">
        <v>8</v>
      </c>
      <c r="AC1138">
        <v>8</v>
      </c>
      <c r="BH1138" t="s">
        <v>126</v>
      </c>
      <c r="BI1138" t="s">
        <v>126</v>
      </c>
      <c r="BJ1138" t="s">
        <v>126</v>
      </c>
      <c r="BK1138" t="s">
        <v>126</v>
      </c>
      <c r="BS1138" t="s">
        <v>126</v>
      </c>
      <c r="BT1138" t="s">
        <v>126</v>
      </c>
      <c r="BU1138" t="s">
        <v>126</v>
      </c>
      <c r="BV1138" t="s">
        <v>126</v>
      </c>
      <c r="CN1138" t="s">
        <v>147</v>
      </c>
      <c r="CP1138" t="s">
        <v>304</v>
      </c>
      <c r="CQ1138" t="s">
        <v>147</v>
      </c>
    </row>
    <row r="1139" spans="1:95" x14ac:dyDescent="0.2">
      <c r="A1139" t="s">
        <v>115</v>
      </c>
      <c r="B1139" t="s">
        <v>116</v>
      </c>
      <c r="C1139">
        <v>210784</v>
      </c>
      <c r="E1139" t="s">
        <v>117</v>
      </c>
      <c r="F1139">
        <v>368</v>
      </c>
      <c r="G1139" t="s">
        <v>141</v>
      </c>
      <c r="H1139" t="s">
        <v>142</v>
      </c>
      <c r="I1139" t="s">
        <v>279</v>
      </c>
      <c r="J1139" t="s">
        <v>280</v>
      </c>
      <c r="L1139" t="s">
        <v>490</v>
      </c>
      <c r="M1139" s="8">
        <v>46054</v>
      </c>
      <c r="N1139">
        <v>5874570</v>
      </c>
      <c r="O1139" t="s">
        <v>123</v>
      </c>
      <c r="P1139" t="s">
        <v>146</v>
      </c>
      <c r="Q1139">
        <v>5.3098999999999998</v>
      </c>
      <c r="R1139" t="s">
        <v>559</v>
      </c>
      <c r="S1139" t="s">
        <v>126</v>
      </c>
      <c r="T1139" t="s">
        <v>559</v>
      </c>
      <c r="U1139" t="s">
        <v>560</v>
      </c>
      <c r="W1139">
        <v>1.6365000000000001</v>
      </c>
      <c r="X1139">
        <v>3.6734</v>
      </c>
      <c r="Y1139">
        <v>5.3098999999999998</v>
      </c>
      <c r="Z1139">
        <v>2.0198999999999998</v>
      </c>
      <c r="AG1139">
        <v>1.6365000000000001</v>
      </c>
      <c r="AI1139">
        <v>1.6535</v>
      </c>
      <c r="BH1139" t="s">
        <v>126</v>
      </c>
      <c r="BI1139" t="s">
        <v>126</v>
      </c>
      <c r="BJ1139" t="s">
        <v>126</v>
      </c>
      <c r="BK1139" t="s">
        <v>126</v>
      </c>
      <c r="BS1139" t="s">
        <v>126</v>
      </c>
      <c r="BT1139" t="s">
        <v>126</v>
      </c>
      <c r="BU1139" t="s">
        <v>126</v>
      </c>
      <c r="BV1139" t="s">
        <v>126</v>
      </c>
      <c r="CN1139" t="s">
        <v>147</v>
      </c>
      <c r="CP1139" t="s">
        <v>304</v>
      </c>
      <c r="CQ1139" t="s">
        <v>147</v>
      </c>
    </row>
    <row r="1140" spans="1:95" x14ac:dyDescent="0.2">
      <c r="A1140" t="s">
        <v>115</v>
      </c>
      <c r="B1140" t="s">
        <v>116</v>
      </c>
      <c r="C1140">
        <v>210784</v>
      </c>
      <c r="E1140" t="s">
        <v>117</v>
      </c>
      <c r="F1140">
        <v>368</v>
      </c>
      <c r="G1140" t="s">
        <v>141</v>
      </c>
      <c r="H1140" t="s">
        <v>142</v>
      </c>
      <c r="I1140" t="s">
        <v>279</v>
      </c>
      <c r="J1140" t="s">
        <v>280</v>
      </c>
      <c r="L1140" t="s">
        <v>490</v>
      </c>
      <c r="M1140" s="8">
        <v>46054</v>
      </c>
      <c r="N1140">
        <v>5874727</v>
      </c>
      <c r="O1140" t="s">
        <v>123</v>
      </c>
      <c r="P1140" t="s">
        <v>146</v>
      </c>
      <c r="Q1140">
        <v>3.79</v>
      </c>
      <c r="R1140" t="s">
        <v>559</v>
      </c>
      <c r="S1140" t="s">
        <v>126</v>
      </c>
      <c r="T1140" t="s">
        <v>559</v>
      </c>
      <c r="U1140" t="s">
        <v>560</v>
      </c>
      <c r="W1140">
        <v>1.1680999999999999</v>
      </c>
      <c r="X1140">
        <v>2.6219000000000001</v>
      </c>
      <c r="Y1140">
        <v>3.79</v>
      </c>
      <c r="Z1140">
        <v>1.4417</v>
      </c>
      <c r="AG1140">
        <v>1.1680999999999999</v>
      </c>
      <c r="AI1140">
        <v>1.1801999999999999</v>
      </c>
      <c r="BH1140" t="s">
        <v>126</v>
      </c>
      <c r="BI1140" t="s">
        <v>126</v>
      </c>
      <c r="BJ1140" t="s">
        <v>126</v>
      </c>
      <c r="BK1140" t="s">
        <v>126</v>
      </c>
      <c r="BS1140" t="s">
        <v>126</v>
      </c>
      <c r="BT1140" t="s">
        <v>126</v>
      </c>
      <c r="BU1140" t="s">
        <v>126</v>
      </c>
      <c r="BV1140" t="s">
        <v>126</v>
      </c>
      <c r="CN1140" t="s">
        <v>147</v>
      </c>
      <c r="CP1140" t="s">
        <v>304</v>
      </c>
      <c r="CQ1140" t="s">
        <v>147</v>
      </c>
    </row>
    <row r="1141" spans="1:95" x14ac:dyDescent="0.2">
      <c r="A1141" t="s">
        <v>115</v>
      </c>
      <c r="B1141" t="s">
        <v>116</v>
      </c>
      <c r="C1141">
        <v>210784</v>
      </c>
      <c r="E1141" t="s">
        <v>117</v>
      </c>
      <c r="F1141">
        <v>368</v>
      </c>
      <c r="G1141" t="s">
        <v>141</v>
      </c>
      <c r="H1141" t="s">
        <v>142</v>
      </c>
      <c r="I1141" t="s">
        <v>279</v>
      </c>
      <c r="J1141" t="s">
        <v>280</v>
      </c>
      <c r="L1141" t="s">
        <v>789</v>
      </c>
      <c r="M1141" s="8">
        <v>46054</v>
      </c>
      <c r="N1141">
        <v>5875532</v>
      </c>
      <c r="O1141" t="s">
        <v>123</v>
      </c>
      <c r="P1141" t="s">
        <v>146</v>
      </c>
      <c r="Q1141">
        <v>4.7700000000000005</v>
      </c>
      <c r="R1141" t="s">
        <v>559</v>
      </c>
      <c r="S1141" t="s">
        <v>126</v>
      </c>
      <c r="T1141" t="s">
        <v>559</v>
      </c>
      <c r="U1141" t="s">
        <v>560</v>
      </c>
      <c r="W1141">
        <v>1.4701</v>
      </c>
      <c r="X1141">
        <v>3.2999000000000001</v>
      </c>
      <c r="Y1141">
        <v>4.7700000000000005</v>
      </c>
      <c r="Z1141">
        <v>1.8145</v>
      </c>
      <c r="AG1141">
        <v>1.4701</v>
      </c>
      <c r="AI1141">
        <v>1.4854000000000001</v>
      </c>
      <c r="BH1141" t="s">
        <v>126</v>
      </c>
      <c r="BI1141" t="s">
        <v>126</v>
      </c>
      <c r="BJ1141" t="s">
        <v>126</v>
      </c>
      <c r="BK1141" t="s">
        <v>126</v>
      </c>
      <c r="BS1141" t="s">
        <v>126</v>
      </c>
      <c r="BT1141" t="s">
        <v>126</v>
      </c>
      <c r="BU1141" t="s">
        <v>126</v>
      </c>
      <c r="BV1141" t="s">
        <v>126</v>
      </c>
      <c r="CN1141" t="s">
        <v>147</v>
      </c>
      <c r="CP1141" t="s">
        <v>304</v>
      </c>
      <c r="CQ1141" t="s">
        <v>147</v>
      </c>
    </row>
    <row r="1142" spans="1:95" x14ac:dyDescent="0.2">
      <c r="A1142" t="s">
        <v>115</v>
      </c>
      <c r="B1142" t="s">
        <v>116</v>
      </c>
      <c r="C1142">
        <v>210784</v>
      </c>
      <c r="E1142" t="s">
        <v>117</v>
      </c>
      <c r="F1142">
        <v>368</v>
      </c>
      <c r="G1142" t="s">
        <v>141</v>
      </c>
      <c r="H1142" t="s">
        <v>142</v>
      </c>
      <c r="I1142" t="s">
        <v>279</v>
      </c>
      <c r="J1142" t="s">
        <v>280</v>
      </c>
      <c r="L1142" t="s">
        <v>790</v>
      </c>
      <c r="M1142" s="8">
        <v>46054</v>
      </c>
      <c r="N1142">
        <v>5876499</v>
      </c>
      <c r="O1142" t="s">
        <v>123</v>
      </c>
      <c r="P1142" t="s">
        <v>146</v>
      </c>
      <c r="Q1142">
        <v>1.7000000000000002</v>
      </c>
      <c r="R1142" t="s">
        <v>559</v>
      </c>
      <c r="S1142" t="s">
        <v>126</v>
      </c>
      <c r="T1142" t="s">
        <v>559</v>
      </c>
      <c r="U1142" t="s">
        <v>560</v>
      </c>
      <c r="W1142">
        <v>0.52390000000000003</v>
      </c>
      <c r="X1142">
        <v>1.1760999999999999</v>
      </c>
      <c r="Y1142">
        <v>1.7000000000000002</v>
      </c>
      <c r="Z1142">
        <v>0.64670000000000005</v>
      </c>
      <c r="AG1142">
        <v>0.52390000000000003</v>
      </c>
      <c r="AI1142">
        <v>0.52939999999999998</v>
      </c>
      <c r="BH1142" t="s">
        <v>126</v>
      </c>
      <c r="BI1142" t="s">
        <v>126</v>
      </c>
      <c r="BJ1142" t="s">
        <v>126</v>
      </c>
      <c r="BK1142" t="s">
        <v>126</v>
      </c>
      <c r="BS1142" t="s">
        <v>126</v>
      </c>
      <c r="BT1142" t="s">
        <v>126</v>
      </c>
      <c r="BU1142" t="s">
        <v>126</v>
      </c>
      <c r="BV1142" t="s">
        <v>126</v>
      </c>
      <c r="CN1142" t="s">
        <v>147</v>
      </c>
      <c r="CP1142" t="s">
        <v>304</v>
      </c>
      <c r="CQ1142" t="s">
        <v>147</v>
      </c>
    </row>
    <row r="1143" spans="1:95" x14ac:dyDescent="0.2">
      <c r="A1143" t="s">
        <v>115</v>
      </c>
      <c r="B1143" t="s">
        <v>116</v>
      </c>
      <c r="C1143">
        <v>210784</v>
      </c>
      <c r="E1143" t="s">
        <v>117</v>
      </c>
      <c r="F1143">
        <v>368</v>
      </c>
      <c r="G1143" t="s">
        <v>141</v>
      </c>
      <c r="H1143" t="s">
        <v>142</v>
      </c>
      <c r="I1143" t="s">
        <v>279</v>
      </c>
      <c r="J1143" t="s">
        <v>280</v>
      </c>
      <c r="L1143" t="s">
        <v>791</v>
      </c>
      <c r="M1143" s="8">
        <v>46054</v>
      </c>
      <c r="N1143">
        <v>5877268</v>
      </c>
      <c r="O1143" t="s">
        <v>123</v>
      </c>
      <c r="P1143" t="s">
        <v>146</v>
      </c>
      <c r="Q1143">
        <v>4.1199999999999992</v>
      </c>
      <c r="R1143" t="s">
        <v>559</v>
      </c>
      <c r="S1143" t="s">
        <v>126</v>
      </c>
      <c r="T1143" t="s">
        <v>559</v>
      </c>
      <c r="U1143" t="s">
        <v>560</v>
      </c>
      <c r="W1143">
        <v>1.2698</v>
      </c>
      <c r="X1143">
        <v>2.8502000000000001</v>
      </c>
      <c r="Y1143">
        <v>4.1199999999999992</v>
      </c>
      <c r="Z1143">
        <v>1.5671999999999999</v>
      </c>
      <c r="AG1143">
        <v>1.2698</v>
      </c>
      <c r="AI1143">
        <v>1.2829999999999999</v>
      </c>
      <c r="BH1143" t="s">
        <v>126</v>
      </c>
      <c r="BI1143" t="s">
        <v>126</v>
      </c>
      <c r="BJ1143" t="s">
        <v>126</v>
      </c>
      <c r="BK1143" t="s">
        <v>126</v>
      </c>
      <c r="BS1143" t="s">
        <v>126</v>
      </c>
      <c r="BT1143" t="s">
        <v>126</v>
      </c>
      <c r="BU1143" t="s">
        <v>126</v>
      </c>
      <c r="BV1143" t="s">
        <v>126</v>
      </c>
      <c r="CN1143" t="s">
        <v>147</v>
      </c>
      <c r="CP1143" t="s">
        <v>304</v>
      </c>
      <c r="CQ1143" t="s">
        <v>147</v>
      </c>
    </row>
    <row r="1144" spans="1:95" x14ac:dyDescent="0.2">
      <c r="A1144" t="s">
        <v>115</v>
      </c>
      <c r="B1144" t="s">
        <v>116</v>
      </c>
      <c r="C1144">
        <v>210784</v>
      </c>
      <c r="E1144" t="s">
        <v>117</v>
      </c>
      <c r="F1144">
        <v>368</v>
      </c>
      <c r="G1144" t="s">
        <v>141</v>
      </c>
      <c r="H1144" t="s">
        <v>142</v>
      </c>
      <c r="I1144" t="s">
        <v>279</v>
      </c>
      <c r="J1144" t="s">
        <v>280</v>
      </c>
      <c r="L1144" t="s">
        <v>792</v>
      </c>
      <c r="M1144" s="8">
        <v>46054</v>
      </c>
      <c r="N1144">
        <v>5878048</v>
      </c>
      <c r="O1144" t="s">
        <v>123</v>
      </c>
      <c r="P1144" t="s">
        <v>146</v>
      </c>
      <c r="Q1144">
        <v>3.4100999999999999</v>
      </c>
      <c r="R1144" t="s">
        <v>559</v>
      </c>
      <c r="S1144" t="s">
        <v>126</v>
      </c>
      <c r="T1144" t="s">
        <v>559</v>
      </c>
      <c r="U1144" t="s">
        <v>560</v>
      </c>
      <c r="W1144">
        <v>1.0509999999999999</v>
      </c>
      <c r="X1144">
        <v>2.3590999999999998</v>
      </c>
      <c r="Y1144">
        <v>3.4100999999999999</v>
      </c>
      <c r="Z1144">
        <v>1.2971999999999999</v>
      </c>
      <c r="AG1144">
        <v>1.0509999999999999</v>
      </c>
      <c r="AI1144">
        <v>1.0619000000000001</v>
      </c>
      <c r="BH1144" t="s">
        <v>126</v>
      </c>
      <c r="BI1144" t="s">
        <v>126</v>
      </c>
      <c r="BJ1144" t="s">
        <v>126</v>
      </c>
      <c r="BK1144" t="s">
        <v>126</v>
      </c>
      <c r="BS1144" t="s">
        <v>126</v>
      </c>
      <c r="BT1144" t="s">
        <v>126</v>
      </c>
      <c r="BU1144" t="s">
        <v>126</v>
      </c>
      <c r="BV1144" t="s">
        <v>126</v>
      </c>
      <c r="CN1144" t="s">
        <v>147</v>
      </c>
      <c r="CP1144" t="s">
        <v>304</v>
      </c>
      <c r="CQ1144" t="s">
        <v>147</v>
      </c>
    </row>
    <row r="1145" spans="1:95" x14ac:dyDescent="0.2">
      <c r="A1145" t="s">
        <v>115</v>
      </c>
      <c r="B1145" t="s">
        <v>116</v>
      </c>
      <c r="C1145">
        <v>210784</v>
      </c>
      <c r="E1145" t="s">
        <v>117</v>
      </c>
      <c r="F1145">
        <v>368</v>
      </c>
      <c r="G1145" t="s">
        <v>141</v>
      </c>
      <c r="H1145" t="s">
        <v>142</v>
      </c>
      <c r="I1145" t="s">
        <v>279</v>
      </c>
      <c r="J1145" t="s">
        <v>280</v>
      </c>
      <c r="L1145" t="s">
        <v>793</v>
      </c>
      <c r="M1145" s="8">
        <v>46054</v>
      </c>
      <c r="N1145">
        <v>5879173</v>
      </c>
      <c r="O1145" t="s">
        <v>123</v>
      </c>
      <c r="P1145" t="s">
        <v>146</v>
      </c>
      <c r="Q1145">
        <v>3.3499999999999996</v>
      </c>
      <c r="R1145" t="s">
        <v>559</v>
      </c>
      <c r="S1145" t="s">
        <v>126</v>
      </c>
      <c r="T1145" t="s">
        <v>559</v>
      </c>
      <c r="U1145" t="s">
        <v>560</v>
      </c>
      <c r="W1145">
        <v>1.0325</v>
      </c>
      <c r="X1145">
        <v>2.3174999999999999</v>
      </c>
      <c r="Y1145">
        <v>3.3499999999999996</v>
      </c>
      <c r="Z1145">
        <v>1.2743</v>
      </c>
      <c r="AG1145">
        <v>1.0325</v>
      </c>
      <c r="AI1145">
        <v>1.0431999999999999</v>
      </c>
      <c r="BH1145" t="s">
        <v>126</v>
      </c>
      <c r="BI1145" t="s">
        <v>126</v>
      </c>
      <c r="BJ1145" t="s">
        <v>126</v>
      </c>
      <c r="BK1145" t="s">
        <v>126</v>
      </c>
      <c r="BS1145" t="s">
        <v>126</v>
      </c>
      <c r="BT1145" t="s">
        <v>126</v>
      </c>
      <c r="BU1145" t="s">
        <v>126</v>
      </c>
      <c r="BV1145" t="s">
        <v>126</v>
      </c>
      <c r="CN1145" t="s">
        <v>147</v>
      </c>
      <c r="CP1145" t="s">
        <v>304</v>
      </c>
      <c r="CQ1145" t="s">
        <v>147</v>
      </c>
    </row>
    <row r="1146" spans="1:95" x14ac:dyDescent="0.2">
      <c r="A1146" t="s">
        <v>115</v>
      </c>
      <c r="B1146" t="s">
        <v>116</v>
      </c>
      <c r="C1146">
        <v>210784</v>
      </c>
      <c r="E1146" t="s">
        <v>117</v>
      </c>
      <c r="F1146">
        <v>368</v>
      </c>
      <c r="G1146" t="s">
        <v>141</v>
      </c>
      <c r="H1146" t="s">
        <v>142</v>
      </c>
      <c r="I1146" t="s">
        <v>279</v>
      </c>
      <c r="J1146" t="s">
        <v>280</v>
      </c>
      <c r="L1146" t="s">
        <v>794</v>
      </c>
      <c r="M1146" s="8">
        <v>46054</v>
      </c>
      <c r="N1146">
        <v>5880924</v>
      </c>
      <c r="O1146" t="s">
        <v>123</v>
      </c>
      <c r="P1146" t="s">
        <v>146</v>
      </c>
      <c r="Q1146">
        <v>2.8499999999999996</v>
      </c>
      <c r="R1146" t="s">
        <v>559</v>
      </c>
      <c r="S1146" t="s">
        <v>126</v>
      </c>
      <c r="T1146" t="s">
        <v>559</v>
      </c>
      <c r="U1146" t="s">
        <v>560</v>
      </c>
      <c r="W1146">
        <v>0.87839999999999996</v>
      </c>
      <c r="X1146">
        <v>1.9716</v>
      </c>
      <c r="Y1146">
        <v>2.8499999999999996</v>
      </c>
      <c r="Z1146">
        <v>1.0841000000000001</v>
      </c>
      <c r="AG1146">
        <v>0.87839999999999996</v>
      </c>
      <c r="AI1146">
        <v>0.88749999999999996</v>
      </c>
      <c r="BH1146" t="s">
        <v>126</v>
      </c>
      <c r="BI1146" t="s">
        <v>126</v>
      </c>
      <c r="BJ1146" t="s">
        <v>126</v>
      </c>
      <c r="BK1146" t="s">
        <v>126</v>
      </c>
      <c r="BS1146" t="s">
        <v>126</v>
      </c>
      <c r="BT1146" t="s">
        <v>126</v>
      </c>
      <c r="BU1146" t="s">
        <v>126</v>
      </c>
      <c r="BV1146" t="s">
        <v>126</v>
      </c>
      <c r="CN1146" t="s">
        <v>147</v>
      </c>
      <c r="CP1146" t="s">
        <v>304</v>
      </c>
      <c r="CQ1146" t="s">
        <v>147</v>
      </c>
    </row>
    <row r="1147" spans="1:95" x14ac:dyDescent="0.2">
      <c r="A1147" t="s">
        <v>115</v>
      </c>
      <c r="B1147" t="s">
        <v>116</v>
      </c>
      <c r="C1147">
        <v>210784</v>
      </c>
      <c r="E1147" t="s">
        <v>117</v>
      </c>
      <c r="F1147">
        <v>368</v>
      </c>
      <c r="G1147" t="s">
        <v>141</v>
      </c>
      <c r="H1147" t="s">
        <v>142</v>
      </c>
      <c r="I1147" t="s">
        <v>279</v>
      </c>
      <c r="J1147" t="s">
        <v>280</v>
      </c>
      <c r="L1147" t="s">
        <v>794</v>
      </c>
      <c r="M1147" s="8">
        <v>46054</v>
      </c>
      <c r="N1147">
        <v>5881380</v>
      </c>
      <c r="O1147" t="s">
        <v>123</v>
      </c>
      <c r="P1147" t="s">
        <v>146</v>
      </c>
      <c r="Q1147">
        <v>2.35</v>
      </c>
      <c r="R1147" t="s">
        <v>559</v>
      </c>
      <c r="S1147" t="s">
        <v>126</v>
      </c>
      <c r="T1147" t="s">
        <v>559</v>
      </c>
      <c r="U1147" t="s">
        <v>560</v>
      </c>
      <c r="W1147">
        <v>0.72430000000000005</v>
      </c>
      <c r="X1147">
        <v>1.6257000000000001</v>
      </c>
      <c r="Y1147">
        <v>2.35</v>
      </c>
      <c r="Z1147">
        <v>0.89390000000000003</v>
      </c>
      <c r="AG1147">
        <v>0.72430000000000005</v>
      </c>
      <c r="AI1147">
        <v>0.73180000000000001</v>
      </c>
      <c r="BH1147" t="s">
        <v>126</v>
      </c>
      <c r="BI1147" t="s">
        <v>126</v>
      </c>
      <c r="BJ1147" t="s">
        <v>126</v>
      </c>
      <c r="BK1147" t="s">
        <v>126</v>
      </c>
      <c r="BS1147" t="s">
        <v>126</v>
      </c>
      <c r="BT1147" t="s">
        <v>126</v>
      </c>
      <c r="BU1147" t="s">
        <v>126</v>
      </c>
      <c r="BV1147" t="s">
        <v>126</v>
      </c>
      <c r="CN1147" t="s">
        <v>147</v>
      </c>
      <c r="CP1147" t="s">
        <v>304</v>
      </c>
      <c r="CQ1147" t="s">
        <v>147</v>
      </c>
    </row>
    <row r="1148" spans="1:95" x14ac:dyDescent="0.2">
      <c r="A1148" t="s">
        <v>115</v>
      </c>
      <c r="B1148" t="s">
        <v>116</v>
      </c>
      <c r="C1148">
        <v>210784</v>
      </c>
      <c r="E1148" t="s">
        <v>117</v>
      </c>
      <c r="F1148">
        <v>368</v>
      </c>
      <c r="G1148" t="s">
        <v>141</v>
      </c>
      <c r="H1148" t="s">
        <v>142</v>
      </c>
      <c r="I1148" t="s">
        <v>279</v>
      </c>
      <c r="J1148" t="s">
        <v>280</v>
      </c>
      <c r="L1148" t="s">
        <v>794</v>
      </c>
      <c r="M1148" s="8">
        <v>46054</v>
      </c>
      <c r="N1148">
        <v>5884278</v>
      </c>
      <c r="O1148" t="s">
        <v>123</v>
      </c>
      <c r="P1148" t="s">
        <v>146</v>
      </c>
      <c r="Q1148">
        <v>7.8000000000000007</v>
      </c>
      <c r="R1148" t="s">
        <v>559</v>
      </c>
      <c r="S1148" t="s">
        <v>126</v>
      </c>
      <c r="T1148" t="s">
        <v>559</v>
      </c>
      <c r="U1148" t="s">
        <v>560</v>
      </c>
      <c r="W1148">
        <v>2.4039999999999999</v>
      </c>
      <c r="X1148">
        <v>5.3959999999999999</v>
      </c>
      <c r="Y1148">
        <v>7.8000000000000007</v>
      </c>
      <c r="Z1148">
        <v>2.9670999999999998</v>
      </c>
      <c r="AG1148">
        <v>2.4039999999999999</v>
      </c>
      <c r="AI1148">
        <v>2.4289000000000001</v>
      </c>
      <c r="BH1148" t="s">
        <v>126</v>
      </c>
      <c r="BI1148" t="s">
        <v>126</v>
      </c>
      <c r="BJ1148" t="s">
        <v>126</v>
      </c>
      <c r="BK1148" t="s">
        <v>126</v>
      </c>
      <c r="BS1148" t="s">
        <v>126</v>
      </c>
      <c r="BT1148" t="s">
        <v>126</v>
      </c>
      <c r="BU1148" t="s">
        <v>126</v>
      </c>
      <c r="BV1148" t="s">
        <v>126</v>
      </c>
      <c r="CN1148" t="s">
        <v>147</v>
      </c>
      <c r="CP1148" t="s">
        <v>304</v>
      </c>
      <c r="CQ1148" t="s">
        <v>147</v>
      </c>
    </row>
    <row r="1149" spans="1:95" x14ac:dyDescent="0.2">
      <c r="A1149" t="s">
        <v>115</v>
      </c>
      <c r="B1149" t="s">
        <v>116</v>
      </c>
      <c r="C1149">
        <v>210784</v>
      </c>
      <c r="E1149" t="s">
        <v>117</v>
      </c>
      <c r="F1149">
        <v>368</v>
      </c>
      <c r="G1149" t="s">
        <v>141</v>
      </c>
      <c r="H1149" t="s">
        <v>142</v>
      </c>
      <c r="I1149" t="s">
        <v>279</v>
      </c>
      <c r="J1149" t="s">
        <v>280</v>
      </c>
      <c r="L1149" t="s">
        <v>795</v>
      </c>
      <c r="M1149" s="8">
        <v>46054</v>
      </c>
      <c r="N1149">
        <v>5882114</v>
      </c>
      <c r="O1149" t="s">
        <v>123</v>
      </c>
      <c r="P1149" t="s">
        <v>146</v>
      </c>
      <c r="Q1149">
        <v>2.17</v>
      </c>
      <c r="R1149" t="s">
        <v>559</v>
      </c>
      <c r="S1149" t="s">
        <v>126</v>
      </c>
      <c r="T1149" t="s">
        <v>559</v>
      </c>
      <c r="U1149" t="s">
        <v>560</v>
      </c>
      <c r="W1149">
        <v>0.66879999999999995</v>
      </c>
      <c r="X1149">
        <v>1.5011999999999999</v>
      </c>
      <c r="Y1149">
        <v>2.17</v>
      </c>
      <c r="Z1149">
        <v>0.82550000000000001</v>
      </c>
      <c r="AG1149">
        <v>0.66879999999999995</v>
      </c>
      <c r="AI1149">
        <v>0.67569999999999997</v>
      </c>
      <c r="BH1149" t="s">
        <v>126</v>
      </c>
      <c r="BI1149" t="s">
        <v>126</v>
      </c>
      <c r="BJ1149" t="s">
        <v>126</v>
      </c>
      <c r="BK1149" t="s">
        <v>126</v>
      </c>
      <c r="BS1149" t="s">
        <v>126</v>
      </c>
      <c r="BT1149" t="s">
        <v>126</v>
      </c>
      <c r="BU1149" t="s">
        <v>126</v>
      </c>
      <c r="BV1149" t="s">
        <v>126</v>
      </c>
      <c r="CN1149" t="s">
        <v>147</v>
      </c>
      <c r="CP1149" t="s">
        <v>304</v>
      </c>
      <c r="CQ1149" t="s">
        <v>147</v>
      </c>
    </row>
    <row r="1150" spans="1:95" x14ac:dyDescent="0.2">
      <c r="A1150" t="s">
        <v>115</v>
      </c>
      <c r="B1150" t="s">
        <v>116</v>
      </c>
      <c r="C1150">
        <v>210784</v>
      </c>
      <c r="E1150" t="s">
        <v>117</v>
      </c>
      <c r="F1150">
        <v>368</v>
      </c>
      <c r="G1150" t="s">
        <v>141</v>
      </c>
      <c r="H1150" t="s">
        <v>142</v>
      </c>
      <c r="I1150" t="s">
        <v>279</v>
      </c>
      <c r="J1150" t="s">
        <v>280</v>
      </c>
      <c r="L1150" t="s">
        <v>796</v>
      </c>
      <c r="M1150" s="8">
        <v>46054</v>
      </c>
      <c r="N1150">
        <v>5883775</v>
      </c>
      <c r="O1150" t="s">
        <v>123</v>
      </c>
      <c r="P1150" t="s">
        <v>146</v>
      </c>
      <c r="Q1150">
        <v>3.5199999999999996</v>
      </c>
      <c r="R1150" t="s">
        <v>559</v>
      </c>
      <c r="S1150" t="s">
        <v>126</v>
      </c>
      <c r="T1150" t="s">
        <v>559</v>
      </c>
      <c r="U1150" t="s">
        <v>560</v>
      </c>
      <c r="W1150">
        <v>1.0849</v>
      </c>
      <c r="X1150">
        <v>2.4351000000000003</v>
      </c>
      <c r="Y1150">
        <v>3.5199999999999996</v>
      </c>
      <c r="Z1150">
        <v>1.339</v>
      </c>
      <c r="AG1150">
        <v>1.0849</v>
      </c>
      <c r="AI1150">
        <v>1.0961000000000001</v>
      </c>
      <c r="BH1150" t="s">
        <v>126</v>
      </c>
      <c r="BI1150" t="s">
        <v>126</v>
      </c>
      <c r="BJ1150" t="s">
        <v>126</v>
      </c>
      <c r="BK1150" t="s">
        <v>126</v>
      </c>
      <c r="BS1150" t="s">
        <v>126</v>
      </c>
      <c r="BT1150" t="s">
        <v>126</v>
      </c>
      <c r="BU1150" t="s">
        <v>126</v>
      </c>
      <c r="BV1150" t="s">
        <v>126</v>
      </c>
      <c r="CN1150" t="s">
        <v>147</v>
      </c>
      <c r="CP1150" t="s">
        <v>304</v>
      </c>
      <c r="CQ1150" t="s">
        <v>147</v>
      </c>
    </row>
    <row r="1151" spans="1:95" x14ac:dyDescent="0.2">
      <c r="A1151" t="s">
        <v>115</v>
      </c>
      <c r="B1151" t="s">
        <v>116</v>
      </c>
      <c r="C1151">
        <v>210784</v>
      </c>
      <c r="E1151" t="s">
        <v>117</v>
      </c>
      <c r="F1151">
        <v>368</v>
      </c>
      <c r="G1151" t="s">
        <v>141</v>
      </c>
      <c r="H1151" t="s">
        <v>142</v>
      </c>
      <c r="I1151" t="s">
        <v>279</v>
      </c>
      <c r="J1151" t="s">
        <v>280</v>
      </c>
      <c r="L1151" t="s">
        <v>797</v>
      </c>
      <c r="M1151" s="8">
        <v>46054</v>
      </c>
      <c r="N1151">
        <v>5884229</v>
      </c>
      <c r="O1151" t="s">
        <v>123</v>
      </c>
      <c r="P1151" t="s">
        <v>146</v>
      </c>
      <c r="Q1151">
        <v>3.8699000000000003</v>
      </c>
      <c r="R1151" t="s">
        <v>559</v>
      </c>
      <c r="S1151" t="s">
        <v>126</v>
      </c>
      <c r="T1151" t="s">
        <v>559</v>
      </c>
      <c r="U1151" t="s">
        <v>560</v>
      </c>
      <c r="W1151">
        <v>1.1927000000000001</v>
      </c>
      <c r="X1151">
        <v>2.6772</v>
      </c>
      <c r="Y1151">
        <v>3.8699000000000003</v>
      </c>
      <c r="Z1151">
        <v>1.4721</v>
      </c>
      <c r="AG1151">
        <v>1.1927000000000001</v>
      </c>
      <c r="AI1151">
        <v>1.2051000000000001</v>
      </c>
      <c r="BH1151" t="s">
        <v>126</v>
      </c>
      <c r="BI1151" t="s">
        <v>126</v>
      </c>
      <c r="BJ1151" t="s">
        <v>126</v>
      </c>
      <c r="BK1151" t="s">
        <v>126</v>
      </c>
      <c r="BS1151" t="s">
        <v>126</v>
      </c>
      <c r="BT1151" t="s">
        <v>126</v>
      </c>
      <c r="BU1151" t="s">
        <v>126</v>
      </c>
      <c r="BV1151" t="s">
        <v>126</v>
      </c>
      <c r="CN1151" t="s">
        <v>147</v>
      </c>
      <c r="CP1151" t="s">
        <v>304</v>
      </c>
      <c r="CQ1151" t="s">
        <v>147</v>
      </c>
    </row>
    <row r="1152" spans="1:95" x14ac:dyDescent="0.2">
      <c r="A1152" t="s">
        <v>115</v>
      </c>
      <c r="B1152" t="s">
        <v>116</v>
      </c>
      <c r="C1152">
        <v>210784</v>
      </c>
      <c r="E1152" t="s">
        <v>117</v>
      </c>
      <c r="F1152">
        <v>368</v>
      </c>
      <c r="G1152" t="s">
        <v>141</v>
      </c>
      <c r="H1152" t="s">
        <v>142</v>
      </c>
      <c r="I1152" t="s">
        <v>279</v>
      </c>
      <c r="J1152" t="s">
        <v>280</v>
      </c>
      <c r="L1152" t="s">
        <v>798</v>
      </c>
      <c r="M1152" s="8">
        <v>46054</v>
      </c>
      <c r="N1152">
        <v>5884870</v>
      </c>
      <c r="O1152" t="s">
        <v>123</v>
      </c>
      <c r="P1152" t="s">
        <v>146</v>
      </c>
      <c r="Q1152">
        <v>2.02</v>
      </c>
      <c r="R1152" t="s">
        <v>559</v>
      </c>
      <c r="S1152" t="s">
        <v>126</v>
      </c>
      <c r="T1152" t="s">
        <v>559</v>
      </c>
      <c r="U1152" t="s">
        <v>560</v>
      </c>
      <c r="W1152">
        <v>0.62260000000000004</v>
      </c>
      <c r="X1152">
        <v>1.3974</v>
      </c>
      <c r="Y1152">
        <v>2.02</v>
      </c>
      <c r="Z1152">
        <v>0.76839999999999997</v>
      </c>
      <c r="AG1152">
        <v>0.62260000000000004</v>
      </c>
      <c r="AI1152">
        <v>0.629</v>
      </c>
      <c r="BH1152" t="s">
        <v>126</v>
      </c>
      <c r="BI1152" t="s">
        <v>126</v>
      </c>
      <c r="BJ1152" t="s">
        <v>126</v>
      </c>
      <c r="BK1152" t="s">
        <v>126</v>
      </c>
      <c r="BS1152" t="s">
        <v>126</v>
      </c>
      <c r="BT1152" t="s">
        <v>126</v>
      </c>
      <c r="BU1152" t="s">
        <v>126</v>
      </c>
      <c r="BV1152" t="s">
        <v>126</v>
      </c>
      <c r="CN1152" t="s">
        <v>147</v>
      </c>
      <c r="CP1152" t="s">
        <v>304</v>
      </c>
      <c r="CQ1152" t="s">
        <v>147</v>
      </c>
    </row>
    <row r="1153" spans="1:95" x14ac:dyDescent="0.2">
      <c r="A1153" t="s">
        <v>115</v>
      </c>
      <c r="B1153" t="s">
        <v>116</v>
      </c>
      <c r="C1153">
        <v>210784</v>
      </c>
      <c r="E1153" t="s">
        <v>117</v>
      </c>
      <c r="F1153">
        <v>368</v>
      </c>
      <c r="G1153" t="s">
        <v>141</v>
      </c>
      <c r="H1153" t="s">
        <v>142</v>
      </c>
      <c r="I1153" t="s">
        <v>279</v>
      </c>
      <c r="J1153" t="s">
        <v>280</v>
      </c>
      <c r="L1153" t="s">
        <v>798</v>
      </c>
      <c r="M1153" s="8">
        <v>46054</v>
      </c>
      <c r="N1153">
        <v>5886185</v>
      </c>
      <c r="O1153" t="s">
        <v>123</v>
      </c>
      <c r="P1153" t="s">
        <v>146</v>
      </c>
      <c r="Q1153">
        <v>1.26</v>
      </c>
      <c r="R1153" t="s">
        <v>559</v>
      </c>
      <c r="S1153" t="s">
        <v>126</v>
      </c>
      <c r="T1153" t="s">
        <v>559</v>
      </c>
      <c r="U1153" t="s">
        <v>560</v>
      </c>
      <c r="W1153">
        <v>0.38829999999999998</v>
      </c>
      <c r="X1153">
        <v>0.87170000000000003</v>
      </c>
      <c r="Y1153">
        <v>1.26</v>
      </c>
      <c r="Z1153">
        <v>0.4793</v>
      </c>
      <c r="AG1153">
        <v>0.38829999999999998</v>
      </c>
      <c r="AI1153">
        <v>0.39240000000000003</v>
      </c>
      <c r="BH1153" t="s">
        <v>126</v>
      </c>
      <c r="BI1153" t="s">
        <v>126</v>
      </c>
      <c r="BJ1153" t="s">
        <v>126</v>
      </c>
      <c r="BK1153" t="s">
        <v>126</v>
      </c>
      <c r="BS1153" t="s">
        <v>126</v>
      </c>
      <c r="BT1153" t="s">
        <v>126</v>
      </c>
      <c r="BU1153" t="s">
        <v>126</v>
      </c>
      <c r="BV1153" t="s">
        <v>126</v>
      </c>
      <c r="CN1153" t="s">
        <v>147</v>
      </c>
      <c r="CP1153" t="s">
        <v>304</v>
      </c>
      <c r="CQ1153" t="s">
        <v>147</v>
      </c>
    </row>
    <row r="1154" spans="1:95" x14ac:dyDescent="0.2">
      <c r="A1154" t="s">
        <v>115</v>
      </c>
      <c r="B1154" t="s">
        <v>116</v>
      </c>
      <c r="C1154">
        <v>210784</v>
      </c>
      <c r="E1154" t="s">
        <v>117</v>
      </c>
      <c r="F1154">
        <v>368</v>
      </c>
      <c r="G1154" t="s">
        <v>141</v>
      </c>
      <c r="H1154" t="s">
        <v>142</v>
      </c>
      <c r="I1154" t="s">
        <v>279</v>
      </c>
      <c r="J1154" t="s">
        <v>280</v>
      </c>
      <c r="L1154" t="s">
        <v>799</v>
      </c>
      <c r="M1154" s="8">
        <v>46054</v>
      </c>
      <c r="N1154">
        <v>5886873</v>
      </c>
      <c r="O1154" t="s">
        <v>123</v>
      </c>
      <c r="P1154" t="s">
        <v>146</v>
      </c>
      <c r="Q1154">
        <v>5.07</v>
      </c>
      <c r="R1154" t="s">
        <v>559</v>
      </c>
      <c r="S1154" t="s">
        <v>126</v>
      </c>
      <c r="T1154" t="s">
        <v>559</v>
      </c>
      <c r="U1154" t="s">
        <v>560</v>
      </c>
      <c r="W1154">
        <v>1.5626</v>
      </c>
      <c r="X1154">
        <v>3.5074000000000001</v>
      </c>
      <c r="Y1154">
        <v>5.07</v>
      </c>
      <c r="Z1154">
        <v>1.9286000000000001</v>
      </c>
      <c r="AG1154">
        <v>1.5626</v>
      </c>
      <c r="AI1154">
        <v>1.5788</v>
      </c>
      <c r="BH1154" t="s">
        <v>126</v>
      </c>
      <c r="BI1154" t="s">
        <v>126</v>
      </c>
      <c r="BJ1154" t="s">
        <v>126</v>
      </c>
      <c r="BK1154" t="s">
        <v>126</v>
      </c>
      <c r="BS1154" t="s">
        <v>126</v>
      </c>
      <c r="BT1154" t="s">
        <v>126</v>
      </c>
      <c r="BU1154" t="s">
        <v>126</v>
      </c>
      <c r="BV1154" t="s">
        <v>126</v>
      </c>
      <c r="CN1154" t="s">
        <v>147</v>
      </c>
      <c r="CP1154" t="s">
        <v>304</v>
      </c>
      <c r="CQ1154" t="s">
        <v>147</v>
      </c>
    </row>
    <row r="1155" spans="1:95" x14ac:dyDescent="0.2">
      <c r="A1155" t="s">
        <v>115</v>
      </c>
      <c r="B1155" t="s">
        <v>116</v>
      </c>
      <c r="C1155">
        <v>210784</v>
      </c>
      <c r="E1155" t="s">
        <v>117</v>
      </c>
      <c r="F1155">
        <v>368</v>
      </c>
      <c r="G1155" t="s">
        <v>141</v>
      </c>
      <c r="H1155" t="s">
        <v>142</v>
      </c>
      <c r="I1155" t="s">
        <v>279</v>
      </c>
      <c r="J1155" t="s">
        <v>280</v>
      </c>
      <c r="L1155" t="s">
        <v>799</v>
      </c>
      <c r="M1155" s="8">
        <v>46054</v>
      </c>
      <c r="N1155">
        <v>5886863</v>
      </c>
      <c r="O1155" t="s">
        <v>123</v>
      </c>
      <c r="P1155" t="s">
        <v>146</v>
      </c>
      <c r="Q1155">
        <v>1.8199000000000001</v>
      </c>
      <c r="R1155" t="s">
        <v>559</v>
      </c>
      <c r="S1155" t="s">
        <v>126</v>
      </c>
      <c r="T1155" t="s">
        <v>559</v>
      </c>
      <c r="U1155" t="s">
        <v>560</v>
      </c>
      <c r="W1155">
        <v>0.56089999999999995</v>
      </c>
      <c r="X1155">
        <v>1.2589999999999999</v>
      </c>
      <c r="Y1155">
        <v>1.8199000000000001</v>
      </c>
      <c r="Z1155">
        <v>0.69230000000000003</v>
      </c>
      <c r="AG1155">
        <v>0.56089999999999995</v>
      </c>
      <c r="AI1155">
        <v>0.56669999999999998</v>
      </c>
      <c r="BH1155" t="s">
        <v>126</v>
      </c>
      <c r="BI1155" t="s">
        <v>126</v>
      </c>
      <c r="BJ1155" t="s">
        <v>126</v>
      </c>
      <c r="BK1155" t="s">
        <v>126</v>
      </c>
      <c r="BS1155" t="s">
        <v>126</v>
      </c>
      <c r="BT1155" t="s">
        <v>126</v>
      </c>
      <c r="BU1155" t="s">
        <v>126</v>
      </c>
      <c r="BV1155" t="s">
        <v>126</v>
      </c>
      <c r="CN1155" t="s">
        <v>147</v>
      </c>
      <c r="CP1155" t="s">
        <v>304</v>
      </c>
      <c r="CQ1155" t="s">
        <v>147</v>
      </c>
    </row>
    <row r="1156" spans="1:95" x14ac:dyDescent="0.2">
      <c r="A1156" t="s">
        <v>115</v>
      </c>
      <c r="B1156" t="s">
        <v>116</v>
      </c>
      <c r="C1156">
        <v>210784</v>
      </c>
      <c r="E1156" t="s">
        <v>117</v>
      </c>
      <c r="F1156">
        <v>368</v>
      </c>
      <c r="G1156" t="s">
        <v>141</v>
      </c>
      <c r="H1156" t="s">
        <v>142</v>
      </c>
      <c r="I1156" t="s">
        <v>279</v>
      </c>
      <c r="J1156" t="s">
        <v>280</v>
      </c>
      <c r="L1156" t="s">
        <v>800</v>
      </c>
      <c r="M1156" s="8">
        <v>46054</v>
      </c>
      <c r="N1156">
        <v>5887522</v>
      </c>
      <c r="O1156" t="s">
        <v>123</v>
      </c>
      <c r="P1156" t="s">
        <v>146</v>
      </c>
      <c r="Q1156">
        <v>5.8599999999999994</v>
      </c>
      <c r="R1156" t="s">
        <v>559</v>
      </c>
      <c r="S1156" t="s">
        <v>126</v>
      </c>
      <c r="T1156" t="s">
        <v>559</v>
      </c>
      <c r="U1156" t="s">
        <v>560</v>
      </c>
      <c r="W1156">
        <v>1.8061</v>
      </c>
      <c r="X1156">
        <v>4.0538999999999996</v>
      </c>
      <c r="Y1156">
        <v>5.8599999999999994</v>
      </c>
      <c r="Z1156">
        <v>2.2290999999999999</v>
      </c>
      <c r="AG1156">
        <v>1.8061</v>
      </c>
      <c r="AI1156">
        <v>1.8248</v>
      </c>
      <c r="BH1156" t="s">
        <v>126</v>
      </c>
      <c r="BI1156" t="s">
        <v>126</v>
      </c>
      <c r="BJ1156" t="s">
        <v>126</v>
      </c>
      <c r="BK1156" t="s">
        <v>126</v>
      </c>
      <c r="BS1156" t="s">
        <v>126</v>
      </c>
      <c r="BT1156" t="s">
        <v>126</v>
      </c>
      <c r="BU1156" t="s">
        <v>126</v>
      </c>
      <c r="BV1156" t="s">
        <v>126</v>
      </c>
      <c r="CN1156" t="s">
        <v>147</v>
      </c>
      <c r="CP1156" t="s">
        <v>304</v>
      </c>
      <c r="CQ1156" t="s">
        <v>147</v>
      </c>
    </row>
    <row r="1157" spans="1:95" x14ac:dyDescent="0.2">
      <c r="A1157" t="s">
        <v>115</v>
      </c>
      <c r="B1157" t="s">
        <v>116</v>
      </c>
      <c r="C1157">
        <v>210784</v>
      </c>
      <c r="E1157" t="s">
        <v>117</v>
      </c>
      <c r="F1157">
        <v>368</v>
      </c>
      <c r="G1157" t="s">
        <v>141</v>
      </c>
      <c r="H1157" t="s">
        <v>142</v>
      </c>
      <c r="I1157" t="s">
        <v>279</v>
      </c>
      <c r="J1157" t="s">
        <v>280</v>
      </c>
      <c r="L1157" t="s">
        <v>139</v>
      </c>
      <c r="M1157" s="8">
        <v>46054</v>
      </c>
      <c r="N1157">
        <v>5888217</v>
      </c>
      <c r="O1157" t="s">
        <v>123</v>
      </c>
      <c r="P1157" t="s">
        <v>146</v>
      </c>
      <c r="Q1157">
        <v>1.48</v>
      </c>
      <c r="R1157" t="s">
        <v>559</v>
      </c>
      <c r="S1157" t="s">
        <v>126</v>
      </c>
      <c r="T1157" t="s">
        <v>559</v>
      </c>
      <c r="U1157" t="s">
        <v>560</v>
      </c>
      <c r="W1157">
        <v>0.45610000000000001</v>
      </c>
      <c r="X1157">
        <v>1.0238999999999998</v>
      </c>
      <c r="Y1157">
        <v>1.48</v>
      </c>
      <c r="Z1157">
        <v>0.56299999999999994</v>
      </c>
      <c r="AG1157">
        <v>0.45610000000000001</v>
      </c>
      <c r="AI1157">
        <v>0.46089999999999998</v>
      </c>
      <c r="BH1157" t="s">
        <v>126</v>
      </c>
      <c r="BI1157" t="s">
        <v>126</v>
      </c>
      <c r="BJ1157" t="s">
        <v>126</v>
      </c>
      <c r="BK1157" t="s">
        <v>126</v>
      </c>
      <c r="BS1157" t="s">
        <v>126</v>
      </c>
      <c r="BT1157" t="s">
        <v>126</v>
      </c>
      <c r="BU1157" t="s">
        <v>126</v>
      </c>
      <c r="BV1157" t="s">
        <v>126</v>
      </c>
      <c r="CN1157" t="s">
        <v>147</v>
      </c>
      <c r="CP1157" t="s">
        <v>140</v>
      </c>
      <c r="CQ1157" t="s">
        <v>147</v>
      </c>
    </row>
    <row r="1158" spans="1:95" x14ac:dyDescent="0.2">
      <c r="A1158" t="s">
        <v>115</v>
      </c>
      <c r="B1158" t="s">
        <v>116</v>
      </c>
      <c r="C1158">
        <v>210784</v>
      </c>
      <c r="E1158" t="s">
        <v>117</v>
      </c>
      <c r="F1158">
        <v>368</v>
      </c>
      <c r="G1158" t="s">
        <v>141</v>
      </c>
      <c r="H1158" t="s">
        <v>142</v>
      </c>
      <c r="I1158" t="s">
        <v>279</v>
      </c>
      <c r="J1158" t="s">
        <v>280</v>
      </c>
      <c r="L1158" t="s">
        <v>136</v>
      </c>
      <c r="M1158" s="8">
        <v>46054</v>
      </c>
      <c r="N1158">
        <v>5889875</v>
      </c>
      <c r="O1158" t="s">
        <v>123</v>
      </c>
      <c r="P1158" t="s">
        <v>146</v>
      </c>
      <c r="Q1158">
        <v>3.5700000000000003</v>
      </c>
      <c r="R1158" t="s">
        <v>559</v>
      </c>
      <c r="S1158" t="s">
        <v>126</v>
      </c>
      <c r="T1158" t="s">
        <v>559</v>
      </c>
      <c r="U1158" t="s">
        <v>560</v>
      </c>
      <c r="W1158">
        <v>1.1003000000000001</v>
      </c>
      <c r="X1158">
        <v>2.4697</v>
      </c>
      <c r="Y1158">
        <v>3.5700000000000003</v>
      </c>
      <c r="Z1158">
        <v>1.3580000000000001</v>
      </c>
      <c r="AG1158">
        <v>1.1003000000000001</v>
      </c>
      <c r="AI1158">
        <v>1.1116999999999999</v>
      </c>
      <c r="BH1158" t="s">
        <v>126</v>
      </c>
      <c r="BI1158" t="s">
        <v>126</v>
      </c>
      <c r="BJ1158" t="s">
        <v>126</v>
      </c>
      <c r="BK1158" t="s">
        <v>126</v>
      </c>
      <c r="BS1158" t="s">
        <v>126</v>
      </c>
      <c r="BT1158" t="s">
        <v>126</v>
      </c>
      <c r="BU1158" t="s">
        <v>126</v>
      </c>
      <c r="BV1158" t="s">
        <v>126</v>
      </c>
      <c r="CN1158" t="s">
        <v>147</v>
      </c>
      <c r="CP1158" t="s">
        <v>140</v>
      </c>
      <c r="CQ1158" t="s">
        <v>147</v>
      </c>
    </row>
    <row r="1159" spans="1:95" x14ac:dyDescent="0.2">
      <c r="A1159" t="s">
        <v>115</v>
      </c>
      <c r="B1159" t="s">
        <v>116</v>
      </c>
      <c r="C1159">
        <v>210784</v>
      </c>
      <c r="E1159" t="s">
        <v>117</v>
      </c>
      <c r="F1159">
        <v>368</v>
      </c>
      <c r="G1159" t="s">
        <v>141</v>
      </c>
      <c r="H1159" t="s">
        <v>142</v>
      </c>
      <c r="I1159" t="s">
        <v>279</v>
      </c>
      <c r="J1159" t="s">
        <v>280</v>
      </c>
      <c r="L1159" t="s">
        <v>790</v>
      </c>
      <c r="M1159" s="8">
        <v>46054</v>
      </c>
      <c r="N1159">
        <v>5876433</v>
      </c>
      <c r="O1159" t="s">
        <v>123</v>
      </c>
      <c r="P1159" t="s">
        <v>146</v>
      </c>
      <c r="Q1159">
        <v>4.75</v>
      </c>
      <c r="R1159" t="s">
        <v>125</v>
      </c>
      <c r="S1159" t="s">
        <v>126</v>
      </c>
      <c r="T1159" t="s">
        <v>125</v>
      </c>
      <c r="U1159" t="s">
        <v>126</v>
      </c>
      <c r="W1159">
        <v>4.75</v>
      </c>
      <c r="Y1159">
        <v>4.75</v>
      </c>
      <c r="BE1159">
        <v>4.75</v>
      </c>
      <c r="BH1159" t="s">
        <v>126</v>
      </c>
      <c r="BI1159" t="s">
        <v>126</v>
      </c>
      <c r="BJ1159" t="s">
        <v>126</v>
      </c>
      <c r="BK1159" t="s">
        <v>126</v>
      </c>
      <c r="BS1159" t="s">
        <v>126</v>
      </c>
      <c r="BT1159" t="s">
        <v>126</v>
      </c>
      <c r="BU1159" t="s">
        <v>126</v>
      </c>
      <c r="BV1159" t="s">
        <v>126</v>
      </c>
      <c r="CN1159" t="s">
        <v>147</v>
      </c>
      <c r="CP1159" t="s">
        <v>304</v>
      </c>
      <c r="CQ1159" t="s">
        <v>147</v>
      </c>
    </row>
    <row r="1160" spans="1:95" x14ac:dyDescent="0.2">
      <c r="A1160" t="s">
        <v>115</v>
      </c>
      <c r="B1160" t="s">
        <v>116</v>
      </c>
      <c r="C1160">
        <v>210784</v>
      </c>
      <c r="E1160" t="s">
        <v>117</v>
      </c>
      <c r="F1160">
        <v>368</v>
      </c>
      <c r="G1160" t="s">
        <v>141</v>
      </c>
      <c r="H1160" t="s">
        <v>142</v>
      </c>
      <c r="I1160" t="s">
        <v>279</v>
      </c>
      <c r="J1160" t="s">
        <v>280</v>
      </c>
      <c r="L1160" t="s">
        <v>792</v>
      </c>
      <c r="M1160" s="8">
        <v>46054</v>
      </c>
      <c r="N1160">
        <v>5878095</v>
      </c>
      <c r="O1160" t="s">
        <v>123</v>
      </c>
      <c r="P1160" t="s">
        <v>146</v>
      </c>
      <c r="Q1160">
        <v>1.91</v>
      </c>
      <c r="R1160" t="s">
        <v>125</v>
      </c>
      <c r="S1160" t="s">
        <v>126</v>
      </c>
      <c r="T1160" t="s">
        <v>125</v>
      </c>
      <c r="U1160" t="s">
        <v>126</v>
      </c>
      <c r="W1160">
        <v>1.91</v>
      </c>
      <c r="Y1160">
        <v>1.91</v>
      </c>
      <c r="BE1160">
        <v>1.91</v>
      </c>
      <c r="BH1160" t="s">
        <v>126</v>
      </c>
      <c r="BI1160" t="s">
        <v>126</v>
      </c>
      <c r="BJ1160" t="s">
        <v>126</v>
      </c>
      <c r="BK1160" t="s">
        <v>126</v>
      </c>
      <c r="BS1160" t="s">
        <v>126</v>
      </c>
      <c r="BT1160" t="s">
        <v>126</v>
      </c>
      <c r="BU1160" t="s">
        <v>126</v>
      </c>
      <c r="BV1160" t="s">
        <v>126</v>
      </c>
      <c r="CN1160" t="s">
        <v>147</v>
      </c>
      <c r="CP1160" t="s">
        <v>304</v>
      </c>
      <c r="CQ1160" t="s">
        <v>147</v>
      </c>
    </row>
    <row r="1161" spans="1:95" x14ac:dyDescent="0.2">
      <c r="A1161" t="s">
        <v>115</v>
      </c>
      <c r="B1161" t="s">
        <v>116</v>
      </c>
      <c r="C1161">
        <v>210784</v>
      </c>
      <c r="E1161" t="s">
        <v>117</v>
      </c>
      <c r="F1161">
        <v>368</v>
      </c>
      <c r="G1161" t="s">
        <v>141</v>
      </c>
      <c r="H1161" t="s">
        <v>142</v>
      </c>
      <c r="I1161" t="s">
        <v>279</v>
      </c>
      <c r="J1161" t="s">
        <v>280</v>
      </c>
      <c r="L1161" t="s">
        <v>793</v>
      </c>
      <c r="M1161" s="8">
        <v>46054</v>
      </c>
      <c r="N1161">
        <v>5879106</v>
      </c>
      <c r="O1161" t="s">
        <v>123</v>
      </c>
      <c r="P1161" t="s">
        <v>146</v>
      </c>
      <c r="Q1161">
        <v>3.62</v>
      </c>
      <c r="R1161" t="s">
        <v>125</v>
      </c>
      <c r="S1161" t="s">
        <v>126</v>
      </c>
      <c r="T1161" t="s">
        <v>125</v>
      </c>
      <c r="U1161" t="s">
        <v>126</v>
      </c>
      <c r="W1161">
        <v>3.62</v>
      </c>
      <c r="Y1161">
        <v>3.62</v>
      </c>
      <c r="BE1161">
        <v>3.62</v>
      </c>
      <c r="BH1161" t="s">
        <v>126</v>
      </c>
      <c r="BI1161" t="s">
        <v>126</v>
      </c>
      <c r="BJ1161" t="s">
        <v>126</v>
      </c>
      <c r="BK1161" t="s">
        <v>126</v>
      </c>
      <c r="BS1161" t="s">
        <v>126</v>
      </c>
      <c r="BT1161" t="s">
        <v>126</v>
      </c>
      <c r="BU1161" t="s">
        <v>126</v>
      </c>
      <c r="BV1161" t="s">
        <v>126</v>
      </c>
      <c r="CN1161" t="s">
        <v>147</v>
      </c>
      <c r="CP1161" t="s">
        <v>304</v>
      </c>
      <c r="CQ1161" t="s">
        <v>147</v>
      </c>
    </row>
    <row r="1162" spans="1:95" x14ac:dyDescent="0.2">
      <c r="A1162" t="s">
        <v>115</v>
      </c>
      <c r="B1162" t="s">
        <v>116</v>
      </c>
      <c r="C1162">
        <v>210784</v>
      </c>
      <c r="E1162" t="s">
        <v>117</v>
      </c>
      <c r="F1162">
        <v>368</v>
      </c>
      <c r="G1162" t="s">
        <v>141</v>
      </c>
      <c r="H1162" t="s">
        <v>142</v>
      </c>
      <c r="I1162" t="s">
        <v>279</v>
      </c>
      <c r="J1162" t="s">
        <v>280</v>
      </c>
      <c r="L1162" t="s">
        <v>911</v>
      </c>
      <c r="M1162" s="8">
        <v>46054</v>
      </c>
      <c r="N1162">
        <v>5879964</v>
      </c>
      <c r="O1162" t="s">
        <v>123</v>
      </c>
      <c r="P1162" t="s">
        <v>146</v>
      </c>
      <c r="Q1162">
        <v>1.45</v>
      </c>
      <c r="R1162" t="s">
        <v>125</v>
      </c>
      <c r="S1162" t="s">
        <v>126</v>
      </c>
      <c r="T1162" t="s">
        <v>125</v>
      </c>
      <c r="U1162" t="s">
        <v>126</v>
      </c>
      <c r="W1162">
        <v>1.45</v>
      </c>
      <c r="Y1162">
        <v>1.45</v>
      </c>
      <c r="BE1162">
        <v>1.45</v>
      </c>
      <c r="BH1162" t="s">
        <v>126</v>
      </c>
      <c r="BI1162" t="s">
        <v>126</v>
      </c>
      <c r="BJ1162" t="s">
        <v>126</v>
      </c>
      <c r="BK1162" t="s">
        <v>126</v>
      </c>
      <c r="BS1162" t="s">
        <v>126</v>
      </c>
      <c r="BT1162" t="s">
        <v>126</v>
      </c>
      <c r="BU1162" t="s">
        <v>126</v>
      </c>
      <c r="BV1162" t="s">
        <v>126</v>
      </c>
      <c r="CN1162" t="s">
        <v>147</v>
      </c>
      <c r="CP1162" t="s">
        <v>304</v>
      </c>
      <c r="CQ1162" t="s">
        <v>147</v>
      </c>
    </row>
    <row r="1163" spans="1:95" x14ac:dyDescent="0.2">
      <c r="A1163" t="s">
        <v>115</v>
      </c>
      <c r="B1163" t="s">
        <v>116</v>
      </c>
      <c r="C1163">
        <v>210784</v>
      </c>
      <c r="E1163" t="s">
        <v>117</v>
      </c>
      <c r="F1163">
        <v>368</v>
      </c>
      <c r="G1163" t="s">
        <v>141</v>
      </c>
      <c r="H1163" t="s">
        <v>142</v>
      </c>
      <c r="I1163" t="s">
        <v>279</v>
      </c>
      <c r="J1163" t="s">
        <v>280</v>
      </c>
      <c r="L1163" t="s">
        <v>912</v>
      </c>
      <c r="M1163" s="8">
        <v>46054</v>
      </c>
      <c r="N1163">
        <v>5889050</v>
      </c>
      <c r="O1163" t="s">
        <v>123</v>
      </c>
      <c r="P1163" t="s">
        <v>146</v>
      </c>
      <c r="Q1163">
        <v>4.7300000000000004</v>
      </c>
      <c r="R1163" t="s">
        <v>125</v>
      </c>
      <c r="S1163" t="s">
        <v>126</v>
      </c>
      <c r="T1163" t="s">
        <v>125</v>
      </c>
      <c r="U1163" t="s">
        <v>126</v>
      </c>
      <c r="W1163">
        <v>4.7300000000000004</v>
      </c>
      <c r="Y1163">
        <v>4.7300000000000004</v>
      </c>
      <c r="BE1163">
        <v>4.7300000000000004</v>
      </c>
      <c r="BH1163" t="s">
        <v>126</v>
      </c>
      <c r="BI1163" t="s">
        <v>126</v>
      </c>
      <c r="BJ1163" t="s">
        <v>126</v>
      </c>
      <c r="BK1163" t="s">
        <v>126</v>
      </c>
      <c r="BS1163" t="s">
        <v>126</v>
      </c>
      <c r="BT1163" t="s">
        <v>126</v>
      </c>
      <c r="BU1163" t="s">
        <v>126</v>
      </c>
      <c r="BV1163" t="s">
        <v>126</v>
      </c>
      <c r="CN1163" t="s">
        <v>147</v>
      </c>
      <c r="CP1163" t="s">
        <v>140</v>
      </c>
      <c r="CQ1163" t="s">
        <v>147</v>
      </c>
    </row>
    <row r="1164" spans="1:95" x14ac:dyDescent="0.2">
      <c r="A1164" t="s">
        <v>115</v>
      </c>
      <c r="B1164" t="s">
        <v>116</v>
      </c>
      <c r="C1164">
        <v>210784</v>
      </c>
      <c r="E1164" t="s">
        <v>117</v>
      </c>
      <c r="F1164">
        <v>368</v>
      </c>
      <c r="G1164" t="s">
        <v>141</v>
      </c>
      <c r="H1164" t="s">
        <v>142</v>
      </c>
      <c r="I1164" t="s">
        <v>305</v>
      </c>
      <c r="J1164" t="s">
        <v>306</v>
      </c>
      <c r="L1164" t="s">
        <v>307</v>
      </c>
      <c r="M1164" s="8">
        <v>46082</v>
      </c>
      <c r="N1164">
        <v>10957608</v>
      </c>
      <c r="O1164" t="s">
        <v>123</v>
      </c>
      <c r="P1164" t="s">
        <v>146</v>
      </c>
      <c r="Q1164">
        <v>4.95</v>
      </c>
      <c r="R1164" t="s">
        <v>125</v>
      </c>
      <c r="S1164" t="s">
        <v>126</v>
      </c>
      <c r="T1164" t="s">
        <v>125</v>
      </c>
      <c r="U1164" t="s">
        <v>126</v>
      </c>
      <c r="W1164">
        <v>4.95</v>
      </c>
      <c r="Y1164">
        <v>4.95</v>
      </c>
      <c r="AC1164">
        <v>4.95</v>
      </c>
      <c r="BH1164" t="s">
        <v>126</v>
      </c>
      <c r="BI1164" t="s">
        <v>126</v>
      </c>
      <c r="BJ1164" t="s">
        <v>126</v>
      </c>
      <c r="BK1164" t="s">
        <v>126</v>
      </c>
      <c r="BS1164" t="s">
        <v>126</v>
      </c>
      <c r="BT1164" t="s">
        <v>126</v>
      </c>
      <c r="BU1164" t="s">
        <v>126</v>
      </c>
      <c r="BV1164" t="s">
        <v>126</v>
      </c>
      <c r="CN1164" t="s">
        <v>147</v>
      </c>
      <c r="CP1164" t="s">
        <v>140</v>
      </c>
      <c r="CQ1164" t="s">
        <v>147</v>
      </c>
    </row>
    <row r="1165" spans="1:95" x14ac:dyDescent="0.2">
      <c r="A1165" t="s">
        <v>115</v>
      </c>
      <c r="B1165" t="s">
        <v>116</v>
      </c>
      <c r="C1165">
        <v>210784</v>
      </c>
      <c r="E1165" t="s">
        <v>117</v>
      </c>
      <c r="F1165">
        <v>368</v>
      </c>
      <c r="G1165" t="s">
        <v>141</v>
      </c>
      <c r="H1165" t="s">
        <v>142</v>
      </c>
      <c r="I1165" t="s">
        <v>284</v>
      </c>
      <c r="J1165" t="s">
        <v>285</v>
      </c>
      <c r="L1165" t="s">
        <v>308</v>
      </c>
      <c r="M1165" s="8">
        <v>46082</v>
      </c>
      <c r="N1165">
        <v>132520</v>
      </c>
      <c r="O1165" t="s">
        <v>123</v>
      </c>
      <c r="P1165" t="s">
        <v>146</v>
      </c>
      <c r="Q1165">
        <v>6.97</v>
      </c>
      <c r="R1165" t="s">
        <v>125</v>
      </c>
      <c r="S1165" t="s">
        <v>126</v>
      </c>
      <c r="T1165" t="s">
        <v>125</v>
      </c>
      <c r="U1165" t="s">
        <v>126</v>
      </c>
      <c r="W1165">
        <v>6.97</v>
      </c>
      <c r="Y1165">
        <v>6.97</v>
      </c>
      <c r="AC1165">
        <v>6.97</v>
      </c>
      <c r="BH1165" t="s">
        <v>126</v>
      </c>
      <c r="BI1165" t="s">
        <v>126</v>
      </c>
      <c r="BJ1165" t="s">
        <v>126</v>
      </c>
      <c r="BK1165" t="s">
        <v>126</v>
      </c>
      <c r="BS1165" t="s">
        <v>126</v>
      </c>
      <c r="BT1165" t="s">
        <v>126</v>
      </c>
      <c r="BU1165" t="s">
        <v>126</v>
      </c>
      <c r="BV1165" t="s">
        <v>126</v>
      </c>
      <c r="CN1165" t="s">
        <v>147</v>
      </c>
      <c r="CP1165" t="s">
        <v>140</v>
      </c>
      <c r="CQ1165" t="s">
        <v>147</v>
      </c>
    </row>
    <row r="1166" spans="1:95" x14ac:dyDescent="0.2">
      <c r="A1166" t="s">
        <v>115</v>
      </c>
      <c r="B1166" t="s">
        <v>116</v>
      </c>
      <c r="C1166">
        <v>210784</v>
      </c>
      <c r="E1166" t="s">
        <v>117</v>
      </c>
      <c r="F1166">
        <v>368</v>
      </c>
      <c r="G1166" t="s">
        <v>141</v>
      </c>
      <c r="H1166" t="s">
        <v>142</v>
      </c>
      <c r="I1166" t="s">
        <v>301</v>
      </c>
      <c r="J1166" t="s">
        <v>302</v>
      </c>
      <c r="L1166" t="s">
        <v>309</v>
      </c>
      <c r="M1166" s="8">
        <v>46082</v>
      </c>
      <c r="N1166">
        <v>124621</v>
      </c>
      <c r="O1166" t="s">
        <v>123</v>
      </c>
      <c r="P1166" t="s">
        <v>146</v>
      </c>
      <c r="Q1166">
        <v>8</v>
      </c>
      <c r="R1166" t="s">
        <v>125</v>
      </c>
      <c r="S1166" t="s">
        <v>126</v>
      </c>
      <c r="T1166" t="s">
        <v>125</v>
      </c>
      <c r="U1166" t="s">
        <v>126</v>
      </c>
      <c r="W1166">
        <v>8</v>
      </c>
      <c r="Y1166">
        <v>8</v>
      </c>
      <c r="AC1166">
        <v>8</v>
      </c>
      <c r="BH1166" t="s">
        <v>126</v>
      </c>
      <c r="BI1166" t="s">
        <v>126</v>
      </c>
      <c r="BJ1166" t="s">
        <v>126</v>
      </c>
      <c r="BK1166" t="s">
        <v>126</v>
      </c>
      <c r="BS1166" t="s">
        <v>126</v>
      </c>
      <c r="BT1166" t="s">
        <v>126</v>
      </c>
      <c r="BU1166" t="s">
        <v>126</v>
      </c>
      <c r="BV1166" t="s">
        <v>126</v>
      </c>
      <c r="CN1166" t="s">
        <v>147</v>
      </c>
      <c r="CP1166" t="s">
        <v>310</v>
      </c>
      <c r="CQ1166" t="s">
        <v>147</v>
      </c>
    </row>
    <row r="1167" spans="1:95" x14ac:dyDescent="0.2">
      <c r="A1167" t="s">
        <v>115</v>
      </c>
      <c r="B1167" t="s">
        <v>116</v>
      </c>
      <c r="C1167">
        <v>210784</v>
      </c>
      <c r="E1167" t="s">
        <v>117</v>
      </c>
      <c r="F1167">
        <v>368</v>
      </c>
      <c r="G1167" t="s">
        <v>141</v>
      </c>
      <c r="H1167" t="s">
        <v>142</v>
      </c>
      <c r="I1167" t="s">
        <v>279</v>
      </c>
      <c r="J1167" t="s">
        <v>280</v>
      </c>
      <c r="L1167" t="s">
        <v>304</v>
      </c>
      <c r="M1167" s="8">
        <v>46082</v>
      </c>
      <c r="N1167">
        <v>5893441</v>
      </c>
      <c r="O1167" t="s">
        <v>123</v>
      </c>
      <c r="P1167" t="s">
        <v>146</v>
      </c>
      <c r="Q1167">
        <v>3.7</v>
      </c>
      <c r="R1167" t="s">
        <v>559</v>
      </c>
      <c r="S1167" t="s">
        <v>126</v>
      </c>
      <c r="T1167" t="s">
        <v>559</v>
      </c>
      <c r="U1167" t="s">
        <v>560</v>
      </c>
      <c r="W1167">
        <v>1.1403000000000001</v>
      </c>
      <c r="X1167">
        <v>2.5596999999999999</v>
      </c>
      <c r="Y1167">
        <v>3.7</v>
      </c>
      <c r="Z1167">
        <v>1.4075</v>
      </c>
      <c r="AG1167">
        <v>1.1403000000000001</v>
      </c>
      <c r="AI1167">
        <v>1.1521999999999999</v>
      </c>
      <c r="BH1167" t="s">
        <v>126</v>
      </c>
      <c r="BI1167" t="s">
        <v>126</v>
      </c>
      <c r="BJ1167" t="s">
        <v>126</v>
      </c>
      <c r="BK1167" t="s">
        <v>126</v>
      </c>
      <c r="BS1167" t="s">
        <v>126</v>
      </c>
      <c r="BT1167" t="s">
        <v>126</v>
      </c>
      <c r="BU1167" t="s">
        <v>126</v>
      </c>
      <c r="BV1167" t="s">
        <v>126</v>
      </c>
      <c r="CN1167" t="s">
        <v>147</v>
      </c>
      <c r="CP1167" t="s">
        <v>140</v>
      </c>
      <c r="CQ1167" t="s">
        <v>147</v>
      </c>
    </row>
    <row r="1168" spans="1:95" x14ac:dyDescent="0.2">
      <c r="A1168" t="s">
        <v>115</v>
      </c>
      <c r="B1168" t="s">
        <v>116</v>
      </c>
      <c r="C1168">
        <v>210784</v>
      </c>
      <c r="E1168" t="s">
        <v>117</v>
      </c>
      <c r="F1168">
        <v>368</v>
      </c>
      <c r="G1168" t="s">
        <v>141</v>
      </c>
      <c r="H1168" t="s">
        <v>142</v>
      </c>
      <c r="I1168" t="s">
        <v>279</v>
      </c>
      <c r="J1168" t="s">
        <v>280</v>
      </c>
      <c r="L1168" t="s">
        <v>304</v>
      </c>
      <c r="M1168" s="8">
        <v>46082</v>
      </c>
      <c r="N1168">
        <v>5892500</v>
      </c>
      <c r="O1168" t="s">
        <v>123</v>
      </c>
      <c r="P1168" t="s">
        <v>146</v>
      </c>
      <c r="Q1168">
        <v>2.0299</v>
      </c>
      <c r="R1168" t="s">
        <v>559</v>
      </c>
      <c r="S1168" t="s">
        <v>126</v>
      </c>
      <c r="T1168" t="s">
        <v>559</v>
      </c>
      <c r="U1168" t="s">
        <v>560</v>
      </c>
      <c r="W1168">
        <v>0.62560000000000004</v>
      </c>
      <c r="X1168">
        <v>1.4043000000000001</v>
      </c>
      <c r="Y1168">
        <v>2.0299</v>
      </c>
      <c r="Z1168">
        <v>0.7722</v>
      </c>
      <c r="AG1168">
        <v>0.62560000000000004</v>
      </c>
      <c r="AI1168">
        <v>0.6321</v>
      </c>
      <c r="BH1168" t="s">
        <v>126</v>
      </c>
      <c r="BI1168" t="s">
        <v>126</v>
      </c>
      <c r="BJ1168" t="s">
        <v>126</v>
      </c>
      <c r="BK1168" t="s">
        <v>126</v>
      </c>
      <c r="BS1168" t="s">
        <v>126</v>
      </c>
      <c r="BT1168" t="s">
        <v>126</v>
      </c>
      <c r="BU1168" t="s">
        <v>126</v>
      </c>
      <c r="BV1168" t="s">
        <v>126</v>
      </c>
      <c r="CN1168" t="s">
        <v>147</v>
      </c>
      <c r="CP1168" t="s">
        <v>140</v>
      </c>
      <c r="CQ1168" t="s">
        <v>147</v>
      </c>
    </row>
    <row r="1169" spans="1:95" x14ac:dyDescent="0.2">
      <c r="A1169" t="s">
        <v>115</v>
      </c>
      <c r="B1169" t="s">
        <v>116</v>
      </c>
      <c r="C1169">
        <v>210784</v>
      </c>
      <c r="E1169" t="s">
        <v>117</v>
      </c>
      <c r="F1169">
        <v>368</v>
      </c>
      <c r="G1169" t="s">
        <v>141</v>
      </c>
      <c r="H1169" t="s">
        <v>142</v>
      </c>
      <c r="I1169" t="s">
        <v>279</v>
      </c>
      <c r="J1169" t="s">
        <v>280</v>
      </c>
      <c r="L1169" t="s">
        <v>801</v>
      </c>
      <c r="M1169" s="8">
        <v>46082</v>
      </c>
      <c r="N1169">
        <v>5895203</v>
      </c>
      <c r="O1169" t="s">
        <v>123</v>
      </c>
      <c r="P1169" t="s">
        <v>146</v>
      </c>
      <c r="Q1169">
        <v>2.73</v>
      </c>
      <c r="R1169" t="s">
        <v>559</v>
      </c>
      <c r="S1169" t="s">
        <v>126</v>
      </c>
      <c r="T1169" t="s">
        <v>559</v>
      </c>
      <c r="U1169" t="s">
        <v>560</v>
      </c>
      <c r="W1169">
        <v>0.84140000000000004</v>
      </c>
      <c r="X1169">
        <v>1.8885999999999998</v>
      </c>
      <c r="Y1169">
        <v>2.73</v>
      </c>
      <c r="Z1169">
        <v>1.0385</v>
      </c>
      <c r="AG1169">
        <v>0.84140000000000004</v>
      </c>
      <c r="AI1169">
        <v>0.85009999999999997</v>
      </c>
      <c r="BH1169" t="s">
        <v>126</v>
      </c>
      <c r="BI1169" t="s">
        <v>126</v>
      </c>
      <c r="BJ1169" t="s">
        <v>126</v>
      </c>
      <c r="BK1169" t="s">
        <v>126</v>
      </c>
      <c r="BS1169" t="s">
        <v>126</v>
      </c>
      <c r="BT1169" t="s">
        <v>126</v>
      </c>
      <c r="BU1169" t="s">
        <v>126</v>
      </c>
      <c r="BV1169" t="s">
        <v>126</v>
      </c>
      <c r="CN1169" t="s">
        <v>147</v>
      </c>
      <c r="CP1169" t="s">
        <v>140</v>
      </c>
      <c r="CQ1169" t="s">
        <v>147</v>
      </c>
    </row>
    <row r="1170" spans="1:95" x14ac:dyDescent="0.2">
      <c r="A1170" t="s">
        <v>115</v>
      </c>
      <c r="B1170" t="s">
        <v>116</v>
      </c>
      <c r="C1170">
        <v>210784</v>
      </c>
      <c r="E1170" t="s">
        <v>117</v>
      </c>
      <c r="F1170">
        <v>368</v>
      </c>
      <c r="G1170" t="s">
        <v>141</v>
      </c>
      <c r="H1170" t="s">
        <v>142</v>
      </c>
      <c r="I1170" t="s">
        <v>279</v>
      </c>
      <c r="J1170" t="s">
        <v>280</v>
      </c>
      <c r="L1170" t="s">
        <v>308</v>
      </c>
      <c r="M1170" s="8">
        <v>46082</v>
      </c>
      <c r="N1170">
        <v>5896744</v>
      </c>
      <c r="O1170" t="s">
        <v>123</v>
      </c>
      <c r="P1170" t="s">
        <v>146</v>
      </c>
      <c r="Q1170">
        <v>2.6800999999999999</v>
      </c>
      <c r="R1170" t="s">
        <v>559</v>
      </c>
      <c r="S1170" t="s">
        <v>126</v>
      </c>
      <c r="T1170" t="s">
        <v>559</v>
      </c>
      <c r="U1170" t="s">
        <v>560</v>
      </c>
      <c r="W1170">
        <v>0.82599999999999996</v>
      </c>
      <c r="X1170">
        <v>1.8541000000000001</v>
      </c>
      <c r="Y1170">
        <v>2.6800999999999999</v>
      </c>
      <c r="Z1170">
        <v>1.0195000000000001</v>
      </c>
      <c r="AG1170">
        <v>0.82599999999999996</v>
      </c>
      <c r="AI1170">
        <v>0.83460000000000001</v>
      </c>
      <c r="BH1170" t="s">
        <v>126</v>
      </c>
      <c r="BI1170" t="s">
        <v>126</v>
      </c>
      <c r="BJ1170" t="s">
        <v>126</v>
      </c>
      <c r="BK1170" t="s">
        <v>126</v>
      </c>
      <c r="BS1170" t="s">
        <v>126</v>
      </c>
      <c r="BT1170" t="s">
        <v>126</v>
      </c>
      <c r="BU1170" t="s">
        <v>126</v>
      </c>
      <c r="BV1170" t="s">
        <v>126</v>
      </c>
      <c r="CN1170" t="s">
        <v>147</v>
      </c>
      <c r="CP1170" t="s">
        <v>140</v>
      </c>
      <c r="CQ1170" t="s">
        <v>147</v>
      </c>
    </row>
    <row r="1171" spans="1:95" x14ac:dyDescent="0.2">
      <c r="A1171" t="s">
        <v>115</v>
      </c>
      <c r="B1171" t="s">
        <v>116</v>
      </c>
      <c r="C1171">
        <v>210784</v>
      </c>
      <c r="E1171" t="s">
        <v>117</v>
      </c>
      <c r="F1171">
        <v>368</v>
      </c>
      <c r="G1171" t="s">
        <v>141</v>
      </c>
      <c r="H1171" t="s">
        <v>142</v>
      </c>
      <c r="I1171" t="s">
        <v>279</v>
      </c>
      <c r="J1171" t="s">
        <v>280</v>
      </c>
      <c r="L1171" t="s">
        <v>802</v>
      </c>
      <c r="M1171" s="8">
        <v>46082</v>
      </c>
      <c r="N1171">
        <v>5897594</v>
      </c>
      <c r="O1171" t="s">
        <v>123</v>
      </c>
      <c r="P1171" t="s">
        <v>146</v>
      </c>
      <c r="Q1171">
        <v>4.8</v>
      </c>
      <c r="R1171" t="s">
        <v>559</v>
      </c>
      <c r="S1171" t="s">
        <v>126</v>
      </c>
      <c r="T1171" t="s">
        <v>559</v>
      </c>
      <c r="U1171" t="s">
        <v>560</v>
      </c>
      <c r="W1171">
        <v>1.4794</v>
      </c>
      <c r="X1171">
        <v>3.3205999999999998</v>
      </c>
      <c r="Y1171">
        <v>4.8</v>
      </c>
      <c r="Z1171">
        <v>1.8259000000000001</v>
      </c>
      <c r="AG1171">
        <v>1.4794</v>
      </c>
      <c r="AI1171">
        <v>1.4946999999999999</v>
      </c>
      <c r="BH1171" t="s">
        <v>126</v>
      </c>
      <c r="BI1171" t="s">
        <v>126</v>
      </c>
      <c r="BJ1171" t="s">
        <v>126</v>
      </c>
      <c r="BK1171" t="s">
        <v>126</v>
      </c>
      <c r="BS1171" t="s">
        <v>126</v>
      </c>
      <c r="BT1171" t="s">
        <v>126</v>
      </c>
      <c r="BU1171" t="s">
        <v>126</v>
      </c>
      <c r="BV1171" t="s">
        <v>126</v>
      </c>
      <c r="CN1171" t="s">
        <v>147</v>
      </c>
      <c r="CP1171" t="s">
        <v>140</v>
      </c>
      <c r="CQ1171" t="s">
        <v>147</v>
      </c>
    </row>
    <row r="1172" spans="1:95" x14ac:dyDescent="0.2">
      <c r="A1172" t="s">
        <v>115</v>
      </c>
      <c r="B1172" t="s">
        <v>116</v>
      </c>
      <c r="C1172">
        <v>210784</v>
      </c>
      <c r="E1172" t="s">
        <v>117</v>
      </c>
      <c r="F1172">
        <v>368</v>
      </c>
      <c r="G1172" t="s">
        <v>141</v>
      </c>
      <c r="H1172" t="s">
        <v>142</v>
      </c>
      <c r="I1172" t="s">
        <v>279</v>
      </c>
      <c r="J1172" t="s">
        <v>280</v>
      </c>
      <c r="L1172" t="s">
        <v>803</v>
      </c>
      <c r="M1172" s="8">
        <v>46082</v>
      </c>
      <c r="N1172">
        <v>5899386</v>
      </c>
      <c r="O1172" t="s">
        <v>123</v>
      </c>
      <c r="P1172" t="s">
        <v>146</v>
      </c>
      <c r="Q1172">
        <v>4.6901000000000002</v>
      </c>
      <c r="R1172" t="s">
        <v>559</v>
      </c>
      <c r="S1172" t="s">
        <v>126</v>
      </c>
      <c r="T1172" t="s">
        <v>559</v>
      </c>
      <c r="U1172" t="s">
        <v>560</v>
      </c>
      <c r="W1172">
        <v>1.4455</v>
      </c>
      <c r="X1172">
        <v>3.2446000000000002</v>
      </c>
      <c r="Y1172">
        <v>4.6901000000000002</v>
      </c>
      <c r="Z1172">
        <v>1.7841</v>
      </c>
      <c r="AG1172">
        <v>1.4455</v>
      </c>
      <c r="AI1172">
        <v>1.4604999999999999</v>
      </c>
      <c r="BH1172" t="s">
        <v>126</v>
      </c>
      <c r="BI1172" t="s">
        <v>126</v>
      </c>
      <c r="BJ1172" t="s">
        <v>126</v>
      </c>
      <c r="BK1172" t="s">
        <v>126</v>
      </c>
      <c r="BS1172" t="s">
        <v>126</v>
      </c>
      <c r="BT1172" t="s">
        <v>126</v>
      </c>
      <c r="BU1172" t="s">
        <v>126</v>
      </c>
      <c r="BV1172" t="s">
        <v>126</v>
      </c>
      <c r="CN1172" t="s">
        <v>147</v>
      </c>
      <c r="CP1172" t="s">
        <v>140</v>
      </c>
      <c r="CQ1172" t="s">
        <v>147</v>
      </c>
    </row>
    <row r="1173" spans="1:95" x14ac:dyDescent="0.2">
      <c r="A1173" t="s">
        <v>115</v>
      </c>
      <c r="B1173" t="s">
        <v>116</v>
      </c>
      <c r="C1173">
        <v>210784</v>
      </c>
      <c r="E1173" t="s">
        <v>117</v>
      </c>
      <c r="F1173">
        <v>368</v>
      </c>
      <c r="G1173" t="s">
        <v>141</v>
      </c>
      <c r="H1173" t="s">
        <v>142</v>
      </c>
      <c r="I1173" t="s">
        <v>279</v>
      </c>
      <c r="J1173" t="s">
        <v>280</v>
      </c>
      <c r="L1173" t="s">
        <v>804</v>
      </c>
      <c r="M1173" s="8">
        <v>46082</v>
      </c>
      <c r="N1173">
        <v>5900037</v>
      </c>
      <c r="O1173" t="s">
        <v>123</v>
      </c>
      <c r="P1173" t="s">
        <v>146</v>
      </c>
      <c r="Q1173">
        <v>1.0299</v>
      </c>
      <c r="R1173" t="s">
        <v>559</v>
      </c>
      <c r="S1173" t="s">
        <v>126</v>
      </c>
      <c r="T1173" t="s">
        <v>559</v>
      </c>
      <c r="U1173" t="s">
        <v>560</v>
      </c>
      <c r="W1173">
        <v>0.31740000000000002</v>
      </c>
      <c r="X1173">
        <v>0.71249999999999991</v>
      </c>
      <c r="Y1173">
        <v>1.0299</v>
      </c>
      <c r="Z1173">
        <v>0.39179999999999998</v>
      </c>
      <c r="AG1173">
        <v>0.31740000000000002</v>
      </c>
      <c r="AI1173">
        <v>0.32069999999999999</v>
      </c>
      <c r="BH1173" t="s">
        <v>126</v>
      </c>
      <c r="BI1173" t="s">
        <v>126</v>
      </c>
      <c r="BJ1173" t="s">
        <v>126</v>
      </c>
      <c r="BK1173" t="s">
        <v>126</v>
      </c>
      <c r="BS1173" t="s">
        <v>126</v>
      </c>
      <c r="BT1173" t="s">
        <v>126</v>
      </c>
      <c r="BU1173" t="s">
        <v>126</v>
      </c>
      <c r="BV1173" t="s">
        <v>126</v>
      </c>
      <c r="CN1173" t="s">
        <v>147</v>
      </c>
      <c r="CP1173" t="s">
        <v>140</v>
      </c>
      <c r="CQ1173" t="s">
        <v>147</v>
      </c>
    </row>
    <row r="1174" spans="1:95" x14ac:dyDescent="0.2">
      <c r="A1174" t="s">
        <v>115</v>
      </c>
      <c r="B1174" t="s">
        <v>116</v>
      </c>
      <c r="C1174">
        <v>210784</v>
      </c>
      <c r="E1174" t="s">
        <v>117</v>
      </c>
      <c r="F1174">
        <v>368</v>
      </c>
      <c r="G1174" t="s">
        <v>141</v>
      </c>
      <c r="H1174" t="s">
        <v>142</v>
      </c>
      <c r="I1174" t="s">
        <v>279</v>
      </c>
      <c r="J1174" t="s">
        <v>280</v>
      </c>
      <c r="L1174" t="s">
        <v>805</v>
      </c>
      <c r="M1174" s="8">
        <v>46082</v>
      </c>
      <c r="N1174">
        <v>5901116</v>
      </c>
      <c r="O1174" t="s">
        <v>123</v>
      </c>
      <c r="P1174" t="s">
        <v>146</v>
      </c>
      <c r="Q1174">
        <v>1.4000999999999999</v>
      </c>
      <c r="R1174" t="s">
        <v>559</v>
      </c>
      <c r="S1174" t="s">
        <v>126</v>
      </c>
      <c r="T1174" t="s">
        <v>559</v>
      </c>
      <c r="U1174" t="s">
        <v>560</v>
      </c>
      <c r="W1174">
        <v>0.43149999999999999</v>
      </c>
      <c r="X1174">
        <v>0.96859999999999991</v>
      </c>
      <c r="Y1174">
        <v>1.4000999999999999</v>
      </c>
      <c r="Z1174">
        <v>0.53259999999999996</v>
      </c>
      <c r="AG1174">
        <v>0.43149999999999999</v>
      </c>
      <c r="AI1174">
        <v>0.436</v>
      </c>
      <c r="BH1174" t="s">
        <v>126</v>
      </c>
      <c r="BI1174" t="s">
        <v>126</v>
      </c>
      <c r="BJ1174" t="s">
        <v>126</v>
      </c>
      <c r="BK1174" t="s">
        <v>126</v>
      </c>
      <c r="BS1174" t="s">
        <v>126</v>
      </c>
      <c r="BT1174" t="s">
        <v>126</v>
      </c>
      <c r="BU1174" t="s">
        <v>126</v>
      </c>
      <c r="BV1174" t="s">
        <v>126</v>
      </c>
      <c r="CN1174" t="s">
        <v>147</v>
      </c>
      <c r="CP1174" t="s">
        <v>140</v>
      </c>
      <c r="CQ1174" t="s">
        <v>147</v>
      </c>
    </row>
    <row r="1175" spans="1:95" x14ac:dyDescent="0.2">
      <c r="A1175" t="s">
        <v>115</v>
      </c>
      <c r="B1175" t="s">
        <v>116</v>
      </c>
      <c r="C1175">
        <v>210784</v>
      </c>
      <c r="E1175" t="s">
        <v>117</v>
      </c>
      <c r="F1175">
        <v>368</v>
      </c>
      <c r="G1175" t="s">
        <v>141</v>
      </c>
      <c r="H1175" t="s">
        <v>142</v>
      </c>
      <c r="I1175" t="s">
        <v>279</v>
      </c>
      <c r="J1175" t="s">
        <v>280</v>
      </c>
      <c r="L1175" t="s">
        <v>806</v>
      </c>
      <c r="M1175" s="8">
        <v>46082</v>
      </c>
      <c r="N1175">
        <v>5901741</v>
      </c>
      <c r="O1175" t="s">
        <v>123</v>
      </c>
      <c r="P1175" t="s">
        <v>146</v>
      </c>
      <c r="Q1175">
        <v>0.84999999999999987</v>
      </c>
      <c r="R1175" t="s">
        <v>559</v>
      </c>
      <c r="S1175" t="s">
        <v>126</v>
      </c>
      <c r="T1175" t="s">
        <v>559</v>
      </c>
      <c r="U1175" t="s">
        <v>560</v>
      </c>
      <c r="W1175">
        <v>0.26200000000000001</v>
      </c>
      <c r="X1175">
        <v>0.58799999999999997</v>
      </c>
      <c r="Y1175">
        <v>0.84999999999999987</v>
      </c>
      <c r="Z1175">
        <v>0.32329999999999998</v>
      </c>
      <c r="AG1175">
        <v>0.26200000000000001</v>
      </c>
      <c r="AI1175">
        <v>0.26469999999999999</v>
      </c>
      <c r="BH1175" t="s">
        <v>126</v>
      </c>
      <c r="BI1175" t="s">
        <v>126</v>
      </c>
      <c r="BJ1175" t="s">
        <v>126</v>
      </c>
      <c r="BK1175" t="s">
        <v>126</v>
      </c>
      <c r="BS1175" t="s">
        <v>126</v>
      </c>
      <c r="BT1175" t="s">
        <v>126</v>
      </c>
      <c r="BU1175" t="s">
        <v>126</v>
      </c>
      <c r="BV1175" t="s">
        <v>126</v>
      </c>
      <c r="CN1175" t="s">
        <v>147</v>
      </c>
      <c r="CP1175" t="s">
        <v>140</v>
      </c>
      <c r="CQ1175" t="s">
        <v>147</v>
      </c>
    </row>
    <row r="1176" spans="1:95" x14ac:dyDescent="0.2">
      <c r="A1176" t="s">
        <v>115</v>
      </c>
      <c r="B1176" t="s">
        <v>116</v>
      </c>
      <c r="C1176">
        <v>210784</v>
      </c>
      <c r="E1176" t="s">
        <v>117</v>
      </c>
      <c r="F1176">
        <v>368</v>
      </c>
      <c r="G1176" t="s">
        <v>141</v>
      </c>
      <c r="H1176" t="s">
        <v>142</v>
      </c>
      <c r="I1176" t="s">
        <v>279</v>
      </c>
      <c r="J1176" t="s">
        <v>280</v>
      </c>
      <c r="L1176" t="s">
        <v>807</v>
      </c>
      <c r="M1176" s="8">
        <v>46082</v>
      </c>
      <c r="N1176">
        <v>5902930</v>
      </c>
      <c r="O1176" t="s">
        <v>123</v>
      </c>
      <c r="P1176" t="s">
        <v>146</v>
      </c>
      <c r="Q1176">
        <v>3.38</v>
      </c>
      <c r="R1176" t="s">
        <v>559</v>
      </c>
      <c r="S1176" t="s">
        <v>126</v>
      </c>
      <c r="T1176" t="s">
        <v>559</v>
      </c>
      <c r="U1176" t="s">
        <v>560</v>
      </c>
      <c r="W1176">
        <v>1.0417000000000001</v>
      </c>
      <c r="X1176">
        <v>2.3383000000000003</v>
      </c>
      <c r="Y1176">
        <v>3.38</v>
      </c>
      <c r="Z1176">
        <v>1.2858000000000001</v>
      </c>
      <c r="AG1176">
        <v>1.0417000000000001</v>
      </c>
      <c r="AI1176">
        <v>1.0525</v>
      </c>
      <c r="BH1176" t="s">
        <v>126</v>
      </c>
      <c r="BI1176" t="s">
        <v>126</v>
      </c>
      <c r="BJ1176" t="s">
        <v>126</v>
      </c>
      <c r="BK1176" t="s">
        <v>126</v>
      </c>
      <c r="BS1176" t="s">
        <v>126</v>
      </c>
      <c r="BT1176" t="s">
        <v>126</v>
      </c>
      <c r="BU1176" t="s">
        <v>126</v>
      </c>
      <c r="BV1176" t="s">
        <v>126</v>
      </c>
      <c r="CN1176" t="s">
        <v>147</v>
      </c>
      <c r="CP1176" t="s">
        <v>140</v>
      </c>
      <c r="CQ1176" t="s">
        <v>147</v>
      </c>
    </row>
    <row r="1177" spans="1:95" x14ac:dyDescent="0.2">
      <c r="A1177" t="s">
        <v>115</v>
      </c>
      <c r="B1177" t="s">
        <v>116</v>
      </c>
      <c r="C1177">
        <v>210784</v>
      </c>
      <c r="E1177" t="s">
        <v>117</v>
      </c>
      <c r="F1177">
        <v>368</v>
      </c>
      <c r="G1177" t="s">
        <v>141</v>
      </c>
      <c r="H1177" t="s">
        <v>142</v>
      </c>
      <c r="I1177" t="s">
        <v>279</v>
      </c>
      <c r="J1177" t="s">
        <v>280</v>
      </c>
      <c r="L1177" t="s">
        <v>808</v>
      </c>
      <c r="M1177" s="8">
        <v>46082</v>
      </c>
      <c r="N1177">
        <v>5903940</v>
      </c>
      <c r="O1177" t="s">
        <v>123</v>
      </c>
      <c r="P1177" t="s">
        <v>146</v>
      </c>
      <c r="Q1177">
        <v>4.1801000000000004</v>
      </c>
      <c r="R1177" t="s">
        <v>559</v>
      </c>
      <c r="S1177" t="s">
        <v>126</v>
      </c>
      <c r="T1177" t="s">
        <v>559</v>
      </c>
      <c r="U1177" t="s">
        <v>560</v>
      </c>
      <c r="W1177">
        <v>1.2883</v>
      </c>
      <c r="X1177">
        <v>2.8917999999999999</v>
      </c>
      <c r="Y1177">
        <v>4.1801000000000004</v>
      </c>
      <c r="Z1177">
        <v>1.5901000000000001</v>
      </c>
      <c r="AG1177">
        <v>1.2883</v>
      </c>
      <c r="AI1177">
        <v>1.3017000000000001</v>
      </c>
      <c r="BH1177" t="s">
        <v>126</v>
      </c>
      <c r="BI1177" t="s">
        <v>126</v>
      </c>
      <c r="BJ1177" t="s">
        <v>126</v>
      </c>
      <c r="BK1177" t="s">
        <v>126</v>
      </c>
      <c r="BS1177" t="s">
        <v>126</v>
      </c>
      <c r="BT1177" t="s">
        <v>126</v>
      </c>
      <c r="BU1177" t="s">
        <v>126</v>
      </c>
      <c r="BV1177" t="s">
        <v>126</v>
      </c>
      <c r="CN1177" t="s">
        <v>147</v>
      </c>
      <c r="CP1177" t="s">
        <v>140</v>
      </c>
      <c r="CQ1177" t="s">
        <v>147</v>
      </c>
    </row>
    <row r="1178" spans="1:95" x14ac:dyDescent="0.2">
      <c r="A1178" t="s">
        <v>115</v>
      </c>
      <c r="B1178" t="s">
        <v>116</v>
      </c>
      <c r="C1178">
        <v>210784</v>
      </c>
      <c r="E1178" t="s">
        <v>117</v>
      </c>
      <c r="F1178">
        <v>368</v>
      </c>
      <c r="G1178" t="s">
        <v>141</v>
      </c>
      <c r="H1178" t="s">
        <v>142</v>
      </c>
      <c r="I1178" t="s">
        <v>279</v>
      </c>
      <c r="J1178" t="s">
        <v>280</v>
      </c>
      <c r="L1178" t="s">
        <v>809</v>
      </c>
      <c r="M1178" s="8">
        <v>46082</v>
      </c>
      <c r="N1178">
        <v>5904536</v>
      </c>
      <c r="O1178" t="s">
        <v>123</v>
      </c>
      <c r="P1178" t="s">
        <v>146</v>
      </c>
      <c r="Q1178">
        <v>2.79</v>
      </c>
      <c r="R1178" t="s">
        <v>559</v>
      </c>
      <c r="S1178" t="s">
        <v>126</v>
      </c>
      <c r="T1178" t="s">
        <v>559</v>
      </c>
      <c r="U1178" t="s">
        <v>560</v>
      </c>
      <c r="W1178">
        <v>0.8599</v>
      </c>
      <c r="X1178">
        <v>1.9300999999999999</v>
      </c>
      <c r="Y1178">
        <v>2.79</v>
      </c>
      <c r="Z1178">
        <v>1.0612999999999999</v>
      </c>
      <c r="AG1178">
        <v>0.8599</v>
      </c>
      <c r="AI1178">
        <v>0.86880000000000002</v>
      </c>
      <c r="BH1178" t="s">
        <v>126</v>
      </c>
      <c r="BI1178" t="s">
        <v>126</v>
      </c>
      <c r="BJ1178" t="s">
        <v>126</v>
      </c>
      <c r="BK1178" t="s">
        <v>126</v>
      </c>
      <c r="BS1178" t="s">
        <v>126</v>
      </c>
      <c r="BT1178" t="s">
        <v>126</v>
      </c>
      <c r="BU1178" t="s">
        <v>126</v>
      </c>
      <c r="BV1178" t="s">
        <v>126</v>
      </c>
      <c r="CN1178" t="s">
        <v>147</v>
      </c>
      <c r="CP1178" t="s">
        <v>140</v>
      </c>
      <c r="CQ1178" t="s">
        <v>147</v>
      </c>
    </row>
    <row r="1179" spans="1:95" x14ac:dyDescent="0.2">
      <c r="A1179" t="s">
        <v>115</v>
      </c>
      <c r="B1179" t="s">
        <v>116</v>
      </c>
      <c r="C1179">
        <v>210784</v>
      </c>
      <c r="E1179" t="s">
        <v>117</v>
      </c>
      <c r="F1179">
        <v>368</v>
      </c>
      <c r="G1179" t="s">
        <v>141</v>
      </c>
      <c r="H1179" t="s">
        <v>142</v>
      </c>
      <c r="I1179" t="s">
        <v>279</v>
      </c>
      <c r="J1179" t="s">
        <v>280</v>
      </c>
      <c r="L1179" t="s">
        <v>810</v>
      </c>
      <c r="M1179" s="8">
        <v>46082</v>
      </c>
      <c r="N1179">
        <v>5906730</v>
      </c>
      <c r="O1179" t="s">
        <v>123</v>
      </c>
      <c r="P1179" t="s">
        <v>146</v>
      </c>
      <c r="Q1179">
        <v>0.48</v>
      </c>
      <c r="R1179" t="s">
        <v>610</v>
      </c>
      <c r="S1179" t="s">
        <v>126</v>
      </c>
      <c r="T1179" t="s">
        <v>610</v>
      </c>
      <c r="U1179" t="s">
        <v>611</v>
      </c>
      <c r="W1179">
        <v>0.1479</v>
      </c>
      <c r="X1179">
        <v>0.33210000000000001</v>
      </c>
      <c r="Y1179">
        <v>0.48</v>
      </c>
      <c r="Z1179">
        <v>0.18260000000000001</v>
      </c>
      <c r="AG1179">
        <v>0.1479</v>
      </c>
      <c r="AI1179">
        <v>0.14949999999999999</v>
      </c>
      <c r="BH1179" t="s">
        <v>126</v>
      </c>
      <c r="BI1179" t="s">
        <v>126</v>
      </c>
      <c r="BJ1179" t="s">
        <v>126</v>
      </c>
      <c r="BK1179" t="s">
        <v>126</v>
      </c>
      <c r="BS1179" t="s">
        <v>126</v>
      </c>
      <c r="BT1179" t="s">
        <v>126</v>
      </c>
      <c r="BU1179" t="s">
        <v>126</v>
      </c>
      <c r="BV1179" t="s">
        <v>126</v>
      </c>
      <c r="CN1179" t="s">
        <v>147</v>
      </c>
      <c r="CP1179" t="s">
        <v>310</v>
      </c>
      <c r="CQ1179" t="s">
        <v>147</v>
      </c>
    </row>
    <row r="1180" spans="1:95" x14ac:dyDescent="0.2">
      <c r="A1180" t="s">
        <v>115</v>
      </c>
      <c r="B1180" t="s">
        <v>116</v>
      </c>
      <c r="C1180">
        <v>210784</v>
      </c>
      <c r="E1180" t="s">
        <v>117</v>
      </c>
      <c r="F1180">
        <v>368</v>
      </c>
      <c r="G1180" t="s">
        <v>141</v>
      </c>
      <c r="H1180" t="s">
        <v>142</v>
      </c>
      <c r="I1180" t="s">
        <v>279</v>
      </c>
      <c r="J1180" t="s">
        <v>280</v>
      </c>
      <c r="L1180" t="s">
        <v>913</v>
      </c>
      <c r="M1180" s="8">
        <v>46082</v>
      </c>
      <c r="N1180">
        <v>5895935</v>
      </c>
      <c r="O1180" t="s">
        <v>123</v>
      </c>
      <c r="P1180" t="s">
        <v>146</v>
      </c>
      <c r="Q1180">
        <v>3.82</v>
      </c>
      <c r="R1180" t="s">
        <v>125</v>
      </c>
      <c r="S1180" t="s">
        <v>126</v>
      </c>
      <c r="T1180" t="s">
        <v>125</v>
      </c>
      <c r="U1180" t="s">
        <v>126</v>
      </c>
      <c r="W1180">
        <v>3.82</v>
      </c>
      <c r="Y1180">
        <v>3.82</v>
      </c>
      <c r="BE1180">
        <v>3.82</v>
      </c>
      <c r="BH1180" t="s">
        <v>126</v>
      </c>
      <c r="BI1180" t="s">
        <v>126</v>
      </c>
      <c r="BJ1180" t="s">
        <v>126</v>
      </c>
      <c r="BK1180" t="s">
        <v>126</v>
      </c>
      <c r="BS1180" t="s">
        <v>126</v>
      </c>
      <c r="BT1180" t="s">
        <v>126</v>
      </c>
      <c r="BU1180" t="s">
        <v>126</v>
      </c>
      <c r="BV1180" t="s">
        <v>126</v>
      </c>
      <c r="CN1180" t="s">
        <v>147</v>
      </c>
      <c r="CP1180" t="s">
        <v>140</v>
      </c>
      <c r="CQ1180" t="s">
        <v>147</v>
      </c>
    </row>
    <row r="1181" spans="1:95" x14ac:dyDescent="0.2">
      <c r="A1181" t="s">
        <v>115</v>
      </c>
      <c r="B1181" t="s">
        <v>116</v>
      </c>
      <c r="C1181">
        <v>210784</v>
      </c>
      <c r="E1181" t="s">
        <v>117</v>
      </c>
      <c r="F1181">
        <v>368</v>
      </c>
      <c r="G1181" t="s">
        <v>141</v>
      </c>
      <c r="H1181" t="s">
        <v>142</v>
      </c>
      <c r="I1181" t="s">
        <v>279</v>
      </c>
      <c r="J1181" t="s">
        <v>280</v>
      </c>
      <c r="L1181" t="s">
        <v>914</v>
      </c>
      <c r="M1181" s="8">
        <v>46082</v>
      </c>
      <c r="N1181">
        <v>5904742</v>
      </c>
      <c r="O1181" t="s">
        <v>123</v>
      </c>
      <c r="P1181" t="s">
        <v>146</v>
      </c>
      <c r="Q1181">
        <v>1.53</v>
      </c>
      <c r="R1181" t="s">
        <v>125</v>
      </c>
      <c r="S1181" t="s">
        <v>126</v>
      </c>
      <c r="T1181" t="s">
        <v>125</v>
      </c>
      <c r="U1181" t="s">
        <v>126</v>
      </c>
      <c r="W1181">
        <v>1.53</v>
      </c>
      <c r="Y1181">
        <v>1.53</v>
      </c>
      <c r="BE1181">
        <v>1.53</v>
      </c>
      <c r="BH1181" t="s">
        <v>126</v>
      </c>
      <c r="BI1181" t="s">
        <v>126</v>
      </c>
      <c r="BJ1181" t="s">
        <v>126</v>
      </c>
      <c r="BK1181" t="s">
        <v>126</v>
      </c>
      <c r="BS1181" t="s">
        <v>126</v>
      </c>
      <c r="BT1181" t="s">
        <v>126</v>
      </c>
      <c r="BU1181" t="s">
        <v>126</v>
      </c>
      <c r="BV1181" t="s">
        <v>126</v>
      </c>
      <c r="CN1181" t="s">
        <v>147</v>
      </c>
      <c r="CP1181" t="s">
        <v>140</v>
      </c>
      <c r="CQ1181" t="s">
        <v>147</v>
      </c>
    </row>
    <row r="1182" spans="1:95" x14ac:dyDescent="0.2">
      <c r="A1182" t="s">
        <v>115</v>
      </c>
      <c r="B1182" t="s">
        <v>116</v>
      </c>
      <c r="C1182">
        <v>210784</v>
      </c>
      <c r="E1182" t="s">
        <v>117</v>
      </c>
      <c r="F1182">
        <v>368</v>
      </c>
      <c r="G1182" t="s">
        <v>141</v>
      </c>
      <c r="H1182" t="s">
        <v>142</v>
      </c>
      <c r="I1182" t="s">
        <v>279</v>
      </c>
      <c r="J1182" t="s">
        <v>280</v>
      </c>
      <c r="L1182" t="s">
        <v>915</v>
      </c>
      <c r="M1182" s="8">
        <v>46082</v>
      </c>
      <c r="N1182">
        <v>5907806</v>
      </c>
      <c r="O1182" t="s">
        <v>123</v>
      </c>
      <c r="P1182" t="s">
        <v>146</v>
      </c>
      <c r="Q1182">
        <v>1.1000000000000001</v>
      </c>
      <c r="R1182" t="s">
        <v>125</v>
      </c>
      <c r="S1182" t="s">
        <v>126</v>
      </c>
      <c r="T1182" t="s">
        <v>125</v>
      </c>
      <c r="U1182" t="s">
        <v>126</v>
      </c>
      <c r="W1182">
        <v>1.1000000000000001</v>
      </c>
      <c r="Y1182">
        <v>1.1000000000000001</v>
      </c>
      <c r="BE1182">
        <v>1.1000000000000001</v>
      </c>
      <c r="BH1182" t="s">
        <v>126</v>
      </c>
      <c r="BI1182" t="s">
        <v>126</v>
      </c>
      <c r="BJ1182" t="s">
        <v>126</v>
      </c>
      <c r="BK1182" t="s">
        <v>126</v>
      </c>
      <c r="BS1182" t="s">
        <v>126</v>
      </c>
      <c r="BT1182" t="s">
        <v>126</v>
      </c>
      <c r="BU1182" t="s">
        <v>126</v>
      </c>
      <c r="BV1182" t="s">
        <v>126</v>
      </c>
      <c r="CN1182" t="s">
        <v>147</v>
      </c>
      <c r="CP1182" t="s">
        <v>310</v>
      </c>
      <c r="CQ1182" t="s">
        <v>147</v>
      </c>
    </row>
    <row r="1183" spans="1:95" x14ac:dyDescent="0.2">
      <c r="A1183" t="s">
        <v>115</v>
      </c>
      <c r="B1183" t="s">
        <v>116</v>
      </c>
      <c r="C1183">
        <v>210784</v>
      </c>
      <c r="E1183" t="s">
        <v>117</v>
      </c>
      <c r="F1183">
        <v>368</v>
      </c>
      <c r="G1183" t="s">
        <v>141</v>
      </c>
      <c r="H1183" t="s">
        <v>142</v>
      </c>
      <c r="I1183" t="s">
        <v>279</v>
      </c>
      <c r="J1183" t="s">
        <v>280</v>
      </c>
      <c r="L1183" t="s">
        <v>811</v>
      </c>
      <c r="M1183" s="8">
        <v>46113</v>
      </c>
      <c r="N1183">
        <v>5910640</v>
      </c>
      <c r="O1183" t="s">
        <v>123</v>
      </c>
      <c r="P1183" t="s">
        <v>146</v>
      </c>
      <c r="Q1183">
        <v>1.5899000000000001</v>
      </c>
      <c r="R1183" t="s">
        <v>559</v>
      </c>
      <c r="S1183" t="s">
        <v>126</v>
      </c>
      <c r="T1183" t="s">
        <v>559</v>
      </c>
      <c r="U1183" t="s">
        <v>560</v>
      </c>
      <c r="W1183">
        <v>0.49</v>
      </c>
      <c r="X1183">
        <v>1.0998999999999999</v>
      </c>
      <c r="Y1183">
        <v>1.5899000000000001</v>
      </c>
      <c r="Z1183">
        <v>0.6048</v>
      </c>
      <c r="AG1183">
        <v>0.49</v>
      </c>
      <c r="AI1183">
        <v>0.49509999999999998</v>
      </c>
      <c r="BH1183" t="s">
        <v>126</v>
      </c>
      <c r="BI1183" t="s">
        <v>126</v>
      </c>
      <c r="BJ1183" t="s">
        <v>126</v>
      </c>
      <c r="BK1183" t="s">
        <v>126</v>
      </c>
      <c r="BS1183" t="s">
        <v>126</v>
      </c>
      <c r="BT1183" t="s">
        <v>126</v>
      </c>
      <c r="BU1183" t="s">
        <v>126</v>
      </c>
      <c r="BV1183" t="s">
        <v>126</v>
      </c>
      <c r="CN1183" t="s">
        <v>147</v>
      </c>
      <c r="CP1183" t="s">
        <v>310</v>
      </c>
      <c r="CQ1183" t="s">
        <v>147</v>
      </c>
    </row>
    <row r="1184" spans="1:95" x14ac:dyDescent="0.2">
      <c r="A1184" t="s">
        <v>115</v>
      </c>
      <c r="B1184" t="s">
        <v>116</v>
      </c>
      <c r="C1184">
        <v>210784</v>
      </c>
      <c r="E1184" t="s">
        <v>117</v>
      </c>
      <c r="F1184">
        <v>368</v>
      </c>
      <c r="G1184" t="s">
        <v>141</v>
      </c>
      <c r="H1184" t="s">
        <v>142</v>
      </c>
      <c r="I1184" t="s">
        <v>279</v>
      </c>
      <c r="J1184" t="s">
        <v>280</v>
      </c>
      <c r="L1184" t="s">
        <v>812</v>
      </c>
      <c r="M1184" s="8">
        <v>46113</v>
      </c>
      <c r="N1184">
        <v>5912334</v>
      </c>
      <c r="O1184" t="s">
        <v>123</v>
      </c>
      <c r="P1184" t="s">
        <v>146</v>
      </c>
      <c r="Q1184">
        <v>2.17</v>
      </c>
      <c r="R1184" t="s">
        <v>559</v>
      </c>
      <c r="S1184" t="s">
        <v>126</v>
      </c>
      <c r="T1184" t="s">
        <v>559</v>
      </c>
      <c r="U1184" t="s">
        <v>560</v>
      </c>
      <c r="W1184">
        <v>0.66879999999999995</v>
      </c>
      <c r="X1184">
        <v>1.5011999999999999</v>
      </c>
      <c r="Y1184">
        <v>2.17</v>
      </c>
      <c r="Z1184">
        <v>0.82550000000000001</v>
      </c>
      <c r="AG1184">
        <v>0.66879999999999995</v>
      </c>
      <c r="AI1184">
        <v>0.67569999999999997</v>
      </c>
      <c r="BH1184" t="s">
        <v>126</v>
      </c>
      <c r="BI1184" t="s">
        <v>126</v>
      </c>
      <c r="BJ1184" t="s">
        <v>126</v>
      </c>
      <c r="BK1184" t="s">
        <v>126</v>
      </c>
      <c r="BS1184" t="s">
        <v>126</v>
      </c>
      <c r="BT1184" t="s">
        <v>126</v>
      </c>
      <c r="BU1184" t="s">
        <v>126</v>
      </c>
      <c r="BV1184" t="s">
        <v>126</v>
      </c>
      <c r="CN1184" t="s">
        <v>147</v>
      </c>
      <c r="CP1184" t="s">
        <v>310</v>
      </c>
      <c r="CQ1184" t="s">
        <v>147</v>
      </c>
    </row>
    <row r="1185" spans="1:95" x14ac:dyDescent="0.2">
      <c r="A1185" t="s">
        <v>115</v>
      </c>
      <c r="B1185" t="s">
        <v>116</v>
      </c>
      <c r="C1185">
        <v>210784</v>
      </c>
      <c r="E1185" t="s">
        <v>117</v>
      </c>
      <c r="F1185">
        <v>368</v>
      </c>
      <c r="G1185" t="s">
        <v>141</v>
      </c>
      <c r="H1185" t="s">
        <v>142</v>
      </c>
      <c r="I1185" t="s">
        <v>279</v>
      </c>
      <c r="J1185" t="s">
        <v>280</v>
      </c>
      <c r="L1185" t="s">
        <v>813</v>
      </c>
      <c r="M1185" s="8">
        <v>46113</v>
      </c>
      <c r="N1185">
        <v>5914156</v>
      </c>
      <c r="O1185" t="s">
        <v>123</v>
      </c>
      <c r="P1185" t="s">
        <v>146</v>
      </c>
      <c r="Q1185">
        <v>1.6400000000000001</v>
      </c>
      <c r="R1185" t="s">
        <v>559</v>
      </c>
      <c r="S1185" t="s">
        <v>126</v>
      </c>
      <c r="T1185" t="s">
        <v>559</v>
      </c>
      <c r="U1185" t="s">
        <v>560</v>
      </c>
      <c r="W1185">
        <v>0.50539999999999996</v>
      </c>
      <c r="X1185">
        <v>1.1346000000000001</v>
      </c>
      <c r="Y1185">
        <v>1.6400000000000001</v>
      </c>
      <c r="Z1185">
        <v>0.62390000000000001</v>
      </c>
      <c r="AG1185">
        <v>0.50539999999999996</v>
      </c>
      <c r="AI1185">
        <v>0.51070000000000004</v>
      </c>
      <c r="BH1185" t="s">
        <v>126</v>
      </c>
      <c r="BI1185" t="s">
        <v>126</v>
      </c>
      <c r="BJ1185" t="s">
        <v>126</v>
      </c>
      <c r="BK1185" t="s">
        <v>126</v>
      </c>
      <c r="BS1185" t="s">
        <v>126</v>
      </c>
      <c r="BT1185" t="s">
        <v>126</v>
      </c>
      <c r="BU1185" t="s">
        <v>126</v>
      </c>
      <c r="BV1185" t="s">
        <v>126</v>
      </c>
      <c r="CN1185" t="s">
        <v>147</v>
      </c>
      <c r="CP1185" t="s">
        <v>310</v>
      </c>
      <c r="CQ1185" t="s">
        <v>147</v>
      </c>
    </row>
    <row r="1186" spans="1:95" x14ac:dyDescent="0.2">
      <c r="A1186" t="s">
        <v>115</v>
      </c>
      <c r="B1186" t="s">
        <v>116</v>
      </c>
      <c r="C1186">
        <v>210784</v>
      </c>
      <c r="E1186" t="s">
        <v>117</v>
      </c>
      <c r="F1186">
        <v>368</v>
      </c>
      <c r="G1186" t="s">
        <v>141</v>
      </c>
      <c r="H1186" t="s">
        <v>142</v>
      </c>
      <c r="I1186" t="s">
        <v>279</v>
      </c>
      <c r="J1186" t="s">
        <v>280</v>
      </c>
      <c r="L1186" t="s">
        <v>814</v>
      </c>
      <c r="M1186" s="8">
        <v>46113</v>
      </c>
      <c r="N1186">
        <v>5916699</v>
      </c>
      <c r="O1186" t="s">
        <v>123</v>
      </c>
      <c r="P1186" t="s">
        <v>146</v>
      </c>
      <c r="Q1186">
        <v>3.9299999999999997</v>
      </c>
      <c r="R1186" t="s">
        <v>559</v>
      </c>
      <c r="S1186" t="s">
        <v>126</v>
      </c>
      <c r="T1186" t="s">
        <v>559</v>
      </c>
      <c r="U1186" t="s">
        <v>560</v>
      </c>
      <c r="W1186">
        <v>1.2112000000000001</v>
      </c>
      <c r="X1186">
        <v>2.7187999999999999</v>
      </c>
      <c r="Y1186">
        <v>3.9299999999999997</v>
      </c>
      <c r="Z1186">
        <v>1.4950000000000001</v>
      </c>
      <c r="AG1186">
        <v>1.2112000000000001</v>
      </c>
      <c r="AI1186">
        <v>1.2238</v>
      </c>
      <c r="BH1186" t="s">
        <v>126</v>
      </c>
      <c r="BI1186" t="s">
        <v>126</v>
      </c>
      <c r="BJ1186" t="s">
        <v>126</v>
      </c>
      <c r="BK1186" t="s">
        <v>126</v>
      </c>
      <c r="BS1186" t="s">
        <v>126</v>
      </c>
      <c r="BT1186" t="s">
        <v>126</v>
      </c>
      <c r="BU1186" t="s">
        <v>126</v>
      </c>
      <c r="BV1186" t="s">
        <v>126</v>
      </c>
      <c r="CN1186" t="s">
        <v>147</v>
      </c>
      <c r="CP1186" t="s">
        <v>310</v>
      </c>
      <c r="CQ1186" t="s">
        <v>147</v>
      </c>
    </row>
    <row r="1187" spans="1:95" x14ac:dyDescent="0.2">
      <c r="A1187" t="s">
        <v>115</v>
      </c>
      <c r="B1187" t="s">
        <v>116</v>
      </c>
      <c r="C1187">
        <v>210784</v>
      </c>
      <c r="E1187" t="s">
        <v>117</v>
      </c>
      <c r="F1187">
        <v>368</v>
      </c>
      <c r="G1187" t="s">
        <v>141</v>
      </c>
      <c r="H1187" t="s">
        <v>142</v>
      </c>
      <c r="I1187" t="s">
        <v>279</v>
      </c>
      <c r="J1187" t="s">
        <v>280</v>
      </c>
      <c r="L1187" t="s">
        <v>815</v>
      </c>
      <c r="M1187" s="8">
        <v>46113</v>
      </c>
      <c r="N1187">
        <v>5921018</v>
      </c>
      <c r="O1187" t="s">
        <v>123</v>
      </c>
      <c r="P1187" t="s">
        <v>146</v>
      </c>
      <c r="Q1187">
        <v>7.57</v>
      </c>
      <c r="R1187" t="s">
        <v>559</v>
      </c>
      <c r="S1187" t="s">
        <v>126</v>
      </c>
      <c r="T1187" t="s">
        <v>559</v>
      </c>
      <c r="U1187" t="s">
        <v>560</v>
      </c>
      <c r="W1187">
        <v>2.3331</v>
      </c>
      <c r="X1187">
        <v>5.2369000000000003</v>
      </c>
      <c r="Y1187">
        <v>7.57</v>
      </c>
      <c r="Z1187">
        <v>2.8795999999999999</v>
      </c>
      <c r="AG1187">
        <v>2.3331</v>
      </c>
      <c r="AI1187">
        <v>2.3573</v>
      </c>
      <c r="BH1187" t="s">
        <v>126</v>
      </c>
      <c r="BI1187" t="s">
        <v>126</v>
      </c>
      <c r="BJ1187" t="s">
        <v>126</v>
      </c>
      <c r="BK1187" t="s">
        <v>126</v>
      </c>
      <c r="BS1187" t="s">
        <v>126</v>
      </c>
      <c r="BT1187" t="s">
        <v>126</v>
      </c>
      <c r="BU1187" t="s">
        <v>126</v>
      </c>
      <c r="BV1187" t="s">
        <v>126</v>
      </c>
      <c r="CN1187" t="s">
        <v>147</v>
      </c>
      <c r="CP1187" t="s">
        <v>310</v>
      </c>
      <c r="CQ1187" t="s">
        <v>147</v>
      </c>
    </row>
    <row r="1188" spans="1:95" x14ac:dyDescent="0.2">
      <c r="A1188" t="s">
        <v>115</v>
      </c>
      <c r="B1188" t="s">
        <v>116</v>
      </c>
      <c r="C1188">
        <v>210784</v>
      </c>
      <c r="E1188" t="s">
        <v>117</v>
      </c>
      <c r="F1188">
        <v>368</v>
      </c>
      <c r="G1188" t="s">
        <v>141</v>
      </c>
      <c r="H1188" t="s">
        <v>142</v>
      </c>
      <c r="I1188" t="s">
        <v>279</v>
      </c>
      <c r="J1188" t="s">
        <v>280</v>
      </c>
      <c r="L1188" t="s">
        <v>527</v>
      </c>
      <c r="M1188" s="8">
        <v>46113</v>
      </c>
      <c r="N1188">
        <v>5920915</v>
      </c>
      <c r="O1188" t="s">
        <v>123</v>
      </c>
      <c r="P1188" t="s">
        <v>146</v>
      </c>
      <c r="Q1188">
        <v>1.4000999999999999</v>
      </c>
      <c r="R1188" t="s">
        <v>559</v>
      </c>
      <c r="S1188" t="s">
        <v>126</v>
      </c>
      <c r="T1188" t="s">
        <v>559</v>
      </c>
      <c r="U1188" t="s">
        <v>560</v>
      </c>
      <c r="W1188">
        <v>0.43149999999999999</v>
      </c>
      <c r="X1188">
        <v>0.96859999999999991</v>
      </c>
      <c r="Y1188">
        <v>1.4000999999999999</v>
      </c>
      <c r="Z1188">
        <v>0.53259999999999996</v>
      </c>
      <c r="AG1188">
        <v>0.43149999999999999</v>
      </c>
      <c r="AI1188">
        <v>0.436</v>
      </c>
      <c r="BH1188" t="s">
        <v>126</v>
      </c>
      <c r="BI1188" t="s">
        <v>126</v>
      </c>
      <c r="BJ1188" t="s">
        <v>126</v>
      </c>
      <c r="BK1188" t="s">
        <v>126</v>
      </c>
      <c r="BS1188" t="s">
        <v>126</v>
      </c>
      <c r="BT1188" t="s">
        <v>126</v>
      </c>
      <c r="BU1188" t="s">
        <v>126</v>
      </c>
      <c r="BV1188" t="s">
        <v>126</v>
      </c>
      <c r="CN1188" t="s">
        <v>147</v>
      </c>
      <c r="CP1188" t="s">
        <v>310</v>
      </c>
      <c r="CQ1188" t="s">
        <v>147</v>
      </c>
    </row>
    <row r="1189" spans="1:95" x14ac:dyDescent="0.2">
      <c r="A1189" t="s">
        <v>115</v>
      </c>
      <c r="B1189" t="s">
        <v>116</v>
      </c>
      <c r="C1189">
        <v>210784</v>
      </c>
      <c r="E1189" t="s">
        <v>117</v>
      </c>
      <c r="F1189">
        <v>368</v>
      </c>
      <c r="G1189" t="s">
        <v>141</v>
      </c>
      <c r="H1189" t="s">
        <v>142</v>
      </c>
      <c r="I1189" t="s">
        <v>279</v>
      </c>
      <c r="J1189" t="s">
        <v>280</v>
      </c>
      <c r="L1189" t="s">
        <v>816</v>
      </c>
      <c r="M1189" s="8">
        <v>46113</v>
      </c>
      <c r="N1189">
        <v>5923079</v>
      </c>
      <c r="O1189" t="s">
        <v>123</v>
      </c>
      <c r="P1189" t="s">
        <v>146</v>
      </c>
      <c r="Q1189">
        <v>4.07</v>
      </c>
      <c r="R1189" t="s">
        <v>559</v>
      </c>
      <c r="S1189" t="s">
        <v>126</v>
      </c>
      <c r="T1189" t="s">
        <v>559</v>
      </c>
      <c r="U1189" t="s">
        <v>560</v>
      </c>
      <c r="W1189">
        <v>1.2544</v>
      </c>
      <c r="X1189">
        <v>2.8155999999999999</v>
      </c>
      <c r="Y1189">
        <v>4.07</v>
      </c>
      <c r="Z1189">
        <v>1.5482</v>
      </c>
      <c r="AG1189">
        <v>1.2544</v>
      </c>
      <c r="AI1189">
        <v>1.2674000000000001</v>
      </c>
      <c r="BH1189" t="s">
        <v>126</v>
      </c>
      <c r="BI1189" t="s">
        <v>126</v>
      </c>
      <c r="BJ1189" t="s">
        <v>126</v>
      </c>
      <c r="BK1189" t="s">
        <v>126</v>
      </c>
      <c r="BS1189" t="s">
        <v>126</v>
      </c>
      <c r="BT1189" t="s">
        <v>126</v>
      </c>
      <c r="BU1189" t="s">
        <v>126</v>
      </c>
      <c r="BV1189" t="s">
        <v>126</v>
      </c>
      <c r="CN1189" t="s">
        <v>147</v>
      </c>
      <c r="CP1189" t="s">
        <v>310</v>
      </c>
      <c r="CQ1189" t="s">
        <v>147</v>
      </c>
    </row>
    <row r="1190" spans="1:95" x14ac:dyDescent="0.2">
      <c r="A1190" t="s">
        <v>115</v>
      </c>
      <c r="B1190" t="s">
        <v>116</v>
      </c>
      <c r="C1190">
        <v>210784</v>
      </c>
      <c r="E1190" t="s">
        <v>117</v>
      </c>
      <c r="F1190">
        <v>368</v>
      </c>
      <c r="G1190" t="s">
        <v>141</v>
      </c>
      <c r="H1190" t="s">
        <v>142</v>
      </c>
      <c r="I1190" t="s">
        <v>279</v>
      </c>
      <c r="J1190" t="s">
        <v>280</v>
      </c>
      <c r="L1190" t="s">
        <v>817</v>
      </c>
      <c r="M1190" s="8">
        <v>46113</v>
      </c>
      <c r="N1190">
        <v>5924839</v>
      </c>
      <c r="O1190" t="s">
        <v>123</v>
      </c>
      <c r="P1190" t="s">
        <v>146</v>
      </c>
      <c r="Q1190">
        <v>1.76</v>
      </c>
      <c r="R1190" t="s">
        <v>559</v>
      </c>
      <c r="S1190" t="s">
        <v>126</v>
      </c>
      <c r="T1190" t="s">
        <v>559</v>
      </c>
      <c r="U1190" t="s">
        <v>560</v>
      </c>
      <c r="W1190">
        <v>0.54239999999999999</v>
      </c>
      <c r="X1190">
        <v>1.2176</v>
      </c>
      <c r="Y1190">
        <v>1.76</v>
      </c>
      <c r="Z1190">
        <v>0.66949999999999998</v>
      </c>
      <c r="AG1190">
        <v>0.54239999999999999</v>
      </c>
      <c r="AI1190">
        <v>0.54810000000000003</v>
      </c>
      <c r="BH1190" t="s">
        <v>126</v>
      </c>
      <c r="BI1190" t="s">
        <v>126</v>
      </c>
      <c r="BJ1190" t="s">
        <v>126</v>
      </c>
      <c r="BK1190" t="s">
        <v>126</v>
      </c>
      <c r="BS1190" t="s">
        <v>126</v>
      </c>
      <c r="BT1190" t="s">
        <v>126</v>
      </c>
      <c r="BU1190" t="s">
        <v>126</v>
      </c>
      <c r="BV1190" t="s">
        <v>126</v>
      </c>
      <c r="CN1190" t="s">
        <v>147</v>
      </c>
      <c r="CP1190" t="s">
        <v>818</v>
      </c>
      <c r="CQ1190" t="s">
        <v>147</v>
      </c>
    </row>
    <row r="1191" spans="1:95" x14ac:dyDescent="0.2">
      <c r="A1191" t="s">
        <v>115</v>
      </c>
      <c r="B1191" t="s">
        <v>116</v>
      </c>
      <c r="C1191">
        <v>210784</v>
      </c>
      <c r="E1191" t="s">
        <v>117</v>
      </c>
      <c r="F1191">
        <v>368</v>
      </c>
      <c r="G1191" t="s">
        <v>141</v>
      </c>
      <c r="H1191" t="s">
        <v>142</v>
      </c>
      <c r="I1191" t="s">
        <v>279</v>
      </c>
      <c r="J1191" t="s">
        <v>280</v>
      </c>
      <c r="L1191" t="s">
        <v>819</v>
      </c>
      <c r="M1191" s="8">
        <v>46113</v>
      </c>
      <c r="N1191">
        <v>5925691</v>
      </c>
      <c r="O1191" t="s">
        <v>123</v>
      </c>
      <c r="P1191" t="s">
        <v>146</v>
      </c>
      <c r="Q1191">
        <v>5.0899000000000001</v>
      </c>
      <c r="R1191" t="s">
        <v>559</v>
      </c>
      <c r="S1191" t="s">
        <v>126</v>
      </c>
      <c r="T1191" t="s">
        <v>559</v>
      </c>
      <c r="U1191" t="s">
        <v>560</v>
      </c>
      <c r="W1191">
        <v>1.5687</v>
      </c>
      <c r="X1191">
        <v>3.5211999999999999</v>
      </c>
      <c r="Y1191">
        <v>5.0899000000000001</v>
      </c>
      <c r="Z1191">
        <v>1.9361999999999999</v>
      </c>
      <c r="AG1191">
        <v>1.5687</v>
      </c>
      <c r="AI1191">
        <v>1.585</v>
      </c>
      <c r="BH1191" t="s">
        <v>126</v>
      </c>
      <c r="BI1191" t="s">
        <v>126</v>
      </c>
      <c r="BJ1191" t="s">
        <v>126</v>
      </c>
      <c r="BK1191" t="s">
        <v>126</v>
      </c>
      <c r="BS1191" t="s">
        <v>126</v>
      </c>
      <c r="BT1191" t="s">
        <v>126</v>
      </c>
      <c r="BU1191" t="s">
        <v>126</v>
      </c>
      <c r="BV1191" t="s">
        <v>126</v>
      </c>
      <c r="CN1191" t="s">
        <v>147</v>
      </c>
      <c r="CP1191" t="s">
        <v>818</v>
      </c>
      <c r="CQ1191" t="s">
        <v>147</v>
      </c>
    </row>
    <row r="1192" spans="1:95" x14ac:dyDescent="0.2">
      <c r="A1192" t="s">
        <v>115</v>
      </c>
      <c r="B1192" t="s">
        <v>116</v>
      </c>
      <c r="C1192">
        <v>210784</v>
      </c>
      <c r="E1192" t="s">
        <v>117</v>
      </c>
      <c r="F1192">
        <v>368</v>
      </c>
      <c r="G1192" t="s">
        <v>141</v>
      </c>
      <c r="H1192" t="s">
        <v>142</v>
      </c>
      <c r="I1192" t="s">
        <v>279</v>
      </c>
      <c r="J1192" t="s">
        <v>280</v>
      </c>
      <c r="L1192" t="s">
        <v>820</v>
      </c>
      <c r="M1192" s="8">
        <v>46113</v>
      </c>
      <c r="N1192">
        <v>5926801</v>
      </c>
      <c r="O1192" t="s">
        <v>123</v>
      </c>
      <c r="P1192" t="s">
        <v>146</v>
      </c>
      <c r="Q1192">
        <v>5</v>
      </c>
      <c r="R1192" t="s">
        <v>559</v>
      </c>
      <c r="S1192" t="s">
        <v>126</v>
      </c>
      <c r="T1192" t="s">
        <v>559</v>
      </c>
      <c r="U1192" t="s">
        <v>560</v>
      </c>
      <c r="W1192">
        <v>1.5409999999999999</v>
      </c>
      <c r="X1192">
        <v>3.4589999999999996</v>
      </c>
      <c r="Y1192">
        <v>5</v>
      </c>
      <c r="Z1192">
        <v>1.9019999999999999</v>
      </c>
      <c r="AG1192">
        <v>1.5409999999999999</v>
      </c>
      <c r="AI1192">
        <v>1.5569999999999999</v>
      </c>
      <c r="BH1192" t="s">
        <v>126</v>
      </c>
      <c r="BI1192" t="s">
        <v>126</v>
      </c>
      <c r="BJ1192" t="s">
        <v>126</v>
      </c>
      <c r="BK1192" t="s">
        <v>126</v>
      </c>
      <c r="BS1192" t="s">
        <v>126</v>
      </c>
      <c r="BT1192" t="s">
        <v>126</v>
      </c>
      <c r="BU1192" t="s">
        <v>126</v>
      </c>
      <c r="BV1192" t="s">
        <v>126</v>
      </c>
      <c r="CN1192" t="s">
        <v>147</v>
      </c>
      <c r="CP1192" t="s">
        <v>818</v>
      </c>
      <c r="CQ1192" t="s">
        <v>147</v>
      </c>
    </row>
    <row r="1193" spans="1:95" x14ac:dyDescent="0.2">
      <c r="A1193" t="s">
        <v>115</v>
      </c>
      <c r="B1193" t="s">
        <v>116</v>
      </c>
      <c r="C1193">
        <v>210784</v>
      </c>
      <c r="E1193" t="s">
        <v>117</v>
      </c>
      <c r="F1193">
        <v>368</v>
      </c>
      <c r="G1193" t="s">
        <v>141</v>
      </c>
      <c r="H1193" t="s">
        <v>142</v>
      </c>
      <c r="I1193" t="s">
        <v>279</v>
      </c>
      <c r="J1193" t="s">
        <v>280</v>
      </c>
      <c r="L1193" t="s">
        <v>140</v>
      </c>
      <c r="M1193" s="8">
        <v>46113</v>
      </c>
      <c r="N1193">
        <v>5909360</v>
      </c>
      <c r="O1193" t="s">
        <v>123</v>
      </c>
      <c r="P1193" t="s">
        <v>146</v>
      </c>
      <c r="Q1193">
        <v>4.93</v>
      </c>
      <c r="R1193" t="s">
        <v>125</v>
      </c>
      <c r="S1193" t="s">
        <v>126</v>
      </c>
      <c r="T1193" t="s">
        <v>125</v>
      </c>
      <c r="U1193" t="s">
        <v>126</v>
      </c>
      <c r="W1193">
        <v>4.93</v>
      </c>
      <c r="Y1193">
        <v>4.93</v>
      </c>
      <c r="BE1193">
        <v>4.93</v>
      </c>
      <c r="BH1193" t="s">
        <v>126</v>
      </c>
      <c r="BI1193" t="s">
        <v>126</v>
      </c>
      <c r="BJ1193" t="s">
        <v>126</v>
      </c>
      <c r="BK1193" t="s">
        <v>126</v>
      </c>
      <c r="BS1193" t="s">
        <v>126</v>
      </c>
      <c r="BT1193" t="s">
        <v>126</v>
      </c>
      <c r="BU1193" t="s">
        <v>126</v>
      </c>
      <c r="BV1193" t="s">
        <v>126</v>
      </c>
      <c r="CN1193" t="s">
        <v>147</v>
      </c>
      <c r="CP1193" t="s">
        <v>310</v>
      </c>
      <c r="CQ1193" t="s">
        <v>147</v>
      </c>
    </row>
    <row r="1194" spans="1:95" x14ac:dyDescent="0.2">
      <c r="A1194" t="s">
        <v>115</v>
      </c>
      <c r="B1194" t="s">
        <v>116</v>
      </c>
      <c r="C1194">
        <v>210784</v>
      </c>
      <c r="E1194" t="s">
        <v>117</v>
      </c>
      <c r="F1194">
        <v>368</v>
      </c>
      <c r="G1194" t="s">
        <v>141</v>
      </c>
      <c r="H1194" t="s">
        <v>142</v>
      </c>
      <c r="I1194" t="s">
        <v>279</v>
      </c>
      <c r="J1194" t="s">
        <v>280</v>
      </c>
      <c r="L1194" t="s">
        <v>916</v>
      </c>
      <c r="M1194" s="8">
        <v>46113</v>
      </c>
      <c r="N1194">
        <v>5910065</v>
      </c>
      <c r="O1194" t="s">
        <v>123</v>
      </c>
      <c r="P1194" t="s">
        <v>146</v>
      </c>
      <c r="Q1194">
        <v>3.4</v>
      </c>
      <c r="R1194" t="s">
        <v>125</v>
      </c>
      <c r="S1194" t="s">
        <v>126</v>
      </c>
      <c r="T1194" t="s">
        <v>125</v>
      </c>
      <c r="U1194" t="s">
        <v>126</v>
      </c>
      <c r="W1194">
        <v>3.4</v>
      </c>
      <c r="Y1194">
        <v>3.4</v>
      </c>
      <c r="BE1194">
        <v>3.4</v>
      </c>
      <c r="BH1194" t="s">
        <v>126</v>
      </c>
      <c r="BI1194" t="s">
        <v>126</v>
      </c>
      <c r="BJ1194" t="s">
        <v>126</v>
      </c>
      <c r="BK1194" t="s">
        <v>126</v>
      </c>
      <c r="BS1194" t="s">
        <v>126</v>
      </c>
      <c r="BT1194" t="s">
        <v>126</v>
      </c>
      <c r="BU1194" t="s">
        <v>126</v>
      </c>
      <c r="BV1194" t="s">
        <v>126</v>
      </c>
      <c r="CN1194" t="s">
        <v>147</v>
      </c>
      <c r="CP1194" t="s">
        <v>310</v>
      </c>
      <c r="CQ1194" t="s">
        <v>147</v>
      </c>
    </row>
    <row r="1195" spans="1:95" x14ac:dyDescent="0.2">
      <c r="A1195" t="s">
        <v>115</v>
      </c>
      <c r="B1195" t="s">
        <v>116</v>
      </c>
      <c r="C1195">
        <v>210784</v>
      </c>
      <c r="E1195" t="s">
        <v>117</v>
      </c>
      <c r="F1195">
        <v>368</v>
      </c>
      <c r="G1195" t="s">
        <v>141</v>
      </c>
      <c r="H1195" t="s">
        <v>142</v>
      </c>
      <c r="I1195" t="s">
        <v>279</v>
      </c>
      <c r="J1195" t="s">
        <v>280</v>
      </c>
      <c r="L1195" t="s">
        <v>310</v>
      </c>
      <c r="M1195" s="8">
        <v>46143</v>
      </c>
      <c r="N1195">
        <v>5928494</v>
      </c>
      <c r="O1195" t="s">
        <v>123</v>
      </c>
      <c r="P1195" t="s">
        <v>146</v>
      </c>
      <c r="Q1195">
        <v>5.0199999999999996</v>
      </c>
      <c r="R1195" t="s">
        <v>559</v>
      </c>
      <c r="S1195" t="s">
        <v>126</v>
      </c>
      <c r="T1195" t="s">
        <v>559</v>
      </c>
      <c r="U1195" t="s">
        <v>560</v>
      </c>
      <c r="W1195">
        <v>1.5471999999999999</v>
      </c>
      <c r="X1195">
        <v>3.4727999999999999</v>
      </c>
      <c r="Y1195">
        <v>5.0199999999999996</v>
      </c>
      <c r="Z1195">
        <v>1.9096</v>
      </c>
      <c r="AG1195">
        <v>1.5471999999999999</v>
      </c>
      <c r="AI1195">
        <v>1.5631999999999999</v>
      </c>
      <c r="BH1195" t="s">
        <v>126</v>
      </c>
      <c r="BI1195" t="s">
        <v>126</v>
      </c>
      <c r="BJ1195" t="s">
        <v>126</v>
      </c>
      <c r="BK1195" t="s">
        <v>126</v>
      </c>
      <c r="BS1195" t="s">
        <v>126</v>
      </c>
      <c r="BT1195" t="s">
        <v>126</v>
      </c>
      <c r="BU1195" t="s">
        <v>126</v>
      </c>
      <c r="BV1195" t="s">
        <v>126</v>
      </c>
      <c r="CN1195" t="s">
        <v>147</v>
      </c>
      <c r="CP1195" t="s">
        <v>818</v>
      </c>
      <c r="CQ1195" t="s">
        <v>147</v>
      </c>
    </row>
    <row r="1196" spans="1:95" x14ac:dyDescent="0.2">
      <c r="A1196" t="s">
        <v>115</v>
      </c>
      <c r="B1196" t="s">
        <v>116</v>
      </c>
      <c r="C1196">
        <v>210784</v>
      </c>
      <c r="E1196" t="s">
        <v>117</v>
      </c>
      <c r="F1196">
        <v>368</v>
      </c>
      <c r="G1196" t="s">
        <v>141</v>
      </c>
      <c r="H1196" t="s">
        <v>142</v>
      </c>
      <c r="I1196" t="s">
        <v>279</v>
      </c>
      <c r="J1196" t="s">
        <v>280</v>
      </c>
      <c r="L1196" t="s">
        <v>821</v>
      </c>
      <c r="M1196" s="8">
        <v>46143</v>
      </c>
      <c r="N1196">
        <v>5929437</v>
      </c>
      <c r="O1196" t="s">
        <v>123</v>
      </c>
      <c r="P1196" t="s">
        <v>146</v>
      </c>
      <c r="Q1196">
        <v>9.73</v>
      </c>
      <c r="R1196" t="s">
        <v>559</v>
      </c>
      <c r="S1196" t="s">
        <v>126</v>
      </c>
      <c r="T1196" t="s">
        <v>559</v>
      </c>
      <c r="U1196" t="s">
        <v>560</v>
      </c>
      <c r="W1196">
        <v>2.9988000000000001</v>
      </c>
      <c r="X1196">
        <v>6.7311999999999994</v>
      </c>
      <c r="Y1196">
        <v>9.73</v>
      </c>
      <c r="Z1196">
        <v>3.7012999999999998</v>
      </c>
      <c r="AG1196">
        <v>2.9988000000000001</v>
      </c>
      <c r="AI1196">
        <v>3.0299</v>
      </c>
      <c r="BH1196" t="s">
        <v>126</v>
      </c>
      <c r="BI1196" t="s">
        <v>126</v>
      </c>
      <c r="BJ1196" t="s">
        <v>126</v>
      </c>
      <c r="BK1196" t="s">
        <v>126</v>
      </c>
      <c r="BS1196" t="s">
        <v>126</v>
      </c>
      <c r="BT1196" t="s">
        <v>126</v>
      </c>
      <c r="BU1196" t="s">
        <v>126</v>
      </c>
      <c r="BV1196" t="s">
        <v>126</v>
      </c>
      <c r="CN1196" t="s">
        <v>147</v>
      </c>
      <c r="CP1196" t="s">
        <v>818</v>
      </c>
      <c r="CQ1196" t="s">
        <v>147</v>
      </c>
    </row>
    <row r="1197" spans="1:95" x14ac:dyDescent="0.2">
      <c r="A1197" t="s">
        <v>115</v>
      </c>
      <c r="B1197" t="s">
        <v>116</v>
      </c>
      <c r="C1197">
        <v>210784</v>
      </c>
      <c r="E1197" t="s">
        <v>117</v>
      </c>
      <c r="F1197">
        <v>368</v>
      </c>
      <c r="G1197" t="s">
        <v>141</v>
      </c>
      <c r="H1197" t="s">
        <v>142</v>
      </c>
      <c r="I1197" t="s">
        <v>279</v>
      </c>
      <c r="J1197" t="s">
        <v>280</v>
      </c>
      <c r="L1197" t="s">
        <v>822</v>
      </c>
      <c r="M1197" s="8">
        <v>46143</v>
      </c>
      <c r="N1197">
        <v>5930198</v>
      </c>
      <c r="O1197" t="s">
        <v>123</v>
      </c>
      <c r="P1197" t="s">
        <v>146</v>
      </c>
      <c r="Q1197">
        <v>1.67</v>
      </c>
      <c r="R1197" t="s">
        <v>559</v>
      </c>
      <c r="S1197" t="s">
        <v>126</v>
      </c>
      <c r="T1197" t="s">
        <v>559</v>
      </c>
      <c r="U1197" t="s">
        <v>560</v>
      </c>
      <c r="W1197">
        <v>0.51470000000000005</v>
      </c>
      <c r="X1197">
        <v>1.1553</v>
      </c>
      <c r="Y1197">
        <v>1.67</v>
      </c>
      <c r="Z1197">
        <v>0.63529999999999998</v>
      </c>
      <c r="AG1197">
        <v>0.51470000000000005</v>
      </c>
      <c r="AI1197">
        <v>0.52</v>
      </c>
      <c r="BH1197" t="s">
        <v>126</v>
      </c>
      <c r="BI1197" t="s">
        <v>126</v>
      </c>
      <c r="BJ1197" t="s">
        <v>126</v>
      </c>
      <c r="BK1197" t="s">
        <v>126</v>
      </c>
      <c r="BS1197" t="s">
        <v>126</v>
      </c>
      <c r="BT1197" t="s">
        <v>126</v>
      </c>
      <c r="BU1197" t="s">
        <v>126</v>
      </c>
      <c r="BV1197" t="s">
        <v>126</v>
      </c>
      <c r="CN1197" t="s">
        <v>147</v>
      </c>
      <c r="CP1197" t="s">
        <v>818</v>
      </c>
      <c r="CQ1197" t="s">
        <v>147</v>
      </c>
    </row>
    <row r="1198" spans="1:95" x14ac:dyDescent="0.2">
      <c r="A1198" t="s">
        <v>115</v>
      </c>
      <c r="B1198" t="s">
        <v>116</v>
      </c>
      <c r="C1198">
        <v>210784</v>
      </c>
      <c r="E1198" t="s">
        <v>117</v>
      </c>
      <c r="F1198">
        <v>368</v>
      </c>
      <c r="G1198" t="s">
        <v>141</v>
      </c>
      <c r="H1198" t="s">
        <v>142</v>
      </c>
      <c r="I1198" t="s">
        <v>279</v>
      </c>
      <c r="J1198" t="s">
        <v>280</v>
      </c>
      <c r="L1198" t="s">
        <v>823</v>
      </c>
      <c r="M1198" s="8">
        <v>46143</v>
      </c>
      <c r="N1198">
        <v>5932534</v>
      </c>
      <c r="O1198" t="s">
        <v>123</v>
      </c>
      <c r="P1198" t="s">
        <v>146</v>
      </c>
      <c r="Q1198">
        <v>4.5599999999999996</v>
      </c>
      <c r="R1198" t="s">
        <v>559</v>
      </c>
      <c r="S1198" t="s">
        <v>126</v>
      </c>
      <c r="T1198" t="s">
        <v>559</v>
      </c>
      <c r="U1198" t="s">
        <v>560</v>
      </c>
      <c r="W1198">
        <v>1.4054</v>
      </c>
      <c r="X1198">
        <v>3.1545999999999998</v>
      </c>
      <c r="Y1198">
        <v>4.5599999999999996</v>
      </c>
      <c r="Z1198">
        <v>1.7345999999999999</v>
      </c>
      <c r="AG1198">
        <v>1.4054</v>
      </c>
      <c r="AI1198">
        <v>1.42</v>
      </c>
      <c r="BH1198" t="s">
        <v>126</v>
      </c>
      <c r="BI1198" t="s">
        <v>126</v>
      </c>
      <c r="BJ1198" t="s">
        <v>126</v>
      </c>
      <c r="BK1198" t="s">
        <v>126</v>
      </c>
      <c r="BS1198" t="s">
        <v>126</v>
      </c>
      <c r="BT1198" t="s">
        <v>126</v>
      </c>
      <c r="BU1198" t="s">
        <v>126</v>
      </c>
      <c r="BV1198" t="s">
        <v>126</v>
      </c>
      <c r="CN1198" t="s">
        <v>147</v>
      </c>
      <c r="CP1198" t="s">
        <v>818</v>
      </c>
      <c r="CQ1198" t="s">
        <v>147</v>
      </c>
    </row>
    <row r="1199" spans="1:95" x14ac:dyDescent="0.2">
      <c r="A1199" t="s">
        <v>115</v>
      </c>
      <c r="B1199" t="s">
        <v>116</v>
      </c>
      <c r="C1199">
        <v>210784</v>
      </c>
      <c r="E1199" t="s">
        <v>117</v>
      </c>
      <c r="F1199">
        <v>368</v>
      </c>
      <c r="G1199" t="s">
        <v>141</v>
      </c>
      <c r="H1199" t="s">
        <v>142</v>
      </c>
      <c r="I1199" t="s">
        <v>279</v>
      </c>
      <c r="J1199" t="s">
        <v>280</v>
      </c>
      <c r="L1199" t="s">
        <v>824</v>
      </c>
      <c r="M1199" s="8">
        <v>46143</v>
      </c>
      <c r="N1199">
        <v>5933636</v>
      </c>
      <c r="O1199" t="s">
        <v>123</v>
      </c>
      <c r="P1199" t="s">
        <v>146</v>
      </c>
      <c r="Q1199">
        <v>4.3599999999999994</v>
      </c>
      <c r="R1199" t="s">
        <v>559</v>
      </c>
      <c r="S1199" t="s">
        <v>126</v>
      </c>
      <c r="T1199" t="s">
        <v>559</v>
      </c>
      <c r="U1199" t="s">
        <v>560</v>
      </c>
      <c r="W1199">
        <v>1.3438000000000001</v>
      </c>
      <c r="X1199">
        <v>3.0162</v>
      </c>
      <c r="Y1199">
        <v>4.3599999999999994</v>
      </c>
      <c r="Z1199">
        <v>1.6585000000000001</v>
      </c>
      <c r="AG1199">
        <v>1.3438000000000001</v>
      </c>
      <c r="AI1199">
        <v>1.3576999999999999</v>
      </c>
      <c r="BH1199" t="s">
        <v>126</v>
      </c>
      <c r="BI1199" t="s">
        <v>126</v>
      </c>
      <c r="BJ1199" t="s">
        <v>126</v>
      </c>
      <c r="BK1199" t="s">
        <v>126</v>
      </c>
      <c r="BS1199" t="s">
        <v>126</v>
      </c>
      <c r="BT1199" t="s">
        <v>126</v>
      </c>
      <c r="BU1199" t="s">
        <v>126</v>
      </c>
      <c r="BV1199" t="s">
        <v>126</v>
      </c>
      <c r="CN1199" t="s">
        <v>147</v>
      </c>
      <c r="CP1199" t="s">
        <v>818</v>
      </c>
      <c r="CQ1199" t="s">
        <v>147</v>
      </c>
    </row>
    <row r="1200" spans="1:95" x14ac:dyDescent="0.2">
      <c r="A1200" t="s">
        <v>115</v>
      </c>
      <c r="B1200" t="s">
        <v>116</v>
      </c>
      <c r="C1200">
        <v>210784</v>
      </c>
      <c r="E1200" t="s">
        <v>117</v>
      </c>
      <c r="F1200">
        <v>368</v>
      </c>
      <c r="G1200" t="s">
        <v>141</v>
      </c>
      <c r="H1200" t="s">
        <v>142</v>
      </c>
      <c r="I1200" t="s">
        <v>279</v>
      </c>
      <c r="J1200" t="s">
        <v>280</v>
      </c>
      <c r="L1200" t="s">
        <v>825</v>
      </c>
      <c r="M1200" s="8">
        <v>46143</v>
      </c>
      <c r="N1200">
        <v>5935732</v>
      </c>
      <c r="O1200" t="s">
        <v>123</v>
      </c>
      <c r="P1200" t="s">
        <v>146</v>
      </c>
      <c r="Q1200">
        <v>2.0299</v>
      </c>
      <c r="R1200" t="s">
        <v>559</v>
      </c>
      <c r="S1200" t="s">
        <v>126</v>
      </c>
      <c r="T1200" t="s">
        <v>559</v>
      </c>
      <c r="U1200" t="s">
        <v>560</v>
      </c>
      <c r="W1200">
        <v>0.62560000000000004</v>
      </c>
      <c r="X1200">
        <v>1.4043000000000001</v>
      </c>
      <c r="Y1200">
        <v>2.0299</v>
      </c>
      <c r="Z1200">
        <v>0.7722</v>
      </c>
      <c r="AG1200">
        <v>0.62560000000000004</v>
      </c>
      <c r="AI1200">
        <v>0.6321</v>
      </c>
      <c r="BH1200" t="s">
        <v>126</v>
      </c>
      <c r="BI1200" t="s">
        <v>126</v>
      </c>
      <c r="BJ1200" t="s">
        <v>126</v>
      </c>
      <c r="BK1200" t="s">
        <v>126</v>
      </c>
      <c r="BS1200" t="s">
        <v>126</v>
      </c>
      <c r="BT1200" t="s">
        <v>126</v>
      </c>
      <c r="BU1200" t="s">
        <v>126</v>
      </c>
      <c r="BV1200" t="s">
        <v>126</v>
      </c>
      <c r="CN1200" t="s">
        <v>147</v>
      </c>
      <c r="CP1200" t="s">
        <v>818</v>
      </c>
      <c r="CQ1200" t="s">
        <v>147</v>
      </c>
    </row>
    <row r="1201" spans="1:95" x14ac:dyDescent="0.2">
      <c r="A1201" t="s">
        <v>115</v>
      </c>
      <c r="B1201" t="s">
        <v>116</v>
      </c>
      <c r="C1201">
        <v>210784</v>
      </c>
      <c r="E1201" t="s">
        <v>117</v>
      </c>
      <c r="F1201">
        <v>368</v>
      </c>
      <c r="G1201" t="s">
        <v>141</v>
      </c>
      <c r="H1201" t="s">
        <v>142</v>
      </c>
      <c r="I1201" t="s">
        <v>279</v>
      </c>
      <c r="J1201" t="s">
        <v>280</v>
      </c>
      <c r="L1201" t="s">
        <v>826</v>
      </c>
      <c r="M1201" s="8">
        <v>46143</v>
      </c>
      <c r="N1201">
        <v>5937884</v>
      </c>
      <c r="O1201" t="s">
        <v>123</v>
      </c>
      <c r="P1201" t="s">
        <v>146</v>
      </c>
      <c r="Q1201">
        <v>3.51</v>
      </c>
      <c r="R1201" t="s">
        <v>559</v>
      </c>
      <c r="S1201" t="s">
        <v>126</v>
      </c>
      <c r="T1201" t="s">
        <v>559</v>
      </c>
      <c r="U1201" t="s">
        <v>560</v>
      </c>
      <c r="W1201">
        <v>1.0818000000000001</v>
      </c>
      <c r="X1201">
        <v>2.4281999999999999</v>
      </c>
      <c r="Y1201">
        <v>3.51</v>
      </c>
      <c r="Z1201">
        <v>1.3351999999999999</v>
      </c>
      <c r="AG1201">
        <v>1.0818000000000001</v>
      </c>
      <c r="AI1201">
        <v>1.093</v>
      </c>
      <c r="BH1201" t="s">
        <v>126</v>
      </c>
      <c r="BI1201" t="s">
        <v>126</v>
      </c>
      <c r="BJ1201" t="s">
        <v>126</v>
      </c>
      <c r="BK1201" t="s">
        <v>126</v>
      </c>
      <c r="BS1201" t="s">
        <v>126</v>
      </c>
      <c r="BT1201" t="s">
        <v>126</v>
      </c>
      <c r="BU1201" t="s">
        <v>126</v>
      </c>
      <c r="BV1201" t="s">
        <v>126</v>
      </c>
      <c r="CN1201" t="s">
        <v>147</v>
      </c>
      <c r="CP1201" t="s">
        <v>818</v>
      </c>
      <c r="CQ1201" t="s">
        <v>147</v>
      </c>
    </row>
    <row r="1202" spans="1:95" x14ac:dyDescent="0.2">
      <c r="A1202" t="s">
        <v>115</v>
      </c>
      <c r="B1202" t="s">
        <v>116</v>
      </c>
      <c r="C1202">
        <v>210784</v>
      </c>
      <c r="E1202" t="s">
        <v>117</v>
      </c>
      <c r="F1202">
        <v>368</v>
      </c>
      <c r="G1202" t="s">
        <v>141</v>
      </c>
      <c r="H1202" t="s">
        <v>142</v>
      </c>
      <c r="I1202" t="s">
        <v>279</v>
      </c>
      <c r="J1202" t="s">
        <v>280</v>
      </c>
      <c r="L1202" t="s">
        <v>827</v>
      </c>
      <c r="M1202" s="8">
        <v>46143</v>
      </c>
      <c r="N1202">
        <v>5940159</v>
      </c>
      <c r="O1202" t="s">
        <v>123</v>
      </c>
      <c r="P1202" t="s">
        <v>146</v>
      </c>
      <c r="Q1202">
        <v>7.06</v>
      </c>
      <c r="R1202" t="s">
        <v>559</v>
      </c>
      <c r="S1202" t="s">
        <v>126</v>
      </c>
      <c r="T1202" t="s">
        <v>559</v>
      </c>
      <c r="U1202" t="s">
        <v>560</v>
      </c>
      <c r="W1202">
        <v>2.1758999999999999</v>
      </c>
      <c r="X1202">
        <v>4.8841000000000001</v>
      </c>
      <c r="Y1202">
        <v>7.06</v>
      </c>
      <c r="Z1202">
        <v>2.6856</v>
      </c>
      <c r="AG1202">
        <v>2.1758999999999999</v>
      </c>
      <c r="AI1202">
        <v>2.1985000000000001</v>
      </c>
      <c r="BH1202" t="s">
        <v>126</v>
      </c>
      <c r="BI1202" t="s">
        <v>126</v>
      </c>
      <c r="BJ1202" t="s">
        <v>126</v>
      </c>
      <c r="BK1202" t="s">
        <v>126</v>
      </c>
      <c r="BS1202" t="s">
        <v>126</v>
      </c>
      <c r="BT1202" t="s">
        <v>126</v>
      </c>
      <c r="BU1202" t="s">
        <v>126</v>
      </c>
      <c r="BV1202" t="s">
        <v>126</v>
      </c>
      <c r="CN1202" t="s">
        <v>147</v>
      </c>
      <c r="CP1202" t="s">
        <v>818</v>
      </c>
      <c r="CQ1202" t="s">
        <v>147</v>
      </c>
    </row>
    <row r="1203" spans="1:95" x14ac:dyDescent="0.2">
      <c r="A1203" t="s">
        <v>115</v>
      </c>
      <c r="B1203" t="s">
        <v>116</v>
      </c>
      <c r="C1203">
        <v>210784</v>
      </c>
      <c r="E1203" t="s">
        <v>117</v>
      </c>
      <c r="F1203">
        <v>368</v>
      </c>
      <c r="G1203" t="s">
        <v>141</v>
      </c>
      <c r="H1203" t="s">
        <v>142</v>
      </c>
      <c r="I1203" t="s">
        <v>279</v>
      </c>
      <c r="J1203" t="s">
        <v>280</v>
      </c>
      <c r="L1203" t="s">
        <v>828</v>
      </c>
      <c r="M1203" s="8">
        <v>46143</v>
      </c>
      <c r="N1203">
        <v>5942596</v>
      </c>
      <c r="O1203" t="s">
        <v>123</v>
      </c>
      <c r="P1203" t="s">
        <v>146</v>
      </c>
      <c r="Q1203">
        <v>5.2</v>
      </c>
      <c r="R1203" t="s">
        <v>559</v>
      </c>
      <c r="S1203" t="s">
        <v>126</v>
      </c>
      <c r="T1203" t="s">
        <v>559</v>
      </c>
      <c r="U1203" t="s">
        <v>560</v>
      </c>
      <c r="W1203">
        <v>1.6026</v>
      </c>
      <c r="X1203">
        <v>3.5973999999999999</v>
      </c>
      <c r="Y1203">
        <v>5.2</v>
      </c>
      <c r="Z1203">
        <v>1.9781</v>
      </c>
      <c r="AG1203">
        <v>1.6026</v>
      </c>
      <c r="AI1203">
        <v>1.6193</v>
      </c>
      <c r="BH1203" t="s">
        <v>126</v>
      </c>
      <c r="BI1203" t="s">
        <v>126</v>
      </c>
      <c r="BJ1203" t="s">
        <v>126</v>
      </c>
      <c r="BK1203" t="s">
        <v>126</v>
      </c>
      <c r="BS1203" t="s">
        <v>126</v>
      </c>
      <c r="BT1203" t="s">
        <v>126</v>
      </c>
      <c r="BU1203" t="s">
        <v>126</v>
      </c>
      <c r="BV1203" t="s">
        <v>126</v>
      </c>
      <c r="CN1203" t="s">
        <v>147</v>
      </c>
      <c r="CP1203" t="s">
        <v>818</v>
      </c>
      <c r="CQ1203" t="s">
        <v>147</v>
      </c>
    </row>
    <row r="1204" spans="1:95" x14ac:dyDescent="0.2">
      <c r="A1204" t="s">
        <v>115</v>
      </c>
      <c r="B1204" t="s">
        <v>116</v>
      </c>
      <c r="C1204">
        <v>210784</v>
      </c>
      <c r="E1204" t="s">
        <v>117</v>
      </c>
      <c r="F1204">
        <v>368</v>
      </c>
      <c r="G1204" t="s">
        <v>141</v>
      </c>
      <c r="H1204" t="s">
        <v>142</v>
      </c>
      <c r="I1204" t="s">
        <v>279</v>
      </c>
      <c r="J1204" t="s">
        <v>280</v>
      </c>
      <c r="L1204" t="s">
        <v>829</v>
      </c>
      <c r="M1204" s="8">
        <v>46143</v>
      </c>
      <c r="N1204">
        <v>5943942</v>
      </c>
      <c r="O1204" t="s">
        <v>123</v>
      </c>
      <c r="P1204" t="s">
        <v>146</v>
      </c>
      <c r="Q1204">
        <v>5.71</v>
      </c>
      <c r="R1204" t="s">
        <v>559</v>
      </c>
      <c r="S1204" t="s">
        <v>126</v>
      </c>
      <c r="T1204" t="s">
        <v>559</v>
      </c>
      <c r="U1204" t="s">
        <v>560</v>
      </c>
      <c r="W1204">
        <v>1.76</v>
      </c>
      <c r="X1204">
        <v>3.95</v>
      </c>
      <c r="Y1204">
        <v>5.71</v>
      </c>
      <c r="Z1204">
        <v>2.25</v>
      </c>
      <c r="AG1204">
        <v>1.76</v>
      </c>
      <c r="AI1204">
        <v>1.7</v>
      </c>
      <c r="BH1204" t="s">
        <v>126</v>
      </c>
      <c r="BI1204" t="s">
        <v>126</v>
      </c>
      <c r="BJ1204" t="s">
        <v>126</v>
      </c>
      <c r="BK1204" t="s">
        <v>126</v>
      </c>
      <c r="BS1204" t="s">
        <v>126</v>
      </c>
      <c r="BT1204" t="s">
        <v>126</v>
      </c>
      <c r="BU1204" t="s">
        <v>126</v>
      </c>
      <c r="BV1204" t="s">
        <v>126</v>
      </c>
      <c r="CN1204" t="s">
        <v>147</v>
      </c>
      <c r="CP1204" t="s">
        <v>830</v>
      </c>
      <c r="CQ1204" t="s">
        <v>147</v>
      </c>
    </row>
    <row r="1205" spans="1:95" x14ac:dyDescent="0.2">
      <c r="A1205" t="s">
        <v>115</v>
      </c>
      <c r="B1205" t="s">
        <v>116</v>
      </c>
      <c r="C1205">
        <v>210784</v>
      </c>
      <c r="E1205" t="s">
        <v>117</v>
      </c>
      <c r="F1205">
        <v>368</v>
      </c>
      <c r="G1205" t="s">
        <v>141</v>
      </c>
      <c r="H1205" t="s">
        <v>142</v>
      </c>
      <c r="I1205" t="s">
        <v>279</v>
      </c>
      <c r="J1205" t="s">
        <v>280</v>
      </c>
      <c r="L1205" t="s">
        <v>831</v>
      </c>
      <c r="M1205" s="8">
        <v>46174</v>
      </c>
      <c r="N1205">
        <v>5948631</v>
      </c>
      <c r="O1205" t="s">
        <v>123</v>
      </c>
      <c r="P1205" t="s">
        <v>146</v>
      </c>
      <c r="Q1205">
        <v>2.5099999999999998</v>
      </c>
      <c r="R1205" t="s">
        <v>559</v>
      </c>
      <c r="S1205" t="s">
        <v>126</v>
      </c>
      <c r="T1205" t="s">
        <v>559</v>
      </c>
      <c r="U1205" t="s">
        <v>560</v>
      </c>
      <c r="W1205">
        <v>0.77359999999999995</v>
      </c>
      <c r="X1205">
        <v>1.7363999999999999</v>
      </c>
      <c r="Y1205">
        <v>2.5099999999999998</v>
      </c>
      <c r="Z1205">
        <v>0.95479999999999998</v>
      </c>
      <c r="AG1205">
        <v>0.77359999999999995</v>
      </c>
      <c r="AI1205">
        <v>0.78159999999999996</v>
      </c>
      <c r="BH1205" t="s">
        <v>126</v>
      </c>
      <c r="BI1205" t="s">
        <v>126</v>
      </c>
      <c r="BJ1205" t="s">
        <v>126</v>
      </c>
      <c r="BK1205" t="s">
        <v>126</v>
      </c>
      <c r="BS1205" t="s">
        <v>126</v>
      </c>
      <c r="BT1205" t="s">
        <v>126</v>
      </c>
      <c r="BU1205" t="s">
        <v>126</v>
      </c>
      <c r="BV1205" t="s">
        <v>126</v>
      </c>
      <c r="CN1205" t="s">
        <v>147</v>
      </c>
      <c r="CP1205" t="s">
        <v>830</v>
      </c>
      <c r="CQ1205" t="s">
        <v>147</v>
      </c>
    </row>
    <row r="1206" spans="1:95" x14ac:dyDescent="0.2">
      <c r="A1206" t="s">
        <v>115</v>
      </c>
      <c r="B1206" t="s">
        <v>116</v>
      </c>
      <c r="C1206">
        <v>210784</v>
      </c>
      <c r="E1206" t="s">
        <v>117</v>
      </c>
      <c r="F1206">
        <v>368</v>
      </c>
      <c r="G1206" t="s">
        <v>141</v>
      </c>
      <c r="H1206" t="s">
        <v>142</v>
      </c>
      <c r="I1206" t="s">
        <v>279</v>
      </c>
      <c r="J1206" t="s">
        <v>280</v>
      </c>
      <c r="L1206" t="s">
        <v>832</v>
      </c>
      <c r="M1206" s="8">
        <v>46174</v>
      </c>
      <c r="N1206">
        <v>5950358</v>
      </c>
      <c r="O1206" t="s">
        <v>123</v>
      </c>
      <c r="P1206" t="s">
        <v>146</v>
      </c>
      <c r="Q1206">
        <v>3.02</v>
      </c>
      <c r="R1206" t="s">
        <v>559</v>
      </c>
      <c r="S1206" t="s">
        <v>126</v>
      </c>
      <c r="T1206" t="s">
        <v>559</v>
      </c>
      <c r="U1206" t="s">
        <v>560</v>
      </c>
      <c r="W1206">
        <v>0.93079999999999996</v>
      </c>
      <c r="X1206">
        <v>2.0891999999999999</v>
      </c>
      <c r="Y1206">
        <v>3.02</v>
      </c>
      <c r="Z1206">
        <v>1.1488</v>
      </c>
      <c r="AG1206">
        <v>0.93079999999999996</v>
      </c>
      <c r="AI1206">
        <v>0.94040000000000001</v>
      </c>
      <c r="BH1206" t="s">
        <v>126</v>
      </c>
      <c r="BI1206" t="s">
        <v>126</v>
      </c>
      <c r="BJ1206" t="s">
        <v>126</v>
      </c>
      <c r="BK1206" t="s">
        <v>126</v>
      </c>
      <c r="BS1206" t="s">
        <v>126</v>
      </c>
      <c r="BT1206" t="s">
        <v>126</v>
      </c>
      <c r="BU1206" t="s">
        <v>126</v>
      </c>
      <c r="BV1206" t="s">
        <v>126</v>
      </c>
      <c r="CN1206" t="s">
        <v>147</v>
      </c>
      <c r="CP1206" t="s">
        <v>830</v>
      </c>
      <c r="CQ1206" t="s">
        <v>147</v>
      </c>
    </row>
    <row r="1207" spans="1:95" x14ac:dyDescent="0.2">
      <c r="A1207" t="s">
        <v>115</v>
      </c>
      <c r="B1207" t="s">
        <v>116</v>
      </c>
      <c r="C1207">
        <v>210784</v>
      </c>
      <c r="E1207" t="s">
        <v>117</v>
      </c>
      <c r="F1207">
        <v>368</v>
      </c>
      <c r="G1207" t="s">
        <v>141</v>
      </c>
      <c r="H1207" t="s">
        <v>142</v>
      </c>
      <c r="I1207" t="s">
        <v>279</v>
      </c>
      <c r="J1207" t="s">
        <v>280</v>
      </c>
      <c r="L1207" t="s">
        <v>833</v>
      </c>
      <c r="M1207" s="8">
        <v>46174</v>
      </c>
      <c r="N1207">
        <v>5952010</v>
      </c>
      <c r="O1207" t="s">
        <v>123</v>
      </c>
      <c r="P1207" t="s">
        <v>146</v>
      </c>
      <c r="Q1207">
        <v>2.79</v>
      </c>
      <c r="R1207" t="s">
        <v>559</v>
      </c>
      <c r="S1207" t="s">
        <v>126</v>
      </c>
      <c r="T1207" t="s">
        <v>559</v>
      </c>
      <c r="U1207" t="s">
        <v>560</v>
      </c>
      <c r="W1207">
        <v>0.8599</v>
      </c>
      <c r="X1207">
        <v>1.9300999999999999</v>
      </c>
      <c r="Y1207">
        <v>2.79</v>
      </c>
      <c r="Z1207">
        <v>1.0612999999999999</v>
      </c>
      <c r="AG1207">
        <v>0.8599</v>
      </c>
      <c r="AI1207">
        <v>0.86880000000000002</v>
      </c>
      <c r="BH1207" t="s">
        <v>126</v>
      </c>
      <c r="BI1207" t="s">
        <v>126</v>
      </c>
      <c r="BJ1207" t="s">
        <v>126</v>
      </c>
      <c r="BK1207" t="s">
        <v>126</v>
      </c>
      <c r="BS1207" t="s">
        <v>126</v>
      </c>
      <c r="BT1207" t="s">
        <v>126</v>
      </c>
      <c r="BU1207" t="s">
        <v>126</v>
      </c>
      <c r="BV1207" t="s">
        <v>126</v>
      </c>
      <c r="CN1207" t="s">
        <v>147</v>
      </c>
      <c r="CP1207" t="s">
        <v>830</v>
      </c>
      <c r="CQ1207" t="s">
        <v>147</v>
      </c>
    </row>
    <row r="1208" spans="1:95" x14ac:dyDescent="0.2">
      <c r="A1208" t="s">
        <v>115</v>
      </c>
      <c r="B1208" t="s">
        <v>116</v>
      </c>
      <c r="C1208">
        <v>210784</v>
      </c>
      <c r="E1208" t="s">
        <v>117</v>
      </c>
      <c r="F1208">
        <v>368</v>
      </c>
      <c r="G1208" t="s">
        <v>141</v>
      </c>
      <c r="H1208" t="s">
        <v>142</v>
      </c>
      <c r="I1208" t="s">
        <v>279</v>
      </c>
      <c r="J1208" t="s">
        <v>280</v>
      </c>
      <c r="L1208" t="s">
        <v>834</v>
      </c>
      <c r="M1208" s="8">
        <v>46174</v>
      </c>
      <c r="N1208">
        <v>5953005</v>
      </c>
      <c r="O1208" t="s">
        <v>123</v>
      </c>
      <c r="P1208" t="s">
        <v>146</v>
      </c>
      <c r="Q1208">
        <v>1.7399999999999998</v>
      </c>
      <c r="R1208" t="s">
        <v>559</v>
      </c>
      <c r="S1208" t="s">
        <v>126</v>
      </c>
      <c r="T1208" t="s">
        <v>559</v>
      </c>
      <c r="U1208" t="s">
        <v>560</v>
      </c>
      <c r="W1208">
        <v>0.5363</v>
      </c>
      <c r="X1208">
        <v>1.2037</v>
      </c>
      <c r="Y1208">
        <v>1.7399999999999998</v>
      </c>
      <c r="Z1208">
        <v>0.66190000000000004</v>
      </c>
      <c r="AG1208">
        <v>0.5363</v>
      </c>
      <c r="AI1208">
        <v>0.54179999999999995</v>
      </c>
      <c r="BH1208" t="s">
        <v>126</v>
      </c>
      <c r="BI1208" t="s">
        <v>126</v>
      </c>
      <c r="BJ1208" t="s">
        <v>126</v>
      </c>
      <c r="BK1208" t="s">
        <v>126</v>
      </c>
      <c r="BS1208" t="s">
        <v>126</v>
      </c>
      <c r="BT1208" t="s">
        <v>126</v>
      </c>
      <c r="BU1208" t="s">
        <v>126</v>
      </c>
      <c r="BV1208" t="s">
        <v>126</v>
      </c>
      <c r="CN1208" t="s">
        <v>147</v>
      </c>
      <c r="CP1208" t="s">
        <v>830</v>
      </c>
      <c r="CQ1208" t="s">
        <v>147</v>
      </c>
    </row>
    <row r="1209" spans="1:95" x14ac:dyDescent="0.2">
      <c r="A1209" t="s">
        <v>115</v>
      </c>
      <c r="B1209" t="s">
        <v>116</v>
      </c>
      <c r="C1209">
        <v>210784</v>
      </c>
      <c r="E1209" t="s">
        <v>117</v>
      </c>
      <c r="F1209">
        <v>368</v>
      </c>
      <c r="G1209" t="s">
        <v>141</v>
      </c>
      <c r="H1209" t="s">
        <v>142</v>
      </c>
      <c r="I1209" t="s">
        <v>279</v>
      </c>
      <c r="J1209" t="s">
        <v>280</v>
      </c>
      <c r="L1209" t="s">
        <v>917</v>
      </c>
      <c r="M1209" s="8">
        <v>46174</v>
      </c>
      <c r="N1209">
        <v>5945299</v>
      </c>
      <c r="O1209" t="s">
        <v>123</v>
      </c>
      <c r="P1209" t="s">
        <v>146</v>
      </c>
      <c r="Q1209">
        <v>2.66</v>
      </c>
      <c r="R1209" t="s">
        <v>125</v>
      </c>
      <c r="S1209" t="s">
        <v>126</v>
      </c>
      <c r="T1209" t="s">
        <v>125</v>
      </c>
      <c r="U1209" t="s">
        <v>126</v>
      </c>
      <c r="W1209">
        <v>2.66</v>
      </c>
      <c r="Y1209">
        <v>2.66</v>
      </c>
      <c r="BE1209">
        <v>2.66</v>
      </c>
      <c r="BH1209" t="s">
        <v>126</v>
      </c>
      <c r="BI1209" t="s">
        <v>126</v>
      </c>
      <c r="BJ1209" t="s">
        <v>126</v>
      </c>
      <c r="BK1209" t="s">
        <v>126</v>
      </c>
      <c r="BS1209" t="s">
        <v>126</v>
      </c>
      <c r="BT1209" t="s">
        <v>126</v>
      </c>
      <c r="BU1209" t="s">
        <v>126</v>
      </c>
      <c r="BV1209" t="s">
        <v>126</v>
      </c>
      <c r="CN1209" t="s">
        <v>147</v>
      </c>
      <c r="CP1209" t="s">
        <v>830</v>
      </c>
      <c r="CQ1209" t="s">
        <v>147</v>
      </c>
    </row>
    <row r="1210" spans="1:95" x14ac:dyDescent="0.2">
      <c r="A1210" t="s">
        <v>115</v>
      </c>
      <c r="B1210" t="s">
        <v>116</v>
      </c>
      <c r="C1210">
        <v>210784</v>
      </c>
      <c r="E1210" t="s">
        <v>117</v>
      </c>
      <c r="F1210">
        <v>368</v>
      </c>
      <c r="G1210" t="s">
        <v>141</v>
      </c>
      <c r="H1210" t="s">
        <v>142</v>
      </c>
      <c r="I1210" t="s">
        <v>279</v>
      </c>
      <c r="J1210" t="s">
        <v>280</v>
      </c>
      <c r="L1210" t="s">
        <v>918</v>
      </c>
      <c r="M1210" s="8">
        <v>46174</v>
      </c>
      <c r="N1210">
        <v>5947649</v>
      </c>
      <c r="O1210" t="s">
        <v>123</v>
      </c>
      <c r="P1210" t="s">
        <v>146</v>
      </c>
      <c r="Q1210">
        <v>1.77</v>
      </c>
      <c r="R1210" t="s">
        <v>125</v>
      </c>
      <c r="S1210" t="s">
        <v>126</v>
      </c>
      <c r="T1210" t="s">
        <v>125</v>
      </c>
      <c r="U1210" t="s">
        <v>126</v>
      </c>
      <c r="W1210">
        <v>1.77</v>
      </c>
      <c r="Y1210">
        <v>1.77</v>
      </c>
      <c r="BE1210">
        <v>1.77</v>
      </c>
      <c r="BH1210" t="s">
        <v>126</v>
      </c>
      <c r="BI1210" t="s">
        <v>126</v>
      </c>
      <c r="BJ1210" t="s">
        <v>126</v>
      </c>
      <c r="BK1210" t="s">
        <v>126</v>
      </c>
      <c r="BS1210" t="s">
        <v>126</v>
      </c>
      <c r="BT1210" t="s">
        <v>126</v>
      </c>
      <c r="BU1210" t="s">
        <v>126</v>
      </c>
      <c r="BV1210" t="s">
        <v>126</v>
      </c>
      <c r="CN1210" t="s">
        <v>147</v>
      </c>
      <c r="CP1210" t="s">
        <v>830</v>
      </c>
      <c r="CQ1210" t="s">
        <v>147</v>
      </c>
    </row>
    <row r="1211" spans="1:95" x14ac:dyDescent="0.2">
      <c r="A1211" t="s">
        <v>111</v>
      </c>
      <c r="B1211" t="s">
        <v>112</v>
      </c>
      <c r="L1211" t="s">
        <v>113</v>
      </c>
      <c r="Q1211" s="11">
        <v>67418.252899999759</v>
      </c>
      <c r="R1211">
        <v>0.92055215629672438</v>
      </c>
      <c r="S1211">
        <v>0</v>
      </c>
      <c r="T1211">
        <v>0.92055215629672438</v>
      </c>
      <c r="U1211">
        <v>7.9447843703275595E-2</v>
      </c>
      <c r="V1211">
        <v>0</v>
      </c>
      <c r="W1211">
        <v>7578.9546</v>
      </c>
      <c r="X1211">
        <v>654.09829999999988</v>
      </c>
      <c r="Y1211">
        <v>8233.0529000000006</v>
      </c>
      <c r="Z1211">
        <v>354.43390000000022</v>
      </c>
      <c r="AA1211">
        <v>380.42149999999992</v>
      </c>
      <c r="AB1211">
        <v>10.009</v>
      </c>
      <c r="AC1211">
        <v>4903.8496999999988</v>
      </c>
      <c r="AD1211">
        <v>0</v>
      </c>
      <c r="AE1211">
        <v>20.45</v>
      </c>
      <c r="AF1211">
        <v>244.36699999999999</v>
      </c>
      <c r="AG1211">
        <v>302.32150000000001</v>
      </c>
      <c r="AH1211">
        <v>3.6159999999999997</v>
      </c>
      <c r="AI1211">
        <v>288.34660000000008</v>
      </c>
      <c r="AJ1211">
        <v>0</v>
      </c>
      <c r="AK1211">
        <v>0</v>
      </c>
      <c r="AL1211">
        <v>0</v>
      </c>
      <c r="AM1211">
        <v>0</v>
      </c>
      <c r="AN1211">
        <v>0</v>
      </c>
      <c r="AO1211">
        <v>0</v>
      </c>
      <c r="AP1211">
        <v>0.75</v>
      </c>
      <c r="AQ1211">
        <v>0</v>
      </c>
      <c r="AR1211">
        <v>0</v>
      </c>
      <c r="AS1211">
        <v>939.56999999999948</v>
      </c>
      <c r="AT1211">
        <v>0</v>
      </c>
      <c r="AU1211">
        <v>0</v>
      </c>
      <c r="AV1211">
        <v>0</v>
      </c>
      <c r="AW1211">
        <v>0</v>
      </c>
      <c r="AX1211">
        <v>0</v>
      </c>
      <c r="AY1211">
        <v>24.342600000000001</v>
      </c>
      <c r="AZ1211">
        <v>0</v>
      </c>
      <c r="BA1211">
        <v>0</v>
      </c>
      <c r="BB1211">
        <v>0</v>
      </c>
      <c r="BC1211">
        <v>0</v>
      </c>
      <c r="BD1211">
        <v>9.1001999999999992</v>
      </c>
      <c r="BE1211">
        <v>751.47489999999982</v>
      </c>
      <c r="BF1211">
        <v>0</v>
      </c>
      <c r="BG1211">
        <v>0</v>
      </c>
      <c r="BH1211">
        <v>1</v>
      </c>
      <c r="BI1211">
        <v>0</v>
      </c>
      <c r="BJ1211">
        <v>1</v>
      </c>
      <c r="BK1211">
        <v>0</v>
      </c>
      <c r="BL1211">
        <v>0</v>
      </c>
      <c r="BM1211">
        <v>59185.2</v>
      </c>
      <c r="BN1211">
        <v>0</v>
      </c>
      <c r="BO1211">
        <v>59185.2</v>
      </c>
      <c r="BP1211">
        <v>59185.2</v>
      </c>
      <c r="BQ1211">
        <v>0</v>
      </c>
      <c r="BR1211">
        <v>0</v>
      </c>
      <c r="BS1211">
        <v>0</v>
      </c>
      <c r="BT1211">
        <v>0</v>
      </c>
      <c r="BU1211">
        <v>0</v>
      </c>
      <c r="BV1211">
        <v>0</v>
      </c>
      <c r="BW1211">
        <v>0</v>
      </c>
      <c r="BX1211">
        <v>0</v>
      </c>
      <c r="BY1211">
        <v>0</v>
      </c>
      <c r="BZ1211">
        <v>0</v>
      </c>
      <c r="CA1211">
        <v>0</v>
      </c>
      <c r="CB1211">
        <v>0</v>
      </c>
      <c r="CC1211">
        <v>0</v>
      </c>
      <c r="CD1211">
        <v>0</v>
      </c>
      <c r="CE1211">
        <v>0</v>
      </c>
      <c r="CF1211">
        <v>0</v>
      </c>
      <c r="CG1211">
        <v>0</v>
      </c>
      <c r="CH1211">
        <v>0</v>
      </c>
      <c r="CI1211">
        <v>0</v>
      </c>
      <c r="CJ1211">
        <v>0</v>
      </c>
      <c r="CK1211">
        <v>0</v>
      </c>
      <c r="CL1211">
        <v>0</v>
      </c>
    </row>
    <row r="1212" spans="1:95" x14ac:dyDescent="0.2">
      <c r="A1212" t="s">
        <v>114</v>
      </c>
    </row>
    <row r="1213" spans="1:95" x14ac:dyDescent="0.2">
      <c r="A1213" t="s">
        <v>922</v>
      </c>
      <c r="Z1213">
        <v>354.43390000000022</v>
      </c>
      <c r="AA1213">
        <v>380.42149999999992</v>
      </c>
      <c r="AB1213">
        <v>10.009</v>
      </c>
      <c r="AC1213">
        <v>4903.8496999999988</v>
      </c>
      <c r="AD1213">
        <v>0</v>
      </c>
      <c r="AE1213">
        <v>20.45</v>
      </c>
      <c r="AF1213">
        <v>244.36699999999999</v>
      </c>
      <c r="AG1213">
        <v>302.32150000000001</v>
      </c>
      <c r="AH1213">
        <v>3.6159999999999997</v>
      </c>
      <c r="AI1213">
        <v>288.34660000000008</v>
      </c>
      <c r="AJ1213">
        <v>0</v>
      </c>
      <c r="AK1213">
        <v>0</v>
      </c>
      <c r="AL1213">
        <v>0</v>
      </c>
      <c r="AM1213">
        <v>0</v>
      </c>
      <c r="AN1213">
        <v>0</v>
      </c>
      <c r="AO1213">
        <v>0</v>
      </c>
      <c r="AP1213">
        <v>0.75</v>
      </c>
      <c r="AQ1213">
        <v>0</v>
      </c>
      <c r="AR1213">
        <v>0</v>
      </c>
      <c r="AS1213">
        <v>939.56999999999948</v>
      </c>
      <c r="AT1213">
        <v>0</v>
      </c>
      <c r="AU1213">
        <v>0</v>
      </c>
      <c r="AV1213">
        <v>0</v>
      </c>
      <c r="AW1213">
        <v>0</v>
      </c>
      <c r="AX1213">
        <v>0</v>
      </c>
      <c r="AY1213">
        <v>24.342600000000001</v>
      </c>
      <c r="AZ1213">
        <v>0</v>
      </c>
      <c r="BA1213">
        <v>0</v>
      </c>
      <c r="BB1213">
        <v>0</v>
      </c>
      <c r="BC1213">
        <v>0</v>
      </c>
      <c r="BD1213">
        <v>9.1001999999999992</v>
      </c>
      <c r="BE1213">
        <v>751.47489999999982</v>
      </c>
      <c r="BF1213">
        <v>0</v>
      </c>
      <c r="BG1213">
        <v>0</v>
      </c>
      <c r="BP1213">
        <v>59185.2</v>
      </c>
      <c r="BQ1213">
        <v>0</v>
      </c>
      <c r="BR1213">
        <v>0</v>
      </c>
      <c r="CA1213">
        <v>0</v>
      </c>
      <c r="CB1213">
        <v>0</v>
      </c>
      <c r="CC1213">
        <v>0</v>
      </c>
      <c r="CD1213">
        <v>0</v>
      </c>
      <c r="CE1213">
        <v>0</v>
      </c>
      <c r="CF1213">
        <v>0</v>
      </c>
      <c r="CG1213">
        <v>0</v>
      </c>
      <c r="CH1213">
        <v>0</v>
      </c>
      <c r="CI1213">
        <v>0</v>
      </c>
      <c r="CJ1213">
        <v>0</v>
      </c>
      <c r="CK1213">
        <v>0</v>
      </c>
      <c r="CL1213">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F7ABD-86CD-5942-B262-384CA64B0617}">
  <dimension ref="A1:AU50"/>
  <sheetViews>
    <sheetView tabSelected="1" zoomScale="75" zoomScaleNormal="66" workbookViewId="0">
      <selection activeCell="H49" sqref="H49"/>
    </sheetView>
  </sheetViews>
  <sheetFormatPr baseColWidth="10" defaultRowHeight="16" x14ac:dyDescent="0.2"/>
  <cols>
    <col min="1" max="1" width="36.6640625" style="21" bestFit="1" customWidth="1"/>
    <col min="2" max="2" width="16.1640625" style="21" bestFit="1" customWidth="1"/>
    <col min="3" max="3" width="23.33203125" style="21" bestFit="1" customWidth="1"/>
    <col min="4" max="4" width="19.6640625" style="21" bestFit="1" customWidth="1"/>
    <col min="5" max="5" width="16.1640625" style="21" bestFit="1" customWidth="1"/>
    <col min="6" max="6" width="14" style="21" bestFit="1" customWidth="1"/>
    <col min="7" max="7" width="36.6640625" style="21" bestFit="1" customWidth="1"/>
    <col min="8" max="8" width="20" style="21" bestFit="1" customWidth="1"/>
    <col min="9" max="9" width="23.33203125" style="21" bestFit="1" customWidth="1"/>
    <col min="10" max="10" width="12.6640625" style="21" bestFit="1" customWidth="1"/>
    <col min="11" max="11" width="15.5" style="21" bestFit="1" customWidth="1"/>
    <col min="12" max="12" width="8.83203125" style="21" customWidth="1"/>
    <col min="13" max="13" width="14" style="21" bestFit="1" customWidth="1"/>
    <col min="14" max="14" width="20.1640625" style="21" bestFit="1" customWidth="1"/>
    <col min="15" max="15" width="15.83203125" style="21" bestFit="1" customWidth="1"/>
    <col min="16" max="16" width="13.5" style="21" bestFit="1" customWidth="1"/>
    <col min="17" max="17" width="14.6640625" style="21" bestFit="1" customWidth="1"/>
    <col min="18" max="18" width="19.33203125" style="21" bestFit="1" customWidth="1"/>
    <col min="19" max="16384" width="10.83203125" style="21"/>
  </cols>
  <sheetData>
    <row r="1" spans="1:47" ht="26" customHeight="1" thickBot="1" x14ac:dyDescent="0.25">
      <c r="A1" s="165" t="s">
        <v>1075</v>
      </c>
      <c r="B1" s="166"/>
      <c r="C1" s="166"/>
      <c r="D1" s="166"/>
      <c r="E1" s="166"/>
      <c r="F1" s="166"/>
      <c r="G1" s="166"/>
      <c r="H1" s="166"/>
      <c r="I1" s="166"/>
      <c r="J1" s="166"/>
      <c r="K1" s="167"/>
      <c r="L1"/>
      <c r="M1"/>
      <c r="N1"/>
      <c r="O1"/>
      <c r="P1"/>
      <c r="Q1"/>
      <c r="R1"/>
      <c r="S1"/>
      <c r="T1"/>
      <c r="U1"/>
      <c r="V1"/>
      <c r="W1"/>
      <c r="X1"/>
      <c r="Y1"/>
      <c r="Z1"/>
      <c r="AA1"/>
      <c r="AB1"/>
      <c r="AC1"/>
      <c r="AD1" s="20"/>
      <c r="AE1" s="20"/>
      <c r="AF1" s="20"/>
      <c r="AG1" s="20"/>
      <c r="AH1" s="20"/>
      <c r="AI1" s="20"/>
      <c r="AJ1" s="20"/>
      <c r="AK1" s="20"/>
      <c r="AL1" s="20"/>
      <c r="AM1" s="20"/>
      <c r="AN1" s="20"/>
      <c r="AO1" s="20"/>
      <c r="AP1" s="20"/>
      <c r="AQ1" s="20"/>
      <c r="AR1" s="20"/>
      <c r="AS1" s="20"/>
      <c r="AT1" s="20"/>
      <c r="AU1" s="20"/>
    </row>
    <row r="2" spans="1:47" s="23" customFormat="1" ht="17" customHeight="1" thickBot="1" x14ac:dyDescent="0.25">
      <c r="A2" s="51"/>
      <c r="B2" s="19"/>
      <c r="C2" s="19"/>
      <c r="D2" s="19"/>
      <c r="E2" s="19"/>
      <c r="F2" s="19"/>
      <c r="G2" s="19"/>
      <c r="H2" s="19"/>
      <c r="I2" s="19"/>
      <c r="J2" s="19"/>
      <c r="K2" s="19"/>
      <c r="L2"/>
      <c r="M2"/>
      <c r="N2"/>
      <c r="O2"/>
      <c r="P2"/>
      <c r="Q2"/>
      <c r="R2"/>
      <c r="S2"/>
      <c r="T2"/>
      <c r="U2"/>
      <c r="V2"/>
      <c r="W2"/>
      <c r="X2"/>
      <c r="Y2"/>
      <c r="Z2"/>
      <c r="AA2"/>
      <c r="AB2"/>
      <c r="AC2"/>
      <c r="AD2" s="22"/>
      <c r="AE2" s="22"/>
      <c r="AF2" s="22"/>
      <c r="AG2" s="22"/>
      <c r="AH2" s="22"/>
      <c r="AI2" s="22"/>
      <c r="AJ2" s="22"/>
      <c r="AK2" s="22"/>
      <c r="AL2" s="22"/>
      <c r="AM2" s="22"/>
      <c r="AN2" s="22"/>
      <c r="AO2" s="22"/>
      <c r="AP2" s="22"/>
      <c r="AQ2" s="22"/>
      <c r="AR2" s="22"/>
      <c r="AS2" s="22"/>
      <c r="AT2" s="22"/>
      <c r="AU2" s="22"/>
    </row>
    <row r="3" spans="1:47" ht="23" x14ac:dyDescent="0.25">
      <c r="A3" s="162" t="s">
        <v>1076</v>
      </c>
      <c r="B3" s="163"/>
      <c r="C3" s="163"/>
      <c r="D3" s="164"/>
      <c r="E3"/>
      <c r="F3" s="19"/>
      <c r="G3" s="19"/>
      <c r="H3" s="19"/>
      <c r="I3" s="19"/>
      <c r="J3" s="19"/>
      <c r="K3" s="19"/>
      <c r="L3"/>
      <c r="M3"/>
      <c r="N3"/>
      <c r="O3"/>
      <c r="P3"/>
      <c r="Q3"/>
      <c r="R3"/>
      <c r="S3"/>
      <c r="T3"/>
      <c r="U3"/>
      <c r="V3"/>
      <c r="W3"/>
      <c r="X3"/>
      <c r="Y3"/>
      <c r="Z3"/>
      <c r="AA3"/>
      <c r="AB3"/>
      <c r="AC3"/>
      <c r="AD3" s="20"/>
      <c r="AE3" s="20"/>
      <c r="AF3" s="20"/>
      <c r="AG3" s="20"/>
      <c r="AH3" s="20"/>
      <c r="AI3" s="20"/>
      <c r="AJ3" s="20"/>
      <c r="AK3" s="20"/>
      <c r="AL3" s="20"/>
      <c r="AM3" s="20"/>
      <c r="AN3" s="20"/>
      <c r="AO3" s="20"/>
      <c r="AP3" s="20"/>
      <c r="AQ3" s="20"/>
      <c r="AR3" s="20"/>
      <c r="AS3" s="20"/>
      <c r="AT3" s="20"/>
      <c r="AU3" s="20"/>
    </row>
    <row r="4" spans="1:47" ht="18" x14ac:dyDescent="0.2">
      <c r="A4" s="182" t="s">
        <v>1099</v>
      </c>
      <c r="B4" s="183"/>
      <c r="C4" s="183"/>
      <c r="D4" s="101">
        <f>B34+H42</f>
        <v>5569112.9441</v>
      </c>
      <c r="F4" s="19"/>
      <c r="G4" s="19"/>
      <c r="H4" s="19"/>
      <c r="I4" s="19"/>
      <c r="J4" s="19"/>
      <c r="K4" s="19"/>
      <c r="L4"/>
      <c r="M4"/>
      <c r="N4"/>
      <c r="O4"/>
      <c r="P4"/>
      <c r="Q4"/>
      <c r="R4"/>
      <c r="S4"/>
      <c r="T4"/>
      <c r="U4"/>
      <c r="V4"/>
      <c r="W4"/>
      <c r="X4"/>
      <c r="Y4"/>
      <c r="Z4"/>
      <c r="AA4"/>
      <c r="AB4"/>
      <c r="AC4"/>
      <c r="AD4" s="20"/>
      <c r="AE4" s="20"/>
      <c r="AF4" s="20"/>
      <c r="AG4" s="20"/>
      <c r="AH4" s="20"/>
      <c r="AI4" s="20"/>
      <c r="AJ4" s="20"/>
      <c r="AK4" s="20"/>
      <c r="AL4" s="20"/>
      <c r="AM4" s="20"/>
      <c r="AN4" s="20"/>
      <c r="AO4" s="20"/>
      <c r="AP4" s="20"/>
      <c r="AQ4" s="20"/>
      <c r="AR4" s="20"/>
      <c r="AS4" s="20"/>
      <c r="AT4" s="20"/>
      <c r="AU4" s="20"/>
    </row>
    <row r="5" spans="1:47" ht="19" thickBot="1" x14ac:dyDescent="0.25">
      <c r="A5" s="182" t="s">
        <v>1100</v>
      </c>
      <c r="B5" s="183"/>
      <c r="C5" s="183"/>
      <c r="D5" s="101">
        <f>H34+B42</f>
        <v>7419040.29</v>
      </c>
      <c r="L5"/>
      <c r="M5"/>
      <c r="N5"/>
      <c r="O5"/>
      <c r="P5"/>
      <c r="Q5"/>
      <c r="R5"/>
      <c r="S5"/>
      <c r="T5"/>
      <c r="U5"/>
      <c r="V5"/>
      <c r="W5"/>
      <c r="X5"/>
      <c r="Y5"/>
      <c r="Z5"/>
      <c r="AA5"/>
      <c r="AB5"/>
      <c r="AC5"/>
      <c r="AD5" s="20"/>
      <c r="AE5" s="20"/>
      <c r="AF5" s="20"/>
      <c r="AG5" s="20"/>
      <c r="AH5" s="20"/>
      <c r="AI5" s="20"/>
      <c r="AJ5" s="20"/>
      <c r="AK5" s="20"/>
      <c r="AL5" s="20"/>
      <c r="AM5" s="20"/>
      <c r="AN5" s="20"/>
      <c r="AO5" s="20"/>
      <c r="AP5" s="20"/>
      <c r="AQ5" s="20"/>
      <c r="AR5" s="20"/>
      <c r="AS5" s="20"/>
      <c r="AT5" s="20"/>
      <c r="AU5" s="20"/>
    </row>
    <row r="6" spans="1:47" ht="20" thickTop="1" thickBot="1" x14ac:dyDescent="0.25">
      <c r="A6" s="196" t="s">
        <v>1016</v>
      </c>
      <c r="B6" s="197"/>
      <c r="C6" s="197"/>
      <c r="D6" s="126">
        <f>D5-D4</f>
        <v>1849927.3459000001</v>
      </c>
      <c r="L6"/>
      <c r="M6"/>
      <c r="N6"/>
      <c r="O6"/>
      <c r="P6"/>
      <c r="Q6"/>
      <c r="R6"/>
      <c r="S6"/>
      <c r="T6"/>
      <c r="U6"/>
      <c r="V6"/>
      <c r="W6"/>
      <c r="X6"/>
      <c r="Y6"/>
      <c r="Z6"/>
      <c r="AA6"/>
      <c r="AB6"/>
      <c r="AC6"/>
      <c r="AD6" s="20"/>
      <c r="AE6" s="20"/>
      <c r="AF6" s="20"/>
      <c r="AG6" s="20"/>
      <c r="AH6" s="20"/>
      <c r="AI6" s="20"/>
      <c r="AJ6" s="20"/>
      <c r="AK6" s="20"/>
      <c r="AL6" s="20"/>
      <c r="AM6" s="20"/>
      <c r="AN6" s="20"/>
      <c r="AO6" s="20"/>
      <c r="AP6" s="20"/>
      <c r="AQ6" s="20"/>
      <c r="AR6" s="20"/>
      <c r="AS6" s="20"/>
      <c r="AT6" s="20"/>
      <c r="AU6" s="20"/>
    </row>
    <row r="7" spans="1:47" ht="18" thickTop="1" thickBot="1" x14ac:dyDescent="0.25">
      <c r="A7" s="19"/>
      <c r="B7" s="19"/>
      <c r="C7" s="52"/>
      <c r="D7" s="19"/>
      <c r="E7" s="19"/>
      <c r="F7" s="19"/>
      <c r="G7" s="19"/>
      <c r="H7" s="19"/>
      <c r="I7" s="19"/>
      <c r="J7" s="19"/>
      <c r="K7" s="19"/>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row>
    <row r="8" spans="1:47" ht="21" thickTop="1" x14ac:dyDescent="0.2">
      <c r="A8" s="168" t="s">
        <v>1069</v>
      </c>
      <c r="B8" s="169"/>
      <c r="C8" s="169"/>
      <c r="D8" s="169"/>
      <c r="E8" s="170"/>
      <c r="F8"/>
      <c r="G8" s="168" t="s">
        <v>1070</v>
      </c>
      <c r="H8" s="169"/>
      <c r="I8" s="169"/>
      <c r="J8" s="169"/>
      <c r="K8" s="170"/>
      <c r="M8" s="207" t="s">
        <v>1078</v>
      </c>
      <c r="N8" s="208"/>
      <c r="O8" s="208"/>
      <c r="P8" s="208"/>
      <c r="Q8" s="208"/>
      <c r="R8" s="209"/>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row>
    <row r="9" spans="1:47" ht="18" x14ac:dyDescent="0.2">
      <c r="A9" s="171" t="s">
        <v>1077</v>
      </c>
      <c r="B9" s="172"/>
      <c r="C9" s="173"/>
      <c r="D9" s="174"/>
      <c r="E9" s="175"/>
      <c r="G9" s="171" t="s">
        <v>1077</v>
      </c>
      <c r="H9" s="172"/>
      <c r="I9" s="173"/>
      <c r="J9" s="174"/>
      <c r="K9" s="175"/>
      <c r="M9" s="138" t="s">
        <v>1009</v>
      </c>
      <c r="N9" s="127" t="s">
        <v>1017</v>
      </c>
      <c r="O9" s="127" t="s">
        <v>1025</v>
      </c>
      <c r="P9" s="127" t="s">
        <v>1026</v>
      </c>
      <c r="Q9" s="127" t="s">
        <v>1040</v>
      </c>
      <c r="R9" s="139" t="s">
        <v>1043</v>
      </c>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row>
    <row r="10" spans="1:47" x14ac:dyDescent="0.2">
      <c r="A10" s="122" t="s">
        <v>1041</v>
      </c>
      <c r="B10" s="120" t="s">
        <v>1033</v>
      </c>
      <c r="C10" s="120" t="s">
        <v>1034</v>
      </c>
      <c r="D10" s="174"/>
      <c r="E10" s="175"/>
      <c r="G10" s="122" t="s">
        <v>1041</v>
      </c>
      <c r="H10" s="120" t="s">
        <v>1033</v>
      </c>
      <c r="I10" s="120" t="s">
        <v>1034</v>
      </c>
      <c r="J10" s="174"/>
      <c r="K10" s="175"/>
      <c r="M10" s="204" t="s">
        <v>1024</v>
      </c>
      <c r="N10" s="205"/>
      <c r="O10" s="205"/>
      <c r="P10" s="205"/>
      <c r="Q10" s="205"/>
      <c r="R10" s="206"/>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row>
    <row r="11" spans="1:47" x14ac:dyDescent="0.2">
      <c r="A11" s="108">
        <f>COUNTA('Raw Data'!H11:H1217)</f>
        <v>1207</v>
      </c>
      <c r="B11" s="107">
        <f>O11</f>
        <v>545</v>
      </c>
      <c r="C11" s="115">
        <f>A11*B11</f>
        <v>657815</v>
      </c>
      <c r="D11" s="174"/>
      <c r="E11" s="175"/>
      <c r="G11" s="108">
        <f>COUNTA('Raw Data'!N11:N1217)</f>
        <v>1207</v>
      </c>
      <c r="H11" s="107">
        <f>O11</f>
        <v>545</v>
      </c>
      <c r="I11" s="115" cm="1">
        <f t="array" ref="I11">(G11-(COUNT(_xlfn._xlws.FILTER('Raw Data'!AL11:AL1217,'Raw Data'!AL11:AL1217*-$R$18&gt;$B$11)))-(COUNT(_xlfn._xlws.FILTER('Raw Data'!AH11:AH1217,'Raw Data'!AH11:AH1217*-$R$19&gt;$B$11))))*H11</f>
        <v>657815</v>
      </c>
      <c r="J11" s="174"/>
      <c r="K11" s="175"/>
      <c r="M11" s="140" t="s">
        <v>1019</v>
      </c>
      <c r="N11" s="24" t="s">
        <v>1013</v>
      </c>
      <c r="O11" s="24">
        <v>545</v>
      </c>
      <c r="P11" s="20">
        <v>50</v>
      </c>
      <c r="Q11" s="20" t="s">
        <v>1038</v>
      </c>
      <c r="R11" s="141">
        <v>100</v>
      </c>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row>
    <row r="12" spans="1:47" x14ac:dyDescent="0.2">
      <c r="A12" s="176"/>
      <c r="B12" s="177"/>
      <c r="C12" s="177"/>
      <c r="D12" s="177"/>
      <c r="E12" s="178"/>
      <c r="G12" s="176"/>
      <c r="H12" s="177"/>
      <c r="I12" s="177"/>
      <c r="J12" s="177"/>
      <c r="K12" s="178"/>
      <c r="M12" s="140" t="s">
        <v>1020</v>
      </c>
      <c r="N12" s="24" t="s">
        <v>1013</v>
      </c>
      <c r="O12" s="24">
        <v>545</v>
      </c>
      <c r="P12" s="20">
        <v>50</v>
      </c>
      <c r="Q12" s="20" t="s">
        <v>1038</v>
      </c>
      <c r="R12" s="141">
        <v>100</v>
      </c>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row>
    <row r="13" spans="1:47" ht="18" x14ac:dyDescent="0.2">
      <c r="A13" s="171" t="s">
        <v>1079</v>
      </c>
      <c r="B13" s="172"/>
      <c r="C13" s="172"/>
      <c r="D13" s="172"/>
      <c r="E13" s="184"/>
      <c r="G13" s="179" t="s">
        <v>1079</v>
      </c>
      <c r="H13" s="180"/>
      <c r="I13" s="180"/>
      <c r="J13" s="180"/>
      <c r="K13" s="181"/>
      <c r="M13" s="140" t="s">
        <v>55</v>
      </c>
      <c r="N13" s="24" t="s">
        <v>1013</v>
      </c>
      <c r="O13" s="24">
        <v>545</v>
      </c>
      <c r="P13" s="20">
        <v>50</v>
      </c>
      <c r="Q13" s="20" t="s">
        <v>1038</v>
      </c>
      <c r="R13" s="141">
        <v>100</v>
      </c>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row>
    <row r="14" spans="1:47" x14ac:dyDescent="0.2">
      <c r="A14" s="116" t="s">
        <v>1006</v>
      </c>
      <c r="B14" s="117" t="s">
        <v>1009</v>
      </c>
      <c r="C14" s="118" t="s">
        <v>1044</v>
      </c>
      <c r="D14" s="117" t="s">
        <v>1036</v>
      </c>
      <c r="E14" s="119" t="s">
        <v>1018</v>
      </c>
      <c r="G14" s="132" t="s">
        <v>1006</v>
      </c>
      <c r="H14" s="131" t="s">
        <v>1009</v>
      </c>
      <c r="I14" s="131" t="s">
        <v>1044</v>
      </c>
      <c r="J14" s="131" t="s">
        <v>1036</v>
      </c>
      <c r="K14" s="133" t="s">
        <v>1018</v>
      </c>
      <c r="M14" s="201" t="s">
        <v>1023</v>
      </c>
      <c r="N14" s="202"/>
      <c r="O14" s="202"/>
      <c r="P14" s="202"/>
      <c r="Q14" s="202"/>
      <c r="R14" s="203"/>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row>
    <row r="15" spans="1:47" x14ac:dyDescent="0.2">
      <c r="A15" s="109" t="s">
        <v>39</v>
      </c>
      <c r="B15" s="30" t="str">
        <f>M15</f>
        <v>Mixed C&amp;D</v>
      </c>
      <c r="C15" s="30" cm="1">
        <f t="array" ref="C15">_xlfn.XLOOKUP(B15,_xlfn.VSTACK($M$11:$M$13,$M$15:$M$21),_xlfn.VSTACK($R$11:$R$13,$R$15:$R$21))</f>
        <v>100</v>
      </c>
      <c r="D15" s="50">
        <v>354.43389999999999</v>
      </c>
      <c r="E15" s="110">
        <f>C15*D15</f>
        <v>35443.39</v>
      </c>
      <c r="G15" s="134" t="s">
        <v>39</v>
      </c>
      <c r="H15" s="128" t="str">
        <f>$M$15</f>
        <v>Mixed C&amp;D</v>
      </c>
      <c r="I15" s="128" cm="1">
        <f t="array" ref="I15">_xlfn.XLOOKUP(H15,_xlfn.VSTACK($M$11:$M$13,$M$15:$M$21),_xlfn.VSTACK($R$11:$R$13,$R$15:$R$21))</f>
        <v>100</v>
      </c>
      <c r="J15" s="129">
        <v>354.43389999999999</v>
      </c>
      <c r="K15" s="135">
        <f>I15*J15</f>
        <v>35443.39</v>
      </c>
      <c r="M15" s="140" t="s">
        <v>1021</v>
      </c>
      <c r="N15" s="24" t="s">
        <v>1013</v>
      </c>
      <c r="O15" s="24">
        <v>545</v>
      </c>
      <c r="P15" s="20">
        <v>100</v>
      </c>
      <c r="Q15" s="20" t="s">
        <v>1036</v>
      </c>
      <c r="R15" s="141">
        <f>P15</f>
        <v>100</v>
      </c>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row>
    <row r="16" spans="1:47" x14ac:dyDescent="0.2">
      <c r="A16" s="111" t="s">
        <v>40</v>
      </c>
      <c r="B16" s="20" t="str">
        <f>M20</f>
        <v>Concrete &amp; dirt</v>
      </c>
      <c r="C16" s="20" cm="1">
        <f t="array" ref="C16">_xlfn.XLOOKUP(B16,_xlfn.VSTACK($M$11:$M$13,$M$15:$M$21),_xlfn.VSTACK($R$11:$R$13,$R$15:$R$21))</f>
        <v>73</v>
      </c>
      <c r="D16" s="27">
        <v>380.42149999999998</v>
      </c>
      <c r="E16" s="112">
        <f t="shared" ref="E16:E26" si="0">C16*D16</f>
        <v>27770.769499999999</v>
      </c>
      <c r="G16" s="111" t="s">
        <v>40</v>
      </c>
      <c r="H16" s="20" t="str">
        <f>$M$15</f>
        <v>Mixed C&amp;D</v>
      </c>
      <c r="I16" s="20" cm="1">
        <f t="array" ref="I16">_xlfn.XLOOKUP(H16,_xlfn.VSTACK($M$11:$M$13,$M$15:$M$21),_xlfn.VSTACK($R$11:$R$13,$R$15:$R$21))</f>
        <v>100</v>
      </c>
      <c r="J16" s="27">
        <v>380.42149999999998</v>
      </c>
      <c r="K16" s="112">
        <f t="shared" ref="K16:K29" si="1">I16*J16</f>
        <v>38042.15</v>
      </c>
      <c r="M16" s="140" t="s">
        <v>1008</v>
      </c>
      <c r="N16" s="24" t="s">
        <v>1013</v>
      </c>
      <c r="O16" s="24">
        <v>545</v>
      </c>
      <c r="P16" s="20">
        <v>85</v>
      </c>
      <c r="Q16" s="20" t="s">
        <v>1036</v>
      </c>
      <c r="R16" s="141">
        <f t="shared" ref="R16:R19" si="2">P16</f>
        <v>85</v>
      </c>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row>
    <row r="17" spans="1:47" x14ac:dyDescent="0.2">
      <c r="A17" s="111" t="s">
        <v>41</v>
      </c>
      <c r="B17" s="20" t="str">
        <f>M19</f>
        <v>Cardboard</v>
      </c>
      <c r="C17" s="20" cm="1">
        <f t="array" ref="C17">_xlfn.XLOOKUP(B17,_xlfn.VSTACK($M$11:$M$13,$M$15:$M$21),_xlfn.VSTACK($R$11:$R$13,$R$15:$R$21))</f>
        <v>-50</v>
      </c>
      <c r="D17" s="27">
        <v>10.009</v>
      </c>
      <c r="E17" s="112" cm="1">
        <f t="array" ref="E17">((SUMPRODUCT((('Raw Data'!AB11:AB1217*-$R$19)&gt;$B$11)*'Raw Data'!AB11:AB1217))*$R$19)+(COUNT(_xlfn._xlws.FILTER('Raw Data'!AB11:AB1217,'Raw Data'!AB11:AB1217*-$R$19&gt;$B$11))*B11)</f>
        <v>0</v>
      </c>
      <c r="G17" s="111" t="s">
        <v>41</v>
      </c>
      <c r="H17" s="20" t="str">
        <f>$M$15</f>
        <v>Mixed C&amp;D</v>
      </c>
      <c r="I17" s="20" cm="1">
        <f t="array" ref="I17">_xlfn.XLOOKUP(H17,_xlfn.VSTACK($M$11:$M$13,$M$15:$M$21),_xlfn.VSTACK($R$11:$R$13,$R$15:$R$21))</f>
        <v>100</v>
      </c>
      <c r="J17" s="27">
        <v>10.009</v>
      </c>
      <c r="K17" s="112">
        <f t="shared" si="1"/>
        <v>1000.9000000000001</v>
      </c>
      <c r="M17" s="140" t="s">
        <v>1022</v>
      </c>
      <c r="N17" s="24" t="s">
        <v>1013</v>
      </c>
      <c r="O17" s="24">
        <v>545</v>
      </c>
      <c r="P17" s="20">
        <v>55</v>
      </c>
      <c r="Q17" s="20" t="s">
        <v>1036</v>
      </c>
      <c r="R17" s="141">
        <f t="shared" si="2"/>
        <v>55</v>
      </c>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row>
    <row r="18" spans="1:47" ht="16" customHeight="1" x14ac:dyDescent="0.2">
      <c r="A18" s="111" t="s">
        <v>42</v>
      </c>
      <c r="B18" s="20" t="str">
        <f>M20</f>
        <v>Concrete &amp; dirt</v>
      </c>
      <c r="C18" s="20" cm="1">
        <f t="array" ref="C18">_xlfn.XLOOKUP(B18,_xlfn.VSTACK($M$11:$M$13,$M$15:$M$21),_xlfn.VSTACK($R$11:$R$13,$R$15:$R$21))</f>
        <v>73</v>
      </c>
      <c r="D18" s="27">
        <v>4903.8496999999998</v>
      </c>
      <c r="E18" s="112">
        <f t="shared" si="0"/>
        <v>357981.0281</v>
      </c>
      <c r="G18" s="111" t="s">
        <v>42</v>
      </c>
      <c r="H18" s="20" t="str">
        <f>$M$15</f>
        <v>Mixed C&amp;D</v>
      </c>
      <c r="I18" s="20" cm="1">
        <f t="array" ref="I18">_xlfn.XLOOKUP(H18,_xlfn.VSTACK($M$11:$M$13,$M$15:$M$21),_xlfn.VSTACK($R$11:$R$13,$R$15:$R$21))</f>
        <v>100</v>
      </c>
      <c r="J18" s="27">
        <v>4903.8496999999998</v>
      </c>
      <c r="K18" s="112">
        <f t="shared" si="1"/>
        <v>490384.97</v>
      </c>
      <c r="M18" s="142" t="s">
        <v>1035</v>
      </c>
      <c r="N18" s="20" t="s">
        <v>1014</v>
      </c>
      <c r="O18" s="20">
        <v>545</v>
      </c>
      <c r="P18" s="20">
        <v>-0.03</v>
      </c>
      <c r="Q18" s="20" t="s">
        <v>1045</v>
      </c>
      <c r="R18" s="141">
        <f>P18*2000</f>
        <v>-60</v>
      </c>
      <c r="X18" s="20"/>
      <c r="Y18" s="20"/>
      <c r="Z18" s="20"/>
      <c r="AA18" s="20"/>
      <c r="AB18" s="20"/>
      <c r="AC18" s="20"/>
      <c r="AD18" s="20"/>
      <c r="AE18" s="20"/>
      <c r="AF18" s="20"/>
      <c r="AG18" s="20"/>
      <c r="AH18" s="20"/>
      <c r="AI18" s="20"/>
      <c r="AJ18" s="20"/>
      <c r="AK18" s="20"/>
      <c r="AL18" s="20"/>
      <c r="AM18" s="20"/>
      <c r="AN18" s="20"/>
      <c r="AO18" s="20"/>
      <c r="AP18" s="20"/>
      <c r="AQ18" s="20"/>
      <c r="AR18" s="20"/>
      <c r="AS18" s="20"/>
      <c r="AT18" s="20"/>
      <c r="AU18" s="20"/>
    </row>
    <row r="19" spans="1:47" ht="16" customHeight="1" x14ac:dyDescent="0.2">
      <c r="A19" s="111" t="s">
        <v>44</v>
      </c>
      <c r="B19" s="20" t="str">
        <f>M17</f>
        <v>Drywall</v>
      </c>
      <c r="C19" s="20" cm="1">
        <f t="array" ref="C19">_xlfn.XLOOKUP(B19,_xlfn.VSTACK($M$11:$M$13,$M$15:$M$21),_xlfn.VSTACK($R$11:$R$13,$R$15:$R$21))</f>
        <v>55</v>
      </c>
      <c r="D19" s="27">
        <v>20.450000000000003</v>
      </c>
      <c r="E19" s="112">
        <f>C19*D19</f>
        <v>1124.7500000000002</v>
      </c>
      <c r="F19" s="20"/>
      <c r="G19" s="111" t="s">
        <v>44</v>
      </c>
      <c r="H19" s="20" t="str">
        <f>$M$15</f>
        <v>Mixed C&amp;D</v>
      </c>
      <c r="I19" s="20" cm="1">
        <f t="array" ref="I19">_xlfn.XLOOKUP(H19,_xlfn.VSTACK($M$11:$M$13,$M$15:$M$21),_xlfn.VSTACK($R$11:$R$13,$R$15:$R$21))</f>
        <v>100</v>
      </c>
      <c r="J19" s="27">
        <v>20.450000000000003</v>
      </c>
      <c r="K19" s="112">
        <f t="shared" si="1"/>
        <v>2045.0000000000002</v>
      </c>
      <c r="M19" s="140" t="s">
        <v>1015</v>
      </c>
      <c r="N19" s="20" t="s">
        <v>1014</v>
      </c>
      <c r="O19" s="20">
        <v>545</v>
      </c>
      <c r="P19" s="20">
        <v>-50</v>
      </c>
      <c r="Q19" s="20" t="s">
        <v>1036</v>
      </c>
      <c r="R19" s="141">
        <f t="shared" si="2"/>
        <v>-50</v>
      </c>
      <c r="X19" s="20"/>
      <c r="Y19" s="20"/>
      <c r="Z19" s="20"/>
      <c r="AA19" s="20"/>
      <c r="AB19" s="20"/>
      <c r="AC19" s="20"/>
      <c r="AD19" s="20"/>
      <c r="AE19" s="20"/>
      <c r="AF19" s="20"/>
      <c r="AG19" s="20"/>
      <c r="AH19" s="20"/>
      <c r="AI19" s="20"/>
      <c r="AJ19" s="20"/>
      <c r="AK19" s="20"/>
      <c r="AL19" s="20"/>
      <c r="AM19" s="20"/>
      <c r="AN19" s="20"/>
      <c r="AO19" s="20"/>
      <c r="AP19" s="20"/>
      <c r="AQ19" s="20"/>
      <c r="AR19" s="20"/>
      <c r="AS19" s="20"/>
      <c r="AT19" s="20"/>
      <c r="AU19" s="20"/>
    </row>
    <row r="20" spans="1:47" x14ac:dyDescent="0.2">
      <c r="A20" s="111" t="s">
        <v>45</v>
      </c>
      <c r="B20" s="20" t="str">
        <f>M18</f>
        <v xml:space="preserve">Metal </v>
      </c>
      <c r="C20" s="20" cm="1">
        <f t="array" ref="C20">_xlfn.XLOOKUP(B20,_xlfn.VSTACK($M$11:$M$13,$M$15:$M$21),_xlfn.VSTACK($R$11:$R$13,$R$15:$R$21))</f>
        <v>-60</v>
      </c>
      <c r="D20" s="27">
        <v>244.36700000000002</v>
      </c>
      <c r="E20" s="112" cm="1">
        <f t="array" ref="E20">((SUMPRODUCT((('Raw Data'!AF11:AF1217*-$R$18)&gt;$B$11)*'Raw Data'!AF11:AF1217))*$R$18)+(COUNT(_xlfn._xlws.FILTER('Raw Data'!AF11:AF1217,'Raw Data'!AF11:AF1217*-$R$18&gt;$B$11))*B11)</f>
        <v>-9941</v>
      </c>
      <c r="F20" s="20"/>
      <c r="G20" s="111" t="s">
        <v>45</v>
      </c>
      <c r="H20" s="20" t="str">
        <f>$M$15</f>
        <v>Mixed C&amp;D</v>
      </c>
      <c r="I20" s="20" cm="1">
        <f t="array" ref="I20">_xlfn.XLOOKUP(H20,_xlfn.VSTACK($M$11:$M$13,$M$15:$M$21),_xlfn.VSTACK($R$11:$R$13,$R$15:$R$21))</f>
        <v>100</v>
      </c>
      <c r="J20" s="27">
        <v>244.36700000000002</v>
      </c>
      <c r="K20" s="112">
        <f t="shared" si="1"/>
        <v>24436.7</v>
      </c>
      <c r="M20" s="140" t="s">
        <v>1027</v>
      </c>
      <c r="N20" s="24" t="s">
        <v>1013</v>
      </c>
      <c r="O20" s="24">
        <v>545</v>
      </c>
      <c r="P20" s="24">
        <v>730</v>
      </c>
      <c r="Q20" s="20" t="s">
        <v>1039</v>
      </c>
      <c r="R20" s="141">
        <f>P20/10</f>
        <v>73</v>
      </c>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row>
    <row r="21" spans="1:47" ht="17" thickBot="1" x14ac:dyDescent="0.25">
      <c r="A21" s="111" t="s">
        <v>46</v>
      </c>
      <c r="B21" s="20" t="str">
        <f>M15</f>
        <v>Mixed C&amp;D</v>
      </c>
      <c r="C21" s="20" cm="1">
        <f t="array" ref="C21">_xlfn.XLOOKUP(B21,_xlfn.VSTACK($M$11:$M$13,$M$15:$M$21),_xlfn.VSTACK($R$11:$R$13,$R$15:$R$21))</f>
        <v>100</v>
      </c>
      <c r="D21" s="27">
        <v>302.32149999999996</v>
      </c>
      <c r="E21" s="112">
        <f t="shared" si="0"/>
        <v>30232.149999999994</v>
      </c>
      <c r="G21" s="111" t="s">
        <v>46</v>
      </c>
      <c r="H21" s="20" t="str">
        <f>$M$15</f>
        <v>Mixed C&amp;D</v>
      </c>
      <c r="I21" s="20" cm="1">
        <f t="array" ref="I21">_xlfn.XLOOKUP(H21,_xlfn.VSTACK($M$11:$M$13,$M$15:$M$21),_xlfn.VSTACK($R$11:$R$13,$R$15:$R$21))</f>
        <v>100</v>
      </c>
      <c r="J21" s="27">
        <v>302.32149999999996</v>
      </c>
      <c r="K21" s="112">
        <f t="shared" si="1"/>
        <v>30232.149999999994</v>
      </c>
      <c r="M21" s="143" t="s">
        <v>1028</v>
      </c>
      <c r="N21" s="144" t="s">
        <v>1013</v>
      </c>
      <c r="O21" s="144">
        <v>545</v>
      </c>
      <c r="P21" s="144">
        <v>850</v>
      </c>
      <c r="Q21" s="145" t="s">
        <v>1039</v>
      </c>
      <c r="R21" s="146">
        <f>P21/10</f>
        <v>85</v>
      </c>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row>
    <row r="22" spans="1:47" ht="17" thickTop="1" x14ac:dyDescent="0.2">
      <c r="A22" s="111" t="s">
        <v>47</v>
      </c>
      <c r="B22" s="20" t="str">
        <f>M12</f>
        <v>Recycling </v>
      </c>
      <c r="C22" s="20" cm="1">
        <f t="array" ref="C22">_xlfn.XLOOKUP(B22,_xlfn.VSTACK($M$11:$M$13,$M$15:$M$21),_xlfn.VSTACK($R$11:$R$13,$R$15:$R$21))</f>
        <v>100</v>
      </c>
      <c r="D22" s="27">
        <v>3.6159999999999997</v>
      </c>
      <c r="E22" s="112">
        <f t="shared" si="0"/>
        <v>361.59999999999997</v>
      </c>
      <c r="F22" s="20"/>
      <c r="G22" s="111" t="s">
        <v>47</v>
      </c>
      <c r="H22" s="20" t="str">
        <f>$M$15</f>
        <v>Mixed C&amp;D</v>
      </c>
      <c r="I22" s="20" cm="1">
        <f t="array" ref="I22">_xlfn.XLOOKUP(H22,_xlfn.VSTACK($M$11:$M$13,$M$15:$M$21),_xlfn.VSTACK($R$11:$R$13,$R$15:$R$21))</f>
        <v>100</v>
      </c>
      <c r="J22" s="27">
        <v>3.6159999999999997</v>
      </c>
      <c r="K22" s="112">
        <f t="shared" si="1"/>
        <v>361.59999999999997</v>
      </c>
      <c r="X22" s="20"/>
      <c r="Y22" s="20"/>
      <c r="Z22" s="20"/>
      <c r="AA22" s="20"/>
      <c r="AB22" s="20"/>
      <c r="AC22" s="20"/>
      <c r="AD22" s="20"/>
      <c r="AE22" s="20"/>
      <c r="AF22" s="20"/>
      <c r="AG22" s="20"/>
      <c r="AH22" s="20"/>
      <c r="AI22" s="20"/>
      <c r="AJ22" s="20"/>
      <c r="AK22" s="20"/>
      <c r="AL22" s="20"/>
      <c r="AM22" s="20"/>
      <c r="AN22" s="20"/>
      <c r="AO22" s="20"/>
      <c r="AP22" s="20"/>
      <c r="AQ22" s="20"/>
      <c r="AR22" s="20"/>
      <c r="AS22" s="20"/>
      <c r="AT22" s="20"/>
      <c r="AU22" s="20"/>
    </row>
    <row r="23" spans="1:47" x14ac:dyDescent="0.2">
      <c r="A23" s="111" t="s">
        <v>48</v>
      </c>
      <c r="B23" s="20" t="str">
        <f>M15</f>
        <v>Mixed C&amp;D</v>
      </c>
      <c r="C23" s="20" cm="1">
        <f t="array" ref="C23">_xlfn.XLOOKUP(B23,_xlfn.VSTACK($M$11:$M$13,$M$15:$M$21),_xlfn.VSTACK($R$11:$R$13,$R$15:$R$21))</f>
        <v>100</v>
      </c>
      <c r="D23" s="27">
        <v>288.34660000000002</v>
      </c>
      <c r="E23" s="112">
        <f t="shared" si="0"/>
        <v>28834.660000000003</v>
      </c>
      <c r="G23" s="111" t="s">
        <v>48</v>
      </c>
      <c r="H23" s="20" t="str">
        <f>$M$15</f>
        <v>Mixed C&amp;D</v>
      </c>
      <c r="I23" s="20" cm="1">
        <f t="array" ref="I23">_xlfn.XLOOKUP(H23,_xlfn.VSTACK($M$11:$M$13,$M$15:$M$21),_xlfn.VSTACK($R$11:$R$13,$R$15:$R$21))</f>
        <v>100</v>
      </c>
      <c r="J23" s="27">
        <v>288.34660000000002</v>
      </c>
      <c r="K23" s="112">
        <f t="shared" si="1"/>
        <v>28834.660000000003</v>
      </c>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row>
    <row r="24" spans="1:47" x14ac:dyDescent="0.2">
      <c r="A24" s="111" t="s">
        <v>55</v>
      </c>
      <c r="B24" s="20" t="str">
        <f>M13</f>
        <v>Compost</v>
      </c>
      <c r="C24" s="20" cm="1">
        <f t="array" ref="C24">_xlfn.XLOOKUP(B24,_xlfn.VSTACK($M$11:$M$13,$M$15:$M$21),_xlfn.VSTACK($R$11:$R$13,$R$15:$R$21))</f>
        <v>100</v>
      </c>
      <c r="D24" s="27">
        <v>0.75</v>
      </c>
      <c r="E24" s="112">
        <f t="shared" si="0"/>
        <v>75</v>
      </c>
      <c r="G24" s="111" t="s">
        <v>55</v>
      </c>
      <c r="H24" s="20" t="str">
        <f>$M$15</f>
        <v>Mixed C&amp;D</v>
      </c>
      <c r="I24" s="20" cm="1">
        <f t="array" ref="I24">_xlfn.XLOOKUP(H24,_xlfn.VSTACK($M$11:$M$13,$M$15:$M$21),_xlfn.VSTACK($R$11:$R$13,$R$15:$R$21))</f>
        <v>100</v>
      </c>
      <c r="J24" s="27">
        <v>0.75</v>
      </c>
      <c r="K24" s="112">
        <f t="shared" si="1"/>
        <v>75</v>
      </c>
      <c r="X24" s="20"/>
      <c r="Y24" s="20"/>
      <c r="Z24" s="20"/>
      <c r="AA24" s="20"/>
      <c r="AB24" s="20"/>
      <c r="AC24" s="20"/>
      <c r="AD24" s="20"/>
      <c r="AE24" s="20"/>
      <c r="AF24" s="20"/>
      <c r="AG24" s="20"/>
      <c r="AH24" s="20"/>
      <c r="AI24" s="20"/>
      <c r="AJ24" s="20"/>
      <c r="AK24" s="20"/>
      <c r="AL24" s="20"/>
      <c r="AM24" s="20"/>
      <c r="AN24" s="20"/>
      <c r="AO24" s="20"/>
      <c r="AP24" s="20"/>
      <c r="AQ24" s="20"/>
      <c r="AR24" s="20"/>
      <c r="AS24" s="20"/>
      <c r="AT24" s="20"/>
      <c r="AU24" s="20"/>
    </row>
    <row r="25" spans="1:47" x14ac:dyDescent="0.2">
      <c r="A25" s="111" t="s">
        <v>58</v>
      </c>
      <c r="B25" s="20" t="str">
        <f>M17</f>
        <v>Drywall</v>
      </c>
      <c r="C25" s="20" cm="1">
        <f t="array" ref="C25">_xlfn.XLOOKUP(B25,_xlfn.VSTACK($M$11:$M$13,$M$15:$M$21),_xlfn.VSTACK($R$11:$R$13,$R$15:$R$21))</f>
        <v>55</v>
      </c>
      <c r="D25" s="27">
        <v>939.56999999999994</v>
      </c>
      <c r="E25" s="112">
        <f t="shared" si="0"/>
        <v>51676.35</v>
      </c>
      <c r="G25" s="111" t="s">
        <v>58</v>
      </c>
      <c r="H25" s="20" t="str">
        <f>$M$15</f>
        <v>Mixed C&amp;D</v>
      </c>
      <c r="I25" s="20" cm="1">
        <f t="array" ref="I25">_xlfn.XLOOKUP(H25,_xlfn.VSTACK($M$11:$M$13,$M$15:$M$21),_xlfn.VSTACK($R$11:$R$13,$R$15:$R$21))</f>
        <v>100</v>
      </c>
      <c r="J25" s="27">
        <v>939.56999999999994</v>
      </c>
      <c r="K25" s="112">
        <f t="shared" si="1"/>
        <v>93957</v>
      </c>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row>
    <row r="26" spans="1:47" x14ac:dyDescent="0.2">
      <c r="A26" s="111" t="s">
        <v>64</v>
      </c>
      <c r="B26" s="20" t="str">
        <f>M15</f>
        <v>Mixed C&amp;D</v>
      </c>
      <c r="C26" s="20" cm="1">
        <f t="array" ref="C26">_xlfn.XLOOKUP(B26,_xlfn.VSTACK($M$11:$M$13,$M$15:$M$21),_xlfn.VSTACK($R$11:$R$13,$R$15:$R$21))</f>
        <v>100</v>
      </c>
      <c r="D26" s="27">
        <v>24.342600000000001</v>
      </c>
      <c r="E26" s="112">
        <f t="shared" si="0"/>
        <v>2434.2600000000002</v>
      </c>
      <c r="G26" s="111" t="s">
        <v>64</v>
      </c>
      <c r="H26" s="20" t="str">
        <f>$M$15</f>
        <v>Mixed C&amp;D</v>
      </c>
      <c r="I26" s="20" cm="1">
        <f t="array" ref="I26">_xlfn.XLOOKUP(H26,_xlfn.VSTACK($M$11:$M$13,$M$15:$M$21),_xlfn.VSTACK($R$11:$R$13,$R$15:$R$21))</f>
        <v>100</v>
      </c>
      <c r="J26" s="27">
        <v>24.342600000000001</v>
      </c>
      <c r="K26" s="112">
        <f t="shared" si="1"/>
        <v>2434.2600000000002</v>
      </c>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row>
    <row r="27" spans="1:47" x14ac:dyDescent="0.2">
      <c r="A27" s="111" t="s">
        <v>69</v>
      </c>
      <c r="B27" s="20" t="str">
        <f>M11</f>
        <v>MSW Trash</v>
      </c>
      <c r="C27" s="20" cm="1">
        <f t="array" ref="C27">_xlfn.XLOOKUP(B27,_xlfn.VSTACK($M$11:$M$13,$M$15:$M$21),_xlfn.VSTACK($R$11:$R$13,$R$15:$R$21))</f>
        <v>100</v>
      </c>
      <c r="D27" s="27">
        <v>9.1001999999999992</v>
      </c>
      <c r="E27" s="112">
        <f>C27*D27</f>
        <v>910.01999999999987</v>
      </c>
      <c r="G27" s="111" t="s">
        <v>69</v>
      </c>
      <c r="H27" s="20" t="str">
        <f>$M$15</f>
        <v>Mixed C&amp;D</v>
      </c>
      <c r="I27" s="20" cm="1">
        <f t="array" ref="I27">_xlfn.XLOOKUP(H27,_xlfn.VSTACK($M$11:$M$13,$M$15:$M$21),_xlfn.VSTACK($R$11:$R$13,$R$15:$R$21))</f>
        <v>100</v>
      </c>
      <c r="J27" s="27">
        <v>9.1001999999999992</v>
      </c>
      <c r="K27" s="112">
        <f t="shared" si="1"/>
        <v>910.01999999999987</v>
      </c>
      <c r="X27" s="20"/>
      <c r="Y27" s="20"/>
      <c r="Z27" s="20"/>
      <c r="AA27" s="20"/>
      <c r="AB27" s="20"/>
      <c r="AC27" s="20"/>
      <c r="AD27" s="20"/>
      <c r="AE27" s="20"/>
      <c r="AF27" s="20"/>
      <c r="AG27" s="20"/>
      <c r="AH27" s="20"/>
      <c r="AI27" s="20"/>
      <c r="AJ27" s="20"/>
      <c r="AK27" s="20"/>
      <c r="AL27" s="20"/>
      <c r="AM27" s="20"/>
      <c r="AN27" s="20"/>
      <c r="AO27" s="20"/>
      <c r="AP27" s="20"/>
      <c r="AQ27" s="20"/>
      <c r="AR27" s="20"/>
      <c r="AS27" s="20"/>
      <c r="AT27" s="20"/>
      <c r="AU27" s="20"/>
    </row>
    <row r="28" spans="1:47" x14ac:dyDescent="0.2">
      <c r="A28" s="111" t="s">
        <v>70</v>
      </c>
      <c r="B28" s="20" t="str">
        <f>M16</f>
        <v>Wood</v>
      </c>
      <c r="C28" s="20" cm="1">
        <f t="array" ref="C28">_xlfn.XLOOKUP(B28,_xlfn.VSTACK($M$11:$M$13,$M$15:$M$21),_xlfn.VSTACK($R$11:$R$13,$R$15:$R$21))</f>
        <v>85</v>
      </c>
      <c r="D28" s="27">
        <v>751.47489999999993</v>
      </c>
      <c r="E28" s="112">
        <f t="shared" ref="E28:E29" si="3">C28*D28</f>
        <v>63875.366499999996</v>
      </c>
      <c r="G28" s="111" t="s">
        <v>70</v>
      </c>
      <c r="H28" s="20" t="str">
        <f>$M$15</f>
        <v>Mixed C&amp;D</v>
      </c>
      <c r="I28" s="20" cm="1">
        <f t="array" ref="I28">_xlfn.XLOOKUP(H28,_xlfn.VSTACK($M$11:$M$13,$M$15:$M$21),_xlfn.VSTACK($R$11:$R$13,$R$15:$R$21))</f>
        <v>100</v>
      </c>
      <c r="J28" s="27">
        <v>751.47489999999993</v>
      </c>
      <c r="K28" s="112">
        <f t="shared" si="1"/>
        <v>75147.489999999991</v>
      </c>
      <c r="X28" s="20"/>
      <c r="Y28" s="20"/>
      <c r="Z28" s="20"/>
      <c r="AA28" s="20"/>
      <c r="AB28" s="20"/>
      <c r="AC28" s="20"/>
      <c r="AD28" s="20"/>
      <c r="AE28" s="20"/>
      <c r="AF28" s="20"/>
      <c r="AG28" s="20"/>
      <c r="AH28" s="20"/>
      <c r="AI28" s="20"/>
      <c r="AJ28" s="20"/>
      <c r="AK28" s="20"/>
      <c r="AL28" s="20"/>
      <c r="AM28" s="20"/>
      <c r="AN28" s="20"/>
      <c r="AO28" s="20"/>
      <c r="AP28" s="20"/>
      <c r="AQ28" s="20"/>
      <c r="AR28" s="20"/>
      <c r="AS28" s="20"/>
      <c r="AT28" s="20"/>
      <c r="AU28" s="20"/>
    </row>
    <row r="29" spans="1:47" x14ac:dyDescent="0.2">
      <c r="A29" s="113" t="s">
        <v>1032</v>
      </c>
      <c r="B29" s="25" t="str">
        <f>M20</f>
        <v>Concrete &amp; dirt</v>
      </c>
      <c r="C29" s="25" cm="1">
        <f t="array" ref="C29">_xlfn.XLOOKUP(B29,_xlfn.VSTACK($M$11:$M$13,$M$15:$M$21),_xlfn.VSTACK($R$11:$R$13,$R$15:$R$21))</f>
        <v>73</v>
      </c>
      <c r="D29" s="29">
        <v>59185.2</v>
      </c>
      <c r="E29" s="114">
        <f t="shared" si="3"/>
        <v>4320519.5999999996</v>
      </c>
      <c r="G29" s="136" t="s">
        <v>1032</v>
      </c>
      <c r="H29" s="107" t="str">
        <f>$M$15</f>
        <v>Mixed C&amp;D</v>
      </c>
      <c r="I29" s="107" cm="1">
        <f t="array" ref="I29">_xlfn.XLOOKUP(H29,_xlfn.VSTACK($M$11:$M$13,$M$15:$M$21),_xlfn.VSTACK($R$11:$R$13,$R$15:$R$21))</f>
        <v>100</v>
      </c>
      <c r="J29" s="130">
        <v>59185.2</v>
      </c>
      <c r="K29" s="137">
        <f t="shared" si="1"/>
        <v>5918520</v>
      </c>
      <c r="X29" s="20"/>
      <c r="Y29" s="20"/>
      <c r="Z29" s="20"/>
      <c r="AA29" s="20"/>
      <c r="AB29" s="20"/>
      <c r="AC29" s="20"/>
      <c r="AD29" s="20"/>
      <c r="AE29" s="20"/>
      <c r="AF29" s="20"/>
      <c r="AG29" s="20"/>
      <c r="AH29" s="20"/>
      <c r="AI29" s="20"/>
      <c r="AJ29" s="20"/>
      <c r="AK29" s="20"/>
      <c r="AL29" s="20"/>
      <c r="AM29" s="20"/>
      <c r="AN29" s="20"/>
      <c r="AO29" s="20"/>
      <c r="AP29" s="20"/>
      <c r="AQ29" s="20"/>
      <c r="AR29" s="20"/>
      <c r="AS29" s="20"/>
      <c r="AT29" s="20"/>
      <c r="AU29" s="20"/>
    </row>
    <row r="30" spans="1:47" x14ac:dyDescent="0.2">
      <c r="A30" s="193"/>
      <c r="B30" s="194"/>
      <c r="C30" s="194"/>
      <c r="D30" s="194"/>
      <c r="E30" s="195"/>
      <c r="G30" s="198"/>
      <c r="H30" s="199"/>
      <c r="I30" s="199"/>
      <c r="J30" s="199"/>
      <c r="K30" s="20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20"/>
      <c r="AR30" s="20"/>
      <c r="AS30" s="20"/>
      <c r="AT30" s="20"/>
      <c r="AU30" s="20"/>
    </row>
    <row r="31" spans="1:47" ht="18" x14ac:dyDescent="0.2">
      <c r="A31" s="185" t="s">
        <v>1068</v>
      </c>
      <c r="B31" s="186"/>
      <c r="C31" s="187"/>
      <c r="D31" s="188"/>
      <c r="E31" s="189"/>
      <c r="G31" s="185" t="s">
        <v>1068</v>
      </c>
      <c r="H31" s="186"/>
      <c r="I31" s="187"/>
      <c r="J31" s="188"/>
      <c r="K31" s="189"/>
      <c r="Q31" s="20"/>
      <c r="R31" s="20"/>
      <c r="S31" s="20"/>
      <c r="T31" s="20"/>
      <c r="U31" s="20"/>
      <c r="V31" s="20"/>
      <c r="W31" s="20"/>
      <c r="X31" s="20"/>
      <c r="Y31" s="20"/>
      <c r="Z31" s="20"/>
      <c r="AA31" s="20"/>
      <c r="AB31" s="20"/>
      <c r="AC31" s="20"/>
    </row>
    <row r="32" spans="1:47" x14ac:dyDescent="0.2">
      <c r="A32" s="123" t="s">
        <v>1037</v>
      </c>
      <c r="B32" s="121">
        <f>SUM(E15:E29)</f>
        <v>4911297.9441</v>
      </c>
      <c r="C32" s="187"/>
      <c r="D32" s="188"/>
      <c r="E32" s="189"/>
      <c r="G32" s="123" t="s">
        <v>1037</v>
      </c>
      <c r="H32" s="121">
        <f>SUM(K15:K29)</f>
        <v>6741825.29</v>
      </c>
      <c r="I32" s="187"/>
      <c r="J32" s="188"/>
      <c r="K32" s="189"/>
      <c r="P32" s="20"/>
      <c r="Q32" s="20"/>
      <c r="R32" s="20"/>
      <c r="S32" s="20"/>
      <c r="T32" s="20"/>
      <c r="U32" s="20"/>
      <c r="V32" s="20"/>
      <c r="W32" s="20"/>
      <c r="X32" s="20"/>
      <c r="Y32" s="20"/>
      <c r="Z32" s="20"/>
      <c r="AA32" s="20"/>
      <c r="AB32" s="20"/>
      <c r="AC32" s="20"/>
    </row>
    <row r="33" spans="1:29" x14ac:dyDescent="0.2">
      <c r="A33" s="123" t="s">
        <v>1047</v>
      </c>
      <c r="B33" s="121">
        <f>C11</f>
        <v>657815</v>
      </c>
      <c r="C33" s="187"/>
      <c r="D33" s="188"/>
      <c r="E33" s="189"/>
      <c r="G33" s="123" t="s">
        <v>1047</v>
      </c>
      <c r="H33" s="121">
        <f>I11</f>
        <v>657815</v>
      </c>
      <c r="I33" s="187"/>
      <c r="J33" s="188"/>
      <c r="K33" s="189"/>
      <c r="P33" s="20"/>
      <c r="Q33" s="20"/>
      <c r="R33" s="20"/>
      <c r="S33" s="20"/>
      <c r="T33" s="20"/>
      <c r="U33" s="20"/>
      <c r="V33" s="20"/>
      <c r="W33" s="20"/>
      <c r="X33" s="20"/>
      <c r="Y33" s="20"/>
      <c r="Z33" s="20"/>
      <c r="AA33" s="20"/>
      <c r="AB33" s="20"/>
      <c r="AC33" s="20"/>
    </row>
    <row r="34" spans="1:29" ht="17" thickBot="1" x14ac:dyDescent="0.25">
      <c r="A34" s="124" t="s">
        <v>1042</v>
      </c>
      <c r="B34" s="125">
        <f>B32+B33</f>
        <v>5569112.9441</v>
      </c>
      <c r="C34" s="190"/>
      <c r="D34" s="191"/>
      <c r="E34" s="192"/>
      <c r="G34" s="124" t="s">
        <v>1042</v>
      </c>
      <c r="H34" s="125">
        <f>H32+H33</f>
        <v>7399640.29</v>
      </c>
      <c r="I34" s="190"/>
      <c r="J34" s="191"/>
      <c r="K34" s="192"/>
      <c r="P34" s="20"/>
      <c r="Q34" s="20"/>
      <c r="R34" s="20"/>
      <c r="S34" s="20"/>
      <c r="T34" s="20"/>
      <c r="U34" s="20"/>
      <c r="V34" s="20"/>
      <c r="W34" s="20"/>
      <c r="X34" s="20"/>
      <c r="Y34" s="20"/>
      <c r="Z34" s="20"/>
      <c r="AA34" s="20"/>
      <c r="AB34" s="20"/>
      <c r="AC34" s="20"/>
    </row>
    <row r="35" spans="1:29" x14ac:dyDescent="0.2">
      <c r="A35"/>
      <c r="B35"/>
      <c r="C35"/>
      <c r="D35"/>
      <c r="E35"/>
      <c r="G35"/>
      <c r="H35"/>
      <c r="P35" s="20"/>
      <c r="Q35" s="20"/>
      <c r="R35" s="20"/>
      <c r="S35" s="20"/>
      <c r="T35" s="20"/>
      <c r="U35" s="20"/>
      <c r="V35" s="20"/>
      <c r="W35" s="20"/>
      <c r="X35" s="20"/>
      <c r="Y35" s="20"/>
      <c r="Z35" s="20"/>
      <c r="AA35" s="20"/>
      <c r="AB35" s="20"/>
      <c r="AC35" s="20"/>
    </row>
    <row r="36" spans="1:29" x14ac:dyDescent="0.2">
      <c r="A36" s="243" t="s">
        <v>1094</v>
      </c>
      <c r="B36" s="244"/>
      <c r="C36" s="244"/>
      <c r="D36" s="244"/>
      <c r="E36" s="245"/>
      <c r="F36" s="161"/>
      <c r="G36" s="243" t="s">
        <v>1095</v>
      </c>
      <c r="H36" s="244"/>
      <c r="I36" s="244"/>
      <c r="J36" s="244"/>
      <c r="K36" s="245"/>
      <c r="P36" s="20"/>
      <c r="Q36" s="20"/>
      <c r="R36" s="20"/>
      <c r="S36" s="20"/>
      <c r="T36" s="20"/>
      <c r="U36" s="20"/>
      <c r="V36" s="20"/>
      <c r="W36" s="20"/>
      <c r="X36" s="20"/>
      <c r="Y36" s="20"/>
      <c r="Z36" s="20"/>
      <c r="AA36" s="20"/>
      <c r="AB36" s="20"/>
      <c r="AC36" s="20"/>
    </row>
    <row r="37" spans="1:29" x14ac:dyDescent="0.2">
      <c r="A37" s="246" t="s">
        <v>1083</v>
      </c>
      <c r="B37" s="247">
        <f>B39/B38</f>
        <v>20</v>
      </c>
      <c r="C37" s="248"/>
      <c r="D37" s="248"/>
      <c r="E37" s="249"/>
      <c r="F37"/>
      <c r="G37" s="246" t="s">
        <v>1083</v>
      </c>
      <c r="H37" s="247">
        <v>0</v>
      </c>
      <c r="I37" s="247" t="s">
        <v>1089</v>
      </c>
      <c r="J37" s="248"/>
      <c r="K37" s="249"/>
      <c r="P37" s="20"/>
      <c r="Q37" s="20"/>
      <c r="R37" s="20"/>
      <c r="S37" s="20"/>
      <c r="T37" s="20"/>
      <c r="U37" s="20"/>
      <c r="V37" s="20"/>
      <c r="W37" s="20"/>
      <c r="X37" s="20"/>
      <c r="Y37" s="20"/>
      <c r="Z37" s="20"/>
      <c r="AA37" s="20"/>
      <c r="AB37" s="20"/>
      <c r="AC37" s="20"/>
    </row>
    <row r="38" spans="1:29" x14ac:dyDescent="0.2">
      <c r="A38" s="246" t="s">
        <v>1084</v>
      </c>
      <c r="B38" s="247">
        <v>5</v>
      </c>
      <c r="C38" s="248"/>
      <c r="D38" s="248"/>
      <c r="E38" s="249"/>
      <c r="F38"/>
      <c r="G38" s="246" t="s">
        <v>1084</v>
      </c>
      <c r="H38" s="247">
        <v>0</v>
      </c>
      <c r="I38" s="248"/>
      <c r="J38" s="248"/>
      <c r="K38" s="249"/>
    </row>
    <row r="39" spans="1:29" ht="16" customHeight="1" x14ac:dyDescent="0.2">
      <c r="A39" s="246" t="s">
        <v>1085</v>
      </c>
      <c r="B39" s="247">
        <v>100</v>
      </c>
      <c r="C39" s="248"/>
      <c r="D39" s="248"/>
      <c r="E39" s="249"/>
      <c r="F39"/>
      <c r="G39" s="246" t="s">
        <v>1085</v>
      </c>
      <c r="H39" s="247">
        <v>0</v>
      </c>
      <c r="I39" s="248"/>
      <c r="J39" s="248"/>
      <c r="K39" s="249"/>
    </row>
    <row r="40" spans="1:29" ht="16" customHeight="1" x14ac:dyDescent="0.2">
      <c r="A40" s="246" t="s">
        <v>1081</v>
      </c>
      <c r="B40" s="250">
        <f>B37*'Entire Project Overiew'!$O$11</f>
        <v>10900</v>
      </c>
      <c r="C40" s="247" t="s">
        <v>1086</v>
      </c>
      <c r="D40" s="248"/>
      <c r="E40" s="249"/>
      <c r="F40"/>
      <c r="G40" s="246" t="s">
        <v>1081</v>
      </c>
      <c r="H40" s="255">
        <f>H37*'Entire Project Overiew'!$O$11</f>
        <v>0</v>
      </c>
      <c r="I40" s="247" t="s">
        <v>1090</v>
      </c>
      <c r="J40" s="248"/>
      <c r="K40" s="249"/>
    </row>
    <row r="41" spans="1:29" ht="17" customHeight="1" x14ac:dyDescent="0.2">
      <c r="A41" s="246" t="s">
        <v>1082</v>
      </c>
      <c r="B41" s="250">
        <f>B39*'Entire Project Overiew'!$P$16</f>
        <v>8500</v>
      </c>
      <c r="C41" s="247" t="s">
        <v>1087</v>
      </c>
      <c r="D41" s="248"/>
      <c r="E41" s="249"/>
      <c r="F41"/>
      <c r="G41" s="246" t="s">
        <v>1082</v>
      </c>
      <c r="H41" s="250">
        <f>H39*'Entire Project Overiew'!$P$16</f>
        <v>0</v>
      </c>
      <c r="I41" s="248"/>
      <c r="J41" s="248"/>
      <c r="K41" s="249"/>
    </row>
    <row r="42" spans="1:29" x14ac:dyDescent="0.2">
      <c r="A42" s="259" t="s">
        <v>1088</v>
      </c>
      <c r="B42" s="260">
        <f>B40+B41</f>
        <v>19400</v>
      </c>
      <c r="C42" s="253"/>
      <c r="D42" s="253"/>
      <c r="E42" s="254"/>
      <c r="F42"/>
      <c r="G42" s="259" t="s">
        <v>1088</v>
      </c>
      <c r="H42" s="260">
        <f>H40+H41</f>
        <v>0</v>
      </c>
      <c r="I42" s="253"/>
      <c r="J42" s="253"/>
      <c r="K42" s="254"/>
    </row>
    <row r="43" spans="1:29" x14ac:dyDescent="0.2">
      <c r="I43" s="20"/>
    </row>
    <row r="44" spans="1:29" x14ac:dyDescent="0.2">
      <c r="I44" s="20"/>
    </row>
    <row r="50" spans="3:8" x14ac:dyDescent="0.2">
      <c r="C50" s="261"/>
      <c r="D50" s="262"/>
      <c r="E50" s="262"/>
      <c r="F50" s="262"/>
      <c r="G50" s="263"/>
      <c r="H50" s="263"/>
    </row>
  </sheetData>
  <mergeCells count="26">
    <mergeCell ref="A36:E36"/>
    <mergeCell ref="G36:K36"/>
    <mergeCell ref="G30:K30"/>
    <mergeCell ref="G31:H31"/>
    <mergeCell ref="I31:K34"/>
    <mergeCell ref="M14:R14"/>
    <mergeCell ref="M10:R10"/>
    <mergeCell ref="M8:R8"/>
    <mergeCell ref="A31:B31"/>
    <mergeCell ref="C31:E34"/>
    <mergeCell ref="A30:E30"/>
    <mergeCell ref="A6:C6"/>
    <mergeCell ref="A5:C5"/>
    <mergeCell ref="G12:K12"/>
    <mergeCell ref="G13:K13"/>
    <mergeCell ref="A4:C4"/>
    <mergeCell ref="A8:E8"/>
    <mergeCell ref="A9:C9"/>
    <mergeCell ref="A13:E13"/>
    <mergeCell ref="D9:E11"/>
    <mergeCell ref="A12:E12"/>
    <mergeCell ref="A3:D3"/>
    <mergeCell ref="A1:K1"/>
    <mergeCell ref="G8:K8"/>
    <mergeCell ref="G9:I9"/>
    <mergeCell ref="J9:K11"/>
  </mergeCells>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029DE-D6B9-6B41-BD5A-EDE32A744793}">
  <dimension ref="A1:BF99"/>
  <sheetViews>
    <sheetView zoomScale="75" zoomScaleNormal="40" workbookViewId="0">
      <pane xSplit="1" topLeftCell="X1" activePane="topRight" state="frozen"/>
      <selection activeCell="A10" sqref="A10"/>
      <selection pane="topRight" activeCell="AW6" sqref="AW6"/>
    </sheetView>
  </sheetViews>
  <sheetFormatPr baseColWidth="10" defaultRowHeight="14" x14ac:dyDescent="0.15"/>
  <cols>
    <col min="1" max="1" width="32" style="51" bestFit="1" customWidth="1"/>
    <col min="2" max="2" width="13.6640625" style="51" bestFit="1" customWidth="1"/>
    <col min="3" max="3" width="12.5" style="51" bestFit="1" customWidth="1"/>
    <col min="4" max="4" width="13.6640625" style="51" bestFit="1" customWidth="1"/>
    <col min="5" max="6" width="14.83203125" style="51" bestFit="1" customWidth="1"/>
    <col min="7" max="9" width="12.5" style="51" bestFit="1" customWidth="1"/>
    <col min="10" max="10" width="16.5" style="51" bestFit="1" customWidth="1"/>
    <col min="11" max="12" width="12.5" style="51" bestFit="1" customWidth="1"/>
    <col min="13" max="15" width="13.6640625" style="51" bestFit="1" customWidth="1"/>
    <col min="16" max="19" width="12.5" style="51" bestFit="1" customWidth="1"/>
    <col min="20" max="30" width="13.6640625" style="51" bestFit="1" customWidth="1"/>
    <col min="31" max="41" width="13.6640625" style="19" bestFit="1" customWidth="1"/>
    <col min="42" max="42" width="12.5" style="19" bestFit="1" customWidth="1"/>
    <col min="43" max="43" width="16.5" style="52" bestFit="1" customWidth="1"/>
    <col min="44" max="44" width="6" style="19" customWidth="1"/>
    <col min="45" max="45" width="32" style="19" bestFit="1" customWidth="1"/>
    <col min="46" max="48" width="13" style="19" bestFit="1" customWidth="1"/>
    <col min="49" max="49" width="20.83203125" style="19" bestFit="1" customWidth="1"/>
    <col min="50" max="56" width="13" style="19" bestFit="1" customWidth="1"/>
    <col min="57" max="57" width="11.83203125" style="19" bestFit="1" customWidth="1"/>
    <col min="58" max="58" width="14.1640625" style="19" bestFit="1" customWidth="1"/>
    <col min="59" max="16384" width="10.83203125" style="19"/>
  </cols>
  <sheetData>
    <row r="1" spans="1:58" ht="26" thickBot="1" x14ac:dyDescent="0.25">
      <c r="A1" s="165" t="s">
        <v>1080</v>
      </c>
      <c r="B1" s="166"/>
      <c r="C1" s="166"/>
      <c r="D1" s="166"/>
      <c r="E1" s="166"/>
      <c r="F1" s="166"/>
      <c r="G1" s="166"/>
      <c r="H1" s="166"/>
      <c r="I1" s="166"/>
      <c r="J1" s="166"/>
      <c r="K1" s="166"/>
      <c r="L1" s="166"/>
      <c r="M1" s="166"/>
      <c r="N1" s="166"/>
      <c r="O1" s="166"/>
      <c r="P1" s="166"/>
      <c r="Q1" s="166"/>
      <c r="R1" s="166"/>
      <c r="S1" s="166"/>
      <c r="T1" s="166"/>
      <c r="U1" s="166"/>
      <c r="V1" s="166"/>
      <c r="W1" s="166"/>
      <c r="X1" s="166"/>
      <c r="Y1" s="166"/>
      <c r="Z1" s="166"/>
      <c r="AA1" s="166"/>
      <c r="AB1" s="166"/>
      <c r="AC1" s="166"/>
      <c r="AD1" s="166"/>
      <c r="AE1" s="166"/>
      <c r="AF1" s="166"/>
      <c r="AG1" s="166"/>
      <c r="AH1" s="166"/>
      <c r="AI1" s="166"/>
      <c r="AJ1" s="166"/>
      <c r="AK1" s="166"/>
      <c r="AL1" s="166"/>
      <c r="AM1" s="166"/>
      <c r="AN1" s="166"/>
      <c r="AO1" s="166"/>
      <c r="AP1" s="166"/>
      <c r="AQ1" s="167"/>
      <c r="AR1"/>
      <c r="AS1"/>
      <c r="AT1"/>
      <c r="AU1"/>
      <c r="AV1"/>
      <c r="AW1"/>
      <c r="AX1"/>
      <c r="AY1"/>
      <c r="AZ1"/>
      <c r="BA1"/>
      <c r="BB1"/>
      <c r="BC1"/>
      <c r="BD1"/>
      <c r="BE1"/>
      <c r="BF1"/>
    </row>
    <row r="2" spans="1:58" ht="15" thickBot="1" x14ac:dyDescent="0.2"/>
    <row r="3" spans="1:58" s="21" customFormat="1" ht="23" x14ac:dyDescent="0.25">
      <c r="A3" s="148"/>
      <c r="B3" s="211" t="s">
        <v>1069</v>
      </c>
      <c r="C3" s="211"/>
      <c r="D3" s="211"/>
      <c r="E3" s="211"/>
      <c r="F3" s="211"/>
      <c r="G3" s="211"/>
      <c r="H3" s="211"/>
      <c r="I3" s="211"/>
      <c r="J3" s="211"/>
      <c r="K3" s="211"/>
      <c r="L3" s="211"/>
      <c r="M3" s="211"/>
      <c r="N3" s="211"/>
      <c r="O3" s="211"/>
      <c r="P3" s="211"/>
      <c r="Q3" s="211"/>
      <c r="R3" s="211"/>
      <c r="S3" s="211"/>
      <c r="T3" s="211"/>
      <c r="U3" s="211"/>
      <c r="V3" s="211"/>
      <c r="W3" s="211"/>
      <c r="X3" s="211"/>
      <c r="Y3" s="211"/>
      <c r="Z3" s="211"/>
      <c r="AA3" s="211"/>
      <c r="AB3" s="211"/>
      <c r="AC3" s="211"/>
      <c r="AD3" s="211"/>
      <c r="AE3" s="211"/>
      <c r="AF3" s="211"/>
      <c r="AG3" s="211"/>
      <c r="AH3" s="211"/>
      <c r="AI3" s="211"/>
      <c r="AJ3" s="211"/>
      <c r="AK3" s="211"/>
      <c r="AL3" s="211"/>
      <c r="AM3" s="211"/>
      <c r="AN3" s="211"/>
      <c r="AO3" s="211"/>
      <c r="AP3" s="211"/>
      <c r="AQ3" s="212"/>
      <c r="AR3" s="19"/>
      <c r="AS3" s="162" t="s">
        <v>1073</v>
      </c>
      <c r="AT3" s="163"/>
      <c r="AU3" s="163"/>
      <c r="AV3" s="163"/>
      <c r="AW3" s="164"/>
    </row>
    <row r="4" spans="1:58" s="32" customFormat="1" ht="18" x14ac:dyDescent="0.2">
      <c r="A4" s="150" t="s">
        <v>1010</v>
      </c>
      <c r="B4" s="154">
        <v>2022</v>
      </c>
      <c r="C4" s="152">
        <v>2022</v>
      </c>
      <c r="D4" s="152">
        <v>2023</v>
      </c>
      <c r="E4" s="152">
        <v>2023</v>
      </c>
      <c r="F4" s="152">
        <v>2023</v>
      </c>
      <c r="G4" s="152">
        <v>2023</v>
      </c>
      <c r="H4" s="152">
        <v>2023</v>
      </c>
      <c r="I4" s="152">
        <v>2023</v>
      </c>
      <c r="J4" s="152">
        <v>2023</v>
      </c>
      <c r="K4" s="152">
        <v>2023</v>
      </c>
      <c r="L4" s="152">
        <v>2023</v>
      </c>
      <c r="M4" s="152">
        <v>2024</v>
      </c>
      <c r="N4" s="152">
        <v>2024</v>
      </c>
      <c r="O4" s="152">
        <v>2024</v>
      </c>
      <c r="P4" s="152">
        <v>2024</v>
      </c>
      <c r="Q4" s="152">
        <v>2024</v>
      </c>
      <c r="R4" s="152">
        <v>2024</v>
      </c>
      <c r="S4" s="152">
        <v>2024</v>
      </c>
      <c r="T4" s="152">
        <v>2024</v>
      </c>
      <c r="U4" s="152">
        <v>2024</v>
      </c>
      <c r="V4" s="152">
        <v>2024</v>
      </c>
      <c r="W4" s="152">
        <v>2024</v>
      </c>
      <c r="X4" s="152">
        <v>2024</v>
      </c>
      <c r="Y4" s="152">
        <v>2025</v>
      </c>
      <c r="Z4" s="152">
        <v>2025</v>
      </c>
      <c r="AA4" s="152">
        <v>2025</v>
      </c>
      <c r="AB4" s="152">
        <v>2025</v>
      </c>
      <c r="AC4" s="152">
        <v>2025</v>
      </c>
      <c r="AD4" s="58">
        <v>2025</v>
      </c>
      <c r="AE4" s="56">
        <v>2025</v>
      </c>
      <c r="AF4" s="57">
        <v>2025</v>
      </c>
      <c r="AG4" s="58">
        <v>2025</v>
      </c>
      <c r="AH4" s="57">
        <v>2025</v>
      </c>
      <c r="AI4" s="58">
        <v>2025</v>
      </c>
      <c r="AJ4" s="57">
        <v>2025</v>
      </c>
      <c r="AK4" s="58">
        <v>2026</v>
      </c>
      <c r="AL4" s="57">
        <v>2026</v>
      </c>
      <c r="AM4" s="58">
        <v>2026</v>
      </c>
      <c r="AN4" s="57">
        <v>2026</v>
      </c>
      <c r="AO4" s="58">
        <v>2026</v>
      </c>
      <c r="AP4" s="57">
        <v>2026</v>
      </c>
      <c r="AQ4" s="226" t="s">
        <v>1007</v>
      </c>
      <c r="AR4" s="21"/>
      <c r="AS4" s="182" t="s">
        <v>1071</v>
      </c>
      <c r="AT4" s="183"/>
      <c r="AU4" s="183"/>
      <c r="AV4" s="183"/>
      <c r="AW4" s="101">
        <f>AQ64</f>
        <v>5569112.9440999972</v>
      </c>
    </row>
    <row r="5" spans="1:58" ht="19" thickBot="1" x14ac:dyDescent="0.25">
      <c r="A5" s="151" t="s">
        <v>1011</v>
      </c>
      <c r="B5" s="155" t="s">
        <v>932</v>
      </c>
      <c r="C5" s="153" t="s">
        <v>933</v>
      </c>
      <c r="D5" s="153" t="s">
        <v>934</v>
      </c>
      <c r="E5" s="153" t="s">
        <v>935</v>
      </c>
      <c r="F5" s="153" t="s">
        <v>936</v>
      </c>
      <c r="G5" s="153" t="s">
        <v>937</v>
      </c>
      <c r="H5" s="153" t="s">
        <v>938</v>
      </c>
      <c r="I5" s="153" t="s">
        <v>939</v>
      </c>
      <c r="J5" s="153" t="s">
        <v>940</v>
      </c>
      <c r="K5" s="153" t="s">
        <v>932</v>
      </c>
      <c r="L5" s="153" t="s">
        <v>933</v>
      </c>
      <c r="M5" s="153" t="s">
        <v>1002</v>
      </c>
      <c r="N5" s="153" t="s">
        <v>1003</v>
      </c>
      <c r="O5" s="153" t="s">
        <v>1004</v>
      </c>
      <c r="P5" s="153" t="s">
        <v>934</v>
      </c>
      <c r="Q5" s="153" t="s">
        <v>935</v>
      </c>
      <c r="R5" s="153" t="s">
        <v>936</v>
      </c>
      <c r="S5" s="153" t="s">
        <v>937</v>
      </c>
      <c r="T5" s="153" t="s">
        <v>938</v>
      </c>
      <c r="U5" s="153" t="s">
        <v>939</v>
      </c>
      <c r="V5" s="153" t="s">
        <v>940</v>
      </c>
      <c r="W5" s="153" t="s">
        <v>932</v>
      </c>
      <c r="X5" s="153" t="s">
        <v>933</v>
      </c>
      <c r="Y5" s="153" t="s">
        <v>1002</v>
      </c>
      <c r="Z5" s="153" t="s">
        <v>1003</v>
      </c>
      <c r="AA5" s="153" t="s">
        <v>1004</v>
      </c>
      <c r="AB5" s="153" t="s">
        <v>934</v>
      </c>
      <c r="AC5" s="153" t="s">
        <v>935</v>
      </c>
      <c r="AD5" s="149" t="s">
        <v>936</v>
      </c>
      <c r="AE5" s="53" t="s">
        <v>937</v>
      </c>
      <c r="AF5" s="55" t="s">
        <v>938</v>
      </c>
      <c r="AG5" s="54" t="s">
        <v>1012</v>
      </c>
      <c r="AH5" s="55" t="s">
        <v>940</v>
      </c>
      <c r="AI5" s="54" t="s">
        <v>932</v>
      </c>
      <c r="AJ5" s="55" t="s">
        <v>933</v>
      </c>
      <c r="AK5" s="54" t="s">
        <v>1002</v>
      </c>
      <c r="AL5" s="55" t="s">
        <v>1003</v>
      </c>
      <c r="AM5" s="54" t="s">
        <v>1004</v>
      </c>
      <c r="AN5" s="55" t="s">
        <v>934</v>
      </c>
      <c r="AO5" s="54" t="s">
        <v>935</v>
      </c>
      <c r="AP5" s="55" t="s">
        <v>936</v>
      </c>
      <c r="AQ5" s="227"/>
      <c r="AR5" s="21"/>
      <c r="AS5" s="182" t="s">
        <v>1072</v>
      </c>
      <c r="AT5" s="183"/>
      <c r="AU5" s="183"/>
      <c r="AV5" s="183"/>
      <c r="AW5" s="101">
        <f>'Monthly $ Break Down (wo TRUE('!AQ32</f>
        <v>7399640.29</v>
      </c>
    </row>
    <row r="6" spans="1:58" ht="20" thickTop="1" thickBot="1" x14ac:dyDescent="0.25">
      <c r="A6" s="213" t="s">
        <v>1065</v>
      </c>
      <c r="B6" s="214"/>
      <c r="C6" s="214"/>
      <c r="D6" s="214"/>
      <c r="E6" s="214"/>
      <c r="F6" s="214"/>
      <c r="G6" s="214"/>
      <c r="H6" s="214"/>
      <c r="I6" s="214"/>
      <c r="J6" s="214"/>
      <c r="K6" s="214"/>
      <c r="L6" s="214"/>
      <c r="M6" s="214"/>
      <c r="N6" s="214"/>
      <c r="O6" s="214"/>
      <c r="P6" s="214"/>
      <c r="Q6" s="214"/>
      <c r="R6" s="214"/>
      <c r="S6" s="214"/>
      <c r="T6" s="214"/>
      <c r="U6" s="214"/>
      <c r="V6" s="214"/>
      <c r="W6" s="214"/>
      <c r="X6" s="214"/>
      <c r="Y6" s="214"/>
      <c r="Z6" s="214"/>
      <c r="AA6" s="214"/>
      <c r="AB6" s="214"/>
      <c r="AC6" s="214"/>
      <c r="AD6" s="214"/>
      <c r="AE6" s="214"/>
      <c r="AF6" s="214"/>
      <c r="AG6" s="214"/>
      <c r="AH6" s="214"/>
      <c r="AI6" s="214"/>
      <c r="AJ6" s="214"/>
      <c r="AK6" s="214"/>
      <c r="AL6" s="214"/>
      <c r="AM6" s="214"/>
      <c r="AN6" s="214"/>
      <c r="AO6" s="214"/>
      <c r="AP6" s="214"/>
      <c r="AQ6" s="215"/>
      <c r="AS6" s="196" t="s">
        <v>1016</v>
      </c>
      <c r="AT6" s="197"/>
      <c r="AU6" s="197"/>
      <c r="AV6" s="197"/>
      <c r="AW6" s="126">
        <f>AW5-AW4</f>
        <v>1830527.3459000029</v>
      </c>
    </row>
    <row r="7" spans="1:58" s="21" customFormat="1" ht="17" thickTop="1" x14ac:dyDescent="0.2">
      <c r="A7" s="76" t="s">
        <v>1046</v>
      </c>
      <c r="B7" s="21">
        <f>COUNTIF('Raw Data'!$M$11:$M$1217,DATE(2022,11,1))</f>
        <v>28</v>
      </c>
      <c r="C7" s="21">
        <f>COUNTIF('Raw Data'!$M$11:$M$1217,DATE(2022,12,1))</f>
        <v>3</v>
      </c>
      <c r="D7" s="21">
        <f>COUNTIF('Raw Data'!$M$11:$M$1217,DATE(2023,4,1))</f>
        <v>6</v>
      </c>
      <c r="E7" s="21">
        <f>COUNTIF('Raw Data'!$M$11:$M$1217,DATE(2023,5,1))</f>
        <v>75</v>
      </c>
      <c r="F7" s="21">
        <f>COUNTIF('Raw Data'!$M$11:$M$1217,DATE(2023,6,1))</f>
        <v>77</v>
      </c>
      <c r="G7" s="21">
        <f>COUNTIF('Raw Data'!$M$11:$M$1217,DATE(2023,7,1))</f>
        <v>4</v>
      </c>
      <c r="H7" s="21">
        <f>COUNTIF('Raw Data'!$M$11:$M$1217,DATE(2023,8,1))</f>
        <v>7</v>
      </c>
      <c r="I7" s="21">
        <f>COUNTIF('Raw Data'!$M$11:$M$1217,DATE(2023,9,1))</f>
        <v>7</v>
      </c>
      <c r="J7" s="21">
        <f>COUNTIF('Raw Data'!$M$11:$M$1217,DATE(2023,10,1))</f>
        <v>17</v>
      </c>
      <c r="K7" s="21">
        <f>COUNTIF('Raw Data'!$M$11:$M$1217,DATE(2023,11,1))</f>
        <v>10</v>
      </c>
      <c r="L7" s="21">
        <f>COUNTIF('Raw Data'!$M$11:$M$1217,DATE(2023,12,1))</f>
        <v>6</v>
      </c>
      <c r="M7" s="21">
        <f>COUNTIF('Raw Data'!$M$11:$M$1217,DATE(2024,1,1))</f>
        <v>21</v>
      </c>
      <c r="N7" s="21">
        <f>COUNTIF('Raw Data'!$M$11:$M$1217,DATE(2024,2,1))</f>
        <v>27</v>
      </c>
      <c r="O7" s="21">
        <f>COUNTIF('Raw Data'!$M$11:$M$1217,DATE(2024,3,1))</f>
        <v>37</v>
      </c>
      <c r="P7" s="21">
        <f>COUNTIF('Raw Data'!$M$11:$M$1217,DATE(2024,4,1))</f>
        <v>10</v>
      </c>
      <c r="Q7" s="21">
        <f>COUNTIF('Raw Data'!$M$11:$M$1217,DATE(2024,5,1))</f>
        <v>12</v>
      </c>
      <c r="R7" s="21">
        <f>COUNTIF('Raw Data'!$M$11:$M$1217,DATE(2024,6,1))</f>
        <v>10</v>
      </c>
      <c r="S7" s="21">
        <f>COUNTIF('Raw Data'!$M$11:$M$1217,DATE(2024,7,1))</f>
        <v>10</v>
      </c>
      <c r="T7" s="21">
        <f>COUNTIF('Raw Data'!$M$11:$M$1217,DATE(2024,8,1))</f>
        <v>26</v>
      </c>
      <c r="U7" s="21">
        <f>COUNTIF('Raw Data'!$M$11:$M$1217,DATE(2024,9,1))</f>
        <v>36</v>
      </c>
      <c r="V7" s="21">
        <f>COUNTIF('Raw Data'!$M$11:$M$1217,DATE(2024,10,1))</f>
        <v>81</v>
      </c>
      <c r="W7" s="21">
        <f>COUNTIF('Raw Data'!$M$11:$M$1217,DATE(2024,11,1))</f>
        <v>38</v>
      </c>
      <c r="X7" s="21">
        <f>COUNTIF('Raw Data'!$M$11:$M$1217,DATE(2024,12,1))</f>
        <v>36</v>
      </c>
      <c r="Y7" s="21">
        <f>COUNTIF('Raw Data'!$M$11:$M$1217,DATE(2025,1,1))</f>
        <v>29</v>
      </c>
      <c r="Z7" s="21">
        <f>COUNTIF('Raw Data'!$M$11:$M$1217,DATE(2025,2,1))</f>
        <v>36</v>
      </c>
      <c r="AA7" s="21">
        <f>COUNTIF('Raw Data'!$M$11:$M$1217,DATE(2025,3,1))</f>
        <v>49</v>
      </c>
      <c r="AB7" s="21">
        <f>COUNTIF('Raw Data'!$M$11:$M$1217,DATE(2025,4,1))</f>
        <v>48</v>
      </c>
      <c r="AC7" s="21">
        <f>COUNTIF('Raw Data'!$M$11:$M$1217,DATE(2025,5,1))</f>
        <v>57</v>
      </c>
      <c r="AD7" s="21">
        <f>COUNTIF('Raw Data'!$M$11:$M$1217,DATE(2025,6,1))</f>
        <v>52</v>
      </c>
      <c r="AE7" s="21">
        <f>COUNTIF('Raw Data'!$M$11:$M$1217,DATE(2025,7,1))</f>
        <v>39</v>
      </c>
      <c r="AF7" s="21">
        <f>COUNTIF('Raw Data'!$M$11:$M$1217,DATE(2025,8,1))</f>
        <v>33</v>
      </c>
      <c r="AG7" s="21">
        <f>COUNTIF('Raw Data'!$M$11:$M$1217,DATE(2025,9,1))</f>
        <v>37</v>
      </c>
      <c r="AH7" s="21">
        <f>COUNTIF('Raw Data'!$M$11:$M$1217,DATE(2025,10,1))</f>
        <v>46</v>
      </c>
      <c r="AI7" s="21">
        <f>COUNTIF('Raw Data'!$M$11:$M$1217,DATE(2025,11,1))</f>
        <v>29</v>
      </c>
      <c r="AJ7" s="21">
        <f>COUNTIF('Raw Data'!$M$11:$M$1217,DATE(2025,12,1))</f>
        <v>39</v>
      </c>
      <c r="AK7" s="21">
        <f>COUNTIF('Raw Data'!$M$11:$M$1217,DATE(2026,1,1))</f>
        <v>54</v>
      </c>
      <c r="AL7" s="21">
        <f>COUNTIF('Raw Data'!$M$11:$M$1217,DATE(2026,2,1))</f>
        <v>28</v>
      </c>
      <c r="AM7" s="21">
        <f>COUNTIF('Raw Data'!$M$11:$M$1217,DATE(2026,3,1))</f>
        <v>19</v>
      </c>
      <c r="AN7" s="21">
        <f>COUNTIF('Raw Data'!$M$11:$M$1217,DATE(2026,4,1))</f>
        <v>12</v>
      </c>
      <c r="AO7" s="21">
        <f>COUNTIF('Raw Data'!$M$11:$M$1217,DATE(2026,5,1))</f>
        <v>10</v>
      </c>
      <c r="AP7" s="21">
        <f>COUNTIF('Raw Data'!$M$11:$M$1217,DATE(2026,6,1))</f>
        <v>6</v>
      </c>
      <c r="AQ7" s="77">
        <f>SUM(B7:AP7)</f>
        <v>1207</v>
      </c>
    </row>
    <row r="8" spans="1:58" s="21" customFormat="1" ht="16" x14ac:dyDescent="0.2">
      <c r="A8" s="78" t="s">
        <v>1064</v>
      </c>
      <c r="B8" s="69">
        <f>B7*'Entire Project Overiew'!$O$11</f>
        <v>15260</v>
      </c>
      <c r="C8" s="69">
        <f>C7*'Entire Project Overiew'!$O$11</f>
        <v>1635</v>
      </c>
      <c r="D8" s="69">
        <f>D7*'Entire Project Overiew'!$O$11</f>
        <v>3270</v>
      </c>
      <c r="E8" s="69">
        <f>E7*'Entire Project Overiew'!$O$11</f>
        <v>40875</v>
      </c>
      <c r="F8" s="69">
        <f>F7*'Entire Project Overiew'!$O$11</f>
        <v>41965</v>
      </c>
      <c r="G8" s="69">
        <f>G7*'Entire Project Overiew'!$O$11</f>
        <v>2180</v>
      </c>
      <c r="H8" s="69">
        <f>H7*'Entire Project Overiew'!$O$11</f>
        <v>3815</v>
      </c>
      <c r="I8" s="69">
        <f>I7*'Entire Project Overiew'!$O$11</f>
        <v>3815</v>
      </c>
      <c r="J8" s="69">
        <f>J7*'Entire Project Overiew'!$O$11</f>
        <v>9265</v>
      </c>
      <c r="K8" s="69">
        <f>K7*'Entire Project Overiew'!$O$11</f>
        <v>5450</v>
      </c>
      <c r="L8" s="69">
        <f>L7*'Entire Project Overiew'!$O$11</f>
        <v>3270</v>
      </c>
      <c r="M8" s="69">
        <f>M7*'Entire Project Overiew'!$O$11</f>
        <v>11445</v>
      </c>
      <c r="N8" s="69">
        <f>N7*'Entire Project Overiew'!$O$11</f>
        <v>14715</v>
      </c>
      <c r="O8" s="69">
        <f>O7*'Entire Project Overiew'!$O$11</f>
        <v>20165</v>
      </c>
      <c r="P8" s="69">
        <f>P7*'Entire Project Overiew'!$O$11</f>
        <v>5450</v>
      </c>
      <c r="Q8" s="69">
        <f>Q7*'Entire Project Overiew'!$O$11</f>
        <v>6540</v>
      </c>
      <c r="R8" s="69">
        <f>R7*'Entire Project Overiew'!$O$11</f>
        <v>5450</v>
      </c>
      <c r="S8" s="69">
        <f>S7*'Entire Project Overiew'!$O$11</f>
        <v>5450</v>
      </c>
      <c r="T8" s="69">
        <f>T7*'Entire Project Overiew'!$O$11</f>
        <v>14170</v>
      </c>
      <c r="U8" s="69">
        <f>U7*'Entire Project Overiew'!$O$11</f>
        <v>19620</v>
      </c>
      <c r="V8" s="69">
        <f>V7*'Entire Project Overiew'!$O$11</f>
        <v>44145</v>
      </c>
      <c r="W8" s="69">
        <f>W7*'Entire Project Overiew'!$O$11</f>
        <v>20710</v>
      </c>
      <c r="X8" s="69">
        <f>X7*'Entire Project Overiew'!$O$11</f>
        <v>19620</v>
      </c>
      <c r="Y8" s="69">
        <f>Y7*'Entire Project Overiew'!$O$11</f>
        <v>15805</v>
      </c>
      <c r="Z8" s="69">
        <f>Z7*'Entire Project Overiew'!$O$11</f>
        <v>19620</v>
      </c>
      <c r="AA8" s="69">
        <f>AA7*'Entire Project Overiew'!$O$11</f>
        <v>26705</v>
      </c>
      <c r="AB8" s="69">
        <f>AB7*'Entire Project Overiew'!$O$11</f>
        <v>26160</v>
      </c>
      <c r="AC8" s="69">
        <f>AC7*'Entire Project Overiew'!$O$11</f>
        <v>31065</v>
      </c>
      <c r="AD8" s="69">
        <f>AD7*'Entire Project Overiew'!$O$11</f>
        <v>28340</v>
      </c>
      <c r="AE8" s="69">
        <f>AE7*'Entire Project Overiew'!$O$11</f>
        <v>21255</v>
      </c>
      <c r="AF8" s="69">
        <f>AF7*'Entire Project Overiew'!$O$11</f>
        <v>17985</v>
      </c>
      <c r="AG8" s="69">
        <f>AG7*'Entire Project Overiew'!$O$11</f>
        <v>20165</v>
      </c>
      <c r="AH8" s="69">
        <f>AH7*'Entire Project Overiew'!$O$11</f>
        <v>25070</v>
      </c>
      <c r="AI8" s="69">
        <f>AI7*'Entire Project Overiew'!$O$11</f>
        <v>15805</v>
      </c>
      <c r="AJ8" s="69">
        <f>AJ7*'Entire Project Overiew'!$O$11</f>
        <v>21255</v>
      </c>
      <c r="AK8" s="69">
        <f>AK7*'Entire Project Overiew'!$O$11</f>
        <v>29430</v>
      </c>
      <c r="AL8" s="69">
        <f>AL7*'Entire Project Overiew'!$O$11</f>
        <v>15260</v>
      </c>
      <c r="AM8" s="69">
        <f>AM7*'Entire Project Overiew'!$O$11</f>
        <v>10355</v>
      </c>
      <c r="AN8" s="69">
        <f>AN7*'Entire Project Overiew'!$O$11</f>
        <v>6540</v>
      </c>
      <c r="AO8" s="69">
        <f>AO7*'Entire Project Overiew'!$O$11</f>
        <v>5450</v>
      </c>
      <c r="AP8" s="69">
        <f>AP7*'Entire Project Overiew'!$O$11</f>
        <v>3270</v>
      </c>
      <c r="AQ8" s="79">
        <f>SUM(B8:AP8)</f>
        <v>657815</v>
      </c>
      <c r="AR8" s="32"/>
    </row>
    <row r="9" spans="1:58" s="32" customFormat="1" ht="16" x14ac:dyDescent="0.2">
      <c r="A9" s="220"/>
      <c r="B9" s="221"/>
      <c r="C9" s="221"/>
      <c r="D9" s="221"/>
      <c r="E9" s="221"/>
      <c r="F9" s="221"/>
      <c r="G9" s="221"/>
      <c r="H9" s="221"/>
      <c r="I9" s="221"/>
      <c r="J9" s="221"/>
      <c r="K9" s="221"/>
      <c r="L9" s="221"/>
      <c r="M9" s="221"/>
      <c r="N9" s="221"/>
      <c r="O9" s="221"/>
      <c r="P9" s="221"/>
      <c r="Q9" s="221"/>
      <c r="R9" s="221"/>
      <c r="S9" s="221"/>
      <c r="T9" s="221"/>
      <c r="U9" s="221"/>
      <c r="V9" s="221"/>
      <c r="W9" s="221"/>
      <c r="X9" s="221"/>
      <c r="Y9" s="221"/>
      <c r="Z9" s="221"/>
      <c r="AA9" s="221"/>
      <c r="AB9" s="221"/>
      <c r="AC9" s="221"/>
      <c r="AD9" s="221"/>
      <c r="AE9" s="221"/>
      <c r="AF9" s="221"/>
      <c r="AG9" s="221"/>
      <c r="AH9" s="221"/>
      <c r="AI9" s="221"/>
      <c r="AJ9" s="221"/>
      <c r="AK9" s="221"/>
      <c r="AL9" s="221"/>
      <c r="AM9" s="221"/>
      <c r="AN9" s="221"/>
      <c r="AO9" s="221"/>
      <c r="AP9" s="221"/>
      <c r="AQ9" s="222"/>
      <c r="AR9" s="19"/>
    </row>
    <row r="10" spans="1:58" ht="18" x14ac:dyDescent="0.15">
      <c r="A10" s="213" t="s">
        <v>1019</v>
      </c>
      <c r="B10" s="214"/>
      <c r="C10" s="214"/>
      <c r="D10" s="214"/>
      <c r="E10" s="214"/>
      <c r="F10" s="214"/>
      <c r="G10" s="214"/>
      <c r="H10" s="214"/>
      <c r="I10" s="214"/>
      <c r="J10" s="214"/>
      <c r="K10" s="214"/>
      <c r="L10" s="214"/>
      <c r="M10" s="214"/>
      <c r="N10" s="214"/>
      <c r="O10" s="214"/>
      <c r="P10" s="214"/>
      <c r="Q10" s="214"/>
      <c r="R10" s="214"/>
      <c r="S10" s="214"/>
      <c r="T10" s="214"/>
      <c r="U10" s="214"/>
      <c r="V10" s="214"/>
      <c r="W10" s="214"/>
      <c r="X10" s="214"/>
      <c r="Y10" s="214"/>
      <c r="Z10" s="214"/>
      <c r="AA10" s="214"/>
      <c r="AB10" s="214"/>
      <c r="AC10" s="214"/>
      <c r="AD10" s="214"/>
      <c r="AE10" s="214"/>
      <c r="AF10" s="214"/>
      <c r="AG10" s="214"/>
      <c r="AH10" s="214"/>
      <c r="AI10" s="214"/>
      <c r="AJ10" s="214"/>
      <c r="AK10" s="214"/>
      <c r="AL10" s="214"/>
      <c r="AM10" s="214"/>
      <c r="AN10" s="214"/>
      <c r="AO10" s="214"/>
      <c r="AP10" s="214"/>
      <c r="AQ10" s="215"/>
    </row>
    <row r="11" spans="1:58" ht="16" x14ac:dyDescent="0.2">
      <c r="A11" s="80" t="s">
        <v>69</v>
      </c>
      <c r="B11" s="21">
        <v>0</v>
      </c>
      <c r="C11" s="21">
        <v>0</v>
      </c>
      <c r="D11" s="21">
        <v>4.6254999999999997</v>
      </c>
      <c r="E11" s="21">
        <v>2.9435000000000002</v>
      </c>
      <c r="F11" s="21">
        <v>0</v>
      </c>
      <c r="G11" s="21">
        <v>1.5311999999999999</v>
      </c>
      <c r="H11" s="21">
        <v>0</v>
      </c>
      <c r="I11" s="21">
        <v>0</v>
      </c>
      <c r="J11" s="21">
        <v>0</v>
      </c>
      <c r="K11" s="21">
        <v>0</v>
      </c>
      <c r="L11" s="21">
        <v>0</v>
      </c>
      <c r="M11" s="21">
        <v>0</v>
      </c>
      <c r="N11" s="21">
        <v>0</v>
      </c>
      <c r="O11" s="21">
        <v>0</v>
      </c>
      <c r="P11" s="21">
        <v>0</v>
      </c>
      <c r="Q11" s="21">
        <v>0</v>
      </c>
      <c r="R11" s="21">
        <v>0</v>
      </c>
      <c r="S11" s="21">
        <v>0</v>
      </c>
      <c r="T11" s="21">
        <v>0</v>
      </c>
      <c r="U11" s="21">
        <v>0</v>
      </c>
      <c r="V11" s="21">
        <v>0</v>
      </c>
      <c r="W11" s="21">
        <v>0</v>
      </c>
      <c r="X11" s="21">
        <v>0</v>
      </c>
      <c r="Y11" s="21">
        <v>0</v>
      </c>
      <c r="Z11" s="21">
        <v>0</v>
      </c>
      <c r="AA11" s="21">
        <v>0</v>
      </c>
      <c r="AB11" s="21">
        <v>0</v>
      </c>
      <c r="AC11" s="21">
        <v>0</v>
      </c>
      <c r="AD11" s="21">
        <v>0</v>
      </c>
      <c r="AE11" s="21">
        <v>0</v>
      </c>
      <c r="AF11" s="21">
        <v>0</v>
      </c>
      <c r="AG11" s="21">
        <v>0</v>
      </c>
      <c r="AH11" s="21">
        <v>0</v>
      </c>
      <c r="AI11" s="21">
        <v>0</v>
      </c>
      <c r="AJ11" s="21">
        <v>0</v>
      </c>
      <c r="AK11" s="21">
        <v>0</v>
      </c>
      <c r="AL11" s="21">
        <v>0</v>
      </c>
      <c r="AM11" s="21">
        <v>0</v>
      </c>
      <c r="AN11" s="21">
        <v>0</v>
      </c>
      <c r="AO11" s="21">
        <v>0</v>
      </c>
      <c r="AP11" s="21">
        <v>0</v>
      </c>
      <c r="AQ11" s="77">
        <f t="shared" ref="AQ11:AQ13" si="0">SUM(B11:AP11)</f>
        <v>9.1001999999999992</v>
      </c>
      <c r="AR11" s="21"/>
    </row>
    <row r="12" spans="1:58" s="21" customFormat="1" ht="16" x14ac:dyDescent="0.2">
      <c r="A12" s="81" t="s">
        <v>1048</v>
      </c>
      <c r="B12" s="67">
        <f t="shared" ref="B12:AD12" si="1">B11</f>
        <v>0</v>
      </c>
      <c r="C12" s="67">
        <f t="shared" si="1"/>
        <v>0</v>
      </c>
      <c r="D12" s="67">
        <f t="shared" si="1"/>
        <v>4.6254999999999997</v>
      </c>
      <c r="E12" s="67">
        <f t="shared" si="1"/>
        <v>2.9435000000000002</v>
      </c>
      <c r="F12" s="67">
        <f t="shared" si="1"/>
        <v>0</v>
      </c>
      <c r="G12" s="67">
        <f t="shared" si="1"/>
        <v>1.5311999999999999</v>
      </c>
      <c r="H12" s="67">
        <f t="shared" si="1"/>
        <v>0</v>
      </c>
      <c r="I12" s="67">
        <f t="shared" si="1"/>
        <v>0</v>
      </c>
      <c r="J12" s="67">
        <f t="shared" si="1"/>
        <v>0</v>
      </c>
      <c r="K12" s="67">
        <f t="shared" si="1"/>
        <v>0</v>
      </c>
      <c r="L12" s="67">
        <f t="shared" si="1"/>
        <v>0</v>
      </c>
      <c r="M12" s="67">
        <f t="shared" si="1"/>
        <v>0</v>
      </c>
      <c r="N12" s="67">
        <f t="shared" si="1"/>
        <v>0</v>
      </c>
      <c r="O12" s="67">
        <f t="shared" si="1"/>
        <v>0</v>
      </c>
      <c r="P12" s="67">
        <f t="shared" si="1"/>
        <v>0</v>
      </c>
      <c r="Q12" s="67">
        <f t="shared" si="1"/>
        <v>0</v>
      </c>
      <c r="R12" s="67">
        <f t="shared" si="1"/>
        <v>0</v>
      </c>
      <c r="S12" s="67">
        <f t="shared" si="1"/>
        <v>0</v>
      </c>
      <c r="T12" s="67">
        <f t="shared" si="1"/>
        <v>0</v>
      </c>
      <c r="U12" s="67">
        <f t="shared" si="1"/>
        <v>0</v>
      </c>
      <c r="V12" s="67">
        <f t="shared" si="1"/>
        <v>0</v>
      </c>
      <c r="W12" s="67">
        <f t="shared" si="1"/>
        <v>0</v>
      </c>
      <c r="X12" s="67">
        <f t="shared" si="1"/>
        <v>0</v>
      </c>
      <c r="Y12" s="67">
        <f t="shared" si="1"/>
        <v>0</v>
      </c>
      <c r="Z12" s="67">
        <f t="shared" si="1"/>
        <v>0</v>
      </c>
      <c r="AA12" s="67">
        <f t="shared" si="1"/>
        <v>0</v>
      </c>
      <c r="AB12" s="67">
        <f t="shared" si="1"/>
        <v>0</v>
      </c>
      <c r="AC12" s="67">
        <f t="shared" si="1"/>
        <v>0</v>
      </c>
      <c r="AD12" s="67">
        <f t="shared" si="1"/>
        <v>0</v>
      </c>
      <c r="AE12" s="67">
        <f t="shared" ref="AE12:AP12" si="2">AE11</f>
        <v>0</v>
      </c>
      <c r="AF12" s="67">
        <f t="shared" si="2"/>
        <v>0</v>
      </c>
      <c r="AG12" s="67">
        <f t="shared" si="2"/>
        <v>0</v>
      </c>
      <c r="AH12" s="67">
        <f t="shared" si="2"/>
        <v>0</v>
      </c>
      <c r="AI12" s="67">
        <f t="shared" si="2"/>
        <v>0</v>
      </c>
      <c r="AJ12" s="67">
        <f t="shared" si="2"/>
        <v>0</v>
      </c>
      <c r="AK12" s="67">
        <f t="shared" si="2"/>
        <v>0</v>
      </c>
      <c r="AL12" s="67">
        <f t="shared" si="2"/>
        <v>0</v>
      </c>
      <c r="AM12" s="67">
        <f t="shared" si="2"/>
        <v>0</v>
      </c>
      <c r="AN12" s="67">
        <f t="shared" si="2"/>
        <v>0</v>
      </c>
      <c r="AO12" s="67">
        <f t="shared" si="2"/>
        <v>0</v>
      </c>
      <c r="AP12" s="67">
        <f t="shared" si="2"/>
        <v>0</v>
      </c>
      <c r="AQ12" s="82">
        <f t="shared" si="0"/>
        <v>9.1001999999999992</v>
      </c>
    </row>
    <row r="13" spans="1:58" s="21" customFormat="1" ht="16" x14ac:dyDescent="0.2">
      <c r="A13" s="83" t="s">
        <v>1061</v>
      </c>
      <c r="B13" s="68">
        <f>B12*'Entire Project Overiew'!$R$11</f>
        <v>0</v>
      </c>
      <c r="C13" s="68">
        <f>C12*'Entire Project Overiew'!$R$11</f>
        <v>0</v>
      </c>
      <c r="D13" s="68">
        <f>D12*'Entire Project Overiew'!$R$11</f>
        <v>462.54999999999995</v>
      </c>
      <c r="E13" s="68">
        <f>E12*'Entire Project Overiew'!$R$11</f>
        <v>294.35000000000002</v>
      </c>
      <c r="F13" s="68">
        <f>F12*'Entire Project Overiew'!$R$11</f>
        <v>0</v>
      </c>
      <c r="G13" s="68">
        <f>G12*'Entire Project Overiew'!$R$11</f>
        <v>153.11999999999998</v>
      </c>
      <c r="H13" s="68">
        <f>H12*'Entire Project Overiew'!$R$11</f>
        <v>0</v>
      </c>
      <c r="I13" s="68">
        <f>I12*'Entire Project Overiew'!$R$11</f>
        <v>0</v>
      </c>
      <c r="J13" s="68">
        <f>J12*'Entire Project Overiew'!$R$11</f>
        <v>0</v>
      </c>
      <c r="K13" s="68">
        <f>K12*'Entire Project Overiew'!$R$11</f>
        <v>0</v>
      </c>
      <c r="L13" s="68">
        <f>L12*'Entire Project Overiew'!$R$11</f>
        <v>0</v>
      </c>
      <c r="M13" s="68">
        <f>M12*'Entire Project Overiew'!$R$11</f>
        <v>0</v>
      </c>
      <c r="N13" s="68">
        <f>N12*'Entire Project Overiew'!$R$11</f>
        <v>0</v>
      </c>
      <c r="O13" s="68">
        <f>O12*'Entire Project Overiew'!$R$11</f>
        <v>0</v>
      </c>
      <c r="P13" s="68">
        <f>P12*'Entire Project Overiew'!$R$11</f>
        <v>0</v>
      </c>
      <c r="Q13" s="68">
        <f>Q12*'Entire Project Overiew'!$R$11</f>
        <v>0</v>
      </c>
      <c r="R13" s="68">
        <f>R12*'Entire Project Overiew'!$R$11</f>
        <v>0</v>
      </c>
      <c r="S13" s="68">
        <f>S12*'Entire Project Overiew'!$R$11</f>
        <v>0</v>
      </c>
      <c r="T13" s="68">
        <f>T12*'Entire Project Overiew'!$R$11</f>
        <v>0</v>
      </c>
      <c r="U13" s="68">
        <f>U12*'Entire Project Overiew'!$R$11</f>
        <v>0</v>
      </c>
      <c r="V13" s="68">
        <f>V12*'Entire Project Overiew'!$R$11</f>
        <v>0</v>
      </c>
      <c r="W13" s="68">
        <f>W12*'Entire Project Overiew'!$R$11</f>
        <v>0</v>
      </c>
      <c r="X13" s="68">
        <f>X12*'Entire Project Overiew'!$R$11</f>
        <v>0</v>
      </c>
      <c r="Y13" s="68">
        <f>Y12*'Entire Project Overiew'!$R$11</f>
        <v>0</v>
      </c>
      <c r="Z13" s="68">
        <f>Z12*'Entire Project Overiew'!$R$11</f>
        <v>0</v>
      </c>
      <c r="AA13" s="68">
        <f>AA12*'Entire Project Overiew'!$R$11</f>
        <v>0</v>
      </c>
      <c r="AB13" s="68">
        <f>AB12*'Entire Project Overiew'!$R$11</f>
        <v>0</v>
      </c>
      <c r="AC13" s="68">
        <f>AC12*'Entire Project Overiew'!$R$11</f>
        <v>0</v>
      </c>
      <c r="AD13" s="68">
        <f>AD12*'Entire Project Overiew'!$R$11</f>
        <v>0</v>
      </c>
      <c r="AE13" s="68">
        <f>AE12*'Entire Project Overiew'!$R$11</f>
        <v>0</v>
      </c>
      <c r="AF13" s="68">
        <f>AF12*'Entire Project Overiew'!$R$11</f>
        <v>0</v>
      </c>
      <c r="AG13" s="68">
        <f>AG12*'Entire Project Overiew'!$R$11</f>
        <v>0</v>
      </c>
      <c r="AH13" s="68">
        <f>AH12*'Entire Project Overiew'!$R$11</f>
        <v>0</v>
      </c>
      <c r="AI13" s="68">
        <f>AI12*'Entire Project Overiew'!$R$11</f>
        <v>0</v>
      </c>
      <c r="AJ13" s="68">
        <f>AJ12*'Entire Project Overiew'!$R$11</f>
        <v>0</v>
      </c>
      <c r="AK13" s="68">
        <f>AK12*'Entire Project Overiew'!$R$11</f>
        <v>0</v>
      </c>
      <c r="AL13" s="68">
        <f>AL12*'Entire Project Overiew'!$R$11</f>
        <v>0</v>
      </c>
      <c r="AM13" s="68">
        <f>AM12*'Entire Project Overiew'!$R$11</f>
        <v>0</v>
      </c>
      <c r="AN13" s="68">
        <f>AN12*'Entire Project Overiew'!$R$11</f>
        <v>0</v>
      </c>
      <c r="AO13" s="68">
        <f>AO12*'Entire Project Overiew'!$R$11</f>
        <v>0</v>
      </c>
      <c r="AP13" s="68">
        <f>AP12*'Entire Project Overiew'!$R$11</f>
        <v>0</v>
      </c>
      <c r="AQ13" s="79">
        <f t="shared" si="0"/>
        <v>910.02</v>
      </c>
      <c r="AR13" s="32"/>
    </row>
    <row r="14" spans="1:58" s="32" customFormat="1" ht="16" x14ac:dyDescent="0.2">
      <c r="A14" s="220"/>
      <c r="B14" s="221"/>
      <c r="C14" s="221"/>
      <c r="D14" s="221"/>
      <c r="E14" s="221"/>
      <c r="F14" s="221"/>
      <c r="G14" s="221"/>
      <c r="H14" s="221"/>
      <c r="I14" s="221"/>
      <c r="J14" s="221"/>
      <c r="K14" s="221"/>
      <c r="L14" s="221"/>
      <c r="M14" s="221"/>
      <c r="N14" s="221"/>
      <c r="O14" s="221"/>
      <c r="P14" s="221"/>
      <c r="Q14" s="221"/>
      <c r="R14" s="221"/>
      <c r="S14" s="221"/>
      <c r="T14" s="221"/>
      <c r="U14" s="221"/>
      <c r="V14" s="221"/>
      <c r="W14" s="221"/>
      <c r="X14" s="221"/>
      <c r="Y14" s="221"/>
      <c r="Z14" s="221"/>
      <c r="AA14" s="221"/>
      <c r="AB14" s="221"/>
      <c r="AC14" s="221"/>
      <c r="AD14" s="221"/>
      <c r="AE14" s="221"/>
      <c r="AF14" s="221"/>
      <c r="AG14" s="221"/>
      <c r="AH14" s="221"/>
      <c r="AI14" s="221"/>
      <c r="AJ14" s="221"/>
      <c r="AK14" s="221"/>
      <c r="AL14" s="221"/>
      <c r="AM14" s="221"/>
      <c r="AN14" s="221"/>
      <c r="AO14" s="221"/>
      <c r="AP14" s="221"/>
      <c r="AQ14" s="222"/>
      <c r="AR14" s="19"/>
    </row>
    <row r="15" spans="1:58" ht="18" x14ac:dyDescent="0.15">
      <c r="A15" s="213" t="s">
        <v>1020</v>
      </c>
      <c r="B15" s="214"/>
      <c r="C15" s="214"/>
      <c r="D15" s="214"/>
      <c r="E15" s="214"/>
      <c r="F15" s="214"/>
      <c r="G15" s="214"/>
      <c r="H15" s="214"/>
      <c r="I15" s="214"/>
      <c r="J15" s="214"/>
      <c r="K15" s="214"/>
      <c r="L15" s="214"/>
      <c r="M15" s="214"/>
      <c r="N15" s="214"/>
      <c r="O15" s="214"/>
      <c r="P15" s="214"/>
      <c r="Q15" s="214"/>
      <c r="R15" s="214"/>
      <c r="S15" s="214"/>
      <c r="T15" s="214"/>
      <c r="U15" s="214"/>
      <c r="V15" s="214"/>
      <c r="W15" s="214"/>
      <c r="X15" s="214"/>
      <c r="Y15" s="214"/>
      <c r="Z15" s="214"/>
      <c r="AA15" s="214"/>
      <c r="AB15" s="214"/>
      <c r="AC15" s="214"/>
      <c r="AD15" s="214"/>
      <c r="AE15" s="214"/>
      <c r="AF15" s="214"/>
      <c r="AG15" s="214"/>
      <c r="AH15" s="214"/>
      <c r="AI15" s="214"/>
      <c r="AJ15" s="214"/>
      <c r="AK15" s="214"/>
      <c r="AL15" s="214"/>
      <c r="AM15" s="214"/>
      <c r="AN15" s="214"/>
      <c r="AO15" s="214"/>
      <c r="AP15" s="214"/>
      <c r="AQ15" s="215"/>
    </row>
    <row r="16" spans="1:58" ht="16" x14ac:dyDescent="0.2">
      <c r="A16" s="80" t="s">
        <v>47</v>
      </c>
      <c r="B16" s="21">
        <v>0</v>
      </c>
      <c r="C16" s="21">
        <v>0</v>
      </c>
      <c r="D16" s="21">
        <v>0</v>
      </c>
      <c r="E16" s="21">
        <v>0</v>
      </c>
      <c r="F16" s="21">
        <v>0</v>
      </c>
      <c r="G16" s="21">
        <v>0</v>
      </c>
      <c r="H16" s="21">
        <v>0</v>
      </c>
      <c r="I16" s="21">
        <v>0</v>
      </c>
      <c r="J16" s="21">
        <v>0</v>
      </c>
      <c r="K16" s="21">
        <v>0</v>
      </c>
      <c r="L16" s="21">
        <v>0</v>
      </c>
      <c r="M16" s="21">
        <v>0</v>
      </c>
      <c r="N16" s="21">
        <v>0</v>
      </c>
      <c r="O16" s="21">
        <v>0</v>
      </c>
      <c r="P16" s="21">
        <v>0</v>
      </c>
      <c r="Q16" s="21">
        <v>0</v>
      </c>
      <c r="R16" s="21">
        <v>0</v>
      </c>
      <c r="S16" s="21">
        <v>0</v>
      </c>
      <c r="T16" s="21">
        <v>0</v>
      </c>
      <c r="U16" s="21">
        <v>0</v>
      </c>
      <c r="V16" s="21">
        <v>0</v>
      </c>
      <c r="W16" s="21">
        <v>0.84599999999999997</v>
      </c>
      <c r="X16" s="21">
        <v>0.7</v>
      </c>
      <c r="Y16" s="21">
        <v>0</v>
      </c>
      <c r="Z16" s="21">
        <v>0</v>
      </c>
      <c r="AA16" s="21">
        <v>0</v>
      </c>
      <c r="AB16" s="21">
        <v>0</v>
      </c>
      <c r="AC16" s="21">
        <v>0</v>
      </c>
      <c r="AD16" s="21">
        <v>0</v>
      </c>
      <c r="AE16" s="21">
        <v>0</v>
      </c>
      <c r="AF16" s="21">
        <v>0</v>
      </c>
      <c r="AG16" s="40">
        <v>2.0699999999999998</v>
      </c>
      <c r="AH16" s="21">
        <v>0</v>
      </c>
      <c r="AI16" s="21">
        <v>0</v>
      </c>
      <c r="AJ16" s="21">
        <v>0</v>
      </c>
      <c r="AK16" s="21">
        <v>0</v>
      </c>
      <c r="AL16" s="21">
        <v>0</v>
      </c>
      <c r="AM16" s="21">
        <v>0</v>
      </c>
      <c r="AN16" s="21">
        <v>0</v>
      </c>
      <c r="AO16" s="21">
        <v>0</v>
      </c>
      <c r="AP16" s="21">
        <v>0</v>
      </c>
      <c r="AQ16" s="85">
        <f t="shared" ref="AQ16:AQ18" si="3">SUM(B16:AP16)</f>
        <v>3.6159999999999997</v>
      </c>
      <c r="AR16" s="21"/>
    </row>
    <row r="17" spans="1:44" s="21" customFormat="1" ht="16" x14ac:dyDescent="0.2">
      <c r="A17" s="81" t="s">
        <v>1049</v>
      </c>
      <c r="B17" s="67">
        <f t="shared" ref="B17:AD17" si="4">B16</f>
        <v>0</v>
      </c>
      <c r="C17" s="67">
        <f t="shared" si="4"/>
        <v>0</v>
      </c>
      <c r="D17" s="67">
        <f t="shared" si="4"/>
        <v>0</v>
      </c>
      <c r="E17" s="67">
        <f t="shared" si="4"/>
        <v>0</v>
      </c>
      <c r="F17" s="67">
        <f t="shared" si="4"/>
        <v>0</v>
      </c>
      <c r="G17" s="67">
        <f t="shared" si="4"/>
        <v>0</v>
      </c>
      <c r="H17" s="67">
        <f t="shared" si="4"/>
        <v>0</v>
      </c>
      <c r="I17" s="67">
        <f t="shared" si="4"/>
        <v>0</v>
      </c>
      <c r="J17" s="67">
        <f t="shared" si="4"/>
        <v>0</v>
      </c>
      <c r="K17" s="67">
        <f t="shared" si="4"/>
        <v>0</v>
      </c>
      <c r="L17" s="67">
        <f t="shared" si="4"/>
        <v>0</v>
      </c>
      <c r="M17" s="67">
        <f t="shared" si="4"/>
        <v>0</v>
      </c>
      <c r="N17" s="67">
        <f t="shared" si="4"/>
        <v>0</v>
      </c>
      <c r="O17" s="67">
        <f t="shared" si="4"/>
        <v>0</v>
      </c>
      <c r="P17" s="67">
        <f t="shared" si="4"/>
        <v>0</v>
      </c>
      <c r="Q17" s="67">
        <f t="shared" si="4"/>
        <v>0</v>
      </c>
      <c r="R17" s="67">
        <f t="shared" si="4"/>
        <v>0</v>
      </c>
      <c r="S17" s="67">
        <f t="shared" si="4"/>
        <v>0</v>
      </c>
      <c r="T17" s="67">
        <f t="shared" si="4"/>
        <v>0</v>
      </c>
      <c r="U17" s="67">
        <f t="shared" si="4"/>
        <v>0</v>
      </c>
      <c r="V17" s="67">
        <f t="shared" si="4"/>
        <v>0</v>
      </c>
      <c r="W17" s="67">
        <f t="shared" si="4"/>
        <v>0.84599999999999997</v>
      </c>
      <c r="X17" s="67">
        <f t="shared" si="4"/>
        <v>0.7</v>
      </c>
      <c r="Y17" s="67">
        <f t="shared" si="4"/>
        <v>0</v>
      </c>
      <c r="Z17" s="67">
        <f t="shared" si="4"/>
        <v>0</v>
      </c>
      <c r="AA17" s="67">
        <f t="shared" si="4"/>
        <v>0</v>
      </c>
      <c r="AB17" s="67">
        <f t="shared" si="4"/>
        <v>0</v>
      </c>
      <c r="AC17" s="67">
        <f t="shared" si="4"/>
        <v>0</v>
      </c>
      <c r="AD17" s="67">
        <f t="shared" si="4"/>
        <v>0</v>
      </c>
      <c r="AE17" s="67">
        <f>AE16</f>
        <v>0</v>
      </c>
      <c r="AF17" s="67">
        <f>AF16</f>
        <v>0</v>
      </c>
      <c r="AG17" s="67">
        <f t="shared" ref="AG17:AP17" si="5">AG16</f>
        <v>2.0699999999999998</v>
      </c>
      <c r="AH17" s="67">
        <f t="shared" si="5"/>
        <v>0</v>
      </c>
      <c r="AI17" s="67">
        <f t="shared" si="5"/>
        <v>0</v>
      </c>
      <c r="AJ17" s="67">
        <f t="shared" si="5"/>
        <v>0</v>
      </c>
      <c r="AK17" s="67">
        <f t="shared" si="5"/>
        <v>0</v>
      </c>
      <c r="AL17" s="67">
        <f t="shared" si="5"/>
        <v>0</v>
      </c>
      <c r="AM17" s="67">
        <f t="shared" si="5"/>
        <v>0</v>
      </c>
      <c r="AN17" s="67">
        <f t="shared" si="5"/>
        <v>0</v>
      </c>
      <c r="AO17" s="67">
        <f t="shared" si="5"/>
        <v>0</v>
      </c>
      <c r="AP17" s="67">
        <f t="shared" si="5"/>
        <v>0</v>
      </c>
      <c r="AQ17" s="82">
        <f t="shared" si="3"/>
        <v>3.6159999999999997</v>
      </c>
    </row>
    <row r="18" spans="1:44" s="21" customFormat="1" ht="16" x14ac:dyDescent="0.2">
      <c r="A18" s="83" t="s">
        <v>1060</v>
      </c>
      <c r="B18" s="68">
        <f>B17*'Entire Project Overiew'!$R$12</f>
        <v>0</v>
      </c>
      <c r="C18" s="68">
        <f>C17*'Entire Project Overiew'!$R$12</f>
        <v>0</v>
      </c>
      <c r="D18" s="68">
        <f>D17*'Entire Project Overiew'!$R$12</f>
        <v>0</v>
      </c>
      <c r="E18" s="68">
        <f>E17*'Entire Project Overiew'!$R$12</f>
        <v>0</v>
      </c>
      <c r="F18" s="68">
        <f>F17*'Entire Project Overiew'!$R$12</f>
        <v>0</v>
      </c>
      <c r="G18" s="68">
        <f>G17*'Entire Project Overiew'!$R$12</f>
        <v>0</v>
      </c>
      <c r="H18" s="68">
        <f>H17*'Entire Project Overiew'!$R$12</f>
        <v>0</v>
      </c>
      <c r="I18" s="68">
        <f>I17*'Entire Project Overiew'!$R$12</f>
        <v>0</v>
      </c>
      <c r="J18" s="68">
        <f>J17*'Entire Project Overiew'!$R$12</f>
        <v>0</v>
      </c>
      <c r="K18" s="68">
        <f>K17*'Entire Project Overiew'!$R$12</f>
        <v>0</v>
      </c>
      <c r="L18" s="68">
        <f>L17*'Entire Project Overiew'!$R$12</f>
        <v>0</v>
      </c>
      <c r="M18" s="68">
        <f>M17*'Entire Project Overiew'!$R$12</f>
        <v>0</v>
      </c>
      <c r="N18" s="68">
        <f>N17*'Entire Project Overiew'!$R$12</f>
        <v>0</v>
      </c>
      <c r="O18" s="68">
        <f>O17*'Entire Project Overiew'!$R$12</f>
        <v>0</v>
      </c>
      <c r="P18" s="68">
        <f>P17*'Entire Project Overiew'!$R$12</f>
        <v>0</v>
      </c>
      <c r="Q18" s="68">
        <f>Q17*'Entire Project Overiew'!$R$12</f>
        <v>0</v>
      </c>
      <c r="R18" s="68">
        <f>R17*'Entire Project Overiew'!$R$12</f>
        <v>0</v>
      </c>
      <c r="S18" s="68">
        <f>S17*'Entire Project Overiew'!$R$12</f>
        <v>0</v>
      </c>
      <c r="T18" s="68">
        <f>T17*'Entire Project Overiew'!$R$12</f>
        <v>0</v>
      </c>
      <c r="U18" s="68">
        <f>U17*'Entire Project Overiew'!$R$12</f>
        <v>0</v>
      </c>
      <c r="V18" s="68">
        <f>V17*'Entire Project Overiew'!$R$12</f>
        <v>0</v>
      </c>
      <c r="W18" s="68">
        <f>W17*'Entire Project Overiew'!$R$12</f>
        <v>84.6</v>
      </c>
      <c r="X18" s="68">
        <f>X17*'Entire Project Overiew'!$R$12</f>
        <v>70</v>
      </c>
      <c r="Y18" s="68">
        <f>Y17*'Entire Project Overiew'!$R$12</f>
        <v>0</v>
      </c>
      <c r="Z18" s="68">
        <f>Z17*'Entire Project Overiew'!$R$12</f>
        <v>0</v>
      </c>
      <c r="AA18" s="68">
        <f>AA17*'Entire Project Overiew'!$R$12</f>
        <v>0</v>
      </c>
      <c r="AB18" s="68">
        <f>AB17*'Entire Project Overiew'!$R$12</f>
        <v>0</v>
      </c>
      <c r="AC18" s="68">
        <f>AC17*'Entire Project Overiew'!$R$12</f>
        <v>0</v>
      </c>
      <c r="AD18" s="68">
        <f>AD17*'Entire Project Overiew'!$R$12</f>
        <v>0</v>
      </c>
      <c r="AE18" s="68">
        <f>AE17*'Entire Project Overiew'!$R$12</f>
        <v>0</v>
      </c>
      <c r="AF18" s="68">
        <f>AF17*'Entire Project Overiew'!$R$12</f>
        <v>0</v>
      </c>
      <c r="AG18" s="68">
        <f>AG17*'Entire Project Overiew'!$R$12</f>
        <v>206.99999999999997</v>
      </c>
      <c r="AH18" s="68">
        <f>AH17*'Entire Project Overiew'!$R$12</f>
        <v>0</v>
      </c>
      <c r="AI18" s="68">
        <f>AI17*'Entire Project Overiew'!$R$12</f>
        <v>0</v>
      </c>
      <c r="AJ18" s="68">
        <f>AJ17*'Entire Project Overiew'!$R$12</f>
        <v>0</v>
      </c>
      <c r="AK18" s="68">
        <f>AK17*'Entire Project Overiew'!$R$12</f>
        <v>0</v>
      </c>
      <c r="AL18" s="68">
        <f>AL17*'Entire Project Overiew'!$R$12</f>
        <v>0</v>
      </c>
      <c r="AM18" s="68">
        <f>AM17*'Entire Project Overiew'!$R$12</f>
        <v>0</v>
      </c>
      <c r="AN18" s="68">
        <f>AN17*'Entire Project Overiew'!$R$12</f>
        <v>0</v>
      </c>
      <c r="AO18" s="68">
        <f>AO17*'Entire Project Overiew'!$R$12</f>
        <v>0</v>
      </c>
      <c r="AP18" s="68">
        <f>AP17*'Entire Project Overiew'!$R$12</f>
        <v>0</v>
      </c>
      <c r="AQ18" s="84">
        <f t="shared" si="3"/>
        <v>361.59999999999997</v>
      </c>
      <c r="AR18" s="32"/>
    </row>
    <row r="19" spans="1:44" s="32" customFormat="1" ht="16" x14ac:dyDescent="0.2">
      <c r="A19" s="220"/>
      <c r="B19" s="221"/>
      <c r="C19" s="221"/>
      <c r="D19" s="221"/>
      <c r="E19" s="221"/>
      <c r="F19" s="221"/>
      <c r="G19" s="221"/>
      <c r="H19" s="221"/>
      <c r="I19" s="221"/>
      <c r="J19" s="221"/>
      <c r="K19" s="221"/>
      <c r="L19" s="221"/>
      <c r="M19" s="221"/>
      <c r="N19" s="221"/>
      <c r="O19" s="221"/>
      <c r="P19" s="221"/>
      <c r="Q19" s="221"/>
      <c r="R19" s="221"/>
      <c r="S19" s="221"/>
      <c r="T19" s="221"/>
      <c r="U19" s="221"/>
      <c r="V19" s="221"/>
      <c r="W19" s="221"/>
      <c r="X19" s="221"/>
      <c r="Y19" s="221"/>
      <c r="Z19" s="221"/>
      <c r="AA19" s="221"/>
      <c r="AB19" s="221"/>
      <c r="AC19" s="221"/>
      <c r="AD19" s="221"/>
      <c r="AE19" s="221"/>
      <c r="AF19" s="221"/>
      <c r="AG19" s="221"/>
      <c r="AH19" s="221"/>
      <c r="AI19" s="221"/>
      <c r="AJ19" s="221"/>
      <c r="AK19" s="221"/>
      <c r="AL19" s="221"/>
      <c r="AM19" s="221"/>
      <c r="AN19" s="221"/>
      <c r="AO19" s="221"/>
      <c r="AP19" s="221"/>
      <c r="AQ19" s="222"/>
      <c r="AR19" s="19"/>
    </row>
    <row r="20" spans="1:44" s="21" customFormat="1" ht="18" x14ac:dyDescent="0.2">
      <c r="A20" s="213" t="s">
        <v>55</v>
      </c>
      <c r="B20" s="214"/>
      <c r="C20" s="214"/>
      <c r="D20" s="214"/>
      <c r="E20" s="214"/>
      <c r="F20" s="214"/>
      <c r="G20" s="214"/>
      <c r="H20" s="214"/>
      <c r="I20" s="214"/>
      <c r="J20" s="214"/>
      <c r="K20" s="214"/>
      <c r="L20" s="214"/>
      <c r="M20" s="214"/>
      <c r="N20" s="214"/>
      <c r="O20" s="214"/>
      <c r="P20" s="214"/>
      <c r="Q20" s="214"/>
      <c r="R20" s="214"/>
      <c r="S20" s="214"/>
      <c r="T20" s="214"/>
      <c r="U20" s="214"/>
      <c r="V20" s="214"/>
      <c r="W20" s="214"/>
      <c r="X20" s="214"/>
      <c r="Y20" s="214"/>
      <c r="Z20" s="214"/>
      <c r="AA20" s="214"/>
      <c r="AB20" s="214"/>
      <c r="AC20" s="214"/>
      <c r="AD20" s="214"/>
      <c r="AE20" s="214"/>
      <c r="AF20" s="214"/>
      <c r="AG20" s="214"/>
      <c r="AH20" s="214"/>
      <c r="AI20" s="214"/>
      <c r="AJ20" s="214"/>
      <c r="AK20" s="214"/>
      <c r="AL20" s="214"/>
      <c r="AM20" s="214"/>
      <c r="AN20" s="214"/>
      <c r="AO20" s="214"/>
      <c r="AP20" s="214"/>
      <c r="AQ20" s="215"/>
      <c r="AR20" s="19"/>
    </row>
    <row r="21" spans="1:44" ht="16" x14ac:dyDescent="0.2">
      <c r="A21" s="80" t="s">
        <v>55</v>
      </c>
      <c r="B21" s="21">
        <v>0</v>
      </c>
      <c r="C21" s="21">
        <v>0</v>
      </c>
      <c r="D21" s="21">
        <v>0</v>
      </c>
      <c r="E21" s="21">
        <v>0</v>
      </c>
      <c r="F21" s="21">
        <v>0</v>
      </c>
      <c r="G21" s="21">
        <v>0</v>
      </c>
      <c r="H21" s="21">
        <v>0</v>
      </c>
      <c r="I21" s="21">
        <v>0</v>
      </c>
      <c r="J21" s="21">
        <v>0</v>
      </c>
      <c r="K21" s="21">
        <v>0</v>
      </c>
      <c r="L21" s="21">
        <v>0</v>
      </c>
      <c r="M21" s="21">
        <v>0</v>
      </c>
      <c r="N21" s="21">
        <v>0</v>
      </c>
      <c r="O21" s="21">
        <v>0</v>
      </c>
      <c r="P21" s="21">
        <v>0</v>
      </c>
      <c r="Q21" s="21">
        <v>0</v>
      </c>
      <c r="R21" s="21">
        <v>0</v>
      </c>
      <c r="S21" s="21">
        <v>0</v>
      </c>
      <c r="T21" s="21">
        <v>0</v>
      </c>
      <c r="U21" s="21">
        <v>0</v>
      </c>
      <c r="V21" s="21">
        <v>0</v>
      </c>
      <c r="W21" s="21">
        <v>0</v>
      </c>
      <c r="X21" s="21">
        <v>0</v>
      </c>
      <c r="Y21" s="21">
        <v>0</v>
      </c>
      <c r="Z21" s="21">
        <v>0</v>
      </c>
      <c r="AA21" s="21">
        <v>0</v>
      </c>
      <c r="AB21" s="21">
        <v>0</v>
      </c>
      <c r="AC21" s="21">
        <v>0</v>
      </c>
      <c r="AD21" s="21">
        <v>0</v>
      </c>
      <c r="AE21" s="21">
        <v>0</v>
      </c>
      <c r="AF21" s="21">
        <v>0</v>
      </c>
      <c r="AG21" s="40">
        <v>0.75</v>
      </c>
      <c r="AH21" s="21">
        <v>0</v>
      </c>
      <c r="AI21" s="21">
        <v>0</v>
      </c>
      <c r="AJ21" s="21">
        <v>0</v>
      </c>
      <c r="AK21" s="21">
        <v>0</v>
      </c>
      <c r="AL21" s="21">
        <v>0</v>
      </c>
      <c r="AM21" s="21">
        <v>0</v>
      </c>
      <c r="AN21" s="21">
        <v>0</v>
      </c>
      <c r="AO21" s="21">
        <v>0</v>
      </c>
      <c r="AP21" s="21">
        <v>0</v>
      </c>
      <c r="AQ21" s="77">
        <f t="shared" ref="AQ21:AQ22" si="6">SUM(B21:AP21)</f>
        <v>0.75</v>
      </c>
      <c r="AR21" s="21"/>
    </row>
    <row r="22" spans="1:44" s="21" customFormat="1" ht="16" x14ac:dyDescent="0.2">
      <c r="A22" s="81" t="s">
        <v>1050</v>
      </c>
      <c r="B22" s="67">
        <f t="shared" ref="B22:AD22" si="7">B21</f>
        <v>0</v>
      </c>
      <c r="C22" s="67">
        <f t="shared" si="7"/>
        <v>0</v>
      </c>
      <c r="D22" s="67">
        <f t="shared" si="7"/>
        <v>0</v>
      </c>
      <c r="E22" s="67">
        <f t="shared" si="7"/>
        <v>0</v>
      </c>
      <c r="F22" s="67">
        <f t="shared" si="7"/>
        <v>0</v>
      </c>
      <c r="G22" s="67">
        <f t="shared" si="7"/>
        <v>0</v>
      </c>
      <c r="H22" s="67">
        <f t="shared" si="7"/>
        <v>0</v>
      </c>
      <c r="I22" s="67">
        <f t="shared" si="7"/>
        <v>0</v>
      </c>
      <c r="J22" s="67">
        <f t="shared" si="7"/>
        <v>0</v>
      </c>
      <c r="K22" s="67">
        <f t="shared" si="7"/>
        <v>0</v>
      </c>
      <c r="L22" s="67">
        <f t="shared" si="7"/>
        <v>0</v>
      </c>
      <c r="M22" s="67">
        <f t="shared" si="7"/>
        <v>0</v>
      </c>
      <c r="N22" s="67">
        <f t="shared" si="7"/>
        <v>0</v>
      </c>
      <c r="O22" s="67">
        <f t="shared" si="7"/>
        <v>0</v>
      </c>
      <c r="P22" s="67">
        <f t="shared" si="7"/>
        <v>0</v>
      </c>
      <c r="Q22" s="67">
        <f t="shared" si="7"/>
        <v>0</v>
      </c>
      <c r="R22" s="67">
        <f t="shared" si="7"/>
        <v>0</v>
      </c>
      <c r="S22" s="67">
        <f t="shared" si="7"/>
        <v>0</v>
      </c>
      <c r="T22" s="67">
        <f t="shared" si="7"/>
        <v>0</v>
      </c>
      <c r="U22" s="67">
        <f t="shared" si="7"/>
        <v>0</v>
      </c>
      <c r="V22" s="67">
        <f t="shared" si="7"/>
        <v>0</v>
      </c>
      <c r="W22" s="67">
        <f t="shared" si="7"/>
        <v>0</v>
      </c>
      <c r="X22" s="67">
        <f t="shared" si="7"/>
        <v>0</v>
      </c>
      <c r="Y22" s="67">
        <f t="shared" si="7"/>
        <v>0</v>
      </c>
      <c r="Z22" s="67">
        <f t="shared" si="7"/>
        <v>0</v>
      </c>
      <c r="AA22" s="67">
        <f t="shared" si="7"/>
        <v>0</v>
      </c>
      <c r="AB22" s="67">
        <f t="shared" si="7"/>
        <v>0</v>
      </c>
      <c r="AC22" s="67">
        <f t="shared" si="7"/>
        <v>0</v>
      </c>
      <c r="AD22" s="67">
        <f t="shared" si="7"/>
        <v>0</v>
      </c>
      <c r="AE22" s="67">
        <f>AE21</f>
        <v>0</v>
      </c>
      <c r="AF22" s="67">
        <f t="shared" ref="AF22:AP22" si="8">AF21</f>
        <v>0</v>
      </c>
      <c r="AG22" s="67">
        <f t="shared" si="8"/>
        <v>0.75</v>
      </c>
      <c r="AH22" s="67">
        <f t="shared" si="8"/>
        <v>0</v>
      </c>
      <c r="AI22" s="67">
        <f t="shared" si="8"/>
        <v>0</v>
      </c>
      <c r="AJ22" s="67">
        <f t="shared" si="8"/>
        <v>0</v>
      </c>
      <c r="AK22" s="67">
        <f t="shared" si="8"/>
        <v>0</v>
      </c>
      <c r="AL22" s="67">
        <f t="shared" si="8"/>
        <v>0</v>
      </c>
      <c r="AM22" s="67">
        <f t="shared" si="8"/>
        <v>0</v>
      </c>
      <c r="AN22" s="67">
        <f t="shared" si="8"/>
        <v>0</v>
      </c>
      <c r="AO22" s="67">
        <f t="shared" si="8"/>
        <v>0</v>
      </c>
      <c r="AP22" s="67">
        <f t="shared" si="8"/>
        <v>0</v>
      </c>
      <c r="AQ22" s="82">
        <f t="shared" si="6"/>
        <v>0.75</v>
      </c>
    </row>
    <row r="23" spans="1:44" s="21" customFormat="1" ht="16" x14ac:dyDescent="0.2">
      <c r="A23" s="83" t="s">
        <v>1059</v>
      </c>
      <c r="B23" s="68">
        <f>B22*'Entire Project Overiew'!$R$13</f>
        <v>0</v>
      </c>
      <c r="C23" s="68">
        <f>C22*'Entire Project Overiew'!$R$13</f>
        <v>0</v>
      </c>
      <c r="D23" s="68">
        <f>D22*'Entire Project Overiew'!$R$13</f>
        <v>0</v>
      </c>
      <c r="E23" s="68">
        <f>E22*'Entire Project Overiew'!$R$13</f>
        <v>0</v>
      </c>
      <c r="F23" s="68">
        <f>F22*'Entire Project Overiew'!$R$13</f>
        <v>0</v>
      </c>
      <c r="G23" s="68">
        <f>G22*'Entire Project Overiew'!$R$13</f>
        <v>0</v>
      </c>
      <c r="H23" s="68">
        <f>H22*'Entire Project Overiew'!$R$13</f>
        <v>0</v>
      </c>
      <c r="I23" s="68">
        <f>I22*'Entire Project Overiew'!$R$13</f>
        <v>0</v>
      </c>
      <c r="J23" s="68">
        <f>J22*'Entire Project Overiew'!$R$13</f>
        <v>0</v>
      </c>
      <c r="K23" s="68">
        <f>K22*'Entire Project Overiew'!$R$13</f>
        <v>0</v>
      </c>
      <c r="L23" s="68">
        <f>L22*'Entire Project Overiew'!$R$13</f>
        <v>0</v>
      </c>
      <c r="M23" s="68">
        <f>M22*'Entire Project Overiew'!$R$13</f>
        <v>0</v>
      </c>
      <c r="N23" s="68">
        <f>N22*'Entire Project Overiew'!$R$13</f>
        <v>0</v>
      </c>
      <c r="O23" s="68">
        <f>O22*'Entire Project Overiew'!$R$13</f>
        <v>0</v>
      </c>
      <c r="P23" s="68">
        <f>P22*'Entire Project Overiew'!$R$13</f>
        <v>0</v>
      </c>
      <c r="Q23" s="68">
        <f>Q22*'Entire Project Overiew'!$R$13</f>
        <v>0</v>
      </c>
      <c r="R23" s="68">
        <f>R22*'Entire Project Overiew'!$R$13</f>
        <v>0</v>
      </c>
      <c r="S23" s="68">
        <f>S22*'Entire Project Overiew'!$R$13</f>
        <v>0</v>
      </c>
      <c r="T23" s="68">
        <f>T22*'Entire Project Overiew'!$R$13</f>
        <v>0</v>
      </c>
      <c r="U23" s="68">
        <f>U22*'Entire Project Overiew'!$R$13</f>
        <v>0</v>
      </c>
      <c r="V23" s="68">
        <f>V22*'Entire Project Overiew'!$R$13</f>
        <v>0</v>
      </c>
      <c r="W23" s="68">
        <f>W22*'Entire Project Overiew'!$R$13</f>
        <v>0</v>
      </c>
      <c r="X23" s="68">
        <f>X22*'Entire Project Overiew'!$R$13</f>
        <v>0</v>
      </c>
      <c r="Y23" s="68">
        <f>Y22*'Entire Project Overiew'!$R$13</f>
        <v>0</v>
      </c>
      <c r="Z23" s="68">
        <f>Z22*'Entire Project Overiew'!$R$13</f>
        <v>0</v>
      </c>
      <c r="AA23" s="68">
        <f>AA22*'Entire Project Overiew'!$R$13</f>
        <v>0</v>
      </c>
      <c r="AB23" s="68">
        <f>AB22*'Entire Project Overiew'!$R$13</f>
        <v>0</v>
      </c>
      <c r="AC23" s="68">
        <f>AC22*'Entire Project Overiew'!$R$13</f>
        <v>0</v>
      </c>
      <c r="AD23" s="68">
        <f>AD22*'Entire Project Overiew'!$R$13</f>
        <v>0</v>
      </c>
      <c r="AE23" s="68">
        <f>AE22*'Entire Project Overiew'!$R$13</f>
        <v>0</v>
      </c>
      <c r="AF23" s="68">
        <f>AF22*'Entire Project Overiew'!$R$13</f>
        <v>0</v>
      </c>
      <c r="AG23" s="68">
        <f>AG22*'Entire Project Overiew'!$R$13</f>
        <v>75</v>
      </c>
      <c r="AH23" s="68">
        <f>AH22*'Entire Project Overiew'!$R$13</f>
        <v>0</v>
      </c>
      <c r="AI23" s="68">
        <f>AI22*'Entire Project Overiew'!$R$13</f>
        <v>0</v>
      </c>
      <c r="AJ23" s="68">
        <f>AJ22*'Entire Project Overiew'!$R$13</f>
        <v>0</v>
      </c>
      <c r="AK23" s="68">
        <f>AK22*'Entire Project Overiew'!$R$13</f>
        <v>0</v>
      </c>
      <c r="AL23" s="68">
        <f>AL22*'Entire Project Overiew'!$R$13</f>
        <v>0</v>
      </c>
      <c r="AM23" s="68">
        <f>AM22*'Entire Project Overiew'!$R$13</f>
        <v>0</v>
      </c>
      <c r="AN23" s="68">
        <f>AN22*'Entire Project Overiew'!$R$13</f>
        <v>0</v>
      </c>
      <c r="AO23" s="68">
        <f>AO22*'Entire Project Overiew'!$R$13</f>
        <v>0</v>
      </c>
      <c r="AP23" s="68">
        <f>AP22*'Entire Project Overiew'!$R$13</f>
        <v>0</v>
      </c>
      <c r="AQ23" s="84">
        <f>SUM(B23:AP23)</f>
        <v>75</v>
      </c>
      <c r="AR23" s="32"/>
    </row>
    <row r="24" spans="1:44" s="21" customFormat="1" ht="16" x14ac:dyDescent="0.2">
      <c r="A24" s="223"/>
      <c r="B24" s="224"/>
      <c r="C24" s="224"/>
      <c r="D24" s="224"/>
      <c r="E24" s="224"/>
      <c r="F24" s="224"/>
      <c r="G24" s="224"/>
      <c r="H24" s="224"/>
      <c r="I24" s="224"/>
      <c r="J24" s="224"/>
      <c r="K24" s="224"/>
      <c r="L24" s="224"/>
      <c r="M24" s="224"/>
      <c r="N24" s="224"/>
      <c r="O24" s="224"/>
      <c r="P24" s="224"/>
      <c r="Q24" s="224"/>
      <c r="R24" s="224"/>
      <c r="S24" s="224"/>
      <c r="T24" s="224"/>
      <c r="U24" s="224"/>
      <c r="V24" s="224"/>
      <c r="W24" s="224"/>
      <c r="X24" s="224"/>
      <c r="Y24" s="224"/>
      <c r="Z24" s="224"/>
      <c r="AA24" s="224"/>
      <c r="AB24" s="224"/>
      <c r="AC24" s="224"/>
      <c r="AD24" s="224"/>
      <c r="AE24" s="224"/>
      <c r="AF24" s="224"/>
      <c r="AG24" s="224"/>
      <c r="AH24" s="224"/>
      <c r="AI24" s="224"/>
      <c r="AJ24" s="224"/>
      <c r="AK24" s="224"/>
      <c r="AL24" s="224"/>
      <c r="AM24" s="224"/>
      <c r="AN24" s="224"/>
      <c r="AO24" s="224"/>
      <c r="AP24" s="224"/>
      <c r="AQ24" s="225"/>
    </row>
    <row r="25" spans="1:44" s="21" customFormat="1" ht="18" x14ac:dyDescent="0.2">
      <c r="A25" s="213" t="s">
        <v>1021</v>
      </c>
      <c r="B25" s="214"/>
      <c r="C25" s="214"/>
      <c r="D25" s="214"/>
      <c r="E25" s="214"/>
      <c r="F25" s="214"/>
      <c r="G25" s="214"/>
      <c r="H25" s="214"/>
      <c r="I25" s="214"/>
      <c r="J25" s="214"/>
      <c r="K25" s="214"/>
      <c r="L25" s="214"/>
      <c r="M25" s="214"/>
      <c r="N25" s="214"/>
      <c r="O25" s="214"/>
      <c r="P25" s="214"/>
      <c r="Q25" s="214"/>
      <c r="R25" s="214"/>
      <c r="S25" s="214"/>
      <c r="T25" s="214"/>
      <c r="U25" s="214"/>
      <c r="V25" s="214"/>
      <c r="W25" s="214"/>
      <c r="X25" s="214"/>
      <c r="Y25" s="214"/>
      <c r="Z25" s="214"/>
      <c r="AA25" s="214"/>
      <c r="AB25" s="214"/>
      <c r="AC25" s="214"/>
      <c r="AD25" s="214"/>
      <c r="AE25" s="214"/>
      <c r="AF25" s="214"/>
      <c r="AG25" s="214"/>
      <c r="AH25" s="214"/>
      <c r="AI25" s="214"/>
      <c r="AJ25" s="214"/>
      <c r="AK25" s="214"/>
      <c r="AL25" s="214"/>
      <c r="AM25" s="214"/>
      <c r="AN25" s="214"/>
      <c r="AO25" s="214"/>
      <c r="AP25" s="214"/>
      <c r="AQ25" s="215"/>
      <c r="AR25" s="19"/>
    </row>
    <row r="26" spans="1:44" s="21" customFormat="1" ht="16" x14ac:dyDescent="0.2">
      <c r="A26" s="80" t="s">
        <v>64</v>
      </c>
      <c r="B26" s="21">
        <v>0</v>
      </c>
      <c r="C26" s="21">
        <v>0</v>
      </c>
      <c r="D26" s="21">
        <v>11.3245</v>
      </c>
      <c r="E26" s="21">
        <v>7.2065000000000001</v>
      </c>
      <c r="F26" s="21">
        <v>0</v>
      </c>
      <c r="G26" s="21">
        <v>3.7488000000000001</v>
      </c>
      <c r="H26" s="21">
        <v>0</v>
      </c>
      <c r="I26" s="21">
        <v>0</v>
      </c>
      <c r="J26" s="21">
        <v>1.1244000000000001</v>
      </c>
      <c r="K26" s="21">
        <v>0</v>
      </c>
      <c r="L26" s="21">
        <v>0</v>
      </c>
      <c r="M26" s="21">
        <v>0.93840000000000001</v>
      </c>
      <c r="N26" s="21">
        <v>0</v>
      </c>
      <c r="O26" s="21">
        <v>0</v>
      </c>
      <c r="P26" s="21">
        <v>0</v>
      </c>
      <c r="Q26" s="21">
        <v>0</v>
      </c>
      <c r="R26" s="21">
        <v>0</v>
      </c>
      <c r="S26" s="21">
        <v>0</v>
      </c>
      <c r="T26" s="21">
        <v>0</v>
      </c>
      <c r="U26" s="21">
        <v>0</v>
      </c>
      <c r="V26" s="21">
        <v>0</v>
      </c>
      <c r="W26" s="21">
        <v>0</v>
      </c>
      <c r="X26" s="21">
        <v>0</v>
      </c>
      <c r="Y26" s="21">
        <v>0</v>
      </c>
      <c r="Z26" s="21">
        <v>0</v>
      </c>
      <c r="AA26" s="21">
        <v>0</v>
      </c>
      <c r="AB26" s="21">
        <v>0</v>
      </c>
      <c r="AC26" s="21">
        <v>0</v>
      </c>
      <c r="AD26" s="21">
        <v>0</v>
      </c>
      <c r="AE26" s="21">
        <v>0</v>
      </c>
      <c r="AF26" s="21">
        <v>0</v>
      </c>
      <c r="AG26" s="21">
        <v>0</v>
      </c>
      <c r="AH26" s="21">
        <v>0</v>
      </c>
      <c r="AI26" s="21">
        <v>0</v>
      </c>
      <c r="AJ26" s="21">
        <v>0</v>
      </c>
      <c r="AK26" s="21">
        <v>0</v>
      </c>
      <c r="AL26" s="21">
        <v>0</v>
      </c>
      <c r="AM26" s="21">
        <v>0</v>
      </c>
      <c r="AN26" s="21">
        <v>0</v>
      </c>
      <c r="AO26" s="21">
        <v>0</v>
      </c>
      <c r="AP26" s="21">
        <v>0</v>
      </c>
      <c r="AQ26" s="77">
        <f t="shared" ref="AQ26:AQ31" si="9">SUM(B26:AP26)</f>
        <v>24.342600000000001</v>
      </c>
    </row>
    <row r="27" spans="1:44" s="32" customFormat="1" ht="16" x14ac:dyDescent="0.2">
      <c r="A27" s="80" t="s">
        <v>39</v>
      </c>
      <c r="B27" s="21">
        <v>0.41</v>
      </c>
      <c r="C27" s="21">
        <v>0.33479999999999999</v>
      </c>
      <c r="D27" s="21">
        <v>0</v>
      </c>
      <c r="E27" s="21">
        <v>0</v>
      </c>
      <c r="F27" s="21">
        <v>1.1199999999999999</v>
      </c>
      <c r="G27" s="21">
        <v>0</v>
      </c>
      <c r="H27" s="21">
        <v>0</v>
      </c>
      <c r="I27" s="21">
        <v>0</v>
      </c>
      <c r="J27" s="21">
        <v>0</v>
      </c>
      <c r="K27" s="21">
        <v>5.32</v>
      </c>
      <c r="L27" s="21">
        <v>1.8</v>
      </c>
      <c r="M27" s="21">
        <v>3.24</v>
      </c>
      <c r="N27" s="21">
        <v>6.2</v>
      </c>
      <c r="O27" s="21">
        <v>6.9850000000000003</v>
      </c>
      <c r="P27" s="21">
        <v>5.69</v>
      </c>
      <c r="Q27" s="21">
        <v>5.1099999999999994</v>
      </c>
      <c r="R27" s="21">
        <v>4.0400000000000009</v>
      </c>
      <c r="S27" s="21">
        <v>3.74</v>
      </c>
      <c r="T27" s="21">
        <v>8.6</v>
      </c>
      <c r="U27" s="21">
        <v>2.79</v>
      </c>
      <c r="V27" s="21">
        <v>0.54</v>
      </c>
      <c r="W27" s="21">
        <v>1.1355000000000002</v>
      </c>
      <c r="X27" s="21">
        <v>3.72</v>
      </c>
      <c r="Y27" s="21">
        <v>6.64</v>
      </c>
      <c r="Z27" s="21">
        <v>2.9299999999999997</v>
      </c>
      <c r="AA27" s="21">
        <v>4.21</v>
      </c>
      <c r="AB27" s="21">
        <v>10.35</v>
      </c>
      <c r="AC27" s="21">
        <v>15.130000000000003</v>
      </c>
      <c r="AD27" s="21">
        <v>36.949999999999996</v>
      </c>
      <c r="AE27" s="40">
        <v>24.429999999999996</v>
      </c>
      <c r="AF27" s="40">
        <v>17.66</v>
      </c>
      <c r="AG27" s="40">
        <v>12.33</v>
      </c>
      <c r="AH27" s="40">
        <v>28.007000000000001</v>
      </c>
      <c r="AI27" s="40">
        <v>5.9300000000000006</v>
      </c>
      <c r="AJ27" s="40">
        <v>18.340399999999999</v>
      </c>
      <c r="AK27" s="40">
        <v>35.369599999999998</v>
      </c>
      <c r="AL27" s="40">
        <v>26.661899999999996</v>
      </c>
      <c r="AM27" s="40">
        <v>13.215199999999999</v>
      </c>
      <c r="AN27" s="40">
        <v>13.017299999999997</v>
      </c>
      <c r="AO27" s="40">
        <v>18.660400000000003</v>
      </c>
      <c r="AP27" s="40">
        <v>3.8268000000000004</v>
      </c>
      <c r="AQ27" s="86">
        <f t="shared" si="9"/>
        <v>354.43389999999994</v>
      </c>
      <c r="AR27" s="21"/>
    </row>
    <row r="28" spans="1:44" ht="16" x14ac:dyDescent="0.2">
      <c r="A28" s="80" t="s">
        <v>46</v>
      </c>
      <c r="B28" s="21">
        <v>0.33</v>
      </c>
      <c r="C28" s="21">
        <v>0.28000000000000003</v>
      </c>
      <c r="D28" s="21">
        <v>0</v>
      </c>
      <c r="E28" s="21">
        <v>0</v>
      </c>
      <c r="F28" s="21">
        <v>0.90999999999999992</v>
      </c>
      <c r="G28" s="21">
        <v>0</v>
      </c>
      <c r="H28" s="21">
        <v>0</v>
      </c>
      <c r="I28" s="21">
        <v>0</v>
      </c>
      <c r="J28" s="21">
        <v>2.8056000000000001</v>
      </c>
      <c r="K28" s="21">
        <v>4.3100000000000005</v>
      </c>
      <c r="L28" s="21">
        <v>1.46</v>
      </c>
      <c r="M28" s="21">
        <v>5.5676000000000005</v>
      </c>
      <c r="N28" s="21">
        <v>5.01</v>
      </c>
      <c r="O28" s="21">
        <v>6.5040000000000004</v>
      </c>
      <c r="P28" s="21">
        <v>4.6000000000000005</v>
      </c>
      <c r="Q28" s="21">
        <v>4.49</v>
      </c>
      <c r="R28" s="21">
        <v>3.2600000000000002</v>
      </c>
      <c r="S28" s="21">
        <v>3.0300000000000002</v>
      </c>
      <c r="T28" s="21">
        <v>6.99</v>
      </c>
      <c r="U28" s="21">
        <v>10.290000000000001</v>
      </c>
      <c r="V28" s="21">
        <v>0.44</v>
      </c>
      <c r="W28" s="21">
        <v>0.9</v>
      </c>
      <c r="X28" s="21">
        <v>3</v>
      </c>
      <c r="Y28" s="21">
        <v>5.39</v>
      </c>
      <c r="Z28" s="21">
        <v>2.3800000000000003</v>
      </c>
      <c r="AA28" s="21">
        <v>3.3899999999999997</v>
      </c>
      <c r="AB28" s="21">
        <v>8.3899999999999988</v>
      </c>
      <c r="AC28" s="21">
        <v>12.24</v>
      </c>
      <c r="AD28" s="21">
        <v>29.939999999999991</v>
      </c>
      <c r="AE28" s="40">
        <v>19.840000000000003</v>
      </c>
      <c r="AF28" s="40">
        <v>14.32</v>
      </c>
      <c r="AG28" s="40">
        <v>10.18</v>
      </c>
      <c r="AH28" s="40">
        <v>22.73</v>
      </c>
      <c r="AI28" s="40">
        <v>4.8100000000000005</v>
      </c>
      <c r="AJ28" s="40">
        <v>14.866200000000001</v>
      </c>
      <c r="AK28" s="40">
        <v>28.656400000000001</v>
      </c>
      <c r="AL28" s="40">
        <v>21.601899999999997</v>
      </c>
      <c r="AM28" s="40">
        <v>10.706900000000001</v>
      </c>
      <c r="AN28" s="40">
        <v>10.5465</v>
      </c>
      <c r="AO28" s="40">
        <v>15.055800000000001</v>
      </c>
      <c r="AP28" s="40">
        <v>3.1006</v>
      </c>
      <c r="AQ28" s="86">
        <f t="shared" si="9"/>
        <v>302.3214999999999</v>
      </c>
      <c r="AR28" s="21"/>
    </row>
    <row r="29" spans="1:44" ht="16" x14ac:dyDescent="0.2">
      <c r="A29" s="80" t="s">
        <v>48</v>
      </c>
      <c r="B29" s="21">
        <v>0.34</v>
      </c>
      <c r="C29" s="21">
        <v>0.27</v>
      </c>
      <c r="D29" s="21">
        <v>0</v>
      </c>
      <c r="E29" s="21">
        <v>0</v>
      </c>
      <c r="F29" s="21">
        <v>0.92999999999999994</v>
      </c>
      <c r="G29" s="21">
        <v>0</v>
      </c>
      <c r="H29" s="21">
        <v>0</v>
      </c>
      <c r="I29" s="21">
        <v>0</v>
      </c>
      <c r="J29" s="21">
        <v>0</v>
      </c>
      <c r="K29" s="21">
        <v>4.3600000000000003</v>
      </c>
      <c r="L29" s="21">
        <v>1.48</v>
      </c>
      <c r="M29" s="21">
        <v>2.6399999999999997</v>
      </c>
      <c r="N29" s="21">
        <v>5.08</v>
      </c>
      <c r="O29" s="21">
        <v>5.7299999999999995</v>
      </c>
      <c r="P29" s="21">
        <v>4.6399999999999997</v>
      </c>
      <c r="Q29" s="21">
        <v>4.16</v>
      </c>
      <c r="R29" s="21">
        <v>3.2800000000000002</v>
      </c>
      <c r="S29" s="21">
        <v>3.07</v>
      </c>
      <c r="T29" s="21">
        <v>7.0500000000000007</v>
      </c>
      <c r="U29" s="21">
        <v>2.2999999999999998</v>
      </c>
      <c r="V29" s="21">
        <v>0.45</v>
      </c>
      <c r="W29" s="21">
        <v>0.91</v>
      </c>
      <c r="X29" s="21">
        <v>3.0200000000000005</v>
      </c>
      <c r="Y29" s="21">
        <v>5.45</v>
      </c>
      <c r="Z29" s="21">
        <v>2.4000000000000004</v>
      </c>
      <c r="AA29" s="21">
        <v>3.41</v>
      </c>
      <c r="AB29" s="21">
        <v>8.48</v>
      </c>
      <c r="AC29" s="21">
        <v>12.383600000000003</v>
      </c>
      <c r="AD29" s="21">
        <v>30.259999999999998</v>
      </c>
      <c r="AE29" s="40">
        <v>20.050000000000004</v>
      </c>
      <c r="AF29" s="40">
        <v>14.459999999999999</v>
      </c>
      <c r="AG29" s="40">
        <v>8.4499999999999993</v>
      </c>
      <c r="AH29" s="40">
        <v>22.9</v>
      </c>
      <c r="AI29" s="40">
        <v>4.8599999999999994</v>
      </c>
      <c r="AJ29" s="40">
        <v>15.012600000000003</v>
      </c>
      <c r="AK29" s="40">
        <v>28.953900000000004</v>
      </c>
      <c r="AL29" s="40">
        <v>21.825999999999997</v>
      </c>
      <c r="AM29" s="40">
        <v>10.818099999999999</v>
      </c>
      <c r="AN29" s="40">
        <v>10.6561</v>
      </c>
      <c r="AO29" s="40">
        <v>15.133699999999997</v>
      </c>
      <c r="AP29" s="40">
        <v>3.1325999999999996</v>
      </c>
      <c r="AQ29" s="86">
        <f t="shared" si="9"/>
        <v>288.34659999999997</v>
      </c>
      <c r="AR29" s="21"/>
    </row>
    <row r="30" spans="1:44" s="21" customFormat="1" ht="16" x14ac:dyDescent="0.2">
      <c r="A30" s="81" t="s">
        <v>1051</v>
      </c>
      <c r="B30" s="67">
        <f t="shared" ref="B30:AD30" si="10">SUM(B26:B29)</f>
        <v>1.08</v>
      </c>
      <c r="C30" s="67">
        <f t="shared" si="10"/>
        <v>0.88480000000000003</v>
      </c>
      <c r="D30" s="67">
        <f t="shared" si="10"/>
        <v>11.3245</v>
      </c>
      <c r="E30" s="67">
        <f t="shared" si="10"/>
        <v>7.2065000000000001</v>
      </c>
      <c r="F30" s="67">
        <f t="shared" si="10"/>
        <v>2.96</v>
      </c>
      <c r="G30" s="67">
        <f t="shared" si="10"/>
        <v>3.7488000000000001</v>
      </c>
      <c r="H30" s="67">
        <f t="shared" si="10"/>
        <v>0</v>
      </c>
      <c r="I30" s="67">
        <f t="shared" si="10"/>
        <v>0</v>
      </c>
      <c r="J30" s="67">
        <f t="shared" si="10"/>
        <v>3.93</v>
      </c>
      <c r="K30" s="67">
        <f t="shared" si="10"/>
        <v>13.990000000000002</v>
      </c>
      <c r="L30" s="67">
        <f t="shared" si="10"/>
        <v>4.74</v>
      </c>
      <c r="M30" s="67">
        <f t="shared" si="10"/>
        <v>12.385999999999999</v>
      </c>
      <c r="N30" s="67">
        <f t="shared" si="10"/>
        <v>16.29</v>
      </c>
      <c r="O30" s="67">
        <f t="shared" si="10"/>
        <v>19.219000000000001</v>
      </c>
      <c r="P30" s="67">
        <f t="shared" si="10"/>
        <v>14.93</v>
      </c>
      <c r="Q30" s="67">
        <f t="shared" si="10"/>
        <v>13.76</v>
      </c>
      <c r="R30" s="67">
        <f t="shared" si="10"/>
        <v>10.580000000000002</v>
      </c>
      <c r="S30" s="67">
        <f t="shared" si="10"/>
        <v>9.84</v>
      </c>
      <c r="T30" s="67">
        <f t="shared" si="10"/>
        <v>22.64</v>
      </c>
      <c r="U30" s="67">
        <f t="shared" si="10"/>
        <v>15.380000000000003</v>
      </c>
      <c r="V30" s="67">
        <f t="shared" si="10"/>
        <v>1.43</v>
      </c>
      <c r="W30" s="67">
        <f t="shared" si="10"/>
        <v>2.9455000000000005</v>
      </c>
      <c r="X30" s="67">
        <f t="shared" si="10"/>
        <v>9.740000000000002</v>
      </c>
      <c r="Y30" s="67">
        <f t="shared" si="10"/>
        <v>17.48</v>
      </c>
      <c r="Z30" s="67">
        <f t="shared" si="10"/>
        <v>7.7100000000000009</v>
      </c>
      <c r="AA30" s="67">
        <f t="shared" si="10"/>
        <v>11.01</v>
      </c>
      <c r="AB30" s="67">
        <f t="shared" si="10"/>
        <v>27.22</v>
      </c>
      <c r="AC30" s="67">
        <f t="shared" si="10"/>
        <v>39.753600000000006</v>
      </c>
      <c r="AD30" s="67">
        <f t="shared" si="10"/>
        <v>97.149999999999977</v>
      </c>
      <c r="AE30" s="67">
        <f>SUM(AE26:AE29)</f>
        <v>64.319999999999993</v>
      </c>
      <c r="AF30" s="67">
        <f t="shared" ref="AF30:AO30" si="11">SUM(AF26:AF29)</f>
        <v>46.44</v>
      </c>
      <c r="AG30" s="67">
        <f t="shared" si="11"/>
        <v>30.959999999999997</v>
      </c>
      <c r="AH30" s="67">
        <f t="shared" si="11"/>
        <v>73.637</v>
      </c>
      <c r="AI30" s="67">
        <f t="shared" si="11"/>
        <v>15.600000000000001</v>
      </c>
      <c r="AJ30" s="67">
        <f t="shared" si="11"/>
        <v>48.219200000000001</v>
      </c>
      <c r="AK30" s="67">
        <f t="shared" si="11"/>
        <v>92.979900000000001</v>
      </c>
      <c r="AL30" s="67">
        <f t="shared" si="11"/>
        <v>70.089799999999983</v>
      </c>
      <c r="AM30" s="67">
        <f t="shared" si="11"/>
        <v>34.740200000000002</v>
      </c>
      <c r="AN30" s="67">
        <f t="shared" si="11"/>
        <v>34.219899999999996</v>
      </c>
      <c r="AO30" s="67">
        <f t="shared" si="11"/>
        <v>48.849899999999998</v>
      </c>
      <c r="AP30" s="67">
        <f>SUM(AP26:AP29)</f>
        <v>10.06</v>
      </c>
      <c r="AQ30" s="82">
        <f t="shared" si="9"/>
        <v>969.44459999999992</v>
      </c>
    </row>
    <row r="31" spans="1:44" s="21" customFormat="1" ht="16" x14ac:dyDescent="0.2">
      <c r="A31" s="83" t="s">
        <v>1058</v>
      </c>
      <c r="B31" s="68">
        <f>B30*'Entire Project Overiew'!$R$15</f>
        <v>108</v>
      </c>
      <c r="C31" s="68">
        <f>C30*'Entire Project Overiew'!$R$15</f>
        <v>88.48</v>
      </c>
      <c r="D31" s="68">
        <f>D30*'Entire Project Overiew'!$R$15</f>
        <v>1132.45</v>
      </c>
      <c r="E31" s="68">
        <f>E30*'Entire Project Overiew'!$R$15</f>
        <v>720.65</v>
      </c>
      <c r="F31" s="68">
        <f>F30*'Entire Project Overiew'!$R$15</f>
        <v>296</v>
      </c>
      <c r="G31" s="68">
        <f>G30*'Entire Project Overiew'!$R$15</f>
        <v>374.88</v>
      </c>
      <c r="H31" s="68">
        <f>H30*'Entire Project Overiew'!$R$15</f>
        <v>0</v>
      </c>
      <c r="I31" s="68">
        <f>I30*'Entire Project Overiew'!$R$15</f>
        <v>0</v>
      </c>
      <c r="J31" s="68">
        <f>J30*'Entire Project Overiew'!$R$15</f>
        <v>393</v>
      </c>
      <c r="K31" s="68">
        <f>K30*'Entire Project Overiew'!$R$15</f>
        <v>1399.0000000000002</v>
      </c>
      <c r="L31" s="68">
        <f>L30*'Entire Project Overiew'!$R$15</f>
        <v>474</v>
      </c>
      <c r="M31" s="68">
        <f>M30*'Entire Project Overiew'!$R$15</f>
        <v>1238.5999999999999</v>
      </c>
      <c r="N31" s="68">
        <f>N30*'Entire Project Overiew'!$R$15</f>
        <v>1629</v>
      </c>
      <c r="O31" s="68">
        <f>O30*'Entire Project Overiew'!$R$15</f>
        <v>1921.9</v>
      </c>
      <c r="P31" s="68">
        <f>P30*'Entire Project Overiew'!$R$15</f>
        <v>1493</v>
      </c>
      <c r="Q31" s="68">
        <f>Q30*'Entire Project Overiew'!$R$15</f>
        <v>1376</v>
      </c>
      <c r="R31" s="68">
        <f>R30*'Entire Project Overiew'!$R$15</f>
        <v>1058.0000000000002</v>
      </c>
      <c r="S31" s="68">
        <f>S30*'Entire Project Overiew'!$R$15</f>
        <v>984</v>
      </c>
      <c r="T31" s="68">
        <f>T30*'Entire Project Overiew'!$R$15</f>
        <v>2264</v>
      </c>
      <c r="U31" s="68">
        <f>U30*'Entire Project Overiew'!$R$15</f>
        <v>1538.0000000000002</v>
      </c>
      <c r="V31" s="68">
        <f>V30*'Entire Project Overiew'!$R$15</f>
        <v>143</v>
      </c>
      <c r="W31" s="68">
        <f>W30*'Entire Project Overiew'!$R$15</f>
        <v>294.55000000000007</v>
      </c>
      <c r="X31" s="68">
        <f>X30*'Entire Project Overiew'!$R$15</f>
        <v>974.00000000000023</v>
      </c>
      <c r="Y31" s="68">
        <f>Y30*'Entire Project Overiew'!$R$15</f>
        <v>1748</v>
      </c>
      <c r="Z31" s="68">
        <f>Z30*'Entire Project Overiew'!$R$15</f>
        <v>771.00000000000011</v>
      </c>
      <c r="AA31" s="68">
        <f>AA30*'Entire Project Overiew'!$R$15</f>
        <v>1101</v>
      </c>
      <c r="AB31" s="68">
        <f>AB30*'Entire Project Overiew'!$R$15</f>
        <v>2722</v>
      </c>
      <c r="AC31" s="68">
        <f>AC30*'Entire Project Overiew'!$R$15</f>
        <v>3975.3600000000006</v>
      </c>
      <c r="AD31" s="68">
        <f>AD30*'Entire Project Overiew'!$R$15</f>
        <v>9714.9999999999982</v>
      </c>
      <c r="AE31" s="68">
        <f>AE30*'Entire Project Overiew'!$R$15</f>
        <v>6431.9999999999991</v>
      </c>
      <c r="AF31" s="68">
        <f>AF30*'Entire Project Overiew'!$R$15</f>
        <v>4644</v>
      </c>
      <c r="AG31" s="68">
        <f>AG30*'Entire Project Overiew'!$R$15</f>
        <v>3095.9999999999995</v>
      </c>
      <c r="AH31" s="68">
        <f>AH30*'Entire Project Overiew'!$R$15</f>
        <v>7363.7</v>
      </c>
      <c r="AI31" s="68">
        <f>AI30*'Entire Project Overiew'!$R$15</f>
        <v>1560.0000000000002</v>
      </c>
      <c r="AJ31" s="68">
        <f>AJ30*'Entire Project Overiew'!$R$15</f>
        <v>4821.92</v>
      </c>
      <c r="AK31" s="68">
        <f>AK30*'Entire Project Overiew'!$R$15</f>
        <v>9297.99</v>
      </c>
      <c r="AL31" s="68">
        <f>AL30*'Entire Project Overiew'!$R$15</f>
        <v>7008.9799999999987</v>
      </c>
      <c r="AM31" s="68">
        <f>AM30*'Entire Project Overiew'!$R$15</f>
        <v>3474.02</v>
      </c>
      <c r="AN31" s="68">
        <f>AN30*'Entire Project Overiew'!$R$15</f>
        <v>3421.99</v>
      </c>
      <c r="AO31" s="68">
        <f>AO30*'Entire Project Overiew'!$R$15</f>
        <v>4884.99</v>
      </c>
      <c r="AP31" s="68">
        <f>AP30*'Entire Project Overiew'!$R$15</f>
        <v>1006</v>
      </c>
      <c r="AQ31" s="84">
        <f t="shared" si="9"/>
        <v>96944.46</v>
      </c>
      <c r="AR31" s="32"/>
    </row>
    <row r="32" spans="1:44" s="32" customFormat="1" ht="16" x14ac:dyDescent="0.2">
      <c r="A32" s="220"/>
      <c r="B32" s="221"/>
      <c r="C32" s="221"/>
      <c r="D32" s="221"/>
      <c r="E32" s="221"/>
      <c r="F32" s="221"/>
      <c r="G32" s="221"/>
      <c r="H32" s="221"/>
      <c r="I32" s="221"/>
      <c r="J32" s="221"/>
      <c r="K32" s="221"/>
      <c r="L32" s="221"/>
      <c r="M32" s="221"/>
      <c r="N32" s="221"/>
      <c r="O32" s="221"/>
      <c r="P32" s="221"/>
      <c r="Q32" s="221"/>
      <c r="R32" s="221"/>
      <c r="S32" s="221"/>
      <c r="T32" s="221"/>
      <c r="U32" s="221"/>
      <c r="V32" s="221"/>
      <c r="W32" s="221"/>
      <c r="X32" s="221"/>
      <c r="Y32" s="221"/>
      <c r="Z32" s="221"/>
      <c r="AA32" s="221"/>
      <c r="AB32" s="221"/>
      <c r="AC32" s="221"/>
      <c r="AD32" s="221"/>
      <c r="AE32" s="221"/>
      <c r="AF32" s="221"/>
      <c r="AG32" s="221"/>
      <c r="AH32" s="221"/>
      <c r="AI32" s="221"/>
      <c r="AJ32" s="221"/>
      <c r="AK32" s="221"/>
      <c r="AL32" s="221"/>
      <c r="AM32" s="221"/>
      <c r="AN32" s="221"/>
      <c r="AO32" s="221"/>
      <c r="AP32" s="221"/>
      <c r="AQ32" s="222"/>
      <c r="AR32" s="19"/>
    </row>
    <row r="33" spans="1:58" s="21" customFormat="1" ht="18" x14ac:dyDescent="0.2">
      <c r="A33" s="213" t="s">
        <v>1008</v>
      </c>
      <c r="B33" s="214"/>
      <c r="C33" s="214"/>
      <c r="D33" s="214"/>
      <c r="E33" s="214"/>
      <c r="F33" s="214"/>
      <c r="G33" s="214"/>
      <c r="H33" s="214"/>
      <c r="I33" s="214"/>
      <c r="J33" s="214"/>
      <c r="K33" s="214"/>
      <c r="L33" s="214"/>
      <c r="M33" s="214"/>
      <c r="N33" s="214"/>
      <c r="O33" s="214"/>
      <c r="P33" s="214"/>
      <c r="Q33" s="214"/>
      <c r="R33" s="214"/>
      <c r="S33" s="214"/>
      <c r="T33" s="214"/>
      <c r="U33" s="214"/>
      <c r="V33" s="214"/>
      <c r="W33" s="214"/>
      <c r="X33" s="214"/>
      <c r="Y33" s="214"/>
      <c r="Z33" s="214"/>
      <c r="AA33" s="214"/>
      <c r="AB33" s="214"/>
      <c r="AC33" s="214"/>
      <c r="AD33" s="214"/>
      <c r="AE33" s="214"/>
      <c r="AF33" s="214"/>
      <c r="AG33" s="214"/>
      <c r="AH33" s="214"/>
      <c r="AI33" s="214"/>
      <c r="AJ33" s="214"/>
      <c r="AK33" s="214"/>
      <c r="AL33" s="214"/>
      <c r="AM33" s="214"/>
      <c r="AN33" s="214"/>
      <c r="AO33" s="214"/>
      <c r="AP33" s="214"/>
      <c r="AQ33" s="215"/>
      <c r="AR33" s="19"/>
    </row>
    <row r="34" spans="1:58" ht="16" x14ac:dyDescent="0.2">
      <c r="A34" s="80" t="s">
        <v>70</v>
      </c>
      <c r="B34" s="21">
        <v>0</v>
      </c>
      <c r="C34" s="21">
        <v>1.31</v>
      </c>
      <c r="D34" s="21">
        <v>0</v>
      </c>
      <c r="E34" s="21">
        <v>0</v>
      </c>
      <c r="F34" s="21">
        <v>0</v>
      </c>
      <c r="G34" s="21">
        <v>7.92</v>
      </c>
      <c r="H34" s="21">
        <v>19.400000000000002</v>
      </c>
      <c r="I34" s="21">
        <v>16.14</v>
      </c>
      <c r="J34" s="21">
        <v>32.500000000000007</v>
      </c>
      <c r="K34" s="21">
        <v>5.0199999999999996</v>
      </c>
      <c r="L34" s="21">
        <v>3.88</v>
      </c>
      <c r="M34" s="21">
        <v>34.803999999999995</v>
      </c>
      <c r="N34" s="21">
        <v>6.13</v>
      </c>
      <c r="O34" s="21">
        <v>41.19</v>
      </c>
      <c r="P34" s="21">
        <v>22.55</v>
      </c>
      <c r="Q34" s="21">
        <v>14.34</v>
      </c>
      <c r="R34" s="21">
        <v>13.219999999999999</v>
      </c>
      <c r="S34" s="21">
        <v>11.64</v>
      </c>
      <c r="T34" s="21">
        <v>25.83</v>
      </c>
      <c r="U34" s="21">
        <v>41.019999999999996</v>
      </c>
      <c r="V34" s="21">
        <v>59.43</v>
      </c>
      <c r="W34" s="21">
        <v>11.054499999999999</v>
      </c>
      <c r="X34" s="21">
        <v>15.92</v>
      </c>
      <c r="Y34" s="21">
        <v>8.91</v>
      </c>
      <c r="Z34" s="21">
        <v>14.35</v>
      </c>
      <c r="AA34" s="21">
        <v>19.439999999999998</v>
      </c>
      <c r="AB34" s="21">
        <v>17.389999999999997</v>
      </c>
      <c r="AC34" s="21">
        <v>33.016399999999997</v>
      </c>
      <c r="AD34" s="21">
        <v>21.14</v>
      </c>
      <c r="AE34" s="59">
        <v>12.47</v>
      </c>
      <c r="AF34" s="40">
        <v>0.9</v>
      </c>
      <c r="AG34" s="40">
        <v>5.82</v>
      </c>
      <c r="AH34" s="40">
        <v>26.26</v>
      </c>
      <c r="AI34" s="40">
        <v>78.94</v>
      </c>
      <c r="AJ34" s="40">
        <v>64.740000000000009</v>
      </c>
      <c r="AK34" s="40">
        <v>29.13</v>
      </c>
      <c r="AL34" s="40">
        <v>16.46</v>
      </c>
      <c r="AM34" s="40">
        <v>6.4499999999999993</v>
      </c>
      <c r="AN34" s="40">
        <v>8.33</v>
      </c>
      <c r="AO34" s="21">
        <v>0</v>
      </c>
      <c r="AP34" s="40">
        <v>4.43</v>
      </c>
      <c r="AQ34" s="77">
        <f t="shared" ref="AQ34:AQ36" si="12">SUM(B34:AP34)</f>
        <v>751.47490000000005</v>
      </c>
      <c r="AR34" s="21"/>
      <c r="AS34" s="21"/>
      <c r="AT34" s="21"/>
      <c r="AU34" s="21"/>
      <c r="AV34" s="21"/>
      <c r="AW34"/>
      <c r="AX34"/>
      <c r="AY34"/>
      <c r="AZ34"/>
      <c r="BA34"/>
      <c r="BB34"/>
      <c r="BC34"/>
      <c r="BD34"/>
      <c r="BE34"/>
      <c r="BF34"/>
    </row>
    <row r="35" spans="1:58" s="21" customFormat="1" ht="16" x14ac:dyDescent="0.2">
      <c r="A35" s="81" t="s">
        <v>1052</v>
      </c>
      <c r="B35" s="67">
        <f t="shared" ref="B35:AD35" si="13">B34</f>
        <v>0</v>
      </c>
      <c r="C35" s="67">
        <f t="shared" si="13"/>
        <v>1.31</v>
      </c>
      <c r="D35" s="67">
        <f t="shared" si="13"/>
        <v>0</v>
      </c>
      <c r="E35" s="67">
        <f t="shared" si="13"/>
        <v>0</v>
      </c>
      <c r="F35" s="67">
        <f t="shared" si="13"/>
        <v>0</v>
      </c>
      <c r="G35" s="67">
        <f t="shared" si="13"/>
        <v>7.92</v>
      </c>
      <c r="H35" s="67">
        <f t="shared" si="13"/>
        <v>19.400000000000002</v>
      </c>
      <c r="I35" s="67">
        <f t="shared" si="13"/>
        <v>16.14</v>
      </c>
      <c r="J35" s="67">
        <f t="shared" si="13"/>
        <v>32.500000000000007</v>
      </c>
      <c r="K35" s="67">
        <f t="shared" si="13"/>
        <v>5.0199999999999996</v>
      </c>
      <c r="L35" s="67">
        <f t="shared" si="13"/>
        <v>3.88</v>
      </c>
      <c r="M35" s="67">
        <f t="shared" si="13"/>
        <v>34.803999999999995</v>
      </c>
      <c r="N35" s="67">
        <f t="shared" si="13"/>
        <v>6.13</v>
      </c>
      <c r="O35" s="67">
        <f t="shared" si="13"/>
        <v>41.19</v>
      </c>
      <c r="P35" s="67">
        <f t="shared" si="13"/>
        <v>22.55</v>
      </c>
      <c r="Q35" s="67">
        <f t="shared" si="13"/>
        <v>14.34</v>
      </c>
      <c r="R35" s="67">
        <f t="shared" si="13"/>
        <v>13.219999999999999</v>
      </c>
      <c r="S35" s="67">
        <f t="shared" si="13"/>
        <v>11.64</v>
      </c>
      <c r="T35" s="67">
        <f t="shared" si="13"/>
        <v>25.83</v>
      </c>
      <c r="U35" s="67">
        <f t="shared" si="13"/>
        <v>41.019999999999996</v>
      </c>
      <c r="V35" s="67">
        <f t="shared" si="13"/>
        <v>59.43</v>
      </c>
      <c r="W35" s="67">
        <f t="shared" si="13"/>
        <v>11.054499999999999</v>
      </c>
      <c r="X35" s="67">
        <f t="shared" si="13"/>
        <v>15.92</v>
      </c>
      <c r="Y35" s="67">
        <f t="shared" si="13"/>
        <v>8.91</v>
      </c>
      <c r="Z35" s="67">
        <f t="shared" si="13"/>
        <v>14.35</v>
      </c>
      <c r="AA35" s="67">
        <f t="shared" si="13"/>
        <v>19.439999999999998</v>
      </c>
      <c r="AB35" s="67">
        <f t="shared" si="13"/>
        <v>17.389999999999997</v>
      </c>
      <c r="AC35" s="67">
        <f t="shared" si="13"/>
        <v>33.016399999999997</v>
      </c>
      <c r="AD35" s="67">
        <f t="shared" si="13"/>
        <v>21.14</v>
      </c>
      <c r="AE35" s="67">
        <f>AE34</f>
        <v>12.47</v>
      </c>
      <c r="AF35" s="67">
        <f t="shared" ref="AF35:AP35" si="14">AF34</f>
        <v>0.9</v>
      </c>
      <c r="AG35" s="67">
        <f t="shared" si="14"/>
        <v>5.82</v>
      </c>
      <c r="AH35" s="67">
        <f t="shared" si="14"/>
        <v>26.26</v>
      </c>
      <c r="AI35" s="67">
        <f t="shared" si="14"/>
        <v>78.94</v>
      </c>
      <c r="AJ35" s="67">
        <f t="shared" si="14"/>
        <v>64.740000000000009</v>
      </c>
      <c r="AK35" s="67">
        <f t="shared" si="14"/>
        <v>29.13</v>
      </c>
      <c r="AL35" s="67">
        <f t="shared" si="14"/>
        <v>16.46</v>
      </c>
      <c r="AM35" s="67">
        <f t="shared" si="14"/>
        <v>6.4499999999999993</v>
      </c>
      <c r="AN35" s="67">
        <f t="shared" si="14"/>
        <v>8.33</v>
      </c>
      <c r="AO35" s="67">
        <f t="shared" si="14"/>
        <v>0</v>
      </c>
      <c r="AP35" s="67">
        <f t="shared" si="14"/>
        <v>4.43</v>
      </c>
      <c r="AQ35" s="82">
        <f t="shared" si="12"/>
        <v>751.47490000000005</v>
      </c>
      <c r="AW35"/>
      <c r="AX35"/>
      <c r="AY35"/>
      <c r="AZ35"/>
      <c r="BA35"/>
      <c r="BB35"/>
      <c r="BC35"/>
      <c r="BD35"/>
      <c r="BE35"/>
      <c r="BF35"/>
    </row>
    <row r="36" spans="1:58" s="21" customFormat="1" ht="16" x14ac:dyDescent="0.2">
      <c r="A36" s="83" t="s">
        <v>1057</v>
      </c>
      <c r="B36" s="68">
        <f>B35*'Entire Project Overiew'!$R$16</f>
        <v>0</v>
      </c>
      <c r="C36" s="68">
        <f>C35*'Entire Project Overiew'!$R$16</f>
        <v>111.35000000000001</v>
      </c>
      <c r="D36" s="68">
        <f>D35*'Entire Project Overiew'!$R$16</f>
        <v>0</v>
      </c>
      <c r="E36" s="68">
        <f>E35*'Entire Project Overiew'!$R$16</f>
        <v>0</v>
      </c>
      <c r="F36" s="68">
        <f>F35*'Entire Project Overiew'!$R$16</f>
        <v>0</v>
      </c>
      <c r="G36" s="68">
        <f>G35*'Entire Project Overiew'!$R$16</f>
        <v>673.2</v>
      </c>
      <c r="H36" s="68">
        <f>H35*'Entire Project Overiew'!$R$16</f>
        <v>1649.0000000000002</v>
      </c>
      <c r="I36" s="68">
        <f>I35*'Entire Project Overiew'!$R$16</f>
        <v>1371.9</v>
      </c>
      <c r="J36" s="68">
        <f>J35*'Entire Project Overiew'!$R$16</f>
        <v>2762.5000000000005</v>
      </c>
      <c r="K36" s="68">
        <f>K35*'Entire Project Overiew'!$R$16</f>
        <v>426.7</v>
      </c>
      <c r="L36" s="68">
        <f>L35*'Entire Project Overiew'!$R$16</f>
        <v>329.8</v>
      </c>
      <c r="M36" s="68">
        <f>M35*'Entire Project Overiew'!$R$16</f>
        <v>2958.3399999999997</v>
      </c>
      <c r="N36" s="68">
        <f>N35*'Entire Project Overiew'!$R$16</f>
        <v>521.04999999999995</v>
      </c>
      <c r="O36" s="68">
        <f>O35*'Entire Project Overiew'!$R$16</f>
        <v>3501.1499999999996</v>
      </c>
      <c r="P36" s="68">
        <f>P35*'Entire Project Overiew'!$R$16</f>
        <v>1916.75</v>
      </c>
      <c r="Q36" s="68">
        <f>Q35*'Entire Project Overiew'!$R$16</f>
        <v>1218.9000000000001</v>
      </c>
      <c r="R36" s="68">
        <f>R35*'Entire Project Overiew'!$R$16</f>
        <v>1123.6999999999998</v>
      </c>
      <c r="S36" s="68">
        <f>S35*'Entire Project Overiew'!$R$16</f>
        <v>989.40000000000009</v>
      </c>
      <c r="T36" s="68">
        <f>T35*'Entire Project Overiew'!$R$16</f>
        <v>2195.5499999999997</v>
      </c>
      <c r="U36" s="68">
        <f>U35*'Entire Project Overiew'!$R$16</f>
        <v>3486.7</v>
      </c>
      <c r="V36" s="68">
        <f>V35*'Entire Project Overiew'!$R$16</f>
        <v>5051.55</v>
      </c>
      <c r="W36" s="68">
        <f>W35*'Entire Project Overiew'!$R$16</f>
        <v>939.63249999999994</v>
      </c>
      <c r="X36" s="68">
        <f>X35*'Entire Project Overiew'!$R$16</f>
        <v>1353.2</v>
      </c>
      <c r="Y36" s="68">
        <f>Y35*'Entire Project Overiew'!$R$16</f>
        <v>757.35</v>
      </c>
      <c r="Z36" s="68">
        <f>Z35*'Entire Project Overiew'!$R$16</f>
        <v>1219.75</v>
      </c>
      <c r="AA36" s="68">
        <f>AA35*'Entire Project Overiew'!$R$16</f>
        <v>1652.3999999999999</v>
      </c>
      <c r="AB36" s="68">
        <f>AB35*'Entire Project Overiew'!$R$16</f>
        <v>1478.1499999999996</v>
      </c>
      <c r="AC36" s="68">
        <f>AC35*'Entire Project Overiew'!$R$16</f>
        <v>2806.3939999999998</v>
      </c>
      <c r="AD36" s="68">
        <f>AD35*'Entire Project Overiew'!$R$16</f>
        <v>1796.9</v>
      </c>
      <c r="AE36" s="68">
        <f>AE35*'Entire Project Overiew'!$R$16</f>
        <v>1059.95</v>
      </c>
      <c r="AF36" s="68">
        <f>AF35*'Entire Project Overiew'!$R$16</f>
        <v>76.5</v>
      </c>
      <c r="AG36" s="68">
        <f>AG35*'Entire Project Overiew'!$R$16</f>
        <v>494.70000000000005</v>
      </c>
      <c r="AH36" s="68">
        <f>AH35*'Entire Project Overiew'!$R$16</f>
        <v>2232.1</v>
      </c>
      <c r="AI36" s="68">
        <f>AI35*'Entire Project Overiew'!$R$16</f>
        <v>6709.9</v>
      </c>
      <c r="AJ36" s="68">
        <f>AJ35*'Entire Project Overiew'!$R$16</f>
        <v>5502.9000000000005</v>
      </c>
      <c r="AK36" s="68">
        <f>AK35*'Entire Project Overiew'!$R$16</f>
        <v>2476.0499999999997</v>
      </c>
      <c r="AL36" s="68">
        <f>AL35*'Entire Project Overiew'!$R$16</f>
        <v>1399.1000000000001</v>
      </c>
      <c r="AM36" s="68">
        <f>AM35*'Entire Project Overiew'!$R$16</f>
        <v>548.24999999999989</v>
      </c>
      <c r="AN36" s="68">
        <f>AN35*'Entire Project Overiew'!$R$16</f>
        <v>708.05</v>
      </c>
      <c r="AO36" s="68">
        <f>AO35*'Entire Project Overiew'!$R$16</f>
        <v>0</v>
      </c>
      <c r="AP36" s="68">
        <f>AP35*'Entire Project Overiew'!$R$16</f>
        <v>376.54999999999995</v>
      </c>
      <c r="AQ36" s="84">
        <f t="shared" si="12"/>
        <v>63875.366500000011</v>
      </c>
      <c r="AR36" s="32"/>
      <c r="AS36" s="32"/>
      <c r="AT36" s="32"/>
      <c r="AU36" s="32"/>
      <c r="AV36" s="32"/>
      <c r="AW36"/>
      <c r="AX36"/>
      <c r="AY36"/>
      <c r="AZ36"/>
      <c r="BA36"/>
      <c r="BB36"/>
      <c r="BC36"/>
      <c r="BD36"/>
      <c r="BE36"/>
      <c r="BF36"/>
    </row>
    <row r="37" spans="1:58" s="21" customFormat="1" ht="16" x14ac:dyDescent="0.2">
      <c r="A37" s="223"/>
      <c r="B37" s="224"/>
      <c r="C37" s="224"/>
      <c r="D37" s="224"/>
      <c r="E37" s="224"/>
      <c r="F37" s="224"/>
      <c r="G37" s="224"/>
      <c r="H37" s="224"/>
      <c r="I37" s="224"/>
      <c r="J37" s="224"/>
      <c r="K37" s="224"/>
      <c r="L37" s="224"/>
      <c r="M37" s="224"/>
      <c r="N37" s="224"/>
      <c r="O37" s="224"/>
      <c r="P37" s="224"/>
      <c r="Q37" s="224"/>
      <c r="R37" s="224"/>
      <c r="S37" s="224"/>
      <c r="T37" s="224"/>
      <c r="U37" s="224"/>
      <c r="V37" s="224"/>
      <c r="W37" s="224"/>
      <c r="X37" s="224"/>
      <c r="Y37" s="224"/>
      <c r="Z37" s="224"/>
      <c r="AA37" s="224"/>
      <c r="AB37" s="224"/>
      <c r="AC37" s="224"/>
      <c r="AD37" s="224"/>
      <c r="AE37" s="224"/>
      <c r="AF37" s="224"/>
      <c r="AG37" s="224"/>
      <c r="AH37" s="224"/>
      <c r="AI37" s="224"/>
      <c r="AJ37" s="224"/>
      <c r="AK37" s="224"/>
      <c r="AL37" s="224"/>
      <c r="AM37" s="224"/>
      <c r="AN37" s="224"/>
      <c r="AO37" s="224"/>
      <c r="AP37" s="224"/>
      <c r="AQ37" s="225"/>
      <c r="AW37"/>
      <c r="AX37"/>
      <c r="AY37"/>
      <c r="AZ37"/>
      <c r="BA37"/>
      <c r="BB37"/>
      <c r="BC37"/>
      <c r="BD37"/>
      <c r="BE37"/>
      <c r="BF37"/>
    </row>
    <row r="38" spans="1:58" s="32" customFormat="1" ht="18" x14ac:dyDescent="0.2">
      <c r="A38" s="213" t="s">
        <v>1022</v>
      </c>
      <c r="B38" s="214"/>
      <c r="C38" s="214"/>
      <c r="D38" s="214"/>
      <c r="E38" s="214"/>
      <c r="F38" s="214"/>
      <c r="G38" s="214"/>
      <c r="H38" s="214"/>
      <c r="I38" s="214"/>
      <c r="J38" s="214"/>
      <c r="K38" s="214"/>
      <c r="L38" s="214"/>
      <c r="M38" s="214"/>
      <c r="N38" s="214"/>
      <c r="O38" s="214"/>
      <c r="P38" s="214"/>
      <c r="Q38" s="214"/>
      <c r="R38" s="214"/>
      <c r="S38" s="214"/>
      <c r="T38" s="214"/>
      <c r="U38" s="214"/>
      <c r="V38" s="214"/>
      <c r="W38" s="214"/>
      <c r="X38" s="214"/>
      <c r="Y38" s="214"/>
      <c r="Z38" s="214"/>
      <c r="AA38" s="214"/>
      <c r="AB38" s="214"/>
      <c r="AC38" s="214"/>
      <c r="AD38" s="214"/>
      <c r="AE38" s="214"/>
      <c r="AF38" s="214"/>
      <c r="AG38" s="214"/>
      <c r="AH38" s="214"/>
      <c r="AI38" s="214"/>
      <c r="AJ38" s="214"/>
      <c r="AK38" s="214"/>
      <c r="AL38" s="214"/>
      <c r="AM38" s="214"/>
      <c r="AN38" s="214"/>
      <c r="AO38" s="214"/>
      <c r="AP38" s="214"/>
      <c r="AQ38" s="215"/>
      <c r="AR38" s="19"/>
      <c r="AS38"/>
      <c r="AT38"/>
      <c r="AU38"/>
      <c r="AV38"/>
      <c r="AW38"/>
      <c r="AX38"/>
      <c r="AY38"/>
      <c r="AZ38"/>
      <c r="BA38"/>
      <c r="BB38"/>
      <c r="BC38"/>
      <c r="BD38"/>
      <c r="BE38"/>
      <c r="BF38"/>
    </row>
    <row r="39" spans="1:58" ht="16" x14ac:dyDescent="0.2">
      <c r="A39" s="80" t="s">
        <v>44</v>
      </c>
      <c r="B39" s="21">
        <v>0</v>
      </c>
      <c r="C39" s="21">
        <v>0</v>
      </c>
      <c r="D39" s="21">
        <v>0</v>
      </c>
      <c r="E39" s="21">
        <v>0</v>
      </c>
      <c r="F39" s="21">
        <v>0</v>
      </c>
      <c r="G39" s="21">
        <v>0</v>
      </c>
      <c r="H39" s="21">
        <v>0</v>
      </c>
      <c r="I39" s="21">
        <v>0</v>
      </c>
      <c r="J39" s="21">
        <v>0</v>
      </c>
      <c r="K39" s="21">
        <v>0</v>
      </c>
      <c r="L39" s="21">
        <v>0</v>
      </c>
      <c r="M39" s="21">
        <v>0</v>
      </c>
      <c r="N39" s="21">
        <v>0</v>
      </c>
      <c r="O39" s="21">
        <v>0</v>
      </c>
      <c r="P39" s="21">
        <v>0</v>
      </c>
      <c r="Q39" s="21">
        <v>0</v>
      </c>
      <c r="R39" s="21">
        <v>0</v>
      </c>
      <c r="S39" s="21">
        <v>0</v>
      </c>
      <c r="T39" s="21">
        <v>5.83</v>
      </c>
      <c r="U39" s="21">
        <v>0</v>
      </c>
      <c r="V39" s="21">
        <v>0</v>
      </c>
      <c r="W39" s="21">
        <v>0</v>
      </c>
      <c r="X39" s="21">
        <v>0</v>
      </c>
      <c r="Y39" s="21">
        <v>0</v>
      </c>
      <c r="Z39" s="21">
        <v>0</v>
      </c>
      <c r="AA39" s="21">
        <v>0</v>
      </c>
      <c r="AB39" s="21">
        <v>0</v>
      </c>
      <c r="AC39" s="21">
        <v>0</v>
      </c>
      <c r="AD39" s="21">
        <v>0</v>
      </c>
      <c r="AE39" s="21">
        <v>0</v>
      </c>
      <c r="AF39" s="21">
        <v>0</v>
      </c>
      <c r="AG39" s="40">
        <v>9.67</v>
      </c>
      <c r="AH39" s="40">
        <v>4.95</v>
      </c>
      <c r="AI39" s="21">
        <v>0</v>
      </c>
      <c r="AJ39" s="21">
        <v>0</v>
      </c>
      <c r="AK39" s="21">
        <v>0</v>
      </c>
      <c r="AL39" s="21">
        <v>0</v>
      </c>
      <c r="AM39" s="21">
        <v>0</v>
      </c>
      <c r="AN39" s="21">
        <v>0</v>
      </c>
      <c r="AO39" s="21">
        <v>0</v>
      </c>
      <c r="AP39" s="21">
        <v>0</v>
      </c>
      <c r="AQ39" s="77">
        <f t="shared" ref="AQ39:AQ42" si="15">SUM(B39:AP39)</f>
        <v>20.45</v>
      </c>
      <c r="AR39" s="21"/>
      <c r="AS39" s="21"/>
      <c r="AT39" s="21"/>
      <c r="AU39" s="21"/>
      <c r="AV39" s="21"/>
      <c r="AW39" s="21"/>
      <c r="AX39" s="21"/>
      <c r="AY39" s="21"/>
      <c r="AZ39" s="21"/>
      <c r="BA39" s="21"/>
      <c r="BB39" s="21"/>
      <c r="BC39" s="21"/>
      <c r="BD39" s="21"/>
      <c r="BE39" s="21"/>
      <c r="BF39" s="21"/>
    </row>
    <row r="40" spans="1:58" ht="16" x14ac:dyDescent="0.2">
      <c r="A40" s="80" t="s">
        <v>58</v>
      </c>
      <c r="B40" s="21">
        <v>0</v>
      </c>
      <c r="C40" s="21">
        <v>0</v>
      </c>
      <c r="D40" s="21">
        <v>0</v>
      </c>
      <c r="E40" s="21">
        <v>0</v>
      </c>
      <c r="F40" s="21">
        <v>0</v>
      </c>
      <c r="G40" s="21">
        <v>0</v>
      </c>
      <c r="H40" s="21">
        <v>0</v>
      </c>
      <c r="I40" s="21">
        <v>0</v>
      </c>
      <c r="J40" s="21">
        <v>0</v>
      </c>
      <c r="K40" s="21">
        <v>0</v>
      </c>
      <c r="L40" s="21">
        <v>0</v>
      </c>
      <c r="M40" s="21">
        <v>0</v>
      </c>
      <c r="N40" s="21">
        <v>0</v>
      </c>
      <c r="O40" s="21">
        <v>0</v>
      </c>
      <c r="P40" s="21">
        <v>0</v>
      </c>
      <c r="Q40" s="21">
        <v>0</v>
      </c>
      <c r="R40" s="21">
        <v>0</v>
      </c>
      <c r="S40" s="21">
        <v>0</v>
      </c>
      <c r="T40" s="21">
        <v>0</v>
      </c>
      <c r="U40" s="21">
        <v>14.370000000000001</v>
      </c>
      <c r="V40" s="21">
        <v>37.099999999999994</v>
      </c>
      <c r="W40" s="21">
        <v>70.66</v>
      </c>
      <c r="X40" s="21">
        <v>81.7</v>
      </c>
      <c r="Y40" s="21">
        <v>68.459999999999994</v>
      </c>
      <c r="Z40" s="21">
        <v>93.07</v>
      </c>
      <c r="AA40" s="21">
        <v>112.38999999999999</v>
      </c>
      <c r="AB40" s="21">
        <v>90.8</v>
      </c>
      <c r="AC40" s="21">
        <v>80.240000000000009</v>
      </c>
      <c r="AD40" s="21">
        <v>10.629999999999999</v>
      </c>
      <c r="AE40" s="40">
        <v>42.72</v>
      </c>
      <c r="AF40" s="40">
        <v>60.02</v>
      </c>
      <c r="AG40" s="40">
        <v>67.84</v>
      </c>
      <c r="AH40" s="40">
        <v>32.319999999999993</v>
      </c>
      <c r="AI40" s="40">
        <v>31.5</v>
      </c>
      <c r="AJ40" s="40">
        <v>34.950000000000003</v>
      </c>
      <c r="AK40" s="40">
        <v>10.8</v>
      </c>
      <c r="AL40" s="21">
        <v>0</v>
      </c>
      <c r="AM40" s="21">
        <v>0</v>
      </c>
      <c r="AN40" s="21">
        <v>0</v>
      </c>
      <c r="AO40" s="21">
        <v>0</v>
      </c>
      <c r="AP40" s="21">
        <v>0</v>
      </c>
      <c r="AQ40" s="86">
        <f t="shared" si="15"/>
        <v>939.56999999999994</v>
      </c>
      <c r="AR40" s="21"/>
      <c r="AS40" s="21"/>
      <c r="AT40" s="21"/>
      <c r="AU40" s="21"/>
      <c r="AV40" s="21"/>
      <c r="AW40" s="21"/>
      <c r="AX40" s="21"/>
      <c r="AY40" s="21"/>
      <c r="AZ40" s="21"/>
      <c r="BA40" s="21"/>
      <c r="BB40" s="21"/>
      <c r="BC40" s="21"/>
      <c r="BD40" s="21"/>
      <c r="BE40" s="21"/>
      <c r="BF40" s="21"/>
    </row>
    <row r="41" spans="1:58" s="21" customFormat="1" ht="16" x14ac:dyDescent="0.2">
      <c r="A41" s="81" t="s">
        <v>1053</v>
      </c>
      <c r="B41" s="67">
        <f t="shared" ref="B41:AD41" si="16">SUM(B39:B40)</f>
        <v>0</v>
      </c>
      <c r="C41" s="67">
        <f t="shared" si="16"/>
        <v>0</v>
      </c>
      <c r="D41" s="67">
        <f t="shared" si="16"/>
        <v>0</v>
      </c>
      <c r="E41" s="67">
        <f t="shared" si="16"/>
        <v>0</v>
      </c>
      <c r="F41" s="67">
        <f t="shared" si="16"/>
        <v>0</v>
      </c>
      <c r="G41" s="67">
        <f t="shared" si="16"/>
        <v>0</v>
      </c>
      <c r="H41" s="67">
        <f t="shared" si="16"/>
        <v>0</v>
      </c>
      <c r="I41" s="67">
        <f t="shared" si="16"/>
        <v>0</v>
      </c>
      <c r="J41" s="67">
        <f t="shared" si="16"/>
        <v>0</v>
      </c>
      <c r="K41" s="67">
        <f t="shared" si="16"/>
        <v>0</v>
      </c>
      <c r="L41" s="67">
        <f t="shared" si="16"/>
        <v>0</v>
      </c>
      <c r="M41" s="67">
        <f t="shared" si="16"/>
        <v>0</v>
      </c>
      <c r="N41" s="67">
        <f t="shared" si="16"/>
        <v>0</v>
      </c>
      <c r="O41" s="67">
        <f t="shared" si="16"/>
        <v>0</v>
      </c>
      <c r="P41" s="67">
        <f t="shared" si="16"/>
        <v>0</v>
      </c>
      <c r="Q41" s="67">
        <f t="shared" si="16"/>
        <v>0</v>
      </c>
      <c r="R41" s="67">
        <f t="shared" si="16"/>
        <v>0</v>
      </c>
      <c r="S41" s="67">
        <f t="shared" si="16"/>
        <v>0</v>
      </c>
      <c r="T41" s="67">
        <f t="shared" si="16"/>
        <v>5.83</v>
      </c>
      <c r="U41" s="67">
        <f t="shared" si="16"/>
        <v>14.370000000000001</v>
      </c>
      <c r="V41" s="67">
        <f t="shared" si="16"/>
        <v>37.099999999999994</v>
      </c>
      <c r="W41" s="67">
        <f t="shared" si="16"/>
        <v>70.66</v>
      </c>
      <c r="X41" s="67">
        <f t="shared" si="16"/>
        <v>81.7</v>
      </c>
      <c r="Y41" s="67">
        <f t="shared" si="16"/>
        <v>68.459999999999994</v>
      </c>
      <c r="Z41" s="67">
        <f t="shared" si="16"/>
        <v>93.07</v>
      </c>
      <c r="AA41" s="67">
        <f t="shared" si="16"/>
        <v>112.38999999999999</v>
      </c>
      <c r="AB41" s="67">
        <f t="shared" si="16"/>
        <v>90.8</v>
      </c>
      <c r="AC41" s="67">
        <f t="shared" si="16"/>
        <v>80.240000000000009</v>
      </c>
      <c r="AD41" s="67">
        <f t="shared" si="16"/>
        <v>10.629999999999999</v>
      </c>
      <c r="AE41" s="67">
        <f>SUM(AE39:AE40)</f>
        <v>42.72</v>
      </c>
      <c r="AF41" s="67">
        <f t="shared" ref="AF41:AP41" si="17">SUM(AF39:AF40)</f>
        <v>60.02</v>
      </c>
      <c r="AG41" s="67">
        <f t="shared" si="17"/>
        <v>77.510000000000005</v>
      </c>
      <c r="AH41" s="67">
        <f t="shared" si="17"/>
        <v>37.269999999999996</v>
      </c>
      <c r="AI41" s="67">
        <f t="shared" si="17"/>
        <v>31.5</v>
      </c>
      <c r="AJ41" s="67">
        <f t="shared" si="17"/>
        <v>34.950000000000003</v>
      </c>
      <c r="AK41" s="67">
        <f t="shared" si="17"/>
        <v>10.8</v>
      </c>
      <c r="AL41" s="67">
        <f t="shared" si="17"/>
        <v>0</v>
      </c>
      <c r="AM41" s="67">
        <f t="shared" si="17"/>
        <v>0</v>
      </c>
      <c r="AN41" s="67">
        <f t="shared" si="17"/>
        <v>0</v>
      </c>
      <c r="AO41" s="67">
        <f t="shared" si="17"/>
        <v>0</v>
      </c>
      <c r="AP41" s="67">
        <f t="shared" si="17"/>
        <v>0</v>
      </c>
      <c r="AQ41" s="82">
        <f t="shared" si="15"/>
        <v>960.02</v>
      </c>
    </row>
    <row r="42" spans="1:58" s="21" customFormat="1" ht="16" x14ac:dyDescent="0.2">
      <c r="A42" s="83" t="s">
        <v>1062</v>
      </c>
      <c r="B42" s="68">
        <f>B41*'Entire Project Overiew'!$R$17</f>
        <v>0</v>
      </c>
      <c r="C42" s="68">
        <f>C41*'Entire Project Overiew'!$R$17</f>
        <v>0</v>
      </c>
      <c r="D42" s="68">
        <f>D41*'Entire Project Overiew'!$R$17</f>
        <v>0</v>
      </c>
      <c r="E42" s="68">
        <f>E41*'Entire Project Overiew'!$R$17</f>
        <v>0</v>
      </c>
      <c r="F42" s="68">
        <f>F41*'Entire Project Overiew'!$R$17</f>
        <v>0</v>
      </c>
      <c r="G42" s="68">
        <f>G41*'Entire Project Overiew'!$R$17</f>
        <v>0</v>
      </c>
      <c r="H42" s="68">
        <f>H41*'Entire Project Overiew'!$R$17</f>
        <v>0</v>
      </c>
      <c r="I42" s="68">
        <f>I41*'Entire Project Overiew'!$R$17</f>
        <v>0</v>
      </c>
      <c r="J42" s="68">
        <f>J41*'Entire Project Overiew'!$R$17</f>
        <v>0</v>
      </c>
      <c r="K42" s="68">
        <f>K41*'Entire Project Overiew'!$R$17</f>
        <v>0</v>
      </c>
      <c r="L42" s="68">
        <f>L41*'Entire Project Overiew'!$R$17</f>
        <v>0</v>
      </c>
      <c r="M42" s="68">
        <f>M41*'Entire Project Overiew'!$R$17</f>
        <v>0</v>
      </c>
      <c r="N42" s="68">
        <f>N41*'Entire Project Overiew'!$R$17</f>
        <v>0</v>
      </c>
      <c r="O42" s="68">
        <f>O41*'Entire Project Overiew'!$R$17</f>
        <v>0</v>
      </c>
      <c r="P42" s="68">
        <f>P41*'Entire Project Overiew'!$R$17</f>
        <v>0</v>
      </c>
      <c r="Q42" s="68">
        <f>Q41*'Entire Project Overiew'!$R$17</f>
        <v>0</v>
      </c>
      <c r="R42" s="68">
        <f>R41*'Entire Project Overiew'!$R$17</f>
        <v>0</v>
      </c>
      <c r="S42" s="68">
        <f>S41*'Entire Project Overiew'!$R$17</f>
        <v>0</v>
      </c>
      <c r="T42" s="68">
        <f>T41*'Entire Project Overiew'!$R$17</f>
        <v>320.64999999999998</v>
      </c>
      <c r="U42" s="68">
        <f>U41*'Entire Project Overiew'!$R$17</f>
        <v>790.35</v>
      </c>
      <c r="V42" s="68">
        <f>V41*'Entire Project Overiew'!$R$17</f>
        <v>2040.4999999999998</v>
      </c>
      <c r="W42" s="68">
        <f>W41*'Entire Project Overiew'!$R$17</f>
        <v>3886.2999999999997</v>
      </c>
      <c r="X42" s="68">
        <f>X41*'Entire Project Overiew'!$R$17</f>
        <v>4493.5</v>
      </c>
      <c r="Y42" s="68">
        <f>Y41*'Entire Project Overiew'!$R$17</f>
        <v>3765.2999999999997</v>
      </c>
      <c r="Z42" s="68">
        <f>Z41*'Entire Project Overiew'!$R$17</f>
        <v>5118.8499999999995</v>
      </c>
      <c r="AA42" s="68">
        <f>AA41*'Entire Project Overiew'!$R$17</f>
        <v>6181.4499999999989</v>
      </c>
      <c r="AB42" s="68">
        <f>AB41*'Entire Project Overiew'!$R$17</f>
        <v>4994</v>
      </c>
      <c r="AC42" s="68">
        <f>AC41*'Entire Project Overiew'!$R$17</f>
        <v>4413.2000000000007</v>
      </c>
      <c r="AD42" s="68">
        <f>AD41*'Entire Project Overiew'!$R$17</f>
        <v>584.65</v>
      </c>
      <c r="AE42" s="68">
        <f>AE41*'Entire Project Overiew'!$R$17</f>
        <v>2349.6</v>
      </c>
      <c r="AF42" s="68">
        <f>AF41*'Entire Project Overiew'!$R$17</f>
        <v>3301.1000000000004</v>
      </c>
      <c r="AG42" s="68">
        <f>AG41*'Entire Project Overiew'!$R$17</f>
        <v>4263.05</v>
      </c>
      <c r="AH42" s="68">
        <f>AH41*'Entire Project Overiew'!$R$17</f>
        <v>2049.85</v>
      </c>
      <c r="AI42" s="68">
        <f>AI41*'Entire Project Overiew'!$R$17</f>
        <v>1732.5</v>
      </c>
      <c r="AJ42" s="68">
        <f>AJ41*'Entire Project Overiew'!$R$17</f>
        <v>1922.2500000000002</v>
      </c>
      <c r="AK42" s="68">
        <f>AK41*'Entire Project Overiew'!$R$17</f>
        <v>594</v>
      </c>
      <c r="AL42" s="68">
        <f>AL41*'Entire Project Overiew'!$R$17</f>
        <v>0</v>
      </c>
      <c r="AM42" s="68">
        <f>AM41*'Entire Project Overiew'!$R$17</f>
        <v>0</v>
      </c>
      <c r="AN42" s="68">
        <f>AN41*'Entire Project Overiew'!$R$17</f>
        <v>0</v>
      </c>
      <c r="AO42" s="68">
        <f>AO41*'Entire Project Overiew'!$R$17</f>
        <v>0</v>
      </c>
      <c r="AP42" s="68">
        <f>AP41*'Entire Project Overiew'!$R$17</f>
        <v>0</v>
      </c>
      <c r="AQ42" s="84">
        <f t="shared" si="15"/>
        <v>52801.099999999991</v>
      </c>
      <c r="AR42" s="32"/>
      <c r="AS42" s="32"/>
      <c r="AT42" s="32"/>
      <c r="AU42" s="32"/>
      <c r="AV42" s="32"/>
      <c r="AW42" s="32"/>
      <c r="AX42" s="32"/>
      <c r="AY42" s="32"/>
      <c r="AZ42" s="73"/>
      <c r="BA42" s="32"/>
      <c r="BB42" s="32"/>
      <c r="BC42" s="32"/>
      <c r="BD42" s="32"/>
      <c r="BE42" s="32"/>
      <c r="BF42" s="32"/>
    </row>
    <row r="43" spans="1:58" s="21" customFormat="1" ht="16" x14ac:dyDescent="0.2">
      <c r="A43" s="220"/>
      <c r="B43" s="221"/>
      <c r="C43" s="221"/>
      <c r="D43" s="221"/>
      <c r="E43" s="221"/>
      <c r="F43" s="221"/>
      <c r="G43" s="221"/>
      <c r="H43" s="221"/>
      <c r="I43" s="221"/>
      <c r="J43" s="221"/>
      <c r="K43" s="221"/>
      <c r="L43" s="221"/>
      <c r="M43" s="221"/>
      <c r="N43" s="221"/>
      <c r="O43" s="221"/>
      <c r="P43" s="221"/>
      <c r="Q43" s="221"/>
      <c r="R43" s="221"/>
      <c r="S43" s="221"/>
      <c r="T43" s="221"/>
      <c r="U43" s="221"/>
      <c r="V43" s="221"/>
      <c r="W43" s="221"/>
      <c r="X43" s="221"/>
      <c r="Y43" s="221"/>
      <c r="Z43" s="221"/>
      <c r="AA43" s="221"/>
      <c r="AB43" s="221"/>
      <c r="AC43" s="221"/>
      <c r="AD43" s="221"/>
      <c r="AE43" s="221"/>
      <c r="AF43" s="221"/>
      <c r="AG43" s="221"/>
      <c r="AH43" s="221"/>
      <c r="AI43" s="221"/>
      <c r="AJ43" s="221"/>
      <c r="AK43" s="221"/>
      <c r="AL43" s="221"/>
      <c r="AM43" s="221"/>
      <c r="AN43" s="221"/>
      <c r="AO43" s="221"/>
      <c r="AP43" s="221"/>
      <c r="AQ43" s="222"/>
      <c r="AR43" s="19"/>
      <c r="AS43" s="19"/>
      <c r="AT43" s="19"/>
      <c r="AU43" s="19"/>
      <c r="AV43" s="19"/>
      <c r="AW43" s="19"/>
      <c r="AX43" s="19"/>
      <c r="AY43" s="19"/>
      <c r="AZ43" s="19"/>
      <c r="BA43" s="19"/>
      <c r="BB43" s="19"/>
      <c r="BC43" s="19"/>
      <c r="BD43" s="19"/>
      <c r="BE43" s="19"/>
      <c r="BF43" s="19"/>
    </row>
    <row r="44" spans="1:58" s="21" customFormat="1" ht="18" x14ac:dyDescent="0.2">
      <c r="A44" s="213" t="s">
        <v>1027</v>
      </c>
      <c r="B44" s="214"/>
      <c r="C44" s="214"/>
      <c r="D44" s="214"/>
      <c r="E44" s="214"/>
      <c r="F44" s="214"/>
      <c r="G44" s="214"/>
      <c r="H44" s="214"/>
      <c r="I44" s="214"/>
      <c r="J44" s="214"/>
      <c r="K44" s="214"/>
      <c r="L44" s="214"/>
      <c r="M44" s="214"/>
      <c r="N44" s="214"/>
      <c r="O44" s="214"/>
      <c r="P44" s="214"/>
      <c r="Q44" s="214"/>
      <c r="R44" s="214"/>
      <c r="S44" s="214"/>
      <c r="T44" s="214"/>
      <c r="U44" s="214"/>
      <c r="V44" s="214"/>
      <c r="W44" s="214"/>
      <c r="X44" s="214"/>
      <c r="Y44" s="214"/>
      <c r="Z44" s="214"/>
      <c r="AA44" s="214"/>
      <c r="AB44" s="214"/>
      <c r="AC44" s="214"/>
      <c r="AD44" s="214"/>
      <c r="AE44" s="214"/>
      <c r="AF44" s="214"/>
      <c r="AG44" s="214"/>
      <c r="AH44" s="214"/>
      <c r="AI44" s="214"/>
      <c r="AJ44" s="214"/>
      <c r="AK44" s="214"/>
      <c r="AL44" s="214"/>
      <c r="AM44" s="214"/>
      <c r="AN44" s="214"/>
      <c r="AO44" s="214"/>
      <c r="AP44" s="214"/>
      <c r="AQ44" s="215"/>
      <c r="AR44" s="19"/>
      <c r="AS44"/>
      <c r="AT44"/>
      <c r="AU44"/>
      <c r="AV44"/>
      <c r="AW44"/>
      <c r="AX44"/>
      <c r="AY44"/>
      <c r="AZ44"/>
      <c r="BA44"/>
      <c r="BB44"/>
      <c r="BC44"/>
      <c r="BD44"/>
      <c r="BE44"/>
      <c r="BF44"/>
    </row>
    <row r="45" spans="1:58" s="32" customFormat="1" ht="16" x14ac:dyDescent="0.2">
      <c r="A45" s="80" t="s">
        <v>40</v>
      </c>
      <c r="B45" s="21">
        <v>0</v>
      </c>
      <c r="C45" s="21">
        <v>0</v>
      </c>
      <c r="D45" s="21">
        <v>0</v>
      </c>
      <c r="E45" s="21">
        <v>0</v>
      </c>
      <c r="F45" s="21">
        <v>0</v>
      </c>
      <c r="G45" s="21">
        <v>0</v>
      </c>
      <c r="H45" s="21">
        <v>0</v>
      </c>
      <c r="I45" s="21">
        <v>0</v>
      </c>
      <c r="J45" s="21">
        <v>0</v>
      </c>
      <c r="K45" s="21">
        <v>0</v>
      </c>
      <c r="L45" s="21">
        <v>0</v>
      </c>
      <c r="M45" s="21">
        <v>0</v>
      </c>
      <c r="N45" s="21">
        <v>0</v>
      </c>
      <c r="O45" s="21">
        <v>0</v>
      </c>
      <c r="P45" s="21">
        <v>0</v>
      </c>
      <c r="Q45" s="21">
        <v>0</v>
      </c>
      <c r="R45" s="21">
        <v>0</v>
      </c>
      <c r="S45" s="21">
        <v>0</v>
      </c>
      <c r="T45" s="21">
        <v>0</v>
      </c>
      <c r="U45" s="21">
        <v>0</v>
      </c>
      <c r="V45" s="21">
        <v>0</v>
      </c>
      <c r="W45" s="21">
        <v>0</v>
      </c>
      <c r="X45" s="21">
        <v>0</v>
      </c>
      <c r="Y45" s="21">
        <v>0</v>
      </c>
      <c r="Z45" s="21">
        <v>0</v>
      </c>
      <c r="AA45" s="21">
        <v>0</v>
      </c>
      <c r="AB45" s="21">
        <v>0</v>
      </c>
      <c r="AC45" s="21">
        <v>0</v>
      </c>
      <c r="AD45" s="21">
        <v>29.410000000000004</v>
      </c>
      <c r="AE45" s="21">
        <v>0</v>
      </c>
      <c r="AF45" s="21">
        <v>0</v>
      </c>
      <c r="AG45" s="21">
        <v>0</v>
      </c>
      <c r="AH45" s="40">
        <v>21.42</v>
      </c>
      <c r="AI45" s="40">
        <v>2.5</v>
      </c>
      <c r="AJ45" s="40">
        <v>46.170899999999996</v>
      </c>
      <c r="AK45" s="40">
        <v>271.07059999999996</v>
      </c>
      <c r="AL45" s="40">
        <v>9.85</v>
      </c>
      <c r="AM45" s="21">
        <v>0</v>
      </c>
      <c r="AN45" s="21">
        <v>0</v>
      </c>
      <c r="AO45" s="21">
        <v>0</v>
      </c>
      <c r="AP45" s="21">
        <v>0</v>
      </c>
      <c r="AQ45" s="77">
        <f t="shared" ref="AQ45:AQ49" si="18">SUM(B45:AP45)</f>
        <v>380.42149999999998</v>
      </c>
      <c r="AR45" s="21"/>
      <c r="AS45"/>
      <c r="AT45"/>
      <c r="AU45"/>
      <c r="AV45"/>
      <c r="AW45"/>
      <c r="AX45"/>
      <c r="AY45"/>
      <c r="AZ45"/>
      <c r="BA45"/>
      <c r="BB45"/>
      <c r="BC45"/>
      <c r="BD45"/>
      <c r="BE45"/>
      <c r="BF45"/>
    </row>
    <row r="46" spans="1:58" s="21" customFormat="1" ht="16" x14ac:dyDescent="0.2">
      <c r="A46" s="80" t="s">
        <v>42</v>
      </c>
      <c r="B46" s="21">
        <v>511.15000000000003</v>
      </c>
      <c r="C46" s="21">
        <v>0</v>
      </c>
      <c r="D46" s="21">
        <v>71.94</v>
      </c>
      <c r="E46" s="21">
        <v>1499.3899999999996</v>
      </c>
      <c r="F46" s="21">
        <v>1535.3100000000009</v>
      </c>
      <c r="G46" s="21">
        <v>7.11</v>
      </c>
      <c r="H46" s="21">
        <v>17.369999999999997</v>
      </c>
      <c r="I46" s="21">
        <v>17.8</v>
      </c>
      <c r="J46" s="21">
        <v>31.340000000000003</v>
      </c>
      <c r="K46" s="21">
        <v>16.32</v>
      </c>
      <c r="L46" s="21">
        <v>12.239999999999998</v>
      </c>
      <c r="M46" s="21">
        <v>47.709999999999994</v>
      </c>
      <c r="N46" s="21">
        <v>53.900000000000006</v>
      </c>
      <c r="O46" s="21">
        <v>87.12</v>
      </c>
      <c r="P46" s="21">
        <v>0</v>
      </c>
      <c r="Q46" s="21">
        <v>4.95</v>
      </c>
      <c r="R46" s="21">
        <v>14.309999999999999</v>
      </c>
      <c r="S46" s="21">
        <v>27.239999999999995</v>
      </c>
      <c r="T46" s="21">
        <v>50.150000000000006</v>
      </c>
      <c r="U46" s="21">
        <v>74.540000000000006</v>
      </c>
      <c r="V46" s="21">
        <v>281.25999999999988</v>
      </c>
      <c r="W46" s="21">
        <v>36.64</v>
      </c>
      <c r="X46" s="21">
        <v>13.66</v>
      </c>
      <c r="Y46" s="21">
        <v>6.75</v>
      </c>
      <c r="Z46" s="21">
        <v>11.129999999999999</v>
      </c>
      <c r="AA46" s="21">
        <v>0</v>
      </c>
      <c r="AB46" s="21">
        <v>7.59</v>
      </c>
      <c r="AC46" s="21">
        <v>30.1</v>
      </c>
      <c r="AD46" s="21">
        <v>15.57</v>
      </c>
      <c r="AE46" s="40">
        <v>12.32</v>
      </c>
      <c r="AF46" s="40">
        <v>47.66</v>
      </c>
      <c r="AG46" s="40">
        <v>85.75</v>
      </c>
      <c r="AH46" s="40">
        <v>67.489999999999995</v>
      </c>
      <c r="AI46" s="40">
        <v>3.2</v>
      </c>
      <c r="AJ46" s="40">
        <v>64.170699999999997</v>
      </c>
      <c r="AK46" s="40">
        <v>112.749</v>
      </c>
      <c r="AL46" s="40">
        <v>8</v>
      </c>
      <c r="AM46" s="40">
        <v>19.920000000000002</v>
      </c>
      <c r="AN46" s="21">
        <v>0</v>
      </c>
      <c r="AO46" s="21">
        <v>0</v>
      </c>
      <c r="AP46" s="21">
        <v>0</v>
      </c>
      <c r="AQ46" s="86">
        <f t="shared" si="18"/>
        <v>4903.8496999999998</v>
      </c>
      <c r="AS46"/>
      <c r="AT46"/>
      <c r="AU46"/>
      <c r="AV46"/>
      <c r="AW46"/>
      <c r="AX46"/>
      <c r="AY46"/>
      <c r="AZ46"/>
      <c r="BA46"/>
      <c r="BB46"/>
      <c r="BC46"/>
      <c r="BD46"/>
      <c r="BE46"/>
      <c r="BF46"/>
    </row>
    <row r="47" spans="1:58" ht="16" x14ac:dyDescent="0.2">
      <c r="A47" s="80" t="s">
        <v>1032</v>
      </c>
      <c r="B47" s="21">
        <v>0</v>
      </c>
      <c r="C47" s="21">
        <v>0</v>
      </c>
      <c r="D47" s="21">
        <v>0</v>
      </c>
      <c r="E47" s="21">
        <v>0</v>
      </c>
      <c r="F47" s="21">
        <v>0</v>
      </c>
      <c r="G47" s="21">
        <v>0</v>
      </c>
      <c r="H47" s="21">
        <v>0</v>
      </c>
      <c r="I47" s="21">
        <v>0</v>
      </c>
      <c r="J47" s="21">
        <v>59185.2</v>
      </c>
      <c r="K47" s="21">
        <v>0</v>
      </c>
      <c r="L47" s="21">
        <v>0</v>
      </c>
      <c r="M47" s="21">
        <v>0</v>
      </c>
      <c r="N47" s="21">
        <v>0</v>
      </c>
      <c r="O47" s="21">
        <v>0</v>
      </c>
      <c r="P47" s="21">
        <v>0</v>
      </c>
      <c r="Q47" s="21">
        <v>0</v>
      </c>
      <c r="R47" s="21">
        <v>0</v>
      </c>
      <c r="S47" s="21">
        <v>0</v>
      </c>
      <c r="T47" s="21">
        <v>0</v>
      </c>
      <c r="U47" s="21">
        <v>0</v>
      </c>
      <c r="V47" s="21">
        <v>0</v>
      </c>
      <c r="W47" s="21">
        <v>0</v>
      </c>
      <c r="X47" s="21">
        <v>0</v>
      </c>
      <c r="Y47" s="21">
        <v>0</v>
      </c>
      <c r="Z47" s="21">
        <v>0</v>
      </c>
      <c r="AA47" s="21">
        <v>0</v>
      </c>
      <c r="AB47" s="21">
        <v>0</v>
      </c>
      <c r="AC47" s="21">
        <v>0</v>
      </c>
      <c r="AD47" s="21">
        <v>0</v>
      </c>
      <c r="AE47" s="21">
        <v>0</v>
      </c>
      <c r="AF47" s="21">
        <v>0</v>
      </c>
      <c r="AG47" s="21">
        <v>0</v>
      </c>
      <c r="AH47" s="21">
        <v>0</v>
      </c>
      <c r="AI47" s="21">
        <v>0</v>
      </c>
      <c r="AJ47" s="21">
        <v>0</v>
      </c>
      <c r="AK47" s="21">
        <v>0</v>
      </c>
      <c r="AL47" s="21">
        <v>0</v>
      </c>
      <c r="AM47" s="21">
        <v>0</v>
      </c>
      <c r="AN47" s="21">
        <v>0</v>
      </c>
      <c r="AO47" s="21">
        <v>0</v>
      </c>
      <c r="AP47" s="21">
        <v>0</v>
      </c>
      <c r="AQ47" s="86">
        <f t="shared" si="18"/>
        <v>59185.2</v>
      </c>
      <c r="AR47" s="21"/>
      <c r="AS47"/>
      <c r="AT47"/>
      <c r="AU47"/>
      <c r="AV47"/>
      <c r="AW47"/>
      <c r="AX47"/>
      <c r="AY47"/>
      <c r="AZ47"/>
      <c r="BA47"/>
      <c r="BB47"/>
      <c r="BC47"/>
      <c r="BD47"/>
      <c r="BE47"/>
      <c r="BF47"/>
    </row>
    <row r="48" spans="1:58" s="21" customFormat="1" ht="16" x14ac:dyDescent="0.2">
      <c r="A48" s="81" t="s">
        <v>1056</v>
      </c>
      <c r="B48" s="67">
        <f t="shared" ref="B48:AD48" si="19">SUM(B45:B47)</f>
        <v>511.15000000000003</v>
      </c>
      <c r="C48" s="67">
        <f t="shared" si="19"/>
        <v>0</v>
      </c>
      <c r="D48" s="67">
        <f t="shared" si="19"/>
        <v>71.94</v>
      </c>
      <c r="E48" s="67">
        <f t="shared" si="19"/>
        <v>1499.3899999999996</v>
      </c>
      <c r="F48" s="67">
        <f t="shared" si="19"/>
        <v>1535.3100000000009</v>
      </c>
      <c r="G48" s="67">
        <f t="shared" si="19"/>
        <v>7.11</v>
      </c>
      <c r="H48" s="67">
        <f t="shared" si="19"/>
        <v>17.369999999999997</v>
      </c>
      <c r="I48" s="67">
        <f t="shared" si="19"/>
        <v>17.8</v>
      </c>
      <c r="J48" s="67">
        <f t="shared" si="19"/>
        <v>59216.539999999994</v>
      </c>
      <c r="K48" s="67">
        <f t="shared" si="19"/>
        <v>16.32</v>
      </c>
      <c r="L48" s="67">
        <f t="shared" si="19"/>
        <v>12.239999999999998</v>
      </c>
      <c r="M48" s="67">
        <f t="shared" si="19"/>
        <v>47.709999999999994</v>
      </c>
      <c r="N48" s="67">
        <f t="shared" si="19"/>
        <v>53.900000000000006</v>
      </c>
      <c r="O48" s="67">
        <f t="shared" si="19"/>
        <v>87.12</v>
      </c>
      <c r="P48" s="67">
        <f t="shared" si="19"/>
        <v>0</v>
      </c>
      <c r="Q48" s="67">
        <f t="shared" si="19"/>
        <v>4.95</v>
      </c>
      <c r="R48" s="67">
        <f t="shared" si="19"/>
        <v>14.309999999999999</v>
      </c>
      <c r="S48" s="67">
        <f t="shared" si="19"/>
        <v>27.239999999999995</v>
      </c>
      <c r="T48" s="67">
        <f t="shared" si="19"/>
        <v>50.150000000000006</v>
      </c>
      <c r="U48" s="67">
        <f t="shared" si="19"/>
        <v>74.540000000000006</v>
      </c>
      <c r="V48" s="67">
        <f t="shared" si="19"/>
        <v>281.25999999999988</v>
      </c>
      <c r="W48" s="67">
        <f t="shared" si="19"/>
        <v>36.64</v>
      </c>
      <c r="X48" s="67">
        <f t="shared" si="19"/>
        <v>13.66</v>
      </c>
      <c r="Y48" s="67">
        <f t="shared" si="19"/>
        <v>6.75</v>
      </c>
      <c r="Z48" s="67">
        <f t="shared" si="19"/>
        <v>11.129999999999999</v>
      </c>
      <c r="AA48" s="67">
        <f t="shared" si="19"/>
        <v>0</v>
      </c>
      <c r="AB48" s="67">
        <f t="shared" si="19"/>
        <v>7.59</v>
      </c>
      <c r="AC48" s="67">
        <f t="shared" si="19"/>
        <v>30.1</v>
      </c>
      <c r="AD48" s="67">
        <f t="shared" si="19"/>
        <v>44.980000000000004</v>
      </c>
      <c r="AE48" s="67">
        <f>SUM(AE45:AE47)</f>
        <v>12.32</v>
      </c>
      <c r="AF48" s="67">
        <f t="shared" ref="AF48:AP48" si="20">SUM(AF45:AF47)</f>
        <v>47.66</v>
      </c>
      <c r="AG48" s="67">
        <f t="shared" si="20"/>
        <v>85.75</v>
      </c>
      <c r="AH48" s="67">
        <f t="shared" si="20"/>
        <v>88.91</v>
      </c>
      <c r="AI48" s="67">
        <f t="shared" si="20"/>
        <v>5.7</v>
      </c>
      <c r="AJ48" s="67">
        <f t="shared" si="20"/>
        <v>110.3416</v>
      </c>
      <c r="AK48" s="67">
        <f t="shared" si="20"/>
        <v>383.81959999999992</v>
      </c>
      <c r="AL48" s="67">
        <f t="shared" si="20"/>
        <v>17.850000000000001</v>
      </c>
      <c r="AM48" s="67">
        <f t="shared" si="20"/>
        <v>19.920000000000002</v>
      </c>
      <c r="AN48" s="67">
        <f t="shared" si="20"/>
        <v>0</v>
      </c>
      <c r="AO48" s="67">
        <f t="shared" si="20"/>
        <v>0</v>
      </c>
      <c r="AP48" s="67">
        <f t="shared" si="20"/>
        <v>0</v>
      </c>
      <c r="AQ48" s="82">
        <f t="shared" si="18"/>
        <v>64469.471199999993</v>
      </c>
      <c r="AS48"/>
      <c r="AT48"/>
      <c r="AU48"/>
      <c r="AV48"/>
      <c r="AW48"/>
      <c r="AX48"/>
      <c r="AY48"/>
      <c r="AZ48"/>
      <c r="BA48"/>
      <c r="BB48"/>
      <c r="BC48"/>
      <c r="BD48"/>
      <c r="BE48"/>
      <c r="BF48"/>
    </row>
    <row r="49" spans="1:58" s="21" customFormat="1" ht="16" x14ac:dyDescent="0.2">
      <c r="A49" s="83" t="s">
        <v>1063</v>
      </c>
      <c r="B49" s="68">
        <f>B48*'Entire Project Overiew'!$R$20</f>
        <v>37313.950000000004</v>
      </c>
      <c r="C49" s="68">
        <f>C48*'Entire Project Overiew'!$R$20</f>
        <v>0</v>
      </c>
      <c r="D49" s="68">
        <f>D48*'Entire Project Overiew'!$R$20</f>
        <v>5251.62</v>
      </c>
      <c r="E49" s="68">
        <f>E48*'Entire Project Overiew'!$R$20</f>
        <v>109455.46999999997</v>
      </c>
      <c r="F49" s="68">
        <f>F48*'Entire Project Overiew'!$R$20</f>
        <v>112077.63000000006</v>
      </c>
      <c r="G49" s="68">
        <f>G48*'Entire Project Overiew'!$R$20</f>
        <v>519.03</v>
      </c>
      <c r="H49" s="68">
        <f>H48*'Entire Project Overiew'!$R$20</f>
        <v>1268.0099999999998</v>
      </c>
      <c r="I49" s="68">
        <f>I48*'Entire Project Overiew'!$R$20</f>
        <v>1299.4000000000001</v>
      </c>
      <c r="J49" s="68">
        <f>J48*'Entire Project Overiew'!$R$20</f>
        <v>4322807.42</v>
      </c>
      <c r="K49" s="68">
        <f>K48*'Entire Project Overiew'!$R$20</f>
        <v>1191.3600000000001</v>
      </c>
      <c r="L49" s="68">
        <f>L48*'Entire Project Overiew'!$R$20</f>
        <v>893.51999999999987</v>
      </c>
      <c r="M49" s="68">
        <f>M48*'Entire Project Overiew'!$R$20</f>
        <v>3482.8299999999995</v>
      </c>
      <c r="N49" s="68">
        <f>N48*'Entire Project Overiew'!$R$20</f>
        <v>3934.7000000000003</v>
      </c>
      <c r="O49" s="68">
        <f>O48*'Entire Project Overiew'!$R$20</f>
        <v>6359.76</v>
      </c>
      <c r="P49" s="68">
        <f>P48*'Entire Project Overiew'!$R$20</f>
        <v>0</v>
      </c>
      <c r="Q49" s="68">
        <f>Q48*'Entire Project Overiew'!$R$20</f>
        <v>361.35</v>
      </c>
      <c r="R49" s="68">
        <f>R48*'Entire Project Overiew'!$R$20</f>
        <v>1044.6299999999999</v>
      </c>
      <c r="S49" s="68">
        <f>S48*'Entire Project Overiew'!$R$20</f>
        <v>1988.5199999999995</v>
      </c>
      <c r="T49" s="68">
        <f>T48*'Entire Project Overiew'!$R$20</f>
        <v>3660.9500000000003</v>
      </c>
      <c r="U49" s="68">
        <f>U48*'Entire Project Overiew'!$R$20</f>
        <v>5441.42</v>
      </c>
      <c r="V49" s="68">
        <f>V48*'Entire Project Overiew'!$R$20</f>
        <v>20531.979999999992</v>
      </c>
      <c r="W49" s="68">
        <f>W48*'Entire Project Overiew'!$R$20</f>
        <v>2674.7200000000003</v>
      </c>
      <c r="X49" s="68">
        <f>X48*'Entire Project Overiew'!$R$20</f>
        <v>997.18000000000006</v>
      </c>
      <c r="Y49" s="68">
        <f>Y48*'Entire Project Overiew'!$R$20</f>
        <v>492.75</v>
      </c>
      <c r="Z49" s="68">
        <f>Z48*'Entire Project Overiew'!$R$20</f>
        <v>812.4899999999999</v>
      </c>
      <c r="AA49" s="68">
        <f>AA48*'Entire Project Overiew'!$R$20</f>
        <v>0</v>
      </c>
      <c r="AB49" s="68">
        <f>AB48*'Entire Project Overiew'!$R$20</f>
        <v>554.06999999999994</v>
      </c>
      <c r="AC49" s="68">
        <f>AC48*'Entire Project Overiew'!$R$20</f>
        <v>2197.3000000000002</v>
      </c>
      <c r="AD49" s="68">
        <f>AD48*'Entire Project Overiew'!$R$20</f>
        <v>3283.5400000000004</v>
      </c>
      <c r="AE49" s="68">
        <f>AE48*'Entire Project Overiew'!$R$20</f>
        <v>899.36</v>
      </c>
      <c r="AF49" s="68">
        <f>AF48*'Entire Project Overiew'!$R$20</f>
        <v>3479.18</v>
      </c>
      <c r="AG49" s="68">
        <f>AG48*'Entire Project Overiew'!$R$20</f>
        <v>6259.75</v>
      </c>
      <c r="AH49" s="68">
        <f>AH48*'Entire Project Overiew'!$R$20</f>
        <v>6490.4299999999994</v>
      </c>
      <c r="AI49" s="68">
        <f>AI48*'Entire Project Overiew'!$R$20</f>
        <v>416.1</v>
      </c>
      <c r="AJ49" s="68">
        <f>AJ48*'Entire Project Overiew'!$R$20</f>
        <v>8054.9368000000004</v>
      </c>
      <c r="AK49" s="68">
        <f>AK48*'Entire Project Overiew'!$R$20</f>
        <v>28018.830799999996</v>
      </c>
      <c r="AL49" s="68">
        <f>AL48*'Entire Project Overiew'!$R$20</f>
        <v>1303.0500000000002</v>
      </c>
      <c r="AM49" s="68">
        <f>AM48*'Entire Project Overiew'!$R$20</f>
        <v>1454.16</v>
      </c>
      <c r="AN49" s="68">
        <f>AN48*'Entire Project Overiew'!$R$20</f>
        <v>0</v>
      </c>
      <c r="AO49" s="68">
        <f>AO48*'Entire Project Overiew'!$R$20</f>
        <v>0</v>
      </c>
      <c r="AP49" s="68">
        <f>AP48*'Entire Project Overiew'!$R$20</f>
        <v>0</v>
      </c>
      <c r="AQ49" s="84">
        <f t="shared" si="18"/>
        <v>4706271.3975999989</v>
      </c>
      <c r="AR49" s="32"/>
      <c r="AS49"/>
      <c r="AT49"/>
      <c r="AU49"/>
      <c r="AV49"/>
      <c r="AW49"/>
      <c r="AX49"/>
      <c r="AY49"/>
      <c r="AZ49"/>
      <c r="BA49"/>
      <c r="BB49"/>
      <c r="BC49"/>
      <c r="BD49"/>
      <c r="BE49"/>
      <c r="BF49"/>
    </row>
    <row r="50" spans="1:58" s="32" customFormat="1" ht="16" x14ac:dyDescent="0.2">
      <c r="A50" s="223"/>
      <c r="B50" s="224"/>
      <c r="C50" s="224"/>
      <c r="D50" s="224"/>
      <c r="E50" s="224"/>
      <c r="F50" s="224"/>
      <c r="G50" s="224"/>
      <c r="H50" s="224"/>
      <c r="I50" s="224"/>
      <c r="J50" s="224"/>
      <c r="K50" s="224"/>
      <c r="L50" s="224"/>
      <c r="M50" s="224"/>
      <c r="N50" s="224"/>
      <c r="O50" s="224"/>
      <c r="P50" s="224"/>
      <c r="Q50" s="224"/>
      <c r="R50" s="224"/>
      <c r="S50" s="224"/>
      <c r="T50" s="224"/>
      <c r="U50" s="224"/>
      <c r="V50" s="224"/>
      <c r="W50" s="224"/>
      <c r="X50" s="224"/>
      <c r="Y50" s="224"/>
      <c r="Z50" s="224"/>
      <c r="AA50" s="224"/>
      <c r="AB50" s="224"/>
      <c r="AC50" s="224"/>
      <c r="AD50" s="224"/>
      <c r="AE50" s="224"/>
      <c r="AF50" s="224"/>
      <c r="AG50" s="224"/>
      <c r="AH50" s="224"/>
      <c r="AI50" s="224"/>
      <c r="AJ50" s="224"/>
      <c r="AK50" s="224"/>
      <c r="AL50" s="224"/>
      <c r="AM50" s="224"/>
      <c r="AN50" s="224"/>
      <c r="AO50" s="224"/>
      <c r="AP50" s="224"/>
      <c r="AQ50" s="225"/>
      <c r="AR50" s="21"/>
      <c r="AS50"/>
      <c r="AT50"/>
      <c r="AU50"/>
      <c r="AV50"/>
      <c r="AW50"/>
      <c r="AX50"/>
      <c r="AY50"/>
      <c r="AZ50"/>
      <c r="BA50"/>
      <c r="BB50"/>
      <c r="BC50"/>
      <c r="BD50"/>
      <c r="BE50"/>
      <c r="BF50"/>
    </row>
    <row r="51" spans="1:58" ht="18" x14ac:dyDescent="0.2">
      <c r="A51" s="213" t="s">
        <v>45</v>
      </c>
      <c r="B51" s="214"/>
      <c r="C51" s="214"/>
      <c r="D51" s="214"/>
      <c r="E51" s="214"/>
      <c r="F51" s="214"/>
      <c r="G51" s="214"/>
      <c r="H51" s="214"/>
      <c r="I51" s="214"/>
      <c r="J51" s="214"/>
      <c r="K51" s="214"/>
      <c r="L51" s="214"/>
      <c r="M51" s="214"/>
      <c r="N51" s="214"/>
      <c r="O51" s="214"/>
      <c r="P51" s="214"/>
      <c r="Q51" s="214"/>
      <c r="R51" s="214"/>
      <c r="S51" s="214"/>
      <c r="T51" s="214"/>
      <c r="U51" s="214"/>
      <c r="V51" s="214"/>
      <c r="W51" s="214"/>
      <c r="X51" s="214"/>
      <c r="Y51" s="214"/>
      <c r="Z51" s="214"/>
      <c r="AA51" s="214"/>
      <c r="AB51" s="214"/>
      <c r="AC51" s="214"/>
      <c r="AD51" s="214"/>
      <c r="AE51" s="214"/>
      <c r="AF51" s="214"/>
      <c r="AG51" s="214"/>
      <c r="AH51" s="214"/>
      <c r="AI51" s="214"/>
      <c r="AJ51" s="214"/>
      <c r="AK51" s="214"/>
      <c r="AL51" s="214"/>
      <c r="AM51" s="214"/>
      <c r="AN51" s="214"/>
      <c r="AO51" s="214"/>
      <c r="AP51" s="214"/>
      <c r="AQ51" s="215"/>
      <c r="AS51"/>
      <c r="AT51"/>
      <c r="AU51"/>
      <c r="AV51"/>
      <c r="AW51"/>
      <c r="AX51"/>
      <c r="AY51"/>
      <c r="AZ51"/>
      <c r="BA51"/>
      <c r="BB51"/>
      <c r="BC51"/>
      <c r="BD51"/>
      <c r="BE51"/>
      <c r="BF51"/>
    </row>
    <row r="52" spans="1:58" ht="16" x14ac:dyDescent="0.2">
      <c r="A52" s="80" t="s">
        <v>45</v>
      </c>
      <c r="B52" s="21">
        <v>3.52</v>
      </c>
      <c r="C52" s="21">
        <v>8.92</v>
      </c>
      <c r="D52" s="21">
        <v>0</v>
      </c>
      <c r="E52" s="21">
        <v>14.71</v>
      </c>
      <c r="F52" s="21">
        <v>23.110000000000003</v>
      </c>
      <c r="G52" s="21">
        <v>0</v>
      </c>
      <c r="H52" s="21">
        <v>0</v>
      </c>
      <c r="I52" s="21">
        <v>0</v>
      </c>
      <c r="J52" s="21">
        <v>0</v>
      </c>
      <c r="K52" s="21">
        <v>0</v>
      </c>
      <c r="L52" s="21">
        <v>0</v>
      </c>
      <c r="M52" s="21">
        <v>1.96</v>
      </c>
      <c r="N52" s="21">
        <v>1.87</v>
      </c>
      <c r="O52" s="21">
        <v>2.1260000000000003</v>
      </c>
      <c r="P52" s="21">
        <v>0</v>
      </c>
      <c r="Q52" s="21">
        <v>0</v>
      </c>
      <c r="R52" s="21">
        <v>0</v>
      </c>
      <c r="S52" s="21">
        <v>0</v>
      </c>
      <c r="T52" s="21">
        <v>0</v>
      </c>
      <c r="U52" s="21">
        <v>0</v>
      </c>
      <c r="V52" s="21">
        <v>0</v>
      </c>
      <c r="W52" s="21">
        <v>61.91</v>
      </c>
      <c r="X52" s="21">
        <v>0</v>
      </c>
      <c r="Y52" s="21">
        <v>0</v>
      </c>
      <c r="Z52" s="21">
        <v>0</v>
      </c>
      <c r="AA52" s="21">
        <v>0</v>
      </c>
      <c r="AB52" s="21">
        <v>0</v>
      </c>
      <c r="AC52" s="21">
        <v>0</v>
      </c>
      <c r="AD52" s="21">
        <v>4.3</v>
      </c>
      <c r="AE52" s="21">
        <v>0</v>
      </c>
      <c r="AF52" s="21">
        <v>0</v>
      </c>
      <c r="AG52" s="40">
        <v>1E-3</v>
      </c>
      <c r="AH52" s="21">
        <v>0</v>
      </c>
      <c r="AI52" s="40">
        <v>121.94</v>
      </c>
      <c r="AJ52" s="21">
        <v>0</v>
      </c>
      <c r="AK52" s="21">
        <v>0</v>
      </c>
      <c r="AL52" s="21">
        <v>0</v>
      </c>
      <c r="AM52" s="21">
        <v>0</v>
      </c>
      <c r="AN52" s="21">
        <v>0</v>
      </c>
      <c r="AO52" s="21">
        <v>0</v>
      </c>
      <c r="AP52" s="21">
        <v>0</v>
      </c>
      <c r="AQ52" s="77">
        <f t="shared" ref="AQ52:AQ54" si="21">SUM(B52:AP52)</f>
        <v>244.36700000000002</v>
      </c>
      <c r="AR52" s="21"/>
      <c r="AS52"/>
      <c r="AT52"/>
      <c r="AU52"/>
      <c r="AV52"/>
      <c r="AW52"/>
      <c r="AX52"/>
      <c r="AY52"/>
      <c r="AZ52"/>
      <c r="BA52"/>
      <c r="BB52"/>
      <c r="BC52"/>
      <c r="BD52"/>
      <c r="BE52"/>
      <c r="BF52"/>
    </row>
    <row r="53" spans="1:58" s="21" customFormat="1" ht="16" x14ac:dyDescent="0.2">
      <c r="A53" s="81" t="s">
        <v>1054</v>
      </c>
      <c r="B53" s="67">
        <f t="shared" ref="B53:AD53" si="22">B52</f>
        <v>3.52</v>
      </c>
      <c r="C53" s="67">
        <f t="shared" si="22"/>
        <v>8.92</v>
      </c>
      <c r="D53" s="67">
        <f t="shared" si="22"/>
        <v>0</v>
      </c>
      <c r="E53" s="67">
        <f t="shared" si="22"/>
        <v>14.71</v>
      </c>
      <c r="F53" s="67">
        <f t="shared" si="22"/>
        <v>23.110000000000003</v>
      </c>
      <c r="G53" s="67">
        <f t="shared" si="22"/>
        <v>0</v>
      </c>
      <c r="H53" s="67">
        <f t="shared" si="22"/>
        <v>0</v>
      </c>
      <c r="I53" s="67">
        <f t="shared" si="22"/>
        <v>0</v>
      </c>
      <c r="J53" s="67">
        <f t="shared" si="22"/>
        <v>0</v>
      </c>
      <c r="K53" s="67">
        <f t="shared" si="22"/>
        <v>0</v>
      </c>
      <c r="L53" s="67">
        <f t="shared" si="22"/>
        <v>0</v>
      </c>
      <c r="M53" s="67">
        <f t="shared" si="22"/>
        <v>1.96</v>
      </c>
      <c r="N53" s="67">
        <f t="shared" si="22"/>
        <v>1.87</v>
      </c>
      <c r="O53" s="67">
        <f t="shared" si="22"/>
        <v>2.1260000000000003</v>
      </c>
      <c r="P53" s="67">
        <f t="shared" si="22"/>
        <v>0</v>
      </c>
      <c r="Q53" s="67">
        <f t="shared" si="22"/>
        <v>0</v>
      </c>
      <c r="R53" s="67">
        <f t="shared" si="22"/>
        <v>0</v>
      </c>
      <c r="S53" s="67">
        <f t="shared" si="22"/>
        <v>0</v>
      </c>
      <c r="T53" s="67">
        <f t="shared" si="22"/>
        <v>0</v>
      </c>
      <c r="U53" s="67">
        <f t="shared" si="22"/>
        <v>0</v>
      </c>
      <c r="V53" s="67">
        <f t="shared" si="22"/>
        <v>0</v>
      </c>
      <c r="W53" s="67">
        <f t="shared" si="22"/>
        <v>61.91</v>
      </c>
      <c r="X53" s="67">
        <f t="shared" si="22"/>
        <v>0</v>
      </c>
      <c r="Y53" s="67">
        <f t="shared" si="22"/>
        <v>0</v>
      </c>
      <c r="Z53" s="67">
        <f t="shared" si="22"/>
        <v>0</v>
      </c>
      <c r="AA53" s="67">
        <f t="shared" si="22"/>
        <v>0</v>
      </c>
      <c r="AB53" s="67">
        <f t="shared" si="22"/>
        <v>0</v>
      </c>
      <c r="AC53" s="67">
        <f t="shared" si="22"/>
        <v>0</v>
      </c>
      <c r="AD53" s="67">
        <f t="shared" si="22"/>
        <v>4.3</v>
      </c>
      <c r="AE53" s="67">
        <f>AE52</f>
        <v>0</v>
      </c>
      <c r="AF53" s="67">
        <f t="shared" ref="AF53:AP53" si="23">AF52</f>
        <v>0</v>
      </c>
      <c r="AG53" s="67">
        <f t="shared" si="23"/>
        <v>1E-3</v>
      </c>
      <c r="AH53" s="67">
        <f t="shared" si="23"/>
        <v>0</v>
      </c>
      <c r="AI53" s="67">
        <f t="shared" si="23"/>
        <v>121.94</v>
      </c>
      <c r="AJ53" s="67">
        <f t="shared" si="23"/>
        <v>0</v>
      </c>
      <c r="AK53" s="67">
        <f t="shared" si="23"/>
        <v>0</v>
      </c>
      <c r="AL53" s="67">
        <f t="shared" si="23"/>
        <v>0</v>
      </c>
      <c r="AM53" s="67">
        <f t="shared" si="23"/>
        <v>0</v>
      </c>
      <c r="AN53" s="67">
        <f t="shared" si="23"/>
        <v>0</v>
      </c>
      <c r="AO53" s="67">
        <f t="shared" si="23"/>
        <v>0</v>
      </c>
      <c r="AP53" s="67">
        <f t="shared" si="23"/>
        <v>0</v>
      </c>
      <c r="AQ53" s="82">
        <f t="shared" si="21"/>
        <v>244.36700000000002</v>
      </c>
      <c r="AS53"/>
      <c r="AT53"/>
      <c r="AU53"/>
      <c r="AV53"/>
      <c r="AW53"/>
      <c r="AX53"/>
      <c r="AY53"/>
      <c r="AZ53"/>
      <c r="BA53"/>
      <c r="BB53"/>
      <c r="BC53"/>
      <c r="BD53"/>
      <c r="BE53"/>
      <c r="BF53"/>
    </row>
    <row r="54" spans="1:58" s="21" customFormat="1" ht="16" x14ac:dyDescent="0.2">
      <c r="A54" s="83" t="s">
        <v>1066</v>
      </c>
      <c r="B54" s="68" cm="1">
        <f t="array" ref="B54">((SUMPRODUCT(
((('Raw Data'!AF11:AF1217*-'Entire Project Overiew'!R18)&gt;'Entire Project Overiew'!B11)*
('Raw Data'!$M$11:$M$1217=DATE(2022,11,1)))*
'Raw Data'!AF11:AF1217
))*'Entire Project Overiew'!R18)
+
(COUNT(
_xlfn._xlws.FILTER(
'Raw Data'!AF11:AF1217,
(('Raw Data'!AF11:AF1217*-'Entire Project Overiew'!R18)&gt;'Entire Project Overiew'!B11)*
('Raw Data'!$M$11:$M$1217=DATE(2022,11,1))
)
)*'Entire Project Overiew'!B11)</f>
        <v>0</v>
      </c>
      <c r="C54" s="68" cm="1">
        <f t="array" ref="C54">((SUMPRODUCT(
((('Raw Data'!AF11:AF1217*-'Entire Project Overiew'!R18)&gt;'Entire Project Overiew'!B11)*
('Raw Data'!$M$11:$M$1217=DATE(2022,12,1)))*
'Raw Data'!AF11:AF1217
))*'Entire Project Overiew'!R18)
+
(COUNT(
_xlfn._xlws.FILTER(
'Raw Data'!AF11:AF1217,
(('Raw Data'!AF11:AF1217*-'Entire Project Overiew'!R18)&gt;'Entire Project Overiew'!B11)*
('Raw Data'!$M$11:$M$1217=DATE(2022,12,1))
)
)*'Entire Project Overiew'!B11)</f>
        <v>0</v>
      </c>
      <c r="D54" s="68" cm="1">
        <f t="array" ref="D54">((SUMPRODUCT(
((('Raw Data'!AF11:AF1217*-'Entire Project Overiew'!R18)&gt;'Entire Project Overiew'!B11)*
('Raw Data'!$M$11:$M$1217=DATE(2023,4,1)))*
'Raw Data'!AF11:AF1217
))*'Entire Project Overiew'!R18)
+
(COUNT(
_xlfn._xlws.FILTER(
'Raw Data'!AF11:AF1217,
(('Raw Data'!AF11:AF1217*-'Entire Project Overiew'!R18)&gt;'Entire Project Overiew'!B11)*
('Raw Data'!$M$11:$M$1217=DATE(2023,4,1))
)
)*'Entire Project Overiew'!B11)</f>
        <v>0</v>
      </c>
      <c r="E54" s="68" cm="1">
        <f t="array" ref="E54">((SUMPRODUCT(
((('Raw Data'!AF11:AF1217*-'Entire Project Overiew'!R18)&gt;'Entire Project Overiew'!B11)*
('Raw Data'!$M$11:$M$1217=DATE(2023,5,1)))*
'Raw Data'!AF11:AF1217
))*'Entire Project Overiew'!R18)
+
(COUNT(
_xlfn._xlws.FILTER(
'Raw Data'!AF11:AF1217,
(('Raw Data'!AF11:AF1217*-'Entire Project Overiew'!R18)&gt;'Entire Project Overiew'!B11)*
('Raw Data'!$M$11:$M$1217=DATE(2023,5,1))
)
)*'Entire Project Overiew'!B11)</f>
        <v>0</v>
      </c>
      <c r="F54" s="68" cm="1">
        <f t="array" ref="F54">((SUMPRODUCT(
((('Raw Data'!AF11:AF1217*-'Entire Project Overiew'!R18)&gt;'Entire Project Overiew'!B11)*
('Raw Data'!$M$11:$M$1217=DATE(2023,6,1)))*
'Raw Data'!AF11:AF1217
))*'Entire Project Overiew'!R18)
+
(COUNT(
_xlfn._xlws.FILTER(
'Raw Data'!AF11:AF1217,
(('Raw Data'!AF11:AF1217*-'Entire Project Overiew'!R18)&gt;'Entire Project Overiew'!B11)*
('Raw Data'!$M$11:$M$1217=DATE(2023,6,1))
)
)*'Entire Project Overiew'!B11)</f>
        <v>0</v>
      </c>
      <c r="G54" s="68" cm="1">
        <f t="array" ref="G54">((SUMPRODUCT(
((('Raw Data'!AF11:AF1217*-'Entire Project Overiew'!R18)&gt;'Entire Project Overiew'!B11)*
('Raw Data'!$M$11:$M$1217=DATE(2023,7,1)))*
'Raw Data'!AF11:AF1217
))*'Entire Project Overiew'!R18)
+
(COUNT(
_xlfn._xlws.FILTER(
'Raw Data'!AF11:AF1217,
(('Raw Data'!AF11:AF1217*-'Entire Project Overiew'!R18)&gt;'Entire Project Overiew'!B11)*
('Raw Data'!$M$11:$M$1217=DATE(2023,7,1))
)
)*'Entire Project Overiew'!B11)</f>
        <v>0</v>
      </c>
      <c r="H54" s="68" cm="1">
        <f t="array" ref="H54">((SUMPRODUCT(
((('Raw Data'!AF11:AF1217*-'Entire Project Overiew'!R18)&gt;'Entire Project Overiew'!B11)*
('Raw Data'!$M$11:$M$1217=DATE(2023,8,1)))*
'Raw Data'!AF11:AF1217
))*'Entire Project Overiew'!R18)
+
(COUNT(
_xlfn._xlws.FILTER(
'Raw Data'!AF11:AF1217,
(('Raw Data'!AF11:AF1217*-'Entire Project Overiew'!R18)&gt;'Entire Project Overiew'!B11)*
('Raw Data'!$M$11:$M$1217=DATE(2023,8,1))
)
)*'Entire Project Overiew'!B11)</f>
        <v>0</v>
      </c>
      <c r="I54" s="68" cm="1">
        <f t="array" ref="I54">((SUMPRODUCT(
((('Raw Data'!AF11:AF1217*-'Entire Project Overiew'!R18)&gt;'Entire Project Overiew'!B11)*
('Raw Data'!$M$11:$M$1217=DATE(2023,9,1)))*
'Raw Data'!AF11:AF1217
))*'Entire Project Overiew'!R18)
+
(COUNT(
_xlfn._xlws.FILTER(
'Raw Data'!AF11:AF1217,
(('Raw Data'!AF11:AF1217*-'Entire Project Overiew'!R18)&gt;'Entire Project Overiew'!B11)*
('Raw Data'!$M$11:$M$1217=DATE(2023,9,1))
)
)*'Entire Project Overiew'!B11)</f>
        <v>0</v>
      </c>
      <c r="J54" s="68" cm="1">
        <f t="array" ref="J54">((SUMPRODUCT(
((('Raw Data'!AF11:AF1217*-'Entire Project Overiew'!R18)&gt;'Entire Project Overiew'!B11)*
('Raw Data'!$M$11:$M$1217=DATE(2023,10,1)))*
'Raw Data'!AF11:AF1217
))*'Entire Project Overiew'!R18)
+
(COUNT(
_xlfn._xlws.FILTER(
'Raw Data'!AF11:AF1217,
(('Raw Data'!AF11:AF1217*-'Entire Project Overiew'!R18)&gt;'Entire Project Overiew'!B11)*
('Raw Data'!$M$11:$M$1217=DATE(2023,10,1))
)
)*'Entire Project Overiew'!B11)</f>
        <v>0</v>
      </c>
      <c r="K54" s="68" cm="1">
        <f t="array" ref="K54">((SUMPRODUCT(
((('Raw Data'!AF11:AF1217*-'Entire Project Overiew'!R18)&gt;'Entire Project Overiew'!B11)*
('Raw Data'!$M$11:$M$1217=DATE(2023,11,1)))*
'Raw Data'!AF11:AF1217
))*'Entire Project Overiew'!R18)
+
(COUNT(
_xlfn._xlws.FILTER(
'Raw Data'!AF11:AF1217,
(('Raw Data'!AF11:AF1217*-'Entire Project Overiew'!R18)&gt;'Entire Project Overiew'!B11)*
('Raw Data'!$M$11:$M$1217=DATE(2023,11,1))
)
)*'Entire Project Overiew'!B11)</f>
        <v>0</v>
      </c>
      <c r="L54" s="68" cm="1">
        <f t="array" ref="L54">((SUMPRODUCT(
((('Raw Data'!AF11:AF1217*-'Entire Project Overiew'!R18)&gt;'Entire Project Overiew'!B11)*
('Raw Data'!$M$11:$M$1217=DATE(2023,12,1)))*
'Raw Data'!AF11:AF1217
))*'Entire Project Overiew'!R18)
+
(COUNT(
_xlfn._xlws.FILTER(
'Raw Data'!AF11:AF1217,
(('Raw Data'!AF11:AF1217*-'Entire Project Overiew'!R18)&gt;'Entire Project Overiew'!B11)*
('Raw Data'!$M$11:$M$1217=DATE(2023,12,1))
)
)*'Entire Project Overiew'!B11)</f>
        <v>0</v>
      </c>
      <c r="M54" s="68" cm="1">
        <f t="array" ref="M54">((SUMPRODUCT(
((('Raw Data'!AF11:AF1217*-'Entire Project Overiew'!R18)&gt;'Entire Project Overiew'!B11)*
('Raw Data'!$M$11:$M$1217=DATE(2024,1,1)))*
'Raw Data'!AF11:AF1217
))*'Entire Project Overiew'!R18)
+
(COUNT(
_xlfn._xlws.FILTER(
'Raw Data'!AF11:AF1217,
(('Raw Data'!AF11:AF1217*-'Entire Project Overiew'!R18)&gt;'Entire Project Overiew'!B11)*
('Raw Data'!$M$11:$M$1217=DATE(2024,1,1))
)
)*'Entire Project Overiew'!B11)</f>
        <v>0</v>
      </c>
      <c r="N54" s="68" cm="1">
        <f t="array" ref="N54">((SUMPRODUCT(
((('Raw Data'!AF11:AF1217*-'Entire Project Overiew'!R18)&gt;'Entire Project Overiew'!B11)*
('Raw Data'!$M$11:$M$1217=DATE(2024,2,1)))*
'Raw Data'!AF11:AF1217
))*'Entire Project Overiew'!R18)
+
(COUNT(
_xlfn._xlws.FILTER(
'Raw Data'!AF11:AF1217,
(('Raw Data'!AF11:AF1217*-'Entire Project Overiew'!R18)&gt;'Entire Project Overiew'!B11)*
('Raw Data'!$M$11:$M$1217=DATE(2024,2,1))
)
)*'Entire Project Overiew'!B11)</f>
        <v>0</v>
      </c>
      <c r="O54" s="68" cm="1">
        <f t="array" ref="O54">((SUMPRODUCT(
((('Raw Data'!AF11:AF1217*-'Entire Project Overiew'!R18)&gt;'Entire Project Overiew'!B11)*
('Raw Data'!$M$11:$M$1217=DATE(2024,3,1)))*
'Raw Data'!AF11:AF1217
))*'Entire Project Overiew'!R18)
+
(COUNT(
_xlfn._xlws.FILTER(
'Raw Data'!AF11:AF1217,
(('Raw Data'!AF11:AF1217*-'Entire Project Overiew'!R18)&gt;'Entire Project Overiew'!B11)*
('Raw Data'!$M$11:$M$1217=DATE(2024,3,1))
)
)*'Entire Project Overiew'!B11)</f>
        <v>0</v>
      </c>
      <c r="P54" s="68" cm="1">
        <f t="array" ref="P54">((SUMPRODUCT(
((('Raw Data'!AF11:AF1217*-'Entire Project Overiew'!R18)&gt;'Entire Project Overiew'!B11)*
('Raw Data'!$M$11:$M$1217=DATE(2024,4,1)))*
'Raw Data'!AF11:AF1217
))*'Entire Project Overiew'!R18)
+
(COUNT(
_xlfn._xlws.FILTER(
'Raw Data'!AF11:AF1217,
(('Raw Data'!AF11:AF1217*-'Entire Project Overiew'!R18)&gt;'Entire Project Overiew'!B11)*
('Raw Data'!$M$11:$M$1217=DATE(2024,4,1))
)
)*'Entire Project Overiew'!B11)</f>
        <v>0</v>
      </c>
      <c r="Q54" s="68" cm="1">
        <f t="array" ref="Q54">((SUMPRODUCT(
((('Raw Data'!AF11:AF1217*-'Entire Project Overiew'!R18)&gt;'Entire Project Overiew'!B11)*
('Raw Data'!$M$11:$M$1217=DATE(2024,5,1)))*
'Raw Data'!AF11:AF1217
))*'Entire Project Overiew'!R18)
+
(COUNT(
_xlfn._xlws.FILTER(
'Raw Data'!AF11:AF1217,
(('Raw Data'!AF11:AF1217*-'Entire Project Overiew'!R18)&gt;'Entire Project Overiew'!B11)*
('Raw Data'!$M$11:$M$1217=DATE(2024,5,1))
)
)*'Entire Project Overiew'!B11)</f>
        <v>0</v>
      </c>
      <c r="R54" s="68" cm="1">
        <f t="array" ref="R54">((SUMPRODUCT(
((('Raw Data'!AF11:AF1217*-'Entire Project Overiew'!R18)&gt;'Entire Project Overiew'!B11)*
('Raw Data'!$M$11:$M$1217=DATE(2024,6,1)))*
'Raw Data'!AF11:AF1217
))*'Entire Project Overiew'!R18)
+
(COUNT(
_xlfn._xlws.FILTER(
'Raw Data'!AF11:AF1217,
(('Raw Data'!AF11:AF1217*-'Entire Project Overiew'!R18)&gt;'Entire Project Overiew'!B11)*
('Raw Data'!$M$11:$M$1217=DATE(2024,6,1))
)
)*'Entire Project Overiew'!B11)</f>
        <v>0</v>
      </c>
      <c r="S54" s="68" cm="1">
        <f t="array" ref="S54">((SUMPRODUCT(
((('Raw Data'!AF11:AF1217*-'Entire Project Overiew'!R18)&gt;'Entire Project Overiew'!B11)*
('Raw Data'!$M$11:$M$1217=DATE(2024,7,1)))*
'Raw Data'!AF11:AF1217
))*'Entire Project Overiew'!R18)
+
(COUNT(
_xlfn._xlws.FILTER(
'Raw Data'!AF11:AF1217,
(('Raw Data'!AF11:AF1217*-'Entire Project Overiew'!R18)&gt;'Entire Project Overiew'!B11)*
('Raw Data'!$M$11:$M$1217=DATE(2024,7,1))
)
)*'Entire Project Overiew'!B11)</f>
        <v>0</v>
      </c>
      <c r="T54" s="68" cm="1">
        <f t="array" ref="T54">((SUMPRODUCT(
((('Raw Data'!AF11:AF1217*-'Entire Project Overiew'!R18)&gt;'Entire Project Overiew'!B11)*
('Raw Data'!$M$11:$M$1217=DATE(2024,8,1)))*
'Raw Data'!AF11:AF1217
))*'Entire Project Overiew'!R18)
+
(COUNT(
_xlfn._xlws.FILTER(
'Raw Data'!AF11:AF1217,
(('Raw Data'!AF11:AF1217*-'Entire Project Overiew'!R18)&gt;'Entire Project Overiew'!B11)*
('Raw Data'!$M$11:$M$1217=DATE(2024,8,1))
)
)*'Entire Project Overiew'!B11)</f>
        <v>0</v>
      </c>
      <c r="U54" s="68" cm="1">
        <f t="array" ref="U54">((SUMPRODUCT(
((('Raw Data'!AF11:AF1217*-'Entire Project Overiew'!R18)&gt;'Entire Project Overiew'!B11)*
('Raw Data'!$M$11:$M$1217=DATE(2024,9,1)))*
'Raw Data'!AF11:AF1217
))*'Entire Project Overiew'!R18)
+
(COUNT(
_xlfn._xlws.FILTER(
'Raw Data'!AF11:AF1217,
(('Raw Data'!AF11:AF1217*-'Entire Project Overiew'!R18)&gt;'Entire Project Overiew'!B11)*
('Raw Data'!$M$11:$M$1217=DATE(2024,9,1))
)
)*'Entire Project Overiew'!B11)</f>
        <v>0</v>
      </c>
      <c r="V54" s="68" cm="1">
        <f t="array" ref="V54">((SUMPRODUCT(
((('Raw Data'!AF11:AF1217*-'Entire Project Overiew'!R18)&gt;'Entire Project Overiew'!B11)*
('Raw Data'!$M$11:$M$1217=DATE(2024,10,1)))*
'Raw Data'!AF11:AF1217
))*'Entire Project Overiew'!R18)
+
(COUNT(
_xlfn._xlws.FILTER(
'Raw Data'!AF11:AF1217,
(('Raw Data'!AF11:AF1217*-'Entire Project Overiew'!R18)&gt;'Entire Project Overiew'!B11)*
('Raw Data'!$M$11:$M$1217=DATE(2024,10,1))
)
)*'Entire Project Overiew'!B11)</f>
        <v>0</v>
      </c>
      <c r="W54" s="68" cm="1">
        <f t="array" ref="W54">((SUMPRODUCT(
((('Raw Data'!AF11:AF1217*-'Entire Project Overiew'!R18)&gt;'Entire Project Overiew'!B11)*
('Raw Data'!$M$11:$M$1217=DATE(2024,11,1)))*
'Raw Data'!AF11:AF1217
))*'Entire Project Overiew'!R18)
+
(COUNT(
_xlfn._xlws.FILTER(
'Raw Data'!AF11:AF1217,
(('Raw Data'!AF11:AF1217*-'Entire Project Overiew'!R18)&gt;'Entire Project Overiew'!B11)*
('Raw Data'!$M$11:$M$1217=DATE(2024,11,1))
)
)*'Entire Project Overiew'!B11)</f>
        <v>-3169.6</v>
      </c>
      <c r="X54" s="68" cm="1">
        <f t="array" ref="X54">((SUMPRODUCT(
((('Raw Data'!AF11:AF1217*-'Entire Project Overiew'!R18)&gt;'Entire Project Overiew'!B11)*
('Raw Data'!$M$11:$M$1217=DATE(2024,12,1)))*
'Raw Data'!AF11:AF1217
))*'Entire Project Overiew'!R18)
+
(COUNT(
_xlfn._xlws.FILTER(
'Raw Data'!AF11:AF1217,
(('Raw Data'!AF11:AF1217*-'Entire Project Overiew'!R18)&gt;'Entire Project Overiew'!B11)*
('Raw Data'!$M$11:$M$1217=DATE(2024,12,1))
)
)*'Entire Project Overiew'!B11)</f>
        <v>0</v>
      </c>
      <c r="Y54" s="68" cm="1">
        <f t="array" ref="Y54">((SUMPRODUCT(
((('Raw Data'!AF11:AF1217*-'Entire Project Overiew'!R18)&gt;'Entire Project Overiew'!B11)*
('Raw Data'!$M$11:$M$1217=DATE(2025,1,1)))*
'Raw Data'!AF11:AF1217
))*'Entire Project Overiew'!R18)
+
(COUNT(
_xlfn._xlws.FILTER(
'Raw Data'!AF11:AF1217,
(('Raw Data'!AF11:AF1217*-'Entire Project Overiew'!R18)&gt;'Entire Project Overiew'!B11)*
('Raw Data'!$M$11:$M$1217=DATE(2025,1,1))
)
)*'Entire Project Overiew'!B11)</f>
        <v>0</v>
      </c>
      <c r="Z54" s="68" cm="1">
        <f t="array" ref="Z54">((SUMPRODUCT(
((('Raw Data'!AF11:AF1217*-'Entire Project Overiew'!R18)&gt;'Entire Project Overiew'!B11)*
('Raw Data'!$M$11:$M$1217=DATE(2025,2,1)))*
'Raw Data'!AF11:AF1217
))*'Entire Project Overiew'!R18)
+
(COUNT(
_xlfn._xlws.FILTER(
'Raw Data'!AF11:AF1217,
(('Raw Data'!AF11:AF1217*-'Entire Project Overiew'!R18)&gt;'Entire Project Overiew'!B11)*
('Raw Data'!$M$11:$M$1217=DATE(2025,2,1))
)
)*'Entire Project Overiew'!B11)</f>
        <v>0</v>
      </c>
      <c r="AA54" s="68" cm="1">
        <f t="array" ref="AA54">((SUMPRODUCT(
((('Raw Data'!AF11:AF1217*-'Entire Project Overiew'!R18)&gt;'Entire Project Overiew'!B11)*
('Raw Data'!$M$11:$M$1217=DATE(2025,3,1)))*
'Raw Data'!AF11:AF1217
))*'Entire Project Overiew'!R18)
+
(COUNT(
_xlfn._xlws.FILTER(
'Raw Data'!AF11:AF1217,
(('Raw Data'!AF11:AF1217*-'Entire Project Overiew'!R18)&gt;'Entire Project Overiew'!B11)*
('Raw Data'!$M$11:$M$1217=DATE(2025,3,1))
)
)*'Entire Project Overiew'!B11)</f>
        <v>0</v>
      </c>
      <c r="AB54" s="68" cm="1">
        <f t="array" ref="AB54">((SUMPRODUCT(
((('Raw Data'!AF11:AF1217*-'Entire Project Overiew'!R18)&gt;'Entire Project Overiew'!B11)*
('Raw Data'!$M$11:$M$1217=DATE(2025,4,1)))*
'Raw Data'!AF11:AF1217
))*'Entire Project Overiew'!R18)
+
(COUNT(
_xlfn._xlws.FILTER(
'Raw Data'!AF11:AF1217,
(('Raw Data'!AF11:AF1217*-'Entire Project Overiew'!R18)&gt;'Entire Project Overiew'!B11)*
('Raw Data'!$M$11:$M$1217=DATE(2025,4,1))
)
)*'Entire Project Overiew'!B11)</f>
        <v>0</v>
      </c>
      <c r="AC54" s="68" cm="1">
        <f t="array" ref="AC54">((SUMPRODUCT(
((('Raw Data'!AF11:AF1217*-'Entire Project Overiew'!R18)&gt;'Entire Project Overiew'!B11)*
('Raw Data'!$M$11:$M$1217=DATE(2025,5,1)))*
'Raw Data'!AF11:AF1217
))*'Entire Project Overiew'!R18)
+
(COUNT(
_xlfn._xlws.FILTER(
'Raw Data'!AF11:AF1217,
(('Raw Data'!AF11:AF1217*-'Entire Project Overiew'!R18)&gt;'Entire Project Overiew'!B11)*
('Raw Data'!$M$11:$M$1217=DATE(2025,5,1))
)
)*'Entire Project Overiew'!B11)</f>
        <v>0</v>
      </c>
      <c r="AD54" s="68" cm="1">
        <f t="array" ref="AD54">((SUMPRODUCT(
((('Raw Data'!AF11:AF1217*-'Entire Project Overiew'!R18)&gt;'Entire Project Overiew'!B11)*
('Raw Data'!$M$11:$M$1217=DATE(2025,6,1)))*
'Raw Data'!AF11:AF1217
))*'Entire Project Overiew'!R18)
+
(COUNT(
_xlfn._xlws.FILTER(
'Raw Data'!AF11:AF1217,
(('Raw Data'!AF11:AF1217*-'Entire Project Overiew'!R18)&gt;'Entire Project Overiew'!B11)*
('Raw Data'!$M$11:$M$1217=DATE(2025,6,1))
)
)*'Entire Project Overiew'!B11)</f>
        <v>0</v>
      </c>
      <c r="AE54" s="68" cm="1">
        <f t="array" ref="AE54">((SUMPRODUCT(
((('Raw Data'!AF11:AF1217*-'Entire Project Overiew'!R18)&gt;'Entire Project Overiew'!B11)*
('Raw Data'!$M$11:$M$1217=DATE(2025,7,1)))*
'Raw Data'!AF11:AF1217
))*'Entire Project Overiew'!R18)
+
(COUNT(
_xlfn._xlws.FILTER(
'Raw Data'!AF11:AF1217,
(('Raw Data'!AF11:AF1217*-'Entire Project Overiew'!R18)&gt;'Entire Project Overiew'!B11)*
('Raw Data'!$M$11:$M$1217=DATE(2025,7,1))
)
)*'Entire Project Overiew'!B11)</f>
        <v>0</v>
      </c>
      <c r="AF54" s="68" cm="1">
        <f t="array" ref="AF54">((SUMPRODUCT(
((('Raw Data'!AF11:AF1217*-'Entire Project Overiew'!R18)&gt;'Entire Project Overiew'!B11)*
('Raw Data'!$M$11:$M$1217=DATE(2025,8,1)))*
'Raw Data'!AF11:AF1217
))*'Entire Project Overiew'!R18)
+
(COUNT(
_xlfn._xlws.FILTER(
'Raw Data'!AF11:AF1217,
(('Raw Data'!AF11:AF1217*-'Entire Project Overiew'!R18)&gt;'Entire Project Overiew'!B11)*
('Raw Data'!$M$11:$M$1217=DATE(2025,8,1))
)
)*'Entire Project Overiew'!B11)</f>
        <v>0</v>
      </c>
      <c r="AG54" s="68" cm="1">
        <f t="array" ref="AG54">((SUMPRODUCT(
((('Raw Data'!AF11:AF1217*-'Entire Project Overiew'!R18)&gt;'Entire Project Overiew'!B11)*
('Raw Data'!$M$11:$M$1217=DATE(2025,9,1)))*
'Raw Data'!AF11:AF1217
))*'Entire Project Overiew'!R18)
+
(COUNT(
_xlfn._xlws.FILTER(
'Raw Data'!AF11:AF1217,
(('Raw Data'!AF11:AF1217*-'Entire Project Overiew'!R18)&gt;'Entire Project Overiew'!B11)*
('Raw Data'!$M$11:$M$1217=DATE(2025,9,1))
)
)*'Entire Project Overiew'!B11)</f>
        <v>0</v>
      </c>
      <c r="AH54" s="68" cm="1">
        <f t="array" ref="AH54">((SUMPRODUCT(
((('Raw Data'!AF11:AF1217*-'Entire Project Overiew'!R18)&gt;'Entire Project Overiew'!B11)*
('Raw Data'!$M$11:$M$1217=DATE(2025,10,1)))*
'Raw Data'!AF11:AF1217
))*'Entire Project Overiew'!R18)
+
(COUNT(
_xlfn._xlws.FILTER(
'Raw Data'!AF11:AF1217,
(('Raw Data'!AF11:AF1217*-'Entire Project Overiew'!R18)&gt;'Entire Project Overiew'!B11)*
('Raw Data'!$M$11:$M$1217=DATE(2025,10,1))
)
)*'Entire Project Overiew'!B11)</f>
        <v>0</v>
      </c>
      <c r="AI54" s="68" cm="1">
        <f t="array" ref="AI54">((SUMPRODUCT(
((('Raw Data'!AF11:AF1217*-'Entire Project Overiew'!R18)&gt;'Entire Project Overiew'!B11)*
('Raw Data'!$M$11:$M$1217=DATE(2025,11,1)))*
'Raw Data'!AF11:AF1217
))*'Entire Project Overiew'!R18)
+
(COUNT(
_xlfn._xlws.FILTER(
'Raw Data'!AF11:AF1217,
(('Raw Data'!AF11:AF1217*-'Entire Project Overiew'!R18)&gt;'Entire Project Overiew'!B11)*
('Raw Data'!$M$11:$M$1217=DATE(2025,11,1))
)
)*'Entire Project Overiew'!B11)</f>
        <v>-6771.4</v>
      </c>
      <c r="AJ54" s="68" cm="1">
        <f t="array" ref="AJ54">((SUMPRODUCT(
((('Raw Data'!AF11:AF1217*-'Entire Project Overiew'!R18)&gt;'Entire Project Overiew'!B11)*
('Raw Data'!$M$11:$M$1217=DATE(2025,12,1)))*
'Raw Data'!AF11:AF1217
))*'Entire Project Overiew'!R18)
+
(COUNT(
_xlfn._xlws.FILTER(
'Raw Data'!AF11:AF1217,
(('Raw Data'!AF11:AF1217*-'Entire Project Overiew'!R18)&gt;'Entire Project Overiew'!B11)*
('Raw Data'!$M$11:$M$1217=DATE(2025,12,1))
)
)*'Entire Project Overiew'!B11)</f>
        <v>0</v>
      </c>
      <c r="AK54" s="68" cm="1">
        <f t="array" ref="AK54">((SUMPRODUCT(
((('Raw Data'!AF11:AF1217*-'Entire Project Overiew'!R18)&gt;'Entire Project Overiew'!B11)*
('Raw Data'!$M$11:$M$1217=DATE(2026,1,1)))*
'Raw Data'!AF11:AF1217
))*'Entire Project Overiew'!R18)
+
(COUNT(
_xlfn._xlws.FILTER(
'Raw Data'!AF11:AF1217,
(('Raw Data'!AF11:AF1217*-'Entire Project Overiew'!R18)&gt;'Entire Project Overiew'!B11)*
('Raw Data'!$M$11:$M$1217=DATE(2026,1,1))
)
)*'Entire Project Overiew'!B11)</f>
        <v>0</v>
      </c>
      <c r="AL54" s="68" cm="1">
        <f t="array" ref="AL54">((SUMPRODUCT(
((('Raw Data'!AF11:AF1217*-'Entire Project Overiew'!R18)&gt;'Entire Project Overiew'!B11)*
('Raw Data'!$M$11:$M$1217=DATE(2026,2,1)))*
'Raw Data'!AF11:AF1217
))*'Entire Project Overiew'!R18)
+
(COUNT(
_xlfn._xlws.FILTER(
'Raw Data'!AF11:AF1217,
(('Raw Data'!AF11:AF1217*-'Entire Project Overiew'!R18)&gt;'Entire Project Overiew'!B11)*
('Raw Data'!$M$11:$M$1217=DATE(2026,2,1))
)
)*'Entire Project Overiew'!B11)</f>
        <v>0</v>
      </c>
      <c r="AM54" s="68" cm="1">
        <f t="array" ref="AM54">((SUMPRODUCT(
((('Raw Data'!AF11:AF1217*-'Entire Project Overiew'!R18)&gt;'Entire Project Overiew'!B11)*
('Raw Data'!$M$11:$M$1217=DATE(2026,3,1)))*
'Raw Data'!AF11:AF1217
))*'Entire Project Overiew'!R18)
+
(COUNT(
_xlfn._xlws.FILTER(
'Raw Data'!AF11:AF1217,
(('Raw Data'!AF11:AF1217*-'Entire Project Overiew'!R18)&gt;'Entire Project Overiew'!B11)*
('Raw Data'!$M$11:$M$1217=DATE(2026,3,1))
)
)*'Entire Project Overiew'!B11)</f>
        <v>0</v>
      </c>
      <c r="AN54" s="68" cm="1">
        <f t="array" ref="AN54">((SUMPRODUCT(
((('Raw Data'!AF11:AF1217*-'Entire Project Overiew'!R18)&gt;'Entire Project Overiew'!B11)*
('Raw Data'!$M$11:$M$1217=DATE(2026,4,1)))*
'Raw Data'!AF11:AF1217
))*'Entire Project Overiew'!R18)
+
(COUNT(
_xlfn._xlws.FILTER(
'Raw Data'!AF11:AF1217,
(('Raw Data'!AF11:AF1217*-'Entire Project Overiew'!R18)&gt;'Entire Project Overiew'!B11)*
('Raw Data'!$M$11:$M$1217=DATE(2026,4,1))
)
)*'Entire Project Overiew'!B11)</f>
        <v>0</v>
      </c>
      <c r="AO54" s="68" cm="1">
        <f t="array" ref="AO54">((SUMPRODUCT(
((('Raw Data'!AF11:AF1217*-'Entire Project Overiew'!R18)&gt;'Entire Project Overiew'!B11)*
('Raw Data'!$M$11:$M$1217=DATE(2026,5,1)))*
'Raw Data'!AF11:AF1217
))*'Entire Project Overiew'!R18)
+
(COUNT(
_xlfn._xlws.FILTER(
'Raw Data'!AF11:AF1217,
(('Raw Data'!AF11:AF1217*-'Entire Project Overiew'!R18)&gt;'Entire Project Overiew'!B11)*
('Raw Data'!$M$11:$M$1217=DATE(2026,5,1))
)
)*'Entire Project Overiew'!B11)</f>
        <v>0</v>
      </c>
      <c r="AP54" s="68" cm="1">
        <f t="array" ref="AP54">((SUMPRODUCT(
((('Raw Data'!AF11:AF1217*-'Entire Project Overiew'!R18)&gt;'Entire Project Overiew'!B11)*
('Raw Data'!$M$11:$M$1217=DATE(2026,6,1)))*
'Raw Data'!AF11:AF1217
))*'Entire Project Overiew'!R18)
+
(COUNT(
_xlfn._xlws.FILTER(
'Raw Data'!AF11:AF1217,
(('Raw Data'!AF11:AF1217*-'Entire Project Overiew'!R18)&gt;'Entire Project Overiew'!B11)*
('Raw Data'!$M$11:$M$1217=DATE(2026,6,1))
)
)*'Entire Project Overiew'!B11)</f>
        <v>0</v>
      </c>
      <c r="AQ54" s="84">
        <f t="shared" si="21"/>
        <v>-9941</v>
      </c>
      <c r="AR54" s="32"/>
      <c r="AS54"/>
      <c r="AT54"/>
      <c r="AU54"/>
      <c r="AV54"/>
      <c r="AW54"/>
      <c r="AX54"/>
      <c r="AY54"/>
      <c r="AZ54"/>
      <c r="BA54"/>
      <c r="BB54"/>
      <c r="BC54"/>
      <c r="BD54"/>
      <c r="BE54"/>
      <c r="BF54"/>
    </row>
    <row r="55" spans="1:58" s="32" customFormat="1" ht="16" x14ac:dyDescent="0.2">
      <c r="A55" s="220"/>
      <c r="B55" s="221"/>
      <c r="C55" s="221"/>
      <c r="D55" s="221"/>
      <c r="E55" s="221"/>
      <c r="F55" s="221"/>
      <c r="G55" s="221"/>
      <c r="H55" s="221"/>
      <c r="I55" s="221"/>
      <c r="J55" s="221"/>
      <c r="K55" s="221"/>
      <c r="L55" s="221"/>
      <c r="M55" s="221"/>
      <c r="N55" s="221"/>
      <c r="O55" s="221"/>
      <c r="P55" s="221"/>
      <c r="Q55" s="221"/>
      <c r="R55" s="221"/>
      <c r="S55" s="221"/>
      <c r="T55" s="221"/>
      <c r="U55" s="221"/>
      <c r="V55" s="221"/>
      <c r="W55" s="221"/>
      <c r="X55" s="221"/>
      <c r="Y55" s="221"/>
      <c r="Z55" s="221"/>
      <c r="AA55" s="221"/>
      <c r="AB55" s="221"/>
      <c r="AC55" s="221"/>
      <c r="AD55" s="221"/>
      <c r="AE55" s="221"/>
      <c r="AF55" s="221"/>
      <c r="AG55" s="221"/>
      <c r="AH55" s="221"/>
      <c r="AI55" s="221"/>
      <c r="AJ55" s="221"/>
      <c r="AK55" s="221"/>
      <c r="AL55" s="221"/>
      <c r="AM55" s="221"/>
      <c r="AN55" s="221"/>
      <c r="AO55" s="221"/>
      <c r="AP55" s="221"/>
      <c r="AQ55" s="222"/>
      <c r="AR55" s="19"/>
      <c r="AS55"/>
      <c r="AT55"/>
      <c r="AU55"/>
      <c r="AV55"/>
      <c r="AW55"/>
      <c r="AX55"/>
      <c r="AY55"/>
      <c r="AZ55"/>
      <c r="BA55"/>
      <c r="BB55"/>
      <c r="BC55"/>
      <c r="BD55"/>
      <c r="BE55"/>
      <c r="BF55"/>
    </row>
    <row r="56" spans="1:58" ht="18" x14ac:dyDescent="0.2">
      <c r="A56" s="213" t="s">
        <v>1015</v>
      </c>
      <c r="B56" s="214"/>
      <c r="C56" s="214"/>
      <c r="D56" s="214"/>
      <c r="E56" s="214"/>
      <c r="F56" s="214"/>
      <c r="G56" s="214"/>
      <c r="H56" s="214"/>
      <c r="I56" s="214"/>
      <c r="J56" s="214"/>
      <c r="K56" s="214"/>
      <c r="L56" s="214"/>
      <c r="M56" s="214"/>
      <c r="N56" s="214"/>
      <c r="O56" s="214"/>
      <c r="P56" s="214"/>
      <c r="Q56" s="214"/>
      <c r="R56" s="214"/>
      <c r="S56" s="214"/>
      <c r="T56" s="214"/>
      <c r="U56" s="214"/>
      <c r="V56" s="214"/>
      <c r="W56" s="214"/>
      <c r="X56" s="214"/>
      <c r="Y56" s="214"/>
      <c r="Z56" s="214"/>
      <c r="AA56" s="214"/>
      <c r="AB56" s="214"/>
      <c r="AC56" s="214"/>
      <c r="AD56" s="214"/>
      <c r="AE56" s="214"/>
      <c r="AF56" s="214"/>
      <c r="AG56" s="214"/>
      <c r="AH56" s="214"/>
      <c r="AI56" s="214"/>
      <c r="AJ56" s="214"/>
      <c r="AK56" s="214"/>
      <c r="AL56" s="214"/>
      <c r="AM56" s="214"/>
      <c r="AN56" s="214"/>
      <c r="AO56" s="214"/>
      <c r="AP56" s="214"/>
      <c r="AQ56" s="215"/>
      <c r="AS56"/>
      <c r="AT56"/>
      <c r="AU56"/>
      <c r="AV56"/>
      <c r="AW56"/>
      <c r="AX56"/>
      <c r="AY56"/>
      <c r="AZ56"/>
      <c r="BA56"/>
      <c r="BB56"/>
      <c r="BC56"/>
      <c r="BD56"/>
      <c r="BE56"/>
      <c r="BF56"/>
    </row>
    <row r="57" spans="1:58" ht="16" x14ac:dyDescent="0.2">
      <c r="A57" s="80" t="s">
        <v>41</v>
      </c>
      <c r="B57" s="21">
        <v>0</v>
      </c>
      <c r="C57" s="21">
        <v>0</v>
      </c>
      <c r="D57" s="21">
        <v>0</v>
      </c>
      <c r="E57" s="21">
        <v>0</v>
      </c>
      <c r="F57" s="21">
        <v>0</v>
      </c>
      <c r="G57" s="21">
        <v>0</v>
      </c>
      <c r="H57" s="21">
        <v>0</v>
      </c>
      <c r="I57" s="21">
        <v>0</v>
      </c>
      <c r="J57" s="21">
        <v>0</v>
      </c>
      <c r="K57" s="21">
        <v>0</v>
      </c>
      <c r="L57" s="21">
        <v>0</v>
      </c>
      <c r="M57" s="21">
        <v>0</v>
      </c>
      <c r="N57" s="21">
        <v>3.38</v>
      </c>
      <c r="O57" s="21">
        <v>1.8499999999999999</v>
      </c>
      <c r="P57" s="21">
        <v>0</v>
      </c>
      <c r="Q57" s="21">
        <v>0.63</v>
      </c>
      <c r="R57" s="21">
        <v>0</v>
      </c>
      <c r="S57" s="21">
        <v>0</v>
      </c>
      <c r="T57" s="21">
        <v>0</v>
      </c>
      <c r="U57" s="21">
        <v>0</v>
      </c>
      <c r="V57" s="21">
        <v>0</v>
      </c>
      <c r="W57" s="21">
        <v>0</v>
      </c>
      <c r="X57" s="21">
        <v>0</v>
      </c>
      <c r="Y57" s="21">
        <v>0</v>
      </c>
      <c r="Z57" s="21">
        <v>0</v>
      </c>
      <c r="AA57" s="21">
        <v>0</v>
      </c>
      <c r="AB57" s="21">
        <v>0</v>
      </c>
      <c r="AC57" s="21">
        <v>0</v>
      </c>
      <c r="AD57" s="21">
        <v>0</v>
      </c>
      <c r="AE57" s="40">
        <v>4.149</v>
      </c>
      <c r="AF57" s="21">
        <v>0</v>
      </c>
      <c r="AG57" s="21">
        <v>0</v>
      </c>
      <c r="AH57" s="21">
        <v>0</v>
      </c>
      <c r="AI57" s="21">
        <v>0</v>
      </c>
      <c r="AJ57" s="21">
        <v>0</v>
      </c>
      <c r="AK57" s="21">
        <v>0</v>
      </c>
      <c r="AL57" s="21">
        <v>0</v>
      </c>
      <c r="AM57" s="21">
        <v>0</v>
      </c>
      <c r="AN57" s="21">
        <v>0</v>
      </c>
      <c r="AO57" s="21">
        <v>0</v>
      </c>
      <c r="AP57" s="21">
        <v>0</v>
      </c>
      <c r="AQ57" s="77">
        <f t="shared" ref="AQ57:AQ59" si="24">SUM(B57:AP57)</f>
        <v>10.009</v>
      </c>
      <c r="AR57" s="21"/>
      <c r="AS57"/>
      <c r="AT57"/>
      <c r="AU57"/>
      <c r="AV57"/>
      <c r="AW57"/>
      <c r="AX57"/>
      <c r="AY57"/>
      <c r="AZ57"/>
      <c r="BA57"/>
      <c r="BB57"/>
      <c r="BC57"/>
      <c r="BD57"/>
      <c r="BE57"/>
      <c r="BF57"/>
    </row>
    <row r="58" spans="1:58" s="21" customFormat="1" ht="16" x14ac:dyDescent="0.2">
      <c r="A58" s="81" t="s">
        <v>1055</v>
      </c>
      <c r="B58" s="67">
        <f t="shared" ref="B58:AD58" si="25">B57</f>
        <v>0</v>
      </c>
      <c r="C58" s="67">
        <f t="shared" si="25"/>
        <v>0</v>
      </c>
      <c r="D58" s="67">
        <f t="shared" si="25"/>
        <v>0</v>
      </c>
      <c r="E58" s="67">
        <f t="shared" si="25"/>
        <v>0</v>
      </c>
      <c r="F58" s="67">
        <f t="shared" si="25"/>
        <v>0</v>
      </c>
      <c r="G58" s="67">
        <f t="shared" si="25"/>
        <v>0</v>
      </c>
      <c r="H58" s="67">
        <f t="shared" si="25"/>
        <v>0</v>
      </c>
      <c r="I58" s="67">
        <f t="shared" si="25"/>
        <v>0</v>
      </c>
      <c r="J58" s="67">
        <f t="shared" si="25"/>
        <v>0</v>
      </c>
      <c r="K58" s="67">
        <f t="shared" si="25"/>
        <v>0</v>
      </c>
      <c r="L58" s="67">
        <f t="shared" si="25"/>
        <v>0</v>
      </c>
      <c r="M58" s="67">
        <f t="shared" si="25"/>
        <v>0</v>
      </c>
      <c r="N58" s="67">
        <f t="shared" si="25"/>
        <v>3.38</v>
      </c>
      <c r="O58" s="67">
        <f t="shared" si="25"/>
        <v>1.8499999999999999</v>
      </c>
      <c r="P58" s="67">
        <f t="shared" si="25"/>
        <v>0</v>
      </c>
      <c r="Q58" s="67">
        <f t="shared" si="25"/>
        <v>0.63</v>
      </c>
      <c r="R58" s="67">
        <f t="shared" si="25"/>
        <v>0</v>
      </c>
      <c r="S58" s="67">
        <f t="shared" si="25"/>
        <v>0</v>
      </c>
      <c r="T58" s="67">
        <f t="shared" si="25"/>
        <v>0</v>
      </c>
      <c r="U58" s="67">
        <f t="shared" si="25"/>
        <v>0</v>
      </c>
      <c r="V58" s="67">
        <f t="shared" si="25"/>
        <v>0</v>
      </c>
      <c r="W58" s="67">
        <f t="shared" si="25"/>
        <v>0</v>
      </c>
      <c r="X58" s="67">
        <f t="shared" si="25"/>
        <v>0</v>
      </c>
      <c r="Y58" s="67">
        <f t="shared" si="25"/>
        <v>0</v>
      </c>
      <c r="Z58" s="67">
        <f t="shared" si="25"/>
        <v>0</v>
      </c>
      <c r="AA58" s="67">
        <f t="shared" si="25"/>
        <v>0</v>
      </c>
      <c r="AB58" s="67">
        <f t="shared" si="25"/>
        <v>0</v>
      </c>
      <c r="AC58" s="67">
        <f t="shared" si="25"/>
        <v>0</v>
      </c>
      <c r="AD58" s="67">
        <f t="shared" si="25"/>
        <v>0</v>
      </c>
      <c r="AE58" s="67">
        <f>AE57</f>
        <v>4.149</v>
      </c>
      <c r="AF58" s="67">
        <f t="shared" ref="AF58:AP58" si="26">AF57</f>
        <v>0</v>
      </c>
      <c r="AG58" s="67">
        <f t="shared" si="26"/>
        <v>0</v>
      </c>
      <c r="AH58" s="67">
        <f t="shared" si="26"/>
        <v>0</v>
      </c>
      <c r="AI58" s="67">
        <f t="shared" si="26"/>
        <v>0</v>
      </c>
      <c r="AJ58" s="67">
        <f t="shared" si="26"/>
        <v>0</v>
      </c>
      <c r="AK58" s="67">
        <f t="shared" si="26"/>
        <v>0</v>
      </c>
      <c r="AL58" s="67">
        <f t="shared" si="26"/>
        <v>0</v>
      </c>
      <c r="AM58" s="67">
        <f t="shared" si="26"/>
        <v>0</v>
      </c>
      <c r="AN58" s="67">
        <f t="shared" si="26"/>
        <v>0</v>
      </c>
      <c r="AO58" s="67">
        <f t="shared" si="26"/>
        <v>0</v>
      </c>
      <c r="AP58" s="67">
        <f t="shared" si="26"/>
        <v>0</v>
      </c>
      <c r="AQ58" s="82">
        <f t="shared" si="24"/>
        <v>10.009</v>
      </c>
      <c r="AS58"/>
      <c r="AT58"/>
      <c r="AU58"/>
      <c r="AV58"/>
      <c r="AW58"/>
      <c r="AX58"/>
      <c r="AY58"/>
      <c r="AZ58"/>
      <c r="BA58"/>
      <c r="BB58"/>
      <c r="BC58"/>
      <c r="BD58"/>
      <c r="BE58"/>
      <c r="BF58"/>
    </row>
    <row r="59" spans="1:58" s="21" customFormat="1" ht="16" x14ac:dyDescent="0.2">
      <c r="A59" s="83" t="s">
        <v>1067</v>
      </c>
      <c r="B59" s="68" cm="1">
        <f t="array" ref="B59">(
SUMPRODUCT(
    (('Raw Data'!AB11:AB1217*-'Entire Project Overiew'!R19)&gt;'Entire Project Overiew'!B11)*
    ('Raw Data'!$M$11:$M$1217=DATE(2022,11,1))*
    'Raw Data'!AB11:AB1217
)
*'Entire Project Overiew'!R19
)
+
(
COUNT(
    _xlfn._xlws.FILTER(
        'Raw Data'!AB11:AB1217,
        (('Raw Data'!AB11:AB1217*-'Entire Project Overiew'!R19)&gt;'Entire Project Overiew'!B11)*
        ('Raw Data'!$M$11:$M$1217=DATE(2022,11,1))
    )
)
*'Entire Project Overiew'!B11
)</f>
        <v>0</v>
      </c>
      <c r="C59" s="68" cm="1">
        <f t="array" ref="C59">(
SUMPRODUCT(
    (('Raw Data'!AB11:AB1217*-'Entire Project Overiew'!R19)&gt;'Entire Project Overiew'!B11)*
    ('Raw Data'!$M$11:$M$1217=DATE(2022,12,1))*
    'Raw Data'!AB11:AB1217
)
*'Entire Project Overiew'!R19
)
+
(
COUNT(
    _xlfn._xlws.FILTER(
        'Raw Data'!AB11:AB1217,
        (('Raw Data'!AB11:AB1217*-'Entire Project Overiew'!R19)&gt;'Entire Project Overiew'!B11)*
        ('Raw Data'!$M$11:$M$1217=DATE(2022,12,1))
    )
)
*'Entire Project Overiew'!B11
)</f>
        <v>0</v>
      </c>
      <c r="D59" s="68" cm="1">
        <f t="array" ref="D59">(
SUMPRODUCT(
    (('Raw Data'!AB11:AB1217*-'Entire Project Overiew'!R19)&gt;'Entire Project Overiew'!B11)*
    ('Raw Data'!$M$11:$M$1217=DATE(2023,4,1))*
    'Raw Data'!AB11:AB1217
)
*'Entire Project Overiew'!R19
)
+
(
COUNT(
    _xlfn._xlws.FILTER(
        'Raw Data'!AB11:AB1217,
        (('Raw Data'!AB11:AB1217*-'Entire Project Overiew'!R19)&gt;'Entire Project Overiew'!B11)*
        ('Raw Data'!$M$11:$M$1217=DATE(2023,4,1))
    )
)
*'Entire Project Overiew'!B11
)</f>
        <v>0</v>
      </c>
      <c r="E59" s="68" cm="1">
        <f t="array" ref="E59">(
SUMPRODUCT(
    (('Raw Data'!AB11:AB1217*-'Entire Project Overiew'!R19)&gt;'Entire Project Overiew'!B11)*
    ('Raw Data'!$M$11:$M$1217=DATE(2023,5,1))*
    'Raw Data'!AB11:AB1217
)
*'Entire Project Overiew'!R19
)
+
(
COUNT(
    _xlfn._xlws.FILTER(
        'Raw Data'!AB11:AB1217,
        (('Raw Data'!AB11:AB1217*-'Entire Project Overiew'!R19)&gt;'Entire Project Overiew'!B11)*
        ('Raw Data'!$M$11:$M$1217=DATE(2023,5,1))
    )
)
*'Entire Project Overiew'!B11
)</f>
        <v>0</v>
      </c>
      <c r="F59" s="68" cm="1">
        <f t="array" ref="F59">(
SUMPRODUCT(
    (('Raw Data'!AB11:AB1217*-'Entire Project Overiew'!R19)&gt;'Entire Project Overiew'!B11)*
    ('Raw Data'!$M$11:$M$1217=DATE(2023,6,1))*
    'Raw Data'!AB11:AB1217
)
*'Entire Project Overiew'!R19
)
+
(
COUNT(
    _xlfn._xlws.FILTER(
        'Raw Data'!AB11:AB1217,
        (('Raw Data'!AB11:AB1217*-'Entire Project Overiew'!R19)&gt;'Entire Project Overiew'!B11)*
        ('Raw Data'!$M$11:$M$1217=DATE(2023,6,1))
    )
)
*'Entire Project Overiew'!B11
)</f>
        <v>0</v>
      </c>
      <c r="G59" s="68" cm="1">
        <f t="array" ref="G59">(
SUMPRODUCT(
    (('Raw Data'!AB11:AB1217*-'Entire Project Overiew'!R19)&gt;'Entire Project Overiew'!B11)*
    ('Raw Data'!$M$11:$M$1217=DATE(2023,7,1))*
    'Raw Data'!AB11:AB1217
)
*'Entire Project Overiew'!R19
)
+
(
COUNT(
    _xlfn._xlws.FILTER(
        'Raw Data'!AB11:AB1217,
        (('Raw Data'!AB11:AB1217*-'Entire Project Overiew'!R19)&gt;'Entire Project Overiew'!B11)*
        ('Raw Data'!$M$11:$M$1217=DATE(2023,7,1))
    )
)
*'Entire Project Overiew'!B11
)</f>
        <v>0</v>
      </c>
      <c r="H59" s="68" cm="1">
        <f t="array" ref="H59">(
SUMPRODUCT(
    (('Raw Data'!AB11:AB1217*-'Entire Project Overiew'!R19)&gt;'Entire Project Overiew'!B11)*
    ('Raw Data'!$M$11:$M$1217=DATE(2023,8,1))*
    'Raw Data'!AB11:AB1217
)
*'Entire Project Overiew'!R19
)
+
(
COUNT(
    _xlfn._xlws.FILTER(
        'Raw Data'!AB11:AB1217,
        (('Raw Data'!AB11:AB1217*-'Entire Project Overiew'!R19)&gt;'Entire Project Overiew'!B11)*
        ('Raw Data'!$M$11:$M$1217=DATE(2023,8,1))
    )
)
*'Entire Project Overiew'!B11
)</f>
        <v>0</v>
      </c>
      <c r="I59" s="68" cm="1">
        <f t="array" ref="I59">(
SUMPRODUCT(
    (('Raw Data'!AB11:AB1217*-'Entire Project Overiew'!R19)&gt;'Entire Project Overiew'!B11)*
    ('Raw Data'!$M$11:$M$1217=DATE(2023,9,1))*
    'Raw Data'!AB11:AB1217
)
*'Entire Project Overiew'!R19
)
+
(
COUNT(
    _xlfn._xlws.FILTER(
        'Raw Data'!AB11:AB1217,
        (('Raw Data'!AB11:AB1217*-'Entire Project Overiew'!R19)&gt;'Entire Project Overiew'!B11)*
        ('Raw Data'!$M$11:$M$1217=DATE(2023,9,1))
    )
)
*'Entire Project Overiew'!B11
)</f>
        <v>0</v>
      </c>
      <c r="J59" s="68" cm="1">
        <f t="array" ref="J59">(
SUMPRODUCT(
    (('Raw Data'!AB11:AB1217*-'Entire Project Overiew'!R19)&gt;'Entire Project Overiew'!B11)*
    ('Raw Data'!$M$11:$M$1217=DATE(2023,10,1))*
    'Raw Data'!AB11:AB1217
)
*'Entire Project Overiew'!R19
)
+
(
COUNT(
    _xlfn._xlws.FILTER(
        'Raw Data'!AB11:AB1217,
        (('Raw Data'!AB11:AB1217*-'Entire Project Overiew'!R19)&gt;'Entire Project Overiew'!B11)*
        ('Raw Data'!$M$11:$M$1217=DATE(2023,10,1))
    )
)
*'Entire Project Overiew'!B11
)</f>
        <v>0</v>
      </c>
      <c r="K59" s="68" cm="1">
        <f t="array" ref="K59">(
SUMPRODUCT(
    (('Raw Data'!AB11:AB1217*-'Entire Project Overiew'!R19)&gt;'Entire Project Overiew'!B11)*
    ('Raw Data'!$M$11:$M$1217=DATE(2023,11,1))*
    'Raw Data'!AB11:AB1217
)
*'Entire Project Overiew'!R19
)
+
(
COUNT(
    _xlfn._xlws.FILTER(
        'Raw Data'!AB11:AB1217,
        (('Raw Data'!AB11:AB1217*-'Entire Project Overiew'!R19)&gt;'Entire Project Overiew'!B11)*
        ('Raw Data'!$M$11:$M$1217=DATE(2023,11,1))
    )
)
*'Entire Project Overiew'!B11
)</f>
        <v>0</v>
      </c>
      <c r="L59" s="68" cm="1">
        <f t="array" ref="L59">(
SUMPRODUCT(
    (('Raw Data'!AB11:AB1217*-'Entire Project Overiew'!R19)&gt;'Entire Project Overiew'!B11)*
    ('Raw Data'!$M$11:$M$1217=DATE(2023,12,1))*
    'Raw Data'!AB11:AB1217
)
*'Entire Project Overiew'!R19
)
+
(
COUNT(
    _xlfn._xlws.FILTER(
        'Raw Data'!AB11:AB1217,
        (('Raw Data'!AB11:AB1217*-'Entire Project Overiew'!R19)&gt;'Entire Project Overiew'!B11)*
        ('Raw Data'!$M$11:$M$1217=DATE(2023,12,1))
    )
)
*'Entire Project Overiew'!B11
)</f>
        <v>0</v>
      </c>
      <c r="M59" s="68" cm="1">
        <f t="array" ref="M59">(
SUMPRODUCT(
    (('Raw Data'!AB11:AB1217*-'Entire Project Overiew'!R19)&gt;'Entire Project Overiew'!B11)*
    ('Raw Data'!$M$11:$M$1217=DATE(2024,1,1))*
    'Raw Data'!AB11:AB1217
)
*'Entire Project Overiew'!R19
)
+
(
COUNT(
    _xlfn._xlws.FILTER(
        'Raw Data'!AB11:AB1217,
        (('Raw Data'!AB11:AB1217*-'Entire Project Overiew'!R19)&gt;'Entire Project Overiew'!B11)*
        ('Raw Data'!$M$11:$M$1217=DATE(2024,1,1))
    )
)
*'Entire Project Overiew'!B11
)</f>
        <v>0</v>
      </c>
      <c r="N59" s="68" cm="1">
        <f t="array" ref="N59">(
SUMPRODUCT(
    (('Raw Data'!AB11:AB1217*-'Entire Project Overiew'!R19)&gt;'Entire Project Overiew'!B11)*
    ('Raw Data'!$M$11:$M$1217=DATE(2024,2,1))*
    'Raw Data'!AB11:AB1217
)
*'Entire Project Overiew'!R19
)
+
(
COUNT(
    _xlfn._xlws.FILTER(
        'Raw Data'!AB11:AB1217,
        (('Raw Data'!AB11:AB1217*-'Entire Project Overiew'!R19)&gt;'Entire Project Overiew'!B11)*
        ('Raw Data'!$M$11:$M$1217=DATE(2024,2,1))
    )
)
*'Entire Project Overiew'!B11
)</f>
        <v>0</v>
      </c>
      <c r="O59" s="68" cm="1">
        <f t="array" ref="O59">(
SUMPRODUCT(
    (('Raw Data'!AB11:AB1217*-'Entire Project Overiew'!R19)&gt;'Entire Project Overiew'!B11)*
    ('Raw Data'!$M$11:$M$1217=DATE(2024,3,1))*
    'Raw Data'!AB11:AB1217
)
*'Entire Project Overiew'!R19
)
+
(
COUNT(
    _xlfn._xlws.FILTER(
        'Raw Data'!AB11:AB1217,
        (('Raw Data'!AB11:AB1217*-'Entire Project Overiew'!R19)&gt;'Entire Project Overiew'!B11)*
        ('Raw Data'!$M$11:$M$1217=DATE(2024,3,1))
    )
)
*'Entire Project Overiew'!B11
)</f>
        <v>0</v>
      </c>
      <c r="P59" s="68" cm="1">
        <f t="array" ref="P59">(
SUMPRODUCT(
    (('Raw Data'!AB11:AB1217*-'Entire Project Overiew'!R19)&gt;'Entire Project Overiew'!B11)*
    ('Raw Data'!$M$11:$M$1217=DATE(2024,4,1))*
    'Raw Data'!AB11:AB1217
)
*'Entire Project Overiew'!R19
)
+
(
COUNT(
    _xlfn._xlws.FILTER(
        'Raw Data'!AB11:AB1217,
        (('Raw Data'!AB11:AB1217*-'Entire Project Overiew'!R19)&gt;'Entire Project Overiew'!B11)*
        ('Raw Data'!$M$11:$M$1217=DATE(2024,4,1))
    )
)
*'Entire Project Overiew'!B11
)</f>
        <v>0</v>
      </c>
      <c r="Q59" s="68" cm="1">
        <f t="array" ref="Q59">(
SUMPRODUCT(
    (('Raw Data'!AB11:AB1217*-'Entire Project Overiew'!R19)&gt;'Entire Project Overiew'!B11)*
    ('Raw Data'!$M$11:$M$1217=DATE(2024,5,1))*
    'Raw Data'!AB11:AB1217
)
*'Entire Project Overiew'!R19
)
+
(
COUNT(
    _xlfn._xlws.FILTER(
        'Raw Data'!AB11:AB1217,
        (('Raw Data'!AB11:AB1217*-'Entire Project Overiew'!R19)&gt;'Entire Project Overiew'!B11)*
        ('Raw Data'!$M$11:$M$1217=DATE(2024,5,1))
    )
)
*'Entire Project Overiew'!B11
)</f>
        <v>0</v>
      </c>
      <c r="R59" s="68" cm="1">
        <f t="array" ref="R59">(
SUMPRODUCT(
    (('Raw Data'!AB11:AB1217*-'Entire Project Overiew'!R19)&gt;'Entire Project Overiew'!B11)*
    ('Raw Data'!$M$11:$M$1217=DATE(2024,6,1))*
    'Raw Data'!AB11:AB1217
)
*'Entire Project Overiew'!R19
)
+
(
COUNT(
    _xlfn._xlws.FILTER(
        'Raw Data'!AB11:AB1217,
        (('Raw Data'!AB11:AB1217*-'Entire Project Overiew'!R19)&gt;'Entire Project Overiew'!B11)*
        ('Raw Data'!$M$11:$M$1217=DATE(2024,6,1))
    )
)
*'Entire Project Overiew'!B11
)</f>
        <v>0</v>
      </c>
      <c r="S59" s="68" cm="1">
        <f t="array" ref="S59">(
SUMPRODUCT(
    (('Raw Data'!AB11:AB1217*-'Entire Project Overiew'!R19)&gt;'Entire Project Overiew'!B11)*
    ('Raw Data'!$M$11:$M$1217=DATE(2024,7,1))*
    'Raw Data'!AB11:AB1217
)
*'Entire Project Overiew'!R19
)
+
(
COUNT(
    _xlfn._xlws.FILTER(
        'Raw Data'!AB11:AB1217,
        (('Raw Data'!AB11:AB1217*-'Entire Project Overiew'!R19)&gt;'Entire Project Overiew'!B11)*
        ('Raw Data'!$M$11:$M$1217=DATE(2024,7,1))
    )
)
*'Entire Project Overiew'!B11
)</f>
        <v>0</v>
      </c>
      <c r="T59" s="68" cm="1">
        <f t="array" ref="T59">(
SUMPRODUCT(
    (('Raw Data'!AB11:AB1217*-'Entire Project Overiew'!R19)&gt;'Entire Project Overiew'!B11)*
    ('Raw Data'!$M$11:$M$1217=DATE(2024,8,1))*
    'Raw Data'!AB11:AB1217
)
*'Entire Project Overiew'!R19
)
+
(
COUNT(
    _xlfn._xlws.FILTER(
        'Raw Data'!AB11:AB1217,
        (('Raw Data'!AB11:AB1217*-'Entire Project Overiew'!R19)&gt;'Entire Project Overiew'!B11)*
        ('Raw Data'!$M$11:$M$1217=DATE(2024,8,1))
    )
)
*'Entire Project Overiew'!B11
)</f>
        <v>0</v>
      </c>
      <c r="U59" s="68" cm="1">
        <f t="array" ref="U59">(
SUMPRODUCT(
    (('Raw Data'!AB11:AB1217*-'Entire Project Overiew'!R19)&gt;'Entire Project Overiew'!B11)*
    ('Raw Data'!$M$11:$M$1217=DATE(2024,9,1))*
    'Raw Data'!AB11:AB1217
)
*'Entire Project Overiew'!R19
)
+
(
COUNT(
    _xlfn._xlws.FILTER(
        'Raw Data'!AB11:AB1217,
        (('Raw Data'!AB11:AB1217*-'Entire Project Overiew'!R19)&gt;'Entire Project Overiew'!B11)*
        ('Raw Data'!$M$11:$M$1217=DATE(2024,9,1))
    )
)
*'Entire Project Overiew'!B11
)</f>
        <v>0</v>
      </c>
      <c r="V59" s="68" cm="1">
        <f t="array" ref="V59">(
SUMPRODUCT(
    (('Raw Data'!AB11:AB1217*-'Entire Project Overiew'!R19)&gt;'Entire Project Overiew'!B11)*
    ('Raw Data'!$M$11:$M$1217=DATE(2024,10,1))*
    'Raw Data'!AB11:AB1217
)
*'Entire Project Overiew'!R19
)
+
(
COUNT(
    _xlfn._xlws.FILTER(
        'Raw Data'!AB11:AB1217,
        (('Raw Data'!AB11:AB1217*-'Entire Project Overiew'!R19)&gt;'Entire Project Overiew'!B11)*
        ('Raw Data'!$M$11:$M$1217=DATE(2024,10,1))
    )
)
*'Entire Project Overiew'!B11
)</f>
        <v>0</v>
      </c>
      <c r="W59" s="68" cm="1">
        <f t="array" ref="W59">(
SUMPRODUCT(
    (('Raw Data'!AB11:AB1217*-'Entire Project Overiew'!R19)&gt;'Entire Project Overiew'!B11)*
    ('Raw Data'!$M$11:$M$1217=DATE(2024,11,1))*
    'Raw Data'!AB11:AB1217
)
*'Entire Project Overiew'!R19
)
+
(
COUNT(
    _xlfn._xlws.FILTER(
        'Raw Data'!AB11:AB1217,
        (('Raw Data'!AB11:AB1217*-'Entire Project Overiew'!R19)&gt;'Entire Project Overiew'!B11)*
        ('Raw Data'!$M$11:$M$1217=DATE(2024,11,1))
    )
)
*'Entire Project Overiew'!B11
)</f>
        <v>0</v>
      </c>
      <c r="X59" s="68" cm="1">
        <f t="array" ref="X59">(
SUMPRODUCT(
    (('Raw Data'!AB11:AB1217*-'Entire Project Overiew'!R19)&gt;'Entire Project Overiew'!B11)*
    ('Raw Data'!$M$11:$M$1217=DATE(2024,12,1))*
    'Raw Data'!AB11:AB1217
)
*'Entire Project Overiew'!R19
)
+
(
COUNT(
    _xlfn._xlws.FILTER(
        'Raw Data'!AB11:AB1217,
        (('Raw Data'!AB11:AB1217*-'Entire Project Overiew'!R19)&gt;'Entire Project Overiew'!B11)*
        ('Raw Data'!$M$11:$M$1217=DATE(2024,12,1))
    )
)
*'Entire Project Overiew'!B11
)</f>
        <v>0</v>
      </c>
      <c r="Y59" s="68" cm="1">
        <f t="array" ref="Y59">(
SUMPRODUCT(
    (('Raw Data'!AB11:AB1217*-'Entire Project Overiew'!R19)&gt;'Entire Project Overiew'!B11)*
    ('Raw Data'!$M$11:$M$1217=DATE(2025,1,1))*
    'Raw Data'!AB11:AB1217
)
*'Entire Project Overiew'!R19
)
+
(
COUNT(
    _xlfn._xlws.FILTER(
        'Raw Data'!AB11:AB1217,
        (('Raw Data'!AB11:AB1217*-'Entire Project Overiew'!R19)&gt;'Entire Project Overiew'!B11)*
        ('Raw Data'!$M$11:$M$1217=DATE(2025,1,1))
    )
)
*'Entire Project Overiew'!B11
)</f>
        <v>0</v>
      </c>
      <c r="Z59" s="68" cm="1">
        <f t="array" ref="Z59">(
SUMPRODUCT(
    (('Raw Data'!AB11:AB1217*-'Entire Project Overiew'!R19)&gt;'Entire Project Overiew'!B11)*
    ('Raw Data'!$M$11:$M$1217=DATE(2025,2,1))*
    'Raw Data'!AB11:AB1217
)
*'Entire Project Overiew'!R19
)
+
(
COUNT(
    _xlfn._xlws.FILTER(
        'Raw Data'!AB11:AB1217,
        (('Raw Data'!AB11:AB1217*-'Entire Project Overiew'!R19)&gt;'Entire Project Overiew'!B11)*
        ('Raw Data'!$M$11:$M$1217=DATE(2025,2,1))
    )
)
*'Entire Project Overiew'!B11
)</f>
        <v>0</v>
      </c>
      <c r="AA59" s="68" cm="1">
        <f t="array" ref="AA59">(
SUMPRODUCT(
    (('Raw Data'!AB11:AB1217*-'Entire Project Overiew'!R19)&gt;'Entire Project Overiew'!B11)*
    ('Raw Data'!$M$11:$M$1217=DATE(2025,3,1))*
    'Raw Data'!AB11:AB1217
)
*'Entire Project Overiew'!R19
)
+
(
COUNT(
    _xlfn._xlws.FILTER(
        'Raw Data'!AB11:AB1217,
        (('Raw Data'!AB11:AB1217*-'Entire Project Overiew'!R19)&gt;'Entire Project Overiew'!B11)*
        ('Raw Data'!$M$11:$M$1217=DATE(2025,3,1))
    )
)
*'Entire Project Overiew'!B11
)</f>
        <v>0</v>
      </c>
      <c r="AB59" s="68" cm="1">
        <f t="array" ref="AB59">(
SUMPRODUCT(
    (('Raw Data'!AB11:AB1217*-'Entire Project Overiew'!R19)&gt;'Entire Project Overiew'!B11)*
    ('Raw Data'!$M$11:$M$1217=DATE(2025,4,1))*
    'Raw Data'!AB11:AB1217
)
*'Entire Project Overiew'!R19
)
+
(
COUNT(
    _xlfn._xlws.FILTER(
        'Raw Data'!AB11:AB1217,
        (('Raw Data'!AB11:AB1217*-'Entire Project Overiew'!R19)&gt;'Entire Project Overiew'!B11)*
        ('Raw Data'!$M$11:$M$1217=DATE(2025,4,1))
    )
)
*'Entire Project Overiew'!B11
)</f>
        <v>0</v>
      </c>
      <c r="AC59" s="68" cm="1">
        <f t="array" ref="AC59">(
SUMPRODUCT(
    (('Raw Data'!AB11:AB1217*-'Entire Project Overiew'!R19)&gt;'Entire Project Overiew'!B11)*
    ('Raw Data'!$M$11:$M$1217=DATE(2025,5,1))*
    'Raw Data'!AB11:AB1217
)
*'Entire Project Overiew'!R19
)
+
(
COUNT(
    _xlfn._xlws.FILTER(
        'Raw Data'!AB11:AB1217,
        (('Raw Data'!AB11:AB1217*-'Entire Project Overiew'!R19)&gt;'Entire Project Overiew'!B11)*
        ('Raw Data'!$M$11:$M$1217=DATE(2025,5,1))
    )
)
*'Entire Project Overiew'!B11
)</f>
        <v>0</v>
      </c>
      <c r="AD59" s="68" cm="1">
        <f t="array" ref="AD59">(
SUMPRODUCT(
    (('Raw Data'!AB11:AB1217*-'Entire Project Overiew'!R19)&gt;'Entire Project Overiew'!B11)*
    ('Raw Data'!$M$11:$M$1217=DATE(2025,6,1))*
    'Raw Data'!AB11:AB1217
)
*'Entire Project Overiew'!R19
)
+
(
COUNT(
    _xlfn._xlws.FILTER(
        'Raw Data'!AB11:AB1217,
        (('Raw Data'!AB11:AB1217*-'Entire Project Overiew'!R19)&gt;'Entire Project Overiew'!B11)*
        ('Raw Data'!$M$11:$M$1217=DATE(2025,6,1))
    )
)
*'Entire Project Overiew'!B11
)</f>
        <v>0</v>
      </c>
      <c r="AE59" s="68" cm="1">
        <f t="array" ref="AE59">(
SUMPRODUCT(
    (('Raw Data'!AB11:AB1217*-'Entire Project Overiew'!R19)&gt;'Entire Project Overiew'!B11)*
    ('Raw Data'!$M$11:$M$1217=DATE(2025,7,1))*
    'Raw Data'!AB11:AB1217
)
*'Entire Project Overiew'!R19
)
+
(
COUNT(
    _xlfn._xlws.FILTER(
        'Raw Data'!AB11:AB1217,
        (('Raw Data'!AB11:AB1217*-'Entire Project Overiew'!R19)&gt;'Entire Project Overiew'!B11)*
        ('Raw Data'!$M$11:$M$1217=DATE(2025,7,1))
    )
)
*'Entire Project Overiew'!B11
)</f>
        <v>0</v>
      </c>
      <c r="AF59" s="68" cm="1">
        <f t="array" ref="AF59">(
SUMPRODUCT(
    (('Raw Data'!AB11:AB1217*-'Entire Project Overiew'!R19)&gt;'Entire Project Overiew'!B11)*
    ('Raw Data'!$M$11:$M$1217=DATE(2025,8,1))*
    'Raw Data'!AB11:AB1217
)
*'Entire Project Overiew'!R19
)
+
(
COUNT(
    _xlfn._xlws.FILTER(
        'Raw Data'!AB11:AB1217,
        (('Raw Data'!AB11:AB1217*-'Entire Project Overiew'!R19)&gt;'Entire Project Overiew'!B11)*
        ('Raw Data'!$M$11:$M$1217=DATE(2025,8,1))
    )
)
*'Entire Project Overiew'!B11
)</f>
        <v>0</v>
      </c>
      <c r="AG59" s="68" cm="1">
        <f t="array" ref="AG59">(
SUMPRODUCT(
    (('Raw Data'!AB11:AB1217*-'Entire Project Overiew'!R19)&gt;'Entire Project Overiew'!B11)*
    ('Raw Data'!$M$11:$M$1217=DATE(2025,9,1))*
    'Raw Data'!AB11:AB1217
)
*'Entire Project Overiew'!R19
)
+
(
COUNT(
    _xlfn._xlws.FILTER(
        'Raw Data'!AB11:AB1217,
        (('Raw Data'!AB11:AB1217*-'Entire Project Overiew'!R19)&gt;'Entire Project Overiew'!B11)*
        ('Raw Data'!$M$11:$M$1217=DATE(2025,9,1))
    )
)
*'Entire Project Overiew'!B11
)</f>
        <v>0</v>
      </c>
      <c r="AH59" s="68" cm="1">
        <f t="array" ref="AH59">(
SUMPRODUCT(
    (('Raw Data'!AB11:AB1217*-'Entire Project Overiew'!R19)&gt;'Entire Project Overiew'!B11)*
    ('Raw Data'!$M$11:$M$1217=DATE(2025,10,1))*
    'Raw Data'!AB11:AB1217
)
*'Entire Project Overiew'!R19
)
+
(
COUNT(
    _xlfn._xlws.FILTER(
        'Raw Data'!AB11:AB1217,
        (('Raw Data'!AB11:AB1217*-'Entire Project Overiew'!R19)&gt;'Entire Project Overiew'!B11)*
        ('Raw Data'!$M$11:$M$1217=DATE(2025,10,1))
    )
)
*'Entire Project Overiew'!B11
)</f>
        <v>0</v>
      </c>
      <c r="AI59" s="68" cm="1">
        <f t="array" ref="AI59">(
SUMPRODUCT(
    (('Raw Data'!AB11:AB1217*-'Entire Project Overiew'!R19)&gt;'Entire Project Overiew'!B11)*
    ('Raw Data'!$M$11:$M$1217=DATE(2025,11,1))*
    'Raw Data'!AB11:AB1217
)
*'Entire Project Overiew'!R19
)
+
(
COUNT(
    _xlfn._xlws.FILTER(
        'Raw Data'!AB11:AB1217,
        (('Raw Data'!AB11:AB1217*-'Entire Project Overiew'!R19)&gt;'Entire Project Overiew'!B11)*
        ('Raw Data'!$M$11:$M$1217=DATE(2025,11,1))
    )
)
*'Entire Project Overiew'!B11
)</f>
        <v>0</v>
      </c>
      <c r="AJ59" s="68" cm="1">
        <f t="array" ref="AJ59">(
SUMPRODUCT(
    (('Raw Data'!AB11:AB1217*-'Entire Project Overiew'!R19)&gt;'Entire Project Overiew'!B11)*
    ('Raw Data'!$M$11:$M$1217=DATE(2025,12,1))*
    'Raw Data'!AB11:AB1217
)
*'Entire Project Overiew'!R19
)
+
(
COUNT(
    _xlfn._xlws.FILTER(
        'Raw Data'!AB11:AB1217,
        (('Raw Data'!AB11:AB1217*-'Entire Project Overiew'!R19)&gt;'Entire Project Overiew'!B11)*
        ('Raw Data'!$M$11:$M$1217=DATE(2025,12,1))
    )
)
*'Entire Project Overiew'!B11
)</f>
        <v>0</v>
      </c>
      <c r="AK59" s="68" cm="1">
        <f t="array" ref="AK59">(
SUMPRODUCT(
    (('Raw Data'!AB11:AB1217*-'Entire Project Overiew'!R19)&gt;'Entire Project Overiew'!B11)*
    ('Raw Data'!$M$11:$M$1217=DATE(2026,1,1))*
    'Raw Data'!AB11:AB1217
)
*'Entire Project Overiew'!R19
)
+
(
COUNT(
    _xlfn._xlws.FILTER(
        'Raw Data'!AB11:AB1217,
        (('Raw Data'!AB11:AB1217*-'Entire Project Overiew'!R19)&gt;'Entire Project Overiew'!B11)*
        ('Raw Data'!$M$11:$M$1217=DATE(2026,1,1))
    )
)
*'Entire Project Overiew'!B11
)</f>
        <v>0</v>
      </c>
      <c r="AL59" s="68" cm="1">
        <f t="array" ref="AL59">(
SUMPRODUCT(
    (('Raw Data'!AB11:AB1217*-'Entire Project Overiew'!R19)&gt;'Entire Project Overiew'!B11)*
    ('Raw Data'!$M$11:$M$1217=DATE(2026,2,1))*
    'Raw Data'!AB11:AB1217
)
*'Entire Project Overiew'!R19
)
+
(
COUNT(
    _xlfn._xlws.FILTER(
        'Raw Data'!AB11:AB1217,
        (('Raw Data'!AB11:AB1217*-'Entire Project Overiew'!R19)&gt;'Entire Project Overiew'!B11)*
        ('Raw Data'!$M$11:$M$1217=DATE(2026,2,1))
    )
)
*'Entire Project Overiew'!B11
)</f>
        <v>0</v>
      </c>
      <c r="AM59" s="68" cm="1">
        <f t="array" ref="AM59">(
SUMPRODUCT(
    (('Raw Data'!AB11:AB1217*-'Entire Project Overiew'!R19)&gt;'Entire Project Overiew'!B11)*
    ('Raw Data'!$M$11:$M$1217=DATE(2026,3,1))*
    'Raw Data'!AB11:AB1217
)
*'Entire Project Overiew'!R19
)
+
(
COUNT(
    _xlfn._xlws.FILTER(
        'Raw Data'!AB11:AB1217,
        (('Raw Data'!AB11:AB1217*-'Entire Project Overiew'!R19)&gt;'Entire Project Overiew'!B11)*
        ('Raw Data'!$M$11:$M$1217=DATE(2026,3,1))
    )
)
*'Entire Project Overiew'!B11
)</f>
        <v>0</v>
      </c>
      <c r="AN59" s="68" cm="1">
        <f t="array" ref="AN59">(
SUMPRODUCT(
    (('Raw Data'!AB11:AB1217*-'Entire Project Overiew'!R19)&gt;'Entire Project Overiew'!B11)*
    ('Raw Data'!$M$11:$M$1217=DATE(2026,4,1))*
    'Raw Data'!AB11:AB1217
)
*'Entire Project Overiew'!R19
)
+
(
COUNT(
    _xlfn._xlws.FILTER(
        'Raw Data'!AB11:AB1217,
        (('Raw Data'!AB11:AB1217*-'Entire Project Overiew'!R19)&gt;'Entire Project Overiew'!B11)*
        ('Raw Data'!$M$11:$M$1217=DATE(2026,4,1))
    )
)
*'Entire Project Overiew'!B11
)</f>
        <v>0</v>
      </c>
      <c r="AO59" s="68" cm="1">
        <f t="array" ref="AO59">(
SUMPRODUCT(
    (('Raw Data'!AB11:AB1217*-'Entire Project Overiew'!R19)&gt;'Entire Project Overiew'!B11)*
    ('Raw Data'!$M$11:$M$1217=DATE(2026,5,1))*
    'Raw Data'!AB11:AB1217
)
*'Entire Project Overiew'!R19
)
+
(
COUNT(
    _xlfn._xlws.FILTER(
        'Raw Data'!AB11:AB1217,
        (('Raw Data'!AB11:AB1217*-'Entire Project Overiew'!R19)&gt;'Entire Project Overiew'!B11)*
        ('Raw Data'!$M$11:$M$1217=DATE(2026,5,1))
    )
)
*'Entire Project Overiew'!B11
)</f>
        <v>0</v>
      </c>
      <c r="AP59" s="68" cm="1">
        <f t="array" ref="AP59">(
SUMPRODUCT(
    (('Raw Data'!AB11:AB1217*-'Entire Project Overiew'!R19)&gt;'Entire Project Overiew'!B11)*
    ('Raw Data'!$M$11:$M$1217=DATE(2026,6,1))*
    'Raw Data'!AB11:AB1217
)
*'Entire Project Overiew'!R19
)
+
(
COUNT(
    _xlfn._xlws.FILTER(
        'Raw Data'!AB11:AB1217,
        (('Raw Data'!AB11:AB1217*-'Entire Project Overiew'!R19)&gt;'Entire Project Overiew'!B11)*
        ('Raw Data'!$M$11:$M$1217=DATE(2026,6,1))
    )
)
*'Entire Project Overiew'!B11
)</f>
        <v>0</v>
      </c>
      <c r="AQ59" s="84">
        <f t="shared" si="24"/>
        <v>0</v>
      </c>
      <c r="AR59" s="32"/>
      <c r="AS59"/>
      <c r="AT59"/>
      <c r="AU59"/>
      <c r="AV59"/>
      <c r="AW59"/>
      <c r="AX59"/>
      <c r="AY59"/>
      <c r="AZ59"/>
      <c r="BA59"/>
      <c r="BB59"/>
      <c r="BC59"/>
      <c r="BD59"/>
      <c r="BE59"/>
      <c r="BF59"/>
    </row>
    <row r="60" spans="1:58" s="32" customFormat="1" ht="16" x14ac:dyDescent="0.2">
      <c r="A60" s="220"/>
      <c r="B60" s="221"/>
      <c r="C60" s="221"/>
      <c r="D60" s="221"/>
      <c r="E60" s="221"/>
      <c r="F60" s="221"/>
      <c r="G60" s="221"/>
      <c r="H60" s="221"/>
      <c r="I60" s="221"/>
      <c r="J60" s="221"/>
      <c r="K60" s="221"/>
      <c r="L60" s="221"/>
      <c r="M60" s="221"/>
      <c r="N60" s="221"/>
      <c r="O60" s="221"/>
      <c r="P60" s="221"/>
      <c r="Q60" s="221"/>
      <c r="R60" s="221"/>
      <c r="S60" s="221"/>
      <c r="T60" s="221"/>
      <c r="U60" s="221"/>
      <c r="V60" s="221"/>
      <c r="W60" s="221"/>
      <c r="X60" s="221"/>
      <c r="Y60" s="221"/>
      <c r="Z60" s="221"/>
      <c r="AA60" s="221"/>
      <c r="AB60" s="221"/>
      <c r="AC60" s="221"/>
      <c r="AD60" s="221"/>
      <c r="AE60" s="221"/>
      <c r="AF60" s="221"/>
      <c r="AG60" s="221"/>
      <c r="AH60" s="221"/>
      <c r="AI60" s="221"/>
      <c r="AJ60" s="221"/>
      <c r="AK60" s="221"/>
      <c r="AL60" s="221"/>
      <c r="AM60" s="221"/>
      <c r="AN60" s="221"/>
      <c r="AO60" s="221"/>
      <c r="AP60" s="221"/>
      <c r="AQ60" s="222"/>
      <c r="AR60" s="19"/>
      <c r="AS60" s="19"/>
      <c r="AT60" s="19"/>
      <c r="AU60" s="19"/>
      <c r="AV60" s="19"/>
      <c r="AW60" s="19"/>
      <c r="AX60" s="19"/>
      <c r="AY60" s="19"/>
      <c r="AZ60" s="19"/>
      <c r="BA60" s="19"/>
      <c r="BB60" s="19"/>
      <c r="BC60" s="19"/>
      <c r="BD60" s="19"/>
      <c r="BE60" s="19"/>
      <c r="BF60" s="19"/>
    </row>
    <row r="61" spans="1:58" ht="16" customHeight="1" x14ac:dyDescent="0.2">
      <c r="A61" s="216" t="s">
        <v>1068</v>
      </c>
      <c r="B61" s="217"/>
      <c r="C61" s="217"/>
      <c r="D61" s="217"/>
      <c r="E61" s="217"/>
      <c r="F61" s="217"/>
      <c r="G61" s="217"/>
      <c r="H61" s="217"/>
      <c r="I61" s="217"/>
      <c r="J61" s="217"/>
      <c r="K61" s="217"/>
      <c r="L61" s="217"/>
      <c r="M61" s="217"/>
      <c r="N61" s="217"/>
      <c r="O61" s="217"/>
      <c r="P61" s="217"/>
      <c r="Q61" s="217"/>
      <c r="R61" s="217"/>
      <c r="S61" s="217"/>
      <c r="T61" s="217"/>
      <c r="U61" s="217"/>
      <c r="V61" s="217"/>
      <c r="W61" s="217"/>
      <c r="X61" s="217"/>
      <c r="Y61" s="217"/>
      <c r="Z61" s="217"/>
      <c r="AA61" s="217"/>
      <c r="AB61" s="217"/>
      <c r="AC61" s="217"/>
      <c r="AD61" s="217"/>
      <c r="AE61" s="217"/>
      <c r="AF61" s="217"/>
      <c r="AG61" s="217"/>
      <c r="AH61" s="217"/>
      <c r="AI61" s="217"/>
      <c r="AJ61" s="217"/>
      <c r="AK61" s="217"/>
      <c r="AL61" s="217"/>
      <c r="AM61" s="217"/>
      <c r="AN61" s="217"/>
      <c r="AO61" s="217"/>
      <c r="AP61" s="217"/>
      <c r="AQ61" s="218"/>
    </row>
    <row r="62" spans="1:58" ht="16" x14ac:dyDescent="0.2">
      <c r="A62" s="87" t="s">
        <v>1037</v>
      </c>
      <c r="B62" s="63">
        <f t="shared" ref="B62:AD62" si="27">SUM(B13,B18,B23,B31,B36,B42,B49,B54,B59)</f>
        <v>37421.950000000004</v>
      </c>
      <c r="C62" s="63">
        <f t="shared" si="27"/>
        <v>199.83</v>
      </c>
      <c r="D62" s="63">
        <f t="shared" si="27"/>
        <v>6846.62</v>
      </c>
      <c r="E62" s="63">
        <f t="shared" si="27"/>
        <v>110470.46999999997</v>
      </c>
      <c r="F62" s="63">
        <f t="shared" si="27"/>
        <v>112373.63000000006</v>
      </c>
      <c r="G62" s="63">
        <f t="shared" si="27"/>
        <v>1720.23</v>
      </c>
      <c r="H62" s="63">
        <f t="shared" si="27"/>
        <v>2917.01</v>
      </c>
      <c r="I62" s="63">
        <f t="shared" si="27"/>
        <v>2671.3</v>
      </c>
      <c r="J62" s="63">
        <f t="shared" si="27"/>
        <v>4325962.92</v>
      </c>
      <c r="K62" s="63">
        <f t="shared" si="27"/>
        <v>3017.0600000000004</v>
      </c>
      <c r="L62" s="63">
        <f t="shared" si="27"/>
        <v>1697.3199999999997</v>
      </c>
      <c r="M62" s="63">
        <f t="shared" si="27"/>
        <v>7679.7699999999986</v>
      </c>
      <c r="N62" s="63">
        <f t="shared" si="27"/>
        <v>6084.75</v>
      </c>
      <c r="O62" s="63">
        <f t="shared" si="27"/>
        <v>11782.81</v>
      </c>
      <c r="P62" s="63">
        <f t="shared" si="27"/>
        <v>3409.75</v>
      </c>
      <c r="Q62" s="63">
        <f t="shared" si="27"/>
        <v>2956.25</v>
      </c>
      <c r="R62" s="63">
        <f t="shared" si="27"/>
        <v>3226.33</v>
      </c>
      <c r="S62" s="63">
        <f t="shared" si="27"/>
        <v>3961.9199999999996</v>
      </c>
      <c r="T62" s="63">
        <f t="shared" si="27"/>
        <v>8441.15</v>
      </c>
      <c r="U62" s="63">
        <f t="shared" si="27"/>
        <v>11256.470000000001</v>
      </c>
      <c r="V62" s="63">
        <f t="shared" si="27"/>
        <v>27767.029999999992</v>
      </c>
      <c r="W62" s="63">
        <f t="shared" si="27"/>
        <v>4710.2024999999994</v>
      </c>
      <c r="X62" s="63">
        <f t="shared" si="27"/>
        <v>7887.880000000001</v>
      </c>
      <c r="Y62" s="63">
        <f t="shared" si="27"/>
        <v>6763.4</v>
      </c>
      <c r="Z62" s="63">
        <f t="shared" si="27"/>
        <v>7922.0899999999992</v>
      </c>
      <c r="AA62" s="63">
        <f t="shared" si="27"/>
        <v>8934.8499999999985</v>
      </c>
      <c r="AB62" s="63">
        <f t="shared" si="27"/>
        <v>9748.2199999999993</v>
      </c>
      <c r="AC62" s="63">
        <f t="shared" si="27"/>
        <v>13392.254000000001</v>
      </c>
      <c r="AD62" s="63">
        <f t="shared" si="27"/>
        <v>15380.089999999998</v>
      </c>
      <c r="AE62" s="63">
        <f>SUM(AE13,AE18,AE23,AE31,AE36,AE42,AE49,AE54,AE59)</f>
        <v>10740.91</v>
      </c>
      <c r="AF62" s="63">
        <f t="shared" ref="AF62:AP62" si="28">SUM(AF13,AF18,AF23,AF31,AF36,AF42,AF49,AF54,AF59)</f>
        <v>11500.78</v>
      </c>
      <c r="AG62" s="63">
        <f t="shared" si="28"/>
        <v>14395.5</v>
      </c>
      <c r="AH62" s="63">
        <f t="shared" si="28"/>
        <v>18136.079999999998</v>
      </c>
      <c r="AI62" s="63">
        <f t="shared" si="28"/>
        <v>3647.1000000000004</v>
      </c>
      <c r="AJ62" s="63">
        <f t="shared" si="28"/>
        <v>20302.006799999999</v>
      </c>
      <c r="AK62" s="63">
        <f t="shared" si="28"/>
        <v>40386.870799999997</v>
      </c>
      <c r="AL62" s="63">
        <f t="shared" si="28"/>
        <v>9711.1299999999974</v>
      </c>
      <c r="AM62" s="63">
        <f t="shared" si="28"/>
        <v>5476.43</v>
      </c>
      <c r="AN62" s="63">
        <f t="shared" si="28"/>
        <v>4130.04</v>
      </c>
      <c r="AO62" s="63">
        <f t="shared" si="28"/>
        <v>4884.99</v>
      </c>
      <c r="AP62" s="63">
        <f t="shared" si="28"/>
        <v>1382.55</v>
      </c>
      <c r="AQ62" s="88">
        <f t="shared" ref="AQ62:AQ64" si="29">SUM(B62:AP62)</f>
        <v>4911297.9440999972</v>
      </c>
      <c r="AR62" s="21"/>
      <c r="AS62" s="21"/>
      <c r="AT62" s="21"/>
      <c r="AU62" s="21"/>
      <c r="AV62" s="21"/>
      <c r="AW62" s="21"/>
      <c r="AX62" s="21"/>
      <c r="AY62" s="21"/>
      <c r="AZ62" s="21"/>
      <c r="BA62" s="21"/>
      <c r="BB62" s="21"/>
      <c r="BC62" s="21"/>
      <c r="BD62" s="21"/>
      <c r="BE62" s="21"/>
      <c r="BF62" s="21"/>
    </row>
    <row r="63" spans="1:58" ht="16" x14ac:dyDescent="0.2">
      <c r="A63" s="89" t="s">
        <v>1047</v>
      </c>
      <c r="B63" s="64">
        <f t="shared" ref="B63:AD63" si="30">B8</f>
        <v>15260</v>
      </c>
      <c r="C63" s="64">
        <f t="shared" si="30"/>
        <v>1635</v>
      </c>
      <c r="D63" s="64">
        <f t="shared" si="30"/>
        <v>3270</v>
      </c>
      <c r="E63" s="64">
        <f t="shared" si="30"/>
        <v>40875</v>
      </c>
      <c r="F63" s="64">
        <f t="shared" si="30"/>
        <v>41965</v>
      </c>
      <c r="G63" s="64">
        <f t="shared" si="30"/>
        <v>2180</v>
      </c>
      <c r="H63" s="64">
        <f t="shared" si="30"/>
        <v>3815</v>
      </c>
      <c r="I63" s="64">
        <f t="shared" si="30"/>
        <v>3815</v>
      </c>
      <c r="J63" s="64">
        <f t="shared" si="30"/>
        <v>9265</v>
      </c>
      <c r="K63" s="64">
        <f t="shared" si="30"/>
        <v>5450</v>
      </c>
      <c r="L63" s="64">
        <f t="shared" si="30"/>
        <v>3270</v>
      </c>
      <c r="M63" s="64">
        <f t="shared" si="30"/>
        <v>11445</v>
      </c>
      <c r="N63" s="64">
        <f t="shared" si="30"/>
        <v>14715</v>
      </c>
      <c r="O63" s="64">
        <f t="shared" si="30"/>
        <v>20165</v>
      </c>
      <c r="P63" s="64">
        <f t="shared" si="30"/>
        <v>5450</v>
      </c>
      <c r="Q63" s="64">
        <f t="shared" si="30"/>
        <v>6540</v>
      </c>
      <c r="R63" s="64">
        <f t="shared" si="30"/>
        <v>5450</v>
      </c>
      <c r="S63" s="64">
        <f t="shared" si="30"/>
        <v>5450</v>
      </c>
      <c r="T63" s="64">
        <f t="shared" si="30"/>
        <v>14170</v>
      </c>
      <c r="U63" s="64">
        <f t="shared" si="30"/>
        <v>19620</v>
      </c>
      <c r="V63" s="64">
        <f t="shared" si="30"/>
        <v>44145</v>
      </c>
      <c r="W63" s="64">
        <f t="shared" si="30"/>
        <v>20710</v>
      </c>
      <c r="X63" s="64">
        <f t="shared" si="30"/>
        <v>19620</v>
      </c>
      <c r="Y63" s="64">
        <f t="shared" si="30"/>
        <v>15805</v>
      </c>
      <c r="Z63" s="64">
        <f t="shared" si="30"/>
        <v>19620</v>
      </c>
      <c r="AA63" s="64">
        <f t="shared" si="30"/>
        <v>26705</v>
      </c>
      <c r="AB63" s="64">
        <f t="shared" si="30"/>
        <v>26160</v>
      </c>
      <c r="AC63" s="64">
        <f t="shared" si="30"/>
        <v>31065</v>
      </c>
      <c r="AD63" s="64">
        <f t="shared" si="30"/>
        <v>28340</v>
      </c>
      <c r="AE63" s="64">
        <f>AE8</f>
        <v>21255</v>
      </c>
      <c r="AF63" s="64">
        <f t="shared" ref="AF63:AP63" si="31">AF8</f>
        <v>17985</v>
      </c>
      <c r="AG63" s="64">
        <f t="shared" si="31"/>
        <v>20165</v>
      </c>
      <c r="AH63" s="64">
        <f t="shared" si="31"/>
        <v>25070</v>
      </c>
      <c r="AI63" s="64">
        <f t="shared" si="31"/>
        <v>15805</v>
      </c>
      <c r="AJ63" s="64">
        <f t="shared" si="31"/>
        <v>21255</v>
      </c>
      <c r="AK63" s="64">
        <f t="shared" si="31"/>
        <v>29430</v>
      </c>
      <c r="AL63" s="64">
        <f t="shared" si="31"/>
        <v>15260</v>
      </c>
      <c r="AM63" s="64">
        <f t="shared" si="31"/>
        <v>10355</v>
      </c>
      <c r="AN63" s="64">
        <f t="shared" si="31"/>
        <v>6540</v>
      </c>
      <c r="AO63" s="64">
        <f t="shared" si="31"/>
        <v>5450</v>
      </c>
      <c r="AP63" s="64">
        <f t="shared" si="31"/>
        <v>3270</v>
      </c>
      <c r="AQ63" s="90">
        <f t="shared" si="29"/>
        <v>657815</v>
      </c>
      <c r="AR63" s="21"/>
      <c r="AS63" s="21"/>
      <c r="AT63" s="21"/>
      <c r="AU63" s="21"/>
      <c r="AV63" s="21"/>
      <c r="AW63" s="21"/>
      <c r="AX63" s="21"/>
      <c r="AY63" s="21"/>
      <c r="AZ63" s="21"/>
      <c r="BA63" s="21"/>
      <c r="BB63" s="21"/>
      <c r="BC63" s="21"/>
      <c r="BD63" s="21"/>
      <c r="BE63" s="21"/>
      <c r="BF63" s="21"/>
    </row>
    <row r="64" spans="1:58" ht="17" thickBot="1" x14ac:dyDescent="0.25">
      <c r="A64" s="91" t="s">
        <v>1042</v>
      </c>
      <c r="B64" s="92">
        <f t="shared" ref="B64:AD64" si="32">SUM(B62:B63)</f>
        <v>52681.950000000004</v>
      </c>
      <c r="C64" s="92">
        <f t="shared" si="32"/>
        <v>1834.83</v>
      </c>
      <c r="D64" s="92">
        <f t="shared" si="32"/>
        <v>10116.619999999999</v>
      </c>
      <c r="E64" s="92">
        <f t="shared" si="32"/>
        <v>151345.46999999997</v>
      </c>
      <c r="F64" s="92">
        <f t="shared" si="32"/>
        <v>154338.63000000006</v>
      </c>
      <c r="G64" s="92">
        <f t="shared" si="32"/>
        <v>3900.23</v>
      </c>
      <c r="H64" s="92">
        <f t="shared" si="32"/>
        <v>6732.01</v>
      </c>
      <c r="I64" s="92">
        <f t="shared" si="32"/>
        <v>6486.3</v>
      </c>
      <c r="J64" s="92">
        <f t="shared" si="32"/>
        <v>4335227.92</v>
      </c>
      <c r="K64" s="92">
        <f t="shared" si="32"/>
        <v>8467.0600000000013</v>
      </c>
      <c r="L64" s="92">
        <f t="shared" si="32"/>
        <v>4967.32</v>
      </c>
      <c r="M64" s="92">
        <f t="shared" si="32"/>
        <v>19124.769999999997</v>
      </c>
      <c r="N64" s="92">
        <f t="shared" si="32"/>
        <v>20799.75</v>
      </c>
      <c r="O64" s="92">
        <f t="shared" si="32"/>
        <v>31947.809999999998</v>
      </c>
      <c r="P64" s="92">
        <f t="shared" si="32"/>
        <v>8859.75</v>
      </c>
      <c r="Q64" s="92">
        <f t="shared" si="32"/>
        <v>9496.25</v>
      </c>
      <c r="R64" s="92">
        <f t="shared" si="32"/>
        <v>8676.33</v>
      </c>
      <c r="S64" s="92">
        <f t="shared" si="32"/>
        <v>9411.92</v>
      </c>
      <c r="T64" s="92">
        <f t="shared" si="32"/>
        <v>22611.15</v>
      </c>
      <c r="U64" s="92">
        <f t="shared" si="32"/>
        <v>30876.47</v>
      </c>
      <c r="V64" s="92">
        <f t="shared" si="32"/>
        <v>71912.03</v>
      </c>
      <c r="W64" s="92">
        <f t="shared" si="32"/>
        <v>25420.202499999999</v>
      </c>
      <c r="X64" s="92">
        <f t="shared" si="32"/>
        <v>27507.88</v>
      </c>
      <c r="Y64" s="92">
        <f t="shared" si="32"/>
        <v>22568.400000000001</v>
      </c>
      <c r="Z64" s="92">
        <f t="shared" si="32"/>
        <v>27542.09</v>
      </c>
      <c r="AA64" s="92">
        <f t="shared" si="32"/>
        <v>35639.85</v>
      </c>
      <c r="AB64" s="92">
        <f t="shared" si="32"/>
        <v>35908.22</v>
      </c>
      <c r="AC64" s="92">
        <f t="shared" si="32"/>
        <v>44457.254000000001</v>
      </c>
      <c r="AD64" s="92">
        <f t="shared" si="32"/>
        <v>43720.09</v>
      </c>
      <c r="AE64" s="92">
        <f t="shared" ref="AE64:AP64" si="33">SUM(AE62:AE63)</f>
        <v>31995.91</v>
      </c>
      <c r="AF64" s="92">
        <f t="shared" si="33"/>
        <v>29485.78</v>
      </c>
      <c r="AG64" s="92">
        <f t="shared" si="33"/>
        <v>34560.5</v>
      </c>
      <c r="AH64" s="92">
        <f t="shared" si="33"/>
        <v>43206.080000000002</v>
      </c>
      <c r="AI64" s="92">
        <f t="shared" si="33"/>
        <v>19452.099999999999</v>
      </c>
      <c r="AJ64" s="92">
        <f t="shared" si="33"/>
        <v>41557.006800000003</v>
      </c>
      <c r="AK64" s="92">
        <f t="shared" si="33"/>
        <v>69816.870800000004</v>
      </c>
      <c r="AL64" s="92">
        <f t="shared" si="33"/>
        <v>24971.129999999997</v>
      </c>
      <c r="AM64" s="92">
        <f t="shared" si="33"/>
        <v>15831.43</v>
      </c>
      <c r="AN64" s="92">
        <f t="shared" si="33"/>
        <v>10670.04</v>
      </c>
      <c r="AO64" s="92">
        <f t="shared" si="33"/>
        <v>10334.99</v>
      </c>
      <c r="AP64" s="92">
        <f t="shared" si="33"/>
        <v>4652.55</v>
      </c>
      <c r="AQ64" s="93">
        <f t="shared" si="29"/>
        <v>5569112.9440999972</v>
      </c>
      <c r="AR64" s="32"/>
      <c r="AS64" s="32"/>
      <c r="AT64" s="32"/>
      <c r="AU64" s="32"/>
      <c r="AV64" s="32"/>
      <c r="AW64" s="32"/>
      <c r="AX64" s="32"/>
      <c r="AY64" s="32"/>
      <c r="AZ64" s="32"/>
      <c r="BA64" s="32"/>
      <c r="BB64" s="32"/>
      <c r="BC64" s="32"/>
      <c r="BD64" s="32"/>
      <c r="BE64" s="32"/>
      <c r="BF64" s="32"/>
    </row>
    <row r="69" spans="1:43" ht="15" x14ac:dyDescent="0.2">
      <c r="A69"/>
      <c r="B69"/>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row>
    <row r="70" spans="1:43" ht="15" x14ac:dyDescent="0.2">
      <c r="A70"/>
      <c r="B70"/>
      <c r="C70"/>
      <c r="D70"/>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row>
    <row r="71" spans="1:43" ht="15" x14ac:dyDescent="0.2">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row>
    <row r="72" spans="1:43" ht="15" x14ac:dyDescent="0.2">
      <c r="A72"/>
      <c r="B72"/>
      <c r="C72"/>
      <c r="D72"/>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row>
    <row r="73" spans="1:43" ht="15" x14ac:dyDescent="0.2">
      <c r="A73"/>
      <c r="B73"/>
      <c r="C73"/>
      <c r="D73"/>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row>
    <row r="74" spans="1:43" ht="15" x14ac:dyDescent="0.2">
      <c r="A74"/>
      <c r="B74"/>
      <c r="C74"/>
      <c r="D74"/>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row>
    <row r="75" spans="1:43" ht="15" x14ac:dyDescent="0.2">
      <c r="A75"/>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row>
    <row r="76" spans="1:43" ht="15" x14ac:dyDescent="0.2">
      <c r="A76"/>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row>
    <row r="77" spans="1:43" ht="15" x14ac:dyDescent="0.2">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row>
    <row r="78" spans="1:43" ht="15" x14ac:dyDescent="0.2">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row>
    <row r="79" spans="1:43" ht="15" x14ac:dyDescent="0.2">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row>
    <row r="80" spans="1:43" ht="15" x14ac:dyDescent="0.2">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row>
    <row r="81" spans="1:43" ht="15" x14ac:dyDescent="0.2">
      <c r="A81"/>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row>
    <row r="82" spans="1:43" ht="15" x14ac:dyDescent="0.2">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row>
    <row r="83" spans="1:43" ht="15" x14ac:dyDescent="0.2">
      <c r="A8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row>
    <row r="84" spans="1:43" ht="15" x14ac:dyDescent="0.2">
      <c r="A84"/>
      <c r="B84"/>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row>
    <row r="85" spans="1:43" ht="15" x14ac:dyDescent="0.2">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row>
    <row r="86" spans="1:43" ht="15" x14ac:dyDescent="0.2">
      <c r="A86"/>
      <c r="B86"/>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row>
    <row r="87" spans="1:43" ht="15" x14ac:dyDescent="0.2">
      <c r="A87"/>
      <c r="B87"/>
      <c r="C87"/>
      <c r="D87"/>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row>
    <row r="88" spans="1:43" ht="15" x14ac:dyDescent="0.2">
      <c r="A88"/>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row>
    <row r="89" spans="1:43" ht="15" x14ac:dyDescent="0.2">
      <c r="A89"/>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row>
    <row r="90" spans="1:43" ht="15" x14ac:dyDescent="0.2">
      <c r="A90"/>
      <c r="B90"/>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row>
    <row r="91" spans="1:43" ht="15" x14ac:dyDescent="0.2">
      <c r="A91"/>
      <c r="B91"/>
      <c r="C91"/>
      <c r="D91"/>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row>
    <row r="92" spans="1:43" ht="15" x14ac:dyDescent="0.2">
      <c r="A92"/>
      <c r="B92"/>
      <c r="C92"/>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row>
    <row r="93" spans="1:43" ht="15" x14ac:dyDescent="0.2">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row>
    <row r="94" spans="1:43" ht="15" x14ac:dyDescent="0.2">
      <c r="A94"/>
      <c r="B94"/>
      <c r="C94"/>
      <c r="D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row>
    <row r="95" spans="1:43" ht="15" x14ac:dyDescent="0.2">
      <c r="A95"/>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row>
    <row r="96" spans="1:43" ht="15" x14ac:dyDescent="0.2">
      <c r="A96"/>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row>
    <row r="97" spans="1:43" ht="15" x14ac:dyDescent="0.2">
      <c r="A97"/>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row>
    <row r="98" spans="1:43" ht="15" x14ac:dyDescent="0.2">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row>
    <row r="99" spans="1:43" ht="15" x14ac:dyDescent="0.2">
      <c r="A99"/>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row>
  </sheetData>
  <mergeCells count="28">
    <mergeCell ref="A33:AQ33"/>
    <mergeCell ref="B3:AQ3"/>
    <mergeCell ref="A32:AQ32"/>
    <mergeCell ref="A37:AQ37"/>
    <mergeCell ref="A43:AQ43"/>
    <mergeCell ref="A9:AQ9"/>
    <mergeCell ref="A14:AQ14"/>
    <mergeCell ref="AQ4:AQ5"/>
    <mergeCell ref="A10:AQ10"/>
    <mergeCell ref="A6:AQ6"/>
    <mergeCell ref="A25:AQ25"/>
    <mergeCell ref="A20:AQ20"/>
    <mergeCell ref="A15:AQ15"/>
    <mergeCell ref="A19:AQ19"/>
    <mergeCell ref="A24:AQ24"/>
    <mergeCell ref="A61:AQ61"/>
    <mergeCell ref="A56:AQ56"/>
    <mergeCell ref="A51:AQ51"/>
    <mergeCell ref="A44:AQ44"/>
    <mergeCell ref="A38:AQ38"/>
    <mergeCell ref="A55:AQ55"/>
    <mergeCell ref="A60:AQ60"/>
    <mergeCell ref="A50:AQ50"/>
    <mergeCell ref="AS3:AW3"/>
    <mergeCell ref="AS4:AV4"/>
    <mergeCell ref="AS5:AV5"/>
    <mergeCell ref="AS6:AV6"/>
    <mergeCell ref="A1:AQ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3145E-CFBB-2D4E-93C8-FF415CAA4160}">
  <dimension ref="A1:BF67"/>
  <sheetViews>
    <sheetView zoomScale="90" zoomScaleNormal="40" workbookViewId="0">
      <pane xSplit="1" topLeftCell="D1" activePane="topRight" state="frozen"/>
      <selection activeCell="A10" sqref="A10"/>
      <selection pane="topRight" activeCell="AW5" sqref="AW5"/>
    </sheetView>
  </sheetViews>
  <sheetFormatPr baseColWidth="10" defaultRowHeight="14" x14ac:dyDescent="0.15"/>
  <cols>
    <col min="1" max="1" width="32" style="51" bestFit="1" customWidth="1"/>
    <col min="2" max="2" width="13.6640625" style="51" bestFit="1" customWidth="1"/>
    <col min="3" max="3" width="12.5" style="51" bestFit="1" customWidth="1"/>
    <col min="4" max="4" width="13.6640625" style="51" bestFit="1" customWidth="1"/>
    <col min="5" max="6" width="14.83203125" style="51" bestFit="1" customWidth="1"/>
    <col min="7" max="9" width="12.5" style="51" bestFit="1" customWidth="1"/>
    <col min="10" max="10" width="16.5" style="51" bestFit="1" customWidth="1"/>
    <col min="11" max="12" width="12.5" style="51" bestFit="1" customWidth="1"/>
    <col min="13" max="15" width="13.6640625" style="51" bestFit="1" customWidth="1"/>
    <col min="16" max="19" width="12.5" style="51" bestFit="1" customWidth="1"/>
    <col min="20" max="30" width="13.6640625" style="51" bestFit="1" customWidth="1"/>
    <col min="31" max="41" width="13.6640625" style="19" bestFit="1" customWidth="1"/>
    <col min="42" max="42" width="12.5" style="19" bestFit="1" customWidth="1"/>
    <col min="43" max="43" width="16.5" style="52" bestFit="1" customWidth="1"/>
    <col min="44" max="44" width="8.5" style="19" customWidth="1"/>
    <col min="45" max="45" width="32" style="19" bestFit="1" customWidth="1"/>
    <col min="46" max="48" width="13" style="19" bestFit="1" customWidth="1"/>
    <col min="49" max="49" width="19.1640625" style="19" bestFit="1" customWidth="1"/>
    <col min="50" max="56" width="13" style="19" bestFit="1" customWidth="1"/>
    <col min="57" max="57" width="11.83203125" style="19" bestFit="1" customWidth="1"/>
    <col min="58" max="58" width="14.1640625" style="19" bestFit="1" customWidth="1"/>
    <col min="59" max="16384" width="10.83203125" style="19"/>
  </cols>
  <sheetData>
    <row r="1" spans="1:58" ht="25" x14ac:dyDescent="0.2">
      <c r="A1" s="165" t="s">
        <v>1080</v>
      </c>
      <c r="B1" s="166"/>
      <c r="C1" s="166"/>
      <c r="D1" s="166"/>
      <c r="E1" s="166"/>
      <c r="F1" s="166"/>
      <c r="G1" s="166"/>
      <c r="H1" s="166"/>
      <c r="I1" s="166"/>
      <c r="J1" s="166"/>
      <c r="K1" s="166"/>
      <c r="L1" s="166"/>
      <c r="M1" s="166"/>
      <c r="N1" s="166"/>
      <c r="O1" s="166"/>
      <c r="P1" s="166"/>
      <c r="Q1" s="166"/>
      <c r="R1" s="166"/>
      <c r="S1" s="166"/>
      <c r="T1" s="166"/>
      <c r="U1" s="166"/>
      <c r="V1" s="166"/>
      <c r="W1" s="166"/>
      <c r="X1" s="166"/>
      <c r="Y1" s="166"/>
      <c r="Z1" s="166"/>
      <c r="AA1" s="166"/>
      <c r="AB1" s="166"/>
      <c r="AC1" s="166"/>
      <c r="AD1" s="166"/>
      <c r="AE1" s="166"/>
      <c r="AF1" s="166"/>
      <c r="AG1" s="166"/>
      <c r="AH1" s="166"/>
      <c r="AI1" s="166"/>
      <c r="AJ1" s="166"/>
      <c r="AK1" s="166"/>
      <c r="AL1" s="166"/>
      <c r="AM1" s="166"/>
      <c r="AN1" s="166"/>
      <c r="AO1" s="166"/>
      <c r="AP1" s="166"/>
      <c r="AQ1" s="167"/>
      <c r="AR1"/>
      <c r="AS1"/>
      <c r="AT1"/>
      <c r="AU1"/>
      <c r="AV1"/>
      <c r="AW1"/>
      <c r="AX1"/>
      <c r="AY1"/>
      <c r="AZ1"/>
      <c r="BA1"/>
      <c r="BB1"/>
      <c r="BC1"/>
      <c r="BD1"/>
      <c r="BE1"/>
      <c r="BF1"/>
    </row>
    <row r="2" spans="1:58" ht="15" thickBot="1" x14ac:dyDescent="0.2"/>
    <row r="3" spans="1:58" s="21" customFormat="1" ht="23" x14ac:dyDescent="0.25">
      <c r="A3" s="148"/>
      <c r="B3" s="211" t="s">
        <v>1070</v>
      </c>
      <c r="C3" s="211"/>
      <c r="D3" s="211"/>
      <c r="E3" s="211"/>
      <c r="F3" s="211"/>
      <c r="G3" s="211"/>
      <c r="H3" s="211"/>
      <c r="I3" s="211"/>
      <c r="J3" s="211"/>
      <c r="K3" s="211"/>
      <c r="L3" s="211"/>
      <c r="M3" s="211"/>
      <c r="N3" s="211"/>
      <c r="O3" s="211"/>
      <c r="P3" s="211"/>
      <c r="Q3" s="211"/>
      <c r="R3" s="211"/>
      <c r="S3" s="211"/>
      <c r="T3" s="211"/>
      <c r="U3" s="211"/>
      <c r="V3" s="211"/>
      <c r="W3" s="211"/>
      <c r="X3" s="211"/>
      <c r="Y3" s="211"/>
      <c r="Z3" s="211"/>
      <c r="AA3" s="211"/>
      <c r="AB3" s="211"/>
      <c r="AC3" s="211"/>
      <c r="AD3" s="211"/>
      <c r="AE3" s="211"/>
      <c r="AF3" s="211"/>
      <c r="AG3" s="211"/>
      <c r="AH3" s="211"/>
      <c r="AI3" s="211"/>
      <c r="AJ3" s="211"/>
      <c r="AK3" s="211"/>
      <c r="AL3" s="211"/>
      <c r="AM3" s="211"/>
      <c r="AN3" s="211"/>
      <c r="AO3" s="211"/>
      <c r="AP3" s="211"/>
      <c r="AQ3" s="212"/>
      <c r="AR3" s="19"/>
      <c r="AS3" s="162" t="s">
        <v>1073</v>
      </c>
      <c r="AT3" s="163"/>
      <c r="AU3" s="163"/>
      <c r="AV3" s="163"/>
      <c r="AW3" s="164"/>
    </row>
    <row r="4" spans="1:58" s="32" customFormat="1" ht="18" x14ac:dyDescent="0.2">
      <c r="A4" s="150" t="s">
        <v>1010</v>
      </c>
      <c r="B4" s="154">
        <v>2022</v>
      </c>
      <c r="C4" s="152">
        <v>2022</v>
      </c>
      <c r="D4" s="152">
        <v>2023</v>
      </c>
      <c r="E4" s="152">
        <v>2023</v>
      </c>
      <c r="F4" s="152">
        <v>2023</v>
      </c>
      <c r="G4" s="152">
        <v>2023</v>
      </c>
      <c r="H4" s="152">
        <v>2023</v>
      </c>
      <c r="I4" s="152">
        <v>2023</v>
      </c>
      <c r="J4" s="152">
        <v>2023</v>
      </c>
      <c r="K4" s="152">
        <v>2023</v>
      </c>
      <c r="L4" s="152">
        <v>2023</v>
      </c>
      <c r="M4" s="152">
        <v>2024</v>
      </c>
      <c r="N4" s="152">
        <v>2024</v>
      </c>
      <c r="O4" s="152">
        <v>2024</v>
      </c>
      <c r="P4" s="152">
        <v>2024</v>
      </c>
      <c r="Q4" s="152">
        <v>2024</v>
      </c>
      <c r="R4" s="152">
        <v>2024</v>
      </c>
      <c r="S4" s="152">
        <v>2024</v>
      </c>
      <c r="T4" s="152">
        <v>2024</v>
      </c>
      <c r="U4" s="152">
        <v>2024</v>
      </c>
      <c r="V4" s="152">
        <v>2024</v>
      </c>
      <c r="W4" s="152">
        <v>2024</v>
      </c>
      <c r="X4" s="152">
        <v>2024</v>
      </c>
      <c r="Y4" s="152">
        <v>2025</v>
      </c>
      <c r="Z4" s="152">
        <v>2025</v>
      </c>
      <c r="AA4" s="152">
        <v>2025</v>
      </c>
      <c r="AB4" s="152">
        <v>2025</v>
      </c>
      <c r="AC4" s="152">
        <v>2025</v>
      </c>
      <c r="AD4" s="58">
        <v>2025</v>
      </c>
      <c r="AE4" s="56">
        <v>2025</v>
      </c>
      <c r="AF4" s="57">
        <v>2025</v>
      </c>
      <c r="AG4" s="58">
        <v>2025</v>
      </c>
      <c r="AH4" s="57">
        <v>2025</v>
      </c>
      <c r="AI4" s="58">
        <v>2025</v>
      </c>
      <c r="AJ4" s="57">
        <v>2025</v>
      </c>
      <c r="AK4" s="58">
        <v>2026</v>
      </c>
      <c r="AL4" s="57">
        <v>2026</v>
      </c>
      <c r="AM4" s="58">
        <v>2026</v>
      </c>
      <c r="AN4" s="57">
        <v>2026</v>
      </c>
      <c r="AO4" s="58">
        <v>2026</v>
      </c>
      <c r="AP4" s="57">
        <v>2026</v>
      </c>
      <c r="AQ4" s="226" t="s">
        <v>1007</v>
      </c>
      <c r="AR4" s="21"/>
      <c r="AS4" s="182" t="s">
        <v>1071</v>
      </c>
      <c r="AT4" s="183"/>
      <c r="AU4" s="183"/>
      <c r="AV4" s="183"/>
      <c r="AW4" s="101">
        <f>'Monthly $ Break Down (TRUE)'!AQ64</f>
        <v>5569112.9440999972</v>
      </c>
    </row>
    <row r="5" spans="1:58" ht="19" thickBot="1" x14ac:dyDescent="0.25">
      <c r="A5" s="151" t="s">
        <v>1011</v>
      </c>
      <c r="B5" s="155" t="s">
        <v>932</v>
      </c>
      <c r="C5" s="153" t="s">
        <v>933</v>
      </c>
      <c r="D5" s="153" t="s">
        <v>934</v>
      </c>
      <c r="E5" s="153" t="s">
        <v>935</v>
      </c>
      <c r="F5" s="153" t="s">
        <v>936</v>
      </c>
      <c r="G5" s="153" t="s">
        <v>937</v>
      </c>
      <c r="H5" s="153" t="s">
        <v>938</v>
      </c>
      <c r="I5" s="153" t="s">
        <v>939</v>
      </c>
      <c r="J5" s="153" t="s">
        <v>940</v>
      </c>
      <c r="K5" s="153" t="s">
        <v>932</v>
      </c>
      <c r="L5" s="153" t="s">
        <v>933</v>
      </c>
      <c r="M5" s="153" t="s">
        <v>1002</v>
      </c>
      <c r="N5" s="153" t="s">
        <v>1003</v>
      </c>
      <c r="O5" s="153" t="s">
        <v>1004</v>
      </c>
      <c r="P5" s="153" t="s">
        <v>934</v>
      </c>
      <c r="Q5" s="153" t="s">
        <v>935</v>
      </c>
      <c r="R5" s="153" t="s">
        <v>936</v>
      </c>
      <c r="S5" s="153" t="s">
        <v>937</v>
      </c>
      <c r="T5" s="153" t="s">
        <v>938</v>
      </c>
      <c r="U5" s="153" t="s">
        <v>939</v>
      </c>
      <c r="V5" s="153" t="s">
        <v>940</v>
      </c>
      <c r="W5" s="153" t="s">
        <v>932</v>
      </c>
      <c r="X5" s="153" t="s">
        <v>933</v>
      </c>
      <c r="Y5" s="153" t="s">
        <v>1002</v>
      </c>
      <c r="Z5" s="153" t="s">
        <v>1003</v>
      </c>
      <c r="AA5" s="153" t="s">
        <v>1004</v>
      </c>
      <c r="AB5" s="153" t="s">
        <v>934</v>
      </c>
      <c r="AC5" s="153" t="s">
        <v>935</v>
      </c>
      <c r="AD5" s="149" t="s">
        <v>936</v>
      </c>
      <c r="AE5" s="53" t="s">
        <v>937</v>
      </c>
      <c r="AF5" s="55" t="s">
        <v>938</v>
      </c>
      <c r="AG5" s="54" t="s">
        <v>1012</v>
      </c>
      <c r="AH5" s="55" t="s">
        <v>940</v>
      </c>
      <c r="AI5" s="54" t="s">
        <v>932</v>
      </c>
      <c r="AJ5" s="55" t="s">
        <v>933</v>
      </c>
      <c r="AK5" s="54" t="s">
        <v>1002</v>
      </c>
      <c r="AL5" s="55" t="s">
        <v>1003</v>
      </c>
      <c r="AM5" s="54" t="s">
        <v>1004</v>
      </c>
      <c r="AN5" s="55" t="s">
        <v>934</v>
      </c>
      <c r="AO5" s="54" t="s">
        <v>935</v>
      </c>
      <c r="AP5" s="55" t="s">
        <v>936</v>
      </c>
      <c r="AQ5" s="227"/>
      <c r="AR5" s="21"/>
      <c r="AS5" s="182" t="s">
        <v>1072</v>
      </c>
      <c r="AT5" s="183"/>
      <c r="AU5" s="183"/>
      <c r="AV5" s="183"/>
      <c r="AW5" s="101">
        <f>AQ32</f>
        <v>7399640.29</v>
      </c>
    </row>
    <row r="6" spans="1:58" ht="20" thickTop="1" thickBot="1" x14ac:dyDescent="0.25">
      <c r="A6" s="213" t="s">
        <v>1065</v>
      </c>
      <c r="B6" s="214"/>
      <c r="C6" s="214"/>
      <c r="D6" s="214"/>
      <c r="E6" s="214"/>
      <c r="F6" s="214"/>
      <c r="G6" s="214"/>
      <c r="H6" s="214"/>
      <c r="I6" s="214"/>
      <c r="J6" s="214"/>
      <c r="K6" s="214"/>
      <c r="L6" s="214"/>
      <c r="M6" s="214"/>
      <c r="N6" s="214"/>
      <c r="O6" s="214"/>
      <c r="P6" s="214"/>
      <c r="Q6" s="214"/>
      <c r="R6" s="214"/>
      <c r="S6" s="214"/>
      <c r="T6" s="214"/>
      <c r="U6" s="214"/>
      <c r="V6" s="214"/>
      <c r="W6" s="214"/>
      <c r="X6" s="214"/>
      <c r="Y6" s="214"/>
      <c r="Z6" s="214"/>
      <c r="AA6" s="214"/>
      <c r="AB6" s="214"/>
      <c r="AC6" s="214"/>
      <c r="AD6" s="214"/>
      <c r="AE6" s="214"/>
      <c r="AF6" s="214"/>
      <c r="AG6" s="214"/>
      <c r="AH6" s="214"/>
      <c r="AI6" s="214"/>
      <c r="AJ6" s="214"/>
      <c r="AK6" s="214"/>
      <c r="AL6" s="214"/>
      <c r="AM6" s="214"/>
      <c r="AN6" s="214"/>
      <c r="AO6" s="214"/>
      <c r="AP6" s="214"/>
      <c r="AQ6" s="215"/>
      <c r="AS6" s="196" t="s">
        <v>1016</v>
      </c>
      <c r="AT6" s="197"/>
      <c r="AU6" s="197"/>
      <c r="AV6" s="197"/>
      <c r="AW6" s="126">
        <f>AW5-AW4</f>
        <v>1830527.3459000029</v>
      </c>
    </row>
    <row r="7" spans="1:58" s="21" customFormat="1" ht="17" thickTop="1" x14ac:dyDescent="0.2">
      <c r="A7" s="76" t="s">
        <v>1046</v>
      </c>
      <c r="B7" s="21">
        <f>COUNTIF('Raw Data'!$M$11:$M$1217,DATE(2022,11,1))</f>
        <v>28</v>
      </c>
      <c r="C7" s="21">
        <f>COUNTIF('Raw Data'!$M$11:$M$1217,DATE(2022,12,1))</f>
        <v>3</v>
      </c>
      <c r="D7" s="21">
        <f>COUNTIF('Raw Data'!$M$11:$M$1217,DATE(2023,4,1))</f>
        <v>6</v>
      </c>
      <c r="E7" s="21">
        <f>COUNTIF('Raw Data'!$M$11:$M$1217,DATE(2023,5,1))</f>
        <v>75</v>
      </c>
      <c r="F7" s="21">
        <f>COUNTIF('Raw Data'!$M$11:$M$1217,DATE(2023,6,1))</f>
        <v>77</v>
      </c>
      <c r="G7" s="21">
        <f>COUNTIF('Raw Data'!$M$11:$M$1217,DATE(2023,7,1))</f>
        <v>4</v>
      </c>
      <c r="H7" s="21">
        <f>COUNTIF('Raw Data'!$M$11:$M$1217,DATE(2023,8,1))</f>
        <v>7</v>
      </c>
      <c r="I7" s="21">
        <f>COUNTIF('Raw Data'!$M$11:$M$1217,DATE(2023,9,1))</f>
        <v>7</v>
      </c>
      <c r="J7" s="21">
        <f>COUNTIF('Raw Data'!$M$11:$M$1217,DATE(2023,10,1))</f>
        <v>17</v>
      </c>
      <c r="K7" s="21">
        <f>COUNTIF('Raw Data'!$M$11:$M$1217,DATE(2023,11,1))</f>
        <v>10</v>
      </c>
      <c r="L7" s="21">
        <f>COUNTIF('Raw Data'!$M$11:$M$1217,DATE(2023,12,1))</f>
        <v>6</v>
      </c>
      <c r="M7" s="21">
        <f>COUNTIF('Raw Data'!$M$11:$M$1217,DATE(2024,1,1))</f>
        <v>21</v>
      </c>
      <c r="N7" s="21">
        <f>COUNTIF('Raw Data'!$M$11:$M$1217,DATE(2024,2,1))</f>
        <v>27</v>
      </c>
      <c r="O7" s="21">
        <f>COUNTIF('Raw Data'!$M$11:$M$1217,DATE(2024,3,1))</f>
        <v>37</v>
      </c>
      <c r="P7" s="21">
        <f>COUNTIF('Raw Data'!$M$11:$M$1217,DATE(2024,4,1))</f>
        <v>10</v>
      </c>
      <c r="Q7" s="21">
        <f>COUNTIF('Raw Data'!$M$11:$M$1217,DATE(2024,5,1))</f>
        <v>12</v>
      </c>
      <c r="R7" s="21">
        <f>COUNTIF('Raw Data'!$M$11:$M$1217,DATE(2024,6,1))</f>
        <v>10</v>
      </c>
      <c r="S7" s="21">
        <f>COUNTIF('Raw Data'!$M$11:$M$1217,DATE(2024,7,1))</f>
        <v>10</v>
      </c>
      <c r="T7" s="21">
        <f>COUNTIF('Raw Data'!$M$11:$M$1217,DATE(2024,8,1))</f>
        <v>26</v>
      </c>
      <c r="U7" s="21">
        <f>COUNTIF('Raw Data'!$M$11:$M$1217,DATE(2024,9,1))</f>
        <v>36</v>
      </c>
      <c r="V7" s="21">
        <f>COUNTIF('Raw Data'!$M$11:$M$1217,DATE(2024,10,1))</f>
        <v>81</v>
      </c>
      <c r="W7" s="21">
        <f>COUNTIF('Raw Data'!$M$11:$M$1217,DATE(2024,11,1))</f>
        <v>38</v>
      </c>
      <c r="X7" s="21">
        <f>COUNTIF('Raw Data'!$M$11:$M$1217,DATE(2024,12,1))</f>
        <v>36</v>
      </c>
      <c r="Y7" s="21">
        <f>COUNTIF('Raw Data'!$M$11:$M$1217,DATE(2025,1,1))</f>
        <v>29</v>
      </c>
      <c r="Z7" s="21">
        <f>COUNTIF('Raw Data'!$M$11:$M$1217,DATE(2025,2,1))</f>
        <v>36</v>
      </c>
      <c r="AA7" s="21">
        <f>COUNTIF('Raw Data'!$M$11:$M$1217,DATE(2025,3,1))</f>
        <v>49</v>
      </c>
      <c r="AB7" s="21">
        <f>COUNTIF('Raw Data'!$M$11:$M$1217,DATE(2025,4,1))</f>
        <v>48</v>
      </c>
      <c r="AC7" s="21">
        <f>COUNTIF('Raw Data'!$M$11:$M$1217,DATE(2025,5,1))</f>
        <v>57</v>
      </c>
      <c r="AD7" s="21">
        <f>COUNTIF('Raw Data'!$M$11:$M$1217,DATE(2025,6,1))</f>
        <v>52</v>
      </c>
      <c r="AE7" s="21">
        <f>COUNTIF('Raw Data'!$M$11:$M$1217,DATE(2025,7,1))</f>
        <v>39</v>
      </c>
      <c r="AF7" s="21">
        <f>COUNTIF('Raw Data'!$M$11:$M$1217,DATE(2025,8,1))</f>
        <v>33</v>
      </c>
      <c r="AG7" s="21">
        <f>COUNTIF('Raw Data'!$M$11:$M$1217,DATE(2025,9,1))</f>
        <v>37</v>
      </c>
      <c r="AH7" s="21">
        <f>COUNTIF('Raw Data'!$M$11:$M$1217,DATE(2025,10,1))</f>
        <v>46</v>
      </c>
      <c r="AI7" s="21">
        <f>COUNTIF('Raw Data'!$M$11:$M$1217,DATE(2025,11,1))</f>
        <v>29</v>
      </c>
      <c r="AJ7" s="21">
        <f>COUNTIF('Raw Data'!$M$11:$M$1217,DATE(2025,12,1))</f>
        <v>39</v>
      </c>
      <c r="AK7" s="21">
        <f>COUNTIF('Raw Data'!$M$11:$M$1217,DATE(2026,1,1))</f>
        <v>54</v>
      </c>
      <c r="AL7" s="21">
        <f>COUNTIF('Raw Data'!$M$11:$M$1217,DATE(2026,2,1))</f>
        <v>28</v>
      </c>
      <c r="AM7" s="21">
        <f>COUNTIF('Raw Data'!$M$11:$M$1217,DATE(2026,3,1))</f>
        <v>19</v>
      </c>
      <c r="AN7" s="21">
        <f>COUNTIF('Raw Data'!$M$11:$M$1217,DATE(2026,4,1))</f>
        <v>12</v>
      </c>
      <c r="AO7" s="21">
        <f>COUNTIF('Raw Data'!$M$11:$M$1217,DATE(2026,5,1))</f>
        <v>10</v>
      </c>
      <c r="AP7" s="21">
        <f>COUNTIF('Raw Data'!$M$11:$M$1217,DATE(2026,6,1))</f>
        <v>6</v>
      </c>
      <c r="AQ7" s="77">
        <f>SUM(B7:AP7)</f>
        <v>1207</v>
      </c>
      <c r="AS7" s="19"/>
      <c r="AT7" s="19"/>
      <c r="AU7" s="19"/>
      <c r="AV7" s="19"/>
      <c r="AW7" s="19"/>
    </row>
    <row r="8" spans="1:58" s="21" customFormat="1" ht="16" x14ac:dyDescent="0.2">
      <c r="A8" s="78" t="s">
        <v>1064</v>
      </c>
      <c r="B8" s="69">
        <f>B7*'Entire Project Overiew'!$O$11</f>
        <v>15260</v>
      </c>
      <c r="C8" s="69">
        <f>C7*'Entire Project Overiew'!$O$11</f>
        <v>1635</v>
      </c>
      <c r="D8" s="69">
        <f>D7*'Entire Project Overiew'!$O$11</f>
        <v>3270</v>
      </c>
      <c r="E8" s="69">
        <f>E7*'Entire Project Overiew'!$O$11</f>
        <v>40875</v>
      </c>
      <c r="F8" s="69">
        <f>F7*'Entire Project Overiew'!$O$11</f>
        <v>41965</v>
      </c>
      <c r="G8" s="69">
        <f>G7*'Entire Project Overiew'!$O$11</f>
        <v>2180</v>
      </c>
      <c r="H8" s="69">
        <f>H7*'Entire Project Overiew'!$O$11</f>
        <v>3815</v>
      </c>
      <c r="I8" s="69">
        <f>I7*'Entire Project Overiew'!$O$11</f>
        <v>3815</v>
      </c>
      <c r="J8" s="69">
        <f>J7*'Entire Project Overiew'!$O$11</f>
        <v>9265</v>
      </c>
      <c r="K8" s="69">
        <f>K7*'Entire Project Overiew'!$O$11</f>
        <v>5450</v>
      </c>
      <c r="L8" s="69">
        <f>L7*'Entire Project Overiew'!$O$11</f>
        <v>3270</v>
      </c>
      <c r="M8" s="69">
        <f>M7*'Entire Project Overiew'!$O$11</f>
        <v>11445</v>
      </c>
      <c r="N8" s="69">
        <f>N7*'Entire Project Overiew'!$O$11</f>
        <v>14715</v>
      </c>
      <c r="O8" s="69">
        <f>O7*'Entire Project Overiew'!$O$11</f>
        <v>20165</v>
      </c>
      <c r="P8" s="69">
        <f>P7*'Entire Project Overiew'!$O$11</f>
        <v>5450</v>
      </c>
      <c r="Q8" s="69">
        <f>Q7*'Entire Project Overiew'!$O$11</f>
        <v>6540</v>
      </c>
      <c r="R8" s="69">
        <f>R7*'Entire Project Overiew'!$O$11</f>
        <v>5450</v>
      </c>
      <c r="S8" s="69">
        <f>S7*'Entire Project Overiew'!$O$11</f>
        <v>5450</v>
      </c>
      <c r="T8" s="69">
        <f>T7*'Entire Project Overiew'!$O$11</f>
        <v>14170</v>
      </c>
      <c r="U8" s="69">
        <f>U7*'Entire Project Overiew'!$O$11</f>
        <v>19620</v>
      </c>
      <c r="V8" s="69">
        <f>V7*'Entire Project Overiew'!$O$11</f>
        <v>44145</v>
      </c>
      <c r="W8" s="69">
        <f>W7*'Entire Project Overiew'!$O$11</f>
        <v>20710</v>
      </c>
      <c r="X8" s="69">
        <f>X7*'Entire Project Overiew'!$O$11</f>
        <v>19620</v>
      </c>
      <c r="Y8" s="69">
        <f>Y7*'Entire Project Overiew'!$O$11</f>
        <v>15805</v>
      </c>
      <c r="Z8" s="69">
        <f>Z7*'Entire Project Overiew'!$O$11</f>
        <v>19620</v>
      </c>
      <c r="AA8" s="69">
        <f>AA7*'Entire Project Overiew'!$O$11</f>
        <v>26705</v>
      </c>
      <c r="AB8" s="69">
        <f>AB7*'Entire Project Overiew'!$O$11</f>
        <v>26160</v>
      </c>
      <c r="AC8" s="69">
        <f>AC7*'Entire Project Overiew'!$O$11</f>
        <v>31065</v>
      </c>
      <c r="AD8" s="69">
        <f>AD7*'Entire Project Overiew'!$O$11</f>
        <v>28340</v>
      </c>
      <c r="AE8" s="69">
        <f>AE7*'Entire Project Overiew'!$O$11</f>
        <v>21255</v>
      </c>
      <c r="AF8" s="69">
        <f>AF7*'Entire Project Overiew'!$O$11</f>
        <v>17985</v>
      </c>
      <c r="AG8" s="69">
        <f>AG7*'Entire Project Overiew'!$O$11</f>
        <v>20165</v>
      </c>
      <c r="AH8" s="69">
        <f>AH7*'Entire Project Overiew'!$O$11</f>
        <v>25070</v>
      </c>
      <c r="AI8" s="69">
        <f>AI7*'Entire Project Overiew'!$O$11</f>
        <v>15805</v>
      </c>
      <c r="AJ8" s="69">
        <f>AJ7*'Entire Project Overiew'!$O$11</f>
        <v>21255</v>
      </c>
      <c r="AK8" s="69">
        <f>AK7*'Entire Project Overiew'!$O$11</f>
        <v>29430</v>
      </c>
      <c r="AL8" s="69">
        <f>AL7*'Entire Project Overiew'!$O$11</f>
        <v>15260</v>
      </c>
      <c r="AM8" s="69">
        <f>AM7*'Entire Project Overiew'!$O$11</f>
        <v>10355</v>
      </c>
      <c r="AN8" s="69">
        <f>AN7*'Entire Project Overiew'!$O$11</f>
        <v>6540</v>
      </c>
      <c r="AO8" s="69">
        <f>AO7*'Entire Project Overiew'!$O$11</f>
        <v>5450</v>
      </c>
      <c r="AP8" s="69">
        <f>AP7*'Entire Project Overiew'!$O$11</f>
        <v>3270</v>
      </c>
      <c r="AQ8" s="79">
        <f>SUM(B8:AP8)</f>
        <v>657815</v>
      </c>
      <c r="AR8" s="32"/>
    </row>
    <row r="9" spans="1:58" s="32" customFormat="1" ht="16" x14ac:dyDescent="0.2">
      <c r="A9" s="220"/>
      <c r="B9" s="221"/>
      <c r="C9" s="221"/>
      <c r="D9" s="221"/>
      <c r="E9" s="221"/>
      <c r="F9" s="221"/>
      <c r="G9" s="221"/>
      <c r="H9" s="221"/>
      <c r="I9" s="221"/>
      <c r="J9" s="221"/>
      <c r="K9" s="221"/>
      <c r="L9" s="221"/>
      <c r="M9" s="221"/>
      <c r="N9" s="221"/>
      <c r="O9" s="221"/>
      <c r="P9" s="221"/>
      <c r="Q9" s="221"/>
      <c r="R9" s="221"/>
      <c r="S9" s="221"/>
      <c r="T9" s="221"/>
      <c r="U9" s="221"/>
      <c r="V9" s="221"/>
      <c r="W9" s="221"/>
      <c r="X9" s="221"/>
      <c r="Y9" s="221"/>
      <c r="Z9" s="221"/>
      <c r="AA9" s="221"/>
      <c r="AB9" s="221"/>
      <c r="AC9" s="221"/>
      <c r="AD9" s="221"/>
      <c r="AE9" s="221"/>
      <c r="AF9" s="221"/>
      <c r="AG9" s="221"/>
      <c r="AH9" s="221"/>
      <c r="AI9" s="221"/>
      <c r="AJ9" s="221"/>
      <c r="AK9" s="221"/>
      <c r="AL9" s="221"/>
      <c r="AM9" s="221"/>
      <c r="AN9" s="221"/>
      <c r="AO9" s="221"/>
      <c r="AP9" s="221"/>
      <c r="AQ9" s="222"/>
      <c r="AR9" s="19"/>
    </row>
    <row r="10" spans="1:58" s="21" customFormat="1" ht="18" x14ac:dyDescent="0.2">
      <c r="A10" s="213" t="s">
        <v>1021</v>
      </c>
      <c r="B10" s="214"/>
      <c r="C10" s="214"/>
      <c r="D10" s="214"/>
      <c r="E10" s="214"/>
      <c r="F10" s="214"/>
      <c r="G10" s="214"/>
      <c r="H10" s="214"/>
      <c r="I10" s="214"/>
      <c r="J10" s="214"/>
      <c r="K10" s="214"/>
      <c r="L10" s="214"/>
      <c r="M10" s="214"/>
      <c r="N10" s="214"/>
      <c r="O10" s="214"/>
      <c r="P10" s="214"/>
      <c r="Q10" s="214"/>
      <c r="R10" s="214"/>
      <c r="S10" s="214"/>
      <c r="T10" s="214"/>
      <c r="U10" s="214"/>
      <c r="V10" s="214"/>
      <c r="W10" s="214"/>
      <c r="X10" s="214"/>
      <c r="Y10" s="214"/>
      <c r="Z10" s="214"/>
      <c r="AA10" s="214"/>
      <c r="AB10" s="214"/>
      <c r="AC10" s="214"/>
      <c r="AD10" s="214"/>
      <c r="AE10" s="214"/>
      <c r="AF10" s="214"/>
      <c r="AG10" s="214"/>
      <c r="AH10" s="214"/>
      <c r="AI10" s="214"/>
      <c r="AJ10" s="214"/>
      <c r="AK10" s="214"/>
      <c r="AL10" s="214"/>
      <c r="AM10" s="214"/>
      <c r="AN10" s="214"/>
      <c r="AO10" s="214"/>
      <c r="AP10" s="214"/>
      <c r="AQ10" s="215"/>
      <c r="AR10" s="19"/>
    </row>
    <row r="11" spans="1:58" ht="16" x14ac:dyDescent="0.2">
      <c r="A11" s="80" t="s">
        <v>69</v>
      </c>
      <c r="B11" s="21">
        <v>0</v>
      </c>
      <c r="C11" s="21">
        <v>0</v>
      </c>
      <c r="D11" s="21">
        <v>4.6254999999999997</v>
      </c>
      <c r="E11" s="21">
        <v>2.9435000000000002</v>
      </c>
      <c r="F11" s="21">
        <v>0</v>
      </c>
      <c r="G11" s="21">
        <v>1.5311999999999999</v>
      </c>
      <c r="H11" s="21">
        <v>0</v>
      </c>
      <c r="I11" s="21">
        <v>0</v>
      </c>
      <c r="J11" s="21">
        <v>0</v>
      </c>
      <c r="K11" s="21">
        <v>0</v>
      </c>
      <c r="L11" s="21">
        <v>0</v>
      </c>
      <c r="M11" s="21">
        <v>0</v>
      </c>
      <c r="N11" s="21">
        <v>0</v>
      </c>
      <c r="O11" s="21">
        <v>0</v>
      </c>
      <c r="P11" s="21">
        <v>0</v>
      </c>
      <c r="Q11" s="21">
        <v>0</v>
      </c>
      <c r="R11" s="21">
        <v>0</v>
      </c>
      <c r="S11" s="21">
        <v>0</v>
      </c>
      <c r="T11" s="21">
        <v>0</v>
      </c>
      <c r="U11" s="21">
        <v>0</v>
      </c>
      <c r="V11" s="21">
        <v>0</v>
      </c>
      <c r="W11" s="21">
        <v>0</v>
      </c>
      <c r="X11" s="21">
        <v>0</v>
      </c>
      <c r="Y11" s="21">
        <v>0</v>
      </c>
      <c r="Z11" s="21">
        <v>0</v>
      </c>
      <c r="AA11" s="21">
        <v>0</v>
      </c>
      <c r="AB11" s="21">
        <v>0</v>
      </c>
      <c r="AC11" s="21">
        <v>0</v>
      </c>
      <c r="AD11" s="21">
        <v>0</v>
      </c>
      <c r="AE11" s="21">
        <v>0</v>
      </c>
      <c r="AF11" s="21">
        <v>0</v>
      </c>
      <c r="AG11" s="21">
        <v>0</v>
      </c>
      <c r="AH11" s="21">
        <v>0</v>
      </c>
      <c r="AI11" s="21">
        <v>0</v>
      </c>
      <c r="AJ11" s="21">
        <v>0</v>
      </c>
      <c r="AK11" s="21">
        <v>0</v>
      </c>
      <c r="AL11" s="21">
        <v>0</v>
      </c>
      <c r="AM11" s="21">
        <v>0</v>
      </c>
      <c r="AN11" s="21">
        <v>0</v>
      </c>
      <c r="AO11" s="21">
        <v>0</v>
      </c>
      <c r="AP11" s="21">
        <v>0</v>
      </c>
      <c r="AQ11" s="157">
        <f t="shared" ref="AQ11" si="0">SUM(B11:AP11)</f>
        <v>9.1001999999999992</v>
      </c>
      <c r="AR11" s="21"/>
    </row>
    <row r="12" spans="1:58" ht="16" x14ac:dyDescent="0.2">
      <c r="A12" s="80" t="s">
        <v>47</v>
      </c>
      <c r="B12" s="21">
        <v>0</v>
      </c>
      <c r="C12" s="21">
        <v>0</v>
      </c>
      <c r="D12" s="21">
        <v>0</v>
      </c>
      <c r="E12" s="21">
        <v>0</v>
      </c>
      <c r="F12" s="21">
        <v>0</v>
      </c>
      <c r="G12" s="21">
        <v>0</v>
      </c>
      <c r="H12" s="21">
        <v>0</v>
      </c>
      <c r="I12" s="21">
        <v>0</v>
      </c>
      <c r="J12" s="21">
        <v>0</v>
      </c>
      <c r="K12" s="21">
        <v>0</v>
      </c>
      <c r="L12" s="21">
        <v>0</v>
      </c>
      <c r="M12" s="21">
        <v>0</v>
      </c>
      <c r="N12" s="21">
        <v>0</v>
      </c>
      <c r="O12" s="21">
        <v>0</v>
      </c>
      <c r="P12" s="21">
        <v>0</v>
      </c>
      <c r="Q12" s="21">
        <v>0</v>
      </c>
      <c r="R12" s="21">
        <v>0</v>
      </c>
      <c r="S12" s="21">
        <v>0</v>
      </c>
      <c r="T12" s="21">
        <v>0</v>
      </c>
      <c r="U12" s="21">
        <v>0</v>
      </c>
      <c r="V12" s="21">
        <v>0</v>
      </c>
      <c r="W12" s="21">
        <v>0.84599999999999997</v>
      </c>
      <c r="X12" s="21">
        <v>0.7</v>
      </c>
      <c r="Y12" s="21">
        <v>0</v>
      </c>
      <c r="Z12" s="21">
        <v>0</v>
      </c>
      <c r="AA12" s="21">
        <v>0</v>
      </c>
      <c r="AB12" s="21">
        <v>0</v>
      </c>
      <c r="AC12" s="21">
        <v>0</v>
      </c>
      <c r="AD12" s="21">
        <v>0</v>
      </c>
      <c r="AE12" s="21">
        <v>0</v>
      </c>
      <c r="AF12" s="21">
        <v>0</v>
      </c>
      <c r="AG12" s="40">
        <v>2.0699999999999998</v>
      </c>
      <c r="AH12" s="21">
        <v>0</v>
      </c>
      <c r="AI12" s="21">
        <v>0</v>
      </c>
      <c r="AJ12" s="21">
        <v>0</v>
      </c>
      <c r="AK12" s="21">
        <v>0</v>
      </c>
      <c r="AL12" s="21">
        <v>0</v>
      </c>
      <c r="AM12" s="21">
        <v>0</v>
      </c>
      <c r="AN12" s="21">
        <v>0</v>
      </c>
      <c r="AO12" s="21">
        <v>0</v>
      </c>
      <c r="AP12" s="21">
        <v>0</v>
      </c>
      <c r="AQ12" s="158">
        <f t="shared" ref="AQ12" si="1">SUM(B12:AP12)</f>
        <v>3.6159999999999997</v>
      </c>
      <c r="AR12" s="21"/>
    </row>
    <row r="13" spans="1:58" ht="16" x14ac:dyDescent="0.2">
      <c r="A13" s="80" t="s">
        <v>55</v>
      </c>
      <c r="B13" s="21">
        <v>0</v>
      </c>
      <c r="C13" s="21">
        <v>0</v>
      </c>
      <c r="D13" s="21">
        <v>0</v>
      </c>
      <c r="E13" s="21">
        <v>0</v>
      </c>
      <c r="F13" s="21">
        <v>0</v>
      </c>
      <c r="G13" s="21">
        <v>0</v>
      </c>
      <c r="H13" s="21">
        <v>0</v>
      </c>
      <c r="I13" s="21">
        <v>0</v>
      </c>
      <c r="J13" s="21">
        <v>0</v>
      </c>
      <c r="K13" s="21">
        <v>0</v>
      </c>
      <c r="L13" s="21">
        <v>0</v>
      </c>
      <c r="M13" s="21">
        <v>0</v>
      </c>
      <c r="N13" s="21">
        <v>0</v>
      </c>
      <c r="O13" s="21">
        <v>0</v>
      </c>
      <c r="P13" s="21">
        <v>0</v>
      </c>
      <c r="Q13" s="21">
        <v>0</v>
      </c>
      <c r="R13" s="21">
        <v>0</v>
      </c>
      <c r="S13" s="21">
        <v>0</v>
      </c>
      <c r="T13" s="21">
        <v>0</v>
      </c>
      <c r="U13" s="21">
        <v>0</v>
      </c>
      <c r="V13" s="21">
        <v>0</v>
      </c>
      <c r="W13" s="21">
        <v>0</v>
      </c>
      <c r="X13" s="21">
        <v>0</v>
      </c>
      <c r="Y13" s="21">
        <v>0</v>
      </c>
      <c r="Z13" s="21">
        <v>0</v>
      </c>
      <c r="AA13" s="21">
        <v>0</v>
      </c>
      <c r="AB13" s="21">
        <v>0</v>
      </c>
      <c r="AC13" s="21">
        <v>0</v>
      </c>
      <c r="AD13" s="21">
        <v>0</v>
      </c>
      <c r="AE13" s="21">
        <v>0</v>
      </c>
      <c r="AF13" s="21">
        <v>0</v>
      </c>
      <c r="AG13" s="40">
        <v>0.75</v>
      </c>
      <c r="AH13" s="21">
        <v>0</v>
      </c>
      <c r="AI13" s="21">
        <v>0</v>
      </c>
      <c r="AJ13" s="21">
        <v>0</v>
      </c>
      <c r="AK13" s="21">
        <v>0</v>
      </c>
      <c r="AL13" s="21">
        <v>0</v>
      </c>
      <c r="AM13" s="21">
        <v>0</v>
      </c>
      <c r="AN13" s="21">
        <v>0</v>
      </c>
      <c r="AO13" s="21">
        <v>0</v>
      </c>
      <c r="AP13" s="21">
        <v>0</v>
      </c>
      <c r="AQ13" s="159">
        <f t="shared" ref="AQ13" si="2">SUM(B13:AP13)</f>
        <v>0.75</v>
      </c>
      <c r="AR13" s="21"/>
    </row>
    <row r="14" spans="1:58" s="21" customFormat="1" ht="16" x14ac:dyDescent="0.2">
      <c r="A14" s="80" t="s">
        <v>64</v>
      </c>
      <c r="B14" s="21">
        <v>0</v>
      </c>
      <c r="C14" s="21">
        <v>0</v>
      </c>
      <c r="D14" s="21">
        <v>11.3245</v>
      </c>
      <c r="E14" s="21">
        <v>7.2065000000000001</v>
      </c>
      <c r="F14" s="21">
        <v>0</v>
      </c>
      <c r="G14" s="21">
        <v>3.7488000000000001</v>
      </c>
      <c r="H14" s="21">
        <v>0</v>
      </c>
      <c r="I14" s="21">
        <v>0</v>
      </c>
      <c r="J14" s="21">
        <v>1.1244000000000001</v>
      </c>
      <c r="K14" s="21">
        <v>0</v>
      </c>
      <c r="L14" s="21">
        <v>0</v>
      </c>
      <c r="M14" s="21">
        <v>0.93840000000000001</v>
      </c>
      <c r="N14" s="21">
        <v>0</v>
      </c>
      <c r="O14" s="21">
        <v>0</v>
      </c>
      <c r="P14" s="21">
        <v>0</v>
      </c>
      <c r="Q14" s="21">
        <v>0</v>
      </c>
      <c r="R14" s="21">
        <v>0</v>
      </c>
      <c r="S14" s="21">
        <v>0</v>
      </c>
      <c r="T14" s="21">
        <v>0</v>
      </c>
      <c r="U14" s="21">
        <v>0</v>
      </c>
      <c r="V14" s="21">
        <v>0</v>
      </c>
      <c r="W14" s="21">
        <v>0</v>
      </c>
      <c r="X14" s="21">
        <v>0</v>
      </c>
      <c r="Y14" s="21">
        <v>0</v>
      </c>
      <c r="Z14" s="21">
        <v>0</v>
      </c>
      <c r="AA14" s="21">
        <v>0</v>
      </c>
      <c r="AB14" s="21">
        <v>0</v>
      </c>
      <c r="AC14" s="21">
        <v>0</v>
      </c>
      <c r="AD14" s="21">
        <v>0</v>
      </c>
      <c r="AE14" s="21">
        <v>0</v>
      </c>
      <c r="AF14" s="21">
        <v>0</v>
      </c>
      <c r="AG14" s="21">
        <v>0</v>
      </c>
      <c r="AH14" s="21">
        <v>0</v>
      </c>
      <c r="AI14" s="21">
        <v>0</v>
      </c>
      <c r="AJ14" s="21">
        <v>0</v>
      </c>
      <c r="AK14" s="21">
        <v>0</v>
      </c>
      <c r="AL14" s="21">
        <v>0</v>
      </c>
      <c r="AM14" s="21">
        <v>0</v>
      </c>
      <c r="AN14" s="21">
        <v>0</v>
      </c>
      <c r="AO14" s="21">
        <v>0</v>
      </c>
      <c r="AP14" s="21">
        <v>0</v>
      </c>
      <c r="AQ14" s="159">
        <f t="shared" ref="AQ14:AQ17" si="3">SUM(B14:AP14)</f>
        <v>24.342600000000001</v>
      </c>
    </row>
    <row r="15" spans="1:58" s="32" customFormat="1" ht="16" x14ac:dyDescent="0.2">
      <c r="A15" s="80" t="s">
        <v>39</v>
      </c>
      <c r="B15" s="21">
        <v>0.41</v>
      </c>
      <c r="C15" s="21">
        <v>0.33479999999999999</v>
      </c>
      <c r="D15" s="21">
        <v>0</v>
      </c>
      <c r="E15" s="21">
        <v>0</v>
      </c>
      <c r="F15" s="21">
        <v>1.1199999999999999</v>
      </c>
      <c r="G15" s="21">
        <v>0</v>
      </c>
      <c r="H15" s="21">
        <v>0</v>
      </c>
      <c r="I15" s="21">
        <v>0</v>
      </c>
      <c r="J15" s="21">
        <v>0</v>
      </c>
      <c r="K15" s="21">
        <v>5.32</v>
      </c>
      <c r="L15" s="21">
        <v>1.8</v>
      </c>
      <c r="M15" s="21">
        <v>3.24</v>
      </c>
      <c r="N15" s="21">
        <v>6.2</v>
      </c>
      <c r="O15" s="21">
        <v>6.9850000000000003</v>
      </c>
      <c r="P15" s="21">
        <v>5.69</v>
      </c>
      <c r="Q15" s="21">
        <v>5.1099999999999994</v>
      </c>
      <c r="R15" s="21">
        <v>4.0400000000000009</v>
      </c>
      <c r="S15" s="21">
        <v>3.74</v>
      </c>
      <c r="T15" s="21">
        <v>8.6</v>
      </c>
      <c r="U15" s="21">
        <v>2.79</v>
      </c>
      <c r="V15" s="21">
        <v>0.54</v>
      </c>
      <c r="W15" s="21">
        <v>1.1355000000000002</v>
      </c>
      <c r="X15" s="21">
        <v>3.72</v>
      </c>
      <c r="Y15" s="21">
        <v>6.64</v>
      </c>
      <c r="Z15" s="21">
        <v>2.9299999999999997</v>
      </c>
      <c r="AA15" s="21">
        <v>4.21</v>
      </c>
      <c r="AB15" s="21">
        <v>10.35</v>
      </c>
      <c r="AC15" s="21">
        <v>15.130000000000003</v>
      </c>
      <c r="AD15" s="21">
        <v>36.949999999999996</v>
      </c>
      <c r="AE15" s="40">
        <v>24.429999999999996</v>
      </c>
      <c r="AF15" s="40">
        <v>17.66</v>
      </c>
      <c r="AG15" s="40">
        <v>12.33</v>
      </c>
      <c r="AH15" s="40">
        <v>28.007000000000001</v>
      </c>
      <c r="AI15" s="40">
        <v>5.9300000000000006</v>
      </c>
      <c r="AJ15" s="40">
        <v>18.340399999999999</v>
      </c>
      <c r="AK15" s="40">
        <v>35.369599999999998</v>
      </c>
      <c r="AL15" s="40">
        <v>26.661899999999996</v>
      </c>
      <c r="AM15" s="40">
        <v>13.215199999999999</v>
      </c>
      <c r="AN15" s="40">
        <v>13.017299999999997</v>
      </c>
      <c r="AO15" s="40">
        <v>18.660400000000003</v>
      </c>
      <c r="AP15" s="40">
        <v>3.8268000000000004</v>
      </c>
      <c r="AQ15" s="159">
        <f t="shared" si="3"/>
        <v>354.43389999999994</v>
      </c>
      <c r="AR15" s="21"/>
    </row>
    <row r="16" spans="1:58" ht="16" x14ac:dyDescent="0.2">
      <c r="A16" s="80" t="s">
        <v>46</v>
      </c>
      <c r="B16" s="21">
        <v>0.33</v>
      </c>
      <c r="C16" s="21">
        <v>0.28000000000000003</v>
      </c>
      <c r="D16" s="21">
        <v>0</v>
      </c>
      <c r="E16" s="21">
        <v>0</v>
      </c>
      <c r="F16" s="21">
        <v>0.90999999999999992</v>
      </c>
      <c r="G16" s="21">
        <v>0</v>
      </c>
      <c r="H16" s="21">
        <v>0</v>
      </c>
      <c r="I16" s="21">
        <v>0</v>
      </c>
      <c r="J16" s="21">
        <v>2.8056000000000001</v>
      </c>
      <c r="K16" s="21">
        <v>4.3100000000000005</v>
      </c>
      <c r="L16" s="21">
        <v>1.46</v>
      </c>
      <c r="M16" s="21">
        <v>5.5676000000000005</v>
      </c>
      <c r="N16" s="21">
        <v>5.01</v>
      </c>
      <c r="O16" s="21">
        <v>6.5040000000000004</v>
      </c>
      <c r="P16" s="21">
        <v>4.6000000000000005</v>
      </c>
      <c r="Q16" s="21">
        <v>4.49</v>
      </c>
      <c r="R16" s="21">
        <v>3.2600000000000002</v>
      </c>
      <c r="S16" s="21">
        <v>3.0300000000000002</v>
      </c>
      <c r="T16" s="21">
        <v>6.99</v>
      </c>
      <c r="U16" s="21">
        <v>10.290000000000001</v>
      </c>
      <c r="V16" s="21">
        <v>0.44</v>
      </c>
      <c r="W16" s="21">
        <v>0.9</v>
      </c>
      <c r="X16" s="21">
        <v>3</v>
      </c>
      <c r="Y16" s="21">
        <v>5.39</v>
      </c>
      <c r="Z16" s="21">
        <v>2.3800000000000003</v>
      </c>
      <c r="AA16" s="21">
        <v>3.3899999999999997</v>
      </c>
      <c r="AB16" s="21">
        <v>8.3899999999999988</v>
      </c>
      <c r="AC16" s="21">
        <v>12.24</v>
      </c>
      <c r="AD16" s="21">
        <v>29.939999999999991</v>
      </c>
      <c r="AE16" s="40">
        <v>19.840000000000003</v>
      </c>
      <c r="AF16" s="40">
        <v>14.32</v>
      </c>
      <c r="AG16" s="40">
        <v>10.18</v>
      </c>
      <c r="AH16" s="40">
        <v>22.73</v>
      </c>
      <c r="AI16" s="40">
        <v>4.8100000000000005</v>
      </c>
      <c r="AJ16" s="40">
        <v>14.866200000000001</v>
      </c>
      <c r="AK16" s="40">
        <v>28.656400000000001</v>
      </c>
      <c r="AL16" s="40">
        <v>21.601899999999997</v>
      </c>
      <c r="AM16" s="40">
        <v>10.706900000000001</v>
      </c>
      <c r="AN16" s="40">
        <v>10.5465</v>
      </c>
      <c r="AO16" s="40">
        <v>15.055800000000001</v>
      </c>
      <c r="AP16" s="40">
        <v>3.1006</v>
      </c>
      <c r="AQ16" s="159">
        <f t="shared" si="3"/>
        <v>302.3214999999999</v>
      </c>
      <c r="AR16" s="21"/>
    </row>
    <row r="17" spans="1:58" ht="16" x14ac:dyDescent="0.2">
      <c r="A17" s="80" t="s">
        <v>48</v>
      </c>
      <c r="B17" s="21">
        <v>0.34</v>
      </c>
      <c r="C17" s="21">
        <v>0.27</v>
      </c>
      <c r="D17" s="21">
        <v>0</v>
      </c>
      <c r="E17" s="21">
        <v>0</v>
      </c>
      <c r="F17" s="21">
        <v>0.92999999999999994</v>
      </c>
      <c r="G17" s="21">
        <v>0</v>
      </c>
      <c r="H17" s="21">
        <v>0</v>
      </c>
      <c r="I17" s="21">
        <v>0</v>
      </c>
      <c r="J17" s="21">
        <v>0</v>
      </c>
      <c r="K17" s="21">
        <v>4.3600000000000003</v>
      </c>
      <c r="L17" s="21">
        <v>1.48</v>
      </c>
      <c r="M17" s="21">
        <v>2.6399999999999997</v>
      </c>
      <c r="N17" s="21">
        <v>5.08</v>
      </c>
      <c r="O17" s="21">
        <v>5.7299999999999995</v>
      </c>
      <c r="P17" s="21">
        <v>4.6399999999999997</v>
      </c>
      <c r="Q17" s="21">
        <v>4.16</v>
      </c>
      <c r="R17" s="21">
        <v>3.2800000000000002</v>
      </c>
      <c r="S17" s="21">
        <v>3.07</v>
      </c>
      <c r="T17" s="21">
        <v>7.0500000000000007</v>
      </c>
      <c r="U17" s="21">
        <v>2.2999999999999998</v>
      </c>
      <c r="V17" s="21">
        <v>0.45</v>
      </c>
      <c r="W17" s="21">
        <v>0.91</v>
      </c>
      <c r="X17" s="21">
        <v>3.0200000000000005</v>
      </c>
      <c r="Y17" s="21">
        <v>5.45</v>
      </c>
      <c r="Z17" s="21">
        <v>2.4000000000000004</v>
      </c>
      <c r="AA17" s="21">
        <v>3.41</v>
      </c>
      <c r="AB17" s="21">
        <v>8.48</v>
      </c>
      <c r="AC17" s="21">
        <v>12.383600000000003</v>
      </c>
      <c r="AD17" s="21">
        <v>30.259999999999998</v>
      </c>
      <c r="AE17" s="40">
        <v>20.050000000000004</v>
      </c>
      <c r="AF17" s="40">
        <v>14.459999999999999</v>
      </c>
      <c r="AG17" s="40">
        <v>8.4499999999999993</v>
      </c>
      <c r="AH17" s="40">
        <v>22.9</v>
      </c>
      <c r="AI17" s="40">
        <v>4.8599999999999994</v>
      </c>
      <c r="AJ17" s="40">
        <v>15.012600000000003</v>
      </c>
      <c r="AK17" s="40">
        <v>28.953900000000004</v>
      </c>
      <c r="AL17" s="40">
        <v>21.825999999999997</v>
      </c>
      <c r="AM17" s="40">
        <v>10.818099999999999</v>
      </c>
      <c r="AN17" s="40">
        <v>10.6561</v>
      </c>
      <c r="AO17" s="40">
        <v>15.133699999999997</v>
      </c>
      <c r="AP17" s="40">
        <v>3.1325999999999996</v>
      </c>
      <c r="AQ17" s="159">
        <f t="shared" si="3"/>
        <v>288.34659999999997</v>
      </c>
      <c r="AR17" s="21"/>
    </row>
    <row r="18" spans="1:58" ht="16" x14ac:dyDescent="0.2">
      <c r="A18" s="80" t="s">
        <v>70</v>
      </c>
      <c r="B18" s="21">
        <v>0</v>
      </c>
      <c r="C18" s="21">
        <v>1.31</v>
      </c>
      <c r="D18" s="21">
        <v>0</v>
      </c>
      <c r="E18" s="21">
        <v>0</v>
      </c>
      <c r="F18" s="21">
        <v>0</v>
      </c>
      <c r="G18" s="21">
        <v>7.92</v>
      </c>
      <c r="H18" s="21">
        <v>19.400000000000002</v>
      </c>
      <c r="I18" s="21">
        <v>16.14</v>
      </c>
      <c r="J18" s="21">
        <v>32.500000000000007</v>
      </c>
      <c r="K18" s="21">
        <v>5.0199999999999996</v>
      </c>
      <c r="L18" s="21">
        <v>3.88</v>
      </c>
      <c r="M18" s="21">
        <v>34.803999999999995</v>
      </c>
      <c r="N18" s="21">
        <v>6.13</v>
      </c>
      <c r="O18" s="21">
        <v>41.19</v>
      </c>
      <c r="P18" s="21">
        <v>22.55</v>
      </c>
      <c r="Q18" s="21">
        <v>14.34</v>
      </c>
      <c r="R18" s="21">
        <v>13.219999999999999</v>
      </c>
      <c r="S18" s="21">
        <v>11.64</v>
      </c>
      <c r="T18" s="21">
        <v>25.83</v>
      </c>
      <c r="U18" s="21">
        <v>41.019999999999996</v>
      </c>
      <c r="V18" s="21">
        <v>59.43</v>
      </c>
      <c r="W18" s="21">
        <v>11.054499999999999</v>
      </c>
      <c r="X18" s="21">
        <v>15.92</v>
      </c>
      <c r="Y18" s="21">
        <v>8.91</v>
      </c>
      <c r="Z18" s="21">
        <v>14.35</v>
      </c>
      <c r="AA18" s="21">
        <v>19.439999999999998</v>
      </c>
      <c r="AB18" s="21">
        <v>17.389999999999997</v>
      </c>
      <c r="AC18" s="21">
        <v>33.016399999999997</v>
      </c>
      <c r="AD18" s="21">
        <v>21.14</v>
      </c>
      <c r="AE18" s="59">
        <v>12.47</v>
      </c>
      <c r="AF18" s="40">
        <v>0.9</v>
      </c>
      <c r="AG18" s="40">
        <v>5.82</v>
      </c>
      <c r="AH18" s="40">
        <v>26.26</v>
      </c>
      <c r="AI18" s="40">
        <v>78.94</v>
      </c>
      <c r="AJ18" s="40">
        <v>64.740000000000009</v>
      </c>
      <c r="AK18" s="40">
        <v>29.13</v>
      </c>
      <c r="AL18" s="40">
        <v>16.46</v>
      </c>
      <c r="AM18" s="40">
        <v>6.4499999999999993</v>
      </c>
      <c r="AN18" s="40">
        <v>8.33</v>
      </c>
      <c r="AO18" s="21">
        <v>0</v>
      </c>
      <c r="AP18" s="40">
        <v>4.43</v>
      </c>
      <c r="AQ18" s="159">
        <f t="shared" ref="AQ18" si="4">SUM(B18:AP18)</f>
        <v>751.47490000000005</v>
      </c>
      <c r="AR18" s="21"/>
      <c r="AS18" s="21"/>
      <c r="AT18" s="21"/>
      <c r="AU18" s="21"/>
      <c r="AV18" s="21"/>
      <c r="AW18"/>
      <c r="AX18"/>
      <c r="AY18"/>
      <c r="AZ18"/>
      <c r="BA18"/>
      <c r="BB18"/>
      <c r="BC18"/>
      <c r="BD18"/>
      <c r="BE18"/>
      <c r="BF18"/>
    </row>
    <row r="19" spans="1:58" ht="16" x14ac:dyDescent="0.2">
      <c r="A19" s="80" t="s">
        <v>44</v>
      </c>
      <c r="B19" s="21">
        <v>0</v>
      </c>
      <c r="C19" s="21">
        <v>0</v>
      </c>
      <c r="D19" s="21">
        <v>0</v>
      </c>
      <c r="E19" s="21">
        <v>0</v>
      </c>
      <c r="F19" s="21">
        <v>0</v>
      </c>
      <c r="G19" s="21">
        <v>0</v>
      </c>
      <c r="H19" s="21">
        <v>0</v>
      </c>
      <c r="I19" s="21">
        <v>0</v>
      </c>
      <c r="J19" s="21">
        <v>0</v>
      </c>
      <c r="K19" s="21">
        <v>0</v>
      </c>
      <c r="L19" s="21">
        <v>0</v>
      </c>
      <c r="M19" s="21">
        <v>0</v>
      </c>
      <c r="N19" s="21">
        <v>0</v>
      </c>
      <c r="O19" s="21">
        <v>0</v>
      </c>
      <c r="P19" s="21">
        <v>0</v>
      </c>
      <c r="Q19" s="21">
        <v>0</v>
      </c>
      <c r="R19" s="21">
        <v>0</v>
      </c>
      <c r="S19" s="21">
        <v>0</v>
      </c>
      <c r="T19" s="21">
        <v>5.83</v>
      </c>
      <c r="U19" s="21">
        <v>0</v>
      </c>
      <c r="V19" s="21">
        <v>0</v>
      </c>
      <c r="W19" s="21">
        <v>0</v>
      </c>
      <c r="X19" s="21">
        <v>0</v>
      </c>
      <c r="Y19" s="21">
        <v>0</v>
      </c>
      <c r="Z19" s="21">
        <v>0</v>
      </c>
      <c r="AA19" s="21">
        <v>0</v>
      </c>
      <c r="AB19" s="21">
        <v>0</v>
      </c>
      <c r="AC19" s="21">
        <v>0</v>
      </c>
      <c r="AD19" s="21">
        <v>0</v>
      </c>
      <c r="AE19" s="21">
        <v>0</v>
      </c>
      <c r="AF19" s="21">
        <v>0</v>
      </c>
      <c r="AG19" s="40">
        <v>9.67</v>
      </c>
      <c r="AH19" s="40">
        <v>4.95</v>
      </c>
      <c r="AI19" s="21">
        <v>0</v>
      </c>
      <c r="AJ19" s="21">
        <v>0</v>
      </c>
      <c r="AK19" s="21">
        <v>0</v>
      </c>
      <c r="AL19" s="21">
        <v>0</v>
      </c>
      <c r="AM19" s="21">
        <v>0</v>
      </c>
      <c r="AN19" s="21">
        <v>0</v>
      </c>
      <c r="AO19" s="21">
        <v>0</v>
      </c>
      <c r="AP19" s="21">
        <v>0</v>
      </c>
      <c r="AQ19" s="159">
        <f t="shared" ref="AQ19:AQ20" si="5">SUM(B19:AP19)</f>
        <v>20.45</v>
      </c>
      <c r="AR19" s="21"/>
      <c r="AS19" s="21"/>
      <c r="AT19" s="21"/>
      <c r="AU19" s="21"/>
      <c r="AV19" s="21"/>
      <c r="AW19" s="21"/>
      <c r="AX19" s="21"/>
      <c r="AY19" s="21"/>
      <c r="AZ19" s="21"/>
      <c r="BA19" s="21"/>
      <c r="BB19" s="21"/>
      <c r="BC19" s="21"/>
      <c r="BD19" s="21"/>
      <c r="BE19" s="21"/>
      <c r="BF19" s="21"/>
    </row>
    <row r="20" spans="1:58" ht="16" x14ac:dyDescent="0.2">
      <c r="A20" s="80" t="s">
        <v>58</v>
      </c>
      <c r="B20" s="21">
        <v>0</v>
      </c>
      <c r="C20" s="21">
        <v>0</v>
      </c>
      <c r="D20" s="21">
        <v>0</v>
      </c>
      <c r="E20" s="21">
        <v>0</v>
      </c>
      <c r="F20" s="21">
        <v>0</v>
      </c>
      <c r="G20" s="21">
        <v>0</v>
      </c>
      <c r="H20" s="21">
        <v>0</v>
      </c>
      <c r="I20" s="21">
        <v>0</v>
      </c>
      <c r="J20" s="21">
        <v>0</v>
      </c>
      <c r="K20" s="21">
        <v>0</v>
      </c>
      <c r="L20" s="21">
        <v>0</v>
      </c>
      <c r="M20" s="21">
        <v>0</v>
      </c>
      <c r="N20" s="21">
        <v>0</v>
      </c>
      <c r="O20" s="21">
        <v>0</v>
      </c>
      <c r="P20" s="21">
        <v>0</v>
      </c>
      <c r="Q20" s="21">
        <v>0</v>
      </c>
      <c r="R20" s="21">
        <v>0</v>
      </c>
      <c r="S20" s="21">
        <v>0</v>
      </c>
      <c r="T20" s="21">
        <v>0</v>
      </c>
      <c r="U20" s="21">
        <v>14.370000000000001</v>
      </c>
      <c r="V20" s="21">
        <v>37.099999999999994</v>
      </c>
      <c r="W20" s="21">
        <v>70.66</v>
      </c>
      <c r="X20" s="21">
        <v>81.7</v>
      </c>
      <c r="Y20" s="21">
        <v>68.459999999999994</v>
      </c>
      <c r="Z20" s="21">
        <v>93.07</v>
      </c>
      <c r="AA20" s="21">
        <v>112.38999999999999</v>
      </c>
      <c r="AB20" s="21">
        <v>90.8</v>
      </c>
      <c r="AC20" s="21">
        <v>80.240000000000009</v>
      </c>
      <c r="AD20" s="21">
        <v>10.629999999999999</v>
      </c>
      <c r="AE20" s="40">
        <v>42.72</v>
      </c>
      <c r="AF20" s="40">
        <v>60.02</v>
      </c>
      <c r="AG20" s="40">
        <v>67.84</v>
      </c>
      <c r="AH20" s="40">
        <v>32.319999999999993</v>
      </c>
      <c r="AI20" s="40">
        <v>31.5</v>
      </c>
      <c r="AJ20" s="40">
        <v>34.950000000000003</v>
      </c>
      <c r="AK20" s="40">
        <v>10.8</v>
      </c>
      <c r="AL20" s="21">
        <v>0</v>
      </c>
      <c r="AM20" s="21">
        <v>0</v>
      </c>
      <c r="AN20" s="21">
        <v>0</v>
      </c>
      <c r="AO20" s="21">
        <v>0</v>
      </c>
      <c r="AP20" s="21">
        <v>0</v>
      </c>
      <c r="AQ20" s="159">
        <f t="shared" si="5"/>
        <v>939.56999999999994</v>
      </c>
      <c r="AR20" s="21"/>
      <c r="AS20" s="21"/>
      <c r="AT20" s="21"/>
      <c r="AU20" s="21"/>
      <c r="AV20" s="21"/>
      <c r="AW20" s="21"/>
      <c r="AX20" s="21"/>
      <c r="AY20" s="21"/>
      <c r="AZ20" s="21"/>
      <c r="BA20" s="21"/>
      <c r="BB20" s="21"/>
      <c r="BC20" s="21"/>
      <c r="BD20" s="21"/>
      <c r="BE20" s="21"/>
      <c r="BF20" s="21"/>
    </row>
    <row r="21" spans="1:58" s="32" customFormat="1" ht="16" x14ac:dyDescent="0.2">
      <c r="A21" s="80" t="s">
        <v>40</v>
      </c>
      <c r="B21" s="21">
        <v>0</v>
      </c>
      <c r="C21" s="21">
        <v>0</v>
      </c>
      <c r="D21" s="21">
        <v>0</v>
      </c>
      <c r="E21" s="21">
        <v>0</v>
      </c>
      <c r="F21" s="21">
        <v>0</v>
      </c>
      <c r="G21" s="21">
        <v>0</v>
      </c>
      <c r="H21" s="21">
        <v>0</v>
      </c>
      <c r="I21" s="21">
        <v>0</v>
      </c>
      <c r="J21" s="21">
        <v>0</v>
      </c>
      <c r="K21" s="21">
        <v>0</v>
      </c>
      <c r="L21" s="21">
        <v>0</v>
      </c>
      <c r="M21" s="21">
        <v>0</v>
      </c>
      <c r="N21" s="21">
        <v>0</v>
      </c>
      <c r="O21" s="21">
        <v>0</v>
      </c>
      <c r="P21" s="21">
        <v>0</v>
      </c>
      <c r="Q21" s="21">
        <v>0</v>
      </c>
      <c r="R21" s="21">
        <v>0</v>
      </c>
      <c r="S21" s="21">
        <v>0</v>
      </c>
      <c r="T21" s="21">
        <v>0</v>
      </c>
      <c r="U21" s="21">
        <v>0</v>
      </c>
      <c r="V21" s="21">
        <v>0</v>
      </c>
      <c r="W21" s="21">
        <v>0</v>
      </c>
      <c r="X21" s="21">
        <v>0</v>
      </c>
      <c r="Y21" s="21">
        <v>0</v>
      </c>
      <c r="Z21" s="21">
        <v>0</v>
      </c>
      <c r="AA21" s="21">
        <v>0</v>
      </c>
      <c r="AB21" s="21">
        <v>0</v>
      </c>
      <c r="AC21" s="21">
        <v>0</v>
      </c>
      <c r="AD21" s="21">
        <v>29.410000000000004</v>
      </c>
      <c r="AE21" s="21">
        <v>0</v>
      </c>
      <c r="AF21" s="21">
        <v>0</v>
      </c>
      <c r="AG21" s="21">
        <v>0</v>
      </c>
      <c r="AH21" s="40">
        <v>21.42</v>
      </c>
      <c r="AI21" s="40">
        <v>2.5</v>
      </c>
      <c r="AJ21" s="40">
        <v>46.170899999999996</v>
      </c>
      <c r="AK21" s="40">
        <v>271.07059999999996</v>
      </c>
      <c r="AL21" s="40">
        <v>9.85</v>
      </c>
      <c r="AM21" s="21">
        <v>0</v>
      </c>
      <c r="AN21" s="21">
        <v>0</v>
      </c>
      <c r="AO21" s="21">
        <v>0</v>
      </c>
      <c r="AP21" s="21">
        <v>0</v>
      </c>
      <c r="AQ21" s="159">
        <f t="shared" ref="AQ21:AQ23" si="6">SUM(B21:AP21)</f>
        <v>380.42149999999998</v>
      </c>
      <c r="AR21" s="21"/>
      <c r="AS21"/>
      <c r="AT21"/>
      <c r="AU21"/>
      <c r="AV21"/>
      <c r="AW21"/>
      <c r="AX21"/>
      <c r="AY21"/>
      <c r="AZ21"/>
      <c r="BA21"/>
      <c r="BB21"/>
      <c r="BC21"/>
      <c r="BD21"/>
      <c r="BE21"/>
      <c r="BF21"/>
    </row>
    <row r="22" spans="1:58" s="21" customFormat="1" ht="16" x14ac:dyDescent="0.2">
      <c r="A22" s="80" t="s">
        <v>42</v>
      </c>
      <c r="B22" s="21">
        <v>511.15000000000003</v>
      </c>
      <c r="C22" s="21">
        <v>0</v>
      </c>
      <c r="D22" s="21">
        <v>71.94</v>
      </c>
      <c r="E22" s="21">
        <v>1499.3899999999996</v>
      </c>
      <c r="F22" s="21">
        <v>1535.3100000000009</v>
      </c>
      <c r="G22" s="21">
        <v>7.11</v>
      </c>
      <c r="H22" s="21">
        <v>17.369999999999997</v>
      </c>
      <c r="I22" s="21">
        <v>17.8</v>
      </c>
      <c r="J22" s="21">
        <v>31.340000000000003</v>
      </c>
      <c r="K22" s="21">
        <v>16.32</v>
      </c>
      <c r="L22" s="21">
        <v>12.239999999999998</v>
      </c>
      <c r="M22" s="21">
        <v>47.709999999999994</v>
      </c>
      <c r="N22" s="21">
        <v>53.900000000000006</v>
      </c>
      <c r="O22" s="21">
        <v>87.12</v>
      </c>
      <c r="P22" s="21">
        <v>0</v>
      </c>
      <c r="Q22" s="21">
        <v>4.95</v>
      </c>
      <c r="R22" s="21">
        <v>14.309999999999999</v>
      </c>
      <c r="S22" s="21">
        <v>27.239999999999995</v>
      </c>
      <c r="T22" s="21">
        <v>50.150000000000006</v>
      </c>
      <c r="U22" s="21">
        <v>74.540000000000006</v>
      </c>
      <c r="V22" s="21">
        <v>281.25999999999988</v>
      </c>
      <c r="W22" s="21">
        <v>36.64</v>
      </c>
      <c r="X22" s="21">
        <v>13.66</v>
      </c>
      <c r="Y22" s="21">
        <v>6.75</v>
      </c>
      <c r="Z22" s="21">
        <v>11.129999999999999</v>
      </c>
      <c r="AA22" s="21">
        <v>0</v>
      </c>
      <c r="AB22" s="21">
        <v>7.59</v>
      </c>
      <c r="AC22" s="21">
        <v>30.1</v>
      </c>
      <c r="AD22" s="21">
        <v>15.57</v>
      </c>
      <c r="AE22" s="40">
        <v>12.32</v>
      </c>
      <c r="AF22" s="40">
        <v>47.66</v>
      </c>
      <c r="AG22" s="40">
        <v>85.75</v>
      </c>
      <c r="AH22" s="40">
        <v>67.489999999999995</v>
      </c>
      <c r="AI22" s="40">
        <v>3.2</v>
      </c>
      <c r="AJ22" s="40">
        <v>64.170699999999997</v>
      </c>
      <c r="AK22" s="40">
        <v>112.749</v>
      </c>
      <c r="AL22" s="40">
        <v>8</v>
      </c>
      <c r="AM22" s="40">
        <v>19.920000000000002</v>
      </c>
      <c r="AN22" s="21">
        <v>0</v>
      </c>
      <c r="AO22" s="21">
        <v>0</v>
      </c>
      <c r="AP22" s="21">
        <v>0</v>
      </c>
      <c r="AQ22" s="159">
        <f t="shared" si="6"/>
        <v>4903.8496999999998</v>
      </c>
      <c r="AS22"/>
      <c r="AT22"/>
      <c r="AU22"/>
      <c r="AV22"/>
      <c r="AW22"/>
      <c r="AX22"/>
      <c r="AY22"/>
      <c r="AZ22"/>
      <c r="BA22"/>
      <c r="BB22"/>
      <c r="BC22"/>
      <c r="BD22"/>
      <c r="BE22"/>
      <c r="BF22"/>
    </row>
    <row r="23" spans="1:58" ht="16" x14ac:dyDescent="0.2">
      <c r="A23" s="80" t="s">
        <v>1032</v>
      </c>
      <c r="B23" s="21">
        <v>0</v>
      </c>
      <c r="C23" s="21">
        <v>0</v>
      </c>
      <c r="D23" s="21">
        <v>0</v>
      </c>
      <c r="E23" s="21">
        <v>0</v>
      </c>
      <c r="F23" s="21">
        <v>0</v>
      </c>
      <c r="G23" s="21">
        <v>0</v>
      </c>
      <c r="H23" s="21">
        <v>0</v>
      </c>
      <c r="I23" s="21">
        <v>0</v>
      </c>
      <c r="J23" s="21">
        <v>59185.2</v>
      </c>
      <c r="K23" s="21">
        <v>0</v>
      </c>
      <c r="L23" s="21">
        <v>0</v>
      </c>
      <c r="M23" s="21">
        <v>0</v>
      </c>
      <c r="N23" s="21">
        <v>0</v>
      </c>
      <c r="O23" s="21">
        <v>0</v>
      </c>
      <c r="P23" s="21">
        <v>0</v>
      </c>
      <c r="Q23" s="21">
        <v>0</v>
      </c>
      <c r="R23" s="21">
        <v>0</v>
      </c>
      <c r="S23" s="21">
        <v>0</v>
      </c>
      <c r="T23" s="21">
        <v>0</v>
      </c>
      <c r="U23" s="21">
        <v>0</v>
      </c>
      <c r="V23" s="21">
        <v>0</v>
      </c>
      <c r="W23" s="21">
        <v>0</v>
      </c>
      <c r="X23" s="21">
        <v>0</v>
      </c>
      <c r="Y23" s="21">
        <v>0</v>
      </c>
      <c r="Z23" s="21">
        <v>0</v>
      </c>
      <c r="AA23" s="21">
        <v>0</v>
      </c>
      <c r="AB23" s="21">
        <v>0</v>
      </c>
      <c r="AC23" s="21">
        <v>0</v>
      </c>
      <c r="AD23" s="21">
        <v>0</v>
      </c>
      <c r="AE23" s="21">
        <v>0</v>
      </c>
      <c r="AF23" s="21">
        <v>0</v>
      </c>
      <c r="AG23" s="21">
        <v>0</v>
      </c>
      <c r="AH23" s="21">
        <v>0</v>
      </c>
      <c r="AI23" s="21">
        <v>0</v>
      </c>
      <c r="AJ23" s="21">
        <v>0</v>
      </c>
      <c r="AK23" s="21">
        <v>0</v>
      </c>
      <c r="AL23" s="21">
        <v>0</v>
      </c>
      <c r="AM23" s="21">
        <v>0</v>
      </c>
      <c r="AN23" s="21">
        <v>0</v>
      </c>
      <c r="AO23" s="21">
        <v>0</v>
      </c>
      <c r="AP23" s="21">
        <v>0</v>
      </c>
      <c r="AQ23" s="159">
        <f t="shared" si="6"/>
        <v>59185.2</v>
      </c>
      <c r="AR23" s="21"/>
      <c r="AS23"/>
      <c r="AT23"/>
      <c r="AU23"/>
      <c r="AV23"/>
      <c r="AW23"/>
      <c r="AX23"/>
      <c r="AY23"/>
      <c r="AZ23"/>
      <c r="BA23"/>
      <c r="BB23"/>
      <c r="BC23"/>
      <c r="BD23"/>
      <c r="BE23"/>
      <c r="BF23"/>
    </row>
    <row r="24" spans="1:58" ht="16" x14ac:dyDescent="0.2">
      <c r="A24" s="80" t="s">
        <v>45</v>
      </c>
      <c r="B24" s="21">
        <v>3.52</v>
      </c>
      <c r="C24" s="21">
        <v>8.92</v>
      </c>
      <c r="D24" s="21">
        <v>0</v>
      </c>
      <c r="E24" s="21">
        <v>14.71</v>
      </c>
      <c r="F24" s="21">
        <v>23.110000000000003</v>
      </c>
      <c r="G24" s="21">
        <v>0</v>
      </c>
      <c r="H24" s="21">
        <v>0</v>
      </c>
      <c r="I24" s="21">
        <v>0</v>
      </c>
      <c r="J24" s="21">
        <v>0</v>
      </c>
      <c r="K24" s="21">
        <v>0</v>
      </c>
      <c r="L24" s="21">
        <v>0</v>
      </c>
      <c r="M24" s="21">
        <v>1.96</v>
      </c>
      <c r="N24" s="21">
        <v>1.87</v>
      </c>
      <c r="O24" s="21">
        <v>2.1260000000000003</v>
      </c>
      <c r="P24" s="21">
        <v>0</v>
      </c>
      <c r="Q24" s="21">
        <v>0</v>
      </c>
      <c r="R24" s="21">
        <v>0</v>
      </c>
      <c r="S24" s="21">
        <v>0</v>
      </c>
      <c r="T24" s="21">
        <v>0</v>
      </c>
      <c r="U24" s="21">
        <v>0</v>
      </c>
      <c r="V24" s="21">
        <v>0</v>
      </c>
      <c r="W24" s="21">
        <v>61.91</v>
      </c>
      <c r="X24" s="21">
        <v>0</v>
      </c>
      <c r="Y24" s="21">
        <v>0</v>
      </c>
      <c r="Z24" s="21">
        <v>0</v>
      </c>
      <c r="AA24" s="21">
        <v>0</v>
      </c>
      <c r="AB24" s="21">
        <v>0</v>
      </c>
      <c r="AC24" s="21">
        <v>0</v>
      </c>
      <c r="AD24" s="21">
        <v>4.3</v>
      </c>
      <c r="AE24" s="21">
        <v>0</v>
      </c>
      <c r="AF24" s="21">
        <v>0</v>
      </c>
      <c r="AG24" s="40">
        <v>1E-3</v>
      </c>
      <c r="AH24" s="21">
        <v>0</v>
      </c>
      <c r="AI24" s="40">
        <v>121.94</v>
      </c>
      <c r="AJ24" s="21">
        <v>0</v>
      </c>
      <c r="AK24" s="21">
        <v>0</v>
      </c>
      <c r="AL24" s="21">
        <v>0</v>
      </c>
      <c r="AM24" s="21">
        <v>0</v>
      </c>
      <c r="AN24" s="21">
        <v>0</v>
      </c>
      <c r="AO24" s="21">
        <v>0</v>
      </c>
      <c r="AP24" s="21">
        <v>0</v>
      </c>
      <c r="AQ24" s="159">
        <f>SUM(B24:AP24)</f>
        <v>244.36700000000002</v>
      </c>
      <c r="AR24" s="21"/>
      <c r="AS24"/>
      <c r="AT24"/>
      <c r="AU24"/>
      <c r="AV24"/>
      <c r="AW24"/>
      <c r="AX24"/>
      <c r="AY24"/>
      <c r="AZ24"/>
      <c r="BA24"/>
      <c r="BB24"/>
      <c r="BC24"/>
      <c r="BD24"/>
      <c r="BE24"/>
      <c r="BF24"/>
    </row>
    <row r="25" spans="1:58" ht="16" x14ac:dyDescent="0.2">
      <c r="A25" s="80" t="s">
        <v>41</v>
      </c>
      <c r="B25" s="21">
        <v>0</v>
      </c>
      <c r="C25" s="21">
        <v>0</v>
      </c>
      <c r="D25" s="21">
        <v>0</v>
      </c>
      <c r="E25" s="21">
        <v>0</v>
      </c>
      <c r="F25" s="21">
        <v>0</v>
      </c>
      <c r="G25" s="21">
        <v>0</v>
      </c>
      <c r="H25" s="21">
        <v>0</v>
      </c>
      <c r="I25" s="21">
        <v>0</v>
      </c>
      <c r="J25" s="21">
        <v>0</v>
      </c>
      <c r="K25" s="21">
        <v>0</v>
      </c>
      <c r="L25" s="21">
        <v>0</v>
      </c>
      <c r="M25" s="21">
        <v>0</v>
      </c>
      <c r="N25" s="21">
        <v>3.38</v>
      </c>
      <c r="O25" s="21">
        <v>1.8499999999999999</v>
      </c>
      <c r="P25" s="21">
        <v>0</v>
      </c>
      <c r="Q25" s="21">
        <v>0.63</v>
      </c>
      <c r="R25" s="21">
        <v>0</v>
      </c>
      <c r="S25" s="21">
        <v>0</v>
      </c>
      <c r="T25" s="21">
        <v>0</v>
      </c>
      <c r="U25" s="21">
        <v>0</v>
      </c>
      <c r="V25" s="21">
        <v>0</v>
      </c>
      <c r="W25" s="21">
        <v>0</v>
      </c>
      <c r="X25" s="21">
        <v>0</v>
      </c>
      <c r="Y25" s="21">
        <v>0</v>
      </c>
      <c r="Z25" s="21">
        <v>0</v>
      </c>
      <c r="AA25" s="21">
        <v>0</v>
      </c>
      <c r="AB25" s="21">
        <v>0</v>
      </c>
      <c r="AC25" s="21">
        <v>0</v>
      </c>
      <c r="AD25" s="21">
        <v>0</v>
      </c>
      <c r="AE25" s="40">
        <v>4.149</v>
      </c>
      <c r="AF25" s="21">
        <v>0</v>
      </c>
      <c r="AG25" s="21">
        <v>0</v>
      </c>
      <c r="AH25" s="21">
        <v>0</v>
      </c>
      <c r="AI25" s="21">
        <v>0</v>
      </c>
      <c r="AJ25" s="21">
        <v>0</v>
      </c>
      <c r="AK25" s="21">
        <v>0</v>
      </c>
      <c r="AL25" s="21">
        <v>0</v>
      </c>
      <c r="AM25" s="21">
        <v>0</v>
      </c>
      <c r="AN25" s="21">
        <v>0</v>
      </c>
      <c r="AO25" s="21">
        <v>0</v>
      </c>
      <c r="AP25" s="21">
        <v>0</v>
      </c>
      <c r="AQ25" s="160">
        <f>SUM(B25:AP25)</f>
        <v>10.009</v>
      </c>
      <c r="AR25" s="21"/>
      <c r="AS25"/>
      <c r="AT25"/>
      <c r="AU25"/>
      <c r="AV25"/>
      <c r="AW25"/>
      <c r="AX25"/>
      <c r="AY25"/>
      <c r="AZ25"/>
      <c r="BA25"/>
      <c r="BB25"/>
      <c r="BC25"/>
      <c r="BD25"/>
      <c r="BE25"/>
      <c r="BF25"/>
    </row>
    <row r="26" spans="1:58" s="21" customFormat="1" ht="16" x14ac:dyDescent="0.2">
      <c r="A26" s="81" t="s">
        <v>1051</v>
      </c>
      <c r="B26" s="67">
        <f>SUM(B11:B25)</f>
        <v>515.75</v>
      </c>
      <c r="C26" s="67">
        <f t="shared" ref="C26:AP26" si="7">SUM(C11:C25)</f>
        <v>11.114799999999999</v>
      </c>
      <c r="D26" s="67">
        <f t="shared" si="7"/>
        <v>87.89</v>
      </c>
      <c r="E26" s="67">
        <f t="shared" si="7"/>
        <v>1524.2499999999998</v>
      </c>
      <c r="F26" s="67">
        <f t="shared" si="7"/>
        <v>1561.3800000000008</v>
      </c>
      <c r="G26" s="67">
        <f t="shared" si="7"/>
        <v>20.309999999999999</v>
      </c>
      <c r="H26" s="67">
        <f t="shared" si="7"/>
        <v>36.769999999999996</v>
      </c>
      <c r="I26" s="67">
        <f t="shared" si="7"/>
        <v>33.94</v>
      </c>
      <c r="J26" s="67">
        <f t="shared" si="7"/>
        <v>59252.969999999994</v>
      </c>
      <c r="K26" s="67">
        <f t="shared" si="7"/>
        <v>35.33</v>
      </c>
      <c r="L26" s="67">
        <f t="shared" si="7"/>
        <v>20.86</v>
      </c>
      <c r="M26" s="67">
        <f t="shared" si="7"/>
        <v>96.859999999999985</v>
      </c>
      <c r="N26" s="67">
        <f t="shared" si="7"/>
        <v>81.570000000000007</v>
      </c>
      <c r="O26" s="67">
        <f t="shared" si="7"/>
        <v>151.505</v>
      </c>
      <c r="P26" s="67">
        <f t="shared" si="7"/>
        <v>37.480000000000004</v>
      </c>
      <c r="Q26" s="67">
        <f t="shared" si="7"/>
        <v>33.680000000000007</v>
      </c>
      <c r="R26" s="67">
        <f t="shared" si="7"/>
        <v>38.11</v>
      </c>
      <c r="S26" s="67">
        <f t="shared" si="7"/>
        <v>48.72</v>
      </c>
      <c r="T26" s="67">
        <f t="shared" si="7"/>
        <v>104.45</v>
      </c>
      <c r="U26" s="67">
        <f t="shared" si="7"/>
        <v>145.31</v>
      </c>
      <c r="V26" s="67">
        <f t="shared" si="7"/>
        <v>379.21999999999986</v>
      </c>
      <c r="W26" s="67">
        <f t="shared" si="7"/>
        <v>184.05599999999998</v>
      </c>
      <c r="X26" s="67">
        <f t="shared" si="7"/>
        <v>121.72</v>
      </c>
      <c r="Y26" s="67">
        <f t="shared" si="7"/>
        <v>101.6</v>
      </c>
      <c r="Z26" s="67">
        <f t="shared" si="7"/>
        <v>126.25999999999999</v>
      </c>
      <c r="AA26" s="67">
        <f t="shared" si="7"/>
        <v>142.83999999999997</v>
      </c>
      <c r="AB26" s="67">
        <f t="shared" si="7"/>
        <v>143</v>
      </c>
      <c r="AC26" s="67">
        <f t="shared" si="7"/>
        <v>183.11</v>
      </c>
      <c r="AD26" s="67">
        <f t="shared" si="7"/>
        <v>178.2</v>
      </c>
      <c r="AE26" s="67">
        <f t="shared" si="7"/>
        <v>135.97899999999998</v>
      </c>
      <c r="AF26" s="67">
        <f t="shared" si="7"/>
        <v>155.01999999999998</v>
      </c>
      <c r="AG26" s="67">
        <f t="shared" si="7"/>
        <v>202.86100000000002</v>
      </c>
      <c r="AH26" s="67">
        <f t="shared" si="7"/>
        <v>226.077</v>
      </c>
      <c r="AI26" s="67">
        <f t="shared" si="7"/>
        <v>253.67999999999998</v>
      </c>
      <c r="AJ26" s="67">
        <f t="shared" si="7"/>
        <v>258.25079999999997</v>
      </c>
      <c r="AK26" s="67">
        <f t="shared" si="7"/>
        <v>516.72949999999992</v>
      </c>
      <c r="AL26" s="67">
        <f t="shared" si="7"/>
        <v>104.39979999999997</v>
      </c>
      <c r="AM26" s="67">
        <f t="shared" si="7"/>
        <v>61.110200000000006</v>
      </c>
      <c r="AN26" s="67">
        <f t="shared" si="7"/>
        <v>42.549899999999994</v>
      </c>
      <c r="AO26" s="67">
        <f t="shared" si="7"/>
        <v>48.849899999999998</v>
      </c>
      <c r="AP26" s="67">
        <f t="shared" si="7"/>
        <v>14.49</v>
      </c>
      <c r="AQ26" s="156">
        <f>SUM(B26:AP26)</f>
        <v>67418.252899999992</v>
      </c>
    </row>
    <row r="27" spans="1:58" s="21" customFormat="1" ht="16" x14ac:dyDescent="0.2">
      <c r="A27" s="83" t="s">
        <v>1058</v>
      </c>
      <c r="B27" s="68">
        <f>B26*'Entire Project Overiew'!$R$15</f>
        <v>51575</v>
      </c>
      <c r="C27" s="68">
        <f>C26*'Entire Project Overiew'!$R$15</f>
        <v>1111.4799999999998</v>
      </c>
      <c r="D27" s="68">
        <f>D26*'Entire Project Overiew'!$R$15</f>
        <v>8789</v>
      </c>
      <c r="E27" s="68">
        <f>E26*'Entire Project Overiew'!$R$15</f>
        <v>152424.99999999997</v>
      </c>
      <c r="F27" s="68">
        <f>F26*'Entire Project Overiew'!$R$15</f>
        <v>156138.00000000009</v>
      </c>
      <c r="G27" s="68">
        <f>G26*'Entire Project Overiew'!$R$15</f>
        <v>2030.9999999999998</v>
      </c>
      <c r="H27" s="68">
        <f>H26*'Entire Project Overiew'!$R$15</f>
        <v>3676.9999999999995</v>
      </c>
      <c r="I27" s="68">
        <f>I26*'Entire Project Overiew'!$R$15</f>
        <v>3394</v>
      </c>
      <c r="J27" s="68">
        <f>J26*'Entire Project Overiew'!$R$15</f>
        <v>5925296.9999999991</v>
      </c>
      <c r="K27" s="68">
        <f>K26*'Entire Project Overiew'!$R$15</f>
        <v>3533</v>
      </c>
      <c r="L27" s="68">
        <f>L26*'Entire Project Overiew'!$R$15</f>
        <v>2086</v>
      </c>
      <c r="M27" s="68">
        <f>M26*'Entire Project Overiew'!$R$15</f>
        <v>9685.9999999999982</v>
      </c>
      <c r="N27" s="68">
        <f>N26*'Entire Project Overiew'!$R$15</f>
        <v>8157.0000000000009</v>
      </c>
      <c r="O27" s="68">
        <f>O26*'Entire Project Overiew'!$R$15</f>
        <v>15150.5</v>
      </c>
      <c r="P27" s="68">
        <f>P26*'Entire Project Overiew'!$R$15</f>
        <v>3748.0000000000005</v>
      </c>
      <c r="Q27" s="68">
        <f>Q26*'Entire Project Overiew'!$R$15</f>
        <v>3368.0000000000009</v>
      </c>
      <c r="R27" s="68">
        <f>R26*'Entire Project Overiew'!$R$15</f>
        <v>3811</v>
      </c>
      <c r="S27" s="68">
        <f>S26*'Entire Project Overiew'!$R$15</f>
        <v>4872</v>
      </c>
      <c r="T27" s="68">
        <f>T26*'Entire Project Overiew'!$R$15</f>
        <v>10445</v>
      </c>
      <c r="U27" s="68">
        <f>U26*'Entire Project Overiew'!$R$15</f>
        <v>14531</v>
      </c>
      <c r="V27" s="68">
        <f>V26*'Entire Project Overiew'!$R$15</f>
        <v>37921.999999999985</v>
      </c>
      <c r="W27" s="68">
        <f>W26*'Entire Project Overiew'!$R$15</f>
        <v>18405.599999999999</v>
      </c>
      <c r="X27" s="68">
        <f>X26*'Entire Project Overiew'!$R$15</f>
        <v>12172</v>
      </c>
      <c r="Y27" s="68">
        <f>Y26*'Entire Project Overiew'!$R$15</f>
        <v>10160</v>
      </c>
      <c r="Z27" s="68">
        <f>Z26*'Entire Project Overiew'!$R$15</f>
        <v>12626</v>
      </c>
      <c r="AA27" s="68">
        <f>AA26*'Entire Project Overiew'!$R$15</f>
        <v>14283.999999999998</v>
      </c>
      <c r="AB27" s="68">
        <f>AB26*'Entire Project Overiew'!$R$15</f>
        <v>14300</v>
      </c>
      <c r="AC27" s="68">
        <f>AC26*'Entire Project Overiew'!$R$15</f>
        <v>18311</v>
      </c>
      <c r="AD27" s="68">
        <f>AD26*'Entire Project Overiew'!$R$15</f>
        <v>17820</v>
      </c>
      <c r="AE27" s="68">
        <f>AE26*'Entire Project Overiew'!$R$15</f>
        <v>13597.899999999998</v>
      </c>
      <c r="AF27" s="68">
        <f>AF26*'Entire Project Overiew'!$R$15</f>
        <v>15501.999999999998</v>
      </c>
      <c r="AG27" s="68">
        <f>AG26*'Entire Project Overiew'!$R$15</f>
        <v>20286.100000000002</v>
      </c>
      <c r="AH27" s="68">
        <f>AH26*'Entire Project Overiew'!$R$15</f>
        <v>22607.7</v>
      </c>
      <c r="AI27" s="68">
        <f>AI26*'Entire Project Overiew'!$R$15</f>
        <v>25367.999999999996</v>
      </c>
      <c r="AJ27" s="68">
        <f>AJ26*'Entire Project Overiew'!$R$15</f>
        <v>25825.079999999998</v>
      </c>
      <c r="AK27" s="68">
        <f>AK26*'Entire Project Overiew'!$R$15</f>
        <v>51672.94999999999</v>
      </c>
      <c r="AL27" s="68">
        <f>AL26*'Entire Project Overiew'!$R$15</f>
        <v>10439.979999999998</v>
      </c>
      <c r="AM27" s="68">
        <f>AM26*'Entire Project Overiew'!$R$15</f>
        <v>6111.02</v>
      </c>
      <c r="AN27" s="68">
        <f>AN26*'Entire Project Overiew'!$R$15</f>
        <v>4254.99</v>
      </c>
      <c r="AO27" s="68">
        <f>AO26*'Entire Project Overiew'!$R$15</f>
        <v>4884.99</v>
      </c>
      <c r="AP27" s="68">
        <f>AP26*'Entire Project Overiew'!$R$15</f>
        <v>1449</v>
      </c>
      <c r="AQ27" s="84">
        <f>SUM(B27:AP27)</f>
        <v>6741825.29</v>
      </c>
      <c r="AR27" s="32"/>
    </row>
    <row r="28" spans="1:58" s="32" customFormat="1" ht="16" x14ac:dyDescent="0.2">
      <c r="A28" s="220"/>
      <c r="B28" s="221"/>
      <c r="C28" s="221"/>
      <c r="D28" s="221"/>
      <c r="E28" s="221"/>
      <c r="F28" s="221"/>
      <c r="G28" s="221"/>
      <c r="H28" s="221"/>
      <c r="I28" s="221"/>
      <c r="J28" s="221"/>
      <c r="K28" s="221"/>
      <c r="L28" s="221"/>
      <c r="M28" s="221"/>
      <c r="N28" s="221"/>
      <c r="O28" s="221"/>
      <c r="P28" s="221"/>
      <c r="Q28" s="221"/>
      <c r="R28" s="221"/>
      <c r="S28" s="221"/>
      <c r="T28" s="221"/>
      <c r="U28" s="221"/>
      <c r="V28" s="221"/>
      <c r="W28" s="221"/>
      <c r="X28" s="221"/>
      <c r="Y28" s="221"/>
      <c r="Z28" s="221"/>
      <c r="AA28" s="221"/>
      <c r="AB28" s="221"/>
      <c r="AC28" s="221"/>
      <c r="AD28" s="221"/>
      <c r="AE28" s="221"/>
      <c r="AF28" s="221"/>
      <c r="AG28" s="221"/>
      <c r="AH28" s="221"/>
      <c r="AI28" s="221"/>
      <c r="AJ28" s="221"/>
      <c r="AK28" s="221"/>
      <c r="AL28" s="221"/>
      <c r="AM28" s="221"/>
      <c r="AN28" s="221"/>
      <c r="AO28" s="221"/>
      <c r="AP28" s="221"/>
      <c r="AQ28" s="222"/>
      <c r="AR28" s="19"/>
      <c r="AS28" s="19"/>
      <c r="AT28" s="19"/>
      <c r="AU28" s="19"/>
      <c r="AV28" s="19"/>
      <c r="AW28" s="19"/>
      <c r="AX28" s="19"/>
      <c r="AY28" s="19"/>
      <c r="AZ28" s="19"/>
      <c r="BA28" s="19"/>
      <c r="BB28" s="19"/>
      <c r="BC28" s="19"/>
      <c r="BD28" s="19"/>
      <c r="BE28" s="19"/>
      <c r="BF28" s="19"/>
    </row>
    <row r="29" spans="1:58" ht="16" customHeight="1" x14ac:dyDescent="0.2">
      <c r="A29" s="216" t="s">
        <v>1068</v>
      </c>
      <c r="B29" s="217"/>
      <c r="C29" s="217"/>
      <c r="D29" s="217"/>
      <c r="E29" s="217"/>
      <c r="F29" s="217"/>
      <c r="G29" s="217"/>
      <c r="H29" s="217"/>
      <c r="I29" s="217"/>
      <c r="J29" s="217"/>
      <c r="K29" s="217"/>
      <c r="L29" s="217"/>
      <c r="M29" s="217"/>
      <c r="N29" s="217"/>
      <c r="O29" s="217"/>
      <c r="P29" s="217"/>
      <c r="Q29" s="217"/>
      <c r="R29" s="217"/>
      <c r="S29" s="217"/>
      <c r="T29" s="217"/>
      <c r="U29" s="217"/>
      <c r="V29" s="217"/>
      <c r="W29" s="217"/>
      <c r="X29" s="217"/>
      <c r="Y29" s="217"/>
      <c r="Z29" s="217"/>
      <c r="AA29" s="217"/>
      <c r="AB29" s="217"/>
      <c r="AC29" s="217"/>
      <c r="AD29" s="217"/>
      <c r="AE29" s="217"/>
      <c r="AF29" s="217"/>
      <c r="AG29" s="217"/>
      <c r="AH29" s="217"/>
      <c r="AI29" s="217"/>
      <c r="AJ29" s="217"/>
      <c r="AK29" s="217"/>
      <c r="AL29" s="217"/>
      <c r="AM29" s="217"/>
      <c r="AN29" s="217"/>
      <c r="AO29" s="217"/>
      <c r="AP29" s="217"/>
      <c r="AQ29" s="218"/>
    </row>
    <row r="30" spans="1:58" ht="16" x14ac:dyDescent="0.2">
      <c r="A30" s="87" t="s">
        <v>1037</v>
      </c>
      <c r="B30" s="63">
        <f>B27</f>
        <v>51575</v>
      </c>
      <c r="C30" s="63">
        <f t="shared" ref="C30:AP30" si="8">C27</f>
        <v>1111.4799999999998</v>
      </c>
      <c r="D30" s="63">
        <f t="shared" si="8"/>
        <v>8789</v>
      </c>
      <c r="E30" s="63">
        <f t="shared" si="8"/>
        <v>152424.99999999997</v>
      </c>
      <c r="F30" s="63">
        <f t="shared" si="8"/>
        <v>156138.00000000009</v>
      </c>
      <c r="G30" s="63">
        <f t="shared" si="8"/>
        <v>2030.9999999999998</v>
      </c>
      <c r="H30" s="63">
        <f t="shared" si="8"/>
        <v>3676.9999999999995</v>
      </c>
      <c r="I30" s="63">
        <f t="shared" si="8"/>
        <v>3394</v>
      </c>
      <c r="J30" s="63">
        <f t="shared" si="8"/>
        <v>5925296.9999999991</v>
      </c>
      <c r="K30" s="63">
        <f t="shared" si="8"/>
        <v>3533</v>
      </c>
      <c r="L30" s="63">
        <f t="shared" si="8"/>
        <v>2086</v>
      </c>
      <c r="M30" s="63">
        <f t="shared" si="8"/>
        <v>9685.9999999999982</v>
      </c>
      <c r="N30" s="63">
        <f t="shared" si="8"/>
        <v>8157.0000000000009</v>
      </c>
      <c r="O30" s="63">
        <f t="shared" si="8"/>
        <v>15150.5</v>
      </c>
      <c r="P30" s="63">
        <f t="shared" si="8"/>
        <v>3748.0000000000005</v>
      </c>
      <c r="Q30" s="63">
        <f t="shared" si="8"/>
        <v>3368.0000000000009</v>
      </c>
      <c r="R30" s="63">
        <f t="shared" si="8"/>
        <v>3811</v>
      </c>
      <c r="S30" s="63">
        <f t="shared" si="8"/>
        <v>4872</v>
      </c>
      <c r="T30" s="63">
        <f t="shared" si="8"/>
        <v>10445</v>
      </c>
      <c r="U30" s="63">
        <f t="shared" si="8"/>
        <v>14531</v>
      </c>
      <c r="V30" s="63">
        <f t="shared" si="8"/>
        <v>37921.999999999985</v>
      </c>
      <c r="W30" s="63">
        <f t="shared" si="8"/>
        <v>18405.599999999999</v>
      </c>
      <c r="X30" s="63">
        <f t="shared" si="8"/>
        <v>12172</v>
      </c>
      <c r="Y30" s="63">
        <f t="shared" si="8"/>
        <v>10160</v>
      </c>
      <c r="Z30" s="63">
        <f t="shared" si="8"/>
        <v>12626</v>
      </c>
      <c r="AA30" s="63">
        <f t="shared" si="8"/>
        <v>14283.999999999998</v>
      </c>
      <c r="AB30" s="63">
        <f t="shared" si="8"/>
        <v>14300</v>
      </c>
      <c r="AC30" s="63">
        <f t="shared" si="8"/>
        <v>18311</v>
      </c>
      <c r="AD30" s="63">
        <f t="shared" si="8"/>
        <v>17820</v>
      </c>
      <c r="AE30" s="63">
        <f t="shared" si="8"/>
        <v>13597.899999999998</v>
      </c>
      <c r="AF30" s="63">
        <f t="shared" si="8"/>
        <v>15501.999999999998</v>
      </c>
      <c r="AG30" s="63">
        <f t="shared" si="8"/>
        <v>20286.100000000002</v>
      </c>
      <c r="AH30" s="63">
        <f t="shared" si="8"/>
        <v>22607.7</v>
      </c>
      <c r="AI30" s="63">
        <f t="shared" si="8"/>
        <v>25367.999999999996</v>
      </c>
      <c r="AJ30" s="63">
        <f t="shared" si="8"/>
        <v>25825.079999999998</v>
      </c>
      <c r="AK30" s="63">
        <f t="shared" si="8"/>
        <v>51672.94999999999</v>
      </c>
      <c r="AL30" s="63">
        <f t="shared" si="8"/>
        <v>10439.979999999998</v>
      </c>
      <c r="AM30" s="63">
        <f t="shared" si="8"/>
        <v>6111.02</v>
      </c>
      <c r="AN30" s="63">
        <f t="shared" si="8"/>
        <v>4254.99</v>
      </c>
      <c r="AO30" s="63">
        <f t="shared" si="8"/>
        <v>4884.99</v>
      </c>
      <c r="AP30" s="63">
        <f t="shared" si="8"/>
        <v>1449</v>
      </c>
      <c r="AQ30" s="88">
        <f t="shared" ref="AQ30:AQ32" si="9">SUM(B30:AP30)</f>
        <v>6741825.29</v>
      </c>
      <c r="AR30" s="21"/>
      <c r="AS30" s="21"/>
      <c r="AT30" s="21"/>
      <c r="AU30" s="21"/>
      <c r="AV30" s="21"/>
      <c r="AW30" s="21"/>
      <c r="AX30" s="21"/>
      <c r="AY30" s="21"/>
      <c r="AZ30" s="21"/>
      <c r="BA30" s="21"/>
      <c r="BB30" s="21"/>
      <c r="BC30" s="21"/>
      <c r="BD30" s="21"/>
      <c r="BE30" s="21"/>
      <c r="BF30" s="21"/>
    </row>
    <row r="31" spans="1:58" ht="16" x14ac:dyDescent="0.2">
      <c r="A31" s="89" t="s">
        <v>1047</v>
      </c>
      <c r="B31" s="64">
        <f t="shared" ref="B31:AP31" si="10">B8</f>
        <v>15260</v>
      </c>
      <c r="C31" s="64">
        <f t="shared" si="10"/>
        <v>1635</v>
      </c>
      <c r="D31" s="64">
        <f t="shared" si="10"/>
        <v>3270</v>
      </c>
      <c r="E31" s="64">
        <f t="shared" si="10"/>
        <v>40875</v>
      </c>
      <c r="F31" s="64">
        <f t="shared" si="10"/>
        <v>41965</v>
      </c>
      <c r="G31" s="64">
        <f t="shared" si="10"/>
        <v>2180</v>
      </c>
      <c r="H31" s="64">
        <f t="shared" si="10"/>
        <v>3815</v>
      </c>
      <c r="I31" s="64">
        <f t="shared" si="10"/>
        <v>3815</v>
      </c>
      <c r="J31" s="64">
        <f t="shared" si="10"/>
        <v>9265</v>
      </c>
      <c r="K31" s="64">
        <f t="shared" si="10"/>
        <v>5450</v>
      </c>
      <c r="L31" s="64">
        <f t="shared" si="10"/>
        <v>3270</v>
      </c>
      <c r="M31" s="64">
        <f t="shared" si="10"/>
        <v>11445</v>
      </c>
      <c r="N31" s="64">
        <f t="shared" si="10"/>
        <v>14715</v>
      </c>
      <c r="O31" s="64">
        <f t="shared" si="10"/>
        <v>20165</v>
      </c>
      <c r="P31" s="64">
        <f t="shared" si="10"/>
        <v>5450</v>
      </c>
      <c r="Q31" s="64">
        <f t="shared" si="10"/>
        <v>6540</v>
      </c>
      <c r="R31" s="64">
        <f t="shared" si="10"/>
        <v>5450</v>
      </c>
      <c r="S31" s="64">
        <f t="shared" si="10"/>
        <v>5450</v>
      </c>
      <c r="T31" s="64">
        <f t="shared" si="10"/>
        <v>14170</v>
      </c>
      <c r="U31" s="64">
        <f t="shared" si="10"/>
        <v>19620</v>
      </c>
      <c r="V31" s="64">
        <f t="shared" si="10"/>
        <v>44145</v>
      </c>
      <c r="W31" s="64">
        <f t="shared" si="10"/>
        <v>20710</v>
      </c>
      <c r="X31" s="64">
        <f t="shared" si="10"/>
        <v>19620</v>
      </c>
      <c r="Y31" s="64">
        <f t="shared" si="10"/>
        <v>15805</v>
      </c>
      <c r="Z31" s="64">
        <f t="shared" si="10"/>
        <v>19620</v>
      </c>
      <c r="AA31" s="64">
        <f t="shared" si="10"/>
        <v>26705</v>
      </c>
      <c r="AB31" s="64">
        <f t="shared" si="10"/>
        <v>26160</v>
      </c>
      <c r="AC31" s="64">
        <f t="shared" si="10"/>
        <v>31065</v>
      </c>
      <c r="AD31" s="64">
        <f t="shared" si="10"/>
        <v>28340</v>
      </c>
      <c r="AE31" s="64">
        <f t="shared" si="10"/>
        <v>21255</v>
      </c>
      <c r="AF31" s="64">
        <f t="shared" si="10"/>
        <v>17985</v>
      </c>
      <c r="AG31" s="64">
        <f t="shared" si="10"/>
        <v>20165</v>
      </c>
      <c r="AH31" s="64">
        <f t="shared" si="10"/>
        <v>25070</v>
      </c>
      <c r="AI31" s="64">
        <f t="shared" si="10"/>
        <v>15805</v>
      </c>
      <c r="AJ31" s="64">
        <f t="shared" si="10"/>
        <v>21255</v>
      </c>
      <c r="AK31" s="64">
        <f t="shared" si="10"/>
        <v>29430</v>
      </c>
      <c r="AL31" s="64">
        <f t="shared" si="10"/>
        <v>15260</v>
      </c>
      <c r="AM31" s="64">
        <f t="shared" si="10"/>
        <v>10355</v>
      </c>
      <c r="AN31" s="64">
        <f t="shared" si="10"/>
        <v>6540</v>
      </c>
      <c r="AO31" s="64">
        <f t="shared" si="10"/>
        <v>5450</v>
      </c>
      <c r="AP31" s="64">
        <f t="shared" si="10"/>
        <v>3270</v>
      </c>
      <c r="AQ31" s="90">
        <f t="shared" si="9"/>
        <v>657815</v>
      </c>
      <c r="AR31" s="21"/>
      <c r="AS31" s="21"/>
      <c r="AT31" s="21"/>
      <c r="AU31" s="21"/>
      <c r="AV31" s="21"/>
      <c r="AW31" s="21"/>
      <c r="AX31" s="21"/>
      <c r="AY31" s="21"/>
      <c r="AZ31" s="21"/>
      <c r="BA31" s="21"/>
      <c r="BB31" s="21"/>
      <c r="BC31" s="21"/>
      <c r="BD31" s="21"/>
      <c r="BE31" s="21"/>
      <c r="BF31" s="21"/>
    </row>
    <row r="32" spans="1:58" ht="17" thickBot="1" x14ac:dyDescent="0.25">
      <c r="A32" s="91" t="s">
        <v>1042</v>
      </c>
      <c r="B32" s="92">
        <f t="shared" ref="B32:AP32" si="11">SUM(B30:B31)</f>
        <v>66835</v>
      </c>
      <c r="C32" s="92">
        <f t="shared" si="11"/>
        <v>2746.4799999999996</v>
      </c>
      <c r="D32" s="92">
        <f t="shared" si="11"/>
        <v>12059</v>
      </c>
      <c r="E32" s="92">
        <f t="shared" si="11"/>
        <v>193299.99999999997</v>
      </c>
      <c r="F32" s="92">
        <f t="shared" si="11"/>
        <v>198103.00000000009</v>
      </c>
      <c r="G32" s="92">
        <f t="shared" si="11"/>
        <v>4211</v>
      </c>
      <c r="H32" s="92">
        <f t="shared" si="11"/>
        <v>7492</v>
      </c>
      <c r="I32" s="92">
        <f t="shared" si="11"/>
        <v>7209</v>
      </c>
      <c r="J32" s="92">
        <f t="shared" si="11"/>
        <v>5934561.9999999991</v>
      </c>
      <c r="K32" s="92">
        <f t="shared" si="11"/>
        <v>8983</v>
      </c>
      <c r="L32" s="92">
        <f t="shared" si="11"/>
        <v>5356</v>
      </c>
      <c r="M32" s="92">
        <f t="shared" si="11"/>
        <v>21131</v>
      </c>
      <c r="N32" s="92">
        <f t="shared" si="11"/>
        <v>22872</v>
      </c>
      <c r="O32" s="92">
        <f t="shared" si="11"/>
        <v>35315.5</v>
      </c>
      <c r="P32" s="92">
        <f t="shared" si="11"/>
        <v>9198</v>
      </c>
      <c r="Q32" s="92">
        <f t="shared" si="11"/>
        <v>9908</v>
      </c>
      <c r="R32" s="92">
        <f t="shared" si="11"/>
        <v>9261</v>
      </c>
      <c r="S32" s="92">
        <f t="shared" si="11"/>
        <v>10322</v>
      </c>
      <c r="T32" s="92">
        <f t="shared" si="11"/>
        <v>24615</v>
      </c>
      <c r="U32" s="92">
        <f t="shared" si="11"/>
        <v>34151</v>
      </c>
      <c r="V32" s="92">
        <f t="shared" si="11"/>
        <v>82066.999999999985</v>
      </c>
      <c r="W32" s="92">
        <f t="shared" si="11"/>
        <v>39115.599999999999</v>
      </c>
      <c r="X32" s="92">
        <f t="shared" si="11"/>
        <v>31792</v>
      </c>
      <c r="Y32" s="92">
        <f t="shared" si="11"/>
        <v>25965</v>
      </c>
      <c r="Z32" s="92">
        <f t="shared" si="11"/>
        <v>32246</v>
      </c>
      <c r="AA32" s="92">
        <f t="shared" si="11"/>
        <v>40989</v>
      </c>
      <c r="AB32" s="92">
        <f t="shared" si="11"/>
        <v>40460</v>
      </c>
      <c r="AC32" s="92">
        <f t="shared" si="11"/>
        <v>49376</v>
      </c>
      <c r="AD32" s="92">
        <f t="shared" si="11"/>
        <v>46160</v>
      </c>
      <c r="AE32" s="92">
        <f t="shared" si="11"/>
        <v>34852.899999999994</v>
      </c>
      <c r="AF32" s="92">
        <f t="shared" si="11"/>
        <v>33487</v>
      </c>
      <c r="AG32" s="92">
        <f t="shared" si="11"/>
        <v>40451.100000000006</v>
      </c>
      <c r="AH32" s="92">
        <f t="shared" si="11"/>
        <v>47677.7</v>
      </c>
      <c r="AI32" s="92">
        <f t="shared" si="11"/>
        <v>41173</v>
      </c>
      <c r="AJ32" s="92">
        <f t="shared" si="11"/>
        <v>47080.08</v>
      </c>
      <c r="AK32" s="92">
        <f t="shared" si="11"/>
        <v>81102.949999999983</v>
      </c>
      <c r="AL32" s="92">
        <f t="shared" si="11"/>
        <v>25699.979999999996</v>
      </c>
      <c r="AM32" s="92">
        <f t="shared" si="11"/>
        <v>16466.02</v>
      </c>
      <c r="AN32" s="92">
        <f t="shared" si="11"/>
        <v>10794.99</v>
      </c>
      <c r="AO32" s="92">
        <f t="shared" si="11"/>
        <v>10334.99</v>
      </c>
      <c r="AP32" s="92">
        <f t="shared" si="11"/>
        <v>4719</v>
      </c>
      <c r="AQ32" s="93">
        <f t="shared" si="9"/>
        <v>7399640.29</v>
      </c>
      <c r="AR32" s="32"/>
      <c r="AS32" s="32"/>
      <c r="AT32" s="32"/>
      <c r="AU32" s="32"/>
      <c r="AV32" s="32"/>
      <c r="AW32" s="32"/>
      <c r="AX32" s="32"/>
      <c r="AY32" s="32"/>
      <c r="AZ32" s="32"/>
      <c r="BA32" s="32"/>
      <c r="BB32" s="32"/>
      <c r="BC32" s="32"/>
      <c r="BD32" s="32"/>
      <c r="BE32" s="32"/>
      <c r="BF32" s="32"/>
    </row>
    <row r="37" spans="1:43" ht="15" x14ac:dyDescent="0.2">
      <c r="A37"/>
      <c r="B37"/>
      <c r="C37"/>
      <c r="D37"/>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row>
    <row r="38" spans="1:43" ht="15" x14ac:dyDescent="0.2">
      <c r="A38"/>
      <c r="B38"/>
      <c r="C38"/>
      <c r="D38"/>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row>
    <row r="39" spans="1:43" ht="15" x14ac:dyDescent="0.2">
      <c r="A39"/>
      <c r="B39"/>
      <c r="C39"/>
      <c r="D39"/>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row>
    <row r="40" spans="1:43" ht="15" x14ac:dyDescent="0.2">
      <c r="A40"/>
      <c r="B40"/>
      <c r="C40"/>
      <c r="D40"/>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row>
    <row r="41" spans="1:43" ht="15" x14ac:dyDescent="0.2">
      <c r="A41"/>
      <c r="B41"/>
      <c r="C41"/>
      <c r="D41"/>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row>
    <row r="42" spans="1:43" ht="15" x14ac:dyDescent="0.2">
      <c r="A42"/>
      <c r="B42"/>
      <c r="C42"/>
      <c r="D42"/>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row>
    <row r="43" spans="1:43" ht="15" x14ac:dyDescent="0.2">
      <c r="A43"/>
      <c r="B43"/>
      <c r="C43"/>
      <c r="D43"/>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row>
    <row r="44" spans="1:43" ht="15" x14ac:dyDescent="0.2">
      <c r="A44"/>
      <c r="B44"/>
      <c r="C44"/>
      <c r="D44"/>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row>
    <row r="45" spans="1:43" ht="15" x14ac:dyDescent="0.2">
      <c r="A45"/>
      <c r="B45"/>
      <c r="C45"/>
      <c r="D45"/>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row>
    <row r="46" spans="1:43" ht="15" x14ac:dyDescent="0.2">
      <c r="A46"/>
      <c r="B46"/>
      <c r="C46"/>
      <c r="D46"/>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row>
    <row r="47" spans="1:43" ht="15" x14ac:dyDescent="0.2">
      <c r="A47"/>
      <c r="B47"/>
      <c r="C47"/>
      <c r="D47"/>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row>
    <row r="48" spans="1:43" ht="15" x14ac:dyDescent="0.2">
      <c r="A48"/>
      <c r="B48"/>
      <c r="C48"/>
      <c r="D48"/>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row>
    <row r="49" spans="1:43" ht="15" x14ac:dyDescent="0.2">
      <c r="A49"/>
      <c r="B49"/>
      <c r="C49"/>
      <c r="D49"/>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row>
    <row r="50" spans="1:43" ht="15" x14ac:dyDescent="0.2">
      <c r="A50"/>
      <c r="B50"/>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row>
    <row r="51" spans="1:43" ht="15" x14ac:dyDescent="0.2">
      <c r="A51"/>
      <c r="B51"/>
      <c r="C51"/>
      <c r="D51"/>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row>
    <row r="52" spans="1:43" ht="15" x14ac:dyDescent="0.2">
      <c r="A52"/>
      <c r="B52"/>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row>
    <row r="53" spans="1:43" ht="15" x14ac:dyDescent="0.2">
      <c r="A53"/>
      <c r="B53"/>
      <c r="C53"/>
      <c r="D53"/>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row>
    <row r="54" spans="1:43" ht="15" x14ac:dyDescent="0.2">
      <c r="A54"/>
      <c r="B54"/>
      <c r="C54"/>
      <c r="D54"/>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row>
    <row r="55" spans="1:43" ht="15" x14ac:dyDescent="0.2">
      <c r="A55"/>
      <c r="B55"/>
      <c r="C55"/>
      <c r="D55"/>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row>
    <row r="56" spans="1:43" ht="15" x14ac:dyDescent="0.2">
      <c r="A56"/>
      <c r="B56"/>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row>
    <row r="57" spans="1:43" ht="15" x14ac:dyDescent="0.2">
      <c r="A57"/>
      <c r="B57"/>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row>
    <row r="58" spans="1:43" ht="15" x14ac:dyDescent="0.2">
      <c r="A58"/>
      <c r="B58"/>
      <c r="C58"/>
      <c r="D58"/>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row>
    <row r="59" spans="1:43" ht="15" x14ac:dyDescent="0.2">
      <c r="A59"/>
      <c r="B59"/>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row>
    <row r="60" spans="1:43" ht="15" x14ac:dyDescent="0.2">
      <c r="A60"/>
      <c r="B60"/>
      <c r="C60"/>
      <c r="D60"/>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row>
    <row r="61" spans="1:43" ht="15" x14ac:dyDescent="0.2">
      <c r="A61"/>
      <c r="B61"/>
      <c r="C61"/>
      <c r="D61"/>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row>
    <row r="62" spans="1:43" ht="15" x14ac:dyDescent="0.2">
      <c r="A62"/>
      <c r="B62"/>
      <c r="C62"/>
      <c r="D62"/>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row>
    <row r="63" spans="1:43" ht="15" x14ac:dyDescent="0.2">
      <c r="A63"/>
      <c r="B63"/>
      <c r="C63"/>
      <c r="D63"/>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row>
    <row r="64" spans="1:43" ht="15" x14ac:dyDescent="0.2">
      <c r="A64"/>
      <c r="B64"/>
      <c r="C64"/>
      <c r="D64"/>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row>
    <row r="65" spans="1:43" ht="15" x14ac:dyDescent="0.2">
      <c r="A65"/>
      <c r="B65"/>
      <c r="C65"/>
      <c r="D65"/>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row>
    <row r="66" spans="1:43" ht="15" x14ac:dyDescent="0.2">
      <c r="A66"/>
      <c r="B66"/>
      <c r="C66"/>
      <c r="D66"/>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row>
    <row r="67" spans="1:43" ht="15" x14ac:dyDescent="0.2">
      <c r="A67"/>
      <c r="B67"/>
      <c r="C67"/>
      <c r="D67"/>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row>
  </sheetData>
  <mergeCells count="12">
    <mergeCell ref="A28:AQ28"/>
    <mergeCell ref="A29:AQ29"/>
    <mergeCell ref="A10:AQ10"/>
    <mergeCell ref="AQ4:AQ5"/>
    <mergeCell ref="A6:AQ6"/>
    <mergeCell ref="A9:AQ9"/>
    <mergeCell ref="B3:AQ3"/>
    <mergeCell ref="A1:AQ1"/>
    <mergeCell ref="AS3:AW3"/>
    <mergeCell ref="AS4:AV4"/>
    <mergeCell ref="AS5:AV5"/>
    <mergeCell ref="AS6:AV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A4904-F464-B747-AEC0-99388B844FA7}">
  <dimension ref="A1:AC87"/>
  <sheetViews>
    <sheetView zoomScale="56" workbookViewId="0">
      <selection activeCell="P43" sqref="P43"/>
    </sheetView>
  </sheetViews>
  <sheetFormatPr baseColWidth="10" defaultRowHeight="14" x14ac:dyDescent="0.15"/>
  <cols>
    <col min="1" max="1" width="32" style="51" bestFit="1" customWidth="1"/>
    <col min="2" max="4" width="13" style="19" bestFit="1" customWidth="1"/>
    <col min="5" max="5" width="15.83203125" style="19" bestFit="1" customWidth="1"/>
    <col min="6" max="12" width="13" style="19" bestFit="1" customWidth="1"/>
    <col min="13" max="13" width="11.83203125" style="19" bestFit="1" customWidth="1"/>
    <col min="14" max="14" width="14.1640625" style="52" bestFit="1" customWidth="1"/>
    <col min="15" max="15" width="16.1640625" style="19" bestFit="1" customWidth="1"/>
    <col min="16" max="16" width="32" style="19" bestFit="1" customWidth="1"/>
    <col min="17" max="27" width="13" style="19" bestFit="1" customWidth="1"/>
    <col min="28" max="28" width="11.83203125" style="19" bestFit="1" customWidth="1"/>
    <col min="29" max="29" width="14.1640625" style="19" bestFit="1" customWidth="1"/>
    <col min="30" max="16384" width="10.83203125" style="19"/>
  </cols>
  <sheetData>
    <row r="1" spans="1:29" ht="26" thickBot="1" x14ac:dyDescent="0.2">
      <c r="A1" s="165" t="s">
        <v>1074</v>
      </c>
      <c r="B1" s="166"/>
      <c r="C1" s="166"/>
      <c r="D1" s="166"/>
      <c r="E1" s="166"/>
      <c r="F1" s="166"/>
      <c r="G1" s="166"/>
      <c r="H1" s="166"/>
      <c r="I1" s="166"/>
      <c r="J1" s="166"/>
      <c r="K1" s="166"/>
      <c r="L1" s="166"/>
      <c r="M1" s="166"/>
      <c r="N1" s="166"/>
      <c r="O1" s="166"/>
      <c r="P1" s="166"/>
      <c r="Q1" s="166"/>
      <c r="R1" s="166"/>
      <c r="S1" s="166"/>
      <c r="T1" s="166"/>
      <c r="U1" s="166"/>
      <c r="V1" s="166"/>
      <c r="W1" s="166"/>
      <c r="X1" s="166"/>
      <c r="Y1" s="166"/>
      <c r="Z1" s="166"/>
      <c r="AA1" s="166"/>
      <c r="AB1" s="166"/>
      <c r="AC1" s="167"/>
    </row>
    <row r="2" spans="1:29" ht="15" thickBot="1" x14ac:dyDescent="0.2"/>
    <row r="3" spans="1:29" ht="23" x14ac:dyDescent="0.25">
      <c r="A3" s="162" t="s">
        <v>1073</v>
      </c>
      <c r="B3" s="163"/>
      <c r="C3" s="163"/>
      <c r="D3" s="163"/>
      <c r="E3" s="164"/>
    </row>
    <row r="4" spans="1:29" ht="18" x14ac:dyDescent="0.2">
      <c r="A4" s="182" t="s">
        <v>1071</v>
      </c>
      <c r="B4" s="183"/>
      <c r="C4" s="183"/>
      <c r="D4" s="183"/>
      <c r="E4" s="101">
        <f>N69</f>
        <v>336534.38759999996</v>
      </c>
    </row>
    <row r="5" spans="1:29" s="21" customFormat="1" ht="19" thickBot="1" x14ac:dyDescent="0.25">
      <c r="A5" s="182" t="s">
        <v>1072</v>
      </c>
      <c r="B5" s="183"/>
      <c r="C5" s="183"/>
      <c r="D5" s="183"/>
      <c r="E5" s="101">
        <f>AC37</f>
        <v>393839.70999999996</v>
      </c>
    </row>
    <row r="6" spans="1:29" s="21" customFormat="1" ht="20" thickTop="1" thickBot="1" x14ac:dyDescent="0.25">
      <c r="A6" s="196" t="s">
        <v>1016</v>
      </c>
      <c r="B6" s="197"/>
      <c r="C6" s="197"/>
      <c r="D6" s="197"/>
      <c r="E6" s="126">
        <f>E5-E4</f>
        <v>57305.322400000005</v>
      </c>
    </row>
    <row r="7" spans="1:29" ht="16" thickTop="1" thickBot="1" x14ac:dyDescent="0.2">
      <c r="A7" s="19"/>
      <c r="C7" s="52"/>
    </row>
    <row r="8" spans="1:29" s="21" customFormat="1" ht="20" x14ac:dyDescent="0.2">
      <c r="A8" s="210" t="s">
        <v>1069</v>
      </c>
      <c r="B8" s="211"/>
      <c r="C8" s="211"/>
      <c r="D8" s="211"/>
      <c r="E8" s="211"/>
      <c r="F8" s="211"/>
      <c r="G8" s="211"/>
      <c r="H8" s="211"/>
      <c r="I8" s="211"/>
      <c r="J8" s="211"/>
      <c r="K8" s="211"/>
      <c r="L8" s="211"/>
      <c r="M8" s="211"/>
      <c r="N8" s="212"/>
      <c r="O8" s="19"/>
      <c r="P8" s="210" t="s">
        <v>1070</v>
      </c>
      <c r="Q8" s="211"/>
      <c r="R8" s="211"/>
      <c r="S8" s="211"/>
      <c r="T8" s="211"/>
      <c r="U8" s="211"/>
      <c r="V8" s="211"/>
      <c r="W8" s="211"/>
      <c r="X8" s="211"/>
      <c r="Y8" s="211"/>
      <c r="Z8" s="211"/>
      <c r="AA8" s="211"/>
      <c r="AB8" s="211"/>
      <c r="AC8" s="212"/>
    </row>
    <row r="9" spans="1:29" s="32" customFormat="1" ht="16" x14ac:dyDescent="0.2">
      <c r="A9" s="74" t="s">
        <v>1010</v>
      </c>
      <c r="B9" s="56">
        <v>2025</v>
      </c>
      <c r="C9" s="57">
        <v>2025</v>
      </c>
      <c r="D9" s="58">
        <v>2025</v>
      </c>
      <c r="E9" s="57">
        <v>2025</v>
      </c>
      <c r="F9" s="58">
        <v>2025</v>
      </c>
      <c r="G9" s="57">
        <v>2025</v>
      </c>
      <c r="H9" s="58">
        <v>2026</v>
      </c>
      <c r="I9" s="57">
        <v>2026</v>
      </c>
      <c r="J9" s="58">
        <v>2026</v>
      </c>
      <c r="K9" s="57">
        <v>2026</v>
      </c>
      <c r="L9" s="58">
        <v>2026</v>
      </c>
      <c r="M9" s="57">
        <v>2026</v>
      </c>
      <c r="N9" s="219" t="s">
        <v>1007</v>
      </c>
      <c r="O9" s="21"/>
      <c r="P9" s="74" t="s">
        <v>1010</v>
      </c>
      <c r="Q9" s="56">
        <v>2025</v>
      </c>
      <c r="R9" s="57">
        <v>2025</v>
      </c>
      <c r="S9" s="58">
        <v>2025</v>
      </c>
      <c r="T9" s="57">
        <v>2025</v>
      </c>
      <c r="U9" s="58">
        <v>2025</v>
      </c>
      <c r="V9" s="57">
        <v>2025</v>
      </c>
      <c r="W9" s="58">
        <v>2026</v>
      </c>
      <c r="X9" s="57">
        <v>2026</v>
      </c>
      <c r="Y9" s="58">
        <v>2026</v>
      </c>
      <c r="Z9" s="57">
        <v>2026</v>
      </c>
      <c r="AA9" s="58">
        <v>2026</v>
      </c>
      <c r="AB9" s="57">
        <v>2026</v>
      </c>
      <c r="AC9" s="219" t="s">
        <v>1007</v>
      </c>
    </row>
    <row r="10" spans="1:29" ht="17" x14ac:dyDescent="0.2">
      <c r="A10" s="75" t="s">
        <v>1011</v>
      </c>
      <c r="B10" s="53" t="s">
        <v>937</v>
      </c>
      <c r="C10" s="55" t="s">
        <v>938</v>
      </c>
      <c r="D10" s="54" t="s">
        <v>1012</v>
      </c>
      <c r="E10" s="55" t="s">
        <v>940</v>
      </c>
      <c r="F10" s="54" t="s">
        <v>932</v>
      </c>
      <c r="G10" s="55" t="s">
        <v>933</v>
      </c>
      <c r="H10" s="54" t="s">
        <v>1002</v>
      </c>
      <c r="I10" s="55" t="s">
        <v>1003</v>
      </c>
      <c r="J10" s="54" t="s">
        <v>1004</v>
      </c>
      <c r="K10" s="55" t="s">
        <v>934</v>
      </c>
      <c r="L10" s="54" t="s">
        <v>935</v>
      </c>
      <c r="M10" s="55" t="s">
        <v>936</v>
      </c>
      <c r="N10" s="219"/>
      <c r="O10" s="21"/>
      <c r="P10" s="75" t="s">
        <v>1011</v>
      </c>
      <c r="Q10" s="53" t="s">
        <v>937</v>
      </c>
      <c r="R10" s="55" t="s">
        <v>938</v>
      </c>
      <c r="S10" s="54" t="s">
        <v>1012</v>
      </c>
      <c r="T10" s="55" t="s">
        <v>940</v>
      </c>
      <c r="U10" s="54" t="s">
        <v>932</v>
      </c>
      <c r="V10" s="55" t="s">
        <v>933</v>
      </c>
      <c r="W10" s="54" t="s">
        <v>1002</v>
      </c>
      <c r="X10" s="55" t="s">
        <v>1003</v>
      </c>
      <c r="Y10" s="54" t="s">
        <v>1004</v>
      </c>
      <c r="Z10" s="55" t="s">
        <v>934</v>
      </c>
      <c r="AA10" s="54" t="s">
        <v>935</v>
      </c>
      <c r="AB10" s="55" t="s">
        <v>936</v>
      </c>
      <c r="AC10" s="219"/>
    </row>
    <row r="11" spans="1:29" ht="18" x14ac:dyDescent="0.15">
      <c r="A11" s="213" t="s">
        <v>1065</v>
      </c>
      <c r="B11" s="214"/>
      <c r="C11" s="214"/>
      <c r="D11" s="214"/>
      <c r="E11" s="214"/>
      <c r="F11" s="214"/>
      <c r="G11" s="214"/>
      <c r="H11" s="214"/>
      <c r="I11" s="214"/>
      <c r="J11" s="214"/>
      <c r="K11" s="214"/>
      <c r="L11" s="214"/>
      <c r="M11" s="214"/>
      <c r="N11" s="215"/>
      <c r="P11" s="213" t="s">
        <v>1065</v>
      </c>
      <c r="Q11" s="214"/>
      <c r="R11" s="214"/>
      <c r="S11" s="214"/>
      <c r="T11" s="214"/>
      <c r="U11" s="214"/>
      <c r="V11" s="214"/>
      <c r="W11" s="214"/>
      <c r="X11" s="214"/>
      <c r="Y11" s="214"/>
      <c r="Z11" s="214"/>
      <c r="AA11" s="214"/>
      <c r="AB11" s="214"/>
      <c r="AC11" s="215"/>
    </row>
    <row r="12" spans="1:29" s="21" customFormat="1" ht="16" x14ac:dyDescent="0.2">
      <c r="A12" s="76" t="s">
        <v>1046</v>
      </c>
      <c r="B12" s="147">
        <v>39</v>
      </c>
      <c r="C12" s="147">
        <v>33</v>
      </c>
      <c r="D12" s="147">
        <v>37</v>
      </c>
      <c r="E12" s="147">
        <v>46</v>
      </c>
      <c r="F12" s="147">
        <v>29</v>
      </c>
      <c r="G12" s="147">
        <v>39</v>
      </c>
      <c r="H12" s="147">
        <v>54</v>
      </c>
      <c r="I12" s="147">
        <v>28</v>
      </c>
      <c r="J12" s="147">
        <v>19</v>
      </c>
      <c r="K12" s="147">
        <v>12</v>
      </c>
      <c r="L12" s="147">
        <v>10</v>
      </c>
      <c r="M12" s="147">
        <v>6</v>
      </c>
      <c r="N12" s="77">
        <f>SUM(B12:M12)</f>
        <v>352</v>
      </c>
      <c r="P12" s="76" t="s">
        <v>1046</v>
      </c>
      <c r="Q12" s="21">
        <f>COUNTIF('Raw Data'!$M$11:$M$1217,"7/1/25")</f>
        <v>39</v>
      </c>
      <c r="R12" s="21">
        <f>COUNTIF('Raw Data'!$M$11:$M$1217,"8/1/25")</f>
        <v>33</v>
      </c>
      <c r="S12" s="21">
        <f>COUNTIF('Raw Data'!$M$11:$M$1217,"9/1/25")</f>
        <v>37</v>
      </c>
      <c r="T12" s="21">
        <f>COUNTIF('Raw Data'!$M$11:$M$1217,"10/1/25")</f>
        <v>46</v>
      </c>
      <c r="U12" s="21">
        <f>COUNTIF('Raw Data'!$M$11:$M$1217,"11/1/25")</f>
        <v>29</v>
      </c>
      <c r="V12" s="21">
        <f>COUNTIF('Raw Data'!$M$11:$M$1217,"12/1/25")</f>
        <v>39</v>
      </c>
      <c r="W12" s="21">
        <f>COUNTIF('Raw Data'!$M$11:$M$1217,"1/1/26")</f>
        <v>54</v>
      </c>
      <c r="X12" s="21">
        <f>COUNTIF('Raw Data'!$M$11:$M$1217,"2/1/26")</f>
        <v>28</v>
      </c>
      <c r="Y12" s="21">
        <f>COUNTIF('Raw Data'!$M$11:$M$1217,"3/1/26")</f>
        <v>19</v>
      </c>
      <c r="Z12" s="21">
        <f>COUNTIF('Raw Data'!$M$11:$M$1217,"4/1/26")</f>
        <v>12</v>
      </c>
      <c r="AA12" s="21">
        <f>COUNTIF('Raw Data'!$M$11:$M$1217,"5/1/26")</f>
        <v>10</v>
      </c>
      <c r="AB12" s="21">
        <f>COUNTIF('Raw Data'!$M$11:$M$1217,"6/1/26")</f>
        <v>6</v>
      </c>
      <c r="AC12" s="77">
        <f>SUM(Q12:AB12)</f>
        <v>352</v>
      </c>
    </row>
    <row r="13" spans="1:29" s="21" customFormat="1" ht="16" x14ac:dyDescent="0.2">
      <c r="A13" s="78" t="s">
        <v>1064</v>
      </c>
      <c r="B13" s="69">
        <f>B12*'Entire Project Overiew'!$O$11</f>
        <v>21255</v>
      </c>
      <c r="C13" s="69">
        <f>C12*'Entire Project Overiew'!$O$11</f>
        <v>17985</v>
      </c>
      <c r="D13" s="69">
        <f>D12*'Entire Project Overiew'!$O$11</f>
        <v>20165</v>
      </c>
      <c r="E13" s="69">
        <f>E12*'Entire Project Overiew'!$O$11</f>
        <v>25070</v>
      </c>
      <c r="F13" s="69">
        <f>F12*'Entire Project Overiew'!$O$11</f>
        <v>15805</v>
      </c>
      <c r="G13" s="69">
        <f>G12*'Entire Project Overiew'!$O$11</f>
        <v>21255</v>
      </c>
      <c r="H13" s="69">
        <f>H12*'Entire Project Overiew'!$O$11</f>
        <v>29430</v>
      </c>
      <c r="I13" s="69">
        <f>I12*'Entire Project Overiew'!$O$11</f>
        <v>15260</v>
      </c>
      <c r="J13" s="69">
        <f>J12*'Entire Project Overiew'!$O$11</f>
        <v>10355</v>
      </c>
      <c r="K13" s="69">
        <f>K12*'Entire Project Overiew'!$O$11</f>
        <v>6540</v>
      </c>
      <c r="L13" s="69">
        <f>L12*'Entire Project Overiew'!$O$11</f>
        <v>5450</v>
      </c>
      <c r="M13" s="69">
        <f>M12*'Entire Project Overiew'!$O$11</f>
        <v>3270</v>
      </c>
      <c r="N13" s="79">
        <f>SUM(B13:M13)</f>
        <v>191840</v>
      </c>
      <c r="O13" s="32"/>
      <c r="P13" s="94" t="s">
        <v>1064</v>
      </c>
      <c r="Q13" s="62">
        <f>Q12*'Entire Project Overiew'!$O$11</f>
        <v>21255</v>
      </c>
      <c r="R13" s="62">
        <f>R12*'Entire Project Overiew'!$O$11</f>
        <v>17985</v>
      </c>
      <c r="S13" s="62">
        <f>S12*'Entire Project Overiew'!$O$11</f>
        <v>20165</v>
      </c>
      <c r="T13" s="62">
        <f>T12*'Entire Project Overiew'!$O$11</f>
        <v>25070</v>
      </c>
      <c r="U13" s="62">
        <f>U12*'Entire Project Overiew'!$O$11</f>
        <v>15805</v>
      </c>
      <c r="V13" s="62">
        <f>V12*'Entire Project Overiew'!$O$11</f>
        <v>21255</v>
      </c>
      <c r="W13" s="62">
        <f>W12*'Entire Project Overiew'!$O$11</f>
        <v>29430</v>
      </c>
      <c r="X13" s="62">
        <f>X12*'Entire Project Overiew'!$O$11</f>
        <v>15260</v>
      </c>
      <c r="Y13" s="62">
        <f>Y12*'Entire Project Overiew'!$O$11</f>
        <v>10355</v>
      </c>
      <c r="Z13" s="62">
        <f>Z12*'Entire Project Overiew'!$O$11</f>
        <v>6540</v>
      </c>
      <c r="AA13" s="62">
        <f>AA12*'Entire Project Overiew'!$O$11</f>
        <v>5450</v>
      </c>
      <c r="AB13" s="62">
        <f>AB12*'Entire Project Overiew'!$O$11</f>
        <v>3270</v>
      </c>
      <c r="AC13" s="95">
        <f>SUM(Q13:AB13)</f>
        <v>191840</v>
      </c>
    </row>
    <row r="14" spans="1:29" s="32" customFormat="1" ht="16" x14ac:dyDescent="0.2">
      <c r="A14" s="102"/>
      <c r="B14" s="65"/>
      <c r="C14" s="65"/>
      <c r="D14" s="65"/>
      <c r="E14" s="65"/>
      <c r="F14" s="65"/>
      <c r="G14" s="65"/>
      <c r="H14" s="65"/>
      <c r="I14" s="65"/>
      <c r="J14" s="65"/>
      <c r="K14" s="65"/>
      <c r="L14" s="65"/>
      <c r="M14" s="65"/>
      <c r="N14" s="103"/>
      <c r="O14" s="19"/>
      <c r="P14" s="102"/>
      <c r="Q14" s="65"/>
      <c r="R14" s="65"/>
      <c r="S14" s="65"/>
      <c r="T14" s="65"/>
      <c r="U14" s="65"/>
      <c r="V14" s="65"/>
      <c r="W14" s="65"/>
      <c r="X14" s="65"/>
      <c r="Y14" s="65"/>
      <c r="Z14" s="65"/>
      <c r="AA14" s="65"/>
      <c r="AB14" s="65"/>
      <c r="AC14" s="103"/>
    </row>
    <row r="15" spans="1:29" ht="18" x14ac:dyDescent="0.15">
      <c r="A15" s="213" t="s">
        <v>1019</v>
      </c>
      <c r="B15" s="214"/>
      <c r="C15" s="214"/>
      <c r="D15" s="214"/>
      <c r="E15" s="214"/>
      <c r="F15" s="214"/>
      <c r="G15" s="214"/>
      <c r="H15" s="214"/>
      <c r="I15" s="214"/>
      <c r="J15" s="214"/>
      <c r="K15" s="214"/>
      <c r="L15" s="214"/>
      <c r="M15" s="214"/>
      <c r="N15" s="215"/>
      <c r="P15" s="213" t="s">
        <v>1021</v>
      </c>
      <c r="Q15" s="214"/>
      <c r="R15" s="214"/>
      <c r="S15" s="214"/>
      <c r="T15" s="214"/>
      <c r="U15" s="214"/>
      <c r="V15" s="214"/>
      <c r="W15" s="214"/>
      <c r="X15" s="214"/>
      <c r="Y15" s="214"/>
      <c r="Z15" s="214"/>
      <c r="AA15" s="214"/>
      <c r="AB15" s="214"/>
      <c r="AC15" s="215"/>
    </row>
    <row r="16" spans="1:29" ht="16" x14ac:dyDescent="0.2">
      <c r="A16" s="80" t="s">
        <v>69</v>
      </c>
      <c r="B16" s="40">
        <v>0</v>
      </c>
      <c r="C16" s="40">
        <v>0</v>
      </c>
      <c r="D16" s="40">
        <v>0</v>
      </c>
      <c r="E16" s="40">
        <v>0</v>
      </c>
      <c r="F16" s="40">
        <v>0</v>
      </c>
      <c r="G16" s="40">
        <v>0</v>
      </c>
      <c r="H16" s="40">
        <v>0</v>
      </c>
      <c r="I16" s="40">
        <v>0</v>
      </c>
      <c r="J16" s="40">
        <v>0</v>
      </c>
      <c r="K16" s="40">
        <v>0</v>
      </c>
      <c r="L16" s="40">
        <v>0</v>
      </c>
      <c r="M16" s="40">
        <v>0</v>
      </c>
      <c r="N16" s="77">
        <f>SUM(B16:M16)</f>
        <v>0</v>
      </c>
      <c r="O16" s="21"/>
      <c r="P16" s="96" t="s">
        <v>69</v>
      </c>
      <c r="Q16" s="70">
        <v>0</v>
      </c>
      <c r="R16" s="70">
        <v>0</v>
      </c>
      <c r="S16" s="70">
        <v>0</v>
      </c>
      <c r="T16" s="70">
        <v>0</v>
      </c>
      <c r="U16" s="70">
        <v>0</v>
      </c>
      <c r="V16" s="70">
        <v>0</v>
      </c>
      <c r="W16" s="70">
        <v>0</v>
      </c>
      <c r="X16" s="70">
        <v>0</v>
      </c>
      <c r="Y16" s="70">
        <v>0</v>
      </c>
      <c r="Z16" s="70">
        <v>0</v>
      </c>
      <c r="AA16" s="70">
        <v>0</v>
      </c>
      <c r="AB16" s="70">
        <v>0</v>
      </c>
      <c r="AC16" s="77">
        <f t="shared" ref="AC16:AC32" si="0">SUM(Q16:AB16)</f>
        <v>0</v>
      </c>
    </row>
    <row r="17" spans="1:29" s="21" customFormat="1" ht="16" x14ac:dyDescent="0.2">
      <c r="A17" s="81" t="s">
        <v>1048</v>
      </c>
      <c r="B17" s="67">
        <f t="shared" ref="B17:C17" si="1">B16</f>
        <v>0</v>
      </c>
      <c r="C17" s="67">
        <f t="shared" si="1"/>
        <v>0</v>
      </c>
      <c r="D17" s="67">
        <f t="shared" ref="D17" si="2">D16</f>
        <v>0</v>
      </c>
      <c r="E17" s="67">
        <f t="shared" ref="E17" si="3">E16</f>
        <v>0</v>
      </c>
      <c r="F17" s="67">
        <f t="shared" ref="F17" si="4">F16</f>
        <v>0</v>
      </c>
      <c r="G17" s="67">
        <f t="shared" ref="G17" si="5">G16</f>
        <v>0</v>
      </c>
      <c r="H17" s="67">
        <f t="shared" ref="H17" si="6">H16</f>
        <v>0</v>
      </c>
      <c r="I17" s="67">
        <f t="shared" ref="I17" si="7">I16</f>
        <v>0</v>
      </c>
      <c r="J17" s="67">
        <f t="shared" ref="J17" si="8">J16</f>
        <v>0</v>
      </c>
      <c r="K17" s="67">
        <f t="shared" ref="K17" si="9">K16</f>
        <v>0</v>
      </c>
      <c r="L17" s="67">
        <f t="shared" ref="L17" si="10">L16</f>
        <v>0</v>
      </c>
      <c r="M17" s="67">
        <f t="shared" ref="M17" si="11">M16</f>
        <v>0</v>
      </c>
      <c r="N17" s="82">
        <f>SUM(B17:M17)</f>
        <v>0</v>
      </c>
      <c r="P17" s="80" t="s">
        <v>47</v>
      </c>
      <c r="Q17" s="40">
        <v>0</v>
      </c>
      <c r="R17" s="40">
        <v>0</v>
      </c>
      <c r="S17" s="40">
        <v>2.0699999999999998</v>
      </c>
      <c r="T17" s="40">
        <v>0</v>
      </c>
      <c r="U17" s="40">
        <v>0</v>
      </c>
      <c r="V17" s="40">
        <v>0</v>
      </c>
      <c r="W17" s="40">
        <v>0</v>
      </c>
      <c r="X17" s="40">
        <v>0</v>
      </c>
      <c r="Y17" s="40">
        <v>0</v>
      </c>
      <c r="Z17" s="40">
        <v>0</v>
      </c>
      <c r="AA17" s="40">
        <v>0</v>
      </c>
      <c r="AB17" s="40">
        <v>0</v>
      </c>
      <c r="AC17" s="97">
        <f t="shared" si="0"/>
        <v>2.0699999999999998</v>
      </c>
    </row>
    <row r="18" spans="1:29" s="21" customFormat="1" ht="16" x14ac:dyDescent="0.2">
      <c r="A18" s="83" t="s">
        <v>1061</v>
      </c>
      <c r="B18" s="68">
        <f>B17*'Entire Project Overiew'!$R$11</f>
        <v>0</v>
      </c>
      <c r="C18" s="68">
        <f>C17*'Entire Project Overiew'!$R$11</f>
        <v>0</v>
      </c>
      <c r="D18" s="68">
        <f>D17*'Entire Project Overiew'!$R$11</f>
        <v>0</v>
      </c>
      <c r="E18" s="68">
        <f>E17*'Entire Project Overiew'!$R$11</f>
        <v>0</v>
      </c>
      <c r="F18" s="68">
        <f>F17*'Entire Project Overiew'!$R$11</f>
        <v>0</v>
      </c>
      <c r="G18" s="68">
        <f>G17*'Entire Project Overiew'!$R$11</f>
        <v>0</v>
      </c>
      <c r="H18" s="68">
        <f>H17*'Entire Project Overiew'!$R$11</f>
        <v>0</v>
      </c>
      <c r="I18" s="68">
        <f>I17*'Entire Project Overiew'!$R$11</f>
        <v>0</v>
      </c>
      <c r="J18" s="68">
        <f>J17*'Entire Project Overiew'!$R$11</f>
        <v>0</v>
      </c>
      <c r="K18" s="68">
        <f>K17*'Entire Project Overiew'!$R$11</f>
        <v>0</v>
      </c>
      <c r="L18" s="68">
        <f>L17*'Entire Project Overiew'!$R$11</f>
        <v>0</v>
      </c>
      <c r="M18" s="68">
        <f>M17*'Entire Project Overiew'!$R$11</f>
        <v>0</v>
      </c>
      <c r="N18" s="84">
        <f>SUM(B18:M18)</f>
        <v>0</v>
      </c>
      <c r="O18" s="32"/>
      <c r="P18" s="80" t="s">
        <v>55</v>
      </c>
      <c r="Q18" s="40">
        <v>0</v>
      </c>
      <c r="R18" s="40">
        <v>0</v>
      </c>
      <c r="S18" s="40">
        <v>0.75</v>
      </c>
      <c r="T18" s="40">
        <v>0</v>
      </c>
      <c r="U18" s="40">
        <v>0</v>
      </c>
      <c r="V18" s="40">
        <v>0</v>
      </c>
      <c r="W18" s="40">
        <v>0</v>
      </c>
      <c r="X18" s="40">
        <v>0</v>
      </c>
      <c r="Y18" s="40">
        <v>0</v>
      </c>
      <c r="Z18" s="40">
        <v>0</v>
      </c>
      <c r="AA18" s="40">
        <v>0</v>
      </c>
      <c r="AB18" s="40">
        <v>0</v>
      </c>
      <c r="AC18" s="86">
        <f t="shared" si="0"/>
        <v>0.75</v>
      </c>
    </row>
    <row r="19" spans="1:29" s="32" customFormat="1" ht="16" x14ac:dyDescent="0.2">
      <c r="A19" s="102"/>
      <c r="B19" s="65"/>
      <c r="C19" s="65"/>
      <c r="D19" s="65"/>
      <c r="E19" s="65"/>
      <c r="F19" s="65"/>
      <c r="G19" s="65"/>
      <c r="H19" s="65"/>
      <c r="I19" s="65"/>
      <c r="J19" s="65"/>
      <c r="K19" s="65"/>
      <c r="L19" s="65"/>
      <c r="M19" s="65"/>
      <c r="N19" s="103"/>
      <c r="O19" s="19"/>
      <c r="P19" s="80" t="s">
        <v>64</v>
      </c>
      <c r="Q19" s="40">
        <v>0</v>
      </c>
      <c r="R19" s="40">
        <v>0</v>
      </c>
      <c r="S19" s="40">
        <v>0</v>
      </c>
      <c r="T19" s="40">
        <v>0</v>
      </c>
      <c r="U19" s="40">
        <v>0</v>
      </c>
      <c r="V19" s="40">
        <v>0</v>
      </c>
      <c r="W19" s="40">
        <v>0</v>
      </c>
      <c r="X19" s="40">
        <v>0</v>
      </c>
      <c r="Y19" s="40">
        <v>0</v>
      </c>
      <c r="Z19" s="40">
        <v>0</v>
      </c>
      <c r="AA19" s="40">
        <v>0</v>
      </c>
      <c r="AB19" s="40">
        <v>0</v>
      </c>
      <c r="AC19" s="86">
        <f t="shared" si="0"/>
        <v>0</v>
      </c>
    </row>
    <row r="20" spans="1:29" ht="18" x14ac:dyDescent="0.2">
      <c r="A20" s="213" t="s">
        <v>1020</v>
      </c>
      <c r="B20" s="214"/>
      <c r="C20" s="214"/>
      <c r="D20" s="214"/>
      <c r="E20" s="214"/>
      <c r="F20" s="214"/>
      <c r="G20" s="214"/>
      <c r="H20" s="214"/>
      <c r="I20" s="214"/>
      <c r="J20" s="214"/>
      <c r="K20" s="214"/>
      <c r="L20" s="214"/>
      <c r="M20" s="214"/>
      <c r="N20" s="215"/>
      <c r="P20" s="80" t="s">
        <v>39</v>
      </c>
      <c r="Q20" s="40">
        <v>24.429999999999996</v>
      </c>
      <c r="R20" s="40">
        <v>17.66</v>
      </c>
      <c r="S20" s="40">
        <v>12.33</v>
      </c>
      <c r="T20" s="40">
        <v>28.007000000000001</v>
      </c>
      <c r="U20" s="40">
        <v>5.9300000000000006</v>
      </c>
      <c r="V20" s="40">
        <v>18.340399999999999</v>
      </c>
      <c r="W20" s="40">
        <v>35.369599999999998</v>
      </c>
      <c r="X20" s="40">
        <v>26.661899999999996</v>
      </c>
      <c r="Y20" s="40">
        <v>13.215199999999999</v>
      </c>
      <c r="Z20" s="40">
        <v>13.017299999999997</v>
      </c>
      <c r="AA20" s="40">
        <v>18.660400000000003</v>
      </c>
      <c r="AB20" s="40">
        <v>3.8268000000000004</v>
      </c>
      <c r="AC20" s="86">
        <f t="shared" si="0"/>
        <v>217.44860000000003</v>
      </c>
    </row>
    <row r="21" spans="1:29" ht="16" x14ac:dyDescent="0.2">
      <c r="A21" s="80" t="s">
        <v>47</v>
      </c>
      <c r="B21" s="40">
        <v>0</v>
      </c>
      <c r="C21" s="40">
        <v>0</v>
      </c>
      <c r="D21" s="40">
        <v>2.0699999999999998</v>
      </c>
      <c r="E21" s="40">
        <v>0</v>
      </c>
      <c r="F21" s="40">
        <v>0</v>
      </c>
      <c r="G21" s="40">
        <v>0</v>
      </c>
      <c r="H21" s="40">
        <v>0</v>
      </c>
      <c r="I21" s="40">
        <v>0</v>
      </c>
      <c r="J21" s="40">
        <v>0</v>
      </c>
      <c r="K21" s="40">
        <v>0</v>
      </c>
      <c r="L21" s="40">
        <v>0</v>
      </c>
      <c r="M21" s="40">
        <v>0</v>
      </c>
      <c r="N21" s="85">
        <f>SUM(B21:M21)</f>
        <v>2.0699999999999998</v>
      </c>
      <c r="O21" s="21"/>
      <c r="P21" s="80" t="s">
        <v>46</v>
      </c>
      <c r="Q21" s="40">
        <v>19.840000000000003</v>
      </c>
      <c r="R21" s="40">
        <v>14.32</v>
      </c>
      <c r="S21" s="40">
        <v>10.18</v>
      </c>
      <c r="T21" s="40">
        <v>22.73</v>
      </c>
      <c r="U21" s="40">
        <v>4.8100000000000005</v>
      </c>
      <c r="V21" s="40">
        <v>14.866200000000001</v>
      </c>
      <c r="W21" s="40">
        <v>28.656400000000001</v>
      </c>
      <c r="X21" s="40">
        <v>21.601899999999997</v>
      </c>
      <c r="Y21" s="40">
        <v>10.706900000000001</v>
      </c>
      <c r="Z21" s="40">
        <v>10.5465</v>
      </c>
      <c r="AA21" s="40">
        <v>15.055800000000001</v>
      </c>
      <c r="AB21" s="40">
        <v>3.1006</v>
      </c>
      <c r="AC21" s="86">
        <f t="shared" si="0"/>
        <v>176.41430000000003</v>
      </c>
    </row>
    <row r="22" spans="1:29" s="21" customFormat="1" ht="16" x14ac:dyDescent="0.2">
      <c r="A22" s="81" t="s">
        <v>1049</v>
      </c>
      <c r="B22" s="67">
        <f>B21</f>
        <v>0</v>
      </c>
      <c r="C22" s="67">
        <f>C21</f>
        <v>0</v>
      </c>
      <c r="D22" s="67">
        <f t="shared" ref="D22:M22" si="12">D21</f>
        <v>2.0699999999999998</v>
      </c>
      <c r="E22" s="67">
        <f t="shared" si="12"/>
        <v>0</v>
      </c>
      <c r="F22" s="67">
        <f t="shared" si="12"/>
        <v>0</v>
      </c>
      <c r="G22" s="67">
        <f t="shared" si="12"/>
        <v>0</v>
      </c>
      <c r="H22" s="67">
        <f t="shared" si="12"/>
        <v>0</v>
      </c>
      <c r="I22" s="67">
        <f t="shared" si="12"/>
        <v>0</v>
      </c>
      <c r="J22" s="67">
        <f t="shared" si="12"/>
        <v>0</v>
      </c>
      <c r="K22" s="67">
        <f t="shared" si="12"/>
        <v>0</v>
      </c>
      <c r="L22" s="67">
        <f t="shared" si="12"/>
        <v>0</v>
      </c>
      <c r="M22" s="67">
        <f t="shared" si="12"/>
        <v>0</v>
      </c>
      <c r="N22" s="82">
        <f>SUM(B22:M22)</f>
        <v>2.0699999999999998</v>
      </c>
      <c r="P22" s="80" t="s">
        <v>48</v>
      </c>
      <c r="Q22" s="40">
        <v>20.050000000000004</v>
      </c>
      <c r="R22" s="40">
        <v>14.459999999999999</v>
      </c>
      <c r="S22" s="40">
        <v>8.4499999999999993</v>
      </c>
      <c r="T22" s="40">
        <v>22.9</v>
      </c>
      <c r="U22" s="40">
        <v>4.8599999999999994</v>
      </c>
      <c r="V22" s="40">
        <v>15.012600000000003</v>
      </c>
      <c r="W22" s="40">
        <v>28.953900000000004</v>
      </c>
      <c r="X22" s="40">
        <v>21.825999999999997</v>
      </c>
      <c r="Y22" s="40">
        <v>10.818099999999999</v>
      </c>
      <c r="Z22" s="40">
        <v>10.6561</v>
      </c>
      <c r="AA22" s="40">
        <v>15.133699999999997</v>
      </c>
      <c r="AB22" s="40">
        <v>3.1325999999999996</v>
      </c>
      <c r="AC22" s="86">
        <f t="shared" si="0"/>
        <v>176.25300000000001</v>
      </c>
    </row>
    <row r="23" spans="1:29" s="21" customFormat="1" ht="16" x14ac:dyDescent="0.2">
      <c r="A23" s="83" t="s">
        <v>1060</v>
      </c>
      <c r="B23" s="68">
        <f>B22*'Entire Project Overiew'!$R$12</f>
        <v>0</v>
      </c>
      <c r="C23" s="68">
        <f>C22*'Entire Project Overiew'!$R$12</f>
        <v>0</v>
      </c>
      <c r="D23" s="68">
        <f>D22*'Entire Project Overiew'!$R$12</f>
        <v>206.99999999999997</v>
      </c>
      <c r="E23" s="68">
        <f>E22*'Entire Project Overiew'!$R$12</f>
        <v>0</v>
      </c>
      <c r="F23" s="68">
        <f>F22*'Entire Project Overiew'!$R$12</f>
        <v>0</v>
      </c>
      <c r="G23" s="68">
        <f>G22*'Entire Project Overiew'!$R$12</f>
        <v>0</v>
      </c>
      <c r="H23" s="68">
        <f>H22*'Entire Project Overiew'!$R$12</f>
        <v>0</v>
      </c>
      <c r="I23" s="68">
        <f>I22*'Entire Project Overiew'!$R$12</f>
        <v>0</v>
      </c>
      <c r="J23" s="68">
        <f>J22*'Entire Project Overiew'!$R$12</f>
        <v>0</v>
      </c>
      <c r="K23" s="68">
        <f>K22*'Entire Project Overiew'!$R$12</f>
        <v>0</v>
      </c>
      <c r="L23" s="68">
        <f>L22*'Entire Project Overiew'!$R$12</f>
        <v>0</v>
      </c>
      <c r="M23" s="68">
        <f>M22*'Entire Project Overiew'!$R$12</f>
        <v>0</v>
      </c>
      <c r="N23" s="84">
        <f>SUM(B23:M23)</f>
        <v>206.99999999999997</v>
      </c>
      <c r="O23" s="32"/>
      <c r="P23" s="80" t="s">
        <v>70</v>
      </c>
      <c r="Q23" s="59">
        <v>12.47</v>
      </c>
      <c r="R23" s="40">
        <v>0.9</v>
      </c>
      <c r="S23" s="40">
        <v>5.82</v>
      </c>
      <c r="T23" s="40">
        <v>26.26</v>
      </c>
      <c r="U23" s="40">
        <v>78.94</v>
      </c>
      <c r="V23" s="40">
        <v>64.740000000000009</v>
      </c>
      <c r="W23" s="40">
        <v>29.13</v>
      </c>
      <c r="X23" s="40">
        <v>16.46</v>
      </c>
      <c r="Y23" s="40">
        <v>6.4499999999999993</v>
      </c>
      <c r="Z23" s="40">
        <v>8.33</v>
      </c>
      <c r="AA23" s="40">
        <v>0</v>
      </c>
      <c r="AB23" s="40">
        <v>4.43</v>
      </c>
      <c r="AC23" s="86">
        <f t="shared" si="0"/>
        <v>253.93</v>
      </c>
    </row>
    <row r="24" spans="1:29" s="32" customFormat="1" ht="16" x14ac:dyDescent="0.2">
      <c r="A24" s="102"/>
      <c r="B24" s="65"/>
      <c r="C24" s="65"/>
      <c r="D24" s="65"/>
      <c r="E24" s="65"/>
      <c r="F24" s="65"/>
      <c r="G24" s="65"/>
      <c r="H24" s="65"/>
      <c r="I24" s="65"/>
      <c r="J24" s="65"/>
      <c r="K24" s="65"/>
      <c r="L24" s="65"/>
      <c r="M24" s="65"/>
      <c r="N24" s="103"/>
      <c r="O24" s="19"/>
      <c r="P24" s="80" t="s">
        <v>44</v>
      </c>
      <c r="Q24" s="40">
        <v>0</v>
      </c>
      <c r="R24" s="40">
        <v>0</v>
      </c>
      <c r="S24" s="40">
        <v>9.67</v>
      </c>
      <c r="T24" s="40">
        <v>4.95</v>
      </c>
      <c r="U24" s="40">
        <v>0</v>
      </c>
      <c r="V24" s="40">
        <v>0</v>
      </c>
      <c r="W24" s="40">
        <v>0</v>
      </c>
      <c r="X24" s="40">
        <v>0</v>
      </c>
      <c r="Y24" s="40">
        <v>0</v>
      </c>
      <c r="Z24" s="40">
        <v>0</v>
      </c>
      <c r="AA24" s="40">
        <v>0</v>
      </c>
      <c r="AB24" s="40">
        <v>0</v>
      </c>
      <c r="AC24" s="86">
        <f t="shared" si="0"/>
        <v>14.620000000000001</v>
      </c>
    </row>
    <row r="25" spans="1:29" s="21" customFormat="1" ht="18" x14ac:dyDescent="0.2">
      <c r="A25" s="213" t="s">
        <v>55</v>
      </c>
      <c r="B25" s="214"/>
      <c r="C25" s="214"/>
      <c r="D25" s="214"/>
      <c r="E25" s="214"/>
      <c r="F25" s="214"/>
      <c r="G25" s="214"/>
      <c r="H25" s="214"/>
      <c r="I25" s="214"/>
      <c r="J25" s="214"/>
      <c r="K25" s="214"/>
      <c r="L25" s="214"/>
      <c r="M25" s="214"/>
      <c r="N25" s="215"/>
      <c r="O25" s="19"/>
      <c r="P25" s="80" t="s">
        <v>58</v>
      </c>
      <c r="Q25" s="40">
        <v>42.72</v>
      </c>
      <c r="R25" s="40">
        <v>60.02</v>
      </c>
      <c r="S25" s="40">
        <v>67.84</v>
      </c>
      <c r="T25" s="40">
        <v>32.319999999999993</v>
      </c>
      <c r="U25" s="40">
        <v>31.5</v>
      </c>
      <c r="V25" s="40">
        <v>34.950000000000003</v>
      </c>
      <c r="W25" s="40">
        <v>10.8</v>
      </c>
      <c r="X25" s="40">
        <v>0</v>
      </c>
      <c r="Y25" s="40">
        <v>0</v>
      </c>
      <c r="Z25" s="40">
        <v>0</v>
      </c>
      <c r="AA25" s="40">
        <v>0</v>
      </c>
      <c r="AB25" s="40">
        <v>0</v>
      </c>
      <c r="AC25" s="86">
        <f t="shared" si="0"/>
        <v>280.15000000000003</v>
      </c>
    </row>
    <row r="26" spans="1:29" ht="16" x14ac:dyDescent="0.2">
      <c r="A26" s="80" t="s">
        <v>55</v>
      </c>
      <c r="B26" s="40">
        <v>0</v>
      </c>
      <c r="C26" s="40">
        <v>0</v>
      </c>
      <c r="D26" s="40">
        <v>0.75</v>
      </c>
      <c r="E26" s="40">
        <v>0</v>
      </c>
      <c r="F26" s="40">
        <v>0</v>
      </c>
      <c r="G26" s="40">
        <v>0</v>
      </c>
      <c r="H26" s="40">
        <v>0</v>
      </c>
      <c r="I26" s="40">
        <v>0</v>
      </c>
      <c r="J26" s="40">
        <v>0</v>
      </c>
      <c r="K26" s="40">
        <v>0</v>
      </c>
      <c r="L26" s="40">
        <v>0</v>
      </c>
      <c r="M26" s="40">
        <v>0</v>
      </c>
      <c r="N26" s="77">
        <f t="shared" ref="N26:N64" si="13">SUM(B26:M26)</f>
        <v>0.75</v>
      </c>
      <c r="O26" s="21"/>
      <c r="P26" s="80" t="s">
        <v>40</v>
      </c>
      <c r="Q26" s="40">
        <v>0</v>
      </c>
      <c r="R26" s="40">
        <v>0</v>
      </c>
      <c r="S26" s="40">
        <v>0</v>
      </c>
      <c r="T26" s="40">
        <v>21.42</v>
      </c>
      <c r="U26" s="40">
        <v>2.5</v>
      </c>
      <c r="V26" s="40">
        <v>46.170899999999996</v>
      </c>
      <c r="W26" s="40">
        <v>271.07059999999996</v>
      </c>
      <c r="X26" s="40">
        <v>9.85</v>
      </c>
      <c r="Y26" s="40">
        <v>0</v>
      </c>
      <c r="Z26" s="40">
        <v>0</v>
      </c>
      <c r="AA26" s="40">
        <v>0</v>
      </c>
      <c r="AB26" s="40">
        <v>0</v>
      </c>
      <c r="AC26" s="86">
        <f t="shared" si="0"/>
        <v>351.01149999999996</v>
      </c>
    </row>
    <row r="27" spans="1:29" s="21" customFormat="1" ht="16" x14ac:dyDescent="0.2">
      <c r="A27" s="81" t="s">
        <v>1050</v>
      </c>
      <c r="B27" s="67">
        <f>B26</f>
        <v>0</v>
      </c>
      <c r="C27" s="67">
        <f t="shared" ref="C27:M27" si="14">C26</f>
        <v>0</v>
      </c>
      <c r="D27" s="67">
        <f t="shared" si="14"/>
        <v>0.75</v>
      </c>
      <c r="E27" s="67">
        <f t="shared" si="14"/>
        <v>0</v>
      </c>
      <c r="F27" s="67">
        <f t="shared" si="14"/>
        <v>0</v>
      </c>
      <c r="G27" s="67">
        <f t="shared" si="14"/>
        <v>0</v>
      </c>
      <c r="H27" s="67">
        <f t="shared" si="14"/>
        <v>0</v>
      </c>
      <c r="I27" s="67">
        <f t="shared" si="14"/>
        <v>0</v>
      </c>
      <c r="J27" s="67">
        <f t="shared" si="14"/>
        <v>0</v>
      </c>
      <c r="K27" s="67">
        <f t="shared" si="14"/>
        <v>0</v>
      </c>
      <c r="L27" s="67">
        <f t="shared" si="14"/>
        <v>0</v>
      </c>
      <c r="M27" s="67">
        <f t="shared" si="14"/>
        <v>0</v>
      </c>
      <c r="N27" s="82">
        <f t="shared" si="13"/>
        <v>0.75</v>
      </c>
      <c r="P27" s="80" t="s">
        <v>42</v>
      </c>
      <c r="Q27" s="40">
        <v>12.32</v>
      </c>
      <c r="R27" s="40">
        <v>47.66</v>
      </c>
      <c r="S27" s="40">
        <v>85.75</v>
      </c>
      <c r="T27" s="40">
        <v>67.489999999999995</v>
      </c>
      <c r="U27" s="40">
        <v>3.2</v>
      </c>
      <c r="V27" s="40">
        <v>64.170699999999997</v>
      </c>
      <c r="W27" s="40">
        <v>112.749</v>
      </c>
      <c r="X27" s="40">
        <v>8</v>
      </c>
      <c r="Y27" s="40">
        <v>19.920000000000002</v>
      </c>
      <c r="Z27" s="40">
        <v>0</v>
      </c>
      <c r="AA27" s="40">
        <v>0</v>
      </c>
      <c r="AB27" s="40">
        <v>0</v>
      </c>
      <c r="AC27" s="86">
        <f t="shared" si="0"/>
        <v>421.25970000000001</v>
      </c>
    </row>
    <row r="28" spans="1:29" s="21" customFormat="1" ht="16" x14ac:dyDescent="0.2">
      <c r="A28" s="83" t="s">
        <v>1059</v>
      </c>
      <c r="B28" s="68">
        <f>B27*'Entire Project Overiew'!$R$13</f>
        <v>0</v>
      </c>
      <c r="C28" s="68">
        <f>C27*'Entire Project Overiew'!$R$13</f>
        <v>0</v>
      </c>
      <c r="D28" s="68">
        <f>D27*'Entire Project Overiew'!$R$13</f>
        <v>75</v>
      </c>
      <c r="E28" s="68">
        <f>E27*'Entire Project Overiew'!$R$13</f>
        <v>0</v>
      </c>
      <c r="F28" s="68">
        <f>F27*'Entire Project Overiew'!$R$13</f>
        <v>0</v>
      </c>
      <c r="G28" s="68">
        <f>G27*'Entire Project Overiew'!$R$13</f>
        <v>0</v>
      </c>
      <c r="H28" s="68">
        <f>H27*'Entire Project Overiew'!$R$13</f>
        <v>0</v>
      </c>
      <c r="I28" s="68">
        <f>I27*'Entire Project Overiew'!$R$13</f>
        <v>0</v>
      </c>
      <c r="J28" s="68">
        <f>J27*'Entire Project Overiew'!$R$13</f>
        <v>0</v>
      </c>
      <c r="K28" s="68">
        <f>K27*'Entire Project Overiew'!$R$13</f>
        <v>0</v>
      </c>
      <c r="L28" s="68">
        <f>L27*'Entire Project Overiew'!$R$13</f>
        <v>0</v>
      </c>
      <c r="M28" s="68">
        <f>M27*'Entire Project Overiew'!$R$13</f>
        <v>0</v>
      </c>
      <c r="N28" s="84">
        <f t="shared" si="13"/>
        <v>75</v>
      </c>
      <c r="O28" s="32"/>
      <c r="P28" s="80" t="s">
        <v>1032</v>
      </c>
      <c r="Q28" s="40">
        <v>0</v>
      </c>
      <c r="R28" s="40">
        <v>0</v>
      </c>
      <c r="S28" s="40">
        <v>0</v>
      </c>
      <c r="T28" s="40">
        <v>0</v>
      </c>
      <c r="U28" s="40">
        <v>0</v>
      </c>
      <c r="V28" s="40">
        <v>0</v>
      </c>
      <c r="W28" s="40">
        <v>0</v>
      </c>
      <c r="X28" s="40">
        <v>0</v>
      </c>
      <c r="Y28" s="40">
        <v>0</v>
      </c>
      <c r="Z28" s="40">
        <v>0</v>
      </c>
      <c r="AA28" s="40">
        <v>0</v>
      </c>
      <c r="AB28" s="40">
        <v>0</v>
      </c>
      <c r="AC28" s="86">
        <f t="shared" si="0"/>
        <v>0</v>
      </c>
    </row>
    <row r="29" spans="1:29" s="21" customFormat="1" ht="16" x14ac:dyDescent="0.2">
      <c r="A29" s="104"/>
      <c r="B29" s="66"/>
      <c r="C29" s="66"/>
      <c r="D29" s="66"/>
      <c r="E29" s="66"/>
      <c r="F29" s="66"/>
      <c r="G29" s="66"/>
      <c r="H29" s="66"/>
      <c r="I29" s="66"/>
      <c r="J29" s="66"/>
      <c r="K29" s="66"/>
      <c r="L29" s="66"/>
      <c r="M29" s="66"/>
      <c r="N29" s="105"/>
      <c r="P29" s="80" t="s">
        <v>45</v>
      </c>
      <c r="Q29" s="40">
        <v>0</v>
      </c>
      <c r="R29" s="40">
        <v>0</v>
      </c>
      <c r="S29" s="40">
        <v>1E-3</v>
      </c>
      <c r="T29" s="40">
        <v>0</v>
      </c>
      <c r="U29" s="40">
        <v>121.94</v>
      </c>
      <c r="V29" s="40">
        <v>0</v>
      </c>
      <c r="W29" s="40">
        <v>0</v>
      </c>
      <c r="X29" s="40">
        <v>0</v>
      </c>
      <c r="Y29" s="40">
        <v>0</v>
      </c>
      <c r="Z29" s="40">
        <v>0</v>
      </c>
      <c r="AA29" s="40">
        <v>0</v>
      </c>
      <c r="AB29" s="40">
        <v>0</v>
      </c>
      <c r="AC29" s="86">
        <f t="shared" si="0"/>
        <v>121.941</v>
      </c>
    </row>
    <row r="30" spans="1:29" s="21" customFormat="1" ht="18" x14ac:dyDescent="0.2">
      <c r="A30" s="213" t="s">
        <v>1021</v>
      </c>
      <c r="B30" s="214"/>
      <c r="C30" s="214"/>
      <c r="D30" s="214"/>
      <c r="E30" s="214"/>
      <c r="F30" s="214"/>
      <c r="G30" s="214"/>
      <c r="H30" s="214"/>
      <c r="I30" s="214"/>
      <c r="J30" s="214"/>
      <c r="K30" s="214"/>
      <c r="L30" s="214"/>
      <c r="M30" s="214"/>
      <c r="N30" s="215"/>
      <c r="O30" s="19"/>
      <c r="P30" s="98" t="s">
        <v>41</v>
      </c>
      <c r="Q30" s="71">
        <v>4.149</v>
      </c>
      <c r="R30" s="71">
        <v>0</v>
      </c>
      <c r="S30" s="71">
        <v>0</v>
      </c>
      <c r="T30" s="71">
        <v>0</v>
      </c>
      <c r="U30" s="71">
        <v>0</v>
      </c>
      <c r="V30" s="71">
        <v>0</v>
      </c>
      <c r="W30" s="71">
        <v>0</v>
      </c>
      <c r="X30" s="71">
        <v>0</v>
      </c>
      <c r="Y30" s="71">
        <v>0</v>
      </c>
      <c r="Z30" s="71">
        <v>0</v>
      </c>
      <c r="AA30" s="71">
        <v>0</v>
      </c>
      <c r="AB30" s="71">
        <v>0</v>
      </c>
      <c r="AC30" s="99">
        <f t="shared" si="0"/>
        <v>4.149</v>
      </c>
    </row>
    <row r="31" spans="1:29" s="21" customFormat="1" ht="16" x14ac:dyDescent="0.2">
      <c r="A31" s="80" t="s">
        <v>64</v>
      </c>
      <c r="B31" s="40">
        <v>0</v>
      </c>
      <c r="C31" s="40">
        <v>0</v>
      </c>
      <c r="D31" s="40">
        <v>0</v>
      </c>
      <c r="E31" s="40">
        <v>0</v>
      </c>
      <c r="F31" s="40">
        <v>0</v>
      </c>
      <c r="G31" s="40">
        <v>0</v>
      </c>
      <c r="H31" s="40">
        <v>0</v>
      </c>
      <c r="I31" s="40">
        <v>0</v>
      </c>
      <c r="J31" s="40">
        <v>0</v>
      </c>
      <c r="K31" s="40">
        <v>0</v>
      </c>
      <c r="L31" s="40">
        <v>0</v>
      </c>
      <c r="M31" s="40">
        <v>0</v>
      </c>
      <c r="N31" s="77">
        <f t="shared" si="13"/>
        <v>0</v>
      </c>
      <c r="P31" s="81" t="s">
        <v>1051</v>
      </c>
      <c r="Q31" s="72">
        <f>SUM(Q16:Q30)</f>
        <v>135.97899999999998</v>
      </c>
      <c r="R31" s="72">
        <f t="shared" ref="R31:AB31" si="15">SUM(R16:R30)</f>
        <v>155.01999999999998</v>
      </c>
      <c r="S31" s="72">
        <f t="shared" si="15"/>
        <v>202.86100000000002</v>
      </c>
      <c r="T31" s="72">
        <f t="shared" si="15"/>
        <v>226.077</v>
      </c>
      <c r="U31" s="72">
        <f t="shared" si="15"/>
        <v>253.67999999999998</v>
      </c>
      <c r="V31" s="72">
        <f t="shared" si="15"/>
        <v>258.25079999999997</v>
      </c>
      <c r="W31" s="72">
        <f t="shared" si="15"/>
        <v>516.72949999999992</v>
      </c>
      <c r="X31" s="72">
        <f t="shared" si="15"/>
        <v>104.39979999999997</v>
      </c>
      <c r="Y31" s="72">
        <f t="shared" si="15"/>
        <v>61.110200000000006</v>
      </c>
      <c r="Z31" s="72">
        <f t="shared" si="15"/>
        <v>42.549899999999994</v>
      </c>
      <c r="AA31" s="72">
        <f t="shared" si="15"/>
        <v>48.849899999999998</v>
      </c>
      <c r="AB31" s="72">
        <f t="shared" si="15"/>
        <v>14.49</v>
      </c>
      <c r="AC31" s="100">
        <f t="shared" si="0"/>
        <v>2019.9970999999998</v>
      </c>
    </row>
    <row r="32" spans="1:29" s="32" customFormat="1" ht="16" x14ac:dyDescent="0.2">
      <c r="A32" s="80" t="s">
        <v>39</v>
      </c>
      <c r="B32" s="40">
        <v>24.429999999999996</v>
      </c>
      <c r="C32" s="40">
        <v>17.66</v>
      </c>
      <c r="D32" s="40">
        <v>12.33</v>
      </c>
      <c r="E32" s="40">
        <v>28.007000000000001</v>
      </c>
      <c r="F32" s="40">
        <v>5.9300000000000006</v>
      </c>
      <c r="G32" s="40">
        <v>18.340399999999999</v>
      </c>
      <c r="H32" s="40">
        <v>35.369599999999998</v>
      </c>
      <c r="I32" s="40">
        <v>26.661899999999996</v>
      </c>
      <c r="J32" s="40">
        <v>13.215199999999999</v>
      </c>
      <c r="K32" s="40">
        <v>13.017299999999997</v>
      </c>
      <c r="L32" s="40">
        <v>18.660400000000003</v>
      </c>
      <c r="M32" s="40">
        <v>3.8268000000000004</v>
      </c>
      <c r="N32" s="86">
        <f t="shared" si="13"/>
        <v>217.44860000000003</v>
      </c>
      <c r="O32" s="21"/>
      <c r="P32" s="83" t="s">
        <v>1058</v>
      </c>
      <c r="Q32" s="68">
        <f>Q31*'Entire Project Overiew'!$R$15</f>
        <v>13597.899999999998</v>
      </c>
      <c r="R32" s="68">
        <f>R31*'Entire Project Overiew'!$R$15</f>
        <v>15501.999999999998</v>
      </c>
      <c r="S32" s="68">
        <f>S31*'Entire Project Overiew'!$R$15</f>
        <v>20286.100000000002</v>
      </c>
      <c r="T32" s="68">
        <f>T31*'Entire Project Overiew'!$R$15</f>
        <v>22607.7</v>
      </c>
      <c r="U32" s="68">
        <f>U31*'Entire Project Overiew'!$R$15</f>
        <v>25367.999999999996</v>
      </c>
      <c r="V32" s="68">
        <f>V31*'Entire Project Overiew'!$R$15</f>
        <v>25825.079999999998</v>
      </c>
      <c r="W32" s="68">
        <f>W31*'Entire Project Overiew'!$R$15</f>
        <v>51672.94999999999</v>
      </c>
      <c r="X32" s="68">
        <f>X31*'Entire Project Overiew'!$R$15</f>
        <v>10439.979999999998</v>
      </c>
      <c r="Y32" s="68">
        <f>Y31*'Entire Project Overiew'!$R$15</f>
        <v>6111.02</v>
      </c>
      <c r="Z32" s="68">
        <f>Z31*'Entire Project Overiew'!$R$15</f>
        <v>4254.99</v>
      </c>
      <c r="AA32" s="68">
        <f>AA31*'Entire Project Overiew'!$R$15</f>
        <v>4884.99</v>
      </c>
      <c r="AB32" s="68">
        <f>AB31*'Entire Project Overiew'!$R$15</f>
        <v>1449</v>
      </c>
      <c r="AC32" s="84">
        <f t="shared" si="0"/>
        <v>201999.70999999996</v>
      </c>
    </row>
    <row r="33" spans="1:29" ht="16" x14ac:dyDescent="0.2">
      <c r="A33" s="80" t="s">
        <v>46</v>
      </c>
      <c r="B33" s="40">
        <v>19.840000000000003</v>
      </c>
      <c r="C33" s="40">
        <v>14.32</v>
      </c>
      <c r="D33" s="40">
        <v>10.18</v>
      </c>
      <c r="E33" s="40">
        <v>22.73</v>
      </c>
      <c r="F33" s="40">
        <v>4.8100000000000005</v>
      </c>
      <c r="G33" s="40">
        <v>14.866200000000001</v>
      </c>
      <c r="H33" s="40">
        <v>28.656400000000001</v>
      </c>
      <c r="I33" s="40">
        <v>21.601899999999997</v>
      </c>
      <c r="J33" s="40">
        <v>10.706900000000001</v>
      </c>
      <c r="K33" s="40">
        <v>10.5465</v>
      </c>
      <c r="L33" s="40">
        <v>15.055800000000001</v>
      </c>
      <c r="M33" s="40">
        <v>3.1006</v>
      </c>
      <c r="N33" s="86">
        <f t="shared" si="13"/>
        <v>176.41430000000003</v>
      </c>
      <c r="O33" s="21"/>
      <c r="P33" s="102"/>
      <c r="Q33" s="65"/>
      <c r="R33" s="65"/>
      <c r="S33" s="65"/>
      <c r="T33" s="65"/>
      <c r="U33" s="65"/>
      <c r="V33" s="65"/>
      <c r="W33" s="65"/>
      <c r="X33" s="65"/>
      <c r="Y33" s="65"/>
      <c r="Z33" s="65"/>
      <c r="AA33" s="65"/>
      <c r="AB33" s="65"/>
      <c r="AC33" s="106"/>
    </row>
    <row r="34" spans="1:29" ht="18" x14ac:dyDescent="0.2">
      <c r="A34" s="80" t="s">
        <v>48</v>
      </c>
      <c r="B34" s="40">
        <v>20.050000000000004</v>
      </c>
      <c r="C34" s="40">
        <v>14.459999999999999</v>
      </c>
      <c r="D34" s="40">
        <v>8.4499999999999993</v>
      </c>
      <c r="E34" s="40">
        <v>22.9</v>
      </c>
      <c r="F34" s="40">
        <v>4.8599999999999994</v>
      </c>
      <c r="G34" s="40">
        <v>15.012600000000003</v>
      </c>
      <c r="H34" s="40">
        <v>28.953900000000004</v>
      </c>
      <c r="I34" s="40">
        <v>21.825999999999997</v>
      </c>
      <c r="J34" s="40">
        <v>10.818099999999999</v>
      </c>
      <c r="K34" s="40">
        <v>10.6561</v>
      </c>
      <c r="L34" s="40">
        <v>15.133699999999997</v>
      </c>
      <c r="M34" s="40">
        <v>3.1325999999999996</v>
      </c>
      <c r="N34" s="86">
        <f t="shared" si="13"/>
        <v>176.25300000000001</v>
      </c>
      <c r="O34" s="21"/>
      <c r="P34" s="216" t="s">
        <v>1068</v>
      </c>
      <c r="Q34" s="217"/>
      <c r="R34" s="217"/>
      <c r="S34" s="217"/>
      <c r="T34" s="217"/>
      <c r="U34" s="217"/>
      <c r="V34" s="217"/>
      <c r="W34" s="217"/>
      <c r="X34" s="217"/>
      <c r="Y34" s="217"/>
      <c r="Z34" s="217"/>
      <c r="AA34" s="217"/>
      <c r="AB34" s="217"/>
      <c r="AC34" s="218"/>
    </row>
    <row r="35" spans="1:29" s="21" customFormat="1" ht="16" x14ac:dyDescent="0.2">
      <c r="A35" s="81" t="s">
        <v>1051</v>
      </c>
      <c r="B35" s="67">
        <f>SUM(B31:B34)</f>
        <v>64.319999999999993</v>
      </c>
      <c r="C35" s="67">
        <f t="shared" ref="C35:L35" si="16">SUM(C31:C34)</f>
        <v>46.44</v>
      </c>
      <c r="D35" s="67">
        <f t="shared" si="16"/>
        <v>30.959999999999997</v>
      </c>
      <c r="E35" s="67">
        <f t="shared" si="16"/>
        <v>73.637</v>
      </c>
      <c r="F35" s="67">
        <f t="shared" si="16"/>
        <v>15.600000000000001</v>
      </c>
      <c r="G35" s="67">
        <f t="shared" si="16"/>
        <v>48.219200000000001</v>
      </c>
      <c r="H35" s="67">
        <f t="shared" si="16"/>
        <v>92.979900000000001</v>
      </c>
      <c r="I35" s="67">
        <f t="shared" si="16"/>
        <v>70.089799999999983</v>
      </c>
      <c r="J35" s="67">
        <f t="shared" si="16"/>
        <v>34.740200000000002</v>
      </c>
      <c r="K35" s="67">
        <f t="shared" si="16"/>
        <v>34.219899999999996</v>
      </c>
      <c r="L35" s="67">
        <f t="shared" si="16"/>
        <v>48.849899999999998</v>
      </c>
      <c r="M35" s="67">
        <f>SUM(M31:M34)</f>
        <v>10.06</v>
      </c>
      <c r="N35" s="82">
        <f t="shared" si="13"/>
        <v>570.1158999999999</v>
      </c>
      <c r="P35" s="87" t="s">
        <v>1037</v>
      </c>
      <c r="Q35" s="63">
        <f>Q32</f>
        <v>13597.899999999998</v>
      </c>
      <c r="R35" s="63">
        <f t="shared" ref="R35:AB35" si="17">R32</f>
        <v>15501.999999999998</v>
      </c>
      <c r="S35" s="63">
        <f t="shared" si="17"/>
        <v>20286.100000000002</v>
      </c>
      <c r="T35" s="63">
        <f t="shared" si="17"/>
        <v>22607.7</v>
      </c>
      <c r="U35" s="63">
        <f t="shared" si="17"/>
        <v>25367.999999999996</v>
      </c>
      <c r="V35" s="63">
        <f t="shared" si="17"/>
        <v>25825.079999999998</v>
      </c>
      <c r="W35" s="63">
        <f t="shared" si="17"/>
        <v>51672.94999999999</v>
      </c>
      <c r="X35" s="63">
        <f t="shared" si="17"/>
        <v>10439.979999999998</v>
      </c>
      <c r="Y35" s="63">
        <f t="shared" si="17"/>
        <v>6111.02</v>
      </c>
      <c r="Z35" s="63">
        <f t="shared" si="17"/>
        <v>4254.99</v>
      </c>
      <c r="AA35" s="63">
        <f t="shared" si="17"/>
        <v>4884.99</v>
      </c>
      <c r="AB35" s="63">
        <f t="shared" si="17"/>
        <v>1449</v>
      </c>
      <c r="AC35" s="88">
        <f>SUM(Q35:AB35)</f>
        <v>201999.70999999996</v>
      </c>
    </row>
    <row r="36" spans="1:29" s="21" customFormat="1" ht="16" x14ac:dyDescent="0.2">
      <c r="A36" s="83" t="s">
        <v>1058</v>
      </c>
      <c r="B36" s="68">
        <f>B35*'Entire Project Overiew'!$R$15</f>
        <v>6431.9999999999991</v>
      </c>
      <c r="C36" s="68">
        <f>C35*'Entire Project Overiew'!$R$15</f>
        <v>4644</v>
      </c>
      <c r="D36" s="68">
        <f>D35*'Entire Project Overiew'!$R$15</f>
        <v>3095.9999999999995</v>
      </c>
      <c r="E36" s="68">
        <f>E35*'Entire Project Overiew'!$R$15</f>
        <v>7363.7</v>
      </c>
      <c r="F36" s="68">
        <f>F35*'Entire Project Overiew'!$R$15</f>
        <v>1560.0000000000002</v>
      </c>
      <c r="G36" s="68">
        <f>G35*'Entire Project Overiew'!$R$15</f>
        <v>4821.92</v>
      </c>
      <c r="H36" s="68">
        <f>H35*'Entire Project Overiew'!$R$15</f>
        <v>9297.99</v>
      </c>
      <c r="I36" s="68">
        <f>I35*'Entire Project Overiew'!$R$15</f>
        <v>7008.9799999999987</v>
      </c>
      <c r="J36" s="68">
        <f>J35*'Entire Project Overiew'!$R$15</f>
        <v>3474.02</v>
      </c>
      <c r="K36" s="68">
        <f>K35*'Entire Project Overiew'!$R$15</f>
        <v>3421.99</v>
      </c>
      <c r="L36" s="68">
        <f>L35*'Entire Project Overiew'!$R$15</f>
        <v>4884.99</v>
      </c>
      <c r="M36" s="68">
        <f>M35*'Entire Project Overiew'!$R$15</f>
        <v>1006</v>
      </c>
      <c r="N36" s="84">
        <f t="shared" si="13"/>
        <v>57011.589999999989</v>
      </c>
      <c r="O36" s="32"/>
      <c r="P36" s="89" t="s">
        <v>1047</v>
      </c>
      <c r="Q36" s="64">
        <f t="shared" ref="Q36:AB36" si="18">Q13</f>
        <v>21255</v>
      </c>
      <c r="R36" s="64">
        <f t="shared" si="18"/>
        <v>17985</v>
      </c>
      <c r="S36" s="64">
        <f t="shared" si="18"/>
        <v>20165</v>
      </c>
      <c r="T36" s="64">
        <f t="shared" si="18"/>
        <v>25070</v>
      </c>
      <c r="U36" s="64">
        <f t="shared" si="18"/>
        <v>15805</v>
      </c>
      <c r="V36" s="64">
        <f t="shared" si="18"/>
        <v>21255</v>
      </c>
      <c r="W36" s="64">
        <f t="shared" si="18"/>
        <v>29430</v>
      </c>
      <c r="X36" s="64">
        <f t="shared" si="18"/>
        <v>15260</v>
      </c>
      <c r="Y36" s="64">
        <f t="shared" si="18"/>
        <v>10355</v>
      </c>
      <c r="Z36" s="64">
        <f t="shared" si="18"/>
        <v>6540</v>
      </c>
      <c r="AA36" s="64">
        <f t="shared" si="18"/>
        <v>5450</v>
      </c>
      <c r="AB36" s="64">
        <f t="shared" si="18"/>
        <v>3270</v>
      </c>
      <c r="AC36" s="90">
        <f t="shared" ref="AC36:AC37" si="19">SUM(Q36:AB36)</f>
        <v>191840</v>
      </c>
    </row>
    <row r="37" spans="1:29" s="32" customFormat="1" ht="17" thickBot="1" x14ac:dyDescent="0.25">
      <c r="A37" s="102"/>
      <c r="B37" s="65"/>
      <c r="C37" s="65"/>
      <c r="D37" s="65"/>
      <c r="E37" s="65"/>
      <c r="F37" s="65"/>
      <c r="G37" s="65"/>
      <c r="H37" s="65"/>
      <c r="I37" s="65"/>
      <c r="J37" s="65"/>
      <c r="K37" s="65"/>
      <c r="L37" s="65"/>
      <c r="M37" s="65"/>
      <c r="N37" s="103"/>
      <c r="O37" s="19"/>
      <c r="P37" s="91" t="s">
        <v>1042</v>
      </c>
      <c r="Q37" s="92">
        <f t="shared" ref="Q37:AB37" si="20">SUM(Q35:Q36)</f>
        <v>34852.899999999994</v>
      </c>
      <c r="R37" s="92">
        <f t="shared" si="20"/>
        <v>33487</v>
      </c>
      <c r="S37" s="92">
        <f t="shared" si="20"/>
        <v>40451.100000000006</v>
      </c>
      <c r="T37" s="92">
        <f t="shared" si="20"/>
        <v>47677.7</v>
      </c>
      <c r="U37" s="92">
        <f t="shared" si="20"/>
        <v>41173</v>
      </c>
      <c r="V37" s="92">
        <f t="shared" si="20"/>
        <v>47080.08</v>
      </c>
      <c r="W37" s="92">
        <f t="shared" si="20"/>
        <v>81102.949999999983</v>
      </c>
      <c r="X37" s="92">
        <f t="shared" si="20"/>
        <v>25699.979999999996</v>
      </c>
      <c r="Y37" s="92">
        <f t="shared" si="20"/>
        <v>16466.02</v>
      </c>
      <c r="Z37" s="92">
        <f t="shared" si="20"/>
        <v>10794.99</v>
      </c>
      <c r="AA37" s="92">
        <f t="shared" si="20"/>
        <v>10334.99</v>
      </c>
      <c r="AB37" s="92">
        <f t="shared" si="20"/>
        <v>4719</v>
      </c>
      <c r="AC37" s="93">
        <f t="shared" si="19"/>
        <v>393839.70999999996</v>
      </c>
    </row>
    <row r="38" spans="1:29" s="21" customFormat="1" ht="18" x14ac:dyDescent="0.2">
      <c r="A38" s="213" t="s">
        <v>1008</v>
      </c>
      <c r="B38" s="214"/>
      <c r="C38" s="214"/>
      <c r="D38" s="214"/>
      <c r="E38" s="214"/>
      <c r="F38" s="214"/>
      <c r="G38" s="214"/>
      <c r="H38" s="214"/>
      <c r="I38" s="214"/>
      <c r="J38" s="214"/>
      <c r="K38" s="214"/>
      <c r="L38" s="214"/>
      <c r="M38" s="214"/>
      <c r="N38" s="215"/>
      <c r="O38" s="19"/>
      <c r="P38"/>
      <c r="Q38"/>
      <c r="R38"/>
      <c r="S38"/>
      <c r="T38"/>
      <c r="U38"/>
      <c r="V38"/>
      <c r="W38"/>
      <c r="X38"/>
      <c r="Y38"/>
      <c r="Z38"/>
      <c r="AA38"/>
      <c r="AB38"/>
      <c r="AC38"/>
    </row>
    <row r="39" spans="1:29" ht="16" x14ac:dyDescent="0.2">
      <c r="A39" s="80" t="s">
        <v>70</v>
      </c>
      <c r="B39" s="59">
        <v>12.47</v>
      </c>
      <c r="C39" s="40">
        <v>0.9</v>
      </c>
      <c r="D39" s="40">
        <v>5.82</v>
      </c>
      <c r="E39" s="40">
        <v>26.26</v>
      </c>
      <c r="F39" s="40">
        <v>78.94</v>
      </c>
      <c r="G39" s="40">
        <v>64.740000000000009</v>
      </c>
      <c r="H39" s="40">
        <v>29.13</v>
      </c>
      <c r="I39" s="40">
        <v>16.46</v>
      </c>
      <c r="J39" s="40">
        <v>6.4499999999999993</v>
      </c>
      <c r="K39" s="40">
        <v>8.33</v>
      </c>
      <c r="L39" s="40">
        <v>0</v>
      </c>
      <c r="M39" s="40">
        <v>4.43</v>
      </c>
      <c r="N39" s="77">
        <f t="shared" si="13"/>
        <v>253.93</v>
      </c>
      <c r="O39" s="21"/>
      <c r="P39" s="21"/>
      <c r="Q39" s="21"/>
      <c r="R39" s="21"/>
      <c r="S39" s="21"/>
      <c r="T39"/>
      <c r="U39"/>
      <c r="V39"/>
      <c r="W39"/>
      <c r="X39"/>
      <c r="Y39"/>
      <c r="Z39"/>
      <c r="AA39"/>
      <c r="AB39"/>
      <c r="AC39"/>
    </row>
    <row r="40" spans="1:29" s="21" customFormat="1" ht="16" x14ac:dyDescent="0.2">
      <c r="A40" s="81" t="s">
        <v>1052</v>
      </c>
      <c r="B40" s="67">
        <f>B39</f>
        <v>12.47</v>
      </c>
      <c r="C40" s="67">
        <f t="shared" ref="C40:M40" si="21">C39</f>
        <v>0.9</v>
      </c>
      <c r="D40" s="67">
        <f t="shared" si="21"/>
        <v>5.82</v>
      </c>
      <c r="E40" s="67">
        <f t="shared" si="21"/>
        <v>26.26</v>
      </c>
      <c r="F40" s="67">
        <f t="shared" si="21"/>
        <v>78.94</v>
      </c>
      <c r="G40" s="67">
        <f t="shared" si="21"/>
        <v>64.740000000000009</v>
      </c>
      <c r="H40" s="67">
        <f t="shared" si="21"/>
        <v>29.13</v>
      </c>
      <c r="I40" s="67">
        <f t="shared" si="21"/>
        <v>16.46</v>
      </c>
      <c r="J40" s="67">
        <f t="shared" si="21"/>
        <v>6.4499999999999993</v>
      </c>
      <c r="K40" s="67">
        <f t="shared" si="21"/>
        <v>8.33</v>
      </c>
      <c r="L40" s="67">
        <f t="shared" si="21"/>
        <v>0</v>
      </c>
      <c r="M40" s="67">
        <f t="shared" si="21"/>
        <v>4.43</v>
      </c>
      <c r="N40" s="82">
        <f t="shared" si="13"/>
        <v>253.93</v>
      </c>
      <c r="T40"/>
      <c r="U40"/>
      <c r="V40"/>
      <c r="W40"/>
      <c r="X40"/>
      <c r="Y40"/>
      <c r="Z40"/>
      <c r="AA40"/>
      <c r="AB40"/>
      <c r="AC40"/>
    </row>
    <row r="41" spans="1:29" s="21" customFormat="1" ht="16" x14ac:dyDescent="0.2">
      <c r="A41" s="83" t="s">
        <v>1057</v>
      </c>
      <c r="B41" s="68">
        <f>B40*'Entire Project Overiew'!$R$16</f>
        <v>1059.95</v>
      </c>
      <c r="C41" s="68">
        <f>C40*'Entire Project Overiew'!$R$16</f>
        <v>76.5</v>
      </c>
      <c r="D41" s="68">
        <f>D40*'Entire Project Overiew'!$R$16</f>
        <v>494.70000000000005</v>
      </c>
      <c r="E41" s="68">
        <f>E40*'Entire Project Overiew'!$R$16</f>
        <v>2232.1</v>
      </c>
      <c r="F41" s="68">
        <f>F40*'Entire Project Overiew'!$R$16</f>
        <v>6709.9</v>
      </c>
      <c r="G41" s="68">
        <f>G40*'Entire Project Overiew'!$R$16</f>
        <v>5502.9000000000005</v>
      </c>
      <c r="H41" s="68">
        <f>H40*'Entire Project Overiew'!$R$16</f>
        <v>2476.0499999999997</v>
      </c>
      <c r="I41" s="68">
        <f>I40*'Entire Project Overiew'!$R$16</f>
        <v>1399.1000000000001</v>
      </c>
      <c r="J41" s="68">
        <f>J40*'Entire Project Overiew'!$R$16</f>
        <v>548.24999999999989</v>
      </c>
      <c r="K41" s="68">
        <f>K40*'Entire Project Overiew'!$R$16</f>
        <v>708.05</v>
      </c>
      <c r="L41" s="68">
        <f>L40*'Entire Project Overiew'!$R$16</f>
        <v>0</v>
      </c>
      <c r="M41" s="68">
        <f>M40*'Entire Project Overiew'!$R$16</f>
        <v>376.54999999999995</v>
      </c>
      <c r="N41" s="84">
        <f t="shared" si="13"/>
        <v>21584.049999999996</v>
      </c>
      <c r="O41" s="32"/>
      <c r="P41" s="32"/>
      <c r="Q41" s="32"/>
      <c r="R41" s="32"/>
      <c r="S41" s="32"/>
      <c r="T41"/>
      <c r="U41"/>
      <c r="V41"/>
      <c r="W41"/>
      <c r="X41"/>
      <c r="Y41"/>
      <c r="Z41"/>
      <c r="AA41"/>
      <c r="AB41"/>
      <c r="AC41"/>
    </row>
    <row r="42" spans="1:29" s="21" customFormat="1" ht="16" x14ac:dyDescent="0.2">
      <c r="A42" s="104"/>
      <c r="B42" s="66"/>
      <c r="C42" s="66"/>
      <c r="D42" s="66"/>
      <c r="E42" s="66"/>
      <c r="F42" s="66"/>
      <c r="G42" s="66"/>
      <c r="H42" s="66"/>
      <c r="I42" s="66"/>
      <c r="J42" s="66"/>
      <c r="K42" s="66"/>
      <c r="L42" s="66"/>
      <c r="M42" s="66"/>
      <c r="N42" s="105"/>
      <c r="T42"/>
      <c r="U42"/>
      <c r="V42"/>
      <c r="W42"/>
      <c r="X42"/>
      <c r="Y42"/>
      <c r="Z42"/>
      <c r="AA42"/>
      <c r="AB42"/>
      <c r="AC42"/>
    </row>
    <row r="43" spans="1:29" s="32" customFormat="1" ht="18" x14ac:dyDescent="0.2">
      <c r="A43" s="213" t="s">
        <v>1022</v>
      </c>
      <c r="B43" s="214"/>
      <c r="C43" s="214"/>
      <c r="D43" s="214"/>
      <c r="E43" s="214"/>
      <c r="F43" s="214"/>
      <c r="G43" s="214"/>
      <c r="H43" s="214"/>
      <c r="I43" s="214"/>
      <c r="J43" s="214"/>
      <c r="K43" s="214"/>
      <c r="L43" s="214"/>
      <c r="M43" s="214"/>
      <c r="N43" s="215"/>
      <c r="O43" s="19"/>
      <c r="P43"/>
      <c r="Q43"/>
      <c r="R43"/>
      <c r="S43"/>
      <c r="T43"/>
      <c r="U43"/>
      <c r="V43"/>
      <c r="W43"/>
      <c r="X43"/>
      <c r="Y43"/>
      <c r="Z43"/>
      <c r="AA43"/>
      <c r="AB43"/>
      <c r="AC43"/>
    </row>
    <row r="44" spans="1:29" ht="16" x14ac:dyDescent="0.2">
      <c r="A44" s="80" t="s">
        <v>44</v>
      </c>
      <c r="B44" s="40">
        <v>0</v>
      </c>
      <c r="C44" s="40">
        <v>0</v>
      </c>
      <c r="D44" s="40">
        <v>9.67</v>
      </c>
      <c r="E44" s="40">
        <v>4.95</v>
      </c>
      <c r="F44" s="40">
        <v>0</v>
      </c>
      <c r="G44" s="40">
        <v>0</v>
      </c>
      <c r="H44" s="40">
        <v>0</v>
      </c>
      <c r="I44" s="40">
        <v>0</v>
      </c>
      <c r="J44" s="40">
        <v>0</v>
      </c>
      <c r="K44" s="40">
        <v>0</v>
      </c>
      <c r="L44" s="40">
        <v>0</v>
      </c>
      <c r="M44" s="40">
        <v>0</v>
      </c>
      <c r="N44" s="77">
        <f t="shared" si="13"/>
        <v>14.620000000000001</v>
      </c>
      <c r="O44" s="21"/>
      <c r="P44" s="21"/>
      <c r="Q44" s="21"/>
      <c r="R44" s="21"/>
      <c r="S44" s="21"/>
      <c r="T44" s="21"/>
      <c r="U44" s="21"/>
      <c r="V44" s="21"/>
      <c r="W44" s="21"/>
      <c r="X44" s="21"/>
      <c r="Y44" s="21"/>
      <c r="Z44" s="21"/>
      <c r="AA44" s="21"/>
      <c r="AB44" s="21"/>
      <c r="AC44" s="21"/>
    </row>
    <row r="45" spans="1:29" ht="16" x14ac:dyDescent="0.2">
      <c r="A45" s="80" t="s">
        <v>58</v>
      </c>
      <c r="B45" s="40">
        <v>42.72</v>
      </c>
      <c r="C45" s="40">
        <v>60.02</v>
      </c>
      <c r="D45" s="40">
        <v>67.84</v>
      </c>
      <c r="E45" s="40">
        <v>32.319999999999993</v>
      </c>
      <c r="F45" s="40">
        <v>31.5</v>
      </c>
      <c r="G45" s="40">
        <v>34.950000000000003</v>
      </c>
      <c r="H45" s="40">
        <v>10.8</v>
      </c>
      <c r="I45" s="40">
        <v>0</v>
      </c>
      <c r="J45" s="40">
        <v>0</v>
      </c>
      <c r="K45" s="40">
        <v>0</v>
      </c>
      <c r="L45" s="40">
        <v>0</v>
      </c>
      <c r="M45" s="40">
        <v>0</v>
      </c>
      <c r="N45" s="86">
        <f t="shared" si="13"/>
        <v>280.15000000000003</v>
      </c>
      <c r="O45" s="21"/>
      <c r="P45" s="21"/>
      <c r="Q45" s="21"/>
      <c r="R45" s="21"/>
      <c r="S45" s="21"/>
      <c r="T45" s="21"/>
      <c r="U45" s="21"/>
      <c r="V45" s="21"/>
      <c r="W45" s="21"/>
      <c r="X45" s="21"/>
      <c r="Y45" s="21"/>
      <c r="Z45" s="21"/>
      <c r="AA45" s="21"/>
      <c r="AB45" s="21"/>
      <c r="AC45" s="21"/>
    </row>
    <row r="46" spans="1:29" s="21" customFormat="1" ht="16" x14ac:dyDescent="0.2">
      <c r="A46" s="81" t="s">
        <v>1053</v>
      </c>
      <c r="B46" s="67">
        <f>SUM(B44:B45)</f>
        <v>42.72</v>
      </c>
      <c r="C46" s="67">
        <f t="shared" ref="C46:M46" si="22">SUM(C44:C45)</f>
        <v>60.02</v>
      </c>
      <c r="D46" s="67">
        <f t="shared" si="22"/>
        <v>77.510000000000005</v>
      </c>
      <c r="E46" s="67">
        <f t="shared" si="22"/>
        <v>37.269999999999996</v>
      </c>
      <c r="F46" s="67">
        <f t="shared" si="22"/>
        <v>31.5</v>
      </c>
      <c r="G46" s="67">
        <f t="shared" si="22"/>
        <v>34.950000000000003</v>
      </c>
      <c r="H46" s="67">
        <f t="shared" si="22"/>
        <v>10.8</v>
      </c>
      <c r="I46" s="67">
        <f t="shared" si="22"/>
        <v>0</v>
      </c>
      <c r="J46" s="67">
        <f t="shared" si="22"/>
        <v>0</v>
      </c>
      <c r="K46" s="67">
        <f t="shared" si="22"/>
        <v>0</v>
      </c>
      <c r="L46" s="67">
        <f t="shared" si="22"/>
        <v>0</v>
      </c>
      <c r="M46" s="67">
        <f t="shared" si="22"/>
        <v>0</v>
      </c>
      <c r="N46" s="82">
        <f t="shared" si="13"/>
        <v>294.77</v>
      </c>
    </row>
    <row r="47" spans="1:29" s="21" customFormat="1" ht="16" x14ac:dyDescent="0.2">
      <c r="A47" s="83" t="s">
        <v>1062</v>
      </c>
      <c r="B47" s="68">
        <f>B46*'Entire Project Overiew'!$R$17</f>
        <v>2349.6</v>
      </c>
      <c r="C47" s="68">
        <f>C46*'Entire Project Overiew'!$R$17</f>
        <v>3301.1000000000004</v>
      </c>
      <c r="D47" s="68">
        <f>D46*'Entire Project Overiew'!$R$17</f>
        <v>4263.05</v>
      </c>
      <c r="E47" s="68">
        <f>E46*'Entire Project Overiew'!$R$17</f>
        <v>2049.85</v>
      </c>
      <c r="F47" s="68">
        <f>F46*'Entire Project Overiew'!$R$17</f>
        <v>1732.5</v>
      </c>
      <c r="G47" s="68">
        <f>G46*'Entire Project Overiew'!$R$17</f>
        <v>1922.2500000000002</v>
      </c>
      <c r="H47" s="68">
        <f>H46*'Entire Project Overiew'!$R$17</f>
        <v>594</v>
      </c>
      <c r="I47" s="68">
        <f>I46*'Entire Project Overiew'!$R$17</f>
        <v>0</v>
      </c>
      <c r="J47" s="68">
        <f>J46*'Entire Project Overiew'!$R$17</f>
        <v>0</v>
      </c>
      <c r="K47" s="68">
        <f>K46*'Entire Project Overiew'!$R$17</f>
        <v>0</v>
      </c>
      <c r="L47" s="68">
        <f>L46*'Entire Project Overiew'!$R$17</f>
        <v>0</v>
      </c>
      <c r="M47" s="68">
        <f>M46*'Entire Project Overiew'!$R$17</f>
        <v>0</v>
      </c>
      <c r="N47" s="84">
        <f t="shared" si="13"/>
        <v>16212.35</v>
      </c>
      <c r="O47" s="32"/>
      <c r="P47" s="32"/>
      <c r="Q47" s="32"/>
      <c r="R47" s="32"/>
      <c r="S47" s="32"/>
      <c r="T47" s="32"/>
      <c r="U47" s="32"/>
      <c r="V47" s="32"/>
      <c r="W47" s="73"/>
      <c r="X47" s="32"/>
      <c r="Y47" s="32"/>
      <c r="Z47" s="32"/>
      <c r="AA47" s="32"/>
      <c r="AB47" s="32"/>
      <c r="AC47" s="32"/>
    </row>
    <row r="48" spans="1:29" s="21" customFormat="1" ht="16" x14ac:dyDescent="0.2">
      <c r="A48" s="102"/>
      <c r="B48" s="65"/>
      <c r="C48" s="65"/>
      <c r="D48" s="65"/>
      <c r="E48" s="65"/>
      <c r="F48" s="65"/>
      <c r="G48" s="65"/>
      <c r="H48" s="65"/>
      <c r="I48" s="65"/>
      <c r="J48" s="65"/>
      <c r="K48" s="65"/>
      <c r="L48" s="65"/>
      <c r="M48" s="65"/>
      <c r="N48" s="103"/>
      <c r="O48" s="19"/>
      <c r="P48" s="19"/>
      <c r="Q48" s="19"/>
      <c r="R48" s="19"/>
      <c r="S48" s="19"/>
      <c r="T48" s="19"/>
      <c r="U48" s="19"/>
      <c r="V48" s="19"/>
      <c r="W48" s="19"/>
      <c r="X48" s="19"/>
      <c r="Y48" s="19"/>
      <c r="Z48" s="19"/>
      <c r="AA48" s="19"/>
      <c r="AB48" s="19"/>
      <c r="AC48" s="19"/>
    </row>
    <row r="49" spans="1:29" s="21" customFormat="1" ht="18" x14ac:dyDescent="0.2">
      <c r="A49" s="213" t="s">
        <v>1027</v>
      </c>
      <c r="B49" s="214"/>
      <c r="C49" s="214"/>
      <c r="D49" s="214"/>
      <c r="E49" s="214"/>
      <c r="F49" s="214"/>
      <c r="G49" s="214"/>
      <c r="H49" s="214"/>
      <c r="I49" s="214"/>
      <c r="J49" s="214"/>
      <c r="K49" s="214"/>
      <c r="L49" s="214"/>
      <c r="M49" s="214"/>
      <c r="N49" s="215"/>
      <c r="O49" s="19"/>
      <c r="P49"/>
      <c r="Q49"/>
      <c r="R49"/>
      <c r="S49"/>
      <c r="T49"/>
      <c r="U49"/>
      <c r="V49"/>
      <c r="W49"/>
      <c r="X49"/>
      <c r="Y49"/>
      <c r="Z49"/>
      <c r="AA49"/>
      <c r="AB49"/>
      <c r="AC49"/>
    </row>
    <row r="50" spans="1:29" s="32" customFormat="1" ht="16" x14ac:dyDescent="0.2">
      <c r="A50" s="80" t="s">
        <v>40</v>
      </c>
      <c r="B50" s="40">
        <v>0</v>
      </c>
      <c r="C50" s="40">
        <v>0</v>
      </c>
      <c r="D50" s="40">
        <v>0</v>
      </c>
      <c r="E50" s="40">
        <v>21.42</v>
      </c>
      <c r="F50" s="40">
        <v>2.5</v>
      </c>
      <c r="G50" s="40">
        <v>46.170899999999996</v>
      </c>
      <c r="H50" s="40">
        <v>271.07059999999996</v>
      </c>
      <c r="I50" s="40">
        <v>9.85</v>
      </c>
      <c r="J50" s="40">
        <v>0</v>
      </c>
      <c r="K50" s="40">
        <v>0</v>
      </c>
      <c r="L50" s="40">
        <v>0</v>
      </c>
      <c r="M50" s="40">
        <v>0</v>
      </c>
      <c r="N50" s="77">
        <f>SUM(B50:M50)</f>
        <v>351.01149999999996</v>
      </c>
      <c r="O50" s="21"/>
      <c r="P50"/>
      <c r="Q50"/>
      <c r="R50"/>
      <c r="S50"/>
      <c r="T50"/>
      <c r="U50"/>
      <c r="V50"/>
      <c r="W50"/>
      <c r="X50"/>
      <c r="Y50"/>
      <c r="Z50"/>
      <c r="AA50"/>
      <c r="AB50"/>
      <c r="AC50"/>
    </row>
    <row r="51" spans="1:29" s="21" customFormat="1" ht="16" x14ac:dyDescent="0.2">
      <c r="A51" s="80" t="s">
        <v>42</v>
      </c>
      <c r="B51" s="40">
        <v>12.32</v>
      </c>
      <c r="C51" s="40">
        <v>47.66</v>
      </c>
      <c r="D51" s="40">
        <v>85.75</v>
      </c>
      <c r="E51" s="40">
        <v>67.489999999999995</v>
      </c>
      <c r="F51" s="40">
        <v>3.2</v>
      </c>
      <c r="G51" s="40">
        <v>64.170699999999997</v>
      </c>
      <c r="H51" s="40">
        <v>112.749</v>
      </c>
      <c r="I51" s="40">
        <v>8</v>
      </c>
      <c r="J51" s="40">
        <v>19.920000000000002</v>
      </c>
      <c r="K51" s="40">
        <v>0</v>
      </c>
      <c r="L51" s="40">
        <v>0</v>
      </c>
      <c r="M51" s="40">
        <v>0</v>
      </c>
      <c r="N51" s="86">
        <f>SUM(B51:M51)</f>
        <v>421.25970000000001</v>
      </c>
      <c r="P51"/>
      <c r="Q51"/>
      <c r="R51"/>
      <c r="S51"/>
      <c r="T51"/>
      <c r="U51"/>
      <c r="V51"/>
      <c r="W51"/>
      <c r="X51"/>
      <c r="Y51"/>
      <c r="Z51"/>
      <c r="AA51"/>
      <c r="AB51"/>
      <c r="AC51"/>
    </row>
    <row r="52" spans="1:29" ht="16" x14ac:dyDescent="0.2">
      <c r="A52" s="80" t="s">
        <v>1032</v>
      </c>
      <c r="B52" s="40">
        <v>0</v>
      </c>
      <c r="C52" s="40">
        <v>0</v>
      </c>
      <c r="D52" s="40">
        <v>0</v>
      </c>
      <c r="E52" s="40">
        <v>0</v>
      </c>
      <c r="F52" s="40">
        <v>0</v>
      </c>
      <c r="G52" s="40">
        <v>0</v>
      </c>
      <c r="H52" s="40">
        <v>0</v>
      </c>
      <c r="I52" s="40">
        <v>0</v>
      </c>
      <c r="J52" s="40">
        <v>0</v>
      </c>
      <c r="K52" s="40">
        <v>0</v>
      </c>
      <c r="L52" s="40">
        <v>0</v>
      </c>
      <c r="M52" s="40">
        <v>0</v>
      </c>
      <c r="N52" s="86">
        <f>SUM(B52:M52)</f>
        <v>0</v>
      </c>
      <c r="O52" s="21"/>
      <c r="P52"/>
      <c r="Q52"/>
      <c r="R52"/>
      <c r="S52"/>
      <c r="T52"/>
      <c r="U52"/>
      <c r="V52"/>
      <c r="W52"/>
      <c r="X52"/>
      <c r="Y52"/>
      <c r="Z52"/>
      <c r="AA52"/>
      <c r="AB52"/>
      <c r="AC52"/>
    </row>
    <row r="53" spans="1:29" s="21" customFormat="1" ht="16" x14ac:dyDescent="0.2">
      <c r="A53" s="81" t="s">
        <v>1056</v>
      </c>
      <c r="B53" s="67">
        <f>SUM(B50:B52)</f>
        <v>12.32</v>
      </c>
      <c r="C53" s="67">
        <f t="shared" ref="C53:M53" si="23">SUM(C50:C52)</f>
        <v>47.66</v>
      </c>
      <c r="D53" s="67">
        <f t="shared" si="23"/>
        <v>85.75</v>
      </c>
      <c r="E53" s="67">
        <f t="shared" si="23"/>
        <v>88.91</v>
      </c>
      <c r="F53" s="67">
        <f t="shared" si="23"/>
        <v>5.7</v>
      </c>
      <c r="G53" s="67">
        <f t="shared" si="23"/>
        <v>110.3416</v>
      </c>
      <c r="H53" s="67">
        <f t="shared" si="23"/>
        <v>383.81959999999992</v>
      </c>
      <c r="I53" s="67">
        <f t="shared" si="23"/>
        <v>17.850000000000001</v>
      </c>
      <c r="J53" s="67">
        <f t="shared" si="23"/>
        <v>19.920000000000002</v>
      </c>
      <c r="K53" s="67">
        <f t="shared" si="23"/>
        <v>0</v>
      </c>
      <c r="L53" s="67">
        <f t="shared" si="23"/>
        <v>0</v>
      </c>
      <c r="M53" s="67">
        <f t="shared" si="23"/>
        <v>0</v>
      </c>
      <c r="N53" s="82">
        <f>SUM(B53:M53)</f>
        <v>772.27119999999991</v>
      </c>
      <c r="P53"/>
      <c r="Q53"/>
      <c r="R53"/>
      <c r="S53"/>
      <c r="T53"/>
      <c r="U53"/>
      <c r="V53"/>
      <c r="W53"/>
      <c r="X53"/>
      <c r="Y53"/>
      <c r="Z53"/>
      <c r="AA53"/>
      <c r="AB53"/>
      <c r="AC53"/>
    </row>
    <row r="54" spans="1:29" s="21" customFormat="1" ht="16" x14ac:dyDescent="0.2">
      <c r="A54" s="83" t="s">
        <v>1063</v>
      </c>
      <c r="B54" s="68">
        <f>B53*'Entire Project Overiew'!$R$20</f>
        <v>899.36</v>
      </c>
      <c r="C54" s="68">
        <f>C53*'Entire Project Overiew'!$R$20</f>
        <v>3479.18</v>
      </c>
      <c r="D54" s="68">
        <f>D53*'Entire Project Overiew'!$R$20</f>
        <v>6259.75</v>
      </c>
      <c r="E54" s="68">
        <f>E53*'Entire Project Overiew'!$R$20</f>
        <v>6490.4299999999994</v>
      </c>
      <c r="F54" s="68">
        <f>F53*'Entire Project Overiew'!$R$20</f>
        <v>416.1</v>
      </c>
      <c r="G54" s="68">
        <f>G53*'Entire Project Overiew'!$R$20</f>
        <v>8054.9368000000004</v>
      </c>
      <c r="H54" s="68">
        <f>H53*'Entire Project Overiew'!$R$20</f>
        <v>28018.830799999996</v>
      </c>
      <c r="I54" s="68">
        <f>I53*'Entire Project Overiew'!$R$20</f>
        <v>1303.0500000000002</v>
      </c>
      <c r="J54" s="68">
        <f>J53*'Entire Project Overiew'!$R$20</f>
        <v>1454.16</v>
      </c>
      <c r="K54" s="68">
        <f>K53*'Entire Project Overiew'!$R$20</f>
        <v>0</v>
      </c>
      <c r="L54" s="68">
        <f>L53*'Entire Project Overiew'!$R$20</f>
        <v>0</v>
      </c>
      <c r="M54" s="68">
        <f>M53*'Entire Project Overiew'!$R$20</f>
        <v>0</v>
      </c>
      <c r="N54" s="84">
        <f>SUM(B54:M54)</f>
        <v>56375.797600000005</v>
      </c>
      <c r="O54" s="32"/>
      <c r="P54"/>
      <c r="Q54"/>
      <c r="R54"/>
      <c r="S54"/>
      <c r="T54"/>
      <c r="U54"/>
      <c r="V54"/>
      <c r="W54"/>
      <c r="X54"/>
      <c r="Y54"/>
      <c r="Z54"/>
      <c r="AA54"/>
      <c r="AB54"/>
      <c r="AC54"/>
    </row>
    <row r="55" spans="1:29" s="32" customFormat="1" ht="16" x14ac:dyDescent="0.2">
      <c r="A55" s="104"/>
      <c r="B55" s="66"/>
      <c r="C55" s="66"/>
      <c r="D55" s="66"/>
      <c r="E55" s="66"/>
      <c r="F55" s="66"/>
      <c r="G55" s="66"/>
      <c r="H55" s="66"/>
      <c r="I55" s="66"/>
      <c r="J55" s="66"/>
      <c r="K55" s="66"/>
      <c r="L55" s="66"/>
      <c r="M55" s="66"/>
      <c r="N55" s="105"/>
      <c r="O55" s="21"/>
      <c r="P55"/>
      <c r="Q55"/>
      <c r="R55"/>
      <c r="S55"/>
      <c r="T55"/>
      <c r="U55"/>
      <c r="V55"/>
      <c r="W55"/>
      <c r="X55"/>
      <c r="Y55"/>
      <c r="Z55"/>
      <c r="AA55"/>
      <c r="AB55"/>
      <c r="AC55"/>
    </row>
    <row r="56" spans="1:29" ht="18" x14ac:dyDescent="0.2">
      <c r="A56" s="213" t="s">
        <v>45</v>
      </c>
      <c r="B56" s="214"/>
      <c r="C56" s="214"/>
      <c r="D56" s="214"/>
      <c r="E56" s="214"/>
      <c r="F56" s="214"/>
      <c r="G56" s="214"/>
      <c r="H56" s="214"/>
      <c r="I56" s="214"/>
      <c r="J56" s="214"/>
      <c r="K56" s="214"/>
      <c r="L56" s="214"/>
      <c r="M56" s="214"/>
      <c r="N56" s="215"/>
      <c r="P56"/>
      <c r="Q56"/>
      <c r="R56"/>
      <c r="S56"/>
      <c r="T56"/>
      <c r="U56"/>
      <c r="V56"/>
      <c r="W56"/>
      <c r="X56"/>
      <c r="Y56"/>
      <c r="Z56"/>
      <c r="AA56"/>
      <c r="AB56"/>
      <c r="AC56"/>
    </row>
    <row r="57" spans="1:29" ht="16" x14ac:dyDescent="0.2">
      <c r="A57" s="80" t="s">
        <v>45</v>
      </c>
      <c r="B57" s="40">
        <v>0</v>
      </c>
      <c r="C57" s="40">
        <v>0</v>
      </c>
      <c r="D57" s="40">
        <v>1E-3</v>
      </c>
      <c r="E57" s="40">
        <v>0</v>
      </c>
      <c r="F57" s="40">
        <v>121.94</v>
      </c>
      <c r="G57" s="40">
        <v>0</v>
      </c>
      <c r="H57" s="40">
        <v>0</v>
      </c>
      <c r="I57" s="40">
        <v>0</v>
      </c>
      <c r="J57" s="40">
        <v>0</v>
      </c>
      <c r="K57" s="40">
        <v>0</v>
      </c>
      <c r="L57" s="40">
        <v>0</v>
      </c>
      <c r="M57" s="40">
        <v>0</v>
      </c>
      <c r="N57" s="77">
        <f t="shared" si="13"/>
        <v>121.941</v>
      </c>
      <c r="O57" s="21"/>
      <c r="P57"/>
      <c r="Q57"/>
      <c r="R57"/>
      <c r="S57"/>
      <c r="T57"/>
      <c r="U57"/>
      <c r="V57"/>
      <c r="W57"/>
      <c r="X57"/>
      <c r="Y57"/>
      <c r="Z57"/>
      <c r="AA57"/>
      <c r="AB57"/>
      <c r="AC57"/>
    </row>
    <row r="58" spans="1:29" s="21" customFormat="1" ht="16" x14ac:dyDescent="0.2">
      <c r="A58" s="81" t="s">
        <v>1054</v>
      </c>
      <c r="B58" s="67">
        <f>B57</f>
        <v>0</v>
      </c>
      <c r="C58" s="67">
        <f t="shared" ref="C58:M58" si="24">C57</f>
        <v>0</v>
      </c>
      <c r="D58" s="67">
        <f t="shared" si="24"/>
        <v>1E-3</v>
      </c>
      <c r="E58" s="67">
        <f t="shared" si="24"/>
        <v>0</v>
      </c>
      <c r="F58" s="67">
        <f t="shared" si="24"/>
        <v>121.94</v>
      </c>
      <c r="G58" s="67">
        <f t="shared" si="24"/>
        <v>0</v>
      </c>
      <c r="H58" s="67">
        <f t="shared" si="24"/>
        <v>0</v>
      </c>
      <c r="I58" s="67">
        <f t="shared" si="24"/>
        <v>0</v>
      </c>
      <c r="J58" s="67">
        <f t="shared" si="24"/>
        <v>0</v>
      </c>
      <c r="K58" s="67">
        <f t="shared" si="24"/>
        <v>0</v>
      </c>
      <c r="L58" s="67">
        <f t="shared" si="24"/>
        <v>0</v>
      </c>
      <c r="M58" s="67">
        <f t="shared" si="24"/>
        <v>0</v>
      </c>
      <c r="N58" s="82">
        <f t="shared" si="13"/>
        <v>121.941</v>
      </c>
      <c r="P58"/>
      <c r="Q58"/>
      <c r="R58"/>
      <c r="S58"/>
      <c r="T58"/>
      <c r="U58"/>
      <c r="V58"/>
      <c r="W58"/>
      <c r="X58"/>
      <c r="Y58"/>
      <c r="Z58"/>
      <c r="AA58"/>
      <c r="AB58"/>
      <c r="AC58"/>
    </row>
    <row r="59" spans="1:29" s="21" customFormat="1" ht="16" x14ac:dyDescent="0.2">
      <c r="A59" s="83" t="s">
        <v>1066</v>
      </c>
      <c r="B59" s="68" cm="1">
        <f t="array" ref="B59">((SUMPRODUCT(
((('Raw Data'!AF11:AF1217*-'Entire Project Overiew'!R18)&gt;'Entire Project Overiew'!B11)*
('Raw Data'!$M$11:$M$1217=DATE(2025,7,1)))*
'Raw Data'!AF11:AF1217
))*'Entire Project Overiew'!R18)
+
(COUNT(
_xlfn._xlws.FILTER(
'Raw Data'!AF11:AF1217,
(('Raw Data'!AF11:AF1217*-'Entire Project Overiew'!R18)&gt;'Entire Project Overiew'!B11)*
('Raw Data'!$M$11:$M$1217=DATE(2025,7,1))
)
)*'Entire Project Overiew'!B11)</f>
        <v>0</v>
      </c>
      <c r="C59" s="68" cm="1">
        <f t="array" ref="C59">((SUMPRODUCT(
((('Raw Data'!AF11:AF1217*-'Entire Project Overiew'!R18)&gt;'Entire Project Overiew'!B11)*
('Raw Data'!$M$11:$M$1217=DATE(2025,8,1)))*
'Raw Data'!AF11:AF1217
))*'Entire Project Overiew'!R18)
+
(COUNT(
_xlfn._xlws.FILTER(
'Raw Data'!AF11:AF1217,
(('Raw Data'!AF11:AF1217*-'Entire Project Overiew'!R18)&gt;'Entire Project Overiew'!B11)*
('Raw Data'!$M$11:$M$1217=DATE(2025,8,1))
)
)*'Entire Project Overiew'!B11)</f>
        <v>0</v>
      </c>
      <c r="D59" s="68" cm="1">
        <f t="array" ref="D59">((SUMPRODUCT(
((('Raw Data'!AF11:AF1217*-'Entire Project Overiew'!R18)&gt;'Entire Project Overiew'!B11)*
('Raw Data'!$M$11:$M$1217=DATE(2025,9,1)))*
'Raw Data'!AF11:AF1217
))*'Entire Project Overiew'!R18)
+
(COUNT(
_xlfn._xlws.FILTER(
'Raw Data'!AF11:AF1217,
(('Raw Data'!AF11:AF1217*-'Entire Project Overiew'!R18)&gt;'Entire Project Overiew'!B11)*
('Raw Data'!$M$11:$M$1217=DATE(2025,9,1))
)
)*'Entire Project Overiew'!B11)</f>
        <v>0</v>
      </c>
      <c r="E59" s="68" cm="1">
        <f t="array" ref="E59">((SUMPRODUCT(
((('Raw Data'!AF11:AF1217*-'Entire Project Overiew'!R18)&gt;'Entire Project Overiew'!B11)*
('Raw Data'!$M$11:$M$1217=DATE(2025,10,1)))*
'Raw Data'!AF11:AF1217
))*'Entire Project Overiew'!R18)
+
(COUNT(
_xlfn._xlws.FILTER(
'Raw Data'!AF11:AF1217,
(('Raw Data'!AF11:AF1217*-'Entire Project Overiew'!R18)&gt;'Entire Project Overiew'!B11)*
('Raw Data'!$M$11:$M$1217=DATE(2025,10,1))
)
)*'Entire Project Overiew'!B11)</f>
        <v>0</v>
      </c>
      <c r="F59" s="68" cm="1">
        <f t="array" ref="F59">((SUMPRODUCT(
((('Raw Data'!AF11:AF1217*-'Entire Project Overiew'!R18)&gt;'Entire Project Overiew'!B11)*
('Raw Data'!$M$11:$M$1217=DATE(2025,11,1)))*
'Raw Data'!AF11:AF1217
))*'Entire Project Overiew'!R18)
+
(COUNT(
_xlfn._xlws.FILTER(
'Raw Data'!AF11:AF1217,
(('Raw Data'!AF11:AF1217*-'Entire Project Overiew'!R18)&gt;'Entire Project Overiew'!B11)*
('Raw Data'!$M$11:$M$1217=DATE(2025,11,1))
)
)*'Entire Project Overiew'!B11)</f>
        <v>-6771.4</v>
      </c>
      <c r="G59" s="68" cm="1">
        <f t="array" ref="G59">((SUMPRODUCT(
((('Raw Data'!AF11:AF1217*-'Entire Project Overiew'!R18)&gt;'Entire Project Overiew'!B11)*
('Raw Data'!$M$11:$M$1217=DATE(2025,12,1)))*
'Raw Data'!AF11:AF1217
))*'Entire Project Overiew'!R18)
+
(COUNT(
_xlfn._xlws.FILTER(
'Raw Data'!AF11:AF1217,
(('Raw Data'!AF11:AF1217*-'Entire Project Overiew'!R18)&gt;'Entire Project Overiew'!B11)*
('Raw Data'!$M$11:$M$1217=DATE(2025,12,1))
)
)*'Entire Project Overiew'!B11)</f>
        <v>0</v>
      </c>
      <c r="H59" s="68" cm="1">
        <f t="array" ref="H59">((SUMPRODUCT(
((('Raw Data'!AF11:AF1217*-'Entire Project Overiew'!R18)&gt;'Entire Project Overiew'!B11)*
('Raw Data'!$M$11:$M$1217=DATE(2026,1,1)))*
'Raw Data'!AF11:AF1217
))*'Entire Project Overiew'!R18)
+
(COUNT(
_xlfn._xlws.FILTER(
'Raw Data'!AF11:AF1217,
(('Raw Data'!AF11:AF1217*-'Entire Project Overiew'!R18)&gt;'Entire Project Overiew'!B11)*
('Raw Data'!$M$11:$M$1217=DATE(2026,1,1))
)
)*'Entire Project Overiew'!B11)</f>
        <v>0</v>
      </c>
      <c r="I59" s="68" cm="1">
        <f t="array" ref="I59">((SUMPRODUCT(
((('Raw Data'!AF11:AF1217*-'Entire Project Overiew'!R18)&gt;'Entire Project Overiew'!B11)*
('Raw Data'!$M$11:$M$1217=DATE(2026,2,1)))*
'Raw Data'!AF11:AF1217
))*'Entire Project Overiew'!R18)
+
(COUNT(
_xlfn._xlws.FILTER(
'Raw Data'!AF11:AF1217,
(('Raw Data'!AF11:AF1217*-'Entire Project Overiew'!R18)&gt;'Entire Project Overiew'!B11)*
('Raw Data'!$M$11:$M$1217=DATE(2026,2,1))
)
)*'Entire Project Overiew'!B11)</f>
        <v>0</v>
      </c>
      <c r="J59" s="68" cm="1">
        <f t="array" ref="J59">((SUMPRODUCT(
((('Raw Data'!AF11:AF1217*-'Entire Project Overiew'!R18)&gt;'Entire Project Overiew'!B11)*
('Raw Data'!$M$11:$M$1217=DATE(2026,3,1)))*
'Raw Data'!AF11:AF1217
))*'Entire Project Overiew'!R18)
+
(COUNT(
_xlfn._xlws.FILTER(
'Raw Data'!AF11:AF1217,
(('Raw Data'!AF11:AF1217*-'Entire Project Overiew'!R18)&gt;'Entire Project Overiew'!B11)*
('Raw Data'!$M$11:$M$1217=DATE(2026,3,1))
)
)*'Entire Project Overiew'!B11)</f>
        <v>0</v>
      </c>
      <c r="K59" s="68" cm="1">
        <f t="array" ref="K59">((SUMPRODUCT(
((('Raw Data'!AF11:AF1217*-'Entire Project Overiew'!R18)&gt;'Entire Project Overiew'!B11)*
('Raw Data'!$M$11:$M$1217=DATE(2026,4,1)))*
'Raw Data'!AF11:AF1217
))*'Entire Project Overiew'!R18)
+
(COUNT(
_xlfn._xlws.FILTER(
'Raw Data'!AF11:AF1217,
(('Raw Data'!AF11:AF1217*-'Entire Project Overiew'!R18)&gt;'Entire Project Overiew'!B11)*
('Raw Data'!$M$11:$M$1217=DATE(2026,4,1))
)
)*'Entire Project Overiew'!B11)</f>
        <v>0</v>
      </c>
      <c r="L59" s="68" cm="1">
        <f t="array" ref="L59">((SUMPRODUCT(
((('Raw Data'!AF11:AF1217*-'Entire Project Overiew'!R18)&gt;'Entire Project Overiew'!B11)*
('Raw Data'!$M$11:$M$1217=DATE(2026,5,1)))*
'Raw Data'!AF11:AF1217
))*'Entire Project Overiew'!R18)
+
(COUNT(
_xlfn._xlws.FILTER(
'Raw Data'!AF11:AF1217,
(('Raw Data'!AF11:AF1217*-'Entire Project Overiew'!R18)&gt;'Entire Project Overiew'!B11)*
('Raw Data'!$M$11:$M$1217=DATE(2026,5,1))
)
)*'Entire Project Overiew'!B11)</f>
        <v>0</v>
      </c>
      <c r="M59" s="68" cm="1">
        <f t="array" ref="M59">((SUMPRODUCT(
((('Raw Data'!AF11:AF1217*-'Entire Project Overiew'!R18)&gt;'Entire Project Overiew'!B11)*
('Raw Data'!$M$11:$M$1217=DATE(2026,6,1)))*
'Raw Data'!AF11:AF1217
))*'Entire Project Overiew'!R18)
+
(COUNT(
_xlfn._xlws.FILTER(
'Raw Data'!AF11:AF1217,
(('Raw Data'!AF11:AF1217*-'Entire Project Overiew'!R18)&gt;'Entire Project Overiew'!B11)*
('Raw Data'!$M$11:$M$1217=DATE(2026,6,1))
)
)*'Entire Project Overiew'!B11)</f>
        <v>0</v>
      </c>
      <c r="N59" s="84">
        <f t="shared" si="13"/>
        <v>-6771.4</v>
      </c>
      <c r="O59" s="32"/>
      <c r="P59"/>
      <c r="Q59"/>
      <c r="R59"/>
      <c r="S59"/>
      <c r="T59"/>
      <c r="U59"/>
      <c r="V59"/>
      <c r="W59"/>
      <c r="X59"/>
      <c r="Y59"/>
      <c r="Z59"/>
      <c r="AA59"/>
      <c r="AB59"/>
      <c r="AC59"/>
    </row>
    <row r="60" spans="1:29" s="32" customFormat="1" ht="16" x14ac:dyDescent="0.2">
      <c r="A60" s="102"/>
      <c r="B60" s="65"/>
      <c r="C60" s="65"/>
      <c r="D60" s="65"/>
      <c r="E60" s="65"/>
      <c r="F60" s="65"/>
      <c r="G60" s="65"/>
      <c r="H60" s="65"/>
      <c r="I60" s="65"/>
      <c r="J60" s="65"/>
      <c r="K60" s="65"/>
      <c r="L60" s="65"/>
      <c r="M60" s="65"/>
      <c r="N60" s="103"/>
      <c r="O60" s="19"/>
      <c r="P60"/>
      <c r="Q60"/>
      <c r="R60"/>
      <c r="S60"/>
      <c r="T60"/>
      <c r="U60"/>
      <c r="V60"/>
      <c r="W60"/>
      <c r="X60"/>
      <c r="Y60"/>
      <c r="Z60"/>
      <c r="AA60"/>
      <c r="AB60"/>
      <c r="AC60"/>
    </row>
    <row r="61" spans="1:29" ht="18" x14ac:dyDescent="0.2">
      <c r="A61" s="213" t="s">
        <v>1015</v>
      </c>
      <c r="B61" s="214"/>
      <c r="C61" s="214"/>
      <c r="D61" s="214"/>
      <c r="E61" s="214"/>
      <c r="F61" s="214"/>
      <c r="G61" s="214"/>
      <c r="H61" s="214"/>
      <c r="I61" s="214"/>
      <c r="J61" s="214"/>
      <c r="K61" s="214"/>
      <c r="L61" s="214"/>
      <c r="M61" s="214"/>
      <c r="N61" s="215"/>
      <c r="P61"/>
      <c r="Q61"/>
      <c r="R61"/>
      <c r="S61"/>
      <c r="T61"/>
      <c r="U61"/>
      <c r="V61"/>
      <c r="W61"/>
      <c r="X61"/>
      <c r="Y61"/>
      <c r="Z61"/>
      <c r="AA61"/>
      <c r="AB61"/>
      <c r="AC61"/>
    </row>
    <row r="62" spans="1:29" ht="16" x14ac:dyDescent="0.2">
      <c r="A62" s="80" t="s">
        <v>41</v>
      </c>
      <c r="B62" s="40">
        <v>4.149</v>
      </c>
      <c r="C62" s="40">
        <v>0</v>
      </c>
      <c r="D62" s="40">
        <v>0</v>
      </c>
      <c r="E62" s="40">
        <v>0</v>
      </c>
      <c r="F62" s="40">
        <v>0</v>
      </c>
      <c r="G62" s="40">
        <v>0</v>
      </c>
      <c r="H62" s="40">
        <v>0</v>
      </c>
      <c r="I62" s="40">
        <v>0</v>
      </c>
      <c r="J62" s="40">
        <v>0</v>
      </c>
      <c r="K62" s="40">
        <v>0</v>
      </c>
      <c r="L62" s="40">
        <v>0</v>
      </c>
      <c r="M62" s="40">
        <v>0</v>
      </c>
      <c r="N62" s="77">
        <f t="shared" si="13"/>
        <v>4.149</v>
      </c>
      <c r="O62" s="21"/>
      <c r="P62"/>
      <c r="Q62"/>
      <c r="R62"/>
      <c r="S62"/>
      <c r="T62"/>
      <c r="U62"/>
      <c r="V62"/>
      <c r="W62"/>
      <c r="X62"/>
      <c r="Y62"/>
      <c r="Z62"/>
      <c r="AA62"/>
      <c r="AB62"/>
      <c r="AC62"/>
    </row>
    <row r="63" spans="1:29" s="21" customFormat="1" ht="16" x14ac:dyDescent="0.2">
      <c r="A63" s="81" t="s">
        <v>1055</v>
      </c>
      <c r="B63" s="67">
        <f>B62</f>
        <v>4.149</v>
      </c>
      <c r="C63" s="67">
        <f t="shared" ref="C63:M63" si="25">C62</f>
        <v>0</v>
      </c>
      <c r="D63" s="67">
        <f t="shared" si="25"/>
        <v>0</v>
      </c>
      <c r="E63" s="67">
        <f t="shared" si="25"/>
        <v>0</v>
      </c>
      <c r="F63" s="67">
        <f t="shared" si="25"/>
        <v>0</v>
      </c>
      <c r="G63" s="67">
        <f t="shared" si="25"/>
        <v>0</v>
      </c>
      <c r="H63" s="67">
        <f t="shared" si="25"/>
        <v>0</v>
      </c>
      <c r="I63" s="67">
        <f t="shared" si="25"/>
        <v>0</v>
      </c>
      <c r="J63" s="67">
        <f t="shared" si="25"/>
        <v>0</v>
      </c>
      <c r="K63" s="67">
        <f t="shared" si="25"/>
        <v>0</v>
      </c>
      <c r="L63" s="67">
        <f t="shared" si="25"/>
        <v>0</v>
      </c>
      <c r="M63" s="67">
        <f t="shared" si="25"/>
        <v>0</v>
      </c>
      <c r="N63" s="82">
        <f t="shared" si="13"/>
        <v>4.149</v>
      </c>
      <c r="P63"/>
      <c r="Q63"/>
      <c r="R63"/>
      <c r="S63"/>
      <c r="T63"/>
      <c r="U63"/>
      <c r="V63"/>
      <c r="W63"/>
      <c r="X63"/>
      <c r="Y63"/>
      <c r="Z63"/>
      <c r="AA63"/>
      <c r="AB63"/>
      <c r="AC63"/>
    </row>
    <row r="64" spans="1:29" s="21" customFormat="1" ht="16" x14ac:dyDescent="0.2">
      <c r="A64" s="83" t="s">
        <v>1067</v>
      </c>
      <c r="B64" s="68" cm="1">
        <f t="array" ref="B64">(
SUMPRODUCT(
    (('Raw Data'!AB11:AB1217*-'Entire Project Overiew'!R19)&gt;'Entire Project Overiew'!B11)*
    ('Raw Data'!$M$11:$M$1217=DATE(2025,7,1))*
    'Raw Data'!AB11:AB1217
)
*'Entire Project Overiew'!R19
)
+
(
COUNT(
    _xlfn._xlws.FILTER(
        'Raw Data'!AB11:AB1217,
        (('Raw Data'!AB11:AB1217*-'Entire Project Overiew'!R19)&gt;'Entire Project Overiew'!B11)*
        ('Raw Data'!$M$11:$M$1217=DATE(2025,7,1))
    )
)
*'Entire Project Overiew'!B11
)</f>
        <v>0</v>
      </c>
      <c r="C64" s="68" cm="1">
        <f t="array" ref="C64">(
SUMPRODUCT(
    (('Raw Data'!AB11:AB1217*-'Entire Project Overiew'!R19)&gt;'Entire Project Overiew'!B11)*
    ('Raw Data'!$M$11:$M$1217=DATE(2025,8,1))*
    'Raw Data'!AB11:AB1217
)
*'Entire Project Overiew'!R19
)
+
(
COUNT(
    _xlfn._xlws.FILTER(
        'Raw Data'!AB11:AB1217,
        (('Raw Data'!AB11:AB1217*-'Entire Project Overiew'!R19)&gt;'Entire Project Overiew'!B11)*
        ('Raw Data'!$M$11:$M$1217=DATE(2025,8,1))
    )
)
*'Entire Project Overiew'!B11
)</f>
        <v>0</v>
      </c>
      <c r="D64" s="68" cm="1">
        <f t="array" ref="D64">(
SUMPRODUCT(
    (('Raw Data'!AB11:AB1217*-'Entire Project Overiew'!R19)&gt;'Entire Project Overiew'!B11)*
    ('Raw Data'!$M$11:$M$1217=DATE(2025,9,1))*
    'Raw Data'!AB11:AB1217
)
*'Entire Project Overiew'!R19
)
+
(
COUNT(
    _xlfn._xlws.FILTER(
        'Raw Data'!AB11:AB1217,
        (('Raw Data'!AB11:AB1217*-'Entire Project Overiew'!R19)&gt;'Entire Project Overiew'!B11)*
        ('Raw Data'!$M$11:$M$1217=DATE(2025,9,1))
    )
)
*'Entire Project Overiew'!B11
)</f>
        <v>0</v>
      </c>
      <c r="E64" s="68" cm="1">
        <f t="array" ref="E64">(
SUMPRODUCT(
    (('Raw Data'!AB11:AB1217*-'Entire Project Overiew'!R19)&gt;'Entire Project Overiew'!B11)*
    ('Raw Data'!$M$11:$M$1217=DATE(2025,10,1))*
    'Raw Data'!AB11:AB1217
)
*'Entire Project Overiew'!R19
)
+
(
COUNT(
    _xlfn._xlws.FILTER(
        'Raw Data'!AB11:AB1217,
        (('Raw Data'!AB11:AB1217*-'Entire Project Overiew'!R19)&gt;'Entire Project Overiew'!B11)*
        ('Raw Data'!$M$11:$M$1217=DATE(2025,10,1))
    )
)
*'Entire Project Overiew'!B11
)</f>
        <v>0</v>
      </c>
      <c r="F64" s="68" cm="1">
        <f t="array" ref="F64">(
SUMPRODUCT(
    (('Raw Data'!AB11:AB1217*-'Entire Project Overiew'!R19)&gt;'Entire Project Overiew'!B11)*
    ('Raw Data'!$M$11:$M$1217=DATE(2025,11,1))*
    'Raw Data'!AB11:AB1217
)
*'Entire Project Overiew'!R19
)
+
(
COUNT(
    _xlfn._xlws.FILTER(
        'Raw Data'!AB11:AB1217,
        (('Raw Data'!AB11:AB1217*-'Entire Project Overiew'!R19)&gt;'Entire Project Overiew'!B11)*
        ('Raw Data'!$M$11:$M$1217=DATE(2025,11,1))
    )
)
*'Entire Project Overiew'!B11
)</f>
        <v>0</v>
      </c>
      <c r="G64" s="68" cm="1">
        <f t="array" ref="G64">(
SUMPRODUCT(
    (('Raw Data'!AB11:AB1217*-'Entire Project Overiew'!R19)&gt;'Entire Project Overiew'!B11)*
    ('Raw Data'!$M$11:$M$1217=DATE(2025,12,1))*
    'Raw Data'!AB11:AB1217
)
*'Entire Project Overiew'!R19
)
+
(
COUNT(
    _xlfn._xlws.FILTER(
        'Raw Data'!AB11:AB1217,
        (('Raw Data'!AB11:AB1217*-'Entire Project Overiew'!R19)&gt;'Entire Project Overiew'!B11)*
        ('Raw Data'!$M$11:$M$1217=DATE(2025,12,1))
    )
)
*'Entire Project Overiew'!B11
)</f>
        <v>0</v>
      </c>
      <c r="H64" s="68" cm="1">
        <f t="array" ref="H64">(
SUMPRODUCT(
    (('Raw Data'!AB11:AB1217*-'Entire Project Overiew'!R19)&gt;'Entire Project Overiew'!B11)*
    ('Raw Data'!$M$11:$M$1217=DATE(2026,1,1))*
    'Raw Data'!AB11:AB1217
)
*'Entire Project Overiew'!R19
)
+
(
COUNT(
    _xlfn._xlws.FILTER(
        'Raw Data'!AB11:AB1217,
        (('Raw Data'!AB11:AB1217*-'Entire Project Overiew'!R19)&gt;'Entire Project Overiew'!B11)*
        ('Raw Data'!$M$11:$M$1217=DATE(2026,1,1))
    )
)
*'Entire Project Overiew'!B11
)</f>
        <v>0</v>
      </c>
      <c r="I64" s="68" cm="1">
        <f t="array" ref="I64">(
SUMPRODUCT(
    (('Raw Data'!AB11:AB1217*-'Entire Project Overiew'!R19)&gt;'Entire Project Overiew'!B11)*
    ('Raw Data'!$M$11:$M$1217=DATE(2026,2,1))*
    'Raw Data'!AB11:AB1217
)
*'Entire Project Overiew'!R19
)
+
(
COUNT(
    _xlfn._xlws.FILTER(
        'Raw Data'!AB11:AB1217,
        (('Raw Data'!AB11:AB1217*-'Entire Project Overiew'!R19)&gt;'Entire Project Overiew'!B11)*
        ('Raw Data'!$M$11:$M$1217=DATE(2026,2,1))
    )
)
*'Entire Project Overiew'!B11
)</f>
        <v>0</v>
      </c>
      <c r="J64" s="68" cm="1">
        <f t="array" ref="J64">(
SUMPRODUCT(
    (('Raw Data'!AB11:AB1217*-'Entire Project Overiew'!R19)&gt;'Entire Project Overiew'!B11)*
    ('Raw Data'!$M$11:$M$1217=DATE(2026,3,1))*
    'Raw Data'!AB11:AB1217
)
*'Entire Project Overiew'!R19
)
+
(
COUNT(
    _xlfn._xlws.FILTER(
        'Raw Data'!AB11:AB1217,
        (('Raw Data'!AB11:AB1217*-'Entire Project Overiew'!R19)&gt;'Entire Project Overiew'!B11)*
        ('Raw Data'!$M$11:$M$1217=DATE(2026,3,1))
    )
)
*'Entire Project Overiew'!B11
)</f>
        <v>0</v>
      </c>
      <c r="K64" s="68" cm="1">
        <f t="array" ref="K64">(
SUMPRODUCT(
    (('Raw Data'!AB11:AB1217*-'Entire Project Overiew'!R19)&gt;'Entire Project Overiew'!B11)*
    ('Raw Data'!$M$11:$M$1217=DATE(2026,4,1))*
    'Raw Data'!AB11:AB1217
)
*'Entire Project Overiew'!R19
)
+
(
COUNT(
    _xlfn._xlws.FILTER(
        'Raw Data'!AB11:AB1217,
        (('Raw Data'!AB11:AB1217*-'Entire Project Overiew'!R19)&gt;'Entire Project Overiew'!B11)*
        ('Raw Data'!$M$11:$M$1217=DATE(2026,4,1))
    )
)
*'Entire Project Overiew'!B11
)</f>
        <v>0</v>
      </c>
      <c r="L64" s="68" cm="1">
        <f t="array" ref="L64">(
SUMPRODUCT(
    (('Raw Data'!AB11:AB1217*-'Entire Project Overiew'!R19)&gt;'Entire Project Overiew'!B11)*
    ('Raw Data'!$M$11:$M$1217=DATE(2026,5,1))*
    'Raw Data'!AB11:AB1217
)
*'Entire Project Overiew'!R19
)
+
(
COUNT(
    _xlfn._xlws.FILTER(
        'Raw Data'!AB11:AB1217,
        (('Raw Data'!AB11:AB1217*-'Entire Project Overiew'!R19)&gt;'Entire Project Overiew'!B11)*
        ('Raw Data'!$M$11:$M$1217=DATE(2026,5,1))
    )
)
*'Entire Project Overiew'!B11
)</f>
        <v>0</v>
      </c>
      <c r="M64" s="68" cm="1">
        <f t="array" ref="M64">(
SUMPRODUCT(
    (('Raw Data'!AB11:AB1217*-'Entire Project Overiew'!R19)&gt;'Entire Project Overiew'!B11)*
    ('Raw Data'!$M$11:$M$1217=DATE(2026,6,1))*
    'Raw Data'!AB11:AB1217
)
*'Entire Project Overiew'!R19
)
+
(
COUNT(
    _xlfn._xlws.FILTER(
        'Raw Data'!AB11:AB1217,
        (('Raw Data'!AB11:AB1217*-'Entire Project Overiew'!R19)&gt;'Entire Project Overiew'!B11)*
        ('Raw Data'!$M$11:$M$1217=DATE(2026,6,1))
    )
)
*'Entire Project Overiew'!B11
)</f>
        <v>0</v>
      </c>
      <c r="N64" s="84">
        <f t="shared" si="13"/>
        <v>0</v>
      </c>
      <c r="O64" s="32"/>
      <c r="P64"/>
      <c r="Q64"/>
      <c r="R64"/>
      <c r="S64"/>
      <c r="T64"/>
      <c r="U64"/>
      <c r="V64"/>
      <c r="W64"/>
      <c r="X64"/>
      <c r="Y64"/>
      <c r="Z64"/>
      <c r="AA64"/>
      <c r="AB64"/>
      <c r="AC64"/>
    </row>
    <row r="65" spans="1:29" s="32" customFormat="1" ht="16" x14ac:dyDescent="0.2">
      <c r="A65" s="102"/>
      <c r="B65" s="65"/>
      <c r="C65" s="65"/>
      <c r="D65" s="65"/>
      <c r="E65" s="65"/>
      <c r="F65" s="65"/>
      <c r="G65" s="65"/>
      <c r="H65" s="65"/>
      <c r="I65" s="65"/>
      <c r="J65" s="65"/>
      <c r="K65" s="65"/>
      <c r="L65" s="65"/>
      <c r="M65" s="65"/>
      <c r="N65" s="106"/>
      <c r="O65" s="19"/>
      <c r="P65" s="19"/>
      <c r="Q65" s="19"/>
      <c r="R65" s="19"/>
      <c r="S65" s="19"/>
      <c r="T65" s="19"/>
      <c r="U65" s="19"/>
      <c r="V65" s="19"/>
      <c r="W65" s="19"/>
      <c r="X65" s="19"/>
      <c r="Y65" s="19"/>
      <c r="Z65" s="19"/>
      <c r="AA65" s="19"/>
      <c r="AB65" s="19"/>
      <c r="AC65" s="19"/>
    </row>
    <row r="66" spans="1:29" ht="16" customHeight="1" x14ac:dyDescent="0.2">
      <c r="A66" s="216" t="s">
        <v>1068</v>
      </c>
      <c r="B66" s="217"/>
      <c r="C66" s="217"/>
      <c r="D66" s="217"/>
      <c r="E66" s="217"/>
      <c r="F66" s="217"/>
      <c r="G66" s="217"/>
      <c r="H66" s="217"/>
      <c r="I66" s="217"/>
      <c r="J66" s="217"/>
      <c r="K66" s="217"/>
      <c r="L66" s="217"/>
      <c r="M66" s="217"/>
      <c r="N66" s="218"/>
    </row>
    <row r="67" spans="1:29" ht="16" x14ac:dyDescent="0.2">
      <c r="A67" s="87" t="s">
        <v>1037</v>
      </c>
      <c r="B67" s="63">
        <f t="shared" ref="B67:M67" si="26">SUM(B18,B23,B28,B36,B41,B47,B54,B59,B64)</f>
        <v>10740.91</v>
      </c>
      <c r="C67" s="63">
        <f t="shared" si="26"/>
        <v>11500.78</v>
      </c>
      <c r="D67" s="63">
        <f t="shared" si="26"/>
        <v>14395.5</v>
      </c>
      <c r="E67" s="63">
        <f t="shared" si="26"/>
        <v>18136.079999999998</v>
      </c>
      <c r="F67" s="63">
        <f t="shared" si="26"/>
        <v>3647.1000000000004</v>
      </c>
      <c r="G67" s="63">
        <f t="shared" si="26"/>
        <v>20302.006799999999</v>
      </c>
      <c r="H67" s="63">
        <f t="shared" si="26"/>
        <v>40386.870799999997</v>
      </c>
      <c r="I67" s="63">
        <f t="shared" si="26"/>
        <v>9711.1299999999974</v>
      </c>
      <c r="J67" s="63">
        <f t="shared" si="26"/>
        <v>5476.43</v>
      </c>
      <c r="K67" s="63">
        <f t="shared" si="26"/>
        <v>4130.04</v>
      </c>
      <c r="L67" s="63">
        <f t="shared" si="26"/>
        <v>4884.99</v>
      </c>
      <c r="M67" s="63">
        <f t="shared" si="26"/>
        <v>1382.55</v>
      </c>
      <c r="N67" s="88">
        <f>SUM(B67:M67)</f>
        <v>144694.38759999999</v>
      </c>
      <c r="O67" s="21"/>
      <c r="P67" s="21"/>
      <c r="Q67" s="21"/>
      <c r="R67" s="21"/>
      <c r="S67" s="21"/>
      <c r="T67" s="21"/>
      <c r="U67" s="21"/>
      <c r="V67" s="21"/>
      <c r="W67" s="21"/>
      <c r="X67" s="21"/>
      <c r="Y67" s="21"/>
      <c r="Z67" s="21"/>
      <c r="AA67" s="21"/>
      <c r="AB67" s="21"/>
      <c r="AC67" s="21"/>
    </row>
    <row r="68" spans="1:29" ht="16" x14ac:dyDescent="0.2">
      <c r="A68" s="89" t="s">
        <v>1047</v>
      </c>
      <c r="B68" s="64">
        <f t="shared" ref="B68:M68" si="27">B13</f>
        <v>21255</v>
      </c>
      <c r="C68" s="64">
        <f t="shared" si="27"/>
        <v>17985</v>
      </c>
      <c r="D68" s="64">
        <f t="shared" si="27"/>
        <v>20165</v>
      </c>
      <c r="E68" s="64">
        <f t="shared" si="27"/>
        <v>25070</v>
      </c>
      <c r="F68" s="64">
        <f t="shared" si="27"/>
        <v>15805</v>
      </c>
      <c r="G68" s="64">
        <f t="shared" si="27"/>
        <v>21255</v>
      </c>
      <c r="H68" s="64">
        <f t="shared" si="27"/>
        <v>29430</v>
      </c>
      <c r="I68" s="64">
        <f t="shared" si="27"/>
        <v>15260</v>
      </c>
      <c r="J68" s="64">
        <f t="shared" si="27"/>
        <v>10355</v>
      </c>
      <c r="K68" s="64">
        <f t="shared" si="27"/>
        <v>6540</v>
      </c>
      <c r="L68" s="64">
        <f t="shared" si="27"/>
        <v>5450</v>
      </c>
      <c r="M68" s="64">
        <f t="shared" si="27"/>
        <v>3270</v>
      </c>
      <c r="N68" s="90">
        <f t="shared" ref="N68:N69" si="28">SUM(B68:M68)</f>
        <v>191840</v>
      </c>
      <c r="O68" s="21"/>
      <c r="P68" s="21"/>
      <c r="Q68" s="21"/>
      <c r="R68" s="21"/>
      <c r="S68" s="21"/>
      <c r="T68" s="21"/>
      <c r="U68" s="21"/>
      <c r="V68" s="21"/>
      <c r="W68" s="21"/>
      <c r="X68" s="21"/>
      <c r="Y68" s="21"/>
      <c r="Z68" s="21"/>
      <c r="AA68" s="21"/>
      <c r="AB68" s="21"/>
      <c r="AC68" s="21"/>
    </row>
    <row r="69" spans="1:29" ht="17" thickBot="1" x14ac:dyDescent="0.25">
      <c r="A69" s="91" t="s">
        <v>1042</v>
      </c>
      <c r="B69" s="92">
        <f t="shared" ref="B69:M69" si="29">SUM(B67:B68)</f>
        <v>31995.91</v>
      </c>
      <c r="C69" s="92">
        <f t="shared" si="29"/>
        <v>29485.78</v>
      </c>
      <c r="D69" s="92">
        <f t="shared" si="29"/>
        <v>34560.5</v>
      </c>
      <c r="E69" s="92">
        <f t="shared" si="29"/>
        <v>43206.080000000002</v>
      </c>
      <c r="F69" s="92">
        <f t="shared" si="29"/>
        <v>19452.099999999999</v>
      </c>
      <c r="G69" s="92">
        <f t="shared" si="29"/>
        <v>41557.006800000003</v>
      </c>
      <c r="H69" s="92">
        <f t="shared" si="29"/>
        <v>69816.870800000004</v>
      </c>
      <c r="I69" s="92">
        <f t="shared" si="29"/>
        <v>24971.129999999997</v>
      </c>
      <c r="J69" s="92">
        <f t="shared" si="29"/>
        <v>15831.43</v>
      </c>
      <c r="K69" s="92">
        <f t="shared" si="29"/>
        <v>10670.04</v>
      </c>
      <c r="L69" s="92">
        <f t="shared" si="29"/>
        <v>10334.99</v>
      </c>
      <c r="M69" s="92">
        <f t="shared" si="29"/>
        <v>4652.55</v>
      </c>
      <c r="N69" s="93">
        <f t="shared" si="28"/>
        <v>336534.38759999996</v>
      </c>
      <c r="O69" s="32"/>
      <c r="P69" s="32"/>
      <c r="Q69" s="32"/>
      <c r="R69" s="32"/>
      <c r="S69" s="32"/>
      <c r="T69" s="32"/>
      <c r="U69" s="32"/>
      <c r="V69" s="32"/>
      <c r="W69" s="32"/>
      <c r="X69" s="32"/>
      <c r="Y69" s="32"/>
      <c r="Z69" s="32"/>
      <c r="AA69" s="32"/>
      <c r="AB69" s="32"/>
      <c r="AC69" s="32"/>
    </row>
    <row r="84" spans="14:14" x14ac:dyDescent="0.15">
      <c r="N84" s="19"/>
    </row>
    <row r="85" spans="14:14" x14ac:dyDescent="0.15">
      <c r="N85" s="19"/>
    </row>
    <row r="86" spans="14:14" x14ac:dyDescent="0.15">
      <c r="N86" s="19"/>
    </row>
    <row r="87" spans="14:14" x14ac:dyDescent="0.15">
      <c r="N87" s="19"/>
    </row>
  </sheetData>
  <mergeCells count="23">
    <mergeCell ref="A66:N66"/>
    <mergeCell ref="A5:D5"/>
    <mergeCell ref="A6:D6"/>
    <mergeCell ref="A4:D4"/>
    <mergeCell ref="A3:E3"/>
    <mergeCell ref="A61:N61"/>
    <mergeCell ref="A49:N49"/>
    <mergeCell ref="A56:N56"/>
    <mergeCell ref="P8:AC8"/>
    <mergeCell ref="A1:AC1"/>
    <mergeCell ref="A30:N30"/>
    <mergeCell ref="A43:N43"/>
    <mergeCell ref="P34:AC34"/>
    <mergeCell ref="A8:N8"/>
    <mergeCell ref="AC9:AC10"/>
    <mergeCell ref="P11:AC11"/>
    <mergeCell ref="P15:AC15"/>
    <mergeCell ref="A38:N38"/>
    <mergeCell ref="A25:N25"/>
    <mergeCell ref="A20:N20"/>
    <mergeCell ref="A11:N11"/>
    <mergeCell ref="N9:N10"/>
    <mergeCell ref="A15:N1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7B754-F752-3B4A-90A3-4A1CB5D44B8F}">
  <dimension ref="A1:K25"/>
  <sheetViews>
    <sheetView zoomScale="110" workbookViewId="0">
      <selection activeCell="B9" sqref="B9"/>
    </sheetView>
  </sheetViews>
  <sheetFormatPr baseColWidth="10" defaultRowHeight="15" x14ac:dyDescent="0.2"/>
  <cols>
    <col min="1" max="1" width="47.6640625" bestFit="1" customWidth="1"/>
    <col min="2" max="2" width="16.83203125" bestFit="1" customWidth="1"/>
    <col min="4" max="4" width="12.33203125" bestFit="1" customWidth="1"/>
    <col min="7" max="7" width="19.83203125" bestFit="1" customWidth="1"/>
    <col min="11" max="11" width="13.83203125" customWidth="1"/>
  </cols>
  <sheetData>
    <row r="1" spans="1:11" ht="26" thickBot="1" x14ac:dyDescent="0.25">
      <c r="A1" s="165" t="s">
        <v>1098</v>
      </c>
      <c r="B1" s="166"/>
      <c r="C1" s="166"/>
      <c r="D1" s="166"/>
      <c r="E1" s="166"/>
      <c r="F1" s="166"/>
      <c r="G1" s="166"/>
      <c r="H1" s="166"/>
      <c r="I1" s="166"/>
      <c r="J1" s="166"/>
      <c r="K1" s="167"/>
    </row>
    <row r="2" spans="1:11" x14ac:dyDescent="0.2">
      <c r="A2" s="12"/>
    </row>
    <row r="3" spans="1:11" ht="16" x14ac:dyDescent="0.2">
      <c r="A3" s="243" t="s">
        <v>1094</v>
      </c>
      <c r="B3" s="244"/>
      <c r="C3" s="244"/>
      <c r="D3" s="244"/>
      <c r="E3" s="245"/>
      <c r="F3" s="161"/>
      <c r="G3" s="243" t="s">
        <v>1095</v>
      </c>
      <c r="H3" s="244"/>
      <c r="I3" s="244"/>
      <c r="J3" s="244"/>
      <c r="K3" s="245"/>
    </row>
    <row r="4" spans="1:11" x14ac:dyDescent="0.2">
      <c r="A4" s="246" t="s">
        <v>1083</v>
      </c>
      <c r="B4" s="247">
        <f>B6/B5</f>
        <v>20</v>
      </c>
      <c r="C4" s="248"/>
      <c r="D4" s="248"/>
      <c r="E4" s="249"/>
      <c r="G4" s="246" t="s">
        <v>1083</v>
      </c>
      <c r="H4" s="247">
        <v>0</v>
      </c>
      <c r="I4" s="247" t="s">
        <v>1089</v>
      </c>
      <c r="J4" s="248"/>
      <c r="K4" s="249"/>
    </row>
    <row r="5" spans="1:11" x14ac:dyDescent="0.2">
      <c r="A5" s="246" t="s">
        <v>1084</v>
      </c>
      <c r="B5" s="247">
        <v>5</v>
      </c>
      <c r="C5" s="248"/>
      <c r="D5" s="248"/>
      <c r="E5" s="249"/>
      <c r="G5" s="246" t="s">
        <v>1084</v>
      </c>
      <c r="H5" s="247">
        <v>0</v>
      </c>
      <c r="I5" s="248"/>
      <c r="J5" s="248"/>
      <c r="K5" s="249"/>
    </row>
    <row r="6" spans="1:11" x14ac:dyDescent="0.2">
      <c r="A6" s="246" t="s">
        <v>1085</v>
      </c>
      <c r="B6" s="247">
        <v>100</v>
      </c>
      <c r="C6" s="248"/>
      <c r="D6" s="248"/>
      <c r="E6" s="249"/>
      <c r="G6" s="246" t="s">
        <v>1085</v>
      </c>
      <c r="H6" s="247">
        <v>0</v>
      </c>
      <c r="I6" s="248"/>
      <c r="J6" s="248"/>
      <c r="K6" s="249"/>
    </row>
    <row r="7" spans="1:11" x14ac:dyDescent="0.2">
      <c r="A7" s="246" t="s">
        <v>1081</v>
      </c>
      <c r="B7" s="250">
        <f>B4*'Entire Project Overiew'!$O$11</f>
        <v>10900</v>
      </c>
      <c r="C7" s="247" t="s">
        <v>1086</v>
      </c>
      <c r="D7" s="248"/>
      <c r="E7" s="249"/>
      <c r="G7" s="246" t="s">
        <v>1081</v>
      </c>
      <c r="H7" s="255">
        <f>H4*'Entire Project Overiew'!$O$11</f>
        <v>0</v>
      </c>
      <c r="I7" s="247" t="s">
        <v>1090</v>
      </c>
      <c r="J7" s="248"/>
      <c r="K7" s="249"/>
    </row>
    <row r="8" spans="1:11" x14ac:dyDescent="0.2">
      <c r="A8" s="246" t="s">
        <v>1082</v>
      </c>
      <c r="B8" s="250">
        <f>B6*'Entire Project Overiew'!$P$16</f>
        <v>8500</v>
      </c>
      <c r="C8" s="247" t="s">
        <v>1087</v>
      </c>
      <c r="D8" s="248"/>
      <c r="E8" s="249"/>
      <c r="G8" s="246" t="s">
        <v>1082</v>
      </c>
      <c r="H8" s="250">
        <f>H6*'Entire Project Overiew'!$P$16</f>
        <v>0</v>
      </c>
      <c r="I8" s="248"/>
      <c r="J8" s="248"/>
      <c r="K8" s="249"/>
    </row>
    <row r="9" spans="1:11" x14ac:dyDescent="0.2">
      <c r="A9" s="251" t="s">
        <v>1088</v>
      </c>
      <c r="B9" s="252">
        <f>B7+B8</f>
        <v>19400</v>
      </c>
      <c r="C9" s="253"/>
      <c r="D9" s="253"/>
      <c r="E9" s="254"/>
      <c r="G9" s="251" t="s">
        <v>1088</v>
      </c>
      <c r="H9" s="252">
        <f>H7+H8</f>
        <v>0</v>
      </c>
      <c r="I9" s="253"/>
      <c r="J9" s="253"/>
      <c r="K9" s="254"/>
    </row>
    <row r="10" spans="1:11" ht="16" thickBot="1" x14ac:dyDescent="0.25"/>
    <row r="11" spans="1:11" ht="18" x14ac:dyDescent="0.2">
      <c r="A11" s="233" t="s">
        <v>1091</v>
      </c>
      <c r="B11" s="234"/>
      <c r="C11" s="234"/>
      <c r="D11" s="235"/>
    </row>
    <row r="12" spans="1:11" ht="16" x14ac:dyDescent="0.2">
      <c r="A12" s="236" t="s">
        <v>1092</v>
      </c>
      <c r="B12" s="258"/>
      <c r="C12" s="258"/>
      <c r="D12" s="237">
        <f>H9</f>
        <v>0</v>
      </c>
    </row>
    <row r="13" spans="1:11" ht="17" thickBot="1" x14ac:dyDescent="0.25">
      <c r="A13" s="256" t="s">
        <v>1093</v>
      </c>
      <c r="B13" s="257"/>
      <c r="C13" s="257"/>
      <c r="D13" s="237">
        <f>B9</f>
        <v>19400</v>
      </c>
    </row>
    <row r="14" spans="1:11" ht="18" thickTop="1" thickBot="1" x14ac:dyDescent="0.25">
      <c r="A14" s="238" t="s">
        <v>1096</v>
      </c>
      <c r="B14" s="239"/>
      <c r="C14" s="239"/>
      <c r="D14" s="240">
        <f>D13-D12</f>
        <v>19400</v>
      </c>
    </row>
    <row r="15" spans="1:11" ht="16" thickTop="1" x14ac:dyDescent="0.2"/>
    <row r="16" spans="1:11" x14ac:dyDescent="0.2">
      <c r="A16" s="242" t="s">
        <v>1097</v>
      </c>
      <c r="B16" s="242"/>
      <c r="C16" s="242"/>
      <c r="D16" s="242"/>
    </row>
    <row r="17" spans="1:4" x14ac:dyDescent="0.2">
      <c r="A17" s="242"/>
      <c r="B17" s="242"/>
      <c r="C17" s="242"/>
      <c r="D17" s="242"/>
    </row>
    <row r="18" spans="1:4" x14ac:dyDescent="0.2">
      <c r="A18" s="242"/>
      <c r="B18" s="242"/>
      <c r="C18" s="242"/>
      <c r="D18" s="242"/>
    </row>
    <row r="19" spans="1:4" x14ac:dyDescent="0.2">
      <c r="A19" s="241"/>
      <c r="B19" s="241"/>
      <c r="C19" s="241"/>
      <c r="D19" s="241"/>
    </row>
    <row r="20" spans="1:4" x14ac:dyDescent="0.2">
      <c r="A20" s="12"/>
    </row>
    <row r="21" spans="1:4" x14ac:dyDescent="0.2">
      <c r="A21" s="12"/>
    </row>
    <row r="22" spans="1:4" x14ac:dyDescent="0.2">
      <c r="A22" s="12"/>
    </row>
    <row r="23" spans="1:4" x14ac:dyDescent="0.2">
      <c r="A23" s="12"/>
    </row>
    <row r="25" spans="1:4" x14ac:dyDescent="0.2">
      <c r="A25" s="12"/>
    </row>
  </sheetData>
  <mergeCells count="8">
    <mergeCell ref="A14:C14"/>
    <mergeCell ref="A16:D18"/>
    <mergeCell ref="A1:K1"/>
    <mergeCell ref="A13:C13"/>
    <mergeCell ref="A12:C12"/>
    <mergeCell ref="A3:E3"/>
    <mergeCell ref="G3:K3"/>
    <mergeCell ref="A11:D1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0B504-1345-0841-B519-67CAF2CAC8D9}">
  <dimension ref="A1:BJ66"/>
  <sheetViews>
    <sheetView zoomScale="75" zoomScaleNormal="83" workbookViewId="0">
      <pane xSplit="1" topLeftCell="G1" activePane="topRight" state="frozen"/>
      <selection activeCell="A20" sqref="A20"/>
      <selection pane="topRight" activeCell="I42" sqref="I42"/>
    </sheetView>
  </sheetViews>
  <sheetFormatPr baseColWidth="10" defaultRowHeight="15" x14ac:dyDescent="0.2"/>
  <cols>
    <col min="1" max="1" width="10" bestFit="1" customWidth="1"/>
    <col min="2" max="2" width="19.33203125" hidden="1" customWidth="1"/>
    <col min="3" max="3" width="19" hidden="1" customWidth="1"/>
    <col min="4" max="4" width="20.33203125" hidden="1" customWidth="1"/>
    <col min="5" max="5" width="20.5" hidden="1" customWidth="1"/>
    <col min="6" max="6" width="17.5" hidden="1" customWidth="1"/>
    <col min="7" max="7" width="32.5" bestFit="1" customWidth="1"/>
    <col min="8" max="8" width="34.6640625" bestFit="1" customWidth="1"/>
    <col min="9" max="9" width="31.6640625" bestFit="1" customWidth="1"/>
    <col min="10" max="10" width="15" bestFit="1" customWidth="1"/>
    <col min="11" max="11" width="29.1640625" hidden="1" customWidth="1"/>
    <col min="12" max="12" width="30.33203125" bestFit="1" customWidth="1"/>
    <col min="13" max="13" width="12.6640625" bestFit="1" customWidth="1"/>
    <col min="14" max="14" width="23.6640625" bestFit="1" customWidth="1"/>
    <col min="15" max="15" width="40.33203125" bestFit="1" customWidth="1"/>
    <col min="16" max="16" width="20" customWidth="1"/>
    <col min="17" max="17" width="25.5" hidden="1" customWidth="1"/>
    <col min="18" max="18" width="29.6640625" hidden="1" customWidth="1"/>
    <col min="19" max="19" width="19.5" hidden="1" customWidth="1"/>
    <col min="20" max="20" width="32.6640625" hidden="1" customWidth="1"/>
    <col min="21" max="21" width="20" hidden="1" customWidth="1"/>
    <col min="22" max="22" width="18.83203125" hidden="1" customWidth="1"/>
    <col min="23" max="23" width="15.6640625" customWidth="1"/>
    <col min="24" max="24" width="26.1640625" hidden="1" customWidth="1"/>
    <col min="25" max="25" width="19.6640625" hidden="1" customWidth="1"/>
    <col min="26" max="26" width="30.33203125" bestFit="1" customWidth="1"/>
    <col min="27" max="27" width="17.6640625" hidden="1" customWidth="1"/>
    <col min="28" max="28" width="12.1640625" hidden="1" customWidth="1"/>
    <col min="29" max="29" width="26.83203125" hidden="1" customWidth="1"/>
    <col min="30" max="30" width="24.83203125" hidden="1" customWidth="1"/>
    <col min="31" max="31" width="32.6640625" hidden="1" customWidth="1"/>
    <col min="32" max="32" width="25.6640625" bestFit="1" customWidth="1"/>
    <col min="33" max="33" width="20.6640625" hidden="1" customWidth="1"/>
    <col min="34" max="34" width="10.6640625" hidden="1" customWidth="1"/>
    <col min="35" max="35" width="18.6640625" hidden="1" customWidth="1"/>
    <col min="36" max="36" width="13.83203125" hidden="1" customWidth="1"/>
    <col min="37" max="37" width="29.6640625" bestFit="1" customWidth="1"/>
    <col min="38" max="38" width="19.5" bestFit="1" customWidth="1"/>
    <col min="39" max="39" width="34.83203125" hidden="1" customWidth="1"/>
    <col min="40" max="40" width="17.6640625" hidden="1" customWidth="1"/>
    <col min="41" max="41" width="18.83203125" hidden="1" customWidth="1"/>
    <col min="42" max="42" width="20.1640625" hidden="1" customWidth="1"/>
    <col min="43" max="43" width="20.33203125" hidden="1" customWidth="1"/>
    <col min="44" max="44" width="17.33203125" hidden="1" customWidth="1"/>
    <col min="45" max="45" width="26.5" customWidth="1"/>
    <col min="46" max="46" width="17.1640625" hidden="1" customWidth="1"/>
    <col min="47" max="47" width="32.83203125" hidden="1" customWidth="1"/>
    <col min="48" max="48" width="20.33203125" hidden="1" customWidth="1"/>
    <col min="49" max="49" width="20.5" hidden="1" customWidth="1"/>
    <col min="50" max="50" width="17.5" hidden="1" customWidth="1"/>
    <col min="51" max="51" width="14.1640625" hidden="1" customWidth="1"/>
    <col min="52" max="52" width="38" hidden="1" customWidth="1"/>
    <col min="53" max="53" width="34.6640625" hidden="1" customWidth="1"/>
    <col min="54" max="54" width="22.6640625" hidden="1" customWidth="1"/>
    <col min="55" max="55" width="21" hidden="1" customWidth="1"/>
    <col min="56" max="56" width="30.5" hidden="1" customWidth="1"/>
    <col min="57" max="57" width="32" hidden="1" customWidth="1"/>
    <col min="58" max="58" width="34.6640625" hidden="1" customWidth="1"/>
    <col min="59" max="59" width="32.83203125" hidden="1" customWidth="1"/>
    <col min="60" max="60" width="44.33203125" hidden="1" customWidth="1"/>
    <col min="61" max="61" width="25.33203125" hidden="1" customWidth="1"/>
    <col min="62" max="62" width="30.83203125" hidden="1" customWidth="1"/>
  </cols>
  <sheetData>
    <row r="1" spans="1:62" ht="16" x14ac:dyDescent="0.2">
      <c r="A1" s="21" t="s">
        <v>924</v>
      </c>
      <c r="B1" s="21" t="s">
        <v>941</v>
      </c>
      <c r="C1" s="21" t="s">
        <v>942</v>
      </c>
      <c r="D1" s="21" t="s">
        <v>943</v>
      </c>
      <c r="E1" s="21" t="s">
        <v>944</v>
      </c>
      <c r="F1" s="21" t="s">
        <v>945</v>
      </c>
      <c r="G1" s="21" t="s">
        <v>946</v>
      </c>
      <c r="H1" s="21" t="s">
        <v>947</v>
      </c>
      <c r="I1" s="21" t="s">
        <v>948</v>
      </c>
      <c r="J1" s="21" t="s">
        <v>949</v>
      </c>
      <c r="K1" s="21" t="s">
        <v>950</v>
      </c>
      <c r="L1" s="21" t="s">
        <v>951</v>
      </c>
      <c r="M1" s="21" t="s">
        <v>952</v>
      </c>
      <c r="N1" s="21" t="s">
        <v>953</v>
      </c>
      <c r="O1" s="21" t="s">
        <v>954</v>
      </c>
      <c r="P1" s="21" t="s">
        <v>955</v>
      </c>
      <c r="Q1" s="21" t="s">
        <v>956</v>
      </c>
      <c r="R1" s="21" t="s">
        <v>957</v>
      </c>
      <c r="S1" s="21" t="s">
        <v>958</v>
      </c>
      <c r="T1" s="21" t="s">
        <v>959</v>
      </c>
      <c r="U1" s="21" t="s">
        <v>960</v>
      </c>
      <c r="V1" s="21" t="s">
        <v>961</v>
      </c>
      <c r="W1" s="21" t="s">
        <v>962</v>
      </c>
      <c r="X1" s="21" t="s">
        <v>963</v>
      </c>
      <c r="Y1" s="21" t="s">
        <v>964</v>
      </c>
      <c r="Z1" s="21" t="s">
        <v>965</v>
      </c>
      <c r="AA1" s="21" t="s">
        <v>966</v>
      </c>
      <c r="AB1" s="21" t="s">
        <v>967</v>
      </c>
      <c r="AC1" s="21" t="s">
        <v>968</v>
      </c>
      <c r="AD1" s="21" t="s">
        <v>969</v>
      </c>
      <c r="AE1" s="21" t="s">
        <v>970</v>
      </c>
      <c r="AF1" s="21" t="s">
        <v>971</v>
      </c>
      <c r="AG1" s="21" t="s">
        <v>972</v>
      </c>
      <c r="AH1" s="21" t="s">
        <v>973</v>
      </c>
      <c r="AI1" s="21" t="s">
        <v>974</v>
      </c>
      <c r="AJ1" s="21" t="s">
        <v>975</v>
      </c>
      <c r="AK1" s="21" t="s">
        <v>976</v>
      </c>
      <c r="AL1" s="21" t="s">
        <v>977</v>
      </c>
      <c r="AM1" s="21" t="s">
        <v>978</v>
      </c>
      <c r="AN1" s="21" t="s">
        <v>979</v>
      </c>
      <c r="AO1" s="21" t="s">
        <v>980</v>
      </c>
      <c r="AP1" s="21" t="s">
        <v>981</v>
      </c>
      <c r="AQ1" s="21" t="s">
        <v>982</v>
      </c>
      <c r="AR1" s="21" t="s">
        <v>983</v>
      </c>
      <c r="AS1" s="21" t="s">
        <v>984</v>
      </c>
      <c r="AT1" s="21" t="s">
        <v>985</v>
      </c>
      <c r="AU1" s="21" t="s">
        <v>986</v>
      </c>
      <c r="AV1" s="21" t="s">
        <v>987</v>
      </c>
      <c r="AW1" s="21" t="s">
        <v>988</v>
      </c>
      <c r="AX1" s="21" t="s">
        <v>989</v>
      </c>
      <c r="AY1" s="21" t="s">
        <v>990</v>
      </c>
      <c r="AZ1" s="21" t="s">
        <v>991</v>
      </c>
      <c r="BA1" s="21" t="s">
        <v>992</v>
      </c>
      <c r="BB1" s="21" t="s">
        <v>993</v>
      </c>
      <c r="BC1" s="21" t="s">
        <v>994</v>
      </c>
      <c r="BD1" s="21" t="s">
        <v>995</v>
      </c>
      <c r="BE1" s="21" t="s">
        <v>996</v>
      </c>
      <c r="BF1" s="21" t="s">
        <v>997</v>
      </c>
      <c r="BG1" s="21" t="s">
        <v>998</v>
      </c>
      <c r="BH1" s="21" t="s">
        <v>999</v>
      </c>
      <c r="BI1" s="21" t="s">
        <v>1000</v>
      </c>
      <c r="BJ1" s="21" t="s">
        <v>1001</v>
      </c>
    </row>
    <row r="2" spans="1:62" ht="16" x14ac:dyDescent="0.2">
      <c r="A2" s="41" t="s">
        <v>927</v>
      </c>
      <c r="B2" s="42">
        <v>526.86480000000006</v>
      </c>
      <c r="C2" s="42"/>
      <c r="D2" s="42">
        <v>525.5100000000001</v>
      </c>
      <c r="E2" s="42">
        <v>1.3548</v>
      </c>
      <c r="F2" s="42">
        <v>526.86480000000006</v>
      </c>
      <c r="G2" s="42">
        <v>0.74479999999999991</v>
      </c>
      <c r="H2" s="42"/>
      <c r="I2" s="42"/>
      <c r="J2" s="42">
        <v>511.15000000000003</v>
      </c>
      <c r="K2" s="42"/>
      <c r="L2" s="42"/>
      <c r="M2" s="42">
        <v>12.44</v>
      </c>
      <c r="N2" s="42">
        <v>0.6100000000000001</v>
      </c>
      <c r="O2" s="42"/>
      <c r="P2" s="42">
        <v>0.6100000000000001</v>
      </c>
      <c r="Q2" s="42"/>
      <c r="R2" s="42"/>
      <c r="S2" s="42"/>
      <c r="T2" s="42"/>
      <c r="U2" s="42"/>
      <c r="V2" s="42"/>
      <c r="W2" s="42"/>
      <c r="X2" s="42"/>
      <c r="Y2" s="42"/>
      <c r="Z2" s="42"/>
      <c r="AA2" s="42"/>
      <c r="AB2" s="42"/>
      <c r="AC2" s="42"/>
      <c r="AD2" s="42"/>
      <c r="AE2" s="42"/>
      <c r="AF2" s="42"/>
      <c r="AG2" s="42"/>
      <c r="AH2" s="42"/>
      <c r="AI2" s="42"/>
      <c r="AJ2" s="42"/>
      <c r="AK2" s="42"/>
      <c r="AL2" s="42">
        <v>1.31</v>
      </c>
      <c r="AM2" s="42"/>
      <c r="AN2" s="42"/>
      <c r="AO2" s="42"/>
      <c r="AP2" s="42"/>
      <c r="AQ2" s="42"/>
      <c r="AR2" s="42"/>
      <c r="AS2" s="42"/>
      <c r="AT2" s="42"/>
      <c r="AU2" s="42"/>
      <c r="AV2" s="42"/>
      <c r="AW2" s="42"/>
      <c r="AX2" s="42"/>
      <c r="AY2" s="42"/>
      <c r="AZ2" s="42"/>
      <c r="BA2" s="42"/>
      <c r="BB2" s="42"/>
      <c r="BC2" s="42"/>
      <c r="BD2" s="42"/>
      <c r="BE2" s="42"/>
      <c r="BF2" s="42"/>
      <c r="BG2" s="42"/>
      <c r="BH2" s="42"/>
      <c r="BI2" s="42"/>
      <c r="BJ2" s="42"/>
    </row>
    <row r="3" spans="1:62" ht="16" x14ac:dyDescent="0.2">
      <c r="A3" s="43" t="s">
        <v>932</v>
      </c>
      <c r="B3" s="40">
        <v>515.75000000000011</v>
      </c>
      <c r="C3" s="40"/>
      <c r="D3" s="40">
        <v>515.00000000000011</v>
      </c>
      <c r="E3" s="40">
        <v>0.75</v>
      </c>
      <c r="F3" s="40">
        <v>515.75000000000011</v>
      </c>
      <c r="G3" s="40">
        <v>0.41</v>
      </c>
      <c r="H3" s="40"/>
      <c r="I3" s="40"/>
      <c r="J3" s="40">
        <v>511.15000000000003</v>
      </c>
      <c r="K3" s="40"/>
      <c r="L3" s="40"/>
      <c r="M3" s="40">
        <v>3.52</v>
      </c>
      <c r="N3" s="40">
        <v>0.33</v>
      </c>
      <c r="O3" s="40"/>
      <c r="P3" s="40">
        <v>0.34</v>
      </c>
      <c r="Q3" s="40"/>
      <c r="R3" s="40"/>
      <c r="S3" s="40"/>
      <c r="T3" s="40"/>
      <c r="U3" s="40"/>
      <c r="V3" s="40"/>
      <c r="W3" s="40"/>
      <c r="X3" s="40"/>
      <c r="Y3" s="40"/>
      <c r="Z3" s="40"/>
      <c r="AA3" s="40"/>
      <c r="AB3" s="40"/>
      <c r="AC3" s="40"/>
      <c r="AD3" s="40"/>
      <c r="AE3" s="40"/>
      <c r="AF3" s="40"/>
      <c r="AG3" s="40"/>
      <c r="AH3" s="40"/>
      <c r="AI3" s="40"/>
      <c r="AJ3" s="40"/>
      <c r="AK3" s="40"/>
      <c r="AL3" s="40"/>
      <c r="AM3" s="40"/>
      <c r="AN3" s="40"/>
      <c r="AO3" s="40"/>
      <c r="AP3" s="40"/>
      <c r="AQ3" s="40"/>
      <c r="AR3" s="40"/>
      <c r="AS3" s="40"/>
      <c r="AT3" s="40"/>
      <c r="AU3" s="40"/>
      <c r="AV3" s="40"/>
      <c r="AW3" s="40"/>
      <c r="AX3" s="40"/>
      <c r="AY3" s="40"/>
      <c r="AZ3" s="40"/>
      <c r="BA3" s="40"/>
      <c r="BB3" s="40"/>
      <c r="BC3" s="40"/>
      <c r="BD3" s="40"/>
      <c r="BE3" s="40"/>
      <c r="BF3" s="40"/>
      <c r="BG3" s="40"/>
      <c r="BH3" s="40"/>
      <c r="BI3" s="40"/>
      <c r="BJ3" s="40"/>
    </row>
    <row r="4" spans="1:62" ht="16" x14ac:dyDescent="0.2">
      <c r="A4" s="43" t="s">
        <v>933</v>
      </c>
      <c r="B4" s="40">
        <v>11.114800000000001</v>
      </c>
      <c r="C4" s="40"/>
      <c r="D4" s="40">
        <v>10.51</v>
      </c>
      <c r="E4" s="40">
        <v>0.6048</v>
      </c>
      <c r="F4" s="40">
        <v>11.114800000000001</v>
      </c>
      <c r="G4" s="40">
        <v>0.33479999999999999</v>
      </c>
      <c r="H4" s="40"/>
      <c r="I4" s="40"/>
      <c r="J4" s="40"/>
      <c r="K4" s="40"/>
      <c r="L4" s="40"/>
      <c r="M4" s="40">
        <v>8.92</v>
      </c>
      <c r="N4" s="40">
        <v>0.28000000000000003</v>
      </c>
      <c r="O4" s="40"/>
      <c r="P4" s="40">
        <v>0.27</v>
      </c>
      <c r="Q4" s="40"/>
      <c r="R4" s="40"/>
      <c r="S4" s="40"/>
      <c r="T4" s="40"/>
      <c r="U4" s="40"/>
      <c r="V4" s="40"/>
      <c r="W4" s="40"/>
      <c r="X4" s="40"/>
      <c r="Y4" s="40"/>
      <c r="Z4" s="40"/>
      <c r="AA4" s="40"/>
      <c r="AB4" s="40"/>
      <c r="AC4" s="40"/>
      <c r="AD4" s="40"/>
      <c r="AE4" s="40"/>
      <c r="AF4" s="40"/>
      <c r="AG4" s="40"/>
      <c r="AH4" s="40"/>
      <c r="AI4" s="40"/>
      <c r="AJ4" s="40"/>
      <c r="AK4" s="40"/>
      <c r="AL4" s="40">
        <v>1.31</v>
      </c>
      <c r="AM4" s="40"/>
      <c r="AN4" s="40"/>
      <c r="AO4" s="40"/>
      <c r="AP4" s="40"/>
      <c r="AQ4" s="40"/>
      <c r="AR4" s="40"/>
      <c r="AS4" s="40"/>
      <c r="AT4" s="40"/>
      <c r="AU4" s="40"/>
      <c r="AV4" s="40"/>
      <c r="AW4" s="40"/>
      <c r="AX4" s="40"/>
      <c r="AY4" s="40"/>
      <c r="AZ4" s="40"/>
      <c r="BA4" s="40"/>
      <c r="BB4" s="40"/>
      <c r="BC4" s="40"/>
      <c r="BD4" s="40"/>
      <c r="BE4" s="40"/>
      <c r="BF4" s="40"/>
      <c r="BG4" s="40"/>
      <c r="BH4" s="40"/>
      <c r="BI4" s="40"/>
      <c r="BJ4" s="40"/>
    </row>
    <row r="5" spans="1:62" ht="16" x14ac:dyDescent="0.2">
      <c r="A5" s="41" t="s">
        <v>928</v>
      </c>
      <c r="B5" s="42">
        <v>62573.700000000004</v>
      </c>
      <c r="C5" s="42"/>
      <c r="D5" s="42">
        <v>3362.1722000000009</v>
      </c>
      <c r="E5" s="42">
        <v>26.3278</v>
      </c>
      <c r="F5" s="42">
        <v>3388.5000000000005</v>
      </c>
      <c r="G5" s="42">
        <v>8.24</v>
      </c>
      <c r="H5" s="42"/>
      <c r="I5" s="42"/>
      <c r="J5" s="42">
        <v>3208.8200000000006</v>
      </c>
      <c r="K5" s="42"/>
      <c r="L5" s="42"/>
      <c r="M5" s="42">
        <v>37.820000000000007</v>
      </c>
      <c r="N5" s="42">
        <v>9.4856000000000016</v>
      </c>
      <c r="O5" s="42"/>
      <c r="P5" s="42">
        <v>6.77</v>
      </c>
      <c r="Q5" s="42"/>
      <c r="R5" s="42"/>
      <c r="S5" s="42"/>
      <c r="T5" s="42"/>
      <c r="U5" s="42"/>
      <c r="V5" s="42"/>
      <c r="W5" s="42"/>
      <c r="X5" s="42"/>
      <c r="Y5" s="42"/>
      <c r="Z5" s="42"/>
      <c r="AA5" s="42"/>
      <c r="AB5" s="42"/>
      <c r="AC5" s="42"/>
      <c r="AD5" s="42"/>
      <c r="AE5" s="42"/>
      <c r="AF5" s="42">
        <v>23.404199999999999</v>
      </c>
      <c r="AG5" s="42"/>
      <c r="AH5" s="42"/>
      <c r="AI5" s="42"/>
      <c r="AJ5" s="42"/>
      <c r="AK5" s="42">
        <v>9.1001999999999992</v>
      </c>
      <c r="AL5" s="42">
        <v>84.86</v>
      </c>
      <c r="AM5" s="42"/>
      <c r="AN5" s="42"/>
      <c r="AO5" s="42"/>
      <c r="AP5" s="42">
        <v>59185.2</v>
      </c>
      <c r="AQ5" s="42"/>
      <c r="AR5" s="42">
        <v>59185.2</v>
      </c>
      <c r="AS5" s="42">
        <v>59185.2</v>
      </c>
      <c r="AT5" s="42"/>
      <c r="AU5" s="42"/>
      <c r="AV5" s="42"/>
      <c r="AW5" s="42"/>
      <c r="AX5" s="42"/>
      <c r="AY5" s="42"/>
      <c r="AZ5" s="42"/>
      <c r="BA5" s="42"/>
      <c r="BB5" s="42"/>
      <c r="BC5" s="42"/>
      <c r="BD5" s="42"/>
      <c r="BE5" s="42"/>
      <c r="BF5" s="42"/>
      <c r="BG5" s="42"/>
      <c r="BH5" s="42"/>
      <c r="BI5" s="42"/>
      <c r="BJ5" s="42"/>
    </row>
    <row r="6" spans="1:62" ht="16" x14ac:dyDescent="0.2">
      <c r="A6" s="43" t="s">
        <v>934</v>
      </c>
      <c r="B6" s="40">
        <v>87.89</v>
      </c>
      <c r="C6" s="40"/>
      <c r="D6" s="40">
        <v>83.264499999999998</v>
      </c>
      <c r="E6" s="40">
        <v>4.6254999999999997</v>
      </c>
      <c r="F6" s="40">
        <v>87.89</v>
      </c>
      <c r="G6" s="40"/>
      <c r="H6" s="40"/>
      <c r="I6" s="40"/>
      <c r="J6" s="40">
        <v>71.94</v>
      </c>
      <c r="K6" s="40"/>
      <c r="L6" s="40"/>
      <c r="M6" s="40"/>
      <c r="N6" s="40"/>
      <c r="O6" s="40"/>
      <c r="P6" s="40"/>
      <c r="Q6" s="40"/>
      <c r="R6" s="40"/>
      <c r="S6" s="40"/>
      <c r="T6" s="40"/>
      <c r="U6" s="40"/>
      <c r="V6" s="40"/>
      <c r="W6" s="40"/>
      <c r="X6" s="40"/>
      <c r="Y6" s="40"/>
      <c r="Z6" s="40"/>
      <c r="AA6" s="40"/>
      <c r="AB6" s="40"/>
      <c r="AC6" s="40"/>
      <c r="AD6" s="40"/>
      <c r="AE6" s="40"/>
      <c r="AF6" s="40">
        <v>11.3245</v>
      </c>
      <c r="AG6" s="40"/>
      <c r="AH6" s="40"/>
      <c r="AI6" s="40"/>
      <c r="AJ6" s="40"/>
      <c r="AK6" s="40">
        <v>4.6254999999999997</v>
      </c>
      <c r="AL6" s="40"/>
      <c r="AM6" s="40"/>
      <c r="AN6" s="40"/>
      <c r="AO6" s="40"/>
      <c r="AP6" s="40"/>
      <c r="AQ6" s="40"/>
      <c r="AR6" s="40"/>
      <c r="AS6" s="40"/>
      <c r="AT6" s="40"/>
      <c r="AU6" s="40"/>
      <c r="AV6" s="40"/>
      <c r="AW6" s="40"/>
      <c r="AX6" s="40"/>
      <c r="AY6" s="40"/>
      <c r="AZ6" s="40"/>
      <c r="BA6" s="40"/>
      <c r="BB6" s="40"/>
      <c r="BC6" s="40"/>
      <c r="BD6" s="40"/>
      <c r="BE6" s="40"/>
      <c r="BF6" s="40"/>
      <c r="BG6" s="40"/>
      <c r="BH6" s="40"/>
      <c r="BI6" s="40"/>
      <c r="BJ6" s="40"/>
    </row>
    <row r="7" spans="1:62" ht="16" x14ac:dyDescent="0.2">
      <c r="A7" s="43" t="s">
        <v>935</v>
      </c>
      <c r="B7" s="40">
        <v>1524.2499999999995</v>
      </c>
      <c r="C7" s="40"/>
      <c r="D7" s="40">
        <v>1521.3064999999997</v>
      </c>
      <c r="E7" s="40">
        <v>2.9435000000000002</v>
      </c>
      <c r="F7" s="40">
        <v>1524.2499999999995</v>
      </c>
      <c r="G7" s="40"/>
      <c r="H7" s="40"/>
      <c r="I7" s="40"/>
      <c r="J7" s="40">
        <v>1499.3899999999996</v>
      </c>
      <c r="K7" s="40"/>
      <c r="L7" s="40"/>
      <c r="M7" s="40">
        <v>14.71</v>
      </c>
      <c r="N7" s="40"/>
      <c r="O7" s="40"/>
      <c r="P7" s="40"/>
      <c r="Q7" s="40"/>
      <c r="R7" s="40"/>
      <c r="S7" s="40"/>
      <c r="T7" s="40"/>
      <c r="U7" s="40"/>
      <c r="V7" s="40"/>
      <c r="W7" s="40"/>
      <c r="X7" s="40"/>
      <c r="Y7" s="40"/>
      <c r="Z7" s="40"/>
      <c r="AA7" s="40"/>
      <c r="AB7" s="40"/>
      <c r="AC7" s="40"/>
      <c r="AD7" s="40"/>
      <c r="AE7" s="40"/>
      <c r="AF7" s="40">
        <v>7.2065000000000001</v>
      </c>
      <c r="AG7" s="40"/>
      <c r="AH7" s="40"/>
      <c r="AI7" s="40"/>
      <c r="AJ7" s="40"/>
      <c r="AK7" s="40">
        <v>2.9435000000000002</v>
      </c>
      <c r="AL7" s="40"/>
      <c r="AM7" s="40"/>
      <c r="AN7" s="40"/>
      <c r="AO7" s="40"/>
      <c r="AP7" s="40"/>
      <c r="AQ7" s="40"/>
      <c r="AR7" s="40"/>
      <c r="AS7" s="40"/>
      <c r="AT7" s="40"/>
      <c r="AU7" s="40"/>
      <c r="AV7" s="40"/>
      <c r="AW7" s="40"/>
      <c r="AX7" s="40"/>
      <c r="AY7" s="40"/>
      <c r="AZ7" s="40"/>
      <c r="BA7" s="40"/>
      <c r="BB7" s="40"/>
      <c r="BC7" s="40"/>
      <c r="BD7" s="40"/>
      <c r="BE7" s="40"/>
      <c r="BF7" s="40"/>
      <c r="BG7" s="40"/>
      <c r="BH7" s="40"/>
      <c r="BI7" s="40"/>
      <c r="BJ7" s="40"/>
    </row>
    <row r="8" spans="1:62" ht="16" x14ac:dyDescent="0.2">
      <c r="A8" s="43" t="s">
        <v>936</v>
      </c>
      <c r="B8" s="40">
        <v>1561.3800000000008</v>
      </c>
      <c r="C8" s="40"/>
      <c r="D8" s="40">
        <v>1559.3300000000008</v>
      </c>
      <c r="E8" s="40">
        <v>2.0499999999999998</v>
      </c>
      <c r="F8" s="40">
        <v>1561.3800000000008</v>
      </c>
      <c r="G8" s="40">
        <v>1.1199999999999999</v>
      </c>
      <c r="H8" s="40"/>
      <c r="I8" s="40"/>
      <c r="J8" s="40">
        <v>1535.3100000000009</v>
      </c>
      <c r="K8" s="40"/>
      <c r="L8" s="40"/>
      <c r="M8" s="40">
        <v>23.110000000000003</v>
      </c>
      <c r="N8" s="40">
        <v>0.90999999999999992</v>
      </c>
      <c r="O8" s="40"/>
      <c r="P8" s="40">
        <v>0.92999999999999994</v>
      </c>
      <c r="Q8" s="40"/>
      <c r="R8" s="40"/>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40"/>
      <c r="AV8" s="40"/>
      <c r="AW8" s="40"/>
      <c r="AX8" s="40"/>
      <c r="AY8" s="40"/>
      <c r="AZ8" s="40"/>
      <c r="BA8" s="40"/>
      <c r="BB8" s="40"/>
      <c r="BC8" s="40"/>
      <c r="BD8" s="40"/>
      <c r="BE8" s="40"/>
      <c r="BF8" s="40"/>
      <c r="BG8" s="40"/>
      <c r="BH8" s="40"/>
      <c r="BI8" s="40"/>
      <c r="BJ8" s="40"/>
    </row>
    <row r="9" spans="1:62" ht="16" x14ac:dyDescent="0.2">
      <c r="A9" s="43" t="s">
        <v>937</v>
      </c>
      <c r="B9" s="40">
        <v>20.309999999999999</v>
      </c>
      <c r="C9" s="40"/>
      <c r="D9" s="40">
        <v>16.561199999999999</v>
      </c>
      <c r="E9" s="40">
        <v>3.7488000000000001</v>
      </c>
      <c r="F9" s="40">
        <v>20.309999999999999</v>
      </c>
      <c r="G9" s="40"/>
      <c r="H9" s="40"/>
      <c r="I9" s="40"/>
      <c r="J9" s="40">
        <v>7.11</v>
      </c>
      <c r="K9" s="40"/>
      <c r="L9" s="40"/>
      <c r="M9" s="40"/>
      <c r="N9" s="40"/>
      <c r="O9" s="40"/>
      <c r="P9" s="40"/>
      <c r="Q9" s="40"/>
      <c r="R9" s="40"/>
      <c r="S9" s="40"/>
      <c r="T9" s="40"/>
      <c r="U9" s="40"/>
      <c r="V9" s="40"/>
      <c r="W9" s="40"/>
      <c r="X9" s="40"/>
      <c r="Y9" s="40"/>
      <c r="Z9" s="40"/>
      <c r="AA9" s="40"/>
      <c r="AB9" s="40"/>
      <c r="AC9" s="40"/>
      <c r="AD9" s="40"/>
      <c r="AE9" s="40"/>
      <c r="AF9" s="40">
        <v>3.7488000000000001</v>
      </c>
      <c r="AG9" s="40"/>
      <c r="AH9" s="40"/>
      <c r="AI9" s="40"/>
      <c r="AJ9" s="40"/>
      <c r="AK9" s="40">
        <v>1.5311999999999999</v>
      </c>
      <c r="AL9" s="40">
        <v>7.92</v>
      </c>
      <c r="AM9" s="40"/>
      <c r="AN9" s="40"/>
      <c r="AO9" s="40"/>
      <c r="AP9" s="40"/>
      <c r="AQ9" s="40"/>
      <c r="AR9" s="40"/>
      <c r="AS9" s="40"/>
      <c r="AT9" s="40"/>
      <c r="AU9" s="40"/>
      <c r="AV9" s="40"/>
      <c r="AW9" s="40"/>
      <c r="AX9" s="40"/>
      <c r="AY9" s="40"/>
      <c r="AZ9" s="40"/>
      <c r="BA9" s="40"/>
      <c r="BB9" s="40"/>
      <c r="BC9" s="40"/>
      <c r="BD9" s="40"/>
      <c r="BE9" s="40"/>
      <c r="BF9" s="40"/>
      <c r="BG9" s="40"/>
      <c r="BH9" s="40"/>
      <c r="BI9" s="40"/>
      <c r="BJ9" s="40"/>
    </row>
    <row r="10" spans="1:62" ht="16" x14ac:dyDescent="0.2">
      <c r="A10" s="43" t="s">
        <v>938</v>
      </c>
      <c r="B10" s="40">
        <v>36.769999999999996</v>
      </c>
      <c r="C10" s="40"/>
      <c r="D10" s="40">
        <v>36.769999999999996</v>
      </c>
      <c r="E10" s="40"/>
      <c r="F10" s="40">
        <v>36.769999999999996</v>
      </c>
      <c r="G10" s="40"/>
      <c r="H10" s="40"/>
      <c r="I10" s="40"/>
      <c r="J10" s="40">
        <v>17.369999999999997</v>
      </c>
      <c r="K10" s="40"/>
      <c r="L10" s="40"/>
      <c r="M10" s="40"/>
      <c r="N10" s="40"/>
      <c r="O10" s="40"/>
      <c r="P10" s="40"/>
      <c r="Q10" s="40"/>
      <c r="R10" s="40"/>
      <c r="S10" s="40"/>
      <c r="T10" s="40"/>
      <c r="U10" s="40"/>
      <c r="V10" s="40"/>
      <c r="W10" s="40"/>
      <c r="X10" s="40"/>
      <c r="Y10" s="40"/>
      <c r="Z10" s="40"/>
      <c r="AA10" s="40"/>
      <c r="AB10" s="40"/>
      <c r="AC10" s="40"/>
      <c r="AD10" s="40"/>
      <c r="AE10" s="40"/>
      <c r="AF10" s="40"/>
      <c r="AG10" s="40"/>
      <c r="AH10" s="40"/>
      <c r="AI10" s="40"/>
      <c r="AJ10" s="40"/>
      <c r="AK10" s="40"/>
      <c r="AL10" s="40">
        <v>19.400000000000002</v>
      </c>
      <c r="AM10" s="40"/>
      <c r="AN10" s="40"/>
      <c r="AO10" s="40"/>
      <c r="AP10" s="40"/>
      <c r="AQ10" s="40"/>
      <c r="AR10" s="40"/>
      <c r="AS10" s="40"/>
      <c r="AT10" s="40"/>
      <c r="AU10" s="40"/>
      <c r="AV10" s="40"/>
      <c r="AW10" s="40"/>
      <c r="AX10" s="40"/>
      <c r="AY10" s="40"/>
      <c r="AZ10" s="40"/>
      <c r="BA10" s="40"/>
      <c r="BB10" s="40"/>
      <c r="BC10" s="40"/>
      <c r="BD10" s="40"/>
      <c r="BE10" s="40"/>
      <c r="BF10" s="40"/>
      <c r="BG10" s="40"/>
      <c r="BH10" s="40"/>
      <c r="BI10" s="40"/>
      <c r="BJ10" s="40"/>
    </row>
    <row r="11" spans="1:62" ht="16" x14ac:dyDescent="0.2">
      <c r="A11" s="43" t="s">
        <v>939</v>
      </c>
      <c r="B11" s="40">
        <v>33.940000000000005</v>
      </c>
      <c r="C11" s="40"/>
      <c r="D11" s="40">
        <v>33.940000000000005</v>
      </c>
      <c r="E11" s="40"/>
      <c r="F11" s="40">
        <v>33.940000000000005</v>
      </c>
      <c r="G11" s="40"/>
      <c r="H11" s="40"/>
      <c r="I11" s="40"/>
      <c r="J11" s="40">
        <v>17.8</v>
      </c>
      <c r="K11" s="40"/>
      <c r="L11" s="40"/>
      <c r="M11" s="40"/>
      <c r="N11" s="40"/>
      <c r="O11" s="40"/>
      <c r="P11" s="40"/>
      <c r="Q11" s="40"/>
      <c r="R11" s="40"/>
      <c r="S11" s="40"/>
      <c r="T11" s="40"/>
      <c r="U11" s="40"/>
      <c r="V11" s="40"/>
      <c r="W11" s="40"/>
      <c r="X11" s="40"/>
      <c r="Y11" s="40"/>
      <c r="Z11" s="40"/>
      <c r="AA11" s="40"/>
      <c r="AB11" s="40"/>
      <c r="AC11" s="40"/>
      <c r="AD11" s="40"/>
      <c r="AE11" s="40"/>
      <c r="AF11" s="40"/>
      <c r="AG11" s="40"/>
      <c r="AH11" s="40"/>
      <c r="AI11" s="40"/>
      <c r="AJ11" s="40"/>
      <c r="AK11" s="40"/>
      <c r="AL11" s="40">
        <v>16.14</v>
      </c>
      <c r="AM11" s="40"/>
      <c r="AN11" s="40"/>
      <c r="AO11" s="40"/>
      <c r="AP11" s="40"/>
      <c r="AQ11" s="40"/>
      <c r="AR11" s="40"/>
      <c r="AS11" s="40"/>
      <c r="AT11" s="40"/>
      <c r="AU11" s="40"/>
      <c r="AV11" s="40"/>
      <c r="AW11" s="40"/>
      <c r="AX11" s="40"/>
      <c r="AY11" s="40"/>
      <c r="AZ11" s="40"/>
      <c r="BA11" s="40"/>
      <c r="BB11" s="40"/>
      <c r="BC11" s="40"/>
      <c r="BD11" s="40"/>
      <c r="BE11" s="40"/>
      <c r="BF11" s="40"/>
      <c r="BG11" s="40"/>
      <c r="BH11" s="40"/>
      <c r="BI11" s="40"/>
      <c r="BJ11" s="40"/>
    </row>
    <row r="12" spans="1:62" ht="16" x14ac:dyDescent="0.2">
      <c r="A12" s="43" t="s">
        <v>940</v>
      </c>
      <c r="B12" s="40">
        <v>59252.97</v>
      </c>
      <c r="C12" s="40"/>
      <c r="D12" s="40">
        <v>67.77</v>
      </c>
      <c r="E12" s="40"/>
      <c r="F12" s="40">
        <v>67.77</v>
      </c>
      <c r="G12" s="40"/>
      <c r="H12" s="40"/>
      <c r="I12" s="40"/>
      <c r="J12" s="40">
        <v>31.340000000000003</v>
      </c>
      <c r="K12" s="40"/>
      <c r="L12" s="40"/>
      <c r="M12" s="40"/>
      <c r="N12" s="40">
        <v>2.8056000000000001</v>
      </c>
      <c r="O12" s="40"/>
      <c r="P12" s="40"/>
      <c r="Q12" s="40"/>
      <c r="R12" s="40"/>
      <c r="S12" s="40"/>
      <c r="T12" s="40"/>
      <c r="U12" s="40"/>
      <c r="V12" s="40"/>
      <c r="W12" s="40"/>
      <c r="X12" s="40"/>
      <c r="Y12" s="40"/>
      <c r="Z12" s="40"/>
      <c r="AA12" s="40"/>
      <c r="AB12" s="40"/>
      <c r="AC12" s="40"/>
      <c r="AD12" s="40"/>
      <c r="AE12" s="40"/>
      <c r="AF12" s="40">
        <v>1.1244000000000001</v>
      </c>
      <c r="AG12" s="40"/>
      <c r="AH12" s="40"/>
      <c r="AI12" s="40"/>
      <c r="AJ12" s="40"/>
      <c r="AK12" s="40"/>
      <c r="AL12" s="40">
        <v>32.500000000000007</v>
      </c>
      <c r="AM12" s="40"/>
      <c r="AN12" s="40"/>
      <c r="AO12" s="40"/>
      <c r="AP12" s="40">
        <v>59185.2</v>
      </c>
      <c r="AQ12" s="40"/>
      <c r="AR12" s="40">
        <v>59185.2</v>
      </c>
      <c r="AS12" s="40">
        <v>59185.2</v>
      </c>
      <c r="AT12" s="40"/>
      <c r="AU12" s="40"/>
      <c r="AV12" s="40"/>
      <c r="AW12" s="40"/>
      <c r="AX12" s="40"/>
      <c r="AY12" s="40"/>
      <c r="AZ12" s="40"/>
      <c r="BA12" s="40"/>
      <c r="BB12" s="40"/>
      <c r="BC12" s="40"/>
      <c r="BD12" s="40"/>
      <c r="BE12" s="40"/>
      <c r="BF12" s="40"/>
      <c r="BG12" s="40"/>
      <c r="BH12" s="40"/>
      <c r="BI12" s="40"/>
      <c r="BJ12" s="40"/>
    </row>
    <row r="13" spans="1:62" ht="16" x14ac:dyDescent="0.2">
      <c r="A13" s="43" t="s">
        <v>932</v>
      </c>
      <c r="B13" s="40">
        <v>35.330000000000005</v>
      </c>
      <c r="C13" s="40"/>
      <c r="D13" s="40">
        <v>25.65</v>
      </c>
      <c r="E13" s="40">
        <v>9.68</v>
      </c>
      <c r="F13" s="40">
        <v>35.330000000000005</v>
      </c>
      <c r="G13" s="40">
        <v>5.32</v>
      </c>
      <c r="H13" s="40"/>
      <c r="I13" s="40"/>
      <c r="J13" s="40">
        <v>16.32</v>
      </c>
      <c r="K13" s="40"/>
      <c r="L13" s="40"/>
      <c r="M13" s="40"/>
      <c r="N13" s="40">
        <v>4.3100000000000005</v>
      </c>
      <c r="O13" s="40"/>
      <c r="P13" s="40">
        <v>4.3600000000000003</v>
      </c>
      <c r="Q13" s="40"/>
      <c r="R13" s="40"/>
      <c r="S13" s="40"/>
      <c r="T13" s="40"/>
      <c r="U13" s="40"/>
      <c r="V13" s="40"/>
      <c r="W13" s="40"/>
      <c r="X13" s="40"/>
      <c r="Y13" s="40"/>
      <c r="Z13" s="40"/>
      <c r="AA13" s="40"/>
      <c r="AB13" s="40"/>
      <c r="AC13" s="40"/>
      <c r="AD13" s="40"/>
      <c r="AE13" s="40"/>
      <c r="AF13" s="40"/>
      <c r="AG13" s="40"/>
      <c r="AH13" s="40"/>
      <c r="AI13" s="40"/>
      <c r="AJ13" s="40"/>
      <c r="AK13" s="40"/>
      <c r="AL13" s="40">
        <v>5.0199999999999996</v>
      </c>
      <c r="AM13" s="40"/>
      <c r="AN13" s="40"/>
      <c r="AO13" s="40"/>
      <c r="AP13" s="40"/>
      <c r="AQ13" s="40"/>
      <c r="AR13" s="40"/>
      <c r="AS13" s="40"/>
      <c r="AT13" s="40"/>
      <c r="AU13" s="40"/>
      <c r="AV13" s="40"/>
      <c r="AW13" s="40"/>
      <c r="AX13" s="40"/>
      <c r="AY13" s="40"/>
      <c r="AZ13" s="40"/>
      <c r="BA13" s="40"/>
      <c r="BB13" s="40"/>
      <c r="BC13" s="40"/>
      <c r="BD13" s="40"/>
      <c r="BE13" s="40"/>
      <c r="BF13" s="40"/>
      <c r="BG13" s="40"/>
      <c r="BH13" s="40"/>
      <c r="BI13" s="40"/>
      <c r="BJ13" s="40"/>
    </row>
    <row r="14" spans="1:62" ht="16" x14ac:dyDescent="0.2">
      <c r="A14" s="43" t="s">
        <v>933</v>
      </c>
      <c r="B14" s="40">
        <v>20.86</v>
      </c>
      <c r="C14" s="40"/>
      <c r="D14" s="40">
        <v>17.579999999999998</v>
      </c>
      <c r="E14" s="40">
        <v>3.28</v>
      </c>
      <c r="F14" s="40">
        <v>20.86</v>
      </c>
      <c r="G14" s="40">
        <v>1.8</v>
      </c>
      <c r="H14" s="40"/>
      <c r="I14" s="40"/>
      <c r="J14" s="40">
        <v>12.239999999999998</v>
      </c>
      <c r="K14" s="40"/>
      <c r="L14" s="40"/>
      <c r="M14" s="40"/>
      <c r="N14" s="40">
        <v>1.46</v>
      </c>
      <c r="O14" s="40"/>
      <c r="P14" s="40">
        <v>1.48</v>
      </c>
      <c r="Q14" s="40"/>
      <c r="R14" s="40"/>
      <c r="S14" s="40"/>
      <c r="T14" s="40"/>
      <c r="U14" s="40"/>
      <c r="V14" s="40"/>
      <c r="W14" s="40"/>
      <c r="X14" s="40"/>
      <c r="Y14" s="40"/>
      <c r="Z14" s="40"/>
      <c r="AA14" s="40"/>
      <c r="AB14" s="40"/>
      <c r="AC14" s="40"/>
      <c r="AD14" s="40"/>
      <c r="AE14" s="40"/>
      <c r="AF14" s="40"/>
      <c r="AG14" s="40"/>
      <c r="AH14" s="40"/>
      <c r="AI14" s="40"/>
      <c r="AJ14" s="40"/>
      <c r="AK14" s="40"/>
      <c r="AL14" s="40">
        <v>3.88</v>
      </c>
      <c r="AM14" s="40"/>
      <c r="AN14" s="40"/>
      <c r="AO14" s="40"/>
      <c r="AP14" s="40"/>
      <c r="AQ14" s="40"/>
      <c r="AR14" s="40"/>
      <c r="AS14" s="40"/>
      <c r="AT14" s="40"/>
      <c r="AU14" s="40"/>
      <c r="AV14" s="40"/>
      <c r="AW14" s="40"/>
      <c r="AX14" s="40"/>
      <c r="AY14" s="40"/>
      <c r="AZ14" s="40"/>
      <c r="BA14" s="40"/>
      <c r="BB14" s="40"/>
      <c r="BC14" s="40"/>
      <c r="BD14" s="40"/>
      <c r="BE14" s="40"/>
      <c r="BF14" s="40"/>
      <c r="BG14" s="40"/>
      <c r="BH14" s="40"/>
      <c r="BI14" s="40"/>
      <c r="BJ14" s="40"/>
    </row>
    <row r="15" spans="1:62" ht="16" x14ac:dyDescent="0.2">
      <c r="A15" s="41" t="s">
        <v>929</v>
      </c>
      <c r="B15" s="42">
        <v>1422.6809999999998</v>
      </c>
      <c r="C15" s="42"/>
      <c r="D15" s="42">
        <v>1328.5604999999998</v>
      </c>
      <c r="E15" s="42">
        <v>94.120499999999993</v>
      </c>
      <c r="F15" s="42">
        <v>1422.6809999999998</v>
      </c>
      <c r="G15" s="42">
        <v>51.790500000000002</v>
      </c>
      <c r="H15" s="42"/>
      <c r="I15" s="42">
        <v>5.8599999999999994</v>
      </c>
      <c r="J15" s="42">
        <v>691.47999999999979</v>
      </c>
      <c r="K15" s="42"/>
      <c r="L15" s="42">
        <v>5.83</v>
      </c>
      <c r="M15" s="42">
        <v>67.866</v>
      </c>
      <c r="N15" s="42">
        <v>54.081600000000002</v>
      </c>
      <c r="O15" s="42">
        <v>1.5459999999999998</v>
      </c>
      <c r="P15" s="42">
        <v>42.330000000000005</v>
      </c>
      <c r="Q15" s="42"/>
      <c r="R15" s="42"/>
      <c r="S15" s="42"/>
      <c r="T15" s="42"/>
      <c r="U15" s="42"/>
      <c r="V15" s="42"/>
      <c r="W15" s="42"/>
      <c r="X15" s="42"/>
      <c r="Y15" s="42"/>
      <c r="Z15" s="42">
        <v>203.82999999999998</v>
      </c>
      <c r="AA15" s="42"/>
      <c r="AB15" s="42"/>
      <c r="AC15" s="42"/>
      <c r="AD15" s="42"/>
      <c r="AE15" s="42"/>
      <c r="AF15" s="42">
        <v>0.93840000000000001</v>
      </c>
      <c r="AG15" s="42"/>
      <c r="AH15" s="42"/>
      <c r="AI15" s="42"/>
      <c r="AJ15" s="42"/>
      <c r="AK15" s="42"/>
      <c r="AL15" s="42">
        <v>297.12849999999997</v>
      </c>
      <c r="AM15" s="42"/>
      <c r="AN15" s="42"/>
      <c r="AO15" s="42"/>
      <c r="AP15" s="42"/>
      <c r="AQ15" s="42"/>
      <c r="AR15" s="42"/>
      <c r="AS15" s="42"/>
      <c r="AT15" s="42"/>
      <c r="AU15" s="42"/>
      <c r="AV15" s="42"/>
      <c r="AW15" s="42"/>
      <c r="AX15" s="42"/>
      <c r="AY15" s="42"/>
      <c r="AZ15" s="42"/>
      <c r="BA15" s="42"/>
      <c r="BB15" s="42"/>
      <c r="BC15" s="42"/>
      <c r="BD15" s="42"/>
      <c r="BE15" s="42"/>
      <c r="BF15" s="42"/>
      <c r="BG15" s="42"/>
      <c r="BH15" s="42"/>
      <c r="BI15" s="42"/>
      <c r="BJ15" s="42"/>
    </row>
    <row r="16" spans="1:62" ht="16" x14ac:dyDescent="0.2">
      <c r="A16" s="43" t="s">
        <v>1002</v>
      </c>
      <c r="B16" s="40">
        <v>96.86</v>
      </c>
      <c r="C16" s="40"/>
      <c r="D16" s="40">
        <v>90.98</v>
      </c>
      <c r="E16" s="40">
        <v>5.879999999999999</v>
      </c>
      <c r="F16" s="40">
        <v>96.86</v>
      </c>
      <c r="G16" s="40">
        <v>3.24</v>
      </c>
      <c r="H16" s="40"/>
      <c r="I16" s="40"/>
      <c r="J16" s="40">
        <v>47.709999999999994</v>
      </c>
      <c r="K16" s="40"/>
      <c r="L16" s="40"/>
      <c r="M16" s="40">
        <v>1.96</v>
      </c>
      <c r="N16" s="40">
        <v>5.5676000000000005</v>
      </c>
      <c r="O16" s="40"/>
      <c r="P16" s="40">
        <v>2.6399999999999997</v>
      </c>
      <c r="Q16" s="40"/>
      <c r="R16" s="40"/>
      <c r="S16" s="40"/>
      <c r="T16" s="40"/>
      <c r="U16" s="40"/>
      <c r="V16" s="40"/>
      <c r="W16" s="40"/>
      <c r="X16" s="40"/>
      <c r="Y16" s="40"/>
      <c r="Z16" s="40"/>
      <c r="AA16" s="40"/>
      <c r="AB16" s="40"/>
      <c r="AC16" s="40"/>
      <c r="AD16" s="40"/>
      <c r="AE16" s="40"/>
      <c r="AF16" s="40">
        <v>0.93840000000000001</v>
      </c>
      <c r="AG16" s="40"/>
      <c r="AH16" s="40"/>
      <c r="AI16" s="40"/>
      <c r="AJ16" s="40"/>
      <c r="AK16" s="40"/>
      <c r="AL16" s="40">
        <v>34.803999999999995</v>
      </c>
      <c r="AM16" s="40"/>
      <c r="AN16" s="40"/>
      <c r="AO16" s="40"/>
      <c r="AP16" s="40"/>
      <c r="AQ16" s="40"/>
      <c r="AR16" s="40"/>
      <c r="AS16" s="40"/>
      <c r="AT16" s="40"/>
      <c r="AU16" s="40"/>
      <c r="AV16" s="40"/>
      <c r="AW16" s="40"/>
      <c r="AX16" s="40"/>
      <c r="AY16" s="40"/>
      <c r="AZ16" s="40"/>
      <c r="BA16" s="40"/>
      <c r="BB16" s="40"/>
      <c r="BC16" s="40"/>
      <c r="BD16" s="40"/>
      <c r="BE16" s="40"/>
      <c r="BF16" s="40"/>
      <c r="BG16" s="40"/>
      <c r="BH16" s="40"/>
      <c r="BI16" s="40"/>
      <c r="BJ16" s="40"/>
    </row>
    <row r="17" spans="1:62" ht="16" x14ac:dyDescent="0.2">
      <c r="A17" s="43" t="s">
        <v>1003</v>
      </c>
      <c r="B17" s="40">
        <v>81.570000000000007</v>
      </c>
      <c r="C17" s="40"/>
      <c r="D17" s="40">
        <v>70.290000000000006</v>
      </c>
      <c r="E17" s="40">
        <v>11.28</v>
      </c>
      <c r="F17" s="40">
        <v>81.570000000000007</v>
      </c>
      <c r="G17" s="40">
        <v>6.2</v>
      </c>
      <c r="H17" s="40"/>
      <c r="I17" s="40">
        <v>3.38</v>
      </c>
      <c r="J17" s="40">
        <v>53.900000000000006</v>
      </c>
      <c r="K17" s="40"/>
      <c r="L17" s="40"/>
      <c r="M17" s="40">
        <v>1.87</v>
      </c>
      <c r="N17" s="40">
        <v>5.01</v>
      </c>
      <c r="O17" s="40"/>
      <c r="P17" s="40">
        <v>5.08</v>
      </c>
      <c r="Q17" s="40"/>
      <c r="R17" s="40"/>
      <c r="S17" s="40"/>
      <c r="T17" s="40"/>
      <c r="U17" s="40"/>
      <c r="V17" s="40"/>
      <c r="W17" s="40"/>
      <c r="X17" s="40"/>
      <c r="Y17" s="40"/>
      <c r="Z17" s="40"/>
      <c r="AA17" s="40"/>
      <c r="AB17" s="40"/>
      <c r="AC17" s="40"/>
      <c r="AD17" s="40"/>
      <c r="AE17" s="40"/>
      <c r="AF17" s="40"/>
      <c r="AG17" s="40"/>
      <c r="AH17" s="40"/>
      <c r="AI17" s="40"/>
      <c r="AJ17" s="40"/>
      <c r="AK17" s="40"/>
      <c r="AL17" s="40">
        <v>6.13</v>
      </c>
      <c r="AM17" s="40"/>
      <c r="AN17" s="40"/>
      <c r="AO17" s="40"/>
      <c r="AP17" s="40"/>
      <c r="AQ17" s="40"/>
      <c r="AR17" s="40"/>
      <c r="AS17" s="40"/>
      <c r="AT17" s="40"/>
      <c r="AU17" s="40"/>
      <c r="AV17" s="40"/>
      <c r="AW17" s="40"/>
      <c r="AX17" s="40"/>
      <c r="AY17" s="40"/>
      <c r="AZ17" s="40"/>
      <c r="BA17" s="40"/>
      <c r="BB17" s="40"/>
      <c r="BC17" s="40"/>
      <c r="BD17" s="40"/>
      <c r="BE17" s="40"/>
      <c r="BF17" s="40"/>
      <c r="BG17" s="40"/>
      <c r="BH17" s="40"/>
      <c r="BI17" s="40"/>
      <c r="BJ17" s="40"/>
    </row>
    <row r="18" spans="1:62" ht="16" x14ac:dyDescent="0.2">
      <c r="A18" s="43" t="s">
        <v>1004</v>
      </c>
      <c r="B18" s="40">
        <v>151.50499999999994</v>
      </c>
      <c r="C18" s="40"/>
      <c r="D18" s="40">
        <v>138.78999999999996</v>
      </c>
      <c r="E18" s="40">
        <v>12.715</v>
      </c>
      <c r="F18" s="40">
        <v>151.50499999999994</v>
      </c>
      <c r="G18" s="40">
        <v>6.9850000000000003</v>
      </c>
      <c r="H18" s="40"/>
      <c r="I18" s="40">
        <v>1.8499999999999999</v>
      </c>
      <c r="J18" s="40">
        <v>87.12</v>
      </c>
      <c r="K18" s="40"/>
      <c r="L18" s="40"/>
      <c r="M18" s="40">
        <v>2.1260000000000003</v>
      </c>
      <c r="N18" s="40">
        <v>6.5040000000000004</v>
      </c>
      <c r="O18" s="40"/>
      <c r="P18" s="40">
        <v>5.7299999999999995</v>
      </c>
      <c r="Q18" s="40"/>
      <c r="R18" s="40"/>
      <c r="S18" s="40"/>
      <c r="T18" s="40"/>
      <c r="U18" s="40"/>
      <c r="V18" s="40"/>
      <c r="W18" s="40"/>
      <c r="X18" s="40"/>
      <c r="Y18" s="40"/>
      <c r="Z18" s="40"/>
      <c r="AA18" s="40"/>
      <c r="AB18" s="40"/>
      <c r="AC18" s="40"/>
      <c r="AD18" s="40"/>
      <c r="AE18" s="40"/>
      <c r="AF18" s="40"/>
      <c r="AG18" s="40"/>
      <c r="AH18" s="40"/>
      <c r="AI18" s="40"/>
      <c r="AJ18" s="40"/>
      <c r="AK18" s="40"/>
      <c r="AL18" s="40">
        <v>41.19</v>
      </c>
      <c r="AM18" s="40"/>
      <c r="AN18" s="40"/>
      <c r="AO18" s="40"/>
      <c r="AP18" s="40"/>
      <c r="AQ18" s="40"/>
      <c r="AR18" s="40"/>
      <c r="AS18" s="40"/>
      <c r="AT18" s="40"/>
      <c r="AU18" s="40"/>
      <c r="AV18" s="40"/>
      <c r="AW18" s="40"/>
      <c r="AX18" s="40"/>
      <c r="AY18" s="40"/>
      <c r="AZ18" s="40"/>
      <c r="BA18" s="40"/>
      <c r="BB18" s="40"/>
      <c r="BC18" s="40"/>
      <c r="BD18" s="40"/>
      <c r="BE18" s="40"/>
      <c r="BF18" s="40"/>
      <c r="BG18" s="40"/>
      <c r="BH18" s="40"/>
      <c r="BI18" s="40"/>
      <c r="BJ18" s="40"/>
    </row>
    <row r="19" spans="1:62" ht="16" x14ac:dyDescent="0.2">
      <c r="A19" s="43" t="s">
        <v>934</v>
      </c>
      <c r="B19" s="40">
        <v>37.479999999999997</v>
      </c>
      <c r="C19" s="40"/>
      <c r="D19" s="40">
        <v>27.150000000000002</v>
      </c>
      <c r="E19" s="40">
        <v>10.330000000000002</v>
      </c>
      <c r="F19" s="40">
        <v>37.479999999999997</v>
      </c>
      <c r="G19" s="40">
        <v>5.69</v>
      </c>
      <c r="H19" s="40"/>
      <c r="I19" s="40"/>
      <c r="J19" s="40"/>
      <c r="K19" s="40"/>
      <c r="L19" s="40"/>
      <c r="M19" s="40"/>
      <c r="N19" s="40">
        <v>4.6000000000000005</v>
      </c>
      <c r="O19" s="40"/>
      <c r="P19" s="40">
        <v>4.6399999999999997</v>
      </c>
      <c r="Q19" s="40"/>
      <c r="R19" s="40"/>
      <c r="S19" s="40"/>
      <c r="T19" s="40"/>
      <c r="U19" s="40"/>
      <c r="V19" s="40"/>
      <c r="W19" s="40"/>
      <c r="X19" s="40"/>
      <c r="Y19" s="40"/>
      <c r="Z19" s="40"/>
      <c r="AA19" s="40"/>
      <c r="AB19" s="40"/>
      <c r="AC19" s="40"/>
      <c r="AD19" s="40"/>
      <c r="AE19" s="40"/>
      <c r="AF19" s="40"/>
      <c r="AG19" s="40"/>
      <c r="AH19" s="40"/>
      <c r="AI19" s="40"/>
      <c r="AJ19" s="40"/>
      <c r="AK19" s="40"/>
      <c r="AL19" s="40">
        <v>22.55</v>
      </c>
      <c r="AM19" s="40"/>
      <c r="AN19" s="40"/>
      <c r="AO19" s="40"/>
      <c r="AP19" s="40"/>
      <c r="AQ19" s="40"/>
      <c r="AR19" s="40"/>
      <c r="AS19" s="40"/>
      <c r="AT19" s="40"/>
      <c r="AU19" s="40"/>
      <c r="AV19" s="40"/>
      <c r="AW19" s="40"/>
      <c r="AX19" s="40"/>
      <c r="AY19" s="40"/>
      <c r="AZ19" s="40"/>
      <c r="BA19" s="40"/>
      <c r="BB19" s="40"/>
      <c r="BC19" s="40"/>
      <c r="BD19" s="40"/>
      <c r="BE19" s="40"/>
      <c r="BF19" s="40"/>
      <c r="BG19" s="40"/>
      <c r="BH19" s="40"/>
      <c r="BI19" s="40"/>
      <c r="BJ19" s="40"/>
    </row>
    <row r="20" spans="1:62" ht="16" x14ac:dyDescent="0.2">
      <c r="A20" s="43" t="s">
        <v>935</v>
      </c>
      <c r="B20" s="40">
        <v>33.68</v>
      </c>
      <c r="C20" s="40"/>
      <c r="D20" s="40">
        <v>24.410000000000004</v>
      </c>
      <c r="E20" s="40">
        <v>9.27</v>
      </c>
      <c r="F20" s="40">
        <v>33.68</v>
      </c>
      <c r="G20" s="40">
        <v>5.1099999999999994</v>
      </c>
      <c r="H20" s="40"/>
      <c r="I20" s="40">
        <v>0.63</v>
      </c>
      <c r="J20" s="40">
        <v>4.95</v>
      </c>
      <c r="K20" s="40"/>
      <c r="L20" s="40"/>
      <c r="M20" s="40"/>
      <c r="N20" s="40">
        <v>4.49</v>
      </c>
      <c r="O20" s="40"/>
      <c r="P20" s="40">
        <v>4.16</v>
      </c>
      <c r="Q20" s="40"/>
      <c r="R20" s="40"/>
      <c r="S20" s="40"/>
      <c r="T20" s="40"/>
      <c r="U20" s="40"/>
      <c r="V20" s="40"/>
      <c r="W20" s="40"/>
      <c r="X20" s="40"/>
      <c r="Y20" s="40"/>
      <c r="Z20" s="40"/>
      <c r="AA20" s="40"/>
      <c r="AB20" s="40"/>
      <c r="AC20" s="40"/>
      <c r="AD20" s="40"/>
      <c r="AE20" s="40"/>
      <c r="AF20" s="40"/>
      <c r="AG20" s="40"/>
      <c r="AH20" s="40"/>
      <c r="AI20" s="40"/>
      <c r="AJ20" s="40"/>
      <c r="AK20" s="40"/>
      <c r="AL20" s="40">
        <v>14.34</v>
      </c>
      <c r="AM20" s="40"/>
      <c r="AN20" s="40"/>
      <c r="AO20" s="40"/>
      <c r="AP20" s="40"/>
      <c r="AQ20" s="40"/>
      <c r="AR20" s="40"/>
      <c r="AS20" s="40"/>
      <c r="AT20" s="40"/>
      <c r="AU20" s="40"/>
      <c r="AV20" s="40"/>
      <c r="AW20" s="40"/>
      <c r="AX20" s="40"/>
      <c r="AY20" s="40"/>
      <c r="AZ20" s="40"/>
      <c r="BA20" s="40"/>
      <c r="BB20" s="40"/>
      <c r="BC20" s="40"/>
      <c r="BD20" s="40"/>
      <c r="BE20" s="40"/>
      <c r="BF20" s="40"/>
      <c r="BG20" s="40"/>
      <c r="BH20" s="40"/>
      <c r="BI20" s="40"/>
      <c r="BJ20" s="40"/>
    </row>
    <row r="21" spans="1:62" ht="16" x14ac:dyDescent="0.2">
      <c r="A21" s="43" t="s">
        <v>936</v>
      </c>
      <c r="B21" s="40">
        <v>38.11</v>
      </c>
      <c r="C21" s="40"/>
      <c r="D21" s="40">
        <v>30.79</v>
      </c>
      <c r="E21" s="40">
        <v>7.32</v>
      </c>
      <c r="F21" s="40">
        <v>38.11</v>
      </c>
      <c r="G21" s="40">
        <v>4.0400000000000009</v>
      </c>
      <c r="H21" s="40"/>
      <c r="I21" s="40"/>
      <c r="J21" s="40">
        <v>14.309999999999999</v>
      </c>
      <c r="K21" s="40"/>
      <c r="L21" s="40"/>
      <c r="M21" s="40"/>
      <c r="N21" s="40">
        <v>3.2600000000000002</v>
      </c>
      <c r="O21" s="40"/>
      <c r="P21" s="40">
        <v>3.2800000000000002</v>
      </c>
      <c r="Q21" s="40"/>
      <c r="R21" s="40"/>
      <c r="S21" s="40"/>
      <c r="T21" s="40"/>
      <c r="U21" s="40"/>
      <c r="V21" s="40"/>
      <c r="W21" s="40"/>
      <c r="X21" s="40"/>
      <c r="Y21" s="40"/>
      <c r="Z21" s="40"/>
      <c r="AA21" s="40"/>
      <c r="AB21" s="40"/>
      <c r="AC21" s="40"/>
      <c r="AD21" s="40"/>
      <c r="AE21" s="40"/>
      <c r="AF21" s="40"/>
      <c r="AG21" s="40"/>
      <c r="AH21" s="40"/>
      <c r="AI21" s="40"/>
      <c r="AJ21" s="40"/>
      <c r="AK21" s="40"/>
      <c r="AL21" s="40">
        <v>13.219999999999999</v>
      </c>
      <c r="AM21" s="40"/>
      <c r="AN21" s="40"/>
      <c r="AO21" s="40"/>
      <c r="AP21" s="40"/>
      <c r="AQ21" s="40"/>
      <c r="AR21" s="40"/>
      <c r="AS21" s="40"/>
      <c r="AT21" s="40"/>
      <c r="AU21" s="40"/>
      <c r="AV21" s="40"/>
      <c r="AW21" s="40"/>
      <c r="AX21" s="40"/>
      <c r="AY21" s="40"/>
      <c r="AZ21" s="40"/>
      <c r="BA21" s="40"/>
      <c r="BB21" s="40"/>
      <c r="BC21" s="40"/>
      <c r="BD21" s="40"/>
      <c r="BE21" s="40"/>
      <c r="BF21" s="40"/>
      <c r="BG21" s="40"/>
      <c r="BH21" s="40"/>
      <c r="BI21" s="40"/>
      <c r="BJ21" s="40"/>
    </row>
    <row r="22" spans="1:62" ht="16" x14ac:dyDescent="0.2">
      <c r="A22" s="43" t="s">
        <v>937</v>
      </c>
      <c r="B22" s="40">
        <v>48.720000000000006</v>
      </c>
      <c r="C22" s="40"/>
      <c r="D22" s="40">
        <v>41.910000000000004</v>
      </c>
      <c r="E22" s="40">
        <v>6.81</v>
      </c>
      <c r="F22" s="40">
        <v>48.720000000000006</v>
      </c>
      <c r="G22" s="40">
        <v>3.74</v>
      </c>
      <c r="H22" s="40"/>
      <c r="I22" s="40"/>
      <c r="J22" s="40">
        <v>27.239999999999995</v>
      </c>
      <c r="K22" s="40"/>
      <c r="L22" s="40"/>
      <c r="M22" s="40"/>
      <c r="N22" s="40">
        <v>3.0300000000000002</v>
      </c>
      <c r="O22" s="40"/>
      <c r="P22" s="40">
        <v>3.07</v>
      </c>
      <c r="Q22" s="40"/>
      <c r="R22" s="40"/>
      <c r="S22" s="40"/>
      <c r="T22" s="40"/>
      <c r="U22" s="40"/>
      <c r="V22" s="40"/>
      <c r="W22" s="40"/>
      <c r="X22" s="40"/>
      <c r="Y22" s="40"/>
      <c r="Z22" s="40"/>
      <c r="AA22" s="40"/>
      <c r="AB22" s="40"/>
      <c r="AC22" s="40"/>
      <c r="AD22" s="40"/>
      <c r="AE22" s="40"/>
      <c r="AF22" s="40"/>
      <c r="AG22" s="40"/>
      <c r="AH22" s="40"/>
      <c r="AI22" s="40"/>
      <c r="AJ22" s="40"/>
      <c r="AK22" s="40"/>
      <c r="AL22" s="40">
        <v>11.64</v>
      </c>
      <c r="AM22" s="40"/>
      <c r="AN22" s="40"/>
      <c r="AO22" s="40"/>
      <c r="AP22" s="40"/>
      <c r="AQ22" s="40"/>
      <c r="AR22" s="40"/>
      <c r="AS22" s="40"/>
      <c r="AT22" s="40"/>
      <c r="AU22" s="40"/>
      <c r="AV22" s="40"/>
      <c r="AW22" s="40"/>
      <c r="AX22" s="40"/>
      <c r="AY22" s="40"/>
      <c r="AZ22" s="40"/>
      <c r="BA22" s="40"/>
      <c r="BB22" s="40"/>
      <c r="BC22" s="40"/>
      <c r="BD22" s="40"/>
      <c r="BE22" s="40"/>
      <c r="BF22" s="40"/>
      <c r="BG22" s="40"/>
      <c r="BH22" s="40"/>
      <c r="BI22" s="40"/>
      <c r="BJ22" s="40"/>
    </row>
    <row r="23" spans="1:62" ht="16" x14ac:dyDescent="0.2">
      <c r="A23" s="43" t="s">
        <v>938</v>
      </c>
      <c r="B23" s="40">
        <v>104.45</v>
      </c>
      <c r="C23" s="40"/>
      <c r="D23" s="40">
        <v>88.800000000000011</v>
      </c>
      <c r="E23" s="40">
        <v>15.649999999999999</v>
      </c>
      <c r="F23" s="40">
        <v>104.45</v>
      </c>
      <c r="G23" s="40">
        <v>8.6</v>
      </c>
      <c r="H23" s="40"/>
      <c r="I23" s="40"/>
      <c r="J23" s="40">
        <v>50.150000000000006</v>
      </c>
      <c r="K23" s="40"/>
      <c r="L23" s="40">
        <v>5.83</v>
      </c>
      <c r="M23" s="40"/>
      <c r="N23" s="40">
        <v>6.99</v>
      </c>
      <c r="O23" s="40"/>
      <c r="P23" s="40">
        <v>7.0500000000000007</v>
      </c>
      <c r="Q23" s="40"/>
      <c r="R23" s="40"/>
      <c r="S23" s="40"/>
      <c r="T23" s="40"/>
      <c r="U23" s="40"/>
      <c r="V23" s="40"/>
      <c r="W23" s="40"/>
      <c r="X23" s="40"/>
      <c r="Y23" s="40"/>
      <c r="Z23" s="40"/>
      <c r="AA23" s="40"/>
      <c r="AB23" s="40"/>
      <c r="AC23" s="40"/>
      <c r="AD23" s="40"/>
      <c r="AE23" s="40"/>
      <c r="AF23" s="40"/>
      <c r="AG23" s="40"/>
      <c r="AH23" s="40"/>
      <c r="AI23" s="40"/>
      <c r="AJ23" s="40"/>
      <c r="AK23" s="40"/>
      <c r="AL23" s="40">
        <v>25.83</v>
      </c>
      <c r="AM23" s="40"/>
      <c r="AN23" s="40"/>
      <c r="AO23" s="40"/>
      <c r="AP23" s="40"/>
      <c r="AQ23" s="40"/>
      <c r="AR23" s="40"/>
      <c r="AS23" s="40"/>
      <c r="AT23" s="40"/>
      <c r="AU23" s="40"/>
      <c r="AV23" s="40"/>
      <c r="AW23" s="40"/>
      <c r="AX23" s="40"/>
      <c r="AY23" s="40"/>
      <c r="AZ23" s="40"/>
      <c r="BA23" s="40"/>
      <c r="BB23" s="40"/>
      <c r="BC23" s="40"/>
      <c r="BD23" s="40"/>
      <c r="BE23" s="40"/>
      <c r="BF23" s="40"/>
      <c r="BG23" s="40"/>
      <c r="BH23" s="40"/>
      <c r="BI23" s="40"/>
      <c r="BJ23" s="40"/>
    </row>
    <row r="24" spans="1:62" ht="16" x14ac:dyDescent="0.2">
      <c r="A24" s="43" t="s">
        <v>939</v>
      </c>
      <c r="B24" s="40">
        <v>145.31</v>
      </c>
      <c r="C24" s="40"/>
      <c r="D24" s="40">
        <v>140.22000000000003</v>
      </c>
      <c r="E24" s="40">
        <v>5.09</v>
      </c>
      <c r="F24" s="40">
        <v>145.31</v>
      </c>
      <c r="G24" s="40">
        <v>2.79</v>
      </c>
      <c r="H24" s="40"/>
      <c r="I24" s="40"/>
      <c r="J24" s="40">
        <v>74.540000000000006</v>
      </c>
      <c r="K24" s="40"/>
      <c r="L24" s="40"/>
      <c r="M24" s="40"/>
      <c r="N24" s="40">
        <v>10.290000000000001</v>
      </c>
      <c r="O24" s="40"/>
      <c r="P24" s="40">
        <v>2.2999999999999998</v>
      </c>
      <c r="Q24" s="40"/>
      <c r="R24" s="40"/>
      <c r="S24" s="40"/>
      <c r="T24" s="40"/>
      <c r="U24" s="40"/>
      <c r="V24" s="40"/>
      <c r="W24" s="40"/>
      <c r="X24" s="40"/>
      <c r="Y24" s="40"/>
      <c r="Z24" s="40">
        <v>14.370000000000001</v>
      </c>
      <c r="AA24" s="40"/>
      <c r="AB24" s="40"/>
      <c r="AC24" s="40"/>
      <c r="AD24" s="40"/>
      <c r="AE24" s="40"/>
      <c r="AF24" s="40"/>
      <c r="AG24" s="40"/>
      <c r="AH24" s="40"/>
      <c r="AI24" s="40"/>
      <c r="AJ24" s="40"/>
      <c r="AK24" s="40"/>
      <c r="AL24" s="40">
        <v>41.019999999999996</v>
      </c>
      <c r="AM24" s="40"/>
      <c r="AN24" s="40"/>
      <c r="AO24" s="40"/>
      <c r="AP24" s="40"/>
      <c r="AQ24" s="40"/>
      <c r="AR24" s="40"/>
      <c r="AS24" s="40"/>
      <c r="AT24" s="40"/>
      <c r="AU24" s="40"/>
      <c r="AV24" s="40"/>
      <c r="AW24" s="40"/>
      <c r="AX24" s="40"/>
      <c r="AY24" s="40"/>
      <c r="AZ24" s="40"/>
      <c r="BA24" s="40"/>
      <c r="BB24" s="40"/>
      <c r="BC24" s="40"/>
      <c r="BD24" s="40"/>
      <c r="BE24" s="40"/>
      <c r="BF24" s="40"/>
      <c r="BG24" s="40"/>
      <c r="BH24" s="40"/>
      <c r="BI24" s="40"/>
      <c r="BJ24" s="40"/>
    </row>
    <row r="25" spans="1:62" ht="16" x14ac:dyDescent="0.2">
      <c r="A25" s="43" t="s">
        <v>940</v>
      </c>
      <c r="B25" s="40">
        <v>379.21999999999974</v>
      </c>
      <c r="C25" s="40"/>
      <c r="D25" s="40">
        <v>378.22999999999973</v>
      </c>
      <c r="E25" s="40">
        <v>0.99</v>
      </c>
      <c r="F25" s="40">
        <v>379.21999999999974</v>
      </c>
      <c r="G25" s="40">
        <v>0.54</v>
      </c>
      <c r="H25" s="40"/>
      <c r="I25" s="40"/>
      <c r="J25" s="40">
        <v>281.25999999999988</v>
      </c>
      <c r="K25" s="40"/>
      <c r="L25" s="40"/>
      <c r="M25" s="40"/>
      <c r="N25" s="40">
        <v>0.44</v>
      </c>
      <c r="O25" s="40"/>
      <c r="P25" s="40">
        <v>0.45</v>
      </c>
      <c r="Q25" s="40"/>
      <c r="R25" s="40"/>
      <c r="S25" s="40"/>
      <c r="T25" s="40"/>
      <c r="U25" s="40"/>
      <c r="V25" s="40"/>
      <c r="W25" s="40"/>
      <c r="X25" s="40"/>
      <c r="Y25" s="40"/>
      <c r="Z25" s="40">
        <v>37.099999999999994</v>
      </c>
      <c r="AA25" s="40"/>
      <c r="AB25" s="40"/>
      <c r="AC25" s="40"/>
      <c r="AD25" s="40"/>
      <c r="AE25" s="40"/>
      <c r="AF25" s="40"/>
      <c r="AG25" s="40"/>
      <c r="AH25" s="40"/>
      <c r="AI25" s="40"/>
      <c r="AJ25" s="40"/>
      <c r="AK25" s="40"/>
      <c r="AL25" s="40">
        <v>59.43</v>
      </c>
      <c r="AM25" s="40"/>
      <c r="AN25" s="40"/>
      <c r="AO25" s="40"/>
      <c r="AP25" s="40"/>
      <c r="AQ25" s="40"/>
      <c r="AR25" s="40"/>
      <c r="AS25" s="40"/>
      <c r="AT25" s="40"/>
      <c r="AU25" s="40"/>
      <c r="AV25" s="40"/>
      <c r="AW25" s="40"/>
      <c r="AX25" s="40"/>
      <c r="AY25" s="40"/>
      <c r="AZ25" s="40"/>
      <c r="BA25" s="40"/>
      <c r="BB25" s="40"/>
      <c r="BC25" s="40"/>
      <c r="BD25" s="40"/>
      <c r="BE25" s="40"/>
      <c r="BF25" s="40"/>
      <c r="BG25" s="40"/>
      <c r="BH25" s="40"/>
      <c r="BI25" s="40"/>
      <c r="BJ25" s="40"/>
    </row>
    <row r="26" spans="1:62" ht="16" x14ac:dyDescent="0.2">
      <c r="A26" s="43" t="s">
        <v>932</v>
      </c>
      <c r="B26" s="40">
        <v>184.05599999999998</v>
      </c>
      <c r="C26" s="40"/>
      <c r="D26" s="40">
        <v>182.01050000000001</v>
      </c>
      <c r="E26" s="40">
        <v>2.0455000000000005</v>
      </c>
      <c r="F26" s="40">
        <v>184.05599999999998</v>
      </c>
      <c r="G26" s="40">
        <v>1.1355000000000002</v>
      </c>
      <c r="H26" s="40"/>
      <c r="I26" s="40"/>
      <c r="J26" s="40">
        <v>36.64</v>
      </c>
      <c r="K26" s="40"/>
      <c r="L26" s="40"/>
      <c r="M26" s="40">
        <v>61.91</v>
      </c>
      <c r="N26" s="40">
        <v>0.9</v>
      </c>
      <c r="O26" s="40">
        <v>0.84599999999999997</v>
      </c>
      <c r="P26" s="40">
        <v>0.91</v>
      </c>
      <c r="Q26" s="40"/>
      <c r="R26" s="40"/>
      <c r="S26" s="40"/>
      <c r="T26" s="40"/>
      <c r="U26" s="40"/>
      <c r="V26" s="40"/>
      <c r="W26" s="40"/>
      <c r="X26" s="40"/>
      <c r="Y26" s="40"/>
      <c r="Z26" s="40">
        <v>70.66</v>
      </c>
      <c r="AA26" s="40"/>
      <c r="AB26" s="40"/>
      <c r="AC26" s="40"/>
      <c r="AD26" s="40"/>
      <c r="AE26" s="40"/>
      <c r="AF26" s="40"/>
      <c r="AG26" s="40"/>
      <c r="AH26" s="40"/>
      <c r="AI26" s="40"/>
      <c r="AJ26" s="40"/>
      <c r="AK26" s="40"/>
      <c r="AL26" s="40">
        <v>11.054499999999999</v>
      </c>
      <c r="AM26" s="40"/>
      <c r="AN26" s="40"/>
      <c r="AO26" s="40"/>
      <c r="AP26" s="40"/>
      <c r="AQ26" s="40"/>
      <c r="AR26" s="40"/>
      <c r="AS26" s="40"/>
      <c r="AT26" s="40"/>
      <c r="AU26" s="40"/>
      <c r="AV26" s="40"/>
      <c r="AW26" s="40"/>
      <c r="AX26" s="40"/>
      <c r="AY26" s="40"/>
      <c r="AZ26" s="40"/>
      <c r="BA26" s="40"/>
      <c r="BB26" s="40"/>
      <c r="BC26" s="40"/>
      <c r="BD26" s="40"/>
      <c r="BE26" s="40"/>
      <c r="BF26" s="40"/>
      <c r="BG26" s="40"/>
      <c r="BH26" s="40"/>
      <c r="BI26" s="40"/>
      <c r="BJ26" s="40"/>
    </row>
    <row r="27" spans="1:62" ht="16" x14ac:dyDescent="0.2">
      <c r="A27" s="43" t="s">
        <v>933</v>
      </c>
      <c r="B27" s="40">
        <v>121.72</v>
      </c>
      <c r="C27" s="40"/>
      <c r="D27" s="40">
        <v>114.97999999999999</v>
      </c>
      <c r="E27" s="40">
        <v>6.7400000000000011</v>
      </c>
      <c r="F27" s="40">
        <v>121.72</v>
      </c>
      <c r="G27" s="40">
        <v>3.72</v>
      </c>
      <c r="H27" s="40"/>
      <c r="I27" s="40"/>
      <c r="J27" s="40">
        <v>13.66</v>
      </c>
      <c r="K27" s="40"/>
      <c r="L27" s="40"/>
      <c r="M27" s="40"/>
      <c r="N27" s="40">
        <v>3</v>
      </c>
      <c r="O27" s="40">
        <v>0.7</v>
      </c>
      <c r="P27" s="40">
        <v>3.0200000000000005</v>
      </c>
      <c r="Q27" s="40"/>
      <c r="R27" s="40"/>
      <c r="S27" s="40"/>
      <c r="T27" s="40"/>
      <c r="U27" s="40"/>
      <c r="V27" s="40"/>
      <c r="W27" s="40"/>
      <c r="X27" s="40"/>
      <c r="Y27" s="40"/>
      <c r="Z27" s="40">
        <v>81.7</v>
      </c>
      <c r="AA27" s="40"/>
      <c r="AB27" s="40"/>
      <c r="AC27" s="40"/>
      <c r="AD27" s="40"/>
      <c r="AE27" s="40"/>
      <c r="AF27" s="40"/>
      <c r="AG27" s="40"/>
      <c r="AH27" s="40"/>
      <c r="AI27" s="40"/>
      <c r="AJ27" s="40"/>
      <c r="AK27" s="40"/>
      <c r="AL27" s="40">
        <v>15.92</v>
      </c>
      <c r="AM27" s="40"/>
      <c r="AN27" s="40"/>
      <c r="AO27" s="40"/>
      <c r="AP27" s="40"/>
      <c r="AQ27" s="40"/>
      <c r="AR27" s="40"/>
      <c r="AS27" s="40"/>
      <c r="AT27" s="40"/>
      <c r="AU27" s="40"/>
      <c r="AV27" s="40"/>
      <c r="AW27" s="40"/>
      <c r="AX27" s="40"/>
      <c r="AY27" s="40"/>
      <c r="AZ27" s="40"/>
      <c r="BA27" s="40"/>
      <c r="BB27" s="40"/>
      <c r="BC27" s="40"/>
      <c r="BD27" s="40"/>
      <c r="BE27" s="40"/>
      <c r="BF27" s="40"/>
      <c r="BG27" s="40"/>
      <c r="BH27" s="40"/>
      <c r="BI27" s="40"/>
      <c r="BJ27" s="40"/>
    </row>
    <row r="28" spans="1:62" ht="16" x14ac:dyDescent="0.2">
      <c r="A28" s="41" t="s">
        <v>930</v>
      </c>
      <c r="B28" s="42">
        <v>2106.8778000000002</v>
      </c>
      <c r="C28" s="42"/>
      <c r="D28" s="42">
        <v>1775.8542000000002</v>
      </c>
      <c r="E28" s="42">
        <v>331.02360000000004</v>
      </c>
      <c r="F28" s="42">
        <v>2106.8778000000002</v>
      </c>
      <c r="G28" s="42">
        <v>182.9074</v>
      </c>
      <c r="H28" s="42">
        <v>99.500900000000001</v>
      </c>
      <c r="I28" s="42">
        <v>4.149</v>
      </c>
      <c r="J28" s="42">
        <v>351.73070000000001</v>
      </c>
      <c r="K28" s="42"/>
      <c r="L28" s="42">
        <v>14.620000000000001</v>
      </c>
      <c r="M28" s="42">
        <v>126.241</v>
      </c>
      <c r="N28" s="42">
        <v>148.47619999999998</v>
      </c>
      <c r="O28" s="42">
        <v>2.0699999999999998</v>
      </c>
      <c r="P28" s="42">
        <v>148.11620000000002</v>
      </c>
      <c r="Q28" s="42"/>
      <c r="R28" s="42"/>
      <c r="S28" s="42"/>
      <c r="T28" s="42"/>
      <c r="U28" s="42"/>
      <c r="V28" s="42"/>
      <c r="W28" s="42">
        <v>0.75</v>
      </c>
      <c r="X28" s="42"/>
      <c r="Y28" s="42"/>
      <c r="Z28" s="42">
        <v>724.94</v>
      </c>
      <c r="AA28" s="42"/>
      <c r="AB28" s="42"/>
      <c r="AC28" s="42"/>
      <c r="AD28" s="42"/>
      <c r="AE28" s="42"/>
      <c r="AF28" s="42"/>
      <c r="AG28" s="42"/>
      <c r="AH28" s="42"/>
      <c r="AI28" s="42"/>
      <c r="AJ28" s="42"/>
      <c r="AK28" s="42"/>
      <c r="AL28" s="42">
        <v>303.37639999999999</v>
      </c>
      <c r="AM28" s="42"/>
      <c r="AN28" s="42"/>
      <c r="AO28" s="42"/>
      <c r="AP28" s="42"/>
      <c r="AQ28" s="42"/>
      <c r="AR28" s="42"/>
      <c r="AS28" s="42"/>
      <c r="AT28" s="42"/>
      <c r="AU28" s="42"/>
      <c r="AV28" s="42"/>
      <c r="AW28" s="42"/>
      <c r="AX28" s="42"/>
      <c r="AY28" s="42"/>
      <c r="AZ28" s="42"/>
      <c r="BA28" s="42"/>
      <c r="BB28" s="42"/>
      <c r="BC28" s="42"/>
      <c r="BD28" s="42"/>
      <c r="BE28" s="42"/>
      <c r="BF28" s="42"/>
      <c r="BG28" s="42"/>
      <c r="BH28" s="42"/>
      <c r="BI28" s="42"/>
      <c r="BJ28" s="42"/>
    </row>
    <row r="29" spans="1:62" ht="16" x14ac:dyDescent="0.2">
      <c r="A29" s="43" t="s">
        <v>1002</v>
      </c>
      <c r="B29" s="40">
        <v>101.6</v>
      </c>
      <c r="C29" s="40"/>
      <c r="D29" s="40">
        <v>89.509999999999991</v>
      </c>
      <c r="E29" s="40">
        <v>12.09</v>
      </c>
      <c r="F29" s="40">
        <v>101.6</v>
      </c>
      <c r="G29" s="40">
        <v>6.64</v>
      </c>
      <c r="H29" s="40"/>
      <c r="I29" s="40"/>
      <c r="J29" s="40">
        <v>6.75</v>
      </c>
      <c r="K29" s="40"/>
      <c r="L29" s="40"/>
      <c r="M29" s="40"/>
      <c r="N29" s="40">
        <v>5.39</v>
      </c>
      <c r="O29" s="40"/>
      <c r="P29" s="40">
        <v>5.45</v>
      </c>
      <c r="Q29" s="40"/>
      <c r="R29" s="40"/>
      <c r="S29" s="40"/>
      <c r="T29" s="40"/>
      <c r="U29" s="40"/>
      <c r="V29" s="40"/>
      <c r="W29" s="40"/>
      <c r="X29" s="40"/>
      <c r="Y29" s="40"/>
      <c r="Z29" s="40">
        <v>68.459999999999994</v>
      </c>
      <c r="AA29" s="40"/>
      <c r="AB29" s="40"/>
      <c r="AC29" s="40"/>
      <c r="AD29" s="40"/>
      <c r="AE29" s="40"/>
      <c r="AF29" s="40"/>
      <c r="AG29" s="40"/>
      <c r="AH29" s="40"/>
      <c r="AI29" s="40"/>
      <c r="AJ29" s="40"/>
      <c r="AK29" s="40"/>
      <c r="AL29" s="40">
        <v>8.91</v>
      </c>
      <c r="AM29" s="40"/>
      <c r="AN29" s="40"/>
      <c r="AO29" s="40"/>
      <c r="AP29" s="40"/>
      <c r="AQ29" s="40"/>
      <c r="AR29" s="40"/>
      <c r="AS29" s="40"/>
      <c r="AT29" s="40"/>
      <c r="AU29" s="40"/>
      <c r="AV29" s="40"/>
      <c r="AW29" s="40"/>
      <c r="AX29" s="40"/>
      <c r="AY29" s="40"/>
      <c r="AZ29" s="40"/>
      <c r="BA29" s="40"/>
      <c r="BB29" s="40"/>
      <c r="BC29" s="40"/>
      <c r="BD29" s="40"/>
      <c r="BE29" s="40"/>
      <c r="BF29" s="40"/>
      <c r="BG29" s="40"/>
      <c r="BH29" s="40"/>
      <c r="BI29" s="40"/>
      <c r="BJ29" s="40"/>
    </row>
    <row r="30" spans="1:62" ht="16" x14ac:dyDescent="0.2">
      <c r="A30" s="43" t="s">
        <v>1003</v>
      </c>
      <c r="B30" s="40">
        <v>126.26000000000002</v>
      </c>
      <c r="C30" s="40"/>
      <c r="D30" s="40">
        <v>120.93</v>
      </c>
      <c r="E30" s="40">
        <v>5.33</v>
      </c>
      <c r="F30" s="40">
        <v>126.26000000000002</v>
      </c>
      <c r="G30" s="40">
        <v>2.9299999999999997</v>
      </c>
      <c r="H30" s="40"/>
      <c r="I30" s="40"/>
      <c r="J30" s="40">
        <v>11.129999999999999</v>
      </c>
      <c r="K30" s="40"/>
      <c r="L30" s="40"/>
      <c r="M30" s="40"/>
      <c r="N30" s="40">
        <v>2.3800000000000003</v>
      </c>
      <c r="O30" s="40"/>
      <c r="P30" s="40">
        <v>2.4000000000000004</v>
      </c>
      <c r="Q30" s="40"/>
      <c r="R30" s="40"/>
      <c r="S30" s="40"/>
      <c r="T30" s="40"/>
      <c r="U30" s="40"/>
      <c r="V30" s="40"/>
      <c r="W30" s="40"/>
      <c r="X30" s="40"/>
      <c r="Y30" s="40"/>
      <c r="Z30" s="40">
        <v>93.07</v>
      </c>
      <c r="AA30" s="40"/>
      <c r="AB30" s="40"/>
      <c r="AC30" s="40"/>
      <c r="AD30" s="40"/>
      <c r="AE30" s="40"/>
      <c r="AF30" s="40"/>
      <c r="AG30" s="40"/>
      <c r="AH30" s="40"/>
      <c r="AI30" s="40"/>
      <c r="AJ30" s="40"/>
      <c r="AK30" s="40"/>
      <c r="AL30" s="40">
        <v>14.35</v>
      </c>
      <c r="AM30" s="40"/>
      <c r="AN30" s="40"/>
      <c r="AO30" s="40"/>
      <c r="AP30" s="40"/>
      <c r="AQ30" s="40"/>
      <c r="AR30" s="40"/>
      <c r="AS30" s="40"/>
      <c r="AT30" s="40"/>
      <c r="AU30" s="40"/>
      <c r="AV30" s="40"/>
      <c r="AW30" s="40"/>
      <c r="AX30" s="40"/>
      <c r="AY30" s="40"/>
      <c r="AZ30" s="40"/>
      <c r="BA30" s="40"/>
      <c r="BB30" s="40"/>
      <c r="BC30" s="40"/>
      <c r="BD30" s="40"/>
      <c r="BE30" s="40"/>
      <c r="BF30" s="40"/>
      <c r="BG30" s="40"/>
      <c r="BH30" s="40"/>
      <c r="BI30" s="40"/>
      <c r="BJ30" s="40"/>
    </row>
    <row r="31" spans="1:62" ht="16" x14ac:dyDescent="0.2">
      <c r="A31" s="43" t="s">
        <v>1004</v>
      </c>
      <c r="B31" s="40">
        <v>142.83999999999997</v>
      </c>
      <c r="C31" s="40"/>
      <c r="D31" s="40">
        <v>135.21999999999997</v>
      </c>
      <c r="E31" s="40">
        <v>7.6199999999999992</v>
      </c>
      <c r="F31" s="40">
        <v>142.83999999999997</v>
      </c>
      <c r="G31" s="40">
        <v>4.21</v>
      </c>
      <c r="H31" s="40"/>
      <c r="I31" s="40"/>
      <c r="J31" s="40"/>
      <c r="K31" s="40"/>
      <c r="L31" s="40"/>
      <c r="M31" s="40"/>
      <c r="N31" s="40">
        <v>3.3899999999999997</v>
      </c>
      <c r="O31" s="40"/>
      <c r="P31" s="40">
        <v>3.41</v>
      </c>
      <c r="Q31" s="40"/>
      <c r="R31" s="40"/>
      <c r="S31" s="40"/>
      <c r="T31" s="40"/>
      <c r="U31" s="40"/>
      <c r="V31" s="40"/>
      <c r="W31" s="40"/>
      <c r="X31" s="40"/>
      <c r="Y31" s="40"/>
      <c r="Z31" s="40">
        <v>112.38999999999999</v>
      </c>
      <c r="AA31" s="40"/>
      <c r="AB31" s="40"/>
      <c r="AC31" s="40"/>
      <c r="AD31" s="40"/>
      <c r="AE31" s="40"/>
      <c r="AF31" s="40"/>
      <c r="AG31" s="40"/>
      <c r="AH31" s="40"/>
      <c r="AI31" s="40"/>
      <c r="AJ31" s="40"/>
      <c r="AK31" s="40"/>
      <c r="AL31" s="40">
        <v>19.439999999999998</v>
      </c>
      <c r="AM31" s="40"/>
      <c r="AN31" s="40"/>
      <c r="AO31" s="40"/>
      <c r="AP31" s="40"/>
      <c r="AQ31" s="40"/>
      <c r="AR31" s="40"/>
      <c r="AS31" s="40"/>
      <c r="AT31" s="40"/>
      <c r="AU31" s="40"/>
      <c r="AV31" s="40"/>
      <c r="AW31" s="40"/>
      <c r="AX31" s="40"/>
      <c r="AY31" s="40"/>
      <c r="AZ31" s="40"/>
      <c r="BA31" s="40"/>
      <c r="BB31" s="40"/>
      <c r="BC31" s="40"/>
      <c r="BD31" s="40"/>
      <c r="BE31" s="40"/>
      <c r="BF31" s="40"/>
      <c r="BG31" s="40"/>
      <c r="BH31" s="40"/>
      <c r="BI31" s="40"/>
      <c r="BJ31" s="40"/>
    </row>
    <row r="32" spans="1:62" ht="16" x14ac:dyDescent="0.2">
      <c r="A32" s="43" t="s">
        <v>934</v>
      </c>
      <c r="B32" s="40">
        <v>143</v>
      </c>
      <c r="C32" s="40"/>
      <c r="D32" s="40">
        <v>124.17000000000003</v>
      </c>
      <c r="E32" s="40">
        <v>18.829999999999998</v>
      </c>
      <c r="F32" s="40">
        <v>143</v>
      </c>
      <c r="G32" s="40">
        <v>10.35</v>
      </c>
      <c r="H32" s="40"/>
      <c r="I32" s="40"/>
      <c r="J32" s="40">
        <v>7.59</v>
      </c>
      <c r="K32" s="40"/>
      <c r="L32" s="40"/>
      <c r="M32" s="40"/>
      <c r="N32" s="40">
        <v>8.3899999999999988</v>
      </c>
      <c r="O32" s="40"/>
      <c r="P32" s="40">
        <v>8.48</v>
      </c>
      <c r="Q32" s="40"/>
      <c r="R32" s="40"/>
      <c r="S32" s="40"/>
      <c r="T32" s="40"/>
      <c r="U32" s="40"/>
      <c r="V32" s="40"/>
      <c r="W32" s="40"/>
      <c r="X32" s="40"/>
      <c r="Y32" s="40"/>
      <c r="Z32" s="40">
        <v>90.8</v>
      </c>
      <c r="AA32" s="40"/>
      <c r="AB32" s="40"/>
      <c r="AC32" s="40"/>
      <c r="AD32" s="40"/>
      <c r="AE32" s="40"/>
      <c r="AF32" s="40"/>
      <c r="AG32" s="40"/>
      <c r="AH32" s="40"/>
      <c r="AI32" s="40"/>
      <c r="AJ32" s="40"/>
      <c r="AK32" s="40"/>
      <c r="AL32" s="40">
        <v>17.389999999999997</v>
      </c>
      <c r="AM32" s="40"/>
      <c r="AN32" s="40"/>
      <c r="AO32" s="40"/>
      <c r="AP32" s="40"/>
      <c r="AQ32" s="40"/>
      <c r="AR32" s="40"/>
      <c r="AS32" s="40"/>
      <c r="AT32" s="40"/>
      <c r="AU32" s="40"/>
      <c r="AV32" s="40"/>
      <c r="AW32" s="40"/>
      <c r="AX32" s="40"/>
      <c r="AY32" s="40"/>
      <c r="AZ32" s="40"/>
      <c r="BA32" s="40"/>
      <c r="BB32" s="40"/>
      <c r="BC32" s="40"/>
      <c r="BD32" s="40"/>
      <c r="BE32" s="40"/>
      <c r="BF32" s="40"/>
      <c r="BG32" s="40"/>
      <c r="BH32" s="40"/>
      <c r="BI32" s="40"/>
      <c r="BJ32" s="40"/>
    </row>
    <row r="33" spans="1:62" ht="16" x14ac:dyDescent="0.2">
      <c r="A33" s="43" t="s">
        <v>935</v>
      </c>
      <c r="B33" s="40">
        <v>183.10999999999996</v>
      </c>
      <c r="C33" s="40"/>
      <c r="D33" s="40">
        <v>155.59639999999999</v>
      </c>
      <c r="E33" s="40">
        <v>27.513599999999997</v>
      </c>
      <c r="F33" s="40">
        <v>183.10999999999996</v>
      </c>
      <c r="G33" s="40">
        <v>15.130000000000003</v>
      </c>
      <c r="H33" s="40"/>
      <c r="I33" s="40"/>
      <c r="J33" s="40">
        <v>30.1</v>
      </c>
      <c r="K33" s="40"/>
      <c r="L33" s="40"/>
      <c r="M33" s="40"/>
      <c r="N33" s="40">
        <v>12.24</v>
      </c>
      <c r="O33" s="40"/>
      <c r="P33" s="40">
        <v>12.383600000000003</v>
      </c>
      <c r="Q33" s="40"/>
      <c r="R33" s="40"/>
      <c r="S33" s="40"/>
      <c r="T33" s="40"/>
      <c r="U33" s="40"/>
      <c r="V33" s="40"/>
      <c r="W33" s="40"/>
      <c r="X33" s="40"/>
      <c r="Y33" s="40"/>
      <c r="Z33" s="40">
        <v>80.240000000000009</v>
      </c>
      <c r="AA33" s="40"/>
      <c r="AB33" s="40"/>
      <c r="AC33" s="40"/>
      <c r="AD33" s="40"/>
      <c r="AE33" s="40"/>
      <c r="AF33" s="40"/>
      <c r="AG33" s="40"/>
      <c r="AH33" s="40"/>
      <c r="AI33" s="40"/>
      <c r="AJ33" s="40"/>
      <c r="AK33" s="40"/>
      <c r="AL33" s="40">
        <v>33.016399999999997</v>
      </c>
      <c r="AM33" s="40"/>
      <c r="AN33" s="40"/>
      <c r="AO33" s="40"/>
      <c r="AP33" s="40"/>
      <c r="AQ33" s="40"/>
      <c r="AR33" s="40"/>
      <c r="AS33" s="40"/>
      <c r="AT33" s="40"/>
      <c r="AU33" s="40"/>
      <c r="AV33" s="40"/>
      <c r="AW33" s="40"/>
      <c r="AX33" s="40"/>
      <c r="AY33" s="40"/>
      <c r="AZ33" s="40"/>
      <c r="BA33" s="40"/>
      <c r="BB33" s="40"/>
      <c r="BC33" s="40"/>
      <c r="BD33" s="40"/>
      <c r="BE33" s="40"/>
      <c r="BF33" s="40"/>
      <c r="BG33" s="40"/>
      <c r="BH33" s="40"/>
      <c r="BI33" s="40"/>
      <c r="BJ33" s="40"/>
    </row>
    <row r="34" spans="1:62" ht="16" x14ac:dyDescent="0.2">
      <c r="A34" s="43" t="s">
        <v>936</v>
      </c>
      <c r="B34" s="40">
        <v>178.20000000000005</v>
      </c>
      <c r="C34" s="40"/>
      <c r="D34" s="40">
        <v>110.98999999999998</v>
      </c>
      <c r="E34" s="40">
        <v>67.209999999999994</v>
      </c>
      <c r="F34" s="40">
        <v>178.20000000000005</v>
      </c>
      <c r="G34" s="40">
        <v>36.949999999999996</v>
      </c>
      <c r="H34" s="40">
        <v>29.410000000000004</v>
      </c>
      <c r="I34" s="40"/>
      <c r="J34" s="40">
        <v>15.57</v>
      </c>
      <c r="K34" s="40"/>
      <c r="L34" s="40"/>
      <c r="M34" s="40">
        <v>4.3</v>
      </c>
      <c r="N34" s="40">
        <v>29.939999999999991</v>
      </c>
      <c r="O34" s="40"/>
      <c r="P34" s="40">
        <v>30.259999999999998</v>
      </c>
      <c r="Q34" s="40"/>
      <c r="R34" s="40"/>
      <c r="S34" s="40"/>
      <c r="T34" s="40"/>
      <c r="U34" s="40"/>
      <c r="V34" s="40"/>
      <c r="W34" s="40"/>
      <c r="X34" s="40"/>
      <c r="Y34" s="40"/>
      <c r="Z34" s="40">
        <v>10.629999999999999</v>
      </c>
      <c r="AA34" s="40"/>
      <c r="AB34" s="40"/>
      <c r="AC34" s="40"/>
      <c r="AD34" s="40"/>
      <c r="AE34" s="40"/>
      <c r="AF34" s="40"/>
      <c r="AG34" s="40"/>
      <c r="AH34" s="40"/>
      <c r="AI34" s="40"/>
      <c r="AJ34" s="40"/>
      <c r="AK34" s="40"/>
      <c r="AL34" s="40">
        <v>21.14</v>
      </c>
      <c r="AM34" s="40"/>
      <c r="AN34" s="40"/>
      <c r="AO34" s="40"/>
      <c r="AP34" s="40"/>
      <c r="AQ34" s="40"/>
      <c r="AR34" s="40"/>
      <c r="AS34" s="40"/>
      <c r="AT34" s="40"/>
      <c r="AU34" s="40"/>
      <c r="AV34" s="40"/>
      <c r="AW34" s="40"/>
      <c r="AX34" s="40"/>
      <c r="AY34" s="40"/>
      <c r="AZ34" s="40"/>
      <c r="BA34" s="40"/>
      <c r="BB34" s="40"/>
      <c r="BC34" s="40"/>
      <c r="BD34" s="40"/>
      <c r="BE34" s="40"/>
      <c r="BF34" s="40"/>
      <c r="BG34" s="40"/>
      <c r="BH34" s="40"/>
      <c r="BI34" s="40"/>
      <c r="BJ34" s="40"/>
    </row>
    <row r="35" spans="1:62" ht="16" x14ac:dyDescent="0.2">
      <c r="A35" s="43" t="s">
        <v>937</v>
      </c>
      <c r="B35" s="40">
        <v>135.97899999999998</v>
      </c>
      <c r="C35" s="40"/>
      <c r="D35" s="40">
        <v>91.499000000000024</v>
      </c>
      <c r="E35" s="40">
        <v>44.480000000000004</v>
      </c>
      <c r="F35" s="40">
        <v>135.97899999999998</v>
      </c>
      <c r="G35" s="40">
        <v>24.429999999999996</v>
      </c>
      <c r="H35" s="40"/>
      <c r="I35" s="40">
        <v>4.149</v>
      </c>
      <c r="J35" s="40">
        <v>12.32</v>
      </c>
      <c r="K35" s="40"/>
      <c r="L35" s="40"/>
      <c r="M35" s="40"/>
      <c r="N35" s="40">
        <v>19.840000000000003</v>
      </c>
      <c r="O35" s="40"/>
      <c r="P35" s="40">
        <v>20.050000000000004</v>
      </c>
      <c r="Q35" s="40"/>
      <c r="R35" s="40"/>
      <c r="S35" s="40"/>
      <c r="T35" s="40"/>
      <c r="U35" s="40"/>
      <c r="V35" s="40"/>
      <c r="W35" s="40"/>
      <c r="X35" s="40"/>
      <c r="Y35" s="40"/>
      <c r="Z35" s="40">
        <v>42.72</v>
      </c>
      <c r="AA35" s="40"/>
      <c r="AB35" s="40"/>
      <c r="AC35" s="40"/>
      <c r="AD35" s="40"/>
      <c r="AE35" s="40"/>
      <c r="AF35" s="40"/>
      <c r="AG35" s="40"/>
      <c r="AH35" s="40"/>
      <c r="AI35" s="40"/>
      <c r="AJ35" s="40"/>
      <c r="AK35" s="40"/>
      <c r="AL35" s="40">
        <v>12.469999999999999</v>
      </c>
      <c r="AM35" s="40"/>
      <c r="AN35" s="40"/>
      <c r="AO35" s="40"/>
      <c r="AP35" s="40"/>
      <c r="AQ35" s="40"/>
      <c r="AR35" s="40"/>
      <c r="AS35" s="40"/>
      <c r="AT35" s="40"/>
      <c r="AU35" s="40"/>
      <c r="AV35" s="40"/>
      <c r="AW35" s="40"/>
      <c r="AX35" s="40"/>
      <c r="AY35" s="40"/>
      <c r="AZ35" s="40"/>
      <c r="BA35" s="40"/>
      <c r="BB35" s="40"/>
      <c r="BC35" s="40"/>
      <c r="BD35" s="40"/>
      <c r="BE35" s="40"/>
      <c r="BF35" s="40"/>
      <c r="BG35" s="40"/>
      <c r="BH35" s="40"/>
      <c r="BI35" s="40"/>
      <c r="BJ35" s="40"/>
    </row>
    <row r="36" spans="1:62" ht="16" x14ac:dyDescent="0.2">
      <c r="A36" s="43" t="s">
        <v>938</v>
      </c>
      <c r="B36" s="40">
        <v>155.01999999999995</v>
      </c>
      <c r="C36" s="40"/>
      <c r="D36" s="40">
        <v>122.89999999999998</v>
      </c>
      <c r="E36" s="40">
        <v>32.119999999999997</v>
      </c>
      <c r="F36" s="40">
        <v>155.01999999999995</v>
      </c>
      <c r="G36" s="40">
        <v>17.66</v>
      </c>
      <c r="H36" s="40"/>
      <c r="I36" s="40"/>
      <c r="J36" s="40">
        <v>47.66</v>
      </c>
      <c r="K36" s="40"/>
      <c r="L36" s="40"/>
      <c r="M36" s="40"/>
      <c r="N36" s="40">
        <v>14.32</v>
      </c>
      <c r="O36" s="40"/>
      <c r="P36" s="40">
        <v>14.459999999999999</v>
      </c>
      <c r="Q36" s="40"/>
      <c r="R36" s="40"/>
      <c r="S36" s="40"/>
      <c r="T36" s="40"/>
      <c r="U36" s="40"/>
      <c r="V36" s="40"/>
      <c r="W36" s="40"/>
      <c r="X36" s="40"/>
      <c r="Y36" s="40"/>
      <c r="Z36" s="40">
        <v>60.02</v>
      </c>
      <c r="AA36" s="40"/>
      <c r="AB36" s="40"/>
      <c r="AC36" s="40"/>
      <c r="AD36" s="40"/>
      <c r="AE36" s="40"/>
      <c r="AF36" s="40"/>
      <c r="AG36" s="40"/>
      <c r="AH36" s="40"/>
      <c r="AI36" s="40"/>
      <c r="AJ36" s="40"/>
      <c r="AK36" s="40"/>
      <c r="AL36" s="40">
        <v>0.9</v>
      </c>
      <c r="AM36" s="40"/>
      <c r="AN36" s="40"/>
      <c r="AO36" s="40"/>
      <c r="AP36" s="40"/>
      <c r="AQ36" s="40"/>
      <c r="AR36" s="40"/>
      <c r="AS36" s="40"/>
      <c r="AT36" s="40"/>
      <c r="AU36" s="40"/>
      <c r="AV36" s="40"/>
      <c r="AW36" s="40"/>
      <c r="AX36" s="40"/>
      <c r="AY36" s="40"/>
      <c r="AZ36" s="40"/>
      <c r="BA36" s="40"/>
      <c r="BB36" s="40"/>
      <c r="BC36" s="40"/>
      <c r="BD36" s="40"/>
      <c r="BE36" s="40"/>
      <c r="BF36" s="40"/>
      <c r="BG36" s="40"/>
      <c r="BH36" s="40"/>
      <c r="BI36" s="40"/>
      <c r="BJ36" s="40"/>
    </row>
    <row r="37" spans="1:62" ht="16" x14ac:dyDescent="0.2">
      <c r="A37" s="43" t="s">
        <v>939</v>
      </c>
      <c r="B37" s="40">
        <v>202.86100000000002</v>
      </c>
      <c r="C37" s="40"/>
      <c r="D37" s="40">
        <v>182.08100000000002</v>
      </c>
      <c r="E37" s="40">
        <v>20.78</v>
      </c>
      <c r="F37" s="40">
        <v>202.86100000000002</v>
      </c>
      <c r="G37" s="40">
        <v>12.33</v>
      </c>
      <c r="H37" s="40"/>
      <c r="I37" s="40"/>
      <c r="J37" s="40">
        <v>85.75</v>
      </c>
      <c r="K37" s="40"/>
      <c r="L37" s="40">
        <v>9.67</v>
      </c>
      <c r="M37" s="40">
        <v>1E-3</v>
      </c>
      <c r="N37" s="40">
        <v>10.18</v>
      </c>
      <c r="O37" s="40">
        <v>2.0699999999999998</v>
      </c>
      <c r="P37" s="40">
        <v>8.4499999999999993</v>
      </c>
      <c r="Q37" s="40"/>
      <c r="R37" s="40"/>
      <c r="S37" s="40"/>
      <c r="T37" s="40"/>
      <c r="U37" s="40"/>
      <c r="V37" s="40"/>
      <c r="W37" s="40">
        <v>0.75</v>
      </c>
      <c r="X37" s="40"/>
      <c r="Y37" s="40"/>
      <c r="Z37" s="40">
        <v>67.84</v>
      </c>
      <c r="AA37" s="40"/>
      <c r="AB37" s="40"/>
      <c r="AC37" s="40"/>
      <c r="AD37" s="40"/>
      <c r="AE37" s="40"/>
      <c r="AF37" s="40"/>
      <c r="AG37" s="40"/>
      <c r="AH37" s="40"/>
      <c r="AI37" s="40"/>
      <c r="AJ37" s="40"/>
      <c r="AK37" s="40"/>
      <c r="AL37" s="40">
        <v>5.82</v>
      </c>
      <c r="AM37" s="40"/>
      <c r="AN37" s="40"/>
      <c r="AO37" s="40"/>
      <c r="AP37" s="40"/>
      <c r="AQ37" s="40"/>
      <c r="AR37" s="40"/>
      <c r="AS37" s="40"/>
      <c r="AT37" s="40"/>
      <c r="AU37" s="40"/>
      <c r="AV37" s="40"/>
      <c r="AW37" s="40"/>
      <c r="AX37" s="40"/>
      <c r="AY37" s="40"/>
      <c r="AZ37" s="40"/>
      <c r="BA37" s="40"/>
      <c r="BB37" s="40"/>
      <c r="BC37" s="40"/>
      <c r="BD37" s="40"/>
      <c r="BE37" s="40"/>
      <c r="BF37" s="40"/>
      <c r="BG37" s="40"/>
      <c r="BH37" s="40"/>
      <c r="BI37" s="40"/>
      <c r="BJ37" s="40"/>
    </row>
    <row r="38" spans="1:62" ht="16" x14ac:dyDescent="0.2">
      <c r="A38" s="43" t="s">
        <v>940</v>
      </c>
      <c r="B38" s="40">
        <v>226.077</v>
      </c>
      <c r="C38" s="40"/>
      <c r="D38" s="40">
        <v>175.17</v>
      </c>
      <c r="E38" s="40">
        <v>50.906999999999996</v>
      </c>
      <c r="F38" s="40">
        <v>226.077</v>
      </c>
      <c r="G38" s="40">
        <v>28.007000000000001</v>
      </c>
      <c r="H38" s="40">
        <v>21.42</v>
      </c>
      <c r="I38" s="40"/>
      <c r="J38" s="40">
        <v>67.489999999999995</v>
      </c>
      <c r="K38" s="40"/>
      <c r="L38" s="40">
        <v>4.95</v>
      </c>
      <c r="M38" s="40"/>
      <c r="N38" s="40">
        <v>22.73</v>
      </c>
      <c r="O38" s="40"/>
      <c r="P38" s="40">
        <v>22.9</v>
      </c>
      <c r="Q38" s="40"/>
      <c r="R38" s="40"/>
      <c r="S38" s="40"/>
      <c r="T38" s="40"/>
      <c r="U38" s="40"/>
      <c r="V38" s="40"/>
      <c r="W38" s="40"/>
      <c r="X38" s="40"/>
      <c r="Y38" s="40"/>
      <c r="Z38" s="40">
        <v>32.319999999999993</v>
      </c>
      <c r="AA38" s="40"/>
      <c r="AB38" s="40"/>
      <c r="AC38" s="40"/>
      <c r="AD38" s="40"/>
      <c r="AE38" s="40"/>
      <c r="AF38" s="40"/>
      <c r="AG38" s="40"/>
      <c r="AH38" s="40"/>
      <c r="AI38" s="40"/>
      <c r="AJ38" s="40"/>
      <c r="AK38" s="40"/>
      <c r="AL38" s="40">
        <v>26.26</v>
      </c>
      <c r="AM38" s="40"/>
      <c r="AN38" s="40"/>
      <c r="AO38" s="40"/>
      <c r="AP38" s="40"/>
      <c r="AQ38" s="40"/>
      <c r="AR38" s="40"/>
      <c r="AS38" s="40"/>
      <c r="AT38" s="40"/>
      <c r="AU38" s="40"/>
      <c r="AV38" s="40"/>
      <c r="AW38" s="40"/>
      <c r="AX38" s="40"/>
      <c r="AY38" s="40"/>
      <c r="AZ38" s="40"/>
      <c r="BA38" s="40"/>
      <c r="BB38" s="40"/>
      <c r="BC38" s="40"/>
      <c r="BD38" s="40"/>
      <c r="BE38" s="40"/>
      <c r="BF38" s="40"/>
      <c r="BG38" s="40"/>
      <c r="BH38" s="40"/>
      <c r="BI38" s="40"/>
      <c r="BJ38" s="40"/>
    </row>
    <row r="39" spans="1:62" ht="16" x14ac:dyDescent="0.2">
      <c r="A39" s="43" t="s">
        <v>932</v>
      </c>
      <c r="B39" s="40">
        <v>253.68000000000004</v>
      </c>
      <c r="C39" s="40"/>
      <c r="D39" s="40">
        <v>242.89000000000007</v>
      </c>
      <c r="E39" s="40">
        <v>10.79</v>
      </c>
      <c r="F39" s="40">
        <v>253.68000000000004</v>
      </c>
      <c r="G39" s="40">
        <v>5.9300000000000006</v>
      </c>
      <c r="H39" s="40">
        <v>2.5</v>
      </c>
      <c r="I39" s="40"/>
      <c r="J39" s="40">
        <v>3.2</v>
      </c>
      <c r="K39" s="40"/>
      <c r="L39" s="40"/>
      <c r="M39" s="40">
        <v>121.94</v>
      </c>
      <c r="N39" s="40">
        <v>4.8100000000000005</v>
      </c>
      <c r="O39" s="40"/>
      <c r="P39" s="40">
        <v>4.8599999999999994</v>
      </c>
      <c r="Q39" s="40"/>
      <c r="R39" s="40"/>
      <c r="S39" s="40"/>
      <c r="T39" s="40"/>
      <c r="U39" s="40"/>
      <c r="V39" s="40"/>
      <c r="W39" s="40"/>
      <c r="X39" s="40"/>
      <c r="Y39" s="40"/>
      <c r="Z39" s="40">
        <v>31.5</v>
      </c>
      <c r="AA39" s="40"/>
      <c r="AB39" s="40"/>
      <c r="AC39" s="40"/>
      <c r="AD39" s="40"/>
      <c r="AE39" s="40"/>
      <c r="AF39" s="40"/>
      <c r="AG39" s="40"/>
      <c r="AH39" s="40"/>
      <c r="AI39" s="40"/>
      <c r="AJ39" s="40"/>
      <c r="AK39" s="40"/>
      <c r="AL39" s="40">
        <v>78.94</v>
      </c>
      <c r="AM39" s="40"/>
      <c r="AN39" s="40"/>
      <c r="AO39" s="40"/>
      <c r="AP39" s="40"/>
      <c r="AQ39" s="40"/>
      <c r="AR39" s="40"/>
      <c r="AS39" s="40"/>
      <c r="AT39" s="40"/>
      <c r="AU39" s="40"/>
      <c r="AV39" s="40"/>
      <c r="AW39" s="40"/>
      <c r="AX39" s="40"/>
      <c r="AY39" s="40"/>
      <c r="AZ39" s="40"/>
      <c r="BA39" s="40"/>
      <c r="BB39" s="40"/>
      <c r="BC39" s="40"/>
      <c r="BD39" s="40"/>
      <c r="BE39" s="40"/>
      <c r="BF39" s="40"/>
      <c r="BG39" s="40"/>
      <c r="BH39" s="40"/>
      <c r="BI39" s="40"/>
      <c r="BJ39" s="40"/>
    </row>
    <row r="40" spans="1:62" ht="16" x14ac:dyDescent="0.2">
      <c r="A40" s="43" t="s">
        <v>933</v>
      </c>
      <c r="B40" s="40">
        <v>258.25080000000003</v>
      </c>
      <c r="C40" s="40"/>
      <c r="D40" s="40">
        <v>224.89780000000002</v>
      </c>
      <c r="E40" s="40">
        <v>33.353000000000002</v>
      </c>
      <c r="F40" s="40">
        <v>258.25080000000003</v>
      </c>
      <c r="G40" s="40">
        <v>18.340399999999999</v>
      </c>
      <c r="H40" s="40">
        <v>46.170899999999996</v>
      </c>
      <c r="I40" s="40"/>
      <c r="J40" s="40">
        <v>64.170699999999997</v>
      </c>
      <c r="K40" s="40"/>
      <c r="L40" s="40"/>
      <c r="M40" s="40"/>
      <c r="N40" s="40">
        <v>14.866200000000001</v>
      </c>
      <c r="O40" s="40"/>
      <c r="P40" s="40">
        <v>15.012600000000003</v>
      </c>
      <c r="Q40" s="40"/>
      <c r="R40" s="40"/>
      <c r="S40" s="40"/>
      <c r="T40" s="40"/>
      <c r="U40" s="40"/>
      <c r="V40" s="40"/>
      <c r="W40" s="40"/>
      <c r="X40" s="40"/>
      <c r="Y40" s="40"/>
      <c r="Z40" s="40">
        <v>34.950000000000003</v>
      </c>
      <c r="AA40" s="40"/>
      <c r="AB40" s="40"/>
      <c r="AC40" s="40"/>
      <c r="AD40" s="40"/>
      <c r="AE40" s="40"/>
      <c r="AF40" s="40"/>
      <c r="AG40" s="40"/>
      <c r="AH40" s="40"/>
      <c r="AI40" s="40"/>
      <c r="AJ40" s="40"/>
      <c r="AK40" s="40"/>
      <c r="AL40" s="40">
        <v>64.740000000000009</v>
      </c>
      <c r="AM40" s="40"/>
      <c r="AN40" s="40"/>
      <c r="AO40" s="40"/>
      <c r="AP40" s="40"/>
      <c r="AQ40" s="40"/>
      <c r="AR40" s="40"/>
      <c r="AS40" s="40"/>
      <c r="AT40" s="40"/>
      <c r="AU40" s="40"/>
      <c r="AV40" s="40"/>
      <c r="AW40" s="40"/>
      <c r="AX40" s="40"/>
      <c r="AY40" s="40"/>
      <c r="AZ40" s="40"/>
      <c r="BA40" s="40"/>
      <c r="BB40" s="40"/>
      <c r="BC40" s="40"/>
      <c r="BD40" s="40"/>
      <c r="BE40" s="40"/>
      <c r="BF40" s="40"/>
      <c r="BG40" s="40"/>
      <c r="BH40" s="40"/>
      <c r="BI40" s="40"/>
      <c r="BJ40" s="40"/>
    </row>
    <row r="41" spans="1:62" ht="16" x14ac:dyDescent="0.2">
      <c r="A41" s="41" t="s">
        <v>931</v>
      </c>
      <c r="B41" s="42">
        <v>788.12930000000006</v>
      </c>
      <c r="C41" s="42"/>
      <c r="D41" s="42">
        <v>586.85769999999991</v>
      </c>
      <c r="E41" s="42">
        <v>201.27160000000001</v>
      </c>
      <c r="F41" s="42">
        <v>788.12930000000006</v>
      </c>
      <c r="G41" s="42">
        <v>110.7512</v>
      </c>
      <c r="H41" s="42">
        <v>280.92059999999998</v>
      </c>
      <c r="I41" s="42"/>
      <c r="J41" s="42">
        <v>140.66899999999998</v>
      </c>
      <c r="K41" s="42"/>
      <c r="L41" s="42"/>
      <c r="M41" s="42"/>
      <c r="N41" s="42">
        <v>89.668099999999995</v>
      </c>
      <c r="O41" s="42"/>
      <c r="P41" s="42">
        <v>90.520399999999995</v>
      </c>
      <c r="Q41" s="42"/>
      <c r="R41" s="42"/>
      <c r="S41" s="42"/>
      <c r="T41" s="42"/>
      <c r="U41" s="42"/>
      <c r="V41" s="42"/>
      <c r="W41" s="42"/>
      <c r="X41" s="42"/>
      <c r="Y41" s="42"/>
      <c r="Z41" s="42">
        <v>10.8</v>
      </c>
      <c r="AA41" s="42"/>
      <c r="AB41" s="42"/>
      <c r="AC41" s="42"/>
      <c r="AD41" s="42"/>
      <c r="AE41" s="42"/>
      <c r="AF41" s="42"/>
      <c r="AG41" s="42"/>
      <c r="AH41" s="42"/>
      <c r="AI41" s="42"/>
      <c r="AJ41" s="42"/>
      <c r="AK41" s="42"/>
      <c r="AL41" s="42">
        <v>64.800000000000011</v>
      </c>
      <c r="AM41" s="42"/>
      <c r="AN41" s="42"/>
      <c r="AO41" s="42"/>
      <c r="AP41" s="42"/>
      <c r="AQ41" s="42"/>
      <c r="AR41" s="42"/>
      <c r="AS41" s="42"/>
      <c r="AT41" s="42"/>
      <c r="AU41" s="42"/>
      <c r="AV41" s="42"/>
      <c r="AW41" s="42"/>
      <c r="AX41" s="42"/>
      <c r="AY41" s="42"/>
      <c r="AZ41" s="42"/>
      <c r="BA41" s="42"/>
      <c r="BB41" s="42"/>
      <c r="BC41" s="42"/>
      <c r="BD41" s="42"/>
      <c r="BE41" s="42"/>
      <c r="BF41" s="42"/>
      <c r="BG41" s="42"/>
      <c r="BH41" s="42"/>
      <c r="BI41" s="42"/>
      <c r="BJ41" s="42"/>
    </row>
    <row r="42" spans="1:62" ht="16" x14ac:dyDescent="0.2">
      <c r="A42" s="43" t="s">
        <v>1002</v>
      </c>
      <c r="B42" s="40">
        <v>516.72950000000003</v>
      </c>
      <c r="C42" s="40"/>
      <c r="D42" s="40">
        <v>452.40599999999995</v>
      </c>
      <c r="E42" s="40">
        <v>64.32350000000001</v>
      </c>
      <c r="F42" s="40">
        <v>516.72950000000003</v>
      </c>
      <c r="G42" s="40">
        <v>35.369599999999998</v>
      </c>
      <c r="H42" s="40">
        <v>271.07059999999996</v>
      </c>
      <c r="I42" s="40"/>
      <c r="J42" s="40">
        <v>112.749</v>
      </c>
      <c r="K42" s="40"/>
      <c r="L42" s="40"/>
      <c r="M42" s="40"/>
      <c r="N42" s="40">
        <v>28.656400000000001</v>
      </c>
      <c r="O42" s="40"/>
      <c r="P42" s="40">
        <v>28.953900000000004</v>
      </c>
      <c r="Q42" s="40"/>
      <c r="R42" s="40"/>
      <c r="S42" s="40"/>
      <c r="T42" s="40"/>
      <c r="U42" s="40"/>
      <c r="V42" s="40"/>
      <c r="W42" s="40"/>
      <c r="X42" s="40"/>
      <c r="Y42" s="40"/>
      <c r="Z42" s="40">
        <v>10.8</v>
      </c>
      <c r="AA42" s="40"/>
      <c r="AB42" s="40"/>
      <c r="AC42" s="40"/>
      <c r="AD42" s="40"/>
      <c r="AE42" s="40"/>
      <c r="AF42" s="40"/>
      <c r="AG42" s="40"/>
      <c r="AH42" s="40"/>
      <c r="AI42" s="40"/>
      <c r="AJ42" s="40"/>
      <c r="AK42" s="40"/>
      <c r="AL42" s="40">
        <v>29.13</v>
      </c>
      <c r="AM42" s="40"/>
      <c r="AN42" s="40"/>
      <c r="AO42" s="40"/>
      <c r="AP42" s="40"/>
      <c r="AQ42" s="40"/>
      <c r="AR42" s="40"/>
      <c r="AS42" s="40"/>
      <c r="AT42" s="40"/>
      <c r="AU42" s="40"/>
      <c r="AV42" s="40"/>
      <c r="AW42" s="40"/>
      <c r="AX42" s="40"/>
      <c r="AY42" s="40"/>
      <c r="AZ42" s="40"/>
      <c r="BA42" s="40"/>
      <c r="BB42" s="40"/>
      <c r="BC42" s="40"/>
      <c r="BD42" s="40"/>
      <c r="BE42" s="40"/>
      <c r="BF42" s="40"/>
      <c r="BG42" s="40"/>
      <c r="BH42" s="40"/>
      <c r="BI42" s="40"/>
      <c r="BJ42" s="40"/>
    </row>
    <row r="43" spans="1:62" ht="16" x14ac:dyDescent="0.2">
      <c r="A43" s="43" t="s">
        <v>1003</v>
      </c>
      <c r="B43" s="40">
        <v>104.39980000000003</v>
      </c>
      <c r="C43" s="40"/>
      <c r="D43" s="40">
        <v>55.911899999999989</v>
      </c>
      <c r="E43" s="40">
        <v>48.487899999999996</v>
      </c>
      <c r="F43" s="40">
        <v>104.39980000000003</v>
      </c>
      <c r="G43" s="40">
        <v>26.661899999999996</v>
      </c>
      <c r="H43" s="40">
        <v>9.85</v>
      </c>
      <c r="I43" s="40"/>
      <c r="J43" s="40">
        <v>8</v>
      </c>
      <c r="K43" s="40"/>
      <c r="L43" s="40"/>
      <c r="M43" s="40"/>
      <c r="N43" s="40">
        <v>21.601899999999997</v>
      </c>
      <c r="O43" s="40"/>
      <c r="P43" s="40">
        <v>21.825999999999997</v>
      </c>
      <c r="Q43" s="40"/>
      <c r="R43" s="40"/>
      <c r="S43" s="40"/>
      <c r="T43" s="40"/>
      <c r="U43" s="40"/>
      <c r="V43" s="40"/>
      <c r="W43" s="40"/>
      <c r="X43" s="40"/>
      <c r="Y43" s="40"/>
      <c r="Z43" s="40"/>
      <c r="AA43" s="40"/>
      <c r="AB43" s="40"/>
      <c r="AC43" s="40"/>
      <c r="AD43" s="40"/>
      <c r="AE43" s="40"/>
      <c r="AF43" s="40"/>
      <c r="AG43" s="40"/>
      <c r="AH43" s="40"/>
      <c r="AI43" s="40"/>
      <c r="AJ43" s="40"/>
      <c r="AK43" s="40"/>
      <c r="AL43" s="40">
        <v>16.46</v>
      </c>
      <c r="AM43" s="40"/>
      <c r="AN43" s="40"/>
      <c r="AO43" s="40"/>
      <c r="AP43" s="40"/>
      <c r="AQ43" s="40"/>
      <c r="AR43" s="40"/>
      <c r="AS43" s="40"/>
      <c r="AT43" s="40"/>
      <c r="AU43" s="40"/>
      <c r="AV43" s="40"/>
      <c r="AW43" s="40"/>
      <c r="AX43" s="40"/>
      <c r="AY43" s="40"/>
      <c r="AZ43" s="40"/>
      <c r="BA43" s="40"/>
      <c r="BB43" s="40"/>
      <c r="BC43" s="40"/>
      <c r="BD43" s="40"/>
      <c r="BE43" s="40"/>
      <c r="BF43" s="40"/>
      <c r="BG43" s="40"/>
      <c r="BH43" s="40"/>
      <c r="BI43" s="40"/>
      <c r="BJ43" s="40"/>
    </row>
    <row r="44" spans="1:62" ht="16" x14ac:dyDescent="0.2">
      <c r="A44" s="43" t="s">
        <v>1004</v>
      </c>
      <c r="B44" s="40">
        <v>61.110200000000006</v>
      </c>
      <c r="C44" s="40"/>
      <c r="D44" s="40">
        <v>37.076900000000002</v>
      </c>
      <c r="E44" s="40">
        <v>24.033300000000001</v>
      </c>
      <c r="F44" s="40">
        <v>61.110200000000006</v>
      </c>
      <c r="G44" s="40">
        <v>13.215199999999999</v>
      </c>
      <c r="H44" s="40"/>
      <c r="I44" s="40"/>
      <c r="J44" s="40">
        <v>19.920000000000002</v>
      </c>
      <c r="K44" s="40"/>
      <c r="L44" s="40"/>
      <c r="M44" s="40"/>
      <c r="N44" s="40">
        <v>10.706900000000001</v>
      </c>
      <c r="O44" s="40"/>
      <c r="P44" s="40">
        <v>10.818099999999999</v>
      </c>
      <c r="Q44" s="40"/>
      <c r="R44" s="40"/>
      <c r="S44" s="40"/>
      <c r="T44" s="40"/>
      <c r="U44" s="40"/>
      <c r="V44" s="40"/>
      <c r="W44" s="40"/>
      <c r="X44" s="40"/>
      <c r="Y44" s="40"/>
      <c r="Z44" s="40"/>
      <c r="AA44" s="40"/>
      <c r="AB44" s="40"/>
      <c r="AC44" s="40"/>
      <c r="AD44" s="40"/>
      <c r="AE44" s="40"/>
      <c r="AF44" s="40"/>
      <c r="AG44" s="40"/>
      <c r="AH44" s="40"/>
      <c r="AI44" s="40"/>
      <c r="AJ44" s="40"/>
      <c r="AK44" s="40"/>
      <c r="AL44" s="40">
        <v>6.4499999999999993</v>
      </c>
      <c r="AM44" s="40"/>
      <c r="AN44" s="40"/>
      <c r="AO44" s="40"/>
      <c r="AP44" s="40"/>
      <c r="AQ44" s="40"/>
      <c r="AR44" s="40"/>
      <c r="AS44" s="40"/>
      <c r="AT44" s="40"/>
      <c r="AU44" s="40"/>
      <c r="AV44" s="40"/>
      <c r="AW44" s="40"/>
      <c r="AX44" s="40"/>
      <c r="AY44" s="40"/>
      <c r="AZ44" s="40"/>
      <c r="BA44" s="40"/>
      <c r="BB44" s="40"/>
      <c r="BC44" s="40"/>
      <c r="BD44" s="40"/>
      <c r="BE44" s="40"/>
      <c r="BF44" s="40"/>
      <c r="BG44" s="40"/>
      <c r="BH44" s="40"/>
      <c r="BI44" s="40"/>
      <c r="BJ44" s="40"/>
    </row>
    <row r="45" spans="1:62" ht="16" x14ac:dyDescent="0.2">
      <c r="A45" s="43" t="s">
        <v>934</v>
      </c>
      <c r="B45" s="40">
        <v>42.549900000000001</v>
      </c>
      <c r="C45" s="40"/>
      <c r="D45" s="40">
        <v>18.8765</v>
      </c>
      <c r="E45" s="40">
        <v>23.673400000000001</v>
      </c>
      <c r="F45" s="40">
        <v>42.549900000000001</v>
      </c>
      <c r="G45" s="40">
        <v>13.017299999999997</v>
      </c>
      <c r="H45" s="40"/>
      <c r="I45" s="40"/>
      <c r="J45" s="40"/>
      <c r="K45" s="40"/>
      <c r="L45" s="40"/>
      <c r="M45" s="40"/>
      <c r="N45" s="40">
        <v>10.5465</v>
      </c>
      <c r="O45" s="40"/>
      <c r="P45" s="40">
        <v>10.6561</v>
      </c>
      <c r="Q45" s="40"/>
      <c r="R45" s="40"/>
      <c r="S45" s="40"/>
      <c r="T45" s="40"/>
      <c r="U45" s="40"/>
      <c r="V45" s="40"/>
      <c r="W45" s="40"/>
      <c r="X45" s="40"/>
      <c r="Y45" s="40"/>
      <c r="Z45" s="40"/>
      <c r="AA45" s="40"/>
      <c r="AB45" s="40"/>
      <c r="AC45" s="40"/>
      <c r="AD45" s="40"/>
      <c r="AE45" s="40"/>
      <c r="AF45" s="40"/>
      <c r="AG45" s="40"/>
      <c r="AH45" s="40"/>
      <c r="AI45" s="40"/>
      <c r="AJ45" s="40"/>
      <c r="AK45" s="40"/>
      <c r="AL45" s="40">
        <v>8.33</v>
      </c>
      <c r="AM45" s="40"/>
      <c r="AN45" s="40"/>
      <c r="AO45" s="40"/>
      <c r="AP45" s="40"/>
      <c r="AQ45" s="40"/>
      <c r="AR45" s="40"/>
      <c r="AS45" s="40"/>
      <c r="AT45" s="40"/>
      <c r="AU45" s="40"/>
      <c r="AV45" s="40"/>
      <c r="AW45" s="40"/>
      <c r="AX45" s="40"/>
      <c r="AY45" s="40"/>
      <c r="AZ45" s="40"/>
      <c r="BA45" s="40"/>
      <c r="BB45" s="40"/>
      <c r="BC45" s="40"/>
      <c r="BD45" s="40"/>
      <c r="BE45" s="40"/>
      <c r="BF45" s="40"/>
      <c r="BG45" s="40"/>
      <c r="BH45" s="40"/>
      <c r="BI45" s="40"/>
      <c r="BJ45" s="40"/>
    </row>
    <row r="46" spans="1:62" ht="16" x14ac:dyDescent="0.2">
      <c r="A46" s="43" t="s">
        <v>935</v>
      </c>
      <c r="B46" s="40">
        <v>48.849900000000005</v>
      </c>
      <c r="C46" s="40"/>
      <c r="D46" s="40">
        <v>15.055800000000001</v>
      </c>
      <c r="E46" s="40">
        <v>33.7941</v>
      </c>
      <c r="F46" s="40">
        <v>48.849900000000005</v>
      </c>
      <c r="G46" s="40">
        <v>18.660400000000003</v>
      </c>
      <c r="H46" s="40"/>
      <c r="I46" s="40"/>
      <c r="J46" s="40"/>
      <c r="K46" s="40"/>
      <c r="L46" s="40"/>
      <c r="M46" s="40"/>
      <c r="N46" s="40">
        <v>15.055800000000001</v>
      </c>
      <c r="O46" s="40"/>
      <c r="P46" s="40">
        <v>15.133699999999997</v>
      </c>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0"/>
      <c r="AR46" s="40"/>
      <c r="AS46" s="40"/>
      <c r="AT46" s="40"/>
      <c r="AU46" s="40"/>
      <c r="AV46" s="40"/>
      <c r="AW46" s="40"/>
      <c r="AX46" s="40"/>
      <c r="AY46" s="40"/>
      <c r="AZ46" s="40"/>
      <c r="BA46" s="40"/>
      <c r="BB46" s="40"/>
      <c r="BC46" s="40"/>
      <c r="BD46" s="40"/>
      <c r="BE46" s="40"/>
      <c r="BF46" s="40"/>
      <c r="BG46" s="40"/>
      <c r="BH46" s="40"/>
      <c r="BI46" s="40"/>
      <c r="BJ46" s="40"/>
    </row>
    <row r="47" spans="1:62" ht="16" x14ac:dyDescent="0.2">
      <c r="A47" s="43" t="s">
        <v>936</v>
      </c>
      <c r="B47" s="40">
        <v>14.49</v>
      </c>
      <c r="C47" s="40"/>
      <c r="D47" s="40">
        <v>7.5305999999999997</v>
      </c>
      <c r="E47" s="40">
        <v>6.9593999999999987</v>
      </c>
      <c r="F47" s="40">
        <v>14.49</v>
      </c>
      <c r="G47" s="40">
        <v>3.8268000000000004</v>
      </c>
      <c r="H47" s="40"/>
      <c r="I47" s="40"/>
      <c r="J47" s="40"/>
      <c r="K47" s="40"/>
      <c r="L47" s="40"/>
      <c r="M47" s="40"/>
      <c r="N47" s="40">
        <v>3.1006</v>
      </c>
      <c r="O47" s="40"/>
      <c r="P47" s="40">
        <v>3.1325999999999996</v>
      </c>
      <c r="Q47" s="40"/>
      <c r="R47" s="40"/>
      <c r="S47" s="40"/>
      <c r="T47" s="40"/>
      <c r="U47" s="40"/>
      <c r="V47" s="40"/>
      <c r="W47" s="40"/>
      <c r="X47" s="40"/>
      <c r="Y47" s="40"/>
      <c r="Z47" s="40"/>
      <c r="AA47" s="40"/>
      <c r="AB47" s="40"/>
      <c r="AC47" s="40"/>
      <c r="AD47" s="40"/>
      <c r="AE47" s="40"/>
      <c r="AF47" s="40"/>
      <c r="AG47" s="40"/>
      <c r="AH47" s="40"/>
      <c r="AI47" s="40"/>
      <c r="AJ47" s="40"/>
      <c r="AK47" s="40"/>
      <c r="AL47" s="40">
        <v>4.43</v>
      </c>
      <c r="AM47" s="40"/>
      <c r="AN47" s="40"/>
      <c r="AO47" s="40"/>
      <c r="AP47" s="40"/>
      <c r="AQ47" s="40"/>
      <c r="AR47" s="40"/>
      <c r="AS47" s="40"/>
      <c r="AT47" s="40"/>
      <c r="AU47" s="40"/>
      <c r="AV47" s="40"/>
      <c r="AW47" s="40"/>
      <c r="AX47" s="40"/>
      <c r="AY47" s="40"/>
      <c r="AZ47" s="40"/>
      <c r="BA47" s="40"/>
      <c r="BB47" s="40"/>
      <c r="BC47" s="40"/>
      <c r="BD47" s="40"/>
      <c r="BE47" s="40"/>
      <c r="BF47" s="40"/>
      <c r="BG47" s="40"/>
      <c r="BH47" s="40"/>
      <c r="BI47" s="40"/>
      <c r="BJ47" s="40"/>
    </row>
    <row r="48" spans="1:62" ht="16" x14ac:dyDescent="0.2">
      <c r="A48" s="44" t="s">
        <v>1007</v>
      </c>
      <c r="B48" s="31">
        <v>67418.252900000007</v>
      </c>
      <c r="C48" s="31">
        <v>0</v>
      </c>
      <c r="D48" s="31">
        <v>7578.9546000000009</v>
      </c>
      <c r="E48" s="31">
        <v>654.09829999999999</v>
      </c>
      <c r="F48" s="31">
        <v>8233.0529000000006</v>
      </c>
      <c r="G48" s="31">
        <v>354.43389999999999</v>
      </c>
      <c r="H48" s="31">
        <v>380.42149999999998</v>
      </c>
      <c r="I48" s="31">
        <v>10.009</v>
      </c>
      <c r="J48" s="31">
        <v>4903.8496999999998</v>
      </c>
      <c r="K48" s="31">
        <v>0</v>
      </c>
      <c r="L48" s="31">
        <v>20.450000000000003</v>
      </c>
      <c r="M48" s="31">
        <v>244.36700000000002</v>
      </c>
      <c r="N48" s="31">
        <v>302.32149999999996</v>
      </c>
      <c r="O48" s="31">
        <v>3.6159999999999997</v>
      </c>
      <c r="P48" s="31">
        <v>288.34660000000002</v>
      </c>
      <c r="Q48" s="31">
        <v>0</v>
      </c>
      <c r="R48" s="31">
        <v>0</v>
      </c>
      <c r="S48" s="31">
        <v>0</v>
      </c>
      <c r="T48" s="31">
        <v>0</v>
      </c>
      <c r="U48" s="31">
        <v>0</v>
      </c>
      <c r="V48" s="31">
        <v>0</v>
      </c>
      <c r="W48" s="31">
        <v>0.75</v>
      </c>
      <c r="X48" s="31">
        <v>0</v>
      </c>
      <c r="Y48" s="31">
        <v>0</v>
      </c>
      <c r="Z48" s="31">
        <v>939.56999999999994</v>
      </c>
      <c r="AA48" s="31">
        <v>0</v>
      </c>
      <c r="AB48" s="31">
        <v>0</v>
      </c>
      <c r="AC48" s="31">
        <v>0</v>
      </c>
      <c r="AD48" s="31">
        <v>0</v>
      </c>
      <c r="AE48" s="31">
        <v>0</v>
      </c>
      <c r="AF48" s="31">
        <v>24.342600000000001</v>
      </c>
      <c r="AG48" s="31">
        <v>0</v>
      </c>
      <c r="AH48" s="31">
        <v>0</v>
      </c>
      <c r="AI48" s="31">
        <v>0</v>
      </c>
      <c r="AJ48" s="31">
        <v>0</v>
      </c>
      <c r="AK48" s="31">
        <v>9.1001999999999992</v>
      </c>
      <c r="AL48" s="31">
        <v>751.47489999999993</v>
      </c>
      <c r="AM48" s="31">
        <v>0</v>
      </c>
      <c r="AN48" s="31">
        <v>0</v>
      </c>
      <c r="AO48" s="31">
        <v>0</v>
      </c>
      <c r="AP48" s="31">
        <v>59185.2</v>
      </c>
      <c r="AQ48" s="31">
        <v>0</v>
      </c>
      <c r="AR48" s="31">
        <v>59185.2</v>
      </c>
      <c r="AS48" s="31">
        <v>59185.2</v>
      </c>
      <c r="AT48" s="31">
        <v>0</v>
      </c>
      <c r="AU48" s="31">
        <v>0</v>
      </c>
      <c r="AV48" s="31">
        <v>0</v>
      </c>
      <c r="AW48" s="31">
        <v>0</v>
      </c>
      <c r="AX48" s="31">
        <v>0</v>
      </c>
      <c r="AY48" s="31">
        <v>0</v>
      </c>
      <c r="AZ48" s="31">
        <v>0</v>
      </c>
      <c r="BA48" s="31">
        <v>0</v>
      </c>
      <c r="BB48" s="31">
        <v>0</v>
      </c>
      <c r="BC48" s="31">
        <v>0</v>
      </c>
      <c r="BD48" s="31">
        <v>0</v>
      </c>
      <c r="BE48" s="31">
        <v>0</v>
      </c>
      <c r="BF48" s="31">
        <v>0</v>
      </c>
      <c r="BG48" s="31">
        <v>0</v>
      </c>
      <c r="BH48" s="31">
        <v>0</v>
      </c>
      <c r="BI48" s="31">
        <v>0</v>
      </c>
      <c r="BJ48" s="31">
        <v>0</v>
      </c>
    </row>
    <row r="49" spans="7:38" x14ac:dyDescent="0.2">
      <c r="AL49" s="9"/>
    </row>
    <row r="50" spans="7:38" x14ac:dyDescent="0.2">
      <c r="G50" s="228" t="s">
        <v>1029</v>
      </c>
      <c r="H50" s="229"/>
    </row>
    <row r="51" spans="7:38" ht="16" x14ac:dyDescent="0.2">
      <c r="G51" s="48" t="s">
        <v>1030</v>
      </c>
      <c r="H51" s="49" t="s">
        <v>1031</v>
      </c>
    </row>
    <row r="52" spans="7:38" ht="16" x14ac:dyDescent="0.2">
      <c r="G52" s="26" t="s">
        <v>39</v>
      </c>
      <c r="H52" s="46">
        <v>354.43389999999999</v>
      </c>
    </row>
    <row r="53" spans="7:38" ht="16" x14ac:dyDescent="0.2">
      <c r="G53" s="26" t="s">
        <v>40</v>
      </c>
      <c r="H53" s="46">
        <v>380.42149999999998</v>
      </c>
    </row>
    <row r="54" spans="7:38" ht="16" x14ac:dyDescent="0.2">
      <c r="G54" s="26" t="s">
        <v>41</v>
      </c>
      <c r="H54" s="46">
        <v>10.009</v>
      </c>
      <c r="L54" s="9"/>
    </row>
    <row r="55" spans="7:38" ht="16" x14ac:dyDescent="0.2">
      <c r="G55" s="26" t="s">
        <v>42</v>
      </c>
      <c r="H55" s="46">
        <v>4903.8496999999998</v>
      </c>
    </row>
    <row r="56" spans="7:38" ht="16" x14ac:dyDescent="0.2">
      <c r="G56" s="26" t="s">
        <v>44</v>
      </c>
      <c r="H56" s="46">
        <v>20.450000000000003</v>
      </c>
    </row>
    <row r="57" spans="7:38" ht="16" x14ac:dyDescent="0.2">
      <c r="G57" s="26" t="s">
        <v>45</v>
      </c>
      <c r="H57" s="46">
        <v>244.36700000000002</v>
      </c>
      <c r="I57" s="9"/>
    </row>
    <row r="58" spans="7:38" ht="16" x14ac:dyDescent="0.2">
      <c r="G58" s="26" t="s">
        <v>46</v>
      </c>
      <c r="H58" s="46">
        <v>302.32149999999996</v>
      </c>
    </row>
    <row r="59" spans="7:38" ht="16" x14ac:dyDescent="0.2">
      <c r="G59" s="26" t="s">
        <v>47</v>
      </c>
      <c r="H59" s="46">
        <v>3.6159999999999997</v>
      </c>
    </row>
    <row r="60" spans="7:38" ht="16" x14ac:dyDescent="0.2">
      <c r="G60" s="26" t="s">
        <v>48</v>
      </c>
      <c r="H60" s="46">
        <v>288.34660000000002</v>
      </c>
    </row>
    <row r="61" spans="7:38" ht="16" x14ac:dyDescent="0.2">
      <c r="G61" s="26" t="s">
        <v>55</v>
      </c>
      <c r="H61" s="46">
        <v>0.75</v>
      </c>
    </row>
    <row r="62" spans="7:38" ht="16" x14ac:dyDescent="0.2">
      <c r="G62" s="26" t="s">
        <v>58</v>
      </c>
      <c r="H62" s="46">
        <v>939.56999999999994</v>
      </c>
    </row>
    <row r="63" spans="7:38" ht="16" x14ac:dyDescent="0.2">
      <c r="G63" s="26" t="s">
        <v>64</v>
      </c>
      <c r="H63" s="46">
        <v>24.342600000000001</v>
      </c>
    </row>
    <row r="64" spans="7:38" ht="16" x14ac:dyDescent="0.2">
      <c r="G64" s="26" t="s">
        <v>69</v>
      </c>
      <c r="H64" s="46">
        <v>9.1001999999999992</v>
      </c>
    </row>
    <row r="65" spans="7:8" ht="16" x14ac:dyDescent="0.2">
      <c r="G65" s="26" t="s">
        <v>70</v>
      </c>
      <c r="H65" s="46">
        <v>751.47489999999993</v>
      </c>
    </row>
    <row r="66" spans="7:8" ht="16" x14ac:dyDescent="0.2">
      <c r="G66" s="28" t="s">
        <v>1032</v>
      </c>
      <c r="H66" s="47">
        <v>59185.2</v>
      </c>
    </row>
  </sheetData>
  <mergeCells count="1">
    <mergeCell ref="G50:H5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6591E-5468-CF48-895D-D0DEB954DE59}">
  <dimension ref="A3:BJ53"/>
  <sheetViews>
    <sheetView zoomScale="83" workbookViewId="0">
      <selection activeCell="AE14" sqref="AE14"/>
    </sheetView>
  </sheetViews>
  <sheetFormatPr baseColWidth="10" defaultRowHeight="15" x14ac:dyDescent="0.2"/>
  <cols>
    <col min="1" max="1" width="12.5" bestFit="1" customWidth="1"/>
    <col min="2" max="2" width="19.6640625" bestFit="1" customWidth="1"/>
    <col min="3" max="3" width="19.83203125" bestFit="1" customWidth="1"/>
    <col min="4" max="5" width="21.1640625" bestFit="1" customWidth="1"/>
    <col min="6" max="6" width="18" bestFit="1" customWidth="1"/>
    <col min="7" max="7" width="28.33203125" bestFit="1" customWidth="1"/>
    <col min="8" max="8" width="30.6640625" bestFit="1" customWidth="1"/>
    <col min="9" max="9" width="29" bestFit="1" customWidth="1"/>
    <col min="10" max="10" width="13.83203125" bestFit="1" customWidth="1"/>
    <col min="11" max="11" width="30" bestFit="1" customWidth="1"/>
    <col min="12" max="12" width="26.83203125" bestFit="1" customWidth="1"/>
    <col min="13" max="13" width="11.33203125" bestFit="1" customWidth="1"/>
    <col min="14" max="14" width="21.33203125" bestFit="1" customWidth="1"/>
    <col min="15" max="15" width="35.6640625" bestFit="1" customWidth="1"/>
    <col min="16" max="16" width="17.83203125" bestFit="1" customWidth="1"/>
    <col min="17" max="17" width="26" bestFit="1" customWidth="1"/>
    <col min="18" max="18" width="30.1640625" bestFit="1" customWidth="1"/>
    <col min="19" max="19" width="19.83203125" bestFit="1" customWidth="1"/>
    <col min="20" max="20" width="33.5" bestFit="1" customWidth="1"/>
    <col min="21" max="21" width="20.33203125" bestFit="1" customWidth="1"/>
    <col min="22" max="22" width="15.83203125" bestFit="1" customWidth="1"/>
    <col min="23" max="23" width="13.5" bestFit="1" customWidth="1"/>
    <col min="24" max="24" width="26.6640625" bestFit="1" customWidth="1"/>
    <col min="25" max="25" width="17.6640625" bestFit="1" customWidth="1"/>
    <col min="26" max="26" width="27.5" bestFit="1" customWidth="1"/>
    <col min="27" max="27" width="18.33203125" bestFit="1" customWidth="1"/>
    <col min="28" max="28" width="12.6640625" bestFit="1" customWidth="1"/>
    <col min="29" max="29" width="27.1640625" bestFit="1" customWidth="1"/>
    <col min="30" max="30" width="25.83203125" bestFit="1" customWidth="1"/>
    <col min="31" max="31" width="33.33203125" bestFit="1" customWidth="1"/>
    <col min="32" max="32" width="23.5" bestFit="1" customWidth="1"/>
    <col min="33" max="33" width="21.5" bestFit="1" customWidth="1"/>
    <col min="34" max="34" width="10.6640625" bestFit="1" customWidth="1"/>
    <col min="35" max="35" width="18.83203125" bestFit="1" customWidth="1"/>
    <col min="36" max="36" width="14" bestFit="1" customWidth="1"/>
    <col min="37" max="37" width="27.5" bestFit="1" customWidth="1"/>
    <col min="38" max="38" width="17" bestFit="1" customWidth="1"/>
    <col min="39" max="39" width="35.83203125" bestFit="1" customWidth="1"/>
    <col min="40" max="40" width="17.83203125" bestFit="1" customWidth="1"/>
    <col min="41" max="41" width="19.6640625" bestFit="1" customWidth="1"/>
    <col min="42" max="43" width="21" bestFit="1" customWidth="1"/>
    <col min="44" max="44" width="17.83203125" bestFit="1" customWidth="1"/>
    <col min="45" max="45" width="22" bestFit="1" customWidth="1"/>
    <col min="46" max="46" width="18" bestFit="1" customWidth="1"/>
    <col min="47" max="47" width="33.83203125" bestFit="1" customWidth="1"/>
    <col min="48" max="49" width="21.1640625" bestFit="1" customWidth="1"/>
    <col min="50" max="50" width="18" bestFit="1" customWidth="1"/>
    <col min="51" max="51" width="14.83203125" bestFit="1" customWidth="1"/>
    <col min="52" max="52" width="38.33203125" bestFit="1" customWidth="1"/>
    <col min="53" max="53" width="35" bestFit="1" customWidth="1"/>
    <col min="54" max="54" width="23" bestFit="1" customWidth="1"/>
    <col min="55" max="55" width="21.5" bestFit="1" customWidth="1"/>
    <col min="56" max="56" width="31.33203125" bestFit="1" customWidth="1"/>
    <col min="57" max="57" width="32.83203125" bestFit="1" customWidth="1"/>
    <col min="58" max="58" width="36.33203125" bestFit="1" customWidth="1"/>
    <col min="59" max="59" width="33.1640625" bestFit="1" customWidth="1"/>
    <col min="60" max="60" width="45.1640625" bestFit="1" customWidth="1"/>
    <col min="61" max="61" width="26.83203125" bestFit="1" customWidth="1"/>
    <col min="62" max="62" width="29" bestFit="1" customWidth="1"/>
  </cols>
  <sheetData>
    <row r="3" spans="1:62" x14ac:dyDescent="0.2">
      <c r="A3" s="45" t="s">
        <v>924</v>
      </c>
      <c r="B3" s="19" t="s">
        <v>941</v>
      </c>
      <c r="C3" s="19" t="s">
        <v>942</v>
      </c>
      <c r="D3" s="19" t="s">
        <v>943</v>
      </c>
      <c r="E3" s="19" t="s">
        <v>944</v>
      </c>
      <c r="F3" s="19" t="s">
        <v>945</v>
      </c>
      <c r="G3" s="19" t="s">
        <v>946</v>
      </c>
      <c r="H3" s="19" t="s">
        <v>947</v>
      </c>
      <c r="I3" s="19" t="s">
        <v>948</v>
      </c>
      <c r="J3" s="19" t="s">
        <v>949</v>
      </c>
      <c r="K3" s="19" t="s">
        <v>950</v>
      </c>
      <c r="L3" s="19" t="s">
        <v>951</v>
      </c>
      <c r="M3" s="19" t="s">
        <v>952</v>
      </c>
      <c r="N3" s="19" t="s">
        <v>953</v>
      </c>
      <c r="O3" s="19" t="s">
        <v>954</v>
      </c>
      <c r="P3" s="19" t="s">
        <v>955</v>
      </c>
      <c r="Q3" s="19" t="s">
        <v>956</v>
      </c>
      <c r="R3" s="19" t="s">
        <v>957</v>
      </c>
      <c r="S3" s="19" t="s">
        <v>958</v>
      </c>
      <c r="T3" s="19" t="s">
        <v>959</v>
      </c>
      <c r="U3" s="19" t="s">
        <v>960</v>
      </c>
      <c r="V3" s="19" t="s">
        <v>961</v>
      </c>
      <c r="W3" s="19" t="s">
        <v>962</v>
      </c>
      <c r="X3" s="19" t="s">
        <v>963</v>
      </c>
      <c r="Y3" s="19" t="s">
        <v>964</v>
      </c>
      <c r="Z3" s="19" t="s">
        <v>965</v>
      </c>
      <c r="AA3" s="19" t="s">
        <v>966</v>
      </c>
      <c r="AB3" s="19" t="s">
        <v>967</v>
      </c>
      <c r="AC3" s="19" t="s">
        <v>968</v>
      </c>
      <c r="AD3" s="19" t="s">
        <v>969</v>
      </c>
      <c r="AE3" s="19" t="s">
        <v>970</v>
      </c>
      <c r="AF3" s="19" t="s">
        <v>971</v>
      </c>
      <c r="AG3" s="19" t="s">
        <v>972</v>
      </c>
      <c r="AH3" s="19" t="s">
        <v>973</v>
      </c>
      <c r="AI3" s="19" t="s">
        <v>974</v>
      </c>
      <c r="AJ3" s="19" t="s">
        <v>975</v>
      </c>
      <c r="AK3" s="19" t="s">
        <v>976</v>
      </c>
      <c r="AL3" s="19" t="s">
        <v>977</v>
      </c>
      <c r="AM3" s="19" t="s">
        <v>978</v>
      </c>
      <c r="AN3" s="19" t="s">
        <v>979</v>
      </c>
      <c r="AO3" s="19" t="s">
        <v>980</v>
      </c>
      <c r="AP3" s="19" t="s">
        <v>981</v>
      </c>
      <c r="AQ3" s="19" t="s">
        <v>982</v>
      </c>
      <c r="AR3" s="19" t="s">
        <v>983</v>
      </c>
      <c r="AS3" s="19" t="s">
        <v>984</v>
      </c>
      <c r="AT3" s="19" t="s">
        <v>985</v>
      </c>
      <c r="AU3" s="19" t="s">
        <v>986</v>
      </c>
      <c r="AV3" s="19" t="s">
        <v>987</v>
      </c>
      <c r="AW3" s="19" t="s">
        <v>988</v>
      </c>
      <c r="AX3" s="19" t="s">
        <v>989</v>
      </c>
      <c r="AY3" s="19" t="s">
        <v>990</v>
      </c>
      <c r="AZ3" s="19" t="s">
        <v>991</v>
      </c>
      <c r="BA3" s="19" t="s">
        <v>992</v>
      </c>
      <c r="BB3" s="19" t="s">
        <v>993</v>
      </c>
      <c r="BC3" s="19" t="s">
        <v>994</v>
      </c>
      <c r="BD3" s="19" t="s">
        <v>995</v>
      </c>
      <c r="BE3" s="19" t="s">
        <v>996</v>
      </c>
      <c r="BF3" s="19" t="s">
        <v>997</v>
      </c>
      <c r="BG3" s="19" t="s">
        <v>998</v>
      </c>
      <c r="BH3" s="19" t="s">
        <v>999</v>
      </c>
      <c r="BI3" s="19" t="s">
        <v>1000</v>
      </c>
      <c r="BJ3" s="19" t="s">
        <v>1001</v>
      </c>
    </row>
    <row r="4" spans="1:62" hidden="1" x14ac:dyDescent="0.2">
      <c r="A4" s="33" t="s">
        <v>926</v>
      </c>
      <c r="B4" s="34">
        <v>67418.252899999759</v>
      </c>
      <c r="C4" s="34">
        <v>0</v>
      </c>
      <c r="D4" s="34">
        <v>7578.9546</v>
      </c>
      <c r="E4" s="34">
        <v>654.09829999999988</v>
      </c>
      <c r="F4" s="34">
        <v>8233.0529000000006</v>
      </c>
      <c r="G4" s="34">
        <v>708.86780000000044</v>
      </c>
      <c r="H4" s="34">
        <v>760.84299999999985</v>
      </c>
      <c r="I4" s="34">
        <v>20.018000000000001</v>
      </c>
      <c r="J4" s="34">
        <v>9807.6993999999977</v>
      </c>
      <c r="K4" s="34">
        <v>0</v>
      </c>
      <c r="L4" s="34">
        <v>40.9</v>
      </c>
      <c r="M4" s="34">
        <v>488.73399999999998</v>
      </c>
      <c r="N4" s="34">
        <v>604.64300000000003</v>
      </c>
      <c r="O4" s="34">
        <v>7.2319999999999993</v>
      </c>
      <c r="P4" s="34">
        <v>576.69320000000016</v>
      </c>
      <c r="Q4" s="34">
        <v>0</v>
      </c>
      <c r="R4" s="34">
        <v>0</v>
      </c>
      <c r="S4" s="34">
        <v>0</v>
      </c>
      <c r="T4" s="34">
        <v>0</v>
      </c>
      <c r="U4" s="34">
        <v>0</v>
      </c>
      <c r="V4" s="34">
        <v>0</v>
      </c>
      <c r="W4" s="34">
        <v>1.5</v>
      </c>
      <c r="X4" s="34">
        <v>0</v>
      </c>
      <c r="Y4" s="34">
        <v>0</v>
      </c>
      <c r="Z4" s="34">
        <v>1879.139999999999</v>
      </c>
      <c r="AA4" s="34">
        <v>0</v>
      </c>
      <c r="AB4" s="34">
        <v>0</v>
      </c>
      <c r="AC4" s="34">
        <v>0</v>
      </c>
      <c r="AD4" s="34">
        <v>0</v>
      </c>
      <c r="AE4" s="34">
        <v>0</v>
      </c>
      <c r="AF4" s="34">
        <v>48.685200000000002</v>
      </c>
      <c r="AG4" s="34">
        <v>0</v>
      </c>
      <c r="AH4" s="34">
        <v>0</v>
      </c>
      <c r="AI4" s="34">
        <v>0</v>
      </c>
      <c r="AJ4" s="34">
        <v>0</v>
      </c>
      <c r="AK4" s="34">
        <v>18.200399999999998</v>
      </c>
      <c r="AL4" s="34">
        <v>1502.9497999999996</v>
      </c>
      <c r="AM4" s="34">
        <v>0</v>
      </c>
      <c r="AN4" s="34">
        <v>0</v>
      </c>
      <c r="AO4" s="34">
        <v>0</v>
      </c>
      <c r="AP4" s="34">
        <v>59185.2</v>
      </c>
      <c r="AQ4" s="34">
        <v>0</v>
      </c>
      <c r="AR4" s="34">
        <v>59185.2</v>
      </c>
      <c r="AS4" s="34">
        <v>118370.4</v>
      </c>
      <c r="AT4" s="34">
        <v>0</v>
      </c>
      <c r="AU4" s="34">
        <v>0</v>
      </c>
      <c r="AV4" s="34">
        <v>0</v>
      </c>
      <c r="AW4" s="34">
        <v>0</v>
      </c>
      <c r="AX4" s="34">
        <v>0</v>
      </c>
      <c r="AY4" s="34">
        <v>0</v>
      </c>
      <c r="AZ4" s="34">
        <v>0</v>
      </c>
      <c r="BA4" s="34">
        <v>0</v>
      </c>
      <c r="BB4" s="34">
        <v>0</v>
      </c>
      <c r="BC4" s="34">
        <v>0</v>
      </c>
      <c r="BD4" s="34">
        <v>0</v>
      </c>
      <c r="BE4" s="34">
        <v>0</v>
      </c>
      <c r="BF4" s="34">
        <v>0</v>
      </c>
      <c r="BG4" s="34">
        <v>0</v>
      </c>
      <c r="BH4" s="34">
        <v>0</v>
      </c>
      <c r="BI4" s="34">
        <v>0</v>
      </c>
      <c r="BJ4" s="34">
        <v>0</v>
      </c>
    </row>
    <row r="5" spans="1:62" s="16" customFormat="1" x14ac:dyDescent="0.2">
      <c r="A5" s="35" t="s">
        <v>927</v>
      </c>
      <c r="B5" s="36">
        <v>526.86480000000006</v>
      </c>
      <c r="C5" s="36"/>
      <c r="D5" s="36">
        <v>525.5100000000001</v>
      </c>
      <c r="E5" s="36">
        <v>1.3548</v>
      </c>
      <c r="F5" s="36">
        <v>526.86480000000006</v>
      </c>
      <c r="G5" s="36">
        <v>0.74479999999999991</v>
      </c>
      <c r="H5" s="36"/>
      <c r="I5" s="36"/>
      <c r="J5" s="36">
        <v>511.15000000000003</v>
      </c>
      <c r="K5" s="36"/>
      <c r="L5" s="36"/>
      <c r="M5" s="36">
        <v>12.44</v>
      </c>
      <c r="N5" s="36">
        <v>0.6100000000000001</v>
      </c>
      <c r="O5" s="36"/>
      <c r="P5" s="36">
        <v>0.6100000000000001</v>
      </c>
      <c r="Q5" s="36"/>
      <c r="R5" s="36"/>
      <c r="S5" s="36"/>
      <c r="T5" s="36"/>
      <c r="U5" s="36"/>
      <c r="V5" s="36"/>
      <c r="W5" s="36"/>
      <c r="X5" s="36"/>
      <c r="Y5" s="36"/>
      <c r="Z5" s="36"/>
      <c r="AA5" s="36"/>
      <c r="AB5" s="36"/>
      <c r="AC5" s="36"/>
      <c r="AD5" s="36"/>
      <c r="AE5" s="36"/>
      <c r="AF5" s="36"/>
      <c r="AG5" s="36"/>
      <c r="AH5" s="36"/>
      <c r="AI5" s="36"/>
      <c r="AJ5" s="36"/>
      <c r="AK5" s="36"/>
      <c r="AL5" s="36">
        <v>1.31</v>
      </c>
      <c r="AM5" s="36"/>
      <c r="AN5" s="36"/>
      <c r="AO5" s="36"/>
      <c r="AP5" s="36"/>
      <c r="AQ5" s="36"/>
      <c r="AR5" s="36"/>
      <c r="AS5" s="36"/>
      <c r="AT5" s="36"/>
      <c r="AU5" s="36"/>
      <c r="AV5" s="36"/>
      <c r="AW5" s="36"/>
      <c r="AX5" s="36"/>
      <c r="AY5" s="36"/>
      <c r="AZ5" s="36"/>
      <c r="BA5" s="36"/>
      <c r="BB5" s="36"/>
      <c r="BC5" s="36"/>
      <c r="BD5" s="36"/>
      <c r="BE5" s="36"/>
      <c r="BF5" s="36"/>
      <c r="BG5" s="36"/>
      <c r="BH5" s="36"/>
      <c r="BI5" s="36"/>
      <c r="BJ5" s="36"/>
    </row>
    <row r="6" spans="1:62" s="12" customFormat="1" x14ac:dyDescent="0.2">
      <c r="A6" s="37" t="s">
        <v>932</v>
      </c>
      <c r="B6" s="34">
        <v>515.75000000000011</v>
      </c>
      <c r="C6" s="34"/>
      <c r="D6" s="34">
        <v>515.00000000000011</v>
      </c>
      <c r="E6" s="34">
        <v>0.75</v>
      </c>
      <c r="F6" s="34">
        <v>515.75000000000011</v>
      </c>
      <c r="G6" s="34">
        <v>0.41</v>
      </c>
      <c r="H6" s="34"/>
      <c r="I6" s="34"/>
      <c r="J6" s="34">
        <v>511.15000000000003</v>
      </c>
      <c r="K6" s="34"/>
      <c r="L6" s="34"/>
      <c r="M6" s="34">
        <v>3.52</v>
      </c>
      <c r="N6" s="34">
        <v>0.33</v>
      </c>
      <c r="O6" s="34"/>
      <c r="P6" s="34">
        <v>0.34</v>
      </c>
      <c r="Q6" s="34"/>
      <c r="R6" s="34"/>
      <c r="S6" s="34"/>
      <c r="T6" s="34"/>
      <c r="U6" s="34"/>
      <c r="V6" s="34"/>
      <c r="W6" s="34"/>
      <c r="X6" s="34"/>
      <c r="Y6" s="34"/>
      <c r="Z6" s="34"/>
      <c r="AA6" s="34"/>
      <c r="AB6" s="34"/>
      <c r="AC6" s="34"/>
      <c r="AD6" s="34"/>
      <c r="AE6" s="34"/>
      <c r="AF6" s="34"/>
      <c r="AG6" s="34"/>
      <c r="AH6" s="34"/>
      <c r="AI6" s="34"/>
      <c r="AJ6" s="34"/>
      <c r="AK6" s="34"/>
      <c r="AL6" s="34"/>
      <c r="AM6" s="34"/>
      <c r="AN6" s="34"/>
      <c r="AO6" s="34"/>
      <c r="AP6" s="34"/>
      <c r="AQ6" s="34"/>
      <c r="AR6" s="34"/>
      <c r="AS6" s="34"/>
      <c r="AT6" s="34"/>
      <c r="AU6" s="34"/>
      <c r="AV6" s="34"/>
      <c r="AW6" s="34"/>
      <c r="AX6" s="34"/>
      <c r="AY6" s="34"/>
      <c r="AZ6" s="34"/>
      <c r="BA6" s="34"/>
      <c r="BB6" s="34"/>
      <c r="BC6" s="34"/>
      <c r="BD6" s="34"/>
      <c r="BE6" s="34"/>
      <c r="BF6" s="34"/>
      <c r="BG6" s="34"/>
      <c r="BH6" s="34"/>
      <c r="BI6" s="34"/>
      <c r="BJ6" s="34"/>
    </row>
    <row r="7" spans="1:62" s="12" customFormat="1" x14ac:dyDescent="0.2">
      <c r="A7" s="37" t="s">
        <v>933</v>
      </c>
      <c r="B7" s="34">
        <v>11.114800000000001</v>
      </c>
      <c r="C7" s="34"/>
      <c r="D7" s="34">
        <v>10.51</v>
      </c>
      <c r="E7" s="34">
        <v>0.6048</v>
      </c>
      <c r="F7" s="34">
        <v>11.114800000000001</v>
      </c>
      <c r="G7" s="34">
        <v>0.33479999999999999</v>
      </c>
      <c r="H7" s="34"/>
      <c r="I7" s="34"/>
      <c r="J7" s="34"/>
      <c r="K7" s="34"/>
      <c r="L7" s="34"/>
      <c r="M7" s="34">
        <v>8.92</v>
      </c>
      <c r="N7" s="34">
        <v>0.28000000000000003</v>
      </c>
      <c r="O7" s="34"/>
      <c r="P7" s="34">
        <v>0.27</v>
      </c>
      <c r="Q7" s="34"/>
      <c r="R7" s="34"/>
      <c r="S7" s="34"/>
      <c r="T7" s="34"/>
      <c r="U7" s="34"/>
      <c r="V7" s="34"/>
      <c r="W7" s="34"/>
      <c r="X7" s="34"/>
      <c r="Y7" s="34"/>
      <c r="Z7" s="34"/>
      <c r="AA7" s="34"/>
      <c r="AB7" s="34"/>
      <c r="AC7" s="34"/>
      <c r="AD7" s="34"/>
      <c r="AE7" s="34"/>
      <c r="AF7" s="34"/>
      <c r="AG7" s="34"/>
      <c r="AH7" s="34"/>
      <c r="AI7" s="34"/>
      <c r="AJ7" s="34"/>
      <c r="AK7" s="34"/>
      <c r="AL7" s="34">
        <v>1.31</v>
      </c>
      <c r="AM7" s="34"/>
      <c r="AN7" s="34"/>
      <c r="AO7" s="34"/>
      <c r="AP7" s="34"/>
      <c r="AQ7" s="34"/>
      <c r="AR7" s="34"/>
      <c r="AS7" s="34"/>
      <c r="AT7" s="34"/>
      <c r="AU7" s="34"/>
      <c r="AV7" s="34"/>
      <c r="AW7" s="34"/>
      <c r="AX7" s="34"/>
      <c r="AY7" s="34"/>
      <c r="AZ7" s="34"/>
      <c r="BA7" s="34"/>
      <c r="BB7" s="34"/>
      <c r="BC7" s="34"/>
      <c r="BD7" s="34"/>
      <c r="BE7" s="34"/>
      <c r="BF7" s="34"/>
      <c r="BG7" s="34"/>
      <c r="BH7" s="34"/>
      <c r="BI7" s="34"/>
      <c r="BJ7" s="34"/>
    </row>
    <row r="8" spans="1:62" s="16" customFormat="1" x14ac:dyDescent="0.2">
      <c r="A8" s="35" t="s">
        <v>928</v>
      </c>
      <c r="B8" s="36">
        <v>62573.700000000004</v>
      </c>
      <c r="C8" s="36"/>
      <c r="D8" s="36">
        <v>3362.1722000000009</v>
      </c>
      <c r="E8" s="36">
        <v>26.3278</v>
      </c>
      <c r="F8" s="36">
        <v>3388.5000000000005</v>
      </c>
      <c r="G8" s="36">
        <v>8.24</v>
      </c>
      <c r="H8" s="36"/>
      <c r="I8" s="36"/>
      <c r="J8" s="36">
        <v>3208.8200000000006</v>
      </c>
      <c r="K8" s="36"/>
      <c r="L8" s="36"/>
      <c r="M8" s="36">
        <v>37.820000000000007</v>
      </c>
      <c r="N8" s="36">
        <v>9.4856000000000016</v>
      </c>
      <c r="O8" s="36"/>
      <c r="P8" s="36">
        <v>6.77</v>
      </c>
      <c r="Q8" s="36"/>
      <c r="R8" s="36"/>
      <c r="S8" s="36"/>
      <c r="T8" s="36"/>
      <c r="U8" s="36"/>
      <c r="V8" s="36"/>
      <c r="W8" s="36"/>
      <c r="X8" s="36"/>
      <c r="Y8" s="36"/>
      <c r="Z8" s="36"/>
      <c r="AA8" s="36"/>
      <c r="AB8" s="36"/>
      <c r="AC8" s="36"/>
      <c r="AD8" s="36"/>
      <c r="AE8" s="36"/>
      <c r="AF8" s="36">
        <v>23.404199999999999</v>
      </c>
      <c r="AG8" s="36"/>
      <c r="AH8" s="36"/>
      <c r="AI8" s="36"/>
      <c r="AJ8" s="36"/>
      <c r="AK8" s="36">
        <v>9.1001999999999992</v>
      </c>
      <c r="AL8" s="36">
        <v>84.86</v>
      </c>
      <c r="AM8" s="36"/>
      <c r="AN8" s="36"/>
      <c r="AO8" s="36"/>
      <c r="AP8" s="36">
        <v>59185.2</v>
      </c>
      <c r="AQ8" s="36"/>
      <c r="AR8" s="36">
        <v>59185.2</v>
      </c>
      <c r="AS8" s="36">
        <v>59185.2</v>
      </c>
      <c r="AT8" s="36"/>
      <c r="AU8" s="36"/>
      <c r="AV8" s="36"/>
      <c r="AW8" s="36"/>
      <c r="AX8" s="36"/>
      <c r="AY8" s="36"/>
      <c r="AZ8" s="36"/>
      <c r="BA8" s="36"/>
      <c r="BB8" s="36"/>
      <c r="BC8" s="36"/>
      <c r="BD8" s="36"/>
      <c r="BE8" s="36"/>
      <c r="BF8" s="36"/>
      <c r="BG8" s="36"/>
      <c r="BH8" s="36"/>
      <c r="BI8" s="36"/>
      <c r="BJ8" s="36"/>
    </row>
    <row r="9" spans="1:62" s="12" customFormat="1" x14ac:dyDescent="0.2">
      <c r="A9" s="37" t="s">
        <v>934</v>
      </c>
      <c r="B9" s="34">
        <v>87.89</v>
      </c>
      <c r="C9" s="34"/>
      <c r="D9" s="34">
        <v>83.264499999999998</v>
      </c>
      <c r="E9" s="34">
        <v>4.6254999999999997</v>
      </c>
      <c r="F9" s="34">
        <v>87.89</v>
      </c>
      <c r="G9" s="34"/>
      <c r="H9" s="34"/>
      <c r="I9" s="34"/>
      <c r="J9" s="34">
        <v>71.94</v>
      </c>
      <c r="K9" s="34"/>
      <c r="L9" s="34"/>
      <c r="M9" s="34"/>
      <c r="N9" s="34"/>
      <c r="O9" s="34"/>
      <c r="P9" s="34"/>
      <c r="Q9" s="34"/>
      <c r="R9" s="34"/>
      <c r="S9" s="34"/>
      <c r="T9" s="34"/>
      <c r="U9" s="34"/>
      <c r="V9" s="34"/>
      <c r="W9" s="34"/>
      <c r="X9" s="34"/>
      <c r="Y9" s="34"/>
      <c r="Z9" s="34"/>
      <c r="AA9" s="34"/>
      <c r="AB9" s="34"/>
      <c r="AC9" s="34"/>
      <c r="AD9" s="34"/>
      <c r="AE9" s="34"/>
      <c r="AF9" s="34">
        <v>11.3245</v>
      </c>
      <c r="AG9" s="34"/>
      <c r="AH9" s="34"/>
      <c r="AI9" s="34"/>
      <c r="AJ9" s="34"/>
      <c r="AK9" s="34">
        <v>4.6254999999999997</v>
      </c>
      <c r="AL9" s="34"/>
      <c r="AM9" s="34"/>
      <c r="AN9" s="34"/>
      <c r="AO9" s="34"/>
      <c r="AP9" s="34"/>
      <c r="AQ9" s="34"/>
      <c r="AR9" s="34"/>
      <c r="AS9" s="34"/>
      <c r="AT9" s="34"/>
      <c r="AU9" s="34"/>
      <c r="AV9" s="34"/>
      <c r="AW9" s="34"/>
      <c r="AX9" s="34"/>
      <c r="AY9" s="34"/>
      <c r="AZ9" s="34"/>
      <c r="BA9" s="34"/>
      <c r="BB9" s="34"/>
      <c r="BC9" s="34"/>
      <c r="BD9" s="34"/>
      <c r="BE9" s="34"/>
      <c r="BF9" s="34"/>
      <c r="BG9" s="34"/>
      <c r="BH9" s="34"/>
      <c r="BI9" s="34"/>
      <c r="BJ9" s="34"/>
    </row>
    <row r="10" spans="1:62" s="12" customFormat="1" x14ac:dyDescent="0.2">
      <c r="A10" s="37" t="s">
        <v>935</v>
      </c>
      <c r="B10" s="34">
        <v>1524.2499999999995</v>
      </c>
      <c r="C10" s="34"/>
      <c r="D10" s="34">
        <v>1521.3064999999997</v>
      </c>
      <c r="E10" s="34">
        <v>2.9435000000000002</v>
      </c>
      <c r="F10" s="34">
        <v>1524.2499999999995</v>
      </c>
      <c r="G10" s="34"/>
      <c r="H10" s="34"/>
      <c r="I10" s="34"/>
      <c r="J10" s="34">
        <v>1499.3899999999996</v>
      </c>
      <c r="K10" s="34"/>
      <c r="L10" s="34"/>
      <c r="M10" s="34">
        <v>14.71</v>
      </c>
      <c r="N10" s="34"/>
      <c r="O10" s="34"/>
      <c r="P10" s="34"/>
      <c r="Q10" s="34"/>
      <c r="R10" s="34"/>
      <c r="S10" s="34"/>
      <c r="T10" s="34"/>
      <c r="U10" s="34"/>
      <c r="V10" s="34"/>
      <c r="W10" s="34"/>
      <c r="X10" s="34"/>
      <c r="Y10" s="34"/>
      <c r="Z10" s="34"/>
      <c r="AA10" s="34"/>
      <c r="AB10" s="34"/>
      <c r="AC10" s="34"/>
      <c r="AD10" s="34"/>
      <c r="AE10" s="34"/>
      <c r="AF10" s="34">
        <v>7.2065000000000001</v>
      </c>
      <c r="AG10" s="34"/>
      <c r="AH10" s="34"/>
      <c r="AI10" s="34"/>
      <c r="AJ10" s="34"/>
      <c r="AK10" s="34">
        <v>2.9435000000000002</v>
      </c>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4"/>
    </row>
    <row r="11" spans="1:62" s="12" customFormat="1" x14ac:dyDescent="0.2">
      <c r="A11" s="37" t="s">
        <v>936</v>
      </c>
      <c r="B11" s="34">
        <v>1561.3800000000008</v>
      </c>
      <c r="C11" s="34"/>
      <c r="D11" s="34">
        <v>1559.3300000000008</v>
      </c>
      <c r="E11" s="34">
        <v>2.0499999999999998</v>
      </c>
      <c r="F11" s="34">
        <v>1561.3800000000008</v>
      </c>
      <c r="G11" s="34">
        <v>1.1199999999999999</v>
      </c>
      <c r="H11" s="34"/>
      <c r="I11" s="34"/>
      <c r="J11" s="34">
        <v>1535.3100000000009</v>
      </c>
      <c r="K11" s="34"/>
      <c r="L11" s="34"/>
      <c r="M11" s="34">
        <v>23.110000000000003</v>
      </c>
      <c r="N11" s="34">
        <v>0.90999999999999992</v>
      </c>
      <c r="O11" s="34"/>
      <c r="P11" s="34">
        <v>0.92999999999999994</v>
      </c>
      <c r="Q11" s="34"/>
      <c r="R11" s="34"/>
      <c r="S11" s="34"/>
      <c r="T11" s="34"/>
      <c r="U11" s="34"/>
      <c r="V11" s="34"/>
      <c r="W11" s="34"/>
      <c r="X11" s="34"/>
      <c r="Y11" s="34"/>
      <c r="Z11" s="34"/>
      <c r="AA11" s="34"/>
      <c r="AB11" s="34"/>
      <c r="AC11" s="34"/>
      <c r="AD11" s="34"/>
      <c r="AE11" s="34"/>
      <c r="AF11" s="34"/>
      <c r="AG11" s="34"/>
      <c r="AH11" s="34"/>
      <c r="AI11" s="34"/>
      <c r="AJ11" s="34"/>
      <c r="AK11" s="34"/>
      <c r="AL11" s="34"/>
      <c r="AM11" s="34"/>
      <c r="AN11" s="34"/>
      <c r="AO11" s="34"/>
      <c r="AP11" s="34"/>
      <c r="AQ11" s="34"/>
      <c r="AR11" s="34"/>
      <c r="AS11" s="34"/>
      <c r="AT11" s="34"/>
      <c r="AU11" s="34"/>
      <c r="AV11" s="34"/>
      <c r="AW11" s="34"/>
      <c r="AX11" s="34"/>
      <c r="AY11" s="34"/>
      <c r="AZ11" s="34"/>
      <c r="BA11" s="34"/>
      <c r="BB11" s="34"/>
      <c r="BC11" s="34"/>
      <c r="BD11" s="34"/>
      <c r="BE11" s="34"/>
      <c r="BF11" s="34"/>
      <c r="BG11" s="34"/>
      <c r="BH11" s="34"/>
      <c r="BI11" s="34"/>
      <c r="BJ11" s="34"/>
    </row>
    <row r="12" spans="1:62" s="12" customFormat="1" x14ac:dyDescent="0.2">
      <c r="A12" s="37" t="s">
        <v>937</v>
      </c>
      <c r="B12" s="34">
        <v>20.309999999999999</v>
      </c>
      <c r="C12" s="34"/>
      <c r="D12" s="34">
        <v>16.561199999999999</v>
      </c>
      <c r="E12" s="34">
        <v>3.7488000000000001</v>
      </c>
      <c r="F12" s="34">
        <v>20.309999999999999</v>
      </c>
      <c r="G12" s="34"/>
      <c r="H12" s="34"/>
      <c r="I12" s="34"/>
      <c r="J12" s="34">
        <v>7.11</v>
      </c>
      <c r="K12" s="34"/>
      <c r="L12" s="34"/>
      <c r="M12" s="34"/>
      <c r="N12" s="34"/>
      <c r="O12" s="34"/>
      <c r="P12" s="34"/>
      <c r="Q12" s="34"/>
      <c r="R12" s="34"/>
      <c r="S12" s="34"/>
      <c r="T12" s="34"/>
      <c r="U12" s="34"/>
      <c r="V12" s="34"/>
      <c r="W12" s="34"/>
      <c r="X12" s="34"/>
      <c r="Y12" s="34"/>
      <c r="Z12" s="34"/>
      <c r="AA12" s="34"/>
      <c r="AB12" s="34"/>
      <c r="AC12" s="34"/>
      <c r="AD12" s="34"/>
      <c r="AE12" s="34"/>
      <c r="AF12" s="34">
        <v>3.7488000000000001</v>
      </c>
      <c r="AG12" s="34"/>
      <c r="AH12" s="34"/>
      <c r="AI12" s="34"/>
      <c r="AJ12" s="34"/>
      <c r="AK12" s="34">
        <v>1.5311999999999999</v>
      </c>
      <c r="AL12" s="34">
        <v>7.92</v>
      </c>
      <c r="AM12" s="34"/>
      <c r="AN12" s="34"/>
      <c r="AO12" s="34"/>
      <c r="AP12" s="34"/>
      <c r="AQ12" s="34"/>
      <c r="AR12" s="34"/>
      <c r="AS12" s="34"/>
      <c r="AT12" s="34"/>
      <c r="AU12" s="34"/>
      <c r="AV12" s="34"/>
      <c r="AW12" s="34"/>
      <c r="AX12" s="34"/>
      <c r="AY12" s="34"/>
      <c r="AZ12" s="34"/>
      <c r="BA12" s="34"/>
      <c r="BB12" s="34"/>
      <c r="BC12" s="34"/>
      <c r="BD12" s="34"/>
      <c r="BE12" s="34"/>
      <c r="BF12" s="34"/>
      <c r="BG12" s="34"/>
      <c r="BH12" s="34"/>
      <c r="BI12" s="34"/>
      <c r="BJ12" s="34"/>
    </row>
    <row r="13" spans="1:62" s="12" customFormat="1" x14ac:dyDescent="0.2">
      <c r="A13" s="37" t="s">
        <v>938</v>
      </c>
      <c r="B13" s="34">
        <v>36.769999999999996</v>
      </c>
      <c r="C13" s="34"/>
      <c r="D13" s="34">
        <v>36.769999999999996</v>
      </c>
      <c r="E13" s="34"/>
      <c r="F13" s="34">
        <v>36.769999999999996</v>
      </c>
      <c r="G13" s="34"/>
      <c r="H13" s="34"/>
      <c r="I13" s="34"/>
      <c r="J13" s="34">
        <v>17.369999999999997</v>
      </c>
      <c r="K13" s="34"/>
      <c r="L13" s="34"/>
      <c r="M13" s="34"/>
      <c r="N13" s="34"/>
      <c r="O13" s="34"/>
      <c r="P13" s="34"/>
      <c r="Q13" s="34"/>
      <c r="R13" s="34"/>
      <c r="S13" s="34"/>
      <c r="T13" s="34"/>
      <c r="U13" s="34"/>
      <c r="V13" s="34"/>
      <c r="W13" s="34"/>
      <c r="X13" s="34"/>
      <c r="Y13" s="34"/>
      <c r="Z13" s="34"/>
      <c r="AA13" s="34"/>
      <c r="AB13" s="34"/>
      <c r="AC13" s="34"/>
      <c r="AD13" s="34"/>
      <c r="AE13" s="34"/>
      <c r="AF13" s="34"/>
      <c r="AG13" s="34"/>
      <c r="AH13" s="34"/>
      <c r="AI13" s="34"/>
      <c r="AJ13" s="34"/>
      <c r="AK13" s="34"/>
      <c r="AL13" s="34">
        <v>19.400000000000002</v>
      </c>
      <c r="AM13" s="34"/>
      <c r="AN13" s="34"/>
      <c r="AO13" s="34"/>
      <c r="AP13" s="34"/>
      <c r="AQ13" s="34"/>
      <c r="AR13" s="34"/>
      <c r="AS13" s="34"/>
      <c r="AT13" s="34"/>
      <c r="AU13" s="34"/>
      <c r="AV13" s="34"/>
      <c r="AW13" s="34"/>
      <c r="AX13" s="34"/>
      <c r="AY13" s="34"/>
      <c r="AZ13" s="34"/>
      <c r="BA13" s="34"/>
      <c r="BB13" s="34"/>
      <c r="BC13" s="34"/>
      <c r="BD13" s="34"/>
      <c r="BE13" s="34"/>
      <c r="BF13" s="34"/>
      <c r="BG13" s="34"/>
      <c r="BH13" s="34"/>
      <c r="BI13" s="34"/>
      <c r="BJ13" s="34"/>
    </row>
    <row r="14" spans="1:62" s="12" customFormat="1" x14ac:dyDescent="0.2">
      <c r="A14" s="37" t="s">
        <v>939</v>
      </c>
      <c r="B14" s="34">
        <v>33.940000000000005</v>
      </c>
      <c r="C14" s="34"/>
      <c r="D14" s="34">
        <v>33.940000000000005</v>
      </c>
      <c r="E14" s="34"/>
      <c r="F14" s="34">
        <v>33.940000000000005</v>
      </c>
      <c r="G14" s="34"/>
      <c r="H14" s="34"/>
      <c r="I14" s="34"/>
      <c r="J14" s="34">
        <v>17.8</v>
      </c>
      <c r="K14" s="34"/>
      <c r="L14" s="34"/>
      <c r="M14" s="34"/>
      <c r="N14" s="34"/>
      <c r="O14" s="34"/>
      <c r="P14" s="34"/>
      <c r="Q14" s="34"/>
      <c r="R14" s="34"/>
      <c r="S14" s="34"/>
      <c r="T14" s="34"/>
      <c r="U14" s="34"/>
      <c r="V14" s="34"/>
      <c r="W14" s="34"/>
      <c r="X14" s="34"/>
      <c r="Y14" s="34"/>
      <c r="Z14" s="34"/>
      <c r="AA14" s="34"/>
      <c r="AB14" s="34"/>
      <c r="AC14" s="34"/>
      <c r="AD14" s="34"/>
      <c r="AE14" s="34"/>
      <c r="AF14" s="34"/>
      <c r="AG14" s="34"/>
      <c r="AH14" s="34"/>
      <c r="AI14" s="34"/>
      <c r="AJ14" s="34"/>
      <c r="AK14" s="34"/>
      <c r="AL14" s="34">
        <v>16.14</v>
      </c>
      <c r="AM14" s="34"/>
      <c r="AN14" s="34"/>
      <c r="AO14" s="34"/>
      <c r="AP14" s="34"/>
      <c r="AQ14" s="34"/>
      <c r="AR14" s="34"/>
      <c r="AS14" s="34"/>
      <c r="AT14" s="34"/>
      <c r="AU14" s="34"/>
      <c r="AV14" s="34"/>
      <c r="AW14" s="34"/>
      <c r="AX14" s="34"/>
      <c r="AY14" s="34"/>
      <c r="AZ14" s="34"/>
      <c r="BA14" s="34"/>
      <c r="BB14" s="34"/>
      <c r="BC14" s="34"/>
      <c r="BD14" s="34"/>
      <c r="BE14" s="34"/>
      <c r="BF14" s="34"/>
      <c r="BG14" s="34"/>
      <c r="BH14" s="34"/>
      <c r="BI14" s="34"/>
      <c r="BJ14" s="34"/>
    </row>
    <row r="15" spans="1:62" s="12" customFormat="1" x14ac:dyDescent="0.2">
      <c r="A15" s="37" t="s">
        <v>940</v>
      </c>
      <c r="B15" s="34">
        <v>59252.97</v>
      </c>
      <c r="C15" s="34"/>
      <c r="D15" s="34">
        <v>67.77</v>
      </c>
      <c r="E15" s="34"/>
      <c r="F15" s="34">
        <v>67.77</v>
      </c>
      <c r="G15" s="34"/>
      <c r="H15" s="34"/>
      <c r="I15" s="34"/>
      <c r="J15" s="34">
        <v>31.340000000000003</v>
      </c>
      <c r="K15" s="34"/>
      <c r="L15" s="34"/>
      <c r="M15" s="34"/>
      <c r="N15" s="34">
        <v>2.8056000000000001</v>
      </c>
      <c r="O15" s="34"/>
      <c r="P15" s="34"/>
      <c r="Q15" s="34"/>
      <c r="R15" s="34"/>
      <c r="S15" s="34"/>
      <c r="T15" s="34"/>
      <c r="U15" s="34"/>
      <c r="V15" s="34"/>
      <c r="W15" s="34"/>
      <c r="X15" s="34"/>
      <c r="Y15" s="34"/>
      <c r="Z15" s="34"/>
      <c r="AA15" s="34"/>
      <c r="AB15" s="34"/>
      <c r="AC15" s="34"/>
      <c r="AD15" s="34"/>
      <c r="AE15" s="34"/>
      <c r="AF15" s="34">
        <v>1.1244000000000001</v>
      </c>
      <c r="AG15" s="34"/>
      <c r="AH15" s="34"/>
      <c r="AI15" s="34"/>
      <c r="AJ15" s="34"/>
      <c r="AK15" s="34"/>
      <c r="AL15" s="34">
        <v>32.500000000000007</v>
      </c>
      <c r="AM15" s="34"/>
      <c r="AN15" s="34"/>
      <c r="AO15" s="34"/>
      <c r="AP15" s="34">
        <v>59185.2</v>
      </c>
      <c r="AQ15" s="34"/>
      <c r="AR15" s="34">
        <v>59185.2</v>
      </c>
      <c r="AS15" s="34">
        <v>59185.2</v>
      </c>
      <c r="AT15" s="34"/>
      <c r="AU15" s="34"/>
      <c r="AV15" s="34"/>
      <c r="AW15" s="34"/>
      <c r="AX15" s="34"/>
      <c r="AY15" s="34"/>
      <c r="AZ15" s="34"/>
      <c r="BA15" s="34"/>
      <c r="BB15" s="34"/>
      <c r="BC15" s="34"/>
      <c r="BD15" s="34"/>
      <c r="BE15" s="34"/>
      <c r="BF15" s="34"/>
      <c r="BG15" s="34"/>
      <c r="BH15" s="34"/>
      <c r="BI15" s="34"/>
      <c r="BJ15" s="34"/>
    </row>
    <row r="16" spans="1:62" s="12" customFormat="1" x14ac:dyDescent="0.2">
      <c r="A16" s="37" t="s">
        <v>932</v>
      </c>
      <c r="B16" s="34">
        <v>35.330000000000005</v>
      </c>
      <c r="C16" s="34"/>
      <c r="D16" s="34">
        <v>25.65</v>
      </c>
      <c r="E16" s="34">
        <v>9.68</v>
      </c>
      <c r="F16" s="34">
        <v>35.330000000000005</v>
      </c>
      <c r="G16" s="34">
        <v>5.32</v>
      </c>
      <c r="H16" s="34"/>
      <c r="I16" s="34"/>
      <c r="J16" s="34">
        <v>16.32</v>
      </c>
      <c r="K16" s="34"/>
      <c r="L16" s="34"/>
      <c r="M16" s="34"/>
      <c r="N16" s="34">
        <v>4.3100000000000005</v>
      </c>
      <c r="O16" s="34"/>
      <c r="P16" s="34">
        <v>4.3600000000000003</v>
      </c>
      <c r="Q16" s="34"/>
      <c r="R16" s="34"/>
      <c r="S16" s="34"/>
      <c r="T16" s="34"/>
      <c r="U16" s="34"/>
      <c r="V16" s="34"/>
      <c r="W16" s="34"/>
      <c r="X16" s="34"/>
      <c r="Y16" s="34"/>
      <c r="Z16" s="34"/>
      <c r="AA16" s="34"/>
      <c r="AB16" s="34"/>
      <c r="AC16" s="34"/>
      <c r="AD16" s="34"/>
      <c r="AE16" s="34"/>
      <c r="AF16" s="34"/>
      <c r="AG16" s="34"/>
      <c r="AH16" s="34"/>
      <c r="AI16" s="34"/>
      <c r="AJ16" s="34"/>
      <c r="AK16" s="34"/>
      <c r="AL16" s="34">
        <v>5.0199999999999996</v>
      </c>
      <c r="AM16" s="34"/>
      <c r="AN16" s="34"/>
      <c r="AO16" s="34"/>
      <c r="AP16" s="34"/>
      <c r="AQ16" s="34"/>
      <c r="AR16" s="34"/>
      <c r="AS16" s="34"/>
      <c r="AT16" s="34"/>
      <c r="AU16" s="34"/>
      <c r="AV16" s="34"/>
      <c r="AW16" s="34"/>
      <c r="AX16" s="34"/>
      <c r="AY16" s="34"/>
      <c r="AZ16" s="34"/>
      <c r="BA16" s="34"/>
      <c r="BB16" s="34"/>
      <c r="BC16" s="34"/>
      <c r="BD16" s="34"/>
      <c r="BE16" s="34"/>
      <c r="BF16" s="34"/>
      <c r="BG16" s="34"/>
      <c r="BH16" s="34"/>
      <c r="BI16" s="34"/>
      <c r="BJ16" s="34"/>
    </row>
    <row r="17" spans="1:62" s="12" customFormat="1" x14ac:dyDescent="0.2">
      <c r="A17" s="37" t="s">
        <v>933</v>
      </c>
      <c r="B17" s="34">
        <v>20.86</v>
      </c>
      <c r="C17" s="34"/>
      <c r="D17" s="34">
        <v>17.579999999999998</v>
      </c>
      <c r="E17" s="34">
        <v>3.28</v>
      </c>
      <c r="F17" s="34">
        <v>20.86</v>
      </c>
      <c r="G17" s="34">
        <v>1.8</v>
      </c>
      <c r="H17" s="34"/>
      <c r="I17" s="34"/>
      <c r="J17" s="34">
        <v>12.239999999999998</v>
      </c>
      <c r="K17" s="34"/>
      <c r="L17" s="34"/>
      <c r="M17" s="34"/>
      <c r="N17" s="34">
        <v>1.46</v>
      </c>
      <c r="O17" s="34"/>
      <c r="P17" s="34">
        <v>1.48</v>
      </c>
      <c r="Q17" s="34"/>
      <c r="R17" s="34"/>
      <c r="S17" s="34"/>
      <c r="T17" s="34"/>
      <c r="U17" s="34"/>
      <c r="V17" s="34"/>
      <c r="W17" s="34"/>
      <c r="X17" s="34"/>
      <c r="Y17" s="34"/>
      <c r="Z17" s="34"/>
      <c r="AA17" s="34"/>
      <c r="AB17" s="34"/>
      <c r="AC17" s="34"/>
      <c r="AD17" s="34"/>
      <c r="AE17" s="34"/>
      <c r="AF17" s="34"/>
      <c r="AG17" s="34"/>
      <c r="AH17" s="34"/>
      <c r="AI17" s="34"/>
      <c r="AJ17" s="34"/>
      <c r="AK17" s="34"/>
      <c r="AL17" s="34">
        <v>3.88</v>
      </c>
      <c r="AM17" s="34"/>
      <c r="AN17" s="34"/>
      <c r="AO17" s="34"/>
      <c r="AP17" s="34"/>
      <c r="AQ17" s="34"/>
      <c r="AR17" s="34"/>
      <c r="AS17" s="34"/>
      <c r="AT17" s="34"/>
      <c r="AU17" s="34"/>
      <c r="AV17" s="34"/>
      <c r="AW17" s="34"/>
      <c r="AX17" s="34"/>
      <c r="AY17" s="34"/>
      <c r="AZ17" s="34"/>
      <c r="BA17" s="34"/>
      <c r="BB17" s="34"/>
      <c r="BC17" s="34"/>
      <c r="BD17" s="34"/>
      <c r="BE17" s="34"/>
      <c r="BF17" s="34"/>
      <c r="BG17" s="34"/>
      <c r="BH17" s="34"/>
      <c r="BI17" s="34"/>
      <c r="BJ17" s="34"/>
    </row>
    <row r="18" spans="1:62" s="16" customFormat="1" x14ac:dyDescent="0.2">
      <c r="A18" s="35" t="s">
        <v>929</v>
      </c>
      <c r="B18" s="36">
        <v>1422.6809999999998</v>
      </c>
      <c r="C18" s="36"/>
      <c r="D18" s="36">
        <v>1328.5604999999998</v>
      </c>
      <c r="E18" s="36">
        <v>94.120499999999993</v>
      </c>
      <c r="F18" s="36">
        <v>1422.6809999999998</v>
      </c>
      <c r="G18" s="36">
        <v>51.790500000000002</v>
      </c>
      <c r="H18" s="36"/>
      <c r="I18" s="36">
        <v>5.8599999999999994</v>
      </c>
      <c r="J18" s="36">
        <v>691.47999999999979</v>
      </c>
      <c r="K18" s="36"/>
      <c r="L18" s="36">
        <v>5.83</v>
      </c>
      <c r="M18" s="36">
        <v>67.866</v>
      </c>
      <c r="N18" s="36">
        <v>54.081600000000002</v>
      </c>
      <c r="O18" s="36">
        <v>1.5459999999999998</v>
      </c>
      <c r="P18" s="36">
        <v>42.330000000000005</v>
      </c>
      <c r="Q18" s="36"/>
      <c r="R18" s="36"/>
      <c r="S18" s="36"/>
      <c r="T18" s="36"/>
      <c r="U18" s="36"/>
      <c r="V18" s="36"/>
      <c r="W18" s="36"/>
      <c r="X18" s="36"/>
      <c r="Y18" s="36"/>
      <c r="Z18" s="36">
        <v>203.82999999999998</v>
      </c>
      <c r="AA18" s="36"/>
      <c r="AB18" s="36"/>
      <c r="AC18" s="36"/>
      <c r="AD18" s="36"/>
      <c r="AE18" s="36"/>
      <c r="AF18" s="36">
        <v>0.93840000000000001</v>
      </c>
      <c r="AG18" s="36"/>
      <c r="AH18" s="36"/>
      <c r="AI18" s="36"/>
      <c r="AJ18" s="36"/>
      <c r="AK18" s="36"/>
      <c r="AL18" s="36">
        <v>297.12849999999997</v>
      </c>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row>
    <row r="19" spans="1:62" s="12" customFormat="1" x14ac:dyDescent="0.2">
      <c r="A19" s="37" t="s">
        <v>1002</v>
      </c>
      <c r="B19" s="34">
        <v>96.86</v>
      </c>
      <c r="C19" s="34"/>
      <c r="D19" s="34">
        <v>90.98</v>
      </c>
      <c r="E19" s="34">
        <v>5.879999999999999</v>
      </c>
      <c r="F19" s="34">
        <v>96.86</v>
      </c>
      <c r="G19" s="34">
        <v>3.24</v>
      </c>
      <c r="H19" s="34"/>
      <c r="I19" s="34"/>
      <c r="J19" s="34">
        <v>47.709999999999994</v>
      </c>
      <c r="K19" s="34"/>
      <c r="L19" s="34"/>
      <c r="M19" s="34">
        <v>1.96</v>
      </c>
      <c r="N19" s="34">
        <v>5.5676000000000005</v>
      </c>
      <c r="O19" s="34"/>
      <c r="P19" s="34">
        <v>2.6399999999999997</v>
      </c>
      <c r="Q19" s="34"/>
      <c r="R19" s="34"/>
      <c r="S19" s="34"/>
      <c r="T19" s="34"/>
      <c r="U19" s="34"/>
      <c r="V19" s="34"/>
      <c r="W19" s="34"/>
      <c r="X19" s="34"/>
      <c r="Y19" s="34"/>
      <c r="Z19" s="34"/>
      <c r="AA19" s="34"/>
      <c r="AB19" s="34"/>
      <c r="AC19" s="34"/>
      <c r="AD19" s="34"/>
      <c r="AE19" s="34"/>
      <c r="AF19" s="34">
        <v>0.93840000000000001</v>
      </c>
      <c r="AG19" s="34"/>
      <c r="AH19" s="34"/>
      <c r="AI19" s="34"/>
      <c r="AJ19" s="34"/>
      <c r="AK19" s="34"/>
      <c r="AL19" s="34">
        <v>34.803999999999995</v>
      </c>
      <c r="AM19" s="34"/>
      <c r="AN19" s="34"/>
      <c r="AO19" s="34"/>
      <c r="AP19" s="34"/>
      <c r="AQ19" s="34"/>
      <c r="AR19" s="34"/>
      <c r="AS19" s="34"/>
      <c r="AT19" s="34"/>
      <c r="AU19" s="34"/>
      <c r="AV19" s="34"/>
      <c r="AW19" s="34"/>
      <c r="AX19" s="34"/>
      <c r="AY19" s="34"/>
      <c r="AZ19" s="34"/>
      <c r="BA19" s="34"/>
      <c r="BB19" s="34"/>
      <c r="BC19" s="34"/>
      <c r="BD19" s="34"/>
      <c r="BE19" s="34"/>
      <c r="BF19" s="34"/>
      <c r="BG19" s="34"/>
      <c r="BH19" s="34"/>
      <c r="BI19" s="34"/>
      <c r="BJ19" s="34"/>
    </row>
    <row r="20" spans="1:62" s="12" customFormat="1" x14ac:dyDescent="0.2">
      <c r="A20" s="37" t="s">
        <v>1003</v>
      </c>
      <c r="B20" s="34">
        <v>81.570000000000007</v>
      </c>
      <c r="C20" s="34"/>
      <c r="D20" s="34">
        <v>70.290000000000006</v>
      </c>
      <c r="E20" s="34">
        <v>11.28</v>
      </c>
      <c r="F20" s="34">
        <v>81.570000000000007</v>
      </c>
      <c r="G20" s="34">
        <v>6.2</v>
      </c>
      <c r="H20" s="34"/>
      <c r="I20" s="34">
        <v>3.38</v>
      </c>
      <c r="J20" s="34">
        <v>53.900000000000006</v>
      </c>
      <c r="K20" s="34"/>
      <c r="L20" s="34"/>
      <c r="M20" s="34">
        <v>1.87</v>
      </c>
      <c r="N20" s="34">
        <v>5.01</v>
      </c>
      <c r="O20" s="34"/>
      <c r="P20" s="34">
        <v>5.08</v>
      </c>
      <c r="Q20" s="34"/>
      <c r="R20" s="34"/>
      <c r="S20" s="34"/>
      <c r="T20" s="34"/>
      <c r="U20" s="34"/>
      <c r="V20" s="34"/>
      <c r="W20" s="34"/>
      <c r="X20" s="34"/>
      <c r="Y20" s="34"/>
      <c r="Z20" s="34"/>
      <c r="AA20" s="34"/>
      <c r="AB20" s="34"/>
      <c r="AC20" s="34"/>
      <c r="AD20" s="34"/>
      <c r="AE20" s="34"/>
      <c r="AF20" s="34"/>
      <c r="AG20" s="34"/>
      <c r="AH20" s="34"/>
      <c r="AI20" s="34"/>
      <c r="AJ20" s="34"/>
      <c r="AK20" s="34"/>
      <c r="AL20" s="34">
        <v>6.13</v>
      </c>
      <c r="AM20" s="34"/>
      <c r="AN20" s="34"/>
      <c r="AO20" s="34"/>
      <c r="AP20" s="34"/>
      <c r="AQ20" s="34"/>
      <c r="AR20" s="34"/>
      <c r="AS20" s="34"/>
      <c r="AT20" s="34"/>
      <c r="AU20" s="34"/>
      <c r="AV20" s="34"/>
      <c r="AW20" s="34"/>
      <c r="AX20" s="34"/>
      <c r="AY20" s="34"/>
      <c r="AZ20" s="34"/>
      <c r="BA20" s="34"/>
      <c r="BB20" s="34"/>
      <c r="BC20" s="34"/>
      <c r="BD20" s="34"/>
      <c r="BE20" s="34"/>
      <c r="BF20" s="34"/>
      <c r="BG20" s="34"/>
      <c r="BH20" s="34"/>
      <c r="BI20" s="34"/>
      <c r="BJ20" s="34"/>
    </row>
    <row r="21" spans="1:62" s="12" customFormat="1" x14ac:dyDescent="0.2">
      <c r="A21" s="37" t="s">
        <v>1004</v>
      </c>
      <c r="B21" s="34">
        <v>151.50499999999994</v>
      </c>
      <c r="C21" s="34"/>
      <c r="D21" s="34">
        <v>138.78999999999996</v>
      </c>
      <c r="E21" s="34">
        <v>12.715</v>
      </c>
      <c r="F21" s="34">
        <v>151.50499999999994</v>
      </c>
      <c r="G21" s="34">
        <v>6.9850000000000003</v>
      </c>
      <c r="H21" s="34"/>
      <c r="I21" s="34">
        <v>1.8499999999999999</v>
      </c>
      <c r="J21" s="34">
        <v>87.12</v>
      </c>
      <c r="K21" s="34"/>
      <c r="L21" s="34"/>
      <c r="M21" s="34">
        <v>2.1260000000000003</v>
      </c>
      <c r="N21" s="34">
        <v>6.5040000000000004</v>
      </c>
      <c r="O21" s="34"/>
      <c r="P21" s="34">
        <v>5.7299999999999995</v>
      </c>
      <c r="Q21" s="34"/>
      <c r="R21" s="34"/>
      <c r="S21" s="34"/>
      <c r="T21" s="34"/>
      <c r="U21" s="34"/>
      <c r="V21" s="34"/>
      <c r="W21" s="34"/>
      <c r="X21" s="34"/>
      <c r="Y21" s="34"/>
      <c r="Z21" s="34"/>
      <c r="AA21" s="34"/>
      <c r="AB21" s="34"/>
      <c r="AC21" s="34"/>
      <c r="AD21" s="34"/>
      <c r="AE21" s="34"/>
      <c r="AF21" s="34"/>
      <c r="AG21" s="34"/>
      <c r="AH21" s="34"/>
      <c r="AI21" s="34"/>
      <c r="AJ21" s="34"/>
      <c r="AK21" s="34"/>
      <c r="AL21" s="34">
        <v>41.19</v>
      </c>
      <c r="AM21" s="34"/>
      <c r="AN21" s="34"/>
      <c r="AO21" s="34"/>
      <c r="AP21" s="34"/>
      <c r="AQ21" s="34"/>
      <c r="AR21" s="34"/>
      <c r="AS21" s="34"/>
      <c r="AT21" s="34"/>
      <c r="AU21" s="34"/>
      <c r="AV21" s="34"/>
      <c r="AW21" s="34"/>
      <c r="AX21" s="34"/>
      <c r="AY21" s="34"/>
      <c r="AZ21" s="34"/>
      <c r="BA21" s="34"/>
      <c r="BB21" s="34"/>
      <c r="BC21" s="34"/>
      <c r="BD21" s="34"/>
      <c r="BE21" s="34"/>
      <c r="BF21" s="34"/>
      <c r="BG21" s="34"/>
      <c r="BH21" s="34"/>
      <c r="BI21" s="34"/>
      <c r="BJ21" s="34"/>
    </row>
    <row r="22" spans="1:62" s="12" customFormat="1" x14ac:dyDescent="0.2">
      <c r="A22" s="37" t="s">
        <v>934</v>
      </c>
      <c r="B22" s="34">
        <v>37.479999999999997</v>
      </c>
      <c r="C22" s="34"/>
      <c r="D22" s="34">
        <v>27.150000000000002</v>
      </c>
      <c r="E22" s="34">
        <v>10.330000000000002</v>
      </c>
      <c r="F22" s="34">
        <v>37.479999999999997</v>
      </c>
      <c r="G22" s="34">
        <v>5.69</v>
      </c>
      <c r="H22" s="34"/>
      <c r="I22" s="34"/>
      <c r="J22" s="34"/>
      <c r="K22" s="34"/>
      <c r="L22" s="34"/>
      <c r="M22" s="34"/>
      <c r="N22" s="34">
        <v>4.6000000000000005</v>
      </c>
      <c r="O22" s="34"/>
      <c r="P22" s="34">
        <v>4.6399999999999997</v>
      </c>
      <c r="Q22" s="34"/>
      <c r="R22" s="34"/>
      <c r="S22" s="34"/>
      <c r="T22" s="34"/>
      <c r="U22" s="34"/>
      <c r="V22" s="34"/>
      <c r="W22" s="34"/>
      <c r="X22" s="34"/>
      <c r="Y22" s="34"/>
      <c r="Z22" s="34"/>
      <c r="AA22" s="34"/>
      <c r="AB22" s="34"/>
      <c r="AC22" s="34"/>
      <c r="AD22" s="34"/>
      <c r="AE22" s="34"/>
      <c r="AF22" s="34"/>
      <c r="AG22" s="34"/>
      <c r="AH22" s="34"/>
      <c r="AI22" s="34"/>
      <c r="AJ22" s="34"/>
      <c r="AK22" s="34"/>
      <c r="AL22" s="34">
        <v>22.55</v>
      </c>
      <c r="AM22" s="34"/>
      <c r="AN22" s="34"/>
      <c r="AO22" s="34"/>
      <c r="AP22" s="34"/>
      <c r="AQ22" s="34"/>
      <c r="AR22" s="34"/>
      <c r="AS22" s="34"/>
      <c r="AT22" s="34"/>
      <c r="AU22" s="34"/>
      <c r="AV22" s="34"/>
      <c r="AW22" s="34"/>
      <c r="AX22" s="34"/>
      <c r="AY22" s="34"/>
      <c r="AZ22" s="34"/>
      <c r="BA22" s="34"/>
      <c r="BB22" s="34"/>
      <c r="BC22" s="34"/>
      <c r="BD22" s="34"/>
      <c r="BE22" s="34"/>
      <c r="BF22" s="34"/>
      <c r="BG22" s="34"/>
      <c r="BH22" s="34"/>
      <c r="BI22" s="34"/>
      <c r="BJ22" s="34"/>
    </row>
    <row r="23" spans="1:62" s="12" customFormat="1" x14ac:dyDescent="0.2">
      <c r="A23" s="37" t="s">
        <v>935</v>
      </c>
      <c r="B23" s="34">
        <v>33.68</v>
      </c>
      <c r="C23" s="34"/>
      <c r="D23" s="34">
        <v>24.410000000000004</v>
      </c>
      <c r="E23" s="34">
        <v>9.27</v>
      </c>
      <c r="F23" s="34">
        <v>33.68</v>
      </c>
      <c r="G23" s="34">
        <v>5.1099999999999994</v>
      </c>
      <c r="H23" s="34"/>
      <c r="I23" s="34">
        <v>0.63</v>
      </c>
      <c r="J23" s="34">
        <v>4.95</v>
      </c>
      <c r="K23" s="34"/>
      <c r="L23" s="34"/>
      <c r="M23" s="34"/>
      <c r="N23" s="34">
        <v>4.49</v>
      </c>
      <c r="O23" s="34"/>
      <c r="P23" s="34">
        <v>4.16</v>
      </c>
      <c r="Q23" s="34"/>
      <c r="R23" s="34"/>
      <c r="S23" s="34"/>
      <c r="T23" s="34"/>
      <c r="U23" s="34"/>
      <c r="V23" s="34"/>
      <c r="W23" s="34"/>
      <c r="X23" s="34"/>
      <c r="Y23" s="34"/>
      <c r="Z23" s="34"/>
      <c r="AA23" s="34"/>
      <c r="AB23" s="34"/>
      <c r="AC23" s="34"/>
      <c r="AD23" s="34"/>
      <c r="AE23" s="34"/>
      <c r="AF23" s="34"/>
      <c r="AG23" s="34"/>
      <c r="AH23" s="34"/>
      <c r="AI23" s="34"/>
      <c r="AJ23" s="34"/>
      <c r="AK23" s="34"/>
      <c r="AL23" s="34">
        <v>14.34</v>
      </c>
      <c r="AM23" s="34"/>
      <c r="AN23" s="34"/>
      <c r="AO23" s="34"/>
      <c r="AP23" s="34"/>
      <c r="AQ23" s="34"/>
      <c r="AR23" s="34"/>
      <c r="AS23" s="34"/>
      <c r="AT23" s="34"/>
      <c r="AU23" s="34"/>
      <c r="AV23" s="34"/>
      <c r="AW23" s="34"/>
      <c r="AX23" s="34"/>
      <c r="AY23" s="34"/>
      <c r="AZ23" s="34"/>
      <c r="BA23" s="34"/>
      <c r="BB23" s="34"/>
      <c r="BC23" s="34"/>
      <c r="BD23" s="34"/>
      <c r="BE23" s="34"/>
      <c r="BF23" s="34"/>
      <c r="BG23" s="34"/>
      <c r="BH23" s="34"/>
      <c r="BI23" s="34"/>
      <c r="BJ23" s="34"/>
    </row>
    <row r="24" spans="1:62" s="12" customFormat="1" x14ac:dyDescent="0.2">
      <c r="A24" s="37" t="s">
        <v>936</v>
      </c>
      <c r="B24" s="34">
        <v>38.11</v>
      </c>
      <c r="C24" s="34"/>
      <c r="D24" s="34">
        <v>30.79</v>
      </c>
      <c r="E24" s="34">
        <v>7.32</v>
      </c>
      <c r="F24" s="34">
        <v>38.11</v>
      </c>
      <c r="G24" s="34">
        <v>4.0400000000000009</v>
      </c>
      <c r="H24" s="34"/>
      <c r="I24" s="34"/>
      <c r="J24" s="34">
        <v>14.309999999999999</v>
      </c>
      <c r="K24" s="34"/>
      <c r="L24" s="34"/>
      <c r="M24" s="34"/>
      <c r="N24" s="34">
        <v>3.2600000000000002</v>
      </c>
      <c r="O24" s="34"/>
      <c r="P24" s="34">
        <v>3.2800000000000002</v>
      </c>
      <c r="Q24" s="34"/>
      <c r="R24" s="34"/>
      <c r="S24" s="34"/>
      <c r="T24" s="34"/>
      <c r="U24" s="34"/>
      <c r="V24" s="34"/>
      <c r="W24" s="34"/>
      <c r="X24" s="34"/>
      <c r="Y24" s="34"/>
      <c r="Z24" s="34"/>
      <c r="AA24" s="34"/>
      <c r="AB24" s="34"/>
      <c r="AC24" s="34"/>
      <c r="AD24" s="34"/>
      <c r="AE24" s="34"/>
      <c r="AF24" s="34"/>
      <c r="AG24" s="34"/>
      <c r="AH24" s="34"/>
      <c r="AI24" s="34"/>
      <c r="AJ24" s="34"/>
      <c r="AK24" s="34"/>
      <c r="AL24" s="34">
        <v>13.219999999999999</v>
      </c>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row>
    <row r="25" spans="1:62" s="12" customFormat="1" x14ac:dyDescent="0.2">
      <c r="A25" s="37" t="s">
        <v>937</v>
      </c>
      <c r="B25" s="34">
        <v>48.720000000000006</v>
      </c>
      <c r="C25" s="34"/>
      <c r="D25" s="34">
        <v>41.910000000000004</v>
      </c>
      <c r="E25" s="34">
        <v>6.81</v>
      </c>
      <c r="F25" s="34">
        <v>48.720000000000006</v>
      </c>
      <c r="G25" s="34">
        <v>3.74</v>
      </c>
      <c r="H25" s="34"/>
      <c r="I25" s="34"/>
      <c r="J25" s="34">
        <v>27.239999999999995</v>
      </c>
      <c r="K25" s="34"/>
      <c r="L25" s="34"/>
      <c r="M25" s="34"/>
      <c r="N25" s="34">
        <v>3.0300000000000002</v>
      </c>
      <c r="O25" s="34"/>
      <c r="P25" s="34">
        <v>3.07</v>
      </c>
      <c r="Q25" s="34"/>
      <c r="R25" s="34"/>
      <c r="S25" s="34"/>
      <c r="T25" s="34"/>
      <c r="U25" s="34"/>
      <c r="V25" s="34"/>
      <c r="W25" s="34"/>
      <c r="X25" s="34"/>
      <c r="Y25" s="34"/>
      <c r="Z25" s="34"/>
      <c r="AA25" s="34"/>
      <c r="AB25" s="34"/>
      <c r="AC25" s="34"/>
      <c r="AD25" s="34"/>
      <c r="AE25" s="34"/>
      <c r="AF25" s="34"/>
      <c r="AG25" s="34"/>
      <c r="AH25" s="34"/>
      <c r="AI25" s="34"/>
      <c r="AJ25" s="34"/>
      <c r="AK25" s="34"/>
      <c r="AL25" s="34">
        <v>11.64</v>
      </c>
      <c r="AM25" s="34"/>
      <c r="AN25" s="34"/>
      <c r="AO25" s="34"/>
      <c r="AP25" s="34"/>
      <c r="AQ25" s="34"/>
      <c r="AR25" s="34"/>
      <c r="AS25" s="34"/>
      <c r="AT25" s="34"/>
      <c r="AU25" s="34"/>
      <c r="AV25" s="34"/>
      <c r="AW25" s="34"/>
      <c r="AX25" s="34"/>
      <c r="AY25" s="34"/>
      <c r="AZ25" s="34"/>
      <c r="BA25" s="34"/>
      <c r="BB25" s="34"/>
      <c r="BC25" s="34"/>
      <c r="BD25" s="34"/>
      <c r="BE25" s="34"/>
      <c r="BF25" s="34"/>
      <c r="BG25" s="34"/>
      <c r="BH25" s="34"/>
      <c r="BI25" s="34"/>
      <c r="BJ25" s="34"/>
    </row>
    <row r="26" spans="1:62" s="12" customFormat="1" x14ac:dyDescent="0.2">
      <c r="A26" s="37" t="s">
        <v>938</v>
      </c>
      <c r="B26" s="34">
        <v>104.45</v>
      </c>
      <c r="C26" s="34"/>
      <c r="D26" s="34">
        <v>88.800000000000011</v>
      </c>
      <c r="E26" s="34">
        <v>15.649999999999999</v>
      </c>
      <c r="F26" s="34">
        <v>104.45</v>
      </c>
      <c r="G26" s="34">
        <v>8.6</v>
      </c>
      <c r="H26" s="34"/>
      <c r="I26" s="34"/>
      <c r="J26" s="34">
        <v>50.150000000000006</v>
      </c>
      <c r="K26" s="34"/>
      <c r="L26" s="34">
        <v>5.83</v>
      </c>
      <c r="M26" s="34"/>
      <c r="N26" s="34">
        <v>6.99</v>
      </c>
      <c r="O26" s="34"/>
      <c r="P26" s="34">
        <v>7.0500000000000007</v>
      </c>
      <c r="Q26" s="34"/>
      <c r="R26" s="34"/>
      <c r="S26" s="34"/>
      <c r="T26" s="34"/>
      <c r="U26" s="34"/>
      <c r="V26" s="34"/>
      <c r="W26" s="34"/>
      <c r="X26" s="34"/>
      <c r="Y26" s="34"/>
      <c r="Z26" s="34"/>
      <c r="AA26" s="34"/>
      <c r="AB26" s="34"/>
      <c r="AC26" s="34"/>
      <c r="AD26" s="34"/>
      <c r="AE26" s="34"/>
      <c r="AF26" s="34"/>
      <c r="AG26" s="34"/>
      <c r="AH26" s="34"/>
      <c r="AI26" s="34"/>
      <c r="AJ26" s="34"/>
      <c r="AK26" s="34"/>
      <c r="AL26" s="34">
        <v>25.83</v>
      </c>
      <c r="AM26" s="34"/>
      <c r="AN26" s="34"/>
      <c r="AO26" s="34"/>
      <c r="AP26" s="34"/>
      <c r="AQ26" s="34"/>
      <c r="AR26" s="34"/>
      <c r="AS26" s="34"/>
      <c r="AT26" s="34"/>
      <c r="AU26" s="34"/>
      <c r="AV26" s="34"/>
      <c r="AW26" s="34"/>
      <c r="AX26" s="34"/>
      <c r="AY26" s="34"/>
      <c r="AZ26" s="34"/>
      <c r="BA26" s="34"/>
      <c r="BB26" s="34"/>
      <c r="BC26" s="34"/>
      <c r="BD26" s="34"/>
      <c r="BE26" s="34"/>
      <c r="BF26" s="34"/>
      <c r="BG26" s="34"/>
      <c r="BH26" s="34"/>
      <c r="BI26" s="34"/>
      <c r="BJ26" s="34"/>
    </row>
    <row r="27" spans="1:62" s="12" customFormat="1" x14ac:dyDescent="0.2">
      <c r="A27" s="37" t="s">
        <v>939</v>
      </c>
      <c r="B27" s="34">
        <v>145.31</v>
      </c>
      <c r="C27" s="34"/>
      <c r="D27" s="34">
        <v>140.22000000000003</v>
      </c>
      <c r="E27" s="34">
        <v>5.09</v>
      </c>
      <c r="F27" s="34">
        <v>145.31</v>
      </c>
      <c r="G27" s="34">
        <v>2.79</v>
      </c>
      <c r="H27" s="34"/>
      <c r="I27" s="34"/>
      <c r="J27" s="34">
        <v>74.540000000000006</v>
      </c>
      <c r="K27" s="34"/>
      <c r="L27" s="34"/>
      <c r="M27" s="34"/>
      <c r="N27" s="34">
        <v>10.290000000000001</v>
      </c>
      <c r="O27" s="34"/>
      <c r="P27" s="34">
        <v>2.2999999999999998</v>
      </c>
      <c r="Q27" s="34"/>
      <c r="R27" s="34"/>
      <c r="S27" s="34"/>
      <c r="T27" s="34"/>
      <c r="U27" s="34"/>
      <c r="V27" s="34"/>
      <c r="W27" s="34"/>
      <c r="X27" s="34"/>
      <c r="Y27" s="34"/>
      <c r="Z27" s="34">
        <v>14.370000000000001</v>
      </c>
      <c r="AA27" s="34"/>
      <c r="AB27" s="34"/>
      <c r="AC27" s="34"/>
      <c r="AD27" s="34"/>
      <c r="AE27" s="34"/>
      <c r="AF27" s="34"/>
      <c r="AG27" s="34"/>
      <c r="AH27" s="34"/>
      <c r="AI27" s="34"/>
      <c r="AJ27" s="34"/>
      <c r="AK27" s="34"/>
      <c r="AL27" s="34">
        <v>41.019999999999996</v>
      </c>
      <c r="AM27" s="34"/>
      <c r="AN27" s="34"/>
      <c r="AO27" s="34"/>
      <c r="AP27" s="34"/>
      <c r="AQ27" s="34"/>
      <c r="AR27" s="34"/>
      <c r="AS27" s="34"/>
      <c r="AT27" s="34"/>
      <c r="AU27" s="34"/>
      <c r="AV27" s="34"/>
      <c r="AW27" s="34"/>
      <c r="AX27" s="34"/>
      <c r="AY27" s="34"/>
      <c r="AZ27" s="34"/>
      <c r="BA27" s="34"/>
      <c r="BB27" s="34"/>
      <c r="BC27" s="34"/>
      <c r="BD27" s="34"/>
      <c r="BE27" s="34"/>
      <c r="BF27" s="34"/>
      <c r="BG27" s="34"/>
      <c r="BH27" s="34"/>
      <c r="BI27" s="34"/>
      <c r="BJ27" s="34"/>
    </row>
    <row r="28" spans="1:62" s="12" customFormat="1" x14ac:dyDescent="0.2">
      <c r="A28" s="37" t="s">
        <v>940</v>
      </c>
      <c r="B28" s="34">
        <v>379.21999999999974</v>
      </c>
      <c r="C28" s="34"/>
      <c r="D28" s="34">
        <v>378.22999999999973</v>
      </c>
      <c r="E28" s="34">
        <v>0.99</v>
      </c>
      <c r="F28" s="34">
        <v>379.21999999999974</v>
      </c>
      <c r="G28" s="34">
        <v>0.54</v>
      </c>
      <c r="H28" s="34"/>
      <c r="I28" s="34"/>
      <c r="J28" s="34">
        <v>281.25999999999988</v>
      </c>
      <c r="K28" s="34"/>
      <c r="L28" s="34"/>
      <c r="M28" s="34"/>
      <c r="N28" s="34">
        <v>0.44</v>
      </c>
      <c r="O28" s="34"/>
      <c r="P28" s="34">
        <v>0.45</v>
      </c>
      <c r="Q28" s="34"/>
      <c r="R28" s="34"/>
      <c r="S28" s="34"/>
      <c r="T28" s="34"/>
      <c r="U28" s="34"/>
      <c r="V28" s="34"/>
      <c r="W28" s="34"/>
      <c r="X28" s="34"/>
      <c r="Y28" s="34"/>
      <c r="Z28" s="34">
        <v>37.099999999999994</v>
      </c>
      <c r="AA28" s="34"/>
      <c r="AB28" s="34"/>
      <c r="AC28" s="34"/>
      <c r="AD28" s="34"/>
      <c r="AE28" s="34"/>
      <c r="AF28" s="34"/>
      <c r="AG28" s="34"/>
      <c r="AH28" s="34"/>
      <c r="AI28" s="34"/>
      <c r="AJ28" s="34"/>
      <c r="AK28" s="34"/>
      <c r="AL28" s="34">
        <v>59.43</v>
      </c>
      <c r="AM28" s="34"/>
      <c r="AN28" s="34"/>
      <c r="AO28" s="34"/>
      <c r="AP28" s="34"/>
      <c r="AQ28" s="34"/>
      <c r="AR28" s="34"/>
      <c r="AS28" s="34"/>
      <c r="AT28" s="34"/>
      <c r="AU28" s="34"/>
      <c r="AV28" s="34"/>
      <c r="AW28" s="34"/>
      <c r="AX28" s="34"/>
      <c r="AY28" s="34"/>
      <c r="AZ28" s="34"/>
      <c r="BA28" s="34"/>
      <c r="BB28" s="34"/>
      <c r="BC28" s="34"/>
      <c r="BD28" s="34"/>
      <c r="BE28" s="34"/>
      <c r="BF28" s="34"/>
      <c r="BG28" s="34"/>
      <c r="BH28" s="34"/>
      <c r="BI28" s="34"/>
      <c r="BJ28" s="34"/>
    </row>
    <row r="29" spans="1:62" s="12" customFormat="1" x14ac:dyDescent="0.2">
      <c r="A29" s="37" t="s">
        <v>932</v>
      </c>
      <c r="B29" s="34">
        <v>184.05599999999998</v>
      </c>
      <c r="C29" s="34"/>
      <c r="D29" s="34">
        <v>182.01050000000001</v>
      </c>
      <c r="E29" s="34">
        <v>2.0455000000000005</v>
      </c>
      <c r="F29" s="34">
        <v>184.05599999999998</v>
      </c>
      <c r="G29" s="34">
        <v>1.1355000000000002</v>
      </c>
      <c r="H29" s="34"/>
      <c r="I29" s="34"/>
      <c r="J29" s="34">
        <v>36.64</v>
      </c>
      <c r="K29" s="34"/>
      <c r="L29" s="34"/>
      <c r="M29" s="34">
        <v>61.91</v>
      </c>
      <c r="N29" s="34">
        <v>0.9</v>
      </c>
      <c r="O29" s="34">
        <v>0.84599999999999997</v>
      </c>
      <c r="P29" s="34">
        <v>0.91</v>
      </c>
      <c r="Q29" s="34"/>
      <c r="R29" s="34"/>
      <c r="S29" s="34"/>
      <c r="T29" s="34"/>
      <c r="U29" s="34"/>
      <c r="V29" s="34"/>
      <c r="W29" s="34"/>
      <c r="X29" s="34"/>
      <c r="Y29" s="34"/>
      <c r="Z29" s="34">
        <v>70.66</v>
      </c>
      <c r="AA29" s="34"/>
      <c r="AB29" s="34"/>
      <c r="AC29" s="34"/>
      <c r="AD29" s="34"/>
      <c r="AE29" s="34"/>
      <c r="AF29" s="34"/>
      <c r="AG29" s="34"/>
      <c r="AH29" s="34"/>
      <c r="AI29" s="34"/>
      <c r="AJ29" s="34"/>
      <c r="AK29" s="34"/>
      <c r="AL29" s="34">
        <v>11.054499999999999</v>
      </c>
      <c r="AM29" s="34"/>
      <c r="AN29" s="34"/>
      <c r="AO29" s="34"/>
      <c r="AP29" s="34"/>
      <c r="AQ29" s="34"/>
      <c r="AR29" s="34"/>
      <c r="AS29" s="34"/>
      <c r="AT29" s="34"/>
      <c r="AU29" s="34"/>
      <c r="AV29" s="34"/>
      <c r="AW29" s="34"/>
      <c r="AX29" s="34"/>
      <c r="AY29" s="34"/>
      <c r="AZ29" s="34"/>
      <c r="BA29" s="34"/>
      <c r="BB29" s="34"/>
      <c r="BC29" s="34"/>
      <c r="BD29" s="34"/>
      <c r="BE29" s="34"/>
      <c r="BF29" s="34"/>
      <c r="BG29" s="34"/>
      <c r="BH29" s="34"/>
      <c r="BI29" s="34"/>
      <c r="BJ29" s="34"/>
    </row>
    <row r="30" spans="1:62" s="12" customFormat="1" x14ac:dyDescent="0.2">
      <c r="A30" s="37" t="s">
        <v>933</v>
      </c>
      <c r="B30" s="34">
        <v>121.72</v>
      </c>
      <c r="C30" s="34"/>
      <c r="D30" s="34">
        <v>114.97999999999999</v>
      </c>
      <c r="E30" s="34">
        <v>6.7400000000000011</v>
      </c>
      <c r="F30" s="34">
        <v>121.72</v>
      </c>
      <c r="G30" s="34">
        <v>3.72</v>
      </c>
      <c r="H30" s="34"/>
      <c r="I30" s="34"/>
      <c r="J30" s="34">
        <v>13.66</v>
      </c>
      <c r="K30" s="34"/>
      <c r="L30" s="34"/>
      <c r="M30" s="34"/>
      <c r="N30" s="34">
        <v>3</v>
      </c>
      <c r="O30" s="34">
        <v>0.7</v>
      </c>
      <c r="P30" s="34">
        <v>3.0200000000000005</v>
      </c>
      <c r="Q30" s="34"/>
      <c r="R30" s="34"/>
      <c r="S30" s="34"/>
      <c r="T30" s="34"/>
      <c r="U30" s="34"/>
      <c r="V30" s="34"/>
      <c r="W30" s="34"/>
      <c r="X30" s="34"/>
      <c r="Y30" s="34"/>
      <c r="Z30" s="34">
        <v>81.7</v>
      </c>
      <c r="AA30" s="34"/>
      <c r="AB30" s="34"/>
      <c r="AC30" s="34"/>
      <c r="AD30" s="34"/>
      <c r="AE30" s="34"/>
      <c r="AF30" s="34"/>
      <c r="AG30" s="34"/>
      <c r="AH30" s="34"/>
      <c r="AI30" s="34"/>
      <c r="AJ30" s="34"/>
      <c r="AK30" s="34"/>
      <c r="AL30" s="34">
        <v>15.92</v>
      </c>
      <c r="AM30" s="34"/>
      <c r="AN30" s="34"/>
      <c r="AO30" s="34"/>
      <c r="AP30" s="34"/>
      <c r="AQ30" s="34"/>
      <c r="AR30" s="34"/>
      <c r="AS30" s="34"/>
      <c r="AT30" s="34"/>
      <c r="AU30" s="34"/>
      <c r="AV30" s="34"/>
      <c r="AW30" s="34"/>
      <c r="AX30" s="34"/>
      <c r="AY30" s="34"/>
      <c r="AZ30" s="34"/>
      <c r="BA30" s="34"/>
      <c r="BB30" s="34"/>
      <c r="BC30" s="34"/>
      <c r="BD30" s="34"/>
      <c r="BE30" s="34"/>
      <c r="BF30" s="34"/>
      <c r="BG30" s="34"/>
      <c r="BH30" s="34"/>
      <c r="BI30" s="34"/>
      <c r="BJ30" s="34"/>
    </row>
    <row r="31" spans="1:62" s="16" customFormat="1" x14ac:dyDescent="0.2">
      <c r="A31" s="35" t="s">
        <v>930</v>
      </c>
      <c r="B31" s="36">
        <v>2106.8778000000002</v>
      </c>
      <c r="C31" s="36"/>
      <c r="D31" s="36">
        <v>1775.8542000000002</v>
      </c>
      <c r="E31" s="36">
        <v>331.02360000000004</v>
      </c>
      <c r="F31" s="36">
        <v>2106.8778000000002</v>
      </c>
      <c r="G31" s="36">
        <v>182.9074</v>
      </c>
      <c r="H31" s="36">
        <v>99.500900000000001</v>
      </c>
      <c r="I31" s="36">
        <v>4.149</v>
      </c>
      <c r="J31" s="36">
        <v>351.73070000000001</v>
      </c>
      <c r="K31" s="36"/>
      <c r="L31" s="36">
        <v>14.620000000000001</v>
      </c>
      <c r="M31" s="36">
        <v>126.241</v>
      </c>
      <c r="N31" s="36">
        <v>148.47619999999998</v>
      </c>
      <c r="O31" s="36">
        <v>2.0699999999999998</v>
      </c>
      <c r="P31" s="36">
        <v>148.11620000000002</v>
      </c>
      <c r="Q31" s="36"/>
      <c r="R31" s="36"/>
      <c r="S31" s="36"/>
      <c r="T31" s="36"/>
      <c r="U31" s="36"/>
      <c r="V31" s="36"/>
      <c r="W31" s="36">
        <v>0.75</v>
      </c>
      <c r="X31" s="36"/>
      <c r="Y31" s="36"/>
      <c r="Z31" s="36">
        <v>724.94</v>
      </c>
      <c r="AA31" s="36"/>
      <c r="AB31" s="36"/>
      <c r="AC31" s="36"/>
      <c r="AD31" s="36"/>
      <c r="AE31" s="36"/>
      <c r="AF31" s="36"/>
      <c r="AG31" s="36"/>
      <c r="AH31" s="36"/>
      <c r="AI31" s="36"/>
      <c r="AJ31" s="36"/>
      <c r="AK31" s="36"/>
      <c r="AL31" s="36">
        <v>303.37639999999999</v>
      </c>
      <c r="AM31" s="36"/>
      <c r="AN31" s="36"/>
      <c r="AO31" s="36"/>
      <c r="AP31" s="36"/>
      <c r="AQ31" s="36"/>
      <c r="AR31" s="36"/>
      <c r="AS31" s="36"/>
      <c r="AT31" s="36"/>
      <c r="AU31" s="36"/>
      <c r="AV31" s="36"/>
      <c r="AW31" s="36"/>
      <c r="AX31" s="36"/>
      <c r="AY31" s="36"/>
      <c r="AZ31" s="36"/>
      <c r="BA31" s="36"/>
      <c r="BB31" s="36"/>
      <c r="BC31" s="36"/>
      <c r="BD31" s="36"/>
      <c r="BE31" s="36"/>
      <c r="BF31" s="36"/>
      <c r="BG31" s="36"/>
      <c r="BH31" s="36"/>
      <c r="BI31" s="36"/>
      <c r="BJ31" s="36"/>
    </row>
    <row r="32" spans="1:62" s="12" customFormat="1" x14ac:dyDescent="0.2">
      <c r="A32" s="37" t="s">
        <v>1002</v>
      </c>
      <c r="B32" s="34">
        <v>101.6</v>
      </c>
      <c r="C32" s="34"/>
      <c r="D32" s="34">
        <v>89.509999999999991</v>
      </c>
      <c r="E32" s="34">
        <v>12.09</v>
      </c>
      <c r="F32" s="34">
        <v>101.6</v>
      </c>
      <c r="G32" s="34">
        <v>6.64</v>
      </c>
      <c r="H32" s="34"/>
      <c r="I32" s="34"/>
      <c r="J32" s="34">
        <v>6.75</v>
      </c>
      <c r="K32" s="34"/>
      <c r="L32" s="34"/>
      <c r="M32" s="34"/>
      <c r="N32" s="34">
        <v>5.39</v>
      </c>
      <c r="O32" s="34"/>
      <c r="P32" s="34">
        <v>5.45</v>
      </c>
      <c r="Q32" s="34"/>
      <c r="R32" s="34"/>
      <c r="S32" s="34"/>
      <c r="T32" s="34"/>
      <c r="U32" s="34"/>
      <c r="V32" s="34"/>
      <c r="W32" s="34"/>
      <c r="X32" s="34"/>
      <c r="Y32" s="34"/>
      <c r="Z32" s="34">
        <v>68.459999999999994</v>
      </c>
      <c r="AA32" s="34"/>
      <c r="AB32" s="34"/>
      <c r="AC32" s="34"/>
      <c r="AD32" s="34"/>
      <c r="AE32" s="34"/>
      <c r="AF32" s="34"/>
      <c r="AG32" s="34"/>
      <c r="AH32" s="34"/>
      <c r="AI32" s="34"/>
      <c r="AJ32" s="34"/>
      <c r="AK32" s="34"/>
      <c r="AL32" s="34">
        <v>8.91</v>
      </c>
      <c r="AM32" s="34"/>
      <c r="AN32" s="34"/>
      <c r="AO32" s="34"/>
      <c r="AP32" s="34"/>
      <c r="AQ32" s="34"/>
      <c r="AR32" s="34"/>
      <c r="AS32" s="34"/>
      <c r="AT32" s="34"/>
      <c r="AU32" s="34"/>
      <c r="AV32" s="34"/>
      <c r="AW32" s="34"/>
      <c r="AX32" s="34"/>
      <c r="AY32" s="34"/>
      <c r="AZ32" s="34"/>
      <c r="BA32" s="34"/>
      <c r="BB32" s="34"/>
      <c r="BC32" s="34"/>
      <c r="BD32" s="34"/>
      <c r="BE32" s="34"/>
      <c r="BF32" s="34"/>
      <c r="BG32" s="34"/>
      <c r="BH32" s="34"/>
      <c r="BI32" s="34"/>
      <c r="BJ32" s="34"/>
    </row>
    <row r="33" spans="1:62" s="12" customFormat="1" x14ac:dyDescent="0.2">
      <c r="A33" s="37" t="s">
        <v>1003</v>
      </c>
      <c r="B33" s="34">
        <v>126.26000000000002</v>
      </c>
      <c r="C33" s="34"/>
      <c r="D33" s="34">
        <v>120.93</v>
      </c>
      <c r="E33" s="34">
        <v>5.33</v>
      </c>
      <c r="F33" s="34">
        <v>126.26000000000002</v>
      </c>
      <c r="G33" s="34">
        <v>2.9299999999999997</v>
      </c>
      <c r="H33" s="34"/>
      <c r="I33" s="34"/>
      <c r="J33" s="34">
        <v>11.129999999999999</v>
      </c>
      <c r="K33" s="34"/>
      <c r="L33" s="34"/>
      <c r="M33" s="34"/>
      <c r="N33" s="34">
        <v>2.3800000000000003</v>
      </c>
      <c r="O33" s="34"/>
      <c r="P33" s="34">
        <v>2.4000000000000004</v>
      </c>
      <c r="Q33" s="34"/>
      <c r="R33" s="34"/>
      <c r="S33" s="34"/>
      <c r="T33" s="34"/>
      <c r="U33" s="34"/>
      <c r="V33" s="34"/>
      <c r="W33" s="34"/>
      <c r="X33" s="34"/>
      <c r="Y33" s="34"/>
      <c r="Z33" s="34">
        <v>93.07</v>
      </c>
      <c r="AA33" s="34"/>
      <c r="AB33" s="34"/>
      <c r="AC33" s="34"/>
      <c r="AD33" s="34"/>
      <c r="AE33" s="34"/>
      <c r="AF33" s="34"/>
      <c r="AG33" s="34"/>
      <c r="AH33" s="34"/>
      <c r="AI33" s="34"/>
      <c r="AJ33" s="34"/>
      <c r="AK33" s="34"/>
      <c r="AL33" s="34">
        <v>14.35</v>
      </c>
      <c r="AM33" s="34"/>
      <c r="AN33" s="34"/>
      <c r="AO33" s="34"/>
      <c r="AP33" s="34"/>
      <c r="AQ33" s="34"/>
      <c r="AR33" s="34"/>
      <c r="AS33" s="34"/>
      <c r="AT33" s="34"/>
      <c r="AU33" s="34"/>
      <c r="AV33" s="34"/>
      <c r="AW33" s="34"/>
      <c r="AX33" s="34"/>
      <c r="AY33" s="34"/>
      <c r="AZ33" s="34"/>
      <c r="BA33" s="34"/>
      <c r="BB33" s="34"/>
      <c r="BC33" s="34"/>
      <c r="BD33" s="34"/>
      <c r="BE33" s="34"/>
      <c r="BF33" s="34"/>
      <c r="BG33" s="34"/>
      <c r="BH33" s="34"/>
      <c r="BI33" s="34"/>
      <c r="BJ33" s="34"/>
    </row>
    <row r="34" spans="1:62" s="12" customFormat="1" x14ac:dyDescent="0.2">
      <c r="A34" s="37" t="s">
        <v>1004</v>
      </c>
      <c r="B34" s="34">
        <v>142.83999999999997</v>
      </c>
      <c r="C34" s="34"/>
      <c r="D34" s="34">
        <v>135.21999999999997</v>
      </c>
      <c r="E34" s="34">
        <v>7.6199999999999992</v>
      </c>
      <c r="F34" s="34">
        <v>142.83999999999997</v>
      </c>
      <c r="G34" s="34">
        <v>4.21</v>
      </c>
      <c r="H34" s="34"/>
      <c r="I34" s="34"/>
      <c r="J34" s="34"/>
      <c r="K34" s="34"/>
      <c r="L34" s="34"/>
      <c r="M34" s="34"/>
      <c r="N34" s="34">
        <v>3.3899999999999997</v>
      </c>
      <c r="O34" s="34"/>
      <c r="P34" s="34">
        <v>3.41</v>
      </c>
      <c r="Q34" s="34"/>
      <c r="R34" s="34"/>
      <c r="S34" s="34"/>
      <c r="T34" s="34"/>
      <c r="U34" s="34"/>
      <c r="V34" s="34"/>
      <c r="W34" s="34"/>
      <c r="X34" s="34"/>
      <c r="Y34" s="34"/>
      <c r="Z34" s="34">
        <v>112.38999999999999</v>
      </c>
      <c r="AA34" s="34"/>
      <c r="AB34" s="34"/>
      <c r="AC34" s="34"/>
      <c r="AD34" s="34"/>
      <c r="AE34" s="34"/>
      <c r="AF34" s="34"/>
      <c r="AG34" s="34"/>
      <c r="AH34" s="34"/>
      <c r="AI34" s="34"/>
      <c r="AJ34" s="34"/>
      <c r="AK34" s="34"/>
      <c r="AL34" s="34">
        <v>19.439999999999998</v>
      </c>
      <c r="AM34" s="34"/>
      <c r="AN34" s="34"/>
      <c r="AO34" s="34"/>
      <c r="AP34" s="34"/>
      <c r="AQ34" s="34"/>
      <c r="AR34" s="34"/>
      <c r="AS34" s="34"/>
      <c r="AT34" s="34"/>
      <c r="AU34" s="34"/>
      <c r="AV34" s="34"/>
      <c r="AW34" s="34"/>
      <c r="AX34" s="34"/>
      <c r="AY34" s="34"/>
      <c r="AZ34" s="34"/>
      <c r="BA34" s="34"/>
      <c r="BB34" s="34"/>
      <c r="BC34" s="34"/>
      <c r="BD34" s="34"/>
      <c r="BE34" s="34"/>
      <c r="BF34" s="34"/>
      <c r="BG34" s="34"/>
      <c r="BH34" s="34"/>
      <c r="BI34" s="34"/>
      <c r="BJ34" s="34"/>
    </row>
    <row r="35" spans="1:62" s="12" customFormat="1" x14ac:dyDescent="0.2">
      <c r="A35" s="37" t="s">
        <v>934</v>
      </c>
      <c r="B35" s="34">
        <v>143</v>
      </c>
      <c r="C35" s="34"/>
      <c r="D35" s="34">
        <v>124.17000000000003</v>
      </c>
      <c r="E35" s="34">
        <v>18.829999999999998</v>
      </c>
      <c r="F35" s="34">
        <v>143</v>
      </c>
      <c r="G35" s="34">
        <v>10.35</v>
      </c>
      <c r="H35" s="34"/>
      <c r="I35" s="34"/>
      <c r="J35" s="34">
        <v>7.59</v>
      </c>
      <c r="K35" s="34"/>
      <c r="L35" s="34"/>
      <c r="M35" s="34"/>
      <c r="N35" s="34">
        <v>8.3899999999999988</v>
      </c>
      <c r="O35" s="34"/>
      <c r="P35" s="34">
        <v>8.48</v>
      </c>
      <c r="Q35" s="34"/>
      <c r="R35" s="34"/>
      <c r="S35" s="34"/>
      <c r="T35" s="34"/>
      <c r="U35" s="34"/>
      <c r="V35" s="34"/>
      <c r="W35" s="34"/>
      <c r="X35" s="34"/>
      <c r="Y35" s="34"/>
      <c r="Z35" s="34">
        <v>90.8</v>
      </c>
      <c r="AA35" s="34"/>
      <c r="AB35" s="34"/>
      <c r="AC35" s="34"/>
      <c r="AD35" s="34"/>
      <c r="AE35" s="34"/>
      <c r="AF35" s="34"/>
      <c r="AG35" s="34"/>
      <c r="AH35" s="34"/>
      <c r="AI35" s="34"/>
      <c r="AJ35" s="34"/>
      <c r="AK35" s="34"/>
      <c r="AL35" s="34">
        <v>17.389999999999997</v>
      </c>
      <c r="AM35" s="34"/>
      <c r="AN35" s="34"/>
      <c r="AO35" s="34"/>
      <c r="AP35" s="34"/>
      <c r="AQ35" s="34"/>
      <c r="AR35" s="34"/>
      <c r="AS35" s="34"/>
      <c r="AT35" s="34"/>
      <c r="AU35" s="34"/>
      <c r="AV35" s="34"/>
      <c r="AW35" s="34"/>
      <c r="AX35" s="34"/>
      <c r="AY35" s="34"/>
      <c r="AZ35" s="34"/>
      <c r="BA35" s="34"/>
      <c r="BB35" s="34"/>
      <c r="BC35" s="34"/>
      <c r="BD35" s="34"/>
      <c r="BE35" s="34"/>
      <c r="BF35" s="34"/>
      <c r="BG35" s="34"/>
      <c r="BH35" s="34"/>
      <c r="BI35" s="34"/>
      <c r="BJ35" s="34"/>
    </row>
    <row r="36" spans="1:62" s="12" customFormat="1" x14ac:dyDescent="0.2">
      <c r="A36" s="37" t="s">
        <v>935</v>
      </c>
      <c r="B36" s="34">
        <v>183.10999999999996</v>
      </c>
      <c r="C36" s="34"/>
      <c r="D36" s="34">
        <v>155.59639999999999</v>
      </c>
      <c r="E36" s="34">
        <v>27.513599999999997</v>
      </c>
      <c r="F36" s="34">
        <v>183.10999999999996</v>
      </c>
      <c r="G36" s="34">
        <v>15.130000000000003</v>
      </c>
      <c r="H36" s="34"/>
      <c r="I36" s="34"/>
      <c r="J36" s="34">
        <v>30.1</v>
      </c>
      <c r="K36" s="34"/>
      <c r="L36" s="34"/>
      <c r="M36" s="34"/>
      <c r="N36" s="34">
        <v>12.24</v>
      </c>
      <c r="O36" s="34"/>
      <c r="P36" s="34">
        <v>12.383600000000003</v>
      </c>
      <c r="Q36" s="34"/>
      <c r="R36" s="34"/>
      <c r="S36" s="34"/>
      <c r="T36" s="34"/>
      <c r="U36" s="34"/>
      <c r="V36" s="34"/>
      <c r="W36" s="34"/>
      <c r="X36" s="34"/>
      <c r="Y36" s="34"/>
      <c r="Z36" s="34">
        <v>80.240000000000009</v>
      </c>
      <c r="AA36" s="34"/>
      <c r="AB36" s="34"/>
      <c r="AC36" s="34"/>
      <c r="AD36" s="34"/>
      <c r="AE36" s="34"/>
      <c r="AF36" s="34"/>
      <c r="AG36" s="34"/>
      <c r="AH36" s="34"/>
      <c r="AI36" s="34"/>
      <c r="AJ36" s="34"/>
      <c r="AK36" s="34"/>
      <c r="AL36" s="34">
        <v>33.016399999999997</v>
      </c>
      <c r="AM36" s="34"/>
      <c r="AN36" s="34"/>
      <c r="AO36" s="34"/>
      <c r="AP36" s="34"/>
      <c r="AQ36" s="34"/>
      <c r="AR36" s="34"/>
      <c r="AS36" s="34"/>
      <c r="AT36" s="34"/>
      <c r="AU36" s="34"/>
      <c r="AV36" s="34"/>
      <c r="AW36" s="34"/>
      <c r="AX36" s="34"/>
      <c r="AY36" s="34"/>
      <c r="AZ36" s="34"/>
      <c r="BA36" s="34"/>
      <c r="BB36" s="34"/>
      <c r="BC36" s="34"/>
      <c r="BD36" s="34"/>
      <c r="BE36" s="34"/>
      <c r="BF36" s="34"/>
      <c r="BG36" s="34"/>
      <c r="BH36" s="34"/>
      <c r="BI36" s="34"/>
      <c r="BJ36" s="34"/>
    </row>
    <row r="37" spans="1:62" s="12" customFormat="1" x14ac:dyDescent="0.2">
      <c r="A37" s="37" t="s">
        <v>936</v>
      </c>
      <c r="B37" s="34">
        <v>178.20000000000005</v>
      </c>
      <c r="C37" s="34"/>
      <c r="D37" s="34">
        <v>110.98999999999998</v>
      </c>
      <c r="E37" s="34">
        <v>67.209999999999994</v>
      </c>
      <c r="F37" s="34">
        <v>178.20000000000005</v>
      </c>
      <c r="G37" s="34">
        <v>36.949999999999996</v>
      </c>
      <c r="H37" s="34">
        <v>29.410000000000004</v>
      </c>
      <c r="I37" s="34"/>
      <c r="J37" s="34">
        <v>15.57</v>
      </c>
      <c r="K37" s="34"/>
      <c r="L37" s="34"/>
      <c r="M37" s="34">
        <v>4.3</v>
      </c>
      <c r="N37" s="34">
        <v>29.939999999999991</v>
      </c>
      <c r="O37" s="34"/>
      <c r="P37" s="34">
        <v>30.259999999999998</v>
      </c>
      <c r="Q37" s="34"/>
      <c r="R37" s="34"/>
      <c r="S37" s="34"/>
      <c r="T37" s="34"/>
      <c r="U37" s="34"/>
      <c r="V37" s="34"/>
      <c r="W37" s="34"/>
      <c r="X37" s="34"/>
      <c r="Y37" s="34"/>
      <c r="Z37" s="34">
        <v>10.629999999999999</v>
      </c>
      <c r="AA37" s="34"/>
      <c r="AB37" s="34"/>
      <c r="AC37" s="34"/>
      <c r="AD37" s="34"/>
      <c r="AE37" s="34"/>
      <c r="AF37" s="34"/>
      <c r="AG37" s="34"/>
      <c r="AH37" s="34"/>
      <c r="AI37" s="34"/>
      <c r="AJ37" s="34"/>
      <c r="AK37" s="34"/>
      <c r="AL37" s="34">
        <v>21.14</v>
      </c>
      <c r="AM37" s="34"/>
      <c r="AN37" s="34"/>
      <c r="AO37" s="34"/>
      <c r="AP37" s="34"/>
      <c r="AQ37" s="34"/>
      <c r="AR37" s="34"/>
      <c r="AS37" s="34"/>
      <c r="AT37" s="34"/>
      <c r="AU37" s="34"/>
      <c r="AV37" s="34"/>
      <c r="AW37" s="34"/>
      <c r="AX37" s="34"/>
      <c r="AY37" s="34"/>
      <c r="AZ37" s="34"/>
      <c r="BA37" s="34"/>
      <c r="BB37" s="34"/>
      <c r="BC37" s="34"/>
      <c r="BD37" s="34"/>
      <c r="BE37" s="34"/>
      <c r="BF37" s="34"/>
      <c r="BG37" s="34"/>
      <c r="BH37" s="34"/>
      <c r="BI37" s="34"/>
      <c r="BJ37" s="34"/>
    </row>
    <row r="38" spans="1:62" s="12" customFormat="1" x14ac:dyDescent="0.2">
      <c r="A38" s="37" t="s">
        <v>937</v>
      </c>
      <c r="B38" s="34">
        <v>135.97899999999998</v>
      </c>
      <c r="C38" s="34"/>
      <c r="D38" s="34">
        <v>91.499000000000024</v>
      </c>
      <c r="E38" s="34">
        <v>44.480000000000004</v>
      </c>
      <c r="F38" s="34">
        <v>135.97899999999998</v>
      </c>
      <c r="G38" s="34">
        <v>24.429999999999996</v>
      </c>
      <c r="H38" s="34"/>
      <c r="I38" s="34">
        <v>4.149</v>
      </c>
      <c r="J38" s="34">
        <v>12.32</v>
      </c>
      <c r="K38" s="34"/>
      <c r="L38" s="34"/>
      <c r="M38" s="34"/>
      <c r="N38" s="34">
        <v>19.840000000000003</v>
      </c>
      <c r="O38" s="34"/>
      <c r="P38" s="34">
        <v>20.050000000000004</v>
      </c>
      <c r="Q38" s="34"/>
      <c r="R38" s="34"/>
      <c r="S38" s="34"/>
      <c r="T38" s="34"/>
      <c r="U38" s="34"/>
      <c r="V38" s="34"/>
      <c r="W38" s="34"/>
      <c r="X38" s="34"/>
      <c r="Y38" s="34"/>
      <c r="Z38" s="34">
        <v>42.72</v>
      </c>
      <c r="AA38" s="34"/>
      <c r="AB38" s="34"/>
      <c r="AC38" s="34"/>
      <c r="AD38" s="34"/>
      <c r="AE38" s="34"/>
      <c r="AF38" s="34"/>
      <c r="AG38" s="34"/>
      <c r="AH38" s="34"/>
      <c r="AI38" s="34"/>
      <c r="AJ38" s="34"/>
      <c r="AK38" s="34"/>
      <c r="AL38" s="34">
        <v>12.469999999999999</v>
      </c>
      <c r="AM38" s="34"/>
      <c r="AN38" s="34"/>
      <c r="AO38" s="34"/>
      <c r="AP38" s="34"/>
      <c r="AQ38" s="34"/>
      <c r="AR38" s="34"/>
      <c r="AS38" s="34"/>
      <c r="AT38" s="34"/>
      <c r="AU38" s="34"/>
      <c r="AV38" s="34"/>
      <c r="AW38" s="34"/>
      <c r="AX38" s="34"/>
      <c r="AY38" s="34"/>
      <c r="AZ38" s="34"/>
      <c r="BA38" s="34"/>
      <c r="BB38" s="34"/>
      <c r="BC38" s="34"/>
      <c r="BD38" s="34"/>
      <c r="BE38" s="34"/>
      <c r="BF38" s="34"/>
      <c r="BG38" s="34"/>
      <c r="BH38" s="34"/>
      <c r="BI38" s="34"/>
      <c r="BJ38" s="34"/>
    </row>
    <row r="39" spans="1:62" s="12" customFormat="1" x14ac:dyDescent="0.2">
      <c r="A39" s="37" t="s">
        <v>938</v>
      </c>
      <c r="B39" s="34">
        <v>155.01999999999995</v>
      </c>
      <c r="C39" s="34"/>
      <c r="D39" s="34">
        <v>122.89999999999998</v>
      </c>
      <c r="E39" s="34">
        <v>32.119999999999997</v>
      </c>
      <c r="F39" s="34">
        <v>155.01999999999995</v>
      </c>
      <c r="G39" s="34">
        <v>17.66</v>
      </c>
      <c r="H39" s="34"/>
      <c r="I39" s="34"/>
      <c r="J39" s="34">
        <v>47.66</v>
      </c>
      <c r="K39" s="34"/>
      <c r="L39" s="34"/>
      <c r="M39" s="34"/>
      <c r="N39" s="34">
        <v>14.32</v>
      </c>
      <c r="O39" s="34"/>
      <c r="P39" s="34">
        <v>14.459999999999999</v>
      </c>
      <c r="Q39" s="34"/>
      <c r="R39" s="34"/>
      <c r="S39" s="34"/>
      <c r="T39" s="34"/>
      <c r="U39" s="34"/>
      <c r="V39" s="34"/>
      <c r="W39" s="34"/>
      <c r="X39" s="34"/>
      <c r="Y39" s="34"/>
      <c r="Z39" s="34">
        <v>60.02</v>
      </c>
      <c r="AA39" s="34"/>
      <c r="AB39" s="34"/>
      <c r="AC39" s="34"/>
      <c r="AD39" s="34"/>
      <c r="AE39" s="34"/>
      <c r="AF39" s="34"/>
      <c r="AG39" s="34"/>
      <c r="AH39" s="34"/>
      <c r="AI39" s="34"/>
      <c r="AJ39" s="34"/>
      <c r="AK39" s="34"/>
      <c r="AL39" s="34">
        <v>0.9</v>
      </c>
      <c r="AM39" s="34"/>
      <c r="AN39" s="34"/>
      <c r="AO39" s="34"/>
      <c r="AP39" s="34"/>
      <c r="AQ39" s="34"/>
      <c r="AR39" s="34"/>
      <c r="AS39" s="34"/>
      <c r="AT39" s="34"/>
      <c r="AU39" s="34"/>
      <c r="AV39" s="34"/>
      <c r="AW39" s="34"/>
      <c r="AX39" s="34"/>
      <c r="AY39" s="34"/>
      <c r="AZ39" s="34"/>
      <c r="BA39" s="34"/>
      <c r="BB39" s="34"/>
      <c r="BC39" s="34"/>
      <c r="BD39" s="34"/>
      <c r="BE39" s="34"/>
      <c r="BF39" s="34"/>
      <c r="BG39" s="34"/>
      <c r="BH39" s="34"/>
      <c r="BI39" s="34"/>
      <c r="BJ39" s="34"/>
    </row>
    <row r="40" spans="1:62" s="12" customFormat="1" x14ac:dyDescent="0.2">
      <c r="A40" s="37" t="s">
        <v>939</v>
      </c>
      <c r="B40" s="34">
        <v>202.86100000000002</v>
      </c>
      <c r="C40" s="34"/>
      <c r="D40" s="34">
        <v>182.08100000000002</v>
      </c>
      <c r="E40" s="34">
        <v>20.78</v>
      </c>
      <c r="F40" s="34">
        <v>202.86100000000002</v>
      </c>
      <c r="G40" s="34">
        <v>12.33</v>
      </c>
      <c r="H40" s="34"/>
      <c r="I40" s="34"/>
      <c r="J40" s="34">
        <v>85.75</v>
      </c>
      <c r="K40" s="34"/>
      <c r="L40" s="34">
        <v>9.67</v>
      </c>
      <c r="M40" s="34">
        <v>1E-3</v>
      </c>
      <c r="N40" s="34">
        <v>10.18</v>
      </c>
      <c r="O40" s="34">
        <v>2.0699999999999998</v>
      </c>
      <c r="P40" s="34">
        <v>8.4499999999999993</v>
      </c>
      <c r="Q40" s="34"/>
      <c r="R40" s="34"/>
      <c r="S40" s="34"/>
      <c r="T40" s="34"/>
      <c r="U40" s="34"/>
      <c r="V40" s="34"/>
      <c r="W40" s="34">
        <v>0.75</v>
      </c>
      <c r="X40" s="34"/>
      <c r="Y40" s="34"/>
      <c r="Z40" s="34">
        <v>67.84</v>
      </c>
      <c r="AA40" s="34"/>
      <c r="AB40" s="34"/>
      <c r="AC40" s="34"/>
      <c r="AD40" s="34"/>
      <c r="AE40" s="34"/>
      <c r="AF40" s="34"/>
      <c r="AG40" s="34"/>
      <c r="AH40" s="34"/>
      <c r="AI40" s="34"/>
      <c r="AJ40" s="34"/>
      <c r="AK40" s="34"/>
      <c r="AL40" s="34">
        <v>5.82</v>
      </c>
      <c r="AM40" s="34"/>
      <c r="AN40" s="34"/>
      <c r="AO40" s="34"/>
      <c r="AP40" s="34"/>
      <c r="AQ40" s="34"/>
      <c r="AR40" s="34"/>
      <c r="AS40" s="34"/>
      <c r="AT40" s="34"/>
      <c r="AU40" s="34"/>
      <c r="AV40" s="34"/>
      <c r="AW40" s="34"/>
      <c r="AX40" s="34"/>
      <c r="AY40" s="34"/>
      <c r="AZ40" s="34"/>
      <c r="BA40" s="34"/>
      <c r="BB40" s="34"/>
      <c r="BC40" s="34"/>
      <c r="BD40" s="34"/>
      <c r="BE40" s="34"/>
      <c r="BF40" s="34"/>
      <c r="BG40" s="34"/>
      <c r="BH40" s="34"/>
      <c r="BI40" s="34"/>
      <c r="BJ40" s="34"/>
    </row>
    <row r="41" spans="1:62" s="12" customFormat="1" x14ac:dyDescent="0.2">
      <c r="A41" s="37" t="s">
        <v>940</v>
      </c>
      <c r="B41" s="34">
        <v>226.077</v>
      </c>
      <c r="C41" s="34"/>
      <c r="D41" s="34">
        <v>175.17</v>
      </c>
      <c r="E41" s="34">
        <v>50.906999999999996</v>
      </c>
      <c r="F41" s="34">
        <v>226.077</v>
      </c>
      <c r="G41" s="34">
        <v>28.007000000000001</v>
      </c>
      <c r="H41" s="34">
        <v>21.42</v>
      </c>
      <c r="I41" s="34"/>
      <c r="J41" s="34">
        <v>67.489999999999995</v>
      </c>
      <c r="K41" s="34"/>
      <c r="L41" s="34">
        <v>4.95</v>
      </c>
      <c r="M41" s="34"/>
      <c r="N41" s="34">
        <v>22.73</v>
      </c>
      <c r="O41" s="34"/>
      <c r="P41" s="34">
        <v>22.9</v>
      </c>
      <c r="Q41" s="34"/>
      <c r="R41" s="34"/>
      <c r="S41" s="34"/>
      <c r="T41" s="34"/>
      <c r="U41" s="34"/>
      <c r="V41" s="34"/>
      <c r="W41" s="34"/>
      <c r="X41" s="34"/>
      <c r="Y41" s="34"/>
      <c r="Z41" s="34">
        <v>32.319999999999993</v>
      </c>
      <c r="AA41" s="34"/>
      <c r="AB41" s="34"/>
      <c r="AC41" s="34"/>
      <c r="AD41" s="34"/>
      <c r="AE41" s="34"/>
      <c r="AF41" s="34"/>
      <c r="AG41" s="34"/>
      <c r="AH41" s="34"/>
      <c r="AI41" s="34"/>
      <c r="AJ41" s="34"/>
      <c r="AK41" s="34"/>
      <c r="AL41" s="34">
        <v>26.26</v>
      </c>
      <c r="AM41" s="34"/>
      <c r="AN41" s="34"/>
      <c r="AO41" s="34"/>
      <c r="AP41" s="34"/>
      <c r="AQ41" s="34"/>
      <c r="AR41" s="34"/>
      <c r="AS41" s="34"/>
      <c r="AT41" s="34"/>
      <c r="AU41" s="34"/>
      <c r="AV41" s="34"/>
      <c r="AW41" s="34"/>
      <c r="AX41" s="34"/>
      <c r="AY41" s="34"/>
      <c r="AZ41" s="34"/>
      <c r="BA41" s="34"/>
      <c r="BB41" s="34"/>
      <c r="BC41" s="34"/>
      <c r="BD41" s="34"/>
      <c r="BE41" s="34"/>
      <c r="BF41" s="34"/>
      <c r="BG41" s="34"/>
      <c r="BH41" s="34"/>
      <c r="BI41" s="34"/>
      <c r="BJ41" s="34"/>
    </row>
    <row r="42" spans="1:62" s="12" customFormat="1" x14ac:dyDescent="0.2">
      <c r="A42" s="37" t="s">
        <v>932</v>
      </c>
      <c r="B42" s="34">
        <v>253.68000000000004</v>
      </c>
      <c r="C42" s="34"/>
      <c r="D42" s="34">
        <v>242.89000000000007</v>
      </c>
      <c r="E42" s="34">
        <v>10.79</v>
      </c>
      <c r="F42" s="34">
        <v>253.68000000000004</v>
      </c>
      <c r="G42" s="34">
        <v>5.9300000000000006</v>
      </c>
      <c r="H42" s="34">
        <v>2.5</v>
      </c>
      <c r="I42" s="34"/>
      <c r="J42" s="34">
        <v>3.2</v>
      </c>
      <c r="K42" s="34"/>
      <c r="L42" s="34"/>
      <c r="M42" s="34">
        <v>121.94</v>
      </c>
      <c r="N42" s="34">
        <v>4.8100000000000005</v>
      </c>
      <c r="O42" s="34"/>
      <c r="P42" s="34">
        <v>4.8599999999999994</v>
      </c>
      <c r="Q42" s="34"/>
      <c r="R42" s="34"/>
      <c r="S42" s="34"/>
      <c r="T42" s="34"/>
      <c r="U42" s="34"/>
      <c r="V42" s="34"/>
      <c r="W42" s="34"/>
      <c r="X42" s="34"/>
      <c r="Y42" s="34"/>
      <c r="Z42" s="34">
        <v>31.5</v>
      </c>
      <c r="AA42" s="34"/>
      <c r="AB42" s="34"/>
      <c r="AC42" s="34"/>
      <c r="AD42" s="34"/>
      <c r="AE42" s="34"/>
      <c r="AF42" s="34"/>
      <c r="AG42" s="34"/>
      <c r="AH42" s="34"/>
      <c r="AI42" s="34"/>
      <c r="AJ42" s="34"/>
      <c r="AK42" s="34"/>
      <c r="AL42" s="34">
        <v>78.94</v>
      </c>
      <c r="AM42" s="34"/>
      <c r="AN42" s="34"/>
      <c r="AO42" s="34"/>
      <c r="AP42" s="34"/>
      <c r="AQ42" s="34"/>
      <c r="AR42" s="34"/>
      <c r="AS42" s="34"/>
      <c r="AT42" s="34"/>
      <c r="AU42" s="34"/>
      <c r="AV42" s="34"/>
      <c r="AW42" s="34"/>
      <c r="AX42" s="34"/>
      <c r="AY42" s="34"/>
      <c r="AZ42" s="34"/>
      <c r="BA42" s="34"/>
      <c r="BB42" s="34"/>
      <c r="BC42" s="34"/>
      <c r="BD42" s="34"/>
      <c r="BE42" s="34"/>
      <c r="BF42" s="34"/>
      <c r="BG42" s="34"/>
      <c r="BH42" s="34"/>
      <c r="BI42" s="34"/>
      <c r="BJ42" s="34"/>
    </row>
    <row r="43" spans="1:62" s="12" customFormat="1" x14ac:dyDescent="0.2">
      <c r="A43" s="37" t="s">
        <v>933</v>
      </c>
      <c r="B43" s="34">
        <v>258.25080000000003</v>
      </c>
      <c r="C43" s="34"/>
      <c r="D43" s="34">
        <v>224.89780000000002</v>
      </c>
      <c r="E43" s="34">
        <v>33.353000000000002</v>
      </c>
      <c r="F43" s="34">
        <v>258.25080000000003</v>
      </c>
      <c r="G43" s="34">
        <v>18.340399999999999</v>
      </c>
      <c r="H43" s="34">
        <v>46.170899999999996</v>
      </c>
      <c r="I43" s="34"/>
      <c r="J43" s="34">
        <v>64.170699999999997</v>
      </c>
      <c r="K43" s="34"/>
      <c r="L43" s="34"/>
      <c r="M43" s="34"/>
      <c r="N43" s="34">
        <v>14.866200000000001</v>
      </c>
      <c r="O43" s="34"/>
      <c r="P43" s="34">
        <v>15.012600000000003</v>
      </c>
      <c r="Q43" s="34"/>
      <c r="R43" s="34"/>
      <c r="S43" s="34"/>
      <c r="T43" s="34"/>
      <c r="U43" s="34"/>
      <c r="V43" s="34"/>
      <c r="W43" s="34"/>
      <c r="X43" s="34"/>
      <c r="Y43" s="34"/>
      <c r="Z43" s="34">
        <v>34.950000000000003</v>
      </c>
      <c r="AA43" s="34"/>
      <c r="AB43" s="34"/>
      <c r="AC43" s="34"/>
      <c r="AD43" s="34"/>
      <c r="AE43" s="34"/>
      <c r="AF43" s="34"/>
      <c r="AG43" s="34"/>
      <c r="AH43" s="34"/>
      <c r="AI43" s="34"/>
      <c r="AJ43" s="34"/>
      <c r="AK43" s="34"/>
      <c r="AL43" s="34">
        <v>64.740000000000009</v>
      </c>
      <c r="AM43" s="34"/>
      <c r="AN43" s="34"/>
      <c r="AO43" s="34"/>
      <c r="AP43" s="34"/>
      <c r="AQ43" s="34"/>
      <c r="AR43" s="34"/>
      <c r="AS43" s="34"/>
      <c r="AT43" s="34"/>
      <c r="AU43" s="34"/>
      <c r="AV43" s="34"/>
      <c r="AW43" s="34"/>
      <c r="AX43" s="34"/>
      <c r="AY43" s="34"/>
      <c r="AZ43" s="34"/>
      <c r="BA43" s="34"/>
      <c r="BB43" s="34"/>
      <c r="BC43" s="34"/>
      <c r="BD43" s="34"/>
      <c r="BE43" s="34"/>
      <c r="BF43" s="34"/>
      <c r="BG43" s="34"/>
      <c r="BH43" s="34"/>
      <c r="BI43" s="34"/>
      <c r="BJ43" s="34"/>
    </row>
    <row r="44" spans="1:62" s="16" customFormat="1" x14ac:dyDescent="0.2">
      <c r="A44" s="35" t="s">
        <v>931</v>
      </c>
      <c r="B44" s="36">
        <v>788.12930000000006</v>
      </c>
      <c r="C44" s="36"/>
      <c r="D44" s="36">
        <v>586.85769999999991</v>
      </c>
      <c r="E44" s="36">
        <v>201.27160000000001</v>
      </c>
      <c r="F44" s="36">
        <v>788.12930000000006</v>
      </c>
      <c r="G44" s="36">
        <v>110.7512</v>
      </c>
      <c r="H44" s="36">
        <v>280.92059999999998</v>
      </c>
      <c r="I44" s="36"/>
      <c r="J44" s="36">
        <v>140.66899999999998</v>
      </c>
      <c r="K44" s="36"/>
      <c r="L44" s="36"/>
      <c r="M44" s="36"/>
      <c r="N44" s="36">
        <v>89.668099999999995</v>
      </c>
      <c r="O44" s="36"/>
      <c r="P44" s="36">
        <v>90.520399999999995</v>
      </c>
      <c r="Q44" s="36"/>
      <c r="R44" s="36"/>
      <c r="S44" s="36"/>
      <c r="T44" s="36"/>
      <c r="U44" s="36"/>
      <c r="V44" s="36"/>
      <c r="W44" s="36"/>
      <c r="X44" s="36"/>
      <c r="Y44" s="36"/>
      <c r="Z44" s="36">
        <v>10.8</v>
      </c>
      <c r="AA44" s="36"/>
      <c r="AB44" s="36"/>
      <c r="AC44" s="36"/>
      <c r="AD44" s="36"/>
      <c r="AE44" s="36"/>
      <c r="AF44" s="36"/>
      <c r="AG44" s="36"/>
      <c r="AH44" s="36"/>
      <c r="AI44" s="36"/>
      <c r="AJ44" s="36"/>
      <c r="AK44" s="36"/>
      <c r="AL44" s="36">
        <v>64.800000000000011</v>
      </c>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6"/>
    </row>
    <row r="45" spans="1:62" s="12" customFormat="1" x14ac:dyDescent="0.2">
      <c r="A45" s="37" t="s">
        <v>1002</v>
      </c>
      <c r="B45" s="34">
        <v>516.72950000000003</v>
      </c>
      <c r="C45" s="34"/>
      <c r="D45" s="34">
        <v>452.40599999999995</v>
      </c>
      <c r="E45" s="34">
        <v>64.32350000000001</v>
      </c>
      <c r="F45" s="34">
        <v>516.72950000000003</v>
      </c>
      <c r="G45" s="34">
        <v>35.369599999999998</v>
      </c>
      <c r="H45" s="34">
        <v>271.07059999999996</v>
      </c>
      <c r="I45" s="34"/>
      <c r="J45" s="34">
        <v>112.749</v>
      </c>
      <c r="K45" s="34"/>
      <c r="L45" s="34"/>
      <c r="M45" s="34"/>
      <c r="N45" s="34">
        <v>28.656400000000001</v>
      </c>
      <c r="O45" s="34"/>
      <c r="P45" s="34">
        <v>28.953900000000004</v>
      </c>
      <c r="Q45" s="34"/>
      <c r="R45" s="34"/>
      <c r="S45" s="34"/>
      <c r="T45" s="34"/>
      <c r="U45" s="34"/>
      <c r="V45" s="34"/>
      <c r="W45" s="34"/>
      <c r="X45" s="34"/>
      <c r="Y45" s="34"/>
      <c r="Z45" s="34">
        <v>10.8</v>
      </c>
      <c r="AA45" s="34"/>
      <c r="AB45" s="34"/>
      <c r="AC45" s="34"/>
      <c r="AD45" s="34"/>
      <c r="AE45" s="34"/>
      <c r="AF45" s="34"/>
      <c r="AG45" s="34"/>
      <c r="AH45" s="34"/>
      <c r="AI45" s="34"/>
      <c r="AJ45" s="34"/>
      <c r="AK45" s="34"/>
      <c r="AL45" s="34">
        <v>29.13</v>
      </c>
      <c r="AM45" s="34"/>
      <c r="AN45" s="34"/>
      <c r="AO45" s="34"/>
      <c r="AP45" s="34"/>
      <c r="AQ45" s="34"/>
      <c r="AR45" s="34"/>
      <c r="AS45" s="34"/>
      <c r="AT45" s="34"/>
      <c r="AU45" s="34"/>
      <c r="AV45" s="34"/>
      <c r="AW45" s="34"/>
      <c r="AX45" s="34"/>
      <c r="AY45" s="34"/>
      <c r="AZ45" s="34"/>
      <c r="BA45" s="34"/>
      <c r="BB45" s="34"/>
      <c r="BC45" s="34"/>
      <c r="BD45" s="34"/>
      <c r="BE45" s="34"/>
      <c r="BF45" s="34"/>
      <c r="BG45" s="34"/>
      <c r="BH45" s="34"/>
      <c r="BI45" s="34"/>
      <c r="BJ45" s="34"/>
    </row>
    <row r="46" spans="1:62" s="12" customFormat="1" x14ac:dyDescent="0.2">
      <c r="A46" s="37" t="s">
        <v>1003</v>
      </c>
      <c r="B46" s="34">
        <v>104.39980000000003</v>
      </c>
      <c r="C46" s="34"/>
      <c r="D46" s="34">
        <v>55.911899999999989</v>
      </c>
      <c r="E46" s="34">
        <v>48.487899999999996</v>
      </c>
      <c r="F46" s="34">
        <v>104.39980000000003</v>
      </c>
      <c r="G46" s="34">
        <v>26.661899999999996</v>
      </c>
      <c r="H46" s="34">
        <v>9.85</v>
      </c>
      <c r="I46" s="34"/>
      <c r="J46" s="34">
        <v>8</v>
      </c>
      <c r="K46" s="34"/>
      <c r="L46" s="34"/>
      <c r="M46" s="34"/>
      <c r="N46" s="34">
        <v>21.601899999999997</v>
      </c>
      <c r="O46" s="34"/>
      <c r="P46" s="34">
        <v>21.825999999999997</v>
      </c>
      <c r="Q46" s="34"/>
      <c r="R46" s="34"/>
      <c r="S46" s="34"/>
      <c r="T46" s="34"/>
      <c r="U46" s="34"/>
      <c r="V46" s="34"/>
      <c r="W46" s="34"/>
      <c r="X46" s="34"/>
      <c r="Y46" s="34"/>
      <c r="Z46" s="34"/>
      <c r="AA46" s="34"/>
      <c r="AB46" s="34"/>
      <c r="AC46" s="34"/>
      <c r="AD46" s="34"/>
      <c r="AE46" s="34"/>
      <c r="AF46" s="34"/>
      <c r="AG46" s="34"/>
      <c r="AH46" s="34"/>
      <c r="AI46" s="34"/>
      <c r="AJ46" s="34"/>
      <c r="AK46" s="34"/>
      <c r="AL46" s="34">
        <v>16.46</v>
      </c>
      <c r="AM46" s="34"/>
      <c r="AN46" s="34"/>
      <c r="AO46" s="34"/>
      <c r="AP46" s="34"/>
      <c r="AQ46" s="34"/>
      <c r="AR46" s="34"/>
      <c r="AS46" s="34"/>
      <c r="AT46" s="34"/>
      <c r="AU46" s="34"/>
      <c r="AV46" s="34"/>
      <c r="AW46" s="34"/>
      <c r="AX46" s="34"/>
      <c r="AY46" s="34"/>
      <c r="AZ46" s="34"/>
      <c r="BA46" s="34"/>
      <c r="BB46" s="34"/>
      <c r="BC46" s="34"/>
      <c r="BD46" s="34"/>
      <c r="BE46" s="34"/>
      <c r="BF46" s="34"/>
      <c r="BG46" s="34"/>
      <c r="BH46" s="34"/>
      <c r="BI46" s="34"/>
      <c r="BJ46" s="34"/>
    </row>
    <row r="47" spans="1:62" s="12" customFormat="1" x14ac:dyDescent="0.2">
      <c r="A47" s="37" t="s">
        <v>1004</v>
      </c>
      <c r="B47" s="34">
        <v>61.110200000000006</v>
      </c>
      <c r="C47" s="34"/>
      <c r="D47" s="34">
        <v>37.076900000000002</v>
      </c>
      <c r="E47" s="34">
        <v>24.033300000000001</v>
      </c>
      <c r="F47" s="34">
        <v>61.110200000000006</v>
      </c>
      <c r="G47" s="34">
        <v>13.215199999999999</v>
      </c>
      <c r="H47" s="34"/>
      <c r="I47" s="34"/>
      <c r="J47" s="34">
        <v>19.920000000000002</v>
      </c>
      <c r="K47" s="34"/>
      <c r="L47" s="34"/>
      <c r="M47" s="34"/>
      <c r="N47" s="34">
        <v>10.706900000000001</v>
      </c>
      <c r="O47" s="34"/>
      <c r="P47" s="34">
        <v>10.818099999999999</v>
      </c>
      <c r="Q47" s="34"/>
      <c r="R47" s="34"/>
      <c r="S47" s="34"/>
      <c r="T47" s="34"/>
      <c r="U47" s="34"/>
      <c r="V47" s="34"/>
      <c r="W47" s="34"/>
      <c r="X47" s="34"/>
      <c r="Y47" s="34"/>
      <c r="Z47" s="34"/>
      <c r="AA47" s="34"/>
      <c r="AB47" s="34"/>
      <c r="AC47" s="34"/>
      <c r="AD47" s="34"/>
      <c r="AE47" s="34"/>
      <c r="AF47" s="34"/>
      <c r="AG47" s="34"/>
      <c r="AH47" s="34"/>
      <c r="AI47" s="34"/>
      <c r="AJ47" s="34"/>
      <c r="AK47" s="34"/>
      <c r="AL47" s="34">
        <v>6.4499999999999993</v>
      </c>
      <c r="AM47" s="34"/>
      <c r="AN47" s="34"/>
      <c r="AO47" s="34"/>
      <c r="AP47" s="34"/>
      <c r="AQ47" s="34"/>
      <c r="AR47" s="34"/>
      <c r="AS47" s="34"/>
      <c r="AT47" s="34"/>
      <c r="AU47" s="34"/>
      <c r="AV47" s="34"/>
      <c r="AW47" s="34"/>
      <c r="AX47" s="34"/>
      <c r="AY47" s="34"/>
      <c r="AZ47" s="34"/>
      <c r="BA47" s="34"/>
      <c r="BB47" s="34"/>
      <c r="BC47" s="34"/>
      <c r="BD47" s="34"/>
      <c r="BE47" s="34"/>
      <c r="BF47" s="34"/>
      <c r="BG47" s="34"/>
      <c r="BH47" s="34"/>
      <c r="BI47" s="34"/>
      <c r="BJ47" s="34"/>
    </row>
    <row r="48" spans="1:62" s="12" customFormat="1" x14ac:dyDescent="0.2">
      <c r="A48" s="37" t="s">
        <v>934</v>
      </c>
      <c r="B48" s="34">
        <v>42.549900000000001</v>
      </c>
      <c r="C48" s="34"/>
      <c r="D48" s="34">
        <v>18.8765</v>
      </c>
      <c r="E48" s="34">
        <v>23.673400000000001</v>
      </c>
      <c r="F48" s="34">
        <v>42.549900000000001</v>
      </c>
      <c r="G48" s="34">
        <v>13.017299999999997</v>
      </c>
      <c r="H48" s="34"/>
      <c r="I48" s="34"/>
      <c r="J48" s="34"/>
      <c r="K48" s="34"/>
      <c r="L48" s="34"/>
      <c r="M48" s="34"/>
      <c r="N48" s="34">
        <v>10.5465</v>
      </c>
      <c r="O48" s="34"/>
      <c r="P48" s="34">
        <v>10.6561</v>
      </c>
      <c r="Q48" s="34"/>
      <c r="R48" s="34"/>
      <c r="S48" s="34"/>
      <c r="T48" s="34"/>
      <c r="U48" s="34"/>
      <c r="V48" s="34"/>
      <c r="W48" s="34"/>
      <c r="X48" s="34"/>
      <c r="Y48" s="34"/>
      <c r="Z48" s="34"/>
      <c r="AA48" s="34"/>
      <c r="AB48" s="34"/>
      <c r="AC48" s="34"/>
      <c r="AD48" s="34"/>
      <c r="AE48" s="34"/>
      <c r="AF48" s="34"/>
      <c r="AG48" s="34"/>
      <c r="AH48" s="34"/>
      <c r="AI48" s="34"/>
      <c r="AJ48" s="34"/>
      <c r="AK48" s="34"/>
      <c r="AL48" s="34">
        <v>8.33</v>
      </c>
      <c r="AM48" s="34"/>
      <c r="AN48" s="34"/>
      <c r="AO48" s="34"/>
      <c r="AP48" s="34"/>
      <c r="AQ48" s="34"/>
      <c r="AR48" s="34"/>
      <c r="AS48" s="34"/>
      <c r="AT48" s="34"/>
      <c r="AU48" s="34"/>
      <c r="AV48" s="34"/>
      <c r="AW48" s="34"/>
      <c r="AX48" s="34"/>
      <c r="AY48" s="34"/>
      <c r="AZ48" s="34"/>
      <c r="BA48" s="34"/>
      <c r="BB48" s="34"/>
      <c r="BC48" s="34"/>
      <c r="BD48" s="34"/>
      <c r="BE48" s="34"/>
      <c r="BF48" s="34"/>
      <c r="BG48" s="34"/>
      <c r="BH48" s="34"/>
      <c r="BI48" s="34"/>
      <c r="BJ48" s="34"/>
    </row>
    <row r="49" spans="1:62" s="12" customFormat="1" x14ac:dyDescent="0.2">
      <c r="A49" s="37" t="s">
        <v>935</v>
      </c>
      <c r="B49" s="34">
        <v>48.849900000000005</v>
      </c>
      <c r="C49" s="34"/>
      <c r="D49" s="34">
        <v>15.055800000000001</v>
      </c>
      <c r="E49" s="34">
        <v>33.7941</v>
      </c>
      <c r="F49" s="34">
        <v>48.849900000000005</v>
      </c>
      <c r="G49" s="34">
        <v>18.660400000000003</v>
      </c>
      <c r="H49" s="34"/>
      <c r="I49" s="34"/>
      <c r="J49" s="34"/>
      <c r="K49" s="34"/>
      <c r="L49" s="34"/>
      <c r="M49" s="34"/>
      <c r="N49" s="34">
        <v>15.055800000000001</v>
      </c>
      <c r="O49" s="34"/>
      <c r="P49" s="34">
        <v>15.133699999999997</v>
      </c>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O49" s="34"/>
      <c r="AP49" s="34"/>
      <c r="AQ49" s="34"/>
      <c r="AR49" s="34"/>
      <c r="AS49" s="34"/>
      <c r="AT49" s="34"/>
      <c r="AU49" s="34"/>
      <c r="AV49" s="34"/>
      <c r="AW49" s="34"/>
      <c r="AX49" s="34"/>
      <c r="AY49" s="34"/>
      <c r="AZ49" s="34"/>
      <c r="BA49" s="34"/>
      <c r="BB49" s="34"/>
      <c r="BC49" s="34"/>
      <c r="BD49" s="34"/>
      <c r="BE49" s="34"/>
      <c r="BF49" s="34"/>
      <c r="BG49" s="34"/>
      <c r="BH49" s="34"/>
      <c r="BI49" s="34"/>
      <c r="BJ49" s="34"/>
    </row>
    <row r="50" spans="1:62" s="12" customFormat="1" x14ac:dyDescent="0.2">
      <c r="A50" s="37" t="s">
        <v>936</v>
      </c>
      <c r="B50" s="34">
        <v>14.49</v>
      </c>
      <c r="C50" s="34"/>
      <c r="D50" s="34">
        <v>7.5305999999999997</v>
      </c>
      <c r="E50" s="34">
        <v>6.9593999999999987</v>
      </c>
      <c r="F50" s="34">
        <v>14.49</v>
      </c>
      <c r="G50" s="34">
        <v>3.8268000000000004</v>
      </c>
      <c r="H50" s="34"/>
      <c r="I50" s="34"/>
      <c r="J50" s="34"/>
      <c r="K50" s="34"/>
      <c r="L50" s="34"/>
      <c r="M50" s="34"/>
      <c r="N50" s="34">
        <v>3.1006</v>
      </c>
      <c r="O50" s="34"/>
      <c r="P50" s="34">
        <v>3.1325999999999996</v>
      </c>
      <c r="Q50" s="34"/>
      <c r="R50" s="34"/>
      <c r="S50" s="34"/>
      <c r="T50" s="34"/>
      <c r="U50" s="34"/>
      <c r="V50" s="34"/>
      <c r="W50" s="34"/>
      <c r="X50" s="34"/>
      <c r="Y50" s="34"/>
      <c r="Z50" s="34"/>
      <c r="AA50" s="34"/>
      <c r="AB50" s="34"/>
      <c r="AC50" s="34"/>
      <c r="AD50" s="34"/>
      <c r="AE50" s="34"/>
      <c r="AF50" s="34"/>
      <c r="AG50" s="34"/>
      <c r="AH50" s="34"/>
      <c r="AI50" s="34"/>
      <c r="AJ50" s="34"/>
      <c r="AK50" s="34"/>
      <c r="AL50" s="34">
        <v>4.43</v>
      </c>
      <c r="AM50" s="34"/>
      <c r="AN50" s="34"/>
      <c r="AO50" s="34"/>
      <c r="AP50" s="34"/>
      <c r="AQ50" s="34"/>
      <c r="AR50" s="34"/>
      <c r="AS50" s="34"/>
      <c r="AT50" s="34"/>
      <c r="AU50" s="34"/>
      <c r="AV50" s="34"/>
      <c r="AW50" s="34"/>
      <c r="AX50" s="34"/>
      <c r="AY50" s="34"/>
      <c r="AZ50" s="34"/>
      <c r="BA50" s="34"/>
      <c r="BB50" s="34"/>
      <c r="BC50" s="34"/>
      <c r="BD50" s="34"/>
      <c r="BE50" s="34"/>
      <c r="BF50" s="34"/>
      <c r="BG50" s="34"/>
      <c r="BH50" s="34"/>
      <c r="BI50" s="34"/>
      <c r="BJ50" s="34"/>
    </row>
    <row r="51" spans="1:62" s="12" customFormat="1" hidden="1" x14ac:dyDescent="0.2">
      <c r="A51" s="33" t="s">
        <v>925</v>
      </c>
      <c r="B51" s="34">
        <v>134836.50579999978</v>
      </c>
      <c r="C51" s="34">
        <v>0</v>
      </c>
      <c r="D51" s="34">
        <v>15157.9092</v>
      </c>
      <c r="E51" s="34">
        <v>1308.1965999999998</v>
      </c>
      <c r="F51" s="34">
        <v>16466.105800000005</v>
      </c>
      <c r="G51" s="34">
        <v>1063.3017000000004</v>
      </c>
      <c r="H51" s="34">
        <v>1141.2644999999995</v>
      </c>
      <c r="I51" s="34">
        <v>30.027000000000001</v>
      </c>
      <c r="J51" s="34">
        <v>14711.549099999998</v>
      </c>
      <c r="K51" s="34">
        <v>0</v>
      </c>
      <c r="L51" s="34">
        <v>61.35</v>
      </c>
      <c r="M51" s="34">
        <v>733.10099999999989</v>
      </c>
      <c r="N51" s="34">
        <v>906.96449999999993</v>
      </c>
      <c r="O51" s="34">
        <v>10.847999999999999</v>
      </c>
      <c r="P51" s="34">
        <v>865.03980000000013</v>
      </c>
      <c r="Q51" s="34">
        <v>0</v>
      </c>
      <c r="R51" s="34">
        <v>0</v>
      </c>
      <c r="S51" s="34">
        <v>0</v>
      </c>
      <c r="T51" s="34">
        <v>0</v>
      </c>
      <c r="U51" s="34">
        <v>0</v>
      </c>
      <c r="V51" s="34">
        <v>0</v>
      </c>
      <c r="W51" s="34">
        <v>2.25</v>
      </c>
      <c r="X51" s="34">
        <v>0</v>
      </c>
      <c r="Y51" s="34">
        <v>0</v>
      </c>
      <c r="Z51" s="34">
        <v>2818.7099999999996</v>
      </c>
      <c r="AA51" s="34">
        <v>0</v>
      </c>
      <c r="AB51" s="34">
        <v>0</v>
      </c>
      <c r="AC51" s="34">
        <v>0</v>
      </c>
      <c r="AD51" s="34">
        <v>0</v>
      </c>
      <c r="AE51" s="34">
        <v>0</v>
      </c>
      <c r="AF51" s="34">
        <v>73.027799999999999</v>
      </c>
      <c r="AG51" s="34">
        <v>0</v>
      </c>
      <c r="AH51" s="34">
        <v>0</v>
      </c>
      <c r="AI51" s="34">
        <v>0</v>
      </c>
      <c r="AJ51" s="34">
        <v>0</v>
      </c>
      <c r="AK51" s="34">
        <v>27.300599999999996</v>
      </c>
      <c r="AL51" s="34">
        <v>2254.4247</v>
      </c>
      <c r="AM51" s="34">
        <v>0</v>
      </c>
      <c r="AN51" s="34">
        <v>0</v>
      </c>
      <c r="AO51" s="34">
        <v>0</v>
      </c>
      <c r="AP51" s="34">
        <v>118370.4</v>
      </c>
      <c r="AQ51" s="34">
        <v>0</v>
      </c>
      <c r="AR51" s="34">
        <v>118370.4</v>
      </c>
      <c r="AS51" s="34">
        <v>177555.59999999998</v>
      </c>
      <c r="AT51" s="34">
        <v>0</v>
      </c>
      <c r="AU51" s="34">
        <v>0</v>
      </c>
      <c r="AV51" s="34">
        <v>0</v>
      </c>
      <c r="AW51" s="34">
        <v>0</v>
      </c>
      <c r="AX51" s="34">
        <v>0</v>
      </c>
      <c r="AY51" s="34">
        <v>0</v>
      </c>
      <c r="AZ51" s="34">
        <v>0</v>
      </c>
      <c r="BA51" s="34">
        <v>0</v>
      </c>
      <c r="BB51" s="34">
        <v>0</v>
      </c>
      <c r="BC51" s="34">
        <v>0</v>
      </c>
      <c r="BD51" s="34">
        <v>0</v>
      </c>
      <c r="BE51" s="34">
        <v>0</v>
      </c>
      <c r="BF51" s="34">
        <v>0</v>
      </c>
      <c r="BG51" s="34">
        <v>0</v>
      </c>
      <c r="BH51" s="34">
        <v>0</v>
      </c>
      <c r="BI51" s="34">
        <v>0</v>
      </c>
      <c r="BJ51" s="34">
        <v>0</v>
      </c>
    </row>
    <row r="52" spans="1:62" s="17" customFormat="1" x14ac:dyDescent="0.2">
      <c r="A52" s="38" t="s">
        <v>1007</v>
      </c>
      <c r="B52" s="39">
        <f t="shared" ref="B52:J52" si="0">SUM(B44,B31,B18,B8,B5)</f>
        <v>67418.252900000007</v>
      </c>
      <c r="C52" s="39">
        <f t="shared" si="0"/>
        <v>0</v>
      </c>
      <c r="D52" s="39">
        <f t="shared" si="0"/>
        <v>7578.9546000000009</v>
      </c>
      <c r="E52" s="39">
        <f t="shared" si="0"/>
        <v>654.09829999999999</v>
      </c>
      <c r="F52" s="39">
        <f t="shared" si="0"/>
        <v>8233.0529000000006</v>
      </c>
      <c r="G52" s="39">
        <f t="shared" si="0"/>
        <v>354.43389999999999</v>
      </c>
      <c r="H52" s="39">
        <f t="shared" si="0"/>
        <v>380.42149999999998</v>
      </c>
      <c r="I52" s="39">
        <f t="shared" si="0"/>
        <v>10.009</v>
      </c>
      <c r="J52" s="39">
        <f t="shared" si="0"/>
        <v>4903.8496999999998</v>
      </c>
      <c r="K52" s="39">
        <f t="shared" ref="K52:M52" si="1">SUM(K44,K31,K18,K8,K5)</f>
        <v>0</v>
      </c>
      <c r="L52" s="39">
        <f t="shared" si="1"/>
        <v>20.450000000000003</v>
      </c>
      <c r="M52" s="39">
        <f t="shared" si="1"/>
        <v>244.36700000000002</v>
      </c>
      <c r="N52" s="39">
        <f>SUM(N44,N31,N18,N8,N5)</f>
        <v>302.32149999999996</v>
      </c>
      <c r="O52" s="39">
        <f t="shared" ref="O52:BJ52" si="2">SUM(O44,O31,O18,O8,O5)</f>
        <v>3.6159999999999997</v>
      </c>
      <c r="P52" s="39">
        <f t="shared" si="2"/>
        <v>288.34660000000002</v>
      </c>
      <c r="Q52" s="39">
        <f t="shared" si="2"/>
        <v>0</v>
      </c>
      <c r="R52" s="39">
        <f t="shared" si="2"/>
        <v>0</v>
      </c>
      <c r="S52" s="39">
        <f t="shared" si="2"/>
        <v>0</v>
      </c>
      <c r="T52" s="39">
        <f t="shared" si="2"/>
        <v>0</v>
      </c>
      <c r="U52" s="39">
        <f t="shared" si="2"/>
        <v>0</v>
      </c>
      <c r="V52" s="39">
        <f t="shared" si="2"/>
        <v>0</v>
      </c>
      <c r="W52" s="39">
        <f t="shared" si="2"/>
        <v>0.75</v>
      </c>
      <c r="X52" s="39">
        <f t="shared" si="2"/>
        <v>0</v>
      </c>
      <c r="Y52" s="39">
        <f t="shared" si="2"/>
        <v>0</v>
      </c>
      <c r="Z52" s="39">
        <f t="shared" si="2"/>
        <v>939.56999999999994</v>
      </c>
      <c r="AA52" s="39">
        <f t="shared" si="2"/>
        <v>0</v>
      </c>
      <c r="AB52" s="39">
        <f t="shared" si="2"/>
        <v>0</v>
      </c>
      <c r="AC52" s="39">
        <f t="shared" si="2"/>
        <v>0</v>
      </c>
      <c r="AD52" s="39">
        <f t="shared" si="2"/>
        <v>0</v>
      </c>
      <c r="AE52" s="39">
        <f t="shared" si="2"/>
        <v>0</v>
      </c>
      <c r="AF52" s="39">
        <f t="shared" si="2"/>
        <v>24.342600000000001</v>
      </c>
      <c r="AG52" s="39">
        <f t="shared" si="2"/>
        <v>0</v>
      </c>
      <c r="AH52" s="39">
        <f t="shared" si="2"/>
        <v>0</v>
      </c>
      <c r="AI52" s="39">
        <f t="shared" si="2"/>
        <v>0</v>
      </c>
      <c r="AJ52" s="39">
        <f t="shared" si="2"/>
        <v>0</v>
      </c>
      <c r="AK52" s="39">
        <f t="shared" si="2"/>
        <v>9.1001999999999992</v>
      </c>
      <c r="AL52" s="39">
        <f t="shared" si="2"/>
        <v>751.47489999999993</v>
      </c>
      <c r="AM52" s="39">
        <f t="shared" si="2"/>
        <v>0</v>
      </c>
      <c r="AN52" s="39">
        <f t="shared" si="2"/>
        <v>0</v>
      </c>
      <c r="AO52" s="39">
        <f t="shared" si="2"/>
        <v>0</v>
      </c>
      <c r="AP52" s="39">
        <f t="shared" si="2"/>
        <v>59185.2</v>
      </c>
      <c r="AQ52" s="39">
        <f t="shared" si="2"/>
        <v>0</v>
      </c>
      <c r="AR52" s="39">
        <f t="shared" si="2"/>
        <v>59185.2</v>
      </c>
      <c r="AS52" s="39">
        <f t="shared" si="2"/>
        <v>59185.2</v>
      </c>
      <c r="AT52" s="39">
        <f t="shared" si="2"/>
        <v>0</v>
      </c>
      <c r="AU52" s="39">
        <f t="shared" si="2"/>
        <v>0</v>
      </c>
      <c r="AV52" s="39">
        <f t="shared" si="2"/>
        <v>0</v>
      </c>
      <c r="AW52" s="39">
        <f t="shared" si="2"/>
        <v>0</v>
      </c>
      <c r="AX52" s="39">
        <f t="shared" si="2"/>
        <v>0</v>
      </c>
      <c r="AY52" s="39">
        <f t="shared" si="2"/>
        <v>0</v>
      </c>
      <c r="AZ52" s="39">
        <f t="shared" si="2"/>
        <v>0</v>
      </c>
      <c r="BA52" s="39">
        <f t="shared" si="2"/>
        <v>0</v>
      </c>
      <c r="BB52" s="39">
        <f t="shared" si="2"/>
        <v>0</v>
      </c>
      <c r="BC52" s="39">
        <f t="shared" si="2"/>
        <v>0</v>
      </c>
      <c r="BD52" s="39">
        <f t="shared" si="2"/>
        <v>0</v>
      </c>
      <c r="BE52" s="39">
        <f t="shared" si="2"/>
        <v>0</v>
      </c>
      <c r="BF52" s="39">
        <f t="shared" si="2"/>
        <v>0</v>
      </c>
      <c r="BG52" s="39">
        <f t="shared" si="2"/>
        <v>0</v>
      </c>
      <c r="BH52" s="39">
        <f t="shared" si="2"/>
        <v>0</v>
      </c>
      <c r="BI52" s="39">
        <f t="shared" si="2"/>
        <v>0</v>
      </c>
      <c r="BJ52" s="39">
        <f t="shared" si="2"/>
        <v>0</v>
      </c>
    </row>
    <row r="53" spans="1:62" x14ac:dyDescent="0.2">
      <c r="B53" s="9"/>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F5DC3-1FDB-B24B-A680-CA637EFE5AB8}">
  <dimension ref="A2:CS1222"/>
  <sheetViews>
    <sheetView showRuler="0" topLeftCell="W8" zoomScaleNormal="50" workbookViewId="0">
      <pane ySplit="1" topLeftCell="A1180" activePane="bottomLeft" state="frozen"/>
      <selection activeCell="R8" sqref="R8"/>
      <selection pane="bottomLeft" activeCell="X1209" sqref="X1209"/>
    </sheetView>
  </sheetViews>
  <sheetFormatPr baseColWidth="10" defaultColWidth="8.83203125" defaultRowHeight="15" x14ac:dyDescent="0.2"/>
  <cols>
    <col min="1" max="97" width="35" customWidth="1"/>
  </cols>
  <sheetData>
    <row r="2" spans="1:97" ht="16" x14ac:dyDescent="0.2">
      <c r="A2" s="232" t="s">
        <v>0</v>
      </c>
      <c r="B2" s="232"/>
      <c r="C2" s="232"/>
      <c r="D2" s="231"/>
      <c r="M2" s="15"/>
    </row>
    <row r="3" spans="1:97" ht="16" x14ac:dyDescent="0.2">
      <c r="B3" s="1" t="s">
        <v>1</v>
      </c>
      <c r="C3" s="1" t="s">
        <v>2</v>
      </c>
      <c r="L3" s="12"/>
      <c r="M3" s="15"/>
      <c r="N3" s="12"/>
    </row>
    <row r="4" spans="1:97" ht="16" x14ac:dyDescent="0.2">
      <c r="A4" s="3" t="s">
        <v>3</v>
      </c>
      <c r="B4">
        <f>Y9</f>
        <v>8233.0528999999951</v>
      </c>
      <c r="C4" s="2">
        <f>R9</f>
        <v>0.92055215629672482</v>
      </c>
      <c r="M4" s="15"/>
    </row>
    <row r="5" spans="1:97" ht="16" x14ac:dyDescent="0.2">
      <c r="A5" s="3" t="s">
        <v>4</v>
      </c>
      <c r="B5">
        <f>BO9</f>
        <v>59185.2</v>
      </c>
      <c r="C5" s="2">
        <f>BH9</f>
        <v>1</v>
      </c>
      <c r="M5" s="15"/>
    </row>
    <row r="6" spans="1:97" ht="16" x14ac:dyDescent="0.2">
      <c r="A6" s="3" t="s">
        <v>5</v>
      </c>
      <c r="B6">
        <f>BZ9</f>
        <v>0</v>
      </c>
      <c r="C6" s="2">
        <f>BS9</f>
        <v>0</v>
      </c>
      <c r="M6" s="15"/>
    </row>
    <row r="7" spans="1:97" x14ac:dyDescent="0.2">
      <c r="R7" s="230" t="s">
        <v>6</v>
      </c>
      <c r="S7" s="231"/>
      <c r="T7" s="231"/>
      <c r="U7" s="231"/>
      <c r="V7" s="230" t="s">
        <v>7</v>
      </c>
      <c r="W7" s="231"/>
      <c r="X7" s="231"/>
      <c r="Y7" s="231"/>
      <c r="Z7" s="230" t="s">
        <v>8</v>
      </c>
      <c r="AA7" s="231"/>
      <c r="AB7" s="231"/>
      <c r="AC7" s="231"/>
      <c r="AD7" s="231"/>
      <c r="AE7" s="231"/>
      <c r="AF7" s="231"/>
      <c r="AG7" s="231"/>
      <c r="AH7" s="231"/>
      <c r="AI7" s="231"/>
      <c r="AJ7" s="231"/>
      <c r="AK7" s="231"/>
      <c r="AL7" s="231"/>
      <c r="AM7" s="231"/>
      <c r="AN7" s="231"/>
      <c r="AO7" s="231"/>
      <c r="AP7" s="231"/>
      <c r="AQ7" s="231"/>
      <c r="AR7" s="231"/>
      <c r="AS7" s="231"/>
      <c r="AT7" s="231"/>
      <c r="AU7" s="231"/>
      <c r="AV7" s="231"/>
      <c r="AW7" s="231"/>
      <c r="AX7" s="231"/>
      <c r="AY7" s="231"/>
      <c r="AZ7" s="231"/>
      <c r="BA7" s="231"/>
      <c r="BB7" s="231"/>
      <c r="BC7" s="231"/>
      <c r="BD7" s="231"/>
      <c r="BE7" s="231"/>
      <c r="BF7" s="231"/>
      <c r="BG7" s="231"/>
      <c r="BH7" s="230" t="s">
        <v>9</v>
      </c>
      <c r="BI7" s="231"/>
      <c r="BJ7" s="231"/>
      <c r="BK7" s="231"/>
      <c r="BL7" s="230" t="s">
        <v>10</v>
      </c>
      <c r="BM7" s="231"/>
      <c r="BN7" s="231"/>
      <c r="BO7" s="231"/>
      <c r="BP7" s="230" t="s">
        <v>11</v>
      </c>
      <c r="BQ7" s="231"/>
      <c r="BR7" s="231"/>
      <c r="BS7" s="230" t="s">
        <v>12</v>
      </c>
      <c r="BT7" s="231"/>
      <c r="BU7" s="231"/>
      <c r="BV7" s="231"/>
      <c r="BW7" s="230" t="s">
        <v>13</v>
      </c>
      <c r="BX7" s="231"/>
      <c r="BY7" s="231"/>
      <c r="BZ7" s="231"/>
      <c r="CA7" s="230" t="s">
        <v>14</v>
      </c>
      <c r="CB7" s="231"/>
      <c r="CC7" s="231"/>
      <c r="CD7" s="231"/>
      <c r="CE7" s="231"/>
      <c r="CF7" s="231"/>
      <c r="CG7" s="231"/>
      <c r="CH7" s="231"/>
      <c r="CI7" s="231"/>
      <c r="CJ7" s="231"/>
      <c r="CK7" s="231"/>
      <c r="CL7" s="231"/>
    </row>
    <row r="8" spans="1:97" ht="16" x14ac:dyDescent="0.2">
      <c r="A8" s="4" t="s">
        <v>15</v>
      </c>
      <c r="B8" s="4" t="s">
        <v>16</v>
      </c>
      <c r="C8" s="4" t="s">
        <v>17</v>
      </c>
      <c r="D8" s="4" t="s">
        <v>18</v>
      </c>
      <c r="E8" s="4" t="s">
        <v>19</v>
      </c>
      <c r="F8" s="4" t="s">
        <v>20</v>
      </c>
      <c r="G8" s="4" t="s">
        <v>21</v>
      </c>
      <c r="H8" s="4" t="s">
        <v>22</v>
      </c>
      <c r="I8" s="4" t="s">
        <v>23</v>
      </c>
      <c r="J8" s="4" t="s">
        <v>24</v>
      </c>
      <c r="K8" s="4" t="s">
        <v>25</v>
      </c>
      <c r="L8" s="4" t="s">
        <v>26</v>
      </c>
      <c r="M8" s="4" t="s">
        <v>923</v>
      </c>
      <c r="N8" s="4" t="s">
        <v>27</v>
      </c>
      <c r="O8" s="4" t="s">
        <v>28</v>
      </c>
      <c r="P8" s="4" t="s">
        <v>29</v>
      </c>
      <c r="Q8" s="4" t="s">
        <v>30</v>
      </c>
      <c r="R8" s="4" t="s">
        <v>31</v>
      </c>
      <c r="S8" s="4" t="s">
        <v>32</v>
      </c>
      <c r="T8" s="4" t="s">
        <v>33</v>
      </c>
      <c r="U8" s="4" t="s">
        <v>34</v>
      </c>
      <c r="V8" s="4" t="s">
        <v>35</v>
      </c>
      <c r="W8" s="4" t="s">
        <v>36</v>
      </c>
      <c r="X8" s="4" t="s">
        <v>37</v>
      </c>
      <c r="Y8" s="4" t="s">
        <v>38</v>
      </c>
      <c r="Z8" s="4" t="s">
        <v>39</v>
      </c>
      <c r="AA8" s="4" t="s">
        <v>40</v>
      </c>
      <c r="AB8" s="4" t="s">
        <v>41</v>
      </c>
      <c r="AC8" s="4" t="s">
        <v>42</v>
      </c>
      <c r="AD8" s="4" t="s">
        <v>43</v>
      </c>
      <c r="AE8" s="4" t="s">
        <v>44</v>
      </c>
      <c r="AF8" s="4" t="s">
        <v>45</v>
      </c>
      <c r="AG8" s="4" t="s">
        <v>46</v>
      </c>
      <c r="AH8" s="4" t="s">
        <v>47</v>
      </c>
      <c r="AI8" s="4" t="s">
        <v>48</v>
      </c>
      <c r="AJ8" s="4" t="s">
        <v>49</v>
      </c>
      <c r="AK8" s="4" t="s">
        <v>50</v>
      </c>
      <c r="AL8" s="4" t="s">
        <v>51</v>
      </c>
      <c r="AM8" s="4" t="s">
        <v>52</v>
      </c>
      <c r="AN8" s="4" t="s">
        <v>53</v>
      </c>
      <c r="AO8" s="4" t="s">
        <v>54</v>
      </c>
      <c r="AP8" s="4" t="s">
        <v>55</v>
      </c>
      <c r="AQ8" s="4" t="s">
        <v>56</v>
      </c>
      <c r="AR8" s="4" t="s">
        <v>57</v>
      </c>
      <c r="AS8" s="4" t="s">
        <v>58</v>
      </c>
      <c r="AT8" s="4" t="s">
        <v>59</v>
      </c>
      <c r="AU8" s="4" t="s">
        <v>60</v>
      </c>
      <c r="AV8" s="4" t="s">
        <v>61</v>
      </c>
      <c r="AW8" s="4" t="s">
        <v>62</v>
      </c>
      <c r="AX8" s="4" t="s">
        <v>63</v>
      </c>
      <c r="AY8" s="4" t="s">
        <v>64</v>
      </c>
      <c r="AZ8" s="4" t="s">
        <v>65</v>
      </c>
      <c r="BA8" s="4" t="s">
        <v>66</v>
      </c>
      <c r="BB8" s="4" t="s">
        <v>67</v>
      </c>
      <c r="BC8" s="4" t="s">
        <v>68</v>
      </c>
      <c r="BD8" s="4" t="s">
        <v>69</v>
      </c>
      <c r="BE8" s="4" t="s">
        <v>70</v>
      </c>
      <c r="BF8" s="4" t="s">
        <v>71</v>
      </c>
      <c r="BG8" s="4" t="s">
        <v>72</v>
      </c>
      <c r="BH8" s="4" t="s">
        <v>73</v>
      </c>
      <c r="BI8" s="4" t="s">
        <v>74</v>
      </c>
      <c r="BJ8" s="4" t="s">
        <v>75</v>
      </c>
      <c r="BK8" s="4" t="s">
        <v>76</v>
      </c>
      <c r="BL8" s="4" t="s">
        <v>77</v>
      </c>
      <c r="BM8" s="4" t="s">
        <v>78</v>
      </c>
      <c r="BN8" s="4" t="s">
        <v>79</v>
      </c>
      <c r="BO8" s="4" t="s">
        <v>80</v>
      </c>
      <c r="BP8" s="4" t="s">
        <v>81</v>
      </c>
      <c r="BQ8" s="4" t="s">
        <v>82</v>
      </c>
      <c r="BR8" s="4" t="s">
        <v>83</v>
      </c>
      <c r="BS8" s="4" t="s">
        <v>84</v>
      </c>
      <c r="BT8" s="4" t="s">
        <v>85</v>
      </c>
      <c r="BU8" s="4" t="s">
        <v>86</v>
      </c>
      <c r="BV8" s="4" t="s">
        <v>87</v>
      </c>
      <c r="BW8" s="4" t="s">
        <v>88</v>
      </c>
      <c r="BX8" s="4" t="s">
        <v>89</v>
      </c>
      <c r="BY8" s="4" t="s">
        <v>90</v>
      </c>
      <c r="BZ8" s="4" t="s">
        <v>91</v>
      </c>
      <c r="CA8" s="4" t="s">
        <v>92</v>
      </c>
      <c r="CB8" s="4" t="s">
        <v>93</v>
      </c>
      <c r="CC8" s="4" t="s">
        <v>94</v>
      </c>
      <c r="CD8" s="4" t="s">
        <v>95</v>
      </c>
      <c r="CE8" s="4" t="s">
        <v>96</v>
      </c>
      <c r="CF8" s="4" t="s">
        <v>97</v>
      </c>
      <c r="CG8" s="4" t="s">
        <v>98</v>
      </c>
      <c r="CH8" s="4" t="s">
        <v>99</v>
      </c>
      <c r="CI8" s="4" t="s">
        <v>100</v>
      </c>
      <c r="CJ8" s="4" t="s">
        <v>101</v>
      </c>
      <c r="CK8" s="4" t="s">
        <v>102</v>
      </c>
      <c r="CL8" s="4" t="s">
        <v>103</v>
      </c>
      <c r="CM8" s="4" t="s">
        <v>104</v>
      </c>
      <c r="CN8" s="4" t="s">
        <v>105</v>
      </c>
      <c r="CO8" s="4" t="s">
        <v>106</v>
      </c>
      <c r="CP8" s="4" t="s">
        <v>107</v>
      </c>
      <c r="CQ8" s="4" t="s">
        <v>108</v>
      </c>
      <c r="CR8" s="4" t="s">
        <v>109</v>
      </c>
      <c r="CS8" s="4" t="s">
        <v>110</v>
      </c>
    </row>
    <row r="9" spans="1:97" ht="16" x14ac:dyDescent="0.2">
      <c r="A9" s="5" t="s">
        <v>111</v>
      </c>
      <c r="B9" s="6" t="s">
        <v>112</v>
      </c>
      <c r="C9" s="6"/>
      <c r="D9" s="6"/>
      <c r="E9" s="6"/>
      <c r="F9" s="6"/>
      <c r="G9" s="6"/>
      <c r="H9" s="6"/>
      <c r="I9" s="6"/>
      <c r="J9" s="6"/>
      <c r="K9" s="6"/>
      <c r="L9" s="6" t="s">
        <v>113</v>
      </c>
      <c r="M9" s="6"/>
      <c r="N9" s="6"/>
      <c r="O9" s="6"/>
      <c r="P9" s="6"/>
      <c r="Q9" s="6">
        <f>SUBTOTAL(109,Q11:Q1217)</f>
        <v>67418.252899999788</v>
      </c>
      <c r="R9" s="7">
        <f>IF(Y9=0,0,(V9+W9)/Y9)</f>
        <v>0.92055215629672482</v>
      </c>
      <c r="S9" s="7">
        <f>IF(Y9=0,0,V9/Y9)</f>
        <v>0</v>
      </c>
      <c r="T9" s="7">
        <f>IF(Y9=0,0,W9/Y9)</f>
        <v>0.92055215629672482</v>
      </c>
      <c r="U9" s="7">
        <f>IF(Y9=0,0,X9/Y9)</f>
        <v>7.9447843703275636E-2</v>
      </c>
      <c r="V9" s="6">
        <f t="shared" ref="V9:BG9" si="0">SUBTOTAL(109,V11:V1217)</f>
        <v>0</v>
      </c>
      <c r="W9" s="6">
        <f t="shared" si="0"/>
        <v>7578.9545999999991</v>
      </c>
      <c r="X9" s="6">
        <f t="shared" si="0"/>
        <v>654.09829999999988</v>
      </c>
      <c r="Y9" s="6">
        <f t="shared" si="0"/>
        <v>8233.0528999999951</v>
      </c>
      <c r="Z9" s="6">
        <f t="shared" si="0"/>
        <v>354.43390000000022</v>
      </c>
      <c r="AA9" s="6">
        <f t="shared" si="0"/>
        <v>380.42149999999992</v>
      </c>
      <c r="AB9" s="6">
        <f t="shared" si="0"/>
        <v>10.009</v>
      </c>
      <c r="AC9" s="6">
        <f t="shared" si="0"/>
        <v>4903.8497000000007</v>
      </c>
      <c r="AD9" s="6">
        <f t="shared" si="0"/>
        <v>0</v>
      </c>
      <c r="AE9" s="6">
        <f t="shared" si="0"/>
        <v>20.45</v>
      </c>
      <c r="AF9" s="6">
        <f t="shared" si="0"/>
        <v>244.36699999999999</v>
      </c>
      <c r="AG9" s="6">
        <f t="shared" si="0"/>
        <v>302.32150000000001</v>
      </c>
      <c r="AH9" s="6">
        <f t="shared" si="0"/>
        <v>3.6159999999999997</v>
      </c>
      <c r="AI9" s="6">
        <f t="shared" si="0"/>
        <v>288.34660000000008</v>
      </c>
      <c r="AJ9" s="6">
        <f t="shared" si="0"/>
        <v>0</v>
      </c>
      <c r="AK9" s="6">
        <f t="shared" si="0"/>
        <v>0</v>
      </c>
      <c r="AL9" s="6">
        <f t="shared" si="0"/>
        <v>0</v>
      </c>
      <c r="AM9" s="6">
        <f t="shared" si="0"/>
        <v>0</v>
      </c>
      <c r="AN9" s="6">
        <f t="shared" si="0"/>
        <v>0</v>
      </c>
      <c r="AO9" s="6">
        <f t="shared" si="0"/>
        <v>0</v>
      </c>
      <c r="AP9" s="6">
        <f t="shared" si="0"/>
        <v>0.75</v>
      </c>
      <c r="AQ9" s="6">
        <f t="shared" si="0"/>
        <v>0</v>
      </c>
      <c r="AR9" s="6">
        <f t="shared" si="0"/>
        <v>0</v>
      </c>
      <c r="AS9" s="6">
        <f t="shared" si="0"/>
        <v>939.56999999999948</v>
      </c>
      <c r="AT9" s="6">
        <f t="shared" si="0"/>
        <v>0</v>
      </c>
      <c r="AU9" s="6">
        <f t="shared" si="0"/>
        <v>0</v>
      </c>
      <c r="AV9" s="6">
        <f t="shared" si="0"/>
        <v>0</v>
      </c>
      <c r="AW9" s="6">
        <f t="shared" si="0"/>
        <v>0</v>
      </c>
      <c r="AX9" s="6">
        <f t="shared" si="0"/>
        <v>0</v>
      </c>
      <c r="AY9" s="6">
        <f t="shared" si="0"/>
        <v>24.342600000000001</v>
      </c>
      <c r="AZ9" s="6">
        <f t="shared" si="0"/>
        <v>0</v>
      </c>
      <c r="BA9" s="6">
        <f t="shared" si="0"/>
        <v>0</v>
      </c>
      <c r="BB9" s="6">
        <f t="shared" si="0"/>
        <v>0</v>
      </c>
      <c r="BC9" s="6">
        <f t="shared" si="0"/>
        <v>0</v>
      </c>
      <c r="BD9" s="6">
        <f t="shared" si="0"/>
        <v>9.1001999999999992</v>
      </c>
      <c r="BE9" s="6">
        <f t="shared" si="0"/>
        <v>751.47489999999982</v>
      </c>
      <c r="BF9" s="6">
        <f t="shared" si="0"/>
        <v>0</v>
      </c>
      <c r="BG9" s="6">
        <f t="shared" si="0"/>
        <v>0</v>
      </c>
      <c r="BH9" s="7">
        <f>IF(BO9=0,0,(BL9+BM9)/BO9)</f>
        <v>1</v>
      </c>
      <c r="BI9" s="7">
        <f>IF(BO9=0,0,BL9/BO9)</f>
        <v>0</v>
      </c>
      <c r="BJ9" s="7">
        <f>IF(BO9=0,0,BM9/BO9)</f>
        <v>1</v>
      </c>
      <c r="BK9" s="7">
        <f>IF(BO9=0,0,BN9/BO9)</f>
        <v>0</v>
      </c>
      <c r="BL9" s="6">
        <f t="shared" ref="BL9:BR9" si="1">SUBTOTAL(109,BL11:BL1217)</f>
        <v>0</v>
      </c>
      <c r="BM9" s="6">
        <f t="shared" si="1"/>
        <v>59185.2</v>
      </c>
      <c r="BN9" s="6">
        <f t="shared" si="1"/>
        <v>0</v>
      </c>
      <c r="BO9" s="6">
        <f t="shared" si="1"/>
        <v>59185.2</v>
      </c>
      <c r="BP9" s="6">
        <f t="shared" si="1"/>
        <v>59185.2</v>
      </c>
      <c r="BQ9" s="6">
        <f t="shared" si="1"/>
        <v>0</v>
      </c>
      <c r="BR9" s="6">
        <f t="shared" si="1"/>
        <v>0</v>
      </c>
      <c r="BS9" s="7">
        <f>IF(BZ9=0,0,(BW9+BX9)/BZ9)</f>
        <v>0</v>
      </c>
      <c r="BT9" s="7">
        <f>IF(BZ9=0,0,BW9/BZ9)</f>
        <v>0</v>
      </c>
      <c r="BU9" s="7">
        <f>IF(BZ9=0,0,BX9/BZ9)</f>
        <v>0</v>
      </c>
      <c r="BV9" s="7">
        <f>IF(BZ9=0,0,BY9/BZ9)</f>
        <v>0</v>
      </c>
      <c r="BW9" s="6">
        <f t="shared" ref="BW9:CL9" si="2">SUBTOTAL(109,BW11:BW1217)</f>
        <v>0</v>
      </c>
      <c r="BX9" s="6">
        <f t="shared" si="2"/>
        <v>0</v>
      </c>
      <c r="BY9" s="6">
        <f t="shared" si="2"/>
        <v>0</v>
      </c>
      <c r="BZ9" s="6">
        <f t="shared" si="2"/>
        <v>0</v>
      </c>
      <c r="CA9" s="6">
        <f t="shared" si="2"/>
        <v>0</v>
      </c>
      <c r="CB9" s="6">
        <f t="shared" si="2"/>
        <v>0</v>
      </c>
      <c r="CC9" s="6">
        <f t="shared" si="2"/>
        <v>0</v>
      </c>
      <c r="CD9" s="6">
        <f t="shared" si="2"/>
        <v>0</v>
      </c>
      <c r="CE9" s="6">
        <f t="shared" si="2"/>
        <v>0</v>
      </c>
      <c r="CF9" s="6">
        <f t="shared" si="2"/>
        <v>0</v>
      </c>
      <c r="CG9" s="6">
        <f t="shared" si="2"/>
        <v>0</v>
      </c>
      <c r="CH9" s="6">
        <f t="shared" si="2"/>
        <v>0</v>
      </c>
      <c r="CI9" s="6">
        <f t="shared" si="2"/>
        <v>0</v>
      </c>
      <c r="CJ9" s="6">
        <f t="shared" si="2"/>
        <v>0</v>
      </c>
      <c r="CK9" s="6">
        <f t="shared" si="2"/>
        <v>0</v>
      </c>
      <c r="CL9" s="6">
        <f t="shared" si="2"/>
        <v>0</v>
      </c>
      <c r="CM9" s="6"/>
      <c r="CN9" s="6"/>
      <c r="CO9" s="6"/>
      <c r="CP9" s="6"/>
      <c r="CQ9" s="6"/>
      <c r="CR9" s="6"/>
      <c r="CS9" s="6"/>
    </row>
    <row r="10" spans="1:97" ht="16" x14ac:dyDescent="0.2">
      <c r="A10" s="3" t="s">
        <v>114</v>
      </c>
    </row>
    <row r="11" spans="1:97" x14ac:dyDescent="0.2">
      <c r="A11" t="s">
        <v>115</v>
      </c>
      <c r="B11" t="s">
        <v>116</v>
      </c>
      <c r="C11">
        <v>210784</v>
      </c>
      <c r="E11" t="s">
        <v>117</v>
      </c>
      <c r="F11">
        <v>368</v>
      </c>
      <c r="G11" t="s">
        <v>176</v>
      </c>
      <c r="H11" t="s">
        <v>177</v>
      </c>
      <c r="I11" t="s">
        <v>178</v>
      </c>
      <c r="J11" t="s">
        <v>179</v>
      </c>
      <c r="L11" s="14">
        <v>44869</v>
      </c>
      <c r="M11" s="18">
        <f t="shared" ref="M11:M74" si="3">DATE(YEAR(L11), MONTH(L11), 1)</f>
        <v>44866</v>
      </c>
      <c r="N11">
        <v>7140492</v>
      </c>
      <c r="O11" t="s">
        <v>123</v>
      </c>
      <c r="P11" t="s">
        <v>124</v>
      </c>
      <c r="Q11">
        <v>13.98</v>
      </c>
      <c r="R11" t="s">
        <v>125</v>
      </c>
      <c r="S11" t="s">
        <v>126</v>
      </c>
      <c r="T11" t="s">
        <v>125</v>
      </c>
      <c r="U11" t="s">
        <v>126</v>
      </c>
      <c r="W11">
        <v>13.98</v>
      </c>
      <c r="Y11">
        <v>13.98</v>
      </c>
      <c r="AC11">
        <v>13.98</v>
      </c>
      <c r="BH11" t="s">
        <v>126</v>
      </c>
      <c r="BI11" t="s">
        <v>126</v>
      </c>
      <c r="BJ11" t="s">
        <v>126</v>
      </c>
      <c r="BK11" t="s">
        <v>126</v>
      </c>
      <c r="BS11" t="s">
        <v>126</v>
      </c>
      <c r="BT11" t="s">
        <v>126</v>
      </c>
      <c r="BU11" t="s">
        <v>126</v>
      </c>
      <c r="BV11" t="s">
        <v>126</v>
      </c>
      <c r="CN11" t="s">
        <v>181</v>
      </c>
      <c r="CP11" t="s">
        <v>182</v>
      </c>
      <c r="CQ11" t="s">
        <v>181</v>
      </c>
    </row>
    <row r="12" spans="1:97" x14ac:dyDescent="0.2">
      <c r="A12" t="s">
        <v>115</v>
      </c>
      <c r="B12" t="s">
        <v>116</v>
      </c>
      <c r="C12">
        <v>210784</v>
      </c>
      <c r="E12" t="s">
        <v>117</v>
      </c>
      <c r="F12">
        <v>368</v>
      </c>
      <c r="G12" t="s">
        <v>176</v>
      </c>
      <c r="H12" t="s">
        <v>177</v>
      </c>
      <c r="I12" t="s">
        <v>178</v>
      </c>
      <c r="J12" t="s">
        <v>179</v>
      </c>
      <c r="L12" s="14">
        <v>44869</v>
      </c>
      <c r="M12" s="18">
        <f t="shared" si="3"/>
        <v>44866</v>
      </c>
      <c r="N12">
        <v>7140546</v>
      </c>
      <c r="O12" t="s">
        <v>123</v>
      </c>
      <c r="P12" t="s">
        <v>124</v>
      </c>
      <c r="Q12">
        <v>14.01</v>
      </c>
      <c r="R12" t="s">
        <v>125</v>
      </c>
      <c r="S12" t="s">
        <v>126</v>
      </c>
      <c r="T12" t="s">
        <v>125</v>
      </c>
      <c r="U12" t="s">
        <v>126</v>
      </c>
      <c r="W12">
        <v>14.01</v>
      </c>
      <c r="Y12">
        <v>14.01</v>
      </c>
      <c r="AC12">
        <v>14.01</v>
      </c>
      <c r="BH12" t="s">
        <v>126</v>
      </c>
      <c r="BI12" t="s">
        <v>126</v>
      </c>
      <c r="BJ12" t="s">
        <v>126</v>
      </c>
      <c r="BK12" t="s">
        <v>126</v>
      </c>
      <c r="BS12" t="s">
        <v>126</v>
      </c>
      <c r="BT12" t="s">
        <v>126</v>
      </c>
      <c r="BU12" t="s">
        <v>126</v>
      </c>
      <c r="BV12" t="s">
        <v>126</v>
      </c>
      <c r="CN12" t="s">
        <v>181</v>
      </c>
      <c r="CP12" t="s">
        <v>182</v>
      </c>
      <c r="CQ12" t="s">
        <v>181</v>
      </c>
    </row>
    <row r="13" spans="1:97" x14ac:dyDescent="0.2">
      <c r="A13" t="s">
        <v>115</v>
      </c>
      <c r="B13" t="s">
        <v>116</v>
      </c>
      <c r="C13">
        <v>210784</v>
      </c>
      <c r="E13" t="s">
        <v>117</v>
      </c>
      <c r="F13">
        <v>368</v>
      </c>
      <c r="G13" t="s">
        <v>176</v>
      </c>
      <c r="H13" t="s">
        <v>177</v>
      </c>
      <c r="I13" t="s">
        <v>178</v>
      </c>
      <c r="J13" t="s">
        <v>179</v>
      </c>
      <c r="L13" s="14">
        <v>44872</v>
      </c>
      <c r="M13" s="18">
        <f t="shared" si="3"/>
        <v>44866</v>
      </c>
      <c r="N13">
        <v>7140757</v>
      </c>
      <c r="O13" t="s">
        <v>123</v>
      </c>
      <c r="P13" t="s">
        <v>124</v>
      </c>
      <c r="Q13">
        <v>13.76</v>
      </c>
      <c r="R13" t="s">
        <v>125</v>
      </c>
      <c r="S13" t="s">
        <v>126</v>
      </c>
      <c r="T13" t="s">
        <v>125</v>
      </c>
      <c r="U13" t="s">
        <v>126</v>
      </c>
      <c r="W13">
        <v>13.76</v>
      </c>
      <c r="Y13">
        <v>13.76</v>
      </c>
      <c r="AC13">
        <v>13.76</v>
      </c>
      <c r="BH13" t="s">
        <v>126</v>
      </c>
      <c r="BI13" t="s">
        <v>126</v>
      </c>
      <c r="BJ13" t="s">
        <v>126</v>
      </c>
      <c r="BK13" t="s">
        <v>126</v>
      </c>
      <c r="BS13" t="s">
        <v>126</v>
      </c>
      <c r="BT13" t="s">
        <v>126</v>
      </c>
      <c r="BU13" t="s">
        <v>126</v>
      </c>
      <c r="BV13" t="s">
        <v>126</v>
      </c>
      <c r="CN13" t="s">
        <v>181</v>
      </c>
      <c r="CP13" t="s">
        <v>182</v>
      </c>
      <c r="CQ13" t="s">
        <v>181</v>
      </c>
    </row>
    <row r="14" spans="1:97" x14ac:dyDescent="0.2">
      <c r="A14" t="s">
        <v>115</v>
      </c>
      <c r="B14" t="s">
        <v>116</v>
      </c>
      <c r="C14">
        <v>210784</v>
      </c>
      <c r="E14" t="s">
        <v>117</v>
      </c>
      <c r="F14">
        <v>368</v>
      </c>
      <c r="G14" t="s">
        <v>176</v>
      </c>
      <c r="H14" t="s">
        <v>177</v>
      </c>
      <c r="I14" t="s">
        <v>178</v>
      </c>
      <c r="J14" t="s">
        <v>179</v>
      </c>
      <c r="L14" s="14">
        <v>44872</v>
      </c>
      <c r="M14" s="18">
        <f t="shared" si="3"/>
        <v>44866</v>
      </c>
      <c r="N14">
        <v>7140808</v>
      </c>
      <c r="O14" t="s">
        <v>123</v>
      </c>
      <c r="P14" t="s">
        <v>124</v>
      </c>
      <c r="Q14">
        <v>17.420000000000002</v>
      </c>
      <c r="R14" t="s">
        <v>125</v>
      </c>
      <c r="S14" t="s">
        <v>126</v>
      </c>
      <c r="T14" t="s">
        <v>125</v>
      </c>
      <c r="U14" t="s">
        <v>126</v>
      </c>
      <c r="W14">
        <v>17.420000000000002</v>
      </c>
      <c r="Y14">
        <v>17.420000000000002</v>
      </c>
      <c r="AC14">
        <v>17.420000000000002</v>
      </c>
      <c r="BH14" t="s">
        <v>126</v>
      </c>
      <c r="BI14" t="s">
        <v>126</v>
      </c>
      <c r="BJ14" t="s">
        <v>126</v>
      </c>
      <c r="BK14" t="s">
        <v>126</v>
      </c>
      <c r="BS14" t="s">
        <v>126</v>
      </c>
      <c r="BT14" t="s">
        <v>126</v>
      </c>
      <c r="BU14" t="s">
        <v>126</v>
      </c>
      <c r="BV14" t="s">
        <v>126</v>
      </c>
      <c r="CN14" t="s">
        <v>181</v>
      </c>
      <c r="CP14" t="s">
        <v>182</v>
      </c>
      <c r="CQ14" t="s">
        <v>181</v>
      </c>
    </row>
    <row r="15" spans="1:97" x14ac:dyDescent="0.2">
      <c r="A15" t="s">
        <v>115</v>
      </c>
      <c r="B15" t="s">
        <v>116</v>
      </c>
      <c r="C15">
        <v>210784</v>
      </c>
      <c r="E15" t="s">
        <v>117</v>
      </c>
      <c r="F15">
        <v>368</v>
      </c>
      <c r="G15" t="s">
        <v>176</v>
      </c>
      <c r="H15" t="s">
        <v>177</v>
      </c>
      <c r="I15" t="s">
        <v>178</v>
      </c>
      <c r="J15" t="s">
        <v>179</v>
      </c>
      <c r="L15" s="14">
        <v>44876</v>
      </c>
      <c r="M15" s="18">
        <f t="shared" si="3"/>
        <v>44866</v>
      </c>
      <c r="N15">
        <v>7140424</v>
      </c>
      <c r="O15" t="s">
        <v>123</v>
      </c>
      <c r="P15" t="s">
        <v>124</v>
      </c>
      <c r="Q15">
        <v>13.53</v>
      </c>
      <c r="R15" t="s">
        <v>125</v>
      </c>
      <c r="S15" t="s">
        <v>126</v>
      </c>
      <c r="T15" t="s">
        <v>125</v>
      </c>
      <c r="U15" t="s">
        <v>126</v>
      </c>
      <c r="W15">
        <v>13.53</v>
      </c>
      <c r="Y15">
        <v>13.53</v>
      </c>
      <c r="AC15">
        <v>13.53</v>
      </c>
      <c r="BH15" t="s">
        <v>126</v>
      </c>
      <c r="BI15" t="s">
        <v>126</v>
      </c>
      <c r="BJ15" t="s">
        <v>126</v>
      </c>
      <c r="BK15" t="s">
        <v>126</v>
      </c>
      <c r="BS15" t="s">
        <v>126</v>
      </c>
      <c r="BT15" t="s">
        <v>126</v>
      </c>
      <c r="BU15" t="s">
        <v>126</v>
      </c>
      <c r="BV15" t="s">
        <v>126</v>
      </c>
      <c r="CN15" t="s">
        <v>181</v>
      </c>
      <c r="CP15" t="s">
        <v>182</v>
      </c>
      <c r="CQ15" t="s">
        <v>181</v>
      </c>
    </row>
    <row r="16" spans="1:97" x14ac:dyDescent="0.2">
      <c r="A16" t="s">
        <v>115</v>
      </c>
      <c r="B16" t="s">
        <v>116</v>
      </c>
      <c r="C16">
        <v>210784</v>
      </c>
      <c r="E16" t="s">
        <v>117</v>
      </c>
      <c r="F16">
        <v>368</v>
      </c>
      <c r="G16" t="s">
        <v>176</v>
      </c>
      <c r="H16" t="s">
        <v>177</v>
      </c>
      <c r="I16" t="s">
        <v>492</v>
      </c>
      <c r="J16" t="s">
        <v>493</v>
      </c>
      <c r="L16" s="14">
        <v>44882</v>
      </c>
      <c r="M16" s="18">
        <f t="shared" si="3"/>
        <v>44866</v>
      </c>
      <c r="N16" t="s">
        <v>507</v>
      </c>
      <c r="O16" t="s">
        <v>123</v>
      </c>
      <c r="P16" t="s">
        <v>124</v>
      </c>
      <c r="Q16">
        <v>3.52</v>
      </c>
      <c r="R16" t="s">
        <v>125</v>
      </c>
      <c r="S16" t="s">
        <v>126</v>
      </c>
      <c r="T16" t="s">
        <v>125</v>
      </c>
      <c r="U16" t="s">
        <v>126</v>
      </c>
      <c r="W16">
        <v>3.52</v>
      </c>
      <c r="Y16">
        <v>3.52</v>
      </c>
      <c r="AF16">
        <v>3.52</v>
      </c>
      <c r="BH16" t="s">
        <v>126</v>
      </c>
      <c r="BI16" t="s">
        <v>126</v>
      </c>
      <c r="BJ16" t="s">
        <v>126</v>
      </c>
      <c r="BK16" t="s">
        <v>126</v>
      </c>
      <c r="BS16" t="s">
        <v>126</v>
      </c>
      <c r="BT16" t="s">
        <v>126</v>
      </c>
      <c r="BU16" t="s">
        <v>126</v>
      </c>
      <c r="BV16" t="s">
        <v>126</v>
      </c>
      <c r="CN16" t="s">
        <v>181</v>
      </c>
      <c r="CP16" t="s">
        <v>182</v>
      </c>
      <c r="CQ16" t="s">
        <v>181</v>
      </c>
    </row>
    <row r="17" spans="1:95" x14ac:dyDescent="0.2">
      <c r="A17" t="s">
        <v>115</v>
      </c>
      <c r="B17" t="s">
        <v>116</v>
      </c>
      <c r="C17">
        <v>210784</v>
      </c>
      <c r="E17" t="s">
        <v>117</v>
      </c>
      <c r="F17">
        <v>368</v>
      </c>
      <c r="G17" t="s">
        <v>176</v>
      </c>
      <c r="H17" t="s">
        <v>177</v>
      </c>
      <c r="I17" t="s">
        <v>178</v>
      </c>
      <c r="J17" t="s">
        <v>179</v>
      </c>
      <c r="L17" s="14">
        <v>44886</v>
      </c>
      <c r="M17" s="18">
        <f t="shared" si="3"/>
        <v>44866</v>
      </c>
      <c r="N17">
        <v>7142674</v>
      </c>
      <c r="O17" t="s">
        <v>123</v>
      </c>
      <c r="P17" t="s">
        <v>124</v>
      </c>
      <c r="Q17">
        <v>22.18</v>
      </c>
      <c r="R17" t="s">
        <v>125</v>
      </c>
      <c r="S17" t="s">
        <v>126</v>
      </c>
      <c r="T17" t="s">
        <v>125</v>
      </c>
      <c r="U17" t="s">
        <v>126</v>
      </c>
      <c r="W17">
        <v>22.18</v>
      </c>
      <c r="Y17">
        <v>22.18</v>
      </c>
      <c r="AC17">
        <v>22.18</v>
      </c>
      <c r="BH17" t="s">
        <v>126</v>
      </c>
      <c r="BI17" t="s">
        <v>126</v>
      </c>
      <c r="BJ17" t="s">
        <v>126</v>
      </c>
      <c r="BK17" t="s">
        <v>126</v>
      </c>
      <c r="BS17" t="s">
        <v>126</v>
      </c>
      <c r="BT17" t="s">
        <v>126</v>
      </c>
      <c r="BU17" t="s">
        <v>126</v>
      </c>
      <c r="BV17" t="s">
        <v>126</v>
      </c>
      <c r="CN17" t="s">
        <v>181</v>
      </c>
      <c r="CP17" t="s">
        <v>182</v>
      </c>
      <c r="CQ17" t="s">
        <v>181</v>
      </c>
    </row>
    <row r="18" spans="1:95" x14ac:dyDescent="0.2">
      <c r="A18" t="s">
        <v>115</v>
      </c>
      <c r="B18" t="s">
        <v>116</v>
      </c>
      <c r="C18">
        <v>210784</v>
      </c>
      <c r="E18" t="s">
        <v>117</v>
      </c>
      <c r="F18">
        <v>368</v>
      </c>
      <c r="G18" t="s">
        <v>176</v>
      </c>
      <c r="H18" t="s">
        <v>177</v>
      </c>
      <c r="I18" t="s">
        <v>178</v>
      </c>
      <c r="J18" t="s">
        <v>179</v>
      </c>
      <c r="L18" s="14">
        <v>44886</v>
      </c>
      <c r="M18" s="18">
        <f t="shared" si="3"/>
        <v>44866</v>
      </c>
      <c r="N18">
        <v>7142683</v>
      </c>
      <c r="O18" t="s">
        <v>123</v>
      </c>
      <c r="P18" t="s">
        <v>124</v>
      </c>
      <c r="Q18">
        <v>18.12</v>
      </c>
      <c r="R18" t="s">
        <v>125</v>
      </c>
      <c r="S18" t="s">
        <v>126</v>
      </c>
      <c r="T18" t="s">
        <v>125</v>
      </c>
      <c r="U18" t="s">
        <v>126</v>
      </c>
      <c r="W18">
        <v>18.12</v>
      </c>
      <c r="Y18">
        <v>18.12</v>
      </c>
      <c r="AC18">
        <v>18.12</v>
      </c>
      <c r="BH18" t="s">
        <v>126</v>
      </c>
      <c r="BI18" t="s">
        <v>126</v>
      </c>
      <c r="BJ18" t="s">
        <v>126</v>
      </c>
      <c r="BK18" t="s">
        <v>126</v>
      </c>
      <c r="BS18" t="s">
        <v>126</v>
      </c>
      <c r="BT18" t="s">
        <v>126</v>
      </c>
      <c r="BU18" t="s">
        <v>126</v>
      </c>
      <c r="BV18" t="s">
        <v>126</v>
      </c>
      <c r="CN18" t="s">
        <v>181</v>
      </c>
      <c r="CP18" t="s">
        <v>182</v>
      </c>
      <c r="CQ18" t="s">
        <v>181</v>
      </c>
    </row>
    <row r="19" spans="1:95" x14ac:dyDescent="0.2">
      <c r="A19" t="s">
        <v>115</v>
      </c>
      <c r="B19" t="s">
        <v>116</v>
      </c>
      <c r="C19">
        <v>210784</v>
      </c>
      <c r="E19" t="s">
        <v>117</v>
      </c>
      <c r="F19">
        <v>368</v>
      </c>
      <c r="G19" t="s">
        <v>176</v>
      </c>
      <c r="H19" t="s">
        <v>177</v>
      </c>
      <c r="I19" t="s">
        <v>178</v>
      </c>
      <c r="J19" t="s">
        <v>179</v>
      </c>
      <c r="L19" s="14">
        <v>44886</v>
      </c>
      <c r="M19" s="18">
        <f t="shared" si="3"/>
        <v>44866</v>
      </c>
      <c r="N19">
        <v>7142720</v>
      </c>
      <c r="O19" t="s">
        <v>123</v>
      </c>
      <c r="P19" t="s">
        <v>124</v>
      </c>
      <c r="Q19">
        <v>23.07</v>
      </c>
      <c r="R19" t="s">
        <v>125</v>
      </c>
      <c r="S19" t="s">
        <v>126</v>
      </c>
      <c r="T19" t="s">
        <v>125</v>
      </c>
      <c r="U19" t="s">
        <v>126</v>
      </c>
      <c r="W19">
        <v>23.07</v>
      </c>
      <c r="Y19">
        <v>23.07</v>
      </c>
      <c r="AC19">
        <v>23.07</v>
      </c>
      <c r="BH19" t="s">
        <v>126</v>
      </c>
      <c r="BI19" t="s">
        <v>126</v>
      </c>
      <c r="BJ19" t="s">
        <v>126</v>
      </c>
      <c r="BK19" t="s">
        <v>126</v>
      </c>
      <c r="BS19" t="s">
        <v>126</v>
      </c>
      <c r="BT19" t="s">
        <v>126</v>
      </c>
      <c r="BU19" t="s">
        <v>126</v>
      </c>
      <c r="BV19" t="s">
        <v>126</v>
      </c>
      <c r="CN19" t="s">
        <v>181</v>
      </c>
      <c r="CP19" t="s">
        <v>182</v>
      </c>
      <c r="CQ19" t="s">
        <v>181</v>
      </c>
    </row>
    <row r="20" spans="1:95" x14ac:dyDescent="0.2">
      <c r="A20" t="s">
        <v>115</v>
      </c>
      <c r="B20" t="s">
        <v>116</v>
      </c>
      <c r="C20">
        <v>210784</v>
      </c>
      <c r="E20" t="s">
        <v>117</v>
      </c>
      <c r="F20">
        <v>368</v>
      </c>
      <c r="G20" t="s">
        <v>176</v>
      </c>
      <c r="H20" t="s">
        <v>177</v>
      </c>
      <c r="I20" t="s">
        <v>178</v>
      </c>
      <c r="J20" t="s">
        <v>179</v>
      </c>
      <c r="L20" s="14">
        <v>44886</v>
      </c>
      <c r="M20" s="18">
        <f t="shared" si="3"/>
        <v>44866</v>
      </c>
      <c r="N20">
        <v>7142734</v>
      </c>
      <c r="O20" t="s">
        <v>123</v>
      </c>
      <c r="P20" t="s">
        <v>124</v>
      </c>
      <c r="Q20">
        <v>21.46</v>
      </c>
      <c r="R20" t="s">
        <v>125</v>
      </c>
      <c r="S20" t="s">
        <v>126</v>
      </c>
      <c r="T20" t="s">
        <v>125</v>
      </c>
      <c r="U20" t="s">
        <v>126</v>
      </c>
      <c r="W20">
        <v>21.46</v>
      </c>
      <c r="Y20">
        <v>21.46</v>
      </c>
      <c r="AC20">
        <v>21.46</v>
      </c>
      <c r="BH20" t="s">
        <v>126</v>
      </c>
      <c r="BI20" t="s">
        <v>126</v>
      </c>
      <c r="BJ20" t="s">
        <v>126</v>
      </c>
      <c r="BK20" t="s">
        <v>126</v>
      </c>
      <c r="BS20" t="s">
        <v>126</v>
      </c>
      <c r="BT20" t="s">
        <v>126</v>
      </c>
      <c r="BU20" t="s">
        <v>126</v>
      </c>
      <c r="BV20" t="s">
        <v>126</v>
      </c>
      <c r="CN20" t="s">
        <v>181</v>
      </c>
      <c r="CP20" t="s">
        <v>182</v>
      </c>
      <c r="CQ20" t="s">
        <v>181</v>
      </c>
    </row>
    <row r="21" spans="1:95" x14ac:dyDescent="0.2">
      <c r="A21" t="s">
        <v>115</v>
      </c>
      <c r="B21" t="s">
        <v>116</v>
      </c>
      <c r="C21">
        <v>210784</v>
      </c>
      <c r="E21" t="s">
        <v>117</v>
      </c>
      <c r="F21">
        <v>368</v>
      </c>
      <c r="G21" t="s">
        <v>176</v>
      </c>
      <c r="H21" t="s">
        <v>177</v>
      </c>
      <c r="I21" t="s">
        <v>178</v>
      </c>
      <c r="J21" t="s">
        <v>179</v>
      </c>
      <c r="L21" s="14">
        <v>44886</v>
      </c>
      <c r="M21" s="18">
        <f t="shared" si="3"/>
        <v>44866</v>
      </c>
      <c r="N21">
        <v>7142766</v>
      </c>
      <c r="O21" s="12" t="s">
        <v>123</v>
      </c>
      <c r="P21" t="s">
        <v>124</v>
      </c>
      <c r="Q21">
        <v>12.89</v>
      </c>
      <c r="R21" t="s">
        <v>125</v>
      </c>
      <c r="S21" t="s">
        <v>126</v>
      </c>
      <c r="T21" t="s">
        <v>125</v>
      </c>
      <c r="U21" t="s">
        <v>126</v>
      </c>
      <c r="W21">
        <v>12.89</v>
      </c>
      <c r="Y21">
        <v>12.89</v>
      </c>
      <c r="AC21">
        <v>12.89</v>
      </c>
      <c r="BH21" t="s">
        <v>126</v>
      </c>
      <c r="BI21" t="s">
        <v>126</v>
      </c>
      <c r="BJ21" t="s">
        <v>126</v>
      </c>
      <c r="BK21" t="s">
        <v>126</v>
      </c>
      <c r="BS21" t="s">
        <v>126</v>
      </c>
      <c r="BT21" t="s">
        <v>126</v>
      </c>
      <c r="BU21" t="s">
        <v>126</v>
      </c>
      <c r="BV21" t="s">
        <v>126</v>
      </c>
      <c r="CN21" t="s">
        <v>181</v>
      </c>
      <c r="CP21" t="s">
        <v>182</v>
      </c>
      <c r="CQ21" t="s">
        <v>181</v>
      </c>
    </row>
    <row r="22" spans="1:95" x14ac:dyDescent="0.2">
      <c r="A22" t="s">
        <v>115</v>
      </c>
      <c r="B22" t="s">
        <v>116</v>
      </c>
      <c r="C22">
        <v>210784</v>
      </c>
      <c r="E22" t="s">
        <v>117</v>
      </c>
      <c r="F22">
        <v>368</v>
      </c>
      <c r="G22" t="s">
        <v>176</v>
      </c>
      <c r="H22" t="s">
        <v>177</v>
      </c>
      <c r="I22" t="s">
        <v>178</v>
      </c>
      <c r="J22" t="s">
        <v>179</v>
      </c>
      <c r="L22" s="14">
        <v>44886</v>
      </c>
      <c r="M22" s="18">
        <f t="shared" si="3"/>
        <v>44866</v>
      </c>
      <c r="N22">
        <v>7142770</v>
      </c>
      <c r="O22" t="s">
        <v>123</v>
      </c>
      <c r="P22" t="s">
        <v>124</v>
      </c>
      <c r="Q22">
        <v>19.48</v>
      </c>
      <c r="R22" t="s">
        <v>125</v>
      </c>
      <c r="S22" t="s">
        <v>126</v>
      </c>
      <c r="T22" t="s">
        <v>125</v>
      </c>
      <c r="U22" t="s">
        <v>126</v>
      </c>
      <c r="W22">
        <v>19.48</v>
      </c>
      <c r="Y22">
        <v>19.48</v>
      </c>
      <c r="AC22">
        <v>19.48</v>
      </c>
      <c r="BH22" t="s">
        <v>126</v>
      </c>
      <c r="BI22" t="s">
        <v>126</v>
      </c>
      <c r="BJ22" t="s">
        <v>126</v>
      </c>
      <c r="BK22" t="s">
        <v>126</v>
      </c>
      <c r="BS22" t="s">
        <v>126</v>
      </c>
      <c r="BT22" t="s">
        <v>126</v>
      </c>
      <c r="BU22" t="s">
        <v>126</v>
      </c>
      <c r="BV22" t="s">
        <v>126</v>
      </c>
      <c r="CN22" t="s">
        <v>181</v>
      </c>
      <c r="CP22" t="s">
        <v>182</v>
      </c>
      <c r="CQ22" t="s">
        <v>181</v>
      </c>
    </row>
    <row r="23" spans="1:95" x14ac:dyDescent="0.2">
      <c r="A23" t="s">
        <v>115</v>
      </c>
      <c r="B23" t="s">
        <v>116</v>
      </c>
      <c r="C23">
        <v>210784</v>
      </c>
      <c r="E23" t="s">
        <v>117</v>
      </c>
      <c r="F23">
        <v>368</v>
      </c>
      <c r="G23" t="s">
        <v>176</v>
      </c>
      <c r="H23" t="s">
        <v>177</v>
      </c>
      <c r="I23" t="s">
        <v>178</v>
      </c>
      <c r="J23" t="s">
        <v>179</v>
      </c>
      <c r="L23" s="14">
        <v>44886</v>
      </c>
      <c r="M23" s="18">
        <f t="shared" si="3"/>
        <v>44866</v>
      </c>
      <c r="N23">
        <v>7142802</v>
      </c>
      <c r="O23" t="s">
        <v>123</v>
      </c>
      <c r="P23" t="s">
        <v>124</v>
      </c>
      <c r="Q23">
        <v>20.43</v>
      </c>
      <c r="R23" t="s">
        <v>125</v>
      </c>
      <c r="S23" t="s">
        <v>126</v>
      </c>
      <c r="T23" t="s">
        <v>125</v>
      </c>
      <c r="U23" t="s">
        <v>126</v>
      </c>
      <c r="W23">
        <v>20.43</v>
      </c>
      <c r="Y23">
        <v>20.43</v>
      </c>
      <c r="AC23">
        <v>20.43</v>
      </c>
      <c r="BH23" t="s">
        <v>126</v>
      </c>
      <c r="BI23" t="s">
        <v>126</v>
      </c>
      <c r="BJ23" t="s">
        <v>126</v>
      </c>
      <c r="BK23" t="s">
        <v>126</v>
      </c>
      <c r="BS23" t="s">
        <v>126</v>
      </c>
      <c r="BT23" t="s">
        <v>126</v>
      </c>
      <c r="BU23" t="s">
        <v>126</v>
      </c>
      <c r="BV23" t="s">
        <v>126</v>
      </c>
      <c r="CN23" t="s">
        <v>181</v>
      </c>
      <c r="CP23" t="s">
        <v>182</v>
      </c>
      <c r="CQ23" t="s">
        <v>181</v>
      </c>
    </row>
    <row r="24" spans="1:95" x14ac:dyDescent="0.2">
      <c r="A24" t="s">
        <v>115</v>
      </c>
      <c r="B24" t="s">
        <v>116</v>
      </c>
      <c r="C24">
        <v>210784</v>
      </c>
      <c r="E24" t="s">
        <v>117</v>
      </c>
      <c r="F24">
        <v>368</v>
      </c>
      <c r="G24" t="s">
        <v>176</v>
      </c>
      <c r="H24" t="s">
        <v>177</v>
      </c>
      <c r="I24" t="s">
        <v>178</v>
      </c>
      <c r="J24" t="s">
        <v>179</v>
      </c>
      <c r="L24" s="14">
        <v>44886</v>
      </c>
      <c r="M24" s="18">
        <f t="shared" si="3"/>
        <v>44866</v>
      </c>
      <c r="N24">
        <v>7142809</v>
      </c>
      <c r="O24" t="s">
        <v>123</v>
      </c>
      <c r="P24" t="s">
        <v>124</v>
      </c>
      <c r="Q24">
        <v>18.89</v>
      </c>
      <c r="R24" t="s">
        <v>125</v>
      </c>
      <c r="S24" t="s">
        <v>126</v>
      </c>
      <c r="T24" t="s">
        <v>125</v>
      </c>
      <c r="U24" t="s">
        <v>126</v>
      </c>
      <c r="W24">
        <v>18.89</v>
      </c>
      <c r="Y24">
        <v>18.89</v>
      </c>
      <c r="AC24">
        <v>18.89</v>
      </c>
      <c r="BH24" t="s">
        <v>126</v>
      </c>
      <c r="BI24" t="s">
        <v>126</v>
      </c>
      <c r="BJ24" t="s">
        <v>126</v>
      </c>
      <c r="BK24" t="s">
        <v>126</v>
      </c>
      <c r="BS24" t="s">
        <v>126</v>
      </c>
      <c r="BT24" t="s">
        <v>126</v>
      </c>
      <c r="BU24" t="s">
        <v>126</v>
      </c>
      <c r="BV24" t="s">
        <v>126</v>
      </c>
      <c r="CN24" t="s">
        <v>181</v>
      </c>
      <c r="CP24" t="s">
        <v>182</v>
      </c>
      <c r="CQ24" t="s">
        <v>181</v>
      </c>
    </row>
    <row r="25" spans="1:95" x14ac:dyDescent="0.2">
      <c r="A25" t="s">
        <v>115</v>
      </c>
      <c r="B25" t="s">
        <v>116</v>
      </c>
      <c r="C25">
        <v>210784</v>
      </c>
      <c r="E25" t="s">
        <v>117</v>
      </c>
      <c r="F25">
        <v>368</v>
      </c>
      <c r="G25" t="s">
        <v>176</v>
      </c>
      <c r="H25" t="s">
        <v>177</v>
      </c>
      <c r="I25" t="s">
        <v>178</v>
      </c>
      <c r="J25" t="s">
        <v>179</v>
      </c>
      <c r="L25" s="14">
        <v>44887</v>
      </c>
      <c r="M25" s="18">
        <f t="shared" si="3"/>
        <v>44866</v>
      </c>
      <c r="N25">
        <v>7142874</v>
      </c>
      <c r="O25" t="s">
        <v>123</v>
      </c>
      <c r="P25" t="s">
        <v>124</v>
      </c>
      <c r="Q25">
        <v>22.62</v>
      </c>
      <c r="R25" t="s">
        <v>125</v>
      </c>
      <c r="S25" t="s">
        <v>126</v>
      </c>
      <c r="T25" t="s">
        <v>125</v>
      </c>
      <c r="U25" t="s">
        <v>126</v>
      </c>
      <c r="W25">
        <v>22.62</v>
      </c>
      <c r="Y25">
        <v>22.62</v>
      </c>
      <c r="AC25">
        <v>22.62</v>
      </c>
      <c r="BH25" t="s">
        <v>126</v>
      </c>
      <c r="BI25" t="s">
        <v>126</v>
      </c>
      <c r="BJ25" t="s">
        <v>126</v>
      </c>
      <c r="BK25" t="s">
        <v>126</v>
      </c>
      <c r="BS25" t="s">
        <v>126</v>
      </c>
      <c r="BT25" t="s">
        <v>126</v>
      </c>
      <c r="BU25" t="s">
        <v>126</v>
      </c>
      <c r="BV25" t="s">
        <v>126</v>
      </c>
      <c r="CN25" t="s">
        <v>181</v>
      </c>
      <c r="CP25" t="s">
        <v>182</v>
      </c>
      <c r="CQ25" t="s">
        <v>181</v>
      </c>
    </row>
    <row r="26" spans="1:95" x14ac:dyDescent="0.2">
      <c r="A26" t="s">
        <v>115</v>
      </c>
      <c r="B26" t="s">
        <v>116</v>
      </c>
      <c r="C26">
        <v>210784</v>
      </c>
      <c r="E26" t="s">
        <v>117</v>
      </c>
      <c r="F26">
        <v>368</v>
      </c>
      <c r="G26" t="s">
        <v>176</v>
      </c>
      <c r="H26" t="s">
        <v>177</v>
      </c>
      <c r="I26" t="s">
        <v>178</v>
      </c>
      <c r="J26" t="s">
        <v>179</v>
      </c>
      <c r="L26" s="14">
        <v>44887</v>
      </c>
      <c r="M26" s="18">
        <f t="shared" si="3"/>
        <v>44866</v>
      </c>
      <c r="N26">
        <v>7142883</v>
      </c>
      <c r="O26" t="s">
        <v>123</v>
      </c>
      <c r="P26" t="s">
        <v>124</v>
      </c>
      <c r="Q26">
        <v>20.94</v>
      </c>
      <c r="R26" t="s">
        <v>125</v>
      </c>
      <c r="S26" t="s">
        <v>126</v>
      </c>
      <c r="T26" t="s">
        <v>125</v>
      </c>
      <c r="U26" t="s">
        <v>126</v>
      </c>
      <c r="W26">
        <v>20.94</v>
      </c>
      <c r="Y26">
        <v>20.94</v>
      </c>
      <c r="AC26">
        <v>20.94</v>
      </c>
      <c r="BH26" t="s">
        <v>126</v>
      </c>
      <c r="BI26" t="s">
        <v>126</v>
      </c>
      <c r="BJ26" t="s">
        <v>126</v>
      </c>
      <c r="BK26" t="s">
        <v>126</v>
      </c>
      <c r="BS26" t="s">
        <v>126</v>
      </c>
      <c r="BT26" t="s">
        <v>126</v>
      </c>
      <c r="BU26" t="s">
        <v>126</v>
      </c>
      <c r="BV26" t="s">
        <v>126</v>
      </c>
      <c r="CN26" t="s">
        <v>181</v>
      </c>
      <c r="CP26" t="s">
        <v>182</v>
      </c>
      <c r="CQ26" t="s">
        <v>181</v>
      </c>
    </row>
    <row r="27" spans="1:95" x14ac:dyDescent="0.2">
      <c r="A27" t="s">
        <v>115</v>
      </c>
      <c r="B27" t="s">
        <v>116</v>
      </c>
      <c r="C27">
        <v>210784</v>
      </c>
      <c r="E27" t="s">
        <v>117</v>
      </c>
      <c r="F27">
        <v>368</v>
      </c>
      <c r="G27" t="s">
        <v>176</v>
      </c>
      <c r="H27" t="s">
        <v>177</v>
      </c>
      <c r="I27" t="s">
        <v>178</v>
      </c>
      <c r="J27" t="s">
        <v>179</v>
      </c>
      <c r="L27" s="14">
        <v>44887</v>
      </c>
      <c r="M27" s="18">
        <f t="shared" si="3"/>
        <v>44866</v>
      </c>
      <c r="N27">
        <v>7142943</v>
      </c>
      <c r="O27" t="s">
        <v>123</v>
      </c>
      <c r="P27" t="s">
        <v>124</v>
      </c>
      <c r="Q27">
        <v>22.54</v>
      </c>
      <c r="R27" t="s">
        <v>125</v>
      </c>
      <c r="S27" t="s">
        <v>126</v>
      </c>
      <c r="T27" t="s">
        <v>125</v>
      </c>
      <c r="U27" t="s">
        <v>126</v>
      </c>
      <c r="W27">
        <v>22.54</v>
      </c>
      <c r="Y27">
        <v>22.54</v>
      </c>
      <c r="AC27">
        <v>22.54</v>
      </c>
      <c r="BH27" t="s">
        <v>126</v>
      </c>
      <c r="BI27" t="s">
        <v>126</v>
      </c>
      <c r="BJ27" t="s">
        <v>126</v>
      </c>
      <c r="BK27" t="s">
        <v>126</v>
      </c>
      <c r="BS27" t="s">
        <v>126</v>
      </c>
      <c r="BT27" t="s">
        <v>126</v>
      </c>
      <c r="BU27" t="s">
        <v>126</v>
      </c>
      <c r="BV27" t="s">
        <v>126</v>
      </c>
      <c r="CN27" t="s">
        <v>181</v>
      </c>
      <c r="CP27" t="s">
        <v>182</v>
      </c>
      <c r="CQ27" t="s">
        <v>181</v>
      </c>
    </row>
    <row r="28" spans="1:95" x14ac:dyDescent="0.2">
      <c r="A28" t="s">
        <v>115</v>
      </c>
      <c r="B28" t="s">
        <v>116</v>
      </c>
      <c r="C28">
        <v>210784</v>
      </c>
      <c r="E28" t="s">
        <v>117</v>
      </c>
      <c r="F28">
        <v>368</v>
      </c>
      <c r="G28" t="s">
        <v>176</v>
      </c>
      <c r="H28" t="s">
        <v>177</v>
      </c>
      <c r="I28" t="s">
        <v>178</v>
      </c>
      <c r="J28" t="s">
        <v>179</v>
      </c>
      <c r="L28" s="14">
        <v>44887</v>
      </c>
      <c r="M28" s="18">
        <f t="shared" si="3"/>
        <v>44866</v>
      </c>
      <c r="N28">
        <v>7142948</v>
      </c>
      <c r="O28" t="s">
        <v>123</v>
      </c>
      <c r="P28" t="s">
        <v>124</v>
      </c>
      <c r="Q28">
        <v>22.03</v>
      </c>
      <c r="R28" t="s">
        <v>125</v>
      </c>
      <c r="S28" t="s">
        <v>126</v>
      </c>
      <c r="T28" t="s">
        <v>125</v>
      </c>
      <c r="U28" t="s">
        <v>126</v>
      </c>
      <c r="W28">
        <v>22.03</v>
      </c>
      <c r="Y28">
        <v>22.03</v>
      </c>
      <c r="AC28">
        <v>22.03</v>
      </c>
      <c r="BH28" t="s">
        <v>126</v>
      </c>
      <c r="BI28" t="s">
        <v>126</v>
      </c>
      <c r="BJ28" t="s">
        <v>126</v>
      </c>
      <c r="BK28" t="s">
        <v>126</v>
      </c>
      <c r="BS28" t="s">
        <v>126</v>
      </c>
      <c r="BT28" t="s">
        <v>126</v>
      </c>
      <c r="BU28" t="s">
        <v>126</v>
      </c>
      <c r="BV28" t="s">
        <v>126</v>
      </c>
      <c r="CN28" t="s">
        <v>181</v>
      </c>
      <c r="CP28" t="s">
        <v>182</v>
      </c>
      <c r="CQ28" t="s">
        <v>181</v>
      </c>
    </row>
    <row r="29" spans="1:95" x14ac:dyDescent="0.2">
      <c r="A29" t="s">
        <v>115</v>
      </c>
      <c r="B29" t="s">
        <v>116</v>
      </c>
      <c r="C29">
        <v>210784</v>
      </c>
      <c r="E29" t="s">
        <v>117</v>
      </c>
      <c r="F29">
        <v>368</v>
      </c>
      <c r="G29" t="s">
        <v>176</v>
      </c>
      <c r="H29" t="s">
        <v>177</v>
      </c>
      <c r="I29" t="s">
        <v>178</v>
      </c>
      <c r="J29" t="s">
        <v>179</v>
      </c>
      <c r="L29" s="14">
        <v>44887</v>
      </c>
      <c r="M29" s="18">
        <f t="shared" si="3"/>
        <v>44866</v>
      </c>
      <c r="N29">
        <v>7143011</v>
      </c>
      <c r="O29" t="s">
        <v>123</v>
      </c>
      <c r="P29" t="s">
        <v>124</v>
      </c>
      <c r="Q29">
        <v>22.74</v>
      </c>
      <c r="R29" t="s">
        <v>125</v>
      </c>
      <c r="S29" t="s">
        <v>126</v>
      </c>
      <c r="T29" t="s">
        <v>125</v>
      </c>
      <c r="U29" t="s">
        <v>126</v>
      </c>
      <c r="W29">
        <v>22.74</v>
      </c>
      <c r="Y29">
        <v>22.74</v>
      </c>
      <c r="AC29">
        <v>22.74</v>
      </c>
      <c r="BH29" t="s">
        <v>126</v>
      </c>
      <c r="BI29" t="s">
        <v>126</v>
      </c>
      <c r="BJ29" t="s">
        <v>126</v>
      </c>
      <c r="BK29" t="s">
        <v>126</v>
      </c>
      <c r="BS29" t="s">
        <v>126</v>
      </c>
      <c r="BT29" t="s">
        <v>126</v>
      </c>
      <c r="BU29" t="s">
        <v>126</v>
      </c>
      <c r="BV29" t="s">
        <v>126</v>
      </c>
      <c r="CN29" t="s">
        <v>181</v>
      </c>
      <c r="CP29" t="s">
        <v>182</v>
      </c>
      <c r="CQ29" t="s">
        <v>181</v>
      </c>
    </row>
    <row r="30" spans="1:95" x14ac:dyDescent="0.2">
      <c r="A30" t="s">
        <v>115</v>
      </c>
      <c r="B30" t="s">
        <v>116</v>
      </c>
      <c r="C30">
        <v>210784</v>
      </c>
      <c r="E30" t="s">
        <v>117</v>
      </c>
      <c r="F30">
        <v>368</v>
      </c>
      <c r="G30" t="s">
        <v>176</v>
      </c>
      <c r="H30" t="s">
        <v>177</v>
      </c>
      <c r="I30" t="s">
        <v>178</v>
      </c>
      <c r="J30" t="s">
        <v>179</v>
      </c>
      <c r="L30" s="14">
        <v>44887</v>
      </c>
      <c r="M30" s="18">
        <f t="shared" si="3"/>
        <v>44866</v>
      </c>
      <c r="N30">
        <v>7143039</v>
      </c>
      <c r="O30" s="12" t="s">
        <v>123</v>
      </c>
      <c r="P30" t="s">
        <v>124</v>
      </c>
      <c r="Q30">
        <v>20.309999999999999</v>
      </c>
      <c r="R30" t="s">
        <v>125</v>
      </c>
      <c r="S30" t="s">
        <v>126</v>
      </c>
      <c r="T30" t="s">
        <v>125</v>
      </c>
      <c r="U30" t="s">
        <v>126</v>
      </c>
      <c r="W30">
        <v>20.309999999999999</v>
      </c>
      <c r="Y30">
        <v>20.309999999999999</v>
      </c>
      <c r="AC30">
        <v>20.309999999999999</v>
      </c>
      <c r="BH30" t="s">
        <v>126</v>
      </c>
      <c r="BI30" t="s">
        <v>126</v>
      </c>
      <c r="BJ30" t="s">
        <v>126</v>
      </c>
      <c r="BK30" t="s">
        <v>126</v>
      </c>
      <c r="BS30" t="s">
        <v>126</v>
      </c>
      <c r="BT30" t="s">
        <v>126</v>
      </c>
      <c r="BU30" t="s">
        <v>126</v>
      </c>
      <c r="BV30" t="s">
        <v>126</v>
      </c>
      <c r="CN30" t="s">
        <v>181</v>
      </c>
      <c r="CP30" t="s">
        <v>182</v>
      </c>
      <c r="CQ30" t="s">
        <v>181</v>
      </c>
    </row>
    <row r="31" spans="1:95" x14ac:dyDescent="0.2">
      <c r="A31" t="s">
        <v>115</v>
      </c>
      <c r="B31" t="s">
        <v>116</v>
      </c>
      <c r="C31">
        <v>210784</v>
      </c>
      <c r="E31" t="s">
        <v>117</v>
      </c>
      <c r="F31">
        <v>368</v>
      </c>
      <c r="G31" t="s">
        <v>176</v>
      </c>
      <c r="H31" t="s">
        <v>177</v>
      </c>
      <c r="I31" t="s">
        <v>178</v>
      </c>
      <c r="J31" t="s">
        <v>179</v>
      </c>
      <c r="L31" s="14">
        <v>44887</v>
      </c>
      <c r="M31" s="18">
        <f t="shared" si="3"/>
        <v>44866</v>
      </c>
      <c r="N31">
        <v>7143063</v>
      </c>
      <c r="O31" t="s">
        <v>123</v>
      </c>
      <c r="P31" t="s">
        <v>124</v>
      </c>
      <c r="Q31">
        <v>23.27</v>
      </c>
      <c r="R31" t="s">
        <v>125</v>
      </c>
      <c r="S31" t="s">
        <v>126</v>
      </c>
      <c r="T31" t="s">
        <v>125</v>
      </c>
      <c r="U31" t="s">
        <v>126</v>
      </c>
      <c r="W31">
        <v>23.27</v>
      </c>
      <c r="Y31">
        <v>23.27</v>
      </c>
      <c r="AC31">
        <v>23.27</v>
      </c>
      <c r="BH31" t="s">
        <v>126</v>
      </c>
      <c r="BI31" t="s">
        <v>126</v>
      </c>
      <c r="BJ31" t="s">
        <v>126</v>
      </c>
      <c r="BK31" t="s">
        <v>126</v>
      </c>
      <c r="BS31" t="s">
        <v>126</v>
      </c>
      <c r="BT31" t="s">
        <v>126</v>
      </c>
      <c r="BU31" t="s">
        <v>126</v>
      </c>
      <c r="BV31" t="s">
        <v>126</v>
      </c>
      <c r="CN31" t="s">
        <v>181</v>
      </c>
      <c r="CP31" t="s">
        <v>182</v>
      </c>
      <c r="CQ31" t="s">
        <v>181</v>
      </c>
    </row>
    <row r="32" spans="1:95" x14ac:dyDescent="0.2">
      <c r="A32" t="s">
        <v>115</v>
      </c>
      <c r="B32" t="s">
        <v>116</v>
      </c>
      <c r="C32">
        <v>210784</v>
      </c>
      <c r="E32" t="s">
        <v>117</v>
      </c>
      <c r="F32">
        <v>368</v>
      </c>
      <c r="G32" t="s">
        <v>176</v>
      </c>
      <c r="H32" t="s">
        <v>177</v>
      </c>
      <c r="I32" t="s">
        <v>178</v>
      </c>
      <c r="J32" t="s">
        <v>179</v>
      </c>
      <c r="L32" s="14">
        <v>44887</v>
      </c>
      <c r="M32" s="18">
        <f t="shared" si="3"/>
        <v>44866</v>
      </c>
      <c r="N32">
        <v>7143071</v>
      </c>
      <c r="O32" t="s">
        <v>123</v>
      </c>
      <c r="P32" t="s">
        <v>124</v>
      </c>
      <c r="Q32">
        <v>19.760000000000002</v>
      </c>
      <c r="R32" t="s">
        <v>125</v>
      </c>
      <c r="S32" t="s">
        <v>126</v>
      </c>
      <c r="T32" t="s">
        <v>125</v>
      </c>
      <c r="U32" t="s">
        <v>126</v>
      </c>
      <c r="W32">
        <v>19.760000000000002</v>
      </c>
      <c r="Y32">
        <v>19.760000000000002</v>
      </c>
      <c r="AC32">
        <v>19.760000000000002</v>
      </c>
      <c r="BH32" t="s">
        <v>126</v>
      </c>
      <c r="BI32" t="s">
        <v>126</v>
      </c>
      <c r="BJ32" t="s">
        <v>126</v>
      </c>
      <c r="BK32" t="s">
        <v>126</v>
      </c>
      <c r="BS32" t="s">
        <v>126</v>
      </c>
      <c r="BT32" t="s">
        <v>126</v>
      </c>
      <c r="BU32" t="s">
        <v>126</v>
      </c>
      <c r="BV32" t="s">
        <v>126</v>
      </c>
      <c r="CN32" t="s">
        <v>181</v>
      </c>
      <c r="CP32" t="s">
        <v>182</v>
      </c>
      <c r="CQ32" t="s">
        <v>181</v>
      </c>
    </row>
    <row r="33" spans="1:95" x14ac:dyDescent="0.2">
      <c r="A33" t="s">
        <v>115</v>
      </c>
      <c r="B33" t="s">
        <v>116</v>
      </c>
      <c r="C33">
        <v>210784</v>
      </c>
      <c r="E33" t="s">
        <v>117</v>
      </c>
      <c r="F33">
        <v>368</v>
      </c>
      <c r="G33" t="s">
        <v>176</v>
      </c>
      <c r="H33" t="s">
        <v>177</v>
      </c>
      <c r="I33" t="s">
        <v>178</v>
      </c>
      <c r="J33" t="s">
        <v>179</v>
      </c>
      <c r="L33" s="14">
        <v>44888</v>
      </c>
      <c r="M33" s="18">
        <f t="shared" si="3"/>
        <v>44866</v>
      </c>
      <c r="N33">
        <v>7143140</v>
      </c>
      <c r="O33" t="s">
        <v>123</v>
      </c>
      <c r="P33" t="s">
        <v>124</v>
      </c>
      <c r="Q33">
        <v>21.81</v>
      </c>
      <c r="R33" t="s">
        <v>125</v>
      </c>
      <c r="S33" t="s">
        <v>126</v>
      </c>
      <c r="T33" t="s">
        <v>125</v>
      </c>
      <c r="U33" t="s">
        <v>126</v>
      </c>
      <c r="W33">
        <v>21.81</v>
      </c>
      <c r="Y33">
        <v>21.81</v>
      </c>
      <c r="AC33">
        <v>21.81</v>
      </c>
      <c r="BH33" t="s">
        <v>126</v>
      </c>
      <c r="BI33" t="s">
        <v>126</v>
      </c>
      <c r="BJ33" t="s">
        <v>126</v>
      </c>
      <c r="BK33" t="s">
        <v>126</v>
      </c>
      <c r="BS33" t="s">
        <v>126</v>
      </c>
      <c r="BT33" t="s">
        <v>126</v>
      </c>
      <c r="BU33" t="s">
        <v>126</v>
      </c>
      <c r="BV33" t="s">
        <v>126</v>
      </c>
      <c r="CN33" t="s">
        <v>181</v>
      </c>
      <c r="CP33" t="s">
        <v>182</v>
      </c>
      <c r="CQ33" t="s">
        <v>181</v>
      </c>
    </row>
    <row r="34" spans="1:95" x14ac:dyDescent="0.2">
      <c r="A34" t="s">
        <v>115</v>
      </c>
      <c r="B34" t="s">
        <v>116</v>
      </c>
      <c r="C34">
        <v>210784</v>
      </c>
      <c r="E34" t="s">
        <v>117</v>
      </c>
      <c r="F34">
        <v>368</v>
      </c>
      <c r="G34" t="s">
        <v>176</v>
      </c>
      <c r="H34" t="s">
        <v>177</v>
      </c>
      <c r="I34" t="s">
        <v>178</v>
      </c>
      <c r="J34" t="s">
        <v>179</v>
      </c>
      <c r="L34" s="14">
        <v>44888</v>
      </c>
      <c r="M34" s="18">
        <f t="shared" si="3"/>
        <v>44866</v>
      </c>
      <c r="N34">
        <v>7143142</v>
      </c>
      <c r="O34" t="s">
        <v>123</v>
      </c>
      <c r="P34" t="s">
        <v>124</v>
      </c>
      <c r="Q34">
        <v>20.63</v>
      </c>
      <c r="R34" t="s">
        <v>125</v>
      </c>
      <c r="S34" t="s">
        <v>126</v>
      </c>
      <c r="T34" t="s">
        <v>125</v>
      </c>
      <c r="U34" t="s">
        <v>126</v>
      </c>
      <c r="W34">
        <v>20.63</v>
      </c>
      <c r="Y34">
        <v>20.63</v>
      </c>
      <c r="AC34">
        <v>20.63</v>
      </c>
      <c r="BH34" t="s">
        <v>126</v>
      </c>
      <c r="BI34" t="s">
        <v>126</v>
      </c>
      <c r="BJ34" t="s">
        <v>126</v>
      </c>
      <c r="BK34" t="s">
        <v>126</v>
      </c>
      <c r="BS34" t="s">
        <v>126</v>
      </c>
      <c r="BT34" t="s">
        <v>126</v>
      </c>
      <c r="BU34" t="s">
        <v>126</v>
      </c>
      <c r="BV34" t="s">
        <v>126</v>
      </c>
      <c r="CN34" t="s">
        <v>181</v>
      </c>
      <c r="CP34" t="s">
        <v>182</v>
      </c>
      <c r="CQ34" t="s">
        <v>181</v>
      </c>
    </row>
    <row r="35" spans="1:95" x14ac:dyDescent="0.2">
      <c r="A35" t="s">
        <v>115</v>
      </c>
      <c r="B35" t="s">
        <v>116</v>
      </c>
      <c r="C35">
        <v>210784</v>
      </c>
      <c r="E35" t="s">
        <v>117</v>
      </c>
      <c r="F35">
        <v>368</v>
      </c>
      <c r="G35" t="s">
        <v>176</v>
      </c>
      <c r="H35" t="s">
        <v>177</v>
      </c>
      <c r="I35" t="s">
        <v>178</v>
      </c>
      <c r="J35" t="s">
        <v>179</v>
      </c>
      <c r="L35" s="14">
        <v>44888</v>
      </c>
      <c r="M35" s="18">
        <f t="shared" si="3"/>
        <v>44866</v>
      </c>
      <c r="N35">
        <v>7143175</v>
      </c>
      <c r="O35" t="s">
        <v>123</v>
      </c>
      <c r="P35" t="s">
        <v>124</v>
      </c>
      <c r="Q35">
        <v>20.6</v>
      </c>
      <c r="R35" t="s">
        <v>125</v>
      </c>
      <c r="S35" t="s">
        <v>126</v>
      </c>
      <c r="T35" t="s">
        <v>125</v>
      </c>
      <c r="U35" t="s">
        <v>126</v>
      </c>
      <c r="W35">
        <v>20.6</v>
      </c>
      <c r="Y35">
        <v>20.6</v>
      </c>
      <c r="AC35">
        <v>20.6</v>
      </c>
      <c r="BH35" t="s">
        <v>126</v>
      </c>
      <c r="BI35" t="s">
        <v>126</v>
      </c>
      <c r="BJ35" t="s">
        <v>126</v>
      </c>
      <c r="BK35" t="s">
        <v>126</v>
      </c>
      <c r="BS35" t="s">
        <v>126</v>
      </c>
      <c r="BT35" t="s">
        <v>126</v>
      </c>
      <c r="BU35" t="s">
        <v>126</v>
      </c>
      <c r="BV35" t="s">
        <v>126</v>
      </c>
      <c r="CN35" t="s">
        <v>181</v>
      </c>
      <c r="CP35" t="s">
        <v>182</v>
      </c>
      <c r="CQ35" t="s">
        <v>181</v>
      </c>
    </row>
    <row r="36" spans="1:95" x14ac:dyDescent="0.2">
      <c r="A36" t="s">
        <v>115</v>
      </c>
      <c r="B36" t="s">
        <v>116</v>
      </c>
      <c r="C36">
        <v>210784</v>
      </c>
      <c r="E36" t="s">
        <v>117</v>
      </c>
      <c r="F36">
        <v>368</v>
      </c>
      <c r="G36" t="s">
        <v>176</v>
      </c>
      <c r="H36" t="s">
        <v>177</v>
      </c>
      <c r="I36" t="s">
        <v>178</v>
      </c>
      <c r="J36" t="s">
        <v>179</v>
      </c>
      <c r="L36" s="14">
        <v>44888</v>
      </c>
      <c r="M36" s="18">
        <f t="shared" si="3"/>
        <v>44866</v>
      </c>
      <c r="N36">
        <v>7143180</v>
      </c>
      <c r="O36" t="s">
        <v>123</v>
      </c>
      <c r="P36" t="s">
        <v>124</v>
      </c>
      <c r="Q36">
        <v>21.11</v>
      </c>
      <c r="R36" t="s">
        <v>125</v>
      </c>
      <c r="S36" t="s">
        <v>126</v>
      </c>
      <c r="T36" t="s">
        <v>125</v>
      </c>
      <c r="U36" t="s">
        <v>126</v>
      </c>
      <c r="W36">
        <v>21.11</v>
      </c>
      <c r="Y36">
        <v>21.11</v>
      </c>
      <c r="AC36">
        <v>21.11</v>
      </c>
      <c r="BH36" t="s">
        <v>126</v>
      </c>
      <c r="BI36" t="s">
        <v>126</v>
      </c>
      <c r="BJ36" t="s">
        <v>126</v>
      </c>
      <c r="BK36" t="s">
        <v>126</v>
      </c>
      <c r="BS36" t="s">
        <v>126</v>
      </c>
      <c r="BT36" t="s">
        <v>126</v>
      </c>
      <c r="BU36" t="s">
        <v>126</v>
      </c>
      <c r="BV36" t="s">
        <v>126</v>
      </c>
      <c r="CN36" t="s">
        <v>181</v>
      </c>
      <c r="CP36" t="s">
        <v>182</v>
      </c>
      <c r="CQ36" t="s">
        <v>181</v>
      </c>
    </row>
    <row r="37" spans="1:95" x14ac:dyDescent="0.2">
      <c r="A37" t="s">
        <v>115</v>
      </c>
      <c r="B37" t="s">
        <v>116</v>
      </c>
      <c r="C37">
        <v>210784</v>
      </c>
      <c r="E37" t="s">
        <v>117</v>
      </c>
      <c r="F37">
        <v>368</v>
      </c>
      <c r="G37" t="s">
        <v>176</v>
      </c>
      <c r="H37" t="s">
        <v>177</v>
      </c>
      <c r="I37" t="s">
        <v>178</v>
      </c>
      <c r="J37" t="s">
        <v>179</v>
      </c>
      <c r="L37" s="14">
        <v>44888</v>
      </c>
      <c r="M37" s="18">
        <f t="shared" si="3"/>
        <v>44866</v>
      </c>
      <c r="N37">
        <v>7143210</v>
      </c>
      <c r="O37" t="s">
        <v>123</v>
      </c>
      <c r="P37" t="s">
        <v>124</v>
      </c>
      <c r="Q37">
        <v>23.57</v>
      </c>
      <c r="R37" t="s">
        <v>125</v>
      </c>
      <c r="S37" t="s">
        <v>126</v>
      </c>
      <c r="T37" t="s">
        <v>125</v>
      </c>
      <c r="U37" t="s">
        <v>126</v>
      </c>
      <c r="W37">
        <v>23.57</v>
      </c>
      <c r="Y37">
        <v>23.57</v>
      </c>
      <c r="AC37">
        <v>23.57</v>
      </c>
      <c r="BH37" t="s">
        <v>126</v>
      </c>
      <c r="BI37" t="s">
        <v>126</v>
      </c>
      <c r="BJ37" t="s">
        <v>126</v>
      </c>
      <c r="BK37" t="s">
        <v>126</v>
      </c>
      <c r="BS37" t="s">
        <v>126</v>
      </c>
      <c r="BT37" t="s">
        <v>126</v>
      </c>
      <c r="BU37" t="s">
        <v>126</v>
      </c>
      <c r="BV37" t="s">
        <v>126</v>
      </c>
      <c r="CN37" t="s">
        <v>181</v>
      </c>
      <c r="CP37" t="s">
        <v>182</v>
      </c>
      <c r="CQ37" t="s">
        <v>181</v>
      </c>
    </row>
    <row r="38" spans="1:95" x14ac:dyDescent="0.2">
      <c r="A38" t="s">
        <v>115</v>
      </c>
      <c r="B38" t="s">
        <v>116</v>
      </c>
      <c r="C38">
        <v>210784</v>
      </c>
      <c r="E38" t="s">
        <v>117</v>
      </c>
      <c r="F38">
        <v>368</v>
      </c>
      <c r="G38" t="s">
        <v>528</v>
      </c>
      <c r="H38" t="s">
        <v>529</v>
      </c>
      <c r="I38" t="s">
        <v>530</v>
      </c>
      <c r="J38" t="s">
        <v>205</v>
      </c>
      <c r="L38" s="14">
        <v>44895</v>
      </c>
      <c r="M38" s="18">
        <f t="shared" si="3"/>
        <v>44866</v>
      </c>
      <c r="N38">
        <v>82097</v>
      </c>
      <c r="O38" t="s">
        <v>123</v>
      </c>
      <c r="P38" t="s">
        <v>124</v>
      </c>
      <c r="Q38">
        <v>1.08</v>
      </c>
      <c r="R38" t="s">
        <v>537</v>
      </c>
      <c r="S38" t="s">
        <v>126</v>
      </c>
      <c r="T38" t="s">
        <v>537</v>
      </c>
      <c r="U38" t="s">
        <v>538</v>
      </c>
      <c r="W38">
        <v>0.33</v>
      </c>
      <c r="X38">
        <v>0.75</v>
      </c>
      <c r="Y38">
        <v>1.08</v>
      </c>
      <c r="Z38">
        <v>0.41</v>
      </c>
      <c r="AG38">
        <v>0.33</v>
      </c>
      <c r="AI38">
        <v>0.34</v>
      </c>
      <c r="BH38" t="s">
        <v>126</v>
      </c>
      <c r="BI38" t="s">
        <v>126</v>
      </c>
      <c r="BJ38" t="s">
        <v>126</v>
      </c>
      <c r="BK38" t="s">
        <v>126</v>
      </c>
      <c r="BS38" t="s">
        <v>126</v>
      </c>
      <c r="BT38" t="s">
        <v>126</v>
      </c>
      <c r="BU38" t="s">
        <v>126</v>
      </c>
      <c r="BV38" t="s">
        <v>126</v>
      </c>
      <c r="CN38" t="s">
        <v>534</v>
      </c>
      <c r="CP38" t="s">
        <v>535</v>
      </c>
      <c r="CQ38" t="s">
        <v>534</v>
      </c>
    </row>
    <row r="39" spans="1:95" x14ac:dyDescent="0.2">
      <c r="A39" t="s">
        <v>115</v>
      </c>
      <c r="B39" t="s">
        <v>116</v>
      </c>
      <c r="C39">
        <v>210784</v>
      </c>
      <c r="E39" t="s">
        <v>117</v>
      </c>
      <c r="F39">
        <v>368</v>
      </c>
      <c r="G39" t="s">
        <v>528</v>
      </c>
      <c r="H39" t="s">
        <v>529</v>
      </c>
      <c r="I39" t="s">
        <v>530</v>
      </c>
      <c r="J39" t="s">
        <v>205</v>
      </c>
      <c r="L39" s="14">
        <v>44896</v>
      </c>
      <c r="M39" s="18">
        <f t="shared" si="3"/>
        <v>44896</v>
      </c>
      <c r="N39">
        <v>82137</v>
      </c>
      <c r="O39" t="s">
        <v>123</v>
      </c>
      <c r="P39" t="s">
        <v>124</v>
      </c>
      <c r="Q39">
        <v>1.31</v>
      </c>
      <c r="R39" t="s">
        <v>125</v>
      </c>
      <c r="S39" t="s">
        <v>126</v>
      </c>
      <c r="T39" t="s">
        <v>125</v>
      </c>
      <c r="U39" t="s">
        <v>126</v>
      </c>
      <c r="W39">
        <v>1.31</v>
      </c>
      <c r="Y39">
        <v>1.31</v>
      </c>
      <c r="BE39">
        <v>1.31</v>
      </c>
      <c r="BH39" t="s">
        <v>126</v>
      </c>
      <c r="BI39" t="s">
        <v>126</v>
      </c>
      <c r="BJ39" t="s">
        <v>126</v>
      </c>
      <c r="BK39" t="s">
        <v>126</v>
      </c>
      <c r="BS39" t="s">
        <v>126</v>
      </c>
      <c r="BT39" t="s">
        <v>126</v>
      </c>
      <c r="BU39" t="s">
        <v>126</v>
      </c>
      <c r="BV39" t="s">
        <v>126</v>
      </c>
      <c r="CN39" t="s">
        <v>534</v>
      </c>
      <c r="CP39" t="s">
        <v>535</v>
      </c>
      <c r="CQ39" t="s">
        <v>534</v>
      </c>
    </row>
    <row r="40" spans="1:95" x14ac:dyDescent="0.2">
      <c r="A40" t="s">
        <v>115</v>
      </c>
      <c r="B40" t="s">
        <v>116</v>
      </c>
      <c r="C40">
        <v>210784</v>
      </c>
      <c r="E40" t="s">
        <v>117</v>
      </c>
      <c r="F40">
        <v>368</v>
      </c>
      <c r="G40" t="s">
        <v>176</v>
      </c>
      <c r="H40" t="s">
        <v>177</v>
      </c>
      <c r="I40" t="s">
        <v>492</v>
      </c>
      <c r="J40" t="s">
        <v>493</v>
      </c>
      <c r="L40" s="14">
        <v>44909</v>
      </c>
      <c r="M40" s="18">
        <f t="shared" si="3"/>
        <v>44896</v>
      </c>
      <c r="N40" t="s">
        <v>509</v>
      </c>
      <c r="O40" t="s">
        <v>123</v>
      </c>
      <c r="P40" t="s">
        <v>124</v>
      </c>
      <c r="Q40">
        <v>8.92</v>
      </c>
      <c r="R40" t="s">
        <v>125</v>
      </c>
      <c r="S40" t="s">
        <v>126</v>
      </c>
      <c r="T40" t="s">
        <v>125</v>
      </c>
      <c r="U40" t="s">
        <v>126</v>
      </c>
      <c r="W40">
        <v>8.92</v>
      </c>
      <c r="Y40">
        <v>8.92</v>
      </c>
      <c r="AF40">
        <v>8.92</v>
      </c>
      <c r="BH40" t="s">
        <v>126</v>
      </c>
      <c r="BI40" t="s">
        <v>126</v>
      </c>
      <c r="BJ40" t="s">
        <v>126</v>
      </c>
      <c r="BK40" t="s">
        <v>126</v>
      </c>
      <c r="BS40" t="s">
        <v>126</v>
      </c>
      <c r="BT40" t="s">
        <v>126</v>
      </c>
      <c r="BU40" t="s">
        <v>126</v>
      </c>
      <c r="BV40" t="s">
        <v>126</v>
      </c>
      <c r="CN40" t="s">
        <v>181</v>
      </c>
      <c r="CP40" t="s">
        <v>182</v>
      </c>
      <c r="CQ40" t="s">
        <v>181</v>
      </c>
    </row>
    <row r="41" spans="1:95" x14ac:dyDescent="0.2">
      <c r="A41" t="s">
        <v>115</v>
      </c>
      <c r="B41" t="s">
        <v>116</v>
      </c>
      <c r="C41">
        <v>210784</v>
      </c>
      <c r="E41" t="s">
        <v>117</v>
      </c>
      <c r="F41">
        <v>368</v>
      </c>
      <c r="G41" t="s">
        <v>528</v>
      </c>
      <c r="H41" t="s">
        <v>529</v>
      </c>
      <c r="I41" t="s">
        <v>530</v>
      </c>
      <c r="J41" t="s">
        <v>205</v>
      </c>
      <c r="L41" s="14">
        <v>44917</v>
      </c>
      <c r="M41" s="18">
        <f t="shared" si="3"/>
        <v>44896</v>
      </c>
      <c r="N41">
        <v>82815</v>
      </c>
      <c r="O41" t="s">
        <v>123</v>
      </c>
      <c r="P41" t="s">
        <v>124</v>
      </c>
      <c r="Q41">
        <v>0.88480000000000003</v>
      </c>
      <c r="R41" t="s">
        <v>532</v>
      </c>
      <c r="S41" t="s">
        <v>126</v>
      </c>
      <c r="T41" t="s">
        <v>532</v>
      </c>
      <c r="U41" t="s">
        <v>533</v>
      </c>
      <c r="W41">
        <v>0.28000000000000003</v>
      </c>
      <c r="X41">
        <v>0.6048</v>
      </c>
      <c r="Y41">
        <v>0.88480000000000003</v>
      </c>
      <c r="Z41">
        <v>0.33479999999999999</v>
      </c>
      <c r="AG41">
        <v>0.28000000000000003</v>
      </c>
      <c r="AI41">
        <v>0.27</v>
      </c>
      <c r="BH41" t="s">
        <v>126</v>
      </c>
      <c r="BI41" t="s">
        <v>126</v>
      </c>
      <c r="BJ41" t="s">
        <v>126</v>
      </c>
      <c r="BK41" t="s">
        <v>126</v>
      </c>
      <c r="BS41" t="s">
        <v>126</v>
      </c>
      <c r="BT41" t="s">
        <v>126</v>
      </c>
      <c r="BU41" t="s">
        <v>126</v>
      </c>
      <c r="BV41" t="s">
        <v>126</v>
      </c>
      <c r="CN41" t="s">
        <v>534</v>
      </c>
      <c r="CP41" t="s">
        <v>535</v>
      </c>
      <c r="CQ41" t="s">
        <v>534</v>
      </c>
    </row>
    <row r="42" spans="1:95" x14ac:dyDescent="0.2">
      <c r="A42" t="s">
        <v>115</v>
      </c>
      <c r="B42" t="s">
        <v>116</v>
      </c>
      <c r="C42">
        <v>210784</v>
      </c>
      <c r="E42" t="s">
        <v>117</v>
      </c>
      <c r="F42">
        <v>368</v>
      </c>
      <c r="G42" t="s">
        <v>176</v>
      </c>
      <c r="H42" t="s">
        <v>177</v>
      </c>
      <c r="I42" t="s">
        <v>546</v>
      </c>
      <c r="J42" t="s">
        <v>547</v>
      </c>
      <c r="L42" s="14">
        <v>45026</v>
      </c>
      <c r="M42" s="18">
        <f t="shared" si="3"/>
        <v>45017</v>
      </c>
      <c r="N42">
        <v>40293</v>
      </c>
      <c r="O42" t="s">
        <v>123</v>
      </c>
      <c r="P42" t="s">
        <v>124</v>
      </c>
      <c r="Q42">
        <v>5.9</v>
      </c>
      <c r="R42" t="s">
        <v>549</v>
      </c>
      <c r="S42" t="s">
        <v>126</v>
      </c>
      <c r="T42" t="s">
        <v>549</v>
      </c>
      <c r="U42" t="s">
        <v>550</v>
      </c>
      <c r="W42">
        <v>4.1890000000000001</v>
      </c>
      <c r="X42">
        <v>1.7110000000000001</v>
      </c>
      <c r="Y42">
        <v>5.9</v>
      </c>
      <c r="AY42">
        <v>4.1890000000000001</v>
      </c>
      <c r="BD42">
        <v>1.7110000000000001</v>
      </c>
      <c r="BH42" t="s">
        <v>126</v>
      </c>
      <c r="BI42" t="s">
        <v>126</v>
      </c>
      <c r="BJ42" t="s">
        <v>126</v>
      </c>
      <c r="BK42" t="s">
        <v>126</v>
      </c>
      <c r="BS42" t="s">
        <v>126</v>
      </c>
      <c r="BT42" t="s">
        <v>126</v>
      </c>
      <c r="BU42" t="s">
        <v>126</v>
      </c>
      <c r="BV42" t="s">
        <v>126</v>
      </c>
      <c r="CN42" t="s">
        <v>181</v>
      </c>
      <c r="CP42" t="s">
        <v>189</v>
      </c>
      <c r="CQ42" t="s">
        <v>181</v>
      </c>
    </row>
    <row r="43" spans="1:95" x14ac:dyDescent="0.2">
      <c r="A43" t="s">
        <v>115</v>
      </c>
      <c r="B43" t="s">
        <v>116</v>
      </c>
      <c r="C43">
        <v>210784</v>
      </c>
      <c r="E43" t="s">
        <v>117</v>
      </c>
      <c r="F43">
        <v>368</v>
      </c>
      <c r="G43" t="s">
        <v>176</v>
      </c>
      <c r="H43" t="s">
        <v>177</v>
      </c>
      <c r="I43" t="s">
        <v>178</v>
      </c>
      <c r="J43" t="s">
        <v>179</v>
      </c>
      <c r="L43" s="14">
        <v>45034</v>
      </c>
      <c r="M43" s="18">
        <f t="shared" si="3"/>
        <v>45017</v>
      </c>
      <c r="N43">
        <v>7159481</v>
      </c>
      <c r="O43" t="s">
        <v>123</v>
      </c>
      <c r="P43" t="s">
        <v>124</v>
      </c>
      <c r="Q43">
        <v>13.37</v>
      </c>
      <c r="R43" t="s">
        <v>125</v>
      </c>
      <c r="S43" t="s">
        <v>126</v>
      </c>
      <c r="T43" t="s">
        <v>125</v>
      </c>
      <c r="U43" t="s">
        <v>126</v>
      </c>
      <c r="W43">
        <v>13.37</v>
      </c>
      <c r="Y43">
        <v>13.37</v>
      </c>
      <c r="AC43">
        <v>13.37</v>
      </c>
      <c r="BH43" t="s">
        <v>126</v>
      </c>
      <c r="BI43" t="s">
        <v>126</v>
      </c>
      <c r="BJ43" t="s">
        <v>126</v>
      </c>
      <c r="BK43" t="s">
        <v>126</v>
      </c>
      <c r="BS43" t="s">
        <v>126</v>
      </c>
      <c r="BT43" t="s">
        <v>126</v>
      </c>
      <c r="BU43" t="s">
        <v>126</v>
      </c>
      <c r="BV43" t="s">
        <v>126</v>
      </c>
      <c r="CN43" t="s">
        <v>181</v>
      </c>
      <c r="CP43" t="s">
        <v>189</v>
      </c>
      <c r="CQ43" t="s">
        <v>181</v>
      </c>
    </row>
    <row r="44" spans="1:95" x14ac:dyDescent="0.2">
      <c r="A44" t="s">
        <v>115</v>
      </c>
      <c r="B44" t="s">
        <v>116</v>
      </c>
      <c r="C44">
        <v>210784</v>
      </c>
      <c r="E44" t="s">
        <v>117</v>
      </c>
      <c r="F44">
        <v>368</v>
      </c>
      <c r="G44" t="s">
        <v>176</v>
      </c>
      <c r="H44" t="s">
        <v>177</v>
      </c>
      <c r="I44" t="s">
        <v>178</v>
      </c>
      <c r="J44" t="s">
        <v>179</v>
      </c>
      <c r="L44" s="14">
        <v>45034</v>
      </c>
      <c r="M44" s="18">
        <f t="shared" si="3"/>
        <v>45017</v>
      </c>
      <c r="N44">
        <v>7159445</v>
      </c>
      <c r="O44" t="s">
        <v>123</v>
      </c>
      <c r="P44" t="s">
        <v>124</v>
      </c>
      <c r="Q44">
        <v>21.53</v>
      </c>
      <c r="R44" t="s">
        <v>125</v>
      </c>
      <c r="S44" t="s">
        <v>126</v>
      </c>
      <c r="T44" t="s">
        <v>125</v>
      </c>
      <c r="U44" t="s">
        <v>126</v>
      </c>
      <c r="W44">
        <v>21.53</v>
      </c>
      <c r="Y44">
        <v>21.53</v>
      </c>
      <c r="AC44">
        <v>21.53</v>
      </c>
      <c r="BH44" t="s">
        <v>126</v>
      </c>
      <c r="BI44" t="s">
        <v>126</v>
      </c>
      <c r="BJ44" t="s">
        <v>126</v>
      </c>
      <c r="BK44" t="s">
        <v>126</v>
      </c>
      <c r="BS44" t="s">
        <v>126</v>
      </c>
      <c r="BT44" t="s">
        <v>126</v>
      </c>
      <c r="BU44" t="s">
        <v>126</v>
      </c>
      <c r="BV44" t="s">
        <v>126</v>
      </c>
      <c r="CN44" t="s">
        <v>181</v>
      </c>
      <c r="CP44" t="s">
        <v>189</v>
      </c>
      <c r="CQ44" t="s">
        <v>181</v>
      </c>
    </row>
    <row r="45" spans="1:95" x14ac:dyDescent="0.2">
      <c r="A45" t="s">
        <v>115</v>
      </c>
      <c r="B45" t="s">
        <v>116</v>
      </c>
      <c r="C45">
        <v>210784</v>
      </c>
      <c r="E45" t="s">
        <v>117</v>
      </c>
      <c r="F45">
        <v>368</v>
      </c>
      <c r="G45" t="s">
        <v>176</v>
      </c>
      <c r="H45" t="s">
        <v>177</v>
      </c>
      <c r="I45" t="s">
        <v>178</v>
      </c>
      <c r="J45" t="s">
        <v>179</v>
      </c>
      <c r="L45" s="14">
        <v>45034</v>
      </c>
      <c r="M45" s="18">
        <f t="shared" si="3"/>
        <v>45017</v>
      </c>
      <c r="N45">
        <v>7159451</v>
      </c>
      <c r="O45" t="s">
        <v>123</v>
      </c>
      <c r="P45" t="s">
        <v>124</v>
      </c>
      <c r="Q45">
        <v>22.82</v>
      </c>
      <c r="R45" t="s">
        <v>125</v>
      </c>
      <c r="S45" t="s">
        <v>126</v>
      </c>
      <c r="T45" t="s">
        <v>125</v>
      </c>
      <c r="U45" t="s">
        <v>126</v>
      </c>
      <c r="W45">
        <v>22.82</v>
      </c>
      <c r="Y45">
        <v>22.82</v>
      </c>
      <c r="AC45">
        <v>22.82</v>
      </c>
      <c r="BH45" t="s">
        <v>126</v>
      </c>
      <c r="BI45" t="s">
        <v>126</v>
      </c>
      <c r="BJ45" t="s">
        <v>126</v>
      </c>
      <c r="BK45" t="s">
        <v>126</v>
      </c>
      <c r="BS45" t="s">
        <v>126</v>
      </c>
      <c r="BT45" t="s">
        <v>126</v>
      </c>
      <c r="BU45" t="s">
        <v>126</v>
      </c>
      <c r="BV45" t="s">
        <v>126</v>
      </c>
      <c r="CN45" t="s">
        <v>181</v>
      </c>
      <c r="CP45" t="s">
        <v>189</v>
      </c>
      <c r="CQ45" t="s">
        <v>181</v>
      </c>
    </row>
    <row r="46" spans="1:95" x14ac:dyDescent="0.2">
      <c r="A46" t="s">
        <v>115</v>
      </c>
      <c r="B46" t="s">
        <v>116</v>
      </c>
      <c r="C46">
        <v>210784</v>
      </c>
      <c r="E46" t="s">
        <v>117</v>
      </c>
      <c r="F46">
        <v>368</v>
      </c>
      <c r="G46" t="s">
        <v>176</v>
      </c>
      <c r="H46" t="s">
        <v>177</v>
      </c>
      <c r="I46" t="s">
        <v>178</v>
      </c>
      <c r="J46" t="s">
        <v>179</v>
      </c>
      <c r="L46" s="14">
        <v>45034</v>
      </c>
      <c r="M46" s="18">
        <f t="shared" si="3"/>
        <v>45017</v>
      </c>
      <c r="N46">
        <v>7159462</v>
      </c>
      <c r="O46" t="s">
        <v>123</v>
      </c>
      <c r="P46" t="s">
        <v>124</v>
      </c>
      <c r="Q46">
        <v>14.22</v>
      </c>
      <c r="R46" t="s">
        <v>125</v>
      </c>
      <c r="S46" t="s">
        <v>126</v>
      </c>
      <c r="T46" t="s">
        <v>125</v>
      </c>
      <c r="U46" t="s">
        <v>126</v>
      </c>
      <c r="W46">
        <v>14.22</v>
      </c>
      <c r="Y46">
        <v>14.22</v>
      </c>
      <c r="AC46">
        <v>14.22</v>
      </c>
      <c r="BH46" t="s">
        <v>126</v>
      </c>
      <c r="BI46" t="s">
        <v>126</v>
      </c>
      <c r="BJ46" t="s">
        <v>126</v>
      </c>
      <c r="BK46" t="s">
        <v>126</v>
      </c>
      <c r="BS46" t="s">
        <v>126</v>
      </c>
      <c r="BT46" t="s">
        <v>126</v>
      </c>
      <c r="BU46" t="s">
        <v>126</v>
      </c>
      <c r="BV46" t="s">
        <v>126</v>
      </c>
      <c r="CN46" t="s">
        <v>181</v>
      </c>
      <c r="CP46" t="s">
        <v>189</v>
      </c>
      <c r="CQ46" t="s">
        <v>181</v>
      </c>
    </row>
    <row r="47" spans="1:95" x14ac:dyDescent="0.2">
      <c r="A47" t="s">
        <v>115</v>
      </c>
      <c r="B47" t="s">
        <v>116</v>
      </c>
      <c r="C47">
        <v>210784</v>
      </c>
      <c r="E47" t="s">
        <v>117</v>
      </c>
      <c r="F47">
        <v>368</v>
      </c>
      <c r="G47" t="s">
        <v>176</v>
      </c>
      <c r="H47" t="s">
        <v>177</v>
      </c>
      <c r="I47" t="s">
        <v>546</v>
      </c>
      <c r="J47" t="s">
        <v>547</v>
      </c>
      <c r="L47" s="14">
        <v>45036</v>
      </c>
      <c r="M47" s="18">
        <f t="shared" si="3"/>
        <v>45017</v>
      </c>
      <c r="N47">
        <v>39843</v>
      </c>
      <c r="O47" t="s">
        <v>123</v>
      </c>
      <c r="P47" t="s">
        <v>124</v>
      </c>
      <c r="Q47">
        <v>10.050000000000001</v>
      </c>
      <c r="R47" t="s">
        <v>549</v>
      </c>
      <c r="S47" t="s">
        <v>126</v>
      </c>
      <c r="T47" t="s">
        <v>549</v>
      </c>
      <c r="U47" t="s">
        <v>550</v>
      </c>
      <c r="W47">
        <v>7.1355000000000004</v>
      </c>
      <c r="X47">
        <v>2.9144999999999999</v>
      </c>
      <c r="Y47">
        <v>10.050000000000001</v>
      </c>
      <c r="AY47">
        <v>7.1355000000000004</v>
      </c>
      <c r="BD47">
        <v>2.9144999999999999</v>
      </c>
      <c r="BH47" t="s">
        <v>126</v>
      </c>
      <c r="BI47" t="s">
        <v>126</v>
      </c>
      <c r="BJ47" t="s">
        <v>126</v>
      </c>
      <c r="BK47" t="s">
        <v>126</v>
      </c>
      <c r="BS47" t="s">
        <v>126</v>
      </c>
      <c r="BT47" t="s">
        <v>126</v>
      </c>
      <c r="BU47" t="s">
        <v>126</v>
      </c>
      <c r="BV47" t="s">
        <v>126</v>
      </c>
      <c r="CN47" t="s">
        <v>181</v>
      </c>
      <c r="CP47" t="s">
        <v>189</v>
      </c>
      <c r="CQ47" t="s">
        <v>181</v>
      </c>
    </row>
    <row r="48" spans="1:95" x14ac:dyDescent="0.2">
      <c r="A48" t="s">
        <v>115</v>
      </c>
      <c r="B48" t="s">
        <v>116</v>
      </c>
      <c r="C48">
        <v>210784</v>
      </c>
      <c r="E48" t="s">
        <v>117</v>
      </c>
      <c r="F48">
        <v>368</v>
      </c>
      <c r="G48" t="s">
        <v>176</v>
      </c>
      <c r="H48" t="s">
        <v>177</v>
      </c>
      <c r="I48" t="s">
        <v>546</v>
      </c>
      <c r="J48" t="s">
        <v>547</v>
      </c>
      <c r="L48" s="14">
        <v>45054</v>
      </c>
      <c r="M48" s="18">
        <f t="shared" si="3"/>
        <v>45047</v>
      </c>
      <c r="N48">
        <v>39430</v>
      </c>
      <c r="O48" t="s">
        <v>123</v>
      </c>
      <c r="P48" t="s">
        <v>124</v>
      </c>
      <c r="Q48">
        <v>6.35</v>
      </c>
      <c r="R48" t="s">
        <v>549</v>
      </c>
      <c r="S48" t="s">
        <v>126</v>
      </c>
      <c r="T48" t="s">
        <v>549</v>
      </c>
      <c r="U48" t="s">
        <v>550</v>
      </c>
      <c r="W48">
        <v>4.5084999999999997</v>
      </c>
      <c r="X48">
        <v>1.8414999999999999</v>
      </c>
      <c r="Y48">
        <v>6.35</v>
      </c>
      <c r="AY48">
        <v>4.5084999999999997</v>
      </c>
      <c r="BD48">
        <v>1.8414999999999999</v>
      </c>
      <c r="BH48" t="s">
        <v>126</v>
      </c>
      <c r="BI48" t="s">
        <v>126</v>
      </c>
      <c r="BJ48" t="s">
        <v>126</v>
      </c>
      <c r="BK48" t="s">
        <v>126</v>
      </c>
      <c r="BS48" t="s">
        <v>126</v>
      </c>
      <c r="BT48" t="s">
        <v>126</v>
      </c>
      <c r="BU48" t="s">
        <v>126</v>
      </c>
      <c r="BV48" t="s">
        <v>126</v>
      </c>
      <c r="CN48" t="s">
        <v>181</v>
      </c>
      <c r="CP48" t="s">
        <v>189</v>
      </c>
      <c r="CQ48" t="s">
        <v>181</v>
      </c>
    </row>
    <row r="49" spans="1:95" x14ac:dyDescent="0.2">
      <c r="A49" t="s">
        <v>115</v>
      </c>
      <c r="B49" t="s">
        <v>116</v>
      </c>
      <c r="C49">
        <v>210784</v>
      </c>
      <c r="E49" t="s">
        <v>117</v>
      </c>
      <c r="F49">
        <v>368</v>
      </c>
      <c r="G49" t="s">
        <v>176</v>
      </c>
      <c r="H49" t="s">
        <v>177</v>
      </c>
      <c r="I49" t="s">
        <v>492</v>
      </c>
      <c r="J49" t="s">
        <v>493</v>
      </c>
      <c r="L49" s="14">
        <v>45056</v>
      </c>
      <c r="M49" s="18">
        <f t="shared" si="3"/>
        <v>45047</v>
      </c>
      <c r="N49" t="s">
        <v>495</v>
      </c>
      <c r="O49" t="s">
        <v>123</v>
      </c>
      <c r="P49" t="s">
        <v>124</v>
      </c>
      <c r="Q49">
        <v>3.29</v>
      </c>
      <c r="R49" t="s">
        <v>125</v>
      </c>
      <c r="S49" t="s">
        <v>126</v>
      </c>
      <c r="T49" t="s">
        <v>125</v>
      </c>
      <c r="U49" t="s">
        <v>126</v>
      </c>
      <c r="W49">
        <v>3.29</v>
      </c>
      <c r="Y49">
        <v>3.29</v>
      </c>
      <c r="AF49">
        <v>3.29</v>
      </c>
      <c r="BH49" t="s">
        <v>126</v>
      </c>
      <c r="BI49" t="s">
        <v>126</v>
      </c>
      <c r="BJ49" t="s">
        <v>126</v>
      </c>
      <c r="BK49" t="s">
        <v>126</v>
      </c>
      <c r="BS49" t="s">
        <v>126</v>
      </c>
      <c r="BT49" t="s">
        <v>126</v>
      </c>
      <c r="BU49" t="s">
        <v>126</v>
      </c>
      <c r="BV49" t="s">
        <v>126</v>
      </c>
      <c r="CN49" t="s">
        <v>181</v>
      </c>
      <c r="CP49" t="s">
        <v>182</v>
      </c>
      <c r="CQ49" t="s">
        <v>181</v>
      </c>
    </row>
    <row r="50" spans="1:95" x14ac:dyDescent="0.2">
      <c r="A50" t="s">
        <v>115</v>
      </c>
      <c r="B50" t="s">
        <v>116</v>
      </c>
      <c r="C50">
        <v>210784</v>
      </c>
      <c r="E50" t="s">
        <v>117</v>
      </c>
      <c r="F50">
        <v>368</v>
      </c>
      <c r="G50" t="s">
        <v>176</v>
      </c>
      <c r="H50" t="s">
        <v>177</v>
      </c>
      <c r="I50" t="s">
        <v>178</v>
      </c>
      <c r="J50" t="s">
        <v>179</v>
      </c>
      <c r="L50" s="14">
        <v>45057</v>
      </c>
      <c r="M50" s="18">
        <f t="shared" si="3"/>
        <v>45047</v>
      </c>
      <c r="N50">
        <v>7163221</v>
      </c>
      <c r="O50" t="s">
        <v>123</v>
      </c>
      <c r="P50" t="s">
        <v>124</v>
      </c>
      <c r="Q50">
        <v>19.28</v>
      </c>
      <c r="R50" t="s">
        <v>125</v>
      </c>
      <c r="S50" t="s">
        <v>126</v>
      </c>
      <c r="T50" t="s">
        <v>125</v>
      </c>
      <c r="U50" t="s">
        <v>126</v>
      </c>
      <c r="W50">
        <v>19.28</v>
      </c>
      <c r="Y50">
        <v>19.28</v>
      </c>
      <c r="AC50">
        <v>19.28</v>
      </c>
      <c r="BH50" t="s">
        <v>126</v>
      </c>
      <c r="BI50" t="s">
        <v>126</v>
      </c>
      <c r="BJ50" t="s">
        <v>126</v>
      </c>
      <c r="BK50" t="s">
        <v>126</v>
      </c>
      <c r="BS50" t="s">
        <v>126</v>
      </c>
      <c r="BT50" t="s">
        <v>126</v>
      </c>
      <c r="BU50" t="s">
        <v>126</v>
      </c>
      <c r="BV50" t="s">
        <v>126</v>
      </c>
      <c r="CN50" t="s">
        <v>181</v>
      </c>
      <c r="CP50" t="s">
        <v>189</v>
      </c>
      <c r="CQ50" t="s">
        <v>181</v>
      </c>
    </row>
    <row r="51" spans="1:95" x14ac:dyDescent="0.2">
      <c r="A51" t="s">
        <v>115</v>
      </c>
      <c r="B51" t="s">
        <v>116</v>
      </c>
      <c r="C51">
        <v>210784</v>
      </c>
      <c r="E51" t="s">
        <v>117</v>
      </c>
      <c r="F51">
        <v>368</v>
      </c>
      <c r="G51" t="s">
        <v>176</v>
      </c>
      <c r="H51" t="s">
        <v>177</v>
      </c>
      <c r="I51" t="s">
        <v>492</v>
      </c>
      <c r="J51" t="s">
        <v>493</v>
      </c>
      <c r="L51" s="14">
        <v>45065</v>
      </c>
      <c r="M51" s="18">
        <f t="shared" si="3"/>
        <v>45047</v>
      </c>
      <c r="N51" t="s">
        <v>497</v>
      </c>
      <c r="O51" t="s">
        <v>123</v>
      </c>
      <c r="P51" t="s">
        <v>124</v>
      </c>
      <c r="Q51">
        <v>4.68</v>
      </c>
      <c r="R51" t="s">
        <v>125</v>
      </c>
      <c r="S51" t="s">
        <v>126</v>
      </c>
      <c r="T51" t="s">
        <v>125</v>
      </c>
      <c r="U51" t="s">
        <v>126</v>
      </c>
      <c r="W51">
        <v>4.68</v>
      </c>
      <c r="Y51">
        <v>4.68</v>
      </c>
      <c r="AF51">
        <v>4.68</v>
      </c>
      <c r="BH51" t="s">
        <v>126</v>
      </c>
      <c r="BI51" t="s">
        <v>126</v>
      </c>
      <c r="BJ51" t="s">
        <v>126</v>
      </c>
      <c r="BK51" t="s">
        <v>126</v>
      </c>
      <c r="BS51" t="s">
        <v>126</v>
      </c>
      <c r="BT51" t="s">
        <v>126</v>
      </c>
      <c r="BU51" t="s">
        <v>126</v>
      </c>
      <c r="BV51" t="s">
        <v>126</v>
      </c>
      <c r="CN51" t="s">
        <v>181</v>
      </c>
      <c r="CP51" t="s">
        <v>182</v>
      </c>
      <c r="CQ51" t="s">
        <v>181</v>
      </c>
    </row>
    <row r="52" spans="1:95" x14ac:dyDescent="0.2">
      <c r="A52" t="s">
        <v>115</v>
      </c>
      <c r="B52" t="s">
        <v>116</v>
      </c>
      <c r="C52">
        <v>210784</v>
      </c>
      <c r="E52" t="s">
        <v>117</v>
      </c>
      <c r="F52">
        <v>368</v>
      </c>
      <c r="G52" t="s">
        <v>176</v>
      </c>
      <c r="H52" t="s">
        <v>177</v>
      </c>
      <c r="I52" t="s">
        <v>178</v>
      </c>
      <c r="J52" t="s">
        <v>179</v>
      </c>
      <c r="L52" s="14">
        <v>45068</v>
      </c>
      <c r="M52" s="18">
        <f t="shared" si="3"/>
        <v>45047</v>
      </c>
      <c r="N52">
        <v>7164757</v>
      </c>
      <c r="O52" t="s">
        <v>123</v>
      </c>
      <c r="P52" t="s">
        <v>124</v>
      </c>
      <c r="Q52">
        <v>18.690000000000001</v>
      </c>
      <c r="R52" t="s">
        <v>125</v>
      </c>
      <c r="S52" t="s">
        <v>126</v>
      </c>
      <c r="T52" t="s">
        <v>125</v>
      </c>
      <c r="U52" t="s">
        <v>126</v>
      </c>
      <c r="W52">
        <v>18.690000000000001</v>
      </c>
      <c r="Y52">
        <v>18.690000000000001</v>
      </c>
      <c r="AC52">
        <v>18.690000000000001</v>
      </c>
      <c r="BH52" t="s">
        <v>126</v>
      </c>
      <c r="BI52" t="s">
        <v>126</v>
      </c>
      <c r="BJ52" t="s">
        <v>126</v>
      </c>
      <c r="BK52" t="s">
        <v>126</v>
      </c>
      <c r="BS52" t="s">
        <v>126</v>
      </c>
      <c r="BT52" t="s">
        <v>126</v>
      </c>
      <c r="BU52" t="s">
        <v>126</v>
      </c>
      <c r="BV52" t="s">
        <v>126</v>
      </c>
      <c r="CN52" t="s">
        <v>181</v>
      </c>
      <c r="CP52" t="s">
        <v>189</v>
      </c>
      <c r="CQ52" t="s">
        <v>181</v>
      </c>
    </row>
    <row r="53" spans="1:95" x14ac:dyDescent="0.2">
      <c r="A53" t="s">
        <v>115</v>
      </c>
      <c r="B53" t="s">
        <v>116</v>
      </c>
      <c r="C53">
        <v>210784</v>
      </c>
      <c r="E53" t="s">
        <v>117</v>
      </c>
      <c r="F53">
        <v>368</v>
      </c>
      <c r="G53" t="s">
        <v>176</v>
      </c>
      <c r="H53" t="s">
        <v>177</v>
      </c>
      <c r="I53" t="s">
        <v>178</v>
      </c>
      <c r="J53" t="s">
        <v>179</v>
      </c>
      <c r="L53" s="14">
        <v>45068</v>
      </c>
      <c r="M53" s="18">
        <f t="shared" si="3"/>
        <v>45047</v>
      </c>
      <c r="N53">
        <v>7164758</v>
      </c>
      <c r="O53" t="s">
        <v>123</v>
      </c>
      <c r="P53" t="s">
        <v>124</v>
      </c>
      <c r="Q53">
        <v>19.13</v>
      </c>
      <c r="R53" t="s">
        <v>125</v>
      </c>
      <c r="S53" t="s">
        <v>126</v>
      </c>
      <c r="T53" t="s">
        <v>125</v>
      </c>
      <c r="U53" t="s">
        <v>126</v>
      </c>
      <c r="W53">
        <v>19.13</v>
      </c>
      <c r="Y53">
        <v>19.13</v>
      </c>
      <c r="AC53">
        <v>19.13</v>
      </c>
      <c r="BH53" t="s">
        <v>126</v>
      </c>
      <c r="BI53" t="s">
        <v>126</v>
      </c>
      <c r="BJ53" t="s">
        <v>126</v>
      </c>
      <c r="BK53" t="s">
        <v>126</v>
      </c>
      <c r="BS53" t="s">
        <v>126</v>
      </c>
      <c r="BT53" t="s">
        <v>126</v>
      </c>
      <c r="BU53" t="s">
        <v>126</v>
      </c>
      <c r="BV53" t="s">
        <v>126</v>
      </c>
      <c r="CN53" t="s">
        <v>181</v>
      </c>
      <c r="CP53" t="s">
        <v>189</v>
      </c>
      <c r="CQ53" t="s">
        <v>181</v>
      </c>
    </row>
    <row r="54" spans="1:95" x14ac:dyDescent="0.2">
      <c r="A54" t="s">
        <v>115</v>
      </c>
      <c r="B54" t="s">
        <v>116</v>
      </c>
      <c r="C54">
        <v>210784</v>
      </c>
      <c r="E54" t="s">
        <v>117</v>
      </c>
      <c r="F54">
        <v>368</v>
      </c>
      <c r="G54" t="s">
        <v>176</v>
      </c>
      <c r="H54" t="s">
        <v>177</v>
      </c>
      <c r="I54" t="s">
        <v>178</v>
      </c>
      <c r="J54" t="s">
        <v>179</v>
      </c>
      <c r="L54" s="14">
        <v>45068</v>
      </c>
      <c r="M54" s="18">
        <f t="shared" si="3"/>
        <v>45047</v>
      </c>
      <c r="N54">
        <v>7164762</v>
      </c>
      <c r="O54" t="s">
        <v>123</v>
      </c>
      <c r="P54" t="s">
        <v>124</v>
      </c>
      <c r="Q54">
        <v>21.84</v>
      </c>
      <c r="R54" t="s">
        <v>125</v>
      </c>
      <c r="S54" t="s">
        <v>126</v>
      </c>
      <c r="T54" t="s">
        <v>125</v>
      </c>
      <c r="U54" t="s">
        <v>126</v>
      </c>
      <c r="W54">
        <v>21.84</v>
      </c>
      <c r="Y54">
        <v>21.84</v>
      </c>
      <c r="AC54">
        <v>21.84</v>
      </c>
      <c r="BH54" t="s">
        <v>126</v>
      </c>
      <c r="BI54" t="s">
        <v>126</v>
      </c>
      <c r="BJ54" t="s">
        <v>126</v>
      </c>
      <c r="BK54" t="s">
        <v>126</v>
      </c>
      <c r="BS54" t="s">
        <v>126</v>
      </c>
      <c r="BT54" t="s">
        <v>126</v>
      </c>
      <c r="BU54" t="s">
        <v>126</v>
      </c>
      <c r="BV54" t="s">
        <v>126</v>
      </c>
      <c r="CN54" t="s">
        <v>181</v>
      </c>
      <c r="CP54" t="s">
        <v>189</v>
      </c>
      <c r="CQ54" t="s">
        <v>181</v>
      </c>
    </row>
    <row r="55" spans="1:95" x14ac:dyDescent="0.2">
      <c r="A55" t="s">
        <v>115</v>
      </c>
      <c r="B55" t="s">
        <v>116</v>
      </c>
      <c r="C55">
        <v>210784</v>
      </c>
      <c r="E55" t="s">
        <v>117</v>
      </c>
      <c r="F55">
        <v>368</v>
      </c>
      <c r="G55" t="s">
        <v>176</v>
      </c>
      <c r="H55" t="s">
        <v>177</v>
      </c>
      <c r="I55" t="s">
        <v>178</v>
      </c>
      <c r="J55" t="s">
        <v>179</v>
      </c>
      <c r="L55" s="14">
        <v>45068</v>
      </c>
      <c r="M55" s="18">
        <f t="shared" si="3"/>
        <v>45047</v>
      </c>
      <c r="N55">
        <v>7164786</v>
      </c>
      <c r="O55" t="s">
        <v>123</v>
      </c>
      <c r="P55" t="s">
        <v>124</v>
      </c>
      <c r="Q55">
        <v>22.75</v>
      </c>
      <c r="R55" t="s">
        <v>125</v>
      </c>
      <c r="S55" t="s">
        <v>126</v>
      </c>
      <c r="T55" t="s">
        <v>125</v>
      </c>
      <c r="U55" t="s">
        <v>126</v>
      </c>
      <c r="W55">
        <v>22.75</v>
      </c>
      <c r="Y55">
        <v>22.75</v>
      </c>
      <c r="AC55">
        <v>22.75</v>
      </c>
      <c r="BH55" t="s">
        <v>126</v>
      </c>
      <c r="BI55" t="s">
        <v>126</v>
      </c>
      <c r="BJ55" t="s">
        <v>126</v>
      </c>
      <c r="BK55" t="s">
        <v>126</v>
      </c>
      <c r="BS55" t="s">
        <v>126</v>
      </c>
      <c r="BT55" t="s">
        <v>126</v>
      </c>
      <c r="BU55" t="s">
        <v>126</v>
      </c>
      <c r="BV55" t="s">
        <v>126</v>
      </c>
      <c r="CN55" t="s">
        <v>181</v>
      </c>
      <c r="CP55" t="s">
        <v>189</v>
      </c>
      <c r="CQ55" t="s">
        <v>181</v>
      </c>
    </row>
    <row r="56" spans="1:95" x14ac:dyDescent="0.2">
      <c r="A56" t="s">
        <v>115</v>
      </c>
      <c r="B56" t="s">
        <v>116</v>
      </c>
      <c r="C56">
        <v>210784</v>
      </c>
      <c r="E56" t="s">
        <v>117</v>
      </c>
      <c r="F56">
        <v>368</v>
      </c>
      <c r="G56" t="s">
        <v>176</v>
      </c>
      <c r="H56" t="s">
        <v>177</v>
      </c>
      <c r="I56" t="s">
        <v>178</v>
      </c>
      <c r="J56" t="s">
        <v>179</v>
      </c>
      <c r="L56" s="14">
        <v>45068</v>
      </c>
      <c r="M56" s="18">
        <f t="shared" si="3"/>
        <v>45047</v>
      </c>
      <c r="N56">
        <v>7164787</v>
      </c>
      <c r="O56" t="s">
        <v>123</v>
      </c>
      <c r="P56" t="s">
        <v>124</v>
      </c>
      <c r="Q56">
        <v>23.16</v>
      </c>
      <c r="R56" t="s">
        <v>125</v>
      </c>
      <c r="S56" t="s">
        <v>126</v>
      </c>
      <c r="T56" t="s">
        <v>125</v>
      </c>
      <c r="U56" t="s">
        <v>126</v>
      </c>
      <c r="W56">
        <v>23.16</v>
      </c>
      <c r="Y56">
        <v>23.16</v>
      </c>
      <c r="AC56">
        <v>23.16</v>
      </c>
      <c r="BH56" t="s">
        <v>126</v>
      </c>
      <c r="BI56" t="s">
        <v>126</v>
      </c>
      <c r="BJ56" t="s">
        <v>126</v>
      </c>
      <c r="BK56" t="s">
        <v>126</v>
      </c>
      <c r="BS56" t="s">
        <v>126</v>
      </c>
      <c r="BT56" t="s">
        <v>126</v>
      </c>
      <c r="BU56" t="s">
        <v>126</v>
      </c>
      <c r="BV56" t="s">
        <v>126</v>
      </c>
      <c r="CN56" t="s">
        <v>181</v>
      </c>
      <c r="CP56" t="s">
        <v>189</v>
      </c>
      <c r="CQ56" t="s">
        <v>181</v>
      </c>
    </row>
    <row r="57" spans="1:95" x14ac:dyDescent="0.2">
      <c r="A57" t="s">
        <v>115</v>
      </c>
      <c r="B57" t="s">
        <v>116</v>
      </c>
      <c r="C57">
        <v>210784</v>
      </c>
      <c r="E57" t="s">
        <v>117</v>
      </c>
      <c r="F57">
        <v>368</v>
      </c>
      <c r="G57" t="s">
        <v>176</v>
      </c>
      <c r="H57" t="s">
        <v>177</v>
      </c>
      <c r="I57" t="s">
        <v>178</v>
      </c>
      <c r="J57" t="s">
        <v>179</v>
      </c>
      <c r="L57" s="14">
        <v>45068</v>
      </c>
      <c r="M57" s="18">
        <f t="shared" si="3"/>
        <v>45047</v>
      </c>
      <c r="N57">
        <v>7164789</v>
      </c>
      <c r="O57" t="s">
        <v>123</v>
      </c>
      <c r="P57" t="s">
        <v>124</v>
      </c>
      <c r="Q57">
        <v>22.2</v>
      </c>
      <c r="R57" t="s">
        <v>125</v>
      </c>
      <c r="S57" t="s">
        <v>126</v>
      </c>
      <c r="T57" t="s">
        <v>125</v>
      </c>
      <c r="U57" t="s">
        <v>126</v>
      </c>
      <c r="W57">
        <v>22.2</v>
      </c>
      <c r="Y57">
        <v>22.2</v>
      </c>
      <c r="AC57">
        <v>22.2</v>
      </c>
      <c r="BH57" t="s">
        <v>126</v>
      </c>
      <c r="BI57" t="s">
        <v>126</v>
      </c>
      <c r="BJ57" t="s">
        <v>126</v>
      </c>
      <c r="BK57" t="s">
        <v>126</v>
      </c>
      <c r="BS57" t="s">
        <v>126</v>
      </c>
      <c r="BT57" t="s">
        <v>126</v>
      </c>
      <c r="BU57" t="s">
        <v>126</v>
      </c>
      <c r="BV57" t="s">
        <v>126</v>
      </c>
      <c r="CN57" t="s">
        <v>181</v>
      </c>
      <c r="CP57" t="s">
        <v>189</v>
      </c>
      <c r="CQ57" t="s">
        <v>181</v>
      </c>
    </row>
    <row r="58" spans="1:95" x14ac:dyDescent="0.2">
      <c r="A58" t="s">
        <v>115</v>
      </c>
      <c r="B58" t="s">
        <v>116</v>
      </c>
      <c r="C58">
        <v>210784</v>
      </c>
      <c r="E58" t="s">
        <v>117</v>
      </c>
      <c r="F58">
        <v>368</v>
      </c>
      <c r="G58" t="s">
        <v>176</v>
      </c>
      <c r="H58" t="s">
        <v>177</v>
      </c>
      <c r="I58" t="s">
        <v>178</v>
      </c>
      <c r="J58" t="s">
        <v>179</v>
      </c>
      <c r="L58" s="14">
        <v>45068</v>
      </c>
      <c r="M58" s="18">
        <f t="shared" si="3"/>
        <v>45047</v>
      </c>
      <c r="N58">
        <v>7164814</v>
      </c>
      <c r="O58" t="s">
        <v>123</v>
      </c>
      <c r="P58" t="s">
        <v>124</v>
      </c>
      <c r="Q58">
        <v>21.12</v>
      </c>
      <c r="R58" t="s">
        <v>125</v>
      </c>
      <c r="S58" t="s">
        <v>126</v>
      </c>
      <c r="T58" t="s">
        <v>125</v>
      </c>
      <c r="U58" t="s">
        <v>126</v>
      </c>
      <c r="W58">
        <v>21.12</v>
      </c>
      <c r="Y58">
        <v>21.12</v>
      </c>
      <c r="AC58">
        <v>21.12</v>
      </c>
      <c r="BH58" t="s">
        <v>126</v>
      </c>
      <c r="BI58" t="s">
        <v>126</v>
      </c>
      <c r="BJ58" t="s">
        <v>126</v>
      </c>
      <c r="BK58" t="s">
        <v>126</v>
      </c>
      <c r="BS58" t="s">
        <v>126</v>
      </c>
      <c r="BT58" t="s">
        <v>126</v>
      </c>
      <c r="BU58" t="s">
        <v>126</v>
      </c>
      <c r="BV58" t="s">
        <v>126</v>
      </c>
      <c r="CN58" t="s">
        <v>181</v>
      </c>
      <c r="CP58" t="s">
        <v>189</v>
      </c>
      <c r="CQ58" t="s">
        <v>181</v>
      </c>
    </row>
    <row r="59" spans="1:95" x14ac:dyDescent="0.2">
      <c r="A59" t="s">
        <v>115</v>
      </c>
      <c r="B59" t="s">
        <v>116</v>
      </c>
      <c r="C59">
        <v>210784</v>
      </c>
      <c r="E59" t="s">
        <v>117</v>
      </c>
      <c r="F59">
        <v>368</v>
      </c>
      <c r="G59" t="s">
        <v>176</v>
      </c>
      <c r="H59" t="s">
        <v>177</v>
      </c>
      <c r="I59" t="s">
        <v>178</v>
      </c>
      <c r="J59" t="s">
        <v>179</v>
      </c>
      <c r="L59" s="14">
        <v>45068</v>
      </c>
      <c r="M59" s="18">
        <f t="shared" si="3"/>
        <v>45047</v>
      </c>
      <c r="N59">
        <v>7164816</v>
      </c>
      <c r="O59" t="s">
        <v>123</v>
      </c>
      <c r="P59" t="s">
        <v>124</v>
      </c>
      <c r="Q59">
        <v>22.65</v>
      </c>
      <c r="R59" t="s">
        <v>125</v>
      </c>
      <c r="S59" t="s">
        <v>126</v>
      </c>
      <c r="T59" t="s">
        <v>125</v>
      </c>
      <c r="U59" t="s">
        <v>126</v>
      </c>
      <c r="W59">
        <v>22.65</v>
      </c>
      <c r="Y59">
        <v>22.65</v>
      </c>
      <c r="AC59">
        <v>22.65</v>
      </c>
      <c r="BH59" t="s">
        <v>126</v>
      </c>
      <c r="BI59" t="s">
        <v>126</v>
      </c>
      <c r="BJ59" t="s">
        <v>126</v>
      </c>
      <c r="BK59" t="s">
        <v>126</v>
      </c>
      <c r="BS59" t="s">
        <v>126</v>
      </c>
      <c r="BT59" t="s">
        <v>126</v>
      </c>
      <c r="BU59" t="s">
        <v>126</v>
      </c>
      <c r="BV59" t="s">
        <v>126</v>
      </c>
      <c r="CN59" t="s">
        <v>181</v>
      </c>
      <c r="CP59" t="s">
        <v>189</v>
      </c>
      <c r="CQ59" t="s">
        <v>181</v>
      </c>
    </row>
    <row r="60" spans="1:95" x14ac:dyDescent="0.2">
      <c r="A60" t="s">
        <v>115</v>
      </c>
      <c r="B60" t="s">
        <v>116</v>
      </c>
      <c r="C60">
        <v>210784</v>
      </c>
      <c r="E60" t="s">
        <v>117</v>
      </c>
      <c r="F60">
        <v>368</v>
      </c>
      <c r="G60" t="s">
        <v>176</v>
      </c>
      <c r="H60" t="s">
        <v>177</v>
      </c>
      <c r="I60" t="s">
        <v>178</v>
      </c>
      <c r="J60" t="s">
        <v>179</v>
      </c>
      <c r="L60" s="14">
        <v>45068</v>
      </c>
      <c r="M60" s="18">
        <f t="shared" si="3"/>
        <v>45047</v>
      </c>
      <c r="N60">
        <v>7164818</v>
      </c>
      <c r="O60" t="s">
        <v>123</v>
      </c>
      <c r="P60" t="s">
        <v>124</v>
      </c>
      <c r="Q60">
        <v>16.88</v>
      </c>
      <c r="R60" t="s">
        <v>125</v>
      </c>
      <c r="S60" t="s">
        <v>126</v>
      </c>
      <c r="T60" t="s">
        <v>125</v>
      </c>
      <c r="U60" t="s">
        <v>126</v>
      </c>
      <c r="W60">
        <v>16.88</v>
      </c>
      <c r="Y60">
        <v>16.88</v>
      </c>
      <c r="AC60">
        <v>16.88</v>
      </c>
      <c r="BH60" t="s">
        <v>126</v>
      </c>
      <c r="BI60" t="s">
        <v>126</v>
      </c>
      <c r="BJ60" t="s">
        <v>126</v>
      </c>
      <c r="BK60" t="s">
        <v>126</v>
      </c>
      <c r="BS60" t="s">
        <v>126</v>
      </c>
      <c r="BT60" t="s">
        <v>126</v>
      </c>
      <c r="BU60" t="s">
        <v>126</v>
      </c>
      <c r="BV60" t="s">
        <v>126</v>
      </c>
      <c r="CN60" t="s">
        <v>181</v>
      </c>
      <c r="CP60" t="s">
        <v>189</v>
      </c>
      <c r="CQ60" t="s">
        <v>181</v>
      </c>
    </row>
    <row r="61" spans="1:95" x14ac:dyDescent="0.2">
      <c r="A61" t="s">
        <v>115</v>
      </c>
      <c r="B61" t="s">
        <v>116</v>
      </c>
      <c r="C61">
        <v>210784</v>
      </c>
      <c r="E61" t="s">
        <v>117</v>
      </c>
      <c r="F61">
        <v>368</v>
      </c>
      <c r="G61" t="s">
        <v>176</v>
      </c>
      <c r="H61" t="s">
        <v>177</v>
      </c>
      <c r="I61" t="s">
        <v>178</v>
      </c>
      <c r="J61" t="s">
        <v>179</v>
      </c>
      <c r="L61" s="14">
        <v>45068</v>
      </c>
      <c r="M61" s="18">
        <f t="shared" si="3"/>
        <v>45047</v>
      </c>
      <c r="N61">
        <v>7164863</v>
      </c>
      <c r="O61" t="s">
        <v>123</v>
      </c>
      <c r="P61" t="s">
        <v>124</v>
      </c>
      <c r="Q61">
        <v>18.21</v>
      </c>
      <c r="R61" t="s">
        <v>125</v>
      </c>
      <c r="S61" t="s">
        <v>126</v>
      </c>
      <c r="T61" t="s">
        <v>125</v>
      </c>
      <c r="U61" t="s">
        <v>126</v>
      </c>
      <c r="W61">
        <v>18.21</v>
      </c>
      <c r="Y61">
        <v>18.21</v>
      </c>
      <c r="AC61">
        <v>18.21</v>
      </c>
      <c r="BH61" t="s">
        <v>126</v>
      </c>
      <c r="BI61" t="s">
        <v>126</v>
      </c>
      <c r="BJ61" t="s">
        <v>126</v>
      </c>
      <c r="BK61" t="s">
        <v>126</v>
      </c>
      <c r="BS61" t="s">
        <v>126</v>
      </c>
      <c r="BT61" t="s">
        <v>126</v>
      </c>
      <c r="BU61" t="s">
        <v>126</v>
      </c>
      <c r="BV61" t="s">
        <v>126</v>
      </c>
      <c r="CN61" t="s">
        <v>181</v>
      </c>
      <c r="CP61" t="s">
        <v>189</v>
      </c>
      <c r="CQ61" t="s">
        <v>181</v>
      </c>
    </row>
    <row r="62" spans="1:95" x14ac:dyDescent="0.2">
      <c r="A62" t="s">
        <v>115</v>
      </c>
      <c r="B62" t="s">
        <v>116</v>
      </c>
      <c r="C62">
        <v>210784</v>
      </c>
      <c r="E62" t="s">
        <v>117</v>
      </c>
      <c r="F62">
        <v>368</v>
      </c>
      <c r="G62" t="s">
        <v>176</v>
      </c>
      <c r="H62" t="s">
        <v>177</v>
      </c>
      <c r="I62" t="s">
        <v>178</v>
      </c>
      <c r="J62" t="s">
        <v>179</v>
      </c>
      <c r="L62" s="14">
        <v>45068</v>
      </c>
      <c r="M62" s="18">
        <f t="shared" si="3"/>
        <v>45047</v>
      </c>
      <c r="N62">
        <v>7164864</v>
      </c>
      <c r="O62" t="s">
        <v>123</v>
      </c>
      <c r="P62" t="s">
        <v>124</v>
      </c>
      <c r="Q62">
        <v>20.149999999999999</v>
      </c>
      <c r="R62" t="s">
        <v>125</v>
      </c>
      <c r="S62" t="s">
        <v>126</v>
      </c>
      <c r="T62" t="s">
        <v>125</v>
      </c>
      <c r="U62" t="s">
        <v>126</v>
      </c>
      <c r="W62">
        <v>20.149999999999999</v>
      </c>
      <c r="Y62">
        <v>20.149999999999999</v>
      </c>
      <c r="AC62">
        <v>20.149999999999999</v>
      </c>
      <c r="BH62" t="s">
        <v>126</v>
      </c>
      <c r="BI62" t="s">
        <v>126</v>
      </c>
      <c r="BJ62" t="s">
        <v>126</v>
      </c>
      <c r="BK62" t="s">
        <v>126</v>
      </c>
      <c r="BS62" t="s">
        <v>126</v>
      </c>
      <c r="BT62" t="s">
        <v>126</v>
      </c>
      <c r="BU62" t="s">
        <v>126</v>
      </c>
      <c r="BV62" t="s">
        <v>126</v>
      </c>
      <c r="CN62" t="s">
        <v>181</v>
      </c>
      <c r="CP62" t="s">
        <v>189</v>
      </c>
      <c r="CQ62" t="s">
        <v>181</v>
      </c>
    </row>
    <row r="63" spans="1:95" x14ac:dyDescent="0.2">
      <c r="A63" t="s">
        <v>115</v>
      </c>
      <c r="B63" t="s">
        <v>116</v>
      </c>
      <c r="C63">
        <v>210784</v>
      </c>
      <c r="E63" t="s">
        <v>117</v>
      </c>
      <c r="F63">
        <v>368</v>
      </c>
      <c r="G63" t="s">
        <v>176</v>
      </c>
      <c r="H63" t="s">
        <v>177</v>
      </c>
      <c r="I63" t="s">
        <v>178</v>
      </c>
      <c r="J63" t="s">
        <v>179</v>
      </c>
      <c r="L63" s="14">
        <v>45068</v>
      </c>
      <c r="M63" s="18">
        <f t="shared" si="3"/>
        <v>45047</v>
      </c>
      <c r="N63">
        <v>7164865</v>
      </c>
      <c r="O63" t="s">
        <v>123</v>
      </c>
      <c r="P63" t="s">
        <v>124</v>
      </c>
      <c r="Q63">
        <v>21.11</v>
      </c>
      <c r="R63" t="s">
        <v>125</v>
      </c>
      <c r="S63" t="s">
        <v>126</v>
      </c>
      <c r="T63" t="s">
        <v>125</v>
      </c>
      <c r="U63" t="s">
        <v>126</v>
      </c>
      <c r="W63">
        <v>21.11</v>
      </c>
      <c r="Y63">
        <v>21.11</v>
      </c>
      <c r="AC63">
        <v>21.11</v>
      </c>
      <c r="BH63" t="s">
        <v>126</v>
      </c>
      <c r="BI63" t="s">
        <v>126</v>
      </c>
      <c r="BJ63" t="s">
        <v>126</v>
      </c>
      <c r="BK63" t="s">
        <v>126</v>
      </c>
      <c r="BS63" t="s">
        <v>126</v>
      </c>
      <c r="BT63" t="s">
        <v>126</v>
      </c>
      <c r="BU63" t="s">
        <v>126</v>
      </c>
      <c r="BV63" t="s">
        <v>126</v>
      </c>
      <c r="CN63" t="s">
        <v>181</v>
      </c>
      <c r="CP63" t="s">
        <v>189</v>
      </c>
      <c r="CQ63" t="s">
        <v>181</v>
      </c>
    </row>
    <row r="64" spans="1:95" x14ac:dyDescent="0.2">
      <c r="A64" t="s">
        <v>115</v>
      </c>
      <c r="B64" t="s">
        <v>116</v>
      </c>
      <c r="C64">
        <v>210784</v>
      </c>
      <c r="E64" t="s">
        <v>117</v>
      </c>
      <c r="F64">
        <v>368</v>
      </c>
      <c r="G64" t="s">
        <v>176</v>
      </c>
      <c r="H64" t="s">
        <v>177</v>
      </c>
      <c r="I64" t="s">
        <v>178</v>
      </c>
      <c r="J64" t="s">
        <v>179</v>
      </c>
      <c r="L64" s="14">
        <v>45068</v>
      </c>
      <c r="M64" s="18">
        <f t="shared" si="3"/>
        <v>45047</v>
      </c>
      <c r="N64">
        <v>7164873</v>
      </c>
      <c r="O64" t="s">
        <v>123</v>
      </c>
      <c r="P64" t="s">
        <v>124</v>
      </c>
      <c r="Q64">
        <v>26.15</v>
      </c>
      <c r="R64" t="s">
        <v>125</v>
      </c>
      <c r="S64" t="s">
        <v>126</v>
      </c>
      <c r="T64" t="s">
        <v>125</v>
      </c>
      <c r="U64" t="s">
        <v>126</v>
      </c>
      <c r="W64">
        <v>26.15</v>
      </c>
      <c r="Y64">
        <v>26.15</v>
      </c>
      <c r="AC64">
        <v>26.15</v>
      </c>
      <c r="BH64" t="s">
        <v>126</v>
      </c>
      <c r="BI64" t="s">
        <v>126</v>
      </c>
      <c r="BJ64" t="s">
        <v>126</v>
      </c>
      <c r="BK64" t="s">
        <v>126</v>
      </c>
      <c r="BS64" t="s">
        <v>126</v>
      </c>
      <c r="BT64" t="s">
        <v>126</v>
      </c>
      <c r="BU64" t="s">
        <v>126</v>
      </c>
      <c r="BV64" t="s">
        <v>126</v>
      </c>
      <c r="CN64" t="s">
        <v>181</v>
      </c>
      <c r="CP64" t="s">
        <v>189</v>
      </c>
      <c r="CQ64" t="s">
        <v>181</v>
      </c>
    </row>
    <row r="65" spans="1:95" x14ac:dyDescent="0.2">
      <c r="A65" t="s">
        <v>115</v>
      </c>
      <c r="B65" t="s">
        <v>116</v>
      </c>
      <c r="C65">
        <v>210784</v>
      </c>
      <c r="E65" t="s">
        <v>117</v>
      </c>
      <c r="F65">
        <v>368</v>
      </c>
      <c r="G65" t="s">
        <v>176</v>
      </c>
      <c r="H65" t="s">
        <v>177</v>
      </c>
      <c r="I65" t="s">
        <v>178</v>
      </c>
      <c r="J65" t="s">
        <v>179</v>
      </c>
      <c r="L65" s="14">
        <v>45068</v>
      </c>
      <c r="M65" s="18">
        <f t="shared" si="3"/>
        <v>45047</v>
      </c>
      <c r="N65">
        <v>7164874</v>
      </c>
      <c r="O65" t="s">
        <v>123</v>
      </c>
      <c r="P65" t="s">
        <v>124</v>
      </c>
      <c r="Q65">
        <v>21.1</v>
      </c>
      <c r="R65" t="s">
        <v>125</v>
      </c>
      <c r="S65" t="s">
        <v>126</v>
      </c>
      <c r="T65" t="s">
        <v>125</v>
      </c>
      <c r="U65" t="s">
        <v>126</v>
      </c>
      <c r="W65">
        <v>21.1</v>
      </c>
      <c r="Y65">
        <v>21.1</v>
      </c>
      <c r="AC65">
        <v>21.1</v>
      </c>
      <c r="BH65" t="s">
        <v>126</v>
      </c>
      <c r="BI65" t="s">
        <v>126</v>
      </c>
      <c r="BJ65" t="s">
        <v>126</v>
      </c>
      <c r="BK65" t="s">
        <v>126</v>
      </c>
      <c r="BS65" t="s">
        <v>126</v>
      </c>
      <c r="BT65" t="s">
        <v>126</v>
      </c>
      <c r="BU65" t="s">
        <v>126</v>
      </c>
      <c r="BV65" t="s">
        <v>126</v>
      </c>
      <c r="CN65" t="s">
        <v>181</v>
      </c>
      <c r="CP65" t="s">
        <v>189</v>
      </c>
      <c r="CQ65" t="s">
        <v>181</v>
      </c>
    </row>
    <row r="66" spans="1:95" x14ac:dyDescent="0.2">
      <c r="A66" t="s">
        <v>115</v>
      </c>
      <c r="B66" t="s">
        <v>116</v>
      </c>
      <c r="C66">
        <v>210784</v>
      </c>
      <c r="E66" t="s">
        <v>117</v>
      </c>
      <c r="F66">
        <v>368</v>
      </c>
      <c r="G66" t="s">
        <v>176</v>
      </c>
      <c r="H66" t="s">
        <v>177</v>
      </c>
      <c r="I66" t="s">
        <v>178</v>
      </c>
      <c r="J66" t="s">
        <v>179</v>
      </c>
      <c r="L66" s="14">
        <v>45068</v>
      </c>
      <c r="M66" s="18">
        <f t="shared" si="3"/>
        <v>45047</v>
      </c>
      <c r="N66">
        <v>7164878</v>
      </c>
      <c r="O66" t="s">
        <v>123</v>
      </c>
      <c r="P66" t="s">
        <v>124</v>
      </c>
      <c r="Q66">
        <v>22.61</v>
      </c>
      <c r="R66" t="s">
        <v>125</v>
      </c>
      <c r="S66" t="s">
        <v>126</v>
      </c>
      <c r="T66" t="s">
        <v>125</v>
      </c>
      <c r="U66" t="s">
        <v>126</v>
      </c>
      <c r="W66">
        <v>22.61</v>
      </c>
      <c r="Y66">
        <v>22.61</v>
      </c>
      <c r="AC66">
        <v>22.61</v>
      </c>
      <c r="BH66" t="s">
        <v>126</v>
      </c>
      <c r="BI66" t="s">
        <v>126</v>
      </c>
      <c r="BJ66" t="s">
        <v>126</v>
      </c>
      <c r="BK66" t="s">
        <v>126</v>
      </c>
      <c r="BS66" t="s">
        <v>126</v>
      </c>
      <c r="BT66" t="s">
        <v>126</v>
      </c>
      <c r="BU66" t="s">
        <v>126</v>
      </c>
      <c r="BV66" t="s">
        <v>126</v>
      </c>
      <c r="CN66" t="s">
        <v>181</v>
      </c>
      <c r="CP66" t="s">
        <v>189</v>
      </c>
      <c r="CQ66" t="s">
        <v>181</v>
      </c>
    </row>
    <row r="67" spans="1:95" x14ac:dyDescent="0.2">
      <c r="A67" t="s">
        <v>115</v>
      </c>
      <c r="B67" t="s">
        <v>116</v>
      </c>
      <c r="C67">
        <v>210784</v>
      </c>
      <c r="E67" t="s">
        <v>117</v>
      </c>
      <c r="F67">
        <v>368</v>
      </c>
      <c r="G67" t="s">
        <v>176</v>
      </c>
      <c r="H67" t="s">
        <v>177</v>
      </c>
      <c r="I67" t="s">
        <v>178</v>
      </c>
      <c r="J67" t="s">
        <v>179</v>
      </c>
      <c r="L67" s="14">
        <v>45068</v>
      </c>
      <c r="M67" s="18">
        <f t="shared" si="3"/>
        <v>45047</v>
      </c>
      <c r="N67">
        <v>7164898</v>
      </c>
      <c r="O67" t="s">
        <v>123</v>
      </c>
      <c r="P67" t="s">
        <v>124</v>
      </c>
      <c r="Q67">
        <v>22.05</v>
      </c>
      <c r="R67" t="s">
        <v>125</v>
      </c>
      <c r="S67" t="s">
        <v>126</v>
      </c>
      <c r="T67" t="s">
        <v>125</v>
      </c>
      <c r="U67" t="s">
        <v>126</v>
      </c>
      <c r="W67">
        <v>22.05</v>
      </c>
      <c r="Y67">
        <v>22.05</v>
      </c>
      <c r="AC67">
        <v>22.05</v>
      </c>
      <c r="BH67" t="s">
        <v>126</v>
      </c>
      <c r="BI67" t="s">
        <v>126</v>
      </c>
      <c r="BJ67" t="s">
        <v>126</v>
      </c>
      <c r="BK67" t="s">
        <v>126</v>
      </c>
      <c r="BS67" t="s">
        <v>126</v>
      </c>
      <c r="BT67" t="s">
        <v>126</v>
      </c>
      <c r="BU67" t="s">
        <v>126</v>
      </c>
      <c r="BV67" t="s">
        <v>126</v>
      </c>
      <c r="CN67" t="s">
        <v>181</v>
      </c>
      <c r="CP67" t="s">
        <v>189</v>
      </c>
      <c r="CQ67" t="s">
        <v>181</v>
      </c>
    </row>
    <row r="68" spans="1:95" x14ac:dyDescent="0.2">
      <c r="A68" t="s">
        <v>115</v>
      </c>
      <c r="B68" t="s">
        <v>116</v>
      </c>
      <c r="C68">
        <v>210784</v>
      </c>
      <c r="E68" t="s">
        <v>117</v>
      </c>
      <c r="F68">
        <v>368</v>
      </c>
      <c r="G68" t="s">
        <v>176</v>
      </c>
      <c r="H68" t="s">
        <v>177</v>
      </c>
      <c r="I68" t="s">
        <v>178</v>
      </c>
      <c r="J68" t="s">
        <v>179</v>
      </c>
      <c r="L68" s="14">
        <v>45068</v>
      </c>
      <c r="M68" s="18">
        <f t="shared" si="3"/>
        <v>45047</v>
      </c>
      <c r="N68">
        <v>7164902</v>
      </c>
      <c r="O68" t="s">
        <v>123</v>
      </c>
      <c r="P68" t="s">
        <v>124</v>
      </c>
      <c r="Q68">
        <v>24.43</v>
      </c>
      <c r="R68" t="s">
        <v>125</v>
      </c>
      <c r="S68" t="s">
        <v>126</v>
      </c>
      <c r="T68" t="s">
        <v>125</v>
      </c>
      <c r="U68" t="s">
        <v>126</v>
      </c>
      <c r="W68">
        <v>24.43</v>
      </c>
      <c r="Y68">
        <v>24.43</v>
      </c>
      <c r="AC68">
        <v>24.43</v>
      </c>
      <c r="BH68" t="s">
        <v>126</v>
      </c>
      <c r="BI68" t="s">
        <v>126</v>
      </c>
      <c r="BJ68" t="s">
        <v>126</v>
      </c>
      <c r="BK68" t="s">
        <v>126</v>
      </c>
      <c r="BS68" t="s">
        <v>126</v>
      </c>
      <c r="BT68" t="s">
        <v>126</v>
      </c>
      <c r="BU68" t="s">
        <v>126</v>
      </c>
      <c r="BV68" t="s">
        <v>126</v>
      </c>
      <c r="CN68" t="s">
        <v>181</v>
      </c>
      <c r="CP68" t="s">
        <v>189</v>
      </c>
      <c r="CQ68" t="s">
        <v>181</v>
      </c>
    </row>
    <row r="69" spans="1:95" x14ac:dyDescent="0.2">
      <c r="A69" t="s">
        <v>115</v>
      </c>
      <c r="B69" t="s">
        <v>116</v>
      </c>
      <c r="C69">
        <v>210784</v>
      </c>
      <c r="E69" t="s">
        <v>117</v>
      </c>
      <c r="F69">
        <v>368</v>
      </c>
      <c r="G69" t="s">
        <v>176</v>
      </c>
      <c r="H69" t="s">
        <v>177</v>
      </c>
      <c r="I69" t="s">
        <v>178</v>
      </c>
      <c r="J69" t="s">
        <v>179</v>
      </c>
      <c r="L69" s="14">
        <v>45068</v>
      </c>
      <c r="M69" s="18">
        <f t="shared" si="3"/>
        <v>45047</v>
      </c>
      <c r="N69">
        <v>7164909</v>
      </c>
      <c r="O69" t="s">
        <v>123</v>
      </c>
      <c r="P69" t="s">
        <v>124</v>
      </c>
      <c r="Q69">
        <v>24.16</v>
      </c>
      <c r="R69" t="s">
        <v>125</v>
      </c>
      <c r="S69" t="s">
        <v>126</v>
      </c>
      <c r="T69" t="s">
        <v>125</v>
      </c>
      <c r="U69" t="s">
        <v>126</v>
      </c>
      <c r="W69">
        <v>24.16</v>
      </c>
      <c r="Y69">
        <v>24.16</v>
      </c>
      <c r="AC69">
        <v>24.16</v>
      </c>
      <c r="BH69" t="s">
        <v>126</v>
      </c>
      <c r="BI69" t="s">
        <v>126</v>
      </c>
      <c r="BJ69" t="s">
        <v>126</v>
      </c>
      <c r="BK69" t="s">
        <v>126</v>
      </c>
      <c r="BS69" t="s">
        <v>126</v>
      </c>
      <c r="BT69" t="s">
        <v>126</v>
      </c>
      <c r="BU69" t="s">
        <v>126</v>
      </c>
      <c r="BV69" t="s">
        <v>126</v>
      </c>
      <c r="CN69" t="s">
        <v>181</v>
      </c>
      <c r="CP69" t="s">
        <v>189</v>
      </c>
      <c r="CQ69" t="s">
        <v>181</v>
      </c>
    </row>
    <row r="70" spans="1:95" x14ac:dyDescent="0.2">
      <c r="A70" t="s">
        <v>115</v>
      </c>
      <c r="B70" t="s">
        <v>116</v>
      </c>
      <c r="C70">
        <v>210784</v>
      </c>
      <c r="E70" t="s">
        <v>117</v>
      </c>
      <c r="F70">
        <v>368</v>
      </c>
      <c r="G70" t="s">
        <v>176</v>
      </c>
      <c r="H70" t="s">
        <v>177</v>
      </c>
      <c r="I70" t="s">
        <v>178</v>
      </c>
      <c r="J70" t="s">
        <v>179</v>
      </c>
      <c r="L70" s="14">
        <v>45068</v>
      </c>
      <c r="M70" s="18">
        <f t="shared" si="3"/>
        <v>45047</v>
      </c>
      <c r="N70">
        <v>7164904</v>
      </c>
      <c r="O70" t="s">
        <v>123</v>
      </c>
      <c r="P70" t="s">
        <v>124</v>
      </c>
      <c r="Q70">
        <v>25.6</v>
      </c>
      <c r="R70" t="s">
        <v>125</v>
      </c>
      <c r="S70" t="s">
        <v>126</v>
      </c>
      <c r="T70" t="s">
        <v>125</v>
      </c>
      <c r="U70" t="s">
        <v>126</v>
      </c>
      <c r="W70">
        <v>25.6</v>
      </c>
      <c r="Y70">
        <v>25.6</v>
      </c>
      <c r="AC70">
        <v>25.6</v>
      </c>
      <c r="BH70" t="s">
        <v>126</v>
      </c>
      <c r="BI70" t="s">
        <v>126</v>
      </c>
      <c r="BJ70" t="s">
        <v>126</v>
      </c>
      <c r="BK70" t="s">
        <v>126</v>
      </c>
      <c r="BS70" t="s">
        <v>126</v>
      </c>
      <c r="BT70" t="s">
        <v>126</v>
      </c>
      <c r="BU70" t="s">
        <v>126</v>
      </c>
      <c r="BV70" t="s">
        <v>126</v>
      </c>
      <c r="CN70" t="s">
        <v>181</v>
      </c>
      <c r="CP70" t="s">
        <v>189</v>
      </c>
      <c r="CQ70" t="s">
        <v>181</v>
      </c>
    </row>
    <row r="71" spans="1:95" x14ac:dyDescent="0.2">
      <c r="A71" t="s">
        <v>115</v>
      </c>
      <c r="B71" t="s">
        <v>116</v>
      </c>
      <c r="C71">
        <v>210784</v>
      </c>
      <c r="E71" t="s">
        <v>117</v>
      </c>
      <c r="F71">
        <v>368</v>
      </c>
      <c r="G71" t="s">
        <v>176</v>
      </c>
      <c r="H71" t="s">
        <v>177</v>
      </c>
      <c r="I71" t="s">
        <v>178</v>
      </c>
      <c r="J71" t="s">
        <v>179</v>
      </c>
      <c r="L71" s="14">
        <v>45068</v>
      </c>
      <c r="M71" s="18">
        <f t="shared" si="3"/>
        <v>45047</v>
      </c>
      <c r="N71">
        <v>7164910</v>
      </c>
      <c r="O71" t="s">
        <v>123</v>
      </c>
      <c r="P71" t="s">
        <v>124</v>
      </c>
      <c r="Q71">
        <v>22.85</v>
      </c>
      <c r="R71" t="s">
        <v>125</v>
      </c>
      <c r="S71" t="s">
        <v>126</v>
      </c>
      <c r="T71" t="s">
        <v>125</v>
      </c>
      <c r="U71" t="s">
        <v>126</v>
      </c>
      <c r="W71">
        <v>22.85</v>
      </c>
      <c r="Y71">
        <v>22.85</v>
      </c>
      <c r="AC71">
        <v>22.85</v>
      </c>
      <c r="BH71" t="s">
        <v>126</v>
      </c>
      <c r="BI71" t="s">
        <v>126</v>
      </c>
      <c r="BJ71" t="s">
        <v>126</v>
      </c>
      <c r="BK71" t="s">
        <v>126</v>
      </c>
      <c r="BS71" t="s">
        <v>126</v>
      </c>
      <c r="BT71" t="s">
        <v>126</v>
      </c>
      <c r="BU71" t="s">
        <v>126</v>
      </c>
      <c r="BV71" t="s">
        <v>126</v>
      </c>
      <c r="CN71" t="s">
        <v>181</v>
      </c>
      <c r="CP71" t="s">
        <v>189</v>
      </c>
      <c r="CQ71" t="s">
        <v>181</v>
      </c>
    </row>
    <row r="72" spans="1:95" x14ac:dyDescent="0.2">
      <c r="A72" t="s">
        <v>115</v>
      </c>
      <c r="B72" t="s">
        <v>116</v>
      </c>
      <c r="C72">
        <v>210784</v>
      </c>
      <c r="E72" t="s">
        <v>117</v>
      </c>
      <c r="F72">
        <v>368</v>
      </c>
      <c r="G72" t="s">
        <v>176</v>
      </c>
      <c r="H72" t="s">
        <v>177</v>
      </c>
      <c r="I72" t="s">
        <v>178</v>
      </c>
      <c r="J72" t="s">
        <v>179</v>
      </c>
      <c r="L72" s="14">
        <v>45068</v>
      </c>
      <c r="M72" s="18">
        <f t="shared" si="3"/>
        <v>45047</v>
      </c>
      <c r="N72">
        <v>7164912</v>
      </c>
      <c r="O72" t="s">
        <v>123</v>
      </c>
      <c r="P72" t="s">
        <v>124</v>
      </c>
      <c r="Q72">
        <v>4.57</v>
      </c>
      <c r="R72" t="s">
        <v>125</v>
      </c>
      <c r="S72" t="s">
        <v>126</v>
      </c>
      <c r="T72" t="s">
        <v>125</v>
      </c>
      <c r="U72" t="s">
        <v>126</v>
      </c>
      <c r="W72">
        <v>4.57</v>
      </c>
      <c r="Y72">
        <v>4.57</v>
      </c>
      <c r="AC72">
        <v>4.57</v>
      </c>
      <c r="BH72" t="s">
        <v>126</v>
      </c>
      <c r="BI72" t="s">
        <v>126</v>
      </c>
      <c r="BJ72" t="s">
        <v>126</v>
      </c>
      <c r="BK72" t="s">
        <v>126</v>
      </c>
      <c r="BS72" t="s">
        <v>126</v>
      </c>
      <c r="BT72" t="s">
        <v>126</v>
      </c>
      <c r="BU72" t="s">
        <v>126</v>
      </c>
      <c r="BV72" t="s">
        <v>126</v>
      </c>
      <c r="CN72" t="s">
        <v>181</v>
      </c>
      <c r="CP72" t="s">
        <v>189</v>
      </c>
      <c r="CQ72" t="s">
        <v>181</v>
      </c>
    </row>
    <row r="73" spans="1:95" x14ac:dyDescent="0.2">
      <c r="A73" t="s">
        <v>115</v>
      </c>
      <c r="B73" t="s">
        <v>116</v>
      </c>
      <c r="C73">
        <v>210784</v>
      </c>
      <c r="E73" t="s">
        <v>117</v>
      </c>
      <c r="F73">
        <v>368</v>
      </c>
      <c r="G73" t="s">
        <v>176</v>
      </c>
      <c r="H73" t="s">
        <v>177</v>
      </c>
      <c r="I73" t="s">
        <v>546</v>
      </c>
      <c r="J73" t="s">
        <v>547</v>
      </c>
      <c r="L73" s="14">
        <v>45068</v>
      </c>
      <c r="M73" s="18">
        <f t="shared" si="3"/>
        <v>45047</v>
      </c>
      <c r="N73">
        <v>40542</v>
      </c>
      <c r="O73" t="s">
        <v>123</v>
      </c>
      <c r="P73" t="s">
        <v>124</v>
      </c>
      <c r="Q73">
        <v>3.8</v>
      </c>
      <c r="R73" t="s">
        <v>549</v>
      </c>
      <c r="S73" t="s">
        <v>126</v>
      </c>
      <c r="T73" t="s">
        <v>549</v>
      </c>
      <c r="U73" t="s">
        <v>550</v>
      </c>
      <c r="W73">
        <v>2.698</v>
      </c>
      <c r="X73">
        <v>1.1020000000000001</v>
      </c>
      <c r="Y73">
        <v>3.8</v>
      </c>
      <c r="AY73">
        <v>2.698</v>
      </c>
      <c r="BD73">
        <v>1.1020000000000001</v>
      </c>
      <c r="BH73" t="s">
        <v>126</v>
      </c>
      <c r="BI73" t="s">
        <v>126</v>
      </c>
      <c r="BJ73" t="s">
        <v>126</v>
      </c>
      <c r="BK73" t="s">
        <v>126</v>
      </c>
      <c r="BS73" t="s">
        <v>126</v>
      </c>
      <c r="BT73" t="s">
        <v>126</v>
      </c>
      <c r="BU73" t="s">
        <v>126</v>
      </c>
      <c r="BV73" t="s">
        <v>126</v>
      </c>
      <c r="CN73" t="s">
        <v>181</v>
      </c>
      <c r="CP73" t="s">
        <v>189</v>
      </c>
      <c r="CQ73" t="s">
        <v>181</v>
      </c>
    </row>
    <row r="74" spans="1:95" x14ac:dyDescent="0.2">
      <c r="A74" t="s">
        <v>115</v>
      </c>
      <c r="B74" t="s">
        <v>116</v>
      </c>
      <c r="C74">
        <v>210784</v>
      </c>
      <c r="E74" t="s">
        <v>117</v>
      </c>
      <c r="F74">
        <v>368</v>
      </c>
      <c r="G74" t="s">
        <v>176</v>
      </c>
      <c r="H74" t="s">
        <v>177</v>
      </c>
      <c r="I74" t="s">
        <v>178</v>
      </c>
      <c r="J74" t="s">
        <v>179</v>
      </c>
      <c r="L74" s="14">
        <v>45069</v>
      </c>
      <c r="M74" s="18">
        <f t="shared" si="3"/>
        <v>45047</v>
      </c>
      <c r="N74">
        <v>7165033</v>
      </c>
      <c r="O74" t="s">
        <v>123</v>
      </c>
      <c r="P74" t="s">
        <v>124</v>
      </c>
      <c r="Q74">
        <v>21.83</v>
      </c>
      <c r="R74" t="s">
        <v>125</v>
      </c>
      <c r="S74" t="s">
        <v>126</v>
      </c>
      <c r="T74" t="s">
        <v>125</v>
      </c>
      <c r="U74" t="s">
        <v>126</v>
      </c>
      <c r="W74">
        <v>21.83</v>
      </c>
      <c r="Y74">
        <v>21.83</v>
      </c>
      <c r="AC74">
        <v>21.83</v>
      </c>
      <c r="BH74" t="s">
        <v>126</v>
      </c>
      <c r="BI74" t="s">
        <v>126</v>
      </c>
      <c r="BJ74" t="s">
        <v>126</v>
      </c>
      <c r="BK74" t="s">
        <v>126</v>
      </c>
      <c r="BS74" t="s">
        <v>126</v>
      </c>
      <c r="BT74" t="s">
        <v>126</v>
      </c>
      <c r="BU74" t="s">
        <v>126</v>
      </c>
      <c r="BV74" t="s">
        <v>126</v>
      </c>
      <c r="CN74" t="s">
        <v>181</v>
      </c>
      <c r="CP74" t="s">
        <v>189</v>
      </c>
      <c r="CQ74" t="s">
        <v>181</v>
      </c>
    </row>
    <row r="75" spans="1:95" x14ac:dyDescent="0.2">
      <c r="A75" t="s">
        <v>115</v>
      </c>
      <c r="B75" t="s">
        <v>116</v>
      </c>
      <c r="C75">
        <v>210784</v>
      </c>
      <c r="E75" t="s">
        <v>117</v>
      </c>
      <c r="F75">
        <v>368</v>
      </c>
      <c r="G75" t="s">
        <v>176</v>
      </c>
      <c r="H75" t="s">
        <v>177</v>
      </c>
      <c r="I75" t="s">
        <v>178</v>
      </c>
      <c r="J75" t="s">
        <v>179</v>
      </c>
      <c r="L75" s="14">
        <v>45069</v>
      </c>
      <c r="M75" s="18">
        <f t="shared" ref="M75:M138" si="4">DATE(YEAR(L75), MONTH(L75), 1)</f>
        <v>45047</v>
      </c>
      <c r="N75">
        <v>7165035</v>
      </c>
      <c r="O75" t="s">
        <v>123</v>
      </c>
      <c r="P75" t="s">
        <v>124</v>
      </c>
      <c r="Q75">
        <v>20.84</v>
      </c>
      <c r="R75" t="s">
        <v>125</v>
      </c>
      <c r="S75" t="s">
        <v>126</v>
      </c>
      <c r="T75" t="s">
        <v>125</v>
      </c>
      <c r="U75" t="s">
        <v>126</v>
      </c>
      <c r="W75">
        <v>20.84</v>
      </c>
      <c r="Y75">
        <v>20.84</v>
      </c>
      <c r="AC75">
        <v>20.84</v>
      </c>
      <c r="BH75" t="s">
        <v>126</v>
      </c>
      <c r="BI75" t="s">
        <v>126</v>
      </c>
      <c r="BJ75" t="s">
        <v>126</v>
      </c>
      <c r="BK75" t="s">
        <v>126</v>
      </c>
      <c r="BS75" t="s">
        <v>126</v>
      </c>
      <c r="BT75" t="s">
        <v>126</v>
      </c>
      <c r="BU75" t="s">
        <v>126</v>
      </c>
      <c r="BV75" t="s">
        <v>126</v>
      </c>
      <c r="CN75" t="s">
        <v>181</v>
      </c>
      <c r="CP75" t="s">
        <v>189</v>
      </c>
      <c r="CQ75" t="s">
        <v>181</v>
      </c>
    </row>
    <row r="76" spans="1:95" x14ac:dyDescent="0.2">
      <c r="A76" t="s">
        <v>115</v>
      </c>
      <c r="B76" t="s">
        <v>116</v>
      </c>
      <c r="C76">
        <v>210784</v>
      </c>
      <c r="E76" t="s">
        <v>117</v>
      </c>
      <c r="F76">
        <v>368</v>
      </c>
      <c r="G76" t="s">
        <v>176</v>
      </c>
      <c r="H76" t="s">
        <v>177</v>
      </c>
      <c r="I76" t="s">
        <v>178</v>
      </c>
      <c r="J76" t="s">
        <v>179</v>
      </c>
      <c r="L76" s="14">
        <v>45069</v>
      </c>
      <c r="M76" s="18">
        <f t="shared" si="4"/>
        <v>45047</v>
      </c>
      <c r="N76">
        <v>7165038</v>
      </c>
      <c r="O76" t="s">
        <v>123</v>
      </c>
      <c r="P76" t="s">
        <v>124</v>
      </c>
      <c r="Q76">
        <v>21.66</v>
      </c>
      <c r="R76" t="s">
        <v>125</v>
      </c>
      <c r="S76" t="s">
        <v>126</v>
      </c>
      <c r="T76" t="s">
        <v>125</v>
      </c>
      <c r="U76" t="s">
        <v>126</v>
      </c>
      <c r="W76">
        <v>21.66</v>
      </c>
      <c r="Y76">
        <v>21.66</v>
      </c>
      <c r="AC76">
        <v>21.66</v>
      </c>
      <c r="BH76" t="s">
        <v>126</v>
      </c>
      <c r="BI76" t="s">
        <v>126</v>
      </c>
      <c r="BJ76" t="s">
        <v>126</v>
      </c>
      <c r="BK76" t="s">
        <v>126</v>
      </c>
      <c r="BS76" t="s">
        <v>126</v>
      </c>
      <c r="BT76" t="s">
        <v>126</v>
      </c>
      <c r="BU76" t="s">
        <v>126</v>
      </c>
      <c r="BV76" t="s">
        <v>126</v>
      </c>
      <c r="CN76" t="s">
        <v>181</v>
      </c>
      <c r="CP76" t="s">
        <v>189</v>
      </c>
      <c r="CQ76" t="s">
        <v>181</v>
      </c>
    </row>
    <row r="77" spans="1:95" x14ac:dyDescent="0.2">
      <c r="A77" t="s">
        <v>115</v>
      </c>
      <c r="B77" t="s">
        <v>116</v>
      </c>
      <c r="C77">
        <v>210784</v>
      </c>
      <c r="E77" t="s">
        <v>117</v>
      </c>
      <c r="F77">
        <v>368</v>
      </c>
      <c r="G77" t="s">
        <v>176</v>
      </c>
      <c r="H77" t="s">
        <v>177</v>
      </c>
      <c r="I77" t="s">
        <v>178</v>
      </c>
      <c r="J77" t="s">
        <v>179</v>
      </c>
      <c r="L77" s="14">
        <v>45069</v>
      </c>
      <c r="M77" s="18">
        <f t="shared" si="4"/>
        <v>45047</v>
      </c>
      <c r="N77">
        <v>7165041</v>
      </c>
      <c r="O77" t="s">
        <v>123</v>
      </c>
      <c r="P77" t="s">
        <v>124</v>
      </c>
      <c r="Q77">
        <v>19.04</v>
      </c>
      <c r="R77" t="s">
        <v>125</v>
      </c>
      <c r="S77" t="s">
        <v>126</v>
      </c>
      <c r="T77" t="s">
        <v>125</v>
      </c>
      <c r="U77" t="s">
        <v>126</v>
      </c>
      <c r="W77">
        <v>19.04</v>
      </c>
      <c r="Y77">
        <v>19.04</v>
      </c>
      <c r="AC77">
        <v>19.04</v>
      </c>
      <c r="BH77" t="s">
        <v>126</v>
      </c>
      <c r="BI77" t="s">
        <v>126</v>
      </c>
      <c r="BJ77" t="s">
        <v>126</v>
      </c>
      <c r="BK77" t="s">
        <v>126</v>
      </c>
      <c r="BS77" t="s">
        <v>126</v>
      </c>
      <c r="BT77" t="s">
        <v>126</v>
      </c>
      <c r="BU77" t="s">
        <v>126</v>
      </c>
      <c r="BV77" t="s">
        <v>126</v>
      </c>
      <c r="CN77" t="s">
        <v>181</v>
      </c>
      <c r="CP77" t="s">
        <v>189</v>
      </c>
      <c r="CQ77" t="s">
        <v>181</v>
      </c>
    </row>
    <row r="78" spans="1:95" x14ac:dyDescent="0.2">
      <c r="A78" t="s">
        <v>115</v>
      </c>
      <c r="B78" t="s">
        <v>116</v>
      </c>
      <c r="C78">
        <v>210784</v>
      </c>
      <c r="E78" t="s">
        <v>117</v>
      </c>
      <c r="F78">
        <v>368</v>
      </c>
      <c r="G78" t="s">
        <v>176</v>
      </c>
      <c r="H78" t="s">
        <v>177</v>
      </c>
      <c r="I78" t="s">
        <v>178</v>
      </c>
      <c r="J78" t="s">
        <v>179</v>
      </c>
      <c r="L78" s="14">
        <v>45069</v>
      </c>
      <c r="M78" s="18">
        <f t="shared" si="4"/>
        <v>45047</v>
      </c>
      <c r="N78">
        <v>7165069</v>
      </c>
      <c r="O78" t="s">
        <v>123</v>
      </c>
      <c r="P78" t="s">
        <v>124</v>
      </c>
      <c r="Q78">
        <v>21.31</v>
      </c>
      <c r="R78" t="s">
        <v>125</v>
      </c>
      <c r="S78" t="s">
        <v>126</v>
      </c>
      <c r="T78" t="s">
        <v>125</v>
      </c>
      <c r="U78" t="s">
        <v>126</v>
      </c>
      <c r="W78">
        <v>21.31</v>
      </c>
      <c r="Y78">
        <v>21.31</v>
      </c>
      <c r="AC78">
        <v>21.31</v>
      </c>
      <c r="BH78" t="s">
        <v>126</v>
      </c>
      <c r="BI78" t="s">
        <v>126</v>
      </c>
      <c r="BJ78" t="s">
        <v>126</v>
      </c>
      <c r="BK78" t="s">
        <v>126</v>
      </c>
      <c r="BS78" t="s">
        <v>126</v>
      </c>
      <c r="BT78" t="s">
        <v>126</v>
      </c>
      <c r="BU78" t="s">
        <v>126</v>
      </c>
      <c r="BV78" t="s">
        <v>126</v>
      </c>
      <c r="CN78" t="s">
        <v>181</v>
      </c>
      <c r="CP78" t="s">
        <v>189</v>
      </c>
      <c r="CQ78" t="s">
        <v>181</v>
      </c>
    </row>
    <row r="79" spans="1:95" x14ac:dyDescent="0.2">
      <c r="A79" t="s">
        <v>115</v>
      </c>
      <c r="B79" t="s">
        <v>116</v>
      </c>
      <c r="C79">
        <v>210784</v>
      </c>
      <c r="E79" t="s">
        <v>117</v>
      </c>
      <c r="F79">
        <v>368</v>
      </c>
      <c r="G79" t="s">
        <v>176</v>
      </c>
      <c r="H79" t="s">
        <v>177</v>
      </c>
      <c r="I79" t="s">
        <v>178</v>
      </c>
      <c r="J79" t="s">
        <v>179</v>
      </c>
      <c r="L79" s="14">
        <v>45069</v>
      </c>
      <c r="M79" s="18">
        <f t="shared" si="4"/>
        <v>45047</v>
      </c>
      <c r="N79">
        <v>7165070</v>
      </c>
      <c r="O79" t="s">
        <v>123</v>
      </c>
      <c r="P79" t="s">
        <v>124</v>
      </c>
      <c r="Q79">
        <v>20.51</v>
      </c>
      <c r="R79" t="s">
        <v>125</v>
      </c>
      <c r="S79" t="s">
        <v>126</v>
      </c>
      <c r="T79" t="s">
        <v>125</v>
      </c>
      <c r="U79" t="s">
        <v>126</v>
      </c>
      <c r="W79">
        <v>20.51</v>
      </c>
      <c r="Y79">
        <v>20.51</v>
      </c>
      <c r="AC79">
        <v>20.51</v>
      </c>
      <c r="BH79" t="s">
        <v>126</v>
      </c>
      <c r="BI79" t="s">
        <v>126</v>
      </c>
      <c r="BJ79" t="s">
        <v>126</v>
      </c>
      <c r="BK79" t="s">
        <v>126</v>
      </c>
      <c r="BS79" t="s">
        <v>126</v>
      </c>
      <c r="BT79" t="s">
        <v>126</v>
      </c>
      <c r="BU79" t="s">
        <v>126</v>
      </c>
      <c r="BV79" t="s">
        <v>126</v>
      </c>
      <c r="CN79" t="s">
        <v>181</v>
      </c>
      <c r="CP79" t="s">
        <v>189</v>
      </c>
      <c r="CQ79" t="s">
        <v>181</v>
      </c>
    </row>
    <row r="80" spans="1:95" x14ac:dyDescent="0.2">
      <c r="A80" t="s">
        <v>115</v>
      </c>
      <c r="B80" t="s">
        <v>116</v>
      </c>
      <c r="C80">
        <v>210784</v>
      </c>
      <c r="E80" t="s">
        <v>117</v>
      </c>
      <c r="F80">
        <v>368</v>
      </c>
      <c r="G80" t="s">
        <v>176</v>
      </c>
      <c r="H80" t="s">
        <v>177</v>
      </c>
      <c r="I80" t="s">
        <v>178</v>
      </c>
      <c r="J80" t="s">
        <v>179</v>
      </c>
      <c r="L80" s="14">
        <v>45069</v>
      </c>
      <c r="M80" s="18">
        <f t="shared" si="4"/>
        <v>45047</v>
      </c>
      <c r="N80">
        <v>7165074</v>
      </c>
      <c r="O80" t="s">
        <v>123</v>
      </c>
      <c r="P80" t="s">
        <v>124</v>
      </c>
      <c r="Q80">
        <v>20.14</v>
      </c>
      <c r="R80" t="s">
        <v>125</v>
      </c>
      <c r="S80" t="s">
        <v>126</v>
      </c>
      <c r="T80" t="s">
        <v>125</v>
      </c>
      <c r="U80" t="s">
        <v>126</v>
      </c>
      <c r="W80">
        <v>20.14</v>
      </c>
      <c r="Y80">
        <v>20.14</v>
      </c>
      <c r="AC80">
        <v>20.14</v>
      </c>
      <c r="BH80" t="s">
        <v>126</v>
      </c>
      <c r="BI80" t="s">
        <v>126</v>
      </c>
      <c r="BJ80" t="s">
        <v>126</v>
      </c>
      <c r="BK80" t="s">
        <v>126</v>
      </c>
      <c r="BS80" t="s">
        <v>126</v>
      </c>
      <c r="BT80" t="s">
        <v>126</v>
      </c>
      <c r="BU80" t="s">
        <v>126</v>
      </c>
      <c r="BV80" t="s">
        <v>126</v>
      </c>
      <c r="CN80" t="s">
        <v>181</v>
      </c>
      <c r="CP80" t="s">
        <v>189</v>
      </c>
      <c r="CQ80" t="s">
        <v>181</v>
      </c>
    </row>
    <row r="81" spans="1:95" x14ac:dyDescent="0.2">
      <c r="A81" t="s">
        <v>115</v>
      </c>
      <c r="B81" t="s">
        <v>116</v>
      </c>
      <c r="C81">
        <v>210784</v>
      </c>
      <c r="E81" t="s">
        <v>117</v>
      </c>
      <c r="F81">
        <v>368</v>
      </c>
      <c r="G81" t="s">
        <v>176</v>
      </c>
      <c r="H81" t="s">
        <v>177</v>
      </c>
      <c r="I81" t="s">
        <v>178</v>
      </c>
      <c r="J81" t="s">
        <v>179</v>
      </c>
      <c r="L81" s="14">
        <v>45069</v>
      </c>
      <c r="M81" s="18">
        <f t="shared" si="4"/>
        <v>45047</v>
      </c>
      <c r="N81">
        <v>7165075</v>
      </c>
      <c r="O81" t="s">
        <v>123</v>
      </c>
      <c r="P81" t="s">
        <v>124</v>
      </c>
      <c r="Q81">
        <v>22.93</v>
      </c>
      <c r="R81" t="s">
        <v>125</v>
      </c>
      <c r="S81" t="s">
        <v>126</v>
      </c>
      <c r="T81" t="s">
        <v>125</v>
      </c>
      <c r="U81" t="s">
        <v>126</v>
      </c>
      <c r="W81">
        <v>22.93</v>
      </c>
      <c r="Y81">
        <v>22.93</v>
      </c>
      <c r="AC81">
        <v>22.93</v>
      </c>
      <c r="BH81" t="s">
        <v>126</v>
      </c>
      <c r="BI81" t="s">
        <v>126</v>
      </c>
      <c r="BJ81" t="s">
        <v>126</v>
      </c>
      <c r="BK81" t="s">
        <v>126</v>
      </c>
      <c r="BS81" t="s">
        <v>126</v>
      </c>
      <c r="BT81" t="s">
        <v>126</v>
      </c>
      <c r="BU81" t="s">
        <v>126</v>
      </c>
      <c r="BV81" t="s">
        <v>126</v>
      </c>
      <c r="CN81" t="s">
        <v>181</v>
      </c>
      <c r="CP81" t="s">
        <v>189</v>
      </c>
      <c r="CQ81" t="s">
        <v>181</v>
      </c>
    </row>
    <row r="82" spans="1:95" x14ac:dyDescent="0.2">
      <c r="A82" t="s">
        <v>115</v>
      </c>
      <c r="B82" t="s">
        <v>116</v>
      </c>
      <c r="C82">
        <v>210784</v>
      </c>
      <c r="E82" t="s">
        <v>117</v>
      </c>
      <c r="F82">
        <v>368</v>
      </c>
      <c r="G82" t="s">
        <v>176</v>
      </c>
      <c r="H82" t="s">
        <v>177</v>
      </c>
      <c r="I82" t="s">
        <v>178</v>
      </c>
      <c r="J82" t="s">
        <v>179</v>
      </c>
      <c r="L82" s="14">
        <v>45069</v>
      </c>
      <c r="M82" s="18">
        <f t="shared" si="4"/>
        <v>45047</v>
      </c>
      <c r="N82">
        <v>7165076</v>
      </c>
      <c r="O82" t="s">
        <v>123</v>
      </c>
      <c r="P82" t="s">
        <v>124</v>
      </c>
      <c r="Q82">
        <v>17.25</v>
      </c>
      <c r="R82" t="s">
        <v>125</v>
      </c>
      <c r="S82" t="s">
        <v>126</v>
      </c>
      <c r="T82" t="s">
        <v>125</v>
      </c>
      <c r="U82" t="s">
        <v>126</v>
      </c>
      <c r="W82">
        <v>17.25</v>
      </c>
      <c r="Y82">
        <v>17.25</v>
      </c>
      <c r="AC82">
        <v>17.25</v>
      </c>
      <c r="BH82" t="s">
        <v>126</v>
      </c>
      <c r="BI82" t="s">
        <v>126</v>
      </c>
      <c r="BJ82" t="s">
        <v>126</v>
      </c>
      <c r="BK82" t="s">
        <v>126</v>
      </c>
      <c r="BS82" t="s">
        <v>126</v>
      </c>
      <c r="BT82" t="s">
        <v>126</v>
      </c>
      <c r="BU82" t="s">
        <v>126</v>
      </c>
      <c r="BV82" t="s">
        <v>126</v>
      </c>
      <c r="CN82" t="s">
        <v>181</v>
      </c>
      <c r="CP82" t="s">
        <v>189</v>
      </c>
      <c r="CQ82" t="s">
        <v>181</v>
      </c>
    </row>
    <row r="83" spans="1:95" x14ac:dyDescent="0.2">
      <c r="A83" t="s">
        <v>115</v>
      </c>
      <c r="B83" t="s">
        <v>116</v>
      </c>
      <c r="C83">
        <v>210784</v>
      </c>
      <c r="E83" t="s">
        <v>117</v>
      </c>
      <c r="F83">
        <v>368</v>
      </c>
      <c r="G83" t="s">
        <v>176</v>
      </c>
      <c r="H83" t="s">
        <v>177</v>
      </c>
      <c r="I83" t="s">
        <v>178</v>
      </c>
      <c r="J83" t="s">
        <v>179</v>
      </c>
      <c r="L83" s="14">
        <v>45069</v>
      </c>
      <c r="M83" s="18">
        <f t="shared" si="4"/>
        <v>45047</v>
      </c>
      <c r="N83">
        <v>7165090</v>
      </c>
      <c r="O83" t="s">
        <v>123</v>
      </c>
      <c r="P83" t="s">
        <v>124</v>
      </c>
      <c r="Q83">
        <v>24.27</v>
      </c>
      <c r="R83" t="s">
        <v>125</v>
      </c>
      <c r="S83" t="s">
        <v>126</v>
      </c>
      <c r="T83" t="s">
        <v>125</v>
      </c>
      <c r="U83" t="s">
        <v>126</v>
      </c>
      <c r="W83">
        <v>24.27</v>
      </c>
      <c r="Y83">
        <v>24.27</v>
      </c>
      <c r="AC83">
        <v>24.27</v>
      </c>
      <c r="BH83" t="s">
        <v>126</v>
      </c>
      <c r="BI83" t="s">
        <v>126</v>
      </c>
      <c r="BJ83" t="s">
        <v>126</v>
      </c>
      <c r="BK83" t="s">
        <v>126</v>
      </c>
      <c r="BS83" t="s">
        <v>126</v>
      </c>
      <c r="BT83" t="s">
        <v>126</v>
      </c>
      <c r="BU83" t="s">
        <v>126</v>
      </c>
      <c r="BV83" t="s">
        <v>126</v>
      </c>
      <c r="CN83" t="s">
        <v>181</v>
      </c>
      <c r="CP83" t="s">
        <v>189</v>
      </c>
      <c r="CQ83" t="s">
        <v>181</v>
      </c>
    </row>
    <row r="84" spans="1:95" x14ac:dyDescent="0.2">
      <c r="A84" t="s">
        <v>115</v>
      </c>
      <c r="B84" t="s">
        <v>116</v>
      </c>
      <c r="C84">
        <v>210784</v>
      </c>
      <c r="E84" t="s">
        <v>117</v>
      </c>
      <c r="F84">
        <v>368</v>
      </c>
      <c r="G84" t="s">
        <v>176</v>
      </c>
      <c r="H84" t="s">
        <v>177</v>
      </c>
      <c r="I84" t="s">
        <v>178</v>
      </c>
      <c r="J84" t="s">
        <v>179</v>
      </c>
      <c r="L84" s="14">
        <v>45069</v>
      </c>
      <c r="M84" s="18">
        <f t="shared" si="4"/>
        <v>45047</v>
      </c>
      <c r="N84">
        <v>7165110</v>
      </c>
      <c r="O84" t="s">
        <v>123</v>
      </c>
      <c r="P84" t="s">
        <v>124</v>
      </c>
      <c r="Q84">
        <v>23.81</v>
      </c>
      <c r="R84" t="s">
        <v>125</v>
      </c>
      <c r="S84" t="s">
        <v>126</v>
      </c>
      <c r="T84" t="s">
        <v>125</v>
      </c>
      <c r="U84" t="s">
        <v>126</v>
      </c>
      <c r="W84">
        <v>23.81</v>
      </c>
      <c r="Y84">
        <v>23.81</v>
      </c>
      <c r="AC84">
        <v>23.81</v>
      </c>
      <c r="BH84" t="s">
        <v>126</v>
      </c>
      <c r="BI84" t="s">
        <v>126</v>
      </c>
      <c r="BJ84" t="s">
        <v>126</v>
      </c>
      <c r="BK84" t="s">
        <v>126</v>
      </c>
      <c r="BS84" t="s">
        <v>126</v>
      </c>
      <c r="BT84" t="s">
        <v>126</v>
      </c>
      <c r="BU84" t="s">
        <v>126</v>
      </c>
      <c r="BV84" t="s">
        <v>126</v>
      </c>
      <c r="CN84" t="s">
        <v>181</v>
      </c>
      <c r="CP84" t="s">
        <v>189</v>
      </c>
      <c r="CQ84" t="s">
        <v>181</v>
      </c>
    </row>
    <row r="85" spans="1:95" x14ac:dyDescent="0.2">
      <c r="A85" t="s">
        <v>115</v>
      </c>
      <c r="B85" t="s">
        <v>116</v>
      </c>
      <c r="C85">
        <v>210784</v>
      </c>
      <c r="E85" t="s">
        <v>117</v>
      </c>
      <c r="F85">
        <v>368</v>
      </c>
      <c r="G85" t="s">
        <v>176</v>
      </c>
      <c r="H85" t="s">
        <v>177</v>
      </c>
      <c r="I85" t="s">
        <v>178</v>
      </c>
      <c r="J85" t="s">
        <v>179</v>
      </c>
      <c r="L85" s="14">
        <v>45069</v>
      </c>
      <c r="M85" s="18">
        <f t="shared" si="4"/>
        <v>45047</v>
      </c>
      <c r="N85">
        <v>7165111</v>
      </c>
      <c r="O85" t="s">
        <v>123</v>
      </c>
      <c r="P85" t="s">
        <v>124</v>
      </c>
      <c r="Q85">
        <v>19.68</v>
      </c>
      <c r="R85" t="s">
        <v>125</v>
      </c>
      <c r="S85" t="s">
        <v>126</v>
      </c>
      <c r="T85" t="s">
        <v>125</v>
      </c>
      <c r="U85" t="s">
        <v>126</v>
      </c>
      <c r="W85">
        <v>19.68</v>
      </c>
      <c r="Y85">
        <v>19.68</v>
      </c>
      <c r="AC85">
        <v>19.68</v>
      </c>
      <c r="BH85" t="s">
        <v>126</v>
      </c>
      <c r="BI85" t="s">
        <v>126</v>
      </c>
      <c r="BJ85" t="s">
        <v>126</v>
      </c>
      <c r="BK85" t="s">
        <v>126</v>
      </c>
      <c r="BS85" t="s">
        <v>126</v>
      </c>
      <c r="BT85" t="s">
        <v>126</v>
      </c>
      <c r="BU85" t="s">
        <v>126</v>
      </c>
      <c r="BV85" t="s">
        <v>126</v>
      </c>
      <c r="CN85" t="s">
        <v>181</v>
      </c>
      <c r="CP85" t="s">
        <v>189</v>
      </c>
      <c r="CQ85" t="s">
        <v>181</v>
      </c>
    </row>
    <row r="86" spans="1:95" x14ac:dyDescent="0.2">
      <c r="A86" t="s">
        <v>115</v>
      </c>
      <c r="B86" t="s">
        <v>116</v>
      </c>
      <c r="C86">
        <v>210784</v>
      </c>
      <c r="E86" t="s">
        <v>117</v>
      </c>
      <c r="F86">
        <v>368</v>
      </c>
      <c r="G86" t="s">
        <v>176</v>
      </c>
      <c r="H86" t="s">
        <v>177</v>
      </c>
      <c r="I86" t="s">
        <v>178</v>
      </c>
      <c r="J86" t="s">
        <v>179</v>
      </c>
      <c r="L86" s="14">
        <v>45069</v>
      </c>
      <c r="M86" s="18">
        <f t="shared" si="4"/>
        <v>45047</v>
      </c>
      <c r="N86">
        <v>7165114</v>
      </c>
      <c r="O86" t="s">
        <v>123</v>
      </c>
      <c r="P86" t="s">
        <v>124</v>
      </c>
      <c r="Q86">
        <v>18.899999999999999</v>
      </c>
      <c r="R86" t="s">
        <v>125</v>
      </c>
      <c r="S86" t="s">
        <v>126</v>
      </c>
      <c r="T86" t="s">
        <v>125</v>
      </c>
      <c r="U86" t="s">
        <v>126</v>
      </c>
      <c r="W86">
        <v>18.899999999999999</v>
      </c>
      <c r="Y86">
        <v>18.899999999999999</v>
      </c>
      <c r="AC86">
        <v>18.899999999999999</v>
      </c>
      <c r="BH86" t="s">
        <v>126</v>
      </c>
      <c r="BI86" t="s">
        <v>126</v>
      </c>
      <c r="BJ86" t="s">
        <v>126</v>
      </c>
      <c r="BK86" t="s">
        <v>126</v>
      </c>
      <c r="BS86" t="s">
        <v>126</v>
      </c>
      <c r="BT86" t="s">
        <v>126</v>
      </c>
      <c r="BU86" t="s">
        <v>126</v>
      </c>
      <c r="BV86" t="s">
        <v>126</v>
      </c>
      <c r="CN86" t="s">
        <v>181</v>
      </c>
      <c r="CP86" t="s">
        <v>189</v>
      </c>
      <c r="CQ86" t="s">
        <v>181</v>
      </c>
    </row>
    <row r="87" spans="1:95" x14ac:dyDescent="0.2">
      <c r="A87" t="s">
        <v>115</v>
      </c>
      <c r="B87" t="s">
        <v>116</v>
      </c>
      <c r="C87">
        <v>210784</v>
      </c>
      <c r="E87" t="s">
        <v>117</v>
      </c>
      <c r="F87">
        <v>368</v>
      </c>
      <c r="G87" t="s">
        <v>176</v>
      </c>
      <c r="H87" t="s">
        <v>177</v>
      </c>
      <c r="I87" t="s">
        <v>178</v>
      </c>
      <c r="J87" t="s">
        <v>179</v>
      </c>
      <c r="L87" s="14">
        <v>45069</v>
      </c>
      <c r="M87" s="18">
        <f t="shared" si="4"/>
        <v>45047</v>
      </c>
      <c r="N87">
        <v>7165115</v>
      </c>
      <c r="O87" t="s">
        <v>123</v>
      </c>
      <c r="P87" t="s">
        <v>124</v>
      </c>
      <c r="Q87">
        <v>19.309999999999999</v>
      </c>
      <c r="R87" t="s">
        <v>125</v>
      </c>
      <c r="S87" t="s">
        <v>126</v>
      </c>
      <c r="T87" t="s">
        <v>125</v>
      </c>
      <c r="U87" t="s">
        <v>126</v>
      </c>
      <c r="W87">
        <v>19.309999999999999</v>
      </c>
      <c r="Y87">
        <v>19.309999999999999</v>
      </c>
      <c r="AC87">
        <v>19.309999999999999</v>
      </c>
      <c r="BH87" t="s">
        <v>126</v>
      </c>
      <c r="BI87" t="s">
        <v>126</v>
      </c>
      <c r="BJ87" t="s">
        <v>126</v>
      </c>
      <c r="BK87" t="s">
        <v>126</v>
      </c>
      <c r="BS87" t="s">
        <v>126</v>
      </c>
      <c r="BT87" t="s">
        <v>126</v>
      </c>
      <c r="BU87" t="s">
        <v>126</v>
      </c>
      <c r="BV87" t="s">
        <v>126</v>
      </c>
      <c r="CN87" t="s">
        <v>181</v>
      </c>
      <c r="CP87" t="s">
        <v>189</v>
      </c>
      <c r="CQ87" t="s">
        <v>181</v>
      </c>
    </row>
    <row r="88" spans="1:95" x14ac:dyDescent="0.2">
      <c r="A88" t="s">
        <v>115</v>
      </c>
      <c r="B88" t="s">
        <v>116</v>
      </c>
      <c r="C88">
        <v>210784</v>
      </c>
      <c r="E88" t="s">
        <v>117</v>
      </c>
      <c r="F88">
        <v>368</v>
      </c>
      <c r="G88" t="s">
        <v>176</v>
      </c>
      <c r="H88" t="s">
        <v>177</v>
      </c>
      <c r="I88" t="s">
        <v>178</v>
      </c>
      <c r="J88" t="s">
        <v>179</v>
      </c>
      <c r="L88" s="14">
        <v>45069</v>
      </c>
      <c r="M88" s="18">
        <f t="shared" si="4"/>
        <v>45047</v>
      </c>
      <c r="N88">
        <v>7165118</v>
      </c>
      <c r="O88" t="s">
        <v>123</v>
      </c>
      <c r="P88" t="s">
        <v>124</v>
      </c>
      <c r="Q88">
        <v>21.95</v>
      </c>
      <c r="R88" t="s">
        <v>125</v>
      </c>
      <c r="S88" t="s">
        <v>126</v>
      </c>
      <c r="T88" t="s">
        <v>125</v>
      </c>
      <c r="U88" t="s">
        <v>126</v>
      </c>
      <c r="W88">
        <v>21.95</v>
      </c>
      <c r="Y88">
        <v>21.95</v>
      </c>
      <c r="AC88">
        <v>21.95</v>
      </c>
      <c r="BH88" t="s">
        <v>126</v>
      </c>
      <c r="BI88" t="s">
        <v>126</v>
      </c>
      <c r="BJ88" t="s">
        <v>126</v>
      </c>
      <c r="BK88" t="s">
        <v>126</v>
      </c>
      <c r="BS88" t="s">
        <v>126</v>
      </c>
      <c r="BT88" t="s">
        <v>126</v>
      </c>
      <c r="BU88" t="s">
        <v>126</v>
      </c>
      <c r="BV88" t="s">
        <v>126</v>
      </c>
      <c r="CN88" t="s">
        <v>181</v>
      </c>
      <c r="CP88" t="s">
        <v>189</v>
      </c>
      <c r="CQ88" t="s">
        <v>181</v>
      </c>
    </row>
    <row r="89" spans="1:95" x14ac:dyDescent="0.2">
      <c r="A89" t="s">
        <v>115</v>
      </c>
      <c r="B89" t="s">
        <v>116</v>
      </c>
      <c r="C89">
        <v>210784</v>
      </c>
      <c r="E89" t="s">
        <v>117</v>
      </c>
      <c r="F89">
        <v>368</v>
      </c>
      <c r="G89" t="s">
        <v>176</v>
      </c>
      <c r="H89" t="s">
        <v>177</v>
      </c>
      <c r="I89" t="s">
        <v>178</v>
      </c>
      <c r="J89" t="s">
        <v>179</v>
      </c>
      <c r="L89" s="14">
        <v>45069</v>
      </c>
      <c r="M89" s="18">
        <f t="shared" si="4"/>
        <v>45047</v>
      </c>
      <c r="N89">
        <v>7165122</v>
      </c>
      <c r="O89" t="s">
        <v>123</v>
      </c>
      <c r="P89" t="s">
        <v>124</v>
      </c>
      <c r="Q89">
        <v>22.62</v>
      </c>
      <c r="R89" t="s">
        <v>125</v>
      </c>
      <c r="S89" t="s">
        <v>126</v>
      </c>
      <c r="T89" t="s">
        <v>125</v>
      </c>
      <c r="U89" t="s">
        <v>126</v>
      </c>
      <c r="W89">
        <v>22.62</v>
      </c>
      <c r="Y89">
        <v>22.62</v>
      </c>
      <c r="AC89">
        <v>22.62</v>
      </c>
      <c r="BH89" t="s">
        <v>126</v>
      </c>
      <c r="BI89" t="s">
        <v>126</v>
      </c>
      <c r="BJ89" t="s">
        <v>126</v>
      </c>
      <c r="BK89" t="s">
        <v>126</v>
      </c>
      <c r="BS89" t="s">
        <v>126</v>
      </c>
      <c r="BT89" t="s">
        <v>126</v>
      </c>
      <c r="BU89" t="s">
        <v>126</v>
      </c>
      <c r="BV89" t="s">
        <v>126</v>
      </c>
      <c r="CN89" t="s">
        <v>181</v>
      </c>
      <c r="CP89" t="s">
        <v>189</v>
      </c>
      <c r="CQ89" t="s">
        <v>181</v>
      </c>
    </row>
    <row r="90" spans="1:95" x14ac:dyDescent="0.2">
      <c r="A90" t="s">
        <v>115</v>
      </c>
      <c r="B90" t="s">
        <v>116</v>
      </c>
      <c r="C90">
        <v>210784</v>
      </c>
      <c r="E90" t="s">
        <v>117</v>
      </c>
      <c r="F90">
        <v>368</v>
      </c>
      <c r="G90" t="s">
        <v>176</v>
      </c>
      <c r="H90" t="s">
        <v>177</v>
      </c>
      <c r="I90" t="s">
        <v>178</v>
      </c>
      <c r="J90" t="s">
        <v>179</v>
      </c>
      <c r="L90" s="14">
        <v>45069</v>
      </c>
      <c r="M90" s="18">
        <f t="shared" si="4"/>
        <v>45047</v>
      </c>
      <c r="N90">
        <v>7165146</v>
      </c>
      <c r="O90" t="s">
        <v>123</v>
      </c>
      <c r="P90" t="s">
        <v>124</v>
      </c>
      <c r="Q90">
        <v>22.43</v>
      </c>
      <c r="R90" t="s">
        <v>125</v>
      </c>
      <c r="S90" t="s">
        <v>126</v>
      </c>
      <c r="T90" t="s">
        <v>125</v>
      </c>
      <c r="U90" t="s">
        <v>126</v>
      </c>
      <c r="W90">
        <v>22.43</v>
      </c>
      <c r="Y90">
        <v>22.43</v>
      </c>
      <c r="AC90">
        <v>22.43</v>
      </c>
      <c r="BH90" t="s">
        <v>126</v>
      </c>
      <c r="BI90" t="s">
        <v>126</v>
      </c>
      <c r="BJ90" t="s">
        <v>126</v>
      </c>
      <c r="BK90" t="s">
        <v>126</v>
      </c>
      <c r="BS90" t="s">
        <v>126</v>
      </c>
      <c r="BT90" t="s">
        <v>126</v>
      </c>
      <c r="BU90" t="s">
        <v>126</v>
      </c>
      <c r="BV90" t="s">
        <v>126</v>
      </c>
      <c r="CN90" t="s">
        <v>181</v>
      </c>
      <c r="CP90" t="s">
        <v>189</v>
      </c>
      <c r="CQ90" t="s">
        <v>181</v>
      </c>
    </row>
    <row r="91" spans="1:95" x14ac:dyDescent="0.2">
      <c r="A91" t="s">
        <v>115</v>
      </c>
      <c r="B91" t="s">
        <v>116</v>
      </c>
      <c r="C91">
        <v>210784</v>
      </c>
      <c r="E91" t="s">
        <v>117</v>
      </c>
      <c r="F91">
        <v>368</v>
      </c>
      <c r="G91" t="s">
        <v>176</v>
      </c>
      <c r="H91" t="s">
        <v>177</v>
      </c>
      <c r="I91" t="s">
        <v>178</v>
      </c>
      <c r="J91" t="s">
        <v>179</v>
      </c>
      <c r="L91" s="14">
        <v>45069</v>
      </c>
      <c r="M91" s="18">
        <f t="shared" si="4"/>
        <v>45047</v>
      </c>
      <c r="N91">
        <v>7165147</v>
      </c>
      <c r="O91" t="s">
        <v>123</v>
      </c>
      <c r="P91" t="s">
        <v>124</v>
      </c>
      <c r="Q91">
        <v>24.39</v>
      </c>
      <c r="R91" t="s">
        <v>125</v>
      </c>
      <c r="S91" t="s">
        <v>126</v>
      </c>
      <c r="T91" t="s">
        <v>125</v>
      </c>
      <c r="U91" t="s">
        <v>126</v>
      </c>
      <c r="W91">
        <v>24.39</v>
      </c>
      <c r="Y91">
        <v>24.39</v>
      </c>
      <c r="AC91">
        <v>24.39</v>
      </c>
      <c r="BH91" t="s">
        <v>126</v>
      </c>
      <c r="BI91" t="s">
        <v>126</v>
      </c>
      <c r="BJ91" t="s">
        <v>126</v>
      </c>
      <c r="BK91" t="s">
        <v>126</v>
      </c>
      <c r="BS91" t="s">
        <v>126</v>
      </c>
      <c r="BT91" t="s">
        <v>126</v>
      </c>
      <c r="BU91" t="s">
        <v>126</v>
      </c>
      <c r="BV91" t="s">
        <v>126</v>
      </c>
      <c r="CN91" t="s">
        <v>181</v>
      </c>
      <c r="CP91" t="s">
        <v>189</v>
      </c>
      <c r="CQ91" t="s">
        <v>181</v>
      </c>
    </row>
    <row r="92" spans="1:95" x14ac:dyDescent="0.2">
      <c r="A92" t="s">
        <v>115</v>
      </c>
      <c r="B92" t="s">
        <v>116</v>
      </c>
      <c r="C92">
        <v>210784</v>
      </c>
      <c r="E92" t="s">
        <v>117</v>
      </c>
      <c r="F92">
        <v>368</v>
      </c>
      <c r="G92" t="s">
        <v>176</v>
      </c>
      <c r="H92" t="s">
        <v>177</v>
      </c>
      <c r="I92" t="s">
        <v>178</v>
      </c>
      <c r="J92" t="s">
        <v>179</v>
      </c>
      <c r="L92" s="14">
        <v>45069</v>
      </c>
      <c r="M92" s="18">
        <f t="shared" si="4"/>
        <v>45047</v>
      </c>
      <c r="N92">
        <v>7165158</v>
      </c>
      <c r="O92" t="s">
        <v>123</v>
      </c>
      <c r="P92" t="s">
        <v>124</v>
      </c>
      <c r="Q92">
        <v>24.87</v>
      </c>
      <c r="R92" t="s">
        <v>125</v>
      </c>
      <c r="S92" t="s">
        <v>126</v>
      </c>
      <c r="T92" t="s">
        <v>125</v>
      </c>
      <c r="U92" t="s">
        <v>126</v>
      </c>
      <c r="W92">
        <v>24.87</v>
      </c>
      <c r="Y92">
        <v>24.87</v>
      </c>
      <c r="AC92">
        <v>24.87</v>
      </c>
      <c r="BH92" t="s">
        <v>126</v>
      </c>
      <c r="BI92" t="s">
        <v>126</v>
      </c>
      <c r="BJ92" t="s">
        <v>126</v>
      </c>
      <c r="BK92" t="s">
        <v>126</v>
      </c>
      <c r="BS92" t="s">
        <v>126</v>
      </c>
      <c r="BT92" t="s">
        <v>126</v>
      </c>
      <c r="BU92" t="s">
        <v>126</v>
      </c>
      <c r="BV92" t="s">
        <v>126</v>
      </c>
      <c r="CN92" t="s">
        <v>181</v>
      </c>
      <c r="CP92" t="s">
        <v>189</v>
      </c>
      <c r="CQ92" t="s">
        <v>181</v>
      </c>
    </row>
    <row r="93" spans="1:95" x14ac:dyDescent="0.2">
      <c r="A93" t="s">
        <v>115</v>
      </c>
      <c r="B93" t="s">
        <v>116</v>
      </c>
      <c r="C93">
        <v>210784</v>
      </c>
      <c r="E93" t="s">
        <v>117</v>
      </c>
      <c r="F93">
        <v>368</v>
      </c>
      <c r="G93" t="s">
        <v>176</v>
      </c>
      <c r="H93" t="s">
        <v>177</v>
      </c>
      <c r="I93" t="s">
        <v>492</v>
      </c>
      <c r="J93" t="s">
        <v>493</v>
      </c>
      <c r="L93" s="14">
        <v>45069</v>
      </c>
      <c r="M93" s="18">
        <f t="shared" si="4"/>
        <v>45047</v>
      </c>
      <c r="N93" t="s">
        <v>498</v>
      </c>
      <c r="O93" t="s">
        <v>123</v>
      </c>
      <c r="P93" t="s">
        <v>124</v>
      </c>
      <c r="Q93">
        <v>3.77</v>
      </c>
      <c r="R93" t="s">
        <v>125</v>
      </c>
      <c r="S93" t="s">
        <v>126</v>
      </c>
      <c r="T93" t="s">
        <v>125</v>
      </c>
      <c r="U93" t="s">
        <v>126</v>
      </c>
      <c r="W93">
        <v>3.77</v>
      </c>
      <c r="Y93">
        <v>3.77</v>
      </c>
      <c r="AF93">
        <v>3.77</v>
      </c>
      <c r="BH93" t="s">
        <v>126</v>
      </c>
      <c r="BI93" t="s">
        <v>126</v>
      </c>
      <c r="BJ93" t="s">
        <v>126</v>
      </c>
      <c r="BK93" t="s">
        <v>126</v>
      </c>
      <c r="BS93" t="s">
        <v>126</v>
      </c>
      <c r="BT93" t="s">
        <v>126</v>
      </c>
      <c r="BU93" t="s">
        <v>126</v>
      </c>
      <c r="BV93" t="s">
        <v>126</v>
      </c>
      <c r="CN93" t="s">
        <v>181</v>
      </c>
      <c r="CP93" t="s">
        <v>182</v>
      </c>
      <c r="CQ93" t="s">
        <v>181</v>
      </c>
    </row>
    <row r="94" spans="1:95" x14ac:dyDescent="0.2">
      <c r="A94" t="s">
        <v>115</v>
      </c>
      <c r="B94" t="s">
        <v>116</v>
      </c>
      <c r="C94">
        <v>210784</v>
      </c>
      <c r="E94" t="s">
        <v>117</v>
      </c>
      <c r="F94">
        <v>368</v>
      </c>
      <c r="G94" t="s">
        <v>176</v>
      </c>
      <c r="H94" t="s">
        <v>177</v>
      </c>
      <c r="I94" t="s">
        <v>178</v>
      </c>
      <c r="J94" t="s">
        <v>179</v>
      </c>
      <c r="L94" s="14">
        <v>45070</v>
      </c>
      <c r="M94" s="18">
        <f t="shared" si="4"/>
        <v>45047</v>
      </c>
      <c r="N94">
        <v>7165261</v>
      </c>
      <c r="O94" t="s">
        <v>123</v>
      </c>
      <c r="P94" t="s">
        <v>124</v>
      </c>
      <c r="Q94">
        <v>21.87</v>
      </c>
      <c r="R94" t="s">
        <v>125</v>
      </c>
      <c r="S94" t="s">
        <v>126</v>
      </c>
      <c r="T94" t="s">
        <v>125</v>
      </c>
      <c r="U94" t="s">
        <v>126</v>
      </c>
      <c r="W94">
        <v>21.87</v>
      </c>
      <c r="Y94">
        <v>21.87</v>
      </c>
      <c r="AC94">
        <v>21.87</v>
      </c>
      <c r="BH94" t="s">
        <v>126</v>
      </c>
      <c r="BI94" t="s">
        <v>126</v>
      </c>
      <c r="BJ94" t="s">
        <v>126</v>
      </c>
      <c r="BK94" t="s">
        <v>126</v>
      </c>
      <c r="BS94" t="s">
        <v>126</v>
      </c>
      <c r="BT94" t="s">
        <v>126</v>
      </c>
      <c r="BU94" t="s">
        <v>126</v>
      </c>
      <c r="BV94" t="s">
        <v>126</v>
      </c>
      <c r="CN94" t="s">
        <v>181</v>
      </c>
      <c r="CP94" t="s">
        <v>189</v>
      </c>
      <c r="CQ94" t="s">
        <v>181</v>
      </c>
    </row>
    <row r="95" spans="1:95" x14ac:dyDescent="0.2">
      <c r="A95" t="s">
        <v>115</v>
      </c>
      <c r="B95" t="s">
        <v>116</v>
      </c>
      <c r="C95">
        <v>210784</v>
      </c>
      <c r="E95" t="s">
        <v>117</v>
      </c>
      <c r="F95">
        <v>368</v>
      </c>
      <c r="G95" t="s">
        <v>176</v>
      </c>
      <c r="H95" t="s">
        <v>177</v>
      </c>
      <c r="I95" t="s">
        <v>178</v>
      </c>
      <c r="J95" t="s">
        <v>179</v>
      </c>
      <c r="L95" s="14">
        <v>45070</v>
      </c>
      <c r="M95" s="18">
        <f t="shared" si="4"/>
        <v>45047</v>
      </c>
      <c r="N95">
        <v>7165287</v>
      </c>
      <c r="O95" t="s">
        <v>123</v>
      </c>
      <c r="P95" t="s">
        <v>124</v>
      </c>
      <c r="Q95">
        <v>24.97</v>
      </c>
      <c r="R95" t="s">
        <v>125</v>
      </c>
      <c r="S95" t="s">
        <v>126</v>
      </c>
      <c r="T95" t="s">
        <v>125</v>
      </c>
      <c r="U95" t="s">
        <v>126</v>
      </c>
      <c r="W95">
        <v>24.97</v>
      </c>
      <c r="Y95">
        <v>24.97</v>
      </c>
      <c r="AC95">
        <v>24.97</v>
      </c>
      <c r="BH95" t="s">
        <v>126</v>
      </c>
      <c r="BI95" t="s">
        <v>126</v>
      </c>
      <c r="BJ95" t="s">
        <v>126</v>
      </c>
      <c r="BK95" t="s">
        <v>126</v>
      </c>
      <c r="BS95" t="s">
        <v>126</v>
      </c>
      <c r="BT95" t="s">
        <v>126</v>
      </c>
      <c r="BU95" t="s">
        <v>126</v>
      </c>
      <c r="BV95" t="s">
        <v>126</v>
      </c>
      <c r="CN95" t="s">
        <v>181</v>
      </c>
      <c r="CP95" t="s">
        <v>189</v>
      </c>
      <c r="CQ95" t="s">
        <v>181</v>
      </c>
    </row>
    <row r="96" spans="1:95" x14ac:dyDescent="0.2">
      <c r="A96" t="s">
        <v>115</v>
      </c>
      <c r="B96" t="s">
        <v>116</v>
      </c>
      <c r="C96">
        <v>210784</v>
      </c>
      <c r="E96" t="s">
        <v>117</v>
      </c>
      <c r="F96">
        <v>368</v>
      </c>
      <c r="G96" t="s">
        <v>176</v>
      </c>
      <c r="H96" t="s">
        <v>177</v>
      </c>
      <c r="I96" t="s">
        <v>178</v>
      </c>
      <c r="J96" t="s">
        <v>179</v>
      </c>
      <c r="L96" s="14">
        <v>45070</v>
      </c>
      <c r="M96" s="18">
        <f t="shared" si="4"/>
        <v>45047</v>
      </c>
      <c r="N96">
        <v>7165292</v>
      </c>
      <c r="O96" t="s">
        <v>123</v>
      </c>
      <c r="P96" t="s">
        <v>124</v>
      </c>
      <c r="Q96">
        <v>24.81</v>
      </c>
      <c r="R96" t="s">
        <v>125</v>
      </c>
      <c r="S96" t="s">
        <v>126</v>
      </c>
      <c r="T96" t="s">
        <v>125</v>
      </c>
      <c r="U96" t="s">
        <v>126</v>
      </c>
      <c r="W96">
        <v>24.81</v>
      </c>
      <c r="Y96">
        <v>24.81</v>
      </c>
      <c r="AC96">
        <v>24.81</v>
      </c>
      <c r="BH96" t="s">
        <v>126</v>
      </c>
      <c r="BI96" t="s">
        <v>126</v>
      </c>
      <c r="BJ96" t="s">
        <v>126</v>
      </c>
      <c r="BK96" t="s">
        <v>126</v>
      </c>
      <c r="BS96" t="s">
        <v>126</v>
      </c>
      <c r="BT96" t="s">
        <v>126</v>
      </c>
      <c r="BU96" t="s">
        <v>126</v>
      </c>
      <c r="BV96" t="s">
        <v>126</v>
      </c>
      <c r="CN96" t="s">
        <v>181</v>
      </c>
      <c r="CP96" t="s">
        <v>189</v>
      </c>
      <c r="CQ96" t="s">
        <v>181</v>
      </c>
    </row>
    <row r="97" spans="1:95" x14ac:dyDescent="0.2">
      <c r="A97" t="s">
        <v>115</v>
      </c>
      <c r="B97" t="s">
        <v>116</v>
      </c>
      <c r="C97">
        <v>210784</v>
      </c>
      <c r="E97" t="s">
        <v>117</v>
      </c>
      <c r="F97">
        <v>368</v>
      </c>
      <c r="G97" t="s">
        <v>176</v>
      </c>
      <c r="H97" t="s">
        <v>177</v>
      </c>
      <c r="I97" t="s">
        <v>178</v>
      </c>
      <c r="J97" t="s">
        <v>179</v>
      </c>
      <c r="L97" s="14">
        <v>45070</v>
      </c>
      <c r="M97" s="18">
        <f t="shared" si="4"/>
        <v>45047</v>
      </c>
      <c r="N97">
        <v>7165294</v>
      </c>
      <c r="O97" t="s">
        <v>123</v>
      </c>
      <c r="P97" t="s">
        <v>124</v>
      </c>
      <c r="Q97">
        <v>27.77</v>
      </c>
      <c r="R97" t="s">
        <v>125</v>
      </c>
      <c r="S97" t="s">
        <v>126</v>
      </c>
      <c r="T97" t="s">
        <v>125</v>
      </c>
      <c r="U97" t="s">
        <v>126</v>
      </c>
      <c r="W97">
        <v>27.77</v>
      </c>
      <c r="Y97">
        <v>27.77</v>
      </c>
      <c r="AC97">
        <v>27.77</v>
      </c>
      <c r="BH97" t="s">
        <v>126</v>
      </c>
      <c r="BI97" t="s">
        <v>126</v>
      </c>
      <c r="BJ97" t="s">
        <v>126</v>
      </c>
      <c r="BK97" t="s">
        <v>126</v>
      </c>
      <c r="BS97" t="s">
        <v>126</v>
      </c>
      <c r="BT97" t="s">
        <v>126</v>
      </c>
      <c r="BU97" t="s">
        <v>126</v>
      </c>
      <c r="BV97" t="s">
        <v>126</v>
      </c>
      <c r="CN97" t="s">
        <v>181</v>
      </c>
      <c r="CP97" t="s">
        <v>189</v>
      </c>
      <c r="CQ97" t="s">
        <v>181</v>
      </c>
    </row>
    <row r="98" spans="1:95" x14ac:dyDescent="0.2">
      <c r="A98" t="s">
        <v>115</v>
      </c>
      <c r="B98" t="s">
        <v>116</v>
      </c>
      <c r="C98">
        <v>210784</v>
      </c>
      <c r="E98" t="s">
        <v>117</v>
      </c>
      <c r="F98">
        <v>368</v>
      </c>
      <c r="G98" t="s">
        <v>176</v>
      </c>
      <c r="H98" t="s">
        <v>177</v>
      </c>
      <c r="I98" t="s">
        <v>178</v>
      </c>
      <c r="J98" t="s">
        <v>179</v>
      </c>
      <c r="L98" s="14">
        <v>45070</v>
      </c>
      <c r="M98" s="18">
        <f t="shared" si="4"/>
        <v>45047</v>
      </c>
      <c r="N98">
        <v>7165295</v>
      </c>
      <c r="O98" t="s">
        <v>123</v>
      </c>
      <c r="P98" t="s">
        <v>124</v>
      </c>
      <c r="Q98">
        <v>24.34</v>
      </c>
      <c r="R98" t="s">
        <v>125</v>
      </c>
      <c r="S98" t="s">
        <v>126</v>
      </c>
      <c r="T98" t="s">
        <v>125</v>
      </c>
      <c r="U98" t="s">
        <v>126</v>
      </c>
      <c r="W98">
        <v>24.34</v>
      </c>
      <c r="Y98">
        <v>24.34</v>
      </c>
      <c r="AC98">
        <v>24.34</v>
      </c>
      <c r="BH98" t="s">
        <v>126</v>
      </c>
      <c r="BI98" t="s">
        <v>126</v>
      </c>
      <c r="BJ98" t="s">
        <v>126</v>
      </c>
      <c r="BK98" t="s">
        <v>126</v>
      </c>
      <c r="BS98" t="s">
        <v>126</v>
      </c>
      <c r="BT98" t="s">
        <v>126</v>
      </c>
      <c r="BU98" t="s">
        <v>126</v>
      </c>
      <c r="BV98" t="s">
        <v>126</v>
      </c>
      <c r="CN98" t="s">
        <v>181</v>
      </c>
      <c r="CP98" t="s">
        <v>189</v>
      </c>
      <c r="CQ98" t="s">
        <v>181</v>
      </c>
    </row>
    <row r="99" spans="1:95" x14ac:dyDescent="0.2">
      <c r="A99" t="s">
        <v>115</v>
      </c>
      <c r="B99" t="s">
        <v>116</v>
      </c>
      <c r="C99">
        <v>210784</v>
      </c>
      <c r="E99" t="s">
        <v>117</v>
      </c>
      <c r="F99">
        <v>368</v>
      </c>
      <c r="G99" t="s">
        <v>176</v>
      </c>
      <c r="H99" t="s">
        <v>177</v>
      </c>
      <c r="I99" t="s">
        <v>178</v>
      </c>
      <c r="J99" t="s">
        <v>179</v>
      </c>
      <c r="L99" s="14">
        <v>45070</v>
      </c>
      <c r="M99" s="18">
        <f t="shared" si="4"/>
        <v>45047</v>
      </c>
      <c r="N99">
        <v>7165301</v>
      </c>
      <c r="O99" t="s">
        <v>123</v>
      </c>
      <c r="P99" t="s">
        <v>124</v>
      </c>
      <c r="Q99">
        <v>22.61</v>
      </c>
      <c r="R99" t="s">
        <v>125</v>
      </c>
      <c r="S99" t="s">
        <v>126</v>
      </c>
      <c r="T99" t="s">
        <v>125</v>
      </c>
      <c r="U99" t="s">
        <v>126</v>
      </c>
      <c r="W99">
        <v>22.61</v>
      </c>
      <c r="Y99">
        <v>22.61</v>
      </c>
      <c r="AC99">
        <v>22.61</v>
      </c>
      <c r="BH99" t="s">
        <v>126</v>
      </c>
      <c r="BI99" t="s">
        <v>126</v>
      </c>
      <c r="BJ99" t="s">
        <v>126</v>
      </c>
      <c r="BK99" t="s">
        <v>126</v>
      </c>
      <c r="BS99" t="s">
        <v>126</v>
      </c>
      <c r="BT99" t="s">
        <v>126</v>
      </c>
      <c r="BU99" t="s">
        <v>126</v>
      </c>
      <c r="BV99" t="s">
        <v>126</v>
      </c>
      <c r="CN99" t="s">
        <v>181</v>
      </c>
      <c r="CP99" t="s">
        <v>189</v>
      </c>
      <c r="CQ99" t="s">
        <v>181</v>
      </c>
    </row>
    <row r="100" spans="1:95" x14ac:dyDescent="0.2">
      <c r="A100" t="s">
        <v>115</v>
      </c>
      <c r="B100" t="s">
        <v>116</v>
      </c>
      <c r="C100">
        <v>210784</v>
      </c>
      <c r="E100" t="s">
        <v>117</v>
      </c>
      <c r="F100">
        <v>368</v>
      </c>
      <c r="G100" t="s">
        <v>176</v>
      </c>
      <c r="H100" t="s">
        <v>177</v>
      </c>
      <c r="I100" t="s">
        <v>178</v>
      </c>
      <c r="J100" t="s">
        <v>179</v>
      </c>
      <c r="L100" s="14">
        <v>45070</v>
      </c>
      <c r="M100" s="18">
        <f t="shared" si="4"/>
        <v>45047</v>
      </c>
      <c r="N100">
        <v>7165305</v>
      </c>
      <c r="O100" t="s">
        <v>123</v>
      </c>
      <c r="P100" t="s">
        <v>124</v>
      </c>
      <c r="Q100">
        <v>22.86</v>
      </c>
      <c r="R100" t="s">
        <v>125</v>
      </c>
      <c r="S100" t="s">
        <v>126</v>
      </c>
      <c r="T100" t="s">
        <v>125</v>
      </c>
      <c r="U100" t="s">
        <v>126</v>
      </c>
      <c r="W100">
        <v>22.86</v>
      </c>
      <c r="Y100">
        <v>22.86</v>
      </c>
      <c r="AC100">
        <v>22.86</v>
      </c>
      <c r="BH100" t="s">
        <v>126</v>
      </c>
      <c r="BI100" t="s">
        <v>126</v>
      </c>
      <c r="BJ100" t="s">
        <v>126</v>
      </c>
      <c r="BK100" t="s">
        <v>126</v>
      </c>
      <c r="BS100" t="s">
        <v>126</v>
      </c>
      <c r="BT100" t="s">
        <v>126</v>
      </c>
      <c r="BU100" t="s">
        <v>126</v>
      </c>
      <c r="BV100" t="s">
        <v>126</v>
      </c>
      <c r="CN100" t="s">
        <v>181</v>
      </c>
      <c r="CP100" t="s">
        <v>189</v>
      </c>
      <c r="CQ100" t="s">
        <v>181</v>
      </c>
    </row>
    <row r="101" spans="1:95" x14ac:dyDescent="0.2">
      <c r="A101" t="s">
        <v>115</v>
      </c>
      <c r="B101" t="s">
        <v>116</v>
      </c>
      <c r="C101">
        <v>210784</v>
      </c>
      <c r="E101" t="s">
        <v>117</v>
      </c>
      <c r="F101">
        <v>368</v>
      </c>
      <c r="G101" t="s">
        <v>176</v>
      </c>
      <c r="H101" t="s">
        <v>177</v>
      </c>
      <c r="I101" t="s">
        <v>178</v>
      </c>
      <c r="J101" t="s">
        <v>179</v>
      </c>
      <c r="L101" s="14">
        <v>45070</v>
      </c>
      <c r="M101" s="18">
        <f t="shared" si="4"/>
        <v>45047</v>
      </c>
      <c r="N101">
        <v>7165309</v>
      </c>
      <c r="O101" t="s">
        <v>123</v>
      </c>
      <c r="P101" t="s">
        <v>124</v>
      </c>
      <c r="Q101">
        <v>19.7</v>
      </c>
      <c r="R101" t="s">
        <v>125</v>
      </c>
      <c r="S101" t="s">
        <v>126</v>
      </c>
      <c r="T101" t="s">
        <v>125</v>
      </c>
      <c r="U101" t="s">
        <v>126</v>
      </c>
      <c r="W101">
        <v>19.7</v>
      </c>
      <c r="Y101">
        <v>19.7</v>
      </c>
      <c r="AC101">
        <v>19.7</v>
      </c>
      <c r="BH101" t="s">
        <v>126</v>
      </c>
      <c r="BI101" t="s">
        <v>126</v>
      </c>
      <c r="BJ101" t="s">
        <v>126</v>
      </c>
      <c r="BK101" t="s">
        <v>126</v>
      </c>
      <c r="BS101" t="s">
        <v>126</v>
      </c>
      <c r="BT101" t="s">
        <v>126</v>
      </c>
      <c r="BU101" t="s">
        <v>126</v>
      </c>
      <c r="BV101" t="s">
        <v>126</v>
      </c>
      <c r="CN101" t="s">
        <v>181</v>
      </c>
      <c r="CP101" t="s">
        <v>189</v>
      </c>
      <c r="CQ101" t="s">
        <v>181</v>
      </c>
    </row>
    <row r="102" spans="1:95" x14ac:dyDescent="0.2">
      <c r="A102" t="s">
        <v>115</v>
      </c>
      <c r="B102" t="s">
        <v>116</v>
      </c>
      <c r="C102">
        <v>210784</v>
      </c>
      <c r="E102" t="s">
        <v>117</v>
      </c>
      <c r="F102">
        <v>368</v>
      </c>
      <c r="G102" t="s">
        <v>176</v>
      </c>
      <c r="H102" t="s">
        <v>177</v>
      </c>
      <c r="I102" t="s">
        <v>178</v>
      </c>
      <c r="J102" t="s">
        <v>179</v>
      </c>
      <c r="L102" s="14">
        <v>45070</v>
      </c>
      <c r="M102" s="18">
        <f t="shared" si="4"/>
        <v>45047</v>
      </c>
      <c r="N102">
        <v>7165312</v>
      </c>
      <c r="O102" t="s">
        <v>123</v>
      </c>
      <c r="P102" t="s">
        <v>124</v>
      </c>
      <c r="Q102">
        <v>21.17</v>
      </c>
      <c r="R102" t="s">
        <v>125</v>
      </c>
      <c r="S102" t="s">
        <v>126</v>
      </c>
      <c r="T102" t="s">
        <v>125</v>
      </c>
      <c r="U102" t="s">
        <v>126</v>
      </c>
      <c r="W102">
        <v>21.17</v>
      </c>
      <c r="Y102">
        <v>21.17</v>
      </c>
      <c r="AC102">
        <v>21.17</v>
      </c>
      <c r="BH102" t="s">
        <v>126</v>
      </c>
      <c r="BI102" t="s">
        <v>126</v>
      </c>
      <c r="BJ102" t="s">
        <v>126</v>
      </c>
      <c r="BK102" t="s">
        <v>126</v>
      </c>
      <c r="BS102" t="s">
        <v>126</v>
      </c>
      <c r="BT102" t="s">
        <v>126</v>
      </c>
      <c r="BU102" t="s">
        <v>126</v>
      </c>
      <c r="BV102" t="s">
        <v>126</v>
      </c>
      <c r="CN102" t="s">
        <v>181</v>
      </c>
      <c r="CP102" t="s">
        <v>189</v>
      </c>
      <c r="CQ102" t="s">
        <v>181</v>
      </c>
    </row>
    <row r="103" spans="1:95" x14ac:dyDescent="0.2">
      <c r="A103" t="s">
        <v>115</v>
      </c>
      <c r="B103" t="s">
        <v>116</v>
      </c>
      <c r="C103">
        <v>210784</v>
      </c>
      <c r="E103" t="s">
        <v>117</v>
      </c>
      <c r="F103">
        <v>368</v>
      </c>
      <c r="G103" t="s">
        <v>176</v>
      </c>
      <c r="H103" t="s">
        <v>177</v>
      </c>
      <c r="I103" t="s">
        <v>178</v>
      </c>
      <c r="J103" t="s">
        <v>179</v>
      </c>
      <c r="L103" s="14">
        <v>45070</v>
      </c>
      <c r="M103" s="18">
        <f t="shared" si="4"/>
        <v>45047</v>
      </c>
      <c r="N103">
        <v>7165313</v>
      </c>
      <c r="O103" t="s">
        <v>123</v>
      </c>
      <c r="P103" t="s">
        <v>124</v>
      </c>
      <c r="Q103">
        <v>22.15</v>
      </c>
      <c r="R103" t="s">
        <v>125</v>
      </c>
      <c r="S103" t="s">
        <v>126</v>
      </c>
      <c r="T103" t="s">
        <v>125</v>
      </c>
      <c r="U103" t="s">
        <v>126</v>
      </c>
      <c r="W103">
        <v>22.15</v>
      </c>
      <c r="Y103">
        <v>22.15</v>
      </c>
      <c r="AC103">
        <v>22.15</v>
      </c>
      <c r="BH103" t="s">
        <v>126</v>
      </c>
      <c r="BI103" t="s">
        <v>126</v>
      </c>
      <c r="BJ103" t="s">
        <v>126</v>
      </c>
      <c r="BK103" t="s">
        <v>126</v>
      </c>
      <c r="BS103" t="s">
        <v>126</v>
      </c>
      <c r="BT103" t="s">
        <v>126</v>
      </c>
      <c r="BU103" t="s">
        <v>126</v>
      </c>
      <c r="BV103" t="s">
        <v>126</v>
      </c>
      <c r="CN103" t="s">
        <v>181</v>
      </c>
      <c r="CP103" t="s">
        <v>189</v>
      </c>
      <c r="CQ103" t="s">
        <v>181</v>
      </c>
    </row>
    <row r="104" spans="1:95" x14ac:dyDescent="0.2">
      <c r="A104" t="s">
        <v>115</v>
      </c>
      <c r="B104" t="s">
        <v>116</v>
      </c>
      <c r="C104">
        <v>210784</v>
      </c>
      <c r="E104" t="s">
        <v>117</v>
      </c>
      <c r="F104">
        <v>368</v>
      </c>
      <c r="G104" t="s">
        <v>176</v>
      </c>
      <c r="H104" t="s">
        <v>177</v>
      </c>
      <c r="I104" t="s">
        <v>178</v>
      </c>
      <c r="J104" t="s">
        <v>179</v>
      </c>
      <c r="L104" s="14">
        <v>45070</v>
      </c>
      <c r="M104" s="18">
        <f t="shared" si="4"/>
        <v>45047</v>
      </c>
      <c r="N104">
        <v>7165317</v>
      </c>
      <c r="O104" t="s">
        <v>123</v>
      </c>
      <c r="P104" t="s">
        <v>124</v>
      </c>
      <c r="Q104">
        <v>22</v>
      </c>
      <c r="R104" t="s">
        <v>125</v>
      </c>
      <c r="S104" t="s">
        <v>126</v>
      </c>
      <c r="T104" t="s">
        <v>125</v>
      </c>
      <c r="U104" t="s">
        <v>126</v>
      </c>
      <c r="W104">
        <v>22</v>
      </c>
      <c r="Y104">
        <v>22</v>
      </c>
      <c r="AC104">
        <v>22</v>
      </c>
      <c r="BH104" t="s">
        <v>126</v>
      </c>
      <c r="BI104" t="s">
        <v>126</v>
      </c>
      <c r="BJ104" t="s">
        <v>126</v>
      </c>
      <c r="BK104" t="s">
        <v>126</v>
      </c>
      <c r="BS104" t="s">
        <v>126</v>
      </c>
      <c r="BT104" t="s">
        <v>126</v>
      </c>
      <c r="BU104" t="s">
        <v>126</v>
      </c>
      <c r="BV104" t="s">
        <v>126</v>
      </c>
      <c r="CN104" t="s">
        <v>181</v>
      </c>
      <c r="CP104" t="s">
        <v>189</v>
      </c>
      <c r="CQ104" t="s">
        <v>181</v>
      </c>
    </row>
    <row r="105" spans="1:95" x14ac:dyDescent="0.2">
      <c r="A105" t="s">
        <v>115</v>
      </c>
      <c r="B105" t="s">
        <v>116</v>
      </c>
      <c r="C105">
        <v>210784</v>
      </c>
      <c r="E105" t="s">
        <v>117</v>
      </c>
      <c r="F105">
        <v>368</v>
      </c>
      <c r="G105" t="s">
        <v>176</v>
      </c>
      <c r="H105" t="s">
        <v>177</v>
      </c>
      <c r="I105" t="s">
        <v>178</v>
      </c>
      <c r="J105" t="s">
        <v>179</v>
      </c>
      <c r="L105" s="14">
        <v>45070</v>
      </c>
      <c r="M105" s="18">
        <f t="shared" si="4"/>
        <v>45047</v>
      </c>
      <c r="N105">
        <v>7165326</v>
      </c>
      <c r="O105" t="s">
        <v>123</v>
      </c>
      <c r="P105" t="s">
        <v>124</v>
      </c>
      <c r="Q105">
        <v>24.37</v>
      </c>
      <c r="R105" t="s">
        <v>125</v>
      </c>
      <c r="S105" t="s">
        <v>126</v>
      </c>
      <c r="T105" t="s">
        <v>125</v>
      </c>
      <c r="U105" t="s">
        <v>126</v>
      </c>
      <c r="W105">
        <v>24.37</v>
      </c>
      <c r="Y105">
        <v>24.37</v>
      </c>
      <c r="AC105">
        <v>24.37</v>
      </c>
      <c r="BH105" t="s">
        <v>126</v>
      </c>
      <c r="BI105" t="s">
        <v>126</v>
      </c>
      <c r="BJ105" t="s">
        <v>126</v>
      </c>
      <c r="BK105" t="s">
        <v>126</v>
      </c>
      <c r="BS105" t="s">
        <v>126</v>
      </c>
      <c r="BT105" t="s">
        <v>126</v>
      </c>
      <c r="BU105" t="s">
        <v>126</v>
      </c>
      <c r="BV105" t="s">
        <v>126</v>
      </c>
      <c r="CN105" t="s">
        <v>181</v>
      </c>
      <c r="CP105" t="s">
        <v>189</v>
      </c>
      <c r="CQ105" t="s">
        <v>181</v>
      </c>
    </row>
    <row r="106" spans="1:95" x14ac:dyDescent="0.2">
      <c r="A106" t="s">
        <v>115</v>
      </c>
      <c r="B106" t="s">
        <v>116</v>
      </c>
      <c r="C106">
        <v>210784</v>
      </c>
      <c r="E106" t="s">
        <v>117</v>
      </c>
      <c r="F106">
        <v>368</v>
      </c>
      <c r="G106" t="s">
        <v>176</v>
      </c>
      <c r="H106" t="s">
        <v>177</v>
      </c>
      <c r="I106" t="s">
        <v>178</v>
      </c>
      <c r="J106" t="s">
        <v>179</v>
      </c>
      <c r="L106" s="14">
        <v>45070</v>
      </c>
      <c r="M106" s="18">
        <f t="shared" si="4"/>
        <v>45047</v>
      </c>
      <c r="N106">
        <v>7165335</v>
      </c>
      <c r="O106" t="s">
        <v>123</v>
      </c>
      <c r="P106" t="s">
        <v>124</v>
      </c>
      <c r="Q106">
        <v>24.1</v>
      </c>
      <c r="R106" t="s">
        <v>125</v>
      </c>
      <c r="S106" t="s">
        <v>126</v>
      </c>
      <c r="T106" t="s">
        <v>125</v>
      </c>
      <c r="U106" t="s">
        <v>126</v>
      </c>
      <c r="W106">
        <v>24.1</v>
      </c>
      <c r="Y106">
        <v>24.1</v>
      </c>
      <c r="AC106">
        <v>24.1</v>
      </c>
      <c r="BH106" t="s">
        <v>126</v>
      </c>
      <c r="BI106" t="s">
        <v>126</v>
      </c>
      <c r="BJ106" t="s">
        <v>126</v>
      </c>
      <c r="BK106" t="s">
        <v>126</v>
      </c>
      <c r="BS106" t="s">
        <v>126</v>
      </c>
      <c r="BT106" t="s">
        <v>126</v>
      </c>
      <c r="BU106" t="s">
        <v>126</v>
      </c>
      <c r="BV106" t="s">
        <v>126</v>
      </c>
      <c r="CN106" t="s">
        <v>181</v>
      </c>
      <c r="CP106" t="s">
        <v>189</v>
      </c>
      <c r="CQ106" t="s">
        <v>181</v>
      </c>
    </row>
    <row r="107" spans="1:95" x14ac:dyDescent="0.2">
      <c r="A107" t="s">
        <v>115</v>
      </c>
      <c r="B107" t="s">
        <v>116</v>
      </c>
      <c r="C107">
        <v>210784</v>
      </c>
      <c r="E107" t="s">
        <v>117</v>
      </c>
      <c r="F107">
        <v>368</v>
      </c>
      <c r="G107" t="s">
        <v>176</v>
      </c>
      <c r="H107" t="s">
        <v>177</v>
      </c>
      <c r="I107" t="s">
        <v>178</v>
      </c>
      <c r="J107" t="s">
        <v>179</v>
      </c>
      <c r="L107" s="14">
        <v>45070</v>
      </c>
      <c r="M107" s="18">
        <f t="shared" si="4"/>
        <v>45047</v>
      </c>
      <c r="N107">
        <v>7165344</v>
      </c>
      <c r="O107" t="s">
        <v>123</v>
      </c>
      <c r="P107" t="s">
        <v>124</v>
      </c>
      <c r="Q107">
        <v>23.66</v>
      </c>
      <c r="R107" t="s">
        <v>125</v>
      </c>
      <c r="S107" t="s">
        <v>126</v>
      </c>
      <c r="T107" t="s">
        <v>125</v>
      </c>
      <c r="U107" t="s">
        <v>126</v>
      </c>
      <c r="W107">
        <v>23.66</v>
      </c>
      <c r="Y107">
        <v>23.66</v>
      </c>
      <c r="AC107">
        <v>23.66</v>
      </c>
      <c r="BH107" t="s">
        <v>126</v>
      </c>
      <c r="BI107" t="s">
        <v>126</v>
      </c>
      <c r="BJ107" t="s">
        <v>126</v>
      </c>
      <c r="BK107" t="s">
        <v>126</v>
      </c>
      <c r="BS107" t="s">
        <v>126</v>
      </c>
      <c r="BT107" t="s">
        <v>126</v>
      </c>
      <c r="BU107" t="s">
        <v>126</v>
      </c>
      <c r="BV107" t="s">
        <v>126</v>
      </c>
      <c r="CN107" t="s">
        <v>181</v>
      </c>
      <c r="CP107" t="s">
        <v>189</v>
      </c>
      <c r="CQ107" t="s">
        <v>181</v>
      </c>
    </row>
    <row r="108" spans="1:95" x14ac:dyDescent="0.2">
      <c r="A108" t="s">
        <v>115</v>
      </c>
      <c r="B108" t="s">
        <v>116</v>
      </c>
      <c r="C108">
        <v>210784</v>
      </c>
      <c r="E108" t="s">
        <v>117</v>
      </c>
      <c r="F108">
        <v>368</v>
      </c>
      <c r="G108" t="s">
        <v>176</v>
      </c>
      <c r="H108" t="s">
        <v>177</v>
      </c>
      <c r="I108" t="s">
        <v>178</v>
      </c>
      <c r="J108" t="s">
        <v>179</v>
      </c>
      <c r="L108" s="14">
        <v>45070</v>
      </c>
      <c r="M108" s="18">
        <f t="shared" si="4"/>
        <v>45047</v>
      </c>
      <c r="N108">
        <v>7165349</v>
      </c>
      <c r="O108" t="s">
        <v>123</v>
      </c>
      <c r="P108" t="s">
        <v>124</v>
      </c>
      <c r="Q108">
        <v>15.92</v>
      </c>
      <c r="R108" t="s">
        <v>125</v>
      </c>
      <c r="S108" t="s">
        <v>126</v>
      </c>
      <c r="T108" t="s">
        <v>125</v>
      </c>
      <c r="U108" t="s">
        <v>126</v>
      </c>
      <c r="W108">
        <v>15.92</v>
      </c>
      <c r="Y108">
        <v>15.92</v>
      </c>
      <c r="AC108">
        <v>15.92</v>
      </c>
      <c r="BH108" t="s">
        <v>126</v>
      </c>
      <c r="BI108" t="s">
        <v>126</v>
      </c>
      <c r="BJ108" t="s">
        <v>126</v>
      </c>
      <c r="BK108" t="s">
        <v>126</v>
      </c>
      <c r="BS108" t="s">
        <v>126</v>
      </c>
      <c r="BT108" t="s">
        <v>126</v>
      </c>
      <c r="BU108" t="s">
        <v>126</v>
      </c>
      <c r="BV108" t="s">
        <v>126</v>
      </c>
      <c r="CN108" t="s">
        <v>181</v>
      </c>
      <c r="CP108" t="s">
        <v>189</v>
      </c>
      <c r="CQ108" t="s">
        <v>181</v>
      </c>
    </row>
    <row r="109" spans="1:95" x14ac:dyDescent="0.2">
      <c r="A109" t="s">
        <v>115</v>
      </c>
      <c r="B109" t="s">
        <v>116</v>
      </c>
      <c r="C109">
        <v>210784</v>
      </c>
      <c r="E109" t="s">
        <v>117</v>
      </c>
      <c r="F109">
        <v>368</v>
      </c>
      <c r="G109" t="s">
        <v>176</v>
      </c>
      <c r="H109" t="s">
        <v>177</v>
      </c>
      <c r="I109" t="s">
        <v>178</v>
      </c>
      <c r="J109" t="s">
        <v>179</v>
      </c>
      <c r="L109" s="14">
        <v>45070</v>
      </c>
      <c r="M109" s="18">
        <f t="shared" si="4"/>
        <v>45047</v>
      </c>
      <c r="N109">
        <v>7165350</v>
      </c>
      <c r="O109" t="s">
        <v>123</v>
      </c>
      <c r="P109" t="s">
        <v>124</v>
      </c>
      <c r="Q109">
        <v>22.72</v>
      </c>
      <c r="R109" t="s">
        <v>125</v>
      </c>
      <c r="S109" t="s">
        <v>126</v>
      </c>
      <c r="T109" t="s">
        <v>125</v>
      </c>
      <c r="U109" t="s">
        <v>126</v>
      </c>
      <c r="W109">
        <v>22.72</v>
      </c>
      <c r="Y109">
        <v>22.72</v>
      </c>
      <c r="AC109">
        <v>22.72</v>
      </c>
      <c r="BH109" t="s">
        <v>126</v>
      </c>
      <c r="BI109" t="s">
        <v>126</v>
      </c>
      <c r="BJ109" t="s">
        <v>126</v>
      </c>
      <c r="BK109" t="s">
        <v>126</v>
      </c>
      <c r="BS109" t="s">
        <v>126</v>
      </c>
      <c r="BT109" t="s">
        <v>126</v>
      </c>
      <c r="BU109" t="s">
        <v>126</v>
      </c>
      <c r="BV109" t="s">
        <v>126</v>
      </c>
      <c r="CN109" t="s">
        <v>181</v>
      </c>
      <c r="CP109" t="s">
        <v>189</v>
      </c>
      <c r="CQ109" t="s">
        <v>181</v>
      </c>
    </row>
    <row r="110" spans="1:95" x14ac:dyDescent="0.2">
      <c r="A110" t="s">
        <v>115</v>
      </c>
      <c r="B110" t="s">
        <v>116</v>
      </c>
      <c r="C110">
        <v>210784</v>
      </c>
      <c r="E110" t="s">
        <v>117</v>
      </c>
      <c r="F110">
        <v>368</v>
      </c>
      <c r="G110" t="s">
        <v>176</v>
      </c>
      <c r="H110" t="s">
        <v>177</v>
      </c>
      <c r="I110" t="s">
        <v>178</v>
      </c>
      <c r="J110" t="s">
        <v>179</v>
      </c>
      <c r="L110" s="14">
        <v>45070</v>
      </c>
      <c r="M110" s="18">
        <f t="shared" si="4"/>
        <v>45047</v>
      </c>
      <c r="N110">
        <v>7165351</v>
      </c>
      <c r="O110" t="s">
        <v>123</v>
      </c>
      <c r="P110" t="s">
        <v>124</v>
      </c>
      <c r="Q110">
        <v>23.15</v>
      </c>
      <c r="R110" t="s">
        <v>125</v>
      </c>
      <c r="S110" t="s">
        <v>126</v>
      </c>
      <c r="T110" t="s">
        <v>125</v>
      </c>
      <c r="U110" t="s">
        <v>126</v>
      </c>
      <c r="W110">
        <v>23.15</v>
      </c>
      <c r="Y110">
        <v>23.15</v>
      </c>
      <c r="AC110">
        <v>23.15</v>
      </c>
      <c r="BH110" t="s">
        <v>126</v>
      </c>
      <c r="BI110" t="s">
        <v>126</v>
      </c>
      <c r="BJ110" t="s">
        <v>126</v>
      </c>
      <c r="BK110" t="s">
        <v>126</v>
      </c>
      <c r="BS110" t="s">
        <v>126</v>
      </c>
      <c r="BT110" t="s">
        <v>126</v>
      </c>
      <c r="BU110" t="s">
        <v>126</v>
      </c>
      <c r="BV110" t="s">
        <v>126</v>
      </c>
      <c r="CN110" t="s">
        <v>181</v>
      </c>
      <c r="CP110" t="s">
        <v>189</v>
      </c>
      <c r="CQ110" t="s">
        <v>181</v>
      </c>
    </row>
    <row r="111" spans="1:95" x14ac:dyDescent="0.2">
      <c r="A111" t="s">
        <v>115</v>
      </c>
      <c r="B111" t="s">
        <v>116</v>
      </c>
      <c r="C111">
        <v>210784</v>
      </c>
      <c r="E111" t="s">
        <v>117</v>
      </c>
      <c r="F111">
        <v>368</v>
      </c>
      <c r="G111" t="s">
        <v>176</v>
      </c>
      <c r="H111" t="s">
        <v>177</v>
      </c>
      <c r="I111" t="s">
        <v>178</v>
      </c>
      <c r="J111" t="s">
        <v>179</v>
      </c>
      <c r="L111" s="14">
        <v>45070</v>
      </c>
      <c r="M111" s="18">
        <f t="shared" si="4"/>
        <v>45047</v>
      </c>
      <c r="N111">
        <v>7165352</v>
      </c>
      <c r="O111" t="s">
        <v>123</v>
      </c>
      <c r="P111" t="s">
        <v>124</v>
      </c>
      <c r="Q111">
        <v>19.45</v>
      </c>
      <c r="R111" t="s">
        <v>125</v>
      </c>
      <c r="S111" t="s">
        <v>126</v>
      </c>
      <c r="T111" t="s">
        <v>125</v>
      </c>
      <c r="U111" t="s">
        <v>126</v>
      </c>
      <c r="W111">
        <v>19.45</v>
      </c>
      <c r="Y111">
        <v>19.45</v>
      </c>
      <c r="AC111">
        <v>19.45</v>
      </c>
      <c r="BH111" t="s">
        <v>126</v>
      </c>
      <c r="BI111" t="s">
        <v>126</v>
      </c>
      <c r="BJ111" t="s">
        <v>126</v>
      </c>
      <c r="BK111" t="s">
        <v>126</v>
      </c>
      <c r="BS111" t="s">
        <v>126</v>
      </c>
      <c r="BT111" t="s">
        <v>126</v>
      </c>
      <c r="BU111" t="s">
        <v>126</v>
      </c>
      <c r="BV111" t="s">
        <v>126</v>
      </c>
      <c r="CN111" t="s">
        <v>181</v>
      </c>
      <c r="CP111" t="s">
        <v>189</v>
      </c>
      <c r="CQ111" t="s">
        <v>181</v>
      </c>
    </row>
    <row r="112" spans="1:95" x14ac:dyDescent="0.2">
      <c r="A112" t="s">
        <v>115</v>
      </c>
      <c r="B112" t="s">
        <v>116</v>
      </c>
      <c r="C112">
        <v>210784</v>
      </c>
      <c r="E112" t="s">
        <v>117</v>
      </c>
      <c r="F112">
        <v>368</v>
      </c>
      <c r="G112" t="s">
        <v>176</v>
      </c>
      <c r="H112" t="s">
        <v>177</v>
      </c>
      <c r="I112" t="s">
        <v>178</v>
      </c>
      <c r="J112" t="s">
        <v>179</v>
      </c>
      <c r="L112" s="14">
        <v>45070</v>
      </c>
      <c r="M112" s="18">
        <f t="shared" si="4"/>
        <v>45047</v>
      </c>
      <c r="N112">
        <v>7165358</v>
      </c>
      <c r="O112" t="s">
        <v>123</v>
      </c>
      <c r="P112" t="s">
        <v>124</v>
      </c>
      <c r="Q112">
        <v>22.35</v>
      </c>
      <c r="R112" t="s">
        <v>125</v>
      </c>
      <c r="S112" t="s">
        <v>126</v>
      </c>
      <c r="T112" t="s">
        <v>125</v>
      </c>
      <c r="U112" t="s">
        <v>126</v>
      </c>
      <c r="W112">
        <v>22.35</v>
      </c>
      <c r="Y112">
        <v>22.35</v>
      </c>
      <c r="AC112">
        <v>22.35</v>
      </c>
      <c r="BH112" t="s">
        <v>126</v>
      </c>
      <c r="BI112" t="s">
        <v>126</v>
      </c>
      <c r="BJ112" t="s">
        <v>126</v>
      </c>
      <c r="BK112" t="s">
        <v>126</v>
      </c>
      <c r="BS112" t="s">
        <v>126</v>
      </c>
      <c r="BT112" t="s">
        <v>126</v>
      </c>
      <c r="BU112" t="s">
        <v>126</v>
      </c>
      <c r="BV112" t="s">
        <v>126</v>
      </c>
      <c r="CN112" t="s">
        <v>181</v>
      </c>
      <c r="CP112" t="s">
        <v>189</v>
      </c>
      <c r="CQ112" t="s">
        <v>181</v>
      </c>
    </row>
    <row r="113" spans="1:95" x14ac:dyDescent="0.2">
      <c r="A113" t="s">
        <v>115</v>
      </c>
      <c r="B113" t="s">
        <v>116</v>
      </c>
      <c r="C113">
        <v>210784</v>
      </c>
      <c r="E113" t="s">
        <v>117</v>
      </c>
      <c r="F113">
        <v>368</v>
      </c>
      <c r="G113" t="s">
        <v>176</v>
      </c>
      <c r="H113" t="s">
        <v>177</v>
      </c>
      <c r="I113" t="s">
        <v>178</v>
      </c>
      <c r="J113" t="s">
        <v>179</v>
      </c>
      <c r="L113" s="14">
        <v>45070</v>
      </c>
      <c r="M113" s="18">
        <f t="shared" si="4"/>
        <v>45047</v>
      </c>
      <c r="N113">
        <v>7165361</v>
      </c>
      <c r="O113" t="s">
        <v>123</v>
      </c>
      <c r="P113" t="s">
        <v>124</v>
      </c>
      <c r="Q113">
        <v>22.75</v>
      </c>
      <c r="R113" t="s">
        <v>125</v>
      </c>
      <c r="S113" t="s">
        <v>126</v>
      </c>
      <c r="T113" t="s">
        <v>125</v>
      </c>
      <c r="U113" t="s">
        <v>126</v>
      </c>
      <c r="W113">
        <v>22.75</v>
      </c>
      <c r="Y113">
        <v>22.75</v>
      </c>
      <c r="AC113">
        <v>22.75</v>
      </c>
      <c r="BH113" t="s">
        <v>126</v>
      </c>
      <c r="BI113" t="s">
        <v>126</v>
      </c>
      <c r="BJ113" t="s">
        <v>126</v>
      </c>
      <c r="BK113" t="s">
        <v>126</v>
      </c>
      <c r="BS113" t="s">
        <v>126</v>
      </c>
      <c r="BT113" t="s">
        <v>126</v>
      </c>
      <c r="BU113" t="s">
        <v>126</v>
      </c>
      <c r="BV113" t="s">
        <v>126</v>
      </c>
      <c r="CN113" t="s">
        <v>181</v>
      </c>
      <c r="CP113" t="s">
        <v>189</v>
      </c>
      <c r="CQ113" t="s">
        <v>181</v>
      </c>
    </row>
    <row r="114" spans="1:95" x14ac:dyDescent="0.2">
      <c r="A114" t="s">
        <v>115</v>
      </c>
      <c r="B114" t="s">
        <v>116</v>
      </c>
      <c r="C114">
        <v>210784</v>
      </c>
      <c r="E114" t="s">
        <v>117</v>
      </c>
      <c r="F114">
        <v>368</v>
      </c>
      <c r="G114" t="s">
        <v>176</v>
      </c>
      <c r="H114" t="s">
        <v>177</v>
      </c>
      <c r="I114" t="s">
        <v>178</v>
      </c>
      <c r="J114" t="s">
        <v>179</v>
      </c>
      <c r="L114" s="14">
        <v>45070</v>
      </c>
      <c r="M114" s="18">
        <f t="shared" si="4"/>
        <v>45047</v>
      </c>
      <c r="N114">
        <v>7165369</v>
      </c>
      <c r="O114" t="s">
        <v>123</v>
      </c>
      <c r="P114" t="s">
        <v>124</v>
      </c>
      <c r="Q114">
        <v>21.11</v>
      </c>
      <c r="R114" t="s">
        <v>125</v>
      </c>
      <c r="S114" t="s">
        <v>126</v>
      </c>
      <c r="T114" t="s">
        <v>125</v>
      </c>
      <c r="U114" t="s">
        <v>126</v>
      </c>
      <c r="W114">
        <v>21.11</v>
      </c>
      <c r="Y114">
        <v>21.11</v>
      </c>
      <c r="AC114">
        <v>21.11</v>
      </c>
      <c r="BH114" t="s">
        <v>126</v>
      </c>
      <c r="BI114" t="s">
        <v>126</v>
      </c>
      <c r="BJ114" t="s">
        <v>126</v>
      </c>
      <c r="BK114" t="s">
        <v>126</v>
      </c>
      <c r="BS114" t="s">
        <v>126</v>
      </c>
      <c r="BT114" t="s">
        <v>126</v>
      </c>
      <c r="BU114" t="s">
        <v>126</v>
      </c>
      <c r="BV114" t="s">
        <v>126</v>
      </c>
      <c r="CN114" t="s">
        <v>181</v>
      </c>
      <c r="CP114" t="s">
        <v>189</v>
      </c>
      <c r="CQ114" t="s">
        <v>181</v>
      </c>
    </row>
    <row r="115" spans="1:95" x14ac:dyDescent="0.2">
      <c r="A115" t="s">
        <v>115</v>
      </c>
      <c r="B115" t="s">
        <v>116</v>
      </c>
      <c r="C115">
        <v>210784</v>
      </c>
      <c r="E115" t="s">
        <v>117</v>
      </c>
      <c r="F115">
        <v>368</v>
      </c>
      <c r="G115" t="s">
        <v>176</v>
      </c>
      <c r="H115" t="s">
        <v>177</v>
      </c>
      <c r="I115" t="s">
        <v>178</v>
      </c>
      <c r="J115" t="s">
        <v>179</v>
      </c>
      <c r="L115" s="14">
        <v>45070</v>
      </c>
      <c r="M115" s="18">
        <f t="shared" si="4"/>
        <v>45047</v>
      </c>
      <c r="N115">
        <v>7165370</v>
      </c>
      <c r="O115" t="s">
        <v>123</v>
      </c>
      <c r="P115" t="s">
        <v>124</v>
      </c>
      <c r="Q115">
        <v>22.95</v>
      </c>
      <c r="R115" t="s">
        <v>125</v>
      </c>
      <c r="S115" t="s">
        <v>126</v>
      </c>
      <c r="T115" t="s">
        <v>125</v>
      </c>
      <c r="U115" t="s">
        <v>126</v>
      </c>
      <c r="W115">
        <v>22.95</v>
      </c>
      <c r="Y115">
        <v>22.95</v>
      </c>
      <c r="AC115">
        <v>22.95</v>
      </c>
      <c r="BH115" t="s">
        <v>126</v>
      </c>
      <c r="BI115" t="s">
        <v>126</v>
      </c>
      <c r="BJ115" t="s">
        <v>126</v>
      </c>
      <c r="BK115" t="s">
        <v>126</v>
      </c>
      <c r="BS115" t="s">
        <v>126</v>
      </c>
      <c r="BT115" t="s">
        <v>126</v>
      </c>
      <c r="BU115" t="s">
        <v>126</v>
      </c>
      <c r="BV115" t="s">
        <v>126</v>
      </c>
      <c r="CN115" t="s">
        <v>181</v>
      </c>
      <c r="CP115" t="s">
        <v>189</v>
      </c>
      <c r="CQ115" t="s">
        <v>181</v>
      </c>
    </row>
    <row r="116" spans="1:95" x14ac:dyDescent="0.2">
      <c r="A116" t="s">
        <v>115</v>
      </c>
      <c r="B116" t="s">
        <v>116</v>
      </c>
      <c r="C116">
        <v>210784</v>
      </c>
      <c r="E116" t="s">
        <v>117</v>
      </c>
      <c r="F116">
        <v>368</v>
      </c>
      <c r="G116" t="s">
        <v>176</v>
      </c>
      <c r="H116" t="s">
        <v>177</v>
      </c>
      <c r="I116" t="s">
        <v>492</v>
      </c>
      <c r="J116" t="s">
        <v>493</v>
      </c>
      <c r="L116" s="14">
        <v>45070</v>
      </c>
      <c r="M116" s="18">
        <f t="shared" si="4"/>
        <v>45047</v>
      </c>
      <c r="N116" t="s">
        <v>499</v>
      </c>
      <c r="O116" t="s">
        <v>123</v>
      </c>
      <c r="P116" t="s">
        <v>124</v>
      </c>
      <c r="Q116">
        <v>2.97</v>
      </c>
      <c r="R116" t="s">
        <v>125</v>
      </c>
      <c r="S116" t="s">
        <v>126</v>
      </c>
      <c r="T116" t="s">
        <v>125</v>
      </c>
      <c r="U116" t="s">
        <v>126</v>
      </c>
      <c r="W116">
        <v>2.97</v>
      </c>
      <c r="Y116">
        <v>2.97</v>
      </c>
      <c r="AF116">
        <v>2.97</v>
      </c>
      <c r="BH116" t="s">
        <v>126</v>
      </c>
      <c r="BI116" t="s">
        <v>126</v>
      </c>
      <c r="BJ116" t="s">
        <v>126</v>
      </c>
      <c r="BK116" t="s">
        <v>126</v>
      </c>
      <c r="BS116" t="s">
        <v>126</v>
      </c>
      <c r="BT116" t="s">
        <v>126</v>
      </c>
      <c r="BU116" t="s">
        <v>126</v>
      </c>
      <c r="BV116" t="s">
        <v>126</v>
      </c>
      <c r="CN116" t="s">
        <v>181</v>
      </c>
      <c r="CP116" t="s">
        <v>182</v>
      </c>
      <c r="CQ116" t="s">
        <v>181</v>
      </c>
    </row>
    <row r="117" spans="1:95" x14ac:dyDescent="0.2">
      <c r="A117" t="s">
        <v>115</v>
      </c>
      <c r="B117" t="s">
        <v>116</v>
      </c>
      <c r="C117">
        <v>210784</v>
      </c>
      <c r="E117" t="s">
        <v>117</v>
      </c>
      <c r="F117">
        <v>368</v>
      </c>
      <c r="G117" t="s">
        <v>176</v>
      </c>
      <c r="H117" t="s">
        <v>177</v>
      </c>
      <c r="I117" t="s">
        <v>178</v>
      </c>
      <c r="J117" t="s">
        <v>179</v>
      </c>
      <c r="L117" s="14">
        <v>45071</v>
      </c>
      <c r="M117" s="18">
        <f t="shared" si="4"/>
        <v>45047</v>
      </c>
      <c r="N117">
        <v>7165493</v>
      </c>
      <c r="O117" t="s">
        <v>123</v>
      </c>
      <c r="P117" t="s">
        <v>124</v>
      </c>
      <c r="Q117">
        <v>23.31</v>
      </c>
      <c r="R117" t="s">
        <v>125</v>
      </c>
      <c r="S117" t="s">
        <v>126</v>
      </c>
      <c r="T117" t="s">
        <v>125</v>
      </c>
      <c r="U117" t="s">
        <v>126</v>
      </c>
      <c r="W117">
        <v>23.31</v>
      </c>
      <c r="Y117">
        <v>23.31</v>
      </c>
      <c r="AC117">
        <v>23.31</v>
      </c>
      <c r="BH117" t="s">
        <v>126</v>
      </c>
      <c r="BI117" t="s">
        <v>126</v>
      </c>
      <c r="BJ117" t="s">
        <v>126</v>
      </c>
      <c r="BK117" t="s">
        <v>126</v>
      </c>
      <c r="BS117" t="s">
        <v>126</v>
      </c>
      <c r="BT117" t="s">
        <v>126</v>
      </c>
      <c r="BU117" t="s">
        <v>126</v>
      </c>
      <c r="BV117" t="s">
        <v>126</v>
      </c>
      <c r="CN117" t="s">
        <v>181</v>
      </c>
      <c r="CP117" t="s">
        <v>189</v>
      </c>
      <c r="CQ117" t="s">
        <v>181</v>
      </c>
    </row>
    <row r="118" spans="1:95" x14ac:dyDescent="0.2">
      <c r="A118" t="s">
        <v>115</v>
      </c>
      <c r="B118" t="s">
        <v>116</v>
      </c>
      <c r="C118">
        <v>210784</v>
      </c>
      <c r="E118" t="s">
        <v>117</v>
      </c>
      <c r="F118">
        <v>368</v>
      </c>
      <c r="G118" t="s">
        <v>176</v>
      </c>
      <c r="H118" t="s">
        <v>177</v>
      </c>
      <c r="I118" t="s">
        <v>178</v>
      </c>
      <c r="J118" t="s">
        <v>179</v>
      </c>
      <c r="L118" s="14">
        <v>45071</v>
      </c>
      <c r="M118" s="18">
        <f t="shared" si="4"/>
        <v>45047</v>
      </c>
      <c r="N118">
        <v>7165494</v>
      </c>
      <c r="O118" t="s">
        <v>123</v>
      </c>
      <c r="P118" t="s">
        <v>124</v>
      </c>
      <c r="Q118">
        <v>22.17</v>
      </c>
      <c r="R118" t="s">
        <v>125</v>
      </c>
      <c r="S118" t="s">
        <v>126</v>
      </c>
      <c r="T118" t="s">
        <v>125</v>
      </c>
      <c r="U118" t="s">
        <v>126</v>
      </c>
      <c r="W118">
        <v>22.17</v>
      </c>
      <c r="Y118">
        <v>22.17</v>
      </c>
      <c r="AC118">
        <v>22.17</v>
      </c>
      <c r="BH118" t="s">
        <v>126</v>
      </c>
      <c r="BI118" t="s">
        <v>126</v>
      </c>
      <c r="BJ118" t="s">
        <v>126</v>
      </c>
      <c r="BK118" t="s">
        <v>126</v>
      </c>
      <c r="BS118" t="s">
        <v>126</v>
      </c>
      <c r="BT118" t="s">
        <v>126</v>
      </c>
      <c r="BU118" t="s">
        <v>126</v>
      </c>
      <c r="BV118" t="s">
        <v>126</v>
      </c>
      <c r="CN118" t="s">
        <v>181</v>
      </c>
      <c r="CP118" t="s">
        <v>189</v>
      </c>
      <c r="CQ118" t="s">
        <v>181</v>
      </c>
    </row>
    <row r="119" spans="1:95" x14ac:dyDescent="0.2">
      <c r="A119" t="s">
        <v>115</v>
      </c>
      <c r="B119" t="s">
        <v>116</v>
      </c>
      <c r="C119">
        <v>210784</v>
      </c>
      <c r="E119" t="s">
        <v>117</v>
      </c>
      <c r="F119">
        <v>368</v>
      </c>
      <c r="G119" t="s">
        <v>176</v>
      </c>
      <c r="H119" t="s">
        <v>177</v>
      </c>
      <c r="I119" t="s">
        <v>178</v>
      </c>
      <c r="J119" t="s">
        <v>179</v>
      </c>
      <c r="L119" s="14">
        <v>45071</v>
      </c>
      <c r="M119" s="18">
        <f t="shared" si="4"/>
        <v>45047</v>
      </c>
      <c r="N119">
        <v>7165501</v>
      </c>
      <c r="O119" t="s">
        <v>123</v>
      </c>
      <c r="P119" t="s">
        <v>124</v>
      </c>
      <c r="Q119">
        <v>25.6</v>
      </c>
      <c r="R119" t="s">
        <v>125</v>
      </c>
      <c r="S119" t="s">
        <v>126</v>
      </c>
      <c r="T119" t="s">
        <v>125</v>
      </c>
      <c r="U119" t="s">
        <v>126</v>
      </c>
      <c r="W119">
        <v>25.6</v>
      </c>
      <c r="Y119">
        <v>25.6</v>
      </c>
      <c r="AC119">
        <v>25.6</v>
      </c>
      <c r="BH119" t="s">
        <v>126</v>
      </c>
      <c r="BI119" t="s">
        <v>126</v>
      </c>
      <c r="BJ119" t="s">
        <v>126</v>
      </c>
      <c r="BK119" t="s">
        <v>126</v>
      </c>
      <c r="BS119" t="s">
        <v>126</v>
      </c>
      <c r="BT119" t="s">
        <v>126</v>
      </c>
      <c r="BU119" t="s">
        <v>126</v>
      </c>
      <c r="BV119" t="s">
        <v>126</v>
      </c>
      <c r="CN119" t="s">
        <v>181</v>
      </c>
      <c r="CP119" t="s">
        <v>189</v>
      </c>
      <c r="CQ119" t="s">
        <v>181</v>
      </c>
    </row>
    <row r="120" spans="1:95" x14ac:dyDescent="0.2">
      <c r="A120" t="s">
        <v>115</v>
      </c>
      <c r="B120" t="s">
        <v>116</v>
      </c>
      <c r="C120">
        <v>210784</v>
      </c>
      <c r="E120" t="s">
        <v>117</v>
      </c>
      <c r="F120">
        <v>368</v>
      </c>
      <c r="G120" t="s">
        <v>176</v>
      </c>
      <c r="H120" t="s">
        <v>177</v>
      </c>
      <c r="I120" t="s">
        <v>178</v>
      </c>
      <c r="J120" t="s">
        <v>179</v>
      </c>
      <c r="L120" s="14">
        <v>45071</v>
      </c>
      <c r="M120" s="18">
        <f t="shared" si="4"/>
        <v>45047</v>
      </c>
      <c r="N120">
        <v>7165507</v>
      </c>
      <c r="O120" t="s">
        <v>123</v>
      </c>
      <c r="P120" t="s">
        <v>124</v>
      </c>
      <c r="Q120">
        <v>23.02</v>
      </c>
      <c r="R120" t="s">
        <v>125</v>
      </c>
      <c r="S120" t="s">
        <v>126</v>
      </c>
      <c r="T120" t="s">
        <v>125</v>
      </c>
      <c r="U120" t="s">
        <v>126</v>
      </c>
      <c r="W120">
        <v>23.02</v>
      </c>
      <c r="Y120">
        <v>23.02</v>
      </c>
      <c r="AC120">
        <v>23.02</v>
      </c>
      <c r="BH120" t="s">
        <v>126</v>
      </c>
      <c r="BI120" t="s">
        <v>126</v>
      </c>
      <c r="BJ120" t="s">
        <v>126</v>
      </c>
      <c r="BK120" t="s">
        <v>126</v>
      </c>
      <c r="BS120" t="s">
        <v>126</v>
      </c>
      <c r="BT120" t="s">
        <v>126</v>
      </c>
      <c r="BU120" t="s">
        <v>126</v>
      </c>
      <c r="BV120" t="s">
        <v>126</v>
      </c>
      <c r="CN120" t="s">
        <v>181</v>
      </c>
      <c r="CP120" t="s">
        <v>189</v>
      </c>
      <c r="CQ120" t="s">
        <v>181</v>
      </c>
    </row>
    <row r="121" spans="1:95" x14ac:dyDescent="0.2">
      <c r="A121" t="s">
        <v>115</v>
      </c>
      <c r="B121" t="s">
        <v>116</v>
      </c>
      <c r="C121">
        <v>210784</v>
      </c>
      <c r="E121" t="s">
        <v>117</v>
      </c>
      <c r="F121">
        <v>368</v>
      </c>
      <c r="G121" t="s">
        <v>176</v>
      </c>
      <c r="H121" t="s">
        <v>177</v>
      </c>
      <c r="I121" t="s">
        <v>178</v>
      </c>
      <c r="J121" t="s">
        <v>179</v>
      </c>
      <c r="L121" s="14">
        <v>45077</v>
      </c>
      <c r="M121" s="18">
        <f t="shared" si="4"/>
        <v>45047</v>
      </c>
      <c r="N121">
        <v>7166347</v>
      </c>
      <c r="O121" t="s">
        <v>123</v>
      </c>
      <c r="P121" t="s">
        <v>124</v>
      </c>
      <c r="Q121">
        <v>21.21</v>
      </c>
      <c r="R121" t="s">
        <v>125</v>
      </c>
      <c r="S121" t="s">
        <v>126</v>
      </c>
      <c r="T121" t="s">
        <v>125</v>
      </c>
      <c r="U121" t="s">
        <v>126</v>
      </c>
      <c r="W121">
        <v>21.21</v>
      </c>
      <c r="Y121">
        <v>21.21</v>
      </c>
      <c r="AC121">
        <v>21.21</v>
      </c>
      <c r="BH121" t="s">
        <v>126</v>
      </c>
      <c r="BI121" t="s">
        <v>126</v>
      </c>
      <c r="BJ121" t="s">
        <v>126</v>
      </c>
      <c r="BK121" t="s">
        <v>126</v>
      </c>
      <c r="BS121" t="s">
        <v>126</v>
      </c>
      <c r="BT121" t="s">
        <v>126</v>
      </c>
      <c r="BU121" t="s">
        <v>126</v>
      </c>
      <c r="BV121" t="s">
        <v>126</v>
      </c>
      <c r="CN121" t="s">
        <v>181</v>
      </c>
      <c r="CP121" t="s">
        <v>189</v>
      </c>
      <c r="CQ121" t="s">
        <v>181</v>
      </c>
    </row>
    <row r="122" spans="1:95" x14ac:dyDescent="0.2">
      <c r="A122" t="s">
        <v>115</v>
      </c>
      <c r="B122" t="s">
        <v>116</v>
      </c>
      <c r="C122">
        <v>210784</v>
      </c>
      <c r="E122" t="s">
        <v>117</v>
      </c>
      <c r="F122">
        <v>368</v>
      </c>
      <c r="G122" t="s">
        <v>176</v>
      </c>
      <c r="H122" t="s">
        <v>177</v>
      </c>
      <c r="I122" t="s">
        <v>178</v>
      </c>
      <c r="J122" t="s">
        <v>179</v>
      </c>
      <c r="L122" s="14">
        <v>45077</v>
      </c>
      <c r="M122" s="18">
        <f t="shared" si="4"/>
        <v>45047</v>
      </c>
      <c r="N122">
        <v>7166349</v>
      </c>
      <c r="O122" t="s">
        <v>123</v>
      </c>
      <c r="P122" t="s">
        <v>124</v>
      </c>
      <c r="Q122">
        <v>18.87</v>
      </c>
      <c r="R122" t="s">
        <v>125</v>
      </c>
      <c r="S122" t="s">
        <v>126</v>
      </c>
      <c r="T122" t="s">
        <v>125</v>
      </c>
      <c r="U122" t="s">
        <v>126</v>
      </c>
      <c r="W122">
        <v>18.87</v>
      </c>
      <c r="Y122">
        <v>18.87</v>
      </c>
      <c r="AC122">
        <v>18.87</v>
      </c>
      <c r="BH122" t="s">
        <v>126</v>
      </c>
      <c r="BI122" t="s">
        <v>126</v>
      </c>
      <c r="BJ122" t="s">
        <v>126</v>
      </c>
      <c r="BK122" t="s">
        <v>126</v>
      </c>
      <c r="BS122" t="s">
        <v>126</v>
      </c>
      <c r="BT122" t="s">
        <v>126</v>
      </c>
      <c r="BU122" t="s">
        <v>126</v>
      </c>
      <c r="BV122" t="s">
        <v>126</v>
      </c>
      <c r="CN122" t="s">
        <v>181</v>
      </c>
      <c r="CP122" t="s">
        <v>189</v>
      </c>
      <c r="CQ122" t="s">
        <v>181</v>
      </c>
    </row>
    <row r="123" spans="1:95" x14ac:dyDescent="0.2">
      <c r="A123" t="s">
        <v>115</v>
      </c>
      <c r="B123" t="s">
        <v>116</v>
      </c>
      <c r="C123">
        <v>210784</v>
      </c>
      <c r="E123" t="s">
        <v>117</v>
      </c>
      <c r="F123">
        <v>368</v>
      </c>
      <c r="G123" t="s">
        <v>176</v>
      </c>
      <c r="H123" t="s">
        <v>177</v>
      </c>
      <c r="I123" t="s">
        <v>178</v>
      </c>
      <c r="J123" t="s">
        <v>179</v>
      </c>
      <c r="L123" s="14">
        <v>45078</v>
      </c>
      <c r="M123" s="18">
        <f t="shared" si="4"/>
        <v>45078</v>
      </c>
      <c r="N123">
        <v>7166430</v>
      </c>
      <c r="O123" t="s">
        <v>123</v>
      </c>
      <c r="P123" t="s">
        <v>124</v>
      </c>
      <c r="Q123">
        <v>14.33</v>
      </c>
      <c r="R123" t="s">
        <v>125</v>
      </c>
      <c r="S123" t="s">
        <v>126</v>
      </c>
      <c r="T123" t="s">
        <v>125</v>
      </c>
      <c r="U123" t="s">
        <v>126</v>
      </c>
      <c r="W123">
        <v>14.33</v>
      </c>
      <c r="Y123">
        <v>14.33</v>
      </c>
      <c r="AC123">
        <v>14.33</v>
      </c>
      <c r="BH123" t="s">
        <v>126</v>
      </c>
      <c r="BI123" t="s">
        <v>126</v>
      </c>
      <c r="BJ123" t="s">
        <v>126</v>
      </c>
      <c r="BK123" t="s">
        <v>126</v>
      </c>
      <c r="BS123" t="s">
        <v>126</v>
      </c>
      <c r="BT123" t="s">
        <v>126</v>
      </c>
      <c r="BU123" t="s">
        <v>126</v>
      </c>
      <c r="BV123" t="s">
        <v>126</v>
      </c>
      <c r="CN123" t="s">
        <v>181</v>
      </c>
      <c r="CP123" t="s">
        <v>189</v>
      </c>
      <c r="CQ123" t="s">
        <v>181</v>
      </c>
    </row>
    <row r="124" spans="1:95" x14ac:dyDescent="0.2">
      <c r="A124" t="s">
        <v>115</v>
      </c>
      <c r="B124" t="s">
        <v>116</v>
      </c>
      <c r="C124">
        <v>210784</v>
      </c>
      <c r="E124" t="s">
        <v>117</v>
      </c>
      <c r="F124">
        <v>368</v>
      </c>
      <c r="G124" t="s">
        <v>176</v>
      </c>
      <c r="H124" t="s">
        <v>177</v>
      </c>
      <c r="I124" t="s">
        <v>178</v>
      </c>
      <c r="J124" t="s">
        <v>179</v>
      </c>
      <c r="L124" s="14">
        <v>45078</v>
      </c>
      <c r="M124" s="18">
        <f t="shared" si="4"/>
        <v>45078</v>
      </c>
      <c r="N124">
        <v>7166440</v>
      </c>
      <c r="O124" t="s">
        <v>123</v>
      </c>
      <c r="P124" t="s">
        <v>124</v>
      </c>
      <c r="Q124">
        <v>15.42</v>
      </c>
      <c r="R124" t="s">
        <v>125</v>
      </c>
      <c r="S124" t="s">
        <v>126</v>
      </c>
      <c r="T124" t="s">
        <v>125</v>
      </c>
      <c r="U124" t="s">
        <v>126</v>
      </c>
      <c r="W124">
        <v>15.42</v>
      </c>
      <c r="Y124">
        <v>15.42</v>
      </c>
      <c r="AC124">
        <v>15.42</v>
      </c>
      <c r="BH124" t="s">
        <v>126</v>
      </c>
      <c r="BI124" t="s">
        <v>126</v>
      </c>
      <c r="BJ124" t="s">
        <v>126</v>
      </c>
      <c r="BK124" t="s">
        <v>126</v>
      </c>
      <c r="BS124" t="s">
        <v>126</v>
      </c>
      <c r="BT124" t="s">
        <v>126</v>
      </c>
      <c r="BU124" t="s">
        <v>126</v>
      </c>
      <c r="BV124" t="s">
        <v>126</v>
      </c>
      <c r="CN124" t="s">
        <v>181</v>
      </c>
      <c r="CP124" t="s">
        <v>189</v>
      </c>
      <c r="CQ124" t="s">
        <v>181</v>
      </c>
    </row>
    <row r="125" spans="1:95" x14ac:dyDescent="0.2">
      <c r="A125" t="s">
        <v>115</v>
      </c>
      <c r="B125" t="s">
        <v>116</v>
      </c>
      <c r="C125">
        <v>210784</v>
      </c>
      <c r="E125" t="s">
        <v>117</v>
      </c>
      <c r="F125">
        <v>368</v>
      </c>
      <c r="G125" t="s">
        <v>176</v>
      </c>
      <c r="H125" t="s">
        <v>177</v>
      </c>
      <c r="I125" t="s">
        <v>178</v>
      </c>
      <c r="J125" t="s">
        <v>179</v>
      </c>
      <c r="L125" s="14">
        <v>45078</v>
      </c>
      <c r="M125" s="18">
        <f t="shared" si="4"/>
        <v>45078</v>
      </c>
      <c r="N125">
        <v>7166450</v>
      </c>
      <c r="O125" t="s">
        <v>123</v>
      </c>
      <c r="P125" t="s">
        <v>124</v>
      </c>
      <c r="Q125">
        <v>17.82</v>
      </c>
      <c r="R125" t="s">
        <v>125</v>
      </c>
      <c r="S125" t="s">
        <v>126</v>
      </c>
      <c r="T125" t="s">
        <v>125</v>
      </c>
      <c r="U125" t="s">
        <v>126</v>
      </c>
      <c r="W125">
        <v>17.82</v>
      </c>
      <c r="Y125">
        <v>17.82</v>
      </c>
      <c r="AC125">
        <v>17.82</v>
      </c>
      <c r="BH125" t="s">
        <v>126</v>
      </c>
      <c r="BI125" t="s">
        <v>126</v>
      </c>
      <c r="BJ125" t="s">
        <v>126</v>
      </c>
      <c r="BK125" t="s">
        <v>126</v>
      </c>
      <c r="BS125" t="s">
        <v>126</v>
      </c>
      <c r="BT125" t="s">
        <v>126</v>
      </c>
      <c r="BU125" t="s">
        <v>126</v>
      </c>
      <c r="BV125" t="s">
        <v>126</v>
      </c>
      <c r="CN125" t="s">
        <v>181</v>
      </c>
      <c r="CP125" t="s">
        <v>189</v>
      </c>
      <c r="CQ125" t="s">
        <v>181</v>
      </c>
    </row>
    <row r="126" spans="1:95" x14ac:dyDescent="0.2">
      <c r="A126" t="s">
        <v>115</v>
      </c>
      <c r="B126" t="s">
        <v>116</v>
      </c>
      <c r="C126">
        <v>210784</v>
      </c>
      <c r="E126" t="s">
        <v>117</v>
      </c>
      <c r="F126">
        <v>368</v>
      </c>
      <c r="G126" t="s">
        <v>176</v>
      </c>
      <c r="H126" t="s">
        <v>177</v>
      </c>
      <c r="I126" t="s">
        <v>178</v>
      </c>
      <c r="J126" t="s">
        <v>179</v>
      </c>
      <c r="L126" s="14">
        <v>45078</v>
      </c>
      <c r="M126" s="18">
        <f t="shared" si="4"/>
        <v>45078</v>
      </c>
      <c r="N126">
        <v>7166517</v>
      </c>
      <c r="O126" t="s">
        <v>123</v>
      </c>
      <c r="P126" t="s">
        <v>124</v>
      </c>
      <c r="Q126">
        <v>21.57</v>
      </c>
      <c r="R126" t="s">
        <v>125</v>
      </c>
      <c r="S126" t="s">
        <v>126</v>
      </c>
      <c r="T126" t="s">
        <v>125</v>
      </c>
      <c r="U126" t="s">
        <v>126</v>
      </c>
      <c r="W126">
        <v>21.57</v>
      </c>
      <c r="Y126">
        <v>21.57</v>
      </c>
      <c r="AC126">
        <v>21.57</v>
      </c>
      <c r="BH126" t="s">
        <v>126</v>
      </c>
      <c r="BI126" t="s">
        <v>126</v>
      </c>
      <c r="BJ126" t="s">
        <v>126</v>
      </c>
      <c r="BK126" t="s">
        <v>126</v>
      </c>
      <c r="BS126" t="s">
        <v>126</v>
      </c>
      <c r="BT126" t="s">
        <v>126</v>
      </c>
      <c r="BU126" t="s">
        <v>126</v>
      </c>
      <c r="BV126" t="s">
        <v>126</v>
      </c>
      <c r="CN126" t="s">
        <v>181</v>
      </c>
      <c r="CP126" t="s">
        <v>189</v>
      </c>
      <c r="CQ126" t="s">
        <v>181</v>
      </c>
    </row>
    <row r="127" spans="1:95" x14ac:dyDescent="0.2">
      <c r="A127" t="s">
        <v>115</v>
      </c>
      <c r="B127" t="s">
        <v>116</v>
      </c>
      <c r="C127">
        <v>210784</v>
      </c>
      <c r="E127" t="s">
        <v>117</v>
      </c>
      <c r="F127">
        <v>368</v>
      </c>
      <c r="G127" t="s">
        <v>176</v>
      </c>
      <c r="H127" t="s">
        <v>177</v>
      </c>
      <c r="I127" t="s">
        <v>178</v>
      </c>
      <c r="J127" t="s">
        <v>179</v>
      </c>
      <c r="L127" s="14">
        <v>45078</v>
      </c>
      <c r="M127" s="18">
        <f t="shared" si="4"/>
        <v>45078</v>
      </c>
      <c r="N127">
        <v>7166520</v>
      </c>
      <c r="O127" t="s">
        <v>123</v>
      </c>
      <c r="P127" t="s">
        <v>124</v>
      </c>
      <c r="Q127">
        <v>18.46</v>
      </c>
      <c r="R127" t="s">
        <v>125</v>
      </c>
      <c r="S127" t="s">
        <v>126</v>
      </c>
      <c r="T127" t="s">
        <v>125</v>
      </c>
      <c r="U127" t="s">
        <v>126</v>
      </c>
      <c r="W127">
        <v>18.46</v>
      </c>
      <c r="Y127">
        <v>18.46</v>
      </c>
      <c r="AC127">
        <v>18.46</v>
      </c>
      <c r="BH127" t="s">
        <v>126</v>
      </c>
      <c r="BI127" t="s">
        <v>126</v>
      </c>
      <c r="BJ127" t="s">
        <v>126</v>
      </c>
      <c r="BK127" t="s">
        <v>126</v>
      </c>
      <c r="BS127" t="s">
        <v>126</v>
      </c>
      <c r="BT127" t="s">
        <v>126</v>
      </c>
      <c r="BU127" t="s">
        <v>126</v>
      </c>
      <c r="BV127" t="s">
        <v>126</v>
      </c>
      <c r="CN127" t="s">
        <v>181</v>
      </c>
      <c r="CP127" t="s">
        <v>189</v>
      </c>
      <c r="CQ127" t="s">
        <v>181</v>
      </c>
    </row>
    <row r="128" spans="1:95" x14ac:dyDescent="0.2">
      <c r="A128" t="s">
        <v>115</v>
      </c>
      <c r="B128" t="s">
        <v>116</v>
      </c>
      <c r="C128">
        <v>210784</v>
      </c>
      <c r="E128" t="s">
        <v>117</v>
      </c>
      <c r="F128">
        <v>368</v>
      </c>
      <c r="G128" t="s">
        <v>176</v>
      </c>
      <c r="H128" t="s">
        <v>177</v>
      </c>
      <c r="I128" t="s">
        <v>178</v>
      </c>
      <c r="J128" t="s">
        <v>179</v>
      </c>
      <c r="L128" s="14">
        <v>45078</v>
      </c>
      <c r="M128" s="18">
        <f t="shared" si="4"/>
        <v>45078</v>
      </c>
      <c r="N128">
        <v>7166534</v>
      </c>
      <c r="O128" t="s">
        <v>123</v>
      </c>
      <c r="P128" t="s">
        <v>124</v>
      </c>
      <c r="Q128">
        <v>17.68</v>
      </c>
      <c r="R128" t="s">
        <v>125</v>
      </c>
      <c r="S128" t="s">
        <v>126</v>
      </c>
      <c r="T128" t="s">
        <v>125</v>
      </c>
      <c r="U128" t="s">
        <v>126</v>
      </c>
      <c r="W128">
        <v>17.68</v>
      </c>
      <c r="Y128">
        <v>17.68</v>
      </c>
      <c r="AC128">
        <v>17.68</v>
      </c>
      <c r="BH128" t="s">
        <v>126</v>
      </c>
      <c r="BI128" t="s">
        <v>126</v>
      </c>
      <c r="BJ128" t="s">
        <v>126</v>
      </c>
      <c r="BK128" t="s">
        <v>126</v>
      </c>
      <c r="BS128" t="s">
        <v>126</v>
      </c>
      <c r="BT128" t="s">
        <v>126</v>
      </c>
      <c r="BU128" t="s">
        <v>126</v>
      </c>
      <c r="BV128" t="s">
        <v>126</v>
      </c>
      <c r="CN128" t="s">
        <v>181</v>
      </c>
      <c r="CP128" t="s">
        <v>189</v>
      </c>
      <c r="CQ128" t="s">
        <v>181</v>
      </c>
    </row>
    <row r="129" spans="1:95" x14ac:dyDescent="0.2">
      <c r="A129" t="s">
        <v>115</v>
      </c>
      <c r="B129" t="s">
        <v>116</v>
      </c>
      <c r="C129">
        <v>210784</v>
      </c>
      <c r="E129" t="s">
        <v>117</v>
      </c>
      <c r="F129">
        <v>368</v>
      </c>
      <c r="G129" t="s">
        <v>176</v>
      </c>
      <c r="H129" t="s">
        <v>177</v>
      </c>
      <c r="I129" t="s">
        <v>178</v>
      </c>
      <c r="J129" t="s">
        <v>179</v>
      </c>
      <c r="L129" s="14">
        <v>45078</v>
      </c>
      <c r="M129" s="18">
        <f t="shared" si="4"/>
        <v>45078</v>
      </c>
      <c r="N129">
        <v>7166555</v>
      </c>
      <c r="O129" t="s">
        <v>123</v>
      </c>
      <c r="P129" t="s">
        <v>124</v>
      </c>
      <c r="Q129">
        <v>18.39</v>
      </c>
      <c r="R129" t="s">
        <v>125</v>
      </c>
      <c r="S129" t="s">
        <v>126</v>
      </c>
      <c r="T129" t="s">
        <v>125</v>
      </c>
      <c r="U129" t="s">
        <v>126</v>
      </c>
      <c r="W129">
        <v>18.39</v>
      </c>
      <c r="Y129">
        <v>18.39</v>
      </c>
      <c r="AC129">
        <v>18.39</v>
      </c>
      <c r="BH129" t="s">
        <v>126</v>
      </c>
      <c r="BI129" t="s">
        <v>126</v>
      </c>
      <c r="BJ129" t="s">
        <v>126</v>
      </c>
      <c r="BK129" t="s">
        <v>126</v>
      </c>
      <c r="BS129" t="s">
        <v>126</v>
      </c>
      <c r="BT129" t="s">
        <v>126</v>
      </c>
      <c r="BU129" t="s">
        <v>126</v>
      </c>
      <c r="BV129" t="s">
        <v>126</v>
      </c>
      <c r="CN129" t="s">
        <v>181</v>
      </c>
      <c r="CP129" t="s">
        <v>189</v>
      </c>
      <c r="CQ129" t="s">
        <v>181</v>
      </c>
    </row>
    <row r="130" spans="1:95" x14ac:dyDescent="0.2">
      <c r="A130" t="s">
        <v>115</v>
      </c>
      <c r="B130" t="s">
        <v>116</v>
      </c>
      <c r="C130">
        <v>210784</v>
      </c>
      <c r="E130" t="s">
        <v>117</v>
      </c>
      <c r="F130">
        <v>368</v>
      </c>
      <c r="G130" t="s">
        <v>176</v>
      </c>
      <c r="H130" t="s">
        <v>177</v>
      </c>
      <c r="I130" t="s">
        <v>178</v>
      </c>
      <c r="J130" t="s">
        <v>179</v>
      </c>
      <c r="L130" s="14">
        <v>45078</v>
      </c>
      <c r="M130" s="18">
        <f t="shared" si="4"/>
        <v>45078</v>
      </c>
      <c r="N130">
        <v>7166574</v>
      </c>
      <c r="O130" t="s">
        <v>123</v>
      </c>
      <c r="P130" t="s">
        <v>124</v>
      </c>
      <c r="Q130">
        <v>16.63</v>
      </c>
      <c r="R130" t="s">
        <v>125</v>
      </c>
      <c r="S130" t="s">
        <v>126</v>
      </c>
      <c r="T130" t="s">
        <v>125</v>
      </c>
      <c r="U130" t="s">
        <v>126</v>
      </c>
      <c r="W130">
        <v>16.63</v>
      </c>
      <c r="Y130">
        <v>16.63</v>
      </c>
      <c r="AC130">
        <v>16.63</v>
      </c>
      <c r="BH130" t="s">
        <v>126</v>
      </c>
      <c r="BI130" t="s">
        <v>126</v>
      </c>
      <c r="BJ130" t="s">
        <v>126</v>
      </c>
      <c r="BK130" t="s">
        <v>126</v>
      </c>
      <c r="BS130" t="s">
        <v>126</v>
      </c>
      <c r="BT130" t="s">
        <v>126</v>
      </c>
      <c r="BU130" t="s">
        <v>126</v>
      </c>
      <c r="BV130" t="s">
        <v>126</v>
      </c>
      <c r="CN130" t="s">
        <v>181</v>
      </c>
      <c r="CP130" t="s">
        <v>189</v>
      </c>
      <c r="CQ130" t="s">
        <v>181</v>
      </c>
    </row>
    <row r="131" spans="1:95" x14ac:dyDescent="0.2">
      <c r="A131" t="s">
        <v>115</v>
      </c>
      <c r="B131" t="s">
        <v>116</v>
      </c>
      <c r="C131">
        <v>210784</v>
      </c>
      <c r="E131" t="s">
        <v>117</v>
      </c>
      <c r="F131">
        <v>368</v>
      </c>
      <c r="G131" t="s">
        <v>176</v>
      </c>
      <c r="H131" t="s">
        <v>177</v>
      </c>
      <c r="I131" t="s">
        <v>178</v>
      </c>
      <c r="J131" t="s">
        <v>179</v>
      </c>
      <c r="L131" s="14">
        <v>45078</v>
      </c>
      <c r="M131" s="18">
        <f t="shared" si="4"/>
        <v>45078</v>
      </c>
      <c r="N131">
        <v>7166576</v>
      </c>
      <c r="O131" t="s">
        <v>123</v>
      </c>
      <c r="P131" t="s">
        <v>124</v>
      </c>
      <c r="Q131">
        <v>18.690000000000001</v>
      </c>
      <c r="R131" t="s">
        <v>125</v>
      </c>
      <c r="S131" t="s">
        <v>126</v>
      </c>
      <c r="T131" t="s">
        <v>125</v>
      </c>
      <c r="U131" t="s">
        <v>126</v>
      </c>
      <c r="W131">
        <v>18.690000000000001</v>
      </c>
      <c r="Y131">
        <v>18.690000000000001</v>
      </c>
      <c r="AC131">
        <v>18.690000000000001</v>
      </c>
      <c r="BH131" t="s">
        <v>126</v>
      </c>
      <c r="BI131" t="s">
        <v>126</v>
      </c>
      <c r="BJ131" t="s">
        <v>126</v>
      </c>
      <c r="BK131" t="s">
        <v>126</v>
      </c>
      <c r="BS131" t="s">
        <v>126</v>
      </c>
      <c r="BT131" t="s">
        <v>126</v>
      </c>
      <c r="BU131" t="s">
        <v>126</v>
      </c>
      <c r="BV131" t="s">
        <v>126</v>
      </c>
      <c r="CN131" t="s">
        <v>181</v>
      </c>
      <c r="CP131" t="s">
        <v>189</v>
      </c>
      <c r="CQ131" t="s">
        <v>181</v>
      </c>
    </row>
    <row r="132" spans="1:95" x14ac:dyDescent="0.2">
      <c r="A132" t="s">
        <v>115</v>
      </c>
      <c r="B132" t="s">
        <v>116</v>
      </c>
      <c r="C132">
        <v>210784</v>
      </c>
      <c r="E132" t="s">
        <v>117</v>
      </c>
      <c r="F132">
        <v>368</v>
      </c>
      <c r="G132" t="s">
        <v>176</v>
      </c>
      <c r="H132" t="s">
        <v>177</v>
      </c>
      <c r="I132" t="s">
        <v>492</v>
      </c>
      <c r="J132" t="s">
        <v>493</v>
      </c>
      <c r="L132" s="14">
        <v>45078</v>
      </c>
      <c r="M132" s="18">
        <f t="shared" si="4"/>
        <v>45078</v>
      </c>
      <c r="N132" t="s">
        <v>500</v>
      </c>
      <c r="O132" t="s">
        <v>123</v>
      </c>
      <c r="P132" t="s">
        <v>124</v>
      </c>
      <c r="Q132">
        <v>5.7</v>
      </c>
      <c r="R132" t="s">
        <v>125</v>
      </c>
      <c r="S132" t="s">
        <v>126</v>
      </c>
      <c r="T132" t="s">
        <v>125</v>
      </c>
      <c r="U132" t="s">
        <v>126</v>
      </c>
      <c r="W132">
        <v>5.7</v>
      </c>
      <c r="Y132">
        <v>5.7</v>
      </c>
      <c r="AF132">
        <v>5.7</v>
      </c>
      <c r="BH132" t="s">
        <v>126</v>
      </c>
      <c r="BI132" t="s">
        <v>126</v>
      </c>
      <c r="BJ132" t="s">
        <v>126</v>
      </c>
      <c r="BK132" t="s">
        <v>126</v>
      </c>
      <c r="BS132" t="s">
        <v>126</v>
      </c>
      <c r="BT132" t="s">
        <v>126</v>
      </c>
      <c r="BU132" t="s">
        <v>126</v>
      </c>
      <c r="BV132" t="s">
        <v>126</v>
      </c>
      <c r="CN132" t="s">
        <v>181</v>
      </c>
      <c r="CP132" t="s">
        <v>182</v>
      </c>
      <c r="CQ132" t="s">
        <v>181</v>
      </c>
    </row>
    <row r="133" spans="1:95" x14ac:dyDescent="0.2">
      <c r="A133" t="s">
        <v>115</v>
      </c>
      <c r="B133" t="s">
        <v>116</v>
      </c>
      <c r="C133">
        <v>210784</v>
      </c>
      <c r="E133" t="s">
        <v>117</v>
      </c>
      <c r="F133">
        <v>368</v>
      </c>
      <c r="G133" t="s">
        <v>141</v>
      </c>
      <c r="H133" t="s">
        <v>142</v>
      </c>
      <c r="I133" t="s">
        <v>279</v>
      </c>
      <c r="J133" t="s">
        <v>280</v>
      </c>
      <c r="L133" s="14">
        <v>45082</v>
      </c>
      <c r="M133" s="18">
        <f t="shared" si="4"/>
        <v>45078</v>
      </c>
      <c r="N133">
        <v>5267850</v>
      </c>
      <c r="O133" t="s">
        <v>123</v>
      </c>
      <c r="P133" t="s">
        <v>146</v>
      </c>
      <c r="Q133">
        <v>0.66</v>
      </c>
      <c r="R133" t="s">
        <v>540</v>
      </c>
      <c r="S133" t="s">
        <v>126</v>
      </c>
      <c r="T133" t="s">
        <v>540</v>
      </c>
      <c r="U133" t="s">
        <v>541</v>
      </c>
      <c r="W133">
        <v>0.2</v>
      </c>
      <c r="X133">
        <v>0.45999999999999996</v>
      </c>
      <c r="Y133">
        <v>0.66</v>
      </c>
      <c r="Z133">
        <v>0.25</v>
      </c>
      <c r="AG133">
        <v>0.2</v>
      </c>
      <c r="AI133">
        <v>0.21</v>
      </c>
      <c r="BH133" t="s">
        <v>126</v>
      </c>
      <c r="BI133" t="s">
        <v>126</v>
      </c>
      <c r="BJ133" t="s">
        <v>126</v>
      </c>
      <c r="BK133" t="s">
        <v>126</v>
      </c>
      <c r="BS133" t="s">
        <v>126</v>
      </c>
      <c r="BT133" t="s">
        <v>126</v>
      </c>
      <c r="BU133" t="s">
        <v>126</v>
      </c>
      <c r="BV133" t="s">
        <v>126</v>
      </c>
      <c r="CN133" t="s">
        <v>542</v>
      </c>
      <c r="CP133" t="s">
        <v>199</v>
      </c>
      <c r="CQ133" t="s">
        <v>542</v>
      </c>
    </row>
    <row r="134" spans="1:95" x14ac:dyDescent="0.2">
      <c r="A134" t="s">
        <v>115</v>
      </c>
      <c r="B134" t="s">
        <v>116</v>
      </c>
      <c r="C134">
        <v>210784</v>
      </c>
      <c r="E134" t="s">
        <v>117</v>
      </c>
      <c r="F134">
        <v>368</v>
      </c>
      <c r="G134" t="s">
        <v>176</v>
      </c>
      <c r="H134" t="s">
        <v>177</v>
      </c>
      <c r="I134" t="s">
        <v>492</v>
      </c>
      <c r="J134" t="s">
        <v>493</v>
      </c>
      <c r="L134" s="14">
        <v>45084</v>
      </c>
      <c r="M134" s="18">
        <f t="shared" si="4"/>
        <v>45078</v>
      </c>
      <c r="N134" t="s">
        <v>502</v>
      </c>
      <c r="O134" t="s">
        <v>123</v>
      </c>
      <c r="P134" t="s">
        <v>124</v>
      </c>
      <c r="Q134">
        <v>3.49</v>
      </c>
      <c r="R134" t="s">
        <v>125</v>
      </c>
      <c r="S134" t="s">
        <v>126</v>
      </c>
      <c r="T134" t="s">
        <v>125</v>
      </c>
      <c r="U134" t="s">
        <v>126</v>
      </c>
      <c r="W134">
        <v>3.49</v>
      </c>
      <c r="Y134">
        <v>3.49</v>
      </c>
      <c r="AF134">
        <v>3.49</v>
      </c>
      <c r="BH134" t="s">
        <v>126</v>
      </c>
      <c r="BI134" t="s">
        <v>126</v>
      </c>
      <c r="BJ134" t="s">
        <v>126</v>
      </c>
      <c r="BK134" t="s">
        <v>126</v>
      </c>
      <c r="BS134" t="s">
        <v>126</v>
      </c>
      <c r="BT134" t="s">
        <v>126</v>
      </c>
      <c r="BU134" t="s">
        <v>126</v>
      </c>
      <c r="BV134" t="s">
        <v>126</v>
      </c>
      <c r="CN134" t="s">
        <v>181</v>
      </c>
      <c r="CP134" t="s">
        <v>182</v>
      </c>
      <c r="CQ134" t="s">
        <v>181</v>
      </c>
    </row>
    <row r="135" spans="1:95" x14ac:dyDescent="0.2">
      <c r="A135" t="s">
        <v>115</v>
      </c>
      <c r="B135" t="s">
        <v>116</v>
      </c>
      <c r="C135">
        <v>210784</v>
      </c>
      <c r="E135" t="s">
        <v>117</v>
      </c>
      <c r="F135">
        <v>368</v>
      </c>
      <c r="G135" t="s">
        <v>176</v>
      </c>
      <c r="H135" t="s">
        <v>177</v>
      </c>
      <c r="I135" t="s">
        <v>178</v>
      </c>
      <c r="J135" t="s">
        <v>179</v>
      </c>
      <c r="L135" s="14">
        <v>45091</v>
      </c>
      <c r="M135" s="18">
        <f t="shared" si="4"/>
        <v>45078</v>
      </c>
      <c r="N135">
        <v>7169038</v>
      </c>
      <c r="O135" t="s">
        <v>123</v>
      </c>
      <c r="P135" t="s">
        <v>124</v>
      </c>
      <c r="Q135">
        <v>23.45</v>
      </c>
      <c r="R135" t="s">
        <v>125</v>
      </c>
      <c r="S135" t="s">
        <v>126</v>
      </c>
      <c r="T135" t="s">
        <v>125</v>
      </c>
      <c r="U135" t="s">
        <v>126</v>
      </c>
      <c r="W135">
        <v>23.45</v>
      </c>
      <c r="Y135">
        <v>23.45</v>
      </c>
      <c r="AC135">
        <v>23.45</v>
      </c>
      <c r="BH135" t="s">
        <v>126</v>
      </c>
      <c r="BI135" t="s">
        <v>126</v>
      </c>
      <c r="BJ135" t="s">
        <v>126</v>
      </c>
      <c r="BK135" t="s">
        <v>126</v>
      </c>
      <c r="BS135" t="s">
        <v>126</v>
      </c>
      <c r="BT135" t="s">
        <v>126</v>
      </c>
      <c r="BU135" t="s">
        <v>126</v>
      </c>
      <c r="BV135" t="s">
        <v>126</v>
      </c>
      <c r="CN135" t="s">
        <v>181</v>
      </c>
      <c r="CP135" t="s">
        <v>189</v>
      </c>
      <c r="CQ135" t="s">
        <v>181</v>
      </c>
    </row>
    <row r="136" spans="1:95" x14ac:dyDescent="0.2">
      <c r="A136" t="s">
        <v>115</v>
      </c>
      <c r="B136" t="s">
        <v>116</v>
      </c>
      <c r="C136">
        <v>210784</v>
      </c>
      <c r="E136" t="s">
        <v>117</v>
      </c>
      <c r="F136">
        <v>368</v>
      </c>
      <c r="G136" t="s">
        <v>176</v>
      </c>
      <c r="H136" t="s">
        <v>177</v>
      </c>
      <c r="I136" t="s">
        <v>178</v>
      </c>
      <c r="J136" t="s">
        <v>179</v>
      </c>
      <c r="L136" s="14">
        <v>45091</v>
      </c>
      <c r="M136" s="18">
        <f t="shared" si="4"/>
        <v>45078</v>
      </c>
      <c r="N136">
        <v>7169074</v>
      </c>
      <c r="O136" t="s">
        <v>123</v>
      </c>
      <c r="P136" t="s">
        <v>124</v>
      </c>
      <c r="Q136">
        <v>26.07</v>
      </c>
      <c r="R136" t="s">
        <v>125</v>
      </c>
      <c r="S136" t="s">
        <v>126</v>
      </c>
      <c r="T136" t="s">
        <v>125</v>
      </c>
      <c r="U136" t="s">
        <v>126</v>
      </c>
      <c r="W136">
        <v>26.07</v>
      </c>
      <c r="Y136">
        <v>26.07</v>
      </c>
      <c r="AC136">
        <v>26.07</v>
      </c>
      <c r="BH136" t="s">
        <v>126</v>
      </c>
      <c r="BI136" t="s">
        <v>126</v>
      </c>
      <c r="BJ136" t="s">
        <v>126</v>
      </c>
      <c r="BK136" t="s">
        <v>126</v>
      </c>
      <c r="BS136" t="s">
        <v>126</v>
      </c>
      <c r="BT136" t="s">
        <v>126</v>
      </c>
      <c r="BU136" t="s">
        <v>126</v>
      </c>
      <c r="BV136" t="s">
        <v>126</v>
      </c>
      <c r="CN136" t="s">
        <v>181</v>
      </c>
      <c r="CP136" t="s">
        <v>189</v>
      </c>
      <c r="CQ136" t="s">
        <v>181</v>
      </c>
    </row>
    <row r="137" spans="1:95" x14ac:dyDescent="0.2">
      <c r="A137" t="s">
        <v>115</v>
      </c>
      <c r="B137" t="s">
        <v>116</v>
      </c>
      <c r="C137">
        <v>210784</v>
      </c>
      <c r="E137" t="s">
        <v>117</v>
      </c>
      <c r="F137">
        <v>368</v>
      </c>
      <c r="G137" t="s">
        <v>176</v>
      </c>
      <c r="H137" t="s">
        <v>177</v>
      </c>
      <c r="I137" t="s">
        <v>178</v>
      </c>
      <c r="J137" t="s">
        <v>179</v>
      </c>
      <c r="L137" s="14">
        <v>45092</v>
      </c>
      <c r="M137" s="18">
        <f t="shared" si="4"/>
        <v>45078</v>
      </c>
      <c r="N137">
        <v>7169135</v>
      </c>
      <c r="O137" t="s">
        <v>123</v>
      </c>
      <c r="P137" t="s">
        <v>124</v>
      </c>
      <c r="Q137">
        <v>20.18</v>
      </c>
      <c r="R137" t="s">
        <v>125</v>
      </c>
      <c r="S137" t="s">
        <v>126</v>
      </c>
      <c r="T137" t="s">
        <v>125</v>
      </c>
      <c r="U137" t="s">
        <v>126</v>
      </c>
      <c r="W137">
        <v>20.18</v>
      </c>
      <c r="Y137">
        <v>20.18</v>
      </c>
      <c r="AC137">
        <v>20.18</v>
      </c>
      <c r="BH137" t="s">
        <v>126</v>
      </c>
      <c r="BI137" t="s">
        <v>126</v>
      </c>
      <c r="BJ137" t="s">
        <v>126</v>
      </c>
      <c r="BK137" t="s">
        <v>126</v>
      </c>
      <c r="BS137" t="s">
        <v>126</v>
      </c>
      <c r="BT137" t="s">
        <v>126</v>
      </c>
      <c r="BU137" t="s">
        <v>126</v>
      </c>
      <c r="BV137" t="s">
        <v>126</v>
      </c>
      <c r="CN137" t="s">
        <v>181</v>
      </c>
      <c r="CP137" t="s">
        <v>189</v>
      </c>
      <c r="CQ137" t="s">
        <v>181</v>
      </c>
    </row>
    <row r="138" spans="1:95" x14ac:dyDescent="0.2">
      <c r="A138" t="s">
        <v>115</v>
      </c>
      <c r="B138" t="s">
        <v>116</v>
      </c>
      <c r="C138">
        <v>210784</v>
      </c>
      <c r="E138" t="s">
        <v>117</v>
      </c>
      <c r="F138">
        <v>368</v>
      </c>
      <c r="G138" t="s">
        <v>176</v>
      </c>
      <c r="H138" t="s">
        <v>177</v>
      </c>
      <c r="I138" t="s">
        <v>178</v>
      </c>
      <c r="J138" t="s">
        <v>179</v>
      </c>
      <c r="L138" s="14">
        <v>45092</v>
      </c>
      <c r="M138" s="18">
        <f t="shared" si="4"/>
        <v>45078</v>
      </c>
      <c r="N138">
        <v>7169137</v>
      </c>
      <c r="O138" t="s">
        <v>123</v>
      </c>
      <c r="P138" t="s">
        <v>124</v>
      </c>
      <c r="Q138">
        <v>20.88</v>
      </c>
      <c r="R138" t="s">
        <v>125</v>
      </c>
      <c r="S138" t="s">
        <v>126</v>
      </c>
      <c r="T138" t="s">
        <v>125</v>
      </c>
      <c r="U138" t="s">
        <v>126</v>
      </c>
      <c r="W138">
        <v>20.88</v>
      </c>
      <c r="Y138">
        <v>20.88</v>
      </c>
      <c r="AC138">
        <v>20.88</v>
      </c>
      <c r="BH138" t="s">
        <v>126</v>
      </c>
      <c r="BI138" t="s">
        <v>126</v>
      </c>
      <c r="BJ138" t="s">
        <v>126</v>
      </c>
      <c r="BK138" t="s">
        <v>126</v>
      </c>
      <c r="BS138" t="s">
        <v>126</v>
      </c>
      <c r="BT138" t="s">
        <v>126</v>
      </c>
      <c r="BU138" t="s">
        <v>126</v>
      </c>
      <c r="BV138" t="s">
        <v>126</v>
      </c>
      <c r="CN138" t="s">
        <v>181</v>
      </c>
      <c r="CP138" t="s">
        <v>189</v>
      </c>
      <c r="CQ138" t="s">
        <v>181</v>
      </c>
    </row>
    <row r="139" spans="1:95" x14ac:dyDescent="0.2">
      <c r="A139" t="s">
        <v>115</v>
      </c>
      <c r="B139" t="s">
        <v>116</v>
      </c>
      <c r="C139">
        <v>210784</v>
      </c>
      <c r="E139" t="s">
        <v>117</v>
      </c>
      <c r="F139">
        <v>368</v>
      </c>
      <c r="G139" t="s">
        <v>176</v>
      </c>
      <c r="H139" t="s">
        <v>177</v>
      </c>
      <c r="I139" t="s">
        <v>178</v>
      </c>
      <c r="J139" t="s">
        <v>179</v>
      </c>
      <c r="L139" s="14">
        <v>45092</v>
      </c>
      <c r="M139" s="18">
        <f t="shared" ref="M139:M202" si="5">DATE(YEAR(L139), MONTH(L139), 1)</f>
        <v>45078</v>
      </c>
      <c r="N139">
        <v>7169213</v>
      </c>
      <c r="O139" t="s">
        <v>123</v>
      </c>
      <c r="P139" t="s">
        <v>124</v>
      </c>
      <c r="Q139">
        <v>23.81</v>
      </c>
      <c r="R139" t="s">
        <v>125</v>
      </c>
      <c r="S139" t="s">
        <v>126</v>
      </c>
      <c r="T139" t="s">
        <v>125</v>
      </c>
      <c r="U139" t="s">
        <v>126</v>
      </c>
      <c r="W139">
        <v>23.81</v>
      </c>
      <c r="Y139">
        <v>23.81</v>
      </c>
      <c r="AC139">
        <v>23.81</v>
      </c>
      <c r="BH139" t="s">
        <v>126</v>
      </c>
      <c r="BI139" t="s">
        <v>126</v>
      </c>
      <c r="BJ139" t="s">
        <v>126</v>
      </c>
      <c r="BK139" t="s">
        <v>126</v>
      </c>
      <c r="BS139" t="s">
        <v>126</v>
      </c>
      <c r="BT139" t="s">
        <v>126</v>
      </c>
      <c r="BU139" t="s">
        <v>126</v>
      </c>
      <c r="BV139" t="s">
        <v>126</v>
      </c>
      <c r="CN139" t="s">
        <v>181</v>
      </c>
      <c r="CP139" t="s">
        <v>189</v>
      </c>
      <c r="CQ139" t="s">
        <v>181</v>
      </c>
    </row>
    <row r="140" spans="1:95" x14ac:dyDescent="0.2">
      <c r="A140" t="s">
        <v>115</v>
      </c>
      <c r="B140" t="s">
        <v>116</v>
      </c>
      <c r="C140">
        <v>210784</v>
      </c>
      <c r="E140" t="s">
        <v>117</v>
      </c>
      <c r="F140">
        <v>368</v>
      </c>
      <c r="G140" t="s">
        <v>176</v>
      </c>
      <c r="H140" t="s">
        <v>177</v>
      </c>
      <c r="I140" t="s">
        <v>178</v>
      </c>
      <c r="J140" t="s">
        <v>179</v>
      </c>
      <c r="L140" s="14">
        <v>45092</v>
      </c>
      <c r="M140" s="18">
        <f t="shared" si="5"/>
        <v>45078</v>
      </c>
      <c r="N140">
        <v>7169217</v>
      </c>
      <c r="O140" t="s">
        <v>123</v>
      </c>
      <c r="P140" t="s">
        <v>124</v>
      </c>
      <c r="Q140">
        <v>19.41</v>
      </c>
      <c r="R140" t="s">
        <v>125</v>
      </c>
      <c r="S140" t="s">
        <v>126</v>
      </c>
      <c r="T140" t="s">
        <v>125</v>
      </c>
      <c r="U140" t="s">
        <v>126</v>
      </c>
      <c r="W140">
        <v>19.41</v>
      </c>
      <c r="Y140">
        <v>19.41</v>
      </c>
      <c r="AC140">
        <v>19.41</v>
      </c>
      <c r="BH140" t="s">
        <v>126</v>
      </c>
      <c r="BI140" t="s">
        <v>126</v>
      </c>
      <c r="BJ140" t="s">
        <v>126</v>
      </c>
      <c r="BK140" t="s">
        <v>126</v>
      </c>
      <c r="BS140" t="s">
        <v>126</v>
      </c>
      <c r="BT140" t="s">
        <v>126</v>
      </c>
      <c r="BU140" t="s">
        <v>126</v>
      </c>
      <c r="BV140" t="s">
        <v>126</v>
      </c>
      <c r="CN140" t="s">
        <v>181</v>
      </c>
      <c r="CP140" t="s">
        <v>189</v>
      </c>
      <c r="CQ140" t="s">
        <v>181</v>
      </c>
    </row>
    <row r="141" spans="1:95" x14ac:dyDescent="0.2">
      <c r="A141" t="s">
        <v>115</v>
      </c>
      <c r="B141" t="s">
        <v>116</v>
      </c>
      <c r="C141">
        <v>210784</v>
      </c>
      <c r="E141" t="s">
        <v>117</v>
      </c>
      <c r="F141">
        <v>368</v>
      </c>
      <c r="G141" t="s">
        <v>176</v>
      </c>
      <c r="H141" t="s">
        <v>177</v>
      </c>
      <c r="I141" t="s">
        <v>178</v>
      </c>
      <c r="J141" t="s">
        <v>179</v>
      </c>
      <c r="L141" s="14">
        <v>45092</v>
      </c>
      <c r="M141" s="18">
        <f t="shared" si="5"/>
        <v>45078</v>
      </c>
      <c r="N141">
        <v>7169281</v>
      </c>
      <c r="O141" t="s">
        <v>123</v>
      </c>
      <c r="P141" t="s">
        <v>124</v>
      </c>
      <c r="Q141">
        <v>19.079999999999998</v>
      </c>
      <c r="R141" t="s">
        <v>125</v>
      </c>
      <c r="S141" t="s">
        <v>126</v>
      </c>
      <c r="T141" t="s">
        <v>125</v>
      </c>
      <c r="U141" t="s">
        <v>126</v>
      </c>
      <c r="W141">
        <v>19.079999999999998</v>
      </c>
      <c r="Y141">
        <v>19.079999999999998</v>
      </c>
      <c r="AC141">
        <v>19.079999999999998</v>
      </c>
      <c r="BH141" t="s">
        <v>126</v>
      </c>
      <c r="BI141" t="s">
        <v>126</v>
      </c>
      <c r="BJ141" t="s">
        <v>126</v>
      </c>
      <c r="BK141" t="s">
        <v>126</v>
      </c>
      <c r="BS141" t="s">
        <v>126</v>
      </c>
      <c r="BT141" t="s">
        <v>126</v>
      </c>
      <c r="BU141" t="s">
        <v>126</v>
      </c>
      <c r="BV141" t="s">
        <v>126</v>
      </c>
      <c r="CN141" t="s">
        <v>181</v>
      </c>
      <c r="CP141" t="s">
        <v>189</v>
      </c>
      <c r="CQ141" t="s">
        <v>181</v>
      </c>
    </row>
    <row r="142" spans="1:95" x14ac:dyDescent="0.2">
      <c r="A142" t="s">
        <v>115</v>
      </c>
      <c r="B142" t="s">
        <v>116</v>
      </c>
      <c r="C142">
        <v>210784</v>
      </c>
      <c r="E142" t="s">
        <v>117</v>
      </c>
      <c r="F142">
        <v>368</v>
      </c>
      <c r="G142" t="s">
        <v>176</v>
      </c>
      <c r="H142" t="s">
        <v>177</v>
      </c>
      <c r="I142" t="s">
        <v>492</v>
      </c>
      <c r="J142" t="s">
        <v>493</v>
      </c>
      <c r="L142" s="14">
        <v>45093</v>
      </c>
      <c r="M142" s="18">
        <f t="shared" si="5"/>
        <v>45078</v>
      </c>
      <c r="N142" t="s">
        <v>504</v>
      </c>
      <c r="O142" t="s">
        <v>123</v>
      </c>
      <c r="P142" t="s">
        <v>124</v>
      </c>
      <c r="Q142">
        <v>7.05</v>
      </c>
      <c r="R142" t="s">
        <v>125</v>
      </c>
      <c r="S142" t="s">
        <v>126</v>
      </c>
      <c r="T142" t="s">
        <v>125</v>
      </c>
      <c r="U142" t="s">
        <v>126</v>
      </c>
      <c r="W142">
        <v>7.05</v>
      </c>
      <c r="Y142">
        <v>7.05</v>
      </c>
      <c r="AF142">
        <v>7.05</v>
      </c>
      <c r="BH142" t="s">
        <v>126</v>
      </c>
      <c r="BI142" t="s">
        <v>126</v>
      </c>
      <c r="BJ142" t="s">
        <v>126</v>
      </c>
      <c r="BK142" t="s">
        <v>126</v>
      </c>
      <c r="BS142" t="s">
        <v>126</v>
      </c>
      <c r="BT142" t="s">
        <v>126</v>
      </c>
      <c r="BU142" t="s">
        <v>126</v>
      </c>
      <c r="BV142" t="s">
        <v>126</v>
      </c>
      <c r="CN142" t="s">
        <v>181</v>
      </c>
      <c r="CP142" t="s">
        <v>182</v>
      </c>
      <c r="CQ142" t="s">
        <v>181</v>
      </c>
    </row>
    <row r="143" spans="1:95" x14ac:dyDescent="0.2">
      <c r="A143" t="s">
        <v>115</v>
      </c>
      <c r="B143" t="s">
        <v>116</v>
      </c>
      <c r="C143">
        <v>210784</v>
      </c>
      <c r="E143" t="s">
        <v>117</v>
      </c>
      <c r="F143">
        <v>368</v>
      </c>
      <c r="G143" t="s">
        <v>141</v>
      </c>
      <c r="H143" t="s">
        <v>142</v>
      </c>
      <c r="I143" t="s">
        <v>279</v>
      </c>
      <c r="J143" t="s">
        <v>280</v>
      </c>
      <c r="L143" s="14">
        <v>45097</v>
      </c>
      <c r="M143" s="18">
        <f t="shared" si="5"/>
        <v>45078</v>
      </c>
      <c r="N143">
        <v>5278580</v>
      </c>
      <c r="O143" t="s">
        <v>123</v>
      </c>
      <c r="P143" t="s">
        <v>146</v>
      </c>
      <c r="Q143">
        <v>1.5299999999999998</v>
      </c>
      <c r="R143" t="s">
        <v>544</v>
      </c>
      <c r="S143" t="s">
        <v>126</v>
      </c>
      <c r="T143" t="s">
        <v>544</v>
      </c>
      <c r="U143" t="s">
        <v>545</v>
      </c>
      <c r="W143">
        <v>0.47</v>
      </c>
      <c r="X143">
        <v>1.06</v>
      </c>
      <c r="Y143">
        <v>1.5299999999999998</v>
      </c>
      <c r="Z143">
        <v>0.57999999999999996</v>
      </c>
      <c r="AG143">
        <v>0.47</v>
      </c>
      <c r="AI143">
        <v>0.48</v>
      </c>
      <c r="BH143" t="s">
        <v>126</v>
      </c>
      <c r="BI143" t="s">
        <v>126</v>
      </c>
      <c r="BJ143" t="s">
        <v>126</v>
      </c>
      <c r="BK143" t="s">
        <v>126</v>
      </c>
      <c r="BS143" t="s">
        <v>126</v>
      </c>
      <c r="BT143" t="s">
        <v>126</v>
      </c>
      <c r="BU143" t="s">
        <v>126</v>
      </c>
      <c r="BV143" t="s">
        <v>126</v>
      </c>
      <c r="CN143" t="s">
        <v>542</v>
      </c>
      <c r="CP143" t="s">
        <v>199</v>
      </c>
      <c r="CQ143" t="s">
        <v>542</v>
      </c>
    </row>
    <row r="144" spans="1:95" x14ac:dyDescent="0.2">
      <c r="A144" t="s">
        <v>115</v>
      </c>
      <c r="B144" t="s">
        <v>116</v>
      </c>
      <c r="C144">
        <v>210784</v>
      </c>
      <c r="E144" t="s">
        <v>117</v>
      </c>
      <c r="F144">
        <v>368</v>
      </c>
      <c r="G144" t="s">
        <v>176</v>
      </c>
      <c r="H144" t="s">
        <v>177</v>
      </c>
      <c r="I144" t="s">
        <v>178</v>
      </c>
      <c r="J144" t="s">
        <v>179</v>
      </c>
      <c r="L144" s="14">
        <v>45098</v>
      </c>
      <c r="M144" s="18">
        <f t="shared" si="5"/>
        <v>45078</v>
      </c>
      <c r="N144">
        <v>7170189</v>
      </c>
      <c r="O144" t="s">
        <v>123</v>
      </c>
      <c r="P144" t="s">
        <v>124</v>
      </c>
      <c r="Q144">
        <v>41.73</v>
      </c>
      <c r="R144" t="s">
        <v>125</v>
      </c>
      <c r="S144" t="s">
        <v>126</v>
      </c>
      <c r="T144" t="s">
        <v>125</v>
      </c>
      <c r="U144" t="s">
        <v>126</v>
      </c>
      <c r="W144">
        <v>41.73</v>
      </c>
      <c r="Y144">
        <v>41.73</v>
      </c>
      <c r="AC144">
        <v>41.73</v>
      </c>
      <c r="BH144" t="s">
        <v>126</v>
      </c>
      <c r="BI144" t="s">
        <v>126</v>
      </c>
      <c r="BJ144" t="s">
        <v>126</v>
      </c>
      <c r="BK144" t="s">
        <v>126</v>
      </c>
      <c r="BS144" t="s">
        <v>126</v>
      </c>
      <c r="BT144" t="s">
        <v>126</v>
      </c>
      <c r="BU144" t="s">
        <v>126</v>
      </c>
      <c r="BV144" t="s">
        <v>126</v>
      </c>
      <c r="CN144" t="s">
        <v>181</v>
      </c>
      <c r="CP144" t="s">
        <v>189</v>
      </c>
      <c r="CQ144" t="s">
        <v>181</v>
      </c>
    </row>
    <row r="145" spans="1:95" x14ac:dyDescent="0.2">
      <c r="A145" t="s">
        <v>115</v>
      </c>
      <c r="B145" t="s">
        <v>116</v>
      </c>
      <c r="C145">
        <v>210784</v>
      </c>
      <c r="E145" t="s">
        <v>117</v>
      </c>
      <c r="F145">
        <v>368</v>
      </c>
      <c r="G145" t="s">
        <v>176</v>
      </c>
      <c r="H145" t="s">
        <v>177</v>
      </c>
      <c r="I145" t="s">
        <v>178</v>
      </c>
      <c r="J145" t="s">
        <v>179</v>
      </c>
      <c r="L145" s="14">
        <v>45098</v>
      </c>
      <c r="M145" s="18">
        <f t="shared" si="5"/>
        <v>45078</v>
      </c>
      <c r="N145">
        <v>7170252</v>
      </c>
      <c r="O145" t="s">
        <v>123</v>
      </c>
      <c r="P145" t="s">
        <v>124</v>
      </c>
      <c r="Q145">
        <v>34.6</v>
      </c>
      <c r="R145" t="s">
        <v>125</v>
      </c>
      <c r="S145" t="s">
        <v>126</v>
      </c>
      <c r="T145" t="s">
        <v>125</v>
      </c>
      <c r="U145" t="s">
        <v>126</v>
      </c>
      <c r="W145">
        <v>34.6</v>
      </c>
      <c r="Y145">
        <v>34.6</v>
      </c>
      <c r="AC145">
        <v>34.6</v>
      </c>
      <c r="BH145" t="s">
        <v>126</v>
      </c>
      <c r="BI145" t="s">
        <v>126</v>
      </c>
      <c r="BJ145" t="s">
        <v>126</v>
      </c>
      <c r="BK145" t="s">
        <v>126</v>
      </c>
      <c r="BS145" t="s">
        <v>126</v>
      </c>
      <c r="BT145" t="s">
        <v>126</v>
      </c>
      <c r="BU145" t="s">
        <v>126</v>
      </c>
      <c r="BV145" t="s">
        <v>126</v>
      </c>
      <c r="CN145" t="s">
        <v>181</v>
      </c>
      <c r="CP145" t="s">
        <v>189</v>
      </c>
      <c r="CQ145" t="s">
        <v>181</v>
      </c>
    </row>
    <row r="146" spans="1:95" x14ac:dyDescent="0.2">
      <c r="A146" t="s">
        <v>115</v>
      </c>
      <c r="B146" t="s">
        <v>116</v>
      </c>
      <c r="C146">
        <v>210784</v>
      </c>
      <c r="E146" t="s">
        <v>117</v>
      </c>
      <c r="F146">
        <v>368</v>
      </c>
      <c r="G146" t="s">
        <v>176</v>
      </c>
      <c r="H146" t="s">
        <v>177</v>
      </c>
      <c r="I146" t="s">
        <v>178</v>
      </c>
      <c r="J146" t="s">
        <v>179</v>
      </c>
      <c r="L146" s="14">
        <v>45098</v>
      </c>
      <c r="M146" s="18">
        <f t="shared" si="5"/>
        <v>45078</v>
      </c>
      <c r="N146">
        <v>7170259</v>
      </c>
      <c r="O146" t="s">
        <v>123</v>
      </c>
      <c r="P146" t="s">
        <v>124</v>
      </c>
      <c r="Q146">
        <v>18.920000000000002</v>
      </c>
      <c r="R146" t="s">
        <v>125</v>
      </c>
      <c r="S146" t="s">
        <v>126</v>
      </c>
      <c r="T146" t="s">
        <v>125</v>
      </c>
      <c r="U146" t="s">
        <v>126</v>
      </c>
      <c r="W146">
        <v>18.920000000000002</v>
      </c>
      <c r="Y146">
        <v>18.920000000000002</v>
      </c>
      <c r="AC146">
        <v>18.920000000000002</v>
      </c>
      <c r="BH146" t="s">
        <v>126</v>
      </c>
      <c r="BI146" t="s">
        <v>126</v>
      </c>
      <c r="BJ146" t="s">
        <v>126</v>
      </c>
      <c r="BK146" t="s">
        <v>126</v>
      </c>
      <c r="BS146" t="s">
        <v>126</v>
      </c>
      <c r="BT146" t="s">
        <v>126</v>
      </c>
      <c r="BU146" t="s">
        <v>126</v>
      </c>
      <c r="BV146" t="s">
        <v>126</v>
      </c>
      <c r="CN146" t="s">
        <v>181</v>
      </c>
      <c r="CP146" t="s">
        <v>189</v>
      </c>
      <c r="CQ146" t="s">
        <v>181</v>
      </c>
    </row>
    <row r="147" spans="1:95" x14ac:dyDescent="0.2">
      <c r="A147" t="s">
        <v>115</v>
      </c>
      <c r="B147" t="s">
        <v>116</v>
      </c>
      <c r="C147">
        <v>210784</v>
      </c>
      <c r="E147" t="s">
        <v>117</v>
      </c>
      <c r="F147">
        <v>368</v>
      </c>
      <c r="G147" t="s">
        <v>176</v>
      </c>
      <c r="H147" t="s">
        <v>177</v>
      </c>
      <c r="I147" t="s">
        <v>178</v>
      </c>
      <c r="J147" t="s">
        <v>179</v>
      </c>
      <c r="L147" s="14">
        <v>45098</v>
      </c>
      <c r="M147" s="18">
        <f t="shared" si="5"/>
        <v>45078</v>
      </c>
      <c r="N147">
        <v>7170297</v>
      </c>
      <c r="O147" t="s">
        <v>123</v>
      </c>
      <c r="P147" t="s">
        <v>124</v>
      </c>
      <c r="Q147">
        <v>23.36</v>
      </c>
      <c r="R147" t="s">
        <v>125</v>
      </c>
      <c r="S147" t="s">
        <v>126</v>
      </c>
      <c r="T147" t="s">
        <v>125</v>
      </c>
      <c r="U147" t="s">
        <v>126</v>
      </c>
      <c r="W147">
        <v>23.36</v>
      </c>
      <c r="Y147">
        <v>23.36</v>
      </c>
      <c r="AC147">
        <v>23.36</v>
      </c>
      <c r="BH147" t="s">
        <v>126</v>
      </c>
      <c r="BI147" t="s">
        <v>126</v>
      </c>
      <c r="BJ147" t="s">
        <v>126</v>
      </c>
      <c r="BK147" t="s">
        <v>126</v>
      </c>
      <c r="BS147" t="s">
        <v>126</v>
      </c>
      <c r="BT147" t="s">
        <v>126</v>
      </c>
      <c r="BU147" t="s">
        <v>126</v>
      </c>
      <c r="BV147" t="s">
        <v>126</v>
      </c>
      <c r="CN147" t="s">
        <v>181</v>
      </c>
      <c r="CP147" t="s">
        <v>189</v>
      </c>
      <c r="CQ147" t="s">
        <v>181</v>
      </c>
    </row>
    <row r="148" spans="1:95" x14ac:dyDescent="0.2">
      <c r="A148" t="s">
        <v>115</v>
      </c>
      <c r="B148" t="s">
        <v>116</v>
      </c>
      <c r="C148">
        <v>210784</v>
      </c>
      <c r="E148" t="s">
        <v>117</v>
      </c>
      <c r="F148">
        <v>368</v>
      </c>
      <c r="G148" t="s">
        <v>176</v>
      </c>
      <c r="H148" t="s">
        <v>177</v>
      </c>
      <c r="I148" t="s">
        <v>178</v>
      </c>
      <c r="J148" t="s">
        <v>179</v>
      </c>
      <c r="L148" s="14">
        <v>45098</v>
      </c>
      <c r="M148" s="18">
        <f t="shared" si="5"/>
        <v>45078</v>
      </c>
      <c r="N148">
        <v>7170310</v>
      </c>
      <c r="O148" t="s">
        <v>123</v>
      </c>
      <c r="P148" t="s">
        <v>124</v>
      </c>
      <c r="Q148">
        <v>38.03</v>
      </c>
      <c r="R148" t="s">
        <v>125</v>
      </c>
      <c r="S148" t="s">
        <v>126</v>
      </c>
      <c r="T148" t="s">
        <v>125</v>
      </c>
      <c r="U148" t="s">
        <v>126</v>
      </c>
      <c r="W148">
        <v>38.03</v>
      </c>
      <c r="Y148">
        <v>38.03</v>
      </c>
      <c r="AC148">
        <v>38.03</v>
      </c>
      <c r="BH148" t="s">
        <v>126</v>
      </c>
      <c r="BI148" t="s">
        <v>126</v>
      </c>
      <c r="BJ148" t="s">
        <v>126</v>
      </c>
      <c r="BK148" t="s">
        <v>126</v>
      </c>
      <c r="BS148" t="s">
        <v>126</v>
      </c>
      <c r="BT148" t="s">
        <v>126</v>
      </c>
      <c r="BU148" t="s">
        <v>126</v>
      </c>
      <c r="BV148" t="s">
        <v>126</v>
      </c>
      <c r="CN148" t="s">
        <v>181</v>
      </c>
      <c r="CP148" t="s">
        <v>189</v>
      </c>
      <c r="CQ148" t="s">
        <v>181</v>
      </c>
    </row>
    <row r="149" spans="1:95" x14ac:dyDescent="0.2">
      <c r="A149" t="s">
        <v>115</v>
      </c>
      <c r="B149" t="s">
        <v>116</v>
      </c>
      <c r="C149">
        <v>210784</v>
      </c>
      <c r="E149" t="s">
        <v>117</v>
      </c>
      <c r="F149">
        <v>368</v>
      </c>
      <c r="G149" t="s">
        <v>176</v>
      </c>
      <c r="H149" t="s">
        <v>177</v>
      </c>
      <c r="I149" t="s">
        <v>178</v>
      </c>
      <c r="J149" t="s">
        <v>179</v>
      </c>
      <c r="L149" s="14">
        <v>45098</v>
      </c>
      <c r="M149" s="18">
        <f t="shared" si="5"/>
        <v>45078</v>
      </c>
      <c r="N149">
        <v>7170315</v>
      </c>
      <c r="O149" t="s">
        <v>123</v>
      </c>
      <c r="P149" t="s">
        <v>124</v>
      </c>
      <c r="Q149">
        <v>19.29</v>
      </c>
      <c r="R149" t="s">
        <v>125</v>
      </c>
      <c r="S149" t="s">
        <v>126</v>
      </c>
      <c r="T149" t="s">
        <v>125</v>
      </c>
      <c r="U149" t="s">
        <v>126</v>
      </c>
      <c r="W149">
        <v>19.29</v>
      </c>
      <c r="Y149">
        <v>19.29</v>
      </c>
      <c r="AC149">
        <v>19.29</v>
      </c>
      <c r="BH149" t="s">
        <v>126</v>
      </c>
      <c r="BI149" t="s">
        <v>126</v>
      </c>
      <c r="BJ149" t="s">
        <v>126</v>
      </c>
      <c r="BK149" t="s">
        <v>126</v>
      </c>
      <c r="BS149" t="s">
        <v>126</v>
      </c>
      <c r="BT149" t="s">
        <v>126</v>
      </c>
      <c r="BU149" t="s">
        <v>126</v>
      </c>
      <c r="BV149" t="s">
        <v>126</v>
      </c>
      <c r="CN149" t="s">
        <v>181</v>
      </c>
      <c r="CP149" t="s">
        <v>189</v>
      </c>
      <c r="CQ149" t="s">
        <v>181</v>
      </c>
    </row>
    <row r="150" spans="1:95" x14ac:dyDescent="0.2">
      <c r="A150" t="s">
        <v>115</v>
      </c>
      <c r="B150" t="s">
        <v>116</v>
      </c>
      <c r="C150">
        <v>210784</v>
      </c>
      <c r="E150" t="s">
        <v>117</v>
      </c>
      <c r="F150">
        <v>368</v>
      </c>
      <c r="G150" t="s">
        <v>176</v>
      </c>
      <c r="H150" t="s">
        <v>177</v>
      </c>
      <c r="I150" t="s">
        <v>178</v>
      </c>
      <c r="J150" t="s">
        <v>179</v>
      </c>
      <c r="L150" s="14">
        <v>45098</v>
      </c>
      <c r="M150" s="18">
        <f t="shared" si="5"/>
        <v>45078</v>
      </c>
      <c r="N150">
        <v>7170344</v>
      </c>
      <c r="O150" t="s">
        <v>123</v>
      </c>
      <c r="P150" t="s">
        <v>124</v>
      </c>
      <c r="Q150">
        <v>38.61</v>
      </c>
      <c r="R150" t="s">
        <v>125</v>
      </c>
      <c r="S150" t="s">
        <v>126</v>
      </c>
      <c r="T150" t="s">
        <v>125</v>
      </c>
      <c r="U150" t="s">
        <v>126</v>
      </c>
      <c r="W150">
        <v>38.61</v>
      </c>
      <c r="Y150">
        <v>38.61</v>
      </c>
      <c r="AC150">
        <v>38.61</v>
      </c>
      <c r="BH150" t="s">
        <v>126</v>
      </c>
      <c r="BI150" t="s">
        <v>126</v>
      </c>
      <c r="BJ150" t="s">
        <v>126</v>
      </c>
      <c r="BK150" t="s">
        <v>126</v>
      </c>
      <c r="BS150" t="s">
        <v>126</v>
      </c>
      <c r="BT150" t="s">
        <v>126</v>
      </c>
      <c r="BU150" t="s">
        <v>126</v>
      </c>
      <c r="BV150" t="s">
        <v>126</v>
      </c>
      <c r="CN150" t="s">
        <v>181</v>
      </c>
      <c r="CP150" t="s">
        <v>189</v>
      </c>
      <c r="CQ150" t="s">
        <v>181</v>
      </c>
    </row>
    <row r="151" spans="1:95" x14ac:dyDescent="0.2">
      <c r="A151" t="s">
        <v>115</v>
      </c>
      <c r="B151" t="s">
        <v>116</v>
      </c>
      <c r="C151">
        <v>210784</v>
      </c>
      <c r="E151" t="s">
        <v>117</v>
      </c>
      <c r="F151">
        <v>368</v>
      </c>
      <c r="G151" t="s">
        <v>176</v>
      </c>
      <c r="H151" t="s">
        <v>177</v>
      </c>
      <c r="I151" t="s">
        <v>178</v>
      </c>
      <c r="J151" t="s">
        <v>179</v>
      </c>
      <c r="L151" s="14">
        <v>45098</v>
      </c>
      <c r="M151" s="18">
        <f t="shared" si="5"/>
        <v>45078</v>
      </c>
      <c r="N151">
        <v>7170353</v>
      </c>
      <c r="O151" t="s">
        <v>123</v>
      </c>
      <c r="P151" t="s">
        <v>124</v>
      </c>
      <c r="Q151">
        <v>24.57</v>
      </c>
      <c r="R151" t="s">
        <v>125</v>
      </c>
      <c r="S151" t="s">
        <v>126</v>
      </c>
      <c r="T151" t="s">
        <v>125</v>
      </c>
      <c r="U151" t="s">
        <v>126</v>
      </c>
      <c r="W151">
        <v>24.57</v>
      </c>
      <c r="Y151">
        <v>24.57</v>
      </c>
      <c r="AC151">
        <v>24.57</v>
      </c>
      <c r="BH151" t="s">
        <v>126</v>
      </c>
      <c r="BI151" t="s">
        <v>126</v>
      </c>
      <c r="BJ151" t="s">
        <v>126</v>
      </c>
      <c r="BK151" t="s">
        <v>126</v>
      </c>
      <c r="BS151" t="s">
        <v>126</v>
      </c>
      <c r="BT151" t="s">
        <v>126</v>
      </c>
      <c r="BU151" t="s">
        <v>126</v>
      </c>
      <c r="BV151" t="s">
        <v>126</v>
      </c>
      <c r="CN151" t="s">
        <v>181</v>
      </c>
      <c r="CP151" t="s">
        <v>189</v>
      </c>
      <c r="CQ151" t="s">
        <v>181</v>
      </c>
    </row>
    <row r="152" spans="1:95" x14ac:dyDescent="0.2">
      <c r="A152" t="s">
        <v>115</v>
      </c>
      <c r="B152" t="s">
        <v>116</v>
      </c>
      <c r="C152">
        <v>210784</v>
      </c>
      <c r="E152" t="s">
        <v>117</v>
      </c>
      <c r="F152">
        <v>368</v>
      </c>
      <c r="G152" t="s">
        <v>176</v>
      </c>
      <c r="H152" t="s">
        <v>177</v>
      </c>
      <c r="I152" t="s">
        <v>178</v>
      </c>
      <c r="J152" t="s">
        <v>179</v>
      </c>
      <c r="L152" s="14">
        <v>45098</v>
      </c>
      <c r="M152" s="18">
        <f t="shared" si="5"/>
        <v>45078</v>
      </c>
      <c r="N152">
        <v>7170359</v>
      </c>
      <c r="O152" t="s">
        <v>123</v>
      </c>
      <c r="P152" t="s">
        <v>124</v>
      </c>
      <c r="Q152">
        <v>26.43</v>
      </c>
      <c r="R152" t="s">
        <v>125</v>
      </c>
      <c r="S152" t="s">
        <v>126</v>
      </c>
      <c r="T152" t="s">
        <v>125</v>
      </c>
      <c r="U152" t="s">
        <v>126</v>
      </c>
      <c r="W152">
        <v>26.43</v>
      </c>
      <c r="Y152">
        <v>26.43</v>
      </c>
      <c r="AC152">
        <v>26.43</v>
      </c>
      <c r="BH152" t="s">
        <v>126</v>
      </c>
      <c r="BI152" t="s">
        <v>126</v>
      </c>
      <c r="BJ152" t="s">
        <v>126</v>
      </c>
      <c r="BK152" t="s">
        <v>126</v>
      </c>
      <c r="BS152" t="s">
        <v>126</v>
      </c>
      <c r="BT152" t="s">
        <v>126</v>
      </c>
      <c r="BU152" t="s">
        <v>126</v>
      </c>
      <c r="BV152" t="s">
        <v>126</v>
      </c>
      <c r="CN152" t="s">
        <v>181</v>
      </c>
      <c r="CP152" t="s">
        <v>189</v>
      </c>
      <c r="CQ152" t="s">
        <v>181</v>
      </c>
    </row>
    <row r="153" spans="1:95" x14ac:dyDescent="0.2">
      <c r="A153" t="s">
        <v>115</v>
      </c>
      <c r="B153" t="s">
        <v>116</v>
      </c>
      <c r="C153">
        <v>210784</v>
      </c>
      <c r="E153" t="s">
        <v>117</v>
      </c>
      <c r="F153">
        <v>368</v>
      </c>
      <c r="G153" t="s">
        <v>176</v>
      </c>
      <c r="H153" t="s">
        <v>177</v>
      </c>
      <c r="I153" t="s">
        <v>178</v>
      </c>
      <c r="J153" t="s">
        <v>179</v>
      </c>
      <c r="L153" s="14">
        <v>45098</v>
      </c>
      <c r="M153" s="18">
        <f t="shared" si="5"/>
        <v>45078</v>
      </c>
      <c r="N153">
        <v>7170363</v>
      </c>
      <c r="O153" t="s">
        <v>123</v>
      </c>
      <c r="P153" t="s">
        <v>124</v>
      </c>
      <c r="Q153">
        <v>42.12</v>
      </c>
      <c r="R153" t="s">
        <v>125</v>
      </c>
      <c r="S153" t="s">
        <v>126</v>
      </c>
      <c r="T153" t="s">
        <v>125</v>
      </c>
      <c r="U153" t="s">
        <v>126</v>
      </c>
      <c r="W153">
        <v>42.12</v>
      </c>
      <c r="Y153">
        <v>42.12</v>
      </c>
      <c r="AC153">
        <v>42.12</v>
      </c>
      <c r="BH153" t="s">
        <v>126</v>
      </c>
      <c r="BI153" t="s">
        <v>126</v>
      </c>
      <c r="BJ153" t="s">
        <v>126</v>
      </c>
      <c r="BK153" t="s">
        <v>126</v>
      </c>
      <c r="BS153" t="s">
        <v>126</v>
      </c>
      <c r="BT153" t="s">
        <v>126</v>
      </c>
      <c r="BU153" t="s">
        <v>126</v>
      </c>
      <c r="BV153" t="s">
        <v>126</v>
      </c>
      <c r="CN153" t="s">
        <v>181</v>
      </c>
      <c r="CP153" t="s">
        <v>189</v>
      </c>
      <c r="CQ153" t="s">
        <v>181</v>
      </c>
    </row>
    <row r="154" spans="1:95" x14ac:dyDescent="0.2">
      <c r="A154" t="s">
        <v>115</v>
      </c>
      <c r="B154" t="s">
        <v>116</v>
      </c>
      <c r="C154">
        <v>210784</v>
      </c>
      <c r="E154" t="s">
        <v>117</v>
      </c>
      <c r="F154">
        <v>368</v>
      </c>
      <c r="G154" t="s">
        <v>176</v>
      </c>
      <c r="H154" t="s">
        <v>177</v>
      </c>
      <c r="I154" t="s">
        <v>178</v>
      </c>
      <c r="J154" t="s">
        <v>179</v>
      </c>
      <c r="L154" s="14">
        <v>45098</v>
      </c>
      <c r="M154" s="18">
        <f t="shared" si="5"/>
        <v>45078</v>
      </c>
      <c r="N154">
        <v>7170367</v>
      </c>
      <c r="O154" t="s">
        <v>123</v>
      </c>
      <c r="P154" t="s">
        <v>124</v>
      </c>
      <c r="Q154">
        <v>25.3</v>
      </c>
      <c r="R154" t="s">
        <v>125</v>
      </c>
      <c r="S154" t="s">
        <v>126</v>
      </c>
      <c r="T154" t="s">
        <v>125</v>
      </c>
      <c r="U154" t="s">
        <v>126</v>
      </c>
      <c r="W154">
        <v>25.3</v>
      </c>
      <c r="Y154">
        <v>25.3</v>
      </c>
      <c r="AC154">
        <v>25.3</v>
      </c>
      <c r="BH154" t="s">
        <v>126</v>
      </c>
      <c r="BI154" t="s">
        <v>126</v>
      </c>
      <c r="BJ154" t="s">
        <v>126</v>
      </c>
      <c r="BK154" t="s">
        <v>126</v>
      </c>
      <c r="BS154" t="s">
        <v>126</v>
      </c>
      <c r="BT154" t="s">
        <v>126</v>
      </c>
      <c r="BU154" t="s">
        <v>126</v>
      </c>
      <c r="BV154" t="s">
        <v>126</v>
      </c>
      <c r="CN154" t="s">
        <v>181</v>
      </c>
      <c r="CP154" t="s">
        <v>189</v>
      </c>
      <c r="CQ154" t="s">
        <v>181</v>
      </c>
    </row>
    <row r="155" spans="1:95" x14ac:dyDescent="0.2">
      <c r="A155" t="s">
        <v>115</v>
      </c>
      <c r="B155" t="s">
        <v>116</v>
      </c>
      <c r="C155">
        <v>210784</v>
      </c>
      <c r="E155" t="s">
        <v>117</v>
      </c>
      <c r="F155">
        <v>368</v>
      </c>
      <c r="G155" t="s">
        <v>176</v>
      </c>
      <c r="H155" t="s">
        <v>177</v>
      </c>
      <c r="I155" t="s">
        <v>178</v>
      </c>
      <c r="J155" t="s">
        <v>179</v>
      </c>
      <c r="L155" s="14">
        <v>45099</v>
      </c>
      <c r="M155" s="18">
        <f t="shared" si="5"/>
        <v>45078</v>
      </c>
      <c r="N155">
        <v>7170593</v>
      </c>
      <c r="O155" t="s">
        <v>123</v>
      </c>
      <c r="P155" t="s">
        <v>124</v>
      </c>
      <c r="Q155">
        <v>20.57</v>
      </c>
      <c r="R155" t="s">
        <v>125</v>
      </c>
      <c r="S155" t="s">
        <v>126</v>
      </c>
      <c r="T155" t="s">
        <v>125</v>
      </c>
      <c r="U155" t="s">
        <v>126</v>
      </c>
      <c r="W155">
        <v>20.57</v>
      </c>
      <c r="Y155">
        <v>20.57</v>
      </c>
      <c r="AC155">
        <v>20.57</v>
      </c>
      <c r="BH155" t="s">
        <v>126</v>
      </c>
      <c r="BI155" t="s">
        <v>126</v>
      </c>
      <c r="BJ155" t="s">
        <v>126</v>
      </c>
      <c r="BK155" t="s">
        <v>126</v>
      </c>
      <c r="BS155" t="s">
        <v>126</v>
      </c>
      <c r="BT155" t="s">
        <v>126</v>
      </c>
      <c r="BU155" t="s">
        <v>126</v>
      </c>
      <c r="BV155" t="s">
        <v>126</v>
      </c>
      <c r="CN155" t="s">
        <v>181</v>
      </c>
      <c r="CP155" t="s">
        <v>189</v>
      </c>
      <c r="CQ155" t="s">
        <v>181</v>
      </c>
    </row>
    <row r="156" spans="1:95" x14ac:dyDescent="0.2">
      <c r="A156" t="s">
        <v>115</v>
      </c>
      <c r="B156" t="s">
        <v>116</v>
      </c>
      <c r="C156">
        <v>210784</v>
      </c>
      <c r="E156" t="s">
        <v>117</v>
      </c>
      <c r="F156">
        <v>368</v>
      </c>
      <c r="G156" t="s">
        <v>176</v>
      </c>
      <c r="H156" t="s">
        <v>177</v>
      </c>
      <c r="I156" t="s">
        <v>178</v>
      </c>
      <c r="J156" t="s">
        <v>179</v>
      </c>
      <c r="L156" s="14">
        <v>45099</v>
      </c>
      <c r="M156" s="18">
        <f t="shared" si="5"/>
        <v>45078</v>
      </c>
      <c r="N156">
        <v>7170594</v>
      </c>
      <c r="O156" t="s">
        <v>123</v>
      </c>
      <c r="P156" t="s">
        <v>124</v>
      </c>
      <c r="Q156">
        <v>19.239999999999998</v>
      </c>
      <c r="R156" t="s">
        <v>125</v>
      </c>
      <c r="S156" t="s">
        <v>126</v>
      </c>
      <c r="T156" t="s">
        <v>125</v>
      </c>
      <c r="U156" t="s">
        <v>126</v>
      </c>
      <c r="W156">
        <v>19.239999999999998</v>
      </c>
      <c r="Y156">
        <v>19.239999999999998</v>
      </c>
      <c r="AC156">
        <v>19.239999999999998</v>
      </c>
      <c r="BH156" t="s">
        <v>126</v>
      </c>
      <c r="BI156" t="s">
        <v>126</v>
      </c>
      <c r="BJ156" t="s">
        <v>126</v>
      </c>
      <c r="BK156" t="s">
        <v>126</v>
      </c>
      <c r="BS156" t="s">
        <v>126</v>
      </c>
      <c r="BT156" t="s">
        <v>126</v>
      </c>
      <c r="BU156" t="s">
        <v>126</v>
      </c>
      <c r="BV156" t="s">
        <v>126</v>
      </c>
      <c r="CN156" t="s">
        <v>181</v>
      </c>
      <c r="CP156" t="s">
        <v>189</v>
      </c>
      <c r="CQ156" t="s">
        <v>181</v>
      </c>
    </row>
    <row r="157" spans="1:95" x14ac:dyDescent="0.2">
      <c r="A157" t="s">
        <v>115</v>
      </c>
      <c r="B157" t="s">
        <v>116</v>
      </c>
      <c r="C157">
        <v>210784</v>
      </c>
      <c r="E157" t="s">
        <v>117</v>
      </c>
      <c r="F157">
        <v>368</v>
      </c>
      <c r="G157" t="s">
        <v>176</v>
      </c>
      <c r="H157" t="s">
        <v>177</v>
      </c>
      <c r="I157" t="s">
        <v>178</v>
      </c>
      <c r="J157" t="s">
        <v>179</v>
      </c>
      <c r="L157" s="14">
        <v>45099</v>
      </c>
      <c r="M157" s="18">
        <f t="shared" si="5"/>
        <v>45078</v>
      </c>
      <c r="N157">
        <v>717.59500000000003</v>
      </c>
      <c r="O157" t="s">
        <v>123</v>
      </c>
      <c r="P157" t="s">
        <v>124</v>
      </c>
      <c r="Q157">
        <v>23.77</v>
      </c>
      <c r="R157" t="s">
        <v>125</v>
      </c>
      <c r="S157" t="s">
        <v>126</v>
      </c>
      <c r="T157" t="s">
        <v>125</v>
      </c>
      <c r="U157" t="s">
        <v>126</v>
      </c>
      <c r="W157">
        <v>23.77</v>
      </c>
      <c r="Y157">
        <v>23.77</v>
      </c>
      <c r="AC157">
        <v>23.77</v>
      </c>
      <c r="BH157" t="s">
        <v>126</v>
      </c>
      <c r="BI157" t="s">
        <v>126</v>
      </c>
      <c r="BJ157" t="s">
        <v>126</v>
      </c>
      <c r="BK157" t="s">
        <v>126</v>
      </c>
      <c r="BS157" t="s">
        <v>126</v>
      </c>
      <c r="BT157" t="s">
        <v>126</v>
      </c>
      <c r="BU157" t="s">
        <v>126</v>
      </c>
      <c r="BV157" t="s">
        <v>126</v>
      </c>
      <c r="CN157" t="s">
        <v>181</v>
      </c>
      <c r="CP157" t="s">
        <v>189</v>
      </c>
      <c r="CQ157" t="s">
        <v>181</v>
      </c>
    </row>
    <row r="158" spans="1:95" x14ac:dyDescent="0.2">
      <c r="A158" t="s">
        <v>115</v>
      </c>
      <c r="B158" t="s">
        <v>116</v>
      </c>
      <c r="C158">
        <v>210784</v>
      </c>
      <c r="E158" t="s">
        <v>117</v>
      </c>
      <c r="F158">
        <v>368</v>
      </c>
      <c r="G158" t="s">
        <v>176</v>
      </c>
      <c r="H158" t="s">
        <v>177</v>
      </c>
      <c r="I158" t="s">
        <v>178</v>
      </c>
      <c r="J158" t="s">
        <v>179</v>
      </c>
      <c r="L158" s="14">
        <v>45099</v>
      </c>
      <c r="M158" s="18">
        <f t="shared" si="5"/>
        <v>45078</v>
      </c>
      <c r="N158">
        <v>7170599</v>
      </c>
      <c r="O158" t="s">
        <v>123</v>
      </c>
      <c r="P158" t="s">
        <v>124</v>
      </c>
      <c r="Q158">
        <v>20.83</v>
      </c>
      <c r="R158" t="s">
        <v>125</v>
      </c>
      <c r="S158" t="s">
        <v>126</v>
      </c>
      <c r="T158" t="s">
        <v>125</v>
      </c>
      <c r="U158" t="s">
        <v>126</v>
      </c>
      <c r="W158">
        <v>20.83</v>
      </c>
      <c r="Y158">
        <v>20.83</v>
      </c>
      <c r="AC158">
        <v>20.83</v>
      </c>
      <c r="BH158" t="s">
        <v>126</v>
      </c>
      <c r="BI158" t="s">
        <v>126</v>
      </c>
      <c r="BJ158" t="s">
        <v>126</v>
      </c>
      <c r="BK158" t="s">
        <v>126</v>
      </c>
      <c r="BS158" t="s">
        <v>126</v>
      </c>
      <c r="BT158" t="s">
        <v>126</v>
      </c>
      <c r="BU158" t="s">
        <v>126</v>
      </c>
      <c r="BV158" t="s">
        <v>126</v>
      </c>
      <c r="CN158" t="s">
        <v>181</v>
      </c>
      <c r="CP158" t="s">
        <v>189</v>
      </c>
      <c r="CQ158" t="s">
        <v>181</v>
      </c>
    </row>
    <row r="159" spans="1:95" x14ac:dyDescent="0.2">
      <c r="A159" t="s">
        <v>115</v>
      </c>
      <c r="B159" t="s">
        <v>116</v>
      </c>
      <c r="C159">
        <v>210784</v>
      </c>
      <c r="E159" t="s">
        <v>117</v>
      </c>
      <c r="F159">
        <v>368</v>
      </c>
      <c r="G159" t="s">
        <v>176</v>
      </c>
      <c r="H159" t="s">
        <v>177</v>
      </c>
      <c r="I159" t="s">
        <v>178</v>
      </c>
      <c r="J159" t="s">
        <v>179</v>
      </c>
      <c r="L159" s="14">
        <v>45099</v>
      </c>
      <c r="M159" s="18">
        <f t="shared" si="5"/>
        <v>45078</v>
      </c>
      <c r="N159">
        <v>7170603</v>
      </c>
      <c r="O159" t="s">
        <v>123</v>
      </c>
      <c r="P159" t="s">
        <v>124</v>
      </c>
      <c r="Q159">
        <v>22.08</v>
      </c>
      <c r="R159" t="s">
        <v>125</v>
      </c>
      <c r="S159" t="s">
        <v>126</v>
      </c>
      <c r="T159" t="s">
        <v>125</v>
      </c>
      <c r="U159" t="s">
        <v>126</v>
      </c>
      <c r="W159">
        <v>22.08</v>
      </c>
      <c r="Y159">
        <v>22.08</v>
      </c>
      <c r="AC159">
        <v>22.08</v>
      </c>
      <c r="BH159" t="s">
        <v>126</v>
      </c>
      <c r="BI159" t="s">
        <v>126</v>
      </c>
      <c r="BJ159" t="s">
        <v>126</v>
      </c>
      <c r="BK159" t="s">
        <v>126</v>
      </c>
      <c r="BS159" t="s">
        <v>126</v>
      </c>
      <c r="BT159" t="s">
        <v>126</v>
      </c>
      <c r="BU159" t="s">
        <v>126</v>
      </c>
      <c r="BV159" t="s">
        <v>126</v>
      </c>
      <c r="CN159" t="s">
        <v>181</v>
      </c>
      <c r="CP159" t="s">
        <v>189</v>
      </c>
      <c r="CQ159" t="s">
        <v>181</v>
      </c>
    </row>
    <row r="160" spans="1:95" x14ac:dyDescent="0.2">
      <c r="A160" t="s">
        <v>115</v>
      </c>
      <c r="B160" t="s">
        <v>116</v>
      </c>
      <c r="C160">
        <v>210784</v>
      </c>
      <c r="E160" t="s">
        <v>117</v>
      </c>
      <c r="F160">
        <v>368</v>
      </c>
      <c r="G160" t="s">
        <v>176</v>
      </c>
      <c r="H160" t="s">
        <v>177</v>
      </c>
      <c r="I160" t="s">
        <v>178</v>
      </c>
      <c r="J160" t="s">
        <v>179</v>
      </c>
      <c r="L160" s="14">
        <v>45099</v>
      </c>
      <c r="M160" s="18">
        <f t="shared" si="5"/>
        <v>45078</v>
      </c>
      <c r="N160">
        <v>7170604</v>
      </c>
      <c r="O160" t="s">
        <v>123</v>
      </c>
      <c r="P160" t="s">
        <v>124</v>
      </c>
      <c r="Q160">
        <v>19.309999999999999</v>
      </c>
      <c r="R160" t="s">
        <v>125</v>
      </c>
      <c r="S160" t="s">
        <v>126</v>
      </c>
      <c r="T160" t="s">
        <v>125</v>
      </c>
      <c r="U160" t="s">
        <v>126</v>
      </c>
      <c r="W160">
        <v>19.309999999999999</v>
      </c>
      <c r="Y160">
        <v>19.309999999999999</v>
      </c>
      <c r="AC160">
        <v>19.309999999999999</v>
      </c>
      <c r="BH160" t="s">
        <v>126</v>
      </c>
      <c r="BI160" t="s">
        <v>126</v>
      </c>
      <c r="BJ160" t="s">
        <v>126</v>
      </c>
      <c r="BK160" t="s">
        <v>126</v>
      </c>
      <c r="BS160" t="s">
        <v>126</v>
      </c>
      <c r="BT160" t="s">
        <v>126</v>
      </c>
      <c r="BU160" t="s">
        <v>126</v>
      </c>
      <c r="BV160" t="s">
        <v>126</v>
      </c>
      <c r="CN160" t="s">
        <v>181</v>
      </c>
      <c r="CP160" t="s">
        <v>189</v>
      </c>
      <c r="CQ160" t="s">
        <v>181</v>
      </c>
    </row>
    <row r="161" spans="1:95" x14ac:dyDescent="0.2">
      <c r="A161" t="s">
        <v>115</v>
      </c>
      <c r="B161" t="s">
        <v>116</v>
      </c>
      <c r="C161">
        <v>210784</v>
      </c>
      <c r="E161" t="s">
        <v>117</v>
      </c>
      <c r="F161">
        <v>368</v>
      </c>
      <c r="G161" t="s">
        <v>176</v>
      </c>
      <c r="H161" t="s">
        <v>177</v>
      </c>
      <c r="I161" t="s">
        <v>178</v>
      </c>
      <c r="J161" t="s">
        <v>179</v>
      </c>
      <c r="L161" s="14">
        <v>45099</v>
      </c>
      <c r="M161" s="18">
        <f t="shared" si="5"/>
        <v>45078</v>
      </c>
      <c r="N161">
        <v>7170606</v>
      </c>
      <c r="O161" t="s">
        <v>123</v>
      </c>
      <c r="P161" t="s">
        <v>124</v>
      </c>
      <c r="Q161">
        <v>20.440000000000001</v>
      </c>
      <c r="R161" t="s">
        <v>125</v>
      </c>
      <c r="S161" t="s">
        <v>126</v>
      </c>
      <c r="T161" t="s">
        <v>125</v>
      </c>
      <c r="U161" t="s">
        <v>126</v>
      </c>
      <c r="W161">
        <v>20.440000000000001</v>
      </c>
      <c r="Y161">
        <v>20.440000000000001</v>
      </c>
      <c r="AC161">
        <v>20.440000000000001</v>
      </c>
      <c r="BH161" t="s">
        <v>126</v>
      </c>
      <c r="BI161" t="s">
        <v>126</v>
      </c>
      <c r="BJ161" t="s">
        <v>126</v>
      </c>
      <c r="BK161" t="s">
        <v>126</v>
      </c>
      <c r="BS161" t="s">
        <v>126</v>
      </c>
      <c r="BT161" t="s">
        <v>126</v>
      </c>
      <c r="BU161" t="s">
        <v>126</v>
      </c>
      <c r="BV161" t="s">
        <v>126</v>
      </c>
      <c r="CN161" t="s">
        <v>181</v>
      </c>
      <c r="CP161" t="s">
        <v>189</v>
      </c>
      <c r="CQ161" t="s">
        <v>181</v>
      </c>
    </row>
    <row r="162" spans="1:95" x14ac:dyDescent="0.2">
      <c r="A162" t="s">
        <v>115</v>
      </c>
      <c r="B162" t="s">
        <v>116</v>
      </c>
      <c r="C162">
        <v>210784</v>
      </c>
      <c r="E162" t="s">
        <v>117</v>
      </c>
      <c r="F162">
        <v>368</v>
      </c>
      <c r="G162" t="s">
        <v>176</v>
      </c>
      <c r="H162" t="s">
        <v>177</v>
      </c>
      <c r="I162" t="s">
        <v>178</v>
      </c>
      <c r="J162" t="s">
        <v>179</v>
      </c>
      <c r="L162" s="14">
        <v>45099</v>
      </c>
      <c r="M162" s="18">
        <f t="shared" si="5"/>
        <v>45078</v>
      </c>
      <c r="N162">
        <v>7170607</v>
      </c>
      <c r="O162" t="s">
        <v>123</v>
      </c>
      <c r="P162" t="s">
        <v>124</v>
      </c>
      <c r="Q162">
        <v>20.53</v>
      </c>
      <c r="R162" t="s">
        <v>125</v>
      </c>
      <c r="S162" t="s">
        <v>126</v>
      </c>
      <c r="T162" t="s">
        <v>125</v>
      </c>
      <c r="U162" t="s">
        <v>126</v>
      </c>
      <c r="W162">
        <v>20.53</v>
      </c>
      <c r="Y162">
        <v>20.53</v>
      </c>
      <c r="AC162">
        <v>20.53</v>
      </c>
      <c r="BH162" t="s">
        <v>126</v>
      </c>
      <c r="BI162" t="s">
        <v>126</v>
      </c>
      <c r="BJ162" t="s">
        <v>126</v>
      </c>
      <c r="BK162" t="s">
        <v>126</v>
      </c>
      <c r="BS162" t="s">
        <v>126</v>
      </c>
      <c r="BT162" t="s">
        <v>126</v>
      </c>
      <c r="BU162" t="s">
        <v>126</v>
      </c>
      <c r="BV162" t="s">
        <v>126</v>
      </c>
      <c r="CN162" t="s">
        <v>181</v>
      </c>
      <c r="CP162" t="s">
        <v>189</v>
      </c>
      <c r="CQ162" t="s">
        <v>181</v>
      </c>
    </row>
    <row r="163" spans="1:95" x14ac:dyDescent="0.2">
      <c r="A163" t="s">
        <v>115</v>
      </c>
      <c r="B163" t="s">
        <v>116</v>
      </c>
      <c r="C163">
        <v>210784</v>
      </c>
      <c r="E163" t="s">
        <v>117</v>
      </c>
      <c r="F163">
        <v>368</v>
      </c>
      <c r="G163" t="s">
        <v>176</v>
      </c>
      <c r="H163" t="s">
        <v>177</v>
      </c>
      <c r="I163" t="s">
        <v>178</v>
      </c>
      <c r="J163" t="s">
        <v>179</v>
      </c>
      <c r="L163" s="14">
        <v>45099</v>
      </c>
      <c r="M163" s="18">
        <f t="shared" si="5"/>
        <v>45078</v>
      </c>
      <c r="N163">
        <v>7170608</v>
      </c>
      <c r="O163" t="s">
        <v>123</v>
      </c>
      <c r="P163" t="s">
        <v>124</v>
      </c>
      <c r="Q163">
        <v>20.43</v>
      </c>
      <c r="R163" t="s">
        <v>125</v>
      </c>
      <c r="S163" t="s">
        <v>126</v>
      </c>
      <c r="T163" t="s">
        <v>125</v>
      </c>
      <c r="U163" t="s">
        <v>126</v>
      </c>
      <c r="W163">
        <v>20.43</v>
      </c>
      <c r="Y163">
        <v>20.43</v>
      </c>
      <c r="AC163">
        <v>20.43</v>
      </c>
      <c r="BH163" t="s">
        <v>126</v>
      </c>
      <c r="BI163" t="s">
        <v>126</v>
      </c>
      <c r="BJ163" t="s">
        <v>126</v>
      </c>
      <c r="BK163" t="s">
        <v>126</v>
      </c>
      <c r="BS163" t="s">
        <v>126</v>
      </c>
      <c r="BT163" t="s">
        <v>126</v>
      </c>
      <c r="BU163" t="s">
        <v>126</v>
      </c>
      <c r="BV163" t="s">
        <v>126</v>
      </c>
      <c r="CN163" t="s">
        <v>181</v>
      </c>
      <c r="CP163" t="s">
        <v>189</v>
      </c>
      <c r="CQ163" t="s">
        <v>181</v>
      </c>
    </row>
    <row r="164" spans="1:95" x14ac:dyDescent="0.2">
      <c r="A164" t="s">
        <v>115</v>
      </c>
      <c r="B164" t="s">
        <v>116</v>
      </c>
      <c r="C164">
        <v>210784</v>
      </c>
      <c r="E164" t="s">
        <v>117</v>
      </c>
      <c r="F164">
        <v>368</v>
      </c>
      <c r="G164" t="s">
        <v>176</v>
      </c>
      <c r="H164" t="s">
        <v>177</v>
      </c>
      <c r="I164" t="s">
        <v>178</v>
      </c>
      <c r="J164" t="s">
        <v>179</v>
      </c>
      <c r="L164" s="14">
        <v>45099</v>
      </c>
      <c r="M164" s="18">
        <f t="shared" si="5"/>
        <v>45078</v>
      </c>
      <c r="N164">
        <v>7170610</v>
      </c>
      <c r="O164" t="s">
        <v>123</v>
      </c>
      <c r="P164" t="s">
        <v>124</v>
      </c>
      <c r="Q164">
        <v>18</v>
      </c>
      <c r="R164" t="s">
        <v>125</v>
      </c>
      <c r="S164" t="s">
        <v>126</v>
      </c>
      <c r="T164" t="s">
        <v>125</v>
      </c>
      <c r="U164" t="s">
        <v>126</v>
      </c>
      <c r="W164">
        <v>18</v>
      </c>
      <c r="Y164">
        <v>18</v>
      </c>
      <c r="AC164">
        <v>18</v>
      </c>
      <c r="BH164" t="s">
        <v>126</v>
      </c>
      <c r="BI164" t="s">
        <v>126</v>
      </c>
      <c r="BJ164" t="s">
        <v>126</v>
      </c>
      <c r="BK164" t="s">
        <v>126</v>
      </c>
      <c r="BS164" t="s">
        <v>126</v>
      </c>
      <c r="BT164" t="s">
        <v>126</v>
      </c>
      <c r="BU164" t="s">
        <v>126</v>
      </c>
      <c r="BV164" t="s">
        <v>126</v>
      </c>
      <c r="CN164" t="s">
        <v>181</v>
      </c>
      <c r="CP164" t="s">
        <v>189</v>
      </c>
      <c r="CQ164" t="s">
        <v>181</v>
      </c>
    </row>
    <row r="165" spans="1:95" x14ac:dyDescent="0.2">
      <c r="A165" t="s">
        <v>115</v>
      </c>
      <c r="B165" t="s">
        <v>116</v>
      </c>
      <c r="C165">
        <v>210784</v>
      </c>
      <c r="E165" t="s">
        <v>117</v>
      </c>
      <c r="F165">
        <v>368</v>
      </c>
      <c r="G165" t="s">
        <v>141</v>
      </c>
      <c r="H165" t="s">
        <v>142</v>
      </c>
      <c r="I165" t="s">
        <v>279</v>
      </c>
      <c r="J165" t="s">
        <v>280</v>
      </c>
      <c r="L165" s="14">
        <v>45099</v>
      </c>
      <c r="M165" s="18">
        <f t="shared" si="5"/>
        <v>45078</v>
      </c>
      <c r="N165">
        <v>5279929</v>
      </c>
      <c r="O165" t="s">
        <v>123</v>
      </c>
      <c r="P165" t="s">
        <v>146</v>
      </c>
      <c r="Q165">
        <v>0.77</v>
      </c>
      <c r="R165" t="s">
        <v>554</v>
      </c>
      <c r="S165" t="s">
        <v>126</v>
      </c>
      <c r="T165" t="s">
        <v>554</v>
      </c>
      <c r="U165" t="s">
        <v>555</v>
      </c>
      <c r="W165">
        <v>0.24</v>
      </c>
      <c r="X165">
        <v>0.53</v>
      </c>
      <c r="Y165">
        <v>0.77</v>
      </c>
      <c r="Z165">
        <v>0.28999999999999998</v>
      </c>
      <c r="AG165">
        <v>0.24</v>
      </c>
      <c r="AI165">
        <v>0.24</v>
      </c>
      <c r="BH165" t="s">
        <v>126</v>
      </c>
      <c r="BI165" t="s">
        <v>126</v>
      </c>
      <c r="BJ165" t="s">
        <v>126</v>
      </c>
      <c r="BK165" t="s">
        <v>126</v>
      </c>
      <c r="BS165" t="s">
        <v>126</v>
      </c>
      <c r="BT165" t="s">
        <v>126</v>
      </c>
      <c r="BU165" t="s">
        <v>126</v>
      </c>
      <c r="BV165" t="s">
        <v>126</v>
      </c>
      <c r="CN165" t="s">
        <v>542</v>
      </c>
      <c r="CP165" t="s">
        <v>556</v>
      </c>
      <c r="CQ165" t="s">
        <v>542</v>
      </c>
    </row>
    <row r="166" spans="1:95" x14ac:dyDescent="0.2">
      <c r="A166" t="s">
        <v>115</v>
      </c>
      <c r="B166" t="s">
        <v>116</v>
      </c>
      <c r="C166">
        <v>210784</v>
      </c>
      <c r="E166" t="s">
        <v>117</v>
      </c>
      <c r="F166">
        <v>368</v>
      </c>
      <c r="G166" t="s">
        <v>176</v>
      </c>
      <c r="H166" t="s">
        <v>177</v>
      </c>
      <c r="I166" t="s">
        <v>178</v>
      </c>
      <c r="J166" t="s">
        <v>179</v>
      </c>
      <c r="L166" s="14">
        <v>45100</v>
      </c>
      <c r="M166" s="18">
        <f t="shared" si="5"/>
        <v>45078</v>
      </c>
      <c r="N166">
        <v>7170828</v>
      </c>
      <c r="O166" t="s">
        <v>123</v>
      </c>
      <c r="P166" t="s">
        <v>124</v>
      </c>
      <c r="Q166">
        <v>21.14</v>
      </c>
      <c r="R166" t="s">
        <v>125</v>
      </c>
      <c r="S166" t="s">
        <v>126</v>
      </c>
      <c r="T166" t="s">
        <v>125</v>
      </c>
      <c r="U166" t="s">
        <v>126</v>
      </c>
      <c r="W166">
        <v>21.14</v>
      </c>
      <c r="Y166">
        <v>21.14</v>
      </c>
      <c r="AC166">
        <v>21.14</v>
      </c>
      <c r="BH166" t="s">
        <v>126</v>
      </c>
      <c r="BI166" t="s">
        <v>126</v>
      </c>
      <c r="BJ166" t="s">
        <v>126</v>
      </c>
      <c r="BK166" t="s">
        <v>126</v>
      </c>
      <c r="BS166" t="s">
        <v>126</v>
      </c>
      <c r="BT166" t="s">
        <v>126</v>
      </c>
      <c r="BU166" t="s">
        <v>126</v>
      </c>
      <c r="BV166" t="s">
        <v>126</v>
      </c>
      <c r="CN166" t="s">
        <v>181</v>
      </c>
      <c r="CP166" t="s">
        <v>189</v>
      </c>
      <c r="CQ166" t="s">
        <v>181</v>
      </c>
    </row>
    <row r="167" spans="1:95" x14ac:dyDescent="0.2">
      <c r="A167" t="s">
        <v>115</v>
      </c>
      <c r="B167" t="s">
        <v>116</v>
      </c>
      <c r="C167">
        <v>210784</v>
      </c>
      <c r="E167" t="s">
        <v>117</v>
      </c>
      <c r="F167">
        <v>368</v>
      </c>
      <c r="G167" t="s">
        <v>176</v>
      </c>
      <c r="H167" t="s">
        <v>177</v>
      </c>
      <c r="I167" t="s">
        <v>178</v>
      </c>
      <c r="J167" t="s">
        <v>179</v>
      </c>
      <c r="L167" s="14">
        <v>45100</v>
      </c>
      <c r="M167" s="18">
        <f t="shared" si="5"/>
        <v>45078</v>
      </c>
      <c r="N167">
        <v>7170835</v>
      </c>
      <c r="O167" t="s">
        <v>123</v>
      </c>
      <c r="P167" t="s">
        <v>124</v>
      </c>
      <c r="Q167">
        <v>18.440000000000001</v>
      </c>
      <c r="R167" t="s">
        <v>125</v>
      </c>
      <c r="S167" t="s">
        <v>126</v>
      </c>
      <c r="T167" t="s">
        <v>125</v>
      </c>
      <c r="U167" t="s">
        <v>126</v>
      </c>
      <c r="W167">
        <v>18.440000000000001</v>
      </c>
      <c r="Y167">
        <v>18.440000000000001</v>
      </c>
      <c r="AC167">
        <v>18.440000000000001</v>
      </c>
      <c r="BH167" t="s">
        <v>126</v>
      </c>
      <c r="BI167" t="s">
        <v>126</v>
      </c>
      <c r="BJ167" t="s">
        <v>126</v>
      </c>
      <c r="BK167" t="s">
        <v>126</v>
      </c>
      <c r="BS167" t="s">
        <v>126</v>
      </c>
      <c r="BT167" t="s">
        <v>126</v>
      </c>
      <c r="BU167" t="s">
        <v>126</v>
      </c>
      <c r="BV167" t="s">
        <v>126</v>
      </c>
      <c r="CN167" t="s">
        <v>181</v>
      </c>
      <c r="CP167" t="s">
        <v>189</v>
      </c>
      <c r="CQ167" t="s">
        <v>181</v>
      </c>
    </row>
    <row r="168" spans="1:95" x14ac:dyDescent="0.2">
      <c r="A168" t="s">
        <v>115</v>
      </c>
      <c r="B168" t="s">
        <v>116</v>
      </c>
      <c r="C168">
        <v>210784</v>
      </c>
      <c r="E168" t="s">
        <v>117</v>
      </c>
      <c r="F168">
        <v>368</v>
      </c>
      <c r="G168" t="s">
        <v>176</v>
      </c>
      <c r="H168" t="s">
        <v>177</v>
      </c>
      <c r="I168" t="s">
        <v>178</v>
      </c>
      <c r="J168" t="s">
        <v>179</v>
      </c>
      <c r="L168" s="14">
        <v>45100</v>
      </c>
      <c r="M168" s="18">
        <f t="shared" si="5"/>
        <v>45078</v>
      </c>
      <c r="N168">
        <v>7170840</v>
      </c>
      <c r="O168" t="s">
        <v>123</v>
      </c>
      <c r="P168" t="s">
        <v>124</v>
      </c>
      <c r="Q168">
        <v>16.21</v>
      </c>
      <c r="R168" t="s">
        <v>125</v>
      </c>
      <c r="S168" t="s">
        <v>126</v>
      </c>
      <c r="T168" t="s">
        <v>125</v>
      </c>
      <c r="U168" t="s">
        <v>126</v>
      </c>
      <c r="W168">
        <v>16.21</v>
      </c>
      <c r="Y168">
        <v>16.21</v>
      </c>
      <c r="AC168">
        <v>16.21</v>
      </c>
      <c r="BH168" t="s">
        <v>126</v>
      </c>
      <c r="BI168" t="s">
        <v>126</v>
      </c>
      <c r="BJ168" t="s">
        <v>126</v>
      </c>
      <c r="BK168" t="s">
        <v>126</v>
      </c>
      <c r="BS168" t="s">
        <v>126</v>
      </c>
      <c r="BT168" t="s">
        <v>126</v>
      </c>
      <c r="BU168" t="s">
        <v>126</v>
      </c>
      <c r="BV168" t="s">
        <v>126</v>
      </c>
      <c r="CN168" t="s">
        <v>181</v>
      </c>
      <c r="CP168" t="s">
        <v>189</v>
      </c>
      <c r="CQ168" t="s">
        <v>181</v>
      </c>
    </row>
    <row r="169" spans="1:95" x14ac:dyDescent="0.2">
      <c r="A169" t="s">
        <v>115</v>
      </c>
      <c r="B169" t="s">
        <v>116</v>
      </c>
      <c r="C169">
        <v>210784</v>
      </c>
      <c r="E169" t="s">
        <v>117</v>
      </c>
      <c r="F169">
        <v>368</v>
      </c>
      <c r="G169" t="s">
        <v>176</v>
      </c>
      <c r="H169" t="s">
        <v>177</v>
      </c>
      <c r="I169" t="s">
        <v>178</v>
      </c>
      <c r="J169" t="s">
        <v>179</v>
      </c>
      <c r="L169" s="14">
        <v>45100</v>
      </c>
      <c r="M169" s="18">
        <f t="shared" si="5"/>
        <v>45078</v>
      </c>
      <c r="N169">
        <v>7170843</v>
      </c>
      <c r="O169" t="s">
        <v>123</v>
      </c>
      <c r="P169" t="s">
        <v>124</v>
      </c>
      <c r="Q169">
        <v>19.170000000000002</v>
      </c>
      <c r="R169" t="s">
        <v>125</v>
      </c>
      <c r="S169" t="s">
        <v>126</v>
      </c>
      <c r="T169" t="s">
        <v>125</v>
      </c>
      <c r="U169" t="s">
        <v>126</v>
      </c>
      <c r="W169">
        <v>19.170000000000002</v>
      </c>
      <c r="Y169">
        <v>19.170000000000002</v>
      </c>
      <c r="AC169">
        <v>19.170000000000002</v>
      </c>
      <c r="BH169" t="s">
        <v>126</v>
      </c>
      <c r="BI169" t="s">
        <v>126</v>
      </c>
      <c r="BJ169" t="s">
        <v>126</v>
      </c>
      <c r="BK169" t="s">
        <v>126</v>
      </c>
      <c r="BS169" t="s">
        <v>126</v>
      </c>
      <c r="BT169" t="s">
        <v>126</v>
      </c>
      <c r="BU169" t="s">
        <v>126</v>
      </c>
      <c r="BV169" t="s">
        <v>126</v>
      </c>
      <c r="CN169" t="s">
        <v>181</v>
      </c>
      <c r="CP169" t="s">
        <v>189</v>
      </c>
      <c r="CQ169" t="s">
        <v>181</v>
      </c>
    </row>
    <row r="170" spans="1:95" x14ac:dyDescent="0.2">
      <c r="A170" t="s">
        <v>115</v>
      </c>
      <c r="B170" t="s">
        <v>116</v>
      </c>
      <c r="C170">
        <v>210784</v>
      </c>
      <c r="E170" t="s">
        <v>117</v>
      </c>
      <c r="F170">
        <v>368</v>
      </c>
      <c r="G170" t="s">
        <v>176</v>
      </c>
      <c r="H170" t="s">
        <v>177</v>
      </c>
      <c r="I170" t="s">
        <v>178</v>
      </c>
      <c r="J170" t="s">
        <v>179</v>
      </c>
      <c r="L170" s="14">
        <v>45100</v>
      </c>
      <c r="M170" s="18">
        <f t="shared" si="5"/>
        <v>45078</v>
      </c>
      <c r="N170">
        <v>7170846</v>
      </c>
      <c r="O170" t="s">
        <v>123</v>
      </c>
      <c r="P170" t="s">
        <v>124</v>
      </c>
      <c r="Q170">
        <v>17.45</v>
      </c>
      <c r="R170" t="s">
        <v>125</v>
      </c>
      <c r="S170" t="s">
        <v>126</v>
      </c>
      <c r="T170" t="s">
        <v>125</v>
      </c>
      <c r="U170" t="s">
        <v>126</v>
      </c>
      <c r="W170">
        <v>17.45</v>
      </c>
      <c r="Y170">
        <v>17.45</v>
      </c>
      <c r="AC170">
        <v>17.45</v>
      </c>
      <c r="BH170" t="s">
        <v>126</v>
      </c>
      <c r="BI170" t="s">
        <v>126</v>
      </c>
      <c r="BJ170" t="s">
        <v>126</v>
      </c>
      <c r="BK170" t="s">
        <v>126</v>
      </c>
      <c r="BS170" t="s">
        <v>126</v>
      </c>
      <c r="BT170" t="s">
        <v>126</v>
      </c>
      <c r="BU170" t="s">
        <v>126</v>
      </c>
      <c r="BV170" t="s">
        <v>126</v>
      </c>
      <c r="CN170" t="s">
        <v>181</v>
      </c>
      <c r="CP170" t="s">
        <v>189</v>
      </c>
      <c r="CQ170" t="s">
        <v>181</v>
      </c>
    </row>
    <row r="171" spans="1:95" x14ac:dyDescent="0.2">
      <c r="A171" t="s">
        <v>115</v>
      </c>
      <c r="B171" t="s">
        <v>116</v>
      </c>
      <c r="C171">
        <v>210784</v>
      </c>
      <c r="E171" t="s">
        <v>117</v>
      </c>
      <c r="F171">
        <v>368</v>
      </c>
      <c r="G171" t="s">
        <v>176</v>
      </c>
      <c r="H171" t="s">
        <v>177</v>
      </c>
      <c r="I171" t="s">
        <v>178</v>
      </c>
      <c r="J171" t="s">
        <v>179</v>
      </c>
      <c r="L171" s="14">
        <v>45100</v>
      </c>
      <c r="M171" s="18">
        <f t="shared" si="5"/>
        <v>45078</v>
      </c>
      <c r="N171">
        <v>7170853</v>
      </c>
      <c r="O171" t="s">
        <v>123</v>
      </c>
      <c r="P171" t="s">
        <v>124</v>
      </c>
      <c r="Q171">
        <v>21.92</v>
      </c>
      <c r="R171" t="s">
        <v>125</v>
      </c>
      <c r="S171" t="s">
        <v>126</v>
      </c>
      <c r="T171" t="s">
        <v>125</v>
      </c>
      <c r="U171" t="s">
        <v>126</v>
      </c>
      <c r="W171">
        <v>21.92</v>
      </c>
      <c r="Y171">
        <v>21.92</v>
      </c>
      <c r="AC171">
        <v>21.92</v>
      </c>
      <c r="BH171" t="s">
        <v>126</v>
      </c>
      <c r="BI171" t="s">
        <v>126</v>
      </c>
      <c r="BJ171" t="s">
        <v>126</v>
      </c>
      <c r="BK171" t="s">
        <v>126</v>
      </c>
      <c r="BS171" t="s">
        <v>126</v>
      </c>
      <c r="BT171" t="s">
        <v>126</v>
      </c>
      <c r="BU171" t="s">
        <v>126</v>
      </c>
      <c r="BV171" t="s">
        <v>126</v>
      </c>
      <c r="CN171" t="s">
        <v>181</v>
      </c>
      <c r="CP171" t="s">
        <v>189</v>
      </c>
      <c r="CQ171" t="s">
        <v>181</v>
      </c>
    </row>
    <row r="172" spans="1:95" x14ac:dyDescent="0.2">
      <c r="A172" t="s">
        <v>115</v>
      </c>
      <c r="B172" t="s">
        <v>116</v>
      </c>
      <c r="C172">
        <v>210784</v>
      </c>
      <c r="E172" t="s">
        <v>117</v>
      </c>
      <c r="F172">
        <v>368</v>
      </c>
      <c r="G172" t="s">
        <v>176</v>
      </c>
      <c r="H172" t="s">
        <v>177</v>
      </c>
      <c r="I172" t="s">
        <v>178</v>
      </c>
      <c r="J172" t="s">
        <v>179</v>
      </c>
      <c r="L172" s="14">
        <v>45100</v>
      </c>
      <c r="M172" s="18">
        <f t="shared" si="5"/>
        <v>45078</v>
      </c>
      <c r="N172">
        <v>7170854</v>
      </c>
      <c r="O172" t="s">
        <v>123</v>
      </c>
      <c r="P172" t="s">
        <v>124</v>
      </c>
      <c r="Q172">
        <v>18.100000000000001</v>
      </c>
      <c r="R172" t="s">
        <v>125</v>
      </c>
      <c r="S172" t="s">
        <v>126</v>
      </c>
      <c r="T172" t="s">
        <v>125</v>
      </c>
      <c r="U172" t="s">
        <v>126</v>
      </c>
      <c r="W172">
        <v>18.100000000000001</v>
      </c>
      <c r="Y172">
        <v>18.100000000000001</v>
      </c>
      <c r="AC172">
        <v>18.100000000000001</v>
      </c>
      <c r="BH172" t="s">
        <v>126</v>
      </c>
      <c r="BI172" t="s">
        <v>126</v>
      </c>
      <c r="BJ172" t="s">
        <v>126</v>
      </c>
      <c r="BK172" t="s">
        <v>126</v>
      </c>
      <c r="BS172" t="s">
        <v>126</v>
      </c>
      <c r="BT172" t="s">
        <v>126</v>
      </c>
      <c r="BU172" t="s">
        <v>126</v>
      </c>
      <c r="BV172" t="s">
        <v>126</v>
      </c>
      <c r="CN172" t="s">
        <v>181</v>
      </c>
      <c r="CP172" t="s">
        <v>189</v>
      </c>
      <c r="CQ172" t="s">
        <v>181</v>
      </c>
    </row>
    <row r="173" spans="1:95" x14ac:dyDescent="0.2">
      <c r="A173" t="s">
        <v>115</v>
      </c>
      <c r="B173" t="s">
        <v>116</v>
      </c>
      <c r="C173">
        <v>210784</v>
      </c>
      <c r="E173" t="s">
        <v>117</v>
      </c>
      <c r="F173">
        <v>368</v>
      </c>
      <c r="G173" t="s">
        <v>176</v>
      </c>
      <c r="H173" t="s">
        <v>177</v>
      </c>
      <c r="I173" t="s">
        <v>178</v>
      </c>
      <c r="J173" t="s">
        <v>179</v>
      </c>
      <c r="L173" s="14">
        <v>45100</v>
      </c>
      <c r="M173" s="18">
        <f t="shared" si="5"/>
        <v>45078</v>
      </c>
      <c r="N173">
        <v>7170858</v>
      </c>
      <c r="O173" t="s">
        <v>123</v>
      </c>
      <c r="P173" t="s">
        <v>124</v>
      </c>
      <c r="Q173">
        <v>38.619999999999997</v>
      </c>
      <c r="R173" t="s">
        <v>125</v>
      </c>
      <c r="S173" t="s">
        <v>126</v>
      </c>
      <c r="T173" t="s">
        <v>125</v>
      </c>
      <c r="U173" t="s">
        <v>126</v>
      </c>
      <c r="W173">
        <v>38.619999999999997</v>
      </c>
      <c r="Y173">
        <v>38.619999999999997</v>
      </c>
      <c r="AC173">
        <v>38.619999999999997</v>
      </c>
      <c r="BH173" t="s">
        <v>126</v>
      </c>
      <c r="BI173" t="s">
        <v>126</v>
      </c>
      <c r="BJ173" t="s">
        <v>126</v>
      </c>
      <c r="BK173" t="s">
        <v>126</v>
      </c>
      <c r="BS173" t="s">
        <v>126</v>
      </c>
      <c r="BT173" t="s">
        <v>126</v>
      </c>
      <c r="BU173" t="s">
        <v>126</v>
      </c>
      <c r="BV173" t="s">
        <v>126</v>
      </c>
      <c r="CN173" t="s">
        <v>181</v>
      </c>
      <c r="CP173" t="s">
        <v>189</v>
      </c>
      <c r="CQ173" t="s">
        <v>181</v>
      </c>
    </row>
    <row r="174" spans="1:95" x14ac:dyDescent="0.2">
      <c r="A174" t="s">
        <v>115</v>
      </c>
      <c r="B174" t="s">
        <v>116</v>
      </c>
      <c r="C174">
        <v>210784</v>
      </c>
      <c r="E174" t="s">
        <v>117</v>
      </c>
      <c r="F174">
        <v>368</v>
      </c>
      <c r="G174" t="s">
        <v>176</v>
      </c>
      <c r="H174" t="s">
        <v>177</v>
      </c>
      <c r="I174" t="s">
        <v>178</v>
      </c>
      <c r="J174" t="s">
        <v>179</v>
      </c>
      <c r="L174" s="14">
        <v>45100</v>
      </c>
      <c r="M174" s="18">
        <f t="shared" si="5"/>
        <v>45078</v>
      </c>
      <c r="N174">
        <v>7170859</v>
      </c>
      <c r="O174" t="s">
        <v>123</v>
      </c>
      <c r="P174" t="s">
        <v>124</v>
      </c>
      <c r="Q174">
        <v>21.49</v>
      </c>
      <c r="R174" t="s">
        <v>125</v>
      </c>
      <c r="S174" t="s">
        <v>126</v>
      </c>
      <c r="T174" t="s">
        <v>125</v>
      </c>
      <c r="U174" t="s">
        <v>126</v>
      </c>
      <c r="W174">
        <v>21.49</v>
      </c>
      <c r="Y174">
        <v>21.49</v>
      </c>
      <c r="AC174">
        <v>21.49</v>
      </c>
      <c r="BH174" t="s">
        <v>126</v>
      </c>
      <c r="BI174" t="s">
        <v>126</v>
      </c>
      <c r="BJ174" t="s">
        <v>126</v>
      </c>
      <c r="BK174" t="s">
        <v>126</v>
      </c>
      <c r="BS174" t="s">
        <v>126</v>
      </c>
      <c r="BT174" t="s">
        <v>126</v>
      </c>
      <c r="BU174" t="s">
        <v>126</v>
      </c>
      <c r="BV174" t="s">
        <v>126</v>
      </c>
      <c r="CN174" t="s">
        <v>181</v>
      </c>
      <c r="CP174" t="s">
        <v>189</v>
      </c>
      <c r="CQ174" t="s">
        <v>181</v>
      </c>
    </row>
    <row r="175" spans="1:95" x14ac:dyDescent="0.2">
      <c r="A175" t="s">
        <v>115</v>
      </c>
      <c r="B175" t="s">
        <v>116</v>
      </c>
      <c r="C175">
        <v>210784</v>
      </c>
      <c r="E175" t="s">
        <v>117</v>
      </c>
      <c r="F175">
        <v>368</v>
      </c>
      <c r="G175" t="s">
        <v>176</v>
      </c>
      <c r="H175" t="s">
        <v>177</v>
      </c>
      <c r="I175" t="s">
        <v>178</v>
      </c>
      <c r="J175" t="s">
        <v>179</v>
      </c>
      <c r="L175" s="14">
        <v>45100</v>
      </c>
      <c r="M175" s="18">
        <f t="shared" si="5"/>
        <v>45078</v>
      </c>
      <c r="N175">
        <v>7170863</v>
      </c>
      <c r="O175" t="s">
        <v>123</v>
      </c>
      <c r="P175" t="s">
        <v>124</v>
      </c>
      <c r="Q175">
        <v>20.73</v>
      </c>
      <c r="R175" t="s">
        <v>125</v>
      </c>
      <c r="S175" t="s">
        <v>126</v>
      </c>
      <c r="T175" t="s">
        <v>125</v>
      </c>
      <c r="U175" t="s">
        <v>126</v>
      </c>
      <c r="W175">
        <v>20.73</v>
      </c>
      <c r="Y175">
        <v>20.73</v>
      </c>
      <c r="AC175">
        <v>20.73</v>
      </c>
      <c r="BH175" t="s">
        <v>126</v>
      </c>
      <c r="BI175" t="s">
        <v>126</v>
      </c>
      <c r="BJ175" t="s">
        <v>126</v>
      </c>
      <c r="BK175" t="s">
        <v>126</v>
      </c>
      <c r="BS175" t="s">
        <v>126</v>
      </c>
      <c r="BT175" t="s">
        <v>126</v>
      </c>
      <c r="BU175" t="s">
        <v>126</v>
      </c>
      <c r="BV175" t="s">
        <v>126</v>
      </c>
      <c r="CN175" t="s">
        <v>181</v>
      </c>
      <c r="CP175" t="s">
        <v>189</v>
      </c>
      <c r="CQ175" t="s">
        <v>181</v>
      </c>
    </row>
    <row r="176" spans="1:95" x14ac:dyDescent="0.2">
      <c r="A176" t="s">
        <v>115</v>
      </c>
      <c r="B176" t="s">
        <v>116</v>
      </c>
      <c r="C176">
        <v>210784</v>
      </c>
      <c r="E176" t="s">
        <v>117</v>
      </c>
      <c r="F176">
        <v>368</v>
      </c>
      <c r="G176" t="s">
        <v>176</v>
      </c>
      <c r="H176" t="s">
        <v>177</v>
      </c>
      <c r="I176" t="s">
        <v>178</v>
      </c>
      <c r="J176" t="s">
        <v>179</v>
      </c>
      <c r="L176" s="14">
        <v>45100</v>
      </c>
      <c r="M176" s="18">
        <f t="shared" si="5"/>
        <v>45078</v>
      </c>
      <c r="N176">
        <v>7170864</v>
      </c>
      <c r="O176" t="s">
        <v>123</v>
      </c>
      <c r="P176" t="s">
        <v>124</v>
      </c>
      <c r="Q176">
        <v>19.93</v>
      </c>
      <c r="R176" t="s">
        <v>125</v>
      </c>
      <c r="S176" t="s">
        <v>126</v>
      </c>
      <c r="T176" t="s">
        <v>125</v>
      </c>
      <c r="U176" t="s">
        <v>126</v>
      </c>
      <c r="W176">
        <v>19.93</v>
      </c>
      <c r="Y176">
        <v>19.93</v>
      </c>
      <c r="AC176">
        <v>19.93</v>
      </c>
      <c r="BH176" t="s">
        <v>126</v>
      </c>
      <c r="BI176" t="s">
        <v>126</v>
      </c>
      <c r="BJ176" t="s">
        <v>126</v>
      </c>
      <c r="BK176" t="s">
        <v>126</v>
      </c>
      <c r="BS176" t="s">
        <v>126</v>
      </c>
      <c r="BT176" t="s">
        <v>126</v>
      </c>
      <c r="BU176" t="s">
        <v>126</v>
      </c>
      <c r="BV176" t="s">
        <v>126</v>
      </c>
      <c r="CN176" t="s">
        <v>181</v>
      </c>
      <c r="CP176" t="s">
        <v>189</v>
      </c>
      <c r="CQ176" t="s">
        <v>181</v>
      </c>
    </row>
    <row r="177" spans="1:95" x14ac:dyDescent="0.2">
      <c r="A177" t="s">
        <v>115</v>
      </c>
      <c r="B177" t="s">
        <v>116</v>
      </c>
      <c r="C177">
        <v>210784</v>
      </c>
      <c r="E177" t="s">
        <v>117</v>
      </c>
      <c r="F177">
        <v>368</v>
      </c>
      <c r="G177" t="s">
        <v>176</v>
      </c>
      <c r="H177" t="s">
        <v>177</v>
      </c>
      <c r="I177" t="s">
        <v>178</v>
      </c>
      <c r="J177" t="s">
        <v>179</v>
      </c>
      <c r="L177" s="14">
        <v>45100</v>
      </c>
      <c r="M177" s="18">
        <f t="shared" si="5"/>
        <v>45078</v>
      </c>
      <c r="N177">
        <v>7170866</v>
      </c>
      <c r="O177" t="s">
        <v>123</v>
      </c>
      <c r="P177" t="s">
        <v>124</v>
      </c>
      <c r="Q177">
        <v>20.420000000000002</v>
      </c>
      <c r="R177" t="s">
        <v>125</v>
      </c>
      <c r="S177" t="s">
        <v>126</v>
      </c>
      <c r="T177" t="s">
        <v>125</v>
      </c>
      <c r="U177" t="s">
        <v>126</v>
      </c>
      <c r="W177">
        <v>20.420000000000002</v>
      </c>
      <c r="Y177">
        <v>20.420000000000002</v>
      </c>
      <c r="AC177">
        <v>20.420000000000002</v>
      </c>
      <c r="BH177" t="s">
        <v>126</v>
      </c>
      <c r="BI177" t="s">
        <v>126</v>
      </c>
      <c r="BJ177" t="s">
        <v>126</v>
      </c>
      <c r="BK177" t="s">
        <v>126</v>
      </c>
      <c r="BS177" t="s">
        <v>126</v>
      </c>
      <c r="BT177" t="s">
        <v>126</v>
      </c>
      <c r="BU177" t="s">
        <v>126</v>
      </c>
      <c r="BV177" t="s">
        <v>126</v>
      </c>
      <c r="CN177" t="s">
        <v>181</v>
      </c>
      <c r="CP177" t="s">
        <v>189</v>
      </c>
      <c r="CQ177" t="s">
        <v>181</v>
      </c>
    </row>
    <row r="178" spans="1:95" x14ac:dyDescent="0.2">
      <c r="A178" t="s">
        <v>115</v>
      </c>
      <c r="B178" t="s">
        <v>116</v>
      </c>
      <c r="C178">
        <v>210784</v>
      </c>
      <c r="E178" t="s">
        <v>117</v>
      </c>
      <c r="F178">
        <v>368</v>
      </c>
      <c r="G178" t="s">
        <v>176</v>
      </c>
      <c r="H178" t="s">
        <v>177</v>
      </c>
      <c r="I178" t="s">
        <v>178</v>
      </c>
      <c r="J178" t="s">
        <v>179</v>
      </c>
      <c r="L178" s="14">
        <v>45100</v>
      </c>
      <c r="M178" s="18">
        <f t="shared" si="5"/>
        <v>45078</v>
      </c>
      <c r="N178">
        <v>7170872</v>
      </c>
      <c r="O178" t="s">
        <v>123</v>
      </c>
      <c r="P178" t="s">
        <v>124</v>
      </c>
      <c r="Q178">
        <v>20.36</v>
      </c>
      <c r="R178" t="s">
        <v>125</v>
      </c>
      <c r="S178" t="s">
        <v>126</v>
      </c>
      <c r="T178" t="s">
        <v>125</v>
      </c>
      <c r="U178" t="s">
        <v>126</v>
      </c>
      <c r="W178">
        <v>20.36</v>
      </c>
      <c r="Y178">
        <v>20.36</v>
      </c>
      <c r="AC178">
        <v>20.36</v>
      </c>
      <c r="BH178" t="s">
        <v>126</v>
      </c>
      <c r="BI178" t="s">
        <v>126</v>
      </c>
      <c r="BJ178" t="s">
        <v>126</v>
      </c>
      <c r="BK178" t="s">
        <v>126</v>
      </c>
      <c r="BS178" t="s">
        <v>126</v>
      </c>
      <c r="BT178" t="s">
        <v>126</v>
      </c>
      <c r="BU178" t="s">
        <v>126</v>
      </c>
      <c r="BV178" t="s">
        <v>126</v>
      </c>
      <c r="CN178" t="s">
        <v>181</v>
      </c>
      <c r="CP178" t="s">
        <v>189</v>
      </c>
      <c r="CQ178" t="s">
        <v>181</v>
      </c>
    </row>
    <row r="179" spans="1:95" x14ac:dyDescent="0.2">
      <c r="A179" t="s">
        <v>115</v>
      </c>
      <c r="B179" t="s">
        <v>116</v>
      </c>
      <c r="C179">
        <v>210784</v>
      </c>
      <c r="E179" t="s">
        <v>117</v>
      </c>
      <c r="F179">
        <v>368</v>
      </c>
      <c r="G179" t="s">
        <v>176</v>
      </c>
      <c r="H179" t="s">
        <v>177</v>
      </c>
      <c r="I179" t="s">
        <v>178</v>
      </c>
      <c r="J179" t="s">
        <v>179</v>
      </c>
      <c r="L179" s="14">
        <v>45100</v>
      </c>
      <c r="M179" s="18">
        <f t="shared" si="5"/>
        <v>45078</v>
      </c>
      <c r="N179">
        <v>7170884</v>
      </c>
      <c r="O179" t="s">
        <v>123</v>
      </c>
      <c r="P179" t="s">
        <v>124</v>
      </c>
      <c r="Q179">
        <v>18.91</v>
      </c>
      <c r="R179" t="s">
        <v>125</v>
      </c>
      <c r="S179" t="s">
        <v>126</v>
      </c>
      <c r="T179" t="s">
        <v>125</v>
      </c>
      <c r="U179" t="s">
        <v>126</v>
      </c>
      <c r="W179">
        <v>18.91</v>
      </c>
      <c r="Y179">
        <v>18.91</v>
      </c>
      <c r="AC179">
        <v>18.91</v>
      </c>
      <c r="BH179" t="s">
        <v>126</v>
      </c>
      <c r="BI179" t="s">
        <v>126</v>
      </c>
      <c r="BJ179" t="s">
        <v>126</v>
      </c>
      <c r="BK179" t="s">
        <v>126</v>
      </c>
      <c r="BS179" t="s">
        <v>126</v>
      </c>
      <c r="BT179" t="s">
        <v>126</v>
      </c>
      <c r="BU179" t="s">
        <v>126</v>
      </c>
      <c r="BV179" t="s">
        <v>126</v>
      </c>
      <c r="CN179" t="s">
        <v>181</v>
      </c>
      <c r="CP179" t="s">
        <v>189</v>
      </c>
      <c r="CQ179" t="s">
        <v>181</v>
      </c>
    </row>
    <row r="180" spans="1:95" x14ac:dyDescent="0.2">
      <c r="A180" t="s">
        <v>115</v>
      </c>
      <c r="B180" t="s">
        <v>116</v>
      </c>
      <c r="C180">
        <v>210784</v>
      </c>
      <c r="E180" t="s">
        <v>117</v>
      </c>
      <c r="F180">
        <v>368</v>
      </c>
      <c r="G180" t="s">
        <v>176</v>
      </c>
      <c r="H180" t="s">
        <v>177</v>
      </c>
      <c r="I180" t="s">
        <v>178</v>
      </c>
      <c r="J180" t="s">
        <v>179</v>
      </c>
      <c r="L180" s="14">
        <v>45100</v>
      </c>
      <c r="M180" s="18">
        <f t="shared" si="5"/>
        <v>45078</v>
      </c>
      <c r="N180">
        <v>7170885</v>
      </c>
      <c r="O180" t="s">
        <v>123</v>
      </c>
      <c r="P180" t="s">
        <v>124</v>
      </c>
      <c r="Q180">
        <v>19.239999999999998</v>
      </c>
      <c r="R180" t="s">
        <v>125</v>
      </c>
      <c r="S180" t="s">
        <v>126</v>
      </c>
      <c r="T180" t="s">
        <v>125</v>
      </c>
      <c r="U180" t="s">
        <v>126</v>
      </c>
      <c r="W180">
        <v>19.239999999999998</v>
      </c>
      <c r="Y180">
        <v>19.239999999999998</v>
      </c>
      <c r="AC180">
        <v>19.239999999999998</v>
      </c>
      <c r="BH180" t="s">
        <v>126</v>
      </c>
      <c r="BI180" t="s">
        <v>126</v>
      </c>
      <c r="BJ180" t="s">
        <v>126</v>
      </c>
      <c r="BK180" t="s">
        <v>126</v>
      </c>
      <c r="BS180" t="s">
        <v>126</v>
      </c>
      <c r="BT180" t="s">
        <v>126</v>
      </c>
      <c r="BU180" t="s">
        <v>126</v>
      </c>
      <c r="BV180" t="s">
        <v>126</v>
      </c>
      <c r="CN180" t="s">
        <v>181</v>
      </c>
      <c r="CP180" t="s">
        <v>189</v>
      </c>
      <c r="CQ180" t="s">
        <v>181</v>
      </c>
    </row>
    <row r="181" spans="1:95" x14ac:dyDescent="0.2">
      <c r="A181" t="s">
        <v>115</v>
      </c>
      <c r="B181" t="s">
        <v>116</v>
      </c>
      <c r="C181">
        <v>210784</v>
      </c>
      <c r="E181" t="s">
        <v>117</v>
      </c>
      <c r="F181">
        <v>368</v>
      </c>
      <c r="G181" t="s">
        <v>176</v>
      </c>
      <c r="H181" t="s">
        <v>177</v>
      </c>
      <c r="I181" t="s">
        <v>178</v>
      </c>
      <c r="J181" t="s">
        <v>179</v>
      </c>
      <c r="L181" s="14">
        <v>45100</v>
      </c>
      <c r="M181" s="18">
        <f t="shared" si="5"/>
        <v>45078</v>
      </c>
      <c r="N181">
        <v>7170890</v>
      </c>
      <c r="O181" t="s">
        <v>123</v>
      </c>
      <c r="P181" t="s">
        <v>124</v>
      </c>
      <c r="Q181">
        <v>18.75</v>
      </c>
      <c r="R181" t="s">
        <v>125</v>
      </c>
      <c r="S181" t="s">
        <v>126</v>
      </c>
      <c r="T181" t="s">
        <v>125</v>
      </c>
      <c r="U181" t="s">
        <v>126</v>
      </c>
      <c r="W181">
        <v>18.75</v>
      </c>
      <c r="Y181">
        <v>18.75</v>
      </c>
      <c r="AC181">
        <v>18.75</v>
      </c>
      <c r="BH181" t="s">
        <v>126</v>
      </c>
      <c r="BI181" t="s">
        <v>126</v>
      </c>
      <c r="BJ181" t="s">
        <v>126</v>
      </c>
      <c r="BK181" t="s">
        <v>126</v>
      </c>
      <c r="BS181" t="s">
        <v>126</v>
      </c>
      <c r="BT181" t="s">
        <v>126</v>
      </c>
      <c r="BU181" t="s">
        <v>126</v>
      </c>
      <c r="BV181" t="s">
        <v>126</v>
      </c>
      <c r="CN181" t="s">
        <v>181</v>
      </c>
      <c r="CP181" t="s">
        <v>189</v>
      </c>
      <c r="CQ181" t="s">
        <v>181</v>
      </c>
    </row>
    <row r="182" spans="1:95" x14ac:dyDescent="0.2">
      <c r="A182" t="s">
        <v>115</v>
      </c>
      <c r="B182" t="s">
        <v>116</v>
      </c>
      <c r="C182">
        <v>210784</v>
      </c>
      <c r="E182" t="s">
        <v>117</v>
      </c>
      <c r="F182">
        <v>368</v>
      </c>
      <c r="G182" t="s">
        <v>176</v>
      </c>
      <c r="H182" t="s">
        <v>177</v>
      </c>
      <c r="I182" t="s">
        <v>492</v>
      </c>
      <c r="J182" t="s">
        <v>493</v>
      </c>
      <c r="L182" s="14">
        <v>45100</v>
      </c>
      <c r="M182" s="18">
        <f t="shared" si="5"/>
        <v>45078</v>
      </c>
      <c r="N182" t="s">
        <v>505</v>
      </c>
      <c r="O182" t="s">
        <v>123</v>
      </c>
      <c r="P182" t="s">
        <v>124</v>
      </c>
      <c r="Q182">
        <v>6.87</v>
      </c>
      <c r="R182" t="s">
        <v>125</v>
      </c>
      <c r="S182" t="s">
        <v>126</v>
      </c>
      <c r="T182" t="s">
        <v>125</v>
      </c>
      <c r="U182" t="s">
        <v>126</v>
      </c>
      <c r="W182">
        <v>6.87</v>
      </c>
      <c r="Y182">
        <v>6.87</v>
      </c>
      <c r="AF182">
        <v>6.87</v>
      </c>
      <c r="BH182" t="s">
        <v>126</v>
      </c>
      <c r="BI182" t="s">
        <v>126</v>
      </c>
      <c r="BJ182" t="s">
        <v>126</v>
      </c>
      <c r="BK182" t="s">
        <v>126</v>
      </c>
      <c r="BS182" t="s">
        <v>126</v>
      </c>
      <c r="BT182" t="s">
        <v>126</v>
      </c>
      <c r="BU182" t="s">
        <v>126</v>
      </c>
      <c r="BV182" t="s">
        <v>126</v>
      </c>
      <c r="CN182" t="s">
        <v>181</v>
      </c>
      <c r="CP182" t="s">
        <v>182</v>
      </c>
      <c r="CQ182" t="s">
        <v>181</v>
      </c>
    </row>
    <row r="183" spans="1:95" x14ac:dyDescent="0.2">
      <c r="A183" t="s">
        <v>115</v>
      </c>
      <c r="B183" t="s">
        <v>116</v>
      </c>
      <c r="C183">
        <v>210784</v>
      </c>
      <c r="E183" t="s">
        <v>117</v>
      </c>
      <c r="F183">
        <v>368</v>
      </c>
      <c r="G183" t="s">
        <v>176</v>
      </c>
      <c r="H183" t="s">
        <v>177</v>
      </c>
      <c r="I183" t="s">
        <v>178</v>
      </c>
      <c r="J183" t="s">
        <v>179</v>
      </c>
      <c r="L183" s="14">
        <v>45103</v>
      </c>
      <c r="M183" s="18">
        <f t="shared" si="5"/>
        <v>45078</v>
      </c>
      <c r="N183">
        <v>7171018</v>
      </c>
      <c r="O183" t="s">
        <v>123</v>
      </c>
      <c r="P183" t="s">
        <v>124</v>
      </c>
      <c r="Q183">
        <v>20.78</v>
      </c>
      <c r="R183" t="s">
        <v>125</v>
      </c>
      <c r="S183" t="s">
        <v>126</v>
      </c>
      <c r="T183" t="s">
        <v>125</v>
      </c>
      <c r="U183" t="s">
        <v>126</v>
      </c>
      <c r="W183">
        <v>20.78</v>
      </c>
      <c r="Y183">
        <v>20.78</v>
      </c>
      <c r="AC183">
        <v>20.78</v>
      </c>
      <c r="BH183" t="s">
        <v>126</v>
      </c>
      <c r="BI183" t="s">
        <v>126</v>
      </c>
      <c r="BJ183" t="s">
        <v>126</v>
      </c>
      <c r="BK183" t="s">
        <v>126</v>
      </c>
      <c r="BS183" t="s">
        <v>126</v>
      </c>
      <c r="BT183" t="s">
        <v>126</v>
      </c>
      <c r="BU183" t="s">
        <v>126</v>
      </c>
      <c r="BV183" t="s">
        <v>126</v>
      </c>
      <c r="CN183" t="s">
        <v>181</v>
      </c>
      <c r="CP183" t="s">
        <v>189</v>
      </c>
      <c r="CQ183" t="s">
        <v>181</v>
      </c>
    </row>
    <row r="184" spans="1:95" x14ac:dyDescent="0.2">
      <c r="A184" t="s">
        <v>115</v>
      </c>
      <c r="B184" t="s">
        <v>116</v>
      </c>
      <c r="C184">
        <v>210784</v>
      </c>
      <c r="E184" t="s">
        <v>117</v>
      </c>
      <c r="F184">
        <v>368</v>
      </c>
      <c r="G184" t="s">
        <v>176</v>
      </c>
      <c r="H184" t="s">
        <v>177</v>
      </c>
      <c r="I184" t="s">
        <v>178</v>
      </c>
      <c r="J184" t="s">
        <v>179</v>
      </c>
      <c r="L184" s="14">
        <v>45103</v>
      </c>
      <c r="M184" s="18">
        <f t="shared" si="5"/>
        <v>45078</v>
      </c>
      <c r="N184">
        <v>7171020</v>
      </c>
      <c r="O184" t="s">
        <v>123</v>
      </c>
      <c r="P184" t="s">
        <v>124</v>
      </c>
      <c r="Q184">
        <v>19.760000000000002</v>
      </c>
      <c r="R184" t="s">
        <v>125</v>
      </c>
      <c r="S184" t="s">
        <v>126</v>
      </c>
      <c r="T184" t="s">
        <v>125</v>
      </c>
      <c r="U184" t="s">
        <v>126</v>
      </c>
      <c r="W184">
        <v>19.760000000000002</v>
      </c>
      <c r="Y184">
        <v>19.760000000000002</v>
      </c>
      <c r="AC184">
        <v>19.760000000000002</v>
      </c>
      <c r="BH184" t="s">
        <v>126</v>
      </c>
      <c r="BI184" t="s">
        <v>126</v>
      </c>
      <c r="BJ184" t="s">
        <v>126</v>
      </c>
      <c r="BK184" t="s">
        <v>126</v>
      </c>
      <c r="BS184" t="s">
        <v>126</v>
      </c>
      <c r="BT184" t="s">
        <v>126</v>
      </c>
      <c r="BU184" t="s">
        <v>126</v>
      </c>
      <c r="BV184" t="s">
        <v>126</v>
      </c>
      <c r="CN184" t="s">
        <v>181</v>
      </c>
      <c r="CP184" t="s">
        <v>189</v>
      </c>
      <c r="CQ184" t="s">
        <v>181</v>
      </c>
    </row>
    <row r="185" spans="1:95" x14ac:dyDescent="0.2">
      <c r="A185" t="s">
        <v>115</v>
      </c>
      <c r="B185" t="s">
        <v>116</v>
      </c>
      <c r="C185">
        <v>210784</v>
      </c>
      <c r="E185" t="s">
        <v>117</v>
      </c>
      <c r="F185">
        <v>368</v>
      </c>
      <c r="G185" t="s">
        <v>176</v>
      </c>
      <c r="H185" t="s">
        <v>177</v>
      </c>
      <c r="I185" t="s">
        <v>178</v>
      </c>
      <c r="J185" t="s">
        <v>179</v>
      </c>
      <c r="L185" s="14">
        <v>45103</v>
      </c>
      <c r="M185" s="18">
        <f t="shared" si="5"/>
        <v>45078</v>
      </c>
      <c r="N185">
        <v>7171021</v>
      </c>
      <c r="O185" t="s">
        <v>123</v>
      </c>
      <c r="P185" t="s">
        <v>124</v>
      </c>
      <c r="Q185">
        <v>34.020000000000003</v>
      </c>
      <c r="R185" t="s">
        <v>125</v>
      </c>
      <c r="S185" t="s">
        <v>126</v>
      </c>
      <c r="T185" t="s">
        <v>125</v>
      </c>
      <c r="U185" t="s">
        <v>126</v>
      </c>
      <c r="W185">
        <v>34.020000000000003</v>
      </c>
      <c r="Y185">
        <v>34.020000000000003</v>
      </c>
      <c r="AC185">
        <v>34.020000000000003</v>
      </c>
      <c r="BH185" t="s">
        <v>126</v>
      </c>
      <c r="BI185" t="s">
        <v>126</v>
      </c>
      <c r="BJ185" t="s">
        <v>126</v>
      </c>
      <c r="BK185" t="s">
        <v>126</v>
      </c>
      <c r="BS185" t="s">
        <v>126</v>
      </c>
      <c r="BT185" t="s">
        <v>126</v>
      </c>
      <c r="BU185" t="s">
        <v>126</v>
      </c>
      <c r="BV185" t="s">
        <v>126</v>
      </c>
      <c r="CN185" t="s">
        <v>181</v>
      </c>
      <c r="CP185" t="s">
        <v>189</v>
      </c>
      <c r="CQ185" t="s">
        <v>181</v>
      </c>
    </row>
    <row r="186" spans="1:95" x14ac:dyDescent="0.2">
      <c r="A186" t="s">
        <v>115</v>
      </c>
      <c r="B186" t="s">
        <v>116</v>
      </c>
      <c r="C186">
        <v>210784</v>
      </c>
      <c r="E186" t="s">
        <v>117</v>
      </c>
      <c r="F186">
        <v>368</v>
      </c>
      <c r="G186" t="s">
        <v>176</v>
      </c>
      <c r="H186" t="s">
        <v>177</v>
      </c>
      <c r="I186" t="s">
        <v>178</v>
      </c>
      <c r="J186" t="s">
        <v>179</v>
      </c>
      <c r="L186" s="14">
        <v>45103</v>
      </c>
      <c r="M186" s="18">
        <f t="shared" si="5"/>
        <v>45078</v>
      </c>
      <c r="N186">
        <v>7171030</v>
      </c>
      <c r="O186" t="s">
        <v>123</v>
      </c>
      <c r="P186" t="s">
        <v>124</v>
      </c>
      <c r="Q186">
        <v>22.9</v>
      </c>
      <c r="R186" t="s">
        <v>125</v>
      </c>
      <c r="S186" t="s">
        <v>126</v>
      </c>
      <c r="T186" t="s">
        <v>125</v>
      </c>
      <c r="U186" t="s">
        <v>126</v>
      </c>
      <c r="W186">
        <v>22.9</v>
      </c>
      <c r="Y186">
        <v>22.9</v>
      </c>
      <c r="AC186">
        <v>22.9</v>
      </c>
      <c r="BH186" t="s">
        <v>126</v>
      </c>
      <c r="BI186" t="s">
        <v>126</v>
      </c>
      <c r="BJ186" t="s">
        <v>126</v>
      </c>
      <c r="BK186" t="s">
        <v>126</v>
      </c>
      <c r="BS186" t="s">
        <v>126</v>
      </c>
      <c r="BT186" t="s">
        <v>126</v>
      </c>
      <c r="BU186" t="s">
        <v>126</v>
      </c>
      <c r="BV186" t="s">
        <v>126</v>
      </c>
      <c r="CN186" t="s">
        <v>181</v>
      </c>
      <c r="CP186" t="s">
        <v>189</v>
      </c>
      <c r="CQ186" t="s">
        <v>181</v>
      </c>
    </row>
    <row r="187" spans="1:95" x14ac:dyDescent="0.2">
      <c r="A187" t="s">
        <v>115</v>
      </c>
      <c r="B187" t="s">
        <v>116</v>
      </c>
      <c r="C187">
        <v>210784</v>
      </c>
      <c r="E187" t="s">
        <v>117</v>
      </c>
      <c r="F187">
        <v>368</v>
      </c>
      <c r="G187" t="s">
        <v>176</v>
      </c>
      <c r="H187" t="s">
        <v>177</v>
      </c>
      <c r="I187" t="s">
        <v>178</v>
      </c>
      <c r="J187" t="s">
        <v>179</v>
      </c>
      <c r="L187" s="14">
        <v>45103</v>
      </c>
      <c r="M187" s="18">
        <f t="shared" si="5"/>
        <v>45078</v>
      </c>
      <c r="N187">
        <v>7171033</v>
      </c>
      <c r="O187" t="s">
        <v>123</v>
      </c>
      <c r="P187" t="s">
        <v>124</v>
      </c>
      <c r="Q187">
        <v>21.31</v>
      </c>
      <c r="R187" t="s">
        <v>125</v>
      </c>
      <c r="S187" t="s">
        <v>126</v>
      </c>
      <c r="T187" t="s">
        <v>125</v>
      </c>
      <c r="U187" t="s">
        <v>126</v>
      </c>
      <c r="W187">
        <v>21.31</v>
      </c>
      <c r="Y187">
        <v>21.31</v>
      </c>
      <c r="AC187">
        <v>21.31</v>
      </c>
      <c r="BH187" t="s">
        <v>126</v>
      </c>
      <c r="BI187" t="s">
        <v>126</v>
      </c>
      <c r="BJ187" t="s">
        <v>126</v>
      </c>
      <c r="BK187" t="s">
        <v>126</v>
      </c>
      <c r="BS187" t="s">
        <v>126</v>
      </c>
      <c r="BT187" t="s">
        <v>126</v>
      </c>
      <c r="BU187" t="s">
        <v>126</v>
      </c>
      <c r="BV187" t="s">
        <v>126</v>
      </c>
      <c r="CN187" t="s">
        <v>181</v>
      </c>
      <c r="CP187" t="s">
        <v>189</v>
      </c>
      <c r="CQ187" t="s">
        <v>181</v>
      </c>
    </row>
    <row r="188" spans="1:95" x14ac:dyDescent="0.2">
      <c r="A188" t="s">
        <v>115</v>
      </c>
      <c r="B188" t="s">
        <v>116</v>
      </c>
      <c r="C188">
        <v>210784</v>
      </c>
      <c r="E188" t="s">
        <v>117</v>
      </c>
      <c r="F188">
        <v>368</v>
      </c>
      <c r="G188" t="s">
        <v>176</v>
      </c>
      <c r="H188" t="s">
        <v>177</v>
      </c>
      <c r="I188" t="s">
        <v>178</v>
      </c>
      <c r="J188" t="s">
        <v>179</v>
      </c>
      <c r="L188" s="14">
        <v>45103</v>
      </c>
      <c r="M188" s="18">
        <f t="shared" si="5"/>
        <v>45078</v>
      </c>
      <c r="N188">
        <v>7171036</v>
      </c>
      <c r="O188" t="s">
        <v>123</v>
      </c>
      <c r="P188" t="s">
        <v>124</v>
      </c>
      <c r="Q188">
        <v>19.66</v>
      </c>
      <c r="R188" t="s">
        <v>125</v>
      </c>
      <c r="S188" t="s">
        <v>126</v>
      </c>
      <c r="T188" t="s">
        <v>125</v>
      </c>
      <c r="U188" t="s">
        <v>126</v>
      </c>
      <c r="W188">
        <v>19.66</v>
      </c>
      <c r="Y188">
        <v>19.66</v>
      </c>
      <c r="AC188">
        <v>19.66</v>
      </c>
      <c r="BH188" t="s">
        <v>126</v>
      </c>
      <c r="BI188" t="s">
        <v>126</v>
      </c>
      <c r="BJ188" t="s">
        <v>126</v>
      </c>
      <c r="BK188" t="s">
        <v>126</v>
      </c>
      <c r="BS188" t="s">
        <v>126</v>
      </c>
      <c r="BT188" t="s">
        <v>126</v>
      </c>
      <c r="BU188" t="s">
        <v>126</v>
      </c>
      <c r="BV188" t="s">
        <v>126</v>
      </c>
      <c r="CN188" t="s">
        <v>181</v>
      </c>
      <c r="CP188" t="s">
        <v>189</v>
      </c>
      <c r="CQ188" t="s">
        <v>181</v>
      </c>
    </row>
    <row r="189" spans="1:95" x14ac:dyDescent="0.2">
      <c r="A189" t="s">
        <v>115</v>
      </c>
      <c r="B189" t="s">
        <v>116</v>
      </c>
      <c r="C189">
        <v>210784</v>
      </c>
      <c r="E189" t="s">
        <v>117</v>
      </c>
      <c r="F189">
        <v>368</v>
      </c>
      <c r="G189" t="s">
        <v>176</v>
      </c>
      <c r="H189" t="s">
        <v>177</v>
      </c>
      <c r="I189" t="s">
        <v>178</v>
      </c>
      <c r="J189" t="s">
        <v>179</v>
      </c>
      <c r="L189" s="14">
        <v>45103</v>
      </c>
      <c r="M189" s="18">
        <f t="shared" si="5"/>
        <v>45078</v>
      </c>
      <c r="N189">
        <v>7171037</v>
      </c>
      <c r="O189" t="s">
        <v>123</v>
      </c>
      <c r="P189" t="s">
        <v>124</v>
      </c>
      <c r="Q189">
        <v>20.63</v>
      </c>
      <c r="R189" t="s">
        <v>125</v>
      </c>
      <c r="S189" t="s">
        <v>126</v>
      </c>
      <c r="T189" t="s">
        <v>125</v>
      </c>
      <c r="U189" t="s">
        <v>126</v>
      </c>
      <c r="W189">
        <v>20.63</v>
      </c>
      <c r="Y189">
        <v>20.63</v>
      </c>
      <c r="AC189">
        <v>20.63</v>
      </c>
      <c r="BH189" t="s">
        <v>126</v>
      </c>
      <c r="BI189" t="s">
        <v>126</v>
      </c>
      <c r="BJ189" t="s">
        <v>126</v>
      </c>
      <c r="BK189" t="s">
        <v>126</v>
      </c>
      <c r="BS189" t="s">
        <v>126</v>
      </c>
      <c r="BT189" t="s">
        <v>126</v>
      </c>
      <c r="BU189" t="s">
        <v>126</v>
      </c>
      <c r="BV189" t="s">
        <v>126</v>
      </c>
      <c r="CN189" t="s">
        <v>181</v>
      </c>
      <c r="CP189" t="s">
        <v>189</v>
      </c>
      <c r="CQ189" t="s">
        <v>181</v>
      </c>
    </row>
    <row r="190" spans="1:95" x14ac:dyDescent="0.2">
      <c r="A190" t="s">
        <v>115</v>
      </c>
      <c r="B190" t="s">
        <v>116</v>
      </c>
      <c r="C190">
        <v>210784</v>
      </c>
      <c r="E190" t="s">
        <v>117</v>
      </c>
      <c r="F190">
        <v>368</v>
      </c>
      <c r="G190" t="s">
        <v>176</v>
      </c>
      <c r="H190" t="s">
        <v>177</v>
      </c>
      <c r="I190" t="s">
        <v>178</v>
      </c>
      <c r="J190" t="s">
        <v>179</v>
      </c>
      <c r="L190" s="14">
        <v>45103</v>
      </c>
      <c r="M190" s="18">
        <f t="shared" si="5"/>
        <v>45078</v>
      </c>
      <c r="N190">
        <v>7171038</v>
      </c>
      <c r="O190" t="s">
        <v>123</v>
      </c>
      <c r="P190" t="s">
        <v>124</v>
      </c>
      <c r="Q190">
        <v>21.49</v>
      </c>
      <c r="R190" t="s">
        <v>125</v>
      </c>
      <c r="S190" t="s">
        <v>126</v>
      </c>
      <c r="T190" t="s">
        <v>125</v>
      </c>
      <c r="U190" t="s">
        <v>126</v>
      </c>
      <c r="W190">
        <v>21.49</v>
      </c>
      <c r="Y190">
        <v>21.49</v>
      </c>
      <c r="AC190">
        <v>21.49</v>
      </c>
      <c r="BH190" t="s">
        <v>126</v>
      </c>
      <c r="BI190" t="s">
        <v>126</v>
      </c>
      <c r="BJ190" t="s">
        <v>126</v>
      </c>
      <c r="BK190" t="s">
        <v>126</v>
      </c>
      <c r="BS190" t="s">
        <v>126</v>
      </c>
      <c r="BT190" t="s">
        <v>126</v>
      </c>
      <c r="BU190" t="s">
        <v>126</v>
      </c>
      <c r="BV190" t="s">
        <v>126</v>
      </c>
      <c r="CN190" t="s">
        <v>181</v>
      </c>
      <c r="CP190" t="s">
        <v>189</v>
      </c>
      <c r="CQ190" t="s">
        <v>181</v>
      </c>
    </row>
    <row r="191" spans="1:95" x14ac:dyDescent="0.2">
      <c r="A191" t="s">
        <v>115</v>
      </c>
      <c r="B191" t="s">
        <v>116</v>
      </c>
      <c r="C191">
        <v>210784</v>
      </c>
      <c r="E191" t="s">
        <v>117</v>
      </c>
      <c r="F191">
        <v>368</v>
      </c>
      <c r="G191" t="s">
        <v>176</v>
      </c>
      <c r="H191" t="s">
        <v>177</v>
      </c>
      <c r="I191" t="s">
        <v>178</v>
      </c>
      <c r="J191" t="s">
        <v>179</v>
      </c>
      <c r="L191" s="14">
        <v>45103</v>
      </c>
      <c r="M191" s="18">
        <f t="shared" si="5"/>
        <v>45078</v>
      </c>
      <c r="N191">
        <v>7171044</v>
      </c>
      <c r="O191" t="s">
        <v>123</v>
      </c>
      <c r="P191" t="s">
        <v>124</v>
      </c>
      <c r="Q191">
        <v>23.19</v>
      </c>
      <c r="R191" t="s">
        <v>125</v>
      </c>
      <c r="S191" t="s">
        <v>126</v>
      </c>
      <c r="T191" t="s">
        <v>125</v>
      </c>
      <c r="U191" t="s">
        <v>126</v>
      </c>
      <c r="W191">
        <v>23.19</v>
      </c>
      <c r="Y191">
        <v>23.19</v>
      </c>
      <c r="AC191">
        <v>23.19</v>
      </c>
      <c r="BH191" t="s">
        <v>126</v>
      </c>
      <c r="BI191" t="s">
        <v>126</v>
      </c>
      <c r="BJ191" t="s">
        <v>126</v>
      </c>
      <c r="BK191" t="s">
        <v>126</v>
      </c>
      <c r="BS191" t="s">
        <v>126</v>
      </c>
      <c r="BT191" t="s">
        <v>126</v>
      </c>
      <c r="BU191" t="s">
        <v>126</v>
      </c>
      <c r="BV191" t="s">
        <v>126</v>
      </c>
      <c r="CN191" t="s">
        <v>181</v>
      </c>
      <c r="CP191" t="s">
        <v>189</v>
      </c>
      <c r="CQ191" t="s">
        <v>181</v>
      </c>
    </row>
    <row r="192" spans="1:95" x14ac:dyDescent="0.2">
      <c r="A192" t="s">
        <v>115</v>
      </c>
      <c r="B192" t="s">
        <v>116</v>
      </c>
      <c r="C192">
        <v>210784</v>
      </c>
      <c r="E192" t="s">
        <v>117</v>
      </c>
      <c r="F192">
        <v>368</v>
      </c>
      <c r="G192" t="s">
        <v>176</v>
      </c>
      <c r="H192" t="s">
        <v>177</v>
      </c>
      <c r="I192" t="s">
        <v>178</v>
      </c>
      <c r="J192" t="s">
        <v>179</v>
      </c>
      <c r="L192" s="14">
        <v>45103</v>
      </c>
      <c r="M192" s="18">
        <f t="shared" si="5"/>
        <v>45078</v>
      </c>
      <c r="N192">
        <v>7171048</v>
      </c>
      <c r="O192" t="s">
        <v>123</v>
      </c>
      <c r="P192" t="s">
        <v>124</v>
      </c>
      <c r="Q192">
        <v>25.81</v>
      </c>
      <c r="R192" t="s">
        <v>125</v>
      </c>
      <c r="S192" t="s">
        <v>126</v>
      </c>
      <c r="T192" t="s">
        <v>125</v>
      </c>
      <c r="U192" t="s">
        <v>126</v>
      </c>
      <c r="W192">
        <v>25.81</v>
      </c>
      <c r="Y192">
        <v>25.81</v>
      </c>
      <c r="AC192">
        <v>25.81</v>
      </c>
      <c r="BH192" t="s">
        <v>126</v>
      </c>
      <c r="BI192" t="s">
        <v>126</v>
      </c>
      <c r="BJ192" t="s">
        <v>126</v>
      </c>
      <c r="BK192" t="s">
        <v>126</v>
      </c>
      <c r="BS192" t="s">
        <v>126</v>
      </c>
      <c r="BT192" t="s">
        <v>126</v>
      </c>
      <c r="BU192" t="s">
        <v>126</v>
      </c>
      <c r="BV192" t="s">
        <v>126</v>
      </c>
      <c r="CN192" t="s">
        <v>181</v>
      </c>
      <c r="CP192" t="s">
        <v>189</v>
      </c>
      <c r="CQ192" t="s">
        <v>181</v>
      </c>
    </row>
    <row r="193" spans="1:95" x14ac:dyDescent="0.2">
      <c r="A193" t="s">
        <v>115</v>
      </c>
      <c r="B193" t="s">
        <v>116</v>
      </c>
      <c r="C193">
        <v>210784</v>
      </c>
      <c r="E193" t="s">
        <v>117</v>
      </c>
      <c r="F193">
        <v>368</v>
      </c>
      <c r="G193" t="s">
        <v>176</v>
      </c>
      <c r="H193" t="s">
        <v>177</v>
      </c>
      <c r="I193" t="s">
        <v>178</v>
      </c>
      <c r="J193" t="s">
        <v>179</v>
      </c>
      <c r="L193" s="14">
        <v>45103</v>
      </c>
      <c r="M193" s="18">
        <f t="shared" si="5"/>
        <v>45078</v>
      </c>
      <c r="N193">
        <v>7171056</v>
      </c>
      <c r="O193" t="s">
        <v>123</v>
      </c>
      <c r="P193" t="s">
        <v>124</v>
      </c>
      <c r="Q193">
        <v>17.39</v>
      </c>
      <c r="R193" t="s">
        <v>125</v>
      </c>
      <c r="S193" t="s">
        <v>126</v>
      </c>
      <c r="T193" t="s">
        <v>125</v>
      </c>
      <c r="U193" t="s">
        <v>126</v>
      </c>
      <c r="W193">
        <v>17.39</v>
      </c>
      <c r="Y193">
        <v>17.39</v>
      </c>
      <c r="AC193">
        <v>17.39</v>
      </c>
      <c r="BH193" t="s">
        <v>126</v>
      </c>
      <c r="BI193" t="s">
        <v>126</v>
      </c>
      <c r="BJ193" t="s">
        <v>126</v>
      </c>
      <c r="BK193" t="s">
        <v>126</v>
      </c>
      <c r="BS193" t="s">
        <v>126</v>
      </c>
      <c r="BT193" t="s">
        <v>126</v>
      </c>
      <c r="BU193" t="s">
        <v>126</v>
      </c>
      <c r="BV193" t="s">
        <v>126</v>
      </c>
      <c r="CN193" t="s">
        <v>181</v>
      </c>
      <c r="CP193" t="s">
        <v>189</v>
      </c>
      <c r="CQ193" t="s">
        <v>181</v>
      </c>
    </row>
    <row r="194" spans="1:95" x14ac:dyDescent="0.2">
      <c r="A194" t="s">
        <v>115</v>
      </c>
      <c r="B194" t="s">
        <v>116</v>
      </c>
      <c r="C194">
        <v>210784</v>
      </c>
      <c r="E194" t="s">
        <v>117</v>
      </c>
      <c r="F194">
        <v>368</v>
      </c>
      <c r="G194" t="s">
        <v>176</v>
      </c>
      <c r="H194" t="s">
        <v>177</v>
      </c>
      <c r="I194" t="s">
        <v>178</v>
      </c>
      <c r="J194" t="s">
        <v>179</v>
      </c>
      <c r="L194" s="14">
        <v>45103</v>
      </c>
      <c r="M194" s="18">
        <f t="shared" si="5"/>
        <v>45078</v>
      </c>
      <c r="N194">
        <v>7171057</v>
      </c>
      <c r="O194" t="s">
        <v>123</v>
      </c>
      <c r="P194" t="s">
        <v>124</v>
      </c>
      <c r="Q194">
        <v>22.15</v>
      </c>
      <c r="R194" t="s">
        <v>125</v>
      </c>
      <c r="S194" t="s">
        <v>126</v>
      </c>
      <c r="T194" t="s">
        <v>125</v>
      </c>
      <c r="U194" t="s">
        <v>126</v>
      </c>
      <c r="W194">
        <v>22.15</v>
      </c>
      <c r="Y194">
        <v>22.15</v>
      </c>
      <c r="AC194">
        <v>22.15</v>
      </c>
      <c r="BH194" t="s">
        <v>126</v>
      </c>
      <c r="BI194" t="s">
        <v>126</v>
      </c>
      <c r="BJ194" t="s">
        <v>126</v>
      </c>
      <c r="BK194" t="s">
        <v>126</v>
      </c>
      <c r="BS194" t="s">
        <v>126</v>
      </c>
      <c r="BT194" t="s">
        <v>126</v>
      </c>
      <c r="BU194" t="s">
        <v>126</v>
      </c>
      <c r="BV194" t="s">
        <v>126</v>
      </c>
      <c r="CN194" t="s">
        <v>181</v>
      </c>
      <c r="CP194" t="s">
        <v>189</v>
      </c>
      <c r="CQ194" t="s">
        <v>181</v>
      </c>
    </row>
    <row r="195" spans="1:95" x14ac:dyDescent="0.2">
      <c r="A195" t="s">
        <v>115</v>
      </c>
      <c r="B195" t="s">
        <v>116</v>
      </c>
      <c r="C195">
        <v>210784</v>
      </c>
      <c r="E195" t="s">
        <v>117</v>
      </c>
      <c r="F195">
        <v>368</v>
      </c>
      <c r="G195" t="s">
        <v>176</v>
      </c>
      <c r="H195" t="s">
        <v>177</v>
      </c>
      <c r="I195" t="s">
        <v>178</v>
      </c>
      <c r="J195" t="s">
        <v>179</v>
      </c>
      <c r="L195" s="14">
        <v>45103</v>
      </c>
      <c r="M195" s="18">
        <f t="shared" si="5"/>
        <v>45078</v>
      </c>
      <c r="N195">
        <v>7171077</v>
      </c>
      <c r="O195" t="s">
        <v>123</v>
      </c>
      <c r="P195" t="s">
        <v>124</v>
      </c>
      <c r="Q195">
        <v>21.5</v>
      </c>
      <c r="R195" t="s">
        <v>125</v>
      </c>
      <c r="S195" t="s">
        <v>126</v>
      </c>
      <c r="T195" t="s">
        <v>125</v>
      </c>
      <c r="U195" t="s">
        <v>126</v>
      </c>
      <c r="W195">
        <v>21.5</v>
      </c>
      <c r="Y195">
        <v>21.5</v>
      </c>
      <c r="AC195">
        <v>21.5</v>
      </c>
      <c r="BH195" t="s">
        <v>126</v>
      </c>
      <c r="BI195" t="s">
        <v>126</v>
      </c>
      <c r="BJ195" t="s">
        <v>126</v>
      </c>
      <c r="BK195" t="s">
        <v>126</v>
      </c>
      <c r="BS195" t="s">
        <v>126</v>
      </c>
      <c r="BT195" t="s">
        <v>126</v>
      </c>
      <c r="BU195" t="s">
        <v>126</v>
      </c>
      <c r="BV195" t="s">
        <v>126</v>
      </c>
      <c r="CN195" t="s">
        <v>181</v>
      </c>
      <c r="CP195" t="s">
        <v>189</v>
      </c>
      <c r="CQ195" t="s">
        <v>181</v>
      </c>
    </row>
    <row r="196" spans="1:95" x14ac:dyDescent="0.2">
      <c r="A196" t="s">
        <v>115</v>
      </c>
      <c r="B196" t="s">
        <v>116</v>
      </c>
      <c r="C196">
        <v>210784</v>
      </c>
      <c r="E196" t="s">
        <v>117</v>
      </c>
      <c r="F196">
        <v>368</v>
      </c>
      <c r="G196" t="s">
        <v>176</v>
      </c>
      <c r="H196" t="s">
        <v>177</v>
      </c>
      <c r="I196" t="s">
        <v>178</v>
      </c>
      <c r="J196" t="s">
        <v>179</v>
      </c>
      <c r="L196" s="14">
        <v>45103</v>
      </c>
      <c r="M196" s="18">
        <f t="shared" si="5"/>
        <v>45078</v>
      </c>
      <c r="N196">
        <v>7171103</v>
      </c>
      <c r="O196" t="s">
        <v>123</v>
      </c>
      <c r="P196" t="s">
        <v>124</v>
      </c>
      <c r="Q196">
        <v>20.89</v>
      </c>
      <c r="R196" t="s">
        <v>125</v>
      </c>
      <c r="S196" t="s">
        <v>126</v>
      </c>
      <c r="T196" t="s">
        <v>125</v>
      </c>
      <c r="U196" t="s">
        <v>126</v>
      </c>
      <c r="W196">
        <v>20.89</v>
      </c>
      <c r="Y196">
        <v>20.89</v>
      </c>
      <c r="AC196">
        <v>20.89</v>
      </c>
      <c r="BH196" t="s">
        <v>126</v>
      </c>
      <c r="BI196" t="s">
        <v>126</v>
      </c>
      <c r="BJ196" t="s">
        <v>126</v>
      </c>
      <c r="BK196" t="s">
        <v>126</v>
      </c>
      <c r="BS196" t="s">
        <v>126</v>
      </c>
      <c r="BT196" t="s">
        <v>126</v>
      </c>
      <c r="BU196" t="s">
        <v>126</v>
      </c>
      <c r="BV196" t="s">
        <v>126</v>
      </c>
      <c r="CN196" t="s">
        <v>181</v>
      </c>
      <c r="CP196" t="s">
        <v>189</v>
      </c>
      <c r="CQ196" t="s">
        <v>181</v>
      </c>
    </row>
    <row r="197" spans="1:95" x14ac:dyDescent="0.2">
      <c r="A197" t="s">
        <v>115</v>
      </c>
      <c r="B197" t="s">
        <v>116</v>
      </c>
      <c r="C197">
        <v>210784</v>
      </c>
      <c r="E197" t="s">
        <v>117</v>
      </c>
      <c r="F197">
        <v>368</v>
      </c>
      <c r="G197" t="s">
        <v>141</v>
      </c>
      <c r="H197" t="s">
        <v>142</v>
      </c>
      <c r="I197" t="s">
        <v>204</v>
      </c>
      <c r="J197" t="s">
        <v>205</v>
      </c>
      <c r="L197" s="14">
        <v>45103</v>
      </c>
      <c r="M197" s="18">
        <f t="shared" si="5"/>
        <v>45078</v>
      </c>
      <c r="N197">
        <v>89178</v>
      </c>
      <c r="O197" t="s">
        <v>123</v>
      </c>
      <c r="P197" t="s">
        <v>146</v>
      </c>
      <c r="Q197">
        <v>8.31</v>
      </c>
      <c r="R197" t="s">
        <v>125</v>
      </c>
      <c r="S197" t="s">
        <v>126</v>
      </c>
      <c r="T197" t="s">
        <v>125</v>
      </c>
      <c r="U197" t="s">
        <v>126</v>
      </c>
      <c r="W197">
        <v>8.31</v>
      </c>
      <c r="Y197">
        <v>8.31</v>
      </c>
      <c r="AC197">
        <v>8.31</v>
      </c>
      <c r="BH197" t="s">
        <v>126</v>
      </c>
      <c r="BI197" t="s">
        <v>126</v>
      </c>
      <c r="BJ197" t="s">
        <v>126</v>
      </c>
      <c r="BK197" t="s">
        <v>126</v>
      </c>
      <c r="BS197" t="s">
        <v>126</v>
      </c>
      <c r="BT197" t="s">
        <v>126</v>
      </c>
      <c r="BU197" t="s">
        <v>126</v>
      </c>
      <c r="BV197" t="s">
        <v>126</v>
      </c>
      <c r="CN197" t="s">
        <v>147</v>
      </c>
      <c r="CP197" t="s">
        <v>206</v>
      </c>
      <c r="CQ197" t="s">
        <v>147</v>
      </c>
    </row>
    <row r="198" spans="1:95" x14ac:dyDescent="0.2">
      <c r="A198" t="s">
        <v>115</v>
      </c>
      <c r="B198" t="s">
        <v>116</v>
      </c>
      <c r="C198">
        <v>210784</v>
      </c>
      <c r="E198" t="s">
        <v>117</v>
      </c>
      <c r="F198">
        <v>368</v>
      </c>
      <c r="G198" t="s">
        <v>176</v>
      </c>
      <c r="H198" t="s">
        <v>177</v>
      </c>
      <c r="I198" t="s">
        <v>178</v>
      </c>
      <c r="J198" t="s">
        <v>179</v>
      </c>
      <c r="L198" s="14">
        <v>45105</v>
      </c>
      <c r="M198" s="18">
        <f t="shared" si="5"/>
        <v>45078</v>
      </c>
      <c r="N198">
        <v>7171438</v>
      </c>
      <c r="O198" t="s">
        <v>123</v>
      </c>
      <c r="P198" t="s">
        <v>124</v>
      </c>
      <c r="Q198">
        <v>19.2</v>
      </c>
      <c r="R198" t="s">
        <v>125</v>
      </c>
      <c r="S198" t="s">
        <v>126</v>
      </c>
      <c r="T198" t="s">
        <v>125</v>
      </c>
      <c r="U198" t="s">
        <v>126</v>
      </c>
      <c r="W198">
        <v>19.2</v>
      </c>
      <c r="Y198">
        <v>19.2</v>
      </c>
      <c r="AC198">
        <v>19.2</v>
      </c>
      <c r="BH198" t="s">
        <v>126</v>
      </c>
      <c r="BI198" t="s">
        <v>126</v>
      </c>
      <c r="BJ198" t="s">
        <v>126</v>
      </c>
      <c r="BK198" t="s">
        <v>126</v>
      </c>
      <c r="BS198" t="s">
        <v>126</v>
      </c>
      <c r="BT198" t="s">
        <v>126</v>
      </c>
      <c r="BU198" t="s">
        <v>126</v>
      </c>
      <c r="BV198" t="s">
        <v>126</v>
      </c>
      <c r="CN198" t="s">
        <v>181</v>
      </c>
      <c r="CP198" t="s">
        <v>189</v>
      </c>
      <c r="CQ198" t="s">
        <v>181</v>
      </c>
    </row>
    <row r="199" spans="1:95" x14ac:dyDescent="0.2">
      <c r="A199" t="s">
        <v>115</v>
      </c>
      <c r="B199" t="s">
        <v>116</v>
      </c>
      <c r="C199">
        <v>210784</v>
      </c>
      <c r="E199" t="s">
        <v>117</v>
      </c>
      <c r="F199">
        <v>368</v>
      </c>
      <c r="G199" t="s">
        <v>176</v>
      </c>
      <c r="H199" t="s">
        <v>177</v>
      </c>
      <c r="I199" t="s">
        <v>178</v>
      </c>
      <c r="J199" t="s">
        <v>179</v>
      </c>
      <c r="L199" s="14">
        <v>45105</v>
      </c>
      <c r="M199" s="18">
        <f t="shared" si="5"/>
        <v>45078</v>
      </c>
      <c r="N199">
        <v>7171493</v>
      </c>
      <c r="O199" t="s">
        <v>123</v>
      </c>
      <c r="P199" t="s">
        <v>124</v>
      </c>
      <c r="Q199">
        <v>15.41</v>
      </c>
      <c r="R199" t="s">
        <v>125</v>
      </c>
      <c r="S199" t="s">
        <v>126</v>
      </c>
      <c r="T199" t="s">
        <v>125</v>
      </c>
      <c r="U199" t="s">
        <v>126</v>
      </c>
      <c r="W199">
        <v>15.41</v>
      </c>
      <c r="Y199">
        <v>15.41</v>
      </c>
      <c r="AC199">
        <v>15.41</v>
      </c>
      <c r="BH199" t="s">
        <v>126</v>
      </c>
      <c r="BI199" t="s">
        <v>126</v>
      </c>
      <c r="BJ199" t="s">
        <v>126</v>
      </c>
      <c r="BK199" t="s">
        <v>126</v>
      </c>
      <c r="BS199" t="s">
        <v>126</v>
      </c>
      <c r="BT199" t="s">
        <v>126</v>
      </c>
      <c r="BU199" t="s">
        <v>126</v>
      </c>
      <c r="BV199" t="s">
        <v>126</v>
      </c>
      <c r="CN199" t="s">
        <v>181</v>
      </c>
      <c r="CP199" t="s">
        <v>189</v>
      </c>
      <c r="CQ199" t="s">
        <v>181</v>
      </c>
    </row>
    <row r="200" spans="1:95" x14ac:dyDescent="0.2">
      <c r="A200" t="s">
        <v>115</v>
      </c>
      <c r="B200" t="s">
        <v>116</v>
      </c>
      <c r="C200">
        <v>210784</v>
      </c>
      <c r="E200" t="s">
        <v>117</v>
      </c>
      <c r="F200">
        <v>368</v>
      </c>
      <c r="G200" t="s">
        <v>176</v>
      </c>
      <c r="H200" t="s">
        <v>177</v>
      </c>
      <c r="I200" t="s">
        <v>546</v>
      </c>
      <c r="J200" t="s">
        <v>547</v>
      </c>
      <c r="L200" s="14">
        <v>45112</v>
      </c>
      <c r="M200" s="18">
        <f t="shared" si="5"/>
        <v>45108</v>
      </c>
      <c r="N200">
        <v>42099</v>
      </c>
      <c r="O200" t="s">
        <v>123</v>
      </c>
      <c r="P200" t="s">
        <v>124</v>
      </c>
      <c r="Q200">
        <v>5.28</v>
      </c>
      <c r="R200" t="s">
        <v>550</v>
      </c>
      <c r="S200" t="s">
        <v>126</v>
      </c>
      <c r="T200" t="s">
        <v>550</v>
      </c>
      <c r="U200" t="s">
        <v>549</v>
      </c>
      <c r="W200">
        <v>1.5311999999999999</v>
      </c>
      <c r="X200">
        <v>3.7488000000000001</v>
      </c>
      <c r="Y200">
        <v>5.28</v>
      </c>
      <c r="AY200">
        <v>3.7488000000000001</v>
      </c>
      <c r="BD200">
        <v>1.5311999999999999</v>
      </c>
      <c r="BH200" t="s">
        <v>126</v>
      </c>
      <c r="BI200" t="s">
        <v>126</v>
      </c>
      <c r="BJ200" t="s">
        <v>126</v>
      </c>
      <c r="BK200" t="s">
        <v>126</v>
      </c>
      <c r="BS200" t="s">
        <v>126</v>
      </c>
      <c r="BT200" t="s">
        <v>126</v>
      </c>
      <c r="BU200" t="s">
        <v>126</v>
      </c>
      <c r="BV200" t="s">
        <v>126</v>
      </c>
      <c r="CN200" t="s">
        <v>181</v>
      </c>
      <c r="CP200" t="s">
        <v>189</v>
      </c>
      <c r="CQ200" t="s">
        <v>181</v>
      </c>
    </row>
    <row r="201" spans="1:95" x14ac:dyDescent="0.2">
      <c r="A201" t="s">
        <v>115</v>
      </c>
      <c r="B201" t="s">
        <v>116</v>
      </c>
      <c r="C201">
        <v>210784</v>
      </c>
      <c r="E201" t="s">
        <v>117</v>
      </c>
      <c r="F201">
        <v>368</v>
      </c>
      <c r="G201" t="s">
        <v>141</v>
      </c>
      <c r="H201" t="s">
        <v>142</v>
      </c>
      <c r="I201" t="s">
        <v>279</v>
      </c>
      <c r="J201" t="s">
        <v>280</v>
      </c>
      <c r="L201" s="14">
        <v>45112</v>
      </c>
      <c r="M201" s="18">
        <f t="shared" si="5"/>
        <v>45108</v>
      </c>
      <c r="N201">
        <v>5288699</v>
      </c>
      <c r="O201" t="s">
        <v>123</v>
      </c>
      <c r="P201" t="s">
        <v>146</v>
      </c>
      <c r="Q201">
        <v>3.61</v>
      </c>
      <c r="R201" t="s">
        <v>125</v>
      </c>
      <c r="S201" t="s">
        <v>126</v>
      </c>
      <c r="T201" t="s">
        <v>125</v>
      </c>
      <c r="U201" t="s">
        <v>126</v>
      </c>
      <c r="W201">
        <v>3.61</v>
      </c>
      <c r="Y201">
        <v>3.61</v>
      </c>
      <c r="BE201">
        <v>3.61</v>
      </c>
      <c r="BH201" t="s">
        <v>126</v>
      </c>
      <c r="BI201" t="s">
        <v>126</v>
      </c>
      <c r="BJ201" t="s">
        <v>126</v>
      </c>
      <c r="BK201" t="s">
        <v>126</v>
      </c>
      <c r="BS201" t="s">
        <v>126</v>
      </c>
      <c r="BT201" t="s">
        <v>126</v>
      </c>
      <c r="BU201" t="s">
        <v>126</v>
      </c>
      <c r="BV201" t="s">
        <v>126</v>
      </c>
      <c r="CN201" t="s">
        <v>542</v>
      </c>
      <c r="CP201" t="s">
        <v>836</v>
      </c>
      <c r="CQ201" t="s">
        <v>542</v>
      </c>
    </row>
    <row r="202" spans="1:95" x14ac:dyDescent="0.2">
      <c r="A202" t="s">
        <v>115</v>
      </c>
      <c r="B202" t="s">
        <v>116</v>
      </c>
      <c r="C202">
        <v>210784</v>
      </c>
      <c r="E202" t="s">
        <v>117</v>
      </c>
      <c r="F202">
        <v>368</v>
      </c>
      <c r="G202" t="s">
        <v>141</v>
      </c>
      <c r="H202" t="s">
        <v>142</v>
      </c>
      <c r="I202" t="s">
        <v>204</v>
      </c>
      <c r="J202" t="s">
        <v>205</v>
      </c>
      <c r="L202" s="14">
        <v>45132</v>
      </c>
      <c r="M202" s="18">
        <f t="shared" si="5"/>
        <v>45108</v>
      </c>
      <c r="N202">
        <v>90256</v>
      </c>
      <c r="O202" t="s">
        <v>123</v>
      </c>
      <c r="P202" t="s">
        <v>146</v>
      </c>
      <c r="Q202">
        <v>7.11</v>
      </c>
      <c r="R202" t="s">
        <v>125</v>
      </c>
      <c r="S202" t="s">
        <v>126</v>
      </c>
      <c r="T202" t="s">
        <v>125</v>
      </c>
      <c r="U202" t="s">
        <v>126</v>
      </c>
      <c r="W202">
        <v>7.11</v>
      </c>
      <c r="Y202">
        <v>7.11</v>
      </c>
      <c r="AC202">
        <v>7.11</v>
      </c>
      <c r="BH202" t="s">
        <v>126</v>
      </c>
      <c r="BI202" t="s">
        <v>126</v>
      </c>
      <c r="BJ202" t="s">
        <v>126</v>
      </c>
      <c r="BK202" t="s">
        <v>126</v>
      </c>
      <c r="BS202" t="s">
        <v>126</v>
      </c>
      <c r="BT202" t="s">
        <v>126</v>
      </c>
      <c r="BU202" t="s">
        <v>126</v>
      </c>
      <c r="BV202" t="s">
        <v>126</v>
      </c>
      <c r="CN202" t="s">
        <v>147</v>
      </c>
      <c r="CP202" t="s">
        <v>206</v>
      </c>
      <c r="CQ202" t="s">
        <v>147</v>
      </c>
    </row>
    <row r="203" spans="1:95" x14ac:dyDescent="0.2">
      <c r="A203" t="s">
        <v>115</v>
      </c>
      <c r="B203" t="s">
        <v>116</v>
      </c>
      <c r="C203">
        <v>210784</v>
      </c>
      <c r="E203" t="s">
        <v>117</v>
      </c>
      <c r="F203">
        <v>368</v>
      </c>
      <c r="G203" t="s">
        <v>141</v>
      </c>
      <c r="H203" t="s">
        <v>142</v>
      </c>
      <c r="I203" t="s">
        <v>279</v>
      </c>
      <c r="J203" t="s">
        <v>280</v>
      </c>
      <c r="L203" s="14">
        <v>45132</v>
      </c>
      <c r="M203" s="18">
        <f t="shared" ref="M203:M266" si="6">DATE(YEAR(L203), MONTH(L203), 1)</f>
        <v>45108</v>
      </c>
      <c r="N203">
        <v>5302161</v>
      </c>
      <c r="O203" t="s">
        <v>123</v>
      </c>
      <c r="P203" t="s">
        <v>146</v>
      </c>
      <c r="Q203">
        <v>4.3099999999999996</v>
      </c>
      <c r="R203" t="s">
        <v>125</v>
      </c>
      <c r="S203" t="s">
        <v>126</v>
      </c>
      <c r="T203" t="s">
        <v>125</v>
      </c>
      <c r="U203" t="s">
        <v>126</v>
      </c>
      <c r="W203">
        <v>4.3099999999999996</v>
      </c>
      <c r="Y203">
        <v>4.3099999999999996</v>
      </c>
      <c r="BE203">
        <v>4.3099999999999996</v>
      </c>
      <c r="BH203" t="s">
        <v>126</v>
      </c>
      <c r="BI203" t="s">
        <v>126</v>
      </c>
      <c r="BJ203" t="s">
        <v>126</v>
      </c>
      <c r="BK203" t="s">
        <v>126</v>
      </c>
      <c r="BS203" t="s">
        <v>126</v>
      </c>
      <c r="BT203" t="s">
        <v>126</v>
      </c>
      <c r="BU203" t="s">
        <v>126</v>
      </c>
      <c r="BV203" t="s">
        <v>126</v>
      </c>
      <c r="CN203" t="s">
        <v>147</v>
      </c>
      <c r="CP203" t="s">
        <v>556</v>
      </c>
      <c r="CQ203" t="s">
        <v>147</v>
      </c>
    </row>
    <row r="204" spans="1:95" x14ac:dyDescent="0.2">
      <c r="A204" t="s">
        <v>115</v>
      </c>
      <c r="B204" t="s">
        <v>116</v>
      </c>
      <c r="C204">
        <v>210784</v>
      </c>
      <c r="E204" t="s">
        <v>117</v>
      </c>
      <c r="F204">
        <v>368</v>
      </c>
      <c r="G204" t="s">
        <v>141</v>
      </c>
      <c r="H204" t="s">
        <v>142</v>
      </c>
      <c r="I204" t="s">
        <v>279</v>
      </c>
      <c r="J204" t="s">
        <v>280</v>
      </c>
      <c r="L204" s="14">
        <v>45140</v>
      </c>
      <c r="M204" s="18">
        <f t="shared" si="6"/>
        <v>45139</v>
      </c>
      <c r="N204">
        <v>5307622</v>
      </c>
      <c r="O204" t="s">
        <v>123</v>
      </c>
      <c r="P204" t="s">
        <v>146</v>
      </c>
      <c r="Q204">
        <v>4.01</v>
      </c>
      <c r="R204" t="s">
        <v>125</v>
      </c>
      <c r="S204" t="s">
        <v>126</v>
      </c>
      <c r="T204" t="s">
        <v>125</v>
      </c>
      <c r="U204" t="s">
        <v>126</v>
      </c>
      <c r="W204">
        <v>4.01</v>
      </c>
      <c r="Y204">
        <v>4.01</v>
      </c>
      <c r="BE204">
        <v>4.01</v>
      </c>
      <c r="BH204" t="s">
        <v>126</v>
      </c>
      <c r="BI204" t="s">
        <v>126</v>
      </c>
      <c r="BJ204" t="s">
        <v>126</v>
      </c>
      <c r="BK204" t="s">
        <v>126</v>
      </c>
      <c r="BS204" t="s">
        <v>126</v>
      </c>
      <c r="BT204" t="s">
        <v>126</v>
      </c>
      <c r="BU204" t="s">
        <v>126</v>
      </c>
      <c r="BV204" t="s">
        <v>126</v>
      </c>
      <c r="CN204" t="s">
        <v>147</v>
      </c>
      <c r="CP204" t="s">
        <v>556</v>
      </c>
      <c r="CQ204" t="s">
        <v>147</v>
      </c>
    </row>
    <row r="205" spans="1:95" x14ac:dyDescent="0.2">
      <c r="A205" t="s">
        <v>115</v>
      </c>
      <c r="B205" t="s">
        <v>116</v>
      </c>
      <c r="C205">
        <v>210784</v>
      </c>
      <c r="E205" t="s">
        <v>117</v>
      </c>
      <c r="F205">
        <v>368</v>
      </c>
      <c r="G205" t="s">
        <v>141</v>
      </c>
      <c r="H205" t="s">
        <v>142</v>
      </c>
      <c r="I205" t="s">
        <v>279</v>
      </c>
      <c r="J205" t="s">
        <v>280</v>
      </c>
      <c r="L205" s="14">
        <v>45147</v>
      </c>
      <c r="M205" s="18">
        <f t="shared" si="6"/>
        <v>45139</v>
      </c>
      <c r="N205">
        <v>5312631</v>
      </c>
      <c r="O205" t="s">
        <v>123</v>
      </c>
      <c r="P205" t="s">
        <v>146</v>
      </c>
      <c r="Q205">
        <v>4.04</v>
      </c>
      <c r="R205" t="s">
        <v>125</v>
      </c>
      <c r="S205" t="s">
        <v>126</v>
      </c>
      <c r="T205" t="s">
        <v>125</v>
      </c>
      <c r="U205" t="s">
        <v>126</v>
      </c>
      <c r="W205">
        <v>4.04</v>
      </c>
      <c r="Y205">
        <v>4.04</v>
      </c>
      <c r="BE205">
        <v>4.04</v>
      </c>
      <c r="BH205" t="s">
        <v>126</v>
      </c>
      <c r="BI205" t="s">
        <v>126</v>
      </c>
      <c r="BJ205" t="s">
        <v>126</v>
      </c>
      <c r="BK205" t="s">
        <v>126</v>
      </c>
      <c r="BS205" t="s">
        <v>126</v>
      </c>
      <c r="BT205" t="s">
        <v>126</v>
      </c>
      <c r="BU205" t="s">
        <v>126</v>
      </c>
      <c r="BV205" t="s">
        <v>126</v>
      </c>
      <c r="CN205" t="s">
        <v>147</v>
      </c>
      <c r="CP205" t="s">
        <v>556</v>
      </c>
      <c r="CQ205" t="s">
        <v>147</v>
      </c>
    </row>
    <row r="206" spans="1:95" x14ac:dyDescent="0.2">
      <c r="A206" t="s">
        <v>115</v>
      </c>
      <c r="B206" t="s">
        <v>116</v>
      </c>
      <c r="C206">
        <v>210784</v>
      </c>
      <c r="E206" t="s">
        <v>117</v>
      </c>
      <c r="F206">
        <v>368</v>
      </c>
      <c r="G206" t="s">
        <v>141</v>
      </c>
      <c r="H206" t="s">
        <v>142</v>
      </c>
      <c r="I206" t="s">
        <v>204</v>
      </c>
      <c r="J206" t="s">
        <v>205</v>
      </c>
      <c r="L206" s="14">
        <v>45148</v>
      </c>
      <c r="M206" s="18">
        <f t="shared" si="6"/>
        <v>45139</v>
      </c>
      <c r="N206">
        <v>90836</v>
      </c>
      <c r="O206" t="s">
        <v>123</v>
      </c>
      <c r="P206" t="s">
        <v>146</v>
      </c>
      <c r="Q206">
        <v>8.5299999999999994</v>
      </c>
      <c r="R206" t="s">
        <v>125</v>
      </c>
      <c r="S206" t="s">
        <v>126</v>
      </c>
      <c r="T206" t="s">
        <v>125</v>
      </c>
      <c r="U206" t="s">
        <v>126</v>
      </c>
      <c r="W206">
        <v>8.5299999999999994</v>
      </c>
      <c r="Y206">
        <v>8.5299999999999994</v>
      </c>
      <c r="AC206">
        <v>8.5299999999999994</v>
      </c>
      <c r="BH206" t="s">
        <v>126</v>
      </c>
      <c r="BI206" t="s">
        <v>126</v>
      </c>
      <c r="BJ206" t="s">
        <v>126</v>
      </c>
      <c r="BK206" t="s">
        <v>126</v>
      </c>
      <c r="BS206" t="s">
        <v>126</v>
      </c>
      <c r="BT206" t="s">
        <v>126</v>
      </c>
      <c r="BU206" t="s">
        <v>126</v>
      </c>
      <c r="BV206" t="s">
        <v>126</v>
      </c>
      <c r="CN206" t="s">
        <v>147</v>
      </c>
      <c r="CP206" t="s">
        <v>206</v>
      </c>
      <c r="CQ206" t="s">
        <v>147</v>
      </c>
    </row>
    <row r="207" spans="1:95" x14ac:dyDescent="0.2">
      <c r="A207" t="s">
        <v>115</v>
      </c>
      <c r="B207" t="s">
        <v>116</v>
      </c>
      <c r="C207">
        <v>210784</v>
      </c>
      <c r="E207" t="s">
        <v>117</v>
      </c>
      <c r="F207">
        <v>368</v>
      </c>
      <c r="G207" t="s">
        <v>141</v>
      </c>
      <c r="H207" t="s">
        <v>142</v>
      </c>
      <c r="I207" t="s">
        <v>279</v>
      </c>
      <c r="J207" t="s">
        <v>280</v>
      </c>
      <c r="L207" s="14">
        <v>45155</v>
      </c>
      <c r="M207" s="18">
        <f t="shared" si="6"/>
        <v>45139</v>
      </c>
      <c r="N207">
        <v>5317934</v>
      </c>
      <c r="O207" t="s">
        <v>123</v>
      </c>
      <c r="P207" t="s">
        <v>146</v>
      </c>
      <c r="Q207">
        <v>4.3899999999999997</v>
      </c>
      <c r="R207" t="s">
        <v>125</v>
      </c>
      <c r="S207" t="s">
        <v>126</v>
      </c>
      <c r="T207" t="s">
        <v>125</v>
      </c>
      <c r="U207" t="s">
        <v>126</v>
      </c>
      <c r="W207">
        <v>4.3899999999999997</v>
      </c>
      <c r="Y207">
        <v>4.3899999999999997</v>
      </c>
      <c r="BE207">
        <v>4.3899999999999997</v>
      </c>
      <c r="BH207" t="s">
        <v>126</v>
      </c>
      <c r="BI207" t="s">
        <v>126</v>
      </c>
      <c r="BJ207" t="s">
        <v>126</v>
      </c>
      <c r="BK207" t="s">
        <v>126</v>
      </c>
      <c r="BS207" t="s">
        <v>126</v>
      </c>
      <c r="BT207" t="s">
        <v>126</v>
      </c>
      <c r="BU207" t="s">
        <v>126</v>
      </c>
      <c r="BV207" t="s">
        <v>126</v>
      </c>
      <c r="CN207" t="s">
        <v>147</v>
      </c>
      <c r="CP207" t="s">
        <v>556</v>
      </c>
      <c r="CQ207" t="s">
        <v>147</v>
      </c>
    </row>
    <row r="208" spans="1:95" x14ac:dyDescent="0.2">
      <c r="A208" t="s">
        <v>115</v>
      </c>
      <c r="B208" t="s">
        <v>116</v>
      </c>
      <c r="C208">
        <v>210784</v>
      </c>
      <c r="E208" t="s">
        <v>117</v>
      </c>
      <c r="F208">
        <v>368</v>
      </c>
      <c r="G208" t="s">
        <v>141</v>
      </c>
      <c r="H208" t="s">
        <v>142</v>
      </c>
      <c r="I208" t="s">
        <v>279</v>
      </c>
      <c r="J208" t="s">
        <v>280</v>
      </c>
      <c r="L208" s="14">
        <v>45161</v>
      </c>
      <c r="M208" s="18">
        <f t="shared" si="6"/>
        <v>45139</v>
      </c>
      <c r="N208">
        <v>5321900</v>
      </c>
      <c r="O208" t="s">
        <v>123</v>
      </c>
      <c r="P208" t="s">
        <v>146</v>
      </c>
      <c r="Q208">
        <v>3.82</v>
      </c>
      <c r="R208" t="s">
        <v>125</v>
      </c>
      <c r="S208" t="s">
        <v>126</v>
      </c>
      <c r="T208" t="s">
        <v>125</v>
      </c>
      <c r="U208" t="s">
        <v>126</v>
      </c>
      <c r="W208">
        <v>3.82</v>
      </c>
      <c r="Y208">
        <v>3.82</v>
      </c>
      <c r="BE208">
        <v>3.82</v>
      </c>
      <c r="BH208" t="s">
        <v>126</v>
      </c>
      <c r="BI208" t="s">
        <v>126</v>
      </c>
      <c r="BJ208" t="s">
        <v>126</v>
      </c>
      <c r="BK208" t="s">
        <v>126</v>
      </c>
      <c r="BS208" t="s">
        <v>126</v>
      </c>
      <c r="BT208" t="s">
        <v>126</v>
      </c>
      <c r="BU208" t="s">
        <v>126</v>
      </c>
      <c r="BV208" t="s">
        <v>126</v>
      </c>
      <c r="CN208" t="s">
        <v>147</v>
      </c>
      <c r="CP208" t="s">
        <v>556</v>
      </c>
      <c r="CQ208" t="s">
        <v>147</v>
      </c>
    </row>
    <row r="209" spans="1:95" x14ac:dyDescent="0.2">
      <c r="A209" t="s">
        <v>115</v>
      </c>
      <c r="B209" t="s">
        <v>116</v>
      </c>
      <c r="C209">
        <v>210784</v>
      </c>
      <c r="E209" t="s">
        <v>117</v>
      </c>
      <c r="F209">
        <v>368</v>
      </c>
      <c r="G209" t="s">
        <v>141</v>
      </c>
      <c r="H209" t="s">
        <v>142</v>
      </c>
      <c r="I209" t="s">
        <v>279</v>
      </c>
      <c r="J209" t="s">
        <v>280</v>
      </c>
      <c r="L209" s="14">
        <v>45166</v>
      </c>
      <c r="M209" s="18">
        <f t="shared" si="6"/>
        <v>45139</v>
      </c>
      <c r="N209">
        <v>5324791</v>
      </c>
      <c r="O209" t="s">
        <v>123</v>
      </c>
      <c r="P209" t="s">
        <v>146</v>
      </c>
      <c r="Q209">
        <v>3.14</v>
      </c>
      <c r="R209" t="s">
        <v>125</v>
      </c>
      <c r="S209" t="s">
        <v>126</v>
      </c>
      <c r="T209" t="s">
        <v>125</v>
      </c>
      <c r="U209" t="s">
        <v>126</v>
      </c>
      <c r="W209">
        <v>3.14</v>
      </c>
      <c r="Y209">
        <v>3.14</v>
      </c>
      <c r="BE209">
        <v>3.14</v>
      </c>
      <c r="BH209" t="s">
        <v>126</v>
      </c>
      <c r="BI209" t="s">
        <v>126</v>
      </c>
      <c r="BJ209" t="s">
        <v>126</v>
      </c>
      <c r="BK209" t="s">
        <v>126</v>
      </c>
      <c r="BS209" t="s">
        <v>126</v>
      </c>
      <c r="BT209" t="s">
        <v>126</v>
      </c>
      <c r="BU209" t="s">
        <v>126</v>
      </c>
      <c r="BV209" t="s">
        <v>126</v>
      </c>
      <c r="CN209" t="s">
        <v>147</v>
      </c>
      <c r="CP209" t="s">
        <v>556</v>
      </c>
      <c r="CQ209" t="s">
        <v>147</v>
      </c>
    </row>
    <row r="210" spans="1:95" x14ac:dyDescent="0.2">
      <c r="A210" t="s">
        <v>115</v>
      </c>
      <c r="B210" t="s">
        <v>116</v>
      </c>
      <c r="C210">
        <v>210784</v>
      </c>
      <c r="E210" t="s">
        <v>117</v>
      </c>
      <c r="F210">
        <v>368</v>
      </c>
      <c r="G210" t="s">
        <v>141</v>
      </c>
      <c r="H210" t="s">
        <v>142</v>
      </c>
      <c r="I210" t="s">
        <v>204</v>
      </c>
      <c r="J210" t="s">
        <v>205</v>
      </c>
      <c r="L210" s="14">
        <v>45168</v>
      </c>
      <c r="M210" s="18">
        <f t="shared" si="6"/>
        <v>45139</v>
      </c>
      <c r="N210">
        <v>91497</v>
      </c>
      <c r="O210" t="s">
        <v>123</v>
      </c>
      <c r="P210" t="s">
        <v>146</v>
      </c>
      <c r="Q210">
        <v>8.84</v>
      </c>
      <c r="R210" t="s">
        <v>125</v>
      </c>
      <c r="S210" t="s">
        <v>126</v>
      </c>
      <c r="T210" t="s">
        <v>125</v>
      </c>
      <c r="U210" t="s">
        <v>126</v>
      </c>
      <c r="W210">
        <v>8.84</v>
      </c>
      <c r="Y210">
        <v>8.84</v>
      </c>
      <c r="AC210">
        <v>8.84</v>
      </c>
      <c r="BH210" t="s">
        <v>126</v>
      </c>
      <c r="BI210" t="s">
        <v>126</v>
      </c>
      <c r="BJ210" t="s">
        <v>126</v>
      </c>
      <c r="BK210" t="s">
        <v>126</v>
      </c>
      <c r="BS210" t="s">
        <v>126</v>
      </c>
      <c r="BT210" t="s">
        <v>126</v>
      </c>
      <c r="BU210" t="s">
        <v>126</v>
      </c>
      <c r="BV210" t="s">
        <v>126</v>
      </c>
      <c r="CN210" t="s">
        <v>147</v>
      </c>
      <c r="CP210" t="s">
        <v>206</v>
      </c>
      <c r="CQ210" t="s">
        <v>147</v>
      </c>
    </row>
    <row r="211" spans="1:95" x14ac:dyDescent="0.2">
      <c r="A211" t="s">
        <v>115</v>
      </c>
      <c r="B211" t="s">
        <v>116</v>
      </c>
      <c r="C211">
        <v>210784</v>
      </c>
      <c r="E211" t="s">
        <v>117</v>
      </c>
      <c r="F211">
        <v>368</v>
      </c>
      <c r="G211" t="s">
        <v>141</v>
      </c>
      <c r="H211" t="s">
        <v>142</v>
      </c>
      <c r="I211" t="s">
        <v>279</v>
      </c>
      <c r="J211" t="s">
        <v>280</v>
      </c>
      <c r="L211" s="14">
        <v>45176</v>
      </c>
      <c r="M211" s="18">
        <f t="shared" si="6"/>
        <v>45170</v>
      </c>
      <c r="N211">
        <v>5331804</v>
      </c>
      <c r="O211" t="s">
        <v>123</v>
      </c>
      <c r="P211" t="s">
        <v>146</v>
      </c>
      <c r="Q211">
        <v>3.53</v>
      </c>
      <c r="R211" t="s">
        <v>125</v>
      </c>
      <c r="S211" t="s">
        <v>126</v>
      </c>
      <c r="T211" t="s">
        <v>125</v>
      </c>
      <c r="U211" t="s">
        <v>126</v>
      </c>
      <c r="W211">
        <v>3.53</v>
      </c>
      <c r="Y211">
        <v>3.53</v>
      </c>
      <c r="BE211">
        <v>3.53</v>
      </c>
      <c r="BH211" t="s">
        <v>126</v>
      </c>
      <c r="BI211" t="s">
        <v>126</v>
      </c>
      <c r="BJ211" t="s">
        <v>126</v>
      </c>
      <c r="BK211" t="s">
        <v>126</v>
      </c>
      <c r="BS211" t="s">
        <v>126</v>
      </c>
      <c r="BT211" t="s">
        <v>126</v>
      </c>
      <c r="BU211" t="s">
        <v>126</v>
      </c>
      <c r="BV211" t="s">
        <v>126</v>
      </c>
      <c r="CN211" t="s">
        <v>147</v>
      </c>
      <c r="CP211" t="s">
        <v>556</v>
      </c>
      <c r="CQ211" t="s">
        <v>147</v>
      </c>
    </row>
    <row r="212" spans="1:95" x14ac:dyDescent="0.2">
      <c r="A212" t="s">
        <v>115</v>
      </c>
      <c r="B212" t="s">
        <v>116</v>
      </c>
      <c r="C212">
        <v>210784</v>
      </c>
      <c r="E212" t="s">
        <v>117</v>
      </c>
      <c r="F212">
        <v>368</v>
      </c>
      <c r="G212" t="s">
        <v>141</v>
      </c>
      <c r="H212" t="s">
        <v>142</v>
      </c>
      <c r="I212" t="s">
        <v>279</v>
      </c>
      <c r="J212" t="s">
        <v>280</v>
      </c>
      <c r="L212" s="14">
        <v>45181</v>
      </c>
      <c r="M212" s="18">
        <f t="shared" si="6"/>
        <v>45170</v>
      </c>
      <c r="N212">
        <v>5335115</v>
      </c>
      <c r="O212" t="s">
        <v>123</v>
      </c>
      <c r="P212" t="s">
        <v>146</v>
      </c>
      <c r="Q212">
        <v>3.1</v>
      </c>
      <c r="R212" t="s">
        <v>125</v>
      </c>
      <c r="S212" t="s">
        <v>126</v>
      </c>
      <c r="T212" t="s">
        <v>125</v>
      </c>
      <c r="U212" t="s">
        <v>126</v>
      </c>
      <c r="W212">
        <v>3.1</v>
      </c>
      <c r="Y212">
        <v>3.1</v>
      </c>
      <c r="BE212">
        <v>3.1</v>
      </c>
      <c r="BH212" t="s">
        <v>126</v>
      </c>
      <c r="BI212" t="s">
        <v>126</v>
      </c>
      <c r="BJ212" t="s">
        <v>126</v>
      </c>
      <c r="BK212" t="s">
        <v>126</v>
      </c>
      <c r="BS212" t="s">
        <v>126</v>
      </c>
      <c r="BT212" t="s">
        <v>126</v>
      </c>
      <c r="BU212" t="s">
        <v>126</v>
      </c>
      <c r="BV212" t="s">
        <v>126</v>
      </c>
      <c r="CN212" t="s">
        <v>147</v>
      </c>
      <c r="CP212" t="s">
        <v>556</v>
      </c>
      <c r="CQ212" t="s">
        <v>147</v>
      </c>
    </row>
    <row r="213" spans="1:95" x14ac:dyDescent="0.2">
      <c r="A213" t="s">
        <v>115</v>
      </c>
      <c r="B213" t="s">
        <v>116</v>
      </c>
      <c r="C213">
        <v>210784</v>
      </c>
      <c r="E213" t="s">
        <v>117</v>
      </c>
      <c r="F213">
        <v>368</v>
      </c>
      <c r="G213" t="s">
        <v>141</v>
      </c>
      <c r="H213" t="s">
        <v>142</v>
      </c>
      <c r="I213" t="s">
        <v>204</v>
      </c>
      <c r="J213" t="s">
        <v>205</v>
      </c>
      <c r="L213" s="14">
        <v>45182</v>
      </c>
      <c r="M213" s="18">
        <f t="shared" si="6"/>
        <v>45170</v>
      </c>
      <c r="N213">
        <v>91934</v>
      </c>
      <c r="O213" t="s">
        <v>123</v>
      </c>
      <c r="P213" t="s">
        <v>146</v>
      </c>
      <c r="Q213">
        <v>7.92</v>
      </c>
      <c r="R213" t="s">
        <v>125</v>
      </c>
      <c r="S213" t="s">
        <v>126</v>
      </c>
      <c r="T213" t="s">
        <v>125</v>
      </c>
      <c r="U213" t="s">
        <v>126</v>
      </c>
      <c r="W213">
        <v>7.92</v>
      </c>
      <c r="Y213">
        <v>7.92</v>
      </c>
      <c r="AC213">
        <v>7.92</v>
      </c>
      <c r="BH213" t="s">
        <v>126</v>
      </c>
      <c r="BI213" t="s">
        <v>126</v>
      </c>
      <c r="BJ213" t="s">
        <v>126</v>
      </c>
      <c r="BK213" t="s">
        <v>126</v>
      </c>
      <c r="BS213" t="s">
        <v>126</v>
      </c>
      <c r="BT213" t="s">
        <v>126</v>
      </c>
      <c r="BU213" t="s">
        <v>126</v>
      </c>
      <c r="BV213" t="s">
        <v>126</v>
      </c>
      <c r="CN213" t="s">
        <v>147</v>
      </c>
      <c r="CP213" t="s">
        <v>206</v>
      </c>
      <c r="CQ213" t="s">
        <v>147</v>
      </c>
    </row>
    <row r="214" spans="1:95" x14ac:dyDescent="0.2">
      <c r="A214" t="s">
        <v>115</v>
      </c>
      <c r="B214" t="s">
        <v>116</v>
      </c>
      <c r="C214">
        <v>210784</v>
      </c>
      <c r="E214" t="s">
        <v>117</v>
      </c>
      <c r="F214">
        <v>368</v>
      </c>
      <c r="G214" t="s">
        <v>141</v>
      </c>
      <c r="H214" t="s">
        <v>142</v>
      </c>
      <c r="I214" t="s">
        <v>279</v>
      </c>
      <c r="J214" t="s">
        <v>280</v>
      </c>
      <c r="L214" s="14">
        <v>45184</v>
      </c>
      <c r="M214" s="18">
        <f t="shared" si="6"/>
        <v>45170</v>
      </c>
      <c r="N214">
        <v>5337769</v>
      </c>
      <c r="O214" t="s">
        <v>123</v>
      </c>
      <c r="P214" t="s">
        <v>146</v>
      </c>
      <c r="Q214">
        <v>2.66</v>
      </c>
      <c r="R214" t="s">
        <v>125</v>
      </c>
      <c r="S214" t="s">
        <v>126</v>
      </c>
      <c r="T214" t="s">
        <v>125</v>
      </c>
      <c r="U214" t="s">
        <v>126</v>
      </c>
      <c r="W214">
        <v>2.66</v>
      </c>
      <c r="Y214">
        <v>2.66</v>
      </c>
      <c r="BE214">
        <v>2.66</v>
      </c>
      <c r="BH214" t="s">
        <v>126</v>
      </c>
      <c r="BI214" t="s">
        <v>126</v>
      </c>
      <c r="BJ214" t="s">
        <v>126</v>
      </c>
      <c r="BK214" t="s">
        <v>126</v>
      </c>
      <c r="BS214" t="s">
        <v>126</v>
      </c>
      <c r="BT214" t="s">
        <v>126</v>
      </c>
      <c r="BU214" t="s">
        <v>126</v>
      </c>
      <c r="BV214" t="s">
        <v>126</v>
      </c>
      <c r="CN214" t="s">
        <v>147</v>
      </c>
      <c r="CP214" t="s">
        <v>556</v>
      </c>
      <c r="CQ214" t="s">
        <v>147</v>
      </c>
    </row>
    <row r="215" spans="1:95" x14ac:dyDescent="0.2">
      <c r="A215" t="s">
        <v>115</v>
      </c>
      <c r="B215" t="s">
        <v>116</v>
      </c>
      <c r="C215">
        <v>210784</v>
      </c>
      <c r="E215" t="s">
        <v>117</v>
      </c>
      <c r="F215">
        <v>368</v>
      </c>
      <c r="G215" t="s">
        <v>141</v>
      </c>
      <c r="H215" t="s">
        <v>142</v>
      </c>
      <c r="I215" t="s">
        <v>279</v>
      </c>
      <c r="J215" t="s">
        <v>280</v>
      </c>
      <c r="L215" s="14">
        <v>45191</v>
      </c>
      <c r="M215" s="18">
        <f t="shared" si="6"/>
        <v>45170</v>
      </c>
      <c r="N215">
        <v>5342159</v>
      </c>
      <c r="O215" t="s">
        <v>123</v>
      </c>
      <c r="P215" t="s">
        <v>146</v>
      </c>
      <c r="Q215">
        <v>3.46</v>
      </c>
      <c r="R215" t="s">
        <v>125</v>
      </c>
      <c r="S215" t="s">
        <v>126</v>
      </c>
      <c r="T215" t="s">
        <v>125</v>
      </c>
      <c r="U215" t="s">
        <v>126</v>
      </c>
      <c r="W215">
        <v>3.46</v>
      </c>
      <c r="Y215">
        <v>3.46</v>
      </c>
      <c r="BE215">
        <v>3.46</v>
      </c>
      <c r="BH215" t="s">
        <v>126</v>
      </c>
      <c r="BI215" t="s">
        <v>126</v>
      </c>
      <c r="BJ215" t="s">
        <v>126</v>
      </c>
      <c r="BK215" t="s">
        <v>126</v>
      </c>
      <c r="BS215" t="s">
        <v>126</v>
      </c>
      <c r="BT215" t="s">
        <v>126</v>
      </c>
      <c r="BU215" t="s">
        <v>126</v>
      </c>
      <c r="BV215" t="s">
        <v>126</v>
      </c>
      <c r="CN215" t="s">
        <v>147</v>
      </c>
      <c r="CP215" t="s">
        <v>556</v>
      </c>
      <c r="CQ215" t="s">
        <v>147</v>
      </c>
    </row>
    <row r="216" spans="1:95" x14ac:dyDescent="0.2">
      <c r="A216" t="s">
        <v>115</v>
      </c>
      <c r="B216" t="s">
        <v>116</v>
      </c>
      <c r="C216">
        <v>210784</v>
      </c>
      <c r="E216" t="s">
        <v>117</v>
      </c>
      <c r="F216">
        <v>368</v>
      </c>
      <c r="G216" t="s">
        <v>141</v>
      </c>
      <c r="H216" t="s">
        <v>142</v>
      </c>
      <c r="I216" t="s">
        <v>204</v>
      </c>
      <c r="J216" t="s">
        <v>205</v>
      </c>
      <c r="L216" s="14">
        <v>45197</v>
      </c>
      <c r="M216" s="18">
        <f t="shared" si="6"/>
        <v>45170</v>
      </c>
      <c r="N216">
        <v>92512</v>
      </c>
      <c r="O216" t="s">
        <v>123</v>
      </c>
      <c r="P216" t="s">
        <v>146</v>
      </c>
      <c r="Q216">
        <v>9.8800000000000008</v>
      </c>
      <c r="R216" t="s">
        <v>125</v>
      </c>
      <c r="S216" t="s">
        <v>126</v>
      </c>
      <c r="T216" t="s">
        <v>125</v>
      </c>
      <c r="U216" t="s">
        <v>126</v>
      </c>
      <c r="W216">
        <v>9.8800000000000008</v>
      </c>
      <c r="Y216">
        <v>9.8800000000000008</v>
      </c>
      <c r="AC216">
        <v>9.8800000000000008</v>
      </c>
      <c r="BH216" t="s">
        <v>126</v>
      </c>
      <c r="BI216" t="s">
        <v>126</v>
      </c>
      <c r="BJ216" t="s">
        <v>126</v>
      </c>
      <c r="BK216" t="s">
        <v>126</v>
      </c>
      <c r="BS216" t="s">
        <v>126</v>
      </c>
      <c r="BT216" t="s">
        <v>126</v>
      </c>
      <c r="BU216" t="s">
        <v>126</v>
      </c>
      <c r="BV216" t="s">
        <v>126</v>
      </c>
      <c r="CN216" t="s">
        <v>147</v>
      </c>
      <c r="CP216" t="s">
        <v>206</v>
      </c>
      <c r="CQ216" t="s">
        <v>147</v>
      </c>
    </row>
    <row r="217" spans="1:95" x14ac:dyDescent="0.2">
      <c r="A217" t="s">
        <v>115</v>
      </c>
      <c r="B217" t="s">
        <v>116</v>
      </c>
      <c r="C217">
        <v>210784</v>
      </c>
      <c r="E217" t="s">
        <v>117</v>
      </c>
      <c r="F217">
        <v>368</v>
      </c>
      <c r="G217" t="s">
        <v>141</v>
      </c>
      <c r="H217" t="s">
        <v>142</v>
      </c>
      <c r="I217" t="s">
        <v>279</v>
      </c>
      <c r="J217" t="s">
        <v>280</v>
      </c>
      <c r="L217" s="14">
        <v>45197</v>
      </c>
      <c r="M217" s="18">
        <f t="shared" si="6"/>
        <v>45170</v>
      </c>
      <c r="N217">
        <v>5345896</v>
      </c>
      <c r="O217" t="s">
        <v>123</v>
      </c>
      <c r="P217" t="s">
        <v>146</v>
      </c>
      <c r="Q217">
        <v>3.39</v>
      </c>
      <c r="R217" t="s">
        <v>125</v>
      </c>
      <c r="S217" t="s">
        <v>126</v>
      </c>
      <c r="T217" t="s">
        <v>125</v>
      </c>
      <c r="U217" t="s">
        <v>126</v>
      </c>
      <c r="W217">
        <v>3.39</v>
      </c>
      <c r="Y217">
        <v>3.39</v>
      </c>
      <c r="BE217">
        <v>3.39</v>
      </c>
      <c r="BH217" t="s">
        <v>126</v>
      </c>
      <c r="BI217" t="s">
        <v>126</v>
      </c>
      <c r="BJ217" t="s">
        <v>126</v>
      </c>
      <c r="BK217" t="s">
        <v>126</v>
      </c>
      <c r="BS217" t="s">
        <v>126</v>
      </c>
      <c r="BT217" t="s">
        <v>126</v>
      </c>
      <c r="BU217" t="s">
        <v>126</v>
      </c>
      <c r="BV217" t="s">
        <v>126</v>
      </c>
      <c r="CN217" t="s">
        <v>147</v>
      </c>
      <c r="CP217" t="s">
        <v>556</v>
      </c>
      <c r="CQ217" t="s">
        <v>147</v>
      </c>
    </row>
    <row r="218" spans="1:95" x14ac:dyDescent="0.2">
      <c r="A218" t="s">
        <v>115</v>
      </c>
      <c r="B218" t="s">
        <v>116</v>
      </c>
      <c r="C218">
        <v>210784</v>
      </c>
      <c r="E218" t="s">
        <v>117</v>
      </c>
      <c r="F218">
        <v>368</v>
      </c>
      <c r="G218" t="s">
        <v>141</v>
      </c>
      <c r="H218" t="s">
        <v>142</v>
      </c>
      <c r="I218" t="s">
        <v>204</v>
      </c>
      <c r="J218" t="s">
        <v>205</v>
      </c>
      <c r="L218" s="14">
        <v>45202</v>
      </c>
      <c r="M218" s="18">
        <f t="shared" si="6"/>
        <v>45200</v>
      </c>
      <c r="N218">
        <v>92675</v>
      </c>
      <c r="O218" t="s">
        <v>123</v>
      </c>
      <c r="P218" t="s">
        <v>146</v>
      </c>
      <c r="Q218">
        <v>13.16</v>
      </c>
      <c r="R218" t="s">
        <v>125</v>
      </c>
      <c r="S218" t="s">
        <v>126</v>
      </c>
      <c r="T218" t="s">
        <v>125</v>
      </c>
      <c r="U218" t="s">
        <v>126</v>
      </c>
      <c r="W218">
        <v>13.16</v>
      </c>
      <c r="Y218">
        <v>13.16</v>
      </c>
      <c r="AC218">
        <v>13.16</v>
      </c>
      <c r="BH218" t="s">
        <v>126</v>
      </c>
      <c r="BI218" t="s">
        <v>126</v>
      </c>
      <c r="BJ218" t="s">
        <v>126</v>
      </c>
      <c r="BK218" t="s">
        <v>126</v>
      </c>
      <c r="BS218" t="s">
        <v>126</v>
      </c>
      <c r="BT218" t="s">
        <v>126</v>
      </c>
      <c r="BU218" t="s">
        <v>126</v>
      </c>
      <c r="BV218" t="s">
        <v>126</v>
      </c>
      <c r="CN218" t="s">
        <v>147</v>
      </c>
      <c r="CP218" t="s">
        <v>206</v>
      </c>
      <c r="CQ218" t="s">
        <v>147</v>
      </c>
    </row>
    <row r="219" spans="1:95" x14ac:dyDescent="0.2">
      <c r="A219" t="s">
        <v>115</v>
      </c>
      <c r="B219" t="s">
        <v>116</v>
      </c>
      <c r="C219">
        <v>210784</v>
      </c>
      <c r="E219" t="s">
        <v>117</v>
      </c>
      <c r="F219">
        <v>368</v>
      </c>
      <c r="G219" t="s">
        <v>141</v>
      </c>
      <c r="H219" t="s">
        <v>142</v>
      </c>
      <c r="I219" t="s">
        <v>279</v>
      </c>
      <c r="J219" t="s">
        <v>280</v>
      </c>
      <c r="L219" s="14">
        <v>45202</v>
      </c>
      <c r="M219" s="18">
        <f t="shared" si="6"/>
        <v>45200</v>
      </c>
      <c r="N219">
        <v>5349320</v>
      </c>
      <c r="O219" t="s">
        <v>123</v>
      </c>
      <c r="P219" t="s">
        <v>146</v>
      </c>
      <c r="Q219">
        <v>2.86</v>
      </c>
      <c r="R219" t="s">
        <v>125</v>
      </c>
      <c r="S219" t="s">
        <v>126</v>
      </c>
      <c r="T219" t="s">
        <v>125</v>
      </c>
      <c r="U219" t="s">
        <v>126</v>
      </c>
      <c r="W219">
        <v>2.86</v>
      </c>
      <c r="Y219">
        <v>2.86</v>
      </c>
      <c r="BE219">
        <v>2.86</v>
      </c>
      <c r="BH219" t="s">
        <v>126</v>
      </c>
      <c r="BI219" t="s">
        <v>126</v>
      </c>
      <c r="BJ219" t="s">
        <v>126</v>
      </c>
      <c r="BK219" t="s">
        <v>126</v>
      </c>
      <c r="BS219" t="s">
        <v>126</v>
      </c>
      <c r="BT219" t="s">
        <v>126</v>
      </c>
      <c r="BU219" t="s">
        <v>126</v>
      </c>
      <c r="BV219" t="s">
        <v>126</v>
      </c>
      <c r="CN219" t="s">
        <v>147</v>
      </c>
      <c r="CP219" t="s">
        <v>557</v>
      </c>
      <c r="CQ219" t="s">
        <v>147</v>
      </c>
    </row>
    <row r="220" spans="1:95" x14ac:dyDescent="0.2">
      <c r="A220" t="s">
        <v>115</v>
      </c>
      <c r="B220" t="s">
        <v>116</v>
      </c>
      <c r="C220">
        <v>210784</v>
      </c>
      <c r="E220" t="s">
        <v>117</v>
      </c>
      <c r="F220">
        <v>368</v>
      </c>
      <c r="G220" t="s">
        <v>141</v>
      </c>
      <c r="H220" t="s">
        <v>142</v>
      </c>
      <c r="I220" t="s">
        <v>279</v>
      </c>
      <c r="J220" t="s">
        <v>280</v>
      </c>
      <c r="L220" s="14">
        <v>45206</v>
      </c>
      <c r="M220" s="18">
        <f t="shared" si="6"/>
        <v>45200</v>
      </c>
      <c r="N220">
        <v>5352192</v>
      </c>
      <c r="O220" t="s">
        <v>123</v>
      </c>
      <c r="P220" t="s">
        <v>146</v>
      </c>
      <c r="Q220">
        <v>3.05</v>
      </c>
      <c r="R220" t="s">
        <v>125</v>
      </c>
      <c r="S220" t="s">
        <v>126</v>
      </c>
      <c r="T220" t="s">
        <v>125</v>
      </c>
      <c r="U220" t="s">
        <v>126</v>
      </c>
      <c r="W220">
        <v>3.05</v>
      </c>
      <c r="Y220">
        <v>3.05</v>
      </c>
      <c r="BE220">
        <v>3.05</v>
      </c>
      <c r="BH220" t="s">
        <v>126</v>
      </c>
      <c r="BI220" t="s">
        <v>126</v>
      </c>
      <c r="BJ220" t="s">
        <v>126</v>
      </c>
      <c r="BK220" t="s">
        <v>126</v>
      </c>
      <c r="BS220" t="s">
        <v>126</v>
      </c>
      <c r="BT220" t="s">
        <v>126</v>
      </c>
      <c r="BU220" t="s">
        <v>126</v>
      </c>
      <c r="BV220" t="s">
        <v>126</v>
      </c>
      <c r="CN220" t="s">
        <v>147</v>
      </c>
      <c r="CP220" t="s">
        <v>557</v>
      </c>
      <c r="CQ220" t="s">
        <v>147</v>
      </c>
    </row>
    <row r="221" spans="1:95" x14ac:dyDescent="0.2">
      <c r="A221" t="s">
        <v>115</v>
      </c>
      <c r="B221" t="s">
        <v>116</v>
      </c>
      <c r="C221">
        <v>210784</v>
      </c>
      <c r="E221" t="s">
        <v>117</v>
      </c>
      <c r="F221">
        <v>368</v>
      </c>
      <c r="G221" t="s">
        <v>141</v>
      </c>
      <c r="H221" t="s">
        <v>142</v>
      </c>
      <c r="I221" t="s">
        <v>279</v>
      </c>
      <c r="J221" t="s">
        <v>280</v>
      </c>
      <c r="L221" s="14">
        <v>45210</v>
      </c>
      <c r="M221" s="18">
        <f t="shared" si="6"/>
        <v>45200</v>
      </c>
      <c r="N221">
        <v>5354344</v>
      </c>
      <c r="O221" t="s">
        <v>123</v>
      </c>
      <c r="P221" t="s">
        <v>146</v>
      </c>
      <c r="Q221">
        <v>3.37</v>
      </c>
      <c r="R221" t="s">
        <v>125</v>
      </c>
      <c r="S221" t="s">
        <v>126</v>
      </c>
      <c r="T221" t="s">
        <v>125</v>
      </c>
      <c r="U221" t="s">
        <v>126</v>
      </c>
      <c r="W221">
        <v>3.37</v>
      </c>
      <c r="Y221">
        <v>3.37</v>
      </c>
      <c r="BE221">
        <v>3.37</v>
      </c>
      <c r="BH221" t="s">
        <v>126</v>
      </c>
      <c r="BI221" t="s">
        <v>126</v>
      </c>
      <c r="BJ221" t="s">
        <v>126</v>
      </c>
      <c r="BK221" t="s">
        <v>126</v>
      </c>
      <c r="BS221" t="s">
        <v>126</v>
      </c>
      <c r="BT221" t="s">
        <v>126</v>
      </c>
      <c r="BU221" t="s">
        <v>126</v>
      </c>
      <c r="BV221" t="s">
        <v>126</v>
      </c>
      <c r="CN221" t="s">
        <v>147</v>
      </c>
      <c r="CP221" t="s">
        <v>557</v>
      </c>
      <c r="CQ221" t="s">
        <v>147</v>
      </c>
    </row>
    <row r="222" spans="1:95" x14ac:dyDescent="0.2">
      <c r="A222" t="s">
        <v>115</v>
      </c>
      <c r="B222" t="s">
        <v>116</v>
      </c>
      <c r="C222">
        <v>210784</v>
      </c>
      <c r="E222" t="s">
        <v>117</v>
      </c>
      <c r="F222">
        <v>368</v>
      </c>
      <c r="G222" t="s">
        <v>176</v>
      </c>
      <c r="H222" t="s">
        <v>177</v>
      </c>
      <c r="I222" t="s">
        <v>311</v>
      </c>
      <c r="J222" t="s">
        <v>312</v>
      </c>
      <c r="L222" s="14">
        <v>45216</v>
      </c>
      <c r="M222" s="18">
        <f t="shared" si="6"/>
        <v>45200</v>
      </c>
      <c r="N222" t="s">
        <v>314</v>
      </c>
      <c r="O222" t="s">
        <v>123</v>
      </c>
      <c r="P222" t="s">
        <v>124</v>
      </c>
      <c r="Q222">
        <v>40575.9</v>
      </c>
      <c r="R222" t="s">
        <v>126</v>
      </c>
      <c r="S222" t="s">
        <v>126</v>
      </c>
      <c r="T222" t="s">
        <v>126</v>
      </c>
      <c r="U222" t="s">
        <v>126</v>
      </c>
      <c r="BH222" t="s">
        <v>125</v>
      </c>
      <c r="BI222" t="s">
        <v>126</v>
      </c>
      <c r="BJ222" t="s">
        <v>125</v>
      </c>
      <c r="BK222" t="s">
        <v>126</v>
      </c>
      <c r="BM222">
        <v>40575.9</v>
      </c>
      <c r="BO222">
        <v>40575.9</v>
      </c>
      <c r="BP222">
        <v>40575.9</v>
      </c>
      <c r="BS222" t="s">
        <v>126</v>
      </c>
      <c r="BT222" t="s">
        <v>126</v>
      </c>
      <c r="BU222" t="s">
        <v>126</v>
      </c>
      <c r="BV222" t="s">
        <v>126</v>
      </c>
      <c r="CN222" t="s">
        <v>181</v>
      </c>
      <c r="CP222" t="s">
        <v>213</v>
      </c>
      <c r="CQ222" t="s">
        <v>181</v>
      </c>
    </row>
    <row r="223" spans="1:95" x14ac:dyDescent="0.2">
      <c r="A223" t="s">
        <v>115</v>
      </c>
      <c r="B223" t="s">
        <v>116</v>
      </c>
      <c r="C223">
        <v>210784</v>
      </c>
      <c r="E223" t="s">
        <v>117</v>
      </c>
      <c r="F223">
        <v>368</v>
      </c>
      <c r="G223" t="s">
        <v>176</v>
      </c>
      <c r="H223" t="s">
        <v>177</v>
      </c>
      <c r="I223" t="s">
        <v>315</v>
      </c>
      <c r="J223" t="s">
        <v>316</v>
      </c>
      <c r="L223" s="14">
        <v>45216</v>
      </c>
      <c r="M223" s="18">
        <f t="shared" si="6"/>
        <v>45200</v>
      </c>
      <c r="N223" t="s">
        <v>314</v>
      </c>
      <c r="O223" t="s">
        <v>123</v>
      </c>
      <c r="P223" t="s">
        <v>124</v>
      </c>
      <c r="Q223">
        <v>12015.6</v>
      </c>
      <c r="R223" t="s">
        <v>126</v>
      </c>
      <c r="S223" t="s">
        <v>126</v>
      </c>
      <c r="T223" t="s">
        <v>126</v>
      </c>
      <c r="U223" t="s">
        <v>126</v>
      </c>
      <c r="BH223" t="s">
        <v>125</v>
      </c>
      <c r="BI223" t="s">
        <v>126</v>
      </c>
      <c r="BJ223" t="s">
        <v>125</v>
      </c>
      <c r="BK223" t="s">
        <v>126</v>
      </c>
      <c r="BM223">
        <v>12015.6</v>
      </c>
      <c r="BO223">
        <v>12015.6</v>
      </c>
      <c r="BP223">
        <v>12015.6</v>
      </c>
      <c r="BS223" t="s">
        <v>126</v>
      </c>
      <c r="BT223" t="s">
        <v>126</v>
      </c>
      <c r="BU223" t="s">
        <v>126</v>
      </c>
      <c r="BV223" t="s">
        <v>126</v>
      </c>
      <c r="CN223" t="s">
        <v>181</v>
      </c>
      <c r="CP223" t="s">
        <v>213</v>
      </c>
      <c r="CQ223" t="s">
        <v>181</v>
      </c>
    </row>
    <row r="224" spans="1:95" x14ac:dyDescent="0.2">
      <c r="A224" t="s">
        <v>115</v>
      </c>
      <c r="B224" t="s">
        <v>116</v>
      </c>
      <c r="C224">
        <v>210784</v>
      </c>
      <c r="E224" t="s">
        <v>117</v>
      </c>
      <c r="F224">
        <v>368</v>
      </c>
      <c r="G224" t="s">
        <v>176</v>
      </c>
      <c r="H224" t="s">
        <v>177</v>
      </c>
      <c r="I224" t="s">
        <v>317</v>
      </c>
      <c r="J224" t="s">
        <v>318</v>
      </c>
      <c r="L224" s="14">
        <v>45216</v>
      </c>
      <c r="M224" s="18">
        <f t="shared" si="6"/>
        <v>45200</v>
      </c>
      <c r="N224" t="s">
        <v>314</v>
      </c>
      <c r="O224" t="s">
        <v>123</v>
      </c>
      <c r="P224" t="s">
        <v>124</v>
      </c>
      <c r="Q224">
        <v>6593.7</v>
      </c>
      <c r="R224" t="s">
        <v>126</v>
      </c>
      <c r="S224" t="s">
        <v>126</v>
      </c>
      <c r="T224" t="s">
        <v>126</v>
      </c>
      <c r="U224" t="s">
        <v>126</v>
      </c>
      <c r="BH224" t="s">
        <v>125</v>
      </c>
      <c r="BI224" t="s">
        <v>126</v>
      </c>
      <c r="BJ224" t="s">
        <v>125</v>
      </c>
      <c r="BK224" t="s">
        <v>126</v>
      </c>
      <c r="BM224">
        <v>6593.7</v>
      </c>
      <c r="BO224">
        <v>6593.7</v>
      </c>
      <c r="BP224">
        <v>6593.7</v>
      </c>
      <c r="BS224" t="s">
        <v>126</v>
      </c>
      <c r="BT224" t="s">
        <v>126</v>
      </c>
      <c r="BU224" t="s">
        <v>126</v>
      </c>
      <c r="BV224" t="s">
        <v>126</v>
      </c>
      <c r="CN224" t="s">
        <v>181</v>
      </c>
      <c r="CP224" t="s">
        <v>213</v>
      </c>
      <c r="CQ224" t="s">
        <v>181</v>
      </c>
    </row>
    <row r="225" spans="1:95" x14ac:dyDescent="0.2">
      <c r="A225" t="s">
        <v>115</v>
      </c>
      <c r="B225" t="s">
        <v>116</v>
      </c>
      <c r="C225">
        <v>210784</v>
      </c>
      <c r="E225" t="s">
        <v>117</v>
      </c>
      <c r="F225">
        <v>368</v>
      </c>
      <c r="G225" t="s">
        <v>141</v>
      </c>
      <c r="H225" t="s">
        <v>142</v>
      </c>
      <c r="I225" t="s">
        <v>279</v>
      </c>
      <c r="J225" t="s">
        <v>280</v>
      </c>
      <c r="L225" s="14">
        <v>45216</v>
      </c>
      <c r="M225" s="18">
        <f t="shared" si="6"/>
        <v>45200</v>
      </c>
      <c r="N225">
        <v>5358330</v>
      </c>
      <c r="O225" t="s">
        <v>123</v>
      </c>
      <c r="P225" t="s">
        <v>146</v>
      </c>
      <c r="Q225">
        <v>3.93</v>
      </c>
      <c r="R225" t="s">
        <v>125</v>
      </c>
      <c r="S225" t="s">
        <v>126</v>
      </c>
      <c r="T225" t="s">
        <v>125</v>
      </c>
      <c r="U225" t="s">
        <v>126</v>
      </c>
      <c r="W225">
        <v>3.93</v>
      </c>
      <c r="Y225">
        <v>3.93</v>
      </c>
      <c r="AG225">
        <v>2.8056000000000001</v>
      </c>
      <c r="AY225">
        <v>1.1244000000000001</v>
      </c>
      <c r="BH225" t="s">
        <v>126</v>
      </c>
      <c r="BI225" t="s">
        <v>126</v>
      </c>
      <c r="BJ225" t="s">
        <v>126</v>
      </c>
      <c r="BK225" t="s">
        <v>126</v>
      </c>
      <c r="BS225" t="s">
        <v>126</v>
      </c>
      <c r="BT225" t="s">
        <v>126</v>
      </c>
      <c r="BU225" t="s">
        <v>126</v>
      </c>
      <c r="BV225" t="s">
        <v>126</v>
      </c>
      <c r="CN225" t="s">
        <v>147</v>
      </c>
      <c r="CP225" t="s">
        <v>557</v>
      </c>
      <c r="CQ225" t="s">
        <v>147</v>
      </c>
    </row>
    <row r="226" spans="1:95" x14ac:dyDescent="0.2">
      <c r="A226" t="s">
        <v>115</v>
      </c>
      <c r="B226" t="s">
        <v>116</v>
      </c>
      <c r="C226">
        <v>210784</v>
      </c>
      <c r="E226" t="s">
        <v>117</v>
      </c>
      <c r="F226">
        <v>368</v>
      </c>
      <c r="G226" t="s">
        <v>141</v>
      </c>
      <c r="H226" t="s">
        <v>142</v>
      </c>
      <c r="I226" t="s">
        <v>204</v>
      </c>
      <c r="J226" t="s">
        <v>205</v>
      </c>
      <c r="L226" s="14">
        <v>45217</v>
      </c>
      <c r="M226" s="18">
        <f t="shared" si="6"/>
        <v>45200</v>
      </c>
      <c r="N226">
        <v>93334</v>
      </c>
      <c r="O226" t="s">
        <v>123</v>
      </c>
      <c r="P226" t="s">
        <v>146</v>
      </c>
      <c r="Q226">
        <v>9.44</v>
      </c>
      <c r="R226" t="s">
        <v>125</v>
      </c>
      <c r="S226" t="s">
        <v>126</v>
      </c>
      <c r="T226" t="s">
        <v>125</v>
      </c>
      <c r="U226" t="s">
        <v>126</v>
      </c>
      <c r="W226">
        <v>9.44</v>
      </c>
      <c r="Y226">
        <v>9.44</v>
      </c>
      <c r="AC226">
        <v>9.44</v>
      </c>
      <c r="BH226" t="s">
        <v>126</v>
      </c>
      <c r="BI226" t="s">
        <v>126</v>
      </c>
      <c r="BJ226" t="s">
        <v>126</v>
      </c>
      <c r="BK226" t="s">
        <v>126</v>
      </c>
      <c r="BS226" t="s">
        <v>126</v>
      </c>
      <c r="BT226" t="s">
        <v>126</v>
      </c>
      <c r="BU226" t="s">
        <v>126</v>
      </c>
      <c r="BV226" t="s">
        <v>126</v>
      </c>
      <c r="CN226" t="s">
        <v>147</v>
      </c>
      <c r="CP226" t="s">
        <v>206</v>
      </c>
      <c r="CQ226" t="s">
        <v>147</v>
      </c>
    </row>
    <row r="227" spans="1:95" x14ac:dyDescent="0.2">
      <c r="A227" t="s">
        <v>115</v>
      </c>
      <c r="B227" t="s">
        <v>116</v>
      </c>
      <c r="C227">
        <v>210784</v>
      </c>
      <c r="E227" t="s">
        <v>117</v>
      </c>
      <c r="F227">
        <v>368</v>
      </c>
      <c r="G227" t="s">
        <v>141</v>
      </c>
      <c r="H227" t="s">
        <v>142</v>
      </c>
      <c r="I227" t="s">
        <v>279</v>
      </c>
      <c r="J227" t="s">
        <v>280</v>
      </c>
      <c r="L227" s="14">
        <v>45220</v>
      </c>
      <c r="M227" s="18">
        <f t="shared" si="6"/>
        <v>45200</v>
      </c>
      <c r="N227">
        <v>5361249</v>
      </c>
      <c r="O227" t="s">
        <v>123</v>
      </c>
      <c r="P227" t="s">
        <v>146</v>
      </c>
      <c r="Q227">
        <v>3.51</v>
      </c>
      <c r="R227" t="s">
        <v>125</v>
      </c>
      <c r="S227" t="s">
        <v>126</v>
      </c>
      <c r="T227" t="s">
        <v>125</v>
      </c>
      <c r="U227" t="s">
        <v>126</v>
      </c>
      <c r="W227">
        <v>3.51</v>
      </c>
      <c r="Y227">
        <v>3.51</v>
      </c>
      <c r="BE227">
        <v>3.51</v>
      </c>
      <c r="BH227" t="s">
        <v>126</v>
      </c>
      <c r="BI227" t="s">
        <v>126</v>
      </c>
      <c r="BJ227" t="s">
        <v>126</v>
      </c>
      <c r="BK227" t="s">
        <v>126</v>
      </c>
      <c r="BS227" t="s">
        <v>126</v>
      </c>
      <c r="BT227" t="s">
        <v>126</v>
      </c>
      <c r="BU227" t="s">
        <v>126</v>
      </c>
      <c r="BV227" t="s">
        <v>126</v>
      </c>
      <c r="CN227" t="s">
        <v>147</v>
      </c>
      <c r="CP227" t="s">
        <v>220</v>
      </c>
      <c r="CQ227" t="s">
        <v>147</v>
      </c>
    </row>
    <row r="228" spans="1:95" x14ac:dyDescent="0.2">
      <c r="A228" t="s">
        <v>115</v>
      </c>
      <c r="B228" t="s">
        <v>116</v>
      </c>
      <c r="C228">
        <v>210784</v>
      </c>
      <c r="E228" t="s">
        <v>117</v>
      </c>
      <c r="F228">
        <v>368</v>
      </c>
      <c r="G228" t="s">
        <v>141</v>
      </c>
      <c r="H228" t="s">
        <v>142</v>
      </c>
      <c r="I228" t="s">
        <v>279</v>
      </c>
      <c r="J228" t="s">
        <v>280</v>
      </c>
      <c r="L228" s="14">
        <v>45223</v>
      </c>
      <c r="M228" s="18">
        <f t="shared" si="6"/>
        <v>45200</v>
      </c>
      <c r="N228">
        <v>5362709</v>
      </c>
      <c r="O228" t="s">
        <v>123</v>
      </c>
      <c r="P228" t="s">
        <v>146</v>
      </c>
      <c r="Q228">
        <v>4.34</v>
      </c>
      <c r="R228" t="s">
        <v>125</v>
      </c>
      <c r="S228" t="s">
        <v>126</v>
      </c>
      <c r="T228" t="s">
        <v>125</v>
      </c>
      <c r="U228" t="s">
        <v>126</v>
      </c>
      <c r="W228">
        <v>4.34</v>
      </c>
      <c r="Y228">
        <v>4.34</v>
      </c>
      <c r="BE228">
        <v>4.34</v>
      </c>
      <c r="BH228" t="s">
        <v>126</v>
      </c>
      <c r="BI228" t="s">
        <v>126</v>
      </c>
      <c r="BJ228" t="s">
        <v>126</v>
      </c>
      <c r="BK228" t="s">
        <v>126</v>
      </c>
      <c r="BS228" t="s">
        <v>126</v>
      </c>
      <c r="BT228" t="s">
        <v>126</v>
      </c>
      <c r="BU228" t="s">
        <v>126</v>
      </c>
      <c r="BV228" t="s">
        <v>126</v>
      </c>
      <c r="CN228" t="s">
        <v>147</v>
      </c>
      <c r="CP228" t="s">
        <v>220</v>
      </c>
      <c r="CQ228" t="s">
        <v>147</v>
      </c>
    </row>
    <row r="229" spans="1:95" x14ac:dyDescent="0.2">
      <c r="A229" t="s">
        <v>115</v>
      </c>
      <c r="B229" t="s">
        <v>116</v>
      </c>
      <c r="C229">
        <v>210784</v>
      </c>
      <c r="E229" t="s">
        <v>117</v>
      </c>
      <c r="F229">
        <v>368</v>
      </c>
      <c r="G229" t="s">
        <v>141</v>
      </c>
      <c r="H229" t="s">
        <v>142</v>
      </c>
      <c r="I229" t="s">
        <v>279</v>
      </c>
      <c r="J229" t="s">
        <v>280</v>
      </c>
      <c r="L229" s="14">
        <v>45224</v>
      </c>
      <c r="M229" s="18">
        <f t="shared" si="6"/>
        <v>45200</v>
      </c>
      <c r="N229">
        <v>5363736</v>
      </c>
      <c r="O229" t="s">
        <v>123</v>
      </c>
      <c r="P229" t="s">
        <v>146</v>
      </c>
      <c r="Q229">
        <v>4.7300000000000004</v>
      </c>
      <c r="R229" t="s">
        <v>125</v>
      </c>
      <c r="S229" t="s">
        <v>126</v>
      </c>
      <c r="T229" t="s">
        <v>125</v>
      </c>
      <c r="U229" t="s">
        <v>126</v>
      </c>
      <c r="W229">
        <v>4.7300000000000004</v>
      </c>
      <c r="Y229">
        <v>4.7300000000000004</v>
      </c>
      <c r="BE229">
        <v>4.7300000000000004</v>
      </c>
      <c r="BH229" t="s">
        <v>126</v>
      </c>
      <c r="BI229" t="s">
        <v>126</v>
      </c>
      <c r="BJ229" t="s">
        <v>126</v>
      </c>
      <c r="BK229" t="s">
        <v>126</v>
      </c>
      <c r="BS229" t="s">
        <v>126</v>
      </c>
      <c r="BT229" t="s">
        <v>126</v>
      </c>
      <c r="BU229" t="s">
        <v>126</v>
      </c>
      <c r="BV229" t="s">
        <v>126</v>
      </c>
      <c r="CN229" t="s">
        <v>147</v>
      </c>
      <c r="CP229" t="s">
        <v>220</v>
      </c>
      <c r="CQ229" t="s">
        <v>147</v>
      </c>
    </row>
    <row r="230" spans="1:95" x14ac:dyDescent="0.2">
      <c r="A230" t="s">
        <v>115</v>
      </c>
      <c r="B230" t="s">
        <v>116</v>
      </c>
      <c r="C230">
        <v>210784</v>
      </c>
      <c r="E230" t="s">
        <v>117</v>
      </c>
      <c r="F230">
        <v>368</v>
      </c>
      <c r="G230" t="s">
        <v>141</v>
      </c>
      <c r="H230" t="s">
        <v>142</v>
      </c>
      <c r="I230" t="s">
        <v>279</v>
      </c>
      <c r="J230" t="s">
        <v>280</v>
      </c>
      <c r="L230" s="14">
        <v>45224</v>
      </c>
      <c r="M230" s="18">
        <f t="shared" si="6"/>
        <v>45200</v>
      </c>
      <c r="N230">
        <v>5363685</v>
      </c>
      <c r="O230" t="s">
        <v>123</v>
      </c>
      <c r="P230" t="s">
        <v>146</v>
      </c>
      <c r="Q230">
        <v>2.4300000000000002</v>
      </c>
      <c r="R230" t="s">
        <v>125</v>
      </c>
      <c r="S230" t="s">
        <v>126</v>
      </c>
      <c r="T230" t="s">
        <v>125</v>
      </c>
      <c r="U230" t="s">
        <v>126</v>
      </c>
      <c r="W230">
        <v>2.4300000000000002</v>
      </c>
      <c r="Y230">
        <v>2.4300000000000002</v>
      </c>
      <c r="BE230">
        <v>2.4300000000000002</v>
      </c>
      <c r="BH230" t="s">
        <v>126</v>
      </c>
      <c r="BI230" t="s">
        <v>126</v>
      </c>
      <c r="BJ230" t="s">
        <v>126</v>
      </c>
      <c r="BK230" t="s">
        <v>126</v>
      </c>
      <c r="BS230" t="s">
        <v>126</v>
      </c>
      <c r="BT230" t="s">
        <v>126</v>
      </c>
      <c r="BU230" t="s">
        <v>126</v>
      </c>
      <c r="BV230" t="s">
        <v>126</v>
      </c>
      <c r="CN230" t="s">
        <v>147</v>
      </c>
      <c r="CP230" t="s">
        <v>220</v>
      </c>
      <c r="CQ230" t="s">
        <v>147</v>
      </c>
    </row>
    <row r="231" spans="1:95" x14ac:dyDescent="0.2">
      <c r="A231" t="s">
        <v>115</v>
      </c>
      <c r="B231" t="s">
        <v>116</v>
      </c>
      <c r="C231">
        <v>210784</v>
      </c>
      <c r="E231" t="s">
        <v>117</v>
      </c>
      <c r="F231">
        <v>368</v>
      </c>
      <c r="G231" t="s">
        <v>141</v>
      </c>
      <c r="H231" t="s">
        <v>142</v>
      </c>
      <c r="I231" t="s">
        <v>279</v>
      </c>
      <c r="J231" t="s">
        <v>280</v>
      </c>
      <c r="L231" s="14">
        <v>45225</v>
      </c>
      <c r="M231" s="18">
        <f t="shared" si="6"/>
        <v>45200</v>
      </c>
      <c r="N231">
        <v>5364344</v>
      </c>
      <c r="O231" t="s">
        <v>123</v>
      </c>
      <c r="P231" t="s">
        <v>146</v>
      </c>
      <c r="Q231">
        <v>3.83</v>
      </c>
      <c r="R231" t="s">
        <v>125</v>
      </c>
      <c r="S231" t="s">
        <v>126</v>
      </c>
      <c r="T231" t="s">
        <v>125</v>
      </c>
      <c r="U231" t="s">
        <v>126</v>
      </c>
      <c r="W231">
        <v>3.83</v>
      </c>
      <c r="Y231">
        <v>3.83</v>
      </c>
      <c r="BE231">
        <v>3.83</v>
      </c>
      <c r="BH231" t="s">
        <v>126</v>
      </c>
      <c r="BI231" t="s">
        <v>126</v>
      </c>
      <c r="BJ231" t="s">
        <v>126</v>
      </c>
      <c r="BK231" t="s">
        <v>126</v>
      </c>
      <c r="BS231" t="s">
        <v>126</v>
      </c>
      <c r="BT231" t="s">
        <v>126</v>
      </c>
      <c r="BU231" t="s">
        <v>126</v>
      </c>
      <c r="BV231" t="s">
        <v>126</v>
      </c>
      <c r="CN231" t="s">
        <v>147</v>
      </c>
      <c r="CP231" t="s">
        <v>220</v>
      </c>
      <c r="CQ231" t="s">
        <v>147</v>
      </c>
    </row>
    <row r="232" spans="1:95" x14ac:dyDescent="0.2">
      <c r="A232" t="s">
        <v>115</v>
      </c>
      <c r="B232" t="s">
        <v>116</v>
      </c>
      <c r="C232">
        <v>210784</v>
      </c>
      <c r="E232" t="s">
        <v>117</v>
      </c>
      <c r="F232">
        <v>368</v>
      </c>
      <c r="G232" t="s">
        <v>141</v>
      </c>
      <c r="H232" t="s">
        <v>142</v>
      </c>
      <c r="I232" t="s">
        <v>279</v>
      </c>
      <c r="J232" t="s">
        <v>280</v>
      </c>
      <c r="L232" s="14">
        <v>45226</v>
      </c>
      <c r="M232" s="18">
        <f t="shared" si="6"/>
        <v>45200</v>
      </c>
      <c r="N232">
        <v>5365090</v>
      </c>
      <c r="O232" t="s">
        <v>123</v>
      </c>
      <c r="P232" t="s">
        <v>146</v>
      </c>
      <c r="Q232">
        <v>0.93</v>
      </c>
      <c r="R232" t="s">
        <v>125</v>
      </c>
      <c r="S232" t="s">
        <v>126</v>
      </c>
      <c r="T232" t="s">
        <v>125</v>
      </c>
      <c r="U232" t="s">
        <v>126</v>
      </c>
      <c r="W232">
        <v>0.93</v>
      </c>
      <c r="Y232">
        <v>0.93</v>
      </c>
      <c r="BE232">
        <v>0.93</v>
      </c>
      <c r="BH232" t="s">
        <v>126</v>
      </c>
      <c r="BI232" t="s">
        <v>126</v>
      </c>
      <c r="BJ232" t="s">
        <v>126</v>
      </c>
      <c r="BK232" t="s">
        <v>126</v>
      </c>
      <c r="BS232" t="s">
        <v>126</v>
      </c>
      <c r="BT232" t="s">
        <v>126</v>
      </c>
      <c r="BU232" t="s">
        <v>126</v>
      </c>
      <c r="BV232" t="s">
        <v>126</v>
      </c>
      <c r="CN232" t="s">
        <v>147</v>
      </c>
      <c r="CP232" t="s">
        <v>220</v>
      </c>
      <c r="CQ232" t="s">
        <v>147</v>
      </c>
    </row>
    <row r="233" spans="1:95" x14ac:dyDescent="0.2">
      <c r="A233" t="s">
        <v>115</v>
      </c>
      <c r="B233" t="s">
        <v>116</v>
      </c>
      <c r="C233">
        <v>210784</v>
      </c>
      <c r="E233" t="s">
        <v>117</v>
      </c>
      <c r="F233">
        <v>368</v>
      </c>
      <c r="G233" t="s">
        <v>141</v>
      </c>
      <c r="H233" t="s">
        <v>142</v>
      </c>
      <c r="I233" t="s">
        <v>279</v>
      </c>
      <c r="J233" t="s">
        <v>280</v>
      </c>
      <c r="L233" s="14">
        <v>45226</v>
      </c>
      <c r="M233" s="18">
        <f t="shared" si="6"/>
        <v>45200</v>
      </c>
      <c r="N233">
        <v>5365222</v>
      </c>
      <c r="O233" t="s">
        <v>123</v>
      </c>
      <c r="P233" t="s">
        <v>146</v>
      </c>
      <c r="Q233">
        <v>3.45</v>
      </c>
      <c r="R233" t="s">
        <v>125</v>
      </c>
      <c r="S233" t="s">
        <v>126</v>
      </c>
      <c r="T233" t="s">
        <v>125</v>
      </c>
      <c r="U233" t="s">
        <v>126</v>
      </c>
      <c r="W233">
        <v>3.45</v>
      </c>
      <c r="Y233">
        <v>3.45</v>
      </c>
      <c r="BE233">
        <v>3.45</v>
      </c>
      <c r="BH233" t="s">
        <v>126</v>
      </c>
      <c r="BI233" t="s">
        <v>126</v>
      </c>
      <c r="BJ233" t="s">
        <v>126</v>
      </c>
      <c r="BK233" t="s">
        <v>126</v>
      </c>
      <c r="BS233" t="s">
        <v>126</v>
      </c>
      <c r="BT233" t="s">
        <v>126</v>
      </c>
      <c r="BU233" t="s">
        <v>126</v>
      </c>
      <c r="BV233" t="s">
        <v>126</v>
      </c>
      <c r="CN233" t="s">
        <v>147</v>
      </c>
      <c r="CP233" t="s">
        <v>220</v>
      </c>
      <c r="CQ233" t="s">
        <v>147</v>
      </c>
    </row>
    <row r="234" spans="1:95" x14ac:dyDescent="0.2">
      <c r="A234" t="s">
        <v>115</v>
      </c>
      <c r="B234" t="s">
        <v>116</v>
      </c>
      <c r="C234">
        <v>210784</v>
      </c>
      <c r="E234" t="s">
        <v>117</v>
      </c>
      <c r="F234">
        <v>368</v>
      </c>
      <c r="G234" t="s">
        <v>141</v>
      </c>
      <c r="H234" t="s">
        <v>142</v>
      </c>
      <c r="I234" t="s">
        <v>204</v>
      </c>
      <c r="J234" t="s">
        <v>205</v>
      </c>
      <c r="L234" s="14">
        <v>45229</v>
      </c>
      <c r="M234" s="18">
        <f t="shared" si="6"/>
        <v>45200</v>
      </c>
      <c r="N234">
        <v>93826</v>
      </c>
      <c r="O234" t="s">
        <v>123</v>
      </c>
      <c r="P234" t="s">
        <v>146</v>
      </c>
      <c r="Q234">
        <v>8.74</v>
      </c>
      <c r="R234" t="s">
        <v>125</v>
      </c>
      <c r="S234" t="s">
        <v>126</v>
      </c>
      <c r="T234" t="s">
        <v>125</v>
      </c>
      <c r="U234" t="s">
        <v>126</v>
      </c>
      <c r="W234">
        <v>8.74</v>
      </c>
      <c r="Y234">
        <v>8.74</v>
      </c>
      <c r="AC234">
        <v>8.74</v>
      </c>
      <c r="BH234" t="s">
        <v>126</v>
      </c>
      <c r="BI234" t="s">
        <v>126</v>
      </c>
      <c r="BJ234" t="s">
        <v>126</v>
      </c>
      <c r="BK234" t="s">
        <v>126</v>
      </c>
      <c r="BS234" t="s">
        <v>126</v>
      </c>
      <c r="BT234" t="s">
        <v>126</v>
      </c>
      <c r="BU234" t="s">
        <v>126</v>
      </c>
      <c r="BV234" t="s">
        <v>126</v>
      </c>
      <c r="CN234" t="s">
        <v>147</v>
      </c>
      <c r="CP234" t="s">
        <v>206</v>
      </c>
      <c r="CQ234" t="s">
        <v>147</v>
      </c>
    </row>
    <row r="235" spans="1:95" x14ac:dyDescent="0.2">
      <c r="A235" t="s">
        <v>115</v>
      </c>
      <c r="B235" t="s">
        <v>116</v>
      </c>
      <c r="C235">
        <v>210784</v>
      </c>
      <c r="E235" t="s">
        <v>117</v>
      </c>
      <c r="F235">
        <v>368</v>
      </c>
      <c r="G235" t="s">
        <v>141</v>
      </c>
      <c r="H235" t="s">
        <v>142</v>
      </c>
      <c r="I235" t="s">
        <v>279</v>
      </c>
      <c r="J235" t="s">
        <v>280</v>
      </c>
      <c r="L235" s="14">
        <v>45232</v>
      </c>
      <c r="M235" s="18">
        <f t="shared" si="6"/>
        <v>45231</v>
      </c>
      <c r="N235">
        <v>5369002</v>
      </c>
      <c r="O235" t="s">
        <v>123</v>
      </c>
      <c r="P235" t="s">
        <v>146</v>
      </c>
      <c r="Q235">
        <v>1.5899999999999999</v>
      </c>
      <c r="R235" t="s">
        <v>559</v>
      </c>
      <c r="S235" t="s">
        <v>126</v>
      </c>
      <c r="T235" t="s">
        <v>559</v>
      </c>
      <c r="U235" t="s">
        <v>560</v>
      </c>
      <c r="W235">
        <v>0.49</v>
      </c>
      <c r="X235">
        <v>1.1000000000000001</v>
      </c>
      <c r="Y235">
        <v>1.5899999999999999</v>
      </c>
      <c r="Z235">
        <v>0.6</v>
      </c>
      <c r="AG235">
        <v>0.49</v>
      </c>
      <c r="AI235">
        <v>0.5</v>
      </c>
      <c r="BH235" t="s">
        <v>126</v>
      </c>
      <c r="BI235" t="s">
        <v>126</v>
      </c>
      <c r="BJ235" t="s">
        <v>126</v>
      </c>
      <c r="BK235" t="s">
        <v>126</v>
      </c>
      <c r="BS235" t="s">
        <v>126</v>
      </c>
      <c r="BT235" t="s">
        <v>126</v>
      </c>
      <c r="BU235" t="s">
        <v>126</v>
      </c>
      <c r="BV235" t="s">
        <v>126</v>
      </c>
      <c r="CN235" t="s">
        <v>147</v>
      </c>
      <c r="CP235" t="s">
        <v>220</v>
      </c>
      <c r="CQ235" t="s">
        <v>147</v>
      </c>
    </row>
    <row r="236" spans="1:95" x14ac:dyDescent="0.2">
      <c r="A236" t="s">
        <v>115</v>
      </c>
      <c r="B236" t="s">
        <v>116</v>
      </c>
      <c r="C236">
        <v>210784</v>
      </c>
      <c r="E236" t="s">
        <v>117</v>
      </c>
      <c r="F236">
        <v>368</v>
      </c>
      <c r="G236" t="s">
        <v>141</v>
      </c>
      <c r="H236" t="s">
        <v>142</v>
      </c>
      <c r="I236" t="s">
        <v>279</v>
      </c>
      <c r="J236" t="s">
        <v>280</v>
      </c>
      <c r="L236" s="14">
        <v>45237</v>
      </c>
      <c r="M236" s="18">
        <f t="shared" si="6"/>
        <v>45231</v>
      </c>
      <c r="N236">
        <v>5372050</v>
      </c>
      <c r="O236" t="s">
        <v>123</v>
      </c>
      <c r="P236" t="s">
        <v>146</v>
      </c>
      <c r="Q236">
        <v>2.2799999999999998</v>
      </c>
      <c r="R236" t="s">
        <v>125</v>
      </c>
      <c r="S236" t="s">
        <v>126</v>
      </c>
      <c r="T236" t="s">
        <v>125</v>
      </c>
      <c r="U236" t="s">
        <v>126</v>
      </c>
      <c r="W236">
        <v>2.2799999999999998</v>
      </c>
      <c r="Y236">
        <v>2.2799999999999998</v>
      </c>
      <c r="BE236">
        <v>2.2799999999999998</v>
      </c>
      <c r="BH236" t="s">
        <v>126</v>
      </c>
      <c r="BI236" t="s">
        <v>126</v>
      </c>
      <c r="BJ236" t="s">
        <v>126</v>
      </c>
      <c r="BK236" t="s">
        <v>126</v>
      </c>
      <c r="BS236" t="s">
        <v>126</v>
      </c>
      <c r="BT236" t="s">
        <v>126</v>
      </c>
      <c r="BU236" t="s">
        <v>126</v>
      </c>
      <c r="BV236" t="s">
        <v>126</v>
      </c>
      <c r="CN236" t="s">
        <v>147</v>
      </c>
      <c r="CP236" t="s">
        <v>220</v>
      </c>
      <c r="CQ236" t="s">
        <v>147</v>
      </c>
    </row>
    <row r="237" spans="1:95" x14ac:dyDescent="0.2">
      <c r="A237" t="s">
        <v>115</v>
      </c>
      <c r="B237" t="s">
        <v>116</v>
      </c>
      <c r="C237">
        <v>210784</v>
      </c>
      <c r="E237" t="s">
        <v>117</v>
      </c>
      <c r="F237">
        <v>368</v>
      </c>
      <c r="G237" t="s">
        <v>141</v>
      </c>
      <c r="H237" t="s">
        <v>142</v>
      </c>
      <c r="I237" t="s">
        <v>204</v>
      </c>
      <c r="J237" t="s">
        <v>205</v>
      </c>
      <c r="L237" s="14">
        <v>45240</v>
      </c>
      <c r="M237" s="18">
        <f t="shared" si="6"/>
        <v>45231</v>
      </c>
      <c r="N237">
        <v>94360</v>
      </c>
      <c r="O237" t="s">
        <v>123</v>
      </c>
      <c r="P237" t="s">
        <v>146</v>
      </c>
      <c r="Q237">
        <v>10.02</v>
      </c>
      <c r="R237" t="s">
        <v>125</v>
      </c>
      <c r="S237" t="s">
        <v>126</v>
      </c>
      <c r="T237" t="s">
        <v>125</v>
      </c>
      <c r="U237" t="s">
        <v>126</v>
      </c>
      <c r="W237">
        <v>10.02</v>
      </c>
      <c r="Y237">
        <v>10.02</v>
      </c>
      <c r="AC237">
        <v>10.02</v>
      </c>
      <c r="BH237" t="s">
        <v>126</v>
      </c>
      <c r="BI237" t="s">
        <v>126</v>
      </c>
      <c r="BJ237" t="s">
        <v>126</v>
      </c>
      <c r="BK237" t="s">
        <v>126</v>
      </c>
      <c r="BS237" t="s">
        <v>126</v>
      </c>
      <c r="BT237" t="s">
        <v>126</v>
      </c>
      <c r="BU237" t="s">
        <v>126</v>
      </c>
      <c r="BV237" t="s">
        <v>126</v>
      </c>
      <c r="CN237" t="s">
        <v>147</v>
      </c>
      <c r="CP237" t="s">
        <v>206</v>
      </c>
      <c r="CQ237" t="s">
        <v>147</v>
      </c>
    </row>
    <row r="238" spans="1:95" x14ac:dyDescent="0.2">
      <c r="A238" t="s">
        <v>115</v>
      </c>
      <c r="B238" t="s">
        <v>116</v>
      </c>
      <c r="C238">
        <v>210784</v>
      </c>
      <c r="E238" t="s">
        <v>117</v>
      </c>
      <c r="F238">
        <v>368</v>
      </c>
      <c r="G238" t="s">
        <v>141</v>
      </c>
      <c r="H238" t="s">
        <v>142</v>
      </c>
      <c r="I238" t="s">
        <v>279</v>
      </c>
      <c r="J238" t="s">
        <v>280</v>
      </c>
      <c r="L238" s="14">
        <v>45243</v>
      </c>
      <c r="M238" s="18">
        <f t="shared" si="6"/>
        <v>45231</v>
      </c>
      <c r="N238">
        <v>5375602</v>
      </c>
      <c r="O238" t="s">
        <v>123</v>
      </c>
      <c r="P238" t="s">
        <v>146</v>
      </c>
      <c r="Q238">
        <v>1.7100000000000002</v>
      </c>
      <c r="R238" t="s">
        <v>562</v>
      </c>
      <c r="S238" t="s">
        <v>126</v>
      </c>
      <c r="T238" t="s">
        <v>562</v>
      </c>
      <c r="U238" t="s">
        <v>563</v>
      </c>
      <c r="W238">
        <v>0.53</v>
      </c>
      <c r="X238">
        <v>1.1800000000000002</v>
      </c>
      <c r="Y238">
        <v>1.7100000000000002</v>
      </c>
      <c r="Z238">
        <v>0.65</v>
      </c>
      <c r="AG238">
        <v>0.53</v>
      </c>
      <c r="AI238">
        <v>0.53</v>
      </c>
      <c r="BH238" t="s">
        <v>126</v>
      </c>
      <c r="BI238" t="s">
        <v>126</v>
      </c>
      <c r="BJ238" t="s">
        <v>126</v>
      </c>
      <c r="BK238" t="s">
        <v>126</v>
      </c>
      <c r="BS238" t="s">
        <v>126</v>
      </c>
      <c r="BT238" t="s">
        <v>126</v>
      </c>
      <c r="BU238" t="s">
        <v>126</v>
      </c>
      <c r="BV238" t="s">
        <v>126</v>
      </c>
      <c r="CN238" t="s">
        <v>147</v>
      </c>
      <c r="CP238" t="s">
        <v>220</v>
      </c>
      <c r="CQ238" t="s">
        <v>147</v>
      </c>
    </row>
    <row r="239" spans="1:95" x14ac:dyDescent="0.2">
      <c r="A239" t="s">
        <v>115</v>
      </c>
      <c r="B239" t="s">
        <v>116</v>
      </c>
      <c r="C239">
        <v>210784</v>
      </c>
      <c r="E239" t="s">
        <v>117</v>
      </c>
      <c r="F239">
        <v>368</v>
      </c>
      <c r="G239" t="s">
        <v>141</v>
      </c>
      <c r="H239" t="s">
        <v>142</v>
      </c>
      <c r="I239" t="s">
        <v>279</v>
      </c>
      <c r="J239" t="s">
        <v>280</v>
      </c>
      <c r="L239" s="14">
        <v>45243</v>
      </c>
      <c r="M239" s="18">
        <f t="shared" si="6"/>
        <v>45231</v>
      </c>
      <c r="N239">
        <v>5375684</v>
      </c>
      <c r="O239" t="s">
        <v>123</v>
      </c>
      <c r="P239" t="s">
        <v>146</v>
      </c>
      <c r="Q239">
        <v>2.74</v>
      </c>
      <c r="R239" t="s">
        <v>125</v>
      </c>
      <c r="S239" t="s">
        <v>126</v>
      </c>
      <c r="T239" t="s">
        <v>125</v>
      </c>
      <c r="U239" t="s">
        <v>126</v>
      </c>
      <c r="W239">
        <v>2.74</v>
      </c>
      <c r="Y239">
        <v>2.74</v>
      </c>
      <c r="BE239">
        <v>2.74</v>
      </c>
      <c r="BH239" t="s">
        <v>126</v>
      </c>
      <c r="BI239" t="s">
        <v>126</v>
      </c>
      <c r="BJ239" t="s">
        <v>126</v>
      </c>
      <c r="BK239" t="s">
        <v>126</v>
      </c>
      <c r="BS239" t="s">
        <v>126</v>
      </c>
      <c r="BT239" t="s">
        <v>126</v>
      </c>
      <c r="BU239" t="s">
        <v>126</v>
      </c>
      <c r="BV239" t="s">
        <v>126</v>
      </c>
      <c r="CN239" t="s">
        <v>147</v>
      </c>
      <c r="CP239" t="s">
        <v>220</v>
      </c>
      <c r="CQ239" t="s">
        <v>147</v>
      </c>
    </row>
    <row r="240" spans="1:95" x14ac:dyDescent="0.2">
      <c r="A240" t="s">
        <v>115</v>
      </c>
      <c r="B240" t="s">
        <v>116</v>
      </c>
      <c r="C240">
        <v>210784</v>
      </c>
      <c r="E240" t="s">
        <v>117</v>
      </c>
      <c r="F240">
        <v>368</v>
      </c>
      <c r="G240" t="s">
        <v>141</v>
      </c>
      <c r="H240" t="s">
        <v>142</v>
      </c>
      <c r="I240" t="s">
        <v>564</v>
      </c>
      <c r="J240" t="s">
        <v>565</v>
      </c>
      <c r="L240" s="14">
        <v>45247</v>
      </c>
      <c r="M240" s="18">
        <f t="shared" si="6"/>
        <v>45231</v>
      </c>
      <c r="N240">
        <v>20885342</v>
      </c>
      <c r="O240" t="s">
        <v>123</v>
      </c>
      <c r="P240" t="s">
        <v>146</v>
      </c>
      <c r="Q240">
        <v>3.37</v>
      </c>
      <c r="R240" t="s">
        <v>567</v>
      </c>
      <c r="S240" t="s">
        <v>126</v>
      </c>
      <c r="T240" t="s">
        <v>567</v>
      </c>
      <c r="U240" t="s">
        <v>568</v>
      </c>
      <c r="W240">
        <v>1.04</v>
      </c>
      <c r="X240">
        <v>2.33</v>
      </c>
      <c r="Y240">
        <v>3.37</v>
      </c>
      <c r="Z240">
        <v>1.28</v>
      </c>
      <c r="AG240">
        <v>1.04</v>
      </c>
      <c r="AI240">
        <v>1.05</v>
      </c>
      <c r="BH240" t="s">
        <v>126</v>
      </c>
      <c r="BI240" t="s">
        <v>126</v>
      </c>
      <c r="BJ240" t="s">
        <v>126</v>
      </c>
      <c r="BK240" t="s">
        <v>126</v>
      </c>
      <c r="BS240" t="s">
        <v>126</v>
      </c>
      <c r="BT240" t="s">
        <v>126</v>
      </c>
      <c r="BU240" t="s">
        <v>126</v>
      </c>
      <c r="BV240" t="s">
        <v>126</v>
      </c>
      <c r="CN240" t="s">
        <v>147</v>
      </c>
      <c r="CP240" t="s">
        <v>220</v>
      </c>
      <c r="CQ240" t="s">
        <v>147</v>
      </c>
    </row>
    <row r="241" spans="1:95" x14ac:dyDescent="0.2">
      <c r="A241" t="s">
        <v>115</v>
      </c>
      <c r="B241" t="s">
        <v>116</v>
      </c>
      <c r="C241">
        <v>210784</v>
      </c>
      <c r="E241" t="s">
        <v>117</v>
      </c>
      <c r="F241">
        <v>368</v>
      </c>
      <c r="G241" t="s">
        <v>141</v>
      </c>
      <c r="H241" t="s">
        <v>142</v>
      </c>
      <c r="I241" t="s">
        <v>279</v>
      </c>
      <c r="J241" t="s">
        <v>280</v>
      </c>
      <c r="L241" s="14">
        <v>45247</v>
      </c>
      <c r="M241" s="18">
        <f t="shared" si="6"/>
        <v>45231</v>
      </c>
      <c r="N241">
        <v>5378512</v>
      </c>
      <c r="O241" t="s">
        <v>123</v>
      </c>
      <c r="P241" t="s">
        <v>146</v>
      </c>
      <c r="Q241">
        <v>1.43</v>
      </c>
      <c r="R241" t="s">
        <v>569</v>
      </c>
      <c r="S241" t="s">
        <v>126</v>
      </c>
      <c r="T241" t="s">
        <v>569</v>
      </c>
      <c r="U241" t="s">
        <v>570</v>
      </c>
      <c r="W241">
        <v>0.44</v>
      </c>
      <c r="X241">
        <v>0.99</v>
      </c>
      <c r="Y241">
        <v>1.43</v>
      </c>
      <c r="Z241">
        <v>0.54</v>
      </c>
      <c r="AG241">
        <v>0.44</v>
      </c>
      <c r="AI241">
        <v>0.45</v>
      </c>
      <c r="BH241" t="s">
        <v>126</v>
      </c>
      <c r="BI241" t="s">
        <v>126</v>
      </c>
      <c r="BJ241" t="s">
        <v>126</v>
      </c>
      <c r="BK241" t="s">
        <v>126</v>
      </c>
      <c r="BS241" t="s">
        <v>126</v>
      </c>
      <c r="BT241" t="s">
        <v>126</v>
      </c>
      <c r="BU241" t="s">
        <v>126</v>
      </c>
      <c r="BV241" t="s">
        <v>126</v>
      </c>
      <c r="CN241" t="s">
        <v>147</v>
      </c>
      <c r="CP241" t="s">
        <v>220</v>
      </c>
      <c r="CQ241" t="s">
        <v>147</v>
      </c>
    </row>
    <row r="242" spans="1:95" x14ac:dyDescent="0.2">
      <c r="A242" t="s">
        <v>115</v>
      </c>
      <c r="B242" t="s">
        <v>116</v>
      </c>
      <c r="C242">
        <v>210784</v>
      </c>
      <c r="E242" t="s">
        <v>117</v>
      </c>
      <c r="F242">
        <v>368</v>
      </c>
      <c r="G242" t="s">
        <v>141</v>
      </c>
      <c r="H242" t="s">
        <v>142</v>
      </c>
      <c r="I242" t="s">
        <v>204</v>
      </c>
      <c r="J242" t="s">
        <v>205</v>
      </c>
      <c r="L242" s="14">
        <v>45252</v>
      </c>
      <c r="M242" s="18">
        <f t="shared" si="6"/>
        <v>45231</v>
      </c>
      <c r="N242">
        <v>94843</v>
      </c>
      <c r="O242" t="s">
        <v>123</v>
      </c>
      <c r="P242" t="s">
        <v>146</v>
      </c>
      <c r="Q242">
        <v>6.3</v>
      </c>
      <c r="R242" t="s">
        <v>125</v>
      </c>
      <c r="S242" t="s">
        <v>126</v>
      </c>
      <c r="T242" t="s">
        <v>125</v>
      </c>
      <c r="U242" t="s">
        <v>126</v>
      </c>
      <c r="W242">
        <v>6.3</v>
      </c>
      <c r="Y242">
        <v>6.3</v>
      </c>
      <c r="AC242">
        <v>6.3</v>
      </c>
      <c r="BH242" t="s">
        <v>126</v>
      </c>
      <c r="BI242" t="s">
        <v>126</v>
      </c>
      <c r="BJ242" t="s">
        <v>126</v>
      </c>
      <c r="BK242" t="s">
        <v>126</v>
      </c>
      <c r="BS242" t="s">
        <v>126</v>
      </c>
      <c r="BT242" t="s">
        <v>126</v>
      </c>
      <c r="BU242" t="s">
        <v>126</v>
      </c>
      <c r="BV242" t="s">
        <v>126</v>
      </c>
      <c r="CN242" t="s">
        <v>147</v>
      </c>
      <c r="CP242" t="s">
        <v>206</v>
      </c>
      <c r="CQ242" t="s">
        <v>147</v>
      </c>
    </row>
    <row r="243" spans="1:95" x14ac:dyDescent="0.2">
      <c r="A243" t="s">
        <v>115</v>
      </c>
      <c r="B243" t="s">
        <v>116</v>
      </c>
      <c r="C243">
        <v>210784</v>
      </c>
      <c r="E243" t="s">
        <v>117</v>
      </c>
      <c r="F243">
        <v>368</v>
      </c>
      <c r="G243" t="s">
        <v>141</v>
      </c>
      <c r="H243" t="s">
        <v>142</v>
      </c>
      <c r="I243" t="s">
        <v>279</v>
      </c>
      <c r="J243" t="s">
        <v>280</v>
      </c>
      <c r="L243" s="14">
        <v>45259</v>
      </c>
      <c r="M243" s="18">
        <f t="shared" si="6"/>
        <v>45231</v>
      </c>
      <c r="N243">
        <v>5385024</v>
      </c>
      <c r="O243" t="s">
        <v>123</v>
      </c>
      <c r="P243" t="s">
        <v>146</v>
      </c>
      <c r="Q243">
        <v>2.2799999999999998</v>
      </c>
      <c r="R243" t="s">
        <v>572</v>
      </c>
      <c r="S243" t="s">
        <v>126</v>
      </c>
      <c r="T243" t="s">
        <v>572</v>
      </c>
      <c r="U243" t="s">
        <v>573</v>
      </c>
      <c r="W243">
        <v>0.7</v>
      </c>
      <c r="X243">
        <v>1.58</v>
      </c>
      <c r="Y243">
        <v>2.2799999999999998</v>
      </c>
      <c r="Z243">
        <v>0.87</v>
      </c>
      <c r="AG243">
        <v>0.7</v>
      </c>
      <c r="AI243">
        <v>0.71</v>
      </c>
      <c r="BH243" t="s">
        <v>126</v>
      </c>
      <c r="BI243" t="s">
        <v>126</v>
      </c>
      <c r="BJ243" t="s">
        <v>126</v>
      </c>
      <c r="BK243" t="s">
        <v>126</v>
      </c>
      <c r="BS243" t="s">
        <v>126</v>
      </c>
      <c r="BT243" t="s">
        <v>126</v>
      </c>
      <c r="BU243" t="s">
        <v>126</v>
      </c>
      <c r="BV243" t="s">
        <v>126</v>
      </c>
      <c r="CN243" t="s">
        <v>147</v>
      </c>
      <c r="CP243" t="s">
        <v>220</v>
      </c>
      <c r="CQ243" t="s">
        <v>147</v>
      </c>
    </row>
    <row r="244" spans="1:95" x14ac:dyDescent="0.2">
      <c r="A244" t="s">
        <v>115</v>
      </c>
      <c r="B244" t="s">
        <v>116</v>
      </c>
      <c r="C244">
        <v>210784</v>
      </c>
      <c r="E244" t="s">
        <v>117</v>
      </c>
      <c r="F244">
        <v>368</v>
      </c>
      <c r="G244" t="s">
        <v>141</v>
      </c>
      <c r="H244" t="s">
        <v>142</v>
      </c>
      <c r="I244" t="s">
        <v>279</v>
      </c>
      <c r="J244" t="s">
        <v>280</v>
      </c>
      <c r="L244" s="14">
        <v>45259</v>
      </c>
      <c r="M244" s="18">
        <f t="shared" si="6"/>
        <v>45231</v>
      </c>
      <c r="N244">
        <v>5385401</v>
      </c>
      <c r="O244" t="s">
        <v>123</v>
      </c>
      <c r="P244" t="s">
        <v>146</v>
      </c>
      <c r="Q244">
        <v>3.6100000000000003</v>
      </c>
      <c r="R244" t="s">
        <v>574</v>
      </c>
      <c r="S244" t="s">
        <v>126</v>
      </c>
      <c r="T244" t="s">
        <v>574</v>
      </c>
      <c r="U244" t="s">
        <v>575</v>
      </c>
      <c r="W244">
        <v>1.1100000000000001</v>
      </c>
      <c r="X244">
        <v>2.5</v>
      </c>
      <c r="Y244">
        <v>3.6100000000000003</v>
      </c>
      <c r="Z244">
        <v>1.38</v>
      </c>
      <c r="AG244">
        <v>1.1100000000000001</v>
      </c>
      <c r="AI244">
        <v>1.1200000000000001</v>
      </c>
      <c r="BH244" t="s">
        <v>126</v>
      </c>
      <c r="BI244" t="s">
        <v>126</v>
      </c>
      <c r="BJ244" t="s">
        <v>126</v>
      </c>
      <c r="BK244" t="s">
        <v>126</v>
      </c>
      <c r="BS244" t="s">
        <v>126</v>
      </c>
      <c r="BT244" t="s">
        <v>126</v>
      </c>
      <c r="BU244" t="s">
        <v>126</v>
      </c>
      <c r="BV244" t="s">
        <v>126</v>
      </c>
      <c r="CN244" t="s">
        <v>147</v>
      </c>
      <c r="CP244" t="s">
        <v>220</v>
      </c>
      <c r="CQ244" t="s">
        <v>147</v>
      </c>
    </row>
    <row r="245" spans="1:95" x14ac:dyDescent="0.2">
      <c r="A245" t="s">
        <v>115</v>
      </c>
      <c r="B245" t="s">
        <v>116</v>
      </c>
      <c r="C245">
        <v>210784</v>
      </c>
      <c r="E245" t="s">
        <v>117</v>
      </c>
      <c r="F245">
        <v>368</v>
      </c>
      <c r="G245" t="s">
        <v>141</v>
      </c>
      <c r="H245" t="s">
        <v>142</v>
      </c>
      <c r="I245" t="s">
        <v>204</v>
      </c>
      <c r="J245" t="s">
        <v>205</v>
      </c>
      <c r="L245" s="14">
        <v>45271</v>
      </c>
      <c r="M245" s="18">
        <f t="shared" si="6"/>
        <v>45261</v>
      </c>
      <c r="N245">
        <v>95488</v>
      </c>
      <c r="O245" t="s">
        <v>123</v>
      </c>
      <c r="P245" t="s">
        <v>146</v>
      </c>
      <c r="Q245">
        <v>6.6</v>
      </c>
      <c r="R245" t="s">
        <v>125</v>
      </c>
      <c r="S245" t="s">
        <v>126</v>
      </c>
      <c r="T245" t="s">
        <v>125</v>
      </c>
      <c r="U245" t="s">
        <v>126</v>
      </c>
      <c r="W245">
        <v>6.6</v>
      </c>
      <c r="Y245">
        <v>6.6</v>
      </c>
      <c r="AC245">
        <v>6.6</v>
      </c>
      <c r="BH245" t="s">
        <v>126</v>
      </c>
      <c r="BI245" t="s">
        <v>126</v>
      </c>
      <c r="BJ245" t="s">
        <v>126</v>
      </c>
      <c r="BK245" t="s">
        <v>126</v>
      </c>
      <c r="BS245" t="s">
        <v>126</v>
      </c>
      <c r="BT245" t="s">
        <v>126</v>
      </c>
      <c r="BU245" t="s">
        <v>126</v>
      </c>
      <c r="BV245" t="s">
        <v>126</v>
      </c>
      <c r="CN245" t="s">
        <v>147</v>
      </c>
      <c r="CP245" t="s">
        <v>206</v>
      </c>
      <c r="CQ245" t="s">
        <v>147</v>
      </c>
    </row>
    <row r="246" spans="1:95" x14ac:dyDescent="0.2">
      <c r="A246" t="s">
        <v>115</v>
      </c>
      <c r="B246" t="s">
        <v>116</v>
      </c>
      <c r="C246">
        <v>210784</v>
      </c>
      <c r="E246" t="s">
        <v>117</v>
      </c>
      <c r="F246">
        <v>368</v>
      </c>
      <c r="G246" t="s">
        <v>141</v>
      </c>
      <c r="H246" t="s">
        <v>142</v>
      </c>
      <c r="I246" t="s">
        <v>279</v>
      </c>
      <c r="J246" t="s">
        <v>280</v>
      </c>
      <c r="L246" s="14">
        <v>45276</v>
      </c>
      <c r="M246" s="18">
        <f t="shared" si="6"/>
        <v>45261</v>
      </c>
      <c r="N246">
        <v>5396677</v>
      </c>
      <c r="O246" t="s">
        <v>123</v>
      </c>
      <c r="P246" t="s">
        <v>146</v>
      </c>
      <c r="Q246">
        <v>3.88</v>
      </c>
      <c r="R246" t="s">
        <v>125</v>
      </c>
      <c r="S246" t="s">
        <v>126</v>
      </c>
      <c r="T246" t="s">
        <v>125</v>
      </c>
      <c r="U246" t="s">
        <v>126</v>
      </c>
      <c r="W246">
        <v>3.88</v>
      </c>
      <c r="Y246">
        <v>3.88</v>
      </c>
      <c r="BE246">
        <v>3.88</v>
      </c>
      <c r="BH246" t="s">
        <v>126</v>
      </c>
      <c r="BI246" t="s">
        <v>126</v>
      </c>
      <c r="BJ246" t="s">
        <v>126</v>
      </c>
      <c r="BK246" t="s">
        <v>126</v>
      </c>
      <c r="BS246" t="s">
        <v>126</v>
      </c>
      <c r="BT246" t="s">
        <v>126</v>
      </c>
      <c r="BU246" t="s">
        <v>126</v>
      </c>
      <c r="BV246" t="s">
        <v>126</v>
      </c>
      <c r="CN246" t="s">
        <v>147</v>
      </c>
      <c r="CP246" t="s">
        <v>220</v>
      </c>
      <c r="CQ246" t="s">
        <v>147</v>
      </c>
    </row>
    <row r="247" spans="1:95" x14ac:dyDescent="0.2">
      <c r="A247" t="s">
        <v>115</v>
      </c>
      <c r="B247" t="s">
        <v>116</v>
      </c>
      <c r="C247">
        <v>210784</v>
      </c>
      <c r="E247" t="s">
        <v>117</v>
      </c>
      <c r="F247">
        <v>368</v>
      </c>
      <c r="G247" t="s">
        <v>141</v>
      </c>
      <c r="H247" t="s">
        <v>142</v>
      </c>
      <c r="I247" t="s">
        <v>204</v>
      </c>
      <c r="J247" t="s">
        <v>205</v>
      </c>
      <c r="L247" s="14">
        <v>45278</v>
      </c>
      <c r="M247" s="18">
        <f t="shared" si="6"/>
        <v>45261</v>
      </c>
      <c r="N247">
        <v>95779</v>
      </c>
      <c r="O247" t="s">
        <v>123</v>
      </c>
      <c r="P247" t="s">
        <v>146</v>
      </c>
      <c r="Q247">
        <v>0.76</v>
      </c>
      <c r="R247" t="s">
        <v>125</v>
      </c>
      <c r="S247" t="s">
        <v>126</v>
      </c>
      <c r="T247" t="s">
        <v>125</v>
      </c>
      <c r="U247" t="s">
        <v>126</v>
      </c>
      <c r="W247">
        <v>0.76</v>
      </c>
      <c r="Y247">
        <v>0.76</v>
      </c>
      <c r="AC247">
        <v>0.76</v>
      </c>
      <c r="BH247" t="s">
        <v>126</v>
      </c>
      <c r="BI247" t="s">
        <v>126</v>
      </c>
      <c r="BJ247" t="s">
        <v>126</v>
      </c>
      <c r="BK247" t="s">
        <v>126</v>
      </c>
      <c r="BS247" t="s">
        <v>126</v>
      </c>
      <c r="BT247" t="s">
        <v>126</v>
      </c>
      <c r="BU247" t="s">
        <v>126</v>
      </c>
      <c r="BV247" t="s">
        <v>126</v>
      </c>
      <c r="CN247" t="s">
        <v>147</v>
      </c>
      <c r="CP247" t="s">
        <v>206</v>
      </c>
      <c r="CQ247" t="s">
        <v>147</v>
      </c>
    </row>
    <row r="248" spans="1:95" x14ac:dyDescent="0.2">
      <c r="A248" t="s">
        <v>115</v>
      </c>
      <c r="B248" t="s">
        <v>116</v>
      </c>
      <c r="C248">
        <v>210784</v>
      </c>
      <c r="E248" t="s">
        <v>117</v>
      </c>
      <c r="F248">
        <v>368</v>
      </c>
      <c r="G248" t="s">
        <v>141</v>
      </c>
      <c r="H248" t="s">
        <v>142</v>
      </c>
      <c r="I248" t="s">
        <v>279</v>
      </c>
      <c r="J248" t="s">
        <v>280</v>
      </c>
      <c r="L248" s="14">
        <v>45278</v>
      </c>
      <c r="M248" s="18">
        <f t="shared" si="6"/>
        <v>45261</v>
      </c>
      <c r="N248">
        <v>5397028</v>
      </c>
      <c r="O248" t="s">
        <v>123</v>
      </c>
      <c r="P248" t="s">
        <v>146</v>
      </c>
      <c r="Q248">
        <v>2.9200000000000004</v>
      </c>
      <c r="R248" t="s">
        <v>559</v>
      </c>
      <c r="S248" t="s">
        <v>126</v>
      </c>
      <c r="T248" t="s">
        <v>559</v>
      </c>
      <c r="U248" t="s">
        <v>560</v>
      </c>
      <c r="W248">
        <v>0.9</v>
      </c>
      <c r="X248">
        <v>2.02</v>
      </c>
      <c r="Y248">
        <v>2.9200000000000004</v>
      </c>
      <c r="Z248">
        <v>1.1100000000000001</v>
      </c>
      <c r="AG248">
        <v>0.9</v>
      </c>
      <c r="AI248">
        <v>0.91</v>
      </c>
      <c r="BH248" t="s">
        <v>126</v>
      </c>
      <c r="BI248" t="s">
        <v>126</v>
      </c>
      <c r="BJ248" t="s">
        <v>126</v>
      </c>
      <c r="BK248" t="s">
        <v>126</v>
      </c>
      <c r="BS248" t="s">
        <v>126</v>
      </c>
      <c r="BT248" t="s">
        <v>126</v>
      </c>
      <c r="BU248" t="s">
        <v>126</v>
      </c>
      <c r="BV248" t="s">
        <v>126</v>
      </c>
      <c r="CN248" t="s">
        <v>147</v>
      </c>
      <c r="CP248" t="s">
        <v>220</v>
      </c>
      <c r="CQ248" t="s">
        <v>147</v>
      </c>
    </row>
    <row r="249" spans="1:95" x14ac:dyDescent="0.2">
      <c r="A249" t="s">
        <v>115</v>
      </c>
      <c r="B249" t="s">
        <v>116</v>
      </c>
      <c r="C249">
        <v>210784</v>
      </c>
      <c r="E249" t="s">
        <v>117</v>
      </c>
      <c r="F249">
        <v>368</v>
      </c>
      <c r="G249" t="s">
        <v>141</v>
      </c>
      <c r="H249" t="s">
        <v>142</v>
      </c>
      <c r="I249" t="s">
        <v>204</v>
      </c>
      <c r="J249" t="s">
        <v>205</v>
      </c>
      <c r="L249" s="14">
        <v>45288</v>
      </c>
      <c r="M249" s="18">
        <f t="shared" si="6"/>
        <v>45261</v>
      </c>
      <c r="N249">
        <v>96160</v>
      </c>
      <c r="O249" t="s">
        <v>123</v>
      </c>
      <c r="P249" t="s">
        <v>146</v>
      </c>
      <c r="Q249">
        <v>4.88</v>
      </c>
      <c r="R249" t="s">
        <v>125</v>
      </c>
      <c r="S249" t="s">
        <v>126</v>
      </c>
      <c r="T249" t="s">
        <v>125</v>
      </c>
      <c r="U249" t="s">
        <v>126</v>
      </c>
      <c r="W249">
        <v>4.88</v>
      </c>
      <c r="Y249">
        <v>4.88</v>
      </c>
      <c r="AC249">
        <v>4.88</v>
      </c>
      <c r="BH249" t="s">
        <v>126</v>
      </c>
      <c r="BI249" t="s">
        <v>126</v>
      </c>
      <c r="BJ249" t="s">
        <v>126</v>
      </c>
      <c r="BK249" t="s">
        <v>126</v>
      </c>
      <c r="BS249" t="s">
        <v>126</v>
      </c>
      <c r="BT249" t="s">
        <v>126</v>
      </c>
      <c r="BU249" t="s">
        <v>126</v>
      </c>
      <c r="BV249" t="s">
        <v>126</v>
      </c>
      <c r="CN249" t="s">
        <v>147</v>
      </c>
      <c r="CP249" t="s">
        <v>206</v>
      </c>
      <c r="CQ249" t="s">
        <v>147</v>
      </c>
    </row>
    <row r="250" spans="1:95" x14ac:dyDescent="0.2">
      <c r="A250" t="s">
        <v>115</v>
      </c>
      <c r="B250" t="s">
        <v>116</v>
      </c>
      <c r="C250">
        <v>210784</v>
      </c>
      <c r="E250" t="s">
        <v>117</v>
      </c>
      <c r="F250">
        <v>368</v>
      </c>
      <c r="G250" t="s">
        <v>141</v>
      </c>
      <c r="H250" t="s">
        <v>142</v>
      </c>
      <c r="I250" t="s">
        <v>279</v>
      </c>
      <c r="J250" t="s">
        <v>280</v>
      </c>
      <c r="L250" s="14">
        <v>45288</v>
      </c>
      <c r="M250" s="18">
        <f t="shared" si="6"/>
        <v>45261</v>
      </c>
      <c r="N250">
        <v>5403953</v>
      </c>
      <c r="O250" t="s">
        <v>123</v>
      </c>
      <c r="P250" t="s">
        <v>146</v>
      </c>
      <c r="Q250">
        <v>1.8199999999999998</v>
      </c>
      <c r="R250" t="s">
        <v>569</v>
      </c>
      <c r="S250" t="s">
        <v>126</v>
      </c>
      <c r="T250" t="s">
        <v>569</v>
      </c>
      <c r="U250" t="s">
        <v>570</v>
      </c>
      <c r="W250">
        <v>0.56000000000000005</v>
      </c>
      <c r="X250">
        <v>1.2599999999999998</v>
      </c>
      <c r="Y250">
        <v>1.8199999999999998</v>
      </c>
      <c r="Z250">
        <v>0.69</v>
      </c>
      <c r="AG250">
        <v>0.56000000000000005</v>
      </c>
      <c r="AI250">
        <v>0.56999999999999995</v>
      </c>
      <c r="BH250" t="s">
        <v>126</v>
      </c>
      <c r="BI250" t="s">
        <v>126</v>
      </c>
      <c r="BJ250" t="s">
        <v>126</v>
      </c>
      <c r="BK250" t="s">
        <v>126</v>
      </c>
      <c r="BS250" t="s">
        <v>126</v>
      </c>
      <c r="BT250" t="s">
        <v>126</v>
      </c>
      <c r="BU250" t="s">
        <v>126</v>
      </c>
      <c r="BV250" t="s">
        <v>126</v>
      </c>
      <c r="CN250" t="s">
        <v>147</v>
      </c>
      <c r="CP250" t="s">
        <v>220</v>
      </c>
      <c r="CQ250" t="s">
        <v>147</v>
      </c>
    </row>
    <row r="251" spans="1:95" x14ac:dyDescent="0.2">
      <c r="A251" t="s">
        <v>115</v>
      </c>
      <c r="B251" t="s">
        <v>116</v>
      </c>
      <c r="C251">
        <v>210784</v>
      </c>
      <c r="E251" t="s">
        <v>117</v>
      </c>
      <c r="F251">
        <v>368</v>
      </c>
      <c r="G251" t="s">
        <v>141</v>
      </c>
      <c r="H251" t="s">
        <v>142</v>
      </c>
      <c r="I251" t="s">
        <v>204</v>
      </c>
      <c r="J251" t="s">
        <v>205</v>
      </c>
      <c r="L251" s="14">
        <v>45293</v>
      </c>
      <c r="M251" s="18">
        <f t="shared" si="6"/>
        <v>45292</v>
      </c>
      <c r="N251">
        <v>96287</v>
      </c>
      <c r="O251" t="s">
        <v>123</v>
      </c>
      <c r="P251" t="s">
        <v>146</v>
      </c>
      <c r="Q251">
        <v>2.4300000000000002</v>
      </c>
      <c r="R251" t="s">
        <v>125</v>
      </c>
      <c r="S251" t="s">
        <v>126</v>
      </c>
      <c r="T251" t="s">
        <v>125</v>
      </c>
      <c r="U251" t="s">
        <v>126</v>
      </c>
      <c r="W251">
        <v>2.4300000000000002</v>
      </c>
      <c r="Y251">
        <v>2.4300000000000002</v>
      </c>
      <c r="AC251">
        <v>2.4300000000000002</v>
      </c>
      <c r="BH251" t="s">
        <v>126</v>
      </c>
      <c r="BI251" t="s">
        <v>126</v>
      </c>
      <c r="BJ251" t="s">
        <v>126</v>
      </c>
      <c r="BK251" t="s">
        <v>126</v>
      </c>
      <c r="BS251" t="s">
        <v>126</v>
      </c>
      <c r="BT251" t="s">
        <v>126</v>
      </c>
      <c r="BU251" t="s">
        <v>126</v>
      </c>
      <c r="BV251" t="s">
        <v>126</v>
      </c>
      <c r="CN251" t="s">
        <v>147</v>
      </c>
      <c r="CP251" t="s">
        <v>206</v>
      </c>
      <c r="CQ251" t="s">
        <v>147</v>
      </c>
    </row>
    <row r="252" spans="1:95" x14ac:dyDescent="0.2">
      <c r="A252" t="s">
        <v>115</v>
      </c>
      <c r="B252" t="s">
        <v>116</v>
      </c>
      <c r="C252">
        <v>210784</v>
      </c>
      <c r="E252" t="s">
        <v>117</v>
      </c>
      <c r="F252">
        <v>368</v>
      </c>
      <c r="G252" t="s">
        <v>141</v>
      </c>
      <c r="H252" t="s">
        <v>142</v>
      </c>
      <c r="I252" t="s">
        <v>204</v>
      </c>
      <c r="J252" t="s">
        <v>205</v>
      </c>
      <c r="L252" s="14">
        <v>45293</v>
      </c>
      <c r="M252" s="18">
        <f t="shared" si="6"/>
        <v>45292</v>
      </c>
      <c r="N252">
        <v>96269</v>
      </c>
      <c r="O252" t="s">
        <v>123</v>
      </c>
      <c r="P252" t="s">
        <v>146</v>
      </c>
      <c r="Q252">
        <v>8.39</v>
      </c>
      <c r="R252" t="s">
        <v>125</v>
      </c>
      <c r="S252" t="s">
        <v>126</v>
      </c>
      <c r="T252" t="s">
        <v>125</v>
      </c>
      <c r="U252" t="s">
        <v>126</v>
      </c>
      <c r="W252">
        <v>8.39</v>
      </c>
      <c r="Y252">
        <v>8.39</v>
      </c>
      <c r="AC252">
        <v>8.39</v>
      </c>
      <c r="BH252" t="s">
        <v>126</v>
      </c>
      <c r="BI252" t="s">
        <v>126</v>
      </c>
      <c r="BJ252" t="s">
        <v>126</v>
      </c>
      <c r="BK252" t="s">
        <v>126</v>
      </c>
      <c r="BS252" t="s">
        <v>126</v>
      </c>
      <c r="BT252" t="s">
        <v>126</v>
      </c>
      <c r="BU252" t="s">
        <v>126</v>
      </c>
      <c r="BV252" t="s">
        <v>126</v>
      </c>
      <c r="CN252" t="s">
        <v>147</v>
      </c>
      <c r="CP252" t="s">
        <v>206</v>
      </c>
      <c r="CQ252" t="s">
        <v>147</v>
      </c>
    </row>
    <row r="253" spans="1:95" x14ac:dyDescent="0.2">
      <c r="A253" t="s">
        <v>115</v>
      </c>
      <c r="B253" t="s">
        <v>116</v>
      </c>
      <c r="C253">
        <v>210784</v>
      </c>
      <c r="E253" t="s">
        <v>117</v>
      </c>
      <c r="F253">
        <v>368</v>
      </c>
      <c r="G253" t="s">
        <v>141</v>
      </c>
      <c r="H253" t="s">
        <v>142</v>
      </c>
      <c r="I253" t="s">
        <v>204</v>
      </c>
      <c r="J253" t="s">
        <v>205</v>
      </c>
      <c r="L253" s="14">
        <v>45296</v>
      </c>
      <c r="M253" s="18">
        <f t="shared" si="6"/>
        <v>45292</v>
      </c>
      <c r="N253">
        <v>96429</v>
      </c>
      <c r="O253" t="s">
        <v>123</v>
      </c>
      <c r="P253" t="s">
        <v>146</v>
      </c>
      <c r="Q253">
        <v>3.77</v>
      </c>
      <c r="R253" t="s">
        <v>125</v>
      </c>
      <c r="S253" t="s">
        <v>126</v>
      </c>
      <c r="T253" t="s">
        <v>125</v>
      </c>
      <c r="U253" t="s">
        <v>126</v>
      </c>
      <c r="W253">
        <v>3.77</v>
      </c>
      <c r="Y253">
        <v>3.77</v>
      </c>
      <c r="AC253">
        <v>3.77</v>
      </c>
      <c r="BH253" t="s">
        <v>126</v>
      </c>
      <c r="BI253" t="s">
        <v>126</v>
      </c>
      <c r="BJ253" t="s">
        <v>126</v>
      </c>
      <c r="BK253" t="s">
        <v>126</v>
      </c>
      <c r="BS253" t="s">
        <v>126</v>
      </c>
      <c r="BT253" t="s">
        <v>126</v>
      </c>
      <c r="BU253" t="s">
        <v>126</v>
      </c>
      <c r="BV253" t="s">
        <v>126</v>
      </c>
      <c r="CN253" t="s">
        <v>147</v>
      </c>
      <c r="CP253" t="s">
        <v>206</v>
      </c>
      <c r="CQ253" t="s">
        <v>147</v>
      </c>
    </row>
    <row r="254" spans="1:95" x14ac:dyDescent="0.2">
      <c r="A254" t="s">
        <v>115</v>
      </c>
      <c r="B254" t="s">
        <v>116</v>
      </c>
      <c r="C254">
        <v>210784</v>
      </c>
      <c r="E254" t="s">
        <v>117</v>
      </c>
      <c r="F254">
        <v>368</v>
      </c>
      <c r="G254" t="s">
        <v>141</v>
      </c>
      <c r="H254" t="s">
        <v>142</v>
      </c>
      <c r="I254" t="s">
        <v>284</v>
      </c>
      <c r="J254" t="s">
        <v>285</v>
      </c>
      <c r="L254" s="14">
        <v>45296</v>
      </c>
      <c r="M254" s="18">
        <f t="shared" si="6"/>
        <v>45292</v>
      </c>
      <c r="N254">
        <v>98576</v>
      </c>
      <c r="O254" t="s">
        <v>123</v>
      </c>
      <c r="P254" t="s">
        <v>146</v>
      </c>
      <c r="Q254">
        <v>6.06</v>
      </c>
      <c r="R254" t="s">
        <v>125</v>
      </c>
      <c r="S254" t="s">
        <v>126</v>
      </c>
      <c r="T254" t="s">
        <v>125</v>
      </c>
      <c r="U254" t="s">
        <v>126</v>
      </c>
      <c r="W254">
        <v>6.06</v>
      </c>
      <c r="Y254">
        <v>6.06</v>
      </c>
      <c r="AG254">
        <v>0.60599999999999998</v>
      </c>
      <c r="BE254">
        <v>5.4539999999999997</v>
      </c>
      <c r="BH254" t="s">
        <v>126</v>
      </c>
      <c r="BI254" t="s">
        <v>126</v>
      </c>
      <c r="BJ254" t="s">
        <v>126</v>
      </c>
      <c r="BK254" t="s">
        <v>126</v>
      </c>
      <c r="BS254" t="s">
        <v>126</v>
      </c>
      <c r="BT254" t="s">
        <v>126</v>
      </c>
      <c r="BU254" t="s">
        <v>126</v>
      </c>
      <c r="BV254" t="s">
        <v>126</v>
      </c>
      <c r="CN254" t="s">
        <v>147</v>
      </c>
      <c r="CP254" t="s">
        <v>576</v>
      </c>
      <c r="CQ254" t="s">
        <v>147</v>
      </c>
    </row>
    <row r="255" spans="1:95" x14ac:dyDescent="0.2">
      <c r="A255" t="s">
        <v>115</v>
      </c>
      <c r="B255" t="s">
        <v>116</v>
      </c>
      <c r="C255">
        <v>210784</v>
      </c>
      <c r="E255" t="s">
        <v>117</v>
      </c>
      <c r="F255">
        <v>368</v>
      </c>
      <c r="G255" t="s">
        <v>141</v>
      </c>
      <c r="H255" t="s">
        <v>142</v>
      </c>
      <c r="I255" t="s">
        <v>279</v>
      </c>
      <c r="J255" t="s">
        <v>280</v>
      </c>
      <c r="L255" s="14">
        <v>45296</v>
      </c>
      <c r="M255" s="18">
        <f t="shared" si="6"/>
        <v>45292</v>
      </c>
      <c r="N255">
        <v>5409006</v>
      </c>
      <c r="O255" t="s">
        <v>123</v>
      </c>
      <c r="P255" t="s">
        <v>146</v>
      </c>
      <c r="Q255">
        <v>2.36</v>
      </c>
      <c r="R255" t="s">
        <v>577</v>
      </c>
      <c r="S255" t="s">
        <v>126</v>
      </c>
      <c r="T255" t="s">
        <v>577</v>
      </c>
      <c r="U255" t="s">
        <v>578</v>
      </c>
      <c r="W255">
        <v>0.73</v>
      </c>
      <c r="X255">
        <v>1.63</v>
      </c>
      <c r="Y255">
        <v>2.36</v>
      </c>
      <c r="Z255">
        <v>0.9</v>
      </c>
      <c r="AG255">
        <v>0.73</v>
      </c>
      <c r="AI255">
        <v>0.73</v>
      </c>
      <c r="BH255" t="s">
        <v>126</v>
      </c>
      <c r="BI255" t="s">
        <v>126</v>
      </c>
      <c r="BJ255" t="s">
        <v>126</v>
      </c>
      <c r="BK255" t="s">
        <v>126</v>
      </c>
      <c r="BS255" t="s">
        <v>126</v>
      </c>
      <c r="BT255" t="s">
        <v>126</v>
      </c>
      <c r="BU255" t="s">
        <v>126</v>
      </c>
      <c r="BV255" t="s">
        <v>126</v>
      </c>
      <c r="CN255" t="s">
        <v>147</v>
      </c>
      <c r="CP255" t="s">
        <v>576</v>
      </c>
      <c r="CQ255" t="s">
        <v>147</v>
      </c>
    </row>
    <row r="256" spans="1:95" x14ac:dyDescent="0.2">
      <c r="A256" t="s">
        <v>115</v>
      </c>
      <c r="B256" t="s">
        <v>116</v>
      </c>
      <c r="C256">
        <v>210784</v>
      </c>
      <c r="E256" t="s">
        <v>117</v>
      </c>
      <c r="F256">
        <v>368</v>
      </c>
      <c r="G256" t="s">
        <v>141</v>
      </c>
      <c r="H256" t="s">
        <v>142</v>
      </c>
      <c r="I256" t="s">
        <v>204</v>
      </c>
      <c r="J256" t="s">
        <v>205</v>
      </c>
      <c r="L256" s="14">
        <v>45299</v>
      </c>
      <c r="M256" s="18">
        <f t="shared" si="6"/>
        <v>45292</v>
      </c>
      <c r="N256">
        <v>96523</v>
      </c>
      <c r="O256" t="s">
        <v>123</v>
      </c>
      <c r="P256" t="s">
        <v>146</v>
      </c>
      <c r="Q256">
        <v>8.8699999999999992</v>
      </c>
      <c r="R256" t="s">
        <v>125</v>
      </c>
      <c r="S256" t="s">
        <v>126</v>
      </c>
      <c r="T256" t="s">
        <v>125</v>
      </c>
      <c r="U256" t="s">
        <v>126</v>
      </c>
      <c r="W256">
        <v>8.8699999999999992</v>
      </c>
      <c r="Y256">
        <v>8.8699999999999992</v>
      </c>
      <c r="AC256">
        <v>8.8699999999999992</v>
      </c>
      <c r="BH256" t="s">
        <v>126</v>
      </c>
      <c r="BI256" t="s">
        <v>126</v>
      </c>
      <c r="BJ256" t="s">
        <v>126</v>
      </c>
      <c r="BK256" t="s">
        <v>126</v>
      </c>
      <c r="BS256" t="s">
        <v>126</v>
      </c>
      <c r="BT256" t="s">
        <v>126</v>
      </c>
      <c r="BU256" t="s">
        <v>126</v>
      </c>
      <c r="BV256" t="s">
        <v>126</v>
      </c>
      <c r="CN256" t="s">
        <v>147</v>
      </c>
      <c r="CP256" t="s">
        <v>206</v>
      </c>
      <c r="CQ256" t="s">
        <v>147</v>
      </c>
    </row>
    <row r="257" spans="1:95" x14ac:dyDescent="0.2">
      <c r="A257" t="s">
        <v>115</v>
      </c>
      <c r="B257" t="s">
        <v>116</v>
      </c>
      <c r="C257">
        <v>210784</v>
      </c>
      <c r="E257" t="s">
        <v>117</v>
      </c>
      <c r="F257">
        <v>368</v>
      </c>
      <c r="G257" t="s">
        <v>141</v>
      </c>
      <c r="H257" t="s">
        <v>142</v>
      </c>
      <c r="I257" t="s">
        <v>279</v>
      </c>
      <c r="J257" t="s">
        <v>280</v>
      </c>
      <c r="L257" s="14">
        <v>45300</v>
      </c>
      <c r="M257" s="18">
        <f t="shared" si="6"/>
        <v>45292</v>
      </c>
      <c r="N257">
        <v>5410968</v>
      </c>
      <c r="O257" t="s">
        <v>123</v>
      </c>
      <c r="P257" t="s">
        <v>146</v>
      </c>
      <c r="Q257">
        <v>1.52</v>
      </c>
      <c r="R257" t="s">
        <v>125</v>
      </c>
      <c r="S257" t="s">
        <v>126</v>
      </c>
      <c r="T257" t="s">
        <v>125</v>
      </c>
      <c r="U257" t="s">
        <v>126</v>
      </c>
      <c r="W257">
        <v>1.52</v>
      </c>
      <c r="Y257">
        <v>1.52</v>
      </c>
      <c r="BE257">
        <v>1.52</v>
      </c>
      <c r="BH257" t="s">
        <v>126</v>
      </c>
      <c r="BI257" t="s">
        <v>126</v>
      </c>
      <c r="BJ257" t="s">
        <v>126</v>
      </c>
      <c r="BK257" t="s">
        <v>126</v>
      </c>
      <c r="BS257" t="s">
        <v>126</v>
      </c>
      <c r="BT257" t="s">
        <v>126</v>
      </c>
      <c r="BU257" t="s">
        <v>126</v>
      </c>
      <c r="BV257" t="s">
        <v>126</v>
      </c>
      <c r="CN257" t="s">
        <v>147</v>
      </c>
      <c r="CP257" t="s">
        <v>576</v>
      </c>
      <c r="CQ257" t="s">
        <v>147</v>
      </c>
    </row>
    <row r="258" spans="1:95" x14ac:dyDescent="0.2">
      <c r="A258" t="s">
        <v>115</v>
      </c>
      <c r="B258" t="s">
        <v>116</v>
      </c>
      <c r="C258">
        <v>210784</v>
      </c>
      <c r="E258" t="s">
        <v>117</v>
      </c>
      <c r="F258">
        <v>368</v>
      </c>
      <c r="G258" t="s">
        <v>141</v>
      </c>
      <c r="H258" t="s">
        <v>142</v>
      </c>
      <c r="I258" t="s">
        <v>204</v>
      </c>
      <c r="J258" t="s">
        <v>205</v>
      </c>
      <c r="L258" s="14">
        <v>45301</v>
      </c>
      <c r="M258" s="18">
        <f t="shared" si="6"/>
        <v>45292</v>
      </c>
      <c r="N258">
        <v>96611</v>
      </c>
      <c r="O258" t="s">
        <v>123</v>
      </c>
      <c r="P258" t="s">
        <v>146</v>
      </c>
      <c r="Q258">
        <v>8.59</v>
      </c>
      <c r="R258" t="s">
        <v>125</v>
      </c>
      <c r="S258" t="s">
        <v>126</v>
      </c>
      <c r="T258" t="s">
        <v>125</v>
      </c>
      <c r="U258" t="s">
        <v>126</v>
      </c>
      <c r="W258">
        <v>8.59</v>
      </c>
      <c r="Y258">
        <v>8.59</v>
      </c>
      <c r="AC258">
        <v>8.59</v>
      </c>
      <c r="BH258" t="s">
        <v>126</v>
      </c>
      <c r="BI258" t="s">
        <v>126</v>
      </c>
      <c r="BJ258" t="s">
        <v>126</v>
      </c>
      <c r="BK258" t="s">
        <v>126</v>
      </c>
      <c r="BS258" t="s">
        <v>126</v>
      </c>
      <c r="BT258" t="s">
        <v>126</v>
      </c>
      <c r="BU258" t="s">
        <v>126</v>
      </c>
      <c r="BV258" t="s">
        <v>126</v>
      </c>
      <c r="CN258" t="s">
        <v>147</v>
      </c>
      <c r="CP258" t="s">
        <v>206</v>
      </c>
      <c r="CQ258" t="s">
        <v>147</v>
      </c>
    </row>
    <row r="259" spans="1:95" x14ac:dyDescent="0.2">
      <c r="A259" t="s">
        <v>115</v>
      </c>
      <c r="B259" t="s">
        <v>116</v>
      </c>
      <c r="C259">
        <v>210784</v>
      </c>
      <c r="E259" t="s">
        <v>117</v>
      </c>
      <c r="F259">
        <v>368</v>
      </c>
      <c r="G259" t="s">
        <v>141</v>
      </c>
      <c r="H259" t="s">
        <v>142</v>
      </c>
      <c r="I259" t="s">
        <v>204</v>
      </c>
      <c r="J259" t="s">
        <v>205</v>
      </c>
      <c r="L259" s="14">
        <v>45302</v>
      </c>
      <c r="M259" s="18">
        <f t="shared" si="6"/>
        <v>45292</v>
      </c>
      <c r="N259">
        <v>96659</v>
      </c>
      <c r="O259" t="s">
        <v>123</v>
      </c>
      <c r="P259" t="s">
        <v>146</v>
      </c>
      <c r="Q259">
        <v>8</v>
      </c>
      <c r="R259" t="s">
        <v>125</v>
      </c>
      <c r="S259" t="s">
        <v>126</v>
      </c>
      <c r="T259" t="s">
        <v>125</v>
      </c>
      <c r="U259" t="s">
        <v>126</v>
      </c>
      <c r="W259">
        <v>8</v>
      </c>
      <c r="Y259">
        <v>8</v>
      </c>
      <c r="AC259">
        <v>8</v>
      </c>
      <c r="BH259" t="s">
        <v>126</v>
      </c>
      <c r="BI259" t="s">
        <v>126</v>
      </c>
      <c r="BJ259" t="s">
        <v>126</v>
      </c>
      <c r="BK259" t="s">
        <v>126</v>
      </c>
      <c r="BS259" t="s">
        <v>126</v>
      </c>
      <c r="BT259" t="s">
        <v>126</v>
      </c>
      <c r="BU259" t="s">
        <v>126</v>
      </c>
      <c r="BV259" t="s">
        <v>126</v>
      </c>
      <c r="CN259" t="s">
        <v>147</v>
      </c>
      <c r="CP259" t="s">
        <v>206</v>
      </c>
      <c r="CQ259" t="s">
        <v>147</v>
      </c>
    </row>
    <row r="260" spans="1:95" x14ac:dyDescent="0.2">
      <c r="A260" t="s">
        <v>115</v>
      </c>
      <c r="B260" t="s">
        <v>116</v>
      </c>
      <c r="C260">
        <v>210784</v>
      </c>
      <c r="E260" t="s">
        <v>117</v>
      </c>
      <c r="F260">
        <v>368</v>
      </c>
      <c r="G260" t="s">
        <v>141</v>
      </c>
      <c r="H260" t="s">
        <v>142</v>
      </c>
      <c r="I260" t="s">
        <v>279</v>
      </c>
      <c r="J260" t="s">
        <v>280</v>
      </c>
      <c r="L260" s="14">
        <v>45303</v>
      </c>
      <c r="M260" s="18">
        <f t="shared" si="6"/>
        <v>45292</v>
      </c>
      <c r="N260">
        <v>5413482</v>
      </c>
      <c r="O260" t="s">
        <v>123</v>
      </c>
      <c r="P260" t="s">
        <v>146</v>
      </c>
      <c r="Q260">
        <v>4.72</v>
      </c>
      <c r="R260" t="s">
        <v>125</v>
      </c>
      <c r="S260" t="s">
        <v>126</v>
      </c>
      <c r="T260" t="s">
        <v>125</v>
      </c>
      <c r="U260" t="s">
        <v>126</v>
      </c>
      <c r="W260">
        <v>4.72</v>
      </c>
      <c r="Y260">
        <v>4.72</v>
      </c>
      <c r="BE260">
        <v>4.72</v>
      </c>
      <c r="BH260" t="s">
        <v>126</v>
      </c>
      <c r="BI260" t="s">
        <v>126</v>
      </c>
      <c r="BJ260" t="s">
        <v>126</v>
      </c>
      <c r="BK260" t="s">
        <v>126</v>
      </c>
      <c r="BS260" t="s">
        <v>126</v>
      </c>
      <c r="BT260" t="s">
        <v>126</v>
      </c>
      <c r="BU260" t="s">
        <v>126</v>
      </c>
      <c r="BV260" t="s">
        <v>126</v>
      </c>
      <c r="CN260" t="s">
        <v>147</v>
      </c>
      <c r="CP260" t="s">
        <v>576</v>
      </c>
      <c r="CQ260" t="s">
        <v>147</v>
      </c>
    </row>
    <row r="261" spans="1:95" x14ac:dyDescent="0.2">
      <c r="A261" t="s">
        <v>115</v>
      </c>
      <c r="B261" t="s">
        <v>116</v>
      </c>
      <c r="C261">
        <v>210784</v>
      </c>
      <c r="E261" t="s">
        <v>117</v>
      </c>
      <c r="F261">
        <v>368</v>
      </c>
      <c r="G261" t="s">
        <v>141</v>
      </c>
      <c r="H261" t="s">
        <v>142</v>
      </c>
      <c r="I261" t="s">
        <v>279</v>
      </c>
      <c r="J261" t="s">
        <v>280</v>
      </c>
      <c r="L261" s="14">
        <v>45303</v>
      </c>
      <c r="M261" s="18">
        <f t="shared" si="6"/>
        <v>45292</v>
      </c>
      <c r="N261">
        <v>5413378</v>
      </c>
      <c r="O261" t="s">
        <v>123</v>
      </c>
      <c r="P261" t="s">
        <v>146</v>
      </c>
      <c r="Q261">
        <v>2.29</v>
      </c>
      <c r="R261" t="s">
        <v>125</v>
      </c>
      <c r="S261" t="s">
        <v>126</v>
      </c>
      <c r="T261" t="s">
        <v>125</v>
      </c>
      <c r="U261" t="s">
        <v>126</v>
      </c>
      <c r="W261">
        <v>2.29</v>
      </c>
      <c r="Y261">
        <v>2.29</v>
      </c>
      <c r="BE261">
        <v>2.29</v>
      </c>
      <c r="BH261" t="s">
        <v>126</v>
      </c>
      <c r="BI261" t="s">
        <v>126</v>
      </c>
      <c r="BJ261" t="s">
        <v>126</v>
      </c>
      <c r="BK261" t="s">
        <v>126</v>
      </c>
      <c r="BS261" t="s">
        <v>126</v>
      </c>
      <c r="BT261" t="s">
        <v>126</v>
      </c>
      <c r="BU261" t="s">
        <v>126</v>
      </c>
      <c r="BV261" t="s">
        <v>126</v>
      </c>
      <c r="CN261" t="s">
        <v>147</v>
      </c>
      <c r="CP261" t="s">
        <v>576</v>
      </c>
      <c r="CQ261" t="s">
        <v>147</v>
      </c>
    </row>
    <row r="262" spans="1:95" x14ac:dyDescent="0.2">
      <c r="A262" t="s">
        <v>115</v>
      </c>
      <c r="B262" t="s">
        <v>116</v>
      </c>
      <c r="C262">
        <v>210784</v>
      </c>
      <c r="E262" t="s">
        <v>117</v>
      </c>
      <c r="F262">
        <v>368</v>
      </c>
      <c r="G262" t="s">
        <v>176</v>
      </c>
      <c r="H262" t="s">
        <v>177</v>
      </c>
      <c r="I262" t="s">
        <v>510</v>
      </c>
      <c r="J262" t="s">
        <v>511</v>
      </c>
      <c r="L262" s="14">
        <v>45306</v>
      </c>
      <c r="M262" s="18">
        <f t="shared" si="6"/>
        <v>45292</v>
      </c>
      <c r="N262">
        <v>342025</v>
      </c>
      <c r="O262" t="s">
        <v>123</v>
      </c>
      <c r="P262" t="s">
        <v>124</v>
      </c>
      <c r="Q262">
        <v>1.96</v>
      </c>
      <c r="R262" t="s">
        <v>125</v>
      </c>
      <c r="S262" t="s">
        <v>126</v>
      </c>
      <c r="T262" t="s">
        <v>125</v>
      </c>
      <c r="U262" t="s">
        <v>126</v>
      </c>
      <c r="W262">
        <v>1.96</v>
      </c>
      <c r="Y262">
        <v>1.96</v>
      </c>
      <c r="AF262">
        <v>1.96</v>
      </c>
      <c r="BH262" t="s">
        <v>126</v>
      </c>
      <c r="BI262" t="s">
        <v>126</v>
      </c>
      <c r="BJ262" t="s">
        <v>126</v>
      </c>
      <c r="BK262" t="s">
        <v>126</v>
      </c>
      <c r="BS262" t="s">
        <v>126</v>
      </c>
      <c r="BT262" t="s">
        <v>126</v>
      </c>
      <c r="BU262" t="s">
        <v>126</v>
      </c>
      <c r="BV262" t="s">
        <v>126</v>
      </c>
      <c r="CN262" t="s">
        <v>181</v>
      </c>
      <c r="CP262" t="s">
        <v>360</v>
      </c>
      <c r="CQ262" t="s">
        <v>181</v>
      </c>
    </row>
    <row r="263" spans="1:95" x14ac:dyDescent="0.2">
      <c r="A263" t="s">
        <v>115</v>
      </c>
      <c r="B263" t="s">
        <v>116</v>
      </c>
      <c r="C263">
        <v>210784</v>
      </c>
      <c r="E263" t="s">
        <v>117</v>
      </c>
      <c r="F263">
        <v>368</v>
      </c>
      <c r="G263" t="s">
        <v>141</v>
      </c>
      <c r="H263" t="s">
        <v>142</v>
      </c>
      <c r="I263" t="s">
        <v>279</v>
      </c>
      <c r="J263" t="s">
        <v>280</v>
      </c>
      <c r="L263" s="14">
        <v>45307</v>
      </c>
      <c r="M263" s="18">
        <f t="shared" si="6"/>
        <v>45292</v>
      </c>
      <c r="N263">
        <v>5415494</v>
      </c>
      <c r="O263" t="s">
        <v>123</v>
      </c>
      <c r="P263" t="s">
        <v>146</v>
      </c>
      <c r="Q263">
        <v>3.05</v>
      </c>
      <c r="R263" t="s">
        <v>559</v>
      </c>
      <c r="S263" t="s">
        <v>126</v>
      </c>
      <c r="T263" t="s">
        <v>559</v>
      </c>
      <c r="U263" t="s">
        <v>560</v>
      </c>
      <c r="W263">
        <v>0.94</v>
      </c>
      <c r="X263">
        <v>2.11</v>
      </c>
      <c r="Y263">
        <v>3.05</v>
      </c>
      <c r="Z263">
        <v>1.1599999999999999</v>
      </c>
      <c r="AG263">
        <v>0.94</v>
      </c>
      <c r="AI263">
        <v>0.95</v>
      </c>
      <c r="BH263" t="s">
        <v>126</v>
      </c>
      <c r="BI263" t="s">
        <v>126</v>
      </c>
      <c r="BJ263" t="s">
        <v>126</v>
      </c>
      <c r="BK263" t="s">
        <v>126</v>
      </c>
      <c r="BS263" t="s">
        <v>126</v>
      </c>
      <c r="BT263" t="s">
        <v>126</v>
      </c>
      <c r="BU263" t="s">
        <v>126</v>
      </c>
      <c r="BV263" t="s">
        <v>126</v>
      </c>
      <c r="CN263" t="s">
        <v>147</v>
      </c>
      <c r="CP263" t="s">
        <v>576</v>
      </c>
      <c r="CQ263" t="s">
        <v>147</v>
      </c>
    </row>
    <row r="264" spans="1:95" x14ac:dyDescent="0.2">
      <c r="A264" t="s">
        <v>115</v>
      </c>
      <c r="B264" t="s">
        <v>116</v>
      </c>
      <c r="C264">
        <v>210784</v>
      </c>
      <c r="E264" t="s">
        <v>117</v>
      </c>
      <c r="F264">
        <v>368</v>
      </c>
      <c r="G264" t="s">
        <v>141</v>
      </c>
      <c r="H264" t="s">
        <v>142</v>
      </c>
      <c r="I264" t="s">
        <v>279</v>
      </c>
      <c r="J264" t="s">
        <v>280</v>
      </c>
      <c r="L264" s="14">
        <v>45307</v>
      </c>
      <c r="M264" s="18">
        <f t="shared" si="6"/>
        <v>45292</v>
      </c>
      <c r="N264">
        <v>5415388</v>
      </c>
      <c r="O264" t="s">
        <v>123</v>
      </c>
      <c r="P264" t="s">
        <v>146</v>
      </c>
      <c r="Q264">
        <v>6.93</v>
      </c>
      <c r="R264" t="s">
        <v>125</v>
      </c>
      <c r="S264" t="s">
        <v>126</v>
      </c>
      <c r="T264" t="s">
        <v>125</v>
      </c>
      <c r="U264" t="s">
        <v>126</v>
      </c>
      <c r="W264">
        <v>6.93</v>
      </c>
      <c r="Y264">
        <v>6.93</v>
      </c>
      <c r="BE264">
        <v>6.93</v>
      </c>
      <c r="BH264" t="s">
        <v>126</v>
      </c>
      <c r="BI264" t="s">
        <v>126</v>
      </c>
      <c r="BJ264" t="s">
        <v>126</v>
      </c>
      <c r="BK264" t="s">
        <v>126</v>
      </c>
      <c r="BS264" t="s">
        <v>126</v>
      </c>
      <c r="BT264" t="s">
        <v>126</v>
      </c>
      <c r="BU264" t="s">
        <v>126</v>
      </c>
      <c r="BV264" t="s">
        <v>126</v>
      </c>
      <c r="CN264" t="s">
        <v>147</v>
      </c>
      <c r="CP264" t="s">
        <v>576</v>
      </c>
      <c r="CQ264" t="s">
        <v>147</v>
      </c>
    </row>
    <row r="265" spans="1:95" x14ac:dyDescent="0.2">
      <c r="A265" t="s">
        <v>115</v>
      </c>
      <c r="B265" t="s">
        <v>116</v>
      </c>
      <c r="C265">
        <v>210784</v>
      </c>
      <c r="E265" t="s">
        <v>117</v>
      </c>
      <c r="F265">
        <v>368</v>
      </c>
      <c r="G265" t="s">
        <v>141</v>
      </c>
      <c r="H265" t="s">
        <v>142</v>
      </c>
      <c r="I265" t="s">
        <v>279</v>
      </c>
      <c r="J265" t="s">
        <v>280</v>
      </c>
      <c r="L265" s="14">
        <v>45311</v>
      </c>
      <c r="M265" s="18">
        <f t="shared" si="6"/>
        <v>45292</v>
      </c>
      <c r="N265">
        <v>5418042</v>
      </c>
      <c r="O265" t="s">
        <v>123</v>
      </c>
      <c r="P265" t="s">
        <v>146</v>
      </c>
      <c r="Q265">
        <v>4.04</v>
      </c>
      <c r="R265" t="s">
        <v>125</v>
      </c>
      <c r="S265" t="s">
        <v>126</v>
      </c>
      <c r="T265" t="s">
        <v>125</v>
      </c>
      <c r="U265" t="s">
        <v>126</v>
      </c>
      <c r="W265">
        <v>4.04</v>
      </c>
      <c r="Y265">
        <v>4.04</v>
      </c>
      <c r="BE265">
        <v>4.04</v>
      </c>
      <c r="BH265" t="s">
        <v>126</v>
      </c>
      <c r="BI265" t="s">
        <v>126</v>
      </c>
      <c r="BJ265" t="s">
        <v>126</v>
      </c>
      <c r="BK265" t="s">
        <v>126</v>
      </c>
      <c r="BS265" t="s">
        <v>126</v>
      </c>
      <c r="BT265" t="s">
        <v>126</v>
      </c>
      <c r="BU265" t="s">
        <v>126</v>
      </c>
      <c r="BV265" t="s">
        <v>126</v>
      </c>
      <c r="CN265" t="s">
        <v>147</v>
      </c>
      <c r="CP265" t="s">
        <v>576</v>
      </c>
      <c r="CQ265" t="s">
        <v>147</v>
      </c>
    </row>
    <row r="266" spans="1:95" x14ac:dyDescent="0.2">
      <c r="A266" t="s">
        <v>115</v>
      </c>
      <c r="B266" t="s">
        <v>116</v>
      </c>
      <c r="C266">
        <v>210784</v>
      </c>
      <c r="E266" t="s">
        <v>117</v>
      </c>
      <c r="F266">
        <v>368</v>
      </c>
      <c r="G266" t="s">
        <v>141</v>
      </c>
      <c r="H266" t="s">
        <v>142</v>
      </c>
      <c r="I266" t="s">
        <v>279</v>
      </c>
      <c r="J266" t="s">
        <v>280</v>
      </c>
      <c r="L266" s="14">
        <v>45313</v>
      </c>
      <c r="M266" s="18">
        <f t="shared" si="6"/>
        <v>45292</v>
      </c>
      <c r="N266">
        <v>5418288</v>
      </c>
      <c r="O266" t="s">
        <v>123</v>
      </c>
      <c r="P266" t="s">
        <v>146</v>
      </c>
      <c r="Q266">
        <v>3.09</v>
      </c>
      <c r="R266" t="s">
        <v>581</v>
      </c>
      <c r="S266" t="s">
        <v>126</v>
      </c>
      <c r="T266" t="s">
        <v>581</v>
      </c>
      <c r="U266" t="s">
        <v>582</v>
      </c>
      <c r="W266">
        <v>0.95</v>
      </c>
      <c r="X266">
        <v>2.1399999999999997</v>
      </c>
      <c r="Y266">
        <v>3.09</v>
      </c>
      <c r="Z266">
        <v>1.18</v>
      </c>
      <c r="AG266">
        <v>0.95</v>
      </c>
      <c r="AI266">
        <v>0.96</v>
      </c>
      <c r="BH266" t="s">
        <v>126</v>
      </c>
      <c r="BI266" t="s">
        <v>126</v>
      </c>
      <c r="BJ266" t="s">
        <v>126</v>
      </c>
      <c r="BK266" t="s">
        <v>126</v>
      </c>
      <c r="BS266" t="s">
        <v>126</v>
      </c>
      <c r="BT266" t="s">
        <v>126</v>
      </c>
      <c r="BU266" t="s">
        <v>126</v>
      </c>
      <c r="BV266" t="s">
        <v>126</v>
      </c>
      <c r="CN266" t="s">
        <v>147</v>
      </c>
      <c r="CP266" t="s">
        <v>576</v>
      </c>
      <c r="CQ266" t="s">
        <v>147</v>
      </c>
    </row>
    <row r="267" spans="1:95" x14ac:dyDescent="0.2">
      <c r="A267" t="s">
        <v>115</v>
      </c>
      <c r="B267" t="s">
        <v>116</v>
      </c>
      <c r="C267">
        <v>210784</v>
      </c>
      <c r="E267" t="s">
        <v>117</v>
      </c>
      <c r="F267">
        <v>368</v>
      </c>
      <c r="G267" t="s">
        <v>141</v>
      </c>
      <c r="H267" t="s">
        <v>142</v>
      </c>
      <c r="I267" t="s">
        <v>204</v>
      </c>
      <c r="J267" t="s">
        <v>205</v>
      </c>
      <c r="L267" s="14">
        <v>45314</v>
      </c>
      <c r="M267" s="18">
        <f t="shared" ref="M267:M330" si="7">DATE(YEAR(L267), MONTH(L267), 1)</f>
        <v>45292</v>
      </c>
      <c r="N267">
        <v>96983</v>
      </c>
      <c r="O267" t="s">
        <v>123</v>
      </c>
      <c r="P267" t="s">
        <v>146</v>
      </c>
      <c r="Q267">
        <v>7.66</v>
      </c>
      <c r="R267" t="s">
        <v>125</v>
      </c>
      <c r="S267" t="s">
        <v>126</v>
      </c>
      <c r="T267" t="s">
        <v>125</v>
      </c>
      <c r="U267" t="s">
        <v>126</v>
      </c>
      <c r="W267">
        <v>7.66</v>
      </c>
      <c r="Y267">
        <v>7.66</v>
      </c>
      <c r="AC267">
        <v>7.66</v>
      </c>
      <c r="BH267" t="s">
        <v>126</v>
      </c>
      <c r="BI267" t="s">
        <v>126</v>
      </c>
      <c r="BJ267" t="s">
        <v>126</v>
      </c>
      <c r="BK267" t="s">
        <v>126</v>
      </c>
      <c r="BS267" t="s">
        <v>126</v>
      </c>
      <c r="BT267" t="s">
        <v>126</v>
      </c>
      <c r="BU267" t="s">
        <v>126</v>
      </c>
      <c r="BV267" t="s">
        <v>126</v>
      </c>
      <c r="CN267" t="s">
        <v>147</v>
      </c>
      <c r="CP267" t="s">
        <v>206</v>
      </c>
      <c r="CQ267" t="s">
        <v>147</v>
      </c>
    </row>
    <row r="268" spans="1:95" x14ac:dyDescent="0.2">
      <c r="A268" t="s">
        <v>115</v>
      </c>
      <c r="B268" t="s">
        <v>116</v>
      </c>
      <c r="C268">
        <v>210784</v>
      </c>
      <c r="E268" t="s">
        <v>117</v>
      </c>
      <c r="F268">
        <v>368</v>
      </c>
      <c r="G268" t="s">
        <v>141</v>
      </c>
      <c r="H268" t="s">
        <v>142</v>
      </c>
      <c r="I268" t="s">
        <v>279</v>
      </c>
      <c r="J268" t="s">
        <v>280</v>
      </c>
      <c r="L268" s="14">
        <v>45315</v>
      </c>
      <c r="M268" s="18">
        <f t="shared" si="7"/>
        <v>45292</v>
      </c>
      <c r="N268">
        <v>5420399</v>
      </c>
      <c r="O268" t="s">
        <v>123</v>
      </c>
      <c r="P268" t="s">
        <v>146</v>
      </c>
      <c r="Q268">
        <v>1.9</v>
      </c>
      <c r="R268" t="s">
        <v>125</v>
      </c>
      <c r="S268" t="s">
        <v>126</v>
      </c>
      <c r="T268" t="s">
        <v>125</v>
      </c>
      <c r="U268" t="s">
        <v>126</v>
      </c>
      <c r="W268">
        <v>1.9</v>
      </c>
      <c r="Y268">
        <v>1.9</v>
      </c>
      <c r="BE268">
        <v>1.9</v>
      </c>
      <c r="BH268" t="s">
        <v>126</v>
      </c>
      <c r="BI268" t="s">
        <v>126</v>
      </c>
      <c r="BJ268" t="s">
        <v>126</v>
      </c>
      <c r="BK268" t="s">
        <v>126</v>
      </c>
      <c r="BS268" t="s">
        <v>126</v>
      </c>
      <c r="BT268" t="s">
        <v>126</v>
      </c>
      <c r="BU268" t="s">
        <v>126</v>
      </c>
      <c r="BV268" t="s">
        <v>126</v>
      </c>
      <c r="CN268" t="s">
        <v>147</v>
      </c>
      <c r="CP268" t="s">
        <v>576</v>
      </c>
      <c r="CQ268" t="s">
        <v>147</v>
      </c>
    </row>
    <row r="269" spans="1:95" x14ac:dyDescent="0.2">
      <c r="A269" t="s">
        <v>115</v>
      </c>
      <c r="B269" t="s">
        <v>116</v>
      </c>
      <c r="C269">
        <v>210784</v>
      </c>
      <c r="E269" t="s">
        <v>117</v>
      </c>
      <c r="F269">
        <v>368</v>
      </c>
      <c r="G269" t="s">
        <v>141</v>
      </c>
      <c r="H269" t="s">
        <v>142</v>
      </c>
      <c r="I269" t="s">
        <v>279</v>
      </c>
      <c r="J269" t="s">
        <v>280</v>
      </c>
      <c r="L269" s="14">
        <v>45317</v>
      </c>
      <c r="M269" s="18">
        <f t="shared" si="7"/>
        <v>45292</v>
      </c>
      <c r="N269">
        <v>5421879</v>
      </c>
      <c r="O269" t="s">
        <v>123</v>
      </c>
      <c r="P269" t="s">
        <v>146</v>
      </c>
      <c r="Q269">
        <v>4.38</v>
      </c>
      <c r="R269" t="s">
        <v>125</v>
      </c>
      <c r="S269" t="s">
        <v>126</v>
      </c>
      <c r="T269" t="s">
        <v>125</v>
      </c>
      <c r="U269" t="s">
        <v>126</v>
      </c>
      <c r="W269">
        <v>4.38</v>
      </c>
      <c r="Y269">
        <v>4.38</v>
      </c>
      <c r="BE269">
        <v>4.38</v>
      </c>
      <c r="BH269" t="s">
        <v>126</v>
      </c>
      <c r="BI269" t="s">
        <v>126</v>
      </c>
      <c r="BJ269" t="s">
        <v>126</v>
      </c>
      <c r="BK269" t="s">
        <v>126</v>
      </c>
      <c r="BS269" t="s">
        <v>126</v>
      </c>
      <c r="BT269" t="s">
        <v>126</v>
      </c>
      <c r="BU269" t="s">
        <v>126</v>
      </c>
      <c r="BV269" t="s">
        <v>126</v>
      </c>
      <c r="CN269" t="s">
        <v>147</v>
      </c>
      <c r="CP269" t="s">
        <v>227</v>
      </c>
      <c r="CQ269" t="s">
        <v>147</v>
      </c>
    </row>
    <row r="270" spans="1:95" x14ac:dyDescent="0.2">
      <c r="A270" t="s">
        <v>115</v>
      </c>
      <c r="B270" t="s">
        <v>116</v>
      </c>
      <c r="C270">
        <v>210784</v>
      </c>
      <c r="E270" t="s">
        <v>117</v>
      </c>
      <c r="F270">
        <v>368</v>
      </c>
      <c r="G270" t="s">
        <v>141</v>
      </c>
      <c r="H270" t="s">
        <v>142</v>
      </c>
      <c r="I270" t="s">
        <v>279</v>
      </c>
      <c r="J270" t="s">
        <v>280</v>
      </c>
      <c r="L270" s="14">
        <v>45320</v>
      </c>
      <c r="M270" s="18">
        <f t="shared" si="7"/>
        <v>45292</v>
      </c>
      <c r="N270">
        <v>5422927</v>
      </c>
      <c r="O270" t="s">
        <v>123</v>
      </c>
      <c r="P270" t="s">
        <v>146</v>
      </c>
      <c r="Q270">
        <v>3.2800000000000002</v>
      </c>
      <c r="R270" t="s">
        <v>125</v>
      </c>
      <c r="S270" t="s">
        <v>126</v>
      </c>
      <c r="T270" t="s">
        <v>125</v>
      </c>
      <c r="U270" t="s">
        <v>126</v>
      </c>
      <c r="W270">
        <v>3.2800000000000002</v>
      </c>
      <c r="Y270">
        <v>3.2800000000000002</v>
      </c>
      <c r="AG270">
        <v>2.3416000000000001</v>
      </c>
      <c r="AY270">
        <v>0.93840000000000001</v>
      </c>
      <c r="BH270" t="s">
        <v>126</v>
      </c>
      <c r="BI270" t="s">
        <v>126</v>
      </c>
      <c r="BJ270" t="s">
        <v>126</v>
      </c>
      <c r="BK270" t="s">
        <v>126</v>
      </c>
      <c r="BS270" t="s">
        <v>126</v>
      </c>
      <c r="BT270" t="s">
        <v>126</v>
      </c>
      <c r="BU270" t="s">
        <v>126</v>
      </c>
      <c r="BV270" t="s">
        <v>126</v>
      </c>
      <c r="CN270" t="s">
        <v>147</v>
      </c>
      <c r="CP270" t="s">
        <v>227</v>
      </c>
      <c r="CQ270" t="s">
        <v>147</v>
      </c>
    </row>
    <row r="271" spans="1:95" x14ac:dyDescent="0.2">
      <c r="A271" t="s">
        <v>115</v>
      </c>
      <c r="B271" t="s">
        <v>116</v>
      </c>
      <c r="C271">
        <v>210784</v>
      </c>
      <c r="E271" t="s">
        <v>117</v>
      </c>
      <c r="F271">
        <v>368</v>
      </c>
      <c r="G271" t="s">
        <v>141</v>
      </c>
      <c r="H271" t="s">
        <v>142</v>
      </c>
      <c r="I271" t="s">
        <v>279</v>
      </c>
      <c r="J271" t="s">
        <v>280</v>
      </c>
      <c r="L271" s="14">
        <v>45320</v>
      </c>
      <c r="M271" s="18">
        <f t="shared" si="7"/>
        <v>45292</v>
      </c>
      <c r="N271">
        <v>5423049</v>
      </c>
      <c r="O271" t="s">
        <v>123</v>
      </c>
      <c r="P271" t="s">
        <v>146</v>
      </c>
      <c r="Q271">
        <v>3.57</v>
      </c>
      <c r="R271" t="s">
        <v>125</v>
      </c>
      <c r="S271" t="s">
        <v>126</v>
      </c>
      <c r="T271" t="s">
        <v>125</v>
      </c>
      <c r="U271" t="s">
        <v>126</v>
      </c>
      <c r="W271">
        <v>3.57</v>
      </c>
      <c r="Y271">
        <v>3.57</v>
      </c>
      <c r="BE271">
        <v>3.57</v>
      </c>
      <c r="BH271" t="s">
        <v>126</v>
      </c>
      <c r="BI271" t="s">
        <v>126</v>
      </c>
      <c r="BJ271" t="s">
        <v>126</v>
      </c>
      <c r="BK271" t="s">
        <v>126</v>
      </c>
      <c r="BS271" t="s">
        <v>126</v>
      </c>
      <c r="BT271" t="s">
        <v>126</v>
      </c>
      <c r="BU271" t="s">
        <v>126</v>
      </c>
      <c r="BV271" t="s">
        <v>126</v>
      </c>
      <c r="CN271" t="s">
        <v>147</v>
      </c>
      <c r="CP271" t="s">
        <v>227</v>
      </c>
      <c r="CQ271" t="s">
        <v>147</v>
      </c>
    </row>
    <row r="272" spans="1:95" x14ac:dyDescent="0.2">
      <c r="A272" t="s">
        <v>115</v>
      </c>
      <c r="B272" t="s">
        <v>116</v>
      </c>
      <c r="C272">
        <v>210784</v>
      </c>
      <c r="E272" t="s">
        <v>117</v>
      </c>
      <c r="F272">
        <v>368</v>
      </c>
      <c r="G272" t="s">
        <v>141</v>
      </c>
      <c r="H272" t="s">
        <v>142</v>
      </c>
      <c r="I272" t="s">
        <v>279</v>
      </c>
      <c r="J272" t="s">
        <v>280</v>
      </c>
      <c r="L272" s="14">
        <v>45324</v>
      </c>
      <c r="M272" s="18">
        <f t="shared" si="7"/>
        <v>45323</v>
      </c>
      <c r="N272">
        <v>5426317</v>
      </c>
      <c r="O272" t="s">
        <v>123</v>
      </c>
      <c r="P272" t="s">
        <v>146</v>
      </c>
      <c r="Q272">
        <v>2.14</v>
      </c>
      <c r="R272" t="s">
        <v>584</v>
      </c>
      <c r="S272" t="s">
        <v>126</v>
      </c>
      <c r="T272" t="s">
        <v>584</v>
      </c>
      <c r="U272" t="s">
        <v>585</v>
      </c>
      <c r="W272">
        <v>0.66</v>
      </c>
      <c r="X272">
        <v>1.48</v>
      </c>
      <c r="Y272">
        <v>2.14</v>
      </c>
      <c r="Z272">
        <v>0.81</v>
      </c>
      <c r="AG272">
        <v>0.66</v>
      </c>
      <c r="AI272">
        <v>0.67</v>
      </c>
      <c r="BH272" t="s">
        <v>126</v>
      </c>
      <c r="BI272" t="s">
        <v>126</v>
      </c>
      <c r="BJ272" t="s">
        <v>126</v>
      </c>
      <c r="BK272" t="s">
        <v>126</v>
      </c>
      <c r="BS272" t="s">
        <v>126</v>
      </c>
      <c r="BT272" t="s">
        <v>126</v>
      </c>
      <c r="BU272" t="s">
        <v>126</v>
      </c>
      <c r="BV272" t="s">
        <v>126</v>
      </c>
      <c r="CN272" t="s">
        <v>147</v>
      </c>
      <c r="CP272" t="s">
        <v>227</v>
      </c>
      <c r="CQ272" t="s">
        <v>147</v>
      </c>
    </row>
    <row r="273" spans="1:95" x14ac:dyDescent="0.2">
      <c r="A273" t="s">
        <v>115</v>
      </c>
      <c r="B273" t="s">
        <v>116</v>
      </c>
      <c r="C273">
        <v>210784</v>
      </c>
      <c r="E273" t="s">
        <v>117</v>
      </c>
      <c r="F273">
        <v>368</v>
      </c>
      <c r="G273" t="s">
        <v>141</v>
      </c>
      <c r="H273" t="s">
        <v>142</v>
      </c>
      <c r="I273" t="s">
        <v>143</v>
      </c>
      <c r="J273" t="s">
        <v>144</v>
      </c>
      <c r="L273" s="14">
        <v>45327</v>
      </c>
      <c r="M273" s="18">
        <f t="shared" si="7"/>
        <v>45323</v>
      </c>
      <c r="N273">
        <v>2126</v>
      </c>
      <c r="O273" t="s">
        <v>123</v>
      </c>
      <c r="P273" t="s">
        <v>146</v>
      </c>
      <c r="Q273">
        <v>0.28000000000000003</v>
      </c>
      <c r="R273" t="s">
        <v>125</v>
      </c>
      <c r="S273" t="s">
        <v>126</v>
      </c>
      <c r="T273" t="s">
        <v>125</v>
      </c>
      <c r="U273" t="s">
        <v>126</v>
      </c>
      <c r="W273">
        <v>0.28000000000000003</v>
      </c>
      <c r="Y273">
        <v>0.28000000000000003</v>
      </c>
      <c r="AB273">
        <v>0.28000000000000003</v>
      </c>
      <c r="BH273" t="s">
        <v>126</v>
      </c>
      <c r="BI273" t="s">
        <v>126</v>
      </c>
      <c r="BJ273" t="s">
        <v>126</v>
      </c>
      <c r="BK273" t="s">
        <v>126</v>
      </c>
      <c r="BS273" t="s">
        <v>126</v>
      </c>
      <c r="BT273" t="s">
        <v>126</v>
      </c>
      <c r="BU273" t="s">
        <v>126</v>
      </c>
      <c r="BV273" t="s">
        <v>126</v>
      </c>
      <c r="CN273" t="s">
        <v>147</v>
      </c>
      <c r="CP273" t="s">
        <v>148</v>
      </c>
      <c r="CQ273" t="s">
        <v>147</v>
      </c>
    </row>
    <row r="274" spans="1:95" x14ac:dyDescent="0.2">
      <c r="A274" t="s">
        <v>115</v>
      </c>
      <c r="B274" t="s">
        <v>116</v>
      </c>
      <c r="C274">
        <v>210784</v>
      </c>
      <c r="E274" t="s">
        <v>117</v>
      </c>
      <c r="F274">
        <v>368</v>
      </c>
      <c r="G274" t="s">
        <v>141</v>
      </c>
      <c r="H274" t="s">
        <v>142</v>
      </c>
      <c r="I274" t="s">
        <v>279</v>
      </c>
      <c r="J274" t="s">
        <v>280</v>
      </c>
      <c r="L274" s="14">
        <v>45327</v>
      </c>
      <c r="M274" s="18">
        <f t="shared" si="7"/>
        <v>45323</v>
      </c>
      <c r="N274">
        <v>5427316</v>
      </c>
      <c r="O274" t="s">
        <v>123</v>
      </c>
      <c r="P274" t="s">
        <v>146</v>
      </c>
      <c r="Q274">
        <v>3.81</v>
      </c>
      <c r="R274" t="s">
        <v>588</v>
      </c>
      <c r="S274" t="s">
        <v>126</v>
      </c>
      <c r="T274" t="s">
        <v>588</v>
      </c>
      <c r="U274" t="s">
        <v>589</v>
      </c>
      <c r="W274">
        <v>1.17</v>
      </c>
      <c r="X274">
        <v>2.6399999999999997</v>
      </c>
      <c r="Y274">
        <v>3.81</v>
      </c>
      <c r="Z274">
        <v>1.45</v>
      </c>
      <c r="AG274">
        <v>1.17</v>
      </c>
      <c r="AI274">
        <v>1.19</v>
      </c>
      <c r="BH274" t="s">
        <v>126</v>
      </c>
      <c r="BI274" t="s">
        <v>126</v>
      </c>
      <c r="BJ274" t="s">
        <v>126</v>
      </c>
      <c r="BK274" t="s">
        <v>126</v>
      </c>
      <c r="BS274" t="s">
        <v>126</v>
      </c>
      <c r="BT274" t="s">
        <v>126</v>
      </c>
      <c r="BU274" t="s">
        <v>126</v>
      </c>
      <c r="BV274" t="s">
        <v>126</v>
      </c>
      <c r="CN274" t="s">
        <v>147</v>
      </c>
      <c r="CP274" t="s">
        <v>227</v>
      </c>
      <c r="CQ274" t="s">
        <v>147</v>
      </c>
    </row>
    <row r="275" spans="1:95" x14ac:dyDescent="0.2">
      <c r="A275" t="s">
        <v>115</v>
      </c>
      <c r="B275" t="s">
        <v>116</v>
      </c>
      <c r="C275">
        <v>210784</v>
      </c>
      <c r="E275" t="s">
        <v>117</v>
      </c>
      <c r="F275">
        <v>368</v>
      </c>
      <c r="G275" t="s">
        <v>141</v>
      </c>
      <c r="H275" t="s">
        <v>142</v>
      </c>
      <c r="I275" t="s">
        <v>279</v>
      </c>
      <c r="J275" t="s">
        <v>280</v>
      </c>
      <c r="L275" s="14">
        <v>45327</v>
      </c>
      <c r="M275" s="18">
        <f t="shared" si="7"/>
        <v>45323</v>
      </c>
      <c r="N275">
        <v>5427444</v>
      </c>
      <c r="O275" t="s">
        <v>123</v>
      </c>
      <c r="P275" t="s">
        <v>146</v>
      </c>
      <c r="Q275">
        <v>4.17</v>
      </c>
      <c r="R275" t="s">
        <v>125</v>
      </c>
      <c r="S275" t="s">
        <v>126</v>
      </c>
      <c r="T275" t="s">
        <v>125</v>
      </c>
      <c r="U275" t="s">
        <v>126</v>
      </c>
      <c r="W275">
        <v>4.17</v>
      </c>
      <c r="Y275">
        <v>4.17</v>
      </c>
      <c r="BE275">
        <v>4.17</v>
      </c>
      <c r="BH275" t="s">
        <v>126</v>
      </c>
      <c r="BI275" t="s">
        <v>126</v>
      </c>
      <c r="BJ275" t="s">
        <v>126</v>
      </c>
      <c r="BK275" t="s">
        <v>126</v>
      </c>
      <c r="BS275" t="s">
        <v>126</v>
      </c>
      <c r="BT275" t="s">
        <v>126</v>
      </c>
      <c r="BU275" t="s">
        <v>126</v>
      </c>
      <c r="BV275" t="s">
        <v>126</v>
      </c>
      <c r="CN275" t="s">
        <v>147</v>
      </c>
      <c r="CP275" t="s">
        <v>227</v>
      </c>
      <c r="CQ275" t="s">
        <v>147</v>
      </c>
    </row>
    <row r="276" spans="1:95" x14ac:dyDescent="0.2">
      <c r="A276" t="s">
        <v>115</v>
      </c>
      <c r="B276" t="s">
        <v>116</v>
      </c>
      <c r="C276">
        <v>210784</v>
      </c>
      <c r="E276" t="s">
        <v>117</v>
      </c>
      <c r="F276">
        <v>368</v>
      </c>
      <c r="G276" t="s">
        <v>141</v>
      </c>
      <c r="H276" t="s">
        <v>142</v>
      </c>
      <c r="I276" t="s">
        <v>143</v>
      </c>
      <c r="J276" t="s">
        <v>144</v>
      </c>
      <c r="L276" s="14">
        <v>45328</v>
      </c>
      <c r="M276" s="18">
        <f t="shared" si="7"/>
        <v>45323</v>
      </c>
      <c r="N276">
        <v>2132</v>
      </c>
      <c r="O276" t="s">
        <v>123</v>
      </c>
      <c r="P276" t="s">
        <v>146</v>
      </c>
      <c r="Q276">
        <v>0.23</v>
      </c>
      <c r="R276" t="s">
        <v>125</v>
      </c>
      <c r="S276" t="s">
        <v>126</v>
      </c>
      <c r="T276" t="s">
        <v>125</v>
      </c>
      <c r="U276" t="s">
        <v>126</v>
      </c>
      <c r="W276">
        <v>0.23</v>
      </c>
      <c r="Y276">
        <v>0.23</v>
      </c>
      <c r="AB276">
        <v>0.23</v>
      </c>
      <c r="BH276" t="s">
        <v>126</v>
      </c>
      <c r="BI276" t="s">
        <v>126</v>
      </c>
      <c r="BJ276" t="s">
        <v>126</v>
      </c>
      <c r="BK276" t="s">
        <v>126</v>
      </c>
      <c r="BS276" t="s">
        <v>126</v>
      </c>
      <c r="BT276" t="s">
        <v>126</v>
      </c>
      <c r="BU276" t="s">
        <v>126</v>
      </c>
      <c r="BV276" t="s">
        <v>126</v>
      </c>
      <c r="CN276" t="s">
        <v>147</v>
      </c>
      <c r="CP276" t="s">
        <v>148</v>
      </c>
      <c r="CQ276" t="s">
        <v>147</v>
      </c>
    </row>
    <row r="277" spans="1:95" x14ac:dyDescent="0.2">
      <c r="A277" t="s">
        <v>115</v>
      </c>
      <c r="B277" t="s">
        <v>116</v>
      </c>
      <c r="C277">
        <v>210784</v>
      </c>
      <c r="E277" t="s">
        <v>117</v>
      </c>
      <c r="F277">
        <v>368</v>
      </c>
      <c r="G277" t="s">
        <v>176</v>
      </c>
      <c r="H277" t="s">
        <v>177</v>
      </c>
      <c r="I277" t="s">
        <v>510</v>
      </c>
      <c r="J277" t="s">
        <v>511</v>
      </c>
      <c r="L277" s="14">
        <v>45329</v>
      </c>
      <c r="M277" s="18">
        <f t="shared" si="7"/>
        <v>45323</v>
      </c>
      <c r="N277">
        <v>343260</v>
      </c>
      <c r="O277" t="s">
        <v>123</v>
      </c>
      <c r="P277" t="s">
        <v>124</v>
      </c>
      <c r="Q277">
        <v>1.87</v>
      </c>
      <c r="R277" t="s">
        <v>125</v>
      </c>
      <c r="S277" t="s">
        <v>126</v>
      </c>
      <c r="T277" t="s">
        <v>125</v>
      </c>
      <c r="U277" t="s">
        <v>126</v>
      </c>
      <c r="W277">
        <v>1.87</v>
      </c>
      <c r="Y277">
        <v>1.87</v>
      </c>
      <c r="AF277">
        <v>1.87</v>
      </c>
      <c r="BH277" t="s">
        <v>126</v>
      </c>
      <c r="BI277" t="s">
        <v>126</v>
      </c>
      <c r="BJ277" t="s">
        <v>126</v>
      </c>
      <c r="BK277" t="s">
        <v>126</v>
      </c>
      <c r="BS277" t="s">
        <v>126</v>
      </c>
      <c r="BT277" t="s">
        <v>126</v>
      </c>
      <c r="BU277" t="s">
        <v>126</v>
      </c>
      <c r="BV277" t="s">
        <v>126</v>
      </c>
      <c r="CN277" t="s">
        <v>181</v>
      </c>
      <c r="CP277" t="s">
        <v>360</v>
      </c>
      <c r="CQ277" t="s">
        <v>181</v>
      </c>
    </row>
    <row r="278" spans="1:95" x14ac:dyDescent="0.2">
      <c r="A278" t="s">
        <v>115</v>
      </c>
      <c r="B278" t="s">
        <v>116</v>
      </c>
      <c r="C278">
        <v>210784</v>
      </c>
      <c r="E278" t="s">
        <v>117</v>
      </c>
      <c r="F278">
        <v>368</v>
      </c>
      <c r="G278" t="s">
        <v>141</v>
      </c>
      <c r="H278" t="s">
        <v>142</v>
      </c>
      <c r="I278" t="s">
        <v>204</v>
      </c>
      <c r="J278" t="s">
        <v>205</v>
      </c>
      <c r="L278" s="14">
        <v>45330</v>
      </c>
      <c r="M278" s="18">
        <f t="shared" si="7"/>
        <v>45323</v>
      </c>
      <c r="N278">
        <v>97667</v>
      </c>
      <c r="O278" t="s">
        <v>123</v>
      </c>
      <c r="P278" t="s">
        <v>146</v>
      </c>
      <c r="Q278">
        <v>11.38</v>
      </c>
      <c r="R278" t="s">
        <v>125</v>
      </c>
      <c r="S278" t="s">
        <v>126</v>
      </c>
      <c r="T278" t="s">
        <v>125</v>
      </c>
      <c r="U278" t="s">
        <v>126</v>
      </c>
      <c r="W278">
        <v>11.38</v>
      </c>
      <c r="Y278">
        <v>11.38</v>
      </c>
      <c r="AC278">
        <v>11.38</v>
      </c>
      <c r="BH278" t="s">
        <v>126</v>
      </c>
      <c r="BI278" t="s">
        <v>126</v>
      </c>
      <c r="BJ278" t="s">
        <v>126</v>
      </c>
      <c r="BK278" t="s">
        <v>126</v>
      </c>
      <c r="BS278" t="s">
        <v>126</v>
      </c>
      <c r="BT278" t="s">
        <v>126</v>
      </c>
      <c r="BU278" t="s">
        <v>126</v>
      </c>
      <c r="BV278" t="s">
        <v>126</v>
      </c>
      <c r="CN278" t="s">
        <v>147</v>
      </c>
      <c r="CP278" t="s">
        <v>227</v>
      </c>
      <c r="CQ278" t="s">
        <v>147</v>
      </c>
    </row>
    <row r="279" spans="1:95" x14ac:dyDescent="0.2">
      <c r="A279" t="s">
        <v>115</v>
      </c>
      <c r="B279" t="s">
        <v>116</v>
      </c>
      <c r="C279">
        <v>210784</v>
      </c>
      <c r="E279" t="s">
        <v>117</v>
      </c>
      <c r="F279">
        <v>368</v>
      </c>
      <c r="G279" t="s">
        <v>229</v>
      </c>
      <c r="H279" t="s">
        <v>230</v>
      </c>
      <c r="I279" t="s">
        <v>204</v>
      </c>
      <c r="J279" t="s">
        <v>205</v>
      </c>
      <c r="L279" s="14">
        <v>45330</v>
      </c>
      <c r="M279" s="18">
        <f t="shared" si="7"/>
        <v>45323</v>
      </c>
      <c r="N279">
        <v>97667</v>
      </c>
      <c r="O279" t="s">
        <v>123</v>
      </c>
      <c r="P279" t="s">
        <v>146</v>
      </c>
      <c r="Q279">
        <v>11.38</v>
      </c>
      <c r="R279" t="s">
        <v>125</v>
      </c>
      <c r="S279" t="s">
        <v>126</v>
      </c>
      <c r="T279" t="s">
        <v>125</v>
      </c>
      <c r="U279" t="s">
        <v>126</v>
      </c>
      <c r="W279">
        <v>11.38</v>
      </c>
      <c r="Y279">
        <v>11.38</v>
      </c>
      <c r="AC279">
        <v>11.38</v>
      </c>
      <c r="BH279" t="s">
        <v>126</v>
      </c>
      <c r="BI279" t="s">
        <v>126</v>
      </c>
      <c r="BJ279" t="s">
        <v>126</v>
      </c>
      <c r="BK279" t="s">
        <v>126</v>
      </c>
      <c r="BS279" t="s">
        <v>126</v>
      </c>
      <c r="BT279" t="s">
        <v>126</v>
      </c>
      <c r="BU279" t="s">
        <v>126</v>
      </c>
      <c r="BV279" t="s">
        <v>126</v>
      </c>
      <c r="CN279" t="s">
        <v>230</v>
      </c>
      <c r="CP279" t="s">
        <v>231</v>
      </c>
      <c r="CQ279" t="s">
        <v>230</v>
      </c>
    </row>
    <row r="280" spans="1:95" x14ac:dyDescent="0.2">
      <c r="A280" t="s">
        <v>115</v>
      </c>
      <c r="B280" t="s">
        <v>116</v>
      </c>
      <c r="C280">
        <v>210784</v>
      </c>
      <c r="E280" t="s">
        <v>117</v>
      </c>
      <c r="F280">
        <v>368</v>
      </c>
      <c r="G280" t="s">
        <v>141</v>
      </c>
      <c r="H280" t="s">
        <v>142</v>
      </c>
      <c r="I280" t="s">
        <v>143</v>
      </c>
      <c r="J280" t="s">
        <v>144</v>
      </c>
      <c r="L280" s="14">
        <v>45331</v>
      </c>
      <c r="M280" s="18">
        <f t="shared" si="7"/>
        <v>45323</v>
      </c>
      <c r="N280">
        <v>2156</v>
      </c>
      <c r="O280" t="s">
        <v>123</v>
      </c>
      <c r="P280" t="s">
        <v>146</v>
      </c>
      <c r="Q280">
        <v>0.18</v>
      </c>
      <c r="R280" t="s">
        <v>125</v>
      </c>
      <c r="S280" t="s">
        <v>126</v>
      </c>
      <c r="T280" t="s">
        <v>125</v>
      </c>
      <c r="U280" t="s">
        <v>126</v>
      </c>
      <c r="W280">
        <v>0.18</v>
      </c>
      <c r="Y280">
        <v>0.18</v>
      </c>
      <c r="AB280">
        <v>0.18</v>
      </c>
      <c r="BH280" t="s">
        <v>126</v>
      </c>
      <c r="BI280" t="s">
        <v>126</v>
      </c>
      <c r="BJ280" t="s">
        <v>126</v>
      </c>
      <c r="BK280" t="s">
        <v>126</v>
      </c>
      <c r="BS280" t="s">
        <v>126</v>
      </c>
      <c r="BT280" t="s">
        <v>126</v>
      </c>
      <c r="BU280" t="s">
        <v>126</v>
      </c>
      <c r="BV280" t="s">
        <v>126</v>
      </c>
      <c r="CN280" t="s">
        <v>147</v>
      </c>
      <c r="CP280" t="s">
        <v>148</v>
      </c>
      <c r="CQ280" t="s">
        <v>147</v>
      </c>
    </row>
    <row r="281" spans="1:95" x14ac:dyDescent="0.2">
      <c r="A281" t="s">
        <v>115</v>
      </c>
      <c r="B281" t="s">
        <v>116</v>
      </c>
      <c r="C281">
        <v>210784</v>
      </c>
      <c r="E281" t="s">
        <v>117</v>
      </c>
      <c r="F281">
        <v>368</v>
      </c>
      <c r="G281" t="s">
        <v>141</v>
      </c>
      <c r="H281" t="s">
        <v>142</v>
      </c>
      <c r="I281" t="s">
        <v>279</v>
      </c>
      <c r="J281" t="s">
        <v>280</v>
      </c>
      <c r="L281" s="14">
        <v>45331</v>
      </c>
      <c r="M281" s="18">
        <f t="shared" si="7"/>
        <v>45323</v>
      </c>
      <c r="N281">
        <v>5430795</v>
      </c>
      <c r="O281" t="s">
        <v>123</v>
      </c>
      <c r="P281" t="s">
        <v>146</v>
      </c>
      <c r="Q281">
        <v>3.03</v>
      </c>
      <c r="R281" t="s">
        <v>586</v>
      </c>
      <c r="S281" t="s">
        <v>126</v>
      </c>
      <c r="T281" t="s">
        <v>586</v>
      </c>
      <c r="U281" t="s">
        <v>587</v>
      </c>
      <c r="W281">
        <v>0.93</v>
      </c>
      <c r="X281">
        <v>2.0999999999999996</v>
      </c>
      <c r="Y281">
        <v>3.03</v>
      </c>
      <c r="Z281">
        <v>1.1599999999999999</v>
      </c>
      <c r="AG281">
        <v>0.93</v>
      </c>
      <c r="AI281">
        <v>0.94</v>
      </c>
      <c r="BH281" t="s">
        <v>126</v>
      </c>
      <c r="BI281" t="s">
        <v>126</v>
      </c>
      <c r="BJ281" t="s">
        <v>126</v>
      </c>
      <c r="BK281" t="s">
        <v>126</v>
      </c>
      <c r="BS281" t="s">
        <v>126</v>
      </c>
      <c r="BT281" t="s">
        <v>126</v>
      </c>
      <c r="BU281" t="s">
        <v>126</v>
      </c>
      <c r="BV281" t="s">
        <v>126</v>
      </c>
      <c r="CN281" t="s">
        <v>147</v>
      </c>
      <c r="CP281" t="s">
        <v>227</v>
      </c>
      <c r="CQ281" t="s">
        <v>147</v>
      </c>
    </row>
    <row r="282" spans="1:95" x14ac:dyDescent="0.2">
      <c r="A282" t="s">
        <v>115</v>
      </c>
      <c r="B282" t="s">
        <v>116</v>
      </c>
      <c r="C282">
        <v>210784</v>
      </c>
      <c r="E282" t="s">
        <v>117</v>
      </c>
      <c r="F282">
        <v>368</v>
      </c>
      <c r="G282" t="s">
        <v>141</v>
      </c>
      <c r="H282" t="s">
        <v>142</v>
      </c>
      <c r="I282" t="s">
        <v>143</v>
      </c>
      <c r="J282" t="s">
        <v>144</v>
      </c>
      <c r="L282" s="14">
        <v>45332</v>
      </c>
      <c r="M282" s="18">
        <f t="shared" si="7"/>
        <v>45323</v>
      </c>
      <c r="N282">
        <v>2161</v>
      </c>
      <c r="O282" t="s">
        <v>123</v>
      </c>
      <c r="P282" t="s">
        <v>146</v>
      </c>
      <c r="Q282">
        <v>0.2</v>
      </c>
      <c r="R282" t="s">
        <v>125</v>
      </c>
      <c r="S282" t="s">
        <v>126</v>
      </c>
      <c r="T282" t="s">
        <v>125</v>
      </c>
      <c r="U282" t="s">
        <v>126</v>
      </c>
      <c r="W282">
        <v>0.2</v>
      </c>
      <c r="Y282">
        <v>0.2</v>
      </c>
      <c r="AB282">
        <v>0.2</v>
      </c>
      <c r="BH282" t="s">
        <v>126</v>
      </c>
      <c r="BI282" t="s">
        <v>126</v>
      </c>
      <c r="BJ282" t="s">
        <v>126</v>
      </c>
      <c r="BK282" t="s">
        <v>126</v>
      </c>
      <c r="BS282" t="s">
        <v>126</v>
      </c>
      <c r="BT282" t="s">
        <v>126</v>
      </c>
      <c r="BU282" t="s">
        <v>126</v>
      </c>
      <c r="BV282" t="s">
        <v>126</v>
      </c>
      <c r="CN282" t="s">
        <v>147</v>
      </c>
      <c r="CP282" t="s">
        <v>148</v>
      </c>
      <c r="CQ282" t="s">
        <v>147</v>
      </c>
    </row>
    <row r="283" spans="1:95" x14ac:dyDescent="0.2">
      <c r="A283" t="s">
        <v>115</v>
      </c>
      <c r="B283" t="s">
        <v>116</v>
      </c>
      <c r="C283">
        <v>210784</v>
      </c>
      <c r="E283" t="s">
        <v>117</v>
      </c>
      <c r="F283">
        <v>368</v>
      </c>
      <c r="G283" t="s">
        <v>141</v>
      </c>
      <c r="H283" t="s">
        <v>142</v>
      </c>
      <c r="I283" t="s">
        <v>143</v>
      </c>
      <c r="J283" t="s">
        <v>144</v>
      </c>
      <c r="L283" s="14">
        <v>45337</v>
      </c>
      <c r="M283" s="18">
        <f t="shared" si="7"/>
        <v>45323</v>
      </c>
      <c r="N283">
        <v>2180</v>
      </c>
      <c r="O283" t="s">
        <v>123</v>
      </c>
      <c r="P283" t="s">
        <v>146</v>
      </c>
      <c r="Q283">
        <v>0.27</v>
      </c>
      <c r="R283" t="s">
        <v>125</v>
      </c>
      <c r="S283" t="s">
        <v>126</v>
      </c>
      <c r="T283" t="s">
        <v>125</v>
      </c>
      <c r="U283" t="s">
        <v>126</v>
      </c>
      <c r="W283">
        <v>0.27</v>
      </c>
      <c r="Y283">
        <v>0.27</v>
      </c>
      <c r="AB283">
        <v>0.27</v>
      </c>
      <c r="BH283" t="s">
        <v>126</v>
      </c>
      <c r="BI283" t="s">
        <v>126</v>
      </c>
      <c r="BJ283" t="s">
        <v>126</v>
      </c>
      <c r="BK283" t="s">
        <v>126</v>
      </c>
      <c r="BS283" t="s">
        <v>126</v>
      </c>
      <c r="BT283" t="s">
        <v>126</v>
      </c>
      <c r="BU283" t="s">
        <v>126</v>
      </c>
      <c r="BV283" t="s">
        <v>126</v>
      </c>
      <c r="CN283" t="s">
        <v>147</v>
      </c>
      <c r="CP283" t="s">
        <v>148</v>
      </c>
      <c r="CQ283" t="s">
        <v>147</v>
      </c>
    </row>
    <row r="284" spans="1:95" x14ac:dyDescent="0.2">
      <c r="A284" t="s">
        <v>115</v>
      </c>
      <c r="B284" t="s">
        <v>116</v>
      </c>
      <c r="C284">
        <v>210784</v>
      </c>
      <c r="E284" t="s">
        <v>117</v>
      </c>
      <c r="F284">
        <v>368</v>
      </c>
      <c r="G284" t="s">
        <v>141</v>
      </c>
      <c r="H284" t="s">
        <v>142</v>
      </c>
      <c r="I284" t="s">
        <v>279</v>
      </c>
      <c r="J284" t="s">
        <v>280</v>
      </c>
      <c r="L284" s="14">
        <v>45337</v>
      </c>
      <c r="M284" s="18">
        <f t="shared" si="7"/>
        <v>45323</v>
      </c>
      <c r="N284">
        <v>5434315</v>
      </c>
      <c r="O284" t="s">
        <v>123</v>
      </c>
      <c r="P284" t="s">
        <v>146</v>
      </c>
      <c r="Q284">
        <v>1.96</v>
      </c>
      <c r="R284" t="s">
        <v>125</v>
      </c>
      <c r="S284" t="s">
        <v>126</v>
      </c>
      <c r="T284" t="s">
        <v>125</v>
      </c>
      <c r="U284" t="s">
        <v>126</v>
      </c>
      <c r="W284">
        <v>1.96</v>
      </c>
      <c r="Y284">
        <v>1.96</v>
      </c>
      <c r="BE284">
        <v>1.96</v>
      </c>
      <c r="BH284" t="s">
        <v>126</v>
      </c>
      <c r="BI284" t="s">
        <v>126</v>
      </c>
      <c r="BJ284" t="s">
        <v>126</v>
      </c>
      <c r="BK284" t="s">
        <v>126</v>
      </c>
      <c r="BS284" t="s">
        <v>126</v>
      </c>
      <c r="BT284" t="s">
        <v>126</v>
      </c>
      <c r="BU284" t="s">
        <v>126</v>
      </c>
      <c r="BV284" t="s">
        <v>126</v>
      </c>
      <c r="CN284" t="s">
        <v>147</v>
      </c>
      <c r="CP284" t="s">
        <v>149</v>
      </c>
      <c r="CQ284" t="s">
        <v>147</v>
      </c>
    </row>
    <row r="285" spans="1:95" x14ac:dyDescent="0.2">
      <c r="A285" t="s">
        <v>115</v>
      </c>
      <c r="B285" t="s">
        <v>116</v>
      </c>
      <c r="C285">
        <v>210784</v>
      </c>
      <c r="E285" t="s">
        <v>117</v>
      </c>
      <c r="F285">
        <v>368</v>
      </c>
      <c r="G285" t="s">
        <v>141</v>
      </c>
      <c r="H285" t="s">
        <v>142</v>
      </c>
      <c r="I285" t="s">
        <v>143</v>
      </c>
      <c r="J285" t="s">
        <v>144</v>
      </c>
      <c r="L285" s="14">
        <v>45338</v>
      </c>
      <c r="M285" s="18">
        <f t="shared" si="7"/>
        <v>45323</v>
      </c>
      <c r="N285">
        <v>2134</v>
      </c>
      <c r="O285" t="s">
        <v>123</v>
      </c>
      <c r="P285" t="s">
        <v>146</v>
      </c>
      <c r="Q285">
        <v>0.21</v>
      </c>
      <c r="R285" t="s">
        <v>125</v>
      </c>
      <c r="S285" t="s">
        <v>126</v>
      </c>
      <c r="T285" t="s">
        <v>125</v>
      </c>
      <c r="U285" t="s">
        <v>126</v>
      </c>
      <c r="W285">
        <v>0.21</v>
      </c>
      <c r="Y285">
        <v>0.21</v>
      </c>
      <c r="AB285">
        <v>0.21</v>
      </c>
      <c r="BH285" t="s">
        <v>126</v>
      </c>
      <c r="BI285" t="s">
        <v>126</v>
      </c>
      <c r="BJ285" t="s">
        <v>126</v>
      </c>
      <c r="BK285" t="s">
        <v>126</v>
      </c>
      <c r="BS285" t="s">
        <v>126</v>
      </c>
      <c r="BT285" t="s">
        <v>126</v>
      </c>
      <c r="BU285" t="s">
        <v>126</v>
      </c>
      <c r="BV285" t="s">
        <v>126</v>
      </c>
      <c r="CN285" t="s">
        <v>147</v>
      </c>
      <c r="CP285" t="s">
        <v>148</v>
      </c>
      <c r="CQ285" t="s">
        <v>147</v>
      </c>
    </row>
    <row r="286" spans="1:95" x14ac:dyDescent="0.2">
      <c r="A286" t="s">
        <v>115</v>
      </c>
      <c r="B286" t="s">
        <v>116</v>
      </c>
      <c r="C286">
        <v>210784</v>
      </c>
      <c r="E286" t="s">
        <v>117</v>
      </c>
      <c r="F286">
        <v>368</v>
      </c>
      <c r="G286" t="s">
        <v>141</v>
      </c>
      <c r="H286" t="s">
        <v>142</v>
      </c>
      <c r="I286" t="s">
        <v>143</v>
      </c>
      <c r="J286" t="s">
        <v>144</v>
      </c>
      <c r="L286" s="14">
        <v>45339</v>
      </c>
      <c r="M286" s="18">
        <f t="shared" si="7"/>
        <v>45323</v>
      </c>
      <c r="N286">
        <v>2136</v>
      </c>
      <c r="O286" t="s">
        <v>123</v>
      </c>
      <c r="P286" t="s">
        <v>146</v>
      </c>
      <c r="Q286">
        <v>0.32</v>
      </c>
      <c r="R286" t="s">
        <v>125</v>
      </c>
      <c r="S286" t="s">
        <v>126</v>
      </c>
      <c r="T286" t="s">
        <v>125</v>
      </c>
      <c r="U286" t="s">
        <v>126</v>
      </c>
      <c r="W286">
        <v>0.32</v>
      </c>
      <c r="Y286">
        <v>0.32</v>
      </c>
      <c r="AB286">
        <v>0.32</v>
      </c>
      <c r="BH286" t="s">
        <v>126</v>
      </c>
      <c r="BI286" t="s">
        <v>126</v>
      </c>
      <c r="BJ286" t="s">
        <v>126</v>
      </c>
      <c r="BK286" t="s">
        <v>126</v>
      </c>
      <c r="BS286" t="s">
        <v>126</v>
      </c>
      <c r="BT286" t="s">
        <v>126</v>
      </c>
      <c r="BU286" t="s">
        <v>126</v>
      </c>
      <c r="BV286" t="s">
        <v>126</v>
      </c>
      <c r="CN286" t="s">
        <v>147</v>
      </c>
      <c r="CP286" t="s">
        <v>148</v>
      </c>
      <c r="CQ286" t="s">
        <v>147</v>
      </c>
    </row>
    <row r="287" spans="1:95" x14ac:dyDescent="0.2">
      <c r="A287" t="s">
        <v>115</v>
      </c>
      <c r="B287" t="s">
        <v>116</v>
      </c>
      <c r="C287">
        <v>210784</v>
      </c>
      <c r="E287" t="s">
        <v>117</v>
      </c>
      <c r="F287">
        <v>368</v>
      </c>
      <c r="G287" t="s">
        <v>141</v>
      </c>
      <c r="H287" t="s">
        <v>142</v>
      </c>
      <c r="I287" t="s">
        <v>143</v>
      </c>
      <c r="J287" t="s">
        <v>144</v>
      </c>
      <c r="L287" s="14">
        <v>45342</v>
      </c>
      <c r="M287" s="18">
        <f t="shared" si="7"/>
        <v>45323</v>
      </c>
      <c r="N287">
        <v>2138</v>
      </c>
      <c r="O287" t="s">
        <v>123</v>
      </c>
      <c r="P287" t="s">
        <v>146</v>
      </c>
      <c r="Q287">
        <v>0.21</v>
      </c>
      <c r="R287" t="s">
        <v>125</v>
      </c>
      <c r="S287" t="s">
        <v>126</v>
      </c>
      <c r="T287" t="s">
        <v>125</v>
      </c>
      <c r="U287" t="s">
        <v>126</v>
      </c>
      <c r="W287">
        <v>0.21</v>
      </c>
      <c r="Y287">
        <v>0.21</v>
      </c>
      <c r="AB287">
        <v>0.21</v>
      </c>
      <c r="BH287" t="s">
        <v>126</v>
      </c>
      <c r="BI287" t="s">
        <v>126</v>
      </c>
      <c r="BJ287" t="s">
        <v>126</v>
      </c>
      <c r="BK287" t="s">
        <v>126</v>
      </c>
      <c r="BS287" t="s">
        <v>126</v>
      </c>
      <c r="BT287" t="s">
        <v>126</v>
      </c>
      <c r="BU287" t="s">
        <v>126</v>
      </c>
      <c r="BV287" t="s">
        <v>126</v>
      </c>
      <c r="CN287" t="s">
        <v>147</v>
      </c>
      <c r="CP287" t="s">
        <v>148</v>
      </c>
      <c r="CQ287" t="s">
        <v>147</v>
      </c>
    </row>
    <row r="288" spans="1:95" x14ac:dyDescent="0.2">
      <c r="A288" t="s">
        <v>115</v>
      </c>
      <c r="B288" t="s">
        <v>116</v>
      </c>
      <c r="C288">
        <v>210784</v>
      </c>
      <c r="E288" t="s">
        <v>117</v>
      </c>
      <c r="F288">
        <v>368</v>
      </c>
      <c r="G288" t="s">
        <v>141</v>
      </c>
      <c r="H288" t="s">
        <v>142</v>
      </c>
      <c r="I288" t="s">
        <v>204</v>
      </c>
      <c r="J288" t="s">
        <v>205</v>
      </c>
      <c r="L288" s="14">
        <v>45342</v>
      </c>
      <c r="M288" s="18">
        <f t="shared" si="7"/>
        <v>45323</v>
      </c>
      <c r="N288">
        <v>98030</v>
      </c>
      <c r="O288" t="s">
        <v>123</v>
      </c>
      <c r="P288" t="s">
        <v>146</v>
      </c>
      <c r="Q288">
        <v>7.01</v>
      </c>
      <c r="R288" t="s">
        <v>125</v>
      </c>
      <c r="S288" t="s">
        <v>126</v>
      </c>
      <c r="T288" t="s">
        <v>125</v>
      </c>
      <c r="U288" t="s">
        <v>126</v>
      </c>
      <c r="W288">
        <v>7.01</v>
      </c>
      <c r="Y288">
        <v>7.01</v>
      </c>
      <c r="AC288">
        <v>7.01</v>
      </c>
      <c r="BH288" t="s">
        <v>126</v>
      </c>
      <c r="BI288" t="s">
        <v>126</v>
      </c>
      <c r="BJ288" t="s">
        <v>126</v>
      </c>
      <c r="BK288" t="s">
        <v>126</v>
      </c>
      <c r="BS288" t="s">
        <v>126</v>
      </c>
      <c r="BT288" t="s">
        <v>126</v>
      </c>
      <c r="BU288" t="s">
        <v>126</v>
      </c>
      <c r="BV288" t="s">
        <v>126</v>
      </c>
      <c r="CN288" t="s">
        <v>147</v>
      </c>
      <c r="CP288" t="s">
        <v>149</v>
      </c>
      <c r="CQ288" t="s">
        <v>147</v>
      </c>
    </row>
    <row r="289" spans="1:95" x14ac:dyDescent="0.2">
      <c r="A289" t="s">
        <v>115</v>
      </c>
      <c r="B289" t="s">
        <v>116</v>
      </c>
      <c r="C289">
        <v>210784</v>
      </c>
      <c r="E289" t="s">
        <v>117</v>
      </c>
      <c r="F289">
        <v>368</v>
      </c>
      <c r="G289" t="s">
        <v>229</v>
      </c>
      <c r="H289" t="s">
        <v>230</v>
      </c>
      <c r="I289" t="s">
        <v>204</v>
      </c>
      <c r="J289" t="s">
        <v>205</v>
      </c>
      <c r="L289" s="14">
        <v>45342</v>
      </c>
      <c r="M289" s="18">
        <f t="shared" si="7"/>
        <v>45323</v>
      </c>
      <c r="N289">
        <v>98030</v>
      </c>
      <c r="O289" t="s">
        <v>123</v>
      </c>
      <c r="P289" t="s">
        <v>146</v>
      </c>
      <c r="Q289">
        <v>7.01</v>
      </c>
      <c r="R289" t="s">
        <v>125</v>
      </c>
      <c r="S289" t="s">
        <v>126</v>
      </c>
      <c r="T289" t="s">
        <v>125</v>
      </c>
      <c r="U289" t="s">
        <v>126</v>
      </c>
      <c r="W289">
        <v>7.01</v>
      </c>
      <c r="Y289">
        <v>7.01</v>
      </c>
      <c r="AC289">
        <v>7.01</v>
      </c>
      <c r="BH289" t="s">
        <v>126</v>
      </c>
      <c r="BI289" t="s">
        <v>126</v>
      </c>
      <c r="BJ289" t="s">
        <v>126</v>
      </c>
      <c r="BK289" t="s">
        <v>126</v>
      </c>
      <c r="BS289" t="s">
        <v>126</v>
      </c>
      <c r="BT289" t="s">
        <v>126</v>
      </c>
      <c r="BU289" t="s">
        <v>126</v>
      </c>
      <c r="BV289" t="s">
        <v>126</v>
      </c>
      <c r="CN289" t="s">
        <v>230</v>
      </c>
      <c r="CP289" t="s">
        <v>231</v>
      </c>
      <c r="CQ289" t="s">
        <v>230</v>
      </c>
    </row>
    <row r="290" spans="1:95" x14ac:dyDescent="0.2">
      <c r="A290" t="s">
        <v>115</v>
      </c>
      <c r="B290" t="s">
        <v>116</v>
      </c>
      <c r="C290">
        <v>210784</v>
      </c>
      <c r="E290" t="s">
        <v>117</v>
      </c>
      <c r="F290">
        <v>368</v>
      </c>
      <c r="G290" t="s">
        <v>141</v>
      </c>
      <c r="H290" t="s">
        <v>142</v>
      </c>
      <c r="I290" t="s">
        <v>143</v>
      </c>
      <c r="J290" t="s">
        <v>144</v>
      </c>
      <c r="L290" s="14">
        <v>45343</v>
      </c>
      <c r="M290" s="18">
        <f t="shared" si="7"/>
        <v>45323</v>
      </c>
      <c r="N290">
        <v>2206</v>
      </c>
      <c r="O290" t="s">
        <v>123</v>
      </c>
      <c r="P290" t="s">
        <v>146</v>
      </c>
      <c r="Q290">
        <v>0.23</v>
      </c>
      <c r="R290" t="s">
        <v>125</v>
      </c>
      <c r="S290" t="s">
        <v>126</v>
      </c>
      <c r="T290" t="s">
        <v>125</v>
      </c>
      <c r="U290" t="s">
        <v>126</v>
      </c>
      <c r="W290">
        <v>0.23</v>
      </c>
      <c r="Y290">
        <v>0.23</v>
      </c>
      <c r="AB290">
        <v>0.23</v>
      </c>
      <c r="BH290" t="s">
        <v>126</v>
      </c>
      <c r="BI290" t="s">
        <v>126</v>
      </c>
      <c r="BJ290" t="s">
        <v>126</v>
      </c>
      <c r="BK290" t="s">
        <v>126</v>
      </c>
      <c r="BS290" t="s">
        <v>126</v>
      </c>
      <c r="BT290" t="s">
        <v>126</v>
      </c>
      <c r="BU290" t="s">
        <v>126</v>
      </c>
      <c r="BV290" t="s">
        <v>126</v>
      </c>
      <c r="CN290" t="s">
        <v>147</v>
      </c>
      <c r="CP290" t="s">
        <v>148</v>
      </c>
      <c r="CQ290" t="s">
        <v>147</v>
      </c>
    </row>
    <row r="291" spans="1:95" x14ac:dyDescent="0.2">
      <c r="A291" t="s">
        <v>115</v>
      </c>
      <c r="B291" t="s">
        <v>116</v>
      </c>
      <c r="C291">
        <v>210784</v>
      </c>
      <c r="E291" t="s">
        <v>117</v>
      </c>
      <c r="F291">
        <v>368</v>
      </c>
      <c r="G291" t="s">
        <v>141</v>
      </c>
      <c r="H291" t="s">
        <v>142</v>
      </c>
      <c r="I291" t="s">
        <v>279</v>
      </c>
      <c r="J291" t="s">
        <v>280</v>
      </c>
      <c r="L291" s="14">
        <v>45344</v>
      </c>
      <c r="M291" s="18">
        <f t="shared" si="7"/>
        <v>45323</v>
      </c>
      <c r="N291">
        <v>5438121</v>
      </c>
      <c r="O291" t="s">
        <v>123</v>
      </c>
      <c r="P291" t="s">
        <v>146</v>
      </c>
      <c r="Q291">
        <v>2.2799999999999998</v>
      </c>
      <c r="R291" t="s">
        <v>572</v>
      </c>
      <c r="S291" t="s">
        <v>126</v>
      </c>
      <c r="T291" t="s">
        <v>572</v>
      </c>
      <c r="U291" t="s">
        <v>573</v>
      </c>
      <c r="W291">
        <v>0.7</v>
      </c>
      <c r="X291">
        <v>1.58</v>
      </c>
      <c r="Y291">
        <v>2.2799999999999998</v>
      </c>
      <c r="Z291">
        <v>0.87</v>
      </c>
      <c r="AG291">
        <v>0.7</v>
      </c>
      <c r="AI291">
        <v>0.71</v>
      </c>
      <c r="BH291" t="s">
        <v>126</v>
      </c>
      <c r="BI291" t="s">
        <v>126</v>
      </c>
      <c r="BJ291" t="s">
        <v>126</v>
      </c>
      <c r="BK291" t="s">
        <v>126</v>
      </c>
      <c r="BS291" t="s">
        <v>126</v>
      </c>
      <c r="BT291" t="s">
        <v>126</v>
      </c>
      <c r="BU291" t="s">
        <v>126</v>
      </c>
      <c r="BV291" t="s">
        <v>126</v>
      </c>
      <c r="CN291" t="s">
        <v>147</v>
      </c>
      <c r="CP291" t="s">
        <v>149</v>
      </c>
      <c r="CQ291" t="s">
        <v>147</v>
      </c>
    </row>
    <row r="292" spans="1:95" x14ac:dyDescent="0.2">
      <c r="A292" t="s">
        <v>115</v>
      </c>
      <c r="B292" t="s">
        <v>116</v>
      </c>
      <c r="C292">
        <v>210784</v>
      </c>
      <c r="E292" t="s">
        <v>117</v>
      </c>
      <c r="F292">
        <v>368</v>
      </c>
      <c r="G292" t="s">
        <v>141</v>
      </c>
      <c r="H292" t="s">
        <v>142</v>
      </c>
      <c r="I292" t="s">
        <v>143</v>
      </c>
      <c r="J292" t="s">
        <v>144</v>
      </c>
      <c r="L292" s="14">
        <v>45345</v>
      </c>
      <c r="M292" s="18">
        <f t="shared" si="7"/>
        <v>45323</v>
      </c>
      <c r="N292">
        <v>2220</v>
      </c>
      <c r="O292" t="s">
        <v>123</v>
      </c>
      <c r="P292" t="s">
        <v>146</v>
      </c>
      <c r="Q292">
        <v>0.26</v>
      </c>
      <c r="R292" t="s">
        <v>125</v>
      </c>
      <c r="S292" t="s">
        <v>126</v>
      </c>
      <c r="T292" t="s">
        <v>125</v>
      </c>
      <c r="U292" t="s">
        <v>126</v>
      </c>
      <c r="W292">
        <v>0.26</v>
      </c>
      <c r="Y292">
        <v>0.26</v>
      </c>
      <c r="AB292">
        <v>0.26</v>
      </c>
      <c r="BH292" t="s">
        <v>126</v>
      </c>
      <c r="BI292" t="s">
        <v>126</v>
      </c>
      <c r="BJ292" t="s">
        <v>126</v>
      </c>
      <c r="BK292" t="s">
        <v>126</v>
      </c>
      <c r="BS292" t="s">
        <v>126</v>
      </c>
      <c r="BT292" t="s">
        <v>126</v>
      </c>
      <c r="BU292" t="s">
        <v>126</v>
      </c>
      <c r="BV292" t="s">
        <v>126</v>
      </c>
      <c r="CN292" t="s">
        <v>147</v>
      </c>
      <c r="CP292" t="s">
        <v>148</v>
      </c>
      <c r="CQ292" t="s">
        <v>147</v>
      </c>
    </row>
    <row r="293" spans="1:95" x14ac:dyDescent="0.2">
      <c r="A293" t="s">
        <v>115</v>
      </c>
      <c r="B293" t="s">
        <v>116</v>
      </c>
      <c r="C293">
        <v>210784</v>
      </c>
      <c r="E293" t="s">
        <v>117</v>
      </c>
      <c r="F293">
        <v>368</v>
      </c>
      <c r="G293" t="s">
        <v>141</v>
      </c>
      <c r="H293" t="s">
        <v>142</v>
      </c>
      <c r="I293" t="s">
        <v>143</v>
      </c>
      <c r="J293" t="s">
        <v>144</v>
      </c>
      <c r="L293" s="14">
        <v>45349</v>
      </c>
      <c r="M293" s="18">
        <f t="shared" si="7"/>
        <v>45323</v>
      </c>
      <c r="N293">
        <v>104947</v>
      </c>
      <c r="O293" t="s">
        <v>123</v>
      </c>
      <c r="P293" t="s">
        <v>146</v>
      </c>
      <c r="Q293">
        <v>0.36</v>
      </c>
      <c r="R293" t="s">
        <v>125</v>
      </c>
      <c r="S293" t="s">
        <v>126</v>
      </c>
      <c r="T293" t="s">
        <v>125</v>
      </c>
      <c r="U293" t="s">
        <v>126</v>
      </c>
      <c r="W293">
        <v>0.36</v>
      </c>
      <c r="Y293">
        <v>0.36</v>
      </c>
      <c r="AB293">
        <v>0.36</v>
      </c>
      <c r="BH293" t="s">
        <v>126</v>
      </c>
      <c r="BI293" t="s">
        <v>126</v>
      </c>
      <c r="BJ293" t="s">
        <v>126</v>
      </c>
      <c r="BK293" t="s">
        <v>126</v>
      </c>
      <c r="BS293" t="s">
        <v>126</v>
      </c>
      <c r="BT293" t="s">
        <v>126</v>
      </c>
      <c r="BU293" t="s">
        <v>126</v>
      </c>
      <c r="BV293" t="s">
        <v>126</v>
      </c>
      <c r="CN293" t="s">
        <v>147</v>
      </c>
      <c r="CP293" t="s">
        <v>148</v>
      </c>
      <c r="CQ293" t="s">
        <v>147</v>
      </c>
    </row>
    <row r="294" spans="1:95" x14ac:dyDescent="0.2">
      <c r="A294" t="s">
        <v>115</v>
      </c>
      <c r="B294" t="s">
        <v>116</v>
      </c>
      <c r="C294">
        <v>210784</v>
      </c>
      <c r="E294" t="s">
        <v>117</v>
      </c>
      <c r="F294">
        <v>368</v>
      </c>
      <c r="G294" t="s">
        <v>141</v>
      </c>
      <c r="H294" t="s">
        <v>142</v>
      </c>
      <c r="I294" t="s">
        <v>279</v>
      </c>
      <c r="J294" t="s">
        <v>280</v>
      </c>
      <c r="L294" s="14">
        <v>45349</v>
      </c>
      <c r="M294" s="18">
        <f t="shared" si="7"/>
        <v>45323</v>
      </c>
      <c r="N294">
        <v>5441142</v>
      </c>
      <c r="O294" t="s">
        <v>123</v>
      </c>
      <c r="P294" t="s">
        <v>146</v>
      </c>
      <c r="Q294">
        <v>5.03</v>
      </c>
      <c r="R294" t="s">
        <v>559</v>
      </c>
      <c r="S294" t="s">
        <v>126</v>
      </c>
      <c r="T294" t="s">
        <v>559</v>
      </c>
      <c r="U294" t="s">
        <v>560</v>
      </c>
      <c r="W294">
        <v>1.55</v>
      </c>
      <c r="X294">
        <v>3.48</v>
      </c>
      <c r="Y294">
        <v>5.03</v>
      </c>
      <c r="Z294">
        <v>1.91</v>
      </c>
      <c r="AG294">
        <v>1.55</v>
      </c>
      <c r="AI294">
        <v>1.57</v>
      </c>
      <c r="BH294" t="s">
        <v>126</v>
      </c>
      <c r="BI294" t="s">
        <v>126</v>
      </c>
      <c r="BJ294" t="s">
        <v>126</v>
      </c>
      <c r="BK294" t="s">
        <v>126</v>
      </c>
      <c r="BS294" t="s">
        <v>126</v>
      </c>
      <c r="BT294" t="s">
        <v>126</v>
      </c>
      <c r="BU294" t="s">
        <v>126</v>
      </c>
      <c r="BV294" t="s">
        <v>126</v>
      </c>
      <c r="CN294" t="s">
        <v>147</v>
      </c>
      <c r="CP294" t="s">
        <v>149</v>
      </c>
      <c r="CQ294" t="s">
        <v>147</v>
      </c>
    </row>
    <row r="295" spans="1:95" x14ac:dyDescent="0.2">
      <c r="A295" t="s">
        <v>115</v>
      </c>
      <c r="B295" t="s">
        <v>116</v>
      </c>
      <c r="C295">
        <v>210784</v>
      </c>
      <c r="E295" t="s">
        <v>117</v>
      </c>
      <c r="F295">
        <v>368</v>
      </c>
      <c r="G295" t="s">
        <v>141</v>
      </c>
      <c r="H295" t="s">
        <v>142</v>
      </c>
      <c r="I295" t="s">
        <v>143</v>
      </c>
      <c r="J295" t="s">
        <v>144</v>
      </c>
      <c r="L295" s="14">
        <v>45350</v>
      </c>
      <c r="M295" s="18">
        <f t="shared" si="7"/>
        <v>45323</v>
      </c>
      <c r="N295">
        <v>104977</v>
      </c>
      <c r="O295" t="s">
        <v>123</v>
      </c>
      <c r="P295" t="s">
        <v>146</v>
      </c>
      <c r="Q295">
        <v>0.38</v>
      </c>
      <c r="R295" t="s">
        <v>125</v>
      </c>
      <c r="S295" t="s">
        <v>126</v>
      </c>
      <c r="T295" t="s">
        <v>125</v>
      </c>
      <c r="U295" t="s">
        <v>126</v>
      </c>
      <c r="W295">
        <v>0.38</v>
      </c>
      <c r="Y295">
        <v>0.38</v>
      </c>
      <c r="AB295">
        <v>0.38</v>
      </c>
      <c r="BH295" t="s">
        <v>126</v>
      </c>
      <c r="BI295" t="s">
        <v>126</v>
      </c>
      <c r="BJ295" t="s">
        <v>126</v>
      </c>
      <c r="BK295" t="s">
        <v>126</v>
      </c>
      <c r="BS295" t="s">
        <v>126</v>
      </c>
      <c r="BT295" t="s">
        <v>126</v>
      </c>
      <c r="BU295" t="s">
        <v>126</v>
      </c>
      <c r="BV295" t="s">
        <v>126</v>
      </c>
      <c r="CN295" t="s">
        <v>147</v>
      </c>
      <c r="CP295" t="s">
        <v>148</v>
      </c>
      <c r="CQ295" t="s">
        <v>147</v>
      </c>
    </row>
    <row r="296" spans="1:95" x14ac:dyDescent="0.2">
      <c r="A296" t="s">
        <v>115</v>
      </c>
      <c r="B296" t="s">
        <v>116</v>
      </c>
      <c r="C296">
        <v>210784</v>
      </c>
      <c r="E296" t="s">
        <v>117</v>
      </c>
      <c r="F296">
        <v>368</v>
      </c>
      <c r="G296" t="s">
        <v>141</v>
      </c>
      <c r="H296" t="s">
        <v>142</v>
      </c>
      <c r="I296" t="s">
        <v>143</v>
      </c>
      <c r="J296" t="s">
        <v>144</v>
      </c>
      <c r="L296" s="14">
        <v>45351</v>
      </c>
      <c r="M296" s="18">
        <f t="shared" si="7"/>
        <v>45323</v>
      </c>
      <c r="N296">
        <v>12347</v>
      </c>
      <c r="O296" t="s">
        <v>123</v>
      </c>
      <c r="P296" t="s">
        <v>146</v>
      </c>
      <c r="Q296">
        <v>0.25</v>
      </c>
      <c r="R296" t="s">
        <v>125</v>
      </c>
      <c r="S296" t="s">
        <v>126</v>
      </c>
      <c r="T296" t="s">
        <v>125</v>
      </c>
      <c r="U296" t="s">
        <v>126</v>
      </c>
      <c r="W296">
        <v>0.25</v>
      </c>
      <c r="Y296">
        <v>0.25</v>
      </c>
      <c r="AB296">
        <v>0.25</v>
      </c>
      <c r="BH296" t="s">
        <v>126</v>
      </c>
      <c r="BI296" t="s">
        <v>126</v>
      </c>
      <c r="BJ296" t="s">
        <v>126</v>
      </c>
      <c r="BK296" t="s">
        <v>126</v>
      </c>
      <c r="BS296" t="s">
        <v>126</v>
      </c>
      <c r="BT296" t="s">
        <v>126</v>
      </c>
      <c r="BU296" t="s">
        <v>126</v>
      </c>
      <c r="BV296" t="s">
        <v>126</v>
      </c>
      <c r="CN296" t="s">
        <v>147</v>
      </c>
      <c r="CP296" t="s">
        <v>148</v>
      </c>
      <c r="CQ296" t="s">
        <v>147</v>
      </c>
    </row>
    <row r="297" spans="1:95" x14ac:dyDescent="0.2">
      <c r="A297" t="s">
        <v>115</v>
      </c>
      <c r="B297" t="s">
        <v>116</v>
      </c>
      <c r="C297">
        <v>210784</v>
      </c>
      <c r="E297" t="s">
        <v>117</v>
      </c>
      <c r="F297">
        <v>368</v>
      </c>
      <c r="G297" t="s">
        <v>141</v>
      </c>
      <c r="H297" t="s">
        <v>142</v>
      </c>
      <c r="I297" t="s">
        <v>204</v>
      </c>
      <c r="J297" t="s">
        <v>205</v>
      </c>
      <c r="L297" s="14">
        <v>45351</v>
      </c>
      <c r="M297" s="18">
        <f t="shared" si="7"/>
        <v>45323</v>
      </c>
      <c r="N297">
        <v>98481</v>
      </c>
      <c r="O297" t="s">
        <v>123</v>
      </c>
      <c r="P297" t="s">
        <v>146</v>
      </c>
      <c r="Q297">
        <v>8.56</v>
      </c>
      <c r="R297" t="s">
        <v>125</v>
      </c>
      <c r="S297" t="s">
        <v>126</v>
      </c>
      <c r="T297" t="s">
        <v>125</v>
      </c>
      <c r="U297" t="s">
        <v>126</v>
      </c>
      <c r="W297">
        <v>8.56</v>
      </c>
      <c r="Y297">
        <v>8.56</v>
      </c>
      <c r="AC297">
        <v>8.56</v>
      </c>
      <c r="BH297" t="s">
        <v>126</v>
      </c>
      <c r="BI297" t="s">
        <v>126</v>
      </c>
      <c r="BJ297" t="s">
        <v>126</v>
      </c>
      <c r="BK297" t="s">
        <v>126</v>
      </c>
      <c r="BS297" t="s">
        <v>126</v>
      </c>
      <c r="BT297" t="s">
        <v>126</v>
      </c>
      <c r="BU297" t="s">
        <v>126</v>
      </c>
      <c r="BV297" t="s">
        <v>126</v>
      </c>
      <c r="CN297" t="s">
        <v>147</v>
      </c>
      <c r="CP297" t="s">
        <v>149</v>
      </c>
      <c r="CQ297" t="s">
        <v>147</v>
      </c>
    </row>
    <row r="298" spans="1:95" x14ac:dyDescent="0.2">
      <c r="A298" t="s">
        <v>115</v>
      </c>
      <c r="B298" t="s">
        <v>116</v>
      </c>
      <c r="C298">
        <v>210784</v>
      </c>
      <c r="E298" t="s">
        <v>117</v>
      </c>
      <c r="F298">
        <v>368</v>
      </c>
      <c r="G298" t="s">
        <v>229</v>
      </c>
      <c r="H298" t="s">
        <v>230</v>
      </c>
      <c r="I298" t="s">
        <v>204</v>
      </c>
      <c r="J298" t="s">
        <v>205</v>
      </c>
      <c r="L298" s="14">
        <v>45351</v>
      </c>
      <c r="M298" s="18">
        <f t="shared" si="7"/>
        <v>45323</v>
      </c>
      <c r="N298">
        <v>98481</v>
      </c>
      <c r="O298" t="s">
        <v>123</v>
      </c>
      <c r="P298" t="s">
        <v>146</v>
      </c>
      <c r="Q298">
        <v>8.56</v>
      </c>
      <c r="R298" t="s">
        <v>125</v>
      </c>
      <c r="S298" t="s">
        <v>126</v>
      </c>
      <c r="T298" t="s">
        <v>125</v>
      </c>
      <c r="U298" t="s">
        <v>126</v>
      </c>
      <c r="W298">
        <v>8.56</v>
      </c>
      <c r="Y298">
        <v>8.56</v>
      </c>
      <c r="AC298">
        <v>8.56</v>
      </c>
      <c r="BH298" t="s">
        <v>126</v>
      </c>
      <c r="BI298" t="s">
        <v>126</v>
      </c>
      <c r="BJ298" t="s">
        <v>126</v>
      </c>
      <c r="BK298" t="s">
        <v>126</v>
      </c>
      <c r="BS298" t="s">
        <v>126</v>
      </c>
      <c r="BT298" t="s">
        <v>126</v>
      </c>
      <c r="BU298" t="s">
        <v>126</v>
      </c>
      <c r="BV298" t="s">
        <v>126</v>
      </c>
      <c r="CN298" t="s">
        <v>230</v>
      </c>
      <c r="CP298" t="s">
        <v>231</v>
      </c>
      <c r="CQ298" t="s">
        <v>230</v>
      </c>
    </row>
    <row r="299" spans="1:95" x14ac:dyDescent="0.2">
      <c r="A299" t="s">
        <v>115</v>
      </c>
      <c r="B299" t="s">
        <v>116</v>
      </c>
      <c r="C299">
        <v>210784</v>
      </c>
      <c r="E299" t="s">
        <v>117</v>
      </c>
      <c r="F299">
        <v>368</v>
      </c>
      <c r="G299" t="s">
        <v>141</v>
      </c>
      <c r="H299" t="s">
        <v>142</v>
      </c>
      <c r="I299" t="s">
        <v>279</v>
      </c>
      <c r="J299" t="s">
        <v>280</v>
      </c>
      <c r="L299" s="14">
        <v>45352</v>
      </c>
      <c r="M299" s="18">
        <f t="shared" si="7"/>
        <v>45352</v>
      </c>
      <c r="N299">
        <v>5443827</v>
      </c>
      <c r="O299" t="s">
        <v>123</v>
      </c>
      <c r="P299" t="s">
        <v>146</v>
      </c>
      <c r="Q299">
        <v>2.5</v>
      </c>
      <c r="R299" t="s">
        <v>592</v>
      </c>
      <c r="S299" t="s">
        <v>126</v>
      </c>
      <c r="T299" t="s">
        <v>592</v>
      </c>
      <c r="U299" t="s">
        <v>593</v>
      </c>
      <c r="W299">
        <v>0.77</v>
      </c>
      <c r="X299">
        <v>1.73</v>
      </c>
      <c r="Y299">
        <v>2.5</v>
      </c>
      <c r="Z299">
        <v>0.95</v>
      </c>
      <c r="AG299">
        <v>0.77</v>
      </c>
      <c r="AI299">
        <v>0.78</v>
      </c>
      <c r="BH299" t="s">
        <v>126</v>
      </c>
      <c r="BI299" t="s">
        <v>126</v>
      </c>
      <c r="BJ299" t="s">
        <v>126</v>
      </c>
      <c r="BK299" t="s">
        <v>126</v>
      </c>
      <c r="BS299" t="s">
        <v>126</v>
      </c>
      <c r="BT299" t="s">
        <v>126</v>
      </c>
      <c r="BU299" t="s">
        <v>126</v>
      </c>
      <c r="BV299" t="s">
        <v>126</v>
      </c>
      <c r="CN299" t="s">
        <v>147</v>
      </c>
      <c r="CP299" t="s">
        <v>149</v>
      </c>
      <c r="CQ299" t="s">
        <v>147</v>
      </c>
    </row>
    <row r="300" spans="1:95" x14ac:dyDescent="0.2">
      <c r="A300" t="s">
        <v>115</v>
      </c>
      <c r="B300" t="s">
        <v>116</v>
      </c>
      <c r="C300">
        <v>210784</v>
      </c>
      <c r="E300" t="s">
        <v>117</v>
      </c>
      <c r="F300">
        <v>368</v>
      </c>
      <c r="G300" t="s">
        <v>141</v>
      </c>
      <c r="H300" t="s">
        <v>142</v>
      </c>
      <c r="I300" t="s">
        <v>143</v>
      </c>
      <c r="J300" t="s">
        <v>144</v>
      </c>
      <c r="L300" s="14">
        <v>45358</v>
      </c>
      <c r="M300" s="18">
        <f t="shared" si="7"/>
        <v>45352</v>
      </c>
      <c r="N300">
        <v>12579</v>
      </c>
      <c r="O300" t="s">
        <v>123</v>
      </c>
      <c r="P300" t="s">
        <v>146</v>
      </c>
      <c r="Q300">
        <v>0.25</v>
      </c>
      <c r="R300" t="s">
        <v>125</v>
      </c>
      <c r="S300" t="s">
        <v>126</v>
      </c>
      <c r="T300" t="s">
        <v>125</v>
      </c>
      <c r="U300" t="s">
        <v>126</v>
      </c>
      <c r="W300">
        <v>0.25</v>
      </c>
      <c r="Y300">
        <v>0.25</v>
      </c>
      <c r="AB300">
        <v>0.25</v>
      </c>
      <c r="BH300" t="s">
        <v>126</v>
      </c>
      <c r="BI300" t="s">
        <v>126</v>
      </c>
      <c r="BJ300" t="s">
        <v>126</v>
      </c>
      <c r="BK300" t="s">
        <v>126</v>
      </c>
      <c r="BS300" t="s">
        <v>126</v>
      </c>
      <c r="BT300" t="s">
        <v>126</v>
      </c>
      <c r="BU300" t="s">
        <v>126</v>
      </c>
      <c r="BV300" t="s">
        <v>126</v>
      </c>
      <c r="CN300" t="s">
        <v>147</v>
      </c>
      <c r="CP300" t="s">
        <v>148</v>
      </c>
      <c r="CQ300" t="s">
        <v>147</v>
      </c>
    </row>
    <row r="301" spans="1:95" x14ac:dyDescent="0.2">
      <c r="A301" t="s">
        <v>115</v>
      </c>
      <c r="B301" t="s">
        <v>116</v>
      </c>
      <c r="C301">
        <v>210784</v>
      </c>
      <c r="E301" t="s">
        <v>117</v>
      </c>
      <c r="F301">
        <v>368</v>
      </c>
      <c r="G301" t="s">
        <v>141</v>
      </c>
      <c r="H301" t="s">
        <v>142</v>
      </c>
      <c r="I301" t="s">
        <v>204</v>
      </c>
      <c r="J301" t="s">
        <v>205</v>
      </c>
      <c r="L301" s="14">
        <v>45358</v>
      </c>
      <c r="M301" s="18">
        <f t="shared" si="7"/>
        <v>45352</v>
      </c>
      <c r="N301">
        <v>98811</v>
      </c>
      <c r="O301" t="s">
        <v>123</v>
      </c>
      <c r="P301" t="s">
        <v>146</v>
      </c>
      <c r="Q301">
        <v>7.18</v>
      </c>
      <c r="R301" t="s">
        <v>125</v>
      </c>
      <c r="S301" t="s">
        <v>126</v>
      </c>
      <c r="T301" t="s">
        <v>125</v>
      </c>
      <c r="U301" t="s">
        <v>126</v>
      </c>
      <c r="W301">
        <v>7.18</v>
      </c>
      <c r="Y301">
        <v>7.18</v>
      </c>
      <c r="AC301">
        <v>7.18</v>
      </c>
      <c r="BH301" t="s">
        <v>126</v>
      </c>
      <c r="BI301" t="s">
        <v>126</v>
      </c>
      <c r="BJ301" t="s">
        <v>126</v>
      </c>
      <c r="BK301" t="s">
        <v>126</v>
      </c>
      <c r="BS301" t="s">
        <v>126</v>
      </c>
      <c r="BT301" t="s">
        <v>126</v>
      </c>
      <c r="BU301" t="s">
        <v>126</v>
      </c>
      <c r="BV301" t="s">
        <v>126</v>
      </c>
      <c r="CN301" t="s">
        <v>147</v>
      </c>
      <c r="CP301" t="s">
        <v>149</v>
      </c>
      <c r="CQ301" t="s">
        <v>147</v>
      </c>
    </row>
    <row r="302" spans="1:95" x14ac:dyDescent="0.2">
      <c r="A302" t="s">
        <v>115</v>
      </c>
      <c r="B302" t="s">
        <v>116</v>
      </c>
      <c r="C302">
        <v>210784</v>
      </c>
      <c r="E302" t="s">
        <v>117</v>
      </c>
      <c r="F302">
        <v>368</v>
      </c>
      <c r="G302" t="s">
        <v>229</v>
      </c>
      <c r="H302" t="s">
        <v>230</v>
      </c>
      <c r="I302" t="s">
        <v>204</v>
      </c>
      <c r="J302" t="s">
        <v>205</v>
      </c>
      <c r="L302" s="14">
        <v>45358</v>
      </c>
      <c r="M302" s="18">
        <f t="shared" si="7"/>
        <v>45352</v>
      </c>
      <c r="N302">
        <v>98811</v>
      </c>
      <c r="O302" t="s">
        <v>123</v>
      </c>
      <c r="P302" t="s">
        <v>146</v>
      </c>
      <c r="Q302">
        <v>7.18</v>
      </c>
      <c r="R302" t="s">
        <v>125</v>
      </c>
      <c r="S302" t="s">
        <v>126</v>
      </c>
      <c r="T302" t="s">
        <v>125</v>
      </c>
      <c r="U302" t="s">
        <v>126</v>
      </c>
      <c r="W302">
        <v>7.18</v>
      </c>
      <c r="Y302">
        <v>7.18</v>
      </c>
      <c r="AC302">
        <v>7.18</v>
      </c>
      <c r="BH302" t="s">
        <v>126</v>
      </c>
      <c r="BI302" t="s">
        <v>126</v>
      </c>
      <c r="BJ302" t="s">
        <v>126</v>
      </c>
      <c r="BK302" t="s">
        <v>126</v>
      </c>
      <c r="BS302" t="s">
        <v>126</v>
      </c>
      <c r="BT302" t="s">
        <v>126</v>
      </c>
      <c r="BU302" t="s">
        <v>126</v>
      </c>
      <c r="BV302" t="s">
        <v>126</v>
      </c>
      <c r="CN302" t="s">
        <v>230</v>
      </c>
      <c r="CP302" t="s">
        <v>231</v>
      </c>
      <c r="CQ302" t="s">
        <v>230</v>
      </c>
    </row>
    <row r="303" spans="1:95" x14ac:dyDescent="0.2">
      <c r="A303" t="s">
        <v>115</v>
      </c>
      <c r="B303" t="s">
        <v>116</v>
      </c>
      <c r="C303">
        <v>210784</v>
      </c>
      <c r="E303" t="s">
        <v>117</v>
      </c>
      <c r="F303">
        <v>368</v>
      </c>
      <c r="G303" t="s">
        <v>141</v>
      </c>
      <c r="H303" t="s">
        <v>142</v>
      </c>
      <c r="I303" t="s">
        <v>204</v>
      </c>
      <c r="J303" t="s">
        <v>205</v>
      </c>
      <c r="L303" s="14">
        <v>45358</v>
      </c>
      <c r="M303" s="18">
        <f t="shared" si="7"/>
        <v>45352</v>
      </c>
      <c r="N303">
        <v>88</v>
      </c>
      <c r="O303" t="s">
        <v>123</v>
      </c>
      <c r="P303" t="s">
        <v>146</v>
      </c>
      <c r="Q303">
        <v>2.82</v>
      </c>
      <c r="R303" t="s">
        <v>594</v>
      </c>
      <c r="S303" t="s">
        <v>126</v>
      </c>
      <c r="T303" t="s">
        <v>594</v>
      </c>
      <c r="U303" t="s">
        <v>595</v>
      </c>
      <c r="W303">
        <v>0.87</v>
      </c>
      <c r="X303">
        <v>1.9500000000000002</v>
      </c>
      <c r="Y303">
        <v>2.82</v>
      </c>
      <c r="Z303">
        <v>1.07</v>
      </c>
      <c r="AG303">
        <v>0.87</v>
      </c>
      <c r="AI303">
        <v>0.88</v>
      </c>
      <c r="BH303" t="s">
        <v>126</v>
      </c>
      <c r="BI303" t="s">
        <v>126</v>
      </c>
      <c r="BJ303" t="s">
        <v>126</v>
      </c>
      <c r="BK303" t="s">
        <v>126</v>
      </c>
      <c r="BS303" t="s">
        <v>126</v>
      </c>
      <c r="BT303" t="s">
        <v>126</v>
      </c>
      <c r="BU303" t="s">
        <v>126</v>
      </c>
      <c r="BV303" t="s">
        <v>126</v>
      </c>
      <c r="CN303" t="s">
        <v>147</v>
      </c>
      <c r="CP303" t="s">
        <v>149</v>
      </c>
      <c r="CQ303" t="s">
        <v>147</v>
      </c>
    </row>
    <row r="304" spans="1:95" x14ac:dyDescent="0.2">
      <c r="A304" t="s">
        <v>115</v>
      </c>
      <c r="B304" t="s">
        <v>116</v>
      </c>
      <c r="C304">
        <v>210784</v>
      </c>
      <c r="E304" t="s">
        <v>117</v>
      </c>
      <c r="F304">
        <v>368</v>
      </c>
      <c r="G304" t="s">
        <v>141</v>
      </c>
      <c r="H304" t="s">
        <v>142</v>
      </c>
      <c r="I304" t="s">
        <v>279</v>
      </c>
      <c r="J304" t="s">
        <v>280</v>
      </c>
      <c r="L304" s="14">
        <v>45358</v>
      </c>
      <c r="M304" s="18">
        <f t="shared" si="7"/>
        <v>45352</v>
      </c>
      <c r="N304">
        <v>5447683</v>
      </c>
      <c r="O304" t="s">
        <v>123</v>
      </c>
      <c r="P304" t="s">
        <v>146</v>
      </c>
      <c r="Q304">
        <v>4.49</v>
      </c>
      <c r="R304" t="s">
        <v>125</v>
      </c>
      <c r="S304" t="s">
        <v>126</v>
      </c>
      <c r="T304" t="s">
        <v>125</v>
      </c>
      <c r="U304" t="s">
        <v>126</v>
      </c>
      <c r="W304">
        <v>4.49</v>
      </c>
      <c r="Y304">
        <v>4.49</v>
      </c>
      <c r="BE304">
        <v>4.49</v>
      </c>
      <c r="BH304" t="s">
        <v>126</v>
      </c>
      <c r="BI304" t="s">
        <v>126</v>
      </c>
      <c r="BJ304" t="s">
        <v>126</v>
      </c>
      <c r="BK304" t="s">
        <v>126</v>
      </c>
      <c r="BS304" t="s">
        <v>126</v>
      </c>
      <c r="BT304" t="s">
        <v>126</v>
      </c>
      <c r="BU304" t="s">
        <v>126</v>
      </c>
      <c r="BV304" t="s">
        <v>126</v>
      </c>
      <c r="CN304" t="s">
        <v>147</v>
      </c>
      <c r="CP304" t="s">
        <v>149</v>
      </c>
      <c r="CQ304" t="s">
        <v>147</v>
      </c>
    </row>
    <row r="305" spans="1:95" x14ac:dyDescent="0.2">
      <c r="A305" t="s">
        <v>115</v>
      </c>
      <c r="B305" t="s">
        <v>116</v>
      </c>
      <c r="C305">
        <v>210784</v>
      </c>
      <c r="E305" t="s">
        <v>117</v>
      </c>
      <c r="F305">
        <v>368</v>
      </c>
      <c r="G305" t="s">
        <v>141</v>
      </c>
      <c r="H305" t="s">
        <v>142</v>
      </c>
      <c r="I305" t="s">
        <v>143</v>
      </c>
      <c r="J305" t="s">
        <v>144</v>
      </c>
      <c r="L305" s="14">
        <v>45359</v>
      </c>
      <c r="M305" s="18">
        <f t="shared" si="7"/>
        <v>45352</v>
      </c>
      <c r="N305">
        <v>12600</v>
      </c>
      <c r="O305" t="s">
        <v>123</v>
      </c>
      <c r="P305" t="s">
        <v>146</v>
      </c>
      <c r="Q305">
        <v>0.19</v>
      </c>
      <c r="R305" t="s">
        <v>125</v>
      </c>
      <c r="S305" t="s">
        <v>126</v>
      </c>
      <c r="T305" t="s">
        <v>125</v>
      </c>
      <c r="U305" t="s">
        <v>126</v>
      </c>
      <c r="W305">
        <v>0.19</v>
      </c>
      <c r="Y305">
        <v>0.19</v>
      </c>
      <c r="AB305">
        <v>0.19</v>
      </c>
      <c r="BH305" t="s">
        <v>126</v>
      </c>
      <c r="BI305" t="s">
        <v>126</v>
      </c>
      <c r="BJ305" t="s">
        <v>126</v>
      </c>
      <c r="BK305" t="s">
        <v>126</v>
      </c>
      <c r="BS305" t="s">
        <v>126</v>
      </c>
      <c r="BT305" t="s">
        <v>126</v>
      </c>
      <c r="BU305" t="s">
        <v>126</v>
      </c>
      <c r="BV305" t="s">
        <v>126</v>
      </c>
      <c r="CN305" t="s">
        <v>147</v>
      </c>
      <c r="CP305" t="s">
        <v>148</v>
      </c>
      <c r="CQ305" t="s">
        <v>147</v>
      </c>
    </row>
    <row r="306" spans="1:95" x14ac:dyDescent="0.2">
      <c r="A306" t="s">
        <v>115</v>
      </c>
      <c r="B306" t="s">
        <v>116</v>
      </c>
      <c r="C306">
        <v>210784</v>
      </c>
      <c r="E306" t="s">
        <v>117</v>
      </c>
      <c r="F306">
        <v>368</v>
      </c>
      <c r="G306" t="s">
        <v>141</v>
      </c>
      <c r="H306" t="s">
        <v>142</v>
      </c>
      <c r="I306" t="s">
        <v>143</v>
      </c>
      <c r="J306" t="s">
        <v>144</v>
      </c>
      <c r="L306" s="14">
        <v>45362</v>
      </c>
      <c r="M306" s="18">
        <f t="shared" si="7"/>
        <v>45352</v>
      </c>
      <c r="N306">
        <v>2302</v>
      </c>
      <c r="O306" t="s">
        <v>123</v>
      </c>
      <c r="P306" t="s">
        <v>146</v>
      </c>
      <c r="Q306">
        <v>0.3</v>
      </c>
      <c r="R306" t="s">
        <v>125</v>
      </c>
      <c r="S306" t="s">
        <v>126</v>
      </c>
      <c r="T306" t="s">
        <v>125</v>
      </c>
      <c r="U306" t="s">
        <v>126</v>
      </c>
      <c r="W306">
        <v>0.3</v>
      </c>
      <c r="Y306">
        <v>0.3</v>
      </c>
      <c r="AB306">
        <v>0.3</v>
      </c>
      <c r="BH306" t="s">
        <v>126</v>
      </c>
      <c r="BI306" t="s">
        <v>126</v>
      </c>
      <c r="BJ306" t="s">
        <v>126</v>
      </c>
      <c r="BK306" t="s">
        <v>126</v>
      </c>
      <c r="BS306" t="s">
        <v>126</v>
      </c>
      <c r="BT306" t="s">
        <v>126</v>
      </c>
      <c r="BU306" t="s">
        <v>126</v>
      </c>
      <c r="BV306" t="s">
        <v>126</v>
      </c>
      <c r="CN306" t="s">
        <v>147</v>
      </c>
      <c r="CP306" t="s">
        <v>148</v>
      </c>
      <c r="CQ306" t="s">
        <v>147</v>
      </c>
    </row>
    <row r="307" spans="1:95" x14ac:dyDescent="0.2">
      <c r="A307" t="s">
        <v>115</v>
      </c>
      <c r="B307" t="s">
        <v>116</v>
      </c>
      <c r="C307">
        <v>210784</v>
      </c>
      <c r="E307" t="s">
        <v>117</v>
      </c>
      <c r="F307">
        <v>368</v>
      </c>
      <c r="G307" t="s">
        <v>141</v>
      </c>
      <c r="H307" t="s">
        <v>142</v>
      </c>
      <c r="I307" t="s">
        <v>279</v>
      </c>
      <c r="J307" t="s">
        <v>280</v>
      </c>
      <c r="L307" s="14">
        <v>45362</v>
      </c>
      <c r="M307" s="18">
        <f t="shared" si="7"/>
        <v>45352</v>
      </c>
      <c r="N307">
        <v>5449654</v>
      </c>
      <c r="O307" t="s">
        <v>123</v>
      </c>
      <c r="P307" t="s">
        <v>146</v>
      </c>
      <c r="Q307">
        <v>4.46</v>
      </c>
      <c r="R307" t="s">
        <v>125</v>
      </c>
      <c r="S307" t="s">
        <v>126</v>
      </c>
      <c r="T307" t="s">
        <v>125</v>
      </c>
      <c r="U307" t="s">
        <v>126</v>
      </c>
      <c r="W307">
        <v>4.46</v>
      </c>
      <c r="Y307">
        <v>4.46</v>
      </c>
      <c r="BE307">
        <v>4.46</v>
      </c>
      <c r="BH307" t="s">
        <v>126</v>
      </c>
      <c r="BI307" t="s">
        <v>126</v>
      </c>
      <c r="BJ307" t="s">
        <v>126</v>
      </c>
      <c r="BK307" t="s">
        <v>126</v>
      </c>
      <c r="BS307" t="s">
        <v>126</v>
      </c>
      <c r="BT307" t="s">
        <v>126</v>
      </c>
      <c r="BU307" t="s">
        <v>126</v>
      </c>
      <c r="BV307" t="s">
        <v>126</v>
      </c>
      <c r="CN307" t="s">
        <v>147</v>
      </c>
      <c r="CP307" t="s">
        <v>149</v>
      </c>
      <c r="CQ307" t="s">
        <v>147</v>
      </c>
    </row>
    <row r="308" spans="1:95" x14ac:dyDescent="0.2">
      <c r="A308" t="s">
        <v>115</v>
      </c>
      <c r="B308" t="s">
        <v>116</v>
      </c>
      <c r="C308">
        <v>210784</v>
      </c>
      <c r="E308" t="s">
        <v>117</v>
      </c>
      <c r="F308">
        <v>368</v>
      </c>
      <c r="G308" t="s">
        <v>141</v>
      </c>
      <c r="H308" t="s">
        <v>142</v>
      </c>
      <c r="I308" t="s">
        <v>204</v>
      </c>
      <c r="J308" t="s">
        <v>205</v>
      </c>
      <c r="L308" s="14">
        <v>45364</v>
      </c>
      <c r="M308" s="18">
        <f t="shared" si="7"/>
        <v>45352</v>
      </c>
      <c r="N308">
        <v>99048</v>
      </c>
      <c r="O308" t="s">
        <v>123</v>
      </c>
      <c r="P308" t="s">
        <v>146</v>
      </c>
      <c r="Q308">
        <v>8.48</v>
      </c>
      <c r="R308" t="s">
        <v>125</v>
      </c>
      <c r="S308" t="s">
        <v>126</v>
      </c>
      <c r="T308" t="s">
        <v>125</v>
      </c>
      <c r="U308" t="s">
        <v>126</v>
      </c>
      <c r="W308">
        <v>8.48</v>
      </c>
      <c r="Y308">
        <v>8.48</v>
      </c>
      <c r="AC308">
        <v>8.48</v>
      </c>
      <c r="BH308" t="s">
        <v>126</v>
      </c>
      <c r="BI308" t="s">
        <v>126</v>
      </c>
      <c r="BJ308" t="s">
        <v>126</v>
      </c>
      <c r="BK308" t="s">
        <v>126</v>
      </c>
      <c r="BS308" t="s">
        <v>126</v>
      </c>
      <c r="BT308" t="s">
        <v>126</v>
      </c>
      <c r="BU308" t="s">
        <v>126</v>
      </c>
      <c r="BV308" t="s">
        <v>126</v>
      </c>
      <c r="CN308" t="s">
        <v>147</v>
      </c>
      <c r="CP308" t="s">
        <v>149</v>
      </c>
      <c r="CQ308" t="s">
        <v>147</v>
      </c>
    </row>
    <row r="309" spans="1:95" x14ac:dyDescent="0.2">
      <c r="A309" t="s">
        <v>115</v>
      </c>
      <c r="B309" t="s">
        <v>116</v>
      </c>
      <c r="C309">
        <v>210784</v>
      </c>
      <c r="E309" t="s">
        <v>117</v>
      </c>
      <c r="F309">
        <v>368</v>
      </c>
      <c r="G309" t="s">
        <v>229</v>
      </c>
      <c r="H309" t="s">
        <v>230</v>
      </c>
      <c r="I309" t="s">
        <v>204</v>
      </c>
      <c r="J309" t="s">
        <v>205</v>
      </c>
      <c r="L309" s="14">
        <v>45364</v>
      </c>
      <c r="M309" s="18">
        <f t="shared" si="7"/>
        <v>45352</v>
      </c>
      <c r="N309">
        <v>99048</v>
      </c>
      <c r="O309" t="s">
        <v>123</v>
      </c>
      <c r="P309" t="s">
        <v>146</v>
      </c>
      <c r="Q309">
        <v>8.48</v>
      </c>
      <c r="R309" t="s">
        <v>125</v>
      </c>
      <c r="S309" t="s">
        <v>126</v>
      </c>
      <c r="T309" t="s">
        <v>125</v>
      </c>
      <c r="U309" t="s">
        <v>126</v>
      </c>
      <c r="W309">
        <v>8.48</v>
      </c>
      <c r="Y309">
        <v>8.48</v>
      </c>
      <c r="AC309">
        <v>8.48</v>
      </c>
      <c r="BH309" t="s">
        <v>126</v>
      </c>
      <c r="BI309" t="s">
        <v>126</v>
      </c>
      <c r="BJ309" t="s">
        <v>126</v>
      </c>
      <c r="BK309" t="s">
        <v>126</v>
      </c>
      <c r="BS309" t="s">
        <v>126</v>
      </c>
      <c r="BT309" t="s">
        <v>126</v>
      </c>
      <c r="BU309" t="s">
        <v>126</v>
      </c>
      <c r="BV309" t="s">
        <v>126</v>
      </c>
      <c r="CN309" t="s">
        <v>230</v>
      </c>
      <c r="CP309" t="s">
        <v>231</v>
      </c>
      <c r="CQ309" t="s">
        <v>230</v>
      </c>
    </row>
    <row r="310" spans="1:95" x14ac:dyDescent="0.2">
      <c r="A310" t="s">
        <v>115</v>
      </c>
      <c r="B310" t="s">
        <v>116</v>
      </c>
      <c r="C310">
        <v>210784</v>
      </c>
      <c r="E310" t="s">
        <v>117</v>
      </c>
      <c r="F310">
        <v>368</v>
      </c>
      <c r="G310" t="s">
        <v>141</v>
      </c>
      <c r="H310" t="s">
        <v>142</v>
      </c>
      <c r="I310" t="s">
        <v>284</v>
      </c>
      <c r="J310" t="s">
        <v>285</v>
      </c>
      <c r="L310" s="14">
        <v>45364</v>
      </c>
      <c r="M310" s="18">
        <f t="shared" si="7"/>
        <v>45352</v>
      </c>
      <c r="N310">
        <v>101625</v>
      </c>
      <c r="O310" t="s">
        <v>123</v>
      </c>
      <c r="P310" t="s">
        <v>146</v>
      </c>
      <c r="Q310">
        <v>2.7800000000000002</v>
      </c>
      <c r="R310" t="s">
        <v>125</v>
      </c>
      <c r="S310" t="s">
        <v>126</v>
      </c>
      <c r="T310" t="s">
        <v>125</v>
      </c>
      <c r="U310" t="s">
        <v>126</v>
      </c>
      <c r="W310">
        <v>2.7800000000000002</v>
      </c>
      <c r="Y310">
        <v>2.7800000000000002</v>
      </c>
      <c r="AF310">
        <v>0.55600000000000005</v>
      </c>
      <c r="AG310">
        <v>0.83399999999999996</v>
      </c>
      <c r="BE310">
        <v>1.39</v>
      </c>
      <c r="BH310" t="s">
        <v>126</v>
      </c>
      <c r="BI310" t="s">
        <v>126</v>
      </c>
      <c r="BJ310" t="s">
        <v>126</v>
      </c>
      <c r="BK310" t="s">
        <v>126</v>
      </c>
      <c r="BS310" t="s">
        <v>126</v>
      </c>
      <c r="BT310" t="s">
        <v>126</v>
      </c>
      <c r="BU310" t="s">
        <v>126</v>
      </c>
      <c r="BV310" t="s">
        <v>126</v>
      </c>
      <c r="CN310" t="s">
        <v>147</v>
      </c>
      <c r="CP310" t="s">
        <v>149</v>
      </c>
      <c r="CQ310" t="s">
        <v>147</v>
      </c>
    </row>
    <row r="311" spans="1:95" x14ac:dyDescent="0.2">
      <c r="A311" t="s">
        <v>115</v>
      </c>
      <c r="B311" t="s">
        <v>116</v>
      </c>
      <c r="C311">
        <v>210784</v>
      </c>
      <c r="E311" t="s">
        <v>117</v>
      </c>
      <c r="F311">
        <v>368</v>
      </c>
      <c r="G311" t="s">
        <v>141</v>
      </c>
      <c r="H311" t="s">
        <v>142</v>
      </c>
      <c r="I311" t="s">
        <v>143</v>
      </c>
      <c r="J311" t="s">
        <v>144</v>
      </c>
      <c r="L311" s="14">
        <v>45365</v>
      </c>
      <c r="M311" s="18">
        <f t="shared" si="7"/>
        <v>45352</v>
      </c>
      <c r="N311">
        <v>2314</v>
      </c>
      <c r="O311" t="s">
        <v>123</v>
      </c>
      <c r="P311" t="s">
        <v>146</v>
      </c>
      <c r="Q311">
        <v>0.12</v>
      </c>
      <c r="R311" t="s">
        <v>125</v>
      </c>
      <c r="S311" t="s">
        <v>126</v>
      </c>
      <c r="T311" t="s">
        <v>125</v>
      </c>
      <c r="U311" t="s">
        <v>126</v>
      </c>
      <c r="W311">
        <v>0.12</v>
      </c>
      <c r="Y311">
        <v>0.12</v>
      </c>
      <c r="AB311">
        <v>0.12</v>
      </c>
      <c r="BH311" t="s">
        <v>126</v>
      </c>
      <c r="BI311" t="s">
        <v>126</v>
      </c>
      <c r="BJ311" t="s">
        <v>126</v>
      </c>
      <c r="BK311" t="s">
        <v>126</v>
      </c>
      <c r="BS311" t="s">
        <v>126</v>
      </c>
      <c r="BT311" t="s">
        <v>126</v>
      </c>
      <c r="BU311" t="s">
        <v>126</v>
      </c>
      <c r="BV311" t="s">
        <v>126</v>
      </c>
      <c r="CN311" t="s">
        <v>147</v>
      </c>
      <c r="CP311" t="s">
        <v>148</v>
      </c>
      <c r="CQ311" t="s">
        <v>147</v>
      </c>
    </row>
    <row r="312" spans="1:95" x14ac:dyDescent="0.2">
      <c r="A312" t="s">
        <v>115</v>
      </c>
      <c r="B312" t="s">
        <v>116</v>
      </c>
      <c r="C312">
        <v>210784</v>
      </c>
      <c r="E312" t="s">
        <v>117</v>
      </c>
      <c r="F312">
        <v>368</v>
      </c>
      <c r="G312" t="s">
        <v>141</v>
      </c>
      <c r="H312" t="s">
        <v>142</v>
      </c>
      <c r="I312" t="s">
        <v>279</v>
      </c>
      <c r="J312" t="s">
        <v>280</v>
      </c>
      <c r="L312" s="14">
        <v>45365</v>
      </c>
      <c r="M312" s="18">
        <f t="shared" si="7"/>
        <v>45352</v>
      </c>
      <c r="N312">
        <v>5452127</v>
      </c>
      <c r="O312" t="s">
        <v>123</v>
      </c>
      <c r="P312" t="s">
        <v>146</v>
      </c>
      <c r="Q312">
        <v>5.36</v>
      </c>
      <c r="R312" t="s">
        <v>125</v>
      </c>
      <c r="S312" t="s">
        <v>126</v>
      </c>
      <c r="T312" t="s">
        <v>125</v>
      </c>
      <c r="U312" t="s">
        <v>126</v>
      </c>
      <c r="W312">
        <v>5.36</v>
      </c>
      <c r="Y312">
        <v>5.36</v>
      </c>
      <c r="BE312">
        <v>5.36</v>
      </c>
      <c r="BH312" t="s">
        <v>126</v>
      </c>
      <c r="BI312" t="s">
        <v>126</v>
      </c>
      <c r="BJ312" t="s">
        <v>126</v>
      </c>
      <c r="BK312" t="s">
        <v>126</v>
      </c>
      <c r="BS312" t="s">
        <v>126</v>
      </c>
      <c r="BT312" t="s">
        <v>126</v>
      </c>
      <c r="BU312" t="s">
        <v>126</v>
      </c>
      <c r="BV312" t="s">
        <v>126</v>
      </c>
      <c r="CN312" t="s">
        <v>147</v>
      </c>
      <c r="CP312" t="s">
        <v>149</v>
      </c>
      <c r="CQ312" t="s">
        <v>147</v>
      </c>
    </row>
    <row r="313" spans="1:95" x14ac:dyDescent="0.2">
      <c r="A313" t="s">
        <v>115</v>
      </c>
      <c r="B313" t="s">
        <v>116</v>
      </c>
      <c r="C313">
        <v>210784</v>
      </c>
      <c r="E313" t="s">
        <v>117</v>
      </c>
      <c r="F313">
        <v>368</v>
      </c>
      <c r="G313" t="s">
        <v>141</v>
      </c>
      <c r="H313" t="s">
        <v>142</v>
      </c>
      <c r="I313" t="s">
        <v>143</v>
      </c>
      <c r="J313" t="s">
        <v>144</v>
      </c>
      <c r="L313" s="14">
        <v>45366</v>
      </c>
      <c r="M313" s="18">
        <f t="shared" si="7"/>
        <v>45352</v>
      </c>
      <c r="N313">
        <v>2346</v>
      </c>
      <c r="O313" t="s">
        <v>123</v>
      </c>
      <c r="P313" t="s">
        <v>146</v>
      </c>
      <c r="Q313">
        <v>0.21</v>
      </c>
      <c r="R313" t="s">
        <v>125</v>
      </c>
      <c r="S313" t="s">
        <v>126</v>
      </c>
      <c r="T313" t="s">
        <v>125</v>
      </c>
      <c r="U313" t="s">
        <v>126</v>
      </c>
      <c r="W313">
        <v>0.21</v>
      </c>
      <c r="Y313">
        <v>0.21</v>
      </c>
      <c r="AB313">
        <v>0.21</v>
      </c>
      <c r="BH313" t="s">
        <v>126</v>
      </c>
      <c r="BI313" t="s">
        <v>126</v>
      </c>
      <c r="BJ313" t="s">
        <v>126</v>
      </c>
      <c r="BK313" t="s">
        <v>126</v>
      </c>
      <c r="BS313" t="s">
        <v>126</v>
      </c>
      <c r="BT313" t="s">
        <v>126</v>
      </c>
      <c r="BU313" t="s">
        <v>126</v>
      </c>
      <c r="BV313" t="s">
        <v>126</v>
      </c>
      <c r="CN313" t="s">
        <v>147</v>
      </c>
      <c r="CP313" t="s">
        <v>148</v>
      </c>
      <c r="CQ313" t="s">
        <v>147</v>
      </c>
    </row>
    <row r="314" spans="1:95" x14ac:dyDescent="0.2">
      <c r="A314" t="s">
        <v>115</v>
      </c>
      <c r="B314" t="s">
        <v>116</v>
      </c>
      <c r="C314">
        <v>210784</v>
      </c>
      <c r="E314" t="s">
        <v>117</v>
      </c>
      <c r="F314">
        <v>368</v>
      </c>
      <c r="G314" t="s">
        <v>141</v>
      </c>
      <c r="H314" t="s">
        <v>142</v>
      </c>
      <c r="I314" t="s">
        <v>143</v>
      </c>
      <c r="J314" t="s">
        <v>144</v>
      </c>
      <c r="L314" s="14">
        <v>45369</v>
      </c>
      <c r="M314" s="18">
        <f t="shared" si="7"/>
        <v>45352</v>
      </c>
      <c r="N314">
        <v>2316</v>
      </c>
      <c r="O314" t="s">
        <v>123</v>
      </c>
      <c r="P314" t="s">
        <v>146</v>
      </c>
      <c r="Q314">
        <v>0.31</v>
      </c>
      <c r="R314" t="s">
        <v>125</v>
      </c>
      <c r="S314" t="s">
        <v>126</v>
      </c>
      <c r="T314" t="s">
        <v>125</v>
      </c>
      <c r="U314" t="s">
        <v>126</v>
      </c>
      <c r="W314">
        <v>0.31</v>
      </c>
      <c r="Y314">
        <v>0.31</v>
      </c>
      <c r="AB314">
        <v>0.31</v>
      </c>
      <c r="BH314" t="s">
        <v>126</v>
      </c>
      <c r="BI314" t="s">
        <v>126</v>
      </c>
      <c r="BJ314" t="s">
        <v>126</v>
      </c>
      <c r="BK314" t="s">
        <v>126</v>
      </c>
      <c r="BS314" t="s">
        <v>126</v>
      </c>
      <c r="BT314" t="s">
        <v>126</v>
      </c>
      <c r="BU314" t="s">
        <v>126</v>
      </c>
      <c r="BV314" t="s">
        <v>126</v>
      </c>
      <c r="CN314" t="s">
        <v>147</v>
      </c>
      <c r="CP314" t="s">
        <v>148</v>
      </c>
      <c r="CQ314" t="s">
        <v>147</v>
      </c>
    </row>
    <row r="315" spans="1:95" x14ac:dyDescent="0.2">
      <c r="A315" t="s">
        <v>115</v>
      </c>
      <c r="B315" t="s">
        <v>116</v>
      </c>
      <c r="C315">
        <v>210784</v>
      </c>
      <c r="E315" t="s">
        <v>117</v>
      </c>
      <c r="F315">
        <v>368</v>
      </c>
      <c r="G315" t="s">
        <v>141</v>
      </c>
      <c r="H315" t="s">
        <v>142</v>
      </c>
      <c r="I315" t="s">
        <v>279</v>
      </c>
      <c r="J315" t="s">
        <v>280</v>
      </c>
      <c r="L315" s="14">
        <v>45369</v>
      </c>
      <c r="M315" s="18">
        <f t="shared" si="7"/>
        <v>45352</v>
      </c>
      <c r="N315">
        <v>5454057</v>
      </c>
      <c r="O315" t="s">
        <v>123</v>
      </c>
      <c r="P315" t="s">
        <v>146</v>
      </c>
      <c r="Q315">
        <v>3.31</v>
      </c>
      <c r="R315" t="s">
        <v>125</v>
      </c>
      <c r="S315" t="s">
        <v>126</v>
      </c>
      <c r="T315" t="s">
        <v>125</v>
      </c>
      <c r="U315" t="s">
        <v>126</v>
      </c>
      <c r="W315">
        <v>3.31</v>
      </c>
      <c r="Y315">
        <v>3.31</v>
      </c>
      <c r="BE315">
        <v>3.31</v>
      </c>
      <c r="BH315" t="s">
        <v>126</v>
      </c>
      <c r="BI315" t="s">
        <v>126</v>
      </c>
      <c r="BJ315" t="s">
        <v>126</v>
      </c>
      <c r="BK315" t="s">
        <v>126</v>
      </c>
      <c r="BS315" t="s">
        <v>126</v>
      </c>
      <c r="BT315" t="s">
        <v>126</v>
      </c>
      <c r="BU315" t="s">
        <v>126</v>
      </c>
      <c r="BV315" t="s">
        <v>126</v>
      </c>
      <c r="CN315" t="s">
        <v>147</v>
      </c>
      <c r="CP315" t="s">
        <v>148</v>
      </c>
      <c r="CQ315" t="s">
        <v>147</v>
      </c>
    </row>
    <row r="316" spans="1:95" x14ac:dyDescent="0.2">
      <c r="A316" t="s">
        <v>115</v>
      </c>
      <c r="B316" t="s">
        <v>116</v>
      </c>
      <c r="C316">
        <v>210784</v>
      </c>
      <c r="E316" t="s">
        <v>117</v>
      </c>
      <c r="F316">
        <v>368</v>
      </c>
      <c r="G316" t="s">
        <v>141</v>
      </c>
      <c r="H316" t="s">
        <v>142</v>
      </c>
      <c r="I316" t="s">
        <v>143</v>
      </c>
      <c r="J316" t="s">
        <v>144</v>
      </c>
      <c r="L316" s="14">
        <v>45370</v>
      </c>
      <c r="M316" s="18">
        <f t="shared" si="7"/>
        <v>45352</v>
      </c>
      <c r="N316">
        <v>105629</v>
      </c>
      <c r="O316" t="s">
        <v>123</v>
      </c>
      <c r="P316" t="s">
        <v>146</v>
      </c>
      <c r="Q316">
        <v>0.47</v>
      </c>
      <c r="R316" t="s">
        <v>125</v>
      </c>
      <c r="S316" t="s">
        <v>126</v>
      </c>
      <c r="T316" t="s">
        <v>125</v>
      </c>
      <c r="U316" t="s">
        <v>126</v>
      </c>
      <c r="W316">
        <v>0.47</v>
      </c>
      <c r="Y316">
        <v>0.47</v>
      </c>
      <c r="AB316">
        <v>0.47</v>
      </c>
      <c r="BH316" t="s">
        <v>126</v>
      </c>
      <c r="BI316" t="s">
        <v>126</v>
      </c>
      <c r="BJ316" t="s">
        <v>126</v>
      </c>
      <c r="BK316" t="s">
        <v>126</v>
      </c>
      <c r="BS316" t="s">
        <v>126</v>
      </c>
      <c r="BT316" t="s">
        <v>126</v>
      </c>
      <c r="BU316" t="s">
        <v>126</v>
      </c>
      <c r="BV316" t="s">
        <v>126</v>
      </c>
      <c r="CN316" t="s">
        <v>147</v>
      </c>
      <c r="CP316" t="s">
        <v>148</v>
      </c>
      <c r="CQ316" t="s">
        <v>147</v>
      </c>
    </row>
    <row r="317" spans="1:95" x14ac:dyDescent="0.2">
      <c r="A317" t="s">
        <v>115</v>
      </c>
      <c r="B317" t="s">
        <v>116</v>
      </c>
      <c r="C317">
        <v>210784</v>
      </c>
      <c r="E317" t="s">
        <v>117</v>
      </c>
      <c r="F317">
        <v>368</v>
      </c>
      <c r="G317" t="s">
        <v>141</v>
      </c>
      <c r="H317" t="s">
        <v>142</v>
      </c>
      <c r="I317" t="s">
        <v>279</v>
      </c>
      <c r="J317" t="s">
        <v>280</v>
      </c>
      <c r="L317" s="14">
        <v>45370</v>
      </c>
      <c r="M317" s="18">
        <f t="shared" si="7"/>
        <v>45352</v>
      </c>
      <c r="N317">
        <v>5455133</v>
      </c>
      <c r="O317" t="s">
        <v>123</v>
      </c>
      <c r="P317" t="s">
        <v>146</v>
      </c>
      <c r="Q317">
        <v>3.49</v>
      </c>
      <c r="R317" t="s">
        <v>596</v>
      </c>
      <c r="S317" t="s">
        <v>126</v>
      </c>
      <c r="T317" t="s">
        <v>596</v>
      </c>
      <c r="U317" t="s">
        <v>597</v>
      </c>
      <c r="W317">
        <v>1.08</v>
      </c>
      <c r="X317">
        <v>2.41</v>
      </c>
      <c r="Y317">
        <v>3.49</v>
      </c>
      <c r="Z317">
        <v>1.32</v>
      </c>
      <c r="AG317">
        <v>1.08</v>
      </c>
      <c r="AI317">
        <v>1.0900000000000001</v>
      </c>
      <c r="BH317" t="s">
        <v>126</v>
      </c>
      <c r="BI317" t="s">
        <v>126</v>
      </c>
      <c r="BJ317" t="s">
        <v>126</v>
      </c>
      <c r="BK317" t="s">
        <v>126</v>
      </c>
      <c r="BS317" t="s">
        <v>126</v>
      </c>
      <c r="BT317" t="s">
        <v>126</v>
      </c>
      <c r="BU317" t="s">
        <v>126</v>
      </c>
      <c r="BV317" t="s">
        <v>126</v>
      </c>
      <c r="CN317" t="s">
        <v>147</v>
      </c>
      <c r="CP317" t="s">
        <v>148</v>
      </c>
      <c r="CQ317" t="s">
        <v>147</v>
      </c>
    </row>
    <row r="318" spans="1:95" x14ac:dyDescent="0.2">
      <c r="A318" t="s">
        <v>115</v>
      </c>
      <c r="B318" t="s">
        <v>116</v>
      </c>
      <c r="C318">
        <v>210784</v>
      </c>
      <c r="E318" t="s">
        <v>117</v>
      </c>
      <c r="F318">
        <v>368</v>
      </c>
      <c r="G318" t="s">
        <v>141</v>
      </c>
      <c r="H318" t="s">
        <v>142</v>
      </c>
      <c r="I318" t="s">
        <v>279</v>
      </c>
      <c r="J318" t="s">
        <v>280</v>
      </c>
      <c r="L318" s="14">
        <v>45370</v>
      </c>
      <c r="M318" s="18">
        <f t="shared" si="7"/>
        <v>45352</v>
      </c>
      <c r="N318">
        <v>5455113</v>
      </c>
      <c r="O318" t="s">
        <v>123</v>
      </c>
      <c r="P318" t="s">
        <v>146</v>
      </c>
      <c r="Q318">
        <v>3.56</v>
      </c>
      <c r="R318" t="s">
        <v>125</v>
      </c>
      <c r="S318" t="s">
        <v>126</v>
      </c>
      <c r="T318" t="s">
        <v>125</v>
      </c>
      <c r="U318" t="s">
        <v>126</v>
      </c>
      <c r="W318">
        <v>3.56</v>
      </c>
      <c r="Y318">
        <v>3.56</v>
      </c>
      <c r="BE318">
        <v>3.56</v>
      </c>
      <c r="BH318" t="s">
        <v>126</v>
      </c>
      <c r="BI318" t="s">
        <v>126</v>
      </c>
      <c r="BJ318" t="s">
        <v>126</v>
      </c>
      <c r="BK318" t="s">
        <v>126</v>
      </c>
      <c r="BS318" t="s">
        <v>126</v>
      </c>
      <c r="BT318" t="s">
        <v>126</v>
      </c>
      <c r="BU318" t="s">
        <v>126</v>
      </c>
      <c r="BV318" t="s">
        <v>126</v>
      </c>
      <c r="CN318" t="s">
        <v>147</v>
      </c>
      <c r="CP318" t="s">
        <v>148</v>
      </c>
      <c r="CQ318" t="s">
        <v>147</v>
      </c>
    </row>
    <row r="319" spans="1:95" x14ac:dyDescent="0.2">
      <c r="A319" t="s">
        <v>115</v>
      </c>
      <c r="B319" t="s">
        <v>116</v>
      </c>
      <c r="C319">
        <v>210784</v>
      </c>
      <c r="E319" t="s">
        <v>117</v>
      </c>
      <c r="F319">
        <v>368</v>
      </c>
      <c r="G319" t="s">
        <v>229</v>
      </c>
      <c r="H319" t="s">
        <v>230</v>
      </c>
      <c r="I319" t="s">
        <v>204</v>
      </c>
      <c r="J319" t="s">
        <v>205</v>
      </c>
      <c r="L319" s="14">
        <v>45371</v>
      </c>
      <c r="M319" s="18">
        <f t="shared" si="7"/>
        <v>45352</v>
      </c>
      <c r="N319">
        <v>99405</v>
      </c>
      <c r="O319" t="s">
        <v>123</v>
      </c>
      <c r="P319" t="s">
        <v>146</v>
      </c>
      <c r="Q319">
        <v>10.36</v>
      </c>
      <c r="R319" t="s">
        <v>125</v>
      </c>
      <c r="S319" t="s">
        <v>126</v>
      </c>
      <c r="T319" t="s">
        <v>125</v>
      </c>
      <c r="U319" t="s">
        <v>126</v>
      </c>
      <c r="W319">
        <v>10.36</v>
      </c>
      <c r="Y319">
        <v>10.36</v>
      </c>
      <c r="AC319">
        <v>10.36</v>
      </c>
      <c r="BH319" t="s">
        <v>126</v>
      </c>
      <c r="BI319" t="s">
        <v>126</v>
      </c>
      <c r="BJ319" t="s">
        <v>126</v>
      </c>
      <c r="BK319" t="s">
        <v>126</v>
      </c>
      <c r="BS319" t="s">
        <v>126</v>
      </c>
      <c r="BT319" t="s">
        <v>126</v>
      </c>
      <c r="BU319" t="s">
        <v>126</v>
      </c>
      <c r="BV319" t="s">
        <v>126</v>
      </c>
      <c r="CN319" t="s">
        <v>230</v>
      </c>
      <c r="CP319" t="s">
        <v>231</v>
      </c>
      <c r="CQ319" t="s">
        <v>230</v>
      </c>
    </row>
    <row r="320" spans="1:95" x14ac:dyDescent="0.2">
      <c r="A320" t="s">
        <v>115</v>
      </c>
      <c r="B320" t="s">
        <v>116</v>
      </c>
      <c r="C320">
        <v>210784</v>
      </c>
      <c r="E320" t="s">
        <v>117</v>
      </c>
      <c r="F320">
        <v>368</v>
      </c>
      <c r="G320" t="s">
        <v>141</v>
      </c>
      <c r="H320" t="s">
        <v>142</v>
      </c>
      <c r="I320" t="s">
        <v>204</v>
      </c>
      <c r="J320" t="s">
        <v>205</v>
      </c>
      <c r="L320" s="14">
        <v>45371</v>
      </c>
      <c r="M320" s="18">
        <f t="shared" si="7"/>
        <v>45352</v>
      </c>
      <c r="N320">
        <v>99405</v>
      </c>
      <c r="O320" t="s">
        <v>123</v>
      </c>
      <c r="P320" t="s">
        <v>146</v>
      </c>
      <c r="Q320">
        <v>10.36</v>
      </c>
      <c r="R320" t="s">
        <v>125</v>
      </c>
      <c r="S320" t="s">
        <v>126</v>
      </c>
      <c r="T320" t="s">
        <v>125</v>
      </c>
      <c r="U320" t="s">
        <v>126</v>
      </c>
      <c r="W320">
        <v>10.36</v>
      </c>
      <c r="Y320">
        <v>10.36</v>
      </c>
      <c r="AC320">
        <v>10.36</v>
      </c>
      <c r="BH320" t="s">
        <v>126</v>
      </c>
      <c r="BI320" t="s">
        <v>126</v>
      </c>
      <c r="BJ320" t="s">
        <v>126</v>
      </c>
      <c r="BK320" t="s">
        <v>126</v>
      </c>
      <c r="BS320" t="s">
        <v>126</v>
      </c>
      <c r="BT320" t="s">
        <v>126</v>
      </c>
      <c r="BU320" t="s">
        <v>126</v>
      </c>
      <c r="BV320" t="s">
        <v>126</v>
      </c>
      <c r="CN320" t="s">
        <v>147</v>
      </c>
      <c r="CP320" t="s">
        <v>258</v>
      </c>
      <c r="CQ320" t="s">
        <v>147</v>
      </c>
    </row>
    <row r="321" spans="1:95" x14ac:dyDescent="0.2">
      <c r="A321" t="s">
        <v>115</v>
      </c>
      <c r="B321" t="s">
        <v>116</v>
      </c>
      <c r="C321">
        <v>210784</v>
      </c>
      <c r="E321" t="s">
        <v>117</v>
      </c>
      <c r="F321">
        <v>368</v>
      </c>
      <c r="G321" t="s">
        <v>141</v>
      </c>
      <c r="H321" t="s">
        <v>142</v>
      </c>
      <c r="I321" t="s">
        <v>279</v>
      </c>
      <c r="J321" t="s">
        <v>280</v>
      </c>
      <c r="L321" s="14">
        <v>45371</v>
      </c>
      <c r="M321" s="18">
        <f t="shared" si="7"/>
        <v>45352</v>
      </c>
      <c r="N321">
        <v>5455972</v>
      </c>
      <c r="O321" t="s">
        <v>123</v>
      </c>
      <c r="P321" t="s">
        <v>146</v>
      </c>
      <c r="Q321">
        <v>2.36</v>
      </c>
      <c r="R321" t="s">
        <v>125</v>
      </c>
      <c r="S321" t="s">
        <v>126</v>
      </c>
      <c r="T321" t="s">
        <v>125</v>
      </c>
      <c r="U321" t="s">
        <v>126</v>
      </c>
      <c r="W321">
        <v>2.36</v>
      </c>
      <c r="Y321">
        <v>2.36</v>
      </c>
      <c r="BE321">
        <v>2.36</v>
      </c>
      <c r="BH321" t="s">
        <v>126</v>
      </c>
      <c r="BI321" t="s">
        <v>126</v>
      </c>
      <c r="BJ321" t="s">
        <v>126</v>
      </c>
      <c r="BK321" t="s">
        <v>126</v>
      </c>
      <c r="BS321" t="s">
        <v>126</v>
      </c>
      <c r="BT321" t="s">
        <v>126</v>
      </c>
      <c r="BU321" t="s">
        <v>126</v>
      </c>
      <c r="BV321" t="s">
        <v>126</v>
      </c>
      <c r="CN321" t="s">
        <v>147</v>
      </c>
      <c r="CP321" t="s">
        <v>148</v>
      </c>
      <c r="CQ321" t="s">
        <v>147</v>
      </c>
    </row>
    <row r="322" spans="1:95" x14ac:dyDescent="0.2">
      <c r="A322" t="s">
        <v>115</v>
      </c>
      <c r="B322" t="s">
        <v>116</v>
      </c>
      <c r="C322">
        <v>210784</v>
      </c>
      <c r="E322" t="s">
        <v>117</v>
      </c>
      <c r="F322">
        <v>368</v>
      </c>
      <c r="G322" t="s">
        <v>229</v>
      </c>
      <c r="H322" t="s">
        <v>230</v>
      </c>
      <c r="I322" t="s">
        <v>204</v>
      </c>
      <c r="J322" t="s">
        <v>205</v>
      </c>
      <c r="L322" s="14">
        <v>45376</v>
      </c>
      <c r="M322" s="18">
        <f t="shared" si="7"/>
        <v>45352</v>
      </c>
      <c r="N322">
        <v>99602</v>
      </c>
      <c r="O322" t="s">
        <v>123</v>
      </c>
      <c r="P322" t="s">
        <v>146</v>
      </c>
      <c r="Q322">
        <v>9.27</v>
      </c>
      <c r="R322" t="s">
        <v>125</v>
      </c>
      <c r="S322" t="s">
        <v>126</v>
      </c>
      <c r="T322" t="s">
        <v>125</v>
      </c>
      <c r="U322" t="s">
        <v>126</v>
      </c>
      <c r="W322">
        <v>9.27</v>
      </c>
      <c r="Y322">
        <v>9.27</v>
      </c>
      <c r="AC322">
        <v>9.27</v>
      </c>
      <c r="BH322" t="s">
        <v>126</v>
      </c>
      <c r="BI322" t="s">
        <v>126</v>
      </c>
      <c r="BJ322" t="s">
        <v>126</v>
      </c>
      <c r="BK322" t="s">
        <v>126</v>
      </c>
      <c r="BS322" t="s">
        <v>126</v>
      </c>
      <c r="BT322" t="s">
        <v>126</v>
      </c>
      <c r="BU322" t="s">
        <v>126</v>
      </c>
      <c r="BV322" t="s">
        <v>126</v>
      </c>
      <c r="CN322" t="s">
        <v>230</v>
      </c>
      <c r="CP322" t="s">
        <v>231</v>
      </c>
      <c r="CQ322" t="s">
        <v>230</v>
      </c>
    </row>
    <row r="323" spans="1:95" x14ac:dyDescent="0.2">
      <c r="A323" t="s">
        <v>115</v>
      </c>
      <c r="B323" t="s">
        <v>116</v>
      </c>
      <c r="C323">
        <v>210784</v>
      </c>
      <c r="E323" t="s">
        <v>117</v>
      </c>
      <c r="F323">
        <v>368</v>
      </c>
      <c r="G323" t="s">
        <v>141</v>
      </c>
      <c r="H323" t="s">
        <v>142</v>
      </c>
      <c r="I323" t="s">
        <v>204</v>
      </c>
      <c r="J323" t="s">
        <v>205</v>
      </c>
      <c r="L323" s="14">
        <v>45376</v>
      </c>
      <c r="M323" s="18">
        <f t="shared" si="7"/>
        <v>45352</v>
      </c>
      <c r="N323">
        <v>99586</v>
      </c>
      <c r="O323" t="s">
        <v>123</v>
      </c>
      <c r="P323" t="s">
        <v>146</v>
      </c>
      <c r="Q323">
        <v>4.7</v>
      </c>
      <c r="R323" t="s">
        <v>125</v>
      </c>
      <c r="S323" t="s">
        <v>126</v>
      </c>
      <c r="T323" t="s">
        <v>125</v>
      </c>
      <c r="U323" t="s">
        <v>126</v>
      </c>
      <c r="W323">
        <v>4.7</v>
      </c>
      <c r="Y323">
        <v>4.7</v>
      </c>
      <c r="AC323">
        <v>4.7</v>
      </c>
      <c r="BH323" t="s">
        <v>126</v>
      </c>
      <c r="BI323" t="s">
        <v>126</v>
      </c>
      <c r="BJ323" t="s">
        <v>126</v>
      </c>
      <c r="BK323" t="s">
        <v>126</v>
      </c>
      <c r="BS323" t="s">
        <v>126</v>
      </c>
      <c r="BT323" t="s">
        <v>126</v>
      </c>
      <c r="BU323" t="s">
        <v>126</v>
      </c>
      <c r="BV323" t="s">
        <v>126</v>
      </c>
      <c r="CN323" t="s">
        <v>147</v>
      </c>
      <c r="CP323" t="s">
        <v>258</v>
      </c>
      <c r="CQ323" t="s">
        <v>147</v>
      </c>
    </row>
    <row r="324" spans="1:95" x14ac:dyDescent="0.2">
      <c r="A324" t="s">
        <v>115</v>
      </c>
      <c r="B324" t="s">
        <v>116</v>
      </c>
      <c r="C324">
        <v>210784</v>
      </c>
      <c r="E324" t="s">
        <v>117</v>
      </c>
      <c r="F324">
        <v>368</v>
      </c>
      <c r="G324" t="s">
        <v>141</v>
      </c>
      <c r="H324" t="s">
        <v>142</v>
      </c>
      <c r="I324" t="s">
        <v>204</v>
      </c>
      <c r="J324" t="s">
        <v>205</v>
      </c>
      <c r="L324" s="14">
        <v>45376</v>
      </c>
      <c r="M324" s="18">
        <f t="shared" si="7"/>
        <v>45352</v>
      </c>
      <c r="N324">
        <v>99602</v>
      </c>
      <c r="O324" t="s">
        <v>123</v>
      </c>
      <c r="P324" t="s">
        <v>146</v>
      </c>
      <c r="Q324">
        <v>9.27</v>
      </c>
      <c r="R324" t="s">
        <v>125</v>
      </c>
      <c r="S324" t="s">
        <v>126</v>
      </c>
      <c r="T324" t="s">
        <v>125</v>
      </c>
      <c r="U324" t="s">
        <v>126</v>
      </c>
      <c r="W324">
        <v>9.27</v>
      </c>
      <c r="Y324">
        <v>9.27</v>
      </c>
      <c r="AC324">
        <v>9.27</v>
      </c>
      <c r="BH324" t="s">
        <v>126</v>
      </c>
      <c r="BI324" t="s">
        <v>126</v>
      </c>
      <c r="BJ324" t="s">
        <v>126</v>
      </c>
      <c r="BK324" t="s">
        <v>126</v>
      </c>
      <c r="BS324" t="s">
        <v>126</v>
      </c>
      <c r="BT324" t="s">
        <v>126</v>
      </c>
      <c r="BU324" t="s">
        <v>126</v>
      </c>
      <c r="BV324" t="s">
        <v>126</v>
      </c>
      <c r="CN324" t="s">
        <v>147</v>
      </c>
      <c r="CP324" t="s">
        <v>258</v>
      </c>
      <c r="CQ324" t="s">
        <v>147</v>
      </c>
    </row>
    <row r="325" spans="1:95" x14ac:dyDescent="0.2">
      <c r="A325" t="s">
        <v>115</v>
      </c>
      <c r="B325" t="s">
        <v>116</v>
      </c>
      <c r="C325">
        <v>210784</v>
      </c>
      <c r="E325" t="s">
        <v>117</v>
      </c>
      <c r="F325">
        <v>368</v>
      </c>
      <c r="G325" t="s">
        <v>141</v>
      </c>
      <c r="H325" t="s">
        <v>142</v>
      </c>
      <c r="I325" t="s">
        <v>279</v>
      </c>
      <c r="J325" t="s">
        <v>280</v>
      </c>
      <c r="L325" s="14">
        <v>45376</v>
      </c>
      <c r="M325" s="18">
        <f t="shared" si="7"/>
        <v>45352</v>
      </c>
      <c r="N325">
        <v>5458262</v>
      </c>
      <c r="O325" t="s">
        <v>123</v>
      </c>
      <c r="P325" t="s">
        <v>146</v>
      </c>
      <c r="Q325">
        <v>2.59</v>
      </c>
      <c r="R325" t="s">
        <v>598</v>
      </c>
      <c r="S325" t="s">
        <v>126</v>
      </c>
      <c r="T325" t="s">
        <v>598</v>
      </c>
      <c r="U325" t="s">
        <v>599</v>
      </c>
      <c r="W325">
        <v>0.8</v>
      </c>
      <c r="X325">
        <v>1.79</v>
      </c>
      <c r="Y325">
        <v>2.59</v>
      </c>
      <c r="Z325">
        <v>0.98</v>
      </c>
      <c r="AG325">
        <v>0.8</v>
      </c>
      <c r="AI325">
        <v>0.81</v>
      </c>
      <c r="BH325" t="s">
        <v>126</v>
      </c>
      <c r="BI325" t="s">
        <v>126</v>
      </c>
      <c r="BJ325" t="s">
        <v>126</v>
      </c>
      <c r="BK325" t="s">
        <v>126</v>
      </c>
      <c r="BS325" t="s">
        <v>126</v>
      </c>
      <c r="BT325" t="s">
        <v>126</v>
      </c>
      <c r="BU325" t="s">
        <v>126</v>
      </c>
      <c r="BV325" t="s">
        <v>126</v>
      </c>
      <c r="CN325" t="s">
        <v>147</v>
      </c>
      <c r="CP325" t="s">
        <v>600</v>
      </c>
      <c r="CQ325" t="s">
        <v>147</v>
      </c>
    </row>
    <row r="326" spans="1:95" x14ac:dyDescent="0.2">
      <c r="A326" t="s">
        <v>115</v>
      </c>
      <c r="B326" t="s">
        <v>116</v>
      </c>
      <c r="C326">
        <v>210784</v>
      </c>
      <c r="E326" t="s">
        <v>117</v>
      </c>
      <c r="F326">
        <v>368</v>
      </c>
      <c r="G326" t="s">
        <v>141</v>
      </c>
      <c r="H326" t="s">
        <v>142</v>
      </c>
      <c r="I326" t="s">
        <v>279</v>
      </c>
      <c r="J326" t="s">
        <v>280</v>
      </c>
      <c r="L326" s="14">
        <v>45376</v>
      </c>
      <c r="M326" s="18">
        <f t="shared" si="7"/>
        <v>45352</v>
      </c>
      <c r="N326">
        <v>5458514</v>
      </c>
      <c r="O326" t="s">
        <v>123</v>
      </c>
      <c r="P326" t="s">
        <v>146</v>
      </c>
      <c r="Q326">
        <v>4.2300000000000004</v>
      </c>
      <c r="R326" t="s">
        <v>125</v>
      </c>
      <c r="S326" t="s">
        <v>126</v>
      </c>
      <c r="T326" t="s">
        <v>125</v>
      </c>
      <c r="U326" t="s">
        <v>126</v>
      </c>
      <c r="W326">
        <v>4.2300000000000004</v>
      </c>
      <c r="Y326">
        <v>4.2300000000000004</v>
      </c>
      <c r="BE326">
        <v>4.2300000000000004</v>
      </c>
      <c r="BH326" t="s">
        <v>126</v>
      </c>
      <c r="BI326" t="s">
        <v>126</v>
      </c>
      <c r="BJ326" t="s">
        <v>126</v>
      </c>
      <c r="BK326" t="s">
        <v>126</v>
      </c>
      <c r="BS326" t="s">
        <v>126</v>
      </c>
      <c r="BT326" t="s">
        <v>126</v>
      </c>
      <c r="BU326" t="s">
        <v>126</v>
      </c>
      <c r="BV326" t="s">
        <v>126</v>
      </c>
      <c r="CN326" t="s">
        <v>147</v>
      </c>
      <c r="CP326" t="s">
        <v>600</v>
      </c>
      <c r="CQ326" t="s">
        <v>147</v>
      </c>
    </row>
    <row r="327" spans="1:95" x14ac:dyDescent="0.2">
      <c r="A327" t="s">
        <v>115</v>
      </c>
      <c r="B327" t="s">
        <v>116</v>
      </c>
      <c r="C327">
        <v>210784</v>
      </c>
      <c r="E327" t="s">
        <v>117</v>
      </c>
      <c r="F327">
        <v>368</v>
      </c>
      <c r="G327" t="s">
        <v>141</v>
      </c>
      <c r="H327" t="s">
        <v>142</v>
      </c>
      <c r="I327" t="s">
        <v>279</v>
      </c>
      <c r="J327" t="s">
        <v>280</v>
      </c>
      <c r="L327" s="14">
        <v>45377</v>
      </c>
      <c r="M327" s="18">
        <f t="shared" si="7"/>
        <v>45352</v>
      </c>
      <c r="N327">
        <v>5459647</v>
      </c>
      <c r="O327" t="s">
        <v>123</v>
      </c>
      <c r="P327" t="s">
        <v>146</v>
      </c>
      <c r="Q327">
        <v>4.12</v>
      </c>
      <c r="R327" t="s">
        <v>602</v>
      </c>
      <c r="S327" t="s">
        <v>126</v>
      </c>
      <c r="T327" t="s">
        <v>602</v>
      </c>
      <c r="U327" t="s">
        <v>603</v>
      </c>
      <c r="W327">
        <v>1.27</v>
      </c>
      <c r="X327">
        <v>2.85</v>
      </c>
      <c r="Y327">
        <v>4.12</v>
      </c>
      <c r="Z327">
        <v>1.57</v>
      </c>
      <c r="AG327">
        <v>1.27</v>
      </c>
      <c r="AI327">
        <v>1.28</v>
      </c>
      <c r="BH327" t="s">
        <v>126</v>
      </c>
      <c r="BI327" t="s">
        <v>126</v>
      </c>
      <c r="BJ327" t="s">
        <v>126</v>
      </c>
      <c r="BK327" t="s">
        <v>126</v>
      </c>
      <c r="BS327" t="s">
        <v>126</v>
      </c>
      <c r="BT327" t="s">
        <v>126</v>
      </c>
      <c r="BU327" t="s">
        <v>126</v>
      </c>
      <c r="BV327" t="s">
        <v>126</v>
      </c>
      <c r="CN327" t="s">
        <v>147</v>
      </c>
      <c r="CP327" t="s">
        <v>600</v>
      </c>
      <c r="CQ327" t="s">
        <v>147</v>
      </c>
    </row>
    <row r="328" spans="1:95" x14ac:dyDescent="0.2">
      <c r="A328" t="s">
        <v>115</v>
      </c>
      <c r="B328" t="s">
        <v>116</v>
      </c>
      <c r="C328">
        <v>210784</v>
      </c>
      <c r="E328" t="s">
        <v>117</v>
      </c>
      <c r="F328">
        <v>368</v>
      </c>
      <c r="G328" t="s">
        <v>141</v>
      </c>
      <c r="H328" t="s">
        <v>142</v>
      </c>
      <c r="I328" t="s">
        <v>279</v>
      </c>
      <c r="J328" t="s">
        <v>280</v>
      </c>
      <c r="L328" s="14">
        <v>45378</v>
      </c>
      <c r="M328" s="18">
        <f t="shared" si="7"/>
        <v>45352</v>
      </c>
      <c r="N328">
        <v>5459935</v>
      </c>
      <c r="O328" t="s">
        <v>123</v>
      </c>
      <c r="P328" t="s">
        <v>146</v>
      </c>
      <c r="Q328">
        <v>2.7</v>
      </c>
      <c r="R328" t="s">
        <v>125</v>
      </c>
      <c r="S328" t="s">
        <v>126</v>
      </c>
      <c r="T328" t="s">
        <v>125</v>
      </c>
      <c r="U328" t="s">
        <v>126</v>
      </c>
      <c r="W328">
        <v>2.7</v>
      </c>
      <c r="Y328">
        <v>2.7</v>
      </c>
      <c r="BE328">
        <v>2.7</v>
      </c>
      <c r="BH328" t="s">
        <v>126</v>
      </c>
      <c r="BI328" t="s">
        <v>126</v>
      </c>
      <c r="BJ328" t="s">
        <v>126</v>
      </c>
      <c r="BK328" t="s">
        <v>126</v>
      </c>
      <c r="BS328" t="s">
        <v>126</v>
      </c>
      <c r="BT328" t="s">
        <v>126</v>
      </c>
      <c r="BU328" t="s">
        <v>126</v>
      </c>
      <c r="BV328" t="s">
        <v>126</v>
      </c>
      <c r="CN328" t="s">
        <v>147</v>
      </c>
      <c r="CP328" t="s">
        <v>600</v>
      </c>
      <c r="CQ328" t="s">
        <v>147</v>
      </c>
    </row>
    <row r="329" spans="1:95" x14ac:dyDescent="0.2">
      <c r="A329" t="s">
        <v>115</v>
      </c>
      <c r="B329" t="s">
        <v>116</v>
      </c>
      <c r="C329">
        <v>210784</v>
      </c>
      <c r="E329" t="s">
        <v>117</v>
      </c>
      <c r="F329">
        <v>368</v>
      </c>
      <c r="G329" t="s">
        <v>141</v>
      </c>
      <c r="H329" t="s">
        <v>142</v>
      </c>
      <c r="I329" t="s">
        <v>279</v>
      </c>
      <c r="J329" t="s">
        <v>280</v>
      </c>
      <c r="L329" s="14">
        <v>45378</v>
      </c>
      <c r="M329" s="18">
        <f t="shared" si="7"/>
        <v>45352</v>
      </c>
      <c r="N329">
        <v>5460334</v>
      </c>
      <c r="O329" t="s">
        <v>123</v>
      </c>
      <c r="P329" t="s">
        <v>146</v>
      </c>
      <c r="Q329">
        <v>1.92</v>
      </c>
      <c r="R329" t="s">
        <v>125</v>
      </c>
      <c r="S329" t="s">
        <v>126</v>
      </c>
      <c r="T329" t="s">
        <v>125</v>
      </c>
      <c r="U329" t="s">
        <v>126</v>
      </c>
      <c r="W329">
        <v>1.92</v>
      </c>
      <c r="Y329">
        <v>1.92</v>
      </c>
      <c r="BE329">
        <v>1.92</v>
      </c>
      <c r="BH329" t="s">
        <v>126</v>
      </c>
      <c r="BI329" t="s">
        <v>126</v>
      </c>
      <c r="BJ329" t="s">
        <v>126</v>
      </c>
      <c r="BK329" t="s">
        <v>126</v>
      </c>
      <c r="BS329" t="s">
        <v>126</v>
      </c>
      <c r="BT329" t="s">
        <v>126</v>
      </c>
      <c r="BU329" t="s">
        <v>126</v>
      </c>
      <c r="BV329" t="s">
        <v>126</v>
      </c>
      <c r="CN329" t="s">
        <v>147</v>
      </c>
      <c r="CP329" t="s">
        <v>600</v>
      </c>
      <c r="CQ329" t="s">
        <v>147</v>
      </c>
    </row>
    <row r="330" spans="1:95" x14ac:dyDescent="0.2">
      <c r="A330" t="s">
        <v>115</v>
      </c>
      <c r="B330" t="s">
        <v>116</v>
      </c>
      <c r="C330">
        <v>210784</v>
      </c>
      <c r="E330" t="s">
        <v>117</v>
      </c>
      <c r="F330">
        <v>368</v>
      </c>
      <c r="G330" t="s">
        <v>176</v>
      </c>
      <c r="H330" t="s">
        <v>177</v>
      </c>
      <c r="I330" t="s">
        <v>510</v>
      </c>
      <c r="J330" t="s">
        <v>511</v>
      </c>
      <c r="L330" s="14">
        <v>45379</v>
      </c>
      <c r="M330" s="18">
        <f t="shared" si="7"/>
        <v>45352</v>
      </c>
      <c r="N330">
        <v>345942</v>
      </c>
      <c r="O330" t="s">
        <v>123</v>
      </c>
      <c r="P330" t="s">
        <v>124</v>
      </c>
      <c r="Q330">
        <v>1.57</v>
      </c>
      <c r="R330" t="s">
        <v>125</v>
      </c>
      <c r="S330" t="s">
        <v>126</v>
      </c>
      <c r="T330" t="s">
        <v>125</v>
      </c>
      <c r="U330" t="s">
        <v>126</v>
      </c>
      <c r="W330">
        <v>1.57</v>
      </c>
      <c r="Y330">
        <v>1.57</v>
      </c>
      <c r="AF330">
        <v>1.57</v>
      </c>
      <c r="BH330" t="s">
        <v>126</v>
      </c>
      <c r="BI330" t="s">
        <v>126</v>
      </c>
      <c r="BJ330" t="s">
        <v>126</v>
      </c>
      <c r="BK330" t="s">
        <v>126</v>
      </c>
      <c r="BS330" t="s">
        <v>126</v>
      </c>
      <c r="BT330" t="s">
        <v>126</v>
      </c>
      <c r="BU330" t="s">
        <v>126</v>
      </c>
      <c r="BV330" t="s">
        <v>126</v>
      </c>
      <c r="CN330" t="s">
        <v>181</v>
      </c>
      <c r="CP330" t="s">
        <v>360</v>
      </c>
      <c r="CQ330" t="s">
        <v>181</v>
      </c>
    </row>
    <row r="331" spans="1:95" x14ac:dyDescent="0.2">
      <c r="A331" t="s">
        <v>115</v>
      </c>
      <c r="B331" t="s">
        <v>116</v>
      </c>
      <c r="C331">
        <v>210784</v>
      </c>
      <c r="E331" t="s">
        <v>117</v>
      </c>
      <c r="F331">
        <v>368</v>
      </c>
      <c r="G331" t="s">
        <v>141</v>
      </c>
      <c r="H331" t="s">
        <v>142</v>
      </c>
      <c r="I331" t="s">
        <v>279</v>
      </c>
      <c r="J331" t="s">
        <v>280</v>
      </c>
      <c r="L331" s="14">
        <v>45379</v>
      </c>
      <c r="M331" s="18">
        <f t="shared" ref="M331:M394" si="8">DATE(YEAR(L331), MONTH(L331), 1)</f>
        <v>45352</v>
      </c>
      <c r="N331">
        <v>5461198</v>
      </c>
      <c r="O331" t="s">
        <v>123</v>
      </c>
      <c r="P331" t="s">
        <v>146</v>
      </c>
      <c r="Q331">
        <v>4.0199999999999996</v>
      </c>
      <c r="R331" t="s">
        <v>125</v>
      </c>
      <c r="S331" t="s">
        <v>126</v>
      </c>
      <c r="T331" t="s">
        <v>125</v>
      </c>
      <c r="U331" t="s">
        <v>126</v>
      </c>
      <c r="W331">
        <v>4.0199999999999996</v>
      </c>
      <c r="Y331">
        <v>4.0199999999999996</v>
      </c>
      <c r="BE331">
        <v>4.0199999999999996</v>
      </c>
      <c r="BH331" t="s">
        <v>126</v>
      </c>
      <c r="BI331" t="s">
        <v>126</v>
      </c>
      <c r="BJ331" t="s">
        <v>126</v>
      </c>
      <c r="BK331" t="s">
        <v>126</v>
      </c>
      <c r="BS331" t="s">
        <v>126</v>
      </c>
      <c r="BT331" t="s">
        <v>126</v>
      </c>
      <c r="BU331" t="s">
        <v>126</v>
      </c>
      <c r="BV331" t="s">
        <v>126</v>
      </c>
      <c r="CN331" t="s">
        <v>147</v>
      </c>
      <c r="CP331" t="s">
        <v>600</v>
      </c>
      <c r="CQ331" t="s">
        <v>147</v>
      </c>
    </row>
    <row r="332" spans="1:95" x14ac:dyDescent="0.2">
      <c r="A332" t="s">
        <v>115</v>
      </c>
      <c r="B332" t="s">
        <v>116</v>
      </c>
      <c r="C332">
        <v>210784</v>
      </c>
      <c r="E332" t="s">
        <v>117</v>
      </c>
      <c r="F332">
        <v>368</v>
      </c>
      <c r="G332" t="s">
        <v>229</v>
      </c>
      <c r="H332" t="s">
        <v>230</v>
      </c>
      <c r="I332" t="s">
        <v>204</v>
      </c>
      <c r="J332" t="s">
        <v>205</v>
      </c>
      <c r="L332" s="14">
        <v>45380</v>
      </c>
      <c r="M332" s="18">
        <f t="shared" si="8"/>
        <v>45352</v>
      </c>
      <c r="N332">
        <v>99831</v>
      </c>
      <c r="O332" t="s">
        <v>123</v>
      </c>
      <c r="P332" t="s">
        <v>146</v>
      </c>
      <c r="Q332">
        <v>5.92</v>
      </c>
      <c r="R332" t="s">
        <v>125</v>
      </c>
      <c r="S332" t="s">
        <v>126</v>
      </c>
      <c r="T332" t="s">
        <v>125</v>
      </c>
      <c r="U332" t="s">
        <v>126</v>
      </c>
      <c r="W332">
        <v>5.92</v>
      </c>
      <c r="Y332">
        <v>5.92</v>
      </c>
      <c r="AC332">
        <v>5.92</v>
      </c>
      <c r="BH332" t="s">
        <v>126</v>
      </c>
      <c r="BI332" t="s">
        <v>126</v>
      </c>
      <c r="BJ332" t="s">
        <v>126</v>
      </c>
      <c r="BK332" t="s">
        <v>126</v>
      </c>
      <c r="BS332" t="s">
        <v>126</v>
      </c>
      <c r="BT332" t="s">
        <v>126</v>
      </c>
      <c r="BU332" t="s">
        <v>126</v>
      </c>
      <c r="BV332" t="s">
        <v>126</v>
      </c>
      <c r="CN332" t="s">
        <v>230</v>
      </c>
      <c r="CP332" t="s">
        <v>231</v>
      </c>
      <c r="CQ332" t="s">
        <v>230</v>
      </c>
    </row>
    <row r="333" spans="1:95" x14ac:dyDescent="0.2">
      <c r="A333" t="s">
        <v>115</v>
      </c>
      <c r="B333" t="s">
        <v>116</v>
      </c>
      <c r="C333">
        <v>210784</v>
      </c>
      <c r="E333" t="s">
        <v>117</v>
      </c>
      <c r="F333">
        <v>368</v>
      </c>
      <c r="G333" t="s">
        <v>141</v>
      </c>
      <c r="H333" t="s">
        <v>142</v>
      </c>
      <c r="I333" t="s">
        <v>204</v>
      </c>
      <c r="J333" t="s">
        <v>205</v>
      </c>
      <c r="L333" s="14">
        <v>45380</v>
      </c>
      <c r="M333" s="18">
        <f t="shared" si="8"/>
        <v>45352</v>
      </c>
      <c r="N333">
        <v>99831</v>
      </c>
      <c r="O333" t="s">
        <v>123</v>
      </c>
      <c r="P333" t="s">
        <v>146</v>
      </c>
      <c r="Q333">
        <v>5.92</v>
      </c>
      <c r="R333" t="s">
        <v>125</v>
      </c>
      <c r="S333" t="s">
        <v>126</v>
      </c>
      <c r="T333" t="s">
        <v>125</v>
      </c>
      <c r="U333" t="s">
        <v>126</v>
      </c>
      <c r="W333">
        <v>5.92</v>
      </c>
      <c r="Y333">
        <v>5.92</v>
      </c>
      <c r="AC333">
        <v>5.92</v>
      </c>
      <c r="BH333" t="s">
        <v>126</v>
      </c>
      <c r="BI333" t="s">
        <v>126</v>
      </c>
      <c r="BJ333" t="s">
        <v>126</v>
      </c>
      <c r="BK333" t="s">
        <v>126</v>
      </c>
      <c r="BS333" t="s">
        <v>126</v>
      </c>
      <c r="BT333" t="s">
        <v>126</v>
      </c>
      <c r="BU333" t="s">
        <v>126</v>
      </c>
      <c r="BV333" t="s">
        <v>126</v>
      </c>
      <c r="CN333" t="s">
        <v>147</v>
      </c>
      <c r="CP333" t="s">
        <v>258</v>
      </c>
      <c r="CQ333" t="s">
        <v>147</v>
      </c>
    </row>
    <row r="334" spans="1:95" x14ac:dyDescent="0.2">
      <c r="A334" t="s">
        <v>115</v>
      </c>
      <c r="B334" t="s">
        <v>116</v>
      </c>
      <c r="C334">
        <v>210784</v>
      </c>
      <c r="E334" t="s">
        <v>117</v>
      </c>
      <c r="F334">
        <v>368</v>
      </c>
      <c r="G334" t="s">
        <v>141</v>
      </c>
      <c r="H334" t="s">
        <v>142</v>
      </c>
      <c r="I334" t="s">
        <v>279</v>
      </c>
      <c r="J334" t="s">
        <v>280</v>
      </c>
      <c r="L334" s="14">
        <v>45380</v>
      </c>
      <c r="M334" s="18">
        <f t="shared" si="8"/>
        <v>45352</v>
      </c>
      <c r="N334">
        <v>5462110</v>
      </c>
      <c r="O334" t="s">
        <v>123</v>
      </c>
      <c r="P334" t="s">
        <v>146</v>
      </c>
      <c r="Q334">
        <v>2.8650000000000002</v>
      </c>
      <c r="R334" t="s">
        <v>544</v>
      </c>
      <c r="S334" t="s">
        <v>126</v>
      </c>
      <c r="T334" t="s">
        <v>544</v>
      </c>
      <c r="U334" t="s">
        <v>545</v>
      </c>
      <c r="W334">
        <v>0.88</v>
      </c>
      <c r="X334">
        <v>1.9849999999999999</v>
      </c>
      <c r="Y334">
        <v>2.8650000000000002</v>
      </c>
      <c r="Z334">
        <v>1.095</v>
      </c>
      <c r="AG334">
        <v>0.88</v>
      </c>
      <c r="AI334">
        <v>0.89</v>
      </c>
      <c r="BH334" t="s">
        <v>126</v>
      </c>
      <c r="BI334" t="s">
        <v>126</v>
      </c>
      <c r="BJ334" t="s">
        <v>126</v>
      </c>
      <c r="BK334" t="s">
        <v>126</v>
      </c>
      <c r="BS334" t="s">
        <v>126</v>
      </c>
      <c r="BT334" t="s">
        <v>126</v>
      </c>
      <c r="BU334" t="s">
        <v>126</v>
      </c>
      <c r="BV334" t="s">
        <v>126</v>
      </c>
      <c r="CN334" t="s">
        <v>147</v>
      </c>
      <c r="CP334" t="s">
        <v>600</v>
      </c>
      <c r="CQ334" t="s">
        <v>147</v>
      </c>
    </row>
    <row r="335" spans="1:95" x14ac:dyDescent="0.2">
      <c r="A335" t="s">
        <v>115</v>
      </c>
      <c r="B335" t="s">
        <v>116</v>
      </c>
      <c r="C335">
        <v>210784</v>
      </c>
      <c r="E335" t="s">
        <v>117</v>
      </c>
      <c r="F335">
        <v>368</v>
      </c>
      <c r="G335" t="s">
        <v>141</v>
      </c>
      <c r="H335" t="s">
        <v>142</v>
      </c>
      <c r="I335" t="s">
        <v>279</v>
      </c>
      <c r="J335" t="s">
        <v>280</v>
      </c>
      <c r="L335" s="14">
        <v>45380</v>
      </c>
      <c r="M335" s="18">
        <f t="shared" si="8"/>
        <v>45352</v>
      </c>
      <c r="N335">
        <v>5461932</v>
      </c>
      <c r="O335" t="s">
        <v>123</v>
      </c>
      <c r="P335" t="s">
        <v>146</v>
      </c>
      <c r="Q335">
        <v>3.39</v>
      </c>
      <c r="R335" t="s">
        <v>125</v>
      </c>
      <c r="S335" t="s">
        <v>126</v>
      </c>
      <c r="T335" t="s">
        <v>125</v>
      </c>
      <c r="U335" t="s">
        <v>126</v>
      </c>
      <c r="W335">
        <v>3.39</v>
      </c>
      <c r="Y335">
        <v>3.39</v>
      </c>
      <c r="BE335">
        <v>3.39</v>
      </c>
      <c r="BH335" t="s">
        <v>126</v>
      </c>
      <c r="BI335" t="s">
        <v>126</v>
      </c>
      <c r="BJ335" t="s">
        <v>126</v>
      </c>
      <c r="BK335" t="s">
        <v>126</v>
      </c>
      <c r="BS335" t="s">
        <v>126</v>
      </c>
      <c r="BT335" t="s">
        <v>126</v>
      </c>
      <c r="BU335" t="s">
        <v>126</v>
      </c>
      <c r="BV335" t="s">
        <v>126</v>
      </c>
      <c r="CN335" t="s">
        <v>147</v>
      </c>
      <c r="CP335" t="s">
        <v>600</v>
      </c>
      <c r="CQ335" t="s">
        <v>147</v>
      </c>
    </row>
    <row r="336" spans="1:95" x14ac:dyDescent="0.2">
      <c r="A336" t="s">
        <v>115</v>
      </c>
      <c r="B336" t="s">
        <v>116</v>
      </c>
      <c r="C336">
        <v>210784</v>
      </c>
      <c r="E336" t="s">
        <v>117</v>
      </c>
      <c r="F336">
        <v>368</v>
      </c>
      <c r="G336" t="s">
        <v>141</v>
      </c>
      <c r="H336" t="s">
        <v>142</v>
      </c>
      <c r="I336" t="s">
        <v>279</v>
      </c>
      <c r="J336" t="s">
        <v>280</v>
      </c>
      <c r="L336" s="14">
        <v>45383</v>
      </c>
      <c r="M336" s="18">
        <f t="shared" si="8"/>
        <v>45383</v>
      </c>
      <c r="N336">
        <v>5463105</v>
      </c>
      <c r="O336" t="s">
        <v>123</v>
      </c>
      <c r="P336" t="s">
        <v>146</v>
      </c>
      <c r="Q336">
        <v>4.6500000000000004</v>
      </c>
      <c r="R336" t="s">
        <v>125</v>
      </c>
      <c r="S336" t="s">
        <v>126</v>
      </c>
      <c r="T336" t="s">
        <v>125</v>
      </c>
      <c r="U336" t="s">
        <v>126</v>
      </c>
      <c r="W336">
        <v>4.6500000000000004</v>
      </c>
      <c r="Y336">
        <v>4.6500000000000004</v>
      </c>
      <c r="BE336">
        <v>4.6500000000000004</v>
      </c>
      <c r="BH336" t="s">
        <v>126</v>
      </c>
      <c r="BI336" t="s">
        <v>126</v>
      </c>
      <c r="BJ336" t="s">
        <v>126</v>
      </c>
      <c r="BK336" t="s">
        <v>126</v>
      </c>
      <c r="BS336" t="s">
        <v>126</v>
      </c>
      <c r="BT336" t="s">
        <v>126</v>
      </c>
      <c r="BU336" t="s">
        <v>126</v>
      </c>
      <c r="BV336" t="s">
        <v>126</v>
      </c>
      <c r="CN336" t="s">
        <v>147</v>
      </c>
      <c r="CP336" t="s">
        <v>600</v>
      </c>
      <c r="CQ336" t="s">
        <v>147</v>
      </c>
    </row>
    <row r="337" spans="1:95" x14ac:dyDescent="0.2">
      <c r="A337" t="s">
        <v>115</v>
      </c>
      <c r="B337" t="s">
        <v>116</v>
      </c>
      <c r="C337">
        <v>210784</v>
      </c>
      <c r="E337" t="s">
        <v>117</v>
      </c>
      <c r="F337">
        <v>368</v>
      </c>
      <c r="G337" t="s">
        <v>141</v>
      </c>
      <c r="H337" t="s">
        <v>142</v>
      </c>
      <c r="I337" t="s">
        <v>279</v>
      </c>
      <c r="J337" t="s">
        <v>280</v>
      </c>
      <c r="L337" s="14">
        <v>45384</v>
      </c>
      <c r="M337" s="18">
        <f t="shared" si="8"/>
        <v>45383</v>
      </c>
      <c r="N337">
        <v>5463440</v>
      </c>
      <c r="O337" t="s">
        <v>123</v>
      </c>
      <c r="P337" t="s">
        <v>146</v>
      </c>
      <c r="Q337">
        <v>2.15</v>
      </c>
      <c r="R337" t="s">
        <v>125</v>
      </c>
      <c r="S337" t="s">
        <v>126</v>
      </c>
      <c r="T337" t="s">
        <v>125</v>
      </c>
      <c r="U337" t="s">
        <v>126</v>
      </c>
      <c r="W337">
        <v>2.15</v>
      </c>
      <c r="Y337">
        <v>2.15</v>
      </c>
      <c r="BE337">
        <v>2.15</v>
      </c>
      <c r="BH337" t="s">
        <v>126</v>
      </c>
      <c r="BI337" t="s">
        <v>126</v>
      </c>
      <c r="BJ337" t="s">
        <v>126</v>
      </c>
      <c r="BK337" t="s">
        <v>126</v>
      </c>
      <c r="BS337" t="s">
        <v>126</v>
      </c>
      <c r="BT337" t="s">
        <v>126</v>
      </c>
      <c r="BU337" t="s">
        <v>126</v>
      </c>
      <c r="BV337" t="s">
        <v>126</v>
      </c>
      <c r="CN337" t="s">
        <v>147</v>
      </c>
      <c r="CP337" t="s">
        <v>600</v>
      </c>
      <c r="CQ337" t="s">
        <v>147</v>
      </c>
    </row>
    <row r="338" spans="1:95" x14ac:dyDescent="0.2">
      <c r="A338" t="s">
        <v>115</v>
      </c>
      <c r="B338" t="s">
        <v>116</v>
      </c>
      <c r="C338">
        <v>210784</v>
      </c>
      <c r="E338" t="s">
        <v>117</v>
      </c>
      <c r="F338">
        <v>368</v>
      </c>
      <c r="G338" t="s">
        <v>141</v>
      </c>
      <c r="H338" t="s">
        <v>142</v>
      </c>
      <c r="I338" t="s">
        <v>284</v>
      </c>
      <c r="J338" t="s">
        <v>285</v>
      </c>
      <c r="L338" s="14">
        <v>45385</v>
      </c>
      <c r="M338" s="18">
        <f t="shared" si="8"/>
        <v>45383</v>
      </c>
      <c r="N338">
        <v>102567</v>
      </c>
      <c r="O338" t="s">
        <v>123</v>
      </c>
      <c r="P338" t="s">
        <v>146</v>
      </c>
      <c r="Q338">
        <v>2.79</v>
      </c>
      <c r="R338" t="s">
        <v>559</v>
      </c>
      <c r="S338" t="s">
        <v>126</v>
      </c>
      <c r="T338" t="s">
        <v>559</v>
      </c>
      <c r="U338" t="s">
        <v>560</v>
      </c>
      <c r="W338">
        <v>0.86</v>
      </c>
      <c r="X338">
        <v>1.9300000000000002</v>
      </c>
      <c r="Y338">
        <v>2.79</v>
      </c>
      <c r="Z338">
        <v>1.06</v>
      </c>
      <c r="AG338">
        <v>0.86</v>
      </c>
      <c r="AI338">
        <v>0.87</v>
      </c>
      <c r="BH338" t="s">
        <v>126</v>
      </c>
      <c r="BI338" t="s">
        <v>126</v>
      </c>
      <c r="BJ338" t="s">
        <v>126</v>
      </c>
      <c r="BK338" t="s">
        <v>126</v>
      </c>
      <c r="BS338" t="s">
        <v>126</v>
      </c>
      <c r="BT338" t="s">
        <v>126</v>
      </c>
      <c r="BU338" t="s">
        <v>126</v>
      </c>
      <c r="BV338" t="s">
        <v>126</v>
      </c>
      <c r="CN338" t="s">
        <v>147</v>
      </c>
      <c r="CP338" t="s">
        <v>600</v>
      </c>
      <c r="CQ338" t="s">
        <v>147</v>
      </c>
    </row>
    <row r="339" spans="1:95" x14ac:dyDescent="0.2">
      <c r="A339" t="s">
        <v>115</v>
      </c>
      <c r="B339" t="s">
        <v>116</v>
      </c>
      <c r="C339">
        <v>210784</v>
      </c>
      <c r="E339" t="s">
        <v>117</v>
      </c>
      <c r="F339">
        <v>368</v>
      </c>
      <c r="G339" t="s">
        <v>141</v>
      </c>
      <c r="H339" t="s">
        <v>142</v>
      </c>
      <c r="I339" t="s">
        <v>279</v>
      </c>
      <c r="J339" t="s">
        <v>280</v>
      </c>
      <c r="L339" s="14">
        <v>45385</v>
      </c>
      <c r="M339" s="18">
        <f t="shared" si="8"/>
        <v>45383</v>
      </c>
      <c r="N339">
        <v>5464398</v>
      </c>
      <c r="O339" t="s">
        <v>123</v>
      </c>
      <c r="P339" t="s">
        <v>146</v>
      </c>
      <c r="Q339">
        <v>5.1100000000000003</v>
      </c>
      <c r="R339" t="s">
        <v>125</v>
      </c>
      <c r="S339" t="s">
        <v>126</v>
      </c>
      <c r="T339" t="s">
        <v>125</v>
      </c>
      <c r="U339" t="s">
        <v>126</v>
      </c>
      <c r="W339">
        <v>5.1100000000000003</v>
      </c>
      <c r="Y339">
        <v>5.1100000000000003</v>
      </c>
      <c r="BE339">
        <v>5.1100000000000003</v>
      </c>
      <c r="BH339" t="s">
        <v>126</v>
      </c>
      <c r="BI339" t="s">
        <v>126</v>
      </c>
      <c r="BJ339" t="s">
        <v>126</v>
      </c>
      <c r="BK339" t="s">
        <v>126</v>
      </c>
      <c r="BS339" t="s">
        <v>126</v>
      </c>
      <c r="BT339" t="s">
        <v>126</v>
      </c>
      <c r="BU339" t="s">
        <v>126</v>
      </c>
      <c r="BV339" t="s">
        <v>126</v>
      </c>
      <c r="CN339" t="s">
        <v>147</v>
      </c>
      <c r="CP339" t="s">
        <v>600</v>
      </c>
      <c r="CQ339" t="s">
        <v>147</v>
      </c>
    </row>
    <row r="340" spans="1:95" x14ac:dyDescent="0.2">
      <c r="A340" t="s">
        <v>115</v>
      </c>
      <c r="B340" t="s">
        <v>116</v>
      </c>
      <c r="C340">
        <v>210784</v>
      </c>
      <c r="E340" t="s">
        <v>117</v>
      </c>
      <c r="F340">
        <v>368</v>
      </c>
      <c r="G340" t="s">
        <v>141</v>
      </c>
      <c r="H340" t="s">
        <v>142</v>
      </c>
      <c r="I340" t="s">
        <v>279</v>
      </c>
      <c r="J340" t="s">
        <v>280</v>
      </c>
      <c r="L340" s="14">
        <v>45386</v>
      </c>
      <c r="M340" s="18">
        <f t="shared" si="8"/>
        <v>45383</v>
      </c>
      <c r="N340">
        <v>5464664</v>
      </c>
      <c r="O340" t="s">
        <v>123</v>
      </c>
      <c r="P340" t="s">
        <v>146</v>
      </c>
      <c r="Q340">
        <v>4.66</v>
      </c>
      <c r="R340" t="s">
        <v>125</v>
      </c>
      <c r="S340" t="s">
        <v>126</v>
      </c>
      <c r="T340" t="s">
        <v>125</v>
      </c>
      <c r="U340" t="s">
        <v>126</v>
      </c>
      <c r="W340">
        <v>4.66</v>
      </c>
      <c r="Y340">
        <v>4.66</v>
      </c>
      <c r="BE340">
        <v>4.66</v>
      </c>
      <c r="BH340" t="s">
        <v>126</v>
      </c>
      <c r="BI340" t="s">
        <v>126</v>
      </c>
      <c r="BJ340" t="s">
        <v>126</v>
      </c>
      <c r="BK340" t="s">
        <v>126</v>
      </c>
      <c r="BS340" t="s">
        <v>126</v>
      </c>
      <c r="BT340" t="s">
        <v>126</v>
      </c>
      <c r="BU340" t="s">
        <v>126</v>
      </c>
      <c r="BV340" t="s">
        <v>126</v>
      </c>
      <c r="CN340" t="s">
        <v>147</v>
      </c>
      <c r="CP340" t="s">
        <v>600</v>
      </c>
      <c r="CQ340" t="s">
        <v>147</v>
      </c>
    </row>
    <row r="341" spans="1:95" x14ac:dyDescent="0.2">
      <c r="A341" t="s">
        <v>115</v>
      </c>
      <c r="B341" t="s">
        <v>116</v>
      </c>
      <c r="C341">
        <v>210784</v>
      </c>
      <c r="E341" t="s">
        <v>117</v>
      </c>
      <c r="F341">
        <v>368</v>
      </c>
      <c r="G341" t="s">
        <v>141</v>
      </c>
      <c r="H341" t="s">
        <v>142</v>
      </c>
      <c r="I341" t="s">
        <v>279</v>
      </c>
      <c r="J341" t="s">
        <v>280</v>
      </c>
      <c r="L341" s="14">
        <v>45387</v>
      </c>
      <c r="M341" s="18">
        <f t="shared" si="8"/>
        <v>45383</v>
      </c>
      <c r="N341">
        <v>5466161</v>
      </c>
      <c r="O341" t="s">
        <v>123</v>
      </c>
      <c r="P341" t="s">
        <v>146</v>
      </c>
      <c r="Q341">
        <v>2.74</v>
      </c>
      <c r="R341" t="s">
        <v>606</v>
      </c>
      <c r="S341" t="s">
        <v>126</v>
      </c>
      <c r="T341" t="s">
        <v>606</v>
      </c>
      <c r="U341" t="s">
        <v>607</v>
      </c>
      <c r="W341">
        <v>0.84</v>
      </c>
      <c r="X341">
        <v>1.9</v>
      </c>
      <c r="Y341">
        <v>2.74</v>
      </c>
      <c r="Z341">
        <v>1.05</v>
      </c>
      <c r="AG341">
        <v>0.84</v>
      </c>
      <c r="AI341">
        <v>0.85</v>
      </c>
      <c r="BH341" t="s">
        <v>126</v>
      </c>
      <c r="BI341" t="s">
        <v>126</v>
      </c>
      <c r="BJ341" t="s">
        <v>126</v>
      </c>
      <c r="BK341" t="s">
        <v>126</v>
      </c>
      <c r="BS341" t="s">
        <v>126</v>
      </c>
      <c r="BT341" t="s">
        <v>126</v>
      </c>
      <c r="BU341" t="s">
        <v>126</v>
      </c>
      <c r="BV341" t="s">
        <v>126</v>
      </c>
      <c r="CN341" t="s">
        <v>147</v>
      </c>
      <c r="CP341" t="s">
        <v>600</v>
      </c>
      <c r="CQ341" t="s">
        <v>147</v>
      </c>
    </row>
    <row r="342" spans="1:95" x14ac:dyDescent="0.2">
      <c r="A342" t="s">
        <v>115</v>
      </c>
      <c r="B342" t="s">
        <v>116</v>
      </c>
      <c r="C342">
        <v>210784</v>
      </c>
      <c r="E342" t="s">
        <v>117</v>
      </c>
      <c r="F342">
        <v>368</v>
      </c>
      <c r="G342" t="s">
        <v>141</v>
      </c>
      <c r="H342" t="s">
        <v>142</v>
      </c>
      <c r="I342" t="s">
        <v>279</v>
      </c>
      <c r="J342" t="s">
        <v>280</v>
      </c>
      <c r="L342" s="14">
        <v>45393</v>
      </c>
      <c r="M342" s="18">
        <f t="shared" si="8"/>
        <v>45383</v>
      </c>
      <c r="N342">
        <v>5470365</v>
      </c>
      <c r="O342" t="s">
        <v>123</v>
      </c>
      <c r="P342" t="s">
        <v>146</v>
      </c>
      <c r="Q342">
        <v>3.12</v>
      </c>
      <c r="R342" t="s">
        <v>569</v>
      </c>
      <c r="S342" t="s">
        <v>126</v>
      </c>
      <c r="T342" t="s">
        <v>569</v>
      </c>
      <c r="U342" t="s">
        <v>570</v>
      </c>
      <c r="W342">
        <v>0.96</v>
      </c>
      <c r="X342">
        <v>2.16</v>
      </c>
      <c r="Y342">
        <v>3.12</v>
      </c>
      <c r="Z342">
        <v>1.19</v>
      </c>
      <c r="AG342">
        <v>0.96</v>
      </c>
      <c r="AI342">
        <v>0.97</v>
      </c>
      <c r="BH342" t="s">
        <v>126</v>
      </c>
      <c r="BI342" t="s">
        <v>126</v>
      </c>
      <c r="BJ342" t="s">
        <v>126</v>
      </c>
      <c r="BK342" t="s">
        <v>126</v>
      </c>
      <c r="BS342" t="s">
        <v>126</v>
      </c>
      <c r="BT342" t="s">
        <v>126</v>
      </c>
      <c r="BU342" t="s">
        <v>126</v>
      </c>
      <c r="BV342" t="s">
        <v>126</v>
      </c>
      <c r="CN342" t="s">
        <v>147</v>
      </c>
      <c r="CP342" t="s">
        <v>600</v>
      </c>
      <c r="CQ342" t="s">
        <v>147</v>
      </c>
    </row>
    <row r="343" spans="1:95" x14ac:dyDescent="0.2">
      <c r="A343" t="s">
        <v>115</v>
      </c>
      <c r="B343" t="s">
        <v>116</v>
      </c>
      <c r="C343">
        <v>210784</v>
      </c>
      <c r="E343" t="s">
        <v>117</v>
      </c>
      <c r="F343">
        <v>368</v>
      </c>
      <c r="G343" t="s">
        <v>141</v>
      </c>
      <c r="H343" t="s">
        <v>142</v>
      </c>
      <c r="I343" t="s">
        <v>279</v>
      </c>
      <c r="J343" t="s">
        <v>280</v>
      </c>
      <c r="L343" s="14">
        <v>45394</v>
      </c>
      <c r="M343" s="18">
        <f t="shared" si="8"/>
        <v>45383</v>
      </c>
      <c r="N343">
        <v>5470983</v>
      </c>
      <c r="O343" t="s">
        <v>123</v>
      </c>
      <c r="P343" t="s">
        <v>146</v>
      </c>
      <c r="Q343">
        <v>3.4400000000000004</v>
      </c>
      <c r="R343" t="s">
        <v>610</v>
      </c>
      <c r="S343" t="s">
        <v>126</v>
      </c>
      <c r="T343" t="s">
        <v>610</v>
      </c>
      <c r="U343" t="s">
        <v>611</v>
      </c>
      <c r="W343">
        <v>1.06</v>
      </c>
      <c r="X343">
        <v>2.38</v>
      </c>
      <c r="Y343">
        <v>3.4400000000000004</v>
      </c>
      <c r="Z343">
        <v>1.31</v>
      </c>
      <c r="AG343">
        <v>1.06</v>
      </c>
      <c r="AI343">
        <v>1.07</v>
      </c>
      <c r="BH343" t="s">
        <v>126</v>
      </c>
      <c r="BI343" t="s">
        <v>126</v>
      </c>
      <c r="BJ343" t="s">
        <v>126</v>
      </c>
      <c r="BK343" t="s">
        <v>126</v>
      </c>
      <c r="BS343" t="s">
        <v>126</v>
      </c>
      <c r="BT343" t="s">
        <v>126</v>
      </c>
      <c r="BU343" t="s">
        <v>126</v>
      </c>
      <c r="BV343" t="s">
        <v>126</v>
      </c>
      <c r="CN343" t="s">
        <v>147</v>
      </c>
      <c r="CP343" t="s">
        <v>600</v>
      </c>
      <c r="CQ343" t="s">
        <v>147</v>
      </c>
    </row>
    <row r="344" spans="1:95" x14ac:dyDescent="0.2">
      <c r="A344" t="s">
        <v>115</v>
      </c>
      <c r="B344" t="s">
        <v>116</v>
      </c>
      <c r="C344">
        <v>210784</v>
      </c>
      <c r="E344" t="s">
        <v>117</v>
      </c>
      <c r="F344">
        <v>368</v>
      </c>
      <c r="G344" t="s">
        <v>141</v>
      </c>
      <c r="H344" t="s">
        <v>142</v>
      </c>
      <c r="I344" t="s">
        <v>279</v>
      </c>
      <c r="J344" t="s">
        <v>280</v>
      </c>
      <c r="L344" s="14">
        <v>45404</v>
      </c>
      <c r="M344" s="18">
        <f t="shared" si="8"/>
        <v>45383</v>
      </c>
      <c r="N344">
        <v>5476990</v>
      </c>
      <c r="O344" t="s">
        <v>123</v>
      </c>
      <c r="P344" t="s">
        <v>146</v>
      </c>
      <c r="Q344">
        <v>2.84</v>
      </c>
      <c r="R344" t="s">
        <v>562</v>
      </c>
      <c r="S344" t="s">
        <v>126</v>
      </c>
      <c r="T344" t="s">
        <v>562</v>
      </c>
      <c r="U344" t="s">
        <v>563</v>
      </c>
      <c r="W344">
        <v>0.88</v>
      </c>
      <c r="X344">
        <v>1.96</v>
      </c>
      <c r="Y344">
        <v>2.84</v>
      </c>
      <c r="Z344">
        <v>1.08</v>
      </c>
      <c r="AG344">
        <v>0.88</v>
      </c>
      <c r="AI344">
        <v>0.88</v>
      </c>
      <c r="BH344" t="s">
        <v>126</v>
      </c>
      <c r="BI344" t="s">
        <v>126</v>
      </c>
      <c r="BJ344" t="s">
        <v>126</v>
      </c>
      <c r="BK344" t="s">
        <v>126</v>
      </c>
      <c r="BS344" t="s">
        <v>126</v>
      </c>
      <c r="BT344" t="s">
        <v>126</v>
      </c>
      <c r="BU344" t="s">
        <v>126</v>
      </c>
      <c r="BV344" t="s">
        <v>126</v>
      </c>
      <c r="CN344" t="s">
        <v>147</v>
      </c>
      <c r="CP344" t="s">
        <v>600</v>
      </c>
      <c r="CQ344" t="s">
        <v>147</v>
      </c>
    </row>
    <row r="345" spans="1:95" x14ac:dyDescent="0.2">
      <c r="A345" t="s">
        <v>115</v>
      </c>
      <c r="B345" t="s">
        <v>116</v>
      </c>
      <c r="C345">
        <v>210784</v>
      </c>
      <c r="E345" t="s">
        <v>117</v>
      </c>
      <c r="F345">
        <v>368</v>
      </c>
      <c r="G345" t="s">
        <v>141</v>
      </c>
      <c r="H345" t="s">
        <v>142</v>
      </c>
      <c r="I345" t="s">
        <v>279</v>
      </c>
      <c r="J345" t="s">
        <v>280</v>
      </c>
      <c r="L345" s="14">
        <v>45404</v>
      </c>
      <c r="M345" s="18">
        <f t="shared" si="8"/>
        <v>45383</v>
      </c>
      <c r="N345">
        <v>5476649</v>
      </c>
      <c r="O345" t="s">
        <v>123</v>
      </c>
      <c r="P345" t="s">
        <v>146</v>
      </c>
      <c r="Q345">
        <v>5.98</v>
      </c>
      <c r="R345" t="s">
        <v>125</v>
      </c>
      <c r="S345" t="s">
        <v>126</v>
      </c>
      <c r="T345" t="s">
        <v>125</v>
      </c>
      <c r="U345" t="s">
        <v>126</v>
      </c>
      <c r="W345">
        <v>5.98</v>
      </c>
      <c r="Y345">
        <v>5.98</v>
      </c>
      <c r="BE345">
        <v>5.98</v>
      </c>
      <c r="BH345" t="s">
        <v>126</v>
      </c>
      <c r="BI345" t="s">
        <v>126</v>
      </c>
      <c r="BJ345" t="s">
        <v>126</v>
      </c>
      <c r="BK345" t="s">
        <v>126</v>
      </c>
      <c r="BS345" t="s">
        <v>126</v>
      </c>
      <c r="BT345" t="s">
        <v>126</v>
      </c>
      <c r="BU345" t="s">
        <v>126</v>
      </c>
      <c r="BV345" t="s">
        <v>126</v>
      </c>
      <c r="CN345" t="s">
        <v>147</v>
      </c>
      <c r="CP345" t="s">
        <v>600</v>
      </c>
      <c r="CQ345" t="s">
        <v>147</v>
      </c>
    </row>
    <row r="346" spans="1:95" x14ac:dyDescent="0.2">
      <c r="A346" t="s">
        <v>115</v>
      </c>
      <c r="B346" t="s">
        <v>116</v>
      </c>
      <c r="C346">
        <v>210784</v>
      </c>
      <c r="E346" t="s">
        <v>117</v>
      </c>
      <c r="F346">
        <v>368</v>
      </c>
      <c r="G346" t="s">
        <v>141</v>
      </c>
      <c r="H346" t="s">
        <v>142</v>
      </c>
      <c r="I346" t="s">
        <v>143</v>
      </c>
      <c r="J346" t="s">
        <v>144</v>
      </c>
      <c r="L346" s="14">
        <v>45413</v>
      </c>
      <c r="M346" s="18">
        <f t="shared" si="8"/>
        <v>45413</v>
      </c>
      <c r="N346">
        <v>106903</v>
      </c>
      <c r="O346" t="s">
        <v>123</v>
      </c>
      <c r="P346" t="s">
        <v>146</v>
      </c>
      <c r="Q346">
        <v>0.28999999999999998</v>
      </c>
      <c r="R346" t="s">
        <v>125</v>
      </c>
      <c r="S346" t="s">
        <v>126</v>
      </c>
      <c r="T346" t="s">
        <v>125</v>
      </c>
      <c r="U346" t="s">
        <v>126</v>
      </c>
      <c r="W346">
        <v>0.28999999999999998</v>
      </c>
      <c r="Y346">
        <v>0.28999999999999998</v>
      </c>
      <c r="AB346">
        <v>0.28999999999999998</v>
      </c>
      <c r="BH346" t="s">
        <v>126</v>
      </c>
      <c r="BI346" t="s">
        <v>126</v>
      </c>
      <c r="BJ346" t="s">
        <v>126</v>
      </c>
      <c r="BK346" t="s">
        <v>126</v>
      </c>
      <c r="BS346" t="s">
        <v>126</v>
      </c>
      <c r="BT346" t="s">
        <v>126</v>
      </c>
      <c r="BU346" t="s">
        <v>126</v>
      </c>
      <c r="BV346" t="s">
        <v>126</v>
      </c>
      <c r="CN346" t="s">
        <v>147</v>
      </c>
      <c r="CP346" t="s">
        <v>169</v>
      </c>
      <c r="CQ346" t="s">
        <v>147</v>
      </c>
    </row>
    <row r="347" spans="1:95" x14ac:dyDescent="0.2">
      <c r="A347" t="s">
        <v>115</v>
      </c>
      <c r="B347" t="s">
        <v>116</v>
      </c>
      <c r="C347">
        <v>210784</v>
      </c>
      <c r="E347" t="s">
        <v>117</v>
      </c>
      <c r="F347">
        <v>368</v>
      </c>
      <c r="G347" t="s">
        <v>141</v>
      </c>
      <c r="H347" t="s">
        <v>142</v>
      </c>
      <c r="I347" t="s">
        <v>143</v>
      </c>
      <c r="J347" t="s">
        <v>144</v>
      </c>
      <c r="L347" s="14">
        <v>45414</v>
      </c>
      <c r="M347" s="18">
        <f t="shared" si="8"/>
        <v>45413</v>
      </c>
      <c r="N347">
        <v>106931</v>
      </c>
      <c r="O347" t="s">
        <v>123</v>
      </c>
      <c r="P347" t="s">
        <v>146</v>
      </c>
      <c r="Q347">
        <v>0.11</v>
      </c>
      <c r="R347" t="s">
        <v>125</v>
      </c>
      <c r="S347" t="s">
        <v>126</v>
      </c>
      <c r="T347" t="s">
        <v>125</v>
      </c>
      <c r="U347" t="s">
        <v>126</v>
      </c>
      <c r="W347">
        <v>0.11</v>
      </c>
      <c r="Y347">
        <v>0.11</v>
      </c>
      <c r="AB347">
        <v>0.11</v>
      </c>
      <c r="BH347" t="s">
        <v>126</v>
      </c>
      <c r="BI347" t="s">
        <v>126</v>
      </c>
      <c r="BJ347" t="s">
        <v>126</v>
      </c>
      <c r="BK347" t="s">
        <v>126</v>
      </c>
      <c r="BS347" t="s">
        <v>126</v>
      </c>
      <c r="BT347" t="s">
        <v>126</v>
      </c>
      <c r="BU347" t="s">
        <v>126</v>
      </c>
      <c r="BV347" t="s">
        <v>126</v>
      </c>
      <c r="CN347" t="s">
        <v>147</v>
      </c>
      <c r="CP347" t="s">
        <v>169</v>
      </c>
      <c r="CQ347" t="s">
        <v>147</v>
      </c>
    </row>
    <row r="348" spans="1:95" x14ac:dyDescent="0.2">
      <c r="A348" t="s">
        <v>115</v>
      </c>
      <c r="B348" t="s">
        <v>116</v>
      </c>
      <c r="C348">
        <v>210784</v>
      </c>
      <c r="E348" t="s">
        <v>117</v>
      </c>
      <c r="F348">
        <v>368</v>
      </c>
      <c r="G348" t="s">
        <v>141</v>
      </c>
      <c r="H348" t="s">
        <v>142</v>
      </c>
      <c r="I348" t="s">
        <v>279</v>
      </c>
      <c r="J348" t="s">
        <v>280</v>
      </c>
      <c r="L348" s="14">
        <v>45414</v>
      </c>
      <c r="M348" s="18">
        <f t="shared" si="8"/>
        <v>45413</v>
      </c>
      <c r="N348">
        <v>5483879</v>
      </c>
      <c r="O348" t="s">
        <v>123</v>
      </c>
      <c r="P348" t="s">
        <v>146</v>
      </c>
      <c r="Q348">
        <v>3.45</v>
      </c>
      <c r="R348" t="s">
        <v>544</v>
      </c>
      <c r="S348" t="s">
        <v>126</v>
      </c>
      <c r="T348" t="s">
        <v>544</v>
      </c>
      <c r="U348" t="s">
        <v>545</v>
      </c>
      <c r="W348">
        <v>1.06</v>
      </c>
      <c r="X348">
        <v>2.39</v>
      </c>
      <c r="Y348">
        <v>3.45</v>
      </c>
      <c r="Z348">
        <v>1.32</v>
      </c>
      <c r="AG348">
        <v>1.06</v>
      </c>
      <c r="AI348">
        <v>1.07</v>
      </c>
      <c r="BH348" t="s">
        <v>126</v>
      </c>
      <c r="BI348" t="s">
        <v>126</v>
      </c>
      <c r="BJ348" t="s">
        <v>126</v>
      </c>
      <c r="BK348" t="s">
        <v>126</v>
      </c>
      <c r="BS348" t="s">
        <v>126</v>
      </c>
      <c r="BT348" t="s">
        <v>126</v>
      </c>
      <c r="BU348" t="s">
        <v>126</v>
      </c>
      <c r="BV348" t="s">
        <v>126</v>
      </c>
      <c r="CN348" t="s">
        <v>147</v>
      </c>
      <c r="CP348" t="s">
        <v>169</v>
      </c>
      <c r="CQ348" t="s">
        <v>147</v>
      </c>
    </row>
    <row r="349" spans="1:95" x14ac:dyDescent="0.2">
      <c r="A349" t="s">
        <v>115</v>
      </c>
      <c r="B349" t="s">
        <v>116</v>
      </c>
      <c r="C349">
        <v>210784</v>
      </c>
      <c r="E349" t="s">
        <v>117</v>
      </c>
      <c r="F349">
        <v>368</v>
      </c>
      <c r="G349" t="s">
        <v>141</v>
      </c>
      <c r="H349" t="s">
        <v>142</v>
      </c>
      <c r="I349" t="s">
        <v>279</v>
      </c>
      <c r="J349" t="s">
        <v>280</v>
      </c>
      <c r="L349" s="14">
        <v>45414</v>
      </c>
      <c r="M349" s="18">
        <f t="shared" si="8"/>
        <v>45413</v>
      </c>
      <c r="N349">
        <v>5483922</v>
      </c>
      <c r="O349" t="s">
        <v>123</v>
      </c>
      <c r="P349" t="s">
        <v>146</v>
      </c>
      <c r="Q349">
        <v>3.33</v>
      </c>
      <c r="R349" t="s">
        <v>125</v>
      </c>
      <c r="S349" t="s">
        <v>126</v>
      </c>
      <c r="T349" t="s">
        <v>125</v>
      </c>
      <c r="U349" t="s">
        <v>126</v>
      </c>
      <c r="W349">
        <v>3.33</v>
      </c>
      <c r="Y349">
        <v>3.33</v>
      </c>
      <c r="BE349">
        <v>3.33</v>
      </c>
      <c r="BH349" t="s">
        <v>126</v>
      </c>
      <c r="BI349" t="s">
        <v>126</v>
      </c>
      <c r="BJ349" t="s">
        <v>126</v>
      </c>
      <c r="BK349" t="s">
        <v>126</v>
      </c>
      <c r="BS349" t="s">
        <v>126</v>
      </c>
      <c r="BT349" t="s">
        <v>126</v>
      </c>
      <c r="BU349" t="s">
        <v>126</v>
      </c>
      <c r="BV349" t="s">
        <v>126</v>
      </c>
      <c r="CN349" t="s">
        <v>147</v>
      </c>
      <c r="CP349" t="s">
        <v>169</v>
      </c>
      <c r="CQ349" t="s">
        <v>147</v>
      </c>
    </row>
    <row r="350" spans="1:95" x14ac:dyDescent="0.2">
      <c r="A350" t="s">
        <v>115</v>
      </c>
      <c r="B350" t="s">
        <v>116</v>
      </c>
      <c r="C350">
        <v>210784</v>
      </c>
      <c r="E350" t="s">
        <v>117</v>
      </c>
      <c r="F350">
        <v>368</v>
      </c>
      <c r="G350" t="s">
        <v>141</v>
      </c>
      <c r="H350" t="s">
        <v>142</v>
      </c>
      <c r="I350" t="s">
        <v>143</v>
      </c>
      <c r="J350" t="s">
        <v>144</v>
      </c>
      <c r="L350" s="14">
        <v>45415</v>
      </c>
      <c r="M350" s="18">
        <f t="shared" si="8"/>
        <v>45413</v>
      </c>
      <c r="N350">
        <v>106967</v>
      </c>
      <c r="O350" t="s">
        <v>123</v>
      </c>
      <c r="P350" t="s">
        <v>146</v>
      </c>
      <c r="Q350">
        <v>0.23</v>
      </c>
      <c r="R350" t="s">
        <v>125</v>
      </c>
      <c r="S350" t="s">
        <v>126</v>
      </c>
      <c r="T350" t="s">
        <v>125</v>
      </c>
      <c r="U350" t="s">
        <v>126</v>
      </c>
      <c r="W350">
        <v>0.23</v>
      </c>
      <c r="Y350">
        <v>0.23</v>
      </c>
      <c r="AB350">
        <v>0.23</v>
      </c>
      <c r="BH350" t="s">
        <v>126</v>
      </c>
      <c r="BI350" t="s">
        <v>126</v>
      </c>
      <c r="BJ350" t="s">
        <v>126</v>
      </c>
      <c r="BK350" t="s">
        <v>126</v>
      </c>
      <c r="BS350" t="s">
        <v>126</v>
      </c>
      <c r="BT350" t="s">
        <v>126</v>
      </c>
      <c r="BU350" t="s">
        <v>126</v>
      </c>
      <c r="BV350" t="s">
        <v>126</v>
      </c>
      <c r="CN350" t="s">
        <v>147</v>
      </c>
      <c r="CP350" t="s">
        <v>169</v>
      </c>
      <c r="CQ350" t="s">
        <v>147</v>
      </c>
    </row>
    <row r="351" spans="1:95" x14ac:dyDescent="0.2">
      <c r="A351" t="s">
        <v>115</v>
      </c>
      <c r="B351" t="s">
        <v>116</v>
      </c>
      <c r="C351">
        <v>210784</v>
      </c>
      <c r="E351" t="s">
        <v>117</v>
      </c>
      <c r="F351">
        <v>368</v>
      </c>
      <c r="G351" t="s">
        <v>141</v>
      </c>
      <c r="H351" t="s">
        <v>142</v>
      </c>
      <c r="I351" t="s">
        <v>204</v>
      </c>
      <c r="J351" t="s">
        <v>205</v>
      </c>
      <c r="L351" s="14">
        <v>45415</v>
      </c>
      <c r="M351" s="18">
        <f t="shared" si="8"/>
        <v>45413</v>
      </c>
      <c r="N351">
        <v>101395</v>
      </c>
      <c r="O351" t="s">
        <v>123</v>
      </c>
      <c r="P351" t="s">
        <v>146</v>
      </c>
      <c r="Q351">
        <v>4.95</v>
      </c>
      <c r="R351" t="s">
        <v>125</v>
      </c>
      <c r="S351" t="s">
        <v>126</v>
      </c>
      <c r="T351" t="s">
        <v>125</v>
      </c>
      <c r="U351" t="s">
        <v>126</v>
      </c>
      <c r="W351">
        <v>4.95</v>
      </c>
      <c r="Y351">
        <v>4.95</v>
      </c>
      <c r="AC351">
        <v>4.95</v>
      </c>
      <c r="BH351" t="s">
        <v>126</v>
      </c>
      <c r="BI351" t="s">
        <v>126</v>
      </c>
      <c r="BJ351" t="s">
        <v>126</v>
      </c>
      <c r="BK351" t="s">
        <v>126</v>
      </c>
      <c r="BS351" t="s">
        <v>126</v>
      </c>
      <c r="BT351" t="s">
        <v>126</v>
      </c>
      <c r="BU351" t="s">
        <v>126</v>
      </c>
      <c r="BV351" t="s">
        <v>126</v>
      </c>
      <c r="CN351" t="s">
        <v>147</v>
      </c>
      <c r="CP351" t="s">
        <v>258</v>
      </c>
      <c r="CQ351" t="s">
        <v>147</v>
      </c>
    </row>
    <row r="352" spans="1:95" x14ac:dyDescent="0.2">
      <c r="A352" t="s">
        <v>115</v>
      </c>
      <c r="B352" t="s">
        <v>116</v>
      </c>
      <c r="C352">
        <v>210784</v>
      </c>
      <c r="E352" t="s">
        <v>117</v>
      </c>
      <c r="F352">
        <v>368</v>
      </c>
      <c r="G352" t="s">
        <v>141</v>
      </c>
      <c r="H352" t="s">
        <v>142</v>
      </c>
      <c r="I352" t="s">
        <v>279</v>
      </c>
      <c r="J352" t="s">
        <v>280</v>
      </c>
      <c r="L352" s="14">
        <v>45421</v>
      </c>
      <c r="M352" s="18">
        <f t="shared" si="8"/>
        <v>45413</v>
      </c>
      <c r="N352">
        <v>5489114</v>
      </c>
      <c r="O352" t="s">
        <v>123</v>
      </c>
      <c r="P352" t="s">
        <v>146</v>
      </c>
      <c r="Q352">
        <v>3.8</v>
      </c>
      <c r="R352" t="s">
        <v>614</v>
      </c>
      <c r="S352" t="s">
        <v>126</v>
      </c>
      <c r="T352" t="s">
        <v>614</v>
      </c>
      <c r="U352" t="s">
        <v>615</v>
      </c>
      <c r="W352">
        <v>1.17</v>
      </c>
      <c r="X352">
        <v>2.63</v>
      </c>
      <c r="Y352">
        <v>3.8</v>
      </c>
      <c r="Z352">
        <v>1.45</v>
      </c>
      <c r="AG352">
        <v>1.17</v>
      </c>
      <c r="AI352">
        <v>1.18</v>
      </c>
      <c r="BH352" t="s">
        <v>126</v>
      </c>
      <c r="BI352" t="s">
        <v>126</v>
      </c>
      <c r="BJ352" t="s">
        <v>126</v>
      </c>
      <c r="BK352" t="s">
        <v>126</v>
      </c>
      <c r="BS352" t="s">
        <v>126</v>
      </c>
      <c r="BT352" t="s">
        <v>126</v>
      </c>
      <c r="BU352" t="s">
        <v>126</v>
      </c>
      <c r="BV352" t="s">
        <v>126</v>
      </c>
      <c r="CN352" t="s">
        <v>147</v>
      </c>
      <c r="CP352" t="s">
        <v>169</v>
      </c>
      <c r="CQ352" t="s">
        <v>147</v>
      </c>
    </row>
    <row r="353" spans="1:95" x14ac:dyDescent="0.2">
      <c r="A353" t="s">
        <v>115</v>
      </c>
      <c r="B353" t="s">
        <v>116</v>
      </c>
      <c r="C353">
        <v>210784</v>
      </c>
      <c r="E353" t="s">
        <v>117</v>
      </c>
      <c r="F353">
        <v>368</v>
      </c>
      <c r="G353" t="s">
        <v>141</v>
      </c>
      <c r="H353" t="s">
        <v>142</v>
      </c>
      <c r="I353" t="s">
        <v>279</v>
      </c>
      <c r="J353" t="s">
        <v>280</v>
      </c>
      <c r="L353" s="14">
        <v>45428</v>
      </c>
      <c r="M353" s="18">
        <f t="shared" si="8"/>
        <v>45413</v>
      </c>
      <c r="N353">
        <v>5494101</v>
      </c>
      <c r="O353" t="s">
        <v>123</v>
      </c>
      <c r="P353" t="s">
        <v>146</v>
      </c>
      <c r="Q353">
        <v>3.47</v>
      </c>
      <c r="R353" t="s">
        <v>584</v>
      </c>
      <c r="S353" t="s">
        <v>126</v>
      </c>
      <c r="T353" t="s">
        <v>584</v>
      </c>
      <c r="U353" t="s">
        <v>585</v>
      </c>
      <c r="W353">
        <v>1.07</v>
      </c>
      <c r="X353">
        <v>2.4000000000000004</v>
      </c>
      <c r="Y353">
        <v>3.47</v>
      </c>
      <c r="Z353">
        <v>1.32</v>
      </c>
      <c r="AG353">
        <v>1.07</v>
      </c>
      <c r="AI353">
        <v>1.08</v>
      </c>
      <c r="BH353" t="s">
        <v>126</v>
      </c>
      <c r="BI353" t="s">
        <v>126</v>
      </c>
      <c r="BJ353" t="s">
        <v>126</v>
      </c>
      <c r="BK353" t="s">
        <v>126</v>
      </c>
      <c r="BS353" t="s">
        <v>126</v>
      </c>
      <c r="BT353" t="s">
        <v>126</v>
      </c>
      <c r="BU353" t="s">
        <v>126</v>
      </c>
      <c r="BV353" t="s">
        <v>126</v>
      </c>
      <c r="CN353" t="s">
        <v>147</v>
      </c>
      <c r="CP353" t="s">
        <v>169</v>
      </c>
      <c r="CQ353" t="s">
        <v>147</v>
      </c>
    </row>
    <row r="354" spans="1:95" x14ac:dyDescent="0.2">
      <c r="A354" t="s">
        <v>115</v>
      </c>
      <c r="B354" t="s">
        <v>116</v>
      </c>
      <c r="C354">
        <v>210784</v>
      </c>
      <c r="E354" t="s">
        <v>117</v>
      </c>
      <c r="F354">
        <v>368</v>
      </c>
      <c r="G354" t="s">
        <v>141</v>
      </c>
      <c r="H354" t="s">
        <v>142</v>
      </c>
      <c r="I354" t="s">
        <v>279</v>
      </c>
      <c r="J354" t="s">
        <v>280</v>
      </c>
      <c r="L354" s="14">
        <v>45430</v>
      </c>
      <c r="M354" s="18">
        <f t="shared" si="8"/>
        <v>45413</v>
      </c>
      <c r="N354">
        <v>5495038</v>
      </c>
      <c r="O354" t="s">
        <v>123</v>
      </c>
      <c r="P354" t="s">
        <v>146</v>
      </c>
      <c r="Q354">
        <v>5.4</v>
      </c>
      <c r="R354" t="s">
        <v>125</v>
      </c>
      <c r="S354" t="s">
        <v>126</v>
      </c>
      <c r="T354" t="s">
        <v>125</v>
      </c>
      <c r="U354" t="s">
        <v>126</v>
      </c>
      <c r="W354">
        <v>5.4</v>
      </c>
      <c r="Y354">
        <v>5.4</v>
      </c>
      <c r="BE354">
        <v>5.4</v>
      </c>
      <c r="BH354" t="s">
        <v>126</v>
      </c>
      <c r="BI354" t="s">
        <v>126</v>
      </c>
      <c r="BJ354" t="s">
        <v>126</v>
      </c>
      <c r="BK354" t="s">
        <v>126</v>
      </c>
      <c r="BS354" t="s">
        <v>126</v>
      </c>
      <c r="BT354" t="s">
        <v>126</v>
      </c>
      <c r="BU354" t="s">
        <v>126</v>
      </c>
      <c r="BV354" t="s">
        <v>126</v>
      </c>
      <c r="CN354" t="s">
        <v>147</v>
      </c>
      <c r="CP354" t="s">
        <v>169</v>
      </c>
      <c r="CQ354" t="s">
        <v>147</v>
      </c>
    </row>
    <row r="355" spans="1:95" x14ac:dyDescent="0.2">
      <c r="A355" t="s">
        <v>115</v>
      </c>
      <c r="B355" t="s">
        <v>116</v>
      </c>
      <c r="C355">
        <v>210784</v>
      </c>
      <c r="E355" t="s">
        <v>117</v>
      </c>
      <c r="F355">
        <v>368</v>
      </c>
      <c r="G355" t="s">
        <v>141</v>
      </c>
      <c r="H355" t="s">
        <v>142</v>
      </c>
      <c r="I355" t="s">
        <v>279</v>
      </c>
      <c r="J355" t="s">
        <v>280</v>
      </c>
      <c r="L355" s="14">
        <v>45430</v>
      </c>
      <c r="M355" s="18">
        <f t="shared" si="8"/>
        <v>45413</v>
      </c>
      <c r="N355">
        <v>5494985</v>
      </c>
      <c r="O355" t="s">
        <v>123</v>
      </c>
      <c r="P355" t="s">
        <v>146</v>
      </c>
      <c r="Q355">
        <v>2.2799999999999998</v>
      </c>
      <c r="R355" t="s">
        <v>125</v>
      </c>
      <c r="S355" t="s">
        <v>126</v>
      </c>
      <c r="T355" t="s">
        <v>125</v>
      </c>
      <c r="U355" t="s">
        <v>126</v>
      </c>
      <c r="W355">
        <v>2.2799999999999998</v>
      </c>
      <c r="Y355">
        <v>2.2799999999999998</v>
      </c>
      <c r="BE355">
        <v>2.2799999999999998</v>
      </c>
      <c r="BH355" t="s">
        <v>126</v>
      </c>
      <c r="BI355" t="s">
        <v>126</v>
      </c>
      <c r="BJ355" t="s">
        <v>126</v>
      </c>
      <c r="BK355" t="s">
        <v>126</v>
      </c>
      <c r="BS355" t="s">
        <v>126</v>
      </c>
      <c r="BT355" t="s">
        <v>126</v>
      </c>
      <c r="BU355" t="s">
        <v>126</v>
      </c>
      <c r="BV355" t="s">
        <v>126</v>
      </c>
      <c r="CN355" t="s">
        <v>147</v>
      </c>
      <c r="CP355" t="s">
        <v>169</v>
      </c>
      <c r="CQ355" t="s">
        <v>147</v>
      </c>
    </row>
    <row r="356" spans="1:95" x14ac:dyDescent="0.2">
      <c r="A356" t="s">
        <v>115</v>
      </c>
      <c r="B356" t="s">
        <v>116</v>
      </c>
      <c r="C356">
        <v>210784</v>
      </c>
      <c r="E356" t="s">
        <v>117</v>
      </c>
      <c r="F356">
        <v>368</v>
      </c>
      <c r="G356" t="s">
        <v>141</v>
      </c>
      <c r="H356" t="s">
        <v>142</v>
      </c>
      <c r="I356" t="s">
        <v>279</v>
      </c>
      <c r="J356" t="s">
        <v>280</v>
      </c>
      <c r="L356" s="14">
        <v>45441</v>
      </c>
      <c r="M356" s="18">
        <f t="shared" si="8"/>
        <v>45413</v>
      </c>
      <c r="N356">
        <v>5501197</v>
      </c>
      <c r="O356" t="s">
        <v>123</v>
      </c>
      <c r="P356" t="s">
        <v>146</v>
      </c>
      <c r="Q356">
        <v>2.67</v>
      </c>
      <c r="R356" t="s">
        <v>588</v>
      </c>
      <c r="S356" t="s">
        <v>126</v>
      </c>
      <c r="T356" t="s">
        <v>588</v>
      </c>
      <c r="U356" t="s">
        <v>589</v>
      </c>
      <c r="W356">
        <v>0.82</v>
      </c>
      <c r="X356">
        <v>1.85</v>
      </c>
      <c r="Y356">
        <v>2.67</v>
      </c>
      <c r="Z356">
        <v>1.02</v>
      </c>
      <c r="AG356">
        <v>0.82</v>
      </c>
      <c r="AI356">
        <v>0.83</v>
      </c>
      <c r="BH356" t="s">
        <v>126</v>
      </c>
      <c r="BI356" t="s">
        <v>126</v>
      </c>
      <c r="BJ356" t="s">
        <v>126</v>
      </c>
      <c r="BK356" t="s">
        <v>126</v>
      </c>
      <c r="BS356" t="s">
        <v>126</v>
      </c>
      <c r="BT356" t="s">
        <v>126</v>
      </c>
      <c r="BU356" t="s">
        <v>126</v>
      </c>
      <c r="BV356" t="s">
        <v>126</v>
      </c>
      <c r="CN356" t="s">
        <v>147</v>
      </c>
      <c r="CP356" t="s">
        <v>169</v>
      </c>
      <c r="CQ356" t="s">
        <v>147</v>
      </c>
    </row>
    <row r="357" spans="1:95" x14ac:dyDescent="0.2">
      <c r="A357" t="s">
        <v>115</v>
      </c>
      <c r="B357" t="s">
        <v>116</v>
      </c>
      <c r="C357">
        <v>210784</v>
      </c>
      <c r="E357" t="s">
        <v>117</v>
      </c>
      <c r="F357">
        <v>368</v>
      </c>
      <c r="G357" t="s">
        <v>141</v>
      </c>
      <c r="H357" t="s">
        <v>142</v>
      </c>
      <c r="I357" t="s">
        <v>284</v>
      </c>
      <c r="J357" t="s">
        <v>285</v>
      </c>
      <c r="L357" s="14">
        <v>45442</v>
      </c>
      <c r="M357" s="18">
        <f t="shared" si="8"/>
        <v>45413</v>
      </c>
      <c r="N357">
        <v>105361</v>
      </c>
      <c r="O357" t="s">
        <v>123</v>
      </c>
      <c r="P357" t="s">
        <v>146</v>
      </c>
      <c r="Q357">
        <v>3.7</v>
      </c>
      <c r="R357" t="s">
        <v>125</v>
      </c>
      <c r="S357" t="s">
        <v>126</v>
      </c>
      <c r="T357" t="s">
        <v>125</v>
      </c>
      <c r="U357" t="s">
        <v>126</v>
      </c>
      <c r="W357">
        <v>3.7</v>
      </c>
      <c r="Y357">
        <v>3.7</v>
      </c>
      <c r="AG357">
        <v>0.37</v>
      </c>
      <c r="BE357">
        <v>3.33</v>
      </c>
      <c r="BH357" t="s">
        <v>126</v>
      </c>
      <c r="BI357" t="s">
        <v>126</v>
      </c>
      <c r="BJ357" t="s">
        <v>126</v>
      </c>
      <c r="BK357" t="s">
        <v>126</v>
      </c>
      <c r="BS357" t="s">
        <v>126</v>
      </c>
      <c r="BT357" t="s">
        <v>126</v>
      </c>
      <c r="BU357" t="s">
        <v>126</v>
      </c>
      <c r="BV357" t="s">
        <v>126</v>
      </c>
      <c r="CN357" t="s">
        <v>147</v>
      </c>
      <c r="CP357" t="s">
        <v>619</v>
      </c>
      <c r="CQ357" t="s">
        <v>147</v>
      </c>
    </row>
    <row r="358" spans="1:95" x14ac:dyDescent="0.2">
      <c r="A358" t="s">
        <v>115</v>
      </c>
      <c r="B358" t="s">
        <v>116</v>
      </c>
      <c r="C358">
        <v>210784</v>
      </c>
      <c r="E358" t="s">
        <v>117</v>
      </c>
      <c r="F358">
        <v>368</v>
      </c>
      <c r="G358" t="s">
        <v>229</v>
      </c>
      <c r="H358" t="s">
        <v>230</v>
      </c>
      <c r="I358" t="s">
        <v>204</v>
      </c>
      <c r="J358" t="s">
        <v>205</v>
      </c>
      <c r="L358" s="14">
        <v>45446</v>
      </c>
      <c r="M358" s="18">
        <f t="shared" si="8"/>
        <v>45444</v>
      </c>
      <c r="N358">
        <v>101395</v>
      </c>
      <c r="O358" t="s">
        <v>123</v>
      </c>
      <c r="P358" t="s">
        <v>146</v>
      </c>
      <c r="Q358">
        <v>4.95</v>
      </c>
      <c r="R358" t="s">
        <v>125</v>
      </c>
      <c r="S358" t="s">
        <v>126</v>
      </c>
      <c r="T358" t="s">
        <v>125</v>
      </c>
      <c r="U358" t="s">
        <v>126</v>
      </c>
      <c r="W358">
        <v>4.95</v>
      </c>
      <c r="Y358">
        <v>4.95</v>
      </c>
      <c r="AC358">
        <v>4.95</v>
      </c>
      <c r="BH358" t="s">
        <v>126</v>
      </c>
      <c r="BI358" t="s">
        <v>126</v>
      </c>
      <c r="BJ358" t="s">
        <v>126</v>
      </c>
      <c r="BK358" t="s">
        <v>126</v>
      </c>
      <c r="BS358" t="s">
        <v>126</v>
      </c>
      <c r="BT358" t="s">
        <v>126</v>
      </c>
      <c r="BU358" t="s">
        <v>126</v>
      </c>
      <c r="BV358" t="s">
        <v>126</v>
      </c>
      <c r="CN358" t="s">
        <v>230</v>
      </c>
      <c r="CP358" t="s">
        <v>234</v>
      </c>
      <c r="CQ358" t="s">
        <v>230</v>
      </c>
    </row>
    <row r="359" spans="1:95" x14ac:dyDescent="0.2">
      <c r="A359" t="s">
        <v>115</v>
      </c>
      <c r="B359" t="s">
        <v>116</v>
      </c>
      <c r="C359">
        <v>210784</v>
      </c>
      <c r="E359" t="s">
        <v>117</v>
      </c>
      <c r="F359">
        <v>368</v>
      </c>
      <c r="G359" t="s">
        <v>141</v>
      </c>
      <c r="H359" t="s">
        <v>142</v>
      </c>
      <c r="I359" t="s">
        <v>204</v>
      </c>
      <c r="J359" t="s">
        <v>205</v>
      </c>
      <c r="L359" s="14">
        <v>45449</v>
      </c>
      <c r="M359" s="18">
        <f t="shared" si="8"/>
        <v>45444</v>
      </c>
      <c r="N359">
        <v>103120</v>
      </c>
      <c r="O359" t="s">
        <v>123</v>
      </c>
      <c r="P359" t="s">
        <v>146</v>
      </c>
      <c r="Q359">
        <v>9.36</v>
      </c>
      <c r="R359" t="s">
        <v>125</v>
      </c>
      <c r="S359" t="s">
        <v>126</v>
      </c>
      <c r="T359" t="s">
        <v>125</v>
      </c>
      <c r="U359" t="s">
        <v>126</v>
      </c>
      <c r="W359">
        <v>9.36</v>
      </c>
      <c r="Y359">
        <v>9.36</v>
      </c>
      <c r="AC359">
        <v>9.36</v>
      </c>
      <c r="BH359" t="s">
        <v>126</v>
      </c>
      <c r="BI359" t="s">
        <v>126</v>
      </c>
      <c r="BJ359" t="s">
        <v>126</v>
      </c>
      <c r="BK359" t="s">
        <v>126</v>
      </c>
      <c r="BS359" t="s">
        <v>126</v>
      </c>
      <c r="BT359" t="s">
        <v>126</v>
      </c>
      <c r="BU359" t="s">
        <v>126</v>
      </c>
      <c r="BV359" t="s">
        <v>126</v>
      </c>
      <c r="CN359" t="s">
        <v>147</v>
      </c>
      <c r="CP359" t="s">
        <v>258</v>
      </c>
      <c r="CQ359" t="s">
        <v>147</v>
      </c>
    </row>
    <row r="360" spans="1:95" x14ac:dyDescent="0.2">
      <c r="A360" t="s">
        <v>115</v>
      </c>
      <c r="B360" t="s">
        <v>116</v>
      </c>
      <c r="C360">
        <v>210784</v>
      </c>
      <c r="E360" t="s">
        <v>117</v>
      </c>
      <c r="F360">
        <v>368</v>
      </c>
      <c r="G360" t="s">
        <v>141</v>
      </c>
      <c r="H360" t="s">
        <v>142</v>
      </c>
      <c r="I360" t="s">
        <v>279</v>
      </c>
      <c r="J360" t="s">
        <v>280</v>
      </c>
      <c r="L360" s="14">
        <v>45449</v>
      </c>
      <c r="M360" s="18">
        <f t="shared" si="8"/>
        <v>45444</v>
      </c>
      <c r="N360">
        <v>5507101</v>
      </c>
      <c r="O360" t="s">
        <v>123</v>
      </c>
      <c r="P360" t="s">
        <v>146</v>
      </c>
      <c r="Q360">
        <v>1.7400000000000002</v>
      </c>
      <c r="R360" t="s">
        <v>620</v>
      </c>
      <c r="S360" t="s">
        <v>126</v>
      </c>
      <c r="T360" t="s">
        <v>620</v>
      </c>
      <c r="U360" t="s">
        <v>621</v>
      </c>
      <c r="W360">
        <v>0.54</v>
      </c>
      <c r="X360">
        <v>1.2000000000000002</v>
      </c>
      <c r="Y360">
        <v>1.7400000000000002</v>
      </c>
      <c r="Z360">
        <v>0.66</v>
      </c>
      <c r="AG360">
        <v>0.54</v>
      </c>
      <c r="AI360">
        <v>0.54</v>
      </c>
      <c r="BH360" t="s">
        <v>126</v>
      </c>
      <c r="BI360" t="s">
        <v>126</v>
      </c>
      <c r="BJ360" t="s">
        <v>126</v>
      </c>
      <c r="BK360" t="s">
        <v>126</v>
      </c>
      <c r="BS360" t="s">
        <v>126</v>
      </c>
      <c r="BT360" t="s">
        <v>126</v>
      </c>
      <c r="BU360" t="s">
        <v>126</v>
      </c>
      <c r="BV360" t="s">
        <v>126</v>
      </c>
      <c r="CN360" t="s">
        <v>147</v>
      </c>
      <c r="CP360" t="s">
        <v>619</v>
      </c>
      <c r="CQ360" t="s">
        <v>147</v>
      </c>
    </row>
    <row r="361" spans="1:95" x14ac:dyDescent="0.2">
      <c r="A361" t="s">
        <v>115</v>
      </c>
      <c r="B361" t="s">
        <v>116</v>
      </c>
      <c r="C361">
        <v>210784</v>
      </c>
      <c r="E361" t="s">
        <v>117</v>
      </c>
      <c r="F361">
        <v>368</v>
      </c>
      <c r="G361" t="s">
        <v>141</v>
      </c>
      <c r="H361" t="s">
        <v>142</v>
      </c>
      <c r="I361" t="s">
        <v>279</v>
      </c>
      <c r="J361" t="s">
        <v>280</v>
      </c>
      <c r="L361" s="14">
        <v>45449</v>
      </c>
      <c r="M361" s="18">
        <f t="shared" si="8"/>
        <v>45444</v>
      </c>
      <c r="N361">
        <v>5507285</v>
      </c>
      <c r="O361" t="s">
        <v>123</v>
      </c>
      <c r="P361" t="s">
        <v>146</v>
      </c>
      <c r="Q361">
        <v>3.85</v>
      </c>
      <c r="R361" t="s">
        <v>125</v>
      </c>
      <c r="S361" t="s">
        <v>126</v>
      </c>
      <c r="T361" t="s">
        <v>125</v>
      </c>
      <c r="U361" t="s">
        <v>126</v>
      </c>
      <c r="W361">
        <v>3.85</v>
      </c>
      <c r="Y361">
        <v>3.85</v>
      </c>
      <c r="BE361">
        <v>3.85</v>
      </c>
      <c r="BH361" t="s">
        <v>126</v>
      </c>
      <c r="BI361" t="s">
        <v>126</v>
      </c>
      <c r="BJ361" t="s">
        <v>126</v>
      </c>
      <c r="BK361" t="s">
        <v>126</v>
      </c>
      <c r="BS361" t="s">
        <v>126</v>
      </c>
      <c r="BT361" t="s">
        <v>126</v>
      </c>
      <c r="BU361" t="s">
        <v>126</v>
      </c>
      <c r="BV361" t="s">
        <v>126</v>
      </c>
      <c r="CN361" t="s">
        <v>147</v>
      </c>
      <c r="CP361" t="s">
        <v>619</v>
      </c>
      <c r="CQ361" t="s">
        <v>147</v>
      </c>
    </row>
    <row r="362" spans="1:95" x14ac:dyDescent="0.2">
      <c r="A362" t="s">
        <v>115</v>
      </c>
      <c r="B362" t="s">
        <v>116</v>
      </c>
      <c r="C362">
        <v>210784</v>
      </c>
      <c r="E362" t="s">
        <v>117</v>
      </c>
      <c r="F362">
        <v>368</v>
      </c>
      <c r="G362" t="s">
        <v>141</v>
      </c>
      <c r="H362" t="s">
        <v>142</v>
      </c>
      <c r="I362" t="s">
        <v>279</v>
      </c>
      <c r="J362" t="s">
        <v>280</v>
      </c>
      <c r="L362" s="14">
        <v>45455</v>
      </c>
      <c r="M362" s="18">
        <f t="shared" si="8"/>
        <v>45444</v>
      </c>
      <c r="N362">
        <v>5511043</v>
      </c>
      <c r="O362" t="s">
        <v>123</v>
      </c>
      <c r="P362" t="s">
        <v>146</v>
      </c>
      <c r="Q362">
        <v>2.62</v>
      </c>
      <c r="R362" t="s">
        <v>623</v>
      </c>
      <c r="S362" t="s">
        <v>126</v>
      </c>
      <c r="T362" t="s">
        <v>623</v>
      </c>
      <c r="U362" t="s">
        <v>624</v>
      </c>
      <c r="W362">
        <v>0.81</v>
      </c>
      <c r="X362">
        <v>1.81</v>
      </c>
      <c r="Y362">
        <v>2.62</v>
      </c>
      <c r="Z362">
        <v>1</v>
      </c>
      <c r="AG362">
        <v>0.81</v>
      </c>
      <c r="AI362">
        <v>0.81</v>
      </c>
      <c r="BH362" t="s">
        <v>126</v>
      </c>
      <c r="BI362" t="s">
        <v>126</v>
      </c>
      <c r="BJ362" t="s">
        <v>126</v>
      </c>
      <c r="BK362" t="s">
        <v>126</v>
      </c>
      <c r="BS362" t="s">
        <v>126</v>
      </c>
      <c r="BT362" t="s">
        <v>126</v>
      </c>
      <c r="BU362" t="s">
        <v>126</v>
      </c>
      <c r="BV362" t="s">
        <v>126</v>
      </c>
      <c r="CN362" t="s">
        <v>147</v>
      </c>
      <c r="CP362" t="s">
        <v>619</v>
      </c>
      <c r="CQ362" t="s">
        <v>147</v>
      </c>
    </row>
    <row r="363" spans="1:95" x14ac:dyDescent="0.2">
      <c r="A363" t="s">
        <v>115</v>
      </c>
      <c r="B363" t="s">
        <v>116</v>
      </c>
      <c r="C363">
        <v>210784</v>
      </c>
      <c r="E363" t="s">
        <v>117</v>
      </c>
      <c r="F363">
        <v>368</v>
      </c>
      <c r="G363" t="s">
        <v>141</v>
      </c>
      <c r="H363" t="s">
        <v>142</v>
      </c>
      <c r="I363" t="s">
        <v>279</v>
      </c>
      <c r="J363" t="s">
        <v>280</v>
      </c>
      <c r="L363" s="14">
        <v>45456</v>
      </c>
      <c r="M363" s="18">
        <f t="shared" si="8"/>
        <v>45444</v>
      </c>
      <c r="N363">
        <v>5512534</v>
      </c>
      <c r="O363" t="s">
        <v>123</v>
      </c>
      <c r="P363" t="s">
        <v>146</v>
      </c>
      <c r="Q363">
        <v>2.9</v>
      </c>
      <c r="R363" t="s">
        <v>586</v>
      </c>
      <c r="S363" t="s">
        <v>126</v>
      </c>
      <c r="T363" t="s">
        <v>586</v>
      </c>
      <c r="U363" t="s">
        <v>587</v>
      </c>
      <c r="W363">
        <v>0.89</v>
      </c>
      <c r="X363">
        <v>2.0100000000000002</v>
      </c>
      <c r="Y363">
        <v>2.9</v>
      </c>
      <c r="Z363">
        <v>1.1100000000000001</v>
      </c>
      <c r="AG363">
        <v>0.89</v>
      </c>
      <c r="AI363">
        <v>0.9</v>
      </c>
      <c r="BH363" t="s">
        <v>126</v>
      </c>
      <c r="BI363" t="s">
        <v>126</v>
      </c>
      <c r="BJ363" t="s">
        <v>126</v>
      </c>
      <c r="BK363" t="s">
        <v>126</v>
      </c>
      <c r="BS363" t="s">
        <v>126</v>
      </c>
      <c r="BT363" t="s">
        <v>126</v>
      </c>
      <c r="BU363" t="s">
        <v>126</v>
      </c>
      <c r="BV363" t="s">
        <v>126</v>
      </c>
      <c r="CN363" t="s">
        <v>147</v>
      </c>
      <c r="CP363" t="s">
        <v>619</v>
      </c>
      <c r="CQ363" t="s">
        <v>147</v>
      </c>
    </row>
    <row r="364" spans="1:95" x14ac:dyDescent="0.2">
      <c r="A364" t="s">
        <v>115</v>
      </c>
      <c r="B364" t="s">
        <v>116</v>
      </c>
      <c r="C364">
        <v>210784</v>
      </c>
      <c r="E364" t="s">
        <v>117</v>
      </c>
      <c r="F364">
        <v>368</v>
      </c>
      <c r="G364" t="s">
        <v>141</v>
      </c>
      <c r="H364" t="s">
        <v>142</v>
      </c>
      <c r="I364" t="s">
        <v>279</v>
      </c>
      <c r="J364" t="s">
        <v>280</v>
      </c>
      <c r="L364" s="14">
        <v>45462</v>
      </c>
      <c r="M364" s="18">
        <f t="shared" si="8"/>
        <v>45444</v>
      </c>
      <c r="N364">
        <v>5515805</v>
      </c>
      <c r="O364" t="s">
        <v>123</v>
      </c>
      <c r="P364" t="s">
        <v>146</v>
      </c>
      <c r="Q364">
        <v>1.94</v>
      </c>
      <c r="R364" t="s">
        <v>125</v>
      </c>
      <c r="S364" t="s">
        <v>126</v>
      </c>
      <c r="T364" t="s">
        <v>125</v>
      </c>
      <c r="U364" t="s">
        <v>126</v>
      </c>
      <c r="W364">
        <v>1.94</v>
      </c>
      <c r="Y364">
        <v>1.94</v>
      </c>
      <c r="BE364">
        <v>1.94</v>
      </c>
      <c r="BH364" t="s">
        <v>126</v>
      </c>
      <c r="BI364" t="s">
        <v>126</v>
      </c>
      <c r="BJ364" t="s">
        <v>126</v>
      </c>
      <c r="BK364" t="s">
        <v>126</v>
      </c>
      <c r="BS364" t="s">
        <v>126</v>
      </c>
      <c r="BT364" t="s">
        <v>126</v>
      </c>
      <c r="BU364" t="s">
        <v>126</v>
      </c>
      <c r="BV364" t="s">
        <v>126</v>
      </c>
      <c r="CN364" t="s">
        <v>147</v>
      </c>
      <c r="CP364" t="s">
        <v>619</v>
      </c>
      <c r="CQ364" t="s">
        <v>147</v>
      </c>
    </row>
    <row r="365" spans="1:95" x14ac:dyDescent="0.2">
      <c r="A365" t="s">
        <v>115</v>
      </c>
      <c r="B365" t="s">
        <v>116</v>
      </c>
      <c r="C365">
        <v>210784</v>
      </c>
      <c r="E365" t="s">
        <v>117</v>
      </c>
      <c r="F365">
        <v>368</v>
      </c>
      <c r="G365" t="s">
        <v>141</v>
      </c>
      <c r="H365" t="s">
        <v>142</v>
      </c>
      <c r="I365" t="s">
        <v>279</v>
      </c>
      <c r="J365" t="s">
        <v>280</v>
      </c>
      <c r="L365" s="14">
        <v>45467</v>
      </c>
      <c r="M365" s="18">
        <f t="shared" si="8"/>
        <v>45444</v>
      </c>
      <c r="N365">
        <v>5518854</v>
      </c>
      <c r="O365" t="s">
        <v>123</v>
      </c>
      <c r="P365" t="s">
        <v>146</v>
      </c>
      <c r="Q365">
        <v>3.3200000000000003</v>
      </c>
      <c r="R365" t="s">
        <v>544</v>
      </c>
      <c r="S365" t="s">
        <v>126</v>
      </c>
      <c r="T365" t="s">
        <v>544</v>
      </c>
      <c r="U365" t="s">
        <v>545</v>
      </c>
      <c r="W365">
        <v>1.02</v>
      </c>
      <c r="X365">
        <v>2.2999999999999998</v>
      </c>
      <c r="Y365">
        <v>3.3200000000000003</v>
      </c>
      <c r="Z365">
        <v>1.27</v>
      </c>
      <c r="AG365">
        <v>1.02</v>
      </c>
      <c r="AI365">
        <v>1.03</v>
      </c>
      <c r="BH365" t="s">
        <v>126</v>
      </c>
      <c r="BI365" t="s">
        <v>126</v>
      </c>
      <c r="BJ365" t="s">
        <v>126</v>
      </c>
      <c r="BK365" t="s">
        <v>126</v>
      </c>
      <c r="BS365" t="s">
        <v>126</v>
      </c>
      <c r="BT365" t="s">
        <v>126</v>
      </c>
      <c r="BU365" t="s">
        <v>126</v>
      </c>
      <c r="BV365" t="s">
        <v>126</v>
      </c>
      <c r="CN365" t="s">
        <v>147</v>
      </c>
      <c r="CP365" t="s">
        <v>619</v>
      </c>
      <c r="CQ365" t="s">
        <v>147</v>
      </c>
    </row>
    <row r="366" spans="1:95" x14ac:dyDescent="0.2">
      <c r="A366" t="s">
        <v>115</v>
      </c>
      <c r="B366" t="s">
        <v>116</v>
      </c>
      <c r="C366">
        <v>210784</v>
      </c>
      <c r="E366" t="s">
        <v>117</v>
      </c>
      <c r="F366">
        <v>368</v>
      </c>
      <c r="G366" t="s">
        <v>141</v>
      </c>
      <c r="H366" t="s">
        <v>142</v>
      </c>
      <c r="I366" t="s">
        <v>279</v>
      </c>
      <c r="J366" t="s">
        <v>280</v>
      </c>
      <c r="L366" s="14">
        <v>45467</v>
      </c>
      <c r="M366" s="18">
        <f t="shared" si="8"/>
        <v>45444</v>
      </c>
      <c r="N366">
        <v>5519030</v>
      </c>
      <c r="O366" t="s">
        <v>123</v>
      </c>
      <c r="P366" t="s">
        <v>146</v>
      </c>
      <c r="Q366">
        <v>4.5599999999999996</v>
      </c>
      <c r="R366" t="s">
        <v>125</v>
      </c>
      <c r="S366" t="s">
        <v>126</v>
      </c>
      <c r="T366" t="s">
        <v>125</v>
      </c>
      <c r="U366" t="s">
        <v>126</v>
      </c>
      <c r="W366">
        <v>4.5599999999999996</v>
      </c>
      <c r="Y366">
        <v>4.5599999999999996</v>
      </c>
      <c r="BE366">
        <v>4.5599999999999996</v>
      </c>
      <c r="BH366" t="s">
        <v>126</v>
      </c>
      <c r="BI366" t="s">
        <v>126</v>
      </c>
      <c r="BJ366" t="s">
        <v>126</v>
      </c>
      <c r="BK366" t="s">
        <v>126</v>
      </c>
      <c r="BS366" t="s">
        <v>126</v>
      </c>
      <c r="BT366" t="s">
        <v>126</v>
      </c>
      <c r="BU366" t="s">
        <v>126</v>
      </c>
      <c r="BV366" t="s">
        <v>126</v>
      </c>
      <c r="CN366" t="s">
        <v>147</v>
      </c>
      <c r="CP366" t="s">
        <v>619</v>
      </c>
      <c r="CQ366" t="s">
        <v>147</v>
      </c>
    </row>
    <row r="367" spans="1:95" x14ac:dyDescent="0.2">
      <c r="A367" t="s">
        <v>115</v>
      </c>
      <c r="B367" t="s">
        <v>116</v>
      </c>
      <c r="C367">
        <v>210784</v>
      </c>
      <c r="E367" t="s">
        <v>117</v>
      </c>
      <c r="F367">
        <v>368</v>
      </c>
      <c r="G367" t="s">
        <v>141</v>
      </c>
      <c r="H367" t="s">
        <v>142</v>
      </c>
      <c r="I367" t="s">
        <v>279</v>
      </c>
      <c r="J367" t="s">
        <v>280</v>
      </c>
      <c r="L367" s="14">
        <v>45471</v>
      </c>
      <c r="M367" s="18">
        <f t="shared" si="8"/>
        <v>45444</v>
      </c>
      <c r="N367">
        <v>5522560</v>
      </c>
      <c r="O367" t="s">
        <v>123</v>
      </c>
      <c r="P367" t="s">
        <v>146</v>
      </c>
      <c r="Q367">
        <v>2.87</v>
      </c>
      <c r="R367" t="s">
        <v>125</v>
      </c>
      <c r="S367" t="s">
        <v>126</v>
      </c>
      <c r="T367" t="s">
        <v>125</v>
      </c>
      <c r="U367" t="s">
        <v>126</v>
      </c>
      <c r="W367">
        <v>2.87</v>
      </c>
      <c r="Y367">
        <v>2.87</v>
      </c>
      <c r="BE367">
        <v>2.87</v>
      </c>
      <c r="BH367" t="s">
        <v>126</v>
      </c>
      <c r="BI367" t="s">
        <v>126</v>
      </c>
      <c r="BJ367" t="s">
        <v>126</v>
      </c>
      <c r="BK367" t="s">
        <v>126</v>
      </c>
      <c r="BS367" t="s">
        <v>126</v>
      </c>
      <c r="BT367" t="s">
        <v>126</v>
      </c>
      <c r="BU367" t="s">
        <v>126</v>
      </c>
      <c r="BV367" t="s">
        <v>126</v>
      </c>
      <c r="CN367" t="s">
        <v>147</v>
      </c>
      <c r="CP367" t="s">
        <v>630</v>
      </c>
      <c r="CQ367" t="s">
        <v>147</v>
      </c>
    </row>
    <row r="368" spans="1:95" x14ac:dyDescent="0.2">
      <c r="A368" t="s">
        <v>115</v>
      </c>
      <c r="B368" t="s">
        <v>116</v>
      </c>
      <c r="C368">
        <v>210784</v>
      </c>
      <c r="E368" t="s">
        <v>117</v>
      </c>
      <c r="F368">
        <v>368</v>
      </c>
      <c r="G368" t="s">
        <v>141</v>
      </c>
      <c r="H368" t="s">
        <v>142</v>
      </c>
      <c r="I368" t="s">
        <v>279</v>
      </c>
      <c r="J368" t="s">
        <v>280</v>
      </c>
      <c r="L368" s="14">
        <v>45474</v>
      </c>
      <c r="M368" s="18">
        <f t="shared" si="8"/>
        <v>45474</v>
      </c>
      <c r="N368">
        <v>5524202</v>
      </c>
      <c r="O368" t="s">
        <v>123</v>
      </c>
      <c r="P368" t="s">
        <v>146</v>
      </c>
      <c r="Q368">
        <v>3.93</v>
      </c>
      <c r="R368" t="s">
        <v>125</v>
      </c>
      <c r="S368" t="s">
        <v>126</v>
      </c>
      <c r="T368" t="s">
        <v>125</v>
      </c>
      <c r="U368" t="s">
        <v>126</v>
      </c>
      <c r="W368">
        <v>3.93</v>
      </c>
      <c r="Y368">
        <v>3.93</v>
      </c>
      <c r="BE368">
        <v>3.93</v>
      </c>
      <c r="BH368" t="s">
        <v>126</v>
      </c>
      <c r="BI368" t="s">
        <v>126</v>
      </c>
      <c r="BJ368" t="s">
        <v>126</v>
      </c>
      <c r="BK368" t="s">
        <v>126</v>
      </c>
      <c r="BS368" t="s">
        <v>126</v>
      </c>
      <c r="BT368" t="s">
        <v>126</v>
      </c>
      <c r="BU368" t="s">
        <v>126</v>
      </c>
      <c r="BV368" t="s">
        <v>126</v>
      </c>
      <c r="CN368" t="s">
        <v>147</v>
      </c>
      <c r="CP368" t="s">
        <v>630</v>
      </c>
      <c r="CQ368" t="s">
        <v>147</v>
      </c>
    </row>
    <row r="369" spans="1:95" x14ac:dyDescent="0.2">
      <c r="A369" t="s">
        <v>115</v>
      </c>
      <c r="B369" t="s">
        <v>116</v>
      </c>
      <c r="C369">
        <v>210784</v>
      </c>
      <c r="E369" t="s">
        <v>117</v>
      </c>
      <c r="F369">
        <v>368</v>
      </c>
      <c r="G369" t="s">
        <v>141</v>
      </c>
      <c r="H369" t="s">
        <v>142</v>
      </c>
      <c r="I369" t="s">
        <v>279</v>
      </c>
      <c r="J369" t="s">
        <v>280</v>
      </c>
      <c r="L369" s="14">
        <v>45475</v>
      </c>
      <c r="M369" s="18">
        <f t="shared" si="8"/>
        <v>45474</v>
      </c>
      <c r="N369">
        <v>5524856</v>
      </c>
      <c r="O369" t="s">
        <v>123</v>
      </c>
      <c r="P369" t="s">
        <v>146</v>
      </c>
      <c r="Q369">
        <v>2.38</v>
      </c>
      <c r="R369" t="s">
        <v>125</v>
      </c>
      <c r="S369" t="s">
        <v>126</v>
      </c>
      <c r="T369" t="s">
        <v>125</v>
      </c>
      <c r="U369" t="s">
        <v>126</v>
      </c>
      <c r="W369">
        <v>2.38</v>
      </c>
      <c r="Y369">
        <v>2.38</v>
      </c>
      <c r="BE369">
        <v>2.38</v>
      </c>
      <c r="BH369" t="s">
        <v>126</v>
      </c>
      <c r="BI369" t="s">
        <v>126</v>
      </c>
      <c r="BJ369" t="s">
        <v>126</v>
      </c>
      <c r="BK369" t="s">
        <v>126</v>
      </c>
      <c r="BS369" t="s">
        <v>126</v>
      </c>
      <c r="BT369" t="s">
        <v>126</v>
      </c>
      <c r="BU369" t="s">
        <v>126</v>
      </c>
      <c r="BV369" t="s">
        <v>126</v>
      </c>
      <c r="CN369" t="s">
        <v>147</v>
      </c>
      <c r="CP369" t="s">
        <v>630</v>
      </c>
      <c r="CQ369" t="s">
        <v>147</v>
      </c>
    </row>
    <row r="370" spans="1:95" x14ac:dyDescent="0.2">
      <c r="A370" t="s">
        <v>115</v>
      </c>
      <c r="B370" t="s">
        <v>116</v>
      </c>
      <c r="C370">
        <v>210784</v>
      </c>
      <c r="E370" t="s">
        <v>117</v>
      </c>
      <c r="F370">
        <v>368</v>
      </c>
      <c r="G370" t="s">
        <v>229</v>
      </c>
      <c r="H370" t="s">
        <v>230</v>
      </c>
      <c r="I370" t="s">
        <v>204</v>
      </c>
      <c r="J370" t="s">
        <v>205</v>
      </c>
      <c r="L370" s="14">
        <v>45479</v>
      </c>
      <c r="M370" s="18">
        <f t="shared" si="8"/>
        <v>45474</v>
      </c>
      <c r="N370">
        <v>103120</v>
      </c>
      <c r="O370" t="s">
        <v>123</v>
      </c>
      <c r="P370" t="s">
        <v>146</v>
      </c>
      <c r="Q370">
        <v>9.36</v>
      </c>
      <c r="R370" t="s">
        <v>125</v>
      </c>
      <c r="S370" t="s">
        <v>126</v>
      </c>
      <c r="T370" t="s">
        <v>125</v>
      </c>
      <c r="U370" t="s">
        <v>126</v>
      </c>
      <c r="W370">
        <v>9.36</v>
      </c>
      <c r="Y370">
        <v>9.36</v>
      </c>
      <c r="AC370">
        <v>9.36</v>
      </c>
      <c r="BH370" t="s">
        <v>126</v>
      </c>
      <c r="BI370" t="s">
        <v>126</v>
      </c>
      <c r="BJ370" t="s">
        <v>126</v>
      </c>
      <c r="BK370" t="s">
        <v>126</v>
      </c>
      <c r="BS370" t="s">
        <v>126</v>
      </c>
      <c r="BT370" t="s">
        <v>126</v>
      </c>
      <c r="BU370" t="s">
        <v>126</v>
      </c>
      <c r="BV370" t="s">
        <v>126</v>
      </c>
      <c r="CN370" t="s">
        <v>230</v>
      </c>
      <c r="CP370" t="s">
        <v>234</v>
      </c>
      <c r="CQ370" t="s">
        <v>230</v>
      </c>
    </row>
    <row r="371" spans="1:95" x14ac:dyDescent="0.2">
      <c r="A371" t="s">
        <v>115</v>
      </c>
      <c r="B371" t="s">
        <v>116</v>
      </c>
      <c r="C371">
        <v>210784</v>
      </c>
      <c r="E371" t="s">
        <v>117</v>
      </c>
      <c r="F371">
        <v>368</v>
      </c>
      <c r="G371" t="s">
        <v>141</v>
      </c>
      <c r="H371" t="s">
        <v>142</v>
      </c>
      <c r="I371" t="s">
        <v>279</v>
      </c>
      <c r="J371" t="s">
        <v>280</v>
      </c>
      <c r="L371" s="14">
        <v>45481</v>
      </c>
      <c r="M371" s="18">
        <f t="shared" si="8"/>
        <v>45474</v>
      </c>
      <c r="N371">
        <v>5528300</v>
      </c>
      <c r="O371" t="s">
        <v>123</v>
      </c>
      <c r="P371" t="s">
        <v>146</v>
      </c>
      <c r="Q371">
        <v>1.2</v>
      </c>
      <c r="R371" t="s">
        <v>125</v>
      </c>
      <c r="S371" t="s">
        <v>126</v>
      </c>
      <c r="T371" t="s">
        <v>125</v>
      </c>
      <c r="U371" t="s">
        <v>126</v>
      </c>
      <c r="W371">
        <v>1.2</v>
      </c>
      <c r="Y371">
        <v>1.2</v>
      </c>
      <c r="BE371">
        <v>1.2</v>
      </c>
      <c r="BH371" t="s">
        <v>126</v>
      </c>
      <c r="BI371" t="s">
        <v>126</v>
      </c>
      <c r="BJ371" t="s">
        <v>126</v>
      </c>
      <c r="BK371" t="s">
        <v>126</v>
      </c>
      <c r="BS371" t="s">
        <v>126</v>
      </c>
      <c r="BT371" t="s">
        <v>126</v>
      </c>
      <c r="BU371" t="s">
        <v>126</v>
      </c>
      <c r="BV371" t="s">
        <v>126</v>
      </c>
      <c r="CN371" t="s">
        <v>147</v>
      </c>
      <c r="CP371" t="s">
        <v>630</v>
      </c>
      <c r="CQ371" t="s">
        <v>147</v>
      </c>
    </row>
    <row r="372" spans="1:95" x14ac:dyDescent="0.2">
      <c r="A372" t="s">
        <v>115</v>
      </c>
      <c r="B372" t="s">
        <v>116</v>
      </c>
      <c r="C372">
        <v>210784</v>
      </c>
      <c r="E372" t="s">
        <v>117</v>
      </c>
      <c r="F372">
        <v>368</v>
      </c>
      <c r="G372" t="s">
        <v>141</v>
      </c>
      <c r="H372" t="s">
        <v>142</v>
      </c>
      <c r="I372" t="s">
        <v>279</v>
      </c>
      <c r="J372" t="s">
        <v>280</v>
      </c>
      <c r="L372" s="14">
        <v>45486</v>
      </c>
      <c r="M372" s="18">
        <f t="shared" si="8"/>
        <v>45474</v>
      </c>
      <c r="N372">
        <v>5532321</v>
      </c>
      <c r="O372" t="s">
        <v>123</v>
      </c>
      <c r="P372" t="s">
        <v>146</v>
      </c>
      <c r="Q372">
        <v>3.2600000000000002</v>
      </c>
      <c r="R372" t="s">
        <v>628</v>
      </c>
      <c r="S372" t="s">
        <v>126</v>
      </c>
      <c r="T372" t="s">
        <v>628</v>
      </c>
      <c r="U372" t="s">
        <v>629</v>
      </c>
      <c r="W372">
        <v>1</v>
      </c>
      <c r="X372">
        <v>2.2599999999999998</v>
      </c>
      <c r="Y372">
        <v>3.2600000000000002</v>
      </c>
      <c r="Z372">
        <v>1.24</v>
      </c>
      <c r="AG372">
        <v>1</v>
      </c>
      <c r="AI372">
        <v>1.02</v>
      </c>
      <c r="BH372" t="s">
        <v>126</v>
      </c>
      <c r="BI372" t="s">
        <v>126</v>
      </c>
      <c r="BJ372" t="s">
        <v>126</v>
      </c>
      <c r="BK372" t="s">
        <v>126</v>
      </c>
      <c r="BS372" t="s">
        <v>126</v>
      </c>
      <c r="BT372" t="s">
        <v>126</v>
      </c>
      <c r="BU372" t="s">
        <v>126</v>
      </c>
      <c r="BV372" t="s">
        <v>126</v>
      </c>
      <c r="CN372" t="s">
        <v>147</v>
      </c>
      <c r="CP372" t="s">
        <v>630</v>
      </c>
      <c r="CQ372" t="s">
        <v>147</v>
      </c>
    </row>
    <row r="373" spans="1:95" x14ac:dyDescent="0.2">
      <c r="A373" t="s">
        <v>115</v>
      </c>
      <c r="B373" t="s">
        <v>116</v>
      </c>
      <c r="C373">
        <v>210784</v>
      </c>
      <c r="E373" t="s">
        <v>117</v>
      </c>
      <c r="F373">
        <v>368</v>
      </c>
      <c r="G373" t="s">
        <v>141</v>
      </c>
      <c r="H373" t="s">
        <v>142</v>
      </c>
      <c r="I373" t="s">
        <v>279</v>
      </c>
      <c r="J373" t="s">
        <v>280</v>
      </c>
      <c r="L373" s="14">
        <v>45486</v>
      </c>
      <c r="M373" s="18">
        <f t="shared" si="8"/>
        <v>45474</v>
      </c>
      <c r="N373">
        <v>5532250</v>
      </c>
      <c r="O373" t="s">
        <v>123</v>
      </c>
      <c r="P373" t="s">
        <v>146</v>
      </c>
      <c r="Q373">
        <v>3.62</v>
      </c>
      <c r="R373" t="s">
        <v>631</v>
      </c>
      <c r="S373" t="s">
        <v>126</v>
      </c>
      <c r="T373" t="s">
        <v>631</v>
      </c>
      <c r="U373" t="s">
        <v>632</v>
      </c>
      <c r="W373">
        <v>1.1200000000000001</v>
      </c>
      <c r="X373">
        <v>2.5</v>
      </c>
      <c r="Y373">
        <v>3.62</v>
      </c>
      <c r="Z373">
        <v>1.37</v>
      </c>
      <c r="AG373">
        <v>1.1200000000000001</v>
      </c>
      <c r="AI373">
        <v>1.1299999999999999</v>
      </c>
      <c r="BH373" t="s">
        <v>126</v>
      </c>
      <c r="BI373" t="s">
        <v>126</v>
      </c>
      <c r="BJ373" t="s">
        <v>126</v>
      </c>
      <c r="BK373" t="s">
        <v>126</v>
      </c>
      <c r="BS373" t="s">
        <v>126</v>
      </c>
      <c r="BT373" t="s">
        <v>126</v>
      </c>
      <c r="BU373" t="s">
        <v>126</v>
      </c>
      <c r="BV373" t="s">
        <v>126</v>
      </c>
      <c r="CN373" t="s">
        <v>147</v>
      </c>
      <c r="CP373" t="s">
        <v>630</v>
      </c>
      <c r="CQ373" t="s">
        <v>147</v>
      </c>
    </row>
    <row r="374" spans="1:95" x14ac:dyDescent="0.2">
      <c r="A374" t="s">
        <v>115</v>
      </c>
      <c r="B374" t="s">
        <v>116</v>
      </c>
      <c r="C374">
        <v>210784</v>
      </c>
      <c r="E374" t="s">
        <v>117</v>
      </c>
      <c r="F374">
        <v>368</v>
      </c>
      <c r="G374" t="s">
        <v>141</v>
      </c>
      <c r="H374" t="s">
        <v>142</v>
      </c>
      <c r="I374" t="s">
        <v>279</v>
      </c>
      <c r="J374" t="s">
        <v>280</v>
      </c>
      <c r="L374" s="14">
        <v>45495</v>
      </c>
      <c r="M374" s="18">
        <f t="shared" si="8"/>
        <v>45474</v>
      </c>
      <c r="N374">
        <v>5537900</v>
      </c>
      <c r="O374" t="s">
        <v>123</v>
      </c>
      <c r="P374" t="s">
        <v>146</v>
      </c>
      <c r="Q374">
        <v>2.96</v>
      </c>
      <c r="R374" t="s">
        <v>581</v>
      </c>
      <c r="S374" t="s">
        <v>126</v>
      </c>
      <c r="T374" t="s">
        <v>581</v>
      </c>
      <c r="U374" t="s">
        <v>582</v>
      </c>
      <c r="W374">
        <v>0.91</v>
      </c>
      <c r="X374">
        <v>2.0499999999999998</v>
      </c>
      <c r="Y374">
        <v>2.96</v>
      </c>
      <c r="Z374">
        <v>1.1299999999999999</v>
      </c>
      <c r="AG374">
        <v>0.91</v>
      </c>
      <c r="AI374">
        <v>0.92</v>
      </c>
      <c r="BH374" t="s">
        <v>126</v>
      </c>
      <c r="BI374" t="s">
        <v>126</v>
      </c>
      <c r="BJ374" t="s">
        <v>126</v>
      </c>
      <c r="BK374" t="s">
        <v>126</v>
      </c>
      <c r="BS374" t="s">
        <v>126</v>
      </c>
      <c r="BT374" t="s">
        <v>126</v>
      </c>
      <c r="BU374" t="s">
        <v>126</v>
      </c>
      <c r="BV374" t="s">
        <v>126</v>
      </c>
      <c r="CN374" t="s">
        <v>147</v>
      </c>
      <c r="CP374" t="s">
        <v>630</v>
      </c>
      <c r="CQ374" t="s">
        <v>147</v>
      </c>
    </row>
    <row r="375" spans="1:95" x14ac:dyDescent="0.2">
      <c r="A375" t="s">
        <v>115</v>
      </c>
      <c r="B375" t="s">
        <v>116</v>
      </c>
      <c r="C375">
        <v>210784</v>
      </c>
      <c r="E375" t="s">
        <v>117</v>
      </c>
      <c r="F375">
        <v>368</v>
      </c>
      <c r="G375" t="s">
        <v>141</v>
      </c>
      <c r="H375" t="s">
        <v>142</v>
      </c>
      <c r="I375" t="s">
        <v>279</v>
      </c>
      <c r="J375" t="s">
        <v>280</v>
      </c>
      <c r="L375" s="14">
        <v>45496</v>
      </c>
      <c r="M375" s="18">
        <f t="shared" si="8"/>
        <v>45474</v>
      </c>
      <c r="N375">
        <v>5538471</v>
      </c>
      <c r="O375" t="s">
        <v>123</v>
      </c>
      <c r="P375" t="s">
        <v>146</v>
      </c>
      <c r="Q375">
        <v>4.13</v>
      </c>
      <c r="R375" t="s">
        <v>125</v>
      </c>
      <c r="S375" t="s">
        <v>126</v>
      </c>
      <c r="T375" t="s">
        <v>125</v>
      </c>
      <c r="U375" t="s">
        <v>126</v>
      </c>
      <c r="W375">
        <v>4.13</v>
      </c>
      <c r="Y375">
        <v>4.13</v>
      </c>
      <c r="BE375">
        <v>4.13</v>
      </c>
      <c r="BH375" t="s">
        <v>126</v>
      </c>
      <c r="BI375" t="s">
        <v>126</v>
      </c>
      <c r="BJ375" t="s">
        <v>126</v>
      </c>
      <c r="BK375" t="s">
        <v>126</v>
      </c>
      <c r="BS375" t="s">
        <v>126</v>
      </c>
      <c r="BT375" t="s">
        <v>126</v>
      </c>
      <c r="BU375" t="s">
        <v>126</v>
      </c>
      <c r="BV375" t="s">
        <v>126</v>
      </c>
      <c r="CN375" t="s">
        <v>147</v>
      </c>
      <c r="CP375" t="s">
        <v>630</v>
      </c>
      <c r="CQ375" t="s">
        <v>147</v>
      </c>
    </row>
    <row r="376" spans="1:95" x14ac:dyDescent="0.2">
      <c r="A376" t="s">
        <v>115</v>
      </c>
      <c r="B376" t="s">
        <v>116</v>
      </c>
      <c r="C376">
        <v>210784</v>
      </c>
      <c r="E376" t="s">
        <v>117</v>
      </c>
      <c r="F376">
        <v>368</v>
      </c>
      <c r="G376" t="s">
        <v>229</v>
      </c>
      <c r="H376" t="s">
        <v>230</v>
      </c>
      <c r="I376" t="s">
        <v>204</v>
      </c>
      <c r="J376" t="s">
        <v>205</v>
      </c>
      <c r="L376" s="14">
        <v>45498</v>
      </c>
      <c r="M376" s="18">
        <f t="shared" si="8"/>
        <v>45474</v>
      </c>
      <c r="N376">
        <v>105952</v>
      </c>
      <c r="O376" t="s">
        <v>123</v>
      </c>
      <c r="P376" t="s">
        <v>146</v>
      </c>
      <c r="Q376">
        <v>8.94</v>
      </c>
      <c r="R376" t="s">
        <v>125</v>
      </c>
      <c r="S376" t="s">
        <v>126</v>
      </c>
      <c r="T376" t="s">
        <v>125</v>
      </c>
      <c r="U376" t="s">
        <v>126</v>
      </c>
      <c r="W376">
        <v>8.94</v>
      </c>
      <c r="Y376">
        <v>8.94</v>
      </c>
      <c r="AC376">
        <v>8.94</v>
      </c>
      <c r="BH376" t="s">
        <v>126</v>
      </c>
      <c r="BI376" t="s">
        <v>126</v>
      </c>
      <c r="BJ376" t="s">
        <v>126</v>
      </c>
      <c r="BK376" t="s">
        <v>126</v>
      </c>
      <c r="BS376" t="s">
        <v>126</v>
      </c>
      <c r="BT376" t="s">
        <v>126</v>
      </c>
      <c r="BU376" t="s">
        <v>126</v>
      </c>
      <c r="BV376" t="s">
        <v>126</v>
      </c>
      <c r="CN376" t="s">
        <v>230</v>
      </c>
      <c r="CP376" t="s">
        <v>234</v>
      </c>
      <c r="CQ376" t="s">
        <v>230</v>
      </c>
    </row>
    <row r="377" spans="1:95" x14ac:dyDescent="0.2">
      <c r="A377" t="s">
        <v>115</v>
      </c>
      <c r="B377" t="s">
        <v>116</v>
      </c>
      <c r="C377">
        <v>210784</v>
      </c>
      <c r="E377" t="s">
        <v>117</v>
      </c>
      <c r="F377">
        <v>368</v>
      </c>
      <c r="G377" t="s">
        <v>141</v>
      </c>
      <c r="H377" t="s">
        <v>142</v>
      </c>
      <c r="I377" t="s">
        <v>204</v>
      </c>
      <c r="J377" t="s">
        <v>205</v>
      </c>
      <c r="L377" s="14">
        <v>45498</v>
      </c>
      <c r="M377" s="18">
        <f t="shared" si="8"/>
        <v>45474</v>
      </c>
      <c r="N377">
        <v>105952</v>
      </c>
      <c r="O377" t="s">
        <v>123</v>
      </c>
      <c r="P377" t="s">
        <v>146</v>
      </c>
      <c r="Q377">
        <v>8.94</v>
      </c>
      <c r="R377" t="s">
        <v>125</v>
      </c>
      <c r="S377" t="s">
        <v>126</v>
      </c>
      <c r="T377" t="s">
        <v>125</v>
      </c>
      <c r="U377" t="s">
        <v>126</v>
      </c>
      <c r="W377">
        <v>8.94</v>
      </c>
      <c r="Y377">
        <v>8.94</v>
      </c>
      <c r="AC377">
        <v>8.94</v>
      </c>
      <c r="BH377" t="s">
        <v>126</v>
      </c>
      <c r="BI377" t="s">
        <v>126</v>
      </c>
      <c r="BJ377" t="s">
        <v>126</v>
      </c>
      <c r="BK377" t="s">
        <v>126</v>
      </c>
      <c r="BS377" t="s">
        <v>126</v>
      </c>
      <c r="BT377" t="s">
        <v>126</v>
      </c>
      <c r="BU377" t="s">
        <v>126</v>
      </c>
      <c r="BV377" t="s">
        <v>126</v>
      </c>
      <c r="CN377" t="s">
        <v>147</v>
      </c>
      <c r="CP377" t="s">
        <v>258</v>
      </c>
      <c r="CQ377" t="s">
        <v>147</v>
      </c>
    </row>
    <row r="378" spans="1:95" x14ac:dyDescent="0.2">
      <c r="A378" t="s">
        <v>115</v>
      </c>
      <c r="B378" t="s">
        <v>116</v>
      </c>
      <c r="C378">
        <v>210784</v>
      </c>
      <c r="E378" t="s">
        <v>117</v>
      </c>
      <c r="F378">
        <v>368</v>
      </c>
      <c r="G378" t="s">
        <v>141</v>
      </c>
      <c r="H378" t="s">
        <v>142</v>
      </c>
      <c r="I378" t="s">
        <v>204</v>
      </c>
      <c r="J378" t="s">
        <v>205</v>
      </c>
      <c r="L378" s="14">
        <v>45509</v>
      </c>
      <c r="M378" s="18">
        <f t="shared" si="8"/>
        <v>45505</v>
      </c>
      <c r="N378">
        <v>106518</v>
      </c>
      <c r="O378" t="s">
        <v>123</v>
      </c>
      <c r="P378" t="s">
        <v>146</v>
      </c>
      <c r="Q378">
        <v>8.4700000000000006</v>
      </c>
      <c r="R378" t="s">
        <v>125</v>
      </c>
      <c r="S378" t="s">
        <v>126</v>
      </c>
      <c r="T378" t="s">
        <v>125</v>
      </c>
      <c r="U378" t="s">
        <v>126</v>
      </c>
      <c r="W378">
        <v>8.4700000000000006</v>
      </c>
      <c r="Y378">
        <v>8.4700000000000006</v>
      </c>
      <c r="AC378">
        <v>8.4700000000000006</v>
      </c>
      <c r="BH378" t="s">
        <v>126</v>
      </c>
      <c r="BI378" t="s">
        <v>126</v>
      </c>
      <c r="BJ378" t="s">
        <v>126</v>
      </c>
      <c r="BK378" t="s">
        <v>126</v>
      </c>
      <c r="BS378" t="s">
        <v>126</v>
      </c>
      <c r="BT378" t="s">
        <v>126</v>
      </c>
      <c r="BU378" t="s">
        <v>126</v>
      </c>
      <c r="BV378" t="s">
        <v>126</v>
      </c>
      <c r="CN378" t="s">
        <v>147</v>
      </c>
      <c r="CP378" t="s">
        <v>258</v>
      </c>
      <c r="CQ378" t="s">
        <v>147</v>
      </c>
    </row>
    <row r="379" spans="1:95" x14ac:dyDescent="0.2">
      <c r="A379" t="s">
        <v>115</v>
      </c>
      <c r="B379" t="s">
        <v>116</v>
      </c>
      <c r="C379">
        <v>210784</v>
      </c>
      <c r="E379" t="s">
        <v>117</v>
      </c>
      <c r="F379">
        <v>368</v>
      </c>
      <c r="G379" t="s">
        <v>141</v>
      </c>
      <c r="H379" t="s">
        <v>142</v>
      </c>
      <c r="I379" t="s">
        <v>279</v>
      </c>
      <c r="J379" t="s">
        <v>280</v>
      </c>
      <c r="L379" s="14">
        <v>45510</v>
      </c>
      <c r="M379" s="18">
        <f t="shared" si="8"/>
        <v>45505</v>
      </c>
      <c r="N379">
        <v>5547817</v>
      </c>
      <c r="O379" t="s">
        <v>123</v>
      </c>
      <c r="P379" t="s">
        <v>146</v>
      </c>
      <c r="Q379">
        <v>3.4</v>
      </c>
      <c r="R379" t="s">
        <v>635</v>
      </c>
      <c r="S379" t="s">
        <v>126</v>
      </c>
      <c r="T379" t="s">
        <v>635</v>
      </c>
      <c r="U379" t="s">
        <v>636</v>
      </c>
      <c r="W379">
        <v>1.05</v>
      </c>
      <c r="X379">
        <v>2.35</v>
      </c>
      <c r="Y379">
        <v>3.4</v>
      </c>
      <c r="Z379">
        <v>1.29</v>
      </c>
      <c r="AG379">
        <v>1.05</v>
      </c>
      <c r="AI379">
        <v>1.06</v>
      </c>
      <c r="BH379" t="s">
        <v>126</v>
      </c>
      <c r="BI379" t="s">
        <v>126</v>
      </c>
      <c r="BJ379" t="s">
        <v>126</v>
      </c>
      <c r="BK379" t="s">
        <v>126</v>
      </c>
      <c r="BS379" t="s">
        <v>126</v>
      </c>
      <c r="BT379" t="s">
        <v>126</v>
      </c>
      <c r="BU379" t="s">
        <v>126</v>
      </c>
      <c r="BV379" t="s">
        <v>126</v>
      </c>
      <c r="CN379" t="s">
        <v>147</v>
      </c>
      <c r="CP379" t="s">
        <v>238</v>
      </c>
      <c r="CQ379" t="s">
        <v>147</v>
      </c>
    </row>
    <row r="380" spans="1:95" x14ac:dyDescent="0.2">
      <c r="A380" t="s">
        <v>115</v>
      </c>
      <c r="B380" t="s">
        <v>116</v>
      </c>
      <c r="C380">
        <v>210784</v>
      </c>
      <c r="E380" t="s">
        <v>117</v>
      </c>
      <c r="F380">
        <v>368</v>
      </c>
      <c r="G380" t="s">
        <v>141</v>
      </c>
      <c r="H380" t="s">
        <v>142</v>
      </c>
      <c r="I380" t="s">
        <v>279</v>
      </c>
      <c r="J380" t="s">
        <v>280</v>
      </c>
      <c r="L380" s="14">
        <v>45510</v>
      </c>
      <c r="M380" s="18">
        <f t="shared" si="8"/>
        <v>45505</v>
      </c>
      <c r="N380">
        <v>5547957</v>
      </c>
      <c r="O380" t="s">
        <v>123</v>
      </c>
      <c r="P380" t="s">
        <v>146</v>
      </c>
      <c r="Q380">
        <v>3.85</v>
      </c>
      <c r="R380" t="s">
        <v>125</v>
      </c>
      <c r="S380" t="s">
        <v>126</v>
      </c>
      <c r="T380" t="s">
        <v>125</v>
      </c>
      <c r="U380" t="s">
        <v>126</v>
      </c>
      <c r="W380">
        <v>3.85</v>
      </c>
      <c r="Y380">
        <v>3.85</v>
      </c>
      <c r="BE380">
        <v>3.85</v>
      </c>
      <c r="BH380" t="s">
        <v>126</v>
      </c>
      <c r="BI380" t="s">
        <v>126</v>
      </c>
      <c r="BJ380" t="s">
        <v>126</v>
      </c>
      <c r="BK380" t="s">
        <v>126</v>
      </c>
      <c r="BS380" t="s">
        <v>126</v>
      </c>
      <c r="BT380" t="s">
        <v>126</v>
      </c>
      <c r="BU380" t="s">
        <v>126</v>
      </c>
      <c r="BV380" t="s">
        <v>126</v>
      </c>
      <c r="CN380" t="s">
        <v>147</v>
      </c>
      <c r="CP380" t="s">
        <v>238</v>
      </c>
      <c r="CQ380" t="s">
        <v>147</v>
      </c>
    </row>
    <row r="381" spans="1:95" x14ac:dyDescent="0.2">
      <c r="A381" t="s">
        <v>115</v>
      </c>
      <c r="B381" t="s">
        <v>116</v>
      </c>
      <c r="C381">
        <v>210784</v>
      </c>
      <c r="E381" t="s">
        <v>117</v>
      </c>
      <c r="F381">
        <v>368</v>
      </c>
      <c r="G381" t="s">
        <v>141</v>
      </c>
      <c r="H381" t="s">
        <v>142</v>
      </c>
      <c r="I381" t="s">
        <v>279</v>
      </c>
      <c r="J381" t="s">
        <v>280</v>
      </c>
      <c r="L381" s="14">
        <v>45514</v>
      </c>
      <c r="M381" s="18">
        <f t="shared" si="8"/>
        <v>45505</v>
      </c>
      <c r="N381">
        <v>5550792</v>
      </c>
      <c r="O381" t="s">
        <v>123</v>
      </c>
      <c r="P381" t="s">
        <v>146</v>
      </c>
      <c r="Q381">
        <v>4.17</v>
      </c>
      <c r="R381" t="s">
        <v>125</v>
      </c>
      <c r="S381" t="s">
        <v>126</v>
      </c>
      <c r="T381" t="s">
        <v>125</v>
      </c>
      <c r="U381" t="s">
        <v>126</v>
      </c>
      <c r="W381">
        <v>4.17</v>
      </c>
      <c r="Y381">
        <v>4.17</v>
      </c>
      <c r="AE381">
        <v>4.17</v>
      </c>
      <c r="BH381" t="s">
        <v>126</v>
      </c>
      <c r="BI381" t="s">
        <v>126</v>
      </c>
      <c r="BJ381" t="s">
        <v>126</v>
      </c>
      <c r="BK381" t="s">
        <v>126</v>
      </c>
      <c r="BS381" t="s">
        <v>126</v>
      </c>
      <c r="BT381" t="s">
        <v>126</v>
      </c>
      <c r="BU381" t="s">
        <v>126</v>
      </c>
      <c r="BV381" t="s">
        <v>126</v>
      </c>
      <c r="CN381" t="s">
        <v>147</v>
      </c>
      <c r="CP381" t="s">
        <v>238</v>
      </c>
      <c r="CQ381" t="s">
        <v>147</v>
      </c>
    </row>
    <row r="382" spans="1:95" x14ac:dyDescent="0.2">
      <c r="A382" t="s">
        <v>115</v>
      </c>
      <c r="B382" t="s">
        <v>116</v>
      </c>
      <c r="C382">
        <v>210784</v>
      </c>
      <c r="E382" t="s">
        <v>117</v>
      </c>
      <c r="F382">
        <v>368</v>
      </c>
      <c r="G382" t="s">
        <v>229</v>
      </c>
      <c r="H382" t="s">
        <v>230</v>
      </c>
      <c r="I382" t="s">
        <v>204</v>
      </c>
      <c r="J382" t="s">
        <v>205</v>
      </c>
      <c r="L382" s="14">
        <v>45516</v>
      </c>
      <c r="M382" s="18">
        <f t="shared" si="8"/>
        <v>45505</v>
      </c>
      <c r="N382">
        <v>106894</v>
      </c>
      <c r="O382" t="s">
        <v>123</v>
      </c>
      <c r="P382" t="s">
        <v>146</v>
      </c>
      <c r="Q382">
        <v>8.36</v>
      </c>
      <c r="R382" t="s">
        <v>125</v>
      </c>
      <c r="S382" t="s">
        <v>126</v>
      </c>
      <c r="T382" t="s">
        <v>125</v>
      </c>
      <c r="U382" t="s">
        <v>126</v>
      </c>
      <c r="W382">
        <v>8.36</v>
      </c>
      <c r="Y382">
        <v>8.36</v>
      </c>
      <c r="AC382">
        <v>8.36</v>
      </c>
      <c r="BH382" t="s">
        <v>126</v>
      </c>
      <c r="BI382" t="s">
        <v>126</v>
      </c>
      <c r="BJ382" t="s">
        <v>126</v>
      </c>
      <c r="BK382" t="s">
        <v>126</v>
      </c>
      <c r="BS382" t="s">
        <v>126</v>
      </c>
      <c r="BT382" t="s">
        <v>126</v>
      </c>
      <c r="BU382" t="s">
        <v>126</v>
      </c>
      <c r="BV382" t="s">
        <v>126</v>
      </c>
      <c r="CN382" t="s">
        <v>230</v>
      </c>
      <c r="CP382" t="s">
        <v>234</v>
      </c>
      <c r="CQ382" t="s">
        <v>230</v>
      </c>
    </row>
    <row r="383" spans="1:95" x14ac:dyDescent="0.2">
      <c r="A383" t="s">
        <v>115</v>
      </c>
      <c r="B383" t="s">
        <v>116</v>
      </c>
      <c r="C383">
        <v>210784</v>
      </c>
      <c r="E383" t="s">
        <v>117</v>
      </c>
      <c r="F383">
        <v>368</v>
      </c>
      <c r="G383" t="s">
        <v>141</v>
      </c>
      <c r="H383" t="s">
        <v>142</v>
      </c>
      <c r="I383" t="s">
        <v>204</v>
      </c>
      <c r="J383" t="s">
        <v>205</v>
      </c>
      <c r="L383" s="14">
        <v>45516</v>
      </c>
      <c r="M383" s="18">
        <f t="shared" si="8"/>
        <v>45505</v>
      </c>
      <c r="N383">
        <v>106897</v>
      </c>
      <c r="O383" t="s">
        <v>123</v>
      </c>
      <c r="P383" t="s">
        <v>146</v>
      </c>
      <c r="Q383">
        <v>8.36</v>
      </c>
      <c r="R383" t="s">
        <v>125</v>
      </c>
      <c r="S383" t="s">
        <v>126</v>
      </c>
      <c r="T383" t="s">
        <v>125</v>
      </c>
      <c r="U383" t="s">
        <v>126</v>
      </c>
      <c r="W383">
        <v>8.36</v>
      </c>
      <c r="Y383">
        <v>8.36</v>
      </c>
      <c r="AC383">
        <v>8.36</v>
      </c>
      <c r="BH383" t="s">
        <v>126</v>
      </c>
      <c r="BI383" t="s">
        <v>126</v>
      </c>
      <c r="BJ383" t="s">
        <v>126</v>
      </c>
      <c r="BK383" t="s">
        <v>126</v>
      </c>
      <c r="BS383" t="s">
        <v>126</v>
      </c>
      <c r="BT383" t="s">
        <v>126</v>
      </c>
      <c r="BU383" t="s">
        <v>126</v>
      </c>
      <c r="BV383" t="s">
        <v>126</v>
      </c>
      <c r="CN383" t="s">
        <v>147</v>
      </c>
      <c r="CP383" t="s">
        <v>258</v>
      </c>
      <c r="CQ383" t="s">
        <v>147</v>
      </c>
    </row>
    <row r="384" spans="1:95" x14ac:dyDescent="0.2">
      <c r="A384" t="s">
        <v>115</v>
      </c>
      <c r="B384" t="s">
        <v>116</v>
      </c>
      <c r="C384">
        <v>210784</v>
      </c>
      <c r="E384" t="s">
        <v>117</v>
      </c>
      <c r="F384">
        <v>368</v>
      </c>
      <c r="G384" t="s">
        <v>141</v>
      </c>
      <c r="H384" t="s">
        <v>142</v>
      </c>
      <c r="I384" t="s">
        <v>279</v>
      </c>
      <c r="J384" t="s">
        <v>280</v>
      </c>
      <c r="L384" s="14">
        <v>45516</v>
      </c>
      <c r="M384" s="18">
        <f t="shared" si="8"/>
        <v>45505</v>
      </c>
      <c r="N384">
        <v>5551703</v>
      </c>
      <c r="O384" t="s">
        <v>123</v>
      </c>
      <c r="P384" t="s">
        <v>146</v>
      </c>
      <c r="Q384">
        <v>3.86</v>
      </c>
      <c r="R384" t="s">
        <v>125</v>
      </c>
      <c r="S384" t="s">
        <v>126</v>
      </c>
      <c r="T384" t="s">
        <v>125</v>
      </c>
      <c r="U384" t="s">
        <v>126</v>
      </c>
      <c r="W384">
        <v>3.86</v>
      </c>
      <c r="Y384">
        <v>3.86</v>
      </c>
      <c r="BE384">
        <v>3.86</v>
      </c>
      <c r="BH384" t="s">
        <v>126</v>
      </c>
      <c r="BI384" t="s">
        <v>126</v>
      </c>
      <c r="BJ384" t="s">
        <v>126</v>
      </c>
      <c r="BK384" t="s">
        <v>126</v>
      </c>
      <c r="BS384" t="s">
        <v>126</v>
      </c>
      <c r="BT384" t="s">
        <v>126</v>
      </c>
      <c r="BU384" t="s">
        <v>126</v>
      </c>
      <c r="BV384" t="s">
        <v>126</v>
      </c>
      <c r="CN384" t="s">
        <v>147</v>
      </c>
      <c r="CP384" t="s">
        <v>238</v>
      </c>
      <c r="CQ384" t="s">
        <v>147</v>
      </c>
    </row>
    <row r="385" spans="1:95" x14ac:dyDescent="0.2">
      <c r="A385" t="s">
        <v>115</v>
      </c>
      <c r="B385" t="s">
        <v>116</v>
      </c>
      <c r="C385">
        <v>210784</v>
      </c>
      <c r="E385" t="s">
        <v>117</v>
      </c>
      <c r="F385">
        <v>368</v>
      </c>
      <c r="G385" t="s">
        <v>141</v>
      </c>
      <c r="H385" t="s">
        <v>142</v>
      </c>
      <c r="I385" t="s">
        <v>279</v>
      </c>
      <c r="J385" t="s">
        <v>280</v>
      </c>
      <c r="L385" s="14">
        <v>45518</v>
      </c>
      <c r="M385" s="18">
        <f t="shared" si="8"/>
        <v>45505</v>
      </c>
      <c r="N385">
        <v>5553320</v>
      </c>
      <c r="O385" t="s">
        <v>123</v>
      </c>
      <c r="P385" t="s">
        <v>146</v>
      </c>
      <c r="Q385">
        <v>0.73</v>
      </c>
      <c r="R385" t="s">
        <v>638</v>
      </c>
      <c r="S385" t="s">
        <v>126</v>
      </c>
      <c r="T385" t="s">
        <v>638</v>
      </c>
      <c r="U385" t="s">
        <v>639</v>
      </c>
      <c r="W385">
        <v>0.22</v>
      </c>
      <c r="X385">
        <v>0.51</v>
      </c>
      <c r="Y385">
        <v>0.73</v>
      </c>
      <c r="Z385">
        <v>0.28000000000000003</v>
      </c>
      <c r="AG385">
        <v>0.22</v>
      </c>
      <c r="AI385">
        <v>0.23</v>
      </c>
      <c r="BH385" t="s">
        <v>126</v>
      </c>
      <c r="BI385" t="s">
        <v>126</v>
      </c>
      <c r="BJ385" t="s">
        <v>126</v>
      </c>
      <c r="BK385" t="s">
        <v>126</v>
      </c>
      <c r="BS385" t="s">
        <v>126</v>
      </c>
      <c r="BT385" t="s">
        <v>126</v>
      </c>
      <c r="BU385" t="s">
        <v>126</v>
      </c>
      <c r="BV385" t="s">
        <v>126</v>
      </c>
      <c r="CN385" t="s">
        <v>147</v>
      </c>
      <c r="CP385" t="s">
        <v>238</v>
      </c>
      <c r="CQ385" t="s">
        <v>147</v>
      </c>
    </row>
    <row r="386" spans="1:95" x14ac:dyDescent="0.2">
      <c r="A386" t="s">
        <v>115</v>
      </c>
      <c r="B386" t="s">
        <v>116</v>
      </c>
      <c r="C386">
        <v>210784</v>
      </c>
      <c r="E386" t="s">
        <v>117</v>
      </c>
      <c r="F386">
        <v>368</v>
      </c>
      <c r="G386" t="s">
        <v>141</v>
      </c>
      <c r="H386" t="s">
        <v>142</v>
      </c>
      <c r="I386" t="s">
        <v>279</v>
      </c>
      <c r="J386" t="s">
        <v>280</v>
      </c>
      <c r="L386" s="14">
        <v>45518</v>
      </c>
      <c r="M386" s="18">
        <f t="shared" si="8"/>
        <v>45505</v>
      </c>
      <c r="N386">
        <v>5553250</v>
      </c>
      <c r="O386" t="s">
        <v>123</v>
      </c>
      <c r="P386" t="s">
        <v>146</v>
      </c>
      <c r="Q386">
        <v>4.17</v>
      </c>
      <c r="R386" t="s">
        <v>631</v>
      </c>
      <c r="S386" t="s">
        <v>126</v>
      </c>
      <c r="T386" t="s">
        <v>631</v>
      </c>
      <c r="U386" t="s">
        <v>632</v>
      </c>
      <c r="W386">
        <v>1.29</v>
      </c>
      <c r="X386">
        <v>2.88</v>
      </c>
      <c r="Y386">
        <v>4.17</v>
      </c>
      <c r="Z386">
        <v>1.58</v>
      </c>
      <c r="AG386">
        <v>1.29</v>
      </c>
      <c r="AI386">
        <v>1.3</v>
      </c>
      <c r="BH386" t="s">
        <v>126</v>
      </c>
      <c r="BI386" t="s">
        <v>126</v>
      </c>
      <c r="BJ386" t="s">
        <v>126</v>
      </c>
      <c r="BK386" t="s">
        <v>126</v>
      </c>
      <c r="BS386" t="s">
        <v>126</v>
      </c>
      <c r="BT386" t="s">
        <v>126</v>
      </c>
      <c r="BU386" t="s">
        <v>126</v>
      </c>
      <c r="BV386" t="s">
        <v>126</v>
      </c>
      <c r="CN386" t="s">
        <v>147</v>
      </c>
      <c r="CP386" t="s">
        <v>238</v>
      </c>
      <c r="CQ386" t="s">
        <v>147</v>
      </c>
    </row>
    <row r="387" spans="1:95" x14ac:dyDescent="0.2">
      <c r="A387" t="s">
        <v>115</v>
      </c>
      <c r="B387" t="s">
        <v>116</v>
      </c>
      <c r="C387">
        <v>210784</v>
      </c>
      <c r="E387" t="s">
        <v>117</v>
      </c>
      <c r="F387">
        <v>368</v>
      </c>
      <c r="G387" t="s">
        <v>141</v>
      </c>
      <c r="H387" t="s">
        <v>142</v>
      </c>
      <c r="I387" t="s">
        <v>279</v>
      </c>
      <c r="J387" t="s">
        <v>280</v>
      </c>
      <c r="L387" s="14">
        <v>45519</v>
      </c>
      <c r="M387" s="18">
        <f t="shared" si="8"/>
        <v>45505</v>
      </c>
      <c r="N387">
        <v>5554175</v>
      </c>
      <c r="O387" t="s">
        <v>123</v>
      </c>
      <c r="P387" t="s">
        <v>146</v>
      </c>
      <c r="Q387">
        <v>2.79</v>
      </c>
      <c r="R387" t="s">
        <v>125</v>
      </c>
      <c r="S387" t="s">
        <v>126</v>
      </c>
      <c r="T387" t="s">
        <v>125</v>
      </c>
      <c r="U387" t="s">
        <v>126</v>
      </c>
      <c r="W387">
        <v>2.79</v>
      </c>
      <c r="Y387">
        <v>2.79</v>
      </c>
      <c r="BE387">
        <v>2.79</v>
      </c>
      <c r="BH387" t="s">
        <v>126</v>
      </c>
      <c r="BI387" t="s">
        <v>126</v>
      </c>
      <c r="BJ387" t="s">
        <v>126</v>
      </c>
      <c r="BK387" t="s">
        <v>126</v>
      </c>
      <c r="BS387" t="s">
        <v>126</v>
      </c>
      <c r="BT387" t="s">
        <v>126</v>
      </c>
      <c r="BU387" t="s">
        <v>126</v>
      </c>
      <c r="BV387" t="s">
        <v>126</v>
      </c>
      <c r="CN387" t="s">
        <v>147</v>
      </c>
      <c r="CP387" t="s">
        <v>238</v>
      </c>
      <c r="CQ387" t="s">
        <v>147</v>
      </c>
    </row>
    <row r="388" spans="1:95" x14ac:dyDescent="0.2">
      <c r="A388" t="s">
        <v>115</v>
      </c>
      <c r="B388" t="s">
        <v>116</v>
      </c>
      <c r="C388">
        <v>210784</v>
      </c>
      <c r="E388" t="s">
        <v>117</v>
      </c>
      <c r="F388">
        <v>368</v>
      </c>
      <c r="G388" t="s">
        <v>141</v>
      </c>
      <c r="H388" t="s">
        <v>142</v>
      </c>
      <c r="I388" t="s">
        <v>284</v>
      </c>
      <c r="J388" t="s">
        <v>285</v>
      </c>
      <c r="L388" s="14">
        <v>45520</v>
      </c>
      <c r="M388" s="18">
        <f t="shared" si="8"/>
        <v>45505</v>
      </c>
      <c r="N388">
        <v>109045</v>
      </c>
      <c r="O388" t="s">
        <v>123</v>
      </c>
      <c r="P388" t="s">
        <v>146</v>
      </c>
      <c r="Q388">
        <v>1.3499999999999999</v>
      </c>
      <c r="R388" t="s">
        <v>641</v>
      </c>
      <c r="S388" t="s">
        <v>126</v>
      </c>
      <c r="T388" t="s">
        <v>641</v>
      </c>
      <c r="U388" t="s">
        <v>642</v>
      </c>
      <c r="W388">
        <v>0.42</v>
      </c>
      <c r="X388">
        <v>0.92999999999999994</v>
      </c>
      <c r="Y388">
        <v>1.3499999999999999</v>
      </c>
      <c r="Z388">
        <v>0.51</v>
      </c>
      <c r="AG388">
        <v>0.42</v>
      </c>
      <c r="AI388">
        <v>0.42</v>
      </c>
      <c r="BH388" t="s">
        <v>126</v>
      </c>
      <c r="BI388" t="s">
        <v>126</v>
      </c>
      <c r="BJ388" t="s">
        <v>126</v>
      </c>
      <c r="BK388" t="s">
        <v>126</v>
      </c>
      <c r="BS388" t="s">
        <v>126</v>
      </c>
      <c r="BT388" t="s">
        <v>126</v>
      </c>
      <c r="BU388" t="s">
        <v>126</v>
      </c>
      <c r="BV388" t="s">
        <v>126</v>
      </c>
      <c r="CN388" t="s">
        <v>147</v>
      </c>
      <c r="CP388" t="s">
        <v>238</v>
      </c>
      <c r="CQ388" t="s">
        <v>147</v>
      </c>
    </row>
    <row r="389" spans="1:95" x14ac:dyDescent="0.2">
      <c r="A389" t="s">
        <v>115</v>
      </c>
      <c r="B389" t="s">
        <v>116</v>
      </c>
      <c r="C389">
        <v>210784</v>
      </c>
      <c r="E389" t="s">
        <v>117</v>
      </c>
      <c r="F389">
        <v>368</v>
      </c>
      <c r="G389" t="s">
        <v>141</v>
      </c>
      <c r="H389" t="s">
        <v>142</v>
      </c>
      <c r="I389" t="s">
        <v>279</v>
      </c>
      <c r="J389" t="s">
        <v>280</v>
      </c>
      <c r="L389" s="14">
        <v>45523</v>
      </c>
      <c r="M389" s="18">
        <f t="shared" si="8"/>
        <v>45505</v>
      </c>
      <c r="N389">
        <v>5555743</v>
      </c>
      <c r="O389" t="s">
        <v>123</v>
      </c>
      <c r="P389" t="s">
        <v>146</v>
      </c>
      <c r="Q389">
        <v>3.3</v>
      </c>
      <c r="R389" t="s">
        <v>644</v>
      </c>
      <c r="S389" t="s">
        <v>126</v>
      </c>
      <c r="T389" t="s">
        <v>644</v>
      </c>
      <c r="U389" t="s">
        <v>645</v>
      </c>
      <c r="W389">
        <v>1.02</v>
      </c>
      <c r="X389">
        <v>2.2800000000000002</v>
      </c>
      <c r="Y389">
        <v>3.3</v>
      </c>
      <c r="Z389">
        <v>1.25</v>
      </c>
      <c r="AG389">
        <v>1.02</v>
      </c>
      <c r="AI389">
        <v>1.03</v>
      </c>
      <c r="BH389" t="s">
        <v>126</v>
      </c>
      <c r="BI389" t="s">
        <v>126</v>
      </c>
      <c r="BJ389" t="s">
        <v>126</v>
      </c>
      <c r="BK389" t="s">
        <v>126</v>
      </c>
      <c r="BS389" t="s">
        <v>126</v>
      </c>
      <c r="BT389" t="s">
        <v>126</v>
      </c>
      <c r="BU389" t="s">
        <v>126</v>
      </c>
      <c r="BV389" t="s">
        <v>126</v>
      </c>
      <c r="CN389" t="s">
        <v>147</v>
      </c>
      <c r="CP389" t="s">
        <v>238</v>
      </c>
      <c r="CQ389" t="s">
        <v>147</v>
      </c>
    </row>
    <row r="390" spans="1:95" x14ac:dyDescent="0.2">
      <c r="A390" t="s">
        <v>115</v>
      </c>
      <c r="B390" t="s">
        <v>116</v>
      </c>
      <c r="C390">
        <v>210784</v>
      </c>
      <c r="E390" t="s">
        <v>117</v>
      </c>
      <c r="F390">
        <v>368</v>
      </c>
      <c r="G390" t="s">
        <v>141</v>
      </c>
      <c r="H390" t="s">
        <v>142</v>
      </c>
      <c r="I390" t="s">
        <v>259</v>
      </c>
      <c r="J390" t="s">
        <v>260</v>
      </c>
      <c r="L390" s="14">
        <v>45525</v>
      </c>
      <c r="M390" s="18">
        <f t="shared" si="8"/>
        <v>45505</v>
      </c>
      <c r="N390">
        <v>25781</v>
      </c>
      <c r="O390" t="s">
        <v>123</v>
      </c>
      <c r="P390" t="s">
        <v>146</v>
      </c>
      <c r="Q390">
        <v>8</v>
      </c>
      <c r="R390" t="s">
        <v>125</v>
      </c>
      <c r="S390" t="s">
        <v>126</v>
      </c>
      <c r="T390" t="s">
        <v>125</v>
      </c>
      <c r="U390" t="s">
        <v>126</v>
      </c>
      <c r="W390">
        <v>8</v>
      </c>
      <c r="Y390">
        <v>8</v>
      </c>
      <c r="AC390">
        <v>8</v>
      </c>
      <c r="BH390" t="s">
        <v>126</v>
      </c>
      <c r="BI390" t="s">
        <v>126</v>
      </c>
      <c r="BJ390" t="s">
        <v>126</v>
      </c>
      <c r="BK390" t="s">
        <v>126</v>
      </c>
      <c r="BS390" t="s">
        <v>126</v>
      </c>
      <c r="BT390" t="s">
        <v>126</v>
      </c>
      <c r="BU390" t="s">
        <v>126</v>
      </c>
      <c r="BV390" t="s">
        <v>126</v>
      </c>
      <c r="CN390" t="s">
        <v>147</v>
      </c>
      <c r="CP390" t="s">
        <v>258</v>
      </c>
      <c r="CQ390" t="s">
        <v>147</v>
      </c>
    </row>
    <row r="391" spans="1:95" x14ac:dyDescent="0.2">
      <c r="A391" t="s">
        <v>115</v>
      </c>
      <c r="B391" t="s">
        <v>116</v>
      </c>
      <c r="C391">
        <v>210784</v>
      </c>
      <c r="E391" t="s">
        <v>117</v>
      </c>
      <c r="F391">
        <v>368</v>
      </c>
      <c r="G391" t="s">
        <v>141</v>
      </c>
      <c r="H391" t="s">
        <v>142</v>
      </c>
      <c r="I391" t="s">
        <v>279</v>
      </c>
      <c r="J391" t="s">
        <v>280</v>
      </c>
      <c r="L391" s="14">
        <v>45526</v>
      </c>
      <c r="M391" s="18">
        <f t="shared" si="8"/>
        <v>45505</v>
      </c>
      <c r="N391">
        <v>5558915</v>
      </c>
      <c r="O391" t="s">
        <v>123</v>
      </c>
      <c r="P391" t="s">
        <v>146</v>
      </c>
      <c r="Q391">
        <v>1.44</v>
      </c>
      <c r="R391" t="s">
        <v>537</v>
      </c>
      <c r="S391" t="s">
        <v>126</v>
      </c>
      <c r="T391" t="s">
        <v>537</v>
      </c>
      <c r="U391" t="s">
        <v>538</v>
      </c>
      <c r="W391">
        <v>0.44</v>
      </c>
      <c r="X391">
        <v>1</v>
      </c>
      <c r="Y391">
        <v>1.44</v>
      </c>
      <c r="Z391">
        <v>0.55000000000000004</v>
      </c>
      <c r="AG391">
        <v>0.44</v>
      </c>
      <c r="AI391">
        <v>0.45</v>
      </c>
      <c r="BH391" t="s">
        <v>126</v>
      </c>
      <c r="BI391" t="s">
        <v>126</v>
      </c>
      <c r="BJ391" t="s">
        <v>126</v>
      </c>
      <c r="BK391" t="s">
        <v>126</v>
      </c>
      <c r="BS391" t="s">
        <v>126</v>
      </c>
      <c r="BT391" t="s">
        <v>126</v>
      </c>
      <c r="BU391" t="s">
        <v>126</v>
      </c>
      <c r="BV391" t="s">
        <v>126</v>
      </c>
      <c r="CN391" t="s">
        <v>147</v>
      </c>
      <c r="CP391" t="s">
        <v>238</v>
      </c>
      <c r="CQ391" t="s">
        <v>147</v>
      </c>
    </row>
    <row r="392" spans="1:95" x14ac:dyDescent="0.2">
      <c r="A392" t="s">
        <v>115</v>
      </c>
      <c r="B392" t="s">
        <v>116</v>
      </c>
      <c r="C392">
        <v>210784</v>
      </c>
      <c r="E392" t="s">
        <v>117</v>
      </c>
      <c r="F392">
        <v>368</v>
      </c>
      <c r="G392" t="s">
        <v>141</v>
      </c>
      <c r="H392" t="s">
        <v>142</v>
      </c>
      <c r="I392" t="s">
        <v>279</v>
      </c>
      <c r="J392" t="s">
        <v>280</v>
      </c>
      <c r="L392" s="14">
        <v>45526</v>
      </c>
      <c r="M392" s="18">
        <f t="shared" si="8"/>
        <v>45505</v>
      </c>
      <c r="N392">
        <v>5558849</v>
      </c>
      <c r="O392" t="s">
        <v>123</v>
      </c>
      <c r="P392" t="s">
        <v>146</v>
      </c>
      <c r="Q392">
        <v>5.19</v>
      </c>
      <c r="R392" t="s">
        <v>125</v>
      </c>
      <c r="S392" t="s">
        <v>126</v>
      </c>
      <c r="T392" t="s">
        <v>125</v>
      </c>
      <c r="U392" t="s">
        <v>126</v>
      </c>
      <c r="W392">
        <v>5.19</v>
      </c>
      <c r="Y392">
        <v>5.19</v>
      </c>
      <c r="BE392">
        <v>5.19</v>
      </c>
      <c r="BH392" t="s">
        <v>126</v>
      </c>
      <c r="BI392" t="s">
        <v>126</v>
      </c>
      <c r="BJ392" t="s">
        <v>126</v>
      </c>
      <c r="BK392" t="s">
        <v>126</v>
      </c>
      <c r="BS392" t="s">
        <v>126</v>
      </c>
      <c r="BT392" t="s">
        <v>126</v>
      </c>
      <c r="BU392" t="s">
        <v>126</v>
      </c>
      <c r="BV392" t="s">
        <v>126</v>
      </c>
      <c r="CN392" t="s">
        <v>147</v>
      </c>
      <c r="CP392" t="s">
        <v>238</v>
      </c>
      <c r="CQ392" t="s">
        <v>147</v>
      </c>
    </row>
    <row r="393" spans="1:95" x14ac:dyDescent="0.2">
      <c r="A393" t="s">
        <v>115</v>
      </c>
      <c r="B393" t="s">
        <v>116</v>
      </c>
      <c r="C393">
        <v>210784</v>
      </c>
      <c r="E393" t="s">
        <v>117</v>
      </c>
      <c r="F393">
        <v>368</v>
      </c>
      <c r="G393" t="s">
        <v>141</v>
      </c>
      <c r="H393" t="s">
        <v>142</v>
      </c>
      <c r="I393" t="s">
        <v>279</v>
      </c>
      <c r="J393" t="s">
        <v>280</v>
      </c>
      <c r="L393" s="14">
        <v>45526</v>
      </c>
      <c r="M393" s="18">
        <f t="shared" si="8"/>
        <v>45505</v>
      </c>
      <c r="N393">
        <v>5558454</v>
      </c>
      <c r="O393" t="s">
        <v>123</v>
      </c>
      <c r="P393" t="s">
        <v>146</v>
      </c>
      <c r="Q393">
        <v>1.66</v>
      </c>
      <c r="R393" t="s">
        <v>125</v>
      </c>
      <c r="S393" t="s">
        <v>126</v>
      </c>
      <c r="T393" t="s">
        <v>125</v>
      </c>
      <c r="U393" t="s">
        <v>126</v>
      </c>
      <c r="W393">
        <v>1.66</v>
      </c>
      <c r="Y393">
        <v>1.66</v>
      </c>
      <c r="AE393">
        <v>1.66</v>
      </c>
      <c r="BH393" t="s">
        <v>126</v>
      </c>
      <c r="BI393" t="s">
        <v>126</v>
      </c>
      <c r="BJ393" t="s">
        <v>126</v>
      </c>
      <c r="BK393" t="s">
        <v>126</v>
      </c>
      <c r="BS393" t="s">
        <v>126</v>
      </c>
      <c r="BT393" t="s">
        <v>126</v>
      </c>
      <c r="BU393" t="s">
        <v>126</v>
      </c>
      <c r="BV393" t="s">
        <v>126</v>
      </c>
      <c r="CN393" t="s">
        <v>147</v>
      </c>
      <c r="CP393" t="s">
        <v>238</v>
      </c>
      <c r="CQ393" t="s">
        <v>147</v>
      </c>
    </row>
    <row r="394" spans="1:95" x14ac:dyDescent="0.2">
      <c r="A394" t="s">
        <v>115</v>
      </c>
      <c r="B394" t="s">
        <v>116</v>
      </c>
      <c r="C394">
        <v>210784</v>
      </c>
      <c r="E394" t="s">
        <v>117</v>
      </c>
      <c r="F394">
        <v>368</v>
      </c>
      <c r="G394" t="s">
        <v>141</v>
      </c>
      <c r="H394" t="s">
        <v>142</v>
      </c>
      <c r="I394" t="s">
        <v>279</v>
      </c>
      <c r="J394" t="s">
        <v>280</v>
      </c>
      <c r="L394" s="14">
        <v>45527</v>
      </c>
      <c r="M394" s="18">
        <f t="shared" si="8"/>
        <v>45505</v>
      </c>
      <c r="N394">
        <v>5559685</v>
      </c>
      <c r="O394" t="s">
        <v>123</v>
      </c>
      <c r="P394" t="s">
        <v>146</v>
      </c>
      <c r="Q394">
        <v>1.0900000000000001</v>
      </c>
      <c r="R394" t="s">
        <v>648</v>
      </c>
      <c r="S394" t="s">
        <v>126</v>
      </c>
      <c r="T394" t="s">
        <v>648</v>
      </c>
      <c r="U394" t="s">
        <v>649</v>
      </c>
      <c r="W394">
        <v>0.34</v>
      </c>
      <c r="X394">
        <v>0.75</v>
      </c>
      <c r="Y394">
        <v>1.0900000000000001</v>
      </c>
      <c r="Z394">
        <v>0.41</v>
      </c>
      <c r="AG394">
        <v>0.34</v>
      </c>
      <c r="AI394">
        <v>0.34</v>
      </c>
      <c r="BH394" t="s">
        <v>126</v>
      </c>
      <c r="BI394" t="s">
        <v>126</v>
      </c>
      <c r="BJ394" t="s">
        <v>126</v>
      </c>
      <c r="BK394" t="s">
        <v>126</v>
      </c>
      <c r="BS394" t="s">
        <v>126</v>
      </c>
      <c r="BT394" t="s">
        <v>126</v>
      </c>
      <c r="BU394" t="s">
        <v>126</v>
      </c>
      <c r="BV394" t="s">
        <v>126</v>
      </c>
      <c r="CN394" t="s">
        <v>147</v>
      </c>
      <c r="CP394" t="s">
        <v>238</v>
      </c>
      <c r="CQ394" t="s">
        <v>147</v>
      </c>
    </row>
    <row r="395" spans="1:95" x14ac:dyDescent="0.2">
      <c r="A395" t="s">
        <v>115</v>
      </c>
      <c r="B395" t="s">
        <v>116</v>
      </c>
      <c r="C395">
        <v>210784</v>
      </c>
      <c r="E395" t="s">
        <v>117</v>
      </c>
      <c r="F395">
        <v>368</v>
      </c>
      <c r="G395" t="s">
        <v>141</v>
      </c>
      <c r="H395" t="s">
        <v>142</v>
      </c>
      <c r="I395" t="s">
        <v>279</v>
      </c>
      <c r="J395" t="s">
        <v>280</v>
      </c>
      <c r="L395" s="14">
        <v>45527</v>
      </c>
      <c r="M395" s="18">
        <f t="shared" ref="M395:M458" si="9">DATE(YEAR(L395), MONTH(L395), 1)</f>
        <v>45505</v>
      </c>
      <c r="N395">
        <v>5559791</v>
      </c>
      <c r="O395" t="s">
        <v>123</v>
      </c>
      <c r="P395" t="s">
        <v>146</v>
      </c>
      <c r="Q395">
        <v>2.15</v>
      </c>
      <c r="R395" t="s">
        <v>125</v>
      </c>
      <c r="S395" t="s">
        <v>126</v>
      </c>
      <c r="T395" t="s">
        <v>125</v>
      </c>
      <c r="U395" t="s">
        <v>126</v>
      </c>
      <c r="W395">
        <v>2.15</v>
      </c>
      <c r="Y395">
        <v>2.15</v>
      </c>
      <c r="BE395">
        <v>2.15</v>
      </c>
      <c r="BH395" t="s">
        <v>126</v>
      </c>
      <c r="BI395" t="s">
        <v>126</v>
      </c>
      <c r="BJ395" t="s">
        <v>126</v>
      </c>
      <c r="BK395" t="s">
        <v>126</v>
      </c>
      <c r="BS395" t="s">
        <v>126</v>
      </c>
      <c r="BT395" t="s">
        <v>126</v>
      </c>
      <c r="BU395" t="s">
        <v>126</v>
      </c>
      <c r="BV395" t="s">
        <v>126</v>
      </c>
      <c r="CN395" t="s">
        <v>147</v>
      </c>
      <c r="CP395" t="s">
        <v>238</v>
      </c>
      <c r="CQ395" t="s">
        <v>147</v>
      </c>
    </row>
    <row r="396" spans="1:95" x14ac:dyDescent="0.2">
      <c r="A396" t="s">
        <v>115</v>
      </c>
      <c r="B396" t="s">
        <v>116</v>
      </c>
      <c r="C396">
        <v>210784</v>
      </c>
      <c r="E396" t="s">
        <v>117</v>
      </c>
      <c r="F396">
        <v>368</v>
      </c>
      <c r="G396" t="s">
        <v>229</v>
      </c>
      <c r="H396" t="s">
        <v>230</v>
      </c>
      <c r="I396" t="s">
        <v>204</v>
      </c>
      <c r="J396" t="s">
        <v>205</v>
      </c>
      <c r="L396" s="14">
        <v>45530</v>
      </c>
      <c r="M396" s="18">
        <f t="shared" si="9"/>
        <v>45505</v>
      </c>
      <c r="N396">
        <v>107730</v>
      </c>
      <c r="O396" t="s">
        <v>123</v>
      </c>
      <c r="P396" t="s">
        <v>146</v>
      </c>
      <c r="Q396">
        <v>8.48</v>
      </c>
      <c r="R396" t="s">
        <v>125</v>
      </c>
      <c r="S396" t="s">
        <v>126</v>
      </c>
      <c r="T396" t="s">
        <v>125</v>
      </c>
      <c r="U396" t="s">
        <v>126</v>
      </c>
      <c r="W396">
        <v>8.48</v>
      </c>
      <c r="Y396">
        <v>8.48</v>
      </c>
      <c r="AC396">
        <v>8.48</v>
      </c>
      <c r="BH396" t="s">
        <v>126</v>
      </c>
      <c r="BI396" t="s">
        <v>126</v>
      </c>
      <c r="BJ396" t="s">
        <v>126</v>
      </c>
      <c r="BK396" t="s">
        <v>126</v>
      </c>
      <c r="BS396" t="s">
        <v>126</v>
      </c>
      <c r="BT396" t="s">
        <v>126</v>
      </c>
      <c r="BU396" t="s">
        <v>126</v>
      </c>
      <c r="BV396" t="s">
        <v>126</v>
      </c>
      <c r="CN396" t="s">
        <v>230</v>
      </c>
      <c r="CP396" t="s">
        <v>234</v>
      </c>
      <c r="CQ396" t="s">
        <v>230</v>
      </c>
    </row>
    <row r="397" spans="1:95" x14ac:dyDescent="0.2">
      <c r="A397" t="s">
        <v>115</v>
      </c>
      <c r="B397" t="s">
        <v>116</v>
      </c>
      <c r="C397">
        <v>210784</v>
      </c>
      <c r="E397" t="s">
        <v>117</v>
      </c>
      <c r="F397">
        <v>368</v>
      </c>
      <c r="G397" t="s">
        <v>141</v>
      </c>
      <c r="H397" t="s">
        <v>142</v>
      </c>
      <c r="I397" t="s">
        <v>204</v>
      </c>
      <c r="J397" t="s">
        <v>205</v>
      </c>
      <c r="L397" s="14">
        <v>45530</v>
      </c>
      <c r="M397" s="18">
        <f t="shared" si="9"/>
        <v>45505</v>
      </c>
      <c r="N397">
        <v>107730</v>
      </c>
      <c r="O397" t="s">
        <v>123</v>
      </c>
      <c r="P397" t="s">
        <v>146</v>
      </c>
      <c r="Q397">
        <v>8.48</v>
      </c>
      <c r="R397" t="s">
        <v>125</v>
      </c>
      <c r="S397" t="s">
        <v>126</v>
      </c>
      <c r="T397" t="s">
        <v>125</v>
      </c>
      <c r="U397" t="s">
        <v>126</v>
      </c>
      <c r="W397">
        <v>8.48</v>
      </c>
      <c r="Y397">
        <v>8.48</v>
      </c>
      <c r="AC397">
        <v>8.48</v>
      </c>
      <c r="BH397" t="s">
        <v>126</v>
      </c>
      <c r="BI397" t="s">
        <v>126</v>
      </c>
      <c r="BJ397" t="s">
        <v>126</v>
      </c>
      <c r="BK397" t="s">
        <v>126</v>
      </c>
      <c r="BS397" t="s">
        <v>126</v>
      </c>
      <c r="BT397" t="s">
        <v>126</v>
      </c>
      <c r="BU397" t="s">
        <v>126</v>
      </c>
      <c r="BV397" t="s">
        <v>126</v>
      </c>
      <c r="CN397" t="s">
        <v>147</v>
      </c>
      <c r="CP397" t="s">
        <v>258</v>
      </c>
      <c r="CQ397" t="s">
        <v>147</v>
      </c>
    </row>
    <row r="398" spans="1:95" x14ac:dyDescent="0.2">
      <c r="A398" t="s">
        <v>115</v>
      </c>
      <c r="B398" t="s">
        <v>116</v>
      </c>
      <c r="C398">
        <v>210784</v>
      </c>
      <c r="E398" t="s">
        <v>117</v>
      </c>
      <c r="F398">
        <v>368</v>
      </c>
      <c r="G398" t="s">
        <v>141</v>
      </c>
      <c r="H398" t="s">
        <v>142</v>
      </c>
      <c r="I398" t="s">
        <v>279</v>
      </c>
      <c r="J398" t="s">
        <v>280</v>
      </c>
      <c r="L398" s="14">
        <v>45531</v>
      </c>
      <c r="M398" s="18">
        <f t="shared" si="9"/>
        <v>45505</v>
      </c>
      <c r="N398">
        <v>5561893</v>
      </c>
      <c r="O398" t="s">
        <v>123</v>
      </c>
      <c r="P398" t="s">
        <v>146</v>
      </c>
      <c r="Q398">
        <v>1.5799999999999998</v>
      </c>
      <c r="R398" t="s">
        <v>651</v>
      </c>
      <c r="S398" t="s">
        <v>126</v>
      </c>
      <c r="T398" t="s">
        <v>651</v>
      </c>
      <c r="U398" t="s">
        <v>652</v>
      </c>
      <c r="W398">
        <v>0.49</v>
      </c>
      <c r="X398">
        <v>1.0899999999999999</v>
      </c>
      <c r="Y398">
        <v>1.5799999999999998</v>
      </c>
      <c r="Z398">
        <v>0.6</v>
      </c>
      <c r="AG398">
        <v>0.49</v>
      </c>
      <c r="AI398">
        <v>0.49</v>
      </c>
      <c r="BH398" t="s">
        <v>126</v>
      </c>
      <c r="BI398" t="s">
        <v>126</v>
      </c>
      <c r="BJ398" t="s">
        <v>126</v>
      </c>
      <c r="BK398" t="s">
        <v>126</v>
      </c>
      <c r="BS398" t="s">
        <v>126</v>
      </c>
      <c r="BT398" t="s">
        <v>126</v>
      </c>
      <c r="BU398" t="s">
        <v>126</v>
      </c>
      <c r="BV398" t="s">
        <v>126</v>
      </c>
      <c r="CN398" t="s">
        <v>147</v>
      </c>
      <c r="CP398" t="s">
        <v>653</v>
      </c>
      <c r="CQ398" t="s">
        <v>147</v>
      </c>
    </row>
    <row r="399" spans="1:95" x14ac:dyDescent="0.2">
      <c r="A399" t="s">
        <v>115</v>
      </c>
      <c r="B399" t="s">
        <v>116</v>
      </c>
      <c r="C399">
        <v>210784</v>
      </c>
      <c r="E399" t="s">
        <v>117</v>
      </c>
      <c r="F399">
        <v>368</v>
      </c>
      <c r="G399" t="s">
        <v>141</v>
      </c>
      <c r="H399" t="s">
        <v>142</v>
      </c>
      <c r="I399" t="s">
        <v>279</v>
      </c>
      <c r="J399" t="s">
        <v>280</v>
      </c>
      <c r="L399" s="14">
        <v>45531</v>
      </c>
      <c r="M399" s="18">
        <f t="shared" si="9"/>
        <v>45505</v>
      </c>
      <c r="N399">
        <v>5561750</v>
      </c>
      <c r="O399" t="s">
        <v>123</v>
      </c>
      <c r="P399" t="s">
        <v>146</v>
      </c>
      <c r="Q399">
        <v>2.36</v>
      </c>
      <c r="R399" t="s">
        <v>577</v>
      </c>
      <c r="S399" t="s">
        <v>126</v>
      </c>
      <c r="T399" t="s">
        <v>577</v>
      </c>
      <c r="U399" t="s">
        <v>578</v>
      </c>
      <c r="W399">
        <v>0.73</v>
      </c>
      <c r="X399">
        <v>1.63</v>
      </c>
      <c r="Y399">
        <v>2.36</v>
      </c>
      <c r="Z399">
        <v>0.9</v>
      </c>
      <c r="AG399">
        <v>0.73</v>
      </c>
      <c r="AI399">
        <v>0.73</v>
      </c>
      <c r="BH399" t="s">
        <v>126</v>
      </c>
      <c r="BI399" t="s">
        <v>126</v>
      </c>
      <c r="BJ399" t="s">
        <v>126</v>
      </c>
      <c r="BK399" t="s">
        <v>126</v>
      </c>
      <c r="BS399" t="s">
        <v>126</v>
      </c>
      <c r="BT399" t="s">
        <v>126</v>
      </c>
      <c r="BU399" t="s">
        <v>126</v>
      </c>
      <c r="BV399" t="s">
        <v>126</v>
      </c>
      <c r="CN399" t="s">
        <v>147</v>
      </c>
      <c r="CP399" t="s">
        <v>653</v>
      </c>
      <c r="CQ399" t="s">
        <v>147</v>
      </c>
    </row>
    <row r="400" spans="1:95" x14ac:dyDescent="0.2">
      <c r="A400" t="s">
        <v>115</v>
      </c>
      <c r="B400" t="s">
        <v>116</v>
      </c>
      <c r="C400">
        <v>210784</v>
      </c>
      <c r="E400" t="s">
        <v>117</v>
      </c>
      <c r="F400">
        <v>368</v>
      </c>
      <c r="G400" t="s">
        <v>141</v>
      </c>
      <c r="H400" t="s">
        <v>142</v>
      </c>
      <c r="I400" t="s">
        <v>279</v>
      </c>
      <c r="J400" t="s">
        <v>280</v>
      </c>
      <c r="L400" s="14">
        <v>45531</v>
      </c>
      <c r="M400" s="18">
        <f t="shared" si="9"/>
        <v>45505</v>
      </c>
      <c r="N400">
        <v>5561844</v>
      </c>
      <c r="O400" t="s">
        <v>123</v>
      </c>
      <c r="P400" t="s">
        <v>146</v>
      </c>
      <c r="Q400">
        <v>2.06</v>
      </c>
      <c r="R400" t="s">
        <v>654</v>
      </c>
      <c r="S400" t="s">
        <v>126</v>
      </c>
      <c r="T400" t="s">
        <v>654</v>
      </c>
      <c r="U400" t="s">
        <v>655</v>
      </c>
      <c r="W400">
        <v>0.63</v>
      </c>
      <c r="X400">
        <v>1.4300000000000002</v>
      </c>
      <c r="Y400">
        <v>2.06</v>
      </c>
      <c r="Z400">
        <v>0.79</v>
      </c>
      <c r="AG400">
        <v>0.63</v>
      </c>
      <c r="AI400">
        <v>0.64</v>
      </c>
      <c r="BH400" t="s">
        <v>126</v>
      </c>
      <c r="BI400" t="s">
        <v>126</v>
      </c>
      <c r="BJ400" t="s">
        <v>126</v>
      </c>
      <c r="BK400" t="s">
        <v>126</v>
      </c>
      <c r="BS400" t="s">
        <v>126</v>
      </c>
      <c r="BT400" t="s">
        <v>126</v>
      </c>
      <c r="BU400" t="s">
        <v>126</v>
      </c>
      <c r="BV400" t="s">
        <v>126</v>
      </c>
      <c r="CN400" t="s">
        <v>147</v>
      </c>
      <c r="CP400" t="s">
        <v>653</v>
      </c>
      <c r="CQ400" t="s">
        <v>147</v>
      </c>
    </row>
    <row r="401" spans="1:95" x14ac:dyDescent="0.2">
      <c r="A401" t="s">
        <v>115</v>
      </c>
      <c r="B401" t="s">
        <v>116</v>
      </c>
      <c r="C401">
        <v>210784</v>
      </c>
      <c r="E401" t="s">
        <v>117</v>
      </c>
      <c r="F401">
        <v>368</v>
      </c>
      <c r="G401" t="s">
        <v>141</v>
      </c>
      <c r="H401" t="s">
        <v>142</v>
      </c>
      <c r="I401" t="s">
        <v>279</v>
      </c>
      <c r="J401" t="s">
        <v>280</v>
      </c>
      <c r="L401" s="14">
        <v>45531</v>
      </c>
      <c r="M401" s="18">
        <f t="shared" si="9"/>
        <v>45505</v>
      </c>
      <c r="N401">
        <v>5561829</v>
      </c>
      <c r="O401" t="s">
        <v>123</v>
      </c>
      <c r="P401" t="s">
        <v>146</v>
      </c>
      <c r="Q401">
        <v>5.72</v>
      </c>
      <c r="R401" t="s">
        <v>125</v>
      </c>
      <c r="S401" t="s">
        <v>126</v>
      </c>
      <c r="T401" t="s">
        <v>125</v>
      </c>
      <c r="U401" t="s">
        <v>126</v>
      </c>
      <c r="W401">
        <v>5.72</v>
      </c>
      <c r="Y401">
        <v>5.72</v>
      </c>
      <c r="BE401">
        <v>5.72</v>
      </c>
      <c r="BH401" t="s">
        <v>126</v>
      </c>
      <c r="BI401" t="s">
        <v>126</v>
      </c>
      <c r="BJ401" t="s">
        <v>126</v>
      </c>
      <c r="BK401" t="s">
        <v>126</v>
      </c>
      <c r="BS401" t="s">
        <v>126</v>
      </c>
      <c r="BT401" t="s">
        <v>126</v>
      </c>
      <c r="BU401" t="s">
        <v>126</v>
      </c>
      <c r="BV401" t="s">
        <v>126</v>
      </c>
      <c r="CN401" t="s">
        <v>147</v>
      </c>
      <c r="CP401" t="s">
        <v>653</v>
      </c>
      <c r="CQ401" t="s">
        <v>147</v>
      </c>
    </row>
    <row r="402" spans="1:95" x14ac:dyDescent="0.2">
      <c r="A402" t="s">
        <v>115</v>
      </c>
      <c r="B402" t="s">
        <v>116</v>
      </c>
      <c r="C402">
        <v>210784</v>
      </c>
      <c r="E402" t="s">
        <v>117</v>
      </c>
      <c r="F402">
        <v>368</v>
      </c>
      <c r="G402" t="s">
        <v>141</v>
      </c>
      <c r="H402" t="s">
        <v>142</v>
      </c>
      <c r="I402" t="s">
        <v>279</v>
      </c>
      <c r="J402" t="s">
        <v>280</v>
      </c>
      <c r="L402" s="14">
        <v>45533</v>
      </c>
      <c r="M402" s="18">
        <f t="shared" si="9"/>
        <v>45505</v>
      </c>
      <c r="N402">
        <v>5563286</v>
      </c>
      <c r="O402" t="s">
        <v>123</v>
      </c>
      <c r="P402" t="s">
        <v>146</v>
      </c>
      <c r="Q402">
        <v>2.27</v>
      </c>
      <c r="R402" t="s">
        <v>125</v>
      </c>
      <c r="S402" t="s">
        <v>126</v>
      </c>
      <c r="T402" t="s">
        <v>125</v>
      </c>
      <c r="U402" t="s">
        <v>126</v>
      </c>
      <c r="W402">
        <v>2.27</v>
      </c>
      <c r="Y402">
        <v>2.27</v>
      </c>
      <c r="BE402">
        <v>2.27</v>
      </c>
      <c r="BH402" t="s">
        <v>126</v>
      </c>
      <c r="BI402" t="s">
        <v>126</v>
      </c>
      <c r="BJ402" t="s">
        <v>126</v>
      </c>
      <c r="BK402" t="s">
        <v>126</v>
      </c>
      <c r="BS402" t="s">
        <v>126</v>
      </c>
      <c r="BT402" t="s">
        <v>126</v>
      </c>
      <c r="BU402" t="s">
        <v>126</v>
      </c>
      <c r="BV402" t="s">
        <v>126</v>
      </c>
      <c r="CN402" t="s">
        <v>147</v>
      </c>
      <c r="CP402" t="s">
        <v>267</v>
      </c>
      <c r="CQ402" t="s">
        <v>147</v>
      </c>
    </row>
    <row r="403" spans="1:95" x14ac:dyDescent="0.2">
      <c r="A403" t="s">
        <v>115</v>
      </c>
      <c r="B403" t="s">
        <v>116</v>
      </c>
      <c r="C403">
        <v>210784</v>
      </c>
      <c r="E403" t="s">
        <v>117</v>
      </c>
      <c r="F403">
        <v>368</v>
      </c>
      <c r="G403" t="s">
        <v>141</v>
      </c>
      <c r="H403" t="s">
        <v>142</v>
      </c>
      <c r="I403" t="s">
        <v>279</v>
      </c>
      <c r="J403" t="s">
        <v>280</v>
      </c>
      <c r="L403" s="14">
        <v>45534</v>
      </c>
      <c r="M403" s="18">
        <f t="shared" si="9"/>
        <v>45505</v>
      </c>
      <c r="N403">
        <v>5564235</v>
      </c>
      <c r="O403" t="s">
        <v>123</v>
      </c>
      <c r="P403" t="s">
        <v>146</v>
      </c>
      <c r="Q403">
        <v>1.1600000000000001</v>
      </c>
      <c r="R403" t="s">
        <v>620</v>
      </c>
      <c r="S403" t="s">
        <v>126</v>
      </c>
      <c r="T403" t="s">
        <v>620</v>
      </c>
      <c r="U403" t="s">
        <v>621</v>
      </c>
      <c r="W403">
        <v>0.36</v>
      </c>
      <c r="X403">
        <v>0.8</v>
      </c>
      <c r="Y403">
        <v>1.1600000000000001</v>
      </c>
      <c r="Z403">
        <v>0.44</v>
      </c>
      <c r="AG403">
        <v>0.36</v>
      </c>
      <c r="AI403">
        <v>0.36</v>
      </c>
      <c r="BH403" t="s">
        <v>126</v>
      </c>
      <c r="BI403" t="s">
        <v>126</v>
      </c>
      <c r="BJ403" t="s">
        <v>126</v>
      </c>
      <c r="BK403" t="s">
        <v>126</v>
      </c>
      <c r="BS403" t="s">
        <v>126</v>
      </c>
      <c r="BT403" t="s">
        <v>126</v>
      </c>
      <c r="BU403" t="s">
        <v>126</v>
      </c>
      <c r="BV403" t="s">
        <v>126</v>
      </c>
      <c r="CN403" t="s">
        <v>147</v>
      </c>
      <c r="CP403" t="s">
        <v>267</v>
      </c>
      <c r="CQ403" t="s">
        <v>147</v>
      </c>
    </row>
    <row r="404" spans="1:95" x14ac:dyDescent="0.2">
      <c r="A404" t="s">
        <v>115</v>
      </c>
      <c r="B404" t="s">
        <v>116</v>
      </c>
      <c r="C404">
        <v>210784</v>
      </c>
      <c r="E404" t="s">
        <v>117</v>
      </c>
      <c r="F404">
        <v>368</v>
      </c>
      <c r="G404" t="s">
        <v>141</v>
      </c>
      <c r="H404" t="s">
        <v>142</v>
      </c>
      <c r="I404" t="s">
        <v>279</v>
      </c>
      <c r="J404" t="s">
        <v>280</v>
      </c>
      <c r="L404" s="14">
        <v>45539</v>
      </c>
      <c r="M404" s="18">
        <f t="shared" si="9"/>
        <v>45536</v>
      </c>
      <c r="N404">
        <v>5566865</v>
      </c>
      <c r="O404" t="s">
        <v>123</v>
      </c>
      <c r="P404" t="s">
        <v>146</v>
      </c>
      <c r="Q404">
        <v>5.0599999999999996</v>
      </c>
      <c r="R404" t="s">
        <v>125</v>
      </c>
      <c r="S404" t="s">
        <v>126</v>
      </c>
      <c r="T404" t="s">
        <v>125</v>
      </c>
      <c r="U404" t="s">
        <v>126</v>
      </c>
      <c r="W404">
        <v>5.0599999999999996</v>
      </c>
      <c r="Y404">
        <v>5.0599999999999996</v>
      </c>
      <c r="BE404">
        <v>5.0599999999999996</v>
      </c>
      <c r="BH404" t="s">
        <v>126</v>
      </c>
      <c r="BI404" t="s">
        <v>126</v>
      </c>
      <c r="BJ404" t="s">
        <v>126</v>
      </c>
      <c r="BK404" t="s">
        <v>126</v>
      </c>
      <c r="BS404" t="s">
        <v>126</v>
      </c>
      <c r="BT404" t="s">
        <v>126</v>
      </c>
      <c r="BU404" t="s">
        <v>126</v>
      </c>
      <c r="BV404" t="s">
        <v>126</v>
      </c>
      <c r="CN404" t="s">
        <v>147</v>
      </c>
      <c r="CP404" t="s">
        <v>267</v>
      </c>
      <c r="CQ404" t="s">
        <v>147</v>
      </c>
    </row>
    <row r="405" spans="1:95" x14ac:dyDescent="0.2">
      <c r="A405" t="s">
        <v>115</v>
      </c>
      <c r="B405" t="s">
        <v>116</v>
      </c>
      <c r="C405">
        <v>210784</v>
      </c>
      <c r="E405" t="s">
        <v>117</v>
      </c>
      <c r="F405">
        <v>368</v>
      </c>
      <c r="G405" t="s">
        <v>141</v>
      </c>
      <c r="H405" t="s">
        <v>142</v>
      </c>
      <c r="I405" t="s">
        <v>279</v>
      </c>
      <c r="J405" t="s">
        <v>280</v>
      </c>
      <c r="L405" s="14">
        <v>45539</v>
      </c>
      <c r="M405" s="18">
        <f t="shared" si="9"/>
        <v>45536</v>
      </c>
      <c r="N405">
        <v>5566888</v>
      </c>
      <c r="O405" t="s">
        <v>123</v>
      </c>
      <c r="P405" t="s">
        <v>146</v>
      </c>
      <c r="Q405">
        <v>1.45</v>
      </c>
      <c r="R405" t="s">
        <v>125</v>
      </c>
      <c r="S405" t="s">
        <v>126</v>
      </c>
      <c r="T405" t="s">
        <v>125</v>
      </c>
      <c r="U405" t="s">
        <v>126</v>
      </c>
      <c r="W405">
        <v>1.45</v>
      </c>
      <c r="Y405">
        <v>1.45</v>
      </c>
      <c r="BE405">
        <v>1.45</v>
      </c>
      <c r="BH405" t="s">
        <v>126</v>
      </c>
      <c r="BI405" t="s">
        <v>126</v>
      </c>
      <c r="BJ405" t="s">
        <v>126</v>
      </c>
      <c r="BK405" t="s">
        <v>126</v>
      </c>
      <c r="BS405" t="s">
        <v>126</v>
      </c>
      <c r="BT405" t="s">
        <v>126</v>
      </c>
      <c r="BU405" t="s">
        <v>126</v>
      </c>
      <c r="BV405" t="s">
        <v>126</v>
      </c>
      <c r="CN405" t="s">
        <v>147</v>
      </c>
      <c r="CP405" t="s">
        <v>267</v>
      </c>
      <c r="CQ405" t="s">
        <v>147</v>
      </c>
    </row>
    <row r="406" spans="1:95" x14ac:dyDescent="0.2">
      <c r="A406" t="s">
        <v>115</v>
      </c>
      <c r="B406" t="s">
        <v>116</v>
      </c>
      <c r="C406">
        <v>210784</v>
      </c>
      <c r="E406" t="s">
        <v>117</v>
      </c>
      <c r="F406">
        <v>368</v>
      </c>
      <c r="G406" t="s">
        <v>141</v>
      </c>
      <c r="H406" t="s">
        <v>142</v>
      </c>
      <c r="I406" t="s">
        <v>279</v>
      </c>
      <c r="J406" t="s">
        <v>280</v>
      </c>
      <c r="L406" s="14">
        <v>45540</v>
      </c>
      <c r="M406" s="18">
        <f t="shared" si="9"/>
        <v>45536</v>
      </c>
      <c r="N406">
        <v>5567799</v>
      </c>
      <c r="O406" t="s">
        <v>123</v>
      </c>
      <c r="P406" t="s">
        <v>146</v>
      </c>
      <c r="Q406">
        <v>1.29</v>
      </c>
      <c r="R406" t="s">
        <v>125</v>
      </c>
      <c r="S406" t="s">
        <v>126</v>
      </c>
      <c r="T406" t="s">
        <v>125</v>
      </c>
      <c r="U406" t="s">
        <v>126</v>
      </c>
      <c r="W406">
        <v>1.29</v>
      </c>
      <c r="Y406">
        <v>1.29</v>
      </c>
      <c r="AS406">
        <v>1.29</v>
      </c>
      <c r="BH406" t="s">
        <v>126</v>
      </c>
      <c r="BI406" t="s">
        <v>126</v>
      </c>
      <c r="BJ406" t="s">
        <v>126</v>
      </c>
      <c r="BK406" t="s">
        <v>126</v>
      </c>
      <c r="BS406" t="s">
        <v>126</v>
      </c>
      <c r="BT406" t="s">
        <v>126</v>
      </c>
      <c r="BU406" t="s">
        <v>126</v>
      </c>
      <c r="BV406" t="s">
        <v>126</v>
      </c>
      <c r="CN406" t="s">
        <v>147</v>
      </c>
      <c r="CP406" t="s">
        <v>267</v>
      </c>
      <c r="CQ406" t="s">
        <v>147</v>
      </c>
    </row>
    <row r="407" spans="1:95" x14ac:dyDescent="0.2">
      <c r="A407" t="s">
        <v>115</v>
      </c>
      <c r="B407" t="s">
        <v>116</v>
      </c>
      <c r="C407">
        <v>210784</v>
      </c>
      <c r="E407" t="s">
        <v>117</v>
      </c>
      <c r="F407">
        <v>368</v>
      </c>
      <c r="G407" t="s">
        <v>141</v>
      </c>
      <c r="H407" t="s">
        <v>142</v>
      </c>
      <c r="I407" t="s">
        <v>279</v>
      </c>
      <c r="J407" t="s">
        <v>280</v>
      </c>
      <c r="L407" s="14">
        <v>45542</v>
      </c>
      <c r="M407" s="18">
        <f t="shared" si="9"/>
        <v>45536</v>
      </c>
      <c r="N407">
        <v>3.44</v>
      </c>
      <c r="O407" t="s">
        <v>123</v>
      </c>
      <c r="P407" t="s">
        <v>146</v>
      </c>
      <c r="Q407">
        <v>3.44</v>
      </c>
      <c r="R407" t="s">
        <v>125</v>
      </c>
      <c r="S407" t="s">
        <v>126</v>
      </c>
      <c r="T407" t="s">
        <v>125</v>
      </c>
      <c r="U407" t="s">
        <v>126</v>
      </c>
      <c r="W407">
        <v>3.44</v>
      </c>
      <c r="Y407">
        <v>3.44</v>
      </c>
      <c r="BE407">
        <v>3.44</v>
      </c>
      <c r="BH407" t="s">
        <v>126</v>
      </c>
      <c r="BI407" t="s">
        <v>126</v>
      </c>
      <c r="BJ407" t="s">
        <v>126</v>
      </c>
      <c r="BK407" t="s">
        <v>126</v>
      </c>
      <c r="BS407" t="s">
        <v>126</v>
      </c>
      <c r="BT407" t="s">
        <v>126</v>
      </c>
      <c r="BU407" t="s">
        <v>126</v>
      </c>
      <c r="BV407" t="s">
        <v>126</v>
      </c>
      <c r="CN407" t="s">
        <v>147</v>
      </c>
      <c r="CP407" t="s">
        <v>267</v>
      </c>
      <c r="CQ407" t="s">
        <v>147</v>
      </c>
    </row>
    <row r="408" spans="1:95" x14ac:dyDescent="0.2">
      <c r="A408" t="s">
        <v>115</v>
      </c>
      <c r="B408" t="s">
        <v>116</v>
      </c>
      <c r="C408">
        <v>210784</v>
      </c>
      <c r="E408" t="s">
        <v>117</v>
      </c>
      <c r="F408">
        <v>368</v>
      </c>
      <c r="G408" t="s">
        <v>141</v>
      </c>
      <c r="H408" t="s">
        <v>142</v>
      </c>
      <c r="I408" t="s">
        <v>279</v>
      </c>
      <c r="J408" t="s">
        <v>280</v>
      </c>
      <c r="L408" s="14">
        <v>45542</v>
      </c>
      <c r="M408" s="18">
        <f t="shared" si="9"/>
        <v>45536</v>
      </c>
      <c r="N408">
        <v>5568806</v>
      </c>
      <c r="O408" t="s">
        <v>123</v>
      </c>
      <c r="P408" t="s">
        <v>146</v>
      </c>
      <c r="Q408">
        <v>1.52</v>
      </c>
      <c r="R408" t="s">
        <v>125</v>
      </c>
      <c r="S408" t="s">
        <v>126</v>
      </c>
      <c r="T408" t="s">
        <v>125</v>
      </c>
      <c r="U408" t="s">
        <v>126</v>
      </c>
      <c r="W408">
        <v>1.52</v>
      </c>
      <c r="Y408">
        <v>1.52</v>
      </c>
      <c r="BE408">
        <v>1.52</v>
      </c>
      <c r="BH408" t="s">
        <v>126</v>
      </c>
      <c r="BI408" t="s">
        <v>126</v>
      </c>
      <c r="BJ408" t="s">
        <v>126</v>
      </c>
      <c r="BK408" t="s">
        <v>126</v>
      </c>
      <c r="BS408" t="s">
        <v>126</v>
      </c>
      <c r="BT408" t="s">
        <v>126</v>
      </c>
      <c r="BU408" t="s">
        <v>126</v>
      </c>
      <c r="BV408" t="s">
        <v>126</v>
      </c>
      <c r="CN408" t="s">
        <v>147</v>
      </c>
      <c r="CP408" t="s">
        <v>267</v>
      </c>
      <c r="CQ408" t="s">
        <v>147</v>
      </c>
    </row>
    <row r="409" spans="1:95" x14ac:dyDescent="0.2">
      <c r="A409" t="s">
        <v>115</v>
      </c>
      <c r="B409" t="s">
        <v>116</v>
      </c>
      <c r="C409">
        <v>210784</v>
      </c>
      <c r="E409" t="s">
        <v>117</v>
      </c>
      <c r="F409">
        <v>368</v>
      </c>
      <c r="G409" t="s">
        <v>229</v>
      </c>
      <c r="H409" t="s">
        <v>230</v>
      </c>
      <c r="I409" t="s">
        <v>204</v>
      </c>
      <c r="J409" t="s">
        <v>205</v>
      </c>
      <c r="L409" s="14">
        <v>45544</v>
      </c>
      <c r="M409" s="18">
        <f t="shared" si="9"/>
        <v>45536</v>
      </c>
      <c r="N409">
        <v>108449</v>
      </c>
      <c r="O409" t="s">
        <v>123</v>
      </c>
      <c r="P409" t="s">
        <v>146</v>
      </c>
      <c r="Q409">
        <v>11.37</v>
      </c>
      <c r="R409" t="s">
        <v>125</v>
      </c>
      <c r="S409" t="s">
        <v>126</v>
      </c>
      <c r="T409" t="s">
        <v>125</v>
      </c>
      <c r="U409" t="s">
        <v>126</v>
      </c>
      <c r="W409">
        <v>11.37</v>
      </c>
      <c r="Y409">
        <v>11.37</v>
      </c>
      <c r="AC409">
        <v>11.37</v>
      </c>
      <c r="BH409" t="s">
        <v>126</v>
      </c>
      <c r="BI409" t="s">
        <v>126</v>
      </c>
      <c r="BJ409" t="s">
        <v>126</v>
      </c>
      <c r="BK409" t="s">
        <v>126</v>
      </c>
      <c r="BS409" t="s">
        <v>126</v>
      </c>
      <c r="BT409" t="s">
        <v>126</v>
      </c>
      <c r="BU409" t="s">
        <v>126</v>
      </c>
      <c r="BV409" t="s">
        <v>126</v>
      </c>
      <c r="CN409" t="s">
        <v>230</v>
      </c>
      <c r="CP409" t="s">
        <v>234</v>
      </c>
      <c r="CQ409" t="s">
        <v>230</v>
      </c>
    </row>
    <row r="410" spans="1:95" x14ac:dyDescent="0.2">
      <c r="A410" t="s">
        <v>115</v>
      </c>
      <c r="B410" t="s">
        <v>116</v>
      </c>
      <c r="C410">
        <v>210784</v>
      </c>
      <c r="E410" t="s">
        <v>117</v>
      </c>
      <c r="F410">
        <v>368</v>
      </c>
      <c r="G410" t="s">
        <v>141</v>
      </c>
      <c r="H410" t="s">
        <v>142</v>
      </c>
      <c r="I410" t="s">
        <v>204</v>
      </c>
      <c r="J410" t="s">
        <v>205</v>
      </c>
      <c r="L410" s="14">
        <v>45544</v>
      </c>
      <c r="M410" s="18">
        <f t="shared" si="9"/>
        <v>45536</v>
      </c>
      <c r="N410">
        <v>108449</v>
      </c>
      <c r="O410" t="s">
        <v>123</v>
      </c>
      <c r="P410" t="s">
        <v>146</v>
      </c>
      <c r="Q410">
        <v>11.37</v>
      </c>
      <c r="R410" t="s">
        <v>125</v>
      </c>
      <c r="S410" t="s">
        <v>126</v>
      </c>
      <c r="T410" t="s">
        <v>125</v>
      </c>
      <c r="U410" t="s">
        <v>126</v>
      </c>
      <c r="W410">
        <v>11.37</v>
      </c>
      <c r="Y410">
        <v>11.37</v>
      </c>
      <c r="AC410">
        <v>11.37</v>
      </c>
      <c r="BH410" t="s">
        <v>126</v>
      </c>
      <c r="BI410" t="s">
        <v>126</v>
      </c>
      <c r="BJ410" t="s">
        <v>126</v>
      </c>
      <c r="BK410" t="s">
        <v>126</v>
      </c>
      <c r="BS410" t="s">
        <v>126</v>
      </c>
      <c r="BT410" t="s">
        <v>126</v>
      </c>
      <c r="BU410" t="s">
        <v>126</v>
      </c>
      <c r="BV410" t="s">
        <v>126</v>
      </c>
      <c r="CN410" t="s">
        <v>147</v>
      </c>
      <c r="CP410" t="s">
        <v>258</v>
      </c>
      <c r="CQ410" t="s">
        <v>147</v>
      </c>
    </row>
    <row r="411" spans="1:95" x14ac:dyDescent="0.2">
      <c r="A411" t="s">
        <v>115</v>
      </c>
      <c r="B411" t="s">
        <v>116</v>
      </c>
      <c r="C411">
        <v>210784</v>
      </c>
      <c r="E411" t="s">
        <v>117</v>
      </c>
      <c r="F411">
        <v>368</v>
      </c>
      <c r="G411" t="s">
        <v>141</v>
      </c>
      <c r="H411" t="s">
        <v>142</v>
      </c>
      <c r="I411" t="s">
        <v>279</v>
      </c>
      <c r="J411" t="s">
        <v>280</v>
      </c>
      <c r="L411" s="14">
        <v>45546</v>
      </c>
      <c r="M411" s="18">
        <f t="shared" si="9"/>
        <v>45536</v>
      </c>
      <c r="N411">
        <v>5571179</v>
      </c>
      <c r="O411" t="s">
        <v>123</v>
      </c>
      <c r="P411" t="s">
        <v>146</v>
      </c>
      <c r="Q411">
        <v>2.81</v>
      </c>
      <c r="R411" t="s">
        <v>125</v>
      </c>
      <c r="S411" t="s">
        <v>126</v>
      </c>
      <c r="T411" t="s">
        <v>125</v>
      </c>
      <c r="U411" t="s">
        <v>126</v>
      </c>
      <c r="W411">
        <v>2.81</v>
      </c>
      <c r="Y411">
        <v>2.81</v>
      </c>
      <c r="BE411">
        <v>2.81</v>
      </c>
      <c r="BH411" t="s">
        <v>126</v>
      </c>
      <c r="BI411" t="s">
        <v>126</v>
      </c>
      <c r="BJ411" t="s">
        <v>126</v>
      </c>
      <c r="BK411" t="s">
        <v>126</v>
      </c>
      <c r="BS411" t="s">
        <v>126</v>
      </c>
      <c r="BT411" t="s">
        <v>126</v>
      </c>
      <c r="BU411" t="s">
        <v>126</v>
      </c>
      <c r="BV411" t="s">
        <v>126</v>
      </c>
      <c r="CN411" t="s">
        <v>147</v>
      </c>
      <c r="CP411" t="s">
        <v>267</v>
      </c>
      <c r="CQ411" t="s">
        <v>147</v>
      </c>
    </row>
    <row r="412" spans="1:95" x14ac:dyDescent="0.2">
      <c r="A412" t="s">
        <v>115</v>
      </c>
      <c r="B412" t="s">
        <v>116</v>
      </c>
      <c r="C412">
        <v>210784</v>
      </c>
      <c r="E412" t="s">
        <v>117</v>
      </c>
      <c r="F412">
        <v>368</v>
      </c>
      <c r="G412" t="s">
        <v>141</v>
      </c>
      <c r="H412" t="s">
        <v>142</v>
      </c>
      <c r="I412" t="s">
        <v>279</v>
      </c>
      <c r="J412" t="s">
        <v>280</v>
      </c>
      <c r="L412" s="14">
        <v>45546</v>
      </c>
      <c r="M412" s="18">
        <f t="shared" si="9"/>
        <v>45536</v>
      </c>
      <c r="N412">
        <v>5570898</v>
      </c>
      <c r="O412" t="s">
        <v>123</v>
      </c>
      <c r="P412" t="s">
        <v>146</v>
      </c>
      <c r="Q412">
        <v>2.02</v>
      </c>
      <c r="R412" t="s">
        <v>125</v>
      </c>
      <c r="S412" t="s">
        <v>126</v>
      </c>
      <c r="T412" t="s">
        <v>125</v>
      </c>
      <c r="U412" t="s">
        <v>126</v>
      </c>
      <c r="W412">
        <v>2.02</v>
      </c>
      <c r="Y412">
        <v>2.02</v>
      </c>
      <c r="BE412">
        <v>2.02</v>
      </c>
      <c r="BH412" t="s">
        <v>126</v>
      </c>
      <c r="BI412" t="s">
        <v>126</v>
      </c>
      <c r="BJ412" t="s">
        <v>126</v>
      </c>
      <c r="BK412" t="s">
        <v>126</v>
      </c>
      <c r="BS412" t="s">
        <v>126</v>
      </c>
      <c r="BT412" t="s">
        <v>126</v>
      </c>
      <c r="BU412" t="s">
        <v>126</v>
      </c>
      <c r="BV412" t="s">
        <v>126</v>
      </c>
      <c r="CN412" t="s">
        <v>147</v>
      </c>
      <c r="CP412" t="s">
        <v>267</v>
      </c>
      <c r="CQ412" t="s">
        <v>147</v>
      </c>
    </row>
    <row r="413" spans="1:95" x14ac:dyDescent="0.2">
      <c r="A413" t="s">
        <v>115</v>
      </c>
      <c r="B413" t="s">
        <v>116</v>
      </c>
      <c r="C413">
        <v>210784</v>
      </c>
      <c r="E413" t="s">
        <v>117</v>
      </c>
      <c r="F413">
        <v>368</v>
      </c>
      <c r="G413" t="s">
        <v>141</v>
      </c>
      <c r="H413" t="s">
        <v>142</v>
      </c>
      <c r="I413" t="s">
        <v>279</v>
      </c>
      <c r="J413" t="s">
        <v>280</v>
      </c>
      <c r="L413" s="14">
        <v>45546</v>
      </c>
      <c r="M413" s="18">
        <f t="shared" si="9"/>
        <v>45536</v>
      </c>
      <c r="N413">
        <v>5571166</v>
      </c>
      <c r="O413" t="s">
        <v>123</v>
      </c>
      <c r="P413" t="s">
        <v>146</v>
      </c>
      <c r="Q413">
        <v>3.54</v>
      </c>
      <c r="R413" t="s">
        <v>125</v>
      </c>
      <c r="S413" t="s">
        <v>126</v>
      </c>
      <c r="T413" t="s">
        <v>125</v>
      </c>
      <c r="U413" t="s">
        <v>126</v>
      </c>
      <c r="W413">
        <v>3.54</v>
      </c>
      <c r="Y413">
        <v>3.54</v>
      </c>
      <c r="AG413">
        <v>3.54</v>
      </c>
      <c r="BH413" t="s">
        <v>126</v>
      </c>
      <c r="BI413" t="s">
        <v>126</v>
      </c>
      <c r="BJ413" t="s">
        <v>126</v>
      </c>
      <c r="BK413" t="s">
        <v>126</v>
      </c>
      <c r="BS413" t="s">
        <v>126</v>
      </c>
      <c r="BT413" t="s">
        <v>126</v>
      </c>
      <c r="BU413" t="s">
        <v>126</v>
      </c>
      <c r="BV413" t="s">
        <v>126</v>
      </c>
      <c r="CN413" t="s">
        <v>147</v>
      </c>
      <c r="CP413" t="s">
        <v>267</v>
      </c>
      <c r="CQ413" t="s">
        <v>147</v>
      </c>
    </row>
    <row r="414" spans="1:95" x14ac:dyDescent="0.2">
      <c r="A414" t="s">
        <v>115</v>
      </c>
      <c r="B414" t="s">
        <v>116</v>
      </c>
      <c r="C414">
        <v>210784</v>
      </c>
      <c r="E414" t="s">
        <v>117</v>
      </c>
      <c r="F414">
        <v>368</v>
      </c>
      <c r="G414" t="s">
        <v>141</v>
      </c>
      <c r="H414" t="s">
        <v>142</v>
      </c>
      <c r="I414" t="s">
        <v>279</v>
      </c>
      <c r="J414" t="s">
        <v>280</v>
      </c>
      <c r="L414" s="14">
        <v>45546</v>
      </c>
      <c r="M414" s="18">
        <f t="shared" si="9"/>
        <v>45536</v>
      </c>
      <c r="N414">
        <v>5570924</v>
      </c>
      <c r="O414" t="s">
        <v>123</v>
      </c>
      <c r="P414" t="s">
        <v>146</v>
      </c>
      <c r="Q414">
        <v>1.61</v>
      </c>
      <c r="R414" t="s">
        <v>125</v>
      </c>
      <c r="S414" t="s">
        <v>126</v>
      </c>
      <c r="T414" t="s">
        <v>125</v>
      </c>
      <c r="U414" t="s">
        <v>126</v>
      </c>
      <c r="W414">
        <v>1.61</v>
      </c>
      <c r="Y414">
        <v>1.61</v>
      </c>
      <c r="AG414">
        <v>1.61</v>
      </c>
      <c r="BH414" t="s">
        <v>126</v>
      </c>
      <c r="BI414" t="s">
        <v>126</v>
      </c>
      <c r="BJ414" t="s">
        <v>126</v>
      </c>
      <c r="BK414" t="s">
        <v>126</v>
      </c>
      <c r="BS414" t="s">
        <v>126</v>
      </c>
      <c r="BT414" t="s">
        <v>126</v>
      </c>
      <c r="BU414" t="s">
        <v>126</v>
      </c>
      <c r="BV414" t="s">
        <v>126</v>
      </c>
      <c r="CN414" t="s">
        <v>147</v>
      </c>
      <c r="CP414" t="s">
        <v>267</v>
      </c>
      <c r="CQ414" t="s">
        <v>147</v>
      </c>
    </row>
    <row r="415" spans="1:95" x14ac:dyDescent="0.2">
      <c r="A415" t="s">
        <v>115</v>
      </c>
      <c r="B415" t="s">
        <v>116</v>
      </c>
      <c r="C415">
        <v>210784</v>
      </c>
      <c r="E415" t="s">
        <v>117</v>
      </c>
      <c r="F415">
        <v>368</v>
      </c>
      <c r="G415" t="s">
        <v>229</v>
      </c>
      <c r="H415" t="s">
        <v>230</v>
      </c>
      <c r="I415" t="s">
        <v>204</v>
      </c>
      <c r="J415" t="s">
        <v>205</v>
      </c>
      <c r="L415" s="14">
        <v>45548</v>
      </c>
      <c r="M415" s="18">
        <f t="shared" si="9"/>
        <v>45536</v>
      </c>
      <c r="N415">
        <v>108750</v>
      </c>
      <c r="O415" t="s">
        <v>123</v>
      </c>
      <c r="P415" t="s">
        <v>146</v>
      </c>
      <c r="Q415">
        <v>9.81</v>
      </c>
      <c r="R415" t="s">
        <v>125</v>
      </c>
      <c r="S415" t="s">
        <v>126</v>
      </c>
      <c r="T415" t="s">
        <v>125</v>
      </c>
      <c r="U415" t="s">
        <v>126</v>
      </c>
      <c r="W415">
        <v>9.81</v>
      </c>
      <c r="Y415">
        <v>9.81</v>
      </c>
      <c r="AC415">
        <v>9.81</v>
      </c>
      <c r="BH415" t="s">
        <v>126</v>
      </c>
      <c r="BI415" t="s">
        <v>126</v>
      </c>
      <c r="BJ415" t="s">
        <v>126</v>
      </c>
      <c r="BK415" t="s">
        <v>126</v>
      </c>
      <c r="BS415" t="s">
        <v>126</v>
      </c>
      <c r="BT415" t="s">
        <v>126</v>
      </c>
      <c r="BU415" t="s">
        <v>126</v>
      </c>
      <c r="BV415" t="s">
        <v>126</v>
      </c>
      <c r="CN415" t="s">
        <v>230</v>
      </c>
      <c r="CP415" t="s">
        <v>234</v>
      </c>
      <c r="CQ415" t="s">
        <v>230</v>
      </c>
    </row>
    <row r="416" spans="1:95" x14ac:dyDescent="0.2">
      <c r="A416" t="s">
        <v>115</v>
      </c>
      <c r="B416" t="s">
        <v>116</v>
      </c>
      <c r="C416">
        <v>210784</v>
      </c>
      <c r="E416" t="s">
        <v>117</v>
      </c>
      <c r="F416">
        <v>368</v>
      </c>
      <c r="G416" t="s">
        <v>141</v>
      </c>
      <c r="H416" t="s">
        <v>142</v>
      </c>
      <c r="I416" t="s">
        <v>204</v>
      </c>
      <c r="J416" t="s">
        <v>205</v>
      </c>
      <c r="L416" s="14">
        <v>45548</v>
      </c>
      <c r="M416" s="18">
        <f t="shared" si="9"/>
        <v>45536</v>
      </c>
      <c r="N416">
        <v>108750</v>
      </c>
      <c r="O416" t="s">
        <v>123</v>
      </c>
      <c r="P416" t="s">
        <v>146</v>
      </c>
      <c r="Q416">
        <v>9.81</v>
      </c>
      <c r="R416" t="s">
        <v>125</v>
      </c>
      <c r="S416" t="s">
        <v>126</v>
      </c>
      <c r="T416" t="s">
        <v>125</v>
      </c>
      <c r="U416" t="s">
        <v>126</v>
      </c>
      <c r="W416">
        <v>9.81</v>
      </c>
      <c r="Y416">
        <v>9.81</v>
      </c>
      <c r="AC416">
        <v>9.81</v>
      </c>
      <c r="BH416" t="s">
        <v>126</v>
      </c>
      <c r="BI416" t="s">
        <v>126</v>
      </c>
      <c r="BJ416" t="s">
        <v>126</v>
      </c>
      <c r="BK416" t="s">
        <v>126</v>
      </c>
      <c r="BS416" t="s">
        <v>126</v>
      </c>
      <c r="BT416" t="s">
        <v>126</v>
      </c>
      <c r="BU416" t="s">
        <v>126</v>
      </c>
      <c r="BV416" t="s">
        <v>126</v>
      </c>
      <c r="CN416" t="s">
        <v>147</v>
      </c>
      <c r="CP416" t="s">
        <v>258</v>
      </c>
      <c r="CQ416" t="s">
        <v>147</v>
      </c>
    </row>
    <row r="417" spans="1:95" x14ac:dyDescent="0.2">
      <c r="A417" t="s">
        <v>115</v>
      </c>
      <c r="B417" t="s">
        <v>116</v>
      </c>
      <c r="C417">
        <v>210784</v>
      </c>
      <c r="E417" t="s">
        <v>117</v>
      </c>
      <c r="F417">
        <v>368</v>
      </c>
      <c r="G417" t="s">
        <v>141</v>
      </c>
      <c r="H417" t="s">
        <v>142</v>
      </c>
      <c r="I417" t="s">
        <v>279</v>
      </c>
      <c r="J417" t="s">
        <v>280</v>
      </c>
      <c r="L417" s="14">
        <v>45548</v>
      </c>
      <c r="M417" s="18">
        <f t="shared" si="9"/>
        <v>45536</v>
      </c>
      <c r="N417">
        <v>5573044</v>
      </c>
      <c r="O417" t="s">
        <v>123</v>
      </c>
      <c r="P417" t="s">
        <v>146</v>
      </c>
      <c r="Q417">
        <v>2.12</v>
      </c>
      <c r="R417" t="s">
        <v>125</v>
      </c>
      <c r="S417" t="s">
        <v>126</v>
      </c>
      <c r="T417" t="s">
        <v>125</v>
      </c>
      <c r="U417" t="s">
        <v>126</v>
      </c>
      <c r="W417">
        <v>2.12</v>
      </c>
      <c r="Y417">
        <v>2.12</v>
      </c>
      <c r="BE417">
        <v>2.12</v>
      </c>
      <c r="BH417" t="s">
        <v>126</v>
      </c>
      <c r="BI417" t="s">
        <v>126</v>
      </c>
      <c r="BJ417" t="s">
        <v>126</v>
      </c>
      <c r="BK417" t="s">
        <v>126</v>
      </c>
      <c r="BS417" t="s">
        <v>126</v>
      </c>
      <c r="BT417" t="s">
        <v>126</v>
      </c>
      <c r="BU417" t="s">
        <v>126</v>
      </c>
      <c r="BV417" t="s">
        <v>126</v>
      </c>
      <c r="CN417" t="s">
        <v>147</v>
      </c>
      <c r="CP417" t="s">
        <v>267</v>
      </c>
      <c r="CQ417" t="s">
        <v>147</v>
      </c>
    </row>
    <row r="418" spans="1:95" x14ac:dyDescent="0.2">
      <c r="A418" t="s">
        <v>115</v>
      </c>
      <c r="B418" t="s">
        <v>116</v>
      </c>
      <c r="C418">
        <v>210784</v>
      </c>
      <c r="E418" t="s">
        <v>117</v>
      </c>
      <c r="F418">
        <v>368</v>
      </c>
      <c r="G418" t="s">
        <v>141</v>
      </c>
      <c r="H418" t="s">
        <v>142</v>
      </c>
      <c r="I418" t="s">
        <v>279</v>
      </c>
      <c r="J418" t="s">
        <v>280</v>
      </c>
      <c r="L418" s="14">
        <v>45549</v>
      </c>
      <c r="M418" s="18">
        <f t="shared" si="9"/>
        <v>45536</v>
      </c>
      <c r="N418">
        <v>5573350</v>
      </c>
      <c r="O418" t="s">
        <v>123</v>
      </c>
      <c r="P418" t="s">
        <v>146</v>
      </c>
      <c r="Q418">
        <v>1.56</v>
      </c>
      <c r="R418" t="s">
        <v>125</v>
      </c>
      <c r="S418" t="s">
        <v>126</v>
      </c>
      <c r="T418" t="s">
        <v>125</v>
      </c>
      <c r="U418" t="s">
        <v>126</v>
      </c>
      <c r="W418">
        <v>1.56</v>
      </c>
      <c r="Y418">
        <v>1.56</v>
      </c>
      <c r="BE418">
        <v>1.56</v>
      </c>
      <c r="BH418" t="s">
        <v>126</v>
      </c>
      <c r="BI418" t="s">
        <v>126</v>
      </c>
      <c r="BJ418" t="s">
        <v>126</v>
      </c>
      <c r="BK418" t="s">
        <v>126</v>
      </c>
      <c r="BS418" t="s">
        <v>126</v>
      </c>
      <c r="BT418" t="s">
        <v>126</v>
      </c>
      <c r="BU418" t="s">
        <v>126</v>
      </c>
      <c r="BV418" t="s">
        <v>126</v>
      </c>
      <c r="CN418" t="s">
        <v>147</v>
      </c>
      <c r="CP418" t="s">
        <v>267</v>
      </c>
      <c r="CQ418" t="s">
        <v>147</v>
      </c>
    </row>
    <row r="419" spans="1:95" x14ac:dyDescent="0.2">
      <c r="A419" t="s">
        <v>115</v>
      </c>
      <c r="B419" t="s">
        <v>116</v>
      </c>
      <c r="C419">
        <v>210784</v>
      </c>
      <c r="E419" t="s">
        <v>117</v>
      </c>
      <c r="F419">
        <v>368</v>
      </c>
      <c r="G419" t="s">
        <v>141</v>
      </c>
      <c r="H419" t="s">
        <v>142</v>
      </c>
      <c r="I419" t="s">
        <v>279</v>
      </c>
      <c r="J419" t="s">
        <v>280</v>
      </c>
      <c r="L419" s="14">
        <v>45551</v>
      </c>
      <c r="M419" s="18">
        <f t="shared" si="9"/>
        <v>45536</v>
      </c>
      <c r="N419">
        <v>5573669</v>
      </c>
      <c r="O419" t="s">
        <v>123</v>
      </c>
      <c r="P419" t="s">
        <v>146</v>
      </c>
      <c r="Q419">
        <v>3.13</v>
      </c>
      <c r="R419" t="s">
        <v>125</v>
      </c>
      <c r="S419" t="s">
        <v>126</v>
      </c>
      <c r="T419" t="s">
        <v>125</v>
      </c>
      <c r="U419" t="s">
        <v>126</v>
      </c>
      <c r="W419">
        <v>3.13</v>
      </c>
      <c r="Y419">
        <v>3.13</v>
      </c>
      <c r="BE419">
        <v>3.13</v>
      </c>
      <c r="BH419" t="s">
        <v>126</v>
      </c>
      <c r="BI419" t="s">
        <v>126</v>
      </c>
      <c r="BJ419" t="s">
        <v>126</v>
      </c>
      <c r="BK419" t="s">
        <v>126</v>
      </c>
      <c r="BS419" t="s">
        <v>126</v>
      </c>
      <c r="BT419" t="s">
        <v>126</v>
      </c>
      <c r="BU419" t="s">
        <v>126</v>
      </c>
      <c r="BV419" t="s">
        <v>126</v>
      </c>
      <c r="CN419" t="s">
        <v>147</v>
      </c>
      <c r="CP419" t="s">
        <v>267</v>
      </c>
      <c r="CQ419" t="s">
        <v>147</v>
      </c>
    </row>
    <row r="420" spans="1:95" x14ac:dyDescent="0.2">
      <c r="A420" t="s">
        <v>115</v>
      </c>
      <c r="B420" t="s">
        <v>116</v>
      </c>
      <c r="C420">
        <v>210784</v>
      </c>
      <c r="E420" t="s">
        <v>117</v>
      </c>
      <c r="F420">
        <v>368</v>
      </c>
      <c r="G420" t="s">
        <v>141</v>
      </c>
      <c r="H420" t="s">
        <v>142</v>
      </c>
      <c r="I420" t="s">
        <v>204</v>
      </c>
      <c r="J420" t="s">
        <v>205</v>
      </c>
      <c r="L420" s="14">
        <v>45552</v>
      </c>
      <c r="M420" s="18">
        <f t="shared" si="9"/>
        <v>45536</v>
      </c>
      <c r="N420">
        <v>108916</v>
      </c>
      <c r="O420" t="s">
        <v>123</v>
      </c>
      <c r="P420" t="s">
        <v>146</v>
      </c>
      <c r="Q420">
        <v>9.07</v>
      </c>
      <c r="R420" t="s">
        <v>125</v>
      </c>
      <c r="S420" t="s">
        <v>126</v>
      </c>
      <c r="T420" t="s">
        <v>125</v>
      </c>
      <c r="U420" t="s">
        <v>126</v>
      </c>
      <c r="W420">
        <v>9.07</v>
      </c>
      <c r="Y420">
        <v>9.07</v>
      </c>
      <c r="AC420">
        <v>9.07</v>
      </c>
      <c r="BH420" t="s">
        <v>126</v>
      </c>
      <c r="BI420" t="s">
        <v>126</v>
      </c>
      <c r="BJ420" t="s">
        <v>126</v>
      </c>
      <c r="BK420" t="s">
        <v>126</v>
      </c>
      <c r="BS420" t="s">
        <v>126</v>
      </c>
      <c r="BT420" t="s">
        <v>126</v>
      </c>
      <c r="BU420" t="s">
        <v>126</v>
      </c>
      <c r="BV420" t="s">
        <v>126</v>
      </c>
      <c r="CN420" t="s">
        <v>147</v>
      </c>
      <c r="CP420" t="s">
        <v>258</v>
      </c>
      <c r="CQ420" t="s">
        <v>147</v>
      </c>
    </row>
    <row r="421" spans="1:95" x14ac:dyDescent="0.2">
      <c r="A421" t="s">
        <v>115</v>
      </c>
      <c r="B421" t="s">
        <v>116</v>
      </c>
      <c r="C421">
        <v>210784</v>
      </c>
      <c r="E421" t="s">
        <v>117</v>
      </c>
      <c r="F421">
        <v>368</v>
      </c>
      <c r="G421" t="s">
        <v>141</v>
      </c>
      <c r="H421" t="s">
        <v>142</v>
      </c>
      <c r="I421" t="s">
        <v>279</v>
      </c>
      <c r="J421" t="s">
        <v>280</v>
      </c>
      <c r="L421" s="14">
        <v>45552</v>
      </c>
      <c r="M421" s="18">
        <f t="shared" si="9"/>
        <v>45536</v>
      </c>
      <c r="N421">
        <v>5575105</v>
      </c>
      <c r="O421" t="s">
        <v>123</v>
      </c>
      <c r="P421" t="s">
        <v>146</v>
      </c>
      <c r="Q421">
        <v>3.66</v>
      </c>
      <c r="R421" t="s">
        <v>125</v>
      </c>
      <c r="S421" t="s">
        <v>126</v>
      </c>
      <c r="T421" t="s">
        <v>125</v>
      </c>
      <c r="U421" t="s">
        <v>126</v>
      </c>
      <c r="W421">
        <v>3.66</v>
      </c>
      <c r="Y421">
        <v>3.66</v>
      </c>
      <c r="AS421">
        <v>3.66</v>
      </c>
      <c r="BH421" t="s">
        <v>126</v>
      </c>
      <c r="BI421" t="s">
        <v>126</v>
      </c>
      <c r="BJ421" t="s">
        <v>126</v>
      </c>
      <c r="BK421" t="s">
        <v>126</v>
      </c>
      <c r="BS421" t="s">
        <v>126</v>
      </c>
      <c r="BT421" t="s">
        <v>126</v>
      </c>
      <c r="BU421" t="s">
        <v>126</v>
      </c>
      <c r="BV421" t="s">
        <v>126</v>
      </c>
      <c r="CN421" t="s">
        <v>147</v>
      </c>
      <c r="CP421" t="s">
        <v>267</v>
      </c>
      <c r="CQ421" t="s">
        <v>147</v>
      </c>
    </row>
    <row r="422" spans="1:95" x14ac:dyDescent="0.2">
      <c r="A422" t="s">
        <v>115</v>
      </c>
      <c r="B422" t="s">
        <v>116</v>
      </c>
      <c r="C422">
        <v>210784</v>
      </c>
      <c r="E422" t="s">
        <v>117</v>
      </c>
      <c r="F422">
        <v>368</v>
      </c>
      <c r="G422" t="s">
        <v>141</v>
      </c>
      <c r="H422" t="s">
        <v>142</v>
      </c>
      <c r="I422" t="s">
        <v>279</v>
      </c>
      <c r="J422" t="s">
        <v>280</v>
      </c>
      <c r="L422" s="14">
        <v>45552</v>
      </c>
      <c r="M422" s="18">
        <f t="shared" si="9"/>
        <v>45536</v>
      </c>
      <c r="N422">
        <v>5575276</v>
      </c>
      <c r="O422" t="s">
        <v>123</v>
      </c>
      <c r="P422" t="s">
        <v>146</v>
      </c>
      <c r="Q422">
        <v>3.62</v>
      </c>
      <c r="R422" t="s">
        <v>125</v>
      </c>
      <c r="S422" t="s">
        <v>126</v>
      </c>
      <c r="T422" t="s">
        <v>125</v>
      </c>
      <c r="U422" t="s">
        <v>126</v>
      </c>
      <c r="W422">
        <v>3.62</v>
      </c>
      <c r="Y422">
        <v>3.62</v>
      </c>
      <c r="BE422">
        <v>3.62</v>
      </c>
      <c r="BH422" t="s">
        <v>126</v>
      </c>
      <c r="BI422" t="s">
        <v>126</v>
      </c>
      <c r="BJ422" t="s">
        <v>126</v>
      </c>
      <c r="BK422" t="s">
        <v>126</v>
      </c>
      <c r="BS422" t="s">
        <v>126</v>
      </c>
      <c r="BT422" t="s">
        <v>126</v>
      </c>
      <c r="BU422" t="s">
        <v>126</v>
      </c>
      <c r="BV422" t="s">
        <v>126</v>
      </c>
      <c r="CN422" t="s">
        <v>147</v>
      </c>
      <c r="CP422" t="s">
        <v>267</v>
      </c>
      <c r="CQ422" t="s">
        <v>147</v>
      </c>
    </row>
    <row r="423" spans="1:95" x14ac:dyDescent="0.2">
      <c r="A423" t="s">
        <v>115</v>
      </c>
      <c r="B423" t="s">
        <v>116</v>
      </c>
      <c r="C423">
        <v>210784</v>
      </c>
      <c r="E423" t="s">
        <v>117</v>
      </c>
      <c r="F423">
        <v>368</v>
      </c>
      <c r="G423" t="s">
        <v>141</v>
      </c>
      <c r="H423" t="s">
        <v>142</v>
      </c>
      <c r="I423" t="s">
        <v>259</v>
      </c>
      <c r="J423" t="s">
        <v>260</v>
      </c>
      <c r="L423" s="14">
        <v>45553</v>
      </c>
      <c r="M423" s="18">
        <f t="shared" si="9"/>
        <v>45536</v>
      </c>
      <c r="N423">
        <v>26044</v>
      </c>
      <c r="O423" t="s">
        <v>123</v>
      </c>
      <c r="P423" t="s">
        <v>146</v>
      </c>
      <c r="Q423">
        <v>8</v>
      </c>
      <c r="R423" t="s">
        <v>125</v>
      </c>
      <c r="S423" t="s">
        <v>126</v>
      </c>
      <c r="T423" t="s">
        <v>125</v>
      </c>
      <c r="U423" t="s">
        <v>126</v>
      </c>
      <c r="W423">
        <v>8</v>
      </c>
      <c r="Y423">
        <v>8</v>
      </c>
      <c r="AC423">
        <v>8</v>
      </c>
      <c r="BH423" t="s">
        <v>126</v>
      </c>
      <c r="BI423" t="s">
        <v>126</v>
      </c>
      <c r="BJ423" t="s">
        <v>126</v>
      </c>
      <c r="BK423" t="s">
        <v>126</v>
      </c>
      <c r="BS423" t="s">
        <v>126</v>
      </c>
      <c r="BT423" t="s">
        <v>126</v>
      </c>
      <c r="BU423" t="s">
        <v>126</v>
      </c>
      <c r="BV423" t="s">
        <v>126</v>
      </c>
      <c r="CN423" t="s">
        <v>147</v>
      </c>
      <c r="CP423" t="s">
        <v>258</v>
      </c>
      <c r="CQ423" t="s">
        <v>147</v>
      </c>
    </row>
    <row r="424" spans="1:95" x14ac:dyDescent="0.2">
      <c r="A424" t="s">
        <v>115</v>
      </c>
      <c r="B424" t="s">
        <v>116</v>
      </c>
      <c r="C424">
        <v>210784</v>
      </c>
      <c r="E424" t="s">
        <v>117</v>
      </c>
      <c r="F424">
        <v>368</v>
      </c>
      <c r="G424" t="s">
        <v>141</v>
      </c>
      <c r="H424" t="s">
        <v>142</v>
      </c>
      <c r="I424" t="s">
        <v>279</v>
      </c>
      <c r="J424" t="s">
        <v>280</v>
      </c>
      <c r="L424" s="14">
        <v>45553</v>
      </c>
      <c r="M424" s="18">
        <f t="shared" si="9"/>
        <v>45536</v>
      </c>
      <c r="N424">
        <v>5576008</v>
      </c>
      <c r="O424" t="s">
        <v>123</v>
      </c>
      <c r="P424" t="s">
        <v>146</v>
      </c>
      <c r="Q424">
        <v>2.88</v>
      </c>
      <c r="R424" t="s">
        <v>125</v>
      </c>
      <c r="S424" t="s">
        <v>126</v>
      </c>
      <c r="T424" t="s">
        <v>125</v>
      </c>
      <c r="U424" t="s">
        <v>126</v>
      </c>
      <c r="W424">
        <v>2.88</v>
      </c>
      <c r="Y424">
        <v>2.88</v>
      </c>
      <c r="BE424">
        <v>2.88</v>
      </c>
      <c r="BH424" t="s">
        <v>126</v>
      </c>
      <c r="BI424" t="s">
        <v>126</v>
      </c>
      <c r="BJ424" t="s">
        <v>126</v>
      </c>
      <c r="BK424" t="s">
        <v>126</v>
      </c>
      <c r="BS424" t="s">
        <v>126</v>
      </c>
      <c r="BT424" t="s">
        <v>126</v>
      </c>
      <c r="BU424" t="s">
        <v>126</v>
      </c>
      <c r="BV424" t="s">
        <v>126</v>
      </c>
      <c r="CN424" t="s">
        <v>147</v>
      </c>
      <c r="CP424" t="s">
        <v>267</v>
      </c>
      <c r="CQ424" t="s">
        <v>147</v>
      </c>
    </row>
    <row r="425" spans="1:95" x14ac:dyDescent="0.2">
      <c r="A425" t="s">
        <v>115</v>
      </c>
      <c r="B425" t="s">
        <v>116</v>
      </c>
      <c r="C425">
        <v>210784</v>
      </c>
      <c r="E425" t="s">
        <v>117</v>
      </c>
      <c r="F425">
        <v>368</v>
      </c>
      <c r="G425" t="s">
        <v>141</v>
      </c>
      <c r="H425" t="s">
        <v>142</v>
      </c>
      <c r="I425" t="s">
        <v>279</v>
      </c>
      <c r="J425" t="s">
        <v>280</v>
      </c>
      <c r="L425" s="14">
        <v>45554</v>
      </c>
      <c r="M425" s="18">
        <f t="shared" si="9"/>
        <v>45536</v>
      </c>
      <c r="N425">
        <v>5576397</v>
      </c>
      <c r="O425" t="s">
        <v>123</v>
      </c>
      <c r="P425" t="s">
        <v>146</v>
      </c>
      <c r="Q425">
        <v>1.89</v>
      </c>
      <c r="R425" t="s">
        <v>125</v>
      </c>
      <c r="S425" t="s">
        <v>126</v>
      </c>
      <c r="T425" t="s">
        <v>125</v>
      </c>
      <c r="U425" t="s">
        <v>126</v>
      </c>
      <c r="W425">
        <v>1.89</v>
      </c>
      <c r="Y425">
        <v>1.89</v>
      </c>
      <c r="AS425">
        <v>1.89</v>
      </c>
      <c r="BH425" t="s">
        <v>126</v>
      </c>
      <c r="BI425" t="s">
        <v>126</v>
      </c>
      <c r="BJ425" t="s">
        <v>126</v>
      </c>
      <c r="BK425" t="s">
        <v>126</v>
      </c>
      <c r="BS425" t="s">
        <v>126</v>
      </c>
      <c r="BT425" t="s">
        <v>126</v>
      </c>
      <c r="BU425" t="s">
        <v>126</v>
      </c>
      <c r="BV425" t="s">
        <v>126</v>
      </c>
      <c r="CN425" t="s">
        <v>147</v>
      </c>
      <c r="CP425" t="s">
        <v>267</v>
      </c>
      <c r="CQ425" t="s">
        <v>147</v>
      </c>
    </row>
    <row r="426" spans="1:95" x14ac:dyDescent="0.2">
      <c r="A426" t="s">
        <v>115</v>
      </c>
      <c r="B426" t="s">
        <v>116</v>
      </c>
      <c r="C426">
        <v>210784</v>
      </c>
      <c r="E426" t="s">
        <v>117</v>
      </c>
      <c r="F426">
        <v>368</v>
      </c>
      <c r="G426" t="s">
        <v>141</v>
      </c>
      <c r="H426" t="s">
        <v>142</v>
      </c>
      <c r="I426" t="s">
        <v>279</v>
      </c>
      <c r="J426" t="s">
        <v>280</v>
      </c>
      <c r="L426" s="14">
        <v>45554</v>
      </c>
      <c r="M426" s="18">
        <f t="shared" si="9"/>
        <v>45536</v>
      </c>
      <c r="N426">
        <v>5576562</v>
      </c>
      <c r="O426" t="s">
        <v>123</v>
      </c>
      <c r="P426" t="s">
        <v>146</v>
      </c>
      <c r="Q426">
        <v>1.61</v>
      </c>
      <c r="R426" t="s">
        <v>125</v>
      </c>
      <c r="S426" t="s">
        <v>126</v>
      </c>
      <c r="T426" t="s">
        <v>125</v>
      </c>
      <c r="U426" t="s">
        <v>126</v>
      </c>
      <c r="W426">
        <v>1.61</v>
      </c>
      <c r="Y426">
        <v>1.61</v>
      </c>
      <c r="BE426">
        <v>1.61</v>
      </c>
      <c r="BH426" t="s">
        <v>126</v>
      </c>
      <c r="BI426" t="s">
        <v>126</v>
      </c>
      <c r="BJ426" t="s">
        <v>126</v>
      </c>
      <c r="BK426" t="s">
        <v>126</v>
      </c>
      <c r="BS426" t="s">
        <v>126</v>
      </c>
      <c r="BT426" t="s">
        <v>126</v>
      </c>
      <c r="BU426" t="s">
        <v>126</v>
      </c>
      <c r="BV426" t="s">
        <v>126</v>
      </c>
      <c r="CN426" t="s">
        <v>147</v>
      </c>
      <c r="CP426" t="s">
        <v>267</v>
      </c>
      <c r="CQ426" t="s">
        <v>147</v>
      </c>
    </row>
    <row r="427" spans="1:95" x14ac:dyDescent="0.2">
      <c r="A427" t="s">
        <v>115</v>
      </c>
      <c r="B427" t="s">
        <v>116</v>
      </c>
      <c r="C427">
        <v>210784</v>
      </c>
      <c r="E427" t="s">
        <v>117</v>
      </c>
      <c r="F427">
        <v>368</v>
      </c>
      <c r="G427" t="s">
        <v>141</v>
      </c>
      <c r="H427" t="s">
        <v>142</v>
      </c>
      <c r="I427" t="s">
        <v>279</v>
      </c>
      <c r="J427" t="s">
        <v>280</v>
      </c>
      <c r="L427" s="14">
        <v>45556</v>
      </c>
      <c r="M427" s="18">
        <f t="shared" si="9"/>
        <v>45536</v>
      </c>
      <c r="N427">
        <v>5577895</v>
      </c>
      <c r="O427" t="s">
        <v>123</v>
      </c>
      <c r="P427" t="s">
        <v>146</v>
      </c>
      <c r="Q427">
        <v>2.8600000000000003</v>
      </c>
      <c r="R427" t="s">
        <v>569</v>
      </c>
      <c r="S427" t="s">
        <v>126</v>
      </c>
      <c r="T427" t="s">
        <v>569</v>
      </c>
      <c r="U427" t="s">
        <v>570</v>
      </c>
      <c r="W427">
        <v>0.88</v>
      </c>
      <c r="X427">
        <v>1.98</v>
      </c>
      <c r="Y427">
        <v>2.8600000000000003</v>
      </c>
      <c r="Z427">
        <v>1.0900000000000001</v>
      </c>
      <c r="AG427">
        <v>0.88</v>
      </c>
      <c r="AI427">
        <v>0.89</v>
      </c>
      <c r="BH427" t="s">
        <v>126</v>
      </c>
      <c r="BI427" t="s">
        <v>126</v>
      </c>
      <c r="BJ427" t="s">
        <v>126</v>
      </c>
      <c r="BK427" t="s">
        <v>126</v>
      </c>
      <c r="BS427" t="s">
        <v>126</v>
      </c>
      <c r="BT427" t="s">
        <v>126</v>
      </c>
      <c r="BU427" t="s">
        <v>126</v>
      </c>
      <c r="BV427" t="s">
        <v>126</v>
      </c>
      <c r="CN427" t="s">
        <v>147</v>
      </c>
      <c r="CP427" t="s">
        <v>267</v>
      </c>
      <c r="CQ427" t="s">
        <v>147</v>
      </c>
    </row>
    <row r="428" spans="1:95" x14ac:dyDescent="0.2">
      <c r="A428" t="s">
        <v>115</v>
      </c>
      <c r="B428" t="s">
        <v>116</v>
      </c>
      <c r="C428">
        <v>210784</v>
      </c>
      <c r="E428" t="s">
        <v>117</v>
      </c>
      <c r="F428">
        <v>368</v>
      </c>
      <c r="G428" t="s">
        <v>141</v>
      </c>
      <c r="H428" t="s">
        <v>142</v>
      </c>
      <c r="I428" t="s">
        <v>279</v>
      </c>
      <c r="J428" t="s">
        <v>280</v>
      </c>
      <c r="L428" s="14">
        <v>45558</v>
      </c>
      <c r="M428" s="18">
        <f t="shared" si="9"/>
        <v>45536</v>
      </c>
      <c r="N428">
        <v>5578405</v>
      </c>
      <c r="O428" t="s">
        <v>123</v>
      </c>
      <c r="P428" t="s">
        <v>146</v>
      </c>
      <c r="Q428">
        <v>0.48</v>
      </c>
      <c r="R428" t="s">
        <v>125</v>
      </c>
      <c r="S428" t="s">
        <v>126</v>
      </c>
      <c r="T428" t="s">
        <v>125</v>
      </c>
      <c r="U428" t="s">
        <v>126</v>
      </c>
      <c r="W428">
        <v>0.48</v>
      </c>
      <c r="Y428">
        <v>0.48</v>
      </c>
      <c r="AS428">
        <v>0.48</v>
      </c>
      <c r="BH428" t="s">
        <v>126</v>
      </c>
      <c r="BI428" t="s">
        <v>126</v>
      </c>
      <c r="BJ428" t="s">
        <v>126</v>
      </c>
      <c r="BK428" t="s">
        <v>126</v>
      </c>
      <c r="BS428" t="s">
        <v>126</v>
      </c>
      <c r="BT428" t="s">
        <v>126</v>
      </c>
      <c r="BU428" t="s">
        <v>126</v>
      </c>
      <c r="BV428" t="s">
        <v>126</v>
      </c>
      <c r="CN428" t="s">
        <v>147</v>
      </c>
      <c r="CP428" t="s">
        <v>267</v>
      </c>
      <c r="CQ428" t="s">
        <v>147</v>
      </c>
    </row>
    <row r="429" spans="1:95" x14ac:dyDescent="0.2">
      <c r="A429" t="s">
        <v>115</v>
      </c>
      <c r="B429" t="s">
        <v>116</v>
      </c>
      <c r="C429">
        <v>210784</v>
      </c>
      <c r="E429" t="s">
        <v>117</v>
      </c>
      <c r="F429">
        <v>368</v>
      </c>
      <c r="G429" t="s">
        <v>141</v>
      </c>
      <c r="H429" t="s">
        <v>142</v>
      </c>
      <c r="I429" t="s">
        <v>279</v>
      </c>
      <c r="J429" t="s">
        <v>280</v>
      </c>
      <c r="L429" s="14">
        <v>45558</v>
      </c>
      <c r="M429" s="18">
        <f t="shared" si="9"/>
        <v>45536</v>
      </c>
      <c r="N429">
        <v>5578729</v>
      </c>
      <c r="O429" t="s">
        <v>123</v>
      </c>
      <c r="P429" t="s">
        <v>146</v>
      </c>
      <c r="Q429">
        <v>2.87</v>
      </c>
      <c r="R429" t="s">
        <v>125</v>
      </c>
      <c r="S429" t="s">
        <v>126</v>
      </c>
      <c r="T429" t="s">
        <v>125</v>
      </c>
      <c r="U429" t="s">
        <v>126</v>
      </c>
      <c r="W429">
        <v>2.87</v>
      </c>
      <c r="Y429">
        <v>2.87</v>
      </c>
      <c r="AG429">
        <v>2.87</v>
      </c>
      <c r="BH429" t="s">
        <v>126</v>
      </c>
      <c r="BI429" t="s">
        <v>126</v>
      </c>
      <c r="BJ429" t="s">
        <v>126</v>
      </c>
      <c r="BK429" t="s">
        <v>126</v>
      </c>
      <c r="BS429" t="s">
        <v>126</v>
      </c>
      <c r="BT429" t="s">
        <v>126</v>
      </c>
      <c r="BU429" t="s">
        <v>126</v>
      </c>
      <c r="BV429" t="s">
        <v>126</v>
      </c>
      <c r="CN429" t="s">
        <v>147</v>
      </c>
      <c r="CP429" t="s">
        <v>267</v>
      </c>
      <c r="CQ429" t="s">
        <v>147</v>
      </c>
    </row>
    <row r="430" spans="1:95" x14ac:dyDescent="0.2">
      <c r="A430" t="s">
        <v>115</v>
      </c>
      <c r="B430" t="s">
        <v>116</v>
      </c>
      <c r="C430">
        <v>210784</v>
      </c>
      <c r="E430" t="s">
        <v>117</v>
      </c>
      <c r="F430">
        <v>368</v>
      </c>
      <c r="G430" t="s">
        <v>141</v>
      </c>
      <c r="H430" t="s">
        <v>142</v>
      </c>
      <c r="I430" t="s">
        <v>279</v>
      </c>
      <c r="J430" t="s">
        <v>280</v>
      </c>
      <c r="L430" s="14">
        <v>45559</v>
      </c>
      <c r="M430" s="18">
        <f t="shared" si="9"/>
        <v>45536</v>
      </c>
      <c r="N430">
        <v>5579151</v>
      </c>
      <c r="O430" t="s">
        <v>123</v>
      </c>
      <c r="P430" t="s">
        <v>146</v>
      </c>
      <c r="Q430">
        <v>1.39</v>
      </c>
      <c r="R430" t="s">
        <v>125</v>
      </c>
      <c r="S430" t="s">
        <v>126</v>
      </c>
      <c r="T430" t="s">
        <v>125</v>
      </c>
      <c r="U430" t="s">
        <v>126</v>
      </c>
      <c r="W430">
        <v>1.39</v>
      </c>
      <c r="Y430">
        <v>1.39</v>
      </c>
      <c r="BE430">
        <v>1.39</v>
      </c>
      <c r="BH430" t="s">
        <v>126</v>
      </c>
      <c r="BI430" t="s">
        <v>126</v>
      </c>
      <c r="BJ430" t="s">
        <v>126</v>
      </c>
      <c r="BK430" t="s">
        <v>126</v>
      </c>
      <c r="BS430" t="s">
        <v>126</v>
      </c>
      <c r="BT430" t="s">
        <v>126</v>
      </c>
      <c r="BU430" t="s">
        <v>126</v>
      </c>
      <c r="BV430" t="s">
        <v>126</v>
      </c>
      <c r="CN430" t="s">
        <v>147</v>
      </c>
      <c r="CP430" t="s">
        <v>257</v>
      </c>
      <c r="CQ430" t="s">
        <v>147</v>
      </c>
    </row>
    <row r="431" spans="1:95" x14ac:dyDescent="0.2">
      <c r="A431" t="s">
        <v>115</v>
      </c>
      <c r="B431" t="s">
        <v>116</v>
      </c>
      <c r="C431">
        <v>210784</v>
      </c>
      <c r="E431" t="s">
        <v>117</v>
      </c>
      <c r="F431">
        <v>368</v>
      </c>
      <c r="G431" t="s">
        <v>141</v>
      </c>
      <c r="H431" t="s">
        <v>142</v>
      </c>
      <c r="I431" t="s">
        <v>279</v>
      </c>
      <c r="J431" t="s">
        <v>280</v>
      </c>
      <c r="L431" s="14">
        <v>45560</v>
      </c>
      <c r="M431" s="18">
        <f t="shared" si="9"/>
        <v>45536</v>
      </c>
      <c r="N431">
        <v>5580220</v>
      </c>
      <c r="O431" t="s">
        <v>123</v>
      </c>
      <c r="P431" t="s">
        <v>146</v>
      </c>
      <c r="Q431">
        <v>3.65</v>
      </c>
      <c r="R431" t="s">
        <v>125</v>
      </c>
      <c r="S431" t="s">
        <v>126</v>
      </c>
      <c r="T431" t="s">
        <v>125</v>
      </c>
      <c r="U431" t="s">
        <v>126</v>
      </c>
      <c r="W431">
        <v>3.65</v>
      </c>
      <c r="Y431">
        <v>3.65</v>
      </c>
      <c r="AS431">
        <v>3.65</v>
      </c>
      <c r="BH431" t="s">
        <v>126</v>
      </c>
      <c r="BI431" t="s">
        <v>126</v>
      </c>
      <c r="BJ431" t="s">
        <v>126</v>
      </c>
      <c r="BK431" t="s">
        <v>126</v>
      </c>
      <c r="BS431" t="s">
        <v>126</v>
      </c>
      <c r="BT431" t="s">
        <v>126</v>
      </c>
      <c r="BU431" t="s">
        <v>126</v>
      </c>
      <c r="BV431" t="s">
        <v>126</v>
      </c>
      <c r="CN431" t="s">
        <v>147</v>
      </c>
      <c r="CP431" t="s">
        <v>257</v>
      </c>
      <c r="CQ431" t="s">
        <v>147</v>
      </c>
    </row>
    <row r="432" spans="1:95" x14ac:dyDescent="0.2">
      <c r="A432" t="s">
        <v>115</v>
      </c>
      <c r="B432" t="s">
        <v>116</v>
      </c>
      <c r="C432">
        <v>210784</v>
      </c>
      <c r="E432" t="s">
        <v>117</v>
      </c>
      <c r="F432">
        <v>368</v>
      </c>
      <c r="G432" t="s">
        <v>141</v>
      </c>
      <c r="H432" t="s">
        <v>142</v>
      </c>
      <c r="I432" t="s">
        <v>204</v>
      </c>
      <c r="J432" t="s">
        <v>205</v>
      </c>
      <c r="L432" s="14">
        <v>45561</v>
      </c>
      <c r="M432" s="18">
        <f t="shared" si="9"/>
        <v>45536</v>
      </c>
      <c r="N432">
        <v>109529</v>
      </c>
      <c r="O432" t="s">
        <v>123</v>
      </c>
      <c r="P432" t="s">
        <v>146</v>
      </c>
      <c r="Q432">
        <v>5.8</v>
      </c>
      <c r="R432" t="s">
        <v>125</v>
      </c>
      <c r="S432" t="s">
        <v>126</v>
      </c>
      <c r="T432" t="s">
        <v>125</v>
      </c>
      <c r="U432" t="s">
        <v>126</v>
      </c>
      <c r="W432">
        <v>5.8</v>
      </c>
      <c r="Y432">
        <v>5.8</v>
      </c>
      <c r="AC432">
        <v>5.8</v>
      </c>
      <c r="BH432" t="s">
        <v>126</v>
      </c>
      <c r="BI432" t="s">
        <v>126</v>
      </c>
      <c r="BJ432" t="s">
        <v>126</v>
      </c>
      <c r="BK432" t="s">
        <v>126</v>
      </c>
      <c r="BS432" t="s">
        <v>126</v>
      </c>
      <c r="BT432" t="s">
        <v>126</v>
      </c>
      <c r="BU432" t="s">
        <v>126</v>
      </c>
      <c r="BV432" t="s">
        <v>126</v>
      </c>
      <c r="CN432" t="s">
        <v>147</v>
      </c>
      <c r="CP432" t="s">
        <v>258</v>
      </c>
      <c r="CQ432" t="s">
        <v>147</v>
      </c>
    </row>
    <row r="433" spans="1:95" x14ac:dyDescent="0.2">
      <c r="A433" t="s">
        <v>115</v>
      </c>
      <c r="B433" t="s">
        <v>116</v>
      </c>
      <c r="C433">
        <v>210784</v>
      </c>
      <c r="E433" t="s">
        <v>117</v>
      </c>
      <c r="F433">
        <v>368</v>
      </c>
      <c r="G433" t="s">
        <v>141</v>
      </c>
      <c r="H433" t="s">
        <v>142</v>
      </c>
      <c r="I433" t="s">
        <v>279</v>
      </c>
      <c r="J433" t="s">
        <v>280</v>
      </c>
      <c r="L433" s="14">
        <v>45561</v>
      </c>
      <c r="M433" s="18">
        <f t="shared" si="9"/>
        <v>45536</v>
      </c>
      <c r="N433">
        <v>5580736</v>
      </c>
      <c r="O433" t="s">
        <v>123</v>
      </c>
      <c r="P433" t="s">
        <v>146</v>
      </c>
      <c r="Q433">
        <v>1.27</v>
      </c>
      <c r="R433" t="s">
        <v>588</v>
      </c>
      <c r="S433" t="s">
        <v>126</v>
      </c>
      <c r="T433" t="s">
        <v>588</v>
      </c>
      <c r="U433" t="s">
        <v>589</v>
      </c>
      <c r="W433">
        <v>0.39</v>
      </c>
      <c r="X433">
        <v>0.88</v>
      </c>
      <c r="Y433">
        <v>1.27</v>
      </c>
      <c r="Z433">
        <v>0.48</v>
      </c>
      <c r="AG433">
        <v>0.39</v>
      </c>
      <c r="AI433">
        <v>0.4</v>
      </c>
      <c r="BH433" t="s">
        <v>126</v>
      </c>
      <c r="BI433" t="s">
        <v>126</v>
      </c>
      <c r="BJ433" t="s">
        <v>126</v>
      </c>
      <c r="BK433" t="s">
        <v>126</v>
      </c>
      <c r="BS433" t="s">
        <v>126</v>
      </c>
      <c r="BT433" t="s">
        <v>126</v>
      </c>
      <c r="BU433" t="s">
        <v>126</v>
      </c>
      <c r="BV433" t="s">
        <v>126</v>
      </c>
      <c r="CN433" t="s">
        <v>147</v>
      </c>
      <c r="CP433" t="s">
        <v>257</v>
      </c>
      <c r="CQ433" t="s">
        <v>147</v>
      </c>
    </row>
    <row r="434" spans="1:95" x14ac:dyDescent="0.2">
      <c r="A434" t="s">
        <v>115</v>
      </c>
      <c r="B434" t="s">
        <v>116</v>
      </c>
      <c r="C434">
        <v>210784</v>
      </c>
      <c r="E434" t="s">
        <v>117</v>
      </c>
      <c r="F434">
        <v>368</v>
      </c>
      <c r="G434" t="s">
        <v>141</v>
      </c>
      <c r="H434" t="s">
        <v>142</v>
      </c>
      <c r="I434" t="s">
        <v>279</v>
      </c>
      <c r="J434" t="s">
        <v>280</v>
      </c>
      <c r="L434" s="14">
        <v>45561</v>
      </c>
      <c r="M434" s="18">
        <f t="shared" si="9"/>
        <v>45536</v>
      </c>
      <c r="N434">
        <v>5580662</v>
      </c>
      <c r="O434" t="s">
        <v>123</v>
      </c>
      <c r="P434" t="s">
        <v>146</v>
      </c>
      <c r="Q434">
        <v>5.01</v>
      </c>
      <c r="R434" t="s">
        <v>125</v>
      </c>
      <c r="S434" t="s">
        <v>126</v>
      </c>
      <c r="T434" t="s">
        <v>125</v>
      </c>
      <c r="U434" t="s">
        <v>126</v>
      </c>
      <c r="W434">
        <v>5.01</v>
      </c>
      <c r="Y434">
        <v>5.01</v>
      </c>
      <c r="BE434">
        <v>5.01</v>
      </c>
      <c r="BH434" t="s">
        <v>126</v>
      </c>
      <c r="BI434" t="s">
        <v>126</v>
      </c>
      <c r="BJ434" t="s">
        <v>126</v>
      </c>
      <c r="BK434" t="s">
        <v>126</v>
      </c>
      <c r="BS434" t="s">
        <v>126</v>
      </c>
      <c r="BT434" t="s">
        <v>126</v>
      </c>
      <c r="BU434" t="s">
        <v>126</v>
      </c>
      <c r="BV434" t="s">
        <v>126</v>
      </c>
      <c r="CN434" t="s">
        <v>147</v>
      </c>
      <c r="CP434" t="s">
        <v>257</v>
      </c>
      <c r="CQ434" t="s">
        <v>147</v>
      </c>
    </row>
    <row r="435" spans="1:95" x14ac:dyDescent="0.2">
      <c r="A435" t="s">
        <v>115</v>
      </c>
      <c r="B435" t="s">
        <v>116</v>
      </c>
      <c r="C435">
        <v>210784</v>
      </c>
      <c r="E435" t="s">
        <v>117</v>
      </c>
      <c r="F435">
        <v>368</v>
      </c>
      <c r="G435" t="s">
        <v>141</v>
      </c>
      <c r="H435" t="s">
        <v>142</v>
      </c>
      <c r="I435" t="s">
        <v>279</v>
      </c>
      <c r="J435" t="s">
        <v>280</v>
      </c>
      <c r="L435" s="14">
        <v>45561</v>
      </c>
      <c r="M435" s="18">
        <f t="shared" si="9"/>
        <v>45536</v>
      </c>
      <c r="N435">
        <v>5581299</v>
      </c>
      <c r="O435" t="s">
        <v>123</v>
      </c>
      <c r="P435" t="s">
        <v>146</v>
      </c>
      <c r="Q435">
        <v>3.4</v>
      </c>
      <c r="R435" t="s">
        <v>125</v>
      </c>
      <c r="S435" t="s">
        <v>126</v>
      </c>
      <c r="T435" t="s">
        <v>125</v>
      </c>
      <c r="U435" t="s">
        <v>126</v>
      </c>
      <c r="W435">
        <v>3.4</v>
      </c>
      <c r="Y435">
        <v>3.4</v>
      </c>
      <c r="BE435">
        <v>3.4</v>
      </c>
      <c r="BH435" t="s">
        <v>126</v>
      </c>
      <c r="BI435" t="s">
        <v>126</v>
      </c>
      <c r="BJ435" t="s">
        <v>126</v>
      </c>
      <c r="BK435" t="s">
        <v>126</v>
      </c>
      <c r="BS435" t="s">
        <v>126</v>
      </c>
      <c r="BT435" t="s">
        <v>126</v>
      </c>
      <c r="BU435" t="s">
        <v>126</v>
      </c>
      <c r="BV435" t="s">
        <v>126</v>
      </c>
      <c r="CN435" t="s">
        <v>147</v>
      </c>
      <c r="CP435" t="s">
        <v>257</v>
      </c>
      <c r="CQ435" t="s">
        <v>147</v>
      </c>
    </row>
    <row r="436" spans="1:95" x14ac:dyDescent="0.2">
      <c r="A436" t="s">
        <v>115</v>
      </c>
      <c r="B436" t="s">
        <v>116</v>
      </c>
      <c r="C436">
        <v>210784</v>
      </c>
      <c r="E436" t="s">
        <v>117</v>
      </c>
      <c r="F436">
        <v>368</v>
      </c>
      <c r="G436" t="s">
        <v>141</v>
      </c>
      <c r="H436" t="s">
        <v>142</v>
      </c>
      <c r="I436" t="s">
        <v>204</v>
      </c>
      <c r="J436" t="s">
        <v>205</v>
      </c>
      <c r="L436" s="14">
        <v>45562</v>
      </c>
      <c r="M436" s="18">
        <f t="shared" si="9"/>
        <v>45536</v>
      </c>
      <c r="N436">
        <v>109594</v>
      </c>
      <c r="O436" t="s">
        <v>123</v>
      </c>
      <c r="P436" t="s">
        <v>146</v>
      </c>
      <c r="Q436">
        <v>9.31</v>
      </c>
      <c r="R436" t="s">
        <v>125</v>
      </c>
      <c r="S436" t="s">
        <v>126</v>
      </c>
      <c r="T436" t="s">
        <v>125</v>
      </c>
      <c r="U436" t="s">
        <v>126</v>
      </c>
      <c r="W436">
        <v>9.31</v>
      </c>
      <c r="Y436">
        <v>9.31</v>
      </c>
      <c r="AC436">
        <v>9.31</v>
      </c>
      <c r="BH436" t="s">
        <v>126</v>
      </c>
      <c r="BI436" t="s">
        <v>126</v>
      </c>
      <c r="BJ436" t="s">
        <v>126</v>
      </c>
      <c r="BK436" t="s">
        <v>126</v>
      </c>
      <c r="BS436" t="s">
        <v>126</v>
      </c>
      <c r="BT436" t="s">
        <v>126</v>
      </c>
      <c r="BU436" t="s">
        <v>126</v>
      </c>
      <c r="BV436" t="s">
        <v>126</v>
      </c>
      <c r="CN436" t="s">
        <v>147</v>
      </c>
      <c r="CP436" t="s">
        <v>258</v>
      </c>
      <c r="CQ436" t="s">
        <v>147</v>
      </c>
    </row>
    <row r="437" spans="1:95" x14ac:dyDescent="0.2">
      <c r="A437" t="s">
        <v>115</v>
      </c>
      <c r="B437" t="s">
        <v>116</v>
      </c>
      <c r="C437">
        <v>210784</v>
      </c>
      <c r="E437" t="s">
        <v>117</v>
      </c>
      <c r="F437">
        <v>368</v>
      </c>
      <c r="G437" t="s">
        <v>141</v>
      </c>
      <c r="H437" t="s">
        <v>142</v>
      </c>
      <c r="I437" t="s">
        <v>279</v>
      </c>
      <c r="J437" t="s">
        <v>280</v>
      </c>
      <c r="L437" s="14">
        <v>45562</v>
      </c>
      <c r="M437" s="18">
        <f t="shared" si="9"/>
        <v>45536</v>
      </c>
      <c r="N437">
        <v>5582165</v>
      </c>
      <c r="O437" t="s">
        <v>123</v>
      </c>
      <c r="P437" t="s">
        <v>146</v>
      </c>
      <c r="Q437">
        <v>2.33</v>
      </c>
      <c r="R437" t="s">
        <v>125</v>
      </c>
      <c r="S437" t="s">
        <v>126</v>
      </c>
      <c r="T437" t="s">
        <v>125</v>
      </c>
      <c r="U437" t="s">
        <v>126</v>
      </c>
      <c r="W437">
        <v>2.33</v>
      </c>
      <c r="Y437">
        <v>2.33</v>
      </c>
      <c r="AS437">
        <v>2.33</v>
      </c>
      <c r="BH437" t="s">
        <v>126</v>
      </c>
      <c r="BI437" t="s">
        <v>126</v>
      </c>
      <c r="BJ437" t="s">
        <v>126</v>
      </c>
      <c r="BK437" t="s">
        <v>126</v>
      </c>
      <c r="BS437" t="s">
        <v>126</v>
      </c>
      <c r="BT437" t="s">
        <v>126</v>
      </c>
      <c r="BU437" t="s">
        <v>126</v>
      </c>
      <c r="BV437" t="s">
        <v>126</v>
      </c>
      <c r="CN437" t="s">
        <v>147</v>
      </c>
      <c r="CP437" t="s">
        <v>257</v>
      </c>
      <c r="CQ437" t="s">
        <v>147</v>
      </c>
    </row>
    <row r="438" spans="1:95" x14ac:dyDescent="0.2">
      <c r="A438" t="s">
        <v>115</v>
      </c>
      <c r="B438" t="s">
        <v>116</v>
      </c>
      <c r="C438">
        <v>210784</v>
      </c>
      <c r="E438" t="s">
        <v>117</v>
      </c>
      <c r="F438">
        <v>368</v>
      </c>
      <c r="G438" t="s">
        <v>141</v>
      </c>
      <c r="H438" t="s">
        <v>142</v>
      </c>
      <c r="I438" t="s">
        <v>279</v>
      </c>
      <c r="J438" t="s">
        <v>280</v>
      </c>
      <c r="L438" s="14">
        <v>45562</v>
      </c>
      <c r="M438" s="18">
        <f t="shared" si="9"/>
        <v>45536</v>
      </c>
      <c r="N438">
        <v>5582109</v>
      </c>
      <c r="O438" t="s">
        <v>123</v>
      </c>
      <c r="P438" t="s">
        <v>146</v>
      </c>
      <c r="Q438">
        <v>3.2299999999999995</v>
      </c>
      <c r="R438" t="s">
        <v>657</v>
      </c>
      <c r="S438" t="s">
        <v>126</v>
      </c>
      <c r="T438" t="s">
        <v>657</v>
      </c>
      <c r="U438" t="s">
        <v>658</v>
      </c>
      <c r="W438">
        <v>1</v>
      </c>
      <c r="X438">
        <v>2.23</v>
      </c>
      <c r="Y438">
        <v>3.2299999999999995</v>
      </c>
      <c r="Z438">
        <v>1.22</v>
      </c>
      <c r="AG438">
        <v>1</v>
      </c>
      <c r="AI438">
        <v>1.01</v>
      </c>
      <c r="BH438" t="s">
        <v>126</v>
      </c>
      <c r="BI438" t="s">
        <v>126</v>
      </c>
      <c r="BJ438" t="s">
        <v>126</v>
      </c>
      <c r="BK438" t="s">
        <v>126</v>
      </c>
      <c r="BS438" t="s">
        <v>126</v>
      </c>
      <c r="BT438" t="s">
        <v>126</v>
      </c>
      <c r="BU438" t="s">
        <v>126</v>
      </c>
      <c r="BV438" t="s">
        <v>126</v>
      </c>
      <c r="CN438" t="s">
        <v>147</v>
      </c>
      <c r="CP438" t="s">
        <v>257</v>
      </c>
      <c r="CQ438" t="s">
        <v>147</v>
      </c>
    </row>
    <row r="439" spans="1:95" x14ac:dyDescent="0.2">
      <c r="A439" t="s">
        <v>115</v>
      </c>
      <c r="B439" t="s">
        <v>116</v>
      </c>
      <c r="C439">
        <v>210784</v>
      </c>
      <c r="E439" t="s">
        <v>117</v>
      </c>
      <c r="F439">
        <v>368</v>
      </c>
      <c r="G439" t="s">
        <v>141</v>
      </c>
      <c r="H439" t="s">
        <v>142</v>
      </c>
      <c r="I439" t="s">
        <v>279</v>
      </c>
      <c r="J439" t="s">
        <v>280</v>
      </c>
      <c r="L439" s="14">
        <v>45563</v>
      </c>
      <c r="M439" s="18">
        <f t="shared" si="9"/>
        <v>45536</v>
      </c>
      <c r="N439">
        <v>5582233</v>
      </c>
      <c r="O439" t="s">
        <v>123</v>
      </c>
      <c r="P439" t="s">
        <v>146</v>
      </c>
      <c r="Q439">
        <v>1.07</v>
      </c>
      <c r="R439" t="s">
        <v>125</v>
      </c>
      <c r="S439" t="s">
        <v>126</v>
      </c>
      <c r="T439" t="s">
        <v>125</v>
      </c>
      <c r="U439" t="s">
        <v>126</v>
      </c>
      <c r="W439">
        <v>1.07</v>
      </c>
      <c r="Y439">
        <v>1.07</v>
      </c>
      <c r="AS439">
        <v>1.07</v>
      </c>
      <c r="BH439" t="s">
        <v>126</v>
      </c>
      <c r="BI439" t="s">
        <v>126</v>
      </c>
      <c r="BJ439" t="s">
        <v>126</v>
      </c>
      <c r="BK439" t="s">
        <v>126</v>
      </c>
      <c r="BS439" t="s">
        <v>126</v>
      </c>
      <c r="BT439" t="s">
        <v>126</v>
      </c>
      <c r="BU439" t="s">
        <v>126</v>
      </c>
      <c r="BV439" t="s">
        <v>126</v>
      </c>
      <c r="CN439" t="s">
        <v>147</v>
      </c>
      <c r="CP439" t="s">
        <v>257</v>
      </c>
      <c r="CQ439" t="s">
        <v>147</v>
      </c>
    </row>
    <row r="440" spans="1:95" x14ac:dyDescent="0.2">
      <c r="A440" t="s">
        <v>115</v>
      </c>
      <c r="B440" t="s">
        <v>116</v>
      </c>
      <c r="C440">
        <v>210784</v>
      </c>
      <c r="E440" t="s">
        <v>117</v>
      </c>
      <c r="F440">
        <v>368</v>
      </c>
      <c r="G440" t="s">
        <v>229</v>
      </c>
      <c r="H440" t="s">
        <v>230</v>
      </c>
      <c r="I440" t="s">
        <v>204</v>
      </c>
      <c r="J440" t="s">
        <v>205</v>
      </c>
      <c r="L440" s="14">
        <v>45566</v>
      </c>
      <c r="M440" s="18">
        <f t="shared" si="9"/>
        <v>45566</v>
      </c>
      <c r="N440">
        <v>109739</v>
      </c>
      <c r="O440" t="s">
        <v>123</v>
      </c>
      <c r="P440" t="s">
        <v>146</v>
      </c>
      <c r="Q440">
        <v>5.96</v>
      </c>
      <c r="R440" t="s">
        <v>125</v>
      </c>
      <c r="S440" t="s">
        <v>126</v>
      </c>
      <c r="T440" t="s">
        <v>125</v>
      </c>
      <c r="U440" t="s">
        <v>126</v>
      </c>
      <c r="W440">
        <v>5.96</v>
      </c>
      <c r="Y440">
        <v>5.96</v>
      </c>
      <c r="AC440">
        <v>5.96</v>
      </c>
      <c r="BH440" t="s">
        <v>126</v>
      </c>
      <c r="BI440" t="s">
        <v>126</v>
      </c>
      <c r="BJ440" t="s">
        <v>126</v>
      </c>
      <c r="BK440" t="s">
        <v>126</v>
      </c>
      <c r="BS440" t="s">
        <v>126</v>
      </c>
      <c r="BT440" t="s">
        <v>126</v>
      </c>
      <c r="BU440" t="s">
        <v>126</v>
      </c>
      <c r="BV440" t="s">
        <v>126</v>
      </c>
      <c r="CN440" t="s">
        <v>230</v>
      </c>
      <c r="CP440" t="s">
        <v>242</v>
      </c>
      <c r="CQ440" t="s">
        <v>230</v>
      </c>
    </row>
    <row r="441" spans="1:95" x14ac:dyDescent="0.2">
      <c r="A441" t="s">
        <v>115</v>
      </c>
      <c r="B441" t="s">
        <v>116</v>
      </c>
      <c r="C441">
        <v>210784</v>
      </c>
      <c r="E441" t="s">
        <v>117</v>
      </c>
      <c r="F441">
        <v>368</v>
      </c>
      <c r="G441" t="s">
        <v>141</v>
      </c>
      <c r="H441" t="s">
        <v>142</v>
      </c>
      <c r="I441" t="s">
        <v>204</v>
      </c>
      <c r="J441" t="s">
        <v>205</v>
      </c>
      <c r="L441" s="14">
        <v>45566</v>
      </c>
      <c r="M441" s="18">
        <f t="shared" si="9"/>
        <v>45566</v>
      </c>
      <c r="N441">
        <v>109739</v>
      </c>
      <c r="O441" t="s">
        <v>123</v>
      </c>
      <c r="P441" t="s">
        <v>146</v>
      </c>
      <c r="Q441">
        <v>5.96</v>
      </c>
      <c r="R441" t="s">
        <v>125</v>
      </c>
      <c r="S441" t="s">
        <v>126</v>
      </c>
      <c r="T441" t="s">
        <v>125</v>
      </c>
      <c r="U441" t="s">
        <v>126</v>
      </c>
      <c r="W441">
        <v>5.96</v>
      </c>
      <c r="Y441">
        <v>5.96</v>
      </c>
      <c r="AC441">
        <v>5.96</v>
      </c>
      <c r="BH441" t="s">
        <v>126</v>
      </c>
      <c r="BI441" t="s">
        <v>126</v>
      </c>
      <c r="BJ441" t="s">
        <v>126</v>
      </c>
      <c r="BK441" t="s">
        <v>126</v>
      </c>
      <c r="BS441" t="s">
        <v>126</v>
      </c>
      <c r="BT441" t="s">
        <v>126</v>
      </c>
      <c r="BU441" t="s">
        <v>126</v>
      </c>
      <c r="BV441" t="s">
        <v>126</v>
      </c>
      <c r="CN441" t="s">
        <v>147</v>
      </c>
      <c r="CP441" t="s">
        <v>258</v>
      </c>
      <c r="CQ441" t="s">
        <v>147</v>
      </c>
    </row>
    <row r="442" spans="1:95" x14ac:dyDescent="0.2">
      <c r="A442" t="s">
        <v>115</v>
      </c>
      <c r="B442" t="s">
        <v>116</v>
      </c>
      <c r="C442">
        <v>210784</v>
      </c>
      <c r="E442" t="s">
        <v>117</v>
      </c>
      <c r="F442">
        <v>368</v>
      </c>
      <c r="G442" t="s">
        <v>141</v>
      </c>
      <c r="H442" t="s">
        <v>142</v>
      </c>
      <c r="I442" t="s">
        <v>259</v>
      </c>
      <c r="J442" t="s">
        <v>260</v>
      </c>
      <c r="L442" s="14">
        <v>45567</v>
      </c>
      <c r="M442" s="18">
        <f t="shared" si="9"/>
        <v>45566</v>
      </c>
      <c r="N442">
        <v>26526</v>
      </c>
      <c r="O442" t="s">
        <v>123</v>
      </c>
      <c r="P442" t="s">
        <v>146</v>
      </c>
      <c r="Q442">
        <v>8</v>
      </c>
      <c r="R442" t="s">
        <v>125</v>
      </c>
      <c r="S442" t="s">
        <v>126</v>
      </c>
      <c r="T442" t="s">
        <v>125</v>
      </c>
      <c r="U442" t="s">
        <v>126</v>
      </c>
      <c r="W442">
        <v>8</v>
      </c>
      <c r="Y442">
        <v>8</v>
      </c>
      <c r="AC442">
        <v>8</v>
      </c>
      <c r="BH442" t="s">
        <v>126</v>
      </c>
      <c r="BI442" t="s">
        <v>126</v>
      </c>
      <c r="BJ442" t="s">
        <v>126</v>
      </c>
      <c r="BK442" t="s">
        <v>126</v>
      </c>
      <c r="BS442" t="s">
        <v>126</v>
      </c>
      <c r="BT442" t="s">
        <v>126</v>
      </c>
      <c r="BU442" t="s">
        <v>126</v>
      </c>
      <c r="BV442" t="s">
        <v>126</v>
      </c>
      <c r="CN442" t="s">
        <v>147</v>
      </c>
      <c r="CP442" t="s">
        <v>258</v>
      </c>
      <c r="CQ442" t="s">
        <v>147</v>
      </c>
    </row>
    <row r="443" spans="1:95" x14ac:dyDescent="0.2">
      <c r="A443" t="s">
        <v>115</v>
      </c>
      <c r="B443" t="s">
        <v>116</v>
      </c>
      <c r="C443">
        <v>210784</v>
      </c>
      <c r="E443" t="s">
        <v>117</v>
      </c>
      <c r="F443">
        <v>368</v>
      </c>
      <c r="G443" t="s">
        <v>141</v>
      </c>
      <c r="H443" t="s">
        <v>142</v>
      </c>
      <c r="I443" t="s">
        <v>279</v>
      </c>
      <c r="J443" t="s">
        <v>280</v>
      </c>
      <c r="L443" s="14">
        <v>45567</v>
      </c>
      <c r="M443" s="18">
        <f t="shared" si="9"/>
        <v>45566</v>
      </c>
      <c r="N443">
        <v>5584416</v>
      </c>
      <c r="O443" t="s">
        <v>123</v>
      </c>
      <c r="P443" t="s">
        <v>146</v>
      </c>
      <c r="Q443">
        <v>1.4</v>
      </c>
      <c r="R443" t="s">
        <v>125</v>
      </c>
      <c r="S443" t="s">
        <v>126</v>
      </c>
      <c r="T443" t="s">
        <v>125</v>
      </c>
      <c r="U443" t="s">
        <v>126</v>
      </c>
      <c r="W443">
        <v>1.4</v>
      </c>
      <c r="Y443">
        <v>1.4</v>
      </c>
      <c r="AS443">
        <v>1.4</v>
      </c>
      <c r="BH443" t="s">
        <v>126</v>
      </c>
      <c r="BI443" t="s">
        <v>126</v>
      </c>
      <c r="BJ443" t="s">
        <v>126</v>
      </c>
      <c r="BK443" t="s">
        <v>126</v>
      </c>
      <c r="BS443" t="s">
        <v>126</v>
      </c>
      <c r="BT443" t="s">
        <v>126</v>
      </c>
      <c r="BU443" t="s">
        <v>126</v>
      </c>
      <c r="BV443" t="s">
        <v>126</v>
      </c>
      <c r="CN443" t="s">
        <v>147</v>
      </c>
      <c r="CP443" t="s">
        <v>257</v>
      </c>
      <c r="CQ443" t="s">
        <v>147</v>
      </c>
    </row>
    <row r="444" spans="1:95" x14ac:dyDescent="0.2">
      <c r="A444" t="s">
        <v>115</v>
      </c>
      <c r="B444" t="s">
        <v>116</v>
      </c>
      <c r="C444">
        <v>210784</v>
      </c>
      <c r="E444" t="s">
        <v>117</v>
      </c>
      <c r="F444">
        <v>368</v>
      </c>
      <c r="G444" t="s">
        <v>141</v>
      </c>
      <c r="H444" t="s">
        <v>142</v>
      </c>
      <c r="I444" t="s">
        <v>279</v>
      </c>
      <c r="J444" t="s">
        <v>280</v>
      </c>
      <c r="L444" s="14">
        <v>45567</v>
      </c>
      <c r="M444" s="18">
        <f t="shared" si="9"/>
        <v>45566</v>
      </c>
      <c r="N444">
        <v>5584613</v>
      </c>
      <c r="O444" t="s">
        <v>123</v>
      </c>
      <c r="P444" t="s">
        <v>146</v>
      </c>
      <c r="Q444">
        <v>1.43</v>
      </c>
      <c r="R444" t="s">
        <v>569</v>
      </c>
      <c r="S444" t="s">
        <v>126</v>
      </c>
      <c r="T444" t="s">
        <v>569</v>
      </c>
      <c r="U444" t="s">
        <v>570</v>
      </c>
      <c r="W444">
        <v>0.44</v>
      </c>
      <c r="X444">
        <v>0.99</v>
      </c>
      <c r="Y444">
        <v>1.43</v>
      </c>
      <c r="Z444">
        <v>0.54</v>
      </c>
      <c r="AG444">
        <v>0.44</v>
      </c>
      <c r="AI444">
        <v>0.45</v>
      </c>
      <c r="BH444" t="s">
        <v>126</v>
      </c>
      <c r="BI444" t="s">
        <v>126</v>
      </c>
      <c r="BJ444" t="s">
        <v>126</v>
      </c>
      <c r="BK444" t="s">
        <v>126</v>
      </c>
      <c r="BS444" t="s">
        <v>126</v>
      </c>
      <c r="BT444" t="s">
        <v>126</v>
      </c>
      <c r="BU444" t="s">
        <v>126</v>
      </c>
      <c r="BV444" t="s">
        <v>126</v>
      </c>
      <c r="CN444" t="s">
        <v>147</v>
      </c>
      <c r="CP444" t="s">
        <v>257</v>
      </c>
      <c r="CQ444" t="s">
        <v>147</v>
      </c>
    </row>
    <row r="445" spans="1:95" x14ac:dyDescent="0.2">
      <c r="A445" t="s">
        <v>115</v>
      </c>
      <c r="B445" t="s">
        <v>116</v>
      </c>
      <c r="C445">
        <v>210784</v>
      </c>
      <c r="E445" t="s">
        <v>117</v>
      </c>
      <c r="F445">
        <v>368</v>
      </c>
      <c r="G445" t="s">
        <v>141</v>
      </c>
      <c r="H445" t="s">
        <v>142</v>
      </c>
      <c r="I445" t="s">
        <v>279</v>
      </c>
      <c r="J445" t="s">
        <v>280</v>
      </c>
      <c r="L445" s="14">
        <v>45567</v>
      </c>
      <c r="M445" s="18">
        <f t="shared" si="9"/>
        <v>45566</v>
      </c>
      <c r="N445">
        <v>5584703</v>
      </c>
      <c r="O445" t="s">
        <v>123</v>
      </c>
      <c r="P445" t="s">
        <v>146</v>
      </c>
      <c r="Q445">
        <v>4.83</v>
      </c>
      <c r="R445" t="s">
        <v>125</v>
      </c>
      <c r="S445" t="s">
        <v>126</v>
      </c>
      <c r="T445" t="s">
        <v>125</v>
      </c>
      <c r="U445" t="s">
        <v>126</v>
      </c>
      <c r="W445">
        <v>4.83</v>
      </c>
      <c r="Y445">
        <v>4.83</v>
      </c>
      <c r="BE445">
        <v>4.83</v>
      </c>
      <c r="BH445" t="s">
        <v>126</v>
      </c>
      <c r="BI445" t="s">
        <v>126</v>
      </c>
      <c r="BJ445" t="s">
        <v>126</v>
      </c>
      <c r="BK445" t="s">
        <v>126</v>
      </c>
      <c r="BS445" t="s">
        <v>126</v>
      </c>
      <c r="BT445" t="s">
        <v>126</v>
      </c>
      <c r="BU445" t="s">
        <v>126</v>
      </c>
      <c r="BV445" t="s">
        <v>126</v>
      </c>
      <c r="CN445" t="s">
        <v>147</v>
      </c>
      <c r="CP445" t="s">
        <v>257</v>
      </c>
      <c r="CQ445" t="s">
        <v>147</v>
      </c>
    </row>
    <row r="446" spans="1:95" x14ac:dyDescent="0.2">
      <c r="A446" t="s">
        <v>115</v>
      </c>
      <c r="B446" t="s">
        <v>116</v>
      </c>
      <c r="C446">
        <v>210784</v>
      </c>
      <c r="E446" t="s">
        <v>117</v>
      </c>
      <c r="F446">
        <v>368</v>
      </c>
      <c r="G446" t="s">
        <v>141</v>
      </c>
      <c r="H446" t="s">
        <v>142</v>
      </c>
      <c r="I446" t="s">
        <v>279</v>
      </c>
      <c r="J446" t="s">
        <v>280</v>
      </c>
      <c r="L446" s="14">
        <v>45567</v>
      </c>
      <c r="M446" s="18">
        <f t="shared" si="9"/>
        <v>45566</v>
      </c>
      <c r="N446">
        <v>5584525</v>
      </c>
      <c r="O446" t="s">
        <v>123</v>
      </c>
      <c r="P446" t="s">
        <v>146</v>
      </c>
      <c r="Q446">
        <v>3.03</v>
      </c>
      <c r="R446" t="s">
        <v>125</v>
      </c>
      <c r="S446" t="s">
        <v>126</v>
      </c>
      <c r="T446" t="s">
        <v>125</v>
      </c>
      <c r="U446" t="s">
        <v>126</v>
      </c>
      <c r="W446">
        <v>3.03</v>
      </c>
      <c r="Y446">
        <v>3.03</v>
      </c>
      <c r="BE446">
        <v>3.03</v>
      </c>
      <c r="BH446" t="s">
        <v>126</v>
      </c>
      <c r="BI446" t="s">
        <v>126</v>
      </c>
      <c r="BJ446" t="s">
        <v>126</v>
      </c>
      <c r="BK446" t="s">
        <v>126</v>
      </c>
      <c r="BS446" t="s">
        <v>126</v>
      </c>
      <c r="BT446" t="s">
        <v>126</v>
      </c>
      <c r="BU446" t="s">
        <v>126</v>
      </c>
      <c r="BV446" t="s">
        <v>126</v>
      </c>
      <c r="CN446" t="s">
        <v>147</v>
      </c>
      <c r="CP446" t="s">
        <v>257</v>
      </c>
      <c r="CQ446" t="s">
        <v>147</v>
      </c>
    </row>
    <row r="447" spans="1:95" x14ac:dyDescent="0.2">
      <c r="A447" t="s">
        <v>115</v>
      </c>
      <c r="B447" t="s">
        <v>116</v>
      </c>
      <c r="C447">
        <v>210784</v>
      </c>
      <c r="E447" t="s">
        <v>117</v>
      </c>
      <c r="F447">
        <v>368</v>
      </c>
      <c r="G447" t="s">
        <v>229</v>
      </c>
      <c r="H447" t="s">
        <v>230</v>
      </c>
      <c r="I447" t="s">
        <v>204</v>
      </c>
      <c r="J447" t="s">
        <v>205</v>
      </c>
      <c r="L447" s="14">
        <v>45568</v>
      </c>
      <c r="M447" s="18">
        <f t="shared" si="9"/>
        <v>45566</v>
      </c>
      <c r="N447">
        <v>109893</v>
      </c>
      <c r="O447" t="s">
        <v>123</v>
      </c>
      <c r="P447" t="s">
        <v>146</v>
      </c>
      <c r="Q447">
        <v>3.45</v>
      </c>
      <c r="R447" t="s">
        <v>125</v>
      </c>
      <c r="S447" t="s">
        <v>126</v>
      </c>
      <c r="T447" t="s">
        <v>125</v>
      </c>
      <c r="U447" t="s">
        <v>126</v>
      </c>
      <c r="W447">
        <v>3.45</v>
      </c>
      <c r="Y447">
        <v>3.45</v>
      </c>
      <c r="AC447">
        <v>3.45</v>
      </c>
      <c r="BH447" t="s">
        <v>126</v>
      </c>
      <c r="BI447" t="s">
        <v>126</v>
      </c>
      <c r="BJ447" t="s">
        <v>126</v>
      </c>
      <c r="BK447" t="s">
        <v>126</v>
      </c>
      <c r="BS447" t="s">
        <v>126</v>
      </c>
      <c r="BT447" t="s">
        <v>126</v>
      </c>
      <c r="BU447" t="s">
        <v>126</v>
      </c>
      <c r="BV447" t="s">
        <v>126</v>
      </c>
      <c r="CN447" t="s">
        <v>230</v>
      </c>
      <c r="CP447" t="s">
        <v>242</v>
      </c>
      <c r="CQ447" t="s">
        <v>230</v>
      </c>
    </row>
    <row r="448" spans="1:95" x14ac:dyDescent="0.2">
      <c r="A448" t="s">
        <v>115</v>
      </c>
      <c r="B448" t="s">
        <v>116</v>
      </c>
      <c r="C448">
        <v>210784</v>
      </c>
      <c r="E448" t="s">
        <v>117</v>
      </c>
      <c r="F448">
        <v>368</v>
      </c>
      <c r="G448" t="s">
        <v>141</v>
      </c>
      <c r="H448" t="s">
        <v>142</v>
      </c>
      <c r="I448" t="s">
        <v>204</v>
      </c>
      <c r="J448" t="s">
        <v>205</v>
      </c>
      <c r="L448" s="14">
        <v>45568</v>
      </c>
      <c r="M448" s="18">
        <f t="shared" si="9"/>
        <v>45566</v>
      </c>
      <c r="N448">
        <v>109893</v>
      </c>
      <c r="O448" t="s">
        <v>123</v>
      </c>
      <c r="P448" t="s">
        <v>146</v>
      </c>
      <c r="Q448">
        <v>3.45</v>
      </c>
      <c r="R448" t="s">
        <v>125</v>
      </c>
      <c r="S448" t="s">
        <v>126</v>
      </c>
      <c r="T448" t="s">
        <v>125</v>
      </c>
      <c r="U448" t="s">
        <v>126</v>
      </c>
      <c r="W448">
        <v>3.45</v>
      </c>
      <c r="Y448">
        <v>3.45</v>
      </c>
      <c r="AC448">
        <v>3.45</v>
      </c>
      <c r="BH448" t="s">
        <v>126</v>
      </c>
      <c r="BI448" t="s">
        <v>126</v>
      </c>
      <c r="BJ448" t="s">
        <v>126</v>
      </c>
      <c r="BK448" t="s">
        <v>126</v>
      </c>
      <c r="BS448" t="s">
        <v>126</v>
      </c>
      <c r="BT448" t="s">
        <v>126</v>
      </c>
      <c r="BU448" t="s">
        <v>126</v>
      </c>
      <c r="BV448" t="s">
        <v>126</v>
      </c>
      <c r="CN448" t="s">
        <v>147</v>
      </c>
      <c r="CP448" t="s">
        <v>258</v>
      </c>
      <c r="CQ448" t="s">
        <v>147</v>
      </c>
    </row>
    <row r="449" spans="1:95" x14ac:dyDescent="0.2">
      <c r="A449" t="s">
        <v>115</v>
      </c>
      <c r="B449" t="s">
        <v>116</v>
      </c>
      <c r="C449">
        <v>210784</v>
      </c>
      <c r="E449" t="s">
        <v>117</v>
      </c>
      <c r="F449">
        <v>368</v>
      </c>
      <c r="G449" t="s">
        <v>141</v>
      </c>
      <c r="H449" t="s">
        <v>142</v>
      </c>
      <c r="I449" t="s">
        <v>279</v>
      </c>
      <c r="J449" t="s">
        <v>280</v>
      </c>
      <c r="L449" s="14">
        <v>45568</v>
      </c>
      <c r="M449" s="18">
        <f t="shared" si="9"/>
        <v>45566</v>
      </c>
      <c r="N449">
        <v>5585748</v>
      </c>
      <c r="O449" t="s">
        <v>123</v>
      </c>
      <c r="P449" t="s">
        <v>146</v>
      </c>
      <c r="Q449">
        <v>1.07</v>
      </c>
      <c r="R449" t="s">
        <v>125</v>
      </c>
      <c r="S449" t="s">
        <v>126</v>
      </c>
      <c r="T449" t="s">
        <v>125</v>
      </c>
      <c r="U449" t="s">
        <v>126</v>
      </c>
      <c r="W449">
        <v>1.07</v>
      </c>
      <c r="Y449">
        <v>1.07</v>
      </c>
      <c r="AS449">
        <v>1.07</v>
      </c>
      <c r="BH449" t="s">
        <v>126</v>
      </c>
      <c r="BI449" t="s">
        <v>126</v>
      </c>
      <c r="BJ449" t="s">
        <v>126</v>
      </c>
      <c r="BK449" t="s">
        <v>126</v>
      </c>
      <c r="BS449" t="s">
        <v>126</v>
      </c>
      <c r="BT449" t="s">
        <v>126</v>
      </c>
      <c r="BU449" t="s">
        <v>126</v>
      </c>
      <c r="BV449" t="s">
        <v>126</v>
      </c>
      <c r="CN449" t="s">
        <v>147</v>
      </c>
      <c r="CP449" t="s">
        <v>257</v>
      </c>
      <c r="CQ449" t="s">
        <v>147</v>
      </c>
    </row>
    <row r="450" spans="1:95" x14ac:dyDescent="0.2">
      <c r="A450" t="s">
        <v>115</v>
      </c>
      <c r="B450" t="s">
        <v>116</v>
      </c>
      <c r="C450">
        <v>210784</v>
      </c>
      <c r="E450" t="s">
        <v>117</v>
      </c>
      <c r="F450">
        <v>368</v>
      </c>
      <c r="G450" t="s">
        <v>141</v>
      </c>
      <c r="H450" t="s">
        <v>142</v>
      </c>
      <c r="I450" t="s">
        <v>279</v>
      </c>
      <c r="J450" t="s">
        <v>280</v>
      </c>
      <c r="L450" s="14">
        <v>45568</v>
      </c>
      <c r="M450" s="18">
        <f t="shared" si="9"/>
        <v>45566</v>
      </c>
      <c r="N450">
        <v>5585427</v>
      </c>
      <c r="O450" t="s">
        <v>123</v>
      </c>
      <c r="P450" t="s">
        <v>146</v>
      </c>
      <c r="Q450">
        <v>2.5</v>
      </c>
      <c r="R450" t="s">
        <v>125</v>
      </c>
      <c r="S450" t="s">
        <v>126</v>
      </c>
      <c r="T450" t="s">
        <v>125</v>
      </c>
      <c r="U450" t="s">
        <v>126</v>
      </c>
      <c r="W450">
        <v>2.5</v>
      </c>
      <c r="Y450">
        <v>2.5</v>
      </c>
      <c r="BE450">
        <v>2.5</v>
      </c>
      <c r="BH450" t="s">
        <v>126</v>
      </c>
      <c r="BI450" t="s">
        <v>126</v>
      </c>
      <c r="BJ450" t="s">
        <v>126</v>
      </c>
      <c r="BK450" t="s">
        <v>126</v>
      </c>
      <c r="BS450" t="s">
        <v>126</v>
      </c>
      <c r="BT450" t="s">
        <v>126</v>
      </c>
      <c r="BU450" t="s">
        <v>126</v>
      </c>
      <c r="BV450" t="s">
        <v>126</v>
      </c>
      <c r="CN450" t="s">
        <v>147</v>
      </c>
      <c r="CP450" t="s">
        <v>257</v>
      </c>
      <c r="CQ450" t="s">
        <v>147</v>
      </c>
    </row>
    <row r="451" spans="1:95" x14ac:dyDescent="0.2">
      <c r="A451" t="s">
        <v>115</v>
      </c>
      <c r="B451" t="s">
        <v>116</v>
      </c>
      <c r="C451">
        <v>210784</v>
      </c>
      <c r="E451" t="s">
        <v>117</v>
      </c>
      <c r="F451">
        <v>368</v>
      </c>
      <c r="G451" t="s">
        <v>141</v>
      </c>
      <c r="H451" t="s">
        <v>142</v>
      </c>
      <c r="I451" t="s">
        <v>279</v>
      </c>
      <c r="J451" t="s">
        <v>280</v>
      </c>
      <c r="L451" s="14">
        <v>45570</v>
      </c>
      <c r="M451" s="18">
        <f t="shared" si="9"/>
        <v>45566</v>
      </c>
      <c r="N451">
        <v>5586913</v>
      </c>
      <c r="O451" t="s">
        <v>123</v>
      </c>
      <c r="P451" t="s">
        <v>146</v>
      </c>
      <c r="Q451">
        <v>3.79</v>
      </c>
      <c r="R451" t="s">
        <v>125</v>
      </c>
      <c r="S451" t="s">
        <v>126</v>
      </c>
      <c r="T451" t="s">
        <v>125</v>
      </c>
      <c r="U451" t="s">
        <v>126</v>
      </c>
      <c r="W451">
        <v>3.79</v>
      </c>
      <c r="Y451">
        <v>3.79</v>
      </c>
      <c r="AS451">
        <v>3.79</v>
      </c>
      <c r="BH451" t="s">
        <v>126</v>
      </c>
      <c r="BI451" t="s">
        <v>126</v>
      </c>
      <c r="BJ451" t="s">
        <v>126</v>
      </c>
      <c r="BK451" t="s">
        <v>126</v>
      </c>
      <c r="BS451" t="s">
        <v>126</v>
      </c>
      <c r="BT451" t="s">
        <v>126</v>
      </c>
      <c r="BU451" t="s">
        <v>126</v>
      </c>
      <c r="BV451" t="s">
        <v>126</v>
      </c>
      <c r="CN451" t="s">
        <v>147</v>
      </c>
      <c r="CP451" t="s">
        <v>257</v>
      </c>
      <c r="CQ451" t="s">
        <v>147</v>
      </c>
    </row>
    <row r="452" spans="1:95" x14ac:dyDescent="0.2">
      <c r="A452" t="s">
        <v>115</v>
      </c>
      <c r="B452" t="s">
        <v>116</v>
      </c>
      <c r="C452">
        <v>210784</v>
      </c>
      <c r="E452" t="s">
        <v>117</v>
      </c>
      <c r="F452">
        <v>368</v>
      </c>
      <c r="G452" t="s">
        <v>229</v>
      </c>
      <c r="H452" t="s">
        <v>230</v>
      </c>
      <c r="I452" t="s">
        <v>204</v>
      </c>
      <c r="J452" t="s">
        <v>205</v>
      </c>
      <c r="L452" s="14">
        <v>45572</v>
      </c>
      <c r="M452" s="18">
        <f t="shared" si="9"/>
        <v>45566</v>
      </c>
      <c r="N452">
        <v>110020</v>
      </c>
      <c r="O452" t="s">
        <v>123</v>
      </c>
      <c r="P452" t="s">
        <v>146</v>
      </c>
      <c r="Q452">
        <v>10.35</v>
      </c>
      <c r="R452" t="s">
        <v>125</v>
      </c>
      <c r="S452" t="s">
        <v>126</v>
      </c>
      <c r="T452" t="s">
        <v>125</v>
      </c>
      <c r="U452" t="s">
        <v>126</v>
      </c>
      <c r="W452">
        <v>10.35</v>
      </c>
      <c r="Y452">
        <v>10.35</v>
      </c>
      <c r="AC452">
        <v>10.35</v>
      </c>
      <c r="BH452" t="s">
        <v>126</v>
      </c>
      <c r="BI452" t="s">
        <v>126</v>
      </c>
      <c r="BJ452" t="s">
        <v>126</v>
      </c>
      <c r="BK452" t="s">
        <v>126</v>
      </c>
      <c r="BS452" t="s">
        <v>126</v>
      </c>
      <c r="BT452" t="s">
        <v>126</v>
      </c>
      <c r="BU452" t="s">
        <v>126</v>
      </c>
      <c r="BV452" t="s">
        <v>126</v>
      </c>
      <c r="CN452" t="s">
        <v>230</v>
      </c>
      <c r="CP452" t="s">
        <v>242</v>
      </c>
      <c r="CQ452" t="s">
        <v>230</v>
      </c>
    </row>
    <row r="453" spans="1:95" x14ac:dyDescent="0.2">
      <c r="A453" t="s">
        <v>115</v>
      </c>
      <c r="B453" t="s">
        <v>116</v>
      </c>
      <c r="C453">
        <v>210784</v>
      </c>
      <c r="E453" t="s">
        <v>117</v>
      </c>
      <c r="F453">
        <v>368</v>
      </c>
      <c r="G453" t="s">
        <v>229</v>
      </c>
      <c r="H453" t="s">
        <v>230</v>
      </c>
      <c r="I453" t="s">
        <v>204</v>
      </c>
      <c r="J453" t="s">
        <v>205</v>
      </c>
      <c r="L453" s="14">
        <v>45572</v>
      </c>
      <c r="M453" s="18">
        <f t="shared" si="9"/>
        <v>45566</v>
      </c>
      <c r="N453">
        <v>110064</v>
      </c>
      <c r="O453" t="s">
        <v>123</v>
      </c>
      <c r="P453" t="s">
        <v>146</v>
      </c>
      <c r="Q453">
        <v>7.26</v>
      </c>
      <c r="R453" t="s">
        <v>125</v>
      </c>
      <c r="S453" t="s">
        <v>126</v>
      </c>
      <c r="T453" t="s">
        <v>125</v>
      </c>
      <c r="U453" t="s">
        <v>126</v>
      </c>
      <c r="W453">
        <v>7.26</v>
      </c>
      <c r="Y453">
        <v>7.26</v>
      </c>
      <c r="AC453">
        <v>7.26</v>
      </c>
      <c r="BH453" t="s">
        <v>126</v>
      </c>
      <c r="BI453" t="s">
        <v>126</v>
      </c>
      <c r="BJ453" t="s">
        <v>126</v>
      </c>
      <c r="BK453" t="s">
        <v>126</v>
      </c>
      <c r="BS453" t="s">
        <v>126</v>
      </c>
      <c r="BT453" t="s">
        <v>126</v>
      </c>
      <c r="BU453" t="s">
        <v>126</v>
      </c>
      <c r="BV453" t="s">
        <v>126</v>
      </c>
      <c r="CN453" t="s">
        <v>230</v>
      </c>
      <c r="CP453" t="s">
        <v>242</v>
      </c>
      <c r="CQ453" t="s">
        <v>230</v>
      </c>
    </row>
    <row r="454" spans="1:95" x14ac:dyDescent="0.2">
      <c r="A454" t="s">
        <v>115</v>
      </c>
      <c r="B454" t="s">
        <v>116</v>
      </c>
      <c r="C454">
        <v>210784</v>
      </c>
      <c r="E454" t="s">
        <v>117</v>
      </c>
      <c r="F454">
        <v>368</v>
      </c>
      <c r="G454" t="s">
        <v>141</v>
      </c>
      <c r="H454" t="s">
        <v>142</v>
      </c>
      <c r="I454" t="s">
        <v>204</v>
      </c>
      <c r="J454" t="s">
        <v>205</v>
      </c>
      <c r="L454" s="14">
        <v>45572</v>
      </c>
      <c r="M454" s="18">
        <f t="shared" si="9"/>
        <v>45566</v>
      </c>
      <c r="N454">
        <v>110020</v>
      </c>
      <c r="O454" t="s">
        <v>123</v>
      </c>
      <c r="P454" t="s">
        <v>146</v>
      </c>
      <c r="Q454">
        <v>10.35</v>
      </c>
      <c r="R454" t="s">
        <v>125</v>
      </c>
      <c r="S454" t="s">
        <v>126</v>
      </c>
      <c r="T454" t="s">
        <v>125</v>
      </c>
      <c r="U454" t="s">
        <v>126</v>
      </c>
      <c r="W454">
        <v>10.35</v>
      </c>
      <c r="Y454">
        <v>10.35</v>
      </c>
      <c r="AC454">
        <v>10.35</v>
      </c>
      <c r="BH454" t="s">
        <v>126</v>
      </c>
      <c r="BI454" t="s">
        <v>126</v>
      </c>
      <c r="BJ454" t="s">
        <v>126</v>
      </c>
      <c r="BK454" t="s">
        <v>126</v>
      </c>
      <c r="BS454" t="s">
        <v>126</v>
      </c>
      <c r="BT454" t="s">
        <v>126</v>
      </c>
      <c r="BU454" t="s">
        <v>126</v>
      </c>
      <c r="BV454" t="s">
        <v>126</v>
      </c>
      <c r="CN454" t="s">
        <v>147</v>
      </c>
      <c r="CP454" t="s">
        <v>258</v>
      </c>
      <c r="CQ454" t="s">
        <v>147</v>
      </c>
    </row>
    <row r="455" spans="1:95" x14ac:dyDescent="0.2">
      <c r="A455" t="s">
        <v>115</v>
      </c>
      <c r="B455" t="s">
        <v>116</v>
      </c>
      <c r="C455">
        <v>210784</v>
      </c>
      <c r="E455" t="s">
        <v>117</v>
      </c>
      <c r="F455">
        <v>368</v>
      </c>
      <c r="G455" t="s">
        <v>141</v>
      </c>
      <c r="H455" t="s">
        <v>142</v>
      </c>
      <c r="I455" t="s">
        <v>279</v>
      </c>
      <c r="J455" t="s">
        <v>280</v>
      </c>
      <c r="L455" s="14">
        <v>45572</v>
      </c>
      <c r="M455" s="18">
        <f t="shared" si="9"/>
        <v>45566</v>
      </c>
      <c r="N455">
        <v>5587309</v>
      </c>
      <c r="O455" t="s">
        <v>123</v>
      </c>
      <c r="P455" t="s">
        <v>146</v>
      </c>
      <c r="Q455">
        <v>1.08</v>
      </c>
      <c r="R455" t="s">
        <v>125</v>
      </c>
      <c r="S455" t="s">
        <v>126</v>
      </c>
      <c r="T455" t="s">
        <v>125</v>
      </c>
      <c r="U455" t="s">
        <v>126</v>
      </c>
      <c r="W455">
        <v>1.08</v>
      </c>
      <c r="Y455">
        <v>1.08</v>
      </c>
      <c r="AS455">
        <v>1.08</v>
      </c>
      <c r="BH455" t="s">
        <v>126</v>
      </c>
      <c r="BI455" t="s">
        <v>126</v>
      </c>
      <c r="BJ455" t="s">
        <v>126</v>
      </c>
      <c r="BK455" t="s">
        <v>126</v>
      </c>
      <c r="BS455" t="s">
        <v>126</v>
      </c>
      <c r="BT455" t="s">
        <v>126</v>
      </c>
      <c r="BU455" t="s">
        <v>126</v>
      </c>
      <c r="BV455" t="s">
        <v>126</v>
      </c>
      <c r="CN455" t="s">
        <v>147</v>
      </c>
      <c r="CP455" t="s">
        <v>257</v>
      </c>
      <c r="CQ455" t="s">
        <v>147</v>
      </c>
    </row>
    <row r="456" spans="1:95" x14ac:dyDescent="0.2">
      <c r="A456" t="s">
        <v>115</v>
      </c>
      <c r="B456" t="s">
        <v>116</v>
      </c>
      <c r="C456">
        <v>210784</v>
      </c>
      <c r="E456" t="s">
        <v>117</v>
      </c>
      <c r="F456">
        <v>368</v>
      </c>
      <c r="G456" t="s">
        <v>141</v>
      </c>
      <c r="H456" t="s">
        <v>142</v>
      </c>
      <c r="I456" t="s">
        <v>279</v>
      </c>
      <c r="J456" t="s">
        <v>280</v>
      </c>
      <c r="L456" s="14">
        <v>45572</v>
      </c>
      <c r="M456" s="18">
        <f t="shared" si="9"/>
        <v>45566</v>
      </c>
      <c r="N456">
        <v>5587515</v>
      </c>
      <c r="O456" t="s">
        <v>123</v>
      </c>
      <c r="P456" t="s">
        <v>146</v>
      </c>
      <c r="Q456">
        <v>4.88</v>
      </c>
      <c r="R456" t="s">
        <v>125</v>
      </c>
      <c r="S456" t="s">
        <v>126</v>
      </c>
      <c r="T456" t="s">
        <v>125</v>
      </c>
      <c r="U456" t="s">
        <v>126</v>
      </c>
      <c r="W456">
        <v>4.88</v>
      </c>
      <c r="Y456">
        <v>4.88</v>
      </c>
      <c r="BE456">
        <v>4.88</v>
      </c>
      <c r="BH456" t="s">
        <v>126</v>
      </c>
      <c r="BI456" t="s">
        <v>126</v>
      </c>
      <c r="BJ456" t="s">
        <v>126</v>
      </c>
      <c r="BK456" t="s">
        <v>126</v>
      </c>
      <c r="BS456" t="s">
        <v>126</v>
      </c>
      <c r="BT456" t="s">
        <v>126</v>
      </c>
      <c r="BU456" t="s">
        <v>126</v>
      </c>
      <c r="BV456" t="s">
        <v>126</v>
      </c>
      <c r="CN456" t="s">
        <v>147</v>
      </c>
      <c r="CP456" t="s">
        <v>257</v>
      </c>
      <c r="CQ456" t="s">
        <v>147</v>
      </c>
    </row>
    <row r="457" spans="1:95" x14ac:dyDescent="0.2">
      <c r="A457" t="s">
        <v>115</v>
      </c>
      <c r="B457" t="s">
        <v>116</v>
      </c>
      <c r="C457">
        <v>210784</v>
      </c>
      <c r="E457" t="s">
        <v>117</v>
      </c>
      <c r="F457">
        <v>368</v>
      </c>
      <c r="G457" t="s">
        <v>229</v>
      </c>
      <c r="H457" t="s">
        <v>230</v>
      </c>
      <c r="I457" t="s">
        <v>204</v>
      </c>
      <c r="J457" t="s">
        <v>205</v>
      </c>
      <c r="L457" s="14">
        <v>45573</v>
      </c>
      <c r="M457" s="18">
        <f t="shared" si="9"/>
        <v>45566</v>
      </c>
      <c r="N457">
        <v>110175</v>
      </c>
      <c r="O457" t="s">
        <v>123</v>
      </c>
      <c r="P457" t="s">
        <v>146</v>
      </c>
      <c r="Q457">
        <v>9.43</v>
      </c>
      <c r="R457" t="s">
        <v>125</v>
      </c>
      <c r="S457" t="s">
        <v>126</v>
      </c>
      <c r="T457" t="s">
        <v>125</v>
      </c>
      <c r="U457" t="s">
        <v>126</v>
      </c>
      <c r="W457">
        <v>9.43</v>
      </c>
      <c r="Y457">
        <v>9.43</v>
      </c>
      <c r="AC457">
        <v>9.43</v>
      </c>
      <c r="BH457" t="s">
        <v>126</v>
      </c>
      <c r="BI457" t="s">
        <v>126</v>
      </c>
      <c r="BJ457" t="s">
        <v>126</v>
      </c>
      <c r="BK457" t="s">
        <v>126</v>
      </c>
      <c r="BS457" t="s">
        <v>126</v>
      </c>
      <c r="BT457" t="s">
        <v>126</v>
      </c>
      <c r="BU457" t="s">
        <v>126</v>
      </c>
      <c r="BV457" t="s">
        <v>126</v>
      </c>
      <c r="CN457" t="s">
        <v>230</v>
      </c>
      <c r="CP457" t="s">
        <v>242</v>
      </c>
      <c r="CQ457" t="s">
        <v>230</v>
      </c>
    </row>
    <row r="458" spans="1:95" x14ac:dyDescent="0.2">
      <c r="A458" t="s">
        <v>115</v>
      </c>
      <c r="B458" t="s">
        <v>116</v>
      </c>
      <c r="C458">
        <v>210784</v>
      </c>
      <c r="E458" t="s">
        <v>117</v>
      </c>
      <c r="F458">
        <v>368</v>
      </c>
      <c r="G458" t="s">
        <v>141</v>
      </c>
      <c r="H458" t="s">
        <v>142</v>
      </c>
      <c r="I458" t="s">
        <v>204</v>
      </c>
      <c r="J458" t="s">
        <v>205</v>
      </c>
      <c r="L458" s="14">
        <v>45573</v>
      </c>
      <c r="M458" s="18">
        <f t="shared" si="9"/>
        <v>45566</v>
      </c>
      <c r="N458">
        <v>110175</v>
      </c>
      <c r="O458" t="s">
        <v>123</v>
      </c>
      <c r="P458" t="s">
        <v>146</v>
      </c>
      <c r="Q458">
        <v>9.43</v>
      </c>
      <c r="R458" t="s">
        <v>125</v>
      </c>
      <c r="S458" t="s">
        <v>126</v>
      </c>
      <c r="T458" t="s">
        <v>125</v>
      </c>
      <c r="U458" t="s">
        <v>126</v>
      </c>
      <c r="W458">
        <v>9.43</v>
      </c>
      <c r="Y458">
        <v>9.43</v>
      </c>
      <c r="AC458">
        <v>9.43</v>
      </c>
      <c r="BH458" t="s">
        <v>126</v>
      </c>
      <c r="BI458" t="s">
        <v>126</v>
      </c>
      <c r="BJ458" t="s">
        <v>126</v>
      </c>
      <c r="BK458" t="s">
        <v>126</v>
      </c>
      <c r="BS458" t="s">
        <v>126</v>
      </c>
      <c r="BT458" t="s">
        <v>126</v>
      </c>
      <c r="BU458" t="s">
        <v>126</v>
      </c>
      <c r="BV458" t="s">
        <v>126</v>
      </c>
      <c r="CN458" t="s">
        <v>147</v>
      </c>
      <c r="CP458" t="s">
        <v>258</v>
      </c>
      <c r="CQ458" t="s">
        <v>147</v>
      </c>
    </row>
    <row r="459" spans="1:95" x14ac:dyDescent="0.2">
      <c r="A459" t="s">
        <v>115</v>
      </c>
      <c r="B459" t="s">
        <v>116</v>
      </c>
      <c r="C459">
        <v>210784</v>
      </c>
      <c r="E459" t="s">
        <v>117</v>
      </c>
      <c r="F459">
        <v>368</v>
      </c>
      <c r="G459" t="s">
        <v>141</v>
      </c>
      <c r="H459" t="s">
        <v>142</v>
      </c>
      <c r="I459" t="s">
        <v>279</v>
      </c>
      <c r="J459" t="s">
        <v>280</v>
      </c>
      <c r="L459" s="14">
        <v>45573</v>
      </c>
      <c r="M459" s="18">
        <f t="shared" ref="M459:M522" si="10">DATE(YEAR(L459), MONTH(L459), 1)</f>
        <v>45566</v>
      </c>
      <c r="N459">
        <v>5588149</v>
      </c>
      <c r="O459" t="s">
        <v>123</v>
      </c>
      <c r="P459" t="s">
        <v>146</v>
      </c>
      <c r="Q459">
        <v>3.89</v>
      </c>
      <c r="R459" t="s">
        <v>125</v>
      </c>
      <c r="S459" t="s">
        <v>126</v>
      </c>
      <c r="T459" t="s">
        <v>125</v>
      </c>
      <c r="U459" t="s">
        <v>126</v>
      </c>
      <c r="W459">
        <v>3.89</v>
      </c>
      <c r="Y459">
        <v>3.89</v>
      </c>
      <c r="BE459">
        <v>3.89</v>
      </c>
      <c r="BH459" t="s">
        <v>126</v>
      </c>
      <c r="BI459" t="s">
        <v>126</v>
      </c>
      <c r="BJ459" t="s">
        <v>126</v>
      </c>
      <c r="BK459" t="s">
        <v>126</v>
      </c>
      <c r="BS459" t="s">
        <v>126</v>
      </c>
      <c r="BT459" t="s">
        <v>126</v>
      </c>
      <c r="BU459" t="s">
        <v>126</v>
      </c>
      <c r="BV459" t="s">
        <v>126</v>
      </c>
      <c r="CN459" t="s">
        <v>147</v>
      </c>
      <c r="CP459" t="s">
        <v>257</v>
      </c>
      <c r="CQ459" t="s">
        <v>147</v>
      </c>
    </row>
    <row r="460" spans="1:95" x14ac:dyDescent="0.2">
      <c r="A460" t="s">
        <v>115</v>
      </c>
      <c r="B460" t="s">
        <v>116</v>
      </c>
      <c r="C460">
        <v>210784</v>
      </c>
      <c r="E460" t="s">
        <v>117</v>
      </c>
      <c r="F460">
        <v>368</v>
      </c>
      <c r="G460" t="s">
        <v>229</v>
      </c>
      <c r="H460" t="s">
        <v>230</v>
      </c>
      <c r="I460" t="s">
        <v>204</v>
      </c>
      <c r="J460" t="s">
        <v>205</v>
      </c>
      <c r="L460" s="14">
        <v>45574</v>
      </c>
      <c r="M460" s="18">
        <f t="shared" si="10"/>
        <v>45566</v>
      </c>
      <c r="N460">
        <v>110254</v>
      </c>
      <c r="O460" t="s">
        <v>123</v>
      </c>
      <c r="P460" t="s">
        <v>146</v>
      </c>
      <c r="Q460">
        <v>9</v>
      </c>
      <c r="R460" t="s">
        <v>125</v>
      </c>
      <c r="S460" t="s">
        <v>126</v>
      </c>
      <c r="T460" t="s">
        <v>125</v>
      </c>
      <c r="U460" t="s">
        <v>126</v>
      </c>
      <c r="W460">
        <v>9</v>
      </c>
      <c r="Y460">
        <v>9</v>
      </c>
      <c r="AC460">
        <v>9</v>
      </c>
      <c r="BH460" t="s">
        <v>126</v>
      </c>
      <c r="BI460" t="s">
        <v>126</v>
      </c>
      <c r="BJ460" t="s">
        <v>126</v>
      </c>
      <c r="BK460" t="s">
        <v>126</v>
      </c>
      <c r="BS460" t="s">
        <v>126</v>
      </c>
      <c r="BT460" t="s">
        <v>126</v>
      </c>
      <c r="BU460" t="s">
        <v>126</v>
      </c>
      <c r="BV460" t="s">
        <v>126</v>
      </c>
      <c r="CN460" t="s">
        <v>230</v>
      </c>
      <c r="CP460" t="s">
        <v>242</v>
      </c>
      <c r="CQ460" t="s">
        <v>230</v>
      </c>
    </row>
    <row r="461" spans="1:95" x14ac:dyDescent="0.2">
      <c r="A461" t="s">
        <v>115</v>
      </c>
      <c r="B461" t="s">
        <v>116</v>
      </c>
      <c r="C461">
        <v>210784</v>
      </c>
      <c r="E461" t="s">
        <v>117</v>
      </c>
      <c r="F461">
        <v>368</v>
      </c>
      <c r="G461" t="s">
        <v>229</v>
      </c>
      <c r="H461" t="s">
        <v>230</v>
      </c>
      <c r="I461" t="s">
        <v>204</v>
      </c>
      <c r="J461" t="s">
        <v>205</v>
      </c>
      <c r="L461" s="14">
        <v>45574</v>
      </c>
      <c r="M461" s="18">
        <f t="shared" si="10"/>
        <v>45566</v>
      </c>
      <c r="N461">
        <v>110208</v>
      </c>
      <c r="O461" t="s">
        <v>123</v>
      </c>
      <c r="P461" t="s">
        <v>146</v>
      </c>
      <c r="Q461">
        <v>10.45</v>
      </c>
      <c r="R461" t="s">
        <v>125</v>
      </c>
      <c r="S461" t="s">
        <v>126</v>
      </c>
      <c r="T461" t="s">
        <v>125</v>
      </c>
      <c r="U461" t="s">
        <v>126</v>
      </c>
      <c r="W461">
        <v>10.45</v>
      </c>
      <c r="Y461">
        <v>10.45</v>
      </c>
      <c r="AC461">
        <v>10.45</v>
      </c>
      <c r="BH461" t="s">
        <v>126</v>
      </c>
      <c r="BI461" t="s">
        <v>126</v>
      </c>
      <c r="BJ461" t="s">
        <v>126</v>
      </c>
      <c r="BK461" t="s">
        <v>126</v>
      </c>
      <c r="BS461" t="s">
        <v>126</v>
      </c>
      <c r="BT461" t="s">
        <v>126</v>
      </c>
      <c r="BU461" t="s">
        <v>126</v>
      </c>
      <c r="BV461" t="s">
        <v>126</v>
      </c>
      <c r="CN461" t="s">
        <v>230</v>
      </c>
      <c r="CP461" t="s">
        <v>242</v>
      </c>
      <c r="CQ461" t="s">
        <v>230</v>
      </c>
    </row>
    <row r="462" spans="1:95" x14ac:dyDescent="0.2">
      <c r="A462" t="s">
        <v>115</v>
      </c>
      <c r="B462" t="s">
        <v>116</v>
      </c>
      <c r="C462">
        <v>210784</v>
      </c>
      <c r="E462" t="s">
        <v>117</v>
      </c>
      <c r="F462">
        <v>368</v>
      </c>
      <c r="G462" t="s">
        <v>141</v>
      </c>
      <c r="H462" t="s">
        <v>142</v>
      </c>
      <c r="I462" t="s">
        <v>204</v>
      </c>
      <c r="J462" t="s">
        <v>205</v>
      </c>
      <c r="L462" s="14">
        <v>45574</v>
      </c>
      <c r="M462" s="18">
        <f t="shared" si="10"/>
        <v>45566</v>
      </c>
      <c r="N462">
        <v>110254</v>
      </c>
      <c r="O462" t="s">
        <v>123</v>
      </c>
      <c r="P462" t="s">
        <v>146</v>
      </c>
      <c r="Q462">
        <v>9</v>
      </c>
      <c r="R462" t="s">
        <v>125</v>
      </c>
      <c r="S462" t="s">
        <v>126</v>
      </c>
      <c r="T462" t="s">
        <v>125</v>
      </c>
      <c r="U462" t="s">
        <v>126</v>
      </c>
      <c r="W462">
        <v>9</v>
      </c>
      <c r="Y462">
        <v>9</v>
      </c>
      <c r="AC462">
        <v>9</v>
      </c>
      <c r="BH462" t="s">
        <v>126</v>
      </c>
      <c r="BI462" t="s">
        <v>126</v>
      </c>
      <c r="BJ462" t="s">
        <v>126</v>
      </c>
      <c r="BK462" t="s">
        <v>126</v>
      </c>
      <c r="BS462" t="s">
        <v>126</v>
      </c>
      <c r="BT462" t="s">
        <v>126</v>
      </c>
      <c r="BU462" t="s">
        <v>126</v>
      </c>
      <c r="BV462" t="s">
        <v>126</v>
      </c>
      <c r="CN462" t="s">
        <v>147</v>
      </c>
      <c r="CP462" t="s">
        <v>258</v>
      </c>
      <c r="CQ462" t="s">
        <v>147</v>
      </c>
    </row>
    <row r="463" spans="1:95" x14ac:dyDescent="0.2">
      <c r="A463" t="s">
        <v>115</v>
      </c>
      <c r="B463" t="s">
        <v>116</v>
      </c>
      <c r="C463">
        <v>210784</v>
      </c>
      <c r="E463" t="s">
        <v>117</v>
      </c>
      <c r="F463">
        <v>368</v>
      </c>
      <c r="G463" t="s">
        <v>141</v>
      </c>
      <c r="H463" t="s">
        <v>142</v>
      </c>
      <c r="I463" t="s">
        <v>204</v>
      </c>
      <c r="J463" t="s">
        <v>205</v>
      </c>
      <c r="L463" s="14">
        <v>45574</v>
      </c>
      <c r="M463" s="18">
        <f t="shared" si="10"/>
        <v>45566</v>
      </c>
      <c r="N463">
        <v>110208</v>
      </c>
      <c r="O463" t="s">
        <v>123</v>
      </c>
      <c r="P463" t="s">
        <v>146</v>
      </c>
      <c r="Q463">
        <v>10.45</v>
      </c>
      <c r="R463" t="s">
        <v>125</v>
      </c>
      <c r="S463" t="s">
        <v>126</v>
      </c>
      <c r="T463" t="s">
        <v>125</v>
      </c>
      <c r="U463" t="s">
        <v>126</v>
      </c>
      <c r="W463">
        <v>10.45</v>
      </c>
      <c r="Y463">
        <v>10.45</v>
      </c>
      <c r="AC463">
        <v>10.45</v>
      </c>
      <c r="BH463" t="s">
        <v>126</v>
      </c>
      <c r="BI463" t="s">
        <v>126</v>
      </c>
      <c r="BJ463" t="s">
        <v>126</v>
      </c>
      <c r="BK463" t="s">
        <v>126</v>
      </c>
      <c r="BS463" t="s">
        <v>126</v>
      </c>
      <c r="BT463" t="s">
        <v>126</v>
      </c>
      <c r="BU463" t="s">
        <v>126</v>
      </c>
      <c r="BV463" t="s">
        <v>126</v>
      </c>
      <c r="CN463" t="s">
        <v>147</v>
      </c>
      <c r="CP463" t="s">
        <v>258</v>
      </c>
      <c r="CQ463" t="s">
        <v>147</v>
      </c>
    </row>
    <row r="464" spans="1:95" x14ac:dyDescent="0.2">
      <c r="A464" t="s">
        <v>115</v>
      </c>
      <c r="B464" t="s">
        <v>116</v>
      </c>
      <c r="C464">
        <v>210784</v>
      </c>
      <c r="E464" t="s">
        <v>117</v>
      </c>
      <c r="F464">
        <v>368</v>
      </c>
      <c r="G464" t="s">
        <v>141</v>
      </c>
      <c r="H464" t="s">
        <v>142</v>
      </c>
      <c r="I464" t="s">
        <v>279</v>
      </c>
      <c r="J464" t="s">
        <v>280</v>
      </c>
      <c r="L464" s="14">
        <v>45574</v>
      </c>
      <c r="M464" s="18">
        <f t="shared" si="10"/>
        <v>45566</v>
      </c>
      <c r="N464">
        <v>5589358</v>
      </c>
      <c r="O464" t="s">
        <v>123</v>
      </c>
      <c r="P464" t="s">
        <v>146</v>
      </c>
      <c r="Q464">
        <v>1.19</v>
      </c>
      <c r="R464" t="s">
        <v>125</v>
      </c>
      <c r="S464" t="s">
        <v>126</v>
      </c>
      <c r="T464" t="s">
        <v>125</v>
      </c>
      <c r="U464" t="s">
        <v>126</v>
      </c>
      <c r="W464">
        <v>1.19</v>
      </c>
      <c r="Y464">
        <v>1.19</v>
      </c>
      <c r="AS464">
        <v>1.19</v>
      </c>
      <c r="BH464" t="s">
        <v>126</v>
      </c>
      <c r="BI464" t="s">
        <v>126</v>
      </c>
      <c r="BJ464" t="s">
        <v>126</v>
      </c>
      <c r="BK464" t="s">
        <v>126</v>
      </c>
      <c r="BS464" t="s">
        <v>126</v>
      </c>
      <c r="BT464" t="s">
        <v>126</v>
      </c>
      <c r="BU464" t="s">
        <v>126</v>
      </c>
      <c r="BV464" t="s">
        <v>126</v>
      </c>
      <c r="CN464" t="s">
        <v>147</v>
      </c>
      <c r="CP464" t="s">
        <v>257</v>
      </c>
      <c r="CQ464" t="s">
        <v>147</v>
      </c>
    </row>
    <row r="465" spans="1:95" x14ac:dyDescent="0.2">
      <c r="A465" t="s">
        <v>115</v>
      </c>
      <c r="B465" t="s">
        <v>116</v>
      </c>
      <c r="C465">
        <v>210784</v>
      </c>
      <c r="E465" t="s">
        <v>117</v>
      </c>
      <c r="F465">
        <v>368</v>
      </c>
      <c r="G465" t="s">
        <v>141</v>
      </c>
      <c r="H465" t="s">
        <v>142</v>
      </c>
      <c r="I465" t="s">
        <v>279</v>
      </c>
      <c r="J465" t="s">
        <v>280</v>
      </c>
      <c r="L465" s="14">
        <v>45574</v>
      </c>
      <c r="M465" s="18">
        <f t="shared" si="10"/>
        <v>45566</v>
      </c>
      <c r="N465">
        <v>5589445</v>
      </c>
      <c r="O465" t="s">
        <v>123</v>
      </c>
      <c r="P465" t="s">
        <v>146</v>
      </c>
      <c r="Q465">
        <v>2.56</v>
      </c>
      <c r="R465" t="s">
        <v>125</v>
      </c>
      <c r="S465" t="s">
        <v>126</v>
      </c>
      <c r="T465" t="s">
        <v>125</v>
      </c>
      <c r="U465" t="s">
        <v>126</v>
      </c>
      <c r="W465">
        <v>2.56</v>
      </c>
      <c r="Y465">
        <v>2.56</v>
      </c>
      <c r="BE465">
        <v>2.56</v>
      </c>
      <c r="BH465" t="s">
        <v>126</v>
      </c>
      <c r="BI465" t="s">
        <v>126</v>
      </c>
      <c r="BJ465" t="s">
        <v>126</v>
      </c>
      <c r="BK465" t="s">
        <v>126</v>
      </c>
      <c r="BS465" t="s">
        <v>126</v>
      </c>
      <c r="BT465" t="s">
        <v>126</v>
      </c>
      <c r="BU465" t="s">
        <v>126</v>
      </c>
      <c r="BV465" t="s">
        <v>126</v>
      </c>
      <c r="CN465" t="s">
        <v>147</v>
      </c>
      <c r="CP465" t="s">
        <v>257</v>
      </c>
      <c r="CQ465" t="s">
        <v>147</v>
      </c>
    </row>
    <row r="466" spans="1:95" x14ac:dyDescent="0.2">
      <c r="A466" t="s">
        <v>115</v>
      </c>
      <c r="B466" t="s">
        <v>116</v>
      </c>
      <c r="C466">
        <v>210784</v>
      </c>
      <c r="E466" t="s">
        <v>117</v>
      </c>
      <c r="F466">
        <v>368</v>
      </c>
      <c r="G466" t="s">
        <v>229</v>
      </c>
      <c r="H466" t="s">
        <v>230</v>
      </c>
      <c r="I466" t="s">
        <v>204</v>
      </c>
      <c r="J466" t="s">
        <v>205</v>
      </c>
      <c r="L466" s="14">
        <v>45575</v>
      </c>
      <c r="M466" s="18">
        <f t="shared" si="10"/>
        <v>45566</v>
      </c>
      <c r="N466">
        <v>110305</v>
      </c>
      <c r="O466" t="s">
        <v>123</v>
      </c>
      <c r="P466" t="s">
        <v>146</v>
      </c>
      <c r="Q466">
        <v>3.94</v>
      </c>
      <c r="R466" t="s">
        <v>125</v>
      </c>
      <c r="S466" t="s">
        <v>126</v>
      </c>
      <c r="T466" t="s">
        <v>125</v>
      </c>
      <c r="U466" t="s">
        <v>126</v>
      </c>
      <c r="W466">
        <v>3.94</v>
      </c>
      <c r="Y466">
        <v>3.94</v>
      </c>
      <c r="AC466">
        <v>3.94</v>
      </c>
      <c r="BH466" t="s">
        <v>126</v>
      </c>
      <c r="BI466" t="s">
        <v>126</v>
      </c>
      <c r="BJ466" t="s">
        <v>126</v>
      </c>
      <c r="BK466" t="s">
        <v>126</v>
      </c>
      <c r="BS466" t="s">
        <v>126</v>
      </c>
      <c r="BT466" t="s">
        <v>126</v>
      </c>
      <c r="BU466" t="s">
        <v>126</v>
      </c>
      <c r="BV466" t="s">
        <v>126</v>
      </c>
      <c r="CN466" t="s">
        <v>230</v>
      </c>
      <c r="CP466" t="s">
        <v>242</v>
      </c>
      <c r="CQ466" t="s">
        <v>230</v>
      </c>
    </row>
    <row r="467" spans="1:95" x14ac:dyDescent="0.2">
      <c r="A467" t="s">
        <v>115</v>
      </c>
      <c r="B467" t="s">
        <v>116</v>
      </c>
      <c r="C467">
        <v>210784</v>
      </c>
      <c r="E467" t="s">
        <v>117</v>
      </c>
      <c r="F467">
        <v>368</v>
      </c>
      <c r="G467" t="s">
        <v>229</v>
      </c>
      <c r="H467" t="s">
        <v>230</v>
      </c>
      <c r="I467" t="s">
        <v>204</v>
      </c>
      <c r="J467" t="s">
        <v>205</v>
      </c>
      <c r="L467" s="14">
        <v>45575</v>
      </c>
      <c r="M467" s="18">
        <f t="shared" si="10"/>
        <v>45566</v>
      </c>
      <c r="N467">
        <v>110336</v>
      </c>
      <c r="O467" t="s">
        <v>123</v>
      </c>
      <c r="P467" t="s">
        <v>146</v>
      </c>
      <c r="Q467">
        <v>4.22</v>
      </c>
      <c r="R467" t="s">
        <v>125</v>
      </c>
      <c r="S467" t="s">
        <v>126</v>
      </c>
      <c r="T467" t="s">
        <v>125</v>
      </c>
      <c r="U467" t="s">
        <v>126</v>
      </c>
      <c r="W467">
        <v>4.22</v>
      </c>
      <c r="Y467">
        <v>4.22</v>
      </c>
      <c r="AC467">
        <v>4.22</v>
      </c>
      <c r="BH467" t="s">
        <v>126</v>
      </c>
      <c r="BI467" t="s">
        <v>126</v>
      </c>
      <c r="BJ467" t="s">
        <v>126</v>
      </c>
      <c r="BK467" t="s">
        <v>126</v>
      </c>
      <c r="BS467" t="s">
        <v>126</v>
      </c>
      <c r="BT467" t="s">
        <v>126</v>
      </c>
      <c r="BU467" t="s">
        <v>126</v>
      </c>
      <c r="BV467" t="s">
        <v>126</v>
      </c>
      <c r="CN467" t="s">
        <v>230</v>
      </c>
      <c r="CP467" t="s">
        <v>242</v>
      </c>
      <c r="CQ467" t="s">
        <v>230</v>
      </c>
    </row>
    <row r="468" spans="1:95" x14ac:dyDescent="0.2">
      <c r="A468" t="s">
        <v>115</v>
      </c>
      <c r="B468" t="s">
        <v>116</v>
      </c>
      <c r="C468">
        <v>210784</v>
      </c>
      <c r="E468" t="s">
        <v>117</v>
      </c>
      <c r="F468">
        <v>368</v>
      </c>
      <c r="G468" t="s">
        <v>141</v>
      </c>
      <c r="H468" t="s">
        <v>142</v>
      </c>
      <c r="I468" t="s">
        <v>204</v>
      </c>
      <c r="J468" t="s">
        <v>205</v>
      </c>
      <c r="L468" s="14">
        <v>45575</v>
      </c>
      <c r="M468" s="18">
        <f t="shared" si="10"/>
        <v>45566</v>
      </c>
      <c r="N468">
        <v>110305</v>
      </c>
      <c r="O468" t="s">
        <v>123</v>
      </c>
      <c r="P468" t="s">
        <v>146</v>
      </c>
      <c r="Q468">
        <v>3.94</v>
      </c>
      <c r="R468" t="s">
        <v>125</v>
      </c>
      <c r="S468" t="s">
        <v>126</v>
      </c>
      <c r="T468" t="s">
        <v>125</v>
      </c>
      <c r="U468" t="s">
        <v>126</v>
      </c>
      <c r="W468">
        <v>3.94</v>
      </c>
      <c r="Y468">
        <v>3.94</v>
      </c>
      <c r="AC468">
        <v>3.94</v>
      </c>
      <c r="BH468" t="s">
        <v>126</v>
      </c>
      <c r="BI468" t="s">
        <v>126</v>
      </c>
      <c r="BJ468" t="s">
        <v>126</v>
      </c>
      <c r="BK468" t="s">
        <v>126</v>
      </c>
      <c r="BS468" t="s">
        <v>126</v>
      </c>
      <c r="BT468" t="s">
        <v>126</v>
      </c>
      <c r="BU468" t="s">
        <v>126</v>
      </c>
      <c r="BV468" t="s">
        <v>126</v>
      </c>
      <c r="CN468" t="s">
        <v>147</v>
      </c>
      <c r="CP468" t="s">
        <v>258</v>
      </c>
      <c r="CQ468" t="s">
        <v>147</v>
      </c>
    </row>
    <row r="469" spans="1:95" x14ac:dyDescent="0.2">
      <c r="A469" t="s">
        <v>115</v>
      </c>
      <c r="B469" t="s">
        <v>116</v>
      </c>
      <c r="C469">
        <v>210784</v>
      </c>
      <c r="E469" t="s">
        <v>117</v>
      </c>
      <c r="F469">
        <v>368</v>
      </c>
      <c r="G469" t="s">
        <v>141</v>
      </c>
      <c r="H469" t="s">
        <v>142</v>
      </c>
      <c r="I469" t="s">
        <v>204</v>
      </c>
      <c r="J469" t="s">
        <v>205</v>
      </c>
      <c r="L469" s="14">
        <v>45575</v>
      </c>
      <c r="M469" s="18">
        <f t="shared" si="10"/>
        <v>45566</v>
      </c>
      <c r="N469">
        <v>110336</v>
      </c>
      <c r="O469" t="s">
        <v>123</v>
      </c>
      <c r="P469" t="s">
        <v>146</v>
      </c>
      <c r="Q469">
        <v>4.22</v>
      </c>
      <c r="R469" t="s">
        <v>125</v>
      </c>
      <c r="S469" t="s">
        <v>126</v>
      </c>
      <c r="T469" t="s">
        <v>125</v>
      </c>
      <c r="U469" t="s">
        <v>126</v>
      </c>
      <c r="W469">
        <v>4.22</v>
      </c>
      <c r="Y469">
        <v>4.22</v>
      </c>
      <c r="AC469">
        <v>4.22</v>
      </c>
      <c r="BH469" t="s">
        <v>126</v>
      </c>
      <c r="BI469" t="s">
        <v>126</v>
      </c>
      <c r="BJ469" t="s">
        <v>126</v>
      </c>
      <c r="BK469" t="s">
        <v>126</v>
      </c>
      <c r="BS469" t="s">
        <v>126</v>
      </c>
      <c r="BT469" t="s">
        <v>126</v>
      </c>
      <c r="BU469" t="s">
        <v>126</v>
      </c>
      <c r="BV469" t="s">
        <v>126</v>
      </c>
      <c r="CN469" t="s">
        <v>147</v>
      </c>
      <c r="CP469" t="s">
        <v>258</v>
      </c>
      <c r="CQ469" t="s">
        <v>147</v>
      </c>
    </row>
    <row r="470" spans="1:95" x14ac:dyDescent="0.2">
      <c r="A470" t="s">
        <v>115</v>
      </c>
      <c r="B470" t="s">
        <v>116</v>
      </c>
      <c r="C470">
        <v>210784</v>
      </c>
      <c r="E470" t="s">
        <v>117</v>
      </c>
      <c r="F470">
        <v>368</v>
      </c>
      <c r="G470" t="s">
        <v>141</v>
      </c>
      <c r="H470" t="s">
        <v>142</v>
      </c>
      <c r="I470" t="s">
        <v>279</v>
      </c>
      <c r="J470" t="s">
        <v>280</v>
      </c>
      <c r="L470" s="14">
        <v>45575</v>
      </c>
      <c r="M470" s="18">
        <f t="shared" si="10"/>
        <v>45566</v>
      </c>
      <c r="N470">
        <v>5590031</v>
      </c>
      <c r="O470" t="s">
        <v>123</v>
      </c>
      <c r="P470" t="s">
        <v>146</v>
      </c>
      <c r="Q470">
        <v>1</v>
      </c>
      <c r="R470" t="s">
        <v>125</v>
      </c>
      <c r="S470" t="s">
        <v>126</v>
      </c>
      <c r="T470" t="s">
        <v>125</v>
      </c>
      <c r="U470" t="s">
        <v>126</v>
      </c>
      <c r="W470">
        <v>1</v>
      </c>
      <c r="Y470">
        <v>1</v>
      </c>
      <c r="AS470">
        <v>1</v>
      </c>
      <c r="BH470" t="s">
        <v>126</v>
      </c>
      <c r="BI470" t="s">
        <v>126</v>
      </c>
      <c r="BJ470" t="s">
        <v>126</v>
      </c>
      <c r="BK470" t="s">
        <v>126</v>
      </c>
      <c r="BS470" t="s">
        <v>126</v>
      </c>
      <c r="BT470" t="s">
        <v>126</v>
      </c>
      <c r="BU470" t="s">
        <v>126</v>
      </c>
      <c r="BV470" t="s">
        <v>126</v>
      </c>
      <c r="CN470" t="s">
        <v>147</v>
      </c>
      <c r="CP470" t="s">
        <v>257</v>
      </c>
      <c r="CQ470" t="s">
        <v>147</v>
      </c>
    </row>
    <row r="471" spans="1:95" x14ac:dyDescent="0.2">
      <c r="A471" t="s">
        <v>115</v>
      </c>
      <c r="B471" t="s">
        <v>116</v>
      </c>
      <c r="C471">
        <v>210784</v>
      </c>
      <c r="E471" t="s">
        <v>117</v>
      </c>
      <c r="F471">
        <v>368</v>
      </c>
      <c r="G471" t="s">
        <v>141</v>
      </c>
      <c r="H471" t="s">
        <v>142</v>
      </c>
      <c r="I471" t="s">
        <v>279</v>
      </c>
      <c r="J471" t="s">
        <v>280</v>
      </c>
      <c r="L471" s="14">
        <v>45575</v>
      </c>
      <c r="M471" s="18">
        <f t="shared" si="10"/>
        <v>45566</v>
      </c>
      <c r="N471">
        <v>5590272</v>
      </c>
      <c r="O471" t="s">
        <v>123</v>
      </c>
      <c r="P471" t="s">
        <v>146</v>
      </c>
      <c r="Q471">
        <v>2.72</v>
      </c>
      <c r="R471" t="s">
        <v>125</v>
      </c>
      <c r="S471" t="s">
        <v>126</v>
      </c>
      <c r="T471" t="s">
        <v>125</v>
      </c>
      <c r="U471" t="s">
        <v>126</v>
      </c>
      <c r="W471">
        <v>2.72</v>
      </c>
      <c r="Y471">
        <v>2.72</v>
      </c>
      <c r="AS471">
        <v>2.72</v>
      </c>
      <c r="BH471" t="s">
        <v>126</v>
      </c>
      <c r="BI471" t="s">
        <v>126</v>
      </c>
      <c r="BJ471" t="s">
        <v>126</v>
      </c>
      <c r="BK471" t="s">
        <v>126</v>
      </c>
      <c r="BS471" t="s">
        <v>126</v>
      </c>
      <c r="BT471" t="s">
        <v>126</v>
      </c>
      <c r="BU471" t="s">
        <v>126</v>
      </c>
      <c r="BV471" t="s">
        <v>126</v>
      </c>
      <c r="CN471" t="s">
        <v>147</v>
      </c>
      <c r="CP471" t="s">
        <v>257</v>
      </c>
      <c r="CQ471" t="s">
        <v>147</v>
      </c>
    </row>
    <row r="472" spans="1:95" x14ac:dyDescent="0.2">
      <c r="A472" t="s">
        <v>115</v>
      </c>
      <c r="B472" t="s">
        <v>116</v>
      </c>
      <c r="C472">
        <v>210784</v>
      </c>
      <c r="E472" t="s">
        <v>117</v>
      </c>
      <c r="F472">
        <v>368</v>
      </c>
      <c r="G472" t="s">
        <v>141</v>
      </c>
      <c r="H472" t="s">
        <v>142</v>
      </c>
      <c r="I472" t="s">
        <v>279</v>
      </c>
      <c r="J472" t="s">
        <v>280</v>
      </c>
      <c r="L472" s="14">
        <v>45575</v>
      </c>
      <c r="M472" s="18">
        <f t="shared" si="10"/>
        <v>45566</v>
      </c>
      <c r="N472">
        <v>5590284</v>
      </c>
      <c r="O472" t="s">
        <v>123</v>
      </c>
      <c r="P472" t="s">
        <v>146</v>
      </c>
      <c r="Q472">
        <v>1.1599999999999999</v>
      </c>
      <c r="R472" t="s">
        <v>125</v>
      </c>
      <c r="S472" t="s">
        <v>126</v>
      </c>
      <c r="T472" t="s">
        <v>125</v>
      </c>
      <c r="U472" t="s">
        <v>126</v>
      </c>
      <c r="W472">
        <v>1.1599999999999999</v>
      </c>
      <c r="Y472">
        <v>1.1599999999999999</v>
      </c>
      <c r="BE472">
        <v>1.1599999999999999</v>
      </c>
      <c r="BH472" t="s">
        <v>126</v>
      </c>
      <c r="BI472" t="s">
        <v>126</v>
      </c>
      <c r="BJ472" t="s">
        <v>126</v>
      </c>
      <c r="BK472" t="s">
        <v>126</v>
      </c>
      <c r="BS472" t="s">
        <v>126</v>
      </c>
      <c r="BT472" t="s">
        <v>126</v>
      </c>
      <c r="BU472" t="s">
        <v>126</v>
      </c>
      <c r="BV472" t="s">
        <v>126</v>
      </c>
      <c r="CN472" t="s">
        <v>147</v>
      </c>
      <c r="CP472" t="s">
        <v>257</v>
      </c>
      <c r="CQ472" t="s">
        <v>147</v>
      </c>
    </row>
    <row r="473" spans="1:95" x14ac:dyDescent="0.2">
      <c r="A473" t="s">
        <v>115</v>
      </c>
      <c r="B473" t="s">
        <v>116</v>
      </c>
      <c r="C473">
        <v>210784</v>
      </c>
      <c r="E473" t="s">
        <v>117</v>
      </c>
      <c r="F473">
        <v>368</v>
      </c>
      <c r="G473" t="s">
        <v>229</v>
      </c>
      <c r="H473" t="s">
        <v>230</v>
      </c>
      <c r="I473" t="s">
        <v>204</v>
      </c>
      <c r="J473" t="s">
        <v>205</v>
      </c>
      <c r="L473" s="14">
        <v>45576</v>
      </c>
      <c r="M473" s="18">
        <f t="shared" si="10"/>
        <v>45566</v>
      </c>
      <c r="N473">
        <v>110395</v>
      </c>
      <c r="O473" t="s">
        <v>123</v>
      </c>
      <c r="P473" t="s">
        <v>146</v>
      </c>
      <c r="Q473">
        <v>2</v>
      </c>
      <c r="R473" t="s">
        <v>125</v>
      </c>
      <c r="S473" t="s">
        <v>126</v>
      </c>
      <c r="T473" t="s">
        <v>125</v>
      </c>
      <c r="U473" t="s">
        <v>126</v>
      </c>
      <c r="W473">
        <v>2</v>
      </c>
      <c r="Y473">
        <v>2</v>
      </c>
      <c r="AC473">
        <v>2</v>
      </c>
      <c r="BH473" t="s">
        <v>126</v>
      </c>
      <c r="BI473" t="s">
        <v>126</v>
      </c>
      <c r="BJ473" t="s">
        <v>126</v>
      </c>
      <c r="BK473" t="s">
        <v>126</v>
      </c>
      <c r="BS473" t="s">
        <v>126</v>
      </c>
      <c r="BT473" t="s">
        <v>126</v>
      </c>
      <c r="BU473" t="s">
        <v>126</v>
      </c>
      <c r="BV473" t="s">
        <v>126</v>
      </c>
      <c r="CN473" t="s">
        <v>230</v>
      </c>
      <c r="CP473" t="s">
        <v>242</v>
      </c>
      <c r="CQ473" t="s">
        <v>230</v>
      </c>
    </row>
    <row r="474" spans="1:95" x14ac:dyDescent="0.2">
      <c r="A474" t="s">
        <v>115</v>
      </c>
      <c r="B474" t="s">
        <v>116</v>
      </c>
      <c r="C474">
        <v>210784</v>
      </c>
      <c r="E474" t="s">
        <v>117</v>
      </c>
      <c r="F474">
        <v>368</v>
      </c>
      <c r="G474" t="s">
        <v>229</v>
      </c>
      <c r="H474" t="s">
        <v>230</v>
      </c>
      <c r="I474" t="s">
        <v>204</v>
      </c>
      <c r="J474" t="s">
        <v>205</v>
      </c>
      <c r="L474" s="14">
        <v>45576</v>
      </c>
      <c r="M474" s="18">
        <f t="shared" si="10"/>
        <v>45566</v>
      </c>
      <c r="N474">
        <v>110409</v>
      </c>
      <c r="O474" t="s">
        <v>123</v>
      </c>
      <c r="P474" t="s">
        <v>146</v>
      </c>
      <c r="Q474">
        <v>6.89</v>
      </c>
      <c r="R474" t="s">
        <v>125</v>
      </c>
      <c r="S474" t="s">
        <v>126</v>
      </c>
      <c r="T474" t="s">
        <v>125</v>
      </c>
      <c r="U474" t="s">
        <v>126</v>
      </c>
      <c r="W474">
        <v>6.89</v>
      </c>
      <c r="Y474">
        <v>6.89</v>
      </c>
      <c r="AC474">
        <v>6.89</v>
      </c>
      <c r="BH474" t="s">
        <v>126</v>
      </c>
      <c r="BI474" t="s">
        <v>126</v>
      </c>
      <c r="BJ474" t="s">
        <v>126</v>
      </c>
      <c r="BK474" t="s">
        <v>126</v>
      </c>
      <c r="BS474" t="s">
        <v>126</v>
      </c>
      <c r="BT474" t="s">
        <v>126</v>
      </c>
      <c r="BU474" t="s">
        <v>126</v>
      </c>
      <c r="BV474" t="s">
        <v>126</v>
      </c>
      <c r="CN474" t="s">
        <v>230</v>
      </c>
      <c r="CP474" t="s">
        <v>242</v>
      </c>
      <c r="CQ474" t="s">
        <v>230</v>
      </c>
    </row>
    <row r="475" spans="1:95" x14ac:dyDescent="0.2">
      <c r="A475" t="s">
        <v>115</v>
      </c>
      <c r="B475" t="s">
        <v>116</v>
      </c>
      <c r="C475">
        <v>210784</v>
      </c>
      <c r="E475" t="s">
        <v>117</v>
      </c>
      <c r="F475">
        <v>368</v>
      </c>
      <c r="G475" t="s">
        <v>229</v>
      </c>
      <c r="H475" t="s">
        <v>230</v>
      </c>
      <c r="I475" t="s">
        <v>204</v>
      </c>
      <c r="J475" t="s">
        <v>205</v>
      </c>
      <c r="L475" s="14">
        <v>45576</v>
      </c>
      <c r="M475" s="18">
        <f t="shared" si="10"/>
        <v>45566</v>
      </c>
      <c r="N475">
        <v>110419</v>
      </c>
      <c r="O475" t="s">
        <v>123</v>
      </c>
      <c r="P475" t="s">
        <v>146</v>
      </c>
      <c r="Q475">
        <v>8.2799999999999994</v>
      </c>
      <c r="R475" t="s">
        <v>125</v>
      </c>
      <c r="S475" t="s">
        <v>126</v>
      </c>
      <c r="T475" t="s">
        <v>125</v>
      </c>
      <c r="U475" t="s">
        <v>126</v>
      </c>
      <c r="W475">
        <v>8.2799999999999994</v>
      </c>
      <c r="Y475">
        <v>8.2799999999999994</v>
      </c>
      <c r="AC475">
        <v>8.2799999999999994</v>
      </c>
      <c r="BH475" t="s">
        <v>126</v>
      </c>
      <c r="BI475" t="s">
        <v>126</v>
      </c>
      <c r="BJ475" t="s">
        <v>126</v>
      </c>
      <c r="BK475" t="s">
        <v>126</v>
      </c>
      <c r="BS475" t="s">
        <v>126</v>
      </c>
      <c r="BT475" t="s">
        <v>126</v>
      </c>
      <c r="BU475" t="s">
        <v>126</v>
      </c>
      <c r="BV475" t="s">
        <v>126</v>
      </c>
      <c r="CN475" t="s">
        <v>230</v>
      </c>
      <c r="CP475" t="s">
        <v>242</v>
      </c>
      <c r="CQ475" t="s">
        <v>230</v>
      </c>
    </row>
    <row r="476" spans="1:95" x14ac:dyDescent="0.2">
      <c r="A476" t="s">
        <v>115</v>
      </c>
      <c r="B476" t="s">
        <v>116</v>
      </c>
      <c r="C476">
        <v>210784</v>
      </c>
      <c r="E476" t="s">
        <v>117</v>
      </c>
      <c r="F476">
        <v>368</v>
      </c>
      <c r="G476" t="s">
        <v>141</v>
      </c>
      <c r="H476" t="s">
        <v>142</v>
      </c>
      <c r="I476" t="s">
        <v>204</v>
      </c>
      <c r="J476" t="s">
        <v>205</v>
      </c>
      <c r="L476" s="14">
        <v>45576</v>
      </c>
      <c r="M476" s="18">
        <f t="shared" si="10"/>
        <v>45566</v>
      </c>
      <c r="N476">
        <v>110395</v>
      </c>
      <c r="O476" t="s">
        <v>123</v>
      </c>
      <c r="P476" t="s">
        <v>146</v>
      </c>
      <c r="Q476">
        <v>2</v>
      </c>
      <c r="R476" t="s">
        <v>125</v>
      </c>
      <c r="S476" t="s">
        <v>126</v>
      </c>
      <c r="T476" t="s">
        <v>125</v>
      </c>
      <c r="U476" t="s">
        <v>126</v>
      </c>
      <c r="W476">
        <v>2</v>
      </c>
      <c r="Y476">
        <v>2</v>
      </c>
      <c r="AC476">
        <v>2</v>
      </c>
      <c r="BH476" t="s">
        <v>126</v>
      </c>
      <c r="BI476" t="s">
        <v>126</v>
      </c>
      <c r="BJ476" t="s">
        <v>126</v>
      </c>
      <c r="BK476" t="s">
        <v>126</v>
      </c>
      <c r="BS476" t="s">
        <v>126</v>
      </c>
      <c r="BT476" t="s">
        <v>126</v>
      </c>
      <c r="BU476" t="s">
        <v>126</v>
      </c>
      <c r="BV476" t="s">
        <v>126</v>
      </c>
      <c r="CN476" t="s">
        <v>147</v>
      </c>
      <c r="CP476" t="s">
        <v>258</v>
      </c>
      <c r="CQ476" t="s">
        <v>147</v>
      </c>
    </row>
    <row r="477" spans="1:95" x14ac:dyDescent="0.2">
      <c r="A477" t="s">
        <v>115</v>
      </c>
      <c r="B477" t="s">
        <v>116</v>
      </c>
      <c r="C477">
        <v>210784</v>
      </c>
      <c r="E477" t="s">
        <v>117</v>
      </c>
      <c r="F477">
        <v>368</v>
      </c>
      <c r="G477" t="s">
        <v>141</v>
      </c>
      <c r="H477" t="s">
        <v>142</v>
      </c>
      <c r="I477" t="s">
        <v>204</v>
      </c>
      <c r="J477" t="s">
        <v>205</v>
      </c>
      <c r="L477" s="14">
        <v>45576</v>
      </c>
      <c r="M477" s="18">
        <f t="shared" si="10"/>
        <v>45566</v>
      </c>
      <c r="N477">
        <v>110409</v>
      </c>
      <c r="O477" t="s">
        <v>123</v>
      </c>
      <c r="P477" t="s">
        <v>146</v>
      </c>
      <c r="Q477">
        <v>6.89</v>
      </c>
      <c r="R477" t="s">
        <v>125</v>
      </c>
      <c r="S477" t="s">
        <v>126</v>
      </c>
      <c r="T477" t="s">
        <v>125</v>
      </c>
      <c r="U477" t="s">
        <v>126</v>
      </c>
      <c r="W477">
        <v>6.89</v>
      </c>
      <c r="Y477">
        <v>6.89</v>
      </c>
      <c r="AC477">
        <v>6.89</v>
      </c>
      <c r="BH477" t="s">
        <v>126</v>
      </c>
      <c r="BI477" t="s">
        <v>126</v>
      </c>
      <c r="BJ477" t="s">
        <v>126</v>
      </c>
      <c r="BK477" t="s">
        <v>126</v>
      </c>
      <c r="BS477" t="s">
        <v>126</v>
      </c>
      <c r="BT477" t="s">
        <v>126</v>
      </c>
      <c r="BU477" t="s">
        <v>126</v>
      </c>
      <c r="BV477" t="s">
        <v>126</v>
      </c>
      <c r="CN477" t="s">
        <v>147</v>
      </c>
      <c r="CP477" t="s">
        <v>258</v>
      </c>
      <c r="CQ477" t="s">
        <v>147</v>
      </c>
    </row>
    <row r="478" spans="1:95" x14ac:dyDescent="0.2">
      <c r="A478" t="s">
        <v>115</v>
      </c>
      <c r="B478" t="s">
        <v>116</v>
      </c>
      <c r="C478">
        <v>210784</v>
      </c>
      <c r="E478" t="s">
        <v>117</v>
      </c>
      <c r="F478">
        <v>368</v>
      </c>
      <c r="G478" t="s">
        <v>141</v>
      </c>
      <c r="H478" t="s">
        <v>142</v>
      </c>
      <c r="I478" t="s">
        <v>204</v>
      </c>
      <c r="J478" t="s">
        <v>205</v>
      </c>
      <c r="L478" s="14">
        <v>45576</v>
      </c>
      <c r="M478" s="18">
        <f t="shared" si="10"/>
        <v>45566</v>
      </c>
      <c r="N478">
        <v>110419</v>
      </c>
      <c r="O478" t="s">
        <v>123</v>
      </c>
      <c r="P478" t="s">
        <v>146</v>
      </c>
      <c r="Q478">
        <v>8.2799999999999994</v>
      </c>
      <c r="R478" t="s">
        <v>125</v>
      </c>
      <c r="S478" t="s">
        <v>126</v>
      </c>
      <c r="T478" t="s">
        <v>125</v>
      </c>
      <c r="U478" t="s">
        <v>126</v>
      </c>
      <c r="W478">
        <v>8.2799999999999994</v>
      </c>
      <c r="Y478">
        <v>8.2799999999999994</v>
      </c>
      <c r="AC478">
        <v>8.2799999999999994</v>
      </c>
      <c r="BH478" t="s">
        <v>126</v>
      </c>
      <c r="BI478" t="s">
        <v>126</v>
      </c>
      <c r="BJ478" t="s">
        <v>126</v>
      </c>
      <c r="BK478" t="s">
        <v>126</v>
      </c>
      <c r="BS478" t="s">
        <v>126</v>
      </c>
      <c r="BT478" t="s">
        <v>126</v>
      </c>
      <c r="BU478" t="s">
        <v>126</v>
      </c>
      <c r="BV478" t="s">
        <v>126</v>
      </c>
      <c r="CN478" t="s">
        <v>147</v>
      </c>
      <c r="CP478" t="s">
        <v>258</v>
      </c>
      <c r="CQ478" t="s">
        <v>147</v>
      </c>
    </row>
    <row r="479" spans="1:95" x14ac:dyDescent="0.2">
      <c r="A479" t="s">
        <v>115</v>
      </c>
      <c r="B479" t="s">
        <v>116</v>
      </c>
      <c r="C479">
        <v>210784</v>
      </c>
      <c r="E479" t="s">
        <v>117</v>
      </c>
      <c r="F479">
        <v>368</v>
      </c>
      <c r="G479" t="s">
        <v>141</v>
      </c>
      <c r="H479" t="s">
        <v>142</v>
      </c>
      <c r="I479" t="s">
        <v>877</v>
      </c>
      <c r="J479" t="s">
        <v>878</v>
      </c>
      <c r="L479" s="14">
        <v>45576</v>
      </c>
      <c r="M479" s="18">
        <f t="shared" si="10"/>
        <v>45566</v>
      </c>
      <c r="N479">
        <v>10818620</v>
      </c>
      <c r="O479" t="s">
        <v>123</v>
      </c>
      <c r="P479" t="s">
        <v>146</v>
      </c>
      <c r="Q479">
        <v>2.98</v>
      </c>
      <c r="R479" t="s">
        <v>125</v>
      </c>
      <c r="S479" t="s">
        <v>126</v>
      </c>
      <c r="T479" t="s">
        <v>125</v>
      </c>
      <c r="U479" t="s">
        <v>126</v>
      </c>
      <c r="W479">
        <v>2.98</v>
      </c>
      <c r="Y479">
        <v>2.98</v>
      </c>
      <c r="BE479">
        <v>2.98</v>
      </c>
      <c r="BH479" t="s">
        <v>126</v>
      </c>
      <c r="BI479" t="s">
        <v>126</v>
      </c>
      <c r="BJ479" t="s">
        <v>126</v>
      </c>
      <c r="BK479" t="s">
        <v>126</v>
      </c>
      <c r="BS479" t="s">
        <v>126</v>
      </c>
      <c r="BT479" t="s">
        <v>126</v>
      </c>
      <c r="BU479" t="s">
        <v>126</v>
      </c>
      <c r="BV479" t="s">
        <v>126</v>
      </c>
      <c r="CN479" t="s">
        <v>147</v>
      </c>
      <c r="CP479" t="s">
        <v>257</v>
      </c>
      <c r="CQ479" t="s">
        <v>147</v>
      </c>
    </row>
    <row r="480" spans="1:95" x14ac:dyDescent="0.2">
      <c r="A480" t="s">
        <v>115</v>
      </c>
      <c r="B480" t="s">
        <v>116</v>
      </c>
      <c r="C480">
        <v>210784</v>
      </c>
      <c r="E480" t="s">
        <v>117</v>
      </c>
      <c r="F480">
        <v>368</v>
      </c>
      <c r="G480" t="s">
        <v>141</v>
      </c>
      <c r="H480" t="s">
        <v>142</v>
      </c>
      <c r="I480" t="s">
        <v>279</v>
      </c>
      <c r="J480" t="s">
        <v>280</v>
      </c>
      <c r="L480" s="14">
        <v>45576</v>
      </c>
      <c r="M480" s="18">
        <f t="shared" si="10"/>
        <v>45566</v>
      </c>
      <c r="N480">
        <v>5591040</v>
      </c>
      <c r="O480" t="s">
        <v>123</v>
      </c>
      <c r="P480" t="s">
        <v>146</v>
      </c>
      <c r="Q480">
        <v>2.11</v>
      </c>
      <c r="R480" t="s">
        <v>125</v>
      </c>
      <c r="S480" t="s">
        <v>126</v>
      </c>
      <c r="T480" t="s">
        <v>125</v>
      </c>
      <c r="U480" t="s">
        <v>126</v>
      </c>
      <c r="W480">
        <v>2.11</v>
      </c>
      <c r="Y480">
        <v>2.11</v>
      </c>
      <c r="BE480">
        <v>2.11</v>
      </c>
      <c r="BH480" t="s">
        <v>126</v>
      </c>
      <c r="BI480" t="s">
        <v>126</v>
      </c>
      <c r="BJ480" t="s">
        <v>126</v>
      </c>
      <c r="BK480" t="s">
        <v>126</v>
      </c>
      <c r="BS480" t="s">
        <v>126</v>
      </c>
      <c r="BT480" t="s">
        <v>126</v>
      </c>
      <c r="BU480" t="s">
        <v>126</v>
      </c>
      <c r="BV480" t="s">
        <v>126</v>
      </c>
      <c r="CN480" t="s">
        <v>147</v>
      </c>
      <c r="CP480" t="s">
        <v>257</v>
      </c>
      <c r="CQ480" t="s">
        <v>147</v>
      </c>
    </row>
    <row r="481" spans="1:95" x14ac:dyDescent="0.2">
      <c r="A481" t="s">
        <v>115</v>
      </c>
      <c r="B481" t="s">
        <v>116</v>
      </c>
      <c r="C481">
        <v>210784</v>
      </c>
      <c r="E481" t="s">
        <v>117</v>
      </c>
      <c r="F481">
        <v>368</v>
      </c>
      <c r="G481" t="s">
        <v>229</v>
      </c>
      <c r="H481" t="s">
        <v>230</v>
      </c>
      <c r="I481" t="s">
        <v>204</v>
      </c>
      <c r="J481" t="s">
        <v>205</v>
      </c>
      <c r="L481" s="14">
        <v>45577</v>
      </c>
      <c r="M481" s="18">
        <f t="shared" si="10"/>
        <v>45566</v>
      </c>
      <c r="N481" t="s">
        <v>250</v>
      </c>
      <c r="O481" t="s">
        <v>123</v>
      </c>
      <c r="P481" t="s">
        <v>146</v>
      </c>
      <c r="Q481">
        <v>8.4</v>
      </c>
      <c r="R481" t="s">
        <v>125</v>
      </c>
      <c r="S481" t="s">
        <v>126</v>
      </c>
      <c r="T481" t="s">
        <v>125</v>
      </c>
      <c r="U481" t="s">
        <v>126</v>
      </c>
      <c r="W481">
        <v>8.4</v>
      </c>
      <c r="Y481">
        <v>8.4</v>
      </c>
      <c r="AC481">
        <v>8.4</v>
      </c>
      <c r="BH481" t="s">
        <v>126</v>
      </c>
      <c r="BI481" t="s">
        <v>126</v>
      </c>
      <c r="BJ481" t="s">
        <v>126</v>
      </c>
      <c r="BK481" t="s">
        <v>126</v>
      </c>
      <c r="BS481" t="s">
        <v>126</v>
      </c>
      <c r="BT481" t="s">
        <v>126</v>
      </c>
      <c r="BU481" t="s">
        <v>126</v>
      </c>
      <c r="BV481" t="s">
        <v>126</v>
      </c>
      <c r="CN481" t="s">
        <v>230</v>
      </c>
      <c r="CP481" t="s">
        <v>242</v>
      </c>
      <c r="CQ481" t="s">
        <v>230</v>
      </c>
    </row>
    <row r="482" spans="1:95" x14ac:dyDescent="0.2">
      <c r="A482" t="s">
        <v>115</v>
      </c>
      <c r="B482" t="s">
        <v>116</v>
      </c>
      <c r="C482">
        <v>210784</v>
      </c>
      <c r="E482" t="s">
        <v>117</v>
      </c>
      <c r="F482">
        <v>368</v>
      </c>
      <c r="G482" t="s">
        <v>229</v>
      </c>
      <c r="H482" t="s">
        <v>230</v>
      </c>
      <c r="I482" t="s">
        <v>204</v>
      </c>
      <c r="J482" t="s">
        <v>205</v>
      </c>
      <c r="L482" s="14">
        <v>45577</v>
      </c>
      <c r="M482" s="18">
        <f t="shared" si="10"/>
        <v>45566</v>
      </c>
      <c r="N482" t="s">
        <v>251</v>
      </c>
      <c r="O482" t="s">
        <v>123</v>
      </c>
      <c r="P482" t="s">
        <v>146</v>
      </c>
      <c r="Q482">
        <v>9.93</v>
      </c>
      <c r="R482" t="s">
        <v>125</v>
      </c>
      <c r="S482" t="s">
        <v>126</v>
      </c>
      <c r="T482" t="s">
        <v>125</v>
      </c>
      <c r="U482" t="s">
        <v>126</v>
      </c>
      <c r="W482">
        <v>9.93</v>
      </c>
      <c r="Y482">
        <v>9.93</v>
      </c>
      <c r="AC482">
        <v>9.93</v>
      </c>
      <c r="BH482" t="s">
        <v>126</v>
      </c>
      <c r="BI482" t="s">
        <v>126</v>
      </c>
      <c r="BJ482" t="s">
        <v>126</v>
      </c>
      <c r="BK482" t="s">
        <v>126</v>
      </c>
      <c r="BS482" t="s">
        <v>126</v>
      </c>
      <c r="BT482" t="s">
        <v>126</v>
      </c>
      <c r="BU482" t="s">
        <v>126</v>
      </c>
      <c r="BV482" t="s">
        <v>126</v>
      </c>
      <c r="CN482" t="s">
        <v>230</v>
      </c>
      <c r="CP482" t="s">
        <v>242</v>
      </c>
      <c r="CQ482" t="s">
        <v>230</v>
      </c>
    </row>
    <row r="483" spans="1:95" x14ac:dyDescent="0.2">
      <c r="A483" t="s">
        <v>115</v>
      </c>
      <c r="B483" t="s">
        <v>116</v>
      </c>
      <c r="C483">
        <v>210784</v>
      </c>
      <c r="E483" t="s">
        <v>117</v>
      </c>
      <c r="F483">
        <v>368</v>
      </c>
      <c r="G483" t="s">
        <v>229</v>
      </c>
      <c r="H483" t="s">
        <v>230</v>
      </c>
      <c r="I483" t="s">
        <v>204</v>
      </c>
      <c r="J483" t="s">
        <v>205</v>
      </c>
      <c r="L483" s="14">
        <v>45579</v>
      </c>
      <c r="M483" s="18">
        <f t="shared" si="10"/>
        <v>45566</v>
      </c>
      <c r="N483">
        <v>0</v>
      </c>
      <c r="O483" t="s">
        <v>123</v>
      </c>
      <c r="P483" t="s">
        <v>146</v>
      </c>
      <c r="Q483">
        <v>5.91</v>
      </c>
      <c r="R483" t="s">
        <v>125</v>
      </c>
      <c r="S483" t="s">
        <v>126</v>
      </c>
      <c r="T483" t="s">
        <v>125</v>
      </c>
      <c r="U483" t="s">
        <v>126</v>
      </c>
      <c r="W483">
        <v>5.91</v>
      </c>
      <c r="Y483">
        <v>5.91</v>
      </c>
      <c r="AC483">
        <v>5.91</v>
      </c>
      <c r="BH483" t="s">
        <v>126</v>
      </c>
      <c r="BI483" t="s">
        <v>126</v>
      </c>
      <c r="BJ483" t="s">
        <v>126</v>
      </c>
      <c r="BK483" t="s">
        <v>126</v>
      </c>
      <c r="BS483" t="s">
        <v>126</v>
      </c>
      <c r="BT483" t="s">
        <v>126</v>
      </c>
      <c r="BU483" t="s">
        <v>126</v>
      </c>
      <c r="BV483" t="s">
        <v>126</v>
      </c>
      <c r="CN483" t="s">
        <v>230</v>
      </c>
      <c r="CP483" t="s">
        <v>242</v>
      </c>
      <c r="CQ483" t="s">
        <v>230</v>
      </c>
    </row>
    <row r="484" spans="1:95" x14ac:dyDescent="0.2">
      <c r="A484" t="s">
        <v>115</v>
      </c>
      <c r="B484" t="s">
        <v>116</v>
      </c>
      <c r="C484">
        <v>210784</v>
      </c>
      <c r="E484" t="s">
        <v>117</v>
      </c>
      <c r="F484">
        <v>368</v>
      </c>
      <c r="G484" t="s">
        <v>141</v>
      </c>
      <c r="H484" t="s">
        <v>142</v>
      </c>
      <c r="I484" t="s">
        <v>279</v>
      </c>
      <c r="J484" t="s">
        <v>280</v>
      </c>
      <c r="L484" s="14">
        <v>45579</v>
      </c>
      <c r="M484" s="18">
        <f t="shared" si="10"/>
        <v>45566</v>
      </c>
      <c r="N484">
        <v>5591907</v>
      </c>
      <c r="O484" t="s">
        <v>123</v>
      </c>
      <c r="P484" t="s">
        <v>146</v>
      </c>
      <c r="Q484">
        <v>1.61</v>
      </c>
      <c r="R484" t="s">
        <v>125</v>
      </c>
      <c r="S484" t="s">
        <v>126</v>
      </c>
      <c r="T484" t="s">
        <v>125</v>
      </c>
      <c r="U484" t="s">
        <v>126</v>
      </c>
      <c r="W484">
        <v>1.61</v>
      </c>
      <c r="Y484">
        <v>1.61</v>
      </c>
      <c r="BE484">
        <v>1.61</v>
      </c>
      <c r="BH484" t="s">
        <v>126</v>
      </c>
      <c r="BI484" t="s">
        <v>126</v>
      </c>
      <c r="BJ484" t="s">
        <v>126</v>
      </c>
      <c r="BK484" t="s">
        <v>126</v>
      </c>
      <c r="BS484" t="s">
        <v>126</v>
      </c>
      <c r="BT484" t="s">
        <v>126</v>
      </c>
      <c r="BU484" t="s">
        <v>126</v>
      </c>
      <c r="BV484" t="s">
        <v>126</v>
      </c>
      <c r="CN484" t="s">
        <v>147</v>
      </c>
      <c r="CP484" t="s">
        <v>257</v>
      </c>
      <c r="CQ484" t="s">
        <v>147</v>
      </c>
    </row>
    <row r="485" spans="1:95" x14ac:dyDescent="0.2">
      <c r="A485" t="s">
        <v>115</v>
      </c>
      <c r="B485" t="s">
        <v>116</v>
      </c>
      <c r="C485">
        <v>210784</v>
      </c>
      <c r="E485" t="s">
        <v>117</v>
      </c>
      <c r="F485">
        <v>368</v>
      </c>
      <c r="G485" t="s">
        <v>229</v>
      </c>
      <c r="H485" t="s">
        <v>230</v>
      </c>
      <c r="I485" t="s">
        <v>204</v>
      </c>
      <c r="J485" t="s">
        <v>205</v>
      </c>
      <c r="L485" s="14">
        <v>45580</v>
      </c>
      <c r="M485" s="18">
        <f t="shared" si="10"/>
        <v>45566</v>
      </c>
      <c r="N485">
        <v>110580</v>
      </c>
      <c r="O485" t="s">
        <v>123</v>
      </c>
      <c r="P485" t="s">
        <v>146</v>
      </c>
      <c r="Q485">
        <v>8.26</v>
      </c>
      <c r="R485" t="s">
        <v>125</v>
      </c>
      <c r="S485" t="s">
        <v>126</v>
      </c>
      <c r="T485" t="s">
        <v>125</v>
      </c>
      <c r="U485" t="s">
        <v>126</v>
      </c>
      <c r="W485">
        <v>8.26</v>
      </c>
      <c r="Y485">
        <v>8.26</v>
      </c>
      <c r="AC485">
        <v>8.26</v>
      </c>
      <c r="BH485" t="s">
        <v>126</v>
      </c>
      <c r="BI485" t="s">
        <v>126</v>
      </c>
      <c r="BJ485" t="s">
        <v>126</v>
      </c>
      <c r="BK485" t="s">
        <v>126</v>
      </c>
      <c r="BS485" t="s">
        <v>126</v>
      </c>
      <c r="BT485" t="s">
        <v>126</v>
      </c>
      <c r="BU485" t="s">
        <v>126</v>
      </c>
      <c r="BV485" t="s">
        <v>126</v>
      </c>
      <c r="CN485" t="s">
        <v>230</v>
      </c>
      <c r="CP485" t="s">
        <v>242</v>
      </c>
      <c r="CQ485" t="s">
        <v>230</v>
      </c>
    </row>
    <row r="486" spans="1:95" x14ac:dyDescent="0.2">
      <c r="A486" t="s">
        <v>115</v>
      </c>
      <c r="B486" t="s">
        <v>116</v>
      </c>
      <c r="C486">
        <v>210784</v>
      </c>
      <c r="E486" t="s">
        <v>117</v>
      </c>
      <c r="F486">
        <v>368</v>
      </c>
      <c r="G486" t="s">
        <v>141</v>
      </c>
      <c r="H486" t="s">
        <v>142</v>
      </c>
      <c r="I486" t="s">
        <v>259</v>
      </c>
      <c r="J486" t="s">
        <v>260</v>
      </c>
      <c r="L486" s="14">
        <v>45580</v>
      </c>
      <c r="M486" s="18">
        <f t="shared" si="10"/>
        <v>45566</v>
      </c>
      <c r="N486">
        <v>26737</v>
      </c>
      <c r="O486" t="s">
        <v>123</v>
      </c>
      <c r="P486" t="s">
        <v>146</v>
      </c>
      <c r="Q486">
        <v>8</v>
      </c>
      <c r="R486" t="s">
        <v>125</v>
      </c>
      <c r="S486" t="s">
        <v>126</v>
      </c>
      <c r="T486" t="s">
        <v>125</v>
      </c>
      <c r="U486" t="s">
        <v>126</v>
      </c>
      <c r="W486">
        <v>8</v>
      </c>
      <c r="Y486">
        <v>8</v>
      </c>
      <c r="AC486">
        <v>8</v>
      </c>
      <c r="BH486" t="s">
        <v>126</v>
      </c>
      <c r="BI486" t="s">
        <v>126</v>
      </c>
      <c r="BJ486" t="s">
        <v>126</v>
      </c>
      <c r="BK486" t="s">
        <v>126</v>
      </c>
      <c r="BS486" t="s">
        <v>126</v>
      </c>
      <c r="BT486" t="s">
        <v>126</v>
      </c>
      <c r="BU486" t="s">
        <v>126</v>
      </c>
      <c r="BV486" t="s">
        <v>126</v>
      </c>
      <c r="CN486" t="s">
        <v>147</v>
      </c>
      <c r="CP486" t="s">
        <v>258</v>
      </c>
      <c r="CQ486" t="s">
        <v>147</v>
      </c>
    </row>
    <row r="487" spans="1:95" x14ac:dyDescent="0.2">
      <c r="A487" t="s">
        <v>115</v>
      </c>
      <c r="B487" t="s">
        <v>116</v>
      </c>
      <c r="C487">
        <v>210784</v>
      </c>
      <c r="E487" t="s">
        <v>117</v>
      </c>
      <c r="F487">
        <v>368</v>
      </c>
      <c r="G487" t="s">
        <v>141</v>
      </c>
      <c r="H487" t="s">
        <v>142</v>
      </c>
      <c r="I487" t="s">
        <v>204</v>
      </c>
      <c r="J487" t="s">
        <v>205</v>
      </c>
      <c r="L487" s="14">
        <v>45580</v>
      </c>
      <c r="M487" s="18">
        <f t="shared" si="10"/>
        <v>45566</v>
      </c>
      <c r="N487">
        <v>110580</v>
      </c>
      <c r="O487" t="s">
        <v>123</v>
      </c>
      <c r="P487" t="s">
        <v>146</v>
      </c>
      <c r="Q487">
        <v>8.26</v>
      </c>
      <c r="R487" t="s">
        <v>125</v>
      </c>
      <c r="S487" t="s">
        <v>126</v>
      </c>
      <c r="T487" t="s">
        <v>125</v>
      </c>
      <c r="U487" t="s">
        <v>126</v>
      </c>
      <c r="W487">
        <v>8.26</v>
      </c>
      <c r="Y487">
        <v>8.26</v>
      </c>
      <c r="AC487">
        <v>8.26</v>
      </c>
      <c r="BH487" t="s">
        <v>126</v>
      </c>
      <c r="BI487" t="s">
        <v>126</v>
      </c>
      <c r="BJ487" t="s">
        <v>126</v>
      </c>
      <c r="BK487" t="s">
        <v>126</v>
      </c>
      <c r="BS487" t="s">
        <v>126</v>
      </c>
      <c r="BT487" t="s">
        <v>126</v>
      </c>
      <c r="BU487" t="s">
        <v>126</v>
      </c>
      <c r="BV487" t="s">
        <v>126</v>
      </c>
      <c r="CN487" t="s">
        <v>147</v>
      </c>
      <c r="CP487" t="s">
        <v>258</v>
      </c>
      <c r="CQ487" t="s">
        <v>147</v>
      </c>
    </row>
    <row r="488" spans="1:95" x14ac:dyDescent="0.2">
      <c r="A488" t="s">
        <v>115</v>
      </c>
      <c r="B488" t="s">
        <v>116</v>
      </c>
      <c r="C488">
        <v>210784</v>
      </c>
      <c r="E488" t="s">
        <v>117</v>
      </c>
      <c r="F488">
        <v>368</v>
      </c>
      <c r="G488" t="s">
        <v>141</v>
      </c>
      <c r="H488" t="s">
        <v>142</v>
      </c>
      <c r="I488" t="s">
        <v>279</v>
      </c>
      <c r="J488" t="s">
        <v>280</v>
      </c>
      <c r="L488" s="14">
        <v>45580</v>
      </c>
      <c r="M488" s="18">
        <f t="shared" si="10"/>
        <v>45566</v>
      </c>
      <c r="N488">
        <v>5592861</v>
      </c>
      <c r="O488" t="s">
        <v>123</v>
      </c>
      <c r="P488" t="s">
        <v>146</v>
      </c>
      <c r="Q488">
        <v>1.84</v>
      </c>
      <c r="R488" t="s">
        <v>125</v>
      </c>
      <c r="S488" t="s">
        <v>126</v>
      </c>
      <c r="T488" t="s">
        <v>125</v>
      </c>
      <c r="U488" t="s">
        <v>126</v>
      </c>
      <c r="W488">
        <v>1.84</v>
      </c>
      <c r="Y488">
        <v>1.84</v>
      </c>
      <c r="AS488">
        <v>1.84</v>
      </c>
      <c r="BH488" t="s">
        <v>126</v>
      </c>
      <c r="BI488" t="s">
        <v>126</v>
      </c>
      <c r="BJ488" t="s">
        <v>126</v>
      </c>
      <c r="BK488" t="s">
        <v>126</v>
      </c>
      <c r="BS488" t="s">
        <v>126</v>
      </c>
      <c r="BT488" t="s">
        <v>126</v>
      </c>
      <c r="BU488" t="s">
        <v>126</v>
      </c>
      <c r="BV488" t="s">
        <v>126</v>
      </c>
      <c r="CN488" t="s">
        <v>147</v>
      </c>
      <c r="CP488" t="s">
        <v>257</v>
      </c>
      <c r="CQ488" t="s">
        <v>147</v>
      </c>
    </row>
    <row r="489" spans="1:95" x14ac:dyDescent="0.2">
      <c r="A489" t="s">
        <v>115</v>
      </c>
      <c r="B489" t="s">
        <v>116</v>
      </c>
      <c r="C489">
        <v>210784</v>
      </c>
      <c r="E489" t="s">
        <v>117</v>
      </c>
      <c r="F489">
        <v>368</v>
      </c>
      <c r="G489" t="s">
        <v>141</v>
      </c>
      <c r="H489" t="s">
        <v>142</v>
      </c>
      <c r="I489" t="s">
        <v>279</v>
      </c>
      <c r="J489" t="s">
        <v>280</v>
      </c>
      <c r="L489" s="14">
        <v>45580</v>
      </c>
      <c r="M489" s="18">
        <f t="shared" si="10"/>
        <v>45566</v>
      </c>
      <c r="N489">
        <v>5592612</v>
      </c>
      <c r="O489" t="s">
        <v>123</v>
      </c>
      <c r="P489" t="s">
        <v>146</v>
      </c>
      <c r="Q489">
        <v>2.39</v>
      </c>
      <c r="R489" t="s">
        <v>125</v>
      </c>
      <c r="S489" t="s">
        <v>126</v>
      </c>
      <c r="T489" t="s">
        <v>125</v>
      </c>
      <c r="U489" t="s">
        <v>126</v>
      </c>
      <c r="W489">
        <v>2.39</v>
      </c>
      <c r="Y489">
        <v>2.39</v>
      </c>
      <c r="BE489">
        <v>2.39</v>
      </c>
      <c r="BH489" t="s">
        <v>126</v>
      </c>
      <c r="BI489" t="s">
        <v>126</v>
      </c>
      <c r="BJ489" t="s">
        <v>126</v>
      </c>
      <c r="BK489" t="s">
        <v>126</v>
      </c>
      <c r="BS489" t="s">
        <v>126</v>
      </c>
      <c r="BT489" t="s">
        <v>126</v>
      </c>
      <c r="BU489" t="s">
        <v>126</v>
      </c>
      <c r="BV489" t="s">
        <v>126</v>
      </c>
      <c r="CN489" t="s">
        <v>147</v>
      </c>
      <c r="CP489" t="s">
        <v>257</v>
      </c>
      <c r="CQ489" t="s">
        <v>147</v>
      </c>
    </row>
    <row r="490" spans="1:95" x14ac:dyDescent="0.2">
      <c r="A490" t="s">
        <v>115</v>
      </c>
      <c r="B490" t="s">
        <v>116</v>
      </c>
      <c r="C490">
        <v>210784</v>
      </c>
      <c r="E490" t="s">
        <v>117</v>
      </c>
      <c r="F490">
        <v>368</v>
      </c>
      <c r="G490" t="s">
        <v>141</v>
      </c>
      <c r="H490" t="s">
        <v>142</v>
      </c>
      <c r="I490" t="s">
        <v>279</v>
      </c>
      <c r="J490" t="s">
        <v>280</v>
      </c>
      <c r="L490" s="14">
        <v>45581</v>
      </c>
      <c r="M490" s="18">
        <f t="shared" si="10"/>
        <v>45566</v>
      </c>
      <c r="N490">
        <v>5593869</v>
      </c>
      <c r="O490" t="s">
        <v>123</v>
      </c>
      <c r="P490" t="s">
        <v>146</v>
      </c>
      <c r="Q490">
        <v>1.84</v>
      </c>
      <c r="R490" t="s">
        <v>125</v>
      </c>
      <c r="S490" t="s">
        <v>126</v>
      </c>
      <c r="T490" t="s">
        <v>125</v>
      </c>
      <c r="U490" t="s">
        <v>126</v>
      </c>
      <c r="W490">
        <v>1.84</v>
      </c>
      <c r="Y490">
        <v>1.84</v>
      </c>
      <c r="AS490">
        <v>1.84</v>
      </c>
      <c r="BH490" t="s">
        <v>126</v>
      </c>
      <c r="BI490" t="s">
        <v>126</v>
      </c>
      <c r="BJ490" t="s">
        <v>126</v>
      </c>
      <c r="BK490" t="s">
        <v>126</v>
      </c>
      <c r="BS490" t="s">
        <v>126</v>
      </c>
      <c r="BT490" t="s">
        <v>126</v>
      </c>
      <c r="BU490" t="s">
        <v>126</v>
      </c>
      <c r="BV490" t="s">
        <v>126</v>
      </c>
      <c r="CN490" t="s">
        <v>147</v>
      </c>
      <c r="CP490" t="s">
        <v>257</v>
      </c>
      <c r="CQ490" t="s">
        <v>147</v>
      </c>
    </row>
    <row r="491" spans="1:95" x14ac:dyDescent="0.2">
      <c r="A491" t="s">
        <v>115</v>
      </c>
      <c r="B491" t="s">
        <v>116</v>
      </c>
      <c r="C491">
        <v>210784</v>
      </c>
      <c r="E491" t="s">
        <v>117</v>
      </c>
      <c r="F491">
        <v>368</v>
      </c>
      <c r="G491" t="s">
        <v>141</v>
      </c>
      <c r="H491" t="s">
        <v>142</v>
      </c>
      <c r="I491" t="s">
        <v>279</v>
      </c>
      <c r="J491" t="s">
        <v>280</v>
      </c>
      <c r="L491" s="14">
        <v>45581</v>
      </c>
      <c r="M491" s="18">
        <f t="shared" si="10"/>
        <v>45566</v>
      </c>
      <c r="N491">
        <v>5593704</v>
      </c>
      <c r="O491" t="s">
        <v>123</v>
      </c>
      <c r="P491" t="s">
        <v>146</v>
      </c>
      <c r="Q491">
        <v>3.18</v>
      </c>
      <c r="R491" t="s">
        <v>125</v>
      </c>
      <c r="S491" t="s">
        <v>126</v>
      </c>
      <c r="T491" t="s">
        <v>125</v>
      </c>
      <c r="U491" t="s">
        <v>126</v>
      </c>
      <c r="W491">
        <v>3.18</v>
      </c>
      <c r="Y491">
        <v>3.18</v>
      </c>
      <c r="AS491">
        <v>3.18</v>
      </c>
      <c r="BH491" t="s">
        <v>126</v>
      </c>
      <c r="BI491" t="s">
        <v>126</v>
      </c>
      <c r="BJ491" t="s">
        <v>126</v>
      </c>
      <c r="BK491" t="s">
        <v>126</v>
      </c>
      <c r="BS491" t="s">
        <v>126</v>
      </c>
      <c r="BT491" t="s">
        <v>126</v>
      </c>
      <c r="BU491" t="s">
        <v>126</v>
      </c>
      <c r="BV491" t="s">
        <v>126</v>
      </c>
      <c r="CN491" t="s">
        <v>147</v>
      </c>
      <c r="CP491" t="s">
        <v>257</v>
      </c>
      <c r="CQ491" t="s">
        <v>147</v>
      </c>
    </row>
    <row r="492" spans="1:95" x14ac:dyDescent="0.2">
      <c r="A492" t="s">
        <v>115</v>
      </c>
      <c r="B492" t="s">
        <v>116</v>
      </c>
      <c r="C492">
        <v>210784</v>
      </c>
      <c r="E492" t="s">
        <v>117</v>
      </c>
      <c r="F492">
        <v>368</v>
      </c>
      <c r="G492" t="s">
        <v>141</v>
      </c>
      <c r="H492" t="s">
        <v>142</v>
      </c>
      <c r="I492" t="s">
        <v>279</v>
      </c>
      <c r="J492" t="s">
        <v>280</v>
      </c>
      <c r="L492" s="14">
        <v>45581</v>
      </c>
      <c r="M492" s="18">
        <f t="shared" si="10"/>
        <v>45566</v>
      </c>
      <c r="N492">
        <v>5593577</v>
      </c>
      <c r="O492" t="s">
        <v>123</v>
      </c>
      <c r="P492" t="s">
        <v>146</v>
      </c>
      <c r="Q492">
        <v>3.58</v>
      </c>
      <c r="R492" t="s">
        <v>125</v>
      </c>
      <c r="S492" t="s">
        <v>126</v>
      </c>
      <c r="T492" t="s">
        <v>125</v>
      </c>
      <c r="U492" t="s">
        <v>126</v>
      </c>
      <c r="W492">
        <v>3.58</v>
      </c>
      <c r="Y492">
        <v>3.58</v>
      </c>
      <c r="BE492">
        <v>3.58</v>
      </c>
      <c r="BH492" t="s">
        <v>126</v>
      </c>
      <c r="BI492" t="s">
        <v>126</v>
      </c>
      <c r="BJ492" t="s">
        <v>126</v>
      </c>
      <c r="BK492" t="s">
        <v>126</v>
      </c>
      <c r="BS492" t="s">
        <v>126</v>
      </c>
      <c r="BT492" t="s">
        <v>126</v>
      </c>
      <c r="BU492" t="s">
        <v>126</v>
      </c>
      <c r="BV492" t="s">
        <v>126</v>
      </c>
      <c r="CN492" t="s">
        <v>147</v>
      </c>
      <c r="CP492" t="s">
        <v>257</v>
      </c>
      <c r="CQ492" t="s">
        <v>147</v>
      </c>
    </row>
    <row r="493" spans="1:95" x14ac:dyDescent="0.2">
      <c r="A493" t="s">
        <v>115</v>
      </c>
      <c r="B493" t="s">
        <v>116</v>
      </c>
      <c r="C493">
        <v>210784</v>
      </c>
      <c r="E493" t="s">
        <v>117</v>
      </c>
      <c r="F493">
        <v>368</v>
      </c>
      <c r="G493" t="s">
        <v>141</v>
      </c>
      <c r="H493" t="s">
        <v>142</v>
      </c>
      <c r="I493" t="s">
        <v>279</v>
      </c>
      <c r="J493" t="s">
        <v>280</v>
      </c>
      <c r="L493" s="14">
        <v>45582</v>
      </c>
      <c r="M493" s="18">
        <f t="shared" si="10"/>
        <v>45566</v>
      </c>
      <c r="N493">
        <v>5594605</v>
      </c>
      <c r="O493" t="s">
        <v>123</v>
      </c>
      <c r="P493" t="s">
        <v>146</v>
      </c>
      <c r="Q493">
        <v>2.19</v>
      </c>
      <c r="R493" t="s">
        <v>125</v>
      </c>
      <c r="S493" t="s">
        <v>126</v>
      </c>
      <c r="T493" t="s">
        <v>125</v>
      </c>
      <c r="U493" t="s">
        <v>126</v>
      </c>
      <c r="W493">
        <v>2.19</v>
      </c>
      <c r="Y493">
        <v>2.19</v>
      </c>
      <c r="BE493">
        <v>2.19</v>
      </c>
      <c r="BH493" t="s">
        <v>126</v>
      </c>
      <c r="BI493" t="s">
        <v>126</v>
      </c>
      <c r="BJ493" t="s">
        <v>126</v>
      </c>
      <c r="BK493" t="s">
        <v>126</v>
      </c>
      <c r="BS493" t="s">
        <v>126</v>
      </c>
      <c r="BT493" t="s">
        <v>126</v>
      </c>
      <c r="BU493" t="s">
        <v>126</v>
      </c>
      <c r="BV493" t="s">
        <v>126</v>
      </c>
      <c r="CN493" t="s">
        <v>147</v>
      </c>
      <c r="CP493" t="s">
        <v>257</v>
      </c>
      <c r="CQ493" t="s">
        <v>147</v>
      </c>
    </row>
    <row r="494" spans="1:95" x14ac:dyDescent="0.2">
      <c r="A494" t="s">
        <v>115</v>
      </c>
      <c r="B494" t="s">
        <v>116</v>
      </c>
      <c r="C494">
        <v>210784</v>
      </c>
      <c r="E494" t="s">
        <v>117</v>
      </c>
      <c r="F494">
        <v>368</v>
      </c>
      <c r="G494" t="s">
        <v>229</v>
      </c>
      <c r="H494" t="s">
        <v>230</v>
      </c>
      <c r="I494" t="s">
        <v>204</v>
      </c>
      <c r="J494" t="s">
        <v>205</v>
      </c>
      <c r="L494" s="14">
        <v>45583</v>
      </c>
      <c r="M494" s="18">
        <f t="shared" si="10"/>
        <v>45566</v>
      </c>
      <c r="N494">
        <v>110839</v>
      </c>
      <c r="O494" t="s">
        <v>123</v>
      </c>
      <c r="P494" t="s">
        <v>146</v>
      </c>
      <c r="Q494">
        <v>9.77</v>
      </c>
      <c r="R494" t="s">
        <v>125</v>
      </c>
      <c r="S494" t="s">
        <v>126</v>
      </c>
      <c r="T494" t="s">
        <v>125</v>
      </c>
      <c r="U494" t="s">
        <v>126</v>
      </c>
      <c r="W494">
        <v>9.77</v>
      </c>
      <c r="Y494">
        <v>9.77</v>
      </c>
      <c r="AC494">
        <v>9.77</v>
      </c>
      <c r="BH494" t="s">
        <v>126</v>
      </c>
      <c r="BI494" t="s">
        <v>126</v>
      </c>
      <c r="BJ494" t="s">
        <v>126</v>
      </c>
      <c r="BK494" t="s">
        <v>126</v>
      </c>
      <c r="BS494" t="s">
        <v>126</v>
      </c>
      <c r="BT494" t="s">
        <v>126</v>
      </c>
      <c r="BU494" t="s">
        <v>126</v>
      </c>
      <c r="BV494" t="s">
        <v>126</v>
      </c>
      <c r="CN494" t="s">
        <v>230</v>
      </c>
      <c r="CP494" t="s">
        <v>242</v>
      </c>
      <c r="CQ494" t="s">
        <v>230</v>
      </c>
    </row>
    <row r="495" spans="1:95" x14ac:dyDescent="0.2">
      <c r="A495" t="s">
        <v>115</v>
      </c>
      <c r="B495" t="s">
        <v>116</v>
      </c>
      <c r="C495">
        <v>210784</v>
      </c>
      <c r="E495" t="s">
        <v>117</v>
      </c>
      <c r="F495">
        <v>368</v>
      </c>
      <c r="G495" t="s">
        <v>141</v>
      </c>
      <c r="H495" t="s">
        <v>142</v>
      </c>
      <c r="I495" t="s">
        <v>204</v>
      </c>
      <c r="J495" t="s">
        <v>205</v>
      </c>
      <c r="L495" s="14">
        <v>45583</v>
      </c>
      <c r="M495" s="18">
        <f t="shared" si="10"/>
        <v>45566</v>
      </c>
      <c r="N495">
        <v>110839</v>
      </c>
      <c r="O495" t="s">
        <v>123</v>
      </c>
      <c r="P495" t="s">
        <v>146</v>
      </c>
      <c r="Q495">
        <v>9.77</v>
      </c>
      <c r="R495" t="s">
        <v>125</v>
      </c>
      <c r="S495" t="s">
        <v>126</v>
      </c>
      <c r="T495" t="s">
        <v>125</v>
      </c>
      <c r="U495" t="s">
        <v>126</v>
      </c>
      <c r="W495">
        <v>9.77</v>
      </c>
      <c r="Y495">
        <v>9.77</v>
      </c>
      <c r="AC495">
        <v>9.77</v>
      </c>
      <c r="BH495" t="s">
        <v>126</v>
      </c>
      <c r="BI495" t="s">
        <v>126</v>
      </c>
      <c r="BJ495" t="s">
        <v>126</v>
      </c>
      <c r="BK495" t="s">
        <v>126</v>
      </c>
      <c r="BS495" t="s">
        <v>126</v>
      </c>
      <c r="BT495" t="s">
        <v>126</v>
      </c>
      <c r="BU495" t="s">
        <v>126</v>
      </c>
      <c r="BV495" t="s">
        <v>126</v>
      </c>
      <c r="CN495" t="s">
        <v>147</v>
      </c>
      <c r="CP495" t="s">
        <v>258</v>
      </c>
      <c r="CQ495" t="s">
        <v>147</v>
      </c>
    </row>
    <row r="496" spans="1:95" x14ac:dyDescent="0.2">
      <c r="A496" t="s">
        <v>115</v>
      </c>
      <c r="B496" t="s">
        <v>116</v>
      </c>
      <c r="C496">
        <v>210784</v>
      </c>
      <c r="E496" t="s">
        <v>117</v>
      </c>
      <c r="F496">
        <v>368</v>
      </c>
      <c r="G496" t="s">
        <v>141</v>
      </c>
      <c r="H496" t="s">
        <v>142</v>
      </c>
      <c r="I496" t="s">
        <v>279</v>
      </c>
      <c r="J496" t="s">
        <v>280</v>
      </c>
      <c r="L496" s="14">
        <v>45583</v>
      </c>
      <c r="M496" s="18">
        <f t="shared" si="10"/>
        <v>45566</v>
      </c>
      <c r="N496">
        <v>5595025</v>
      </c>
      <c r="O496" t="s">
        <v>123</v>
      </c>
      <c r="P496" t="s">
        <v>146</v>
      </c>
      <c r="Q496">
        <v>1.81</v>
      </c>
      <c r="R496" t="s">
        <v>125</v>
      </c>
      <c r="S496" t="s">
        <v>126</v>
      </c>
      <c r="T496" t="s">
        <v>125</v>
      </c>
      <c r="U496" t="s">
        <v>126</v>
      </c>
      <c r="W496">
        <v>1.81</v>
      </c>
      <c r="Y496">
        <v>1.81</v>
      </c>
      <c r="AS496">
        <v>1.81</v>
      </c>
      <c r="BH496" t="s">
        <v>126</v>
      </c>
      <c r="BI496" t="s">
        <v>126</v>
      </c>
      <c r="BJ496" t="s">
        <v>126</v>
      </c>
      <c r="BK496" t="s">
        <v>126</v>
      </c>
      <c r="BS496" t="s">
        <v>126</v>
      </c>
      <c r="BT496" t="s">
        <v>126</v>
      </c>
      <c r="BU496" t="s">
        <v>126</v>
      </c>
      <c r="BV496" t="s">
        <v>126</v>
      </c>
      <c r="CN496" t="s">
        <v>147</v>
      </c>
      <c r="CP496" t="s">
        <v>257</v>
      </c>
      <c r="CQ496" t="s">
        <v>147</v>
      </c>
    </row>
    <row r="497" spans="1:95" x14ac:dyDescent="0.2">
      <c r="A497" t="s">
        <v>115</v>
      </c>
      <c r="B497" t="s">
        <v>116</v>
      </c>
      <c r="C497">
        <v>210784</v>
      </c>
      <c r="E497" t="s">
        <v>117</v>
      </c>
      <c r="F497">
        <v>368</v>
      </c>
      <c r="G497" t="s">
        <v>141</v>
      </c>
      <c r="H497" t="s">
        <v>142</v>
      </c>
      <c r="I497" t="s">
        <v>279</v>
      </c>
      <c r="J497" t="s">
        <v>280</v>
      </c>
      <c r="L497" s="14">
        <v>45584</v>
      </c>
      <c r="M497" s="18">
        <f t="shared" si="10"/>
        <v>45566</v>
      </c>
      <c r="N497">
        <v>5595873</v>
      </c>
      <c r="O497" t="s">
        <v>123</v>
      </c>
      <c r="P497" t="s">
        <v>146</v>
      </c>
      <c r="Q497">
        <v>1.31</v>
      </c>
      <c r="R497" t="s">
        <v>125</v>
      </c>
      <c r="S497" t="s">
        <v>126</v>
      </c>
      <c r="T497" t="s">
        <v>125</v>
      </c>
      <c r="U497" t="s">
        <v>126</v>
      </c>
      <c r="W497">
        <v>1.31</v>
      </c>
      <c r="Y497">
        <v>1.31</v>
      </c>
      <c r="AS497">
        <v>1.31</v>
      </c>
      <c r="BH497" t="s">
        <v>126</v>
      </c>
      <c r="BI497" t="s">
        <v>126</v>
      </c>
      <c r="BJ497" t="s">
        <v>126</v>
      </c>
      <c r="BK497" t="s">
        <v>126</v>
      </c>
      <c r="BS497" t="s">
        <v>126</v>
      </c>
      <c r="BT497" t="s">
        <v>126</v>
      </c>
      <c r="BU497" t="s">
        <v>126</v>
      </c>
      <c r="BV497" t="s">
        <v>126</v>
      </c>
      <c r="CN497" t="s">
        <v>147</v>
      </c>
      <c r="CP497" t="s">
        <v>257</v>
      </c>
      <c r="CQ497" t="s">
        <v>147</v>
      </c>
    </row>
    <row r="498" spans="1:95" x14ac:dyDescent="0.2">
      <c r="A498" t="s">
        <v>115</v>
      </c>
      <c r="B498" t="s">
        <v>116</v>
      </c>
      <c r="C498">
        <v>210784</v>
      </c>
      <c r="E498" t="s">
        <v>117</v>
      </c>
      <c r="F498">
        <v>368</v>
      </c>
      <c r="G498" t="s">
        <v>141</v>
      </c>
      <c r="H498" t="s">
        <v>142</v>
      </c>
      <c r="I498" t="s">
        <v>279</v>
      </c>
      <c r="J498" t="s">
        <v>280</v>
      </c>
      <c r="L498" s="14">
        <v>45586</v>
      </c>
      <c r="M498" s="18">
        <f t="shared" si="10"/>
        <v>45566</v>
      </c>
      <c r="N498">
        <v>5596739</v>
      </c>
      <c r="O498" t="s">
        <v>123</v>
      </c>
      <c r="P498" t="s">
        <v>146</v>
      </c>
      <c r="Q498">
        <v>4.5</v>
      </c>
      <c r="R498" t="s">
        <v>125</v>
      </c>
      <c r="S498" t="s">
        <v>126</v>
      </c>
      <c r="T498" t="s">
        <v>125</v>
      </c>
      <c r="U498" t="s">
        <v>126</v>
      </c>
      <c r="W498">
        <v>4.5</v>
      </c>
      <c r="Y498">
        <v>4.5</v>
      </c>
      <c r="BE498">
        <v>4.5</v>
      </c>
      <c r="BH498" t="s">
        <v>126</v>
      </c>
      <c r="BI498" t="s">
        <v>126</v>
      </c>
      <c r="BJ498" t="s">
        <v>126</v>
      </c>
      <c r="BK498" t="s">
        <v>126</v>
      </c>
      <c r="BS498" t="s">
        <v>126</v>
      </c>
      <c r="BT498" t="s">
        <v>126</v>
      </c>
      <c r="BU498" t="s">
        <v>126</v>
      </c>
      <c r="BV498" t="s">
        <v>126</v>
      </c>
      <c r="CN498" t="s">
        <v>147</v>
      </c>
      <c r="CP498" t="s">
        <v>257</v>
      </c>
      <c r="CQ498" t="s">
        <v>147</v>
      </c>
    </row>
    <row r="499" spans="1:95" x14ac:dyDescent="0.2">
      <c r="A499" t="s">
        <v>115</v>
      </c>
      <c r="B499" t="s">
        <v>116</v>
      </c>
      <c r="C499">
        <v>210784</v>
      </c>
      <c r="E499" t="s">
        <v>117</v>
      </c>
      <c r="F499">
        <v>368</v>
      </c>
      <c r="G499" t="s">
        <v>229</v>
      </c>
      <c r="H499" t="s">
        <v>230</v>
      </c>
      <c r="I499" t="s">
        <v>204</v>
      </c>
      <c r="J499" t="s">
        <v>205</v>
      </c>
      <c r="L499" s="14">
        <v>45587</v>
      </c>
      <c r="M499" s="18">
        <f t="shared" si="10"/>
        <v>45566</v>
      </c>
      <c r="N499">
        <v>110988</v>
      </c>
      <c r="O499" t="s">
        <v>123</v>
      </c>
      <c r="P499" t="s">
        <v>146</v>
      </c>
      <c r="Q499">
        <v>8.59</v>
      </c>
      <c r="R499" t="s">
        <v>125</v>
      </c>
      <c r="S499" t="s">
        <v>126</v>
      </c>
      <c r="T499" t="s">
        <v>125</v>
      </c>
      <c r="U499" t="s">
        <v>126</v>
      </c>
      <c r="W499">
        <v>8.59</v>
      </c>
      <c r="Y499">
        <v>8.59</v>
      </c>
      <c r="AC499">
        <v>8.59</v>
      </c>
      <c r="BH499" t="s">
        <v>126</v>
      </c>
      <c r="BI499" t="s">
        <v>126</v>
      </c>
      <c r="BJ499" t="s">
        <v>126</v>
      </c>
      <c r="BK499" t="s">
        <v>126</v>
      </c>
      <c r="BS499" t="s">
        <v>126</v>
      </c>
      <c r="BT499" t="s">
        <v>126</v>
      </c>
      <c r="BU499" t="s">
        <v>126</v>
      </c>
      <c r="BV499" t="s">
        <v>126</v>
      </c>
      <c r="CN499" t="s">
        <v>230</v>
      </c>
      <c r="CP499" t="s">
        <v>242</v>
      </c>
      <c r="CQ499" t="s">
        <v>230</v>
      </c>
    </row>
    <row r="500" spans="1:95" x14ac:dyDescent="0.2">
      <c r="A500" t="s">
        <v>115</v>
      </c>
      <c r="B500" t="s">
        <v>116</v>
      </c>
      <c r="C500">
        <v>210784</v>
      </c>
      <c r="E500" t="s">
        <v>117</v>
      </c>
      <c r="F500">
        <v>368</v>
      </c>
      <c r="G500" t="s">
        <v>141</v>
      </c>
      <c r="H500" t="s">
        <v>142</v>
      </c>
      <c r="I500" t="s">
        <v>204</v>
      </c>
      <c r="J500" t="s">
        <v>205</v>
      </c>
      <c r="L500" s="14">
        <v>45587</v>
      </c>
      <c r="M500" s="18">
        <f t="shared" si="10"/>
        <v>45566</v>
      </c>
      <c r="N500">
        <v>110988</v>
      </c>
      <c r="O500" t="s">
        <v>123</v>
      </c>
      <c r="P500" t="s">
        <v>146</v>
      </c>
      <c r="Q500">
        <v>8.59</v>
      </c>
      <c r="R500" t="s">
        <v>125</v>
      </c>
      <c r="S500" t="s">
        <v>126</v>
      </c>
      <c r="T500" t="s">
        <v>125</v>
      </c>
      <c r="U500" t="s">
        <v>126</v>
      </c>
      <c r="W500">
        <v>8.59</v>
      </c>
      <c r="Y500">
        <v>8.59</v>
      </c>
      <c r="AC500">
        <v>8.59</v>
      </c>
      <c r="BH500" t="s">
        <v>126</v>
      </c>
      <c r="BI500" t="s">
        <v>126</v>
      </c>
      <c r="BJ500" t="s">
        <v>126</v>
      </c>
      <c r="BK500" t="s">
        <v>126</v>
      </c>
      <c r="BS500" t="s">
        <v>126</v>
      </c>
      <c r="BT500" t="s">
        <v>126</v>
      </c>
      <c r="BU500" t="s">
        <v>126</v>
      </c>
      <c r="BV500" t="s">
        <v>126</v>
      </c>
      <c r="CN500" t="s">
        <v>147</v>
      </c>
      <c r="CP500" t="s">
        <v>258</v>
      </c>
      <c r="CQ500" t="s">
        <v>147</v>
      </c>
    </row>
    <row r="501" spans="1:95" x14ac:dyDescent="0.2">
      <c r="A501" t="s">
        <v>115</v>
      </c>
      <c r="B501" t="s">
        <v>116</v>
      </c>
      <c r="C501">
        <v>210784</v>
      </c>
      <c r="E501" t="s">
        <v>117</v>
      </c>
      <c r="F501">
        <v>368</v>
      </c>
      <c r="G501" t="s">
        <v>141</v>
      </c>
      <c r="H501" t="s">
        <v>142</v>
      </c>
      <c r="I501" t="s">
        <v>279</v>
      </c>
      <c r="J501" t="s">
        <v>280</v>
      </c>
      <c r="L501" s="14">
        <v>45587</v>
      </c>
      <c r="M501" s="18">
        <f t="shared" si="10"/>
        <v>45566</v>
      </c>
      <c r="N501">
        <v>5597449</v>
      </c>
      <c r="O501" t="s">
        <v>123</v>
      </c>
      <c r="P501" t="s">
        <v>146</v>
      </c>
      <c r="Q501">
        <v>1.96</v>
      </c>
      <c r="R501" t="s">
        <v>125</v>
      </c>
      <c r="S501" t="s">
        <v>126</v>
      </c>
      <c r="T501" t="s">
        <v>125</v>
      </c>
      <c r="U501" t="s">
        <v>126</v>
      </c>
      <c r="W501">
        <v>1.96</v>
      </c>
      <c r="Y501">
        <v>1.96</v>
      </c>
      <c r="BE501">
        <v>1.96</v>
      </c>
      <c r="BH501" t="s">
        <v>126</v>
      </c>
      <c r="BI501" t="s">
        <v>126</v>
      </c>
      <c r="BJ501" t="s">
        <v>126</v>
      </c>
      <c r="BK501" t="s">
        <v>126</v>
      </c>
      <c r="BS501" t="s">
        <v>126</v>
      </c>
      <c r="BT501" t="s">
        <v>126</v>
      </c>
      <c r="BU501" t="s">
        <v>126</v>
      </c>
      <c r="BV501" t="s">
        <v>126</v>
      </c>
      <c r="CN501" t="s">
        <v>147</v>
      </c>
      <c r="CP501" t="s">
        <v>257</v>
      </c>
      <c r="CQ501" t="s">
        <v>147</v>
      </c>
    </row>
    <row r="502" spans="1:95" x14ac:dyDescent="0.2">
      <c r="A502" t="s">
        <v>115</v>
      </c>
      <c r="B502" t="s">
        <v>116</v>
      </c>
      <c r="C502">
        <v>210784</v>
      </c>
      <c r="E502" t="s">
        <v>117</v>
      </c>
      <c r="F502">
        <v>368</v>
      </c>
      <c r="G502" t="s">
        <v>141</v>
      </c>
      <c r="H502" t="s">
        <v>142</v>
      </c>
      <c r="I502" t="s">
        <v>279</v>
      </c>
      <c r="J502" t="s">
        <v>280</v>
      </c>
      <c r="L502" s="14">
        <v>45588</v>
      </c>
      <c r="M502" s="18">
        <f t="shared" si="10"/>
        <v>45566</v>
      </c>
      <c r="N502">
        <v>5598517</v>
      </c>
      <c r="O502" t="s">
        <v>123</v>
      </c>
      <c r="P502" t="s">
        <v>146</v>
      </c>
      <c r="Q502">
        <v>3.29</v>
      </c>
      <c r="R502" t="s">
        <v>125</v>
      </c>
      <c r="S502" t="s">
        <v>126</v>
      </c>
      <c r="T502" t="s">
        <v>125</v>
      </c>
      <c r="U502" t="s">
        <v>126</v>
      </c>
      <c r="W502">
        <v>3.29</v>
      </c>
      <c r="Y502">
        <v>3.29</v>
      </c>
      <c r="AS502">
        <v>3.29</v>
      </c>
      <c r="BH502" t="s">
        <v>126</v>
      </c>
      <c r="BI502" t="s">
        <v>126</v>
      </c>
      <c r="BJ502" t="s">
        <v>126</v>
      </c>
      <c r="BK502" t="s">
        <v>126</v>
      </c>
      <c r="BS502" t="s">
        <v>126</v>
      </c>
      <c r="BT502" t="s">
        <v>126</v>
      </c>
      <c r="BU502" t="s">
        <v>126</v>
      </c>
      <c r="BV502" t="s">
        <v>126</v>
      </c>
      <c r="CN502" t="s">
        <v>147</v>
      </c>
      <c r="CP502" t="s">
        <v>257</v>
      </c>
      <c r="CQ502" t="s">
        <v>147</v>
      </c>
    </row>
    <row r="503" spans="1:95" x14ac:dyDescent="0.2">
      <c r="A503" t="s">
        <v>115</v>
      </c>
      <c r="B503" t="s">
        <v>116</v>
      </c>
      <c r="C503">
        <v>210784</v>
      </c>
      <c r="E503" t="s">
        <v>117</v>
      </c>
      <c r="F503">
        <v>368</v>
      </c>
      <c r="G503" t="s">
        <v>141</v>
      </c>
      <c r="H503" t="s">
        <v>142</v>
      </c>
      <c r="I503" t="s">
        <v>279</v>
      </c>
      <c r="J503" t="s">
        <v>280</v>
      </c>
      <c r="L503" s="14">
        <v>45588</v>
      </c>
      <c r="M503" s="18">
        <f t="shared" si="10"/>
        <v>45566</v>
      </c>
      <c r="N503">
        <v>5598443</v>
      </c>
      <c r="O503" t="s">
        <v>123</v>
      </c>
      <c r="P503" t="s">
        <v>146</v>
      </c>
      <c r="Q503">
        <v>1.44</v>
      </c>
      <c r="R503" t="s">
        <v>125</v>
      </c>
      <c r="S503" t="s">
        <v>126</v>
      </c>
      <c r="T503" t="s">
        <v>125</v>
      </c>
      <c r="U503" t="s">
        <v>126</v>
      </c>
      <c r="W503">
        <v>1.44</v>
      </c>
      <c r="Y503">
        <v>1.44</v>
      </c>
      <c r="BE503">
        <v>1.44</v>
      </c>
      <c r="BH503" t="s">
        <v>126</v>
      </c>
      <c r="BI503" t="s">
        <v>126</v>
      </c>
      <c r="BJ503" t="s">
        <v>126</v>
      </c>
      <c r="BK503" t="s">
        <v>126</v>
      </c>
      <c r="BS503" t="s">
        <v>126</v>
      </c>
      <c r="BT503" t="s">
        <v>126</v>
      </c>
      <c r="BU503" t="s">
        <v>126</v>
      </c>
      <c r="BV503" t="s">
        <v>126</v>
      </c>
      <c r="CN503" t="s">
        <v>147</v>
      </c>
      <c r="CP503" t="s">
        <v>257</v>
      </c>
      <c r="CQ503" t="s">
        <v>147</v>
      </c>
    </row>
    <row r="504" spans="1:95" x14ac:dyDescent="0.2">
      <c r="A504" t="s">
        <v>115</v>
      </c>
      <c r="B504" t="s">
        <v>116</v>
      </c>
      <c r="C504">
        <v>210784</v>
      </c>
      <c r="E504" t="s">
        <v>117</v>
      </c>
      <c r="F504">
        <v>368</v>
      </c>
      <c r="G504" t="s">
        <v>141</v>
      </c>
      <c r="H504" t="s">
        <v>142</v>
      </c>
      <c r="I504" t="s">
        <v>279</v>
      </c>
      <c r="J504" t="s">
        <v>280</v>
      </c>
      <c r="L504" s="14">
        <v>45588</v>
      </c>
      <c r="M504" s="18">
        <f t="shared" si="10"/>
        <v>45566</v>
      </c>
      <c r="N504">
        <v>5598324</v>
      </c>
      <c r="O504" t="s">
        <v>123</v>
      </c>
      <c r="P504" t="s">
        <v>146</v>
      </c>
      <c r="Q504">
        <v>3.93</v>
      </c>
      <c r="R504" t="s">
        <v>125</v>
      </c>
      <c r="S504" t="s">
        <v>126</v>
      </c>
      <c r="T504" t="s">
        <v>125</v>
      </c>
      <c r="U504" t="s">
        <v>126</v>
      </c>
      <c r="W504">
        <v>3.93</v>
      </c>
      <c r="Y504">
        <v>3.93</v>
      </c>
      <c r="BE504">
        <v>3.93</v>
      </c>
      <c r="BH504" t="s">
        <v>126</v>
      </c>
      <c r="BI504" t="s">
        <v>126</v>
      </c>
      <c r="BJ504" t="s">
        <v>126</v>
      </c>
      <c r="BK504" t="s">
        <v>126</v>
      </c>
      <c r="BS504" t="s">
        <v>126</v>
      </c>
      <c r="BT504" t="s">
        <v>126</v>
      </c>
      <c r="BU504" t="s">
        <v>126</v>
      </c>
      <c r="BV504" t="s">
        <v>126</v>
      </c>
      <c r="CN504" t="s">
        <v>147</v>
      </c>
      <c r="CP504" t="s">
        <v>257</v>
      </c>
      <c r="CQ504" t="s">
        <v>147</v>
      </c>
    </row>
    <row r="505" spans="1:95" x14ac:dyDescent="0.2">
      <c r="A505" t="s">
        <v>115</v>
      </c>
      <c r="B505" t="s">
        <v>116</v>
      </c>
      <c r="C505">
        <v>210784</v>
      </c>
      <c r="E505" t="s">
        <v>117</v>
      </c>
      <c r="F505">
        <v>368</v>
      </c>
      <c r="G505" t="s">
        <v>141</v>
      </c>
      <c r="H505" t="s">
        <v>142</v>
      </c>
      <c r="I505" t="s">
        <v>279</v>
      </c>
      <c r="J505" t="s">
        <v>280</v>
      </c>
      <c r="L505" s="14">
        <v>45588</v>
      </c>
      <c r="M505" s="18">
        <f t="shared" si="10"/>
        <v>45566</v>
      </c>
      <c r="N505">
        <v>5598310</v>
      </c>
      <c r="O505" t="s">
        <v>123</v>
      </c>
      <c r="P505" t="s">
        <v>146</v>
      </c>
      <c r="Q505">
        <v>2.3199999999999998</v>
      </c>
      <c r="R505" t="s">
        <v>125</v>
      </c>
      <c r="S505" t="s">
        <v>126</v>
      </c>
      <c r="T505" t="s">
        <v>125</v>
      </c>
      <c r="U505" t="s">
        <v>126</v>
      </c>
      <c r="W505">
        <v>2.3199999999999998</v>
      </c>
      <c r="Y505">
        <v>2.3199999999999998</v>
      </c>
      <c r="BE505">
        <v>2.3199999999999998</v>
      </c>
      <c r="BH505" t="s">
        <v>126</v>
      </c>
      <c r="BI505" t="s">
        <v>126</v>
      </c>
      <c r="BJ505" t="s">
        <v>126</v>
      </c>
      <c r="BK505" t="s">
        <v>126</v>
      </c>
      <c r="BS505" t="s">
        <v>126</v>
      </c>
      <c r="BT505" t="s">
        <v>126</v>
      </c>
      <c r="BU505" t="s">
        <v>126</v>
      </c>
      <c r="BV505" t="s">
        <v>126</v>
      </c>
      <c r="CN505" t="s">
        <v>147</v>
      </c>
      <c r="CP505" t="s">
        <v>257</v>
      </c>
      <c r="CQ505" t="s">
        <v>147</v>
      </c>
    </row>
    <row r="506" spans="1:95" x14ac:dyDescent="0.2">
      <c r="A506" t="s">
        <v>115</v>
      </c>
      <c r="B506" t="s">
        <v>116</v>
      </c>
      <c r="C506">
        <v>210784</v>
      </c>
      <c r="E506" t="s">
        <v>117</v>
      </c>
      <c r="F506">
        <v>368</v>
      </c>
      <c r="G506" t="s">
        <v>229</v>
      </c>
      <c r="H506" t="s">
        <v>230</v>
      </c>
      <c r="I506" t="s">
        <v>204</v>
      </c>
      <c r="J506" t="s">
        <v>205</v>
      </c>
      <c r="L506" s="14">
        <v>45589</v>
      </c>
      <c r="M506" s="18">
        <f t="shared" si="10"/>
        <v>45566</v>
      </c>
      <c r="N506">
        <v>111102</v>
      </c>
      <c r="O506" t="s">
        <v>123</v>
      </c>
      <c r="P506" t="s">
        <v>146</v>
      </c>
      <c r="Q506">
        <v>4.45</v>
      </c>
      <c r="R506" t="s">
        <v>125</v>
      </c>
      <c r="S506" t="s">
        <v>126</v>
      </c>
      <c r="T506" t="s">
        <v>125</v>
      </c>
      <c r="U506" t="s">
        <v>126</v>
      </c>
      <c r="W506">
        <v>4.45</v>
      </c>
      <c r="Y506">
        <v>4.45</v>
      </c>
      <c r="AC506">
        <v>4.45</v>
      </c>
      <c r="BH506" t="s">
        <v>126</v>
      </c>
      <c r="BI506" t="s">
        <v>126</v>
      </c>
      <c r="BJ506" t="s">
        <v>126</v>
      </c>
      <c r="BK506" t="s">
        <v>126</v>
      </c>
      <c r="BS506" t="s">
        <v>126</v>
      </c>
      <c r="BT506" t="s">
        <v>126</v>
      </c>
      <c r="BU506" t="s">
        <v>126</v>
      </c>
      <c r="BV506" t="s">
        <v>126</v>
      </c>
      <c r="CN506" t="s">
        <v>230</v>
      </c>
      <c r="CP506" t="s">
        <v>242</v>
      </c>
      <c r="CQ506" t="s">
        <v>230</v>
      </c>
    </row>
    <row r="507" spans="1:95" x14ac:dyDescent="0.2">
      <c r="A507" t="s">
        <v>115</v>
      </c>
      <c r="B507" t="s">
        <v>116</v>
      </c>
      <c r="C507">
        <v>210784</v>
      </c>
      <c r="E507" t="s">
        <v>117</v>
      </c>
      <c r="F507">
        <v>368</v>
      </c>
      <c r="G507" t="s">
        <v>141</v>
      </c>
      <c r="H507" t="s">
        <v>142</v>
      </c>
      <c r="I507" t="s">
        <v>204</v>
      </c>
      <c r="J507" t="s">
        <v>205</v>
      </c>
      <c r="L507" s="14">
        <v>45589</v>
      </c>
      <c r="M507" s="18">
        <f t="shared" si="10"/>
        <v>45566</v>
      </c>
      <c r="N507">
        <v>111102</v>
      </c>
      <c r="O507" t="s">
        <v>123</v>
      </c>
      <c r="P507" t="s">
        <v>146</v>
      </c>
      <c r="Q507">
        <v>4.45</v>
      </c>
      <c r="R507" t="s">
        <v>125</v>
      </c>
      <c r="S507" t="s">
        <v>126</v>
      </c>
      <c r="T507" t="s">
        <v>125</v>
      </c>
      <c r="U507" t="s">
        <v>126</v>
      </c>
      <c r="W507">
        <v>4.45</v>
      </c>
      <c r="Y507">
        <v>4.45</v>
      </c>
      <c r="AC507">
        <v>4.45</v>
      </c>
      <c r="BH507" t="s">
        <v>126</v>
      </c>
      <c r="BI507" t="s">
        <v>126</v>
      </c>
      <c r="BJ507" t="s">
        <v>126</v>
      </c>
      <c r="BK507" t="s">
        <v>126</v>
      </c>
      <c r="BS507" t="s">
        <v>126</v>
      </c>
      <c r="BT507" t="s">
        <v>126</v>
      </c>
      <c r="BU507" t="s">
        <v>126</v>
      </c>
      <c r="BV507" t="s">
        <v>126</v>
      </c>
      <c r="CN507" t="s">
        <v>147</v>
      </c>
      <c r="CP507" t="s">
        <v>258</v>
      </c>
      <c r="CQ507" t="s">
        <v>147</v>
      </c>
    </row>
    <row r="508" spans="1:95" x14ac:dyDescent="0.2">
      <c r="A508" t="s">
        <v>115</v>
      </c>
      <c r="B508" t="s">
        <v>116</v>
      </c>
      <c r="C508">
        <v>210784</v>
      </c>
      <c r="E508" t="s">
        <v>117</v>
      </c>
      <c r="F508">
        <v>368</v>
      </c>
      <c r="G508" t="s">
        <v>141</v>
      </c>
      <c r="H508" t="s">
        <v>142</v>
      </c>
      <c r="I508" t="s">
        <v>279</v>
      </c>
      <c r="J508" t="s">
        <v>280</v>
      </c>
      <c r="L508" s="14">
        <v>45589</v>
      </c>
      <c r="M508" s="18">
        <f t="shared" si="10"/>
        <v>45566</v>
      </c>
      <c r="N508">
        <v>5599223</v>
      </c>
      <c r="O508" t="s">
        <v>123</v>
      </c>
      <c r="P508" t="s">
        <v>146</v>
      </c>
      <c r="Q508">
        <v>2.0299999999999998</v>
      </c>
      <c r="R508" t="s">
        <v>125</v>
      </c>
      <c r="S508" t="s">
        <v>126</v>
      </c>
      <c r="T508" t="s">
        <v>125</v>
      </c>
      <c r="U508" t="s">
        <v>126</v>
      </c>
      <c r="W508">
        <v>2.0299999999999998</v>
      </c>
      <c r="Y508">
        <v>2.0299999999999998</v>
      </c>
      <c r="AS508">
        <v>2.0299999999999998</v>
      </c>
      <c r="BH508" t="s">
        <v>126</v>
      </c>
      <c r="BI508" t="s">
        <v>126</v>
      </c>
      <c r="BJ508" t="s">
        <v>126</v>
      </c>
      <c r="BK508" t="s">
        <v>126</v>
      </c>
      <c r="BS508" t="s">
        <v>126</v>
      </c>
      <c r="BT508" t="s">
        <v>126</v>
      </c>
      <c r="BU508" t="s">
        <v>126</v>
      </c>
      <c r="BV508" t="s">
        <v>126</v>
      </c>
      <c r="CN508" t="s">
        <v>147</v>
      </c>
      <c r="CP508" t="s">
        <v>257</v>
      </c>
      <c r="CQ508" t="s">
        <v>147</v>
      </c>
    </row>
    <row r="509" spans="1:95" x14ac:dyDescent="0.2">
      <c r="A509" t="s">
        <v>115</v>
      </c>
      <c r="B509" t="s">
        <v>116</v>
      </c>
      <c r="C509">
        <v>210784</v>
      </c>
      <c r="E509" t="s">
        <v>117</v>
      </c>
      <c r="F509">
        <v>368</v>
      </c>
      <c r="G509" t="s">
        <v>141</v>
      </c>
      <c r="H509" t="s">
        <v>142</v>
      </c>
      <c r="I509" t="s">
        <v>279</v>
      </c>
      <c r="J509" t="s">
        <v>280</v>
      </c>
      <c r="L509" s="14">
        <v>45589</v>
      </c>
      <c r="M509" s="18">
        <f t="shared" si="10"/>
        <v>45566</v>
      </c>
      <c r="N509">
        <v>5599116</v>
      </c>
      <c r="O509" t="s">
        <v>123</v>
      </c>
      <c r="P509" t="s">
        <v>146</v>
      </c>
      <c r="Q509">
        <v>0.64</v>
      </c>
      <c r="R509" t="s">
        <v>125</v>
      </c>
      <c r="S509" t="s">
        <v>126</v>
      </c>
      <c r="T509" t="s">
        <v>125</v>
      </c>
      <c r="U509" t="s">
        <v>126</v>
      </c>
      <c r="W509">
        <v>0.64</v>
      </c>
      <c r="Y509">
        <v>0.64</v>
      </c>
      <c r="BE509">
        <v>0.64</v>
      </c>
      <c r="BH509" t="s">
        <v>126</v>
      </c>
      <c r="BI509" t="s">
        <v>126</v>
      </c>
      <c r="BJ509" t="s">
        <v>126</v>
      </c>
      <c r="BK509" t="s">
        <v>126</v>
      </c>
      <c r="BS509" t="s">
        <v>126</v>
      </c>
      <c r="BT509" t="s">
        <v>126</v>
      </c>
      <c r="BU509" t="s">
        <v>126</v>
      </c>
      <c r="BV509" t="s">
        <v>126</v>
      </c>
      <c r="CN509" t="s">
        <v>147</v>
      </c>
      <c r="CP509" t="s">
        <v>257</v>
      </c>
      <c r="CQ509" t="s">
        <v>147</v>
      </c>
    </row>
    <row r="510" spans="1:95" x14ac:dyDescent="0.2">
      <c r="A510" t="s">
        <v>115</v>
      </c>
      <c r="B510" t="s">
        <v>116</v>
      </c>
      <c r="C510">
        <v>210784</v>
      </c>
      <c r="E510" t="s">
        <v>117</v>
      </c>
      <c r="F510">
        <v>368</v>
      </c>
      <c r="G510" t="s">
        <v>141</v>
      </c>
      <c r="H510" t="s">
        <v>142</v>
      </c>
      <c r="I510" t="s">
        <v>279</v>
      </c>
      <c r="J510" t="s">
        <v>280</v>
      </c>
      <c r="L510" s="14">
        <v>45590</v>
      </c>
      <c r="M510" s="18">
        <f t="shared" si="10"/>
        <v>45566</v>
      </c>
      <c r="N510">
        <v>5599426</v>
      </c>
      <c r="O510" t="s">
        <v>123</v>
      </c>
      <c r="P510" t="s">
        <v>146</v>
      </c>
      <c r="Q510">
        <v>1.8</v>
      </c>
      <c r="R510" t="s">
        <v>125</v>
      </c>
      <c r="S510" t="s">
        <v>126</v>
      </c>
      <c r="T510" t="s">
        <v>125</v>
      </c>
      <c r="U510" t="s">
        <v>126</v>
      </c>
      <c r="W510">
        <v>1.8</v>
      </c>
      <c r="Y510">
        <v>1.8</v>
      </c>
      <c r="AS510">
        <v>1.8</v>
      </c>
      <c r="BH510" t="s">
        <v>126</v>
      </c>
      <c r="BI510" t="s">
        <v>126</v>
      </c>
      <c r="BJ510" t="s">
        <v>126</v>
      </c>
      <c r="BK510" t="s">
        <v>126</v>
      </c>
      <c r="BS510" t="s">
        <v>126</v>
      </c>
      <c r="BT510" t="s">
        <v>126</v>
      </c>
      <c r="BU510" t="s">
        <v>126</v>
      </c>
      <c r="BV510" t="s">
        <v>126</v>
      </c>
      <c r="CN510" t="s">
        <v>147</v>
      </c>
      <c r="CP510" t="s">
        <v>257</v>
      </c>
      <c r="CQ510" t="s">
        <v>147</v>
      </c>
    </row>
    <row r="511" spans="1:95" x14ac:dyDescent="0.2">
      <c r="A511" t="s">
        <v>115</v>
      </c>
      <c r="B511" t="s">
        <v>116</v>
      </c>
      <c r="C511">
        <v>210784</v>
      </c>
      <c r="E511" t="s">
        <v>117</v>
      </c>
      <c r="F511">
        <v>368</v>
      </c>
      <c r="G511" t="s">
        <v>141</v>
      </c>
      <c r="H511" t="s">
        <v>142</v>
      </c>
      <c r="I511" t="s">
        <v>279</v>
      </c>
      <c r="J511" t="s">
        <v>280</v>
      </c>
      <c r="L511" s="14">
        <v>45590</v>
      </c>
      <c r="M511" s="18">
        <f t="shared" si="10"/>
        <v>45566</v>
      </c>
      <c r="N511">
        <v>5600113</v>
      </c>
      <c r="O511" t="s">
        <v>123</v>
      </c>
      <c r="P511" t="s">
        <v>146</v>
      </c>
      <c r="Q511">
        <v>2.4300000000000002</v>
      </c>
      <c r="R511" t="s">
        <v>125</v>
      </c>
      <c r="S511" t="s">
        <v>126</v>
      </c>
      <c r="T511" t="s">
        <v>125</v>
      </c>
      <c r="U511" t="s">
        <v>126</v>
      </c>
      <c r="W511">
        <v>2.4300000000000002</v>
      </c>
      <c r="Y511">
        <v>2.4300000000000002</v>
      </c>
      <c r="AS511">
        <v>2.4300000000000002</v>
      </c>
      <c r="BH511" t="s">
        <v>126</v>
      </c>
      <c r="BI511" t="s">
        <v>126</v>
      </c>
      <c r="BJ511" t="s">
        <v>126</v>
      </c>
      <c r="BK511" t="s">
        <v>126</v>
      </c>
      <c r="BS511" t="s">
        <v>126</v>
      </c>
      <c r="BT511" t="s">
        <v>126</v>
      </c>
      <c r="BU511" t="s">
        <v>126</v>
      </c>
      <c r="BV511" t="s">
        <v>126</v>
      </c>
      <c r="CN511" t="s">
        <v>147</v>
      </c>
      <c r="CP511" t="s">
        <v>257</v>
      </c>
      <c r="CQ511" t="s">
        <v>147</v>
      </c>
    </row>
    <row r="512" spans="1:95" x14ac:dyDescent="0.2">
      <c r="A512" t="s">
        <v>115</v>
      </c>
      <c r="B512" t="s">
        <v>116</v>
      </c>
      <c r="C512">
        <v>210784</v>
      </c>
      <c r="E512" t="s">
        <v>117</v>
      </c>
      <c r="F512">
        <v>368</v>
      </c>
      <c r="G512" t="s">
        <v>141</v>
      </c>
      <c r="H512" t="s">
        <v>142</v>
      </c>
      <c r="I512" t="s">
        <v>279</v>
      </c>
      <c r="J512" t="s">
        <v>280</v>
      </c>
      <c r="L512" s="14">
        <v>45590</v>
      </c>
      <c r="M512" s="18">
        <f t="shared" si="10"/>
        <v>45566</v>
      </c>
      <c r="N512">
        <v>5599969</v>
      </c>
      <c r="O512" t="s">
        <v>123</v>
      </c>
      <c r="P512" t="s">
        <v>146</v>
      </c>
      <c r="Q512">
        <v>0.82</v>
      </c>
      <c r="R512" t="s">
        <v>125</v>
      </c>
      <c r="S512" t="s">
        <v>126</v>
      </c>
      <c r="T512" t="s">
        <v>125</v>
      </c>
      <c r="U512" t="s">
        <v>126</v>
      </c>
      <c r="W512">
        <v>0.82</v>
      </c>
      <c r="Y512">
        <v>0.82</v>
      </c>
      <c r="BE512">
        <v>0.82</v>
      </c>
      <c r="BH512" t="s">
        <v>126</v>
      </c>
      <c r="BI512" t="s">
        <v>126</v>
      </c>
      <c r="BJ512" t="s">
        <v>126</v>
      </c>
      <c r="BK512" t="s">
        <v>126</v>
      </c>
      <c r="BS512" t="s">
        <v>126</v>
      </c>
      <c r="BT512" t="s">
        <v>126</v>
      </c>
      <c r="BU512" t="s">
        <v>126</v>
      </c>
      <c r="BV512" t="s">
        <v>126</v>
      </c>
      <c r="CN512" t="s">
        <v>147</v>
      </c>
      <c r="CP512" t="s">
        <v>257</v>
      </c>
      <c r="CQ512" t="s">
        <v>147</v>
      </c>
    </row>
    <row r="513" spans="1:95" x14ac:dyDescent="0.2">
      <c r="A513" t="s">
        <v>115</v>
      </c>
      <c r="B513" t="s">
        <v>116</v>
      </c>
      <c r="C513">
        <v>210784</v>
      </c>
      <c r="E513" t="s">
        <v>117</v>
      </c>
      <c r="F513">
        <v>368</v>
      </c>
      <c r="G513" t="s">
        <v>141</v>
      </c>
      <c r="H513" t="s">
        <v>142</v>
      </c>
      <c r="I513" t="s">
        <v>279</v>
      </c>
      <c r="J513" t="s">
        <v>280</v>
      </c>
      <c r="L513" s="14">
        <v>45594</v>
      </c>
      <c r="M513" s="18">
        <f t="shared" si="10"/>
        <v>45566</v>
      </c>
      <c r="N513">
        <v>5601723</v>
      </c>
      <c r="O513" t="s">
        <v>123</v>
      </c>
      <c r="P513" t="s">
        <v>146</v>
      </c>
      <c r="Q513">
        <v>2.57</v>
      </c>
      <c r="R513" t="s">
        <v>125</v>
      </c>
      <c r="S513" t="s">
        <v>126</v>
      </c>
      <c r="T513" t="s">
        <v>125</v>
      </c>
      <c r="U513" t="s">
        <v>126</v>
      </c>
      <c r="W513">
        <v>2.57</v>
      </c>
      <c r="Y513">
        <v>2.57</v>
      </c>
      <c r="AS513">
        <v>2.57</v>
      </c>
      <c r="BH513" t="s">
        <v>126</v>
      </c>
      <c r="BI513" t="s">
        <v>126</v>
      </c>
      <c r="BJ513" t="s">
        <v>126</v>
      </c>
      <c r="BK513" t="s">
        <v>126</v>
      </c>
      <c r="BS513" t="s">
        <v>126</v>
      </c>
      <c r="BT513" t="s">
        <v>126</v>
      </c>
      <c r="BU513" t="s">
        <v>126</v>
      </c>
      <c r="BV513" t="s">
        <v>126</v>
      </c>
      <c r="CN513" t="s">
        <v>147</v>
      </c>
      <c r="CP513" t="s">
        <v>329</v>
      </c>
      <c r="CQ513" t="s">
        <v>147</v>
      </c>
    </row>
    <row r="514" spans="1:95" x14ac:dyDescent="0.2">
      <c r="A514" t="s">
        <v>115</v>
      </c>
      <c r="B514" t="s">
        <v>116</v>
      </c>
      <c r="C514">
        <v>210784</v>
      </c>
      <c r="E514" t="s">
        <v>117</v>
      </c>
      <c r="F514">
        <v>368</v>
      </c>
      <c r="G514" t="s">
        <v>141</v>
      </c>
      <c r="H514" t="s">
        <v>142</v>
      </c>
      <c r="I514" t="s">
        <v>279</v>
      </c>
      <c r="J514" t="s">
        <v>280</v>
      </c>
      <c r="L514" s="14">
        <v>45594</v>
      </c>
      <c r="M514" s="18">
        <f t="shared" si="10"/>
        <v>45566</v>
      </c>
      <c r="N514">
        <v>5601545</v>
      </c>
      <c r="O514" t="s">
        <v>123</v>
      </c>
      <c r="P514" t="s">
        <v>146</v>
      </c>
      <c r="Q514">
        <v>2.75</v>
      </c>
      <c r="R514" t="s">
        <v>125</v>
      </c>
      <c r="S514" t="s">
        <v>126</v>
      </c>
      <c r="T514" t="s">
        <v>125</v>
      </c>
      <c r="U514" t="s">
        <v>126</v>
      </c>
      <c r="W514">
        <v>2.75</v>
      </c>
      <c r="Y514">
        <v>2.75</v>
      </c>
      <c r="AS514">
        <v>2.75</v>
      </c>
      <c r="BH514" t="s">
        <v>126</v>
      </c>
      <c r="BI514" t="s">
        <v>126</v>
      </c>
      <c r="BJ514" t="s">
        <v>126</v>
      </c>
      <c r="BK514" t="s">
        <v>126</v>
      </c>
      <c r="BS514" t="s">
        <v>126</v>
      </c>
      <c r="BT514" t="s">
        <v>126</v>
      </c>
      <c r="BU514" t="s">
        <v>126</v>
      </c>
      <c r="BV514" t="s">
        <v>126</v>
      </c>
      <c r="CN514" t="s">
        <v>147</v>
      </c>
      <c r="CP514" t="s">
        <v>329</v>
      </c>
      <c r="CQ514" t="s">
        <v>147</v>
      </c>
    </row>
    <row r="515" spans="1:95" x14ac:dyDescent="0.2">
      <c r="A515" t="s">
        <v>115</v>
      </c>
      <c r="B515" t="s">
        <v>116</v>
      </c>
      <c r="C515">
        <v>210784</v>
      </c>
      <c r="E515" t="s">
        <v>117</v>
      </c>
      <c r="F515">
        <v>368</v>
      </c>
      <c r="G515" t="s">
        <v>881</v>
      </c>
      <c r="H515" t="s">
        <v>882</v>
      </c>
      <c r="I515" t="s">
        <v>883</v>
      </c>
      <c r="J515" t="s">
        <v>884</v>
      </c>
      <c r="L515" s="14">
        <v>45594</v>
      </c>
      <c r="M515" s="18">
        <f t="shared" si="10"/>
        <v>45566</v>
      </c>
      <c r="N515">
        <v>2062361</v>
      </c>
      <c r="O515" t="s">
        <v>123</v>
      </c>
      <c r="P515" t="s">
        <v>146</v>
      </c>
      <c r="Q515">
        <v>2.06</v>
      </c>
      <c r="R515" t="s">
        <v>125</v>
      </c>
      <c r="S515" t="s">
        <v>126</v>
      </c>
      <c r="T515" t="s">
        <v>125</v>
      </c>
      <c r="U515" t="s">
        <v>126</v>
      </c>
      <c r="W515">
        <v>2.06</v>
      </c>
      <c r="Y515">
        <v>2.06</v>
      </c>
      <c r="BE515">
        <v>2.06</v>
      </c>
      <c r="BH515" t="s">
        <v>126</v>
      </c>
      <c r="BI515" t="s">
        <v>126</v>
      </c>
      <c r="BJ515" t="s">
        <v>126</v>
      </c>
      <c r="BK515" t="s">
        <v>126</v>
      </c>
      <c r="BS515" t="s">
        <v>126</v>
      </c>
      <c r="BT515" t="s">
        <v>126</v>
      </c>
      <c r="BU515" t="s">
        <v>126</v>
      </c>
      <c r="BV515" t="s">
        <v>126</v>
      </c>
      <c r="CN515" t="s">
        <v>882</v>
      </c>
      <c r="CP515" t="s">
        <v>333</v>
      </c>
      <c r="CQ515" t="s">
        <v>882</v>
      </c>
    </row>
    <row r="516" spans="1:95" x14ac:dyDescent="0.2">
      <c r="A516" t="s">
        <v>115</v>
      </c>
      <c r="B516" t="s">
        <v>116</v>
      </c>
      <c r="C516">
        <v>210784</v>
      </c>
      <c r="E516" t="s">
        <v>117</v>
      </c>
      <c r="F516">
        <v>368</v>
      </c>
      <c r="G516" t="s">
        <v>141</v>
      </c>
      <c r="H516" t="s">
        <v>142</v>
      </c>
      <c r="I516" t="s">
        <v>279</v>
      </c>
      <c r="J516" t="s">
        <v>280</v>
      </c>
      <c r="L516" s="14">
        <v>45594</v>
      </c>
      <c r="M516" s="18">
        <f t="shared" si="10"/>
        <v>45566</v>
      </c>
      <c r="N516">
        <v>5601710</v>
      </c>
      <c r="O516" t="s">
        <v>123</v>
      </c>
      <c r="P516" t="s">
        <v>146</v>
      </c>
      <c r="Q516">
        <v>0.14000000000000001</v>
      </c>
      <c r="R516" t="s">
        <v>125</v>
      </c>
      <c r="S516" t="s">
        <v>126</v>
      </c>
      <c r="T516" t="s">
        <v>125</v>
      </c>
      <c r="U516" t="s">
        <v>126</v>
      </c>
      <c r="W516">
        <v>0.14000000000000001</v>
      </c>
      <c r="Y516">
        <v>0.14000000000000001</v>
      </c>
      <c r="BE516">
        <v>0.14000000000000001</v>
      </c>
      <c r="BH516" t="s">
        <v>126</v>
      </c>
      <c r="BI516" t="s">
        <v>126</v>
      </c>
      <c r="BJ516" t="s">
        <v>126</v>
      </c>
      <c r="BK516" t="s">
        <v>126</v>
      </c>
      <c r="BS516" t="s">
        <v>126</v>
      </c>
      <c r="BT516" t="s">
        <v>126</v>
      </c>
      <c r="BU516" t="s">
        <v>126</v>
      </c>
      <c r="BV516" t="s">
        <v>126</v>
      </c>
      <c r="CN516" t="s">
        <v>147</v>
      </c>
      <c r="CP516" t="s">
        <v>329</v>
      </c>
      <c r="CQ516" t="s">
        <v>147</v>
      </c>
    </row>
    <row r="517" spans="1:95" x14ac:dyDescent="0.2">
      <c r="A517" t="s">
        <v>115</v>
      </c>
      <c r="B517" t="s">
        <v>116</v>
      </c>
      <c r="C517">
        <v>210784</v>
      </c>
      <c r="E517" t="s">
        <v>117</v>
      </c>
      <c r="F517">
        <v>368</v>
      </c>
      <c r="G517" t="s">
        <v>141</v>
      </c>
      <c r="H517" t="s">
        <v>142</v>
      </c>
      <c r="I517" t="s">
        <v>279</v>
      </c>
      <c r="J517" t="s">
        <v>280</v>
      </c>
      <c r="L517" s="14">
        <v>45594</v>
      </c>
      <c r="M517" s="18">
        <f t="shared" si="10"/>
        <v>45566</v>
      </c>
      <c r="N517">
        <v>5601547</v>
      </c>
      <c r="O517" t="s">
        <v>123</v>
      </c>
      <c r="P517" t="s">
        <v>146</v>
      </c>
      <c r="Q517">
        <v>1.96</v>
      </c>
      <c r="R517" t="s">
        <v>125</v>
      </c>
      <c r="S517" t="s">
        <v>126</v>
      </c>
      <c r="T517" t="s">
        <v>125</v>
      </c>
      <c r="U517" t="s">
        <v>126</v>
      </c>
      <c r="W517">
        <v>1.96</v>
      </c>
      <c r="Y517">
        <v>1.96</v>
      </c>
      <c r="BE517">
        <v>1.96</v>
      </c>
      <c r="BH517" t="s">
        <v>126</v>
      </c>
      <c r="BI517" t="s">
        <v>126</v>
      </c>
      <c r="BJ517" t="s">
        <v>126</v>
      </c>
      <c r="BK517" t="s">
        <v>126</v>
      </c>
      <c r="BS517" t="s">
        <v>126</v>
      </c>
      <c r="BT517" t="s">
        <v>126</v>
      </c>
      <c r="BU517" t="s">
        <v>126</v>
      </c>
      <c r="BV517" t="s">
        <v>126</v>
      </c>
      <c r="CN517" t="s">
        <v>147</v>
      </c>
      <c r="CP517" t="s">
        <v>329</v>
      </c>
      <c r="CQ517" t="s">
        <v>147</v>
      </c>
    </row>
    <row r="518" spans="1:95" x14ac:dyDescent="0.2">
      <c r="A518" t="s">
        <v>115</v>
      </c>
      <c r="B518" t="s">
        <v>116</v>
      </c>
      <c r="C518">
        <v>210784</v>
      </c>
      <c r="E518" t="s">
        <v>117</v>
      </c>
      <c r="F518">
        <v>368</v>
      </c>
      <c r="G518" t="s">
        <v>229</v>
      </c>
      <c r="H518" t="s">
        <v>230</v>
      </c>
      <c r="I518" t="s">
        <v>204</v>
      </c>
      <c r="J518" t="s">
        <v>205</v>
      </c>
      <c r="L518" s="14">
        <v>45595</v>
      </c>
      <c r="M518" s="18">
        <f t="shared" si="10"/>
        <v>45566</v>
      </c>
      <c r="N518">
        <v>111412</v>
      </c>
      <c r="O518" t="s">
        <v>123</v>
      </c>
      <c r="P518" t="s">
        <v>146</v>
      </c>
      <c r="Q518">
        <v>11.84</v>
      </c>
      <c r="R518" t="s">
        <v>125</v>
      </c>
      <c r="S518" t="s">
        <v>126</v>
      </c>
      <c r="T518" t="s">
        <v>125</v>
      </c>
      <c r="U518" t="s">
        <v>126</v>
      </c>
      <c r="W518">
        <v>11.84</v>
      </c>
      <c r="Y518">
        <v>11.84</v>
      </c>
      <c r="AC518">
        <v>11.84</v>
      </c>
      <c r="BH518" t="s">
        <v>126</v>
      </c>
      <c r="BI518" t="s">
        <v>126</v>
      </c>
      <c r="BJ518" t="s">
        <v>126</v>
      </c>
      <c r="BK518" t="s">
        <v>126</v>
      </c>
      <c r="BS518" t="s">
        <v>126</v>
      </c>
      <c r="BT518" t="s">
        <v>126</v>
      </c>
      <c r="BU518" t="s">
        <v>126</v>
      </c>
      <c r="BV518" t="s">
        <v>126</v>
      </c>
      <c r="CN518" t="s">
        <v>230</v>
      </c>
      <c r="CP518" t="s">
        <v>242</v>
      </c>
      <c r="CQ518" t="s">
        <v>230</v>
      </c>
    </row>
    <row r="519" spans="1:95" x14ac:dyDescent="0.2">
      <c r="A519" t="s">
        <v>115</v>
      </c>
      <c r="B519" t="s">
        <v>116</v>
      </c>
      <c r="C519">
        <v>210784</v>
      </c>
      <c r="E519" t="s">
        <v>117</v>
      </c>
      <c r="F519">
        <v>368</v>
      </c>
      <c r="G519" t="s">
        <v>141</v>
      </c>
      <c r="H519" t="s">
        <v>142</v>
      </c>
      <c r="I519" t="s">
        <v>204</v>
      </c>
      <c r="J519" t="s">
        <v>205</v>
      </c>
      <c r="L519" s="14">
        <v>45595</v>
      </c>
      <c r="M519" s="18">
        <f t="shared" si="10"/>
        <v>45566</v>
      </c>
      <c r="N519">
        <v>111412</v>
      </c>
      <c r="O519" t="s">
        <v>123</v>
      </c>
      <c r="P519" t="s">
        <v>146</v>
      </c>
      <c r="Q519">
        <v>11.84</v>
      </c>
      <c r="R519" t="s">
        <v>125</v>
      </c>
      <c r="S519" t="s">
        <v>126</v>
      </c>
      <c r="T519" t="s">
        <v>125</v>
      </c>
      <c r="U519" t="s">
        <v>126</v>
      </c>
      <c r="W519">
        <v>11.84</v>
      </c>
      <c r="Y519">
        <v>11.84</v>
      </c>
      <c r="AC519">
        <v>11.84</v>
      </c>
      <c r="BH519" t="s">
        <v>126</v>
      </c>
      <c r="BI519" t="s">
        <v>126</v>
      </c>
      <c r="BJ519" t="s">
        <v>126</v>
      </c>
      <c r="BK519" t="s">
        <v>126</v>
      </c>
      <c r="BS519" t="s">
        <v>126</v>
      </c>
      <c r="BT519" t="s">
        <v>126</v>
      </c>
      <c r="BU519" t="s">
        <v>126</v>
      </c>
      <c r="BV519" t="s">
        <v>126</v>
      </c>
      <c r="CN519" t="s">
        <v>147</v>
      </c>
      <c r="CP519" t="s">
        <v>258</v>
      </c>
      <c r="CQ519" t="s">
        <v>147</v>
      </c>
    </row>
    <row r="520" spans="1:95" x14ac:dyDescent="0.2">
      <c r="A520" t="s">
        <v>115</v>
      </c>
      <c r="B520" t="s">
        <v>116</v>
      </c>
      <c r="C520">
        <v>210784</v>
      </c>
      <c r="E520" t="s">
        <v>117</v>
      </c>
      <c r="F520">
        <v>368</v>
      </c>
      <c r="G520" t="s">
        <v>881</v>
      </c>
      <c r="H520" t="s">
        <v>882</v>
      </c>
      <c r="I520" t="s">
        <v>883</v>
      </c>
      <c r="J520" t="s">
        <v>884</v>
      </c>
      <c r="L520" s="14">
        <v>45595</v>
      </c>
      <c r="M520" s="18">
        <f t="shared" si="10"/>
        <v>45566</v>
      </c>
      <c r="N520">
        <v>2062750</v>
      </c>
      <c r="O520" t="s">
        <v>123</v>
      </c>
      <c r="P520" t="s">
        <v>146</v>
      </c>
      <c r="Q520">
        <v>1.95</v>
      </c>
      <c r="R520" t="s">
        <v>125</v>
      </c>
      <c r="S520" t="s">
        <v>126</v>
      </c>
      <c r="T520" t="s">
        <v>125</v>
      </c>
      <c r="U520" t="s">
        <v>126</v>
      </c>
      <c r="W520">
        <v>1.95</v>
      </c>
      <c r="Y520">
        <v>1.95</v>
      </c>
      <c r="BE520">
        <v>1.95</v>
      </c>
      <c r="BH520" t="s">
        <v>126</v>
      </c>
      <c r="BI520" t="s">
        <v>126</v>
      </c>
      <c r="BJ520" t="s">
        <v>126</v>
      </c>
      <c r="BK520" t="s">
        <v>126</v>
      </c>
      <c r="BS520" t="s">
        <v>126</v>
      </c>
      <c r="BT520" t="s">
        <v>126</v>
      </c>
      <c r="BU520" t="s">
        <v>126</v>
      </c>
      <c r="BV520" t="s">
        <v>126</v>
      </c>
      <c r="CN520" t="s">
        <v>882</v>
      </c>
      <c r="CP520" t="s">
        <v>333</v>
      </c>
      <c r="CQ520" t="s">
        <v>882</v>
      </c>
    </row>
    <row r="521" spans="1:95" x14ac:dyDescent="0.2">
      <c r="A521" t="s">
        <v>115</v>
      </c>
      <c r="B521" t="s">
        <v>116</v>
      </c>
      <c r="C521">
        <v>210784</v>
      </c>
      <c r="E521" t="s">
        <v>117</v>
      </c>
      <c r="F521">
        <v>368</v>
      </c>
      <c r="G521" t="s">
        <v>141</v>
      </c>
      <c r="H521" t="s">
        <v>142</v>
      </c>
      <c r="I521" t="s">
        <v>204</v>
      </c>
      <c r="J521" t="s">
        <v>205</v>
      </c>
      <c r="L521" s="14">
        <v>45597</v>
      </c>
      <c r="M521" s="18">
        <f t="shared" si="10"/>
        <v>45597</v>
      </c>
      <c r="N521">
        <v>11657</v>
      </c>
      <c r="O521" t="s">
        <v>123</v>
      </c>
      <c r="P521" t="s">
        <v>146</v>
      </c>
      <c r="Q521">
        <v>10.84</v>
      </c>
      <c r="R521" t="s">
        <v>125</v>
      </c>
      <c r="S521" t="s">
        <v>126</v>
      </c>
      <c r="T521" t="s">
        <v>125</v>
      </c>
      <c r="U521" t="s">
        <v>126</v>
      </c>
      <c r="W521">
        <v>10.84</v>
      </c>
      <c r="Y521">
        <v>10.84</v>
      </c>
      <c r="AC521">
        <v>10.84</v>
      </c>
      <c r="BH521" t="s">
        <v>126</v>
      </c>
      <c r="BI521" t="s">
        <v>126</v>
      </c>
      <c r="BJ521" t="s">
        <v>126</v>
      </c>
      <c r="BK521" t="s">
        <v>126</v>
      </c>
      <c r="BS521" t="s">
        <v>126</v>
      </c>
      <c r="BT521" t="s">
        <v>126</v>
      </c>
      <c r="BU521" t="s">
        <v>126</v>
      </c>
      <c r="BV521" t="s">
        <v>126</v>
      </c>
      <c r="CN521" t="s">
        <v>147</v>
      </c>
      <c r="CP521" t="s">
        <v>258</v>
      </c>
      <c r="CQ521" t="s">
        <v>147</v>
      </c>
    </row>
    <row r="522" spans="1:95" x14ac:dyDescent="0.2">
      <c r="A522" t="s">
        <v>115</v>
      </c>
      <c r="B522" t="s">
        <v>116</v>
      </c>
      <c r="C522">
        <v>210784</v>
      </c>
      <c r="E522" t="s">
        <v>117</v>
      </c>
      <c r="F522">
        <v>368</v>
      </c>
      <c r="G522" t="s">
        <v>141</v>
      </c>
      <c r="H522" t="s">
        <v>142</v>
      </c>
      <c r="I522" t="s">
        <v>279</v>
      </c>
      <c r="J522" t="s">
        <v>280</v>
      </c>
      <c r="L522" s="14">
        <v>45597</v>
      </c>
      <c r="M522" s="18">
        <f t="shared" si="10"/>
        <v>45597</v>
      </c>
      <c r="N522">
        <v>5604265</v>
      </c>
      <c r="O522" t="s">
        <v>123</v>
      </c>
      <c r="P522" t="s">
        <v>146</v>
      </c>
      <c r="Q522">
        <v>2.08</v>
      </c>
      <c r="R522" t="s">
        <v>125</v>
      </c>
      <c r="S522" t="s">
        <v>126</v>
      </c>
      <c r="T522" t="s">
        <v>125</v>
      </c>
      <c r="U522" t="s">
        <v>126</v>
      </c>
      <c r="W522">
        <v>2.08</v>
      </c>
      <c r="Y522">
        <v>2.08</v>
      </c>
      <c r="AS522">
        <v>2.08</v>
      </c>
      <c r="BH522" t="s">
        <v>126</v>
      </c>
      <c r="BI522" t="s">
        <v>126</v>
      </c>
      <c r="BJ522" t="s">
        <v>126</v>
      </c>
      <c r="BK522" t="s">
        <v>126</v>
      </c>
      <c r="BS522" t="s">
        <v>126</v>
      </c>
      <c r="BT522" t="s">
        <v>126</v>
      </c>
      <c r="BU522" t="s">
        <v>126</v>
      </c>
      <c r="BV522" t="s">
        <v>126</v>
      </c>
      <c r="CN522" t="s">
        <v>147</v>
      </c>
      <c r="CP522" t="s">
        <v>329</v>
      </c>
      <c r="CQ522" t="s">
        <v>147</v>
      </c>
    </row>
    <row r="523" spans="1:95" x14ac:dyDescent="0.2">
      <c r="A523" t="s">
        <v>115</v>
      </c>
      <c r="B523" t="s">
        <v>116</v>
      </c>
      <c r="C523">
        <v>210784</v>
      </c>
      <c r="E523" t="s">
        <v>117</v>
      </c>
      <c r="F523">
        <v>368</v>
      </c>
      <c r="G523" t="s">
        <v>141</v>
      </c>
      <c r="H523" t="s">
        <v>142</v>
      </c>
      <c r="I523" t="s">
        <v>279</v>
      </c>
      <c r="J523" t="s">
        <v>280</v>
      </c>
      <c r="L523" s="14">
        <v>45597</v>
      </c>
      <c r="M523" s="18">
        <f t="shared" ref="M523:M586" si="11">DATE(YEAR(L523), MONTH(L523), 1)</f>
        <v>45597</v>
      </c>
      <c r="N523">
        <v>5604282</v>
      </c>
      <c r="O523" t="s">
        <v>123</v>
      </c>
      <c r="P523" t="s">
        <v>146</v>
      </c>
      <c r="Q523">
        <v>4.68</v>
      </c>
      <c r="R523" t="s">
        <v>125</v>
      </c>
      <c r="S523" t="s">
        <v>126</v>
      </c>
      <c r="T523" t="s">
        <v>125</v>
      </c>
      <c r="U523" t="s">
        <v>126</v>
      </c>
      <c r="W523">
        <v>4.68</v>
      </c>
      <c r="Y523">
        <v>4.68</v>
      </c>
      <c r="AS523">
        <v>4.68</v>
      </c>
      <c r="BH523" t="s">
        <v>126</v>
      </c>
      <c r="BI523" t="s">
        <v>126</v>
      </c>
      <c r="BJ523" t="s">
        <v>126</v>
      </c>
      <c r="BK523" t="s">
        <v>126</v>
      </c>
      <c r="BS523" t="s">
        <v>126</v>
      </c>
      <c r="BT523" t="s">
        <v>126</v>
      </c>
      <c r="BU523" t="s">
        <v>126</v>
      </c>
      <c r="BV523" t="s">
        <v>126</v>
      </c>
      <c r="CN523" t="s">
        <v>147</v>
      </c>
      <c r="CP523" t="s">
        <v>329</v>
      </c>
      <c r="CQ523" t="s">
        <v>147</v>
      </c>
    </row>
    <row r="524" spans="1:95" x14ac:dyDescent="0.2">
      <c r="A524" t="s">
        <v>115</v>
      </c>
      <c r="B524" t="s">
        <v>116</v>
      </c>
      <c r="C524">
        <v>210784</v>
      </c>
      <c r="E524" t="s">
        <v>117</v>
      </c>
      <c r="F524">
        <v>368</v>
      </c>
      <c r="G524" t="s">
        <v>141</v>
      </c>
      <c r="H524" t="s">
        <v>142</v>
      </c>
      <c r="I524" t="s">
        <v>279</v>
      </c>
      <c r="J524" t="s">
        <v>280</v>
      </c>
      <c r="L524" s="14">
        <v>45597</v>
      </c>
      <c r="M524" s="18">
        <f t="shared" si="11"/>
        <v>45597</v>
      </c>
      <c r="N524">
        <v>5604445</v>
      </c>
      <c r="O524" t="s">
        <v>123</v>
      </c>
      <c r="P524" t="s">
        <v>146</v>
      </c>
      <c r="Q524">
        <v>2.62</v>
      </c>
      <c r="R524" t="s">
        <v>125</v>
      </c>
      <c r="S524" t="s">
        <v>126</v>
      </c>
      <c r="T524" t="s">
        <v>125</v>
      </c>
      <c r="U524" t="s">
        <v>126</v>
      </c>
      <c r="W524">
        <v>2.62</v>
      </c>
      <c r="Y524">
        <v>2.62</v>
      </c>
      <c r="BE524">
        <v>2.62</v>
      </c>
      <c r="BH524" t="s">
        <v>126</v>
      </c>
      <c r="BI524" t="s">
        <v>126</v>
      </c>
      <c r="BJ524" t="s">
        <v>126</v>
      </c>
      <c r="BK524" t="s">
        <v>126</v>
      </c>
      <c r="BS524" t="s">
        <v>126</v>
      </c>
      <c r="BT524" t="s">
        <v>126</v>
      </c>
      <c r="BU524" t="s">
        <v>126</v>
      </c>
      <c r="BV524" t="s">
        <v>126</v>
      </c>
      <c r="CN524" t="s">
        <v>147</v>
      </c>
      <c r="CP524" t="s">
        <v>329</v>
      </c>
      <c r="CQ524" t="s">
        <v>147</v>
      </c>
    </row>
    <row r="525" spans="1:95" x14ac:dyDescent="0.2">
      <c r="A525" t="s">
        <v>115</v>
      </c>
      <c r="B525" t="s">
        <v>116</v>
      </c>
      <c r="C525">
        <v>210784</v>
      </c>
      <c r="E525" t="s">
        <v>117</v>
      </c>
      <c r="F525">
        <v>368</v>
      </c>
      <c r="G525" t="s">
        <v>141</v>
      </c>
      <c r="H525" t="s">
        <v>142</v>
      </c>
      <c r="I525" t="s">
        <v>279</v>
      </c>
      <c r="J525" t="s">
        <v>280</v>
      </c>
      <c r="L525" s="14">
        <v>45600</v>
      </c>
      <c r="M525" s="18">
        <f t="shared" si="11"/>
        <v>45597</v>
      </c>
      <c r="N525">
        <v>5605435</v>
      </c>
      <c r="O525" t="s">
        <v>123</v>
      </c>
      <c r="P525" t="s">
        <v>146</v>
      </c>
      <c r="Q525">
        <v>3.5</v>
      </c>
      <c r="R525" t="s">
        <v>125</v>
      </c>
      <c r="S525" t="s">
        <v>126</v>
      </c>
      <c r="T525" t="s">
        <v>125</v>
      </c>
      <c r="U525" t="s">
        <v>126</v>
      </c>
      <c r="W525">
        <v>3.5</v>
      </c>
      <c r="Y525">
        <v>3.5</v>
      </c>
      <c r="AS525">
        <v>3.5</v>
      </c>
      <c r="BH525" t="s">
        <v>126</v>
      </c>
      <c r="BI525" t="s">
        <v>126</v>
      </c>
      <c r="BJ525" t="s">
        <v>126</v>
      </c>
      <c r="BK525" t="s">
        <v>126</v>
      </c>
      <c r="BS525" t="s">
        <v>126</v>
      </c>
      <c r="BT525" t="s">
        <v>126</v>
      </c>
      <c r="BU525" t="s">
        <v>126</v>
      </c>
      <c r="BV525" t="s">
        <v>126</v>
      </c>
      <c r="CN525" t="s">
        <v>147</v>
      </c>
      <c r="CP525" t="s">
        <v>329</v>
      </c>
      <c r="CQ525" t="s">
        <v>147</v>
      </c>
    </row>
    <row r="526" spans="1:95" x14ac:dyDescent="0.2">
      <c r="A526" t="s">
        <v>115</v>
      </c>
      <c r="B526" t="s">
        <v>116</v>
      </c>
      <c r="C526">
        <v>210784</v>
      </c>
      <c r="E526" t="s">
        <v>117</v>
      </c>
      <c r="F526">
        <v>368</v>
      </c>
      <c r="G526" t="s">
        <v>141</v>
      </c>
      <c r="H526" t="s">
        <v>142</v>
      </c>
      <c r="I526" t="s">
        <v>279</v>
      </c>
      <c r="J526" t="s">
        <v>280</v>
      </c>
      <c r="L526" s="14">
        <v>45600</v>
      </c>
      <c r="M526" s="18">
        <f t="shared" si="11"/>
        <v>45597</v>
      </c>
      <c r="N526">
        <v>5605573</v>
      </c>
      <c r="O526" t="s">
        <v>123</v>
      </c>
      <c r="P526" t="s">
        <v>146</v>
      </c>
      <c r="Q526">
        <v>1.4</v>
      </c>
      <c r="R526" t="s">
        <v>125</v>
      </c>
      <c r="S526" t="s">
        <v>126</v>
      </c>
      <c r="T526" t="s">
        <v>125</v>
      </c>
      <c r="U526" t="s">
        <v>126</v>
      </c>
      <c r="W526">
        <v>1.4</v>
      </c>
      <c r="Y526">
        <v>1.4</v>
      </c>
      <c r="AS526">
        <v>1.4</v>
      </c>
      <c r="BH526" t="s">
        <v>126</v>
      </c>
      <c r="BI526" t="s">
        <v>126</v>
      </c>
      <c r="BJ526" t="s">
        <v>126</v>
      </c>
      <c r="BK526" t="s">
        <v>126</v>
      </c>
      <c r="BS526" t="s">
        <v>126</v>
      </c>
      <c r="BT526" t="s">
        <v>126</v>
      </c>
      <c r="BU526" t="s">
        <v>126</v>
      </c>
      <c r="BV526" t="s">
        <v>126</v>
      </c>
      <c r="CN526" t="s">
        <v>147</v>
      </c>
      <c r="CP526" t="s">
        <v>329</v>
      </c>
      <c r="CQ526" t="s">
        <v>147</v>
      </c>
    </row>
    <row r="527" spans="1:95" x14ac:dyDescent="0.2">
      <c r="A527" t="s">
        <v>115</v>
      </c>
      <c r="B527" t="s">
        <v>116</v>
      </c>
      <c r="C527">
        <v>210784</v>
      </c>
      <c r="E527" t="s">
        <v>117</v>
      </c>
      <c r="F527">
        <v>368</v>
      </c>
      <c r="G527" t="s">
        <v>141</v>
      </c>
      <c r="H527" t="s">
        <v>142</v>
      </c>
      <c r="I527" t="s">
        <v>279</v>
      </c>
      <c r="J527" t="s">
        <v>280</v>
      </c>
      <c r="L527" s="14">
        <v>45600</v>
      </c>
      <c r="M527" s="18">
        <f t="shared" si="11"/>
        <v>45597</v>
      </c>
      <c r="N527">
        <v>5605693</v>
      </c>
      <c r="O527" t="s">
        <v>123</v>
      </c>
      <c r="P527" t="s">
        <v>146</v>
      </c>
      <c r="Q527">
        <v>1.49</v>
      </c>
      <c r="R527" t="s">
        <v>125</v>
      </c>
      <c r="S527" t="s">
        <v>126</v>
      </c>
      <c r="T527" t="s">
        <v>125</v>
      </c>
      <c r="U527" t="s">
        <v>126</v>
      </c>
      <c r="W527">
        <v>1.49</v>
      </c>
      <c r="Y527">
        <v>1.49</v>
      </c>
      <c r="BE527">
        <v>1.49</v>
      </c>
      <c r="BH527" t="s">
        <v>126</v>
      </c>
      <c r="BI527" t="s">
        <v>126</v>
      </c>
      <c r="BJ527" t="s">
        <v>126</v>
      </c>
      <c r="BK527" t="s">
        <v>126</v>
      </c>
      <c r="BS527" t="s">
        <v>126</v>
      </c>
      <c r="BT527" t="s">
        <v>126</v>
      </c>
      <c r="BU527" t="s">
        <v>126</v>
      </c>
      <c r="BV527" t="s">
        <v>126</v>
      </c>
      <c r="CN527" t="s">
        <v>147</v>
      </c>
      <c r="CP527" t="s">
        <v>329</v>
      </c>
      <c r="CQ527" t="s">
        <v>147</v>
      </c>
    </row>
    <row r="528" spans="1:95" x14ac:dyDescent="0.2">
      <c r="A528" t="s">
        <v>115</v>
      </c>
      <c r="B528" t="s">
        <v>116</v>
      </c>
      <c r="C528">
        <v>210784</v>
      </c>
      <c r="E528" t="s">
        <v>117</v>
      </c>
      <c r="F528">
        <v>368</v>
      </c>
      <c r="G528" t="s">
        <v>141</v>
      </c>
      <c r="H528" t="s">
        <v>142</v>
      </c>
      <c r="I528" t="s">
        <v>279</v>
      </c>
      <c r="J528" t="s">
        <v>280</v>
      </c>
      <c r="L528" s="14">
        <v>45602</v>
      </c>
      <c r="M528" s="18">
        <f t="shared" si="11"/>
        <v>45597</v>
      </c>
      <c r="N528">
        <v>5607028</v>
      </c>
      <c r="O528" t="s">
        <v>123</v>
      </c>
      <c r="P528" t="s">
        <v>146</v>
      </c>
      <c r="Q528">
        <v>4.4400000000000004</v>
      </c>
      <c r="R528" t="s">
        <v>125</v>
      </c>
      <c r="S528" t="s">
        <v>126</v>
      </c>
      <c r="T528" t="s">
        <v>125</v>
      </c>
      <c r="U528" t="s">
        <v>126</v>
      </c>
      <c r="W528">
        <v>4.4400000000000004</v>
      </c>
      <c r="Y528">
        <v>4.4400000000000004</v>
      </c>
      <c r="AS528">
        <v>4.4400000000000004</v>
      </c>
      <c r="BH528" t="s">
        <v>126</v>
      </c>
      <c r="BI528" t="s">
        <v>126</v>
      </c>
      <c r="BJ528" t="s">
        <v>126</v>
      </c>
      <c r="BK528" t="s">
        <v>126</v>
      </c>
      <c r="BS528" t="s">
        <v>126</v>
      </c>
      <c r="BT528" t="s">
        <v>126</v>
      </c>
      <c r="BU528" t="s">
        <v>126</v>
      </c>
      <c r="BV528" t="s">
        <v>126</v>
      </c>
      <c r="CN528" t="s">
        <v>147</v>
      </c>
      <c r="CP528" t="s">
        <v>329</v>
      </c>
      <c r="CQ528" t="s">
        <v>147</v>
      </c>
    </row>
    <row r="529" spans="1:95" x14ac:dyDescent="0.2">
      <c r="A529" t="s">
        <v>115</v>
      </c>
      <c r="B529" t="s">
        <v>116</v>
      </c>
      <c r="C529">
        <v>210784</v>
      </c>
      <c r="E529" t="s">
        <v>117</v>
      </c>
      <c r="F529">
        <v>368</v>
      </c>
      <c r="G529" t="s">
        <v>141</v>
      </c>
      <c r="H529" t="s">
        <v>142</v>
      </c>
      <c r="I529" t="s">
        <v>279</v>
      </c>
      <c r="J529" t="s">
        <v>280</v>
      </c>
      <c r="L529" s="14">
        <v>45602</v>
      </c>
      <c r="M529" s="18">
        <f t="shared" si="11"/>
        <v>45597</v>
      </c>
      <c r="N529">
        <v>5607006</v>
      </c>
      <c r="O529" t="s">
        <v>123</v>
      </c>
      <c r="P529" t="s">
        <v>146</v>
      </c>
      <c r="Q529">
        <v>1.64</v>
      </c>
      <c r="R529" t="s">
        <v>125</v>
      </c>
      <c r="S529" t="s">
        <v>126</v>
      </c>
      <c r="T529" t="s">
        <v>125</v>
      </c>
      <c r="U529" t="s">
        <v>126</v>
      </c>
      <c r="W529">
        <v>1.64</v>
      </c>
      <c r="Y529">
        <v>1.64</v>
      </c>
      <c r="AS529">
        <v>1.64</v>
      </c>
      <c r="BH529" t="s">
        <v>126</v>
      </c>
      <c r="BI529" t="s">
        <v>126</v>
      </c>
      <c r="BJ529" t="s">
        <v>126</v>
      </c>
      <c r="BK529" t="s">
        <v>126</v>
      </c>
      <c r="BS529" t="s">
        <v>126</v>
      </c>
      <c r="BT529" t="s">
        <v>126</v>
      </c>
      <c r="BU529" t="s">
        <v>126</v>
      </c>
      <c r="BV529" t="s">
        <v>126</v>
      </c>
      <c r="CN529" t="s">
        <v>147</v>
      </c>
      <c r="CP529" t="s">
        <v>329</v>
      </c>
      <c r="CQ529" t="s">
        <v>147</v>
      </c>
    </row>
    <row r="530" spans="1:95" x14ac:dyDescent="0.2">
      <c r="A530" t="s">
        <v>115</v>
      </c>
      <c r="B530" t="s">
        <v>116</v>
      </c>
      <c r="C530">
        <v>210784</v>
      </c>
      <c r="E530" t="s">
        <v>117</v>
      </c>
      <c r="F530">
        <v>368</v>
      </c>
      <c r="G530" t="s">
        <v>141</v>
      </c>
      <c r="H530" t="s">
        <v>142</v>
      </c>
      <c r="I530" t="s">
        <v>204</v>
      </c>
      <c r="J530" t="s">
        <v>205</v>
      </c>
      <c r="L530" s="14">
        <v>45603</v>
      </c>
      <c r="M530" s="18">
        <f t="shared" si="11"/>
        <v>45597</v>
      </c>
      <c r="N530">
        <v>110064</v>
      </c>
      <c r="O530" t="s">
        <v>123</v>
      </c>
      <c r="P530" t="s">
        <v>146</v>
      </c>
      <c r="Q530">
        <v>7.26</v>
      </c>
      <c r="R530" t="s">
        <v>125</v>
      </c>
      <c r="S530" t="s">
        <v>126</v>
      </c>
      <c r="T530" t="s">
        <v>125</v>
      </c>
      <c r="U530" t="s">
        <v>126</v>
      </c>
      <c r="W530">
        <v>7.26</v>
      </c>
      <c r="Y530">
        <v>7.26</v>
      </c>
      <c r="AC530">
        <v>7.26</v>
      </c>
      <c r="BH530" t="s">
        <v>126</v>
      </c>
      <c r="BI530" t="s">
        <v>126</v>
      </c>
      <c r="BJ530" t="s">
        <v>126</v>
      </c>
      <c r="BK530" t="s">
        <v>126</v>
      </c>
      <c r="BS530" t="s">
        <v>126</v>
      </c>
      <c r="BT530" t="s">
        <v>126</v>
      </c>
      <c r="BU530" t="s">
        <v>126</v>
      </c>
      <c r="BV530" t="s">
        <v>126</v>
      </c>
      <c r="CN530" t="s">
        <v>147</v>
      </c>
      <c r="CP530" t="s">
        <v>258</v>
      </c>
      <c r="CQ530" t="s">
        <v>147</v>
      </c>
    </row>
    <row r="531" spans="1:95" x14ac:dyDescent="0.2">
      <c r="A531" t="s">
        <v>115</v>
      </c>
      <c r="B531" t="s">
        <v>116</v>
      </c>
      <c r="C531">
        <v>210784</v>
      </c>
      <c r="E531" t="s">
        <v>117</v>
      </c>
      <c r="F531">
        <v>368</v>
      </c>
      <c r="G531" t="s">
        <v>141</v>
      </c>
      <c r="H531" t="s">
        <v>142</v>
      </c>
      <c r="I531" t="s">
        <v>204</v>
      </c>
      <c r="J531" t="s">
        <v>205</v>
      </c>
      <c r="L531" s="14">
        <v>45603</v>
      </c>
      <c r="M531" s="18">
        <f t="shared" si="11"/>
        <v>45597</v>
      </c>
      <c r="N531">
        <v>111947</v>
      </c>
      <c r="O531" t="s">
        <v>123</v>
      </c>
      <c r="P531" t="s">
        <v>146</v>
      </c>
      <c r="Q531">
        <v>10.34</v>
      </c>
      <c r="R531" t="s">
        <v>125</v>
      </c>
      <c r="S531" t="s">
        <v>126</v>
      </c>
      <c r="T531" t="s">
        <v>125</v>
      </c>
      <c r="U531" t="s">
        <v>126</v>
      </c>
      <c r="W531">
        <v>10.34</v>
      </c>
      <c r="Y531">
        <v>10.34</v>
      </c>
      <c r="AC531">
        <v>10.34</v>
      </c>
      <c r="BH531" t="s">
        <v>126</v>
      </c>
      <c r="BI531" t="s">
        <v>126</v>
      </c>
      <c r="BJ531" t="s">
        <v>126</v>
      </c>
      <c r="BK531" t="s">
        <v>126</v>
      </c>
      <c r="BS531" t="s">
        <v>126</v>
      </c>
      <c r="BT531" t="s">
        <v>126</v>
      </c>
      <c r="BU531" t="s">
        <v>126</v>
      </c>
      <c r="BV531" t="s">
        <v>126</v>
      </c>
      <c r="CN531" t="s">
        <v>147</v>
      </c>
      <c r="CP531" t="s">
        <v>258</v>
      </c>
      <c r="CQ531" t="s">
        <v>147</v>
      </c>
    </row>
    <row r="532" spans="1:95" x14ac:dyDescent="0.2">
      <c r="A532" t="s">
        <v>115</v>
      </c>
      <c r="B532" t="s">
        <v>116</v>
      </c>
      <c r="C532">
        <v>210784</v>
      </c>
      <c r="E532" t="s">
        <v>117</v>
      </c>
      <c r="F532">
        <v>368</v>
      </c>
      <c r="G532" t="s">
        <v>141</v>
      </c>
      <c r="H532" t="s">
        <v>142</v>
      </c>
      <c r="I532" t="s">
        <v>279</v>
      </c>
      <c r="J532" t="s">
        <v>280</v>
      </c>
      <c r="L532" s="14">
        <v>45603</v>
      </c>
      <c r="M532" s="18">
        <f t="shared" si="11"/>
        <v>45597</v>
      </c>
      <c r="N532">
        <v>5608272</v>
      </c>
      <c r="O532" t="s">
        <v>123</v>
      </c>
      <c r="P532" t="s">
        <v>146</v>
      </c>
      <c r="Q532">
        <v>1.1100000000000001</v>
      </c>
      <c r="R532" t="s">
        <v>125</v>
      </c>
      <c r="S532" t="s">
        <v>126</v>
      </c>
      <c r="T532" t="s">
        <v>125</v>
      </c>
      <c r="U532" t="s">
        <v>126</v>
      </c>
      <c r="W532">
        <v>1.1100000000000001</v>
      </c>
      <c r="Y532">
        <v>1.1100000000000001</v>
      </c>
      <c r="AS532">
        <v>1.1100000000000001</v>
      </c>
      <c r="BH532" t="s">
        <v>126</v>
      </c>
      <c r="BI532" t="s">
        <v>126</v>
      </c>
      <c r="BJ532" t="s">
        <v>126</v>
      </c>
      <c r="BK532" t="s">
        <v>126</v>
      </c>
      <c r="BS532" t="s">
        <v>126</v>
      </c>
      <c r="BT532" t="s">
        <v>126</v>
      </c>
      <c r="BU532" t="s">
        <v>126</v>
      </c>
      <c r="BV532" t="s">
        <v>126</v>
      </c>
      <c r="CN532" t="s">
        <v>147</v>
      </c>
      <c r="CP532" t="s">
        <v>329</v>
      </c>
      <c r="CQ532" t="s">
        <v>147</v>
      </c>
    </row>
    <row r="533" spans="1:95" x14ac:dyDescent="0.2">
      <c r="A533" t="s">
        <v>115</v>
      </c>
      <c r="B533" t="s">
        <v>116</v>
      </c>
      <c r="C533">
        <v>210784</v>
      </c>
      <c r="E533" t="s">
        <v>117</v>
      </c>
      <c r="F533">
        <v>368</v>
      </c>
      <c r="G533" t="s">
        <v>141</v>
      </c>
      <c r="H533" t="s">
        <v>142</v>
      </c>
      <c r="I533" t="s">
        <v>279</v>
      </c>
      <c r="J533" t="s">
        <v>280</v>
      </c>
      <c r="L533" s="14">
        <v>45603</v>
      </c>
      <c r="M533" s="18">
        <f t="shared" si="11"/>
        <v>45597</v>
      </c>
      <c r="N533">
        <v>5608196</v>
      </c>
      <c r="O533" t="s">
        <v>123</v>
      </c>
      <c r="P533" t="s">
        <v>146</v>
      </c>
      <c r="Q533">
        <v>4.2</v>
      </c>
      <c r="R533" t="s">
        <v>125</v>
      </c>
      <c r="S533" t="s">
        <v>126</v>
      </c>
      <c r="T533" t="s">
        <v>125</v>
      </c>
      <c r="U533" t="s">
        <v>126</v>
      </c>
      <c r="W533">
        <v>4.2</v>
      </c>
      <c r="Y533">
        <v>4.2</v>
      </c>
      <c r="AS533">
        <v>4.2</v>
      </c>
      <c r="BH533" t="s">
        <v>126</v>
      </c>
      <c r="BI533" t="s">
        <v>126</v>
      </c>
      <c r="BJ533" t="s">
        <v>126</v>
      </c>
      <c r="BK533" t="s">
        <v>126</v>
      </c>
      <c r="BS533" t="s">
        <v>126</v>
      </c>
      <c r="BT533" t="s">
        <v>126</v>
      </c>
      <c r="BU533" t="s">
        <v>126</v>
      </c>
      <c r="BV533" t="s">
        <v>126</v>
      </c>
      <c r="CN533" t="s">
        <v>147</v>
      </c>
      <c r="CP533" t="s">
        <v>329</v>
      </c>
      <c r="CQ533" t="s">
        <v>147</v>
      </c>
    </row>
    <row r="534" spans="1:95" x14ac:dyDescent="0.2">
      <c r="A534" t="s">
        <v>115</v>
      </c>
      <c r="B534" t="s">
        <v>116</v>
      </c>
      <c r="C534">
        <v>210784</v>
      </c>
      <c r="E534" t="s">
        <v>117</v>
      </c>
      <c r="F534">
        <v>368</v>
      </c>
      <c r="G534" t="s">
        <v>141</v>
      </c>
      <c r="H534" t="s">
        <v>142</v>
      </c>
      <c r="I534" t="s">
        <v>279</v>
      </c>
      <c r="J534" t="s">
        <v>280</v>
      </c>
      <c r="L534" s="14">
        <v>45604</v>
      </c>
      <c r="M534" s="18">
        <f t="shared" si="11"/>
        <v>45597</v>
      </c>
      <c r="N534">
        <v>5609080</v>
      </c>
      <c r="O534" t="s">
        <v>123</v>
      </c>
      <c r="P534" t="s">
        <v>146</v>
      </c>
      <c r="Q534">
        <v>3.59</v>
      </c>
      <c r="R534" t="s">
        <v>125</v>
      </c>
      <c r="S534" t="s">
        <v>126</v>
      </c>
      <c r="T534" t="s">
        <v>125</v>
      </c>
      <c r="U534" t="s">
        <v>126</v>
      </c>
      <c r="W534">
        <v>3.59</v>
      </c>
      <c r="Y534">
        <v>3.59</v>
      </c>
      <c r="AS534">
        <v>3.59</v>
      </c>
      <c r="BH534" t="s">
        <v>126</v>
      </c>
      <c r="BI534" t="s">
        <v>126</v>
      </c>
      <c r="BJ534" t="s">
        <v>126</v>
      </c>
      <c r="BK534" t="s">
        <v>126</v>
      </c>
      <c r="BS534" t="s">
        <v>126</v>
      </c>
      <c r="BT534" t="s">
        <v>126</v>
      </c>
      <c r="BU534" t="s">
        <v>126</v>
      </c>
      <c r="BV534" t="s">
        <v>126</v>
      </c>
      <c r="CN534" t="s">
        <v>147</v>
      </c>
      <c r="CP534" t="s">
        <v>329</v>
      </c>
      <c r="CQ534" t="s">
        <v>147</v>
      </c>
    </row>
    <row r="535" spans="1:95" x14ac:dyDescent="0.2">
      <c r="A535" t="s">
        <v>115</v>
      </c>
      <c r="B535" t="s">
        <v>116</v>
      </c>
      <c r="C535">
        <v>210784</v>
      </c>
      <c r="E535" t="s">
        <v>117</v>
      </c>
      <c r="F535">
        <v>368</v>
      </c>
      <c r="G535" t="s">
        <v>141</v>
      </c>
      <c r="H535" t="s">
        <v>142</v>
      </c>
      <c r="I535" t="s">
        <v>279</v>
      </c>
      <c r="J535" t="s">
        <v>280</v>
      </c>
      <c r="L535" s="14">
        <v>45608</v>
      </c>
      <c r="M535" s="18">
        <f t="shared" si="11"/>
        <v>45597</v>
      </c>
      <c r="N535">
        <v>5619761</v>
      </c>
      <c r="O535" t="s">
        <v>123</v>
      </c>
      <c r="P535" t="s">
        <v>146</v>
      </c>
      <c r="Q535">
        <v>3.79</v>
      </c>
      <c r="R535" t="s">
        <v>125</v>
      </c>
      <c r="S535" t="s">
        <v>126</v>
      </c>
      <c r="T535" t="s">
        <v>125</v>
      </c>
      <c r="U535" t="s">
        <v>126</v>
      </c>
      <c r="W535">
        <v>3.79</v>
      </c>
      <c r="Y535">
        <v>3.79</v>
      </c>
      <c r="AS535">
        <v>3.79</v>
      </c>
      <c r="BH535" t="s">
        <v>126</v>
      </c>
      <c r="BI535" t="s">
        <v>126</v>
      </c>
      <c r="BJ535" t="s">
        <v>126</v>
      </c>
      <c r="BK535" t="s">
        <v>126</v>
      </c>
      <c r="BS535" t="s">
        <v>126</v>
      </c>
      <c r="BT535" t="s">
        <v>126</v>
      </c>
      <c r="BU535" t="s">
        <v>126</v>
      </c>
      <c r="BV535" t="s">
        <v>126</v>
      </c>
      <c r="CN535" t="s">
        <v>147</v>
      </c>
      <c r="CP535" t="s">
        <v>329</v>
      </c>
      <c r="CQ535" t="s">
        <v>147</v>
      </c>
    </row>
    <row r="536" spans="1:95" x14ac:dyDescent="0.2">
      <c r="A536" t="s">
        <v>115</v>
      </c>
      <c r="B536" t="s">
        <v>116</v>
      </c>
      <c r="C536">
        <v>210784</v>
      </c>
      <c r="E536" t="s">
        <v>117</v>
      </c>
      <c r="F536">
        <v>368</v>
      </c>
      <c r="G536" t="s">
        <v>141</v>
      </c>
      <c r="H536" t="s">
        <v>142</v>
      </c>
      <c r="I536" t="s">
        <v>279</v>
      </c>
      <c r="J536" t="s">
        <v>280</v>
      </c>
      <c r="L536" s="14">
        <v>45608</v>
      </c>
      <c r="M536" s="18">
        <f t="shared" si="11"/>
        <v>45597</v>
      </c>
      <c r="N536">
        <v>5610820</v>
      </c>
      <c r="O536" t="s">
        <v>123</v>
      </c>
      <c r="P536" t="s">
        <v>146</v>
      </c>
      <c r="Q536">
        <v>0.84</v>
      </c>
      <c r="R536" t="s">
        <v>125</v>
      </c>
      <c r="S536" t="s">
        <v>126</v>
      </c>
      <c r="T536" t="s">
        <v>125</v>
      </c>
      <c r="U536" t="s">
        <v>126</v>
      </c>
      <c r="W536">
        <v>0.84</v>
      </c>
      <c r="Y536">
        <v>0.84</v>
      </c>
      <c r="AS536">
        <v>0.84</v>
      </c>
      <c r="BH536" t="s">
        <v>126</v>
      </c>
      <c r="BI536" t="s">
        <v>126</v>
      </c>
      <c r="BJ536" t="s">
        <v>126</v>
      </c>
      <c r="BK536" t="s">
        <v>126</v>
      </c>
      <c r="BS536" t="s">
        <v>126</v>
      </c>
      <c r="BT536" t="s">
        <v>126</v>
      </c>
      <c r="BU536" t="s">
        <v>126</v>
      </c>
      <c r="BV536" t="s">
        <v>126</v>
      </c>
      <c r="CN536" t="s">
        <v>147</v>
      </c>
      <c r="CP536" t="s">
        <v>329</v>
      </c>
      <c r="CQ536" t="s">
        <v>147</v>
      </c>
    </row>
    <row r="537" spans="1:95" x14ac:dyDescent="0.2">
      <c r="A537" t="s">
        <v>115</v>
      </c>
      <c r="B537" t="s">
        <v>116</v>
      </c>
      <c r="C537">
        <v>210784</v>
      </c>
      <c r="E537" t="s">
        <v>117</v>
      </c>
      <c r="F537">
        <v>368</v>
      </c>
      <c r="G537" t="s">
        <v>141</v>
      </c>
      <c r="H537" t="s">
        <v>142</v>
      </c>
      <c r="I537" t="s">
        <v>279</v>
      </c>
      <c r="J537" t="s">
        <v>280</v>
      </c>
      <c r="L537" s="14">
        <v>45608</v>
      </c>
      <c r="M537" s="18">
        <f t="shared" si="11"/>
        <v>45597</v>
      </c>
      <c r="N537">
        <v>5610548</v>
      </c>
      <c r="O537" t="s">
        <v>123</v>
      </c>
      <c r="P537" t="s">
        <v>146</v>
      </c>
      <c r="Q537">
        <v>3.79</v>
      </c>
      <c r="R537" t="s">
        <v>125</v>
      </c>
      <c r="S537" t="s">
        <v>126</v>
      </c>
      <c r="T537" t="s">
        <v>125</v>
      </c>
      <c r="U537" t="s">
        <v>126</v>
      </c>
      <c r="W537">
        <v>3.79</v>
      </c>
      <c r="Y537">
        <v>3.79</v>
      </c>
      <c r="BE537">
        <v>3.79</v>
      </c>
      <c r="BH537" t="s">
        <v>126</v>
      </c>
      <c r="BI537" t="s">
        <v>126</v>
      </c>
      <c r="BJ537" t="s">
        <v>126</v>
      </c>
      <c r="BK537" t="s">
        <v>126</v>
      </c>
      <c r="BS537" t="s">
        <v>126</v>
      </c>
      <c r="BT537" t="s">
        <v>126</v>
      </c>
      <c r="BU537" t="s">
        <v>126</v>
      </c>
      <c r="BV537" t="s">
        <v>126</v>
      </c>
      <c r="CN537" t="s">
        <v>147</v>
      </c>
      <c r="CP537" t="s">
        <v>329</v>
      </c>
      <c r="CQ537" t="s">
        <v>147</v>
      </c>
    </row>
    <row r="538" spans="1:95" x14ac:dyDescent="0.2">
      <c r="A538" t="s">
        <v>115</v>
      </c>
      <c r="B538" t="s">
        <v>116</v>
      </c>
      <c r="C538">
        <v>210784</v>
      </c>
      <c r="E538" t="s">
        <v>117</v>
      </c>
      <c r="F538">
        <v>368</v>
      </c>
      <c r="G538" t="s">
        <v>141</v>
      </c>
      <c r="H538" t="s">
        <v>142</v>
      </c>
      <c r="I538" t="s">
        <v>279</v>
      </c>
      <c r="J538" t="s">
        <v>280</v>
      </c>
      <c r="L538" s="14">
        <v>45609</v>
      </c>
      <c r="M538" s="18">
        <f t="shared" si="11"/>
        <v>45597</v>
      </c>
      <c r="N538">
        <v>5611753</v>
      </c>
      <c r="O538" t="s">
        <v>123</v>
      </c>
      <c r="P538" t="s">
        <v>146</v>
      </c>
      <c r="Q538">
        <v>2.37</v>
      </c>
      <c r="R538" t="s">
        <v>125</v>
      </c>
      <c r="S538" t="s">
        <v>126</v>
      </c>
      <c r="T538" t="s">
        <v>125</v>
      </c>
      <c r="U538" t="s">
        <v>126</v>
      </c>
      <c r="W538">
        <v>2.37</v>
      </c>
      <c r="Y538">
        <v>2.37</v>
      </c>
      <c r="AS538">
        <v>2.37</v>
      </c>
      <c r="BH538" t="s">
        <v>126</v>
      </c>
      <c r="BI538" t="s">
        <v>126</v>
      </c>
      <c r="BJ538" t="s">
        <v>126</v>
      </c>
      <c r="BK538" t="s">
        <v>126</v>
      </c>
      <c r="BS538" t="s">
        <v>126</v>
      </c>
      <c r="BT538" t="s">
        <v>126</v>
      </c>
      <c r="BU538" t="s">
        <v>126</v>
      </c>
      <c r="BV538" t="s">
        <v>126</v>
      </c>
      <c r="CN538" t="s">
        <v>147</v>
      </c>
      <c r="CP538" t="s">
        <v>329</v>
      </c>
      <c r="CQ538" t="s">
        <v>147</v>
      </c>
    </row>
    <row r="539" spans="1:95" x14ac:dyDescent="0.2">
      <c r="A539" t="s">
        <v>115</v>
      </c>
      <c r="B539" t="s">
        <v>116</v>
      </c>
      <c r="C539">
        <v>210784</v>
      </c>
      <c r="E539" t="s">
        <v>117</v>
      </c>
      <c r="F539">
        <v>368</v>
      </c>
      <c r="G539" t="s">
        <v>141</v>
      </c>
      <c r="H539" t="s">
        <v>142</v>
      </c>
      <c r="I539" t="s">
        <v>279</v>
      </c>
      <c r="J539" t="s">
        <v>280</v>
      </c>
      <c r="L539" s="14">
        <v>45609</v>
      </c>
      <c r="M539" s="18">
        <f t="shared" si="11"/>
        <v>45597</v>
      </c>
      <c r="N539">
        <v>5611594</v>
      </c>
      <c r="O539" t="s">
        <v>123</v>
      </c>
      <c r="P539" t="s">
        <v>146</v>
      </c>
      <c r="Q539">
        <v>1.2</v>
      </c>
      <c r="R539" t="s">
        <v>125</v>
      </c>
      <c r="S539" t="s">
        <v>126</v>
      </c>
      <c r="T539" t="s">
        <v>125</v>
      </c>
      <c r="U539" t="s">
        <v>126</v>
      </c>
      <c r="W539">
        <v>1.2</v>
      </c>
      <c r="Y539">
        <v>1.2</v>
      </c>
      <c r="BE539">
        <v>1.2</v>
      </c>
      <c r="BH539" t="s">
        <v>126</v>
      </c>
      <c r="BI539" t="s">
        <v>126</v>
      </c>
      <c r="BJ539" t="s">
        <v>126</v>
      </c>
      <c r="BK539" t="s">
        <v>126</v>
      </c>
      <c r="BS539" t="s">
        <v>126</v>
      </c>
      <c r="BT539" t="s">
        <v>126</v>
      </c>
      <c r="BU539" t="s">
        <v>126</v>
      </c>
      <c r="BV539" t="s">
        <v>126</v>
      </c>
      <c r="CN539" t="s">
        <v>147</v>
      </c>
      <c r="CP539" t="s">
        <v>329</v>
      </c>
      <c r="CQ539" t="s">
        <v>147</v>
      </c>
    </row>
    <row r="540" spans="1:95" x14ac:dyDescent="0.2">
      <c r="A540" t="s">
        <v>115</v>
      </c>
      <c r="B540" t="s">
        <v>116</v>
      </c>
      <c r="C540">
        <v>210784</v>
      </c>
      <c r="E540" t="s">
        <v>117</v>
      </c>
      <c r="F540">
        <v>368</v>
      </c>
      <c r="G540" t="s">
        <v>141</v>
      </c>
      <c r="H540" t="s">
        <v>142</v>
      </c>
      <c r="I540" t="s">
        <v>279</v>
      </c>
      <c r="J540" t="s">
        <v>280</v>
      </c>
      <c r="L540" s="14">
        <v>45610</v>
      </c>
      <c r="M540" s="18">
        <f t="shared" si="11"/>
        <v>45597</v>
      </c>
      <c r="N540">
        <v>5612545</v>
      </c>
      <c r="O540" t="s">
        <v>123</v>
      </c>
      <c r="P540" t="s">
        <v>146</v>
      </c>
      <c r="Q540">
        <v>3.51</v>
      </c>
      <c r="R540" t="s">
        <v>125</v>
      </c>
      <c r="S540" t="s">
        <v>126</v>
      </c>
      <c r="T540" t="s">
        <v>125</v>
      </c>
      <c r="U540" t="s">
        <v>126</v>
      </c>
      <c r="W540">
        <v>3.51</v>
      </c>
      <c r="Y540">
        <v>3.51</v>
      </c>
      <c r="AS540">
        <v>3.51</v>
      </c>
      <c r="BH540" t="s">
        <v>126</v>
      </c>
      <c r="BI540" t="s">
        <v>126</v>
      </c>
      <c r="BJ540" t="s">
        <v>126</v>
      </c>
      <c r="BK540" t="s">
        <v>126</v>
      </c>
      <c r="BS540" t="s">
        <v>126</v>
      </c>
      <c r="BT540" t="s">
        <v>126</v>
      </c>
      <c r="BU540" t="s">
        <v>126</v>
      </c>
      <c r="BV540" t="s">
        <v>126</v>
      </c>
      <c r="CN540" t="s">
        <v>147</v>
      </c>
      <c r="CP540" t="s">
        <v>329</v>
      </c>
      <c r="CQ540" t="s">
        <v>147</v>
      </c>
    </row>
    <row r="541" spans="1:95" x14ac:dyDescent="0.2">
      <c r="A541" t="s">
        <v>115</v>
      </c>
      <c r="B541" t="s">
        <v>116</v>
      </c>
      <c r="C541">
        <v>210784</v>
      </c>
      <c r="E541" t="s">
        <v>117</v>
      </c>
      <c r="F541">
        <v>368</v>
      </c>
      <c r="G541" t="s">
        <v>141</v>
      </c>
      <c r="H541" t="s">
        <v>142</v>
      </c>
      <c r="I541" t="s">
        <v>279</v>
      </c>
      <c r="J541" t="s">
        <v>280</v>
      </c>
      <c r="L541" s="14">
        <v>45611</v>
      </c>
      <c r="M541" s="18">
        <f t="shared" si="11"/>
        <v>45597</v>
      </c>
      <c r="N541">
        <v>5613317</v>
      </c>
      <c r="O541" t="s">
        <v>123</v>
      </c>
      <c r="P541" t="s">
        <v>146</v>
      </c>
      <c r="Q541">
        <v>2.5099999999999998</v>
      </c>
      <c r="R541" t="s">
        <v>125</v>
      </c>
      <c r="S541" t="s">
        <v>126</v>
      </c>
      <c r="T541" t="s">
        <v>125</v>
      </c>
      <c r="U541" t="s">
        <v>126</v>
      </c>
      <c r="W541">
        <v>2.5099999999999998</v>
      </c>
      <c r="Y541">
        <v>2.5099999999999998</v>
      </c>
      <c r="AS541">
        <v>2.5099999999999998</v>
      </c>
      <c r="BH541" t="s">
        <v>126</v>
      </c>
      <c r="BI541" t="s">
        <v>126</v>
      </c>
      <c r="BJ541" t="s">
        <v>126</v>
      </c>
      <c r="BK541" t="s">
        <v>126</v>
      </c>
      <c r="BS541" t="s">
        <v>126</v>
      </c>
      <c r="BT541" t="s">
        <v>126</v>
      </c>
      <c r="BU541" t="s">
        <v>126</v>
      </c>
      <c r="BV541" t="s">
        <v>126</v>
      </c>
      <c r="CN541" t="s">
        <v>147</v>
      </c>
      <c r="CP541" t="s">
        <v>329</v>
      </c>
      <c r="CQ541" t="s">
        <v>147</v>
      </c>
    </row>
    <row r="542" spans="1:95" x14ac:dyDescent="0.2">
      <c r="A542" t="s">
        <v>115</v>
      </c>
      <c r="B542" t="s">
        <v>116</v>
      </c>
      <c r="C542">
        <v>210784</v>
      </c>
      <c r="E542" t="s">
        <v>117</v>
      </c>
      <c r="F542">
        <v>368</v>
      </c>
      <c r="G542" t="s">
        <v>141</v>
      </c>
      <c r="H542" t="s">
        <v>142</v>
      </c>
      <c r="I542" t="s">
        <v>279</v>
      </c>
      <c r="J542" t="s">
        <v>280</v>
      </c>
      <c r="L542" s="14">
        <v>45612</v>
      </c>
      <c r="M542" s="18">
        <f t="shared" si="11"/>
        <v>45597</v>
      </c>
      <c r="N542">
        <v>5613599</v>
      </c>
      <c r="O542" t="s">
        <v>123</v>
      </c>
      <c r="P542" t="s">
        <v>146</v>
      </c>
      <c r="Q542">
        <v>0.82000000000000006</v>
      </c>
      <c r="R542" t="s">
        <v>660</v>
      </c>
      <c r="S542" t="s">
        <v>126</v>
      </c>
      <c r="T542" t="s">
        <v>660</v>
      </c>
      <c r="U542" t="s">
        <v>661</v>
      </c>
      <c r="W542">
        <v>0.25</v>
      </c>
      <c r="X542">
        <v>0.57000000000000006</v>
      </c>
      <c r="Y542">
        <v>0.82000000000000006</v>
      </c>
      <c r="Z542">
        <v>0.31</v>
      </c>
      <c r="AG542">
        <v>0.25</v>
      </c>
      <c r="AI542">
        <v>0.26</v>
      </c>
      <c r="BH542" t="s">
        <v>126</v>
      </c>
      <c r="BI542" t="s">
        <v>126</v>
      </c>
      <c r="BJ542" t="s">
        <v>126</v>
      </c>
      <c r="BK542" t="s">
        <v>126</v>
      </c>
      <c r="BS542" t="s">
        <v>126</v>
      </c>
      <c r="BT542" t="s">
        <v>126</v>
      </c>
      <c r="BU542" t="s">
        <v>126</v>
      </c>
      <c r="BV542" t="s">
        <v>126</v>
      </c>
      <c r="CN542" t="s">
        <v>147</v>
      </c>
      <c r="CP542" t="s">
        <v>329</v>
      </c>
      <c r="CQ542" t="s">
        <v>147</v>
      </c>
    </row>
    <row r="543" spans="1:95" x14ac:dyDescent="0.2">
      <c r="A543" t="s">
        <v>115</v>
      </c>
      <c r="B543" t="s">
        <v>116</v>
      </c>
      <c r="C543">
        <v>210784</v>
      </c>
      <c r="E543" t="s">
        <v>117</v>
      </c>
      <c r="F543">
        <v>368</v>
      </c>
      <c r="G543" t="s">
        <v>141</v>
      </c>
      <c r="H543" t="s">
        <v>142</v>
      </c>
      <c r="I543" t="s">
        <v>279</v>
      </c>
      <c r="J543" t="s">
        <v>280</v>
      </c>
      <c r="L543" s="14">
        <v>45614</v>
      </c>
      <c r="M543" s="18">
        <f t="shared" si="11"/>
        <v>45597</v>
      </c>
      <c r="N543">
        <v>5614316</v>
      </c>
      <c r="O543" t="s">
        <v>123</v>
      </c>
      <c r="P543" t="s">
        <v>146</v>
      </c>
      <c r="Q543">
        <v>3.01</v>
      </c>
      <c r="R543" t="s">
        <v>125</v>
      </c>
      <c r="S543" t="s">
        <v>126</v>
      </c>
      <c r="T543" t="s">
        <v>125</v>
      </c>
      <c r="U543" t="s">
        <v>126</v>
      </c>
      <c r="W543">
        <v>3.01</v>
      </c>
      <c r="Y543">
        <v>3.01</v>
      </c>
      <c r="AS543">
        <v>3.01</v>
      </c>
      <c r="BH543" t="s">
        <v>126</v>
      </c>
      <c r="BI543" t="s">
        <v>126</v>
      </c>
      <c r="BJ543" t="s">
        <v>126</v>
      </c>
      <c r="BK543" t="s">
        <v>126</v>
      </c>
      <c r="BS543" t="s">
        <v>126</v>
      </c>
      <c r="BT543" t="s">
        <v>126</v>
      </c>
      <c r="BU543" t="s">
        <v>126</v>
      </c>
      <c r="BV543" t="s">
        <v>126</v>
      </c>
      <c r="CN543" t="s">
        <v>147</v>
      </c>
      <c r="CP543" t="s">
        <v>329</v>
      </c>
      <c r="CQ543" t="s">
        <v>147</v>
      </c>
    </row>
    <row r="544" spans="1:95" x14ac:dyDescent="0.2">
      <c r="A544" t="s">
        <v>115</v>
      </c>
      <c r="B544" t="s">
        <v>116</v>
      </c>
      <c r="C544">
        <v>210784</v>
      </c>
      <c r="E544" t="s">
        <v>117</v>
      </c>
      <c r="F544">
        <v>368</v>
      </c>
      <c r="G544" t="s">
        <v>141</v>
      </c>
      <c r="H544" t="s">
        <v>142</v>
      </c>
      <c r="I544" t="s">
        <v>279</v>
      </c>
      <c r="J544" t="s">
        <v>280</v>
      </c>
      <c r="L544" s="14">
        <v>45615</v>
      </c>
      <c r="M544" s="18">
        <f t="shared" si="11"/>
        <v>45597</v>
      </c>
      <c r="N544">
        <v>5614779</v>
      </c>
      <c r="O544" t="s">
        <v>123</v>
      </c>
      <c r="P544" t="s">
        <v>146</v>
      </c>
      <c r="Q544">
        <v>1.72</v>
      </c>
      <c r="R544" t="s">
        <v>125</v>
      </c>
      <c r="S544" t="s">
        <v>126</v>
      </c>
      <c r="T544" t="s">
        <v>125</v>
      </c>
      <c r="U544" t="s">
        <v>126</v>
      </c>
      <c r="W544">
        <v>1.72</v>
      </c>
      <c r="Y544">
        <v>1.72</v>
      </c>
      <c r="AS544">
        <v>1.72</v>
      </c>
      <c r="BH544" t="s">
        <v>126</v>
      </c>
      <c r="BI544" t="s">
        <v>126</v>
      </c>
      <c r="BJ544" t="s">
        <v>126</v>
      </c>
      <c r="BK544" t="s">
        <v>126</v>
      </c>
      <c r="BS544" t="s">
        <v>126</v>
      </c>
      <c r="BT544" t="s">
        <v>126</v>
      </c>
      <c r="BU544" t="s">
        <v>126</v>
      </c>
      <c r="BV544" t="s">
        <v>126</v>
      </c>
      <c r="CN544" t="s">
        <v>147</v>
      </c>
      <c r="CP544" t="s">
        <v>329</v>
      </c>
      <c r="CQ544" t="s">
        <v>147</v>
      </c>
    </row>
    <row r="545" spans="1:95" x14ac:dyDescent="0.2">
      <c r="A545" t="s">
        <v>115</v>
      </c>
      <c r="B545" t="s">
        <v>116</v>
      </c>
      <c r="C545">
        <v>210784</v>
      </c>
      <c r="E545" t="s">
        <v>117</v>
      </c>
      <c r="F545">
        <v>368</v>
      </c>
      <c r="G545" t="s">
        <v>141</v>
      </c>
      <c r="H545" t="s">
        <v>142</v>
      </c>
      <c r="I545" t="s">
        <v>279</v>
      </c>
      <c r="J545" t="s">
        <v>280</v>
      </c>
      <c r="L545" s="14">
        <v>45615</v>
      </c>
      <c r="M545" s="18">
        <f t="shared" si="11"/>
        <v>45597</v>
      </c>
      <c r="N545">
        <v>5615180</v>
      </c>
      <c r="O545" t="s">
        <v>123</v>
      </c>
      <c r="P545" t="s">
        <v>146</v>
      </c>
      <c r="Q545">
        <v>5.57</v>
      </c>
      <c r="R545" t="s">
        <v>125</v>
      </c>
      <c r="S545" t="s">
        <v>126</v>
      </c>
      <c r="T545" t="s">
        <v>125</v>
      </c>
      <c r="U545" t="s">
        <v>126</v>
      </c>
      <c r="W545">
        <v>5.57</v>
      </c>
      <c r="Y545">
        <v>5.57</v>
      </c>
      <c r="AS545">
        <v>5.57</v>
      </c>
      <c r="BH545" t="s">
        <v>126</v>
      </c>
      <c r="BI545" t="s">
        <v>126</v>
      </c>
      <c r="BJ545" t="s">
        <v>126</v>
      </c>
      <c r="BK545" t="s">
        <v>126</v>
      </c>
      <c r="BS545" t="s">
        <v>126</v>
      </c>
      <c r="BT545" t="s">
        <v>126</v>
      </c>
      <c r="BU545" t="s">
        <v>126</v>
      </c>
      <c r="BV545" t="s">
        <v>126</v>
      </c>
      <c r="CN545" t="s">
        <v>147</v>
      </c>
      <c r="CP545" t="s">
        <v>329</v>
      </c>
      <c r="CQ545" t="s">
        <v>147</v>
      </c>
    </row>
    <row r="546" spans="1:95" x14ac:dyDescent="0.2">
      <c r="A546" t="s">
        <v>115</v>
      </c>
      <c r="B546" t="s">
        <v>116</v>
      </c>
      <c r="C546">
        <v>210784</v>
      </c>
      <c r="E546" t="s">
        <v>117</v>
      </c>
      <c r="F546">
        <v>368</v>
      </c>
      <c r="G546" t="s">
        <v>141</v>
      </c>
      <c r="H546" t="s">
        <v>142</v>
      </c>
      <c r="I546" t="s">
        <v>204</v>
      </c>
      <c r="J546" t="s">
        <v>205</v>
      </c>
      <c r="L546" s="14">
        <v>45617</v>
      </c>
      <c r="M546" s="18">
        <f t="shared" si="11"/>
        <v>45597</v>
      </c>
      <c r="N546">
        <v>112719</v>
      </c>
      <c r="O546" t="s">
        <v>123</v>
      </c>
      <c r="P546" t="s">
        <v>146</v>
      </c>
      <c r="Q546">
        <v>8.1999999999999993</v>
      </c>
      <c r="R546" t="s">
        <v>125</v>
      </c>
      <c r="S546" t="s">
        <v>126</v>
      </c>
      <c r="T546" t="s">
        <v>125</v>
      </c>
      <c r="U546" t="s">
        <v>126</v>
      </c>
      <c r="W546">
        <v>8.1999999999999993</v>
      </c>
      <c r="Y546">
        <v>8.1999999999999993</v>
      </c>
      <c r="AC546">
        <v>8.1999999999999993</v>
      </c>
      <c r="BH546" t="s">
        <v>126</v>
      </c>
      <c r="BI546" t="s">
        <v>126</v>
      </c>
      <c r="BJ546" t="s">
        <v>126</v>
      </c>
      <c r="BK546" t="s">
        <v>126</v>
      </c>
      <c r="BS546" t="s">
        <v>126</v>
      </c>
      <c r="BT546" t="s">
        <v>126</v>
      </c>
      <c r="BU546" t="s">
        <v>126</v>
      </c>
      <c r="BV546" t="s">
        <v>126</v>
      </c>
      <c r="CN546" t="s">
        <v>147</v>
      </c>
      <c r="CP546" t="s">
        <v>258</v>
      </c>
      <c r="CQ546" t="s">
        <v>147</v>
      </c>
    </row>
    <row r="547" spans="1:95" x14ac:dyDescent="0.2">
      <c r="A547" t="s">
        <v>115</v>
      </c>
      <c r="B547" t="s">
        <v>116</v>
      </c>
      <c r="C547">
        <v>210784</v>
      </c>
      <c r="E547" t="s">
        <v>117</v>
      </c>
      <c r="F547">
        <v>368</v>
      </c>
      <c r="G547" t="s">
        <v>141</v>
      </c>
      <c r="H547" t="s">
        <v>142</v>
      </c>
      <c r="I547" t="s">
        <v>279</v>
      </c>
      <c r="J547" t="s">
        <v>280</v>
      </c>
      <c r="L547" s="14">
        <v>45617</v>
      </c>
      <c r="M547" s="18">
        <f t="shared" si="11"/>
        <v>45597</v>
      </c>
      <c r="N547">
        <v>5616742</v>
      </c>
      <c r="O547" t="s">
        <v>123</v>
      </c>
      <c r="P547" t="s">
        <v>146</v>
      </c>
      <c r="Q547">
        <v>2.48</v>
      </c>
      <c r="R547" t="s">
        <v>125</v>
      </c>
      <c r="S547" t="s">
        <v>126</v>
      </c>
      <c r="T547" t="s">
        <v>125</v>
      </c>
      <c r="U547" t="s">
        <v>126</v>
      </c>
      <c r="W547">
        <v>2.48</v>
      </c>
      <c r="Y547">
        <v>2.48</v>
      </c>
      <c r="AS547">
        <v>2.48</v>
      </c>
      <c r="BH547" t="s">
        <v>126</v>
      </c>
      <c r="BI547" t="s">
        <v>126</v>
      </c>
      <c r="BJ547" t="s">
        <v>126</v>
      </c>
      <c r="BK547" t="s">
        <v>126</v>
      </c>
      <c r="BS547" t="s">
        <v>126</v>
      </c>
      <c r="BT547" t="s">
        <v>126</v>
      </c>
      <c r="BU547" t="s">
        <v>126</v>
      </c>
      <c r="BV547" t="s">
        <v>126</v>
      </c>
      <c r="CN547" t="s">
        <v>147</v>
      </c>
      <c r="CP547" t="s">
        <v>329</v>
      </c>
      <c r="CQ547" t="s">
        <v>147</v>
      </c>
    </row>
    <row r="548" spans="1:95" x14ac:dyDescent="0.2">
      <c r="A548" t="s">
        <v>115</v>
      </c>
      <c r="B548" t="s">
        <v>116</v>
      </c>
      <c r="C548">
        <v>210784</v>
      </c>
      <c r="E548" t="s">
        <v>117</v>
      </c>
      <c r="F548">
        <v>368</v>
      </c>
      <c r="G548" t="s">
        <v>141</v>
      </c>
      <c r="H548" t="s">
        <v>142</v>
      </c>
      <c r="I548" t="s">
        <v>279</v>
      </c>
      <c r="J548" t="s">
        <v>280</v>
      </c>
      <c r="L548" s="14">
        <v>45618</v>
      </c>
      <c r="M548" s="18">
        <f t="shared" si="11"/>
        <v>45597</v>
      </c>
      <c r="N548">
        <v>5617013</v>
      </c>
      <c r="O548" t="s">
        <v>123</v>
      </c>
      <c r="P548" t="s">
        <v>146</v>
      </c>
      <c r="Q548">
        <v>4.82</v>
      </c>
      <c r="R548" t="s">
        <v>125</v>
      </c>
      <c r="S548" t="s">
        <v>126</v>
      </c>
      <c r="T548" t="s">
        <v>125</v>
      </c>
      <c r="U548" t="s">
        <v>126</v>
      </c>
      <c r="W548">
        <v>4.82</v>
      </c>
      <c r="Y548">
        <v>4.82</v>
      </c>
      <c r="AS548">
        <v>4.82</v>
      </c>
      <c r="BH548" t="s">
        <v>126</v>
      </c>
      <c r="BI548" t="s">
        <v>126</v>
      </c>
      <c r="BJ548" t="s">
        <v>126</v>
      </c>
      <c r="BK548" t="s">
        <v>126</v>
      </c>
      <c r="BS548" t="s">
        <v>126</v>
      </c>
      <c r="BT548" t="s">
        <v>126</v>
      </c>
      <c r="BU548" t="s">
        <v>126</v>
      </c>
      <c r="BV548" t="s">
        <v>126</v>
      </c>
      <c r="CN548" t="s">
        <v>147</v>
      </c>
      <c r="CP548" t="s">
        <v>329</v>
      </c>
      <c r="CQ548" t="s">
        <v>147</v>
      </c>
    </row>
    <row r="549" spans="1:95" x14ac:dyDescent="0.2">
      <c r="A549" t="s">
        <v>115</v>
      </c>
      <c r="B549" t="s">
        <v>116</v>
      </c>
      <c r="C549">
        <v>210784</v>
      </c>
      <c r="E549" t="s">
        <v>117</v>
      </c>
      <c r="F549">
        <v>368</v>
      </c>
      <c r="G549" t="s">
        <v>141</v>
      </c>
      <c r="H549" t="s">
        <v>142</v>
      </c>
      <c r="I549" t="s">
        <v>279</v>
      </c>
      <c r="J549" t="s">
        <v>280</v>
      </c>
      <c r="L549" s="14">
        <v>45618</v>
      </c>
      <c r="M549" s="18">
        <f t="shared" si="11"/>
        <v>45597</v>
      </c>
      <c r="N549">
        <v>5617478</v>
      </c>
      <c r="O549" t="s">
        <v>123</v>
      </c>
      <c r="P549" t="s">
        <v>146</v>
      </c>
      <c r="Q549">
        <v>0.38</v>
      </c>
      <c r="R549" t="s">
        <v>125</v>
      </c>
      <c r="S549" t="s">
        <v>126</v>
      </c>
      <c r="T549" t="s">
        <v>125</v>
      </c>
      <c r="U549" t="s">
        <v>126</v>
      </c>
      <c r="W549">
        <v>0.38</v>
      </c>
      <c r="Y549">
        <v>0.38</v>
      </c>
      <c r="AS549">
        <v>0.38</v>
      </c>
      <c r="BH549" t="s">
        <v>126</v>
      </c>
      <c r="BI549" t="s">
        <v>126</v>
      </c>
      <c r="BJ549" t="s">
        <v>126</v>
      </c>
      <c r="BK549" t="s">
        <v>126</v>
      </c>
      <c r="BS549" t="s">
        <v>126</v>
      </c>
      <c r="BT549" t="s">
        <v>126</v>
      </c>
      <c r="BU549" t="s">
        <v>126</v>
      </c>
      <c r="BV549" t="s">
        <v>126</v>
      </c>
      <c r="CN549" t="s">
        <v>147</v>
      </c>
      <c r="CP549" t="s">
        <v>329</v>
      </c>
      <c r="CQ549" t="s">
        <v>147</v>
      </c>
    </row>
    <row r="550" spans="1:95" x14ac:dyDescent="0.2">
      <c r="A550" t="s">
        <v>115</v>
      </c>
      <c r="B550" t="s">
        <v>116</v>
      </c>
      <c r="C550">
        <v>210784</v>
      </c>
      <c r="E550" t="s">
        <v>117</v>
      </c>
      <c r="F550">
        <v>368</v>
      </c>
      <c r="G550" t="s">
        <v>141</v>
      </c>
      <c r="H550" t="s">
        <v>142</v>
      </c>
      <c r="I550" t="s">
        <v>279</v>
      </c>
      <c r="J550" t="s">
        <v>280</v>
      </c>
      <c r="L550" s="14">
        <v>45618</v>
      </c>
      <c r="M550" s="18">
        <f t="shared" si="11"/>
        <v>45597</v>
      </c>
      <c r="N550">
        <v>5617555</v>
      </c>
      <c r="O550" t="s">
        <v>123</v>
      </c>
      <c r="P550" t="s">
        <v>146</v>
      </c>
      <c r="Q550">
        <v>2.1</v>
      </c>
      <c r="R550" t="s">
        <v>596</v>
      </c>
      <c r="S550" t="s">
        <v>126</v>
      </c>
      <c r="T550" t="s">
        <v>596</v>
      </c>
      <c r="U550" t="s">
        <v>597</v>
      </c>
      <c r="W550">
        <v>0.65</v>
      </c>
      <c r="X550">
        <v>1.4500000000000002</v>
      </c>
      <c r="Y550">
        <v>2.1</v>
      </c>
      <c r="Z550">
        <v>0.8</v>
      </c>
      <c r="AG550">
        <v>0.65</v>
      </c>
      <c r="AI550">
        <v>0.65</v>
      </c>
      <c r="BH550" t="s">
        <v>126</v>
      </c>
      <c r="BI550" t="s">
        <v>126</v>
      </c>
      <c r="BJ550" t="s">
        <v>126</v>
      </c>
      <c r="BK550" t="s">
        <v>126</v>
      </c>
      <c r="BS550" t="s">
        <v>126</v>
      </c>
      <c r="BT550" t="s">
        <v>126</v>
      </c>
      <c r="BU550" t="s">
        <v>126</v>
      </c>
      <c r="BV550" t="s">
        <v>126</v>
      </c>
      <c r="CN550" t="s">
        <v>147</v>
      </c>
      <c r="CP550" t="s">
        <v>329</v>
      </c>
      <c r="CQ550" t="s">
        <v>147</v>
      </c>
    </row>
    <row r="551" spans="1:95" x14ac:dyDescent="0.2">
      <c r="A551" t="s">
        <v>115</v>
      </c>
      <c r="B551" t="s">
        <v>116</v>
      </c>
      <c r="C551">
        <v>210784</v>
      </c>
      <c r="E551" t="s">
        <v>117</v>
      </c>
      <c r="F551">
        <v>368</v>
      </c>
      <c r="G551" t="s">
        <v>141</v>
      </c>
      <c r="H551" t="s">
        <v>142</v>
      </c>
      <c r="I551" t="s">
        <v>279</v>
      </c>
      <c r="J551" t="s">
        <v>280</v>
      </c>
      <c r="L551" s="14">
        <v>45618</v>
      </c>
      <c r="M551" s="18">
        <f t="shared" si="11"/>
        <v>45597</v>
      </c>
      <c r="N551">
        <v>5617391</v>
      </c>
      <c r="O551" t="s">
        <v>123</v>
      </c>
      <c r="P551" t="s">
        <v>146</v>
      </c>
      <c r="Q551">
        <v>1.47</v>
      </c>
      <c r="R551" t="s">
        <v>125</v>
      </c>
      <c r="S551" t="s">
        <v>126</v>
      </c>
      <c r="T551" t="s">
        <v>125</v>
      </c>
      <c r="U551" t="s">
        <v>126</v>
      </c>
      <c r="W551">
        <v>1.47</v>
      </c>
      <c r="Y551">
        <v>1.47</v>
      </c>
      <c r="BE551">
        <v>1.47</v>
      </c>
      <c r="BH551" t="s">
        <v>126</v>
      </c>
      <c r="BI551" t="s">
        <v>126</v>
      </c>
      <c r="BJ551" t="s">
        <v>126</v>
      </c>
      <c r="BK551" t="s">
        <v>126</v>
      </c>
      <c r="BS551" t="s">
        <v>126</v>
      </c>
      <c r="BT551" t="s">
        <v>126</v>
      </c>
      <c r="BU551" t="s">
        <v>126</v>
      </c>
      <c r="BV551" t="s">
        <v>126</v>
      </c>
      <c r="CN551" t="s">
        <v>147</v>
      </c>
      <c r="CP551" t="s">
        <v>329</v>
      </c>
      <c r="CQ551" t="s">
        <v>147</v>
      </c>
    </row>
    <row r="552" spans="1:95" x14ac:dyDescent="0.2">
      <c r="A552" t="s">
        <v>115</v>
      </c>
      <c r="B552" t="s">
        <v>116</v>
      </c>
      <c r="C552">
        <v>210784</v>
      </c>
      <c r="E552" t="s">
        <v>117</v>
      </c>
      <c r="F552">
        <v>368</v>
      </c>
      <c r="G552" t="s">
        <v>141</v>
      </c>
      <c r="H552" t="s">
        <v>142</v>
      </c>
      <c r="I552" t="s">
        <v>279</v>
      </c>
      <c r="J552" t="s">
        <v>280</v>
      </c>
      <c r="L552" s="14">
        <v>45621</v>
      </c>
      <c r="M552" s="18">
        <f t="shared" si="11"/>
        <v>45597</v>
      </c>
      <c r="N552">
        <v>5618298</v>
      </c>
      <c r="O552" t="s">
        <v>123</v>
      </c>
      <c r="P552" t="s">
        <v>146</v>
      </c>
      <c r="Q552">
        <v>0.99</v>
      </c>
      <c r="R552" t="s">
        <v>125</v>
      </c>
      <c r="S552" t="s">
        <v>126</v>
      </c>
      <c r="T552" t="s">
        <v>125</v>
      </c>
      <c r="U552" t="s">
        <v>126</v>
      </c>
      <c r="W552">
        <v>0.99</v>
      </c>
      <c r="Y552">
        <v>0.99</v>
      </c>
      <c r="AS552">
        <v>0.99</v>
      </c>
      <c r="BH552" t="s">
        <v>126</v>
      </c>
      <c r="BI552" t="s">
        <v>126</v>
      </c>
      <c r="BJ552" t="s">
        <v>126</v>
      </c>
      <c r="BK552" t="s">
        <v>126</v>
      </c>
      <c r="BS552" t="s">
        <v>126</v>
      </c>
      <c r="BT552" t="s">
        <v>126</v>
      </c>
      <c r="BU552" t="s">
        <v>126</v>
      </c>
      <c r="BV552" t="s">
        <v>126</v>
      </c>
      <c r="CN552" t="s">
        <v>147</v>
      </c>
      <c r="CP552" t="s">
        <v>329</v>
      </c>
      <c r="CQ552" t="s">
        <v>147</v>
      </c>
    </row>
    <row r="553" spans="1:95" x14ac:dyDescent="0.2">
      <c r="A553" t="s">
        <v>115</v>
      </c>
      <c r="B553" t="s">
        <v>116</v>
      </c>
      <c r="C553">
        <v>210784</v>
      </c>
      <c r="E553" t="s">
        <v>117</v>
      </c>
      <c r="F553">
        <v>368</v>
      </c>
      <c r="G553" t="s">
        <v>141</v>
      </c>
      <c r="H553" t="s">
        <v>142</v>
      </c>
      <c r="I553" t="s">
        <v>279</v>
      </c>
      <c r="J553" t="s">
        <v>280</v>
      </c>
      <c r="L553" s="14">
        <v>45621</v>
      </c>
      <c r="M553" s="18">
        <f t="shared" si="11"/>
        <v>45597</v>
      </c>
      <c r="N553">
        <v>5618302</v>
      </c>
      <c r="O553" t="s">
        <v>123</v>
      </c>
      <c r="P553" t="s">
        <v>146</v>
      </c>
      <c r="Q553">
        <v>1.27</v>
      </c>
      <c r="R553" t="s">
        <v>125</v>
      </c>
      <c r="S553" t="s">
        <v>126</v>
      </c>
      <c r="T553" t="s">
        <v>125</v>
      </c>
      <c r="U553" t="s">
        <v>126</v>
      </c>
      <c r="W553">
        <v>1.27</v>
      </c>
      <c r="Y553">
        <v>1.27</v>
      </c>
      <c r="AS553">
        <v>1.27</v>
      </c>
      <c r="BH553" t="s">
        <v>126</v>
      </c>
      <c r="BI553" t="s">
        <v>126</v>
      </c>
      <c r="BJ553" t="s">
        <v>126</v>
      </c>
      <c r="BK553" t="s">
        <v>126</v>
      </c>
      <c r="BS553" t="s">
        <v>126</v>
      </c>
      <c r="BT553" t="s">
        <v>126</v>
      </c>
      <c r="BU553" t="s">
        <v>126</v>
      </c>
      <c r="BV553" t="s">
        <v>126</v>
      </c>
      <c r="CN553" t="s">
        <v>147</v>
      </c>
      <c r="CP553" t="s">
        <v>329</v>
      </c>
      <c r="CQ553" t="s">
        <v>147</v>
      </c>
    </row>
    <row r="554" spans="1:95" x14ac:dyDescent="0.2">
      <c r="A554" t="s">
        <v>115</v>
      </c>
      <c r="B554" t="s">
        <v>116</v>
      </c>
      <c r="C554">
        <v>210784</v>
      </c>
      <c r="E554" t="s">
        <v>117</v>
      </c>
      <c r="F554">
        <v>368</v>
      </c>
      <c r="G554" t="s">
        <v>141</v>
      </c>
      <c r="H554" t="s">
        <v>142</v>
      </c>
      <c r="I554" t="s">
        <v>279</v>
      </c>
      <c r="J554" t="s">
        <v>280</v>
      </c>
      <c r="L554" s="14">
        <v>45621</v>
      </c>
      <c r="M554" s="18">
        <f t="shared" si="11"/>
        <v>45597</v>
      </c>
      <c r="N554">
        <v>5618198</v>
      </c>
      <c r="O554" t="s">
        <v>123</v>
      </c>
      <c r="P554" t="s">
        <v>146</v>
      </c>
      <c r="Q554">
        <v>4.91</v>
      </c>
      <c r="R554" t="s">
        <v>125</v>
      </c>
      <c r="S554" t="s">
        <v>126</v>
      </c>
      <c r="T554" t="s">
        <v>125</v>
      </c>
      <c r="U554" t="s">
        <v>126</v>
      </c>
      <c r="W554">
        <v>4.91</v>
      </c>
      <c r="Y554">
        <v>4.91</v>
      </c>
      <c r="AS554">
        <v>4.91</v>
      </c>
      <c r="BH554" t="s">
        <v>126</v>
      </c>
      <c r="BI554" t="s">
        <v>126</v>
      </c>
      <c r="BJ554" t="s">
        <v>126</v>
      </c>
      <c r="BK554" t="s">
        <v>126</v>
      </c>
      <c r="BS554" t="s">
        <v>126</v>
      </c>
      <c r="BT554" t="s">
        <v>126</v>
      </c>
      <c r="BU554" t="s">
        <v>126</v>
      </c>
      <c r="BV554" t="s">
        <v>126</v>
      </c>
      <c r="CN554" t="s">
        <v>147</v>
      </c>
      <c r="CP554" t="s">
        <v>329</v>
      </c>
      <c r="CQ554" t="s">
        <v>147</v>
      </c>
    </row>
    <row r="555" spans="1:95" x14ac:dyDescent="0.2">
      <c r="A555" t="s">
        <v>115</v>
      </c>
      <c r="B555" t="s">
        <v>116</v>
      </c>
      <c r="C555">
        <v>210784</v>
      </c>
      <c r="E555" t="s">
        <v>117</v>
      </c>
      <c r="F555">
        <v>368</v>
      </c>
      <c r="G555" t="s">
        <v>314</v>
      </c>
      <c r="H555" t="s">
        <v>115</v>
      </c>
      <c r="I555" t="s">
        <v>515</v>
      </c>
      <c r="J555" t="s">
        <v>516</v>
      </c>
      <c r="L555" s="14">
        <v>45622</v>
      </c>
      <c r="M555" s="18">
        <f t="shared" si="11"/>
        <v>45597</v>
      </c>
      <c r="N555" t="s">
        <v>517</v>
      </c>
      <c r="O555" t="s">
        <v>123</v>
      </c>
      <c r="P555" t="s">
        <v>146</v>
      </c>
      <c r="Q555">
        <v>61.91</v>
      </c>
      <c r="R555" t="s">
        <v>125</v>
      </c>
      <c r="S555" t="s">
        <v>126</v>
      </c>
      <c r="T555" t="s">
        <v>125</v>
      </c>
      <c r="U555" t="s">
        <v>126</v>
      </c>
      <c r="W555">
        <v>61.91</v>
      </c>
      <c r="Y555">
        <v>61.91</v>
      </c>
      <c r="AF555">
        <v>61.91</v>
      </c>
      <c r="BH555" t="s">
        <v>126</v>
      </c>
      <c r="BI555" t="s">
        <v>126</v>
      </c>
      <c r="BJ555" t="s">
        <v>126</v>
      </c>
      <c r="BK555" t="s">
        <v>126</v>
      </c>
      <c r="BS555" t="s">
        <v>126</v>
      </c>
      <c r="BT555" t="s">
        <v>126</v>
      </c>
      <c r="BU555" t="s">
        <v>126</v>
      </c>
      <c r="BV555" t="s">
        <v>126</v>
      </c>
      <c r="CN555" t="s">
        <v>518</v>
      </c>
      <c r="CP555" t="s">
        <v>403</v>
      </c>
      <c r="CQ555" t="s">
        <v>518</v>
      </c>
    </row>
    <row r="556" spans="1:95" x14ac:dyDescent="0.2">
      <c r="A556" t="s">
        <v>115</v>
      </c>
      <c r="B556" t="s">
        <v>116</v>
      </c>
      <c r="C556">
        <v>210784</v>
      </c>
      <c r="E556" t="s">
        <v>117</v>
      </c>
      <c r="F556">
        <v>368</v>
      </c>
      <c r="G556" t="s">
        <v>141</v>
      </c>
      <c r="H556" t="s">
        <v>142</v>
      </c>
      <c r="I556" t="s">
        <v>284</v>
      </c>
      <c r="J556" t="s">
        <v>285</v>
      </c>
      <c r="L556" s="14">
        <v>45622</v>
      </c>
      <c r="M556" s="18">
        <f t="shared" si="11"/>
        <v>45597</v>
      </c>
      <c r="N556">
        <v>113417</v>
      </c>
      <c r="O556" t="s">
        <v>123</v>
      </c>
      <c r="P556" t="s">
        <v>146</v>
      </c>
      <c r="Q556">
        <v>0.51</v>
      </c>
      <c r="R556" t="s">
        <v>662</v>
      </c>
      <c r="S556" t="s">
        <v>126</v>
      </c>
      <c r="T556" t="s">
        <v>662</v>
      </c>
      <c r="U556" t="s">
        <v>663</v>
      </c>
      <c r="W556">
        <v>0.48449999999999999</v>
      </c>
      <c r="X556">
        <v>2.5499999999999998E-2</v>
      </c>
      <c r="Y556">
        <v>0.51</v>
      </c>
      <c r="Z556">
        <v>2.5499999999999998E-2</v>
      </c>
      <c r="BE556">
        <v>0.48449999999999999</v>
      </c>
      <c r="BH556" t="s">
        <v>126</v>
      </c>
      <c r="BI556" t="s">
        <v>126</v>
      </c>
      <c r="BJ556" t="s">
        <v>126</v>
      </c>
      <c r="BK556" t="s">
        <v>126</v>
      </c>
      <c r="BS556" t="s">
        <v>126</v>
      </c>
      <c r="BT556" t="s">
        <v>126</v>
      </c>
      <c r="BU556" t="s">
        <v>126</v>
      </c>
      <c r="BV556" t="s">
        <v>126</v>
      </c>
      <c r="CN556" t="s">
        <v>147</v>
      </c>
      <c r="CP556" t="s">
        <v>340</v>
      </c>
      <c r="CQ556" t="s">
        <v>147</v>
      </c>
    </row>
    <row r="557" spans="1:95" x14ac:dyDescent="0.2">
      <c r="A557" t="s">
        <v>115</v>
      </c>
      <c r="B557" t="s">
        <v>116</v>
      </c>
      <c r="C557">
        <v>210784</v>
      </c>
      <c r="E557" t="s">
        <v>117</v>
      </c>
      <c r="F557">
        <v>368</v>
      </c>
      <c r="G557" t="s">
        <v>141</v>
      </c>
      <c r="H557" t="s">
        <v>142</v>
      </c>
      <c r="I557" t="s">
        <v>172</v>
      </c>
      <c r="J557" t="s">
        <v>173</v>
      </c>
      <c r="L557" s="14">
        <v>45622</v>
      </c>
      <c r="M557" s="18">
        <f t="shared" si="11"/>
        <v>45597</v>
      </c>
      <c r="N557">
        <v>119773</v>
      </c>
      <c r="O557" t="s">
        <v>123</v>
      </c>
      <c r="P557" t="s">
        <v>146</v>
      </c>
      <c r="Q557">
        <v>0.84599999999999997</v>
      </c>
      <c r="R557" t="s">
        <v>125</v>
      </c>
      <c r="S557" t="s">
        <v>126</v>
      </c>
      <c r="T557" t="s">
        <v>125</v>
      </c>
      <c r="U557" t="s">
        <v>126</v>
      </c>
      <c r="W557">
        <v>0.84599999999999997</v>
      </c>
      <c r="Y557">
        <v>0.84599999999999997</v>
      </c>
      <c r="AH557">
        <v>0.84599999999999997</v>
      </c>
      <c r="BH557" t="s">
        <v>126</v>
      </c>
      <c r="BI557" t="s">
        <v>126</v>
      </c>
      <c r="BJ557" t="s">
        <v>126</v>
      </c>
      <c r="BK557" t="s">
        <v>126</v>
      </c>
      <c r="BS557" t="s">
        <v>126</v>
      </c>
      <c r="BT557" t="s">
        <v>126</v>
      </c>
      <c r="BU557" t="s">
        <v>126</v>
      </c>
      <c r="BV557" t="s">
        <v>126</v>
      </c>
      <c r="CN557" t="s">
        <v>147</v>
      </c>
      <c r="CP557" t="s">
        <v>357</v>
      </c>
      <c r="CQ557" t="s">
        <v>147</v>
      </c>
    </row>
    <row r="558" spans="1:95" x14ac:dyDescent="0.2">
      <c r="A558" t="s">
        <v>115</v>
      </c>
      <c r="B558" t="s">
        <v>116</v>
      </c>
      <c r="C558">
        <v>210784</v>
      </c>
      <c r="E558" t="s">
        <v>117</v>
      </c>
      <c r="F558">
        <v>368</v>
      </c>
      <c r="G558" t="s">
        <v>141</v>
      </c>
      <c r="H558" t="s">
        <v>142</v>
      </c>
      <c r="I558" t="s">
        <v>279</v>
      </c>
      <c r="J558" t="s">
        <v>280</v>
      </c>
      <c r="L558" s="14">
        <v>45623</v>
      </c>
      <c r="M558" s="18">
        <f t="shared" si="11"/>
        <v>45597</v>
      </c>
      <c r="N558">
        <v>5619817</v>
      </c>
      <c r="O558" t="s">
        <v>123</v>
      </c>
      <c r="P558" t="s">
        <v>146</v>
      </c>
      <c r="Q558">
        <v>5.85</v>
      </c>
      <c r="R558" t="s">
        <v>125</v>
      </c>
      <c r="S558" t="s">
        <v>126</v>
      </c>
      <c r="T558" t="s">
        <v>125</v>
      </c>
      <c r="U558" t="s">
        <v>126</v>
      </c>
      <c r="W558">
        <v>5.85</v>
      </c>
      <c r="Y558">
        <v>5.85</v>
      </c>
      <c r="AS558">
        <v>5.85</v>
      </c>
      <c r="BH558" t="s">
        <v>126</v>
      </c>
      <c r="BI558" t="s">
        <v>126</v>
      </c>
      <c r="BJ558" t="s">
        <v>126</v>
      </c>
      <c r="BK558" t="s">
        <v>126</v>
      </c>
      <c r="BS558" t="s">
        <v>126</v>
      </c>
      <c r="BT558" t="s">
        <v>126</v>
      </c>
      <c r="BU558" t="s">
        <v>126</v>
      </c>
      <c r="BV558" t="s">
        <v>126</v>
      </c>
      <c r="CN558" t="s">
        <v>147</v>
      </c>
      <c r="CP558" t="s">
        <v>340</v>
      </c>
      <c r="CQ558" t="s">
        <v>147</v>
      </c>
    </row>
    <row r="559" spans="1:95" x14ac:dyDescent="0.2">
      <c r="A559" t="s">
        <v>115</v>
      </c>
      <c r="B559" t="s">
        <v>116</v>
      </c>
      <c r="C559">
        <v>210784</v>
      </c>
      <c r="E559" t="s">
        <v>117</v>
      </c>
      <c r="F559">
        <v>368</v>
      </c>
      <c r="G559" t="s">
        <v>141</v>
      </c>
      <c r="H559" t="s">
        <v>142</v>
      </c>
      <c r="I559" t="s">
        <v>279</v>
      </c>
      <c r="J559" t="s">
        <v>280</v>
      </c>
      <c r="L559" s="14">
        <v>45628</v>
      </c>
      <c r="M559" s="18">
        <f t="shared" si="11"/>
        <v>45627</v>
      </c>
      <c r="N559">
        <v>5621960</v>
      </c>
      <c r="O559" t="s">
        <v>123</v>
      </c>
      <c r="P559" t="s">
        <v>146</v>
      </c>
      <c r="Q559">
        <v>6.49</v>
      </c>
      <c r="R559" t="s">
        <v>125</v>
      </c>
      <c r="S559" t="s">
        <v>126</v>
      </c>
      <c r="T559" t="s">
        <v>125</v>
      </c>
      <c r="U559" t="s">
        <v>126</v>
      </c>
      <c r="W559">
        <v>6.49</v>
      </c>
      <c r="Y559">
        <v>6.49</v>
      </c>
      <c r="AS559">
        <v>6.49</v>
      </c>
      <c r="BH559" t="s">
        <v>126</v>
      </c>
      <c r="BI559" t="s">
        <v>126</v>
      </c>
      <c r="BJ559" t="s">
        <v>126</v>
      </c>
      <c r="BK559" t="s">
        <v>126</v>
      </c>
      <c r="BS559" t="s">
        <v>126</v>
      </c>
      <c r="BT559" t="s">
        <v>126</v>
      </c>
      <c r="BU559" t="s">
        <v>126</v>
      </c>
      <c r="BV559" t="s">
        <v>126</v>
      </c>
      <c r="CN559" t="s">
        <v>147</v>
      </c>
      <c r="CP559" t="s">
        <v>340</v>
      </c>
      <c r="CQ559" t="s">
        <v>147</v>
      </c>
    </row>
    <row r="560" spans="1:95" x14ac:dyDescent="0.2">
      <c r="A560" t="s">
        <v>115</v>
      </c>
      <c r="B560" t="s">
        <v>116</v>
      </c>
      <c r="C560">
        <v>210784</v>
      </c>
      <c r="E560" t="s">
        <v>117</v>
      </c>
      <c r="F560">
        <v>368</v>
      </c>
      <c r="G560" t="s">
        <v>141</v>
      </c>
      <c r="H560" t="s">
        <v>142</v>
      </c>
      <c r="I560" t="s">
        <v>279</v>
      </c>
      <c r="J560" t="s">
        <v>280</v>
      </c>
      <c r="L560" s="14">
        <v>45629</v>
      </c>
      <c r="M560" s="18">
        <f t="shared" si="11"/>
        <v>45627</v>
      </c>
      <c r="N560">
        <v>5623013</v>
      </c>
      <c r="O560" t="s">
        <v>123</v>
      </c>
      <c r="P560" t="s">
        <v>146</v>
      </c>
      <c r="Q560">
        <v>4.7300000000000004</v>
      </c>
      <c r="R560" t="s">
        <v>125</v>
      </c>
      <c r="S560" t="s">
        <v>126</v>
      </c>
      <c r="T560" t="s">
        <v>125</v>
      </c>
      <c r="U560" t="s">
        <v>126</v>
      </c>
      <c r="W560">
        <v>4.7300000000000004</v>
      </c>
      <c r="Y560">
        <v>4.7300000000000004</v>
      </c>
      <c r="BE560">
        <v>4.7300000000000004</v>
      </c>
      <c r="BH560" t="s">
        <v>126</v>
      </c>
      <c r="BI560" t="s">
        <v>126</v>
      </c>
      <c r="BJ560" t="s">
        <v>126</v>
      </c>
      <c r="BK560" t="s">
        <v>126</v>
      </c>
      <c r="BS560" t="s">
        <v>126</v>
      </c>
      <c r="BT560" t="s">
        <v>126</v>
      </c>
      <c r="BU560" t="s">
        <v>126</v>
      </c>
      <c r="BV560" t="s">
        <v>126</v>
      </c>
      <c r="CN560" t="s">
        <v>147</v>
      </c>
      <c r="CP560" t="s">
        <v>273</v>
      </c>
      <c r="CQ560" t="s">
        <v>147</v>
      </c>
    </row>
    <row r="561" spans="1:95" x14ac:dyDescent="0.2">
      <c r="A561" t="s">
        <v>115</v>
      </c>
      <c r="B561" t="s">
        <v>116</v>
      </c>
      <c r="C561">
        <v>210784</v>
      </c>
      <c r="E561" t="s">
        <v>117</v>
      </c>
      <c r="F561">
        <v>368</v>
      </c>
      <c r="G561" t="s">
        <v>141</v>
      </c>
      <c r="H561" t="s">
        <v>142</v>
      </c>
      <c r="I561" t="s">
        <v>279</v>
      </c>
      <c r="J561" t="s">
        <v>280</v>
      </c>
      <c r="L561" s="14">
        <v>45629</v>
      </c>
      <c r="M561" s="18">
        <f t="shared" si="11"/>
        <v>45627</v>
      </c>
      <c r="N561">
        <v>5622877</v>
      </c>
      <c r="O561" t="s">
        <v>123</v>
      </c>
      <c r="P561" t="s">
        <v>146</v>
      </c>
      <c r="Q561">
        <v>2.46</v>
      </c>
      <c r="R561" t="s">
        <v>125</v>
      </c>
      <c r="S561" t="s">
        <v>126</v>
      </c>
      <c r="T561" t="s">
        <v>125</v>
      </c>
      <c r="U561" t="s">
        <v>126</v>
      </c>
      <c r="W561">
        <v>2.46</v>
      </c>
      <c r="Y561">
        <v>2.46</v>
      </c>
      <c r="BE561">
        <v>2.46</v>
      </c>
      <c r="BH561" t="s">
        <v>126</v>
      </c>
      <c r="BI561" t="s">
        <v>126</v>
      </c>
      <c r="BJ561" t="s">
        <v>126</v>
      </c>
      <c r="BK561" t="s">
        <v>126</v>
      </c>
      <c r="BS561" t="s">
        <v>126</v>
      </c>
      <c r="BT561" t="s">
        <v>126</v>
      </c>
      <c r="BU561" t="s">
        <v>126</v>
      </c>
      <c r="BV561" t="s">
        <v>126</v>
      </c>
      <c r="CN561" t="s">
        <v>147</v>
      </c>
      <c r="CP561" t="s">
        <v>273</v>
      </c>
      <c r="CQ561" t="s">
        <v>147</v>
      </c>
    </row>
    <row r="562" spans="1:95" x14ac:dyDescent="0.2">
      <c r="A562" t="s">
        <v>115</v>
      </c>
      <c r="B562" t="s">
        <v>116</v>
      </c>
      <c r="C562">
        <v>210784</v>
      </c>
      <c r="E562" t="s">
        <v>117</v>
      </c>
      <c r="F562">
        <v>368</v>
      </c>
      <c r="G562" t="s">
        <v>141</v>
      </c>
      <c r="H562" t="s">
        <v>142</v>
      </c>
      <c r="I562" t="s">
        <v>279</v>
      </c>
      <c r="J562" t="s">
        <v>280</v>
      </c>
      <c r="L562" s="14">
        <v>45629</v>
      </c>
      <c r="M562" s="18">
        <f t="shared" si="11"/>
        <v>45627</v>
      </c>
      <c r="N562">
        <v>5622798</v>
      </c>
      <c r="O562" t="s">
        <v>123</v>
      </c>
      <c r="P562" t="s">
        <v>146</v>
      </c>
      <c r="Q562">
        <v>4.9000000000000004</v>
      </c>
      <c r="R562" t="s">
        <v>125</v>
      </c>
      <c r="S562" t="s">
        <v>126</v>
      </c>
      <c r="T562" t="s">
        <v>125</v>
      </c>
      <c r="U562" t="s">
        <v>126</v>
      </c>
      <c r="W562">
        <v>4.9000000000000004</v>
      </c>
      <c r="Y562">
        <v>4.9000000000000004</v>
      </c>
      <c r="BE562">
        <v>4.9000000000000004</v>
      </c>
      <c r="BH562" t="s">
        <v>126</v>
      </c>
      <c r="BI562" t="s">
        <v>126</v>
      </c>
      <c r="BJ562" t="s">
        <v>126</v>
      </c>
      <c r="BK562" t="s">
        <v>126</v>
      </c>
      <c r="BS562" t="s">
        <v>126</v>
      </c>
      <c r="BT562" t="s">
        <v>126</v>
      </c>
      <c r="BU562" t="s">
        <v>126</v>
      </c>
      <c r="BV562" t="s">
        <v>126</v>
      </c>
      <c r="CN562" t="s">
        <v>147</v>
      </c>
      <c r="CP562" t="s">
        <v>273</v>
      </c>
      <c r="CQ562" t="s">
        <v>147</v>
      </c>
    </row>
    <row r="563" spans="1:95" x14ac:dyDescent="0.2">
      <c r="A563" t="s">
        <v>115</v>
      </c>
      <c r="B563" t="s">
        <v>116</v>
      </c>
      <c r="C563">
        <v>210784</v>
      </c>
      <c r="E563" t="s">
        <v>117</v>
      </c>
      <c r="F563">
        <v>368</v>
      </c>
      <c r="G563" t="s">
        <v>141</v>
      </c>
      <c r="H563" t="s">
        <v>142</v>
      </c>
      <c r="I563" t="s">
        <v>279</v>
      </c>
      <c r="J563" t="s">
        <v>280</v>
      </c>
      <c r="L563" s="14">
        <v>45630</v>
      </c>
      <c r="M563" s="18">
        <f t="shared" si="11"/>
        <v>45627</v>
      </c>
      <c r="N563">
        <v>5623891</v>
      </c>
      <c r="O563" t="s">
        <v>123</v>
      </c>
      <c r="P563" t="s">
        <v>146</v>
      </c>
      <c r="Q563">
        <v>0.35</v>
      </c>
      <c r="R563" t="s">
        <v>125</v>
      </c>
      <c r="S563" t="s">
        <v>126</v>
      </c>
      <c r="T563" t="s">
        <v>125</v>
      </c>
      <c r="U563" t="s">
        <v>126</v>
      </c>
      <c r="W563">
        <v>0.35</v>
      </c>
      <c r="Y563">
        <v>0.35</v>
      </c>
      <c r="AS563">
        <v>0.35</v>
      </c>
      <c r="BH563" t="s">
        <v>126</v>
      </c>
      <c r="BI563" t="s">
        <v>126</v>
      </c>
      <c r="BJ563" t="s">
        <v>126</v>
      </c>
      <c r="BK563" t="s">
        <v>126</v>
      </c>
      <c r="BS563" t="s">
        <v>126</v>
      </c>
      <c r="BT563" t="s">
        <v>126</v>
      </c>
      <c r="BU563" t="s">
        <v>126</v>
      </c>
      <c r="BV563" t="s">
        <v>126</v>
      </c>
      <c r="CN563" t="s">
        <v>147</v>
      </c>
      <c r="CP563" t="s">
        <v>273</v>
      </c>
      <c r="CQ563" t="s">
        <v>147</v>
      </c>
    </row>
    <row r="564" spans="1:95" x14ac:dyDescent="0.2">
      <c r="A564" t="s">
        <v>115</v>
      </c>
      <c r="B564" t="s">
        <v>116</v>
      </c>
      <c r="C564">
        <v>210784</v>
      </c>
      <c r="E564" t="s">
        <v>117</v>
      </c>
      <c r="F564">
        <v>368</v>
      </c>
      <c r="G564" t="s">
        <v>141</v>
      </c>
      <c r="H564" t="s">
        <v>142</v>
      </c>
      <c r="I564" t="s">
        <v>279</v>
      </c>
      <c r="J564" t="s">
        <v>280</v>
      </c>
      <c r="L564" s="14">
        <v>45630</v>
      </c>
      <c r="M564" s="18">
        <f t="shared" si="11"/>
        <v>45627</v>
      </c>
      <c r="N564">
        <v>5623208</v>
      </c>
      <c r="O564" t="s">
        <v>123</v>
      </c>
      <c r="P564" t="s">
        <v>146</v>
      </c>
      <c r="Q564">
        <v>5.17</v>
      </c>
      <c r="R564" t="s">
        <v>125</v>
      </c>
      <c r="S564" t="s">
        <v>126</v>
      </c>
      <c r="T564" t="s">
        <v>125</v>
      </c>
      <c r="U564" t="s">
        <v>126</v>
      </c>
      <c r="W564">
        <v>5.17</v>
      </c>
      <c r="Y564">
        <v>5.17</v>
      </c>
      <c r="AS564">
        <v>5.17</v>
      </c>
      <c r="BH564" t="s">
        <v>126</v>
      </c>
      <c r="BI564" t="s">
        <v>126</v>
      </c>
      <c r="BJ564" t="s">
        <v>126</v>
      </c>
      <c r="BK564" t="s">
        <v>126</v>
      </c>
      <c r="BS564" t="s">
        <v>126</v>
      </c>
      <c r="BT564" t="s">
        <v>126</v>
      </c>
      <c r="BU564" t="s">
        <v>126</v>
      </c>
      <c r="BV564" t="s">
        <v>126</v>
      </c>
      <c r="CN564" t="s">
        <v>147</v>
      </c>
      <c r="CP564" t="s">
        <v>273</v>
      </c>
      <c r="CQ564" t="s">
        <v>147</v>
      </c>
    </row>
    <row r="565" spans="1:95" x14ac:dyDescent="0.2">
      <c r="A565" t="s">
        <v>115</v>
      </c>
      <c r="B565" t="s">
        <v>116</v>
      </c>
      <c r="C565">
        <v>210784</v>
      </c>
      <c r="E565" t="s">
        <v>117</v>
      </c>
      <c r="F565">
        <v>368</v>
      </c>
      <c r="G565" t="s">
        <v>141</v>
      </c>
      <c r="H565" t="s">
        <v>142</v>
      </c>
      <c r="I565" t="s">
        <v>279</v>
      </c>
      <c r="J565" t="s">
        <v>280</v>
      </c>
      <c r="L565" s="14">
        <v>45630</v>
      </c>
      <c r="M565" s="18">
        <f t="shared" si="11"/>
        <v>45627</v>
      </c>
      <c r="N565">
        <v>5623631</v>
      </c>
      <c r="O565" t="s">
        <v>123</v>
      </c>
      <c r="P565" t="s">
        <v>146</v>
      </c>
      <c r="Q565">
        <v>3.5700000000000003</v>
      </c>
      <c r="R565" t="s">
        <v>610</v>
      </c>
      <c r="S565" t="s">
        <v>126</v>
      </c>
      <c r="T565" t="s">
        <v>610</v>
      </c>
      <c r="U565" t="s">
        <v>611</v>
      </c>
      <c r="W565">
        <v>1.1000000000000001</v>
      </c>
      <c r="X565">
        <v>2.4700000000000002</v>
      </c>
      <c r="Y565">
        <v>3.5700000000000003</v>
      </c>
      <c r="Z565">
        <v>1.36</v>
      </c>
      <c r="AG565">
        <v>1.1000000000000001</v>
      </c>
      <c r="AI565">
        <v>1.1100000000000001</v>
      </c>
      <c r="BH565" t="s">
        <v>126</v>
      </c>
      <c r="BI565" t="s">
        <v>126</v>
      </c>
      <c r="BJ565" t="s">
        <v>126</v>
      </c>
      <c r="BK565" t="s">
        <v>126</v>
      </c>
      <c r="BS565" t="s">
        <v>126</v>
      </c>
      <c r="BT565" t="s">
        <v>126</v>
      </c>
      <c r="BU565" t="s">
        <v>126</v>
      </c>
      <c r="BV565" t="s">
        <v>126</v>
      </c>
      <c r="CN565" t="s">
        <v>147</v>
      </c>
      <c r="CP565" t="s">
        <v>273</v>
      </c>
      <c r="CQ565" t="s">
        <v>147</v>
      </c>
    </row>
    <row r="566" spans="1:95" x14ac:dyDescent="0.2">
      <c r="A566" t="s">
        <v>115</v>
      </c>
      <c r="B566" t="s">
        <v>116</v>
      </c>
      <c r="C566">
        <v>210784</v>
      </c>
      <c r="E566" t="s">
        <v>117</v>
      </c>
      <c r="F566">
        <v>368</v>
      </c>
      <c r="G566" t="s">
        <v>141</v>
      </c>
      <c r="H566" t="s">
        <v>142</v>
      </c>
      <c r="I566" t="s">
        <v>279</v>
      </c>
      <c r="J566" t="s">
        <v>280</v>
      </c>
      <c r="L566" s="14">
        <v>45630</v>
      </c>
      <c r="M566" s="18">
        <f t="shared" si="11"/>
        <v>45627</v>
      </c>
      <c r="N566">
        <v>562337</v>
      </c>
      <c r="O566" t="s">
        <v>123</v>
      </c>
      <c r="P566" t="s">
        <v>146</v>
      </c>
      <c r="Q566">
        <v>1.02</v>
      </c>
      <c r="R566" t="s">
        <v>125</v>
      </c>
      <c r="S566" t="s">
        <v>126</v>
      </c>
      <c r="T566" t="s">
        <v>125</v>
      </c>
      <c r="U566" t="s">
        <v>126</v>
      </c>
      <c r="W566">
        <v>1.02</v>
      </c>
      <c r="Y566">
        <v>1.02</v>
      </c>
      <c r="BE566">
        <v>1.02</v>
      </c>
      <c r="BH566" t="s">
        <v>126</v>
      </c>
      <c r="BI566" t="s">
        <v>126</v>
      </c>
      <c r="BJ566" t="s">
        <v>126</v>
      </c>
      <c r="BK566" t="s">
        <v>126</v>
      </c>
      <c r="BS566" t="s">
        <v>126</v>
      </c>
      <c r="BT566" t="s">
        <v>126</v>
      </c>
      <c r="BU566" t="s">
        <v>126</v>
      </c>
      <c r="BV566" t="s">
        <v>126</v>
      </c>
      <c r="CN566" t="s">
        <v>147</v>
      </c>
      <c r="CP566" t="s">
        <v>273</v>
      </c>
      <c r="CQ566" t="s">
        <v>147</v>
      </c>
    </row>
    <row r="567" spans="1:95" x14ac:dyDescent="0.2">
      <c r="A567" t="s">
        <v>115</v>
      </c>
      <c r="B567" t="s">
        <v>116</v>
      </c>
      <c r="C567">
        <v>210784</v>
      </c>
      <c r="E567" t="s">
        <v>117</v>
      </c>
      <c r="F567">
        <v>368</v>
      </c>
      <c r="G567" t="s">
        <v>141</v>
      </c>
      <c r="H567" t="s">
        <v>142</v>
      </c>
      <c r="I567" t="s">
        <v>259</v>
      </c>
      <c r="J567" t="s">
        <v>260</v>
      </c>
      <c r="L567" s="14">
        <v>45632</v>
      </c>
      <c r="M567" s="18">
        <f t="shared" si="11"/>
        <v>45627</v>
      </c>
      <c r="N567">
        <v>113461</v>
      </c>
      <c r="O567" t="s">
        <v>123</v>
      </c>
      <c r="P567" t="s">
        <v>146</v>
      </c>
      <c r="Q567">
        <v>9.94</v>
      </c>
      <c r="R567" t="s">
        <v>125</v>
      </c>
      <c r="S567" t="s">
        <v>126</v>
      </c>
      <c r="T567" t="s">
        <v>125</v>
      </c>
      <c r="U567" t="s">
        <v>126</v>
      </c>
      <c r="W567">
        <v>9.94</v>
      </c>
      <c r="Y567">
        <v>9.94</v>
      </c>
      <c r="AC567">
        <v>9.94</v>
      </c>
      <c r="BH567" t="s">
        <v>126</v>
      </c>
      <c r="BI567" t="s">
        <v>126</v>
      </c>
      <c r="BJ567" t="s">
        <v>126</v>
      </c>
      <c r="BK567" t="s">
        <v>126</v>
      </c>
      <c r="BS567" t="s">
        <v>126</v>
      </c>
      <c r="BT567" t="s">
        <v>126</v>
      </c>
      <c r="BU567" t="s">
        <v>126</v>
      </c>
      <c r="BV567" t="s">
        <v>126</v>
      </c>
      <c r="CN567" t="s">
        <v>147</v>
      </c>
      <c r="CP567" t="s">
        <v>273</v>
      </c>
      <c r="CQ567" t="s">
        <v>147</v>
      </c>
    </row>
    <row r="568" spans="1:95" x14ac:dyDescent="0.2">
      <c r="A568" t="s">
        <v>115</v>
      </c>
      <c r="B568" t="s">
        <v>116</v>
      </c>
      <c r="C568">
        <v>210784</v>
      </c>
      <c r="E568" t="s">
        <v>117</v>
      </c>
      <c r="F568">
        <v>368</v>
      </c>
      <c r="G568" t="s">
        <v>141</v>
      </c>
      <c r="H568" t="s">
        <v>142</v>
      </c>
      <c r="I568" t="s">
        <v>279</v>
      </c>
      <c r="J568" t="s">
        <v>280</v>
      </c>
      <c r="L568" s="14">
        <v>45632</v>
      </c>
      <c r="M568" s="18">
        <f t="shared" si="11"/>
        <v>45627</v>
      </c>
      <c r="N568">
        <v>5625494</v>
      </c>
      <c r="O568" t="s">
        <v>123</v>
      </c>
      <c r="P568" t="s">
        <v>146</v>
      </c>
      <c r="Q568">
        <v>4.9800000000000004</v>
      </c>
      <c r="R568" t="s">
        <v>125</v>
      </c>
      <c r="S568" t="s">
        <v>126</v>
      </c>
      <c r="T568" t="s">
        <v>125</v>
      </c>
      <c r="U568" t="s">
        <v>126</v>
      </c>
      <c r="W568">
        <v>4.9800000000000004</v>
      </c>
      <c r="Y568">
        <v>4.9800000000000004</v>
      </c>
      <c r="AS568">
        <v>4.9800000000000004</v>
      </c>
      <c r="BH568" t="s">
        <v>126</v>
      </c>
      <c r="BI568" t="s">
        <v>126</v>
      </c>
      <c r="BJ568" t="s">
        <v>126</v>
      </c>
      <c r="BK568" t="s">
        <v>126</v>
      </c>
      <c r="BS568" t="s">
        <v>126</v>
      </c>
      <c r="BT568" t="s">
        <v>126</v>
      </c>
      <c r="BU568" t="s">
        <v>126</v>
      </c>
      <c r="BV568" t="s">
        <v>126</v>
      </c>
      <c r="CN568" t="s">
        <v>147</v>
      </c>
      <c r="CP568" t="s">
        <v>273</v>
      </c>
      <c r="CQ568" t="s">
        <v>147</v>
      </c>
    </row>
    <row r="569" spans="1:95" x14ac:dyDescent="0.2">
      <c r="A569" t="s">
        <v>115</v>
      </c>
      <c r="B569" t="s">
        <v>116</v>
      </c>
      <c r="C569">
        <v>210784</v>
      </c>
      <c r="E569" t="s">
        <v>117</v>
      </c>
      <c r="F569">
        <v>368</v>
      </c>
      <c r="G569" t="s">
        <v>141</v>
      </c>
      <c r="H569" t="s">
        <v>142</v>
      </c>
      <c r="I569" t="s">
        <v>279</v>
      </c>
      <c r="J569" t="s">
        <v>280</v>
      </c>
      <c r="L569" s="14">
        <v>45632</v>
      </c>
      <c r="M569" s="18">
        <f t="shared" si="11"/>
        <v>45627</v>
      </c>
      <c r="N569">
        <v>5625233</v>
      </c>
      <c r="O569" t="s">
        <v>123</v>
      </c>
      <c r="P569" t="s">
        <v>146</v>
      </c>
      <c r="Q569">
        <v>1.8</v>
      </c>
      <c r="R569" t="s">
        <v>125</v>
      </c>
      <c r="S569" t="s">
        <v>126</v>
      </c>
      <c r="T569" t="s">
        <v>125</v>
      </c>
      <c r="U569" t="s">
        <v>126</v>
      </c>
      <c r="W569">
        <v>1.8</v>
      </c>
      <c r="Y569">
        <v>1.8</v>
      </c>
      <c r="AS569">
        <v>1.8</v>
      </c>
      <c r="BH569" t="s">
        <v>126</v>
      </c>
      <c r="BI569" t="s">
        <v>126</v>
      </c>
      <c r="BJ569" t="s">
        <v>126</v>
      </c>
      <c r="BK569" t="s">
        <v>126</v>
      </c>
      <c r="BS569" t="s">
        <v>126</v>
      </c>
      <c r="BT569" t="s">
        <v>126</v>
      </c>
      <c r="BU569" t="s">
        <v>126</v>
      </c>
      <c r="BV569" t="s">
        <v>126</v>
      </c>
      <c r="CN569" t="s">
        <v>147</v>
      </c>
      <c r="CP569" t="s">
        <v>273</v>
      </c>
      <c r="CQ569" t="s">
        <v>147</v>
      </c>
    </row>
    <row r="570" spans="1:95" x14ac:dyDescent="0.2">
      <c r="A570" t="s">
        <v>115</v>
      </c>
      <c r="B570" t="s">
        <v>116</v>
      </c>
      <c r="C570">
        <v>210784</v>
      </c>
      <c r="E570" t="s">
        <v>117</v>
      </c>
      <c r="F570">
        <v>368</v>
      </c>
      <c r="G570" t="s">
        <v>141</v>
      </c>
      <c r="H570" t="s">
        <v>142</v>
      </c>
      <c r="I570" t="s">
        <v>279</v>
      </c>
      <c r="J570" t="s">
        <v>280</v>
      </c>
      <c r="L570" s="14">
        <v>45636</v>
      </c>
      <c r="M570" s="18">
        <f t="shared" si="11"/>
        <v>45627</v>
      </c>
      <c r="N570">
        <v>5627164</v>
      </c>
      <c r="O570" t="s">
        <v>123</v>
      </c>
      <c r="P570" t="s">
        <v>146</v>
      </c>
      <c r="Q570">
        <v>1.72</v>
      </c>
      <c r="R570" t="s">
        <v>125</v>
      </c>
      <c r="S570" t="s">
        <v>126</v>
      </c>
      <c r="T570" t="s">
        <v>125</v>
      </c>
      <c r="U570" t="s">
        <v>126</v>
      </c>
      <c r="W570">
        <v>1.72</v>
      </c>
      <c r="Y570">
        <v>1.72</v>
      </c>
      <c r="AS570">
        <v>1.72</v>
      </c>
      <c r="BH570" t="s">
        <v>126</v>
      </c>
      <c r="BI570" t="s">
        <v>126</v>
      </c>
      <c r="BJ570" t="s">
        <v>126</v>
      </c>
      <c r="BK570" t="s">
        <v>126</v>
      </c>
      <c r="BS570" t="s">
        <v>126</v>
      </c>
      <c r="BT570" t="s">
        <v>126</v>
      </c>
      <c r="BU570" t="s">
        <v>126</v>
      </c>
      <c r="BV570" t="s">
        <v>126</v>
      </c>
      <c r="CN570" t="s">
        <v>147</v>
      </c>
      <c r="CP570" t="s">
        <v>273</v>
      </c>
      <c r="CQ570" t="s">
        <v>147</v>
      </c>
    </row>
    <row r="571" spans="1:95" x14ac:dyDescent="0.2">
      <c r="A571" t="s">
        <v>115</v>
      </c>
      <c r="B571" t="s">
        <v>116</v>
      </c>
      <c r="C571">
        <v>210784</v>
      </c>
      <c r="E571" t="s">
        <v>117</v>
      </c>
      <c r="F571">
        <v>368</v>
      </c>
      <c r="G571" t="s">
        <v>141</v>
      </c>
      <c r="H571" t="s">
        <v>142</v>
      </c>
      <c r="I571" t="s">
        <v>279</v>
      </c>
      <c r="J571" t="s">
        <v>280</v>
      </c>
      <c r="L571" s="14">
        <v>45637</v>
      </c>
      <c r="M571" s="18">
        <f t="shared" si="11"/>
        <v>45627</v>
      </c>
      <c r="N571">
        <v>5628008</v>
      </c>
      <c r="O571" t="s">
        <v>123</v>
      </c>
      <c r="P571" t="s">
        <v>146</v>
      </c>
      <c r="Q571">
        <v>5.84</v>
      </c>
      <c r="R571" t="s">
        <v>125</v>
      </c>
      <c r="S571" t="s">
        <v>126</v>
      </c>
      <c r="T571" t="s">
        <v>125</v>
      </c>
      <c r="U571" t="s">
        <v>126</v>
      </c>
      <c r="W571">
        <v>5.84</v>
      </c>
      <c r="Y571">
        <v>5.84</v>
      </c>
      <c r="AS571">
        <v>5.84</v>
      </c>
      <c r="BH571" t="s">
        <v>126</v>
      </c>
      <c r="BI571" t="s">
        <v>126</v>
      </c>
      <c r="BJ571" t="s">
        <v>126</v>
      </c>
      <c r="BK571" t="s">
        <v>126</v>
      </c>
      <c r="BS571" t="s">
        <v>126</v>
      </c>
      <c r="BT571" t="s">
        <v>126</v>
      </c>
      <c r="BU571" t="s">
        <v>126</v>
      </c>
      <c r="BV571" t="s">
        <v>126</v>
      </c>
      <c r="CN571" t="s">
        <v>147</v>
      </c>
      <c r="CP571" t="s">
        <v>273</v>
      </c>
      <c r="CQ571" t="s">
        <v>147</v>
      </c>
    </row>
    <row r="572" spans="1:95" x14ac:dyDescent="0.2">
      <c r="A572" t="s">
        <v>115</v>
      </c>
      <c r="B572" t="s">
        <v>116</v>
      </c>
      <c r="C572">
        <v>210784</v>
      </c>
      <c r="E572" t="s">
        <v>117</v>
      </c>
      <c r="F572">
        <v>368</v>
      </c>
      <c r="G572" t="s">
        <v>141</v>
      </c>
      <c r="H572" t="s">
        <v>142</v>
      </c>
      <c r="I572" t="s">
        <v>279</v>
      </c>
      <c r="J572" t="s">
        <v>280</v>
      </c>
      <c r="L572" s="14">
        <v>45637</v>
      </c>
      <c r="M572" s="18">
        <f t="shared" si="11"/>
        <v>45627</v>
      </c>
      <c r="N572">
        <v>5628274</v>
      </c>
      <c r="O572" t="s">
        <v>123</v>
      </c>
      <c r="P572" t="s">
        <v>146</v>
      </c>
      <c r="Q572">
        <v>1.17</v>
      </c>
      <c r="R572" t="s">
        <v>569</v>
      </c>
      <c r="S572" t="s">
        <v>126</v>
      </c>
      <c r="T572" t="s">
        <v>569</v>
      </c>
      <c r="U572" t="s">
        <v>570</v>
      </c>
      <c r="W572">
        <v>0.36</v>
      </c>
      <c r="X572">
        <v>0.81</v>
      </c>
      <c r="Y572">
        <v>1.17</v>
      </c>
      <c r="Z572">
        <v>0.45</v>
      </c>
      <c r="AG572">
        <v>0.36</v>
      </c>
      <c r="AI572">
        <v>0.36</v>
      </c>
      <c r="BH572" t="s">
        <v>126</v>
      </c>
      <c r="BI572" t="s">
        <v>126</v>
      </c>
      <c r="BJ572" t="s">
        <v>126</v>
      </c>
      <c r="BK572" t="s">
        <v>126</v>
      </c>
      <c r="BS572" t="s">
        <v>126</v>
      </c>
      <c r="BT572" t="s">
        <v>126</v>
      </c>
      <c r="BU572" t="s">
        <v>126</v>
      </c>
      <c r="BV572" t="s">
        <v>126</v>
      </c>
      <c r="CN572" t="s">
        <v>147</v>
      </c>
      <c r="CP572" t="s">
        <v>273</v>
      </c>
      <c r="CQ572" t="s">
        <v>147</v>
      </c>
    </row>
    <row r="573" spans="1:95" x14ac:dyDescent="0.2">
      <c r="A573" t="s">
        <v>115</v>
      </c>
      <c r="B573" t="s">
        <v>116</v>
      </c>
      <c r="C573">
        <v>210784</v>
      </c>
      <c r="E573" t="s">
        <v>117</v>
      </c>
      <c r="F573">
        <v>368</v>
      </c>
      <c r="G573" t="s">
        <v>141</v>
      </c>
      <c r="H573" t="s">
        <v>142</v>
      </c>
      <c r="I573" t="s">
        <v>279</v>
      </c>
      <c r="J573" t="s">
        <v>280</v>
      </c>
      <c r="L573" s="14">
        <v>45638</v>
      </c>
      <c r="M573" s="18">
        <f t="shared" si="11"/>
        <v>45627</v>
      </c>
      <c r="N573">
        <v>5628482</v>
      </c>
      <c r="O573" t="s">
        <v>123</v>
      </c>
      <c r="P573" t="s">
        <v>146</v>
      </c>
      <c r="Q573">
        <v>0.88</v>
      </c>
      <c r="R573" t="s">
        <v>125</v>
      </c>
      <c r="S573" t="s">
        <v>126</v>
      </c>
      <c r="T573" t="s">
        <v>125</v>
      </c>
      <c r="U573" t="s">
        <v>126</v>
      </c>
      <c r="W573">
        <v>0.88</v>
      </c>
      <c r="Y573">
        <v>0.88</v>
      </c>
      <c r="AS573">
        <v>0.88</v>
      </c>
      <c r="BH573" t="s">
        <v>126</v>
      </c>
      <c r="BI573" t="s">
        <v>126</v>
      </c>
      <c r="BJ573" t="s">
        <v>126</v>
      </c>
      <c r="BK573" t="s">
        <v>126</v>
      </c>
      <c r="BS573" t="s">
        <v>126</v>
      </c>
      <c r="BT573" t="s">
        <v>126</v>
      </c>
      <c r="BU573" t="s">
        <v>126</v>
      </c>
      <c r="BV573" t="s">
        <v>126</v>
      </c>
      <c r="CN573" t="s">
        <v>147</v>
      </c>
      <c r="CP573" t="s">
        <v>273</v>
      </c>
      <c r="CQ573" t="s">
        <v>147</v>
      </c>
    </row>
    <row r="574" spans="1:95" x14ac:dyDescent="0.2">
      <c r="A574" t="s">
        <v>115</v>
      </c>
      <c r="B574" t="s">
        <v>116</v>
      </c>
      <c r="C574">
        <v>210784</v>
      </c>
      <c r="E574" t="s">
        <v>117</v>
      </c>
      <c r="F574">
        <v>368</v>
      </c>
      <c r="G574" t="s">
        <v>141</v>
      </c>
      <c r="H574" t="s">
        <v>142</v>
      </c>
      <c r="I574" t="s">
        <v>279</v>
      </c>
      <c r="J574" t="s">
        <v>280</v>
      </c>
      <c r="L574" s="14">
        <v>45639</v>
      </c>
      <c r="M574" s="18">
        <f t="shared" si="11"/>
        <v>45627</v>
      </c>
      <c r="N574">
        <v>5629370</v>
      </c>
      <c r="O574" t="s">
        <v>123</v>
      </c>
      <c r="P574" t="s">
        <v>146</v>
      </c>
      <c r="Q574">
        <v>3.3</v>
      </c>
      <c r="R574" t="s">
        <v>125</v>
      </c>
      <c r="S574" t="s">
        <v>126</v>
      </c>
      <c r="T574" t="s">
        <v>125</v>
      </c>
      <c r="U574" t="s">
        <v>126</v>
      </c>
      <c r="W574">
        <v>3.3</v>
      </c>
      <c r="Y574">
        <v>3.3</v>
      </c>
      <c r="AS574">
        <v>3.3</v>
      </c>
      <c r="BH574" t="s">
        <v>126</v>
      </c>
      <c r="BI574" t="s">
        <v>126</v>
      </c>
      <c r="BJ574" t="s">
        <v>126</v>
      </c>
      <c r="BK574" t="s">
        <v>126</v>
      </c>
      <c r="BS574" t="s">
        <v>126</v>
      </c>
      <c r="BT574" t="s">
        <v>126</v>
      </c>
      <c r="BU574" t="s">
        <v>126</v>
      </c>
      <c r="BV574" t="s">
        <v>126</v>
      </c>
      <c r="CN574" t="s">
        <v>147</v>
      </c>
      <c r="CP574" t="s">
        <v>273</v>
      </c>
      <c r="CQ574" t="s">
        <v>147</v>
      </c>
    </row>
    <row r="575" spans="1:95" x14ac:dyDescent="0.2">
      <c r="A575" t="s">
        <v>115</v>
      </c>
      <c r="B575" t="s">
        <v>116</v>
      </c>
      <c r="C575">
        <v>210784</v>
      </c>
      <c r="E575" t="s">
        <v>117</v>
      </c>
      <c r="F575">
        <v>368</v>
      </c>
      <c r="G575" t="s">
        <v>141</v>
      </c>
      <c r="H575" t="s">
        <v>142</v>
      </c>
      <c r="I575" t="s">
        <v>279</v>
      </c>
      <c r="J575" t="s">
        <v>280</v>
      </c>
      <c r="L575" s="14">
        <v>45640</v>
      </c>
      <c r="M575" s="18">
        <f t="shared" si="11"/>
        <v>45627</v>
      </c>
      <c r="N575">
        <v>5629979</v>
      </c>
      <c r="O575" t="s">
        <v>123</v>
      </c>
      <c r="P575" t="s">
        <v>146</v>
      </c>
      <c r="Q575">
        <v>4.25</v>
      </c>
      <c r="R575" t="s">
        <v>125</v>
      </c>
      <c r="S575" t="s">
        <v>126</v>
      </c>
      <c r="T575" t="s">
        <v>125</v>
      </c>
      <c r="U575" t="s">
        <v>126</v>
      </c>
      <c r="W575">
        <v>4.25</v>
      </c>
      <c r="Y575">
        <v>4.25</v>
      </c>
      <c r="AS575">
        <v>4.25</v>
      </c>
      <c r="BH575" t="s">
        <v>126</v>
      </c>
      <c r="BI575" t="s">
        <v>126</v>
      </c>
      <c r="BJ575" t="s">
        <v>126</v>
      </c>
      <c r="BK575" t="s">
        <v>126</v>
      </c>
      <c r="BS575" t="s">
        <v>126</v>
      </c>
      <c r="BT575" t="s">
        <v>126</v>
      </c>
      <c r="BU575" t="s">
        <v>126</v>
      </c>
      <c r="BV575" t="s">
        <v>126</v>
      </c>
      <c r="CN575" t="s">
        <v>147</v>
      </c>
      <c r="CP575" t="s">
        <v>273</v>
      </c>
      <c r="CQ575" t="s">
        <v>147</v>
      </c>
    </row>
    <row r="576" spans="1:95" x14ac:dyDescent="0.2">
      <c r="A576" t="s">
        <v>115</v>
      </c>
      <c r="B576" t="s">
        <v>116</v>
      </c>
      <c r="C576">
        <v>210784</v>
      </c>
      <c r="E576" t="s">
        <v>117</v>
      </c>
      <c r="F576">
        <v>368</v>
      </c>
      <c r="G576" t="s">
        <v>141</v>
      </c>
      <c r="H576" t="s">
        <v>142</v>
      </c>
      <c r="I576" t="s">
        <v>279</v>
      </c>
      <c r="J576" t="s">
        <v>280</v>
      </c>
      <c r="L576" s="14">
        <v>45642</v>
      </c>
      <c r="M576" s="18">
        <f t="shared" si="11"/>
        <v>45627</v>
      </c>
      <c r="N576">
        <v>5630447</v>
      </c>
      <c r="O576" t="s">
        <v>123</v>
      </c>
      <c r="P576" t="s">
        <v>146</v>
      </c>
      <c r="Q576">
        <v>3.82</v>
      </c>
      <c r="R576" t="s">
        <v>125</v>
      </c>
      <c r="S576" t="s">
        <v>126</v>
      </c>
      <c r="T576" t="s">
        <v>125</v>
      </c>
      <c r="U576" t="s">
        <v>126</v>
      </c>
      <c r="W576">
        <v>3.82</v>
      </c>
      <c r="Y576">
        <v>3.82</v>
      </c>
      <c r="AS576">
        <v>3.82</v>
      </c>
      <c r="BH576" t="s">
        <v>126</v>
      </c>
      <c r="BI576" t="s">
        <v>126</v>
      </c>
      <c r="BJ576" t="s">
        <v>126</v>
      </c>
      <c r="BK576" t="s">
        <v>126</v>
      </c>
      <c r="BS576" t="s">
        <v>126</v>
      </c>
      <c r="BT576" t="s">
        <v>126</v>
      </c>
      <c r="BU576" t="s">
        <v>126</v>
      </c>
      <c r="BV576" t="s">
        <v>126</v>
      </c>
      <c r="CN576" t="s">
        <v>147</v>
      </c>
      <c r="CP576" t="s">
        <v>273</v>
      </c>
      <c r="CQ576" t="s">
        <v>147</v>
      </c>
    </row>
    <row r="577" spans="1:95" x14ac:dyDescent="0.2">
      <c r="A577" t="s">
        <v>115</v>
      </c>
      <c r="B577" t="s">
        <v>116</v>
      </c>
      <c r="C577">
        <v>210784</v>
      </c>
      <c r="E577" t="s">
        <v>117</v>
      </c>
      <c r="F577">
        <v>368</v>
      </c>
      <c r="G577" t="s">
        <v>141</v>
      </c>
      <c r="H577" t="s">
        <v>142</v>
      </c>
      <c r="I577" t="s">
        <v>279</v>
      </c>
      <c r="J577" t="s">
        <v>280</v>
      </c>
      <c r="L577" s="14">
        <v>45642</v>
      </c>
      <c r="M577" s="18">
        <f t="shared" si="11"/>
        <v>45627</v>
      </c>
      <c r="N577">
        <v>5630289</v>
      </c>
      <c r="O577" t="s">
        <v>123</v>
      </c>
      <c r="P577" t="s">
        <v>146</v>
      </c>
      <c r="Q577">
        <v>3.29</v>
      </c>
      <c r="R577" t="s">
        <v>125</v>
      </c>
      <c r="S577" t="s">
        <v>126</v>
      </c>
      <c r="T577" t="s">
        <v>125</v>
      </c>
      <c r="U577" t="s">
        <v>126</v>
      </c>
      <c r="W577">
        <v>3.29</v>
      </c>
      <c r="Y577">
        <v>3.29</v>
      </c>
      <c r="AS577">
        <v>3.29</v>
      </c>
      <c r="BH577" t="s">
        <v>126</v>
      </c>
      <c r="BI577" t="s">
        <v>126</v>
      </c>
      <c r="BJ577" t="s">
        <v>126</v>
      </c>
      <c r="BK577" t="s">
        <v>126</v>
      </c>
      <c r="BS577" t="s">
        <v>126</v>
      </c>
      <c r="BT577" t="s">
        <v>126</v>
      </c>
      <c r="BU577" t="s">
        <v>126</v>
      </c>
      <c r="BV577" t="s">
        <v>126</v>
      </c>
      <c r="CN577" t="s">
        <v>147</v>
      </c>
      <c r="CP577" t="s">
        <v>273</v>
      </c>
      <c r="CQ577" t="s">
        <v>147</v>
      </c>
    </row>
    <row r="578" spans="1:95" x14ac:dyDescent="0.2">
      <c r="A578" t="s">
        <v>115</v>
      </c>
      <c r="B578" t="s">
        <v>116</v>
      </c>
      <c r="C578">
        <v>210784</v>
      </c>
      <c r="E578" t="s">
        <v>117</v>
      </c>
      <c r="F578">
        <v>368</v>
      </c>
      <c r="G578" t="s">
        <v>141</v>
      </c>
      <c r="H578" t="s">
        <v>142</v>
      </c>
      <c r="I578" t="s">
        <v>279</v>
      </c>
      <c r="J578" t="s">
        <v>280</v>
      </c>
      <c r="L578" s="14">
        <v>45642</v>
      </c>
      <c r="M578" s="18">
        <f t="shared" si="11"/>
        <v>45627</v>
      </c>
      <c r="N578">
        <v>5630071</v>
      </c>
      <c r="O578" t="s">
        <v>123</v>
      </c>
      <c r="P578" t="s">
        <v>146</v>
      </c>
      <c r="Q578">
        <v>2.73</v>
      </c>
      <c r="R578" t="s">
        <v>125</v>
      </c>
      <c r="S578" t="s">
        <v>126</v>
      </c>
      <c r="T578" t="s">
        <v>125</v>
      </c>
      <c r="U578" t="s">
        <v>126</v>
      </c>
      <c r="W578">
        <v>2.73</v>
      </c>
      <c r="Y578">
        <v>2.73</v>
      </c>
      <c r="AS578">
        <v>2.73</v>
      </c>
      <c r="BH578" t="s">
        <v>126</v>
      </c>
      <c r="BI578" t="s">
        <v>126</v>
      </c>
      <c r="BJ578" t="s">
        <v>126</v>
      </c>
      <c r="BK578" t="s">
        <v>126</v>
      </c>
      <c r="BS578" t="s">
        <v>126</v>
      </c>
      <c r="BT578" t="s">
        <v>126</v>
      </c>
      <c r="BU578" t="s">
        <v>126</v>
      </c>
      <c r="BV578" t="s">
        <v>126</v>
      </c>
      <c r="CN578" t="s">
        <v>147</v>
      </c>
      <c r="CP578" t="s">
        <v>273</v>
      </c>
      <c r="CQ578" t="s">
        <v>147</v>
      </c>
    </row>
    <row r="579" spans="1:95" x14ac:dyDescent="0.2">
      <c r="A579" t="s">
        <v>115</v>
      </c>
      <c r="B579" t="s">
        <v>116</v>
      </c>
      <c r="C579">
        <v>210784</v>
      </c>
      <c r="E579" t="s">
        <v>117</v>
      </c>
      <c r="F579">
        <v>368</v>
      </c>
      <c r="G579" t="s">
        <v>141</v>
      </c>
      <c r="H579" t="s">
        <v>142</v>
      </c>
      <c r="I579" t="s">
        <v>279</v>
      </c>
      <c r="J579" t="s">
        <v>280</v>
      </c>
      <c r="L579" s="14">
        <v>45643</v>
      </c>
      <c r="M579" s="18">
        <f t="shared" si="11"/>
        <v>45627</v>
      </c>
      <c r="N579">
        <v>5631347</v>
      </c>
      <c r="O579" t="s">
        <v>123</v>
      </c>
      <c r="P579" t="s">
        <v>146</v>
      </c>
      <c r="Q579">
        <v>3.76</v>
      </c>
      <c r="R579" t="s">
        <v>125</v>
      </c>
      <c r="S579" t="s">
        <v>126</v>
      </c>
      <c r="T579" t="s">
        <v>125</v>
      </c>
      <c r="U579" t="s">
        <v>126</v>
      </c>
      <c r="W579">
        <v>3.76</v>
      </c>
      <c r="Y579">
        <v>3.76</v>
      </c>
      <c r="AS579">
        <v>3.76</v>
      </c>
      <c r="BH579" t="s">
        <v>126</v>
      </c>
      <c r="BI579" t="s">
        <v>126</v>
      </c>
      <c r="BJ579" t="s">
        <v>126</v>
      </c>
      <c r="BK579" t="s">
        <v>126</v>
      </c>
      <c r="BS579" t="s">
        <v>126</v>
      </c>
      <c r="BT579" t="s">
        <v>126</v>
      </c>
      <c r="BU579" t="s">
        <v>126</v>
      </c>
      <c r="BV579" t="s">
        <v>126</v>
      </c>
      <c r="CN579" t="s">
        <v>147</v>
      </c>
      <c r="CP579" t="s">
        <v>273</v>
      </c>
      <c r="CQ579" t="s">
        <v>147</v>
      </c>
    </row>
    <row r="580" spans="1:95" x14ac:dyDescent="0.2">
      <c r="A580" t="s">
        <v>115</v>
      </c>
      <c r="B580" t="s">
        <v>116</v>
      </c>
      <c r="C580">
        <v>210784</v>
      </c>
      <c r="E580" t="s">
        <v>117</v>
      </c>
      <c r="F580">
        <v>368</v>
      </c>
      <c r="G580" t="s">
        <v>141</v>
      </c>
      <c r="H580" t="s">
        <v>142</v>
      </c>
      <c r="I580" t="s">
        <v>172</v>
      </c>
      <c r="J580" t="s">
        <v>173</v>
      </c>
      <c r="L580" s="14">
        <v>45643</v>
      </c>
      <c r="M580" s="18">
        <f t="shared" si="11"/>
        <v>45627</v>
      </c>
      <c r="N580">
        <v>119919</v>
      </c>
      <c r="O580" t="s">
        <v>123</v>
      </c>
      <c r="P580" t="s">
        <v>146</v>
      </c>
      <c r="Q580">
        <v>0.7</v>
      </c>
      <c r="R580" t="s">
        <v>125</v>
      </c>
      <c r="S580" t="s">
        <v>126</v>
      </c>
      <c r="T580" t="s">
        <v>125</v>
      </c>
      <c r="U580" t="s">
        <v>126</v>
      </c>
      <c r="W580">
        <v>0.7</v>
      </c>
      <c r="Y580">
        <v>0.7</v>
      </c>
      <c r="AH580">
        <v>0.7</v>
      </c>
      <c r="BH580" t="s">
        <v>126</v>
      </c>
      <c r="BI580" t="s">
        <v>126</v>
      </c>
      <c r="BJ580" t="s">
        <v>126</v>
      </c>
      <c r="BK580" t="s">
        <v>126</v>
      </c>
      <c r="BS580" t="s">
        <v>126</v>
      </c>
      <c r="BT580" t="s">
        <v>126</v>
      </c>
      <c r="BU580" t="s">
        <v>126</v>
      </c>
      <c r="BV580" t="s">
        <v>126</v>
      </c>
      <c r="CN580" t="s">
        <v>147</v>
      </c>
      <c r="CP580" t="s">
        <v>364</v>
      </c>
      <c r="CQ580" t="s">
        <v>147</v>
      </c>
    </row>
    <row r="581" spans="1:95" x14ac:dyDescent="0.2">
      <c r="A581" t="s">
        <v>115</v>
      </c>
      <c r="B581" t="s">
        <v>116</v>
      </c>
      <c r="C581">
        <v>210784</v>
      </c>
      <c r="E581" t="s">
        <v>117</v>
      </c>
      <c r="F581">
        <v>368</v>
      </c>
      <c r="G581" t="s">
        <v>141</v>
      </c>
      <c r="H581" t="s">
        <v>142</v>
      </c>
      <c r="I581" t="s">
        <v>279</v>
      </c>
      <c r="J581" t="s">
        <v>280</v>
      </c>
      <c r="L581" s="14">
        <v>45644</v>
      </c>
      <c r="M581" s="18">
        <f t="shared" si="11"/>
        <v>45627</v>
      </c>
      <c r="N581">
        <v>5632509</v>
      </c>
      <c r="O581" t="s">
        <v>123</v>
      </c>
      <c r="P581" t="s">
        <v>146</v>
      </c>
      <c r="Q581">
        <v>4.76</v>
      </c>
      <c r="R581" t="s">
        <v>125</v>
      </c>
      <c r="S581" t="s">
        <v>126</v>
      </c>
      <c r="T581" t="s">
        <v>125</v>
      </c>
      <c r="U581" t="s">
        <v>126</v>
      </c>
      <c r="W581">
        <v>4.76</v>
      </c>
      <c r="Y581">
        <v>4.76</v>
      </c>
      <c r="AS581">
        <v>4.76</v>
      </c>
      <c r="BH581" t="s">
        <v>126</v>
      </c>
      <c r="BI581" t="s">
        <v>126</v>
      </c>
      <c r="BJ581" t="s">
        <v>126</v>
      </c>
      <c r="BK581" t="s">
        <v>126</v>
      </c>
      <c r="BS581" t="s">
        <v>126</v>
      </c>
      <c r="BT581" t="s">
        <v>126</v>
      </c>
      <c r="BU581" t="s">
        <v>126</v>
      </c>
      <c r="BV581" t="s">
        <v>126</v>
      </c>
      <c r="CN581" t="s">
        <v>147</v>
      </c>
      <c r="CP581" t="s">
        <v>273</v>
      </c>
      <c r="CQ581" t="s">
        <v>147</v>
      </c>
    </row>
    <row r="582" spans="1:95" x14ac:dyDescent="0.2">
      <c r="A582" t="s">
        <v>115</v>
      </c>
      <c r="B582" t="s">
        <v>116</v>
      </c>
      <c r="C582">
        <v>210784</v>
      </c>
      <c r="E582" t="s">
        <v>117</v>
      </c>
      <c r="F582">
        <v>368</v>
      </c>
      <c r="G582" t="s">
        <v>141</v>
      </c>
      <c r="H582" t="s">
        <v>142</v>
      </c>
      <c r="I582" t="s">
        <v>279</v>
      </c>
      <c r="J582" t="s">
        <v>280</v>
      </c>
      <c r="L582" s="14">
        <v>45646</v>
      </c>
      <c r="M582" s="18">
        <f t="shared" si="11"/>
        <v>45627</v>
      </c>
      <c r="N582">
        <v>5633893</v>
      </c>
      <c r="O582" t="s">
        <v>123</v>
      </c>
      <c r="P582" t="s">
        <v>146</v>
      </c>
      <c r="Q582">
        <v>5.85</v>
      </c>
      <c r="R582" t="s">
        <v>125</v>
      </c>
      <c r="S582" t="s">
        <v>126</v>
      </c>
      <c r="T582" t="s">
        <v>125</v>
      </c>
      <c r="U582" t="s">
        <v>126</v>
      </c>
      <c r="W582">
        <v>5.85</v>
      </c>
      <c r="Y582">
        <v>5.85</v>
      </c>
      <c r="AS582">
        <v>5.85</v>
      </c>
      <c r="BH582" t="s">
        <v>126</v>
      </c>
      <c r="BI582" t="s">
        <v>126</v>
      </c>
      <c r="BJ582" t="s">
        <v>126</v>
      </c>
      <c r="BK582" t="s">
        <v>126</v>
      </c>
      <c r="BS582" t="s">
        <v>126</v>
      </c>
      <c r="BT582" t="s">
        <v>126</v>
      </c>
      <c r="BU582" t="s">
        <v>126</v>
      </c>
      <c r="BV582" t="s">
        <v>126</v>
      </c>
      <c r="CN582" t="s">
        <v>147</v>
      </c>
      <c r="CP582" t="s">
        <v>275</v>
      </c>
      <c r="CQ582" t="s">
        <v>147</v>
      </c>
    </row>
    <row r="583" spans="1:95" x14ac:dyDescent="0.2">
      <c r="A583" t="s">
        <v>115</v>
      </c>
      <c r="B583" t="s">
        <v>116</v>
      </c>
      <c r="C583">
        <v>210784</v>
      </c>
      <c r="E583" t="s">
        <v>117</v>
      </c>
      <c r="F583">
        <v>368</v>
      </c>
      <c r="G583" t="s">
        <v>141</v>
      </c>
      <c r="H583" t="s">
        <v>142</v>
      </c>
      <c r="I583" t="s">
        <v>279</v>
      </c>
      <c r="J583" t="s">
        <v>280</v>
      </c>
      <c r="L583" s="14">
        <v>45646</v>
      </c>
      <c r="M583" s="18">
        <f t="shared" si="11"/>
        <v>45627</v>
      </c>
      <c r="N583">
        <v>5633889</v>
      </c>
      <c r="O583" t="s">
        <v>123</v>
      </c>
      <c r="P583" t="s">
        <v>146</v>
      </c>
      <c r="Q583">
        <v>0.71</v>
      </c>
      <c r="R583" t="s">
        <v>125</v>
      </c>
      <c r="S583" t="s">
        <v>126</v>
      </c>
      <c r="T583" t="s">
        <v>125</v>
      </c>
      <c r="U583" t="s">
        <v>126</v>
      </c>
      <c r="W583">
        <v>0.71</v>
      </c>
      <c r="Y583">
        <v>0.71</v>
      </c>
      <c r="BE583">
        <v>0.71</v>
      </c>
      <c r="BH583" t="s">
        <v>126</v>
      </c>
      <c r="BI583" t="s">
        <v>126</v>
      </c>
      <c r="BJ583" t="s">
        <v>126</v>
      </c>
      <c r="BK583" t="s">
        <v>126</v>
      </c>
      <c r="BS583" t="s">
        <v>126</v>
      </c>
      <c r="BT583" t="s">
        <v>126</v>
      </c>
      <c r="BU583" t="s">
        <v>126</v>
      </c>
      <c r="BV583" t="s">
        <v>126</v>
      </c>
      <c r="CN583" t="s">
        <v>147</v>
      </c>
      <c r="CP583" t="s">
        <v>275</v>
      </c>
      <c r="CQ583" t="s">
        <v>147</v>
      </c>
    </row>
    <row r="584" spans="1:95" x14ac:dyDescent="0.2">
      <c r="A584" t="s">
        <v>115</v>
      </c>
      <c r="B584" t="s">
        <v>116</v>
      </c>
      <c r="C584">
        <v>210784</v>
      </c>
      <c r="E584" t="s">
        <v>117</v>
      </c>
      <c r="F584">
        <v>368</v>
      </c>
      <c r="G584" t="s">
        <v>141</v>
      </c>
      <c r="H584" t="s">
        <v>142</v>
      </c>
      <c r="I584" t="s">
        <v>279</v>
      </c>
      <c r="J584" t="s">
        <v>280</v>
      </c>
      <c r="L584" s="14">
        <v>45647</v>
      </c>
      <c r="M584" s="18">
        <f t="shared" si="11"/>
        <v>45627</v>
      </c>
      <c r="N584">
        <v>5634255</v>
      </c>
      <c r="O584" t="s">
        <v>123</v>
      </c>
      <c r="P584" t="s">
        <v>146</v>
      </c>
      <c r="Q584">
        <v>2.92</v>
      </c>
      <c r="R584" t="s">
        <v>125</v>
      </c>
      <c r="S584" t="s">
        <v>126</v>
      </c>
      <c r="T584" t="s">
        <v>125</v>
      </c>
      <c r="U584" t="s">
        <v>126</v>
      </c>
      <c r="W584">
        <v>2.92</v>
      </c>
      <c r="Y584">
        <v>2.92</v>
      </c>
      <c r="AS584">
        <v>2.92</v>
      </c>
      <c r="BH584" t="s">
        <v>126</v>
      </c>
      <c r="BI584" t="s">
        <v>126</v>
      </c>
      <c r="BJ584" t="s">
        <v>126</v>
      </c>
      <c r="BK584" t="s">
        <v>126</v>
      </c>
      <c r="BS584" t="s">
        <v>126</v>
      </c>
      <c r="BT584" t="s">
        <v>126</v>
      </c>
      <c r="BU584" t="s">
        <v>126</v>
      </c>
      <c r="BV584" t="s">
        <v>126</v>
      </c>
      <c r="CN584" t="s">
        <v>147</v>
      </c>
      <c r="CP584" t="s">
        <v>275</v>
      </c>
      <c r="CQ584" t="s">
        <v>147</v>
      </c>
    </row>
    <row r="585" spans="1:95" x14ac:dyDescent="0.2">
      <c r="A585" t="s">
        <v>115</v>
      </c>
      <c r="B585" t="s">
        <v>116</v>
      </c>
      <c r="C585">
        <v>210784</v>
      </c>
      <c r="E585" t="s">
        <v>117</v>
      </c>
      <c r="F585">
        <v>368</v>
      </c>
      <c r="G585" t="s">
        <v>141</v>
      </c>
      <c r="H585" t="s">
        <v>142</v>
      </c>
      <c r="I585" t="s">
        <v>279</v>
      </c>
      <c r="J585" t="s">
        <v>280</v>
      </c>
      <c r="L585" s="14">
        <v>45647</v>
      </c>
      <c r="M585" s="18">
        <f t="shared" si="11"/>
        <v>45627</v>
      </c>
      <c r="N585">
        <v>5634369</v>
      </c>
      <c r="O585" t="s">
        <v>123</v>
      </c>
      <c r="P585" t="s">
        <v>146</v>
      </c>
      <c r="Q585">
        <v>2.81</v>
      </c>
      <c r="R585" t="s">
        <v>125</v>
      </c>
      <c r="S585" t="s">
        <v>126</v>
      </c>
      <c r="T585" t="s">
        <v>125</v>
      </c>
      <c r="U585" t="s">
        <v>126</v>
      </c>
      <c r="W585">
        <v>2.81</v>
      </c>
      <c r="Y585">
        <v>2.81</v>
      </c>
      <c r="AS585">
        <v>2.81</v>
      </c>
      <c r="BH585" t="s">
        <v>126</v>
      </c>
      <c r="BI585" t="s">
        <v>126</v>
      </c>
      <c r="BJ585" t="s">
        <v>126</v>
      </c>
      <c r="BK585" t="s">
        <v>126</v>
      </c>
      <c r="BS585" t="s">
        <v>126</v>
      </c>
      <c r="BT585" t="s">
        <v>126</v>
      </c>
      <c r="BU585" t="s">
        <v>126</v>
      </c>
      <c r="BV585" t="s">
        <v>126</v>
      </c>
      <c r="CN585" t="s">
        <v>147</v>
      </c>
      <c r="CP585" t="s">
        <v>275</v>
      </c>
      <c r="CQ585" t="s">
        <v>147</v>
      </c>
    </row>
    <row r="586" spans="1:95" x14ac:dyDescent="0.2">
      <c r="A586" t="s">
        <v>115</v>
      </c>
      <c r="B586" t="s">
        <v>116</v>
      </c>
      <c r="C586">
        <v>210784</v>
      </c>
      <c r="E586" t="s">
        <v>117</v>
      </c>
      <c r="F586">
        <v>368</v>
      </c>
      <c r="G586" t="s">
        <v>141</v>
      </c>
      <c r="H586" t="s">
        <v>142</v>
      </c>
      <c r="I586" t="s">
        <v>279</v>
      </c>
      <c r="J586" t="s">
        <v>280</v>
      </c>
      <c r="L586" s="14">
        <v>45649</v>
      </c>
      <c r="M586" s="18">
        <f t="shared" si="11"/>
        <v>45627</v>
      </c>
      <c r="N586">
        <v>5634984</v>
      </c>
      <c r="O586" t="s">
        <v>123</v>
      </c>
      <c r="P586" t="s">
        <v>146</v>
      </c>
      <c r="Q586">
        <v>2.19</v>
      </c>
      <c r="R586" t="s">
        <v>665</v>
      </c>
      <c r="S586" t="s">
        <v>126</v>
      </c>
      <c r="T586" t="s">
        <v>665</v>
      </c>
      <c r="U586" t="s">
        <v>666</v>
      </c>
      <c r="W586">
        <v>0.67</v>
      </c>
      <c r="X586">
        <v>1.52</v>
      </c>
      <c r="Y586">
        <v>2.19</v>
      </c>
      <c r="Z586">
        <v>0.84</v>
      </c>
      <c r="AG586">
        <v>0.67</v>
      </c>
      <c r="AI586">
        <v>0.68</v>
      </c>
      <c r="BH586" t="s">
        <v>126</v>
      </c>
      <c r="BI586" t="s">
        <v>126</v>
      </c>
      <c r="BJ586" t="s">
        <v>126</v>
      </c>
      <c r="BK586" t="s">
        <v>126</v>
      </c>
      <c r="BS586" t="s">
        <v>126</v>
      </c>
      <c r="BT586" t="s">
        <v>126</v>
      </c>
      <c r="BU586" t="s">
        <v>126</v>
      </c>
      <c r="BV586" t="s">
        <v>126</v>
      </c>
      <c r="CN586" t="s">
        <v>147</v>
      </c>
      <c r="CP586" t="s">
        <v>275</v>
      </c>
      <c r="CQ586" t="s">
        <v>147</v>
      </c>
    </row>
    <row r="587" spans="1:95" x14ac:dyDescent="0.2">
      <c r="A587" t="s">
        <v>115</v>
      </c>
      <c r="B587" t="s">
        <v>116</v>
      </c>
      <c r="C587">
        <v>210784</v>
      </c>
      <c r="E587" t="s">
        <v>117</v>
      </c>
      <c r="F587">
        <v>368</v>
      </c>
      <c r="G587" t="s">
        <v>141</v>
      </c>
      <c r="H587" t="s">
        <v>142</v>
      </c>
      <c r="I587" t="s">
        <v>204</v>
      </c>
      <c r="J587" t="s">
        <v>205</v>
      </c>
      <c r="L587" s="14">
        <v>45652</v>
      </c>
      <c r="M587" s="18">
        <f t="shared" ref="M587:M650" si="12">DATE(YEAR(L587), MONTH(L587), 1)</f>
        <v>45627</v>
      </c>
      <c r="N587">
        <v>114281</v>
      </c>
      <c r="O587" t="s">
        <v>123</v>
      </c>
      <c r="P587" t="s">
        <v>146</v>
      </c>
      <c r="Q587">
        <v>3.72</v>
      </c>
      <c r="R587" t="s">
        <v>125</v>
      </c>
      <c r="S587" t="s">
        <v>126</v>
      </c>
      <c r="T587" t="s">
        <v>125</v>
      </c>
      <c r="U587" t="s">
        <v>126</v>
      </c>
      <c r="W587">
        <v>3.72</v>
      </c>
      <c r="Y587">
        <v>3.72</v>
      </c>
      <c r="AC587">
        <v>3.72</v>
      </c>
      <c r="BH587" t="s">
        <v>126</v>
      </c>
      <c r="BI587" t="s">
        <v>126</v>
      </c>
      <c r="BJ587" t="s">
        <v>126</v>
      </c>
      <c r="BK587" t="s">
        <v>126</v>
      </c>
      <c r="BS587" t="s">
        <v>126</v>
      </c>
      <c r="BT587" t="s">
        <v>126</v>
      </c>
      <c r="BU587" t="s">
        <v>126</v>
      </c>
      <c r="BV587" t="s">
        <v>126</v>
      </c>
      <c r="CN587" t="s">
        <v>147</v>
      </c>
      <c r="CP587" t="s">
        <v>275</v>
      </c>
      <c r="CQ587" t="s">
        <v>147</v>
      </c>
    </row>
    <row r="588" spans="1:95" x14ac:dyDescent="0.2">
      <c r="A588" t="s">
        <v>115</v>
      </c>
      <c r="B588" t="s">
        <v>116</v>
      </c>
      <c r="C588">
        <v>210784</v>
      </c>
      <c r="E588" t="s">
        <v>117</v>
      </c>
      <c r="F588">
        <v>368</v>
      </c>
      <c r="G588" t="s">
        <v>141</v>
      </c>
      <c r="H588" t="s">
        <v>142</v>
      </c>
      <c r="I588" t="s">
        <v>279</v>
      </c>
      <c r="J588" t="s">
        <v>280</v>
      </c>
      <c r="L588" s="14">
        <v>45652</v>
      </c>
      <c r="M588" s="18">
        <f t="shared" si="12"/>
        <v>45627</v>
      </c>
      <c r="N588">
        <v>5636388</v>
      </c>
      <c r="O588" t="s">
        <v>123</v>
      </c>
      <c r="P588" t="s">
        <v>146</v>
      </c>
      <c r="Q588">
        <v>6.56</v>
      </c>
      <c r="R588" t="s">
        <v>125</v>
      </c>
      <c r="S588" t="s">
        <v>126</v>
      </c>
      <c r="T588" t="s">
        <v>125</v>
      </c>
      <c r="U588" t="s">
        <v>126</v>
      </c>
      <c r="W588">
        <v>6.56</v>
      </c>
      <c r="Y588">
        <v>6.56</v>
      </c>
      <c r="AS588">
        <v>6.56</v>
      </c>
      <c r="BH588" t="s">
        <v>126</v>
      </c>
      <c r="BI588" t="s">
        <v>126</v>
      </c>
      <c r="BJ588" t="s">
        <v>126</v>
      </c>
      <c r="BK588" t="s">
        <v>126</v>
      </c>
      <c r="BS588" t="s">
        <v>126</v>
      </c>
      <c r="BT588" t="s">
        <v>126</v>
      </c>
      <c r="BU588" t="s">
        <v>126</v>
      </c>
      <c r="BV588" t="s">
        <v>126</v>
      </c>
      <c r="CN588" t="s">
        <v>147</v>
      </c>
      <c r="CP588" t="s">
        <v>275</v>
      </c>
      <c r="CQ588" t="s">
        <v>147</v>
      </c>
    </row>
    <row r="589" spans="1:95" x14ac:dyDescent="0.2">
      <c r="A589" t="s">
        <v>115</v>
      </c>
      <c r="B589" t="s">
        <v>116</v>
      </c>
      <c r="C589">
        <v>210784</v>
      </c>
      <c r="E589" t="s">
        <v>117</v>
      </c>
      <c r="F589">
        <v>368</v>
      </c>
      <c r="G589" t="s">
        <v>141</v>
      </c>
      <c r="H589" t="s">
        <v>142</v>
      </c>
      <c r="I589" t="s">
        <v>279</v>
      </c>
      <c r="J589" t="s">
        <v>280</v>
      </c>
      <c r="L589" s="14">
        <v>45653</v>
      </c>
      <c r="M589" s="18">
        <f t="shared" si="12"/>
        <v>45627</v>
      </c>
      <c r="N589">
        <v>5637240</v>
      </c>
      <c r="O589" t="s">
        <v>123</v>
      </c>
      <c r="P589" t="s">
        <v>146</v>
      </c>
      <c r="Q589">
        <v>3.03</v>
      </c>
      <c r="R589" t="s">
        <v>125</v>
      </c>
      <c r="S589" t="s">
        <v>126</v>
      </c>
      <c r="T589" t="s">
        <v>125</v>
      </c>
      <c r="U589" t="s">
        <v>126</v>
      </c>
      <c r="W589">
        <v>3.03</v>
      </c>
      <c r="Y589">
        <v>3.03</v>
      </c>
      <c r="AS589">
        <v>3.03</v>
      </c>
      <c r="BH589" t="s">
        <v>126</v>
      </c>
      <c r="BI589" t="s">
        <v>126</v>
      </c>
      <c r="BJ589" t="s">
        <v>126</v>
      </c>
      <c r="BK589" t="s">
        <v>126</v>
      </c>
      <c r="BS589" t="s">
        <v>126</v>
      </c>
      <c r="BT589" t="s">
        <v>126</v>
      </c>
      <c r="BU589" t="s">
        <v>126</v>
      </c>
      <c r="BV589" t="s">
        <v>126</v>
      </c>
      <c r="CN589" t="s">
        <v>147</v>
      </c>
      <c r="CP589" t="s">
        <v>275</v>
      </c>
      <c r="CQ589" t="s">
        <v>147</v>
      </c>
    </row>
    <row r="590" spans="1:95" x14ac:dyDescent="0.2">
      <c r="A590" t="s">
        <v>115</v>
      </c>
      <c r="B590" t="s">
        <v>116</v>
      </c>
      <c r="C590">
        <v>210784</v>
      </c>
      <c r="E590" t="s">
        <v>117</v>
      </c>
      <c r="F590">
        <v>368</v>
      </c>
      <c r="G590" t="s">
        <v>141</v>
      </c>
      <c r="H590" t="s">
        <v>142</v>
      </c>
      <c r="I590" t="s">
        <v>279</v>
      </c>
      <c r="J590" t="s">
        <v>280</v>
      </c>
      <c r="L590" s="14">
        <v>45653</v>
      </c>
      <c r="M590" s="18">
        <f t="shared" si="12"/>
        <v>45627</v>
      </c>
      <c r="N590">
        <v>5656777</v>
      </c>
      <c r="O590" t="s">
        <v>123</v>
      </c>
      <c r="P590" t="s">
        <v>146</v>
      </c>
      <c r="Q590">
        <v>2.1</v>
      </c>
      <c r="R590" t="s">
        <v>125</v>
      </c>
      <c r="S590" t="s">
        <v>126</v>
      </c>
      <c r="T590" t="s">
        <v>125</v>
      </c>
      <c r="U590" t="s">
        <v>126</v>
      </c>
      <c r="W590">
        <v>2.1</v>
      </c>
      <c r="Y590">
        <v>2.1</v>
      </c>
      <c r="BE590">
        <v>2.1</v>
      </c>
      <c r="BH590" t="s">
        <v>126</v>
      </c>
      <c r="BI590" t="s">
        <v>126</v>
      </c>
      <c r="BJ590" t="s">
        <v>126</v>
      </c>
      <c r="BK590" t="s">
        <v>126</v>
      </c>
      <c r="BS590" t="s">
        <v>126</v>
      </c>
      <c r="BT590" t="s">
        <v>126</v>
      </c>
      <c r="BU590" t="s">
        <v>126</v>
      </c>
      <c r="BV590" t="s">
        <v>126</v>
      </c>
      <c r="CN590" t="s">
        <v>147</v>
      </c>
      <c r="CP590" t="s">
        <v>275</v>
      </c>
      <c r="CQ590" t="s">
        <v>147</v>
      </c>
    </row>
    <row r="591" spans="1:95" x14ac:dyDescent="0.2">
      <c r="A591" t="s">
        <v>115</v>
      </c>
      <c r="B591" t="s">
        <v>116</v>
      </c>
      <c r="C591">
        <v>210784</v>
      </c>
      <c r="E591" t="s">
        <v>117</v>
      </c>
      <c r="F591">
        <v>368</v>
      </c>
      <c r="G591" t="s">
        <v>141</v>
      </c>
      <c r="H591" t="s">
        <v>142</v>
      </c>
      <c r="I591" t="s">
        <v>279</v>
      </c>
      <c r="J591" t="s">
        <v>280</v>
      </c>
      <c r="L591" s="14">
        <v>45654</v>
      </c>
      <c r="M591" s="18">
        <f t="shared" si="12"/>
        <v>45627</v>
      </c>
      <c r="N591">
        <v>5637540</v>
      </c>
      <c r="O591" t="s">
        <v>123</v>
      </c>
      <c r="P591" t="s">
        <v>146</v>
      </c>
      <c r="Q591">
        <v>1.23</v>
      </c>
      <c r="R591" t="s">
        <v>125</v>
      </c>
      <c r="S591" t="s">
        <v>126</v>
      </c>
      <c r="T591" t="s">
        <v>125</v>
      </c>
      <c r="U591" t="s">
        <v>126</v>
      </c>
      <c r="W591">
        <v>1.23</v>
      </c>
      <c r="Y591">
        <v>1.23</v>
      </c>
      <c r="AS591">
        <v>1.23</v>
      </c>
      <c r="BH591" t="s">
        <v>126</v>
      </c>
      <c r="BI591" t="s">
        <v>126</v>
      </c>
      <c r="BJ591" t="s">
        <v>126</v>
      </c>
      <c r="BK591" t="s">
        <v>126</v>
      </c>
      <c r="BS591" t="s">
        <v>126</v>
      </c>
      <c r="BT591" t="s">
        <v>126</v>
      </c>
      <c r="BU591" t="s">
        <v>126</v>
      </c>
      <c r="BV591" t="s">
        <v>126</v>
      </c>
      <c r="CN591" t="s">
        <v>147</v>
      </c>
      <c r="CP591" t="s">
        <v>275</v>
      </c>
      <c r="CQ591" t="s">
        <v>147</v>
      </c>
    </row>
    <row r="592" spans="1:95" x14ac:dyDescent="0.2">
      <c r="A592" t="s">
        <v>115</v>
      </c>
      <c r="B592" t="s">
        <v>116</v>
      </c>
      <c r="C592">
        <v>210784</v>
      </c>
      <c r="E592" t="s">
        <v>117</v>
      </c>
      <c r="F592">
        <v>368</v>
      </c>
      <c r="G592" t="s">
        <v>141</v>
      </c>
      <c r="H592" t="s">
        <v>142</v>
      </c>
      <c r="I592" t="s">
        <v>279</v>
      </c>
      <c r="J592" t="s">
        <v>280</v>
      </c>
      <c r="L592" s="14">
        <v>45657</v>
      </c>
      <c r="M592" s="18">
        <f t="shared" si="12"/>
        <v>45627</v>
      </c>
      <c r="N592">
        <v>5639276</v>
      </c>
      <c r="O592" t="s">
        <v>123</v>
      </c>
      <c r="P592" t="s">
        <v>146</v>
      </c>
      <c r="Q592">
        <v>6.16</v>
      </c>
      <c r="R592" t="s">
        <v>125</v>
      </c>
      <c r="S592" t="s">
        <v>126</v>
      </c>
      <c r="T592" t="s">
        <v>125</v>
      </c>
      <c r="U592" t="s">
        <v>126</v>
      </c>
      <c r="W592">
        <v>6.16</v>
      </c>
      <c r="Y592">
        <v>6.16</v>
      </c>
      <c r="AS592">
        <v>6.16</v>
      </c>
      <c r="BH592" t="s">
        <v>126</v>
      </c>
      <c r="BI592" t="s">
        <v>126</v>
      </c>
      <c r="BJ592" t="s">
        <v>126</v>
      </c>
      <c r="BK592" t="s">
        <v>126</v>
      </c>
      <c r="BS592" t="s">
        <v>126</v>
      </c>
      <c r="BT592" t="s">
        <v>126</v>
      </c>
      <c r="BU592" t="s">
        <v>126</v>
      </c>
      <c r="BV592" t="s">
        <v>126</v>
      </c>
      <c r="CN592" t="s">
        <v>147</v>
      </c>
      <c r="CP592" t="s">
        <v>275</v>
      </c>
      <c r="CQ592" t="s">
        <v>147</v>
      </c>
    </row>
    <row r="593" spans="1:95" x14ac:dyDescent="0.2">
      <c r="A593" t="s">
        <v>115</v>
      </c>
      <c r="B593" t="s">
        <v>116</v>
      </c>
      <c r="C593">
        <v>210784</v>
      </c>
      <c r="E593" t="s">
        <v>117</v>
      </c>
      <c r="F593">
        <v>368</v>
      </c>
      <c r="G593" t="s">
        <v>141</v>
      </c>
      <c r="H593" t="s">
        <v>142</v>
      </c>
      <c r="I593" t="s">
        <v>279</v>
      </c>
      <c r="J593" t="s">
        <v>280</v>
      </c>
      <c r="L593" s="14">
        <v>45657</v>
      </c>
      <c r="M593" s="18">
        <f t="shared" si="12"/>
        <v>45627</v>
      </c>
      <c r="N593">
        <v>5638854</v>
      </c>
      <c r="O593" t="s">
        <v>123</v>
      </c>
      <c r="P593" t="s">
        <v>146</v>
      </c>
      <c r="Q593">
        <v>1.19</v>
      </c>
      <c r="R593" t="s">
        <v>667</v>
      </c>
      <c r="S593" t="s">
        <v>126</v>
      </c>
      <c r="T593" t="s">
        <v>667</v>
      </c>
      <c r="U593" t="s">
        <v>668</v>
      </c>
      <c r="W593">
        <v>0.37</v>
      </c>
      <c r="X593">
        <v>0.82000000000000006</v>
      </c>
      <c r="Y593">
        <v>1.19</v>
      </c>
      <c r="Z593">
        <v>0.45</v>
      </c>
      <c r="AG593">
        <v>0.37</v>
      </c>
      <c r="AI593">
        <v>0.37</v>
      </c>
      <c r="BH593" t="s">
        <v>126</v>
      </c>
      <c r="BI593" t="s">
        <v>126</v>
      </c>
      <c r="BJ593" t="s">
        <v>126</v>
      </c>
      <c r="BK593" t="s">
        <v>126</v>
      </c>
      <c r="BS593" t="s">
        <v>126</v>
      </c>
      <c r="BT593" t="s">
        <v>126</v>
      </c>
      <c r="BU593" t="s">
        <v>126</v>
      </c>
      <c r="BV593" t="s">
        <v>126</v>
      </c>
      <c r="CN593" t="s">
        <v>147</v>
      </c>
      <c r="CP593" t="s">
        <v>275</v>
      </c>
      <c r="CQ593" t="s">
        <v>147</v>
      </c>
    </row>
    <row r="594" spans="1:95" x14ac:dyDescent="0.2">
      <c r="A594" t="s">
        <v>115</v>
      </c>
      <c r="B594" t="s">
        <v>116</v>
      </c>
      <c r="C594">
        <v>210784</v>
      </c>
      <c r="E594" t="s">
        <v>117</v>
      </c>
      <c r="F594">
        <v>368</v>
      </c>
      <c r="G594" t="s">
        <v>141</v>
      </c>
      <c r="H594" t="s">
        <v>142</v>
      </c>
      <c r="I594" t="s">
        <v>279</v>
      </c>
      <c r="J594" t="s">
        <v>280</v>
      </c>
      <c r="L594" s="14">
        <v>45657</v>
      </c>
      <c r="M594" s="18">
        <f t="shared" si="12"/>
        <v>45627</v>
      </c>
      <c r="N594">
        <v>5638982</v>
      </c>
      <c r="O594" t="s">
        <v>123</v>
      </c>
      <c r="P594" t="s">
        <v>146</v>
      </c>
      <c r="Q594">
        <v>1.62</v>
      </c>
      <c r="R594" t="s">
        <v>567</v>
      </c>
      <c r="S594" t="s">
        <v>126</v>
      </c>
      <c r="T594" t="s">
        <v>567</v>
      </c>
      <c r="U594" t="s">
        <v>568</v>
      </c>
      <c r="W594">
        <v>0.5</v>
      </c>
      <c r="X594">
        <v>1.1200000000000001</v>
      </c>
      <c r="Y594">
        <v>1.62</v>
      </c>
      <c r="Z594">
        <v>0.62</v>
      </c>
      <c r="AG594">
        <v>0.5</v>
      </c>
      <c r="AI594">
        <v>0.5</v>
      </c>
      <c r="BH594" t="s">
        <v>126</v>
      </c>
      <c r="BI594" t="s">
        <v>126</v>
      </c>
      <c r="BJ594" t="s">
        <v>126</v>
      </c>
      <c r="BK594" t="s">
        <v>126</v>
      </c>
      <c r="BS594" t="s">
        <v>126</v>
      </c>
      <c r="BT594" t="s">
        <v>126</v>
      </c>
      <c r="BU594" t="s">
        <v>126</v>
      </c>
      <c r="BV594" t="s">
        <v>126</v>
      </c>
      <c r="CN594" t="s">
        <v>147</v>
      </c>
      <c r="CP594" t="s">
        <v>275</v>
      </c>
      <c r="CQ594" t="s">
        <v>147</v>
      </c>
    </row>
    <row r="595" spans="1:95" x14ac:dyDescent="0.2">
      <c r="A595" t="s">
        <v>115</v>
      </c>
      <c r="B595" t="s">
        <v>116</v>
      </c>
      <c r="C595">
        <v>210784</v>
      </c>
      <c r="E595" t="s">
        <v>117</v>
      </c>
      <c r="F595">
        <v>368</v>
      </c>
      <c r="G595" t="s">
        <v>141</v>
      </c>
      <c r="H595" t="s">
        <v>142</v>
      </c>
      <c r="I595" t="s">
        <v>279</v>
      </c>
      <c r="J595" t="s">
        <v>280</v>
      </c>
      <c r="L595" s="14">
        <v>45659</v>
      </c>
      <c r="M595" s="18">
        <f t="shared" si="12"/>
        <v>45658</v>
      </c>
      <c r="N595">
        <v>5639743</v>
      </c>
      <c r="O595" t="s">
        <v>123</v>
      </c>
      <c r="P595" t="s">
        <v>146</v>
      </c>
      <c r="Q595">
        <v>2.5299999999999998</v>
      </c>
      <c r="R595" t="s">
        <v>125</v>
      </c>
      <c r="S595" t="s">
        <v>126</v>
      </c>
      <c r="T595" t="s">
        <v>125</v>
      </c>
      <c r="U595" t="s">
        <v>126</v>
      </c>
      <c r="W595">
        <v>2.5299999999999998</v>
      </c>
      <c r="Y595">
        <v>2.5299999999999998</v>
      </c>
      <c r="AS595">
        <v>2.5299999999999998</v>
      </c>
      <c r="BH595" t="s">
        <v>126</v>
      </c>
      <c r="BI595" t="s">
        <v>126</v>
      </c>
      <c r="BJ595" t="s">
        <v>126</v>
      </c>
      <c r="BK595" t="s">
        <v>126</v>
      </c>
      <c r="BS595" t="s">
        <v>126</v>
      </c>
      <c r="BT595" t="s">
        <v>126</v>
      </c>
      <c r="BU595" t="s">
        <v>126</v>
      </c>
      <c r="BV595" t="s">
        <v>126</v>
      </c>
      <c r="CN595" t="s">
        <v>147</v>
      </c>
      <c r="CP595" t="s">
        <v>275</v>
      </c>
      <c r="CQ595" t="s">
        <v>147</v>
      </c>
    </row>
    <row r="596" spans="1:95" x14ac:dyDescent="0.2">
      <c r="A596" t="s">
        <v>115</v>
      </c>
      <c r="B596" t="s">
        <v>116</v>
      </c>
      <c r="C596">
        <v>210784</v>
      </c>
      <c r="E596" t="s">
        <v>117</v>
      </c>
      <c r="F596">
        <v>368</v>
      </c>
      <c r="G596" t="s">
        <v>141</v>
      </c>
      <c r="H596" t="s">
        <v>142</v>
      </c>
      <c r="I596" t="s">
        <v>279</v>
      </c>
      <c r="J596" t="s">
        <v>280</v>
      </c>
      <c r="L596" s="14">
        <v>45660</v>
      </c>
      <c r="M596" s="18">
        <f t="shared" si="12"/>
        <v>45658</v>
      </c>
      <c r="N596">
        <v>56406225</v>
      </c>
      <c r="O596" t="s">
        <v>123</v>
      </c>
      <c r="P596" t="s">
        <v>146</v>
      </c>
      <c r="Q596">
        <v>3.54</v>
      </c>
      <c r="R596" t="s">
        <v>125</v>
      </c>
      <c r="S596" t="s">
        <v>126</v>
      </c>
      <c r="T596" t="s">
        <v>125</v>
      </c>
      <c r="U596" t="s">
        <v>126</v>
      </c>
      <c r="W596">
        <v>3.54</v>
      </c>
      <c r="Y596">
        <v>3.54</v>
      </c>
      <c r="AS596">
        <v>3.54</v>
      </c>
      <c r="BH596" t="s">
        <v>126</v>
      </c>
      <c r="BI596" t="s">
        <v>126</v>
      </c>
      <c r="BJ596" t="s">
        <v>126</v>
      </c>
      <c r="BK596" t="s">
        <v>126</v>
      </c>
      <c r="BS596" t="s">
        <v>126</v>
      </c>
      <c r="BT596" t="s">
        <v>126</v>
      </c>
      <c r="BU596" t="s">
        <v>126</v>
      </c>
      <c r="BV596" t="s">
        <v>126</v>
      </c>
      <c r="CN596" t="s">
        <v>147</v>
      </c>
      <c r="CP596" t="s">
        <v>275</v>
      </c>
      <c r="CQ596" t="s">
        <v>147</v>
      </c>
    </row>
    <row r="597" spans="1:95" x14ac:dyDescent="0.2">
      <c r="A597" t="s">
        <v>115</v>
      </c>
      <c r="B597" t="s">
        <v>116</v>
      </c>
      <c r="C597">
        <v>210784</v>
      </c>
      <c r="E597" t="s">
        <v>117</v>
      </c>
      <c r="F597">
        <v>368</v>
      </c>
      <c r="G597" t="s">
        <v>141</v>
      </c>
      <c r="H597" t="s">
        <v>142</v>
      </c>
      <c r="I597" t="s">
        <v>279</v>
      </c>
      <c r="J597" t="s">
        <v>280</v>
      </c>
      <c r="L597" s="14">
        <v>45663</v>
      </c>
      <c r="M597" s="18">
        <f t="shared" si="12"/>
        <v>45658</v>
      </c>
      <c r="N597">
        <v>5642432</v>
      </c>
      <c r="O597" t="s">
        <v>123</v>
      </c>
      <c r="P597" t="s">
        <v>146</v>
      </c>
      <c r="Q597">
        <v>1.85</v>
      </c>
      <c r="R597" t="s">
        <v>125</v>
      </c>
      <c r="S597" t="s">
        <v>126</v>
      </c>
      <c r="T597" t="s">
        <v>125</v>
      </c>
      <c r="U597" t="s">
        <v>126</v>
      </c>
      <c r="W597">
        <v>1.85</v>
      </c>
      <c r="Y597">
        <v>1.85</v>
      </c>
      <c r="AS597">
        <v>1.85</v>
      </c>
      <c r="BH597" t="s">
        <v>126</v>
      </c>
      <c r="BI597" t="s">
        <v>126</v>
      </c>
      <c r="BJ597" t="s">
        <v>126</v>
      </c>
      <c r="BK597" t="s">
        <v>126</v>
      </c>
      <c r="BS597" t="s">
        <v>126</v>
      </c>
      <c r="BT597" t="s">
        <v>126</v>
      </c>
      <c r="BU597" t="s">
        <v>126</v>
      </c>
      <c r="BV597" t="s">
        <v>126</v>
      </c>
      <c r="CN597" t="s">
        <v>147</v>
      </c>
      <c r="CP597" t="s">
        <v>275</v>
      </c>
      <c r="CQ597" t="s">
        <v>147</v>
      </c>
    </row>
    <row r="598" spans="1:95" x14ac:dyDescent="0.2">
      <c r="A598" t="s">
        <v>115</v>
      </c>
      <c r="B598" t="s">
        <v>116</v>
      </c>
      <c r="C598">
        <v>210784</v>
      </c>
      <c r="E598" t="s">
        <v>117</v>
      </c>
      <c r="F598">
        <v>368</v>
      </c>
      <c r="G598" t="s">
        <v>141</v>
      </c>
      <c r="H598" t="s">
        <v>142</v>
      </c>
      <c r="I598" t="s">
        <v>279</v>
      </c>
      <c r="J598" t="s">
        <v>280</v>
      </c>
      <c r="L598" s="14">
        <v>45664</v>
      </c>
      <c r="M598" s="18">
        <f t="shared" si="12"/>
        <v>45658</v>
      </c>
      <c r="N598">
        <v>5643083</v>
      </c>
      <c r="O598" t="s">
        <v>123</v>
      </c>
      <c r="P598" t="s">
        <v>146</v>
      </c>
      <c r="Q598">
        <v>4.34</v>
      </c>
      <c r="R598" t="s">
        <v>125</v>
      </c>
      <c r="S598" t="s">
        <v>126</v>
      </c>
      <c r="T598" t="s">
        <v>125</v>
      </c>
      <c r="U598" t="s">
        <v>126</v>
      </c>
      <c r="W598">
        <v>4.34</v>
      </c>
      <c r="Y598">
        <v>4.34</v>
      </c>
      <c r="AS598">
        <v>4.34</v>
      </c>
      <c r="BH598" t="s">
        <v>126</v>
      </c>
      <c r="BI598" t="s">
        <v>126</v>
      </c>
      <c r="BJ598" t="s">
        <v>126</v>
      </c>
      <c r="BK598" t="s">
        <v>126</v>
      </c>
      <c r="BS598" t="s">
        <v>126</v>
      </c>
      <c r="BT598" t="s">
        <v>126</v>
      </c>
      <c r="BU598" t="s">
        <v>126</v>
      </c>
      <c r="BV598" t="s">
        <v>126</v>
      </c>
      <c r="CN598" t="s">
        <v>147</v>
      </c>
      <c r="CP598" t="s">
        <v>275</v>
      </c>
      <c r="CQ598" t="s">
        <v>147</v>
      </c>
    </row>
    <row r="599" spans="1:95" x14ac:dyDescent="0.2">
      <c r="A599" t="s">
        <v>115</v>
      </c>
      <c r="B599" t="s">
        <v>116</v>
      </c>
      <c r="C599">
        <v>210784</v>
      </c>
      <c r="E599" t="s">
        <v>117</v>
      </c>
      <c r="F599">
        <v>368</v>
      </c>
      <c r="G599" t="s">
        <v>141</v>
      </c>
      <c r="H599" t="s">
        <v>142</v>
      </c>
      <c r="I599" t="s">
        <v>279</v>
      </c>
      <c r="J599" t="s">
        <v>280</v>
      </c>
      <c r="L599" s="14">
        <v>45664</v>
      </c>
      <c r="M599" s="18">
        <f t="shared" si="12"/>
        <v>45658</v>
      </c>
      <c r="N599">
        <v>5642440</v>
      </c>
      <c r="O599" t="s">
        <v>123</v>
      </c>
      <c r="P599" t="s">
        <v>146</v>
      </c>
      <c r="Q599">
        <v>1.5299999999999998</v>
      </c>
      <c r="R599" t="s">
        <v>544</v>
      </c>
      <c r="S599" t="s">
        <v>126</v>
      </c>
      <c r="T599" t="s">
        <v>544</v>
      </c>
      <c r="U599" t="s">
        <v>545</v>
      </c>
      <c r="W599">
        <v>0.47</v>
      </c>
      <c r="X599">
        <v>1.06</v>
      </c>
      <c r="Y599">
        <v>1.5299999999999998</v>
      </c>
      <c r="Z599">
        <v>0.57999999999999996</v>
      </c>
      <c r="AG599">
        <v>0.47</v>
      </c>
      <c r="AI599">
        <v>0.48</v>
      </c>
      <c r="BH599" t="s">
        <v>126</v>
      </c>
      <c r="BI599" t="s">
        <v>126</v>
      </c>
      <c r="BJ599" t="s">
        <v>126</v>
      </c>
      <c r="BK599" t="s">
        <v>126</v>
      </c>
      <c r="BS599" t="s">
        <v>126</v>
      </c>
      <c r="BT599" t="s">
        <v>126</v>
      </c>
      <c r="BU599" t="s">
        <v>126</v>
      </c>
      <c r="BV599" t="s">
        <v>126</v>
      </c>
      <c r="CN599" t="s">
        <v>147</v>
      </c>
      <c r="CP599" t="s">
        <v>275</v>
      </c>
      <c r="CQ599" t="s">
        <v>147</v>
      </c>
    </row>
    <row r="600" spans="1:95" x14ac:dyDescent="0.2">
      <c r="A600" t="s">
        <v>115</v>
      </c>
      <c r="B600" t="s">
        <v>116</v>
      </c>
      <c r="C600">
        <v>210784</v>
      </c>
      <c r="E600" t="s">
        <v>117</v>
      </c>
      <c r="F600">
        <v>368</v>
      </c>
      <c r="G600" t="s">
        <v>141</v>
      </c>
      <c r="H600" t="s">
        <v>142</v>
      </c>
      <c r="I600" t="s">
        <v>279</v>
      </c>
      <c r="J600" t="s">
        <v>280</v>
      </c>
      <c r="L600" s="14">
        <v>45665</v>
      </c>
      <c r="M600" s="18">
        <f t="shared" si="12"/>
        <v>45658</v>
      </c>
      <c r="N600">
        <v>5644067</v>
      </c>
      <c r="O600" t="s">
        <v>123</v>
      </c>
      <c r="P600" t="s">
        <v>146</v>
      </c>
      <c r="Q600">
        <v>3.99</v>
      </c>
      <c r="R600" t="s">
        <v>125</v>
      </c>
      <c r="S600" t="s">
        <v>126</v>
      </c>
      <c r="T600" t="s">
        <v>125</v>
      </c>
      <c r="U600" t="s">
        <v>126</v>
      </c>
      <c r="W600">
        <v>3.99</v>
      </c>
      <c r="Y600">
        <v>3.99</v>
      </c>
      <c r="AS600">
        <v>3.99</v>
      </c>
      <c r="BH600" t="s">
        <v>126</v>
      </c>
      <c r="BI600" t="s">
        <v>126</v>
      </c>
      <c r="BJ600" t="s">
        <v>126</v>
      </c>
      <c r="BK600" t="s">
        <v>126</v>
      </c>
      <c r="BS600" t="s">
        <v>126</v>
      </c>
      <c r="BT600" t="s">
        <v>126</v>
      </c>
      <c r="BU600" t="s">
        <v>126</v>
      </c>
      <c r="BV600" t="s">
        <v>126</v>
      </c>
      <c r="CN600" t="s">
        <v>147</v>
      </c>
      <c r="CP600" t="s">
        <v>275</v>
      </c>
      <c r="CQ600" t="s">
        <v>147</v>
      </c>
    </row>
    <row r="601" spans="1:95" x14ac:dyDescent="0.2">
      <c r="A601" t="s">
        <v>115</v>
      </c>
      <c r="B601" t="s">
        <v>116</v>
      </c>
      <c r="C601">
        <v>210784</v>
      </c>
      <c r="E601" t="s">
        <v>117</v>
      </c>
      <c r="F601">
        <v>368</v>
      </c>
      <c r="G601" t="s">
        <v>141</v>
      </c>
      <c r="H601" t="s">
        <v>142</v>
      </c>
      <c r="I601" t="s">
        <v>279</v>
      </c>
      <c r="J601" t="s">
        <v>280</v>
      </c>
      <c r="L601" s="14">
        <v>45666</v>
      </c>
      <c r="M601" s="18">
        <f t="shared" si="12"/>
        <v>45658</v>
      </c>
      <c r="N601">
        <v>5645040</v>
      </c>
      <c r="O601" t="s">
        <v>123</v>
      </c>
      <c r="P601" t="s">
        <v>146</v>
      </c>
      <c r="Q601">
        <v>5.23</v>
      </c>
      <c r="R601" t="s">
        <v>125</v>
      </c>
      <c r="S601" t="s">
        <v>126</v>
      </c>
      <c r="T601" t="s">
        <v>125</v>
      </c>
      <c r="U601" t="s">
        <v>126</v>
      </c>
      <c r="W601">
        <v>5.23</v>
      </c>
      <c r="Y601">
        <v>5.23</v>
      </c>
      <c r="AS601">
        <v>5.23</v>
      </c>
      <c r="BH601" t="s">
        <v>126</v>
      </c>
      <c r="BI601" t="s">
        <v>126</v>
      </c>
      <c r="BJ601" t="s">
        <v>126</v>
      </c>
      <c r="BK601" t="s">
        <v>126</v>
      </c>
      <c r="BS601" t="s">
        <v>126</v>
      </c>
      <c r="BT601" t="s">
        <v>126</v>
      </c>
      <c r="BU601" t="s">
        <v>126</v>
      </c>
      <c r="BV601" t="s">
        <v>126</v>
      </c>
      <c r="CN601" t="s">
        <v>147</v>
      </c>
      <c r="CP601" t="s">
        <v>275</v>
      </c>
      <c r="CQ601" t="s">
        <v>147</v>
      </c>
    </row>
    <row r="602" spans="1:95" x14ac:dyDescent="0.2">
      <c r="A602" t="s">
        <v>115</v>
      </c>
      <c r="B602" t="s">
        <v>116</v>
      </c>
      <c r="C602">
        <v>210784</v>
      </c>
      <c r="E602" t="s">
        <v>117</v>
      </c>
      <c r="F602">
        <v>368</v>
      </c>
      <c r="G602" t="s">
        <v>141</v>
      </c>
      <c r="H602" t="s">
        <v>142</v>
      </c>
      <c r="I602" t="s">
        <v>279</v>
      </c>
      <c r="J602" t="s">
        <v>280</v>
      </c>
      <c r="L602" s="14">
        <v>45666</v>
      </c>
      <c r="M602" s="18">
        <f t="shared" si="12"/>
        <v>45658</v>
      </c>
      <c r="N602">
        <v>5644964</v>
      </c>
      <c r="O602" t="s">
        <v>123</v>
      </c>
      <c r="P602" t="s">
        <v>146</v>
      </c>
      <c r="Q602">
        <v>3</v>
      </c>
      <c r="R602" t="s">
        <v>125</v>
      </c>
      <c r="S602" t="s">
        <v>126</v>
      </c>
      <c r="T602" t="s">
        <v>125</v>
      </c>
      <c r="U602" t="s">
        <v>126</v>
      </c>
      <c r="W602">
        <v>3</v>
      </c>
      <c r="Y602">
        <v>3</v>
      </c>
      <c r="BE602">
        <v>3</v>
      </c>
      <c r="BH602" t="s">
        <v>126</v>
      </c>
      <c r="BI602" t="s">
        <v>126</v>
      </c>
      <c r="BJ602" t="s">
        <v>126</v>
      </c>
      <c r="BK602" t="s">
        <v>126</v>
      </c>
      <c r="BS602" t="s">
        <v>126</v>
      </c>
      <c r="BT602" t="s">
        <v>126</v>
      </c>
      <c r="BU602" t="s">
        <v>126</v>
      </c>
      <c r="BV602" t="s">
        <v>126</v>
      </c>
      <c r="CN602" t="s">
        <v>147</v>
      </c>
      <c r="CP602" t="s">
        <v>275</v>
      </c>
      <c r="CQ602" t="s">
        <v>147</v>
      </c>
    </row>
    <row r="603" spans="1:95" x14ac:dyDescent="0.2">
      <c r="A603" t="s">
        <v>115</v>
      </c>
      <c r="B603" t="s">
        <v>116</v>
      </c>
      <c r="C603">
        <v>210784</v>
      </c>
      <c r="E603" t="s">
        <v>117</v>
      </c>
      <c r="F603">
        <v>368</v>
      </c>
      <c r="G603" t="s">
        <v>141</v>
      </c>
      <c r="H603" t="s">
        <v>142</v>
      </c>
      <c r="I603" t="s">
        <v>279</v>
      </c>
      <c r="J603" t="s">
        <v>280</v>
      </c>
      <c r="L603" s="14">
        <v>45666</v>
      </c>
      <c r="M603" s="18">
        <f t="shared" si="12"/>
        <v>45658</v>
      </c>
      <c r="N603">
        <v>5644695</v>
      </c>
      <c r="O603" t="s">
        <v>123</v>
      </c>
      <c r="P603" t="s">
        <v>146</v>
      </c>
      <c r="Q603">
        <v>2.2799999999999998</v>
      </c>
      <c r="R603" t="s">
        <v>125</v>
      </c>
      <c r="S603" t="s">
        <v>126</v>
      </c>
      <c r="T603" t="s">
        <v>125</v>
      </c>
      <c r="U603" t="s">
        <v>126</v>
      </c>
      <c r="W603">
        <v>2.2799999999999998</v>
      </c>
      <c r="Y603">
        <v>2.2799999999999998</v>
      </c>
      <c r="BE603">
        <v>2.2799999999999998</v>
      </c>
      <c r="BH603" t="s">
        <v>126</v>
      </c>
      <c r="BI603" t="s">
        <v>126</v>
      </c>
      <c r="BJ603" t="s">
        <v>126</v>
      </c>
      <c r="BK603" t="s">
        <v>126</v>
      </c>
      <c r="BS603" t="s">
        <v>126</v>
      </c>
      <c r="BT603" t="s">
        <v>126</v>
      </c>
      <c r="BU603" t="s">
        <v>126</v>
      </c>
      <c r="BV603" t="s">
        <v>126</v>
      </c>
      <c r="CN603" t="s">
        <v>147</v>
      </c>
      <c r="CP603" t="s">
        <v>275</v>
      </c>
      <c r="CQ603" t="s">
        <v>147</v>
      </c>
    </row>
    <row r="604" spans="1:95" x14ac:dyDescent="0.2">
      <c r="A604" t="s">
        <v>115</v>
      </c>
      <c r="B604" t="s">
        <v>116</v>
      </c>
      <c r="C604">
        <v>210784</v>
      </c>
      <c r="E604" t="s">
        <v>117</v>
      </c>
      <c r="F604">
        <v>368</v>
      </c>
      <c r="G604" t="s">
        <v>141</v>
      </c>
      <c r="H604" t="s">
        <v>142</v>
      </c>
      <c r="I604" t="s">
        <v>279</v>
      </c>
      <c r="J604" t="s">
        <v>280</v>
      </c>
      <c r="L604" s="14">
        <v>45668</v>
      </c>
      <c r="M604" s="18">
        <f t="shared" si="12"/>
        <v>45658</v>
      </c>
      <c r="N604">
        <v>5646115</v>
      </c>
      <c r="O604" t="s">
        <v>123</v>
      </c>
      <c r="P604" t="s">
        <v>146</v>
      </c>
      <c r="Q604">
        <v>0.38</v>
      </c>
      <c r="R604" t="s">
        <v>125</v>
      </c>
      <c r="S604" t="s">
        <v>126</v>
      </c>
      <c r="T604" t="s">
        <v>125</v>
      </c>
      <c r="U604" t="s">
        <v>126</v>
      </c>
      <c r="W604">
        <v>0.38</v>
      </c>
      <c r="Y604">
        <v>0.38</v>
      </c>
      <c r="AS604">
        <v>0.38</v>
      </c>
      <c r="BH604" t="s">
        <v>126</v>
      </c>
      <c r="BI604" t="s">
        <v>126</v>
      </c>
      <c r="BJ604" t="s">
        <v>126</v>
      </c>
      <c r="BK604" t="s">
        <v>126</v>
      </c>
      <c r="BS604" t="s">
        <v>126</v>
      </c>
      <c r="BT604" t="s">
        <v>126</v>
      </c>
      <c r="BU604" t="s">
        <v>126</v>
      </c>
      <c r="BV604" t="s">
        <v>126</v>
      </c>
      <c r="CN604" t="s">
        <v>147</v>
      </c>
      <c r="CP604" t="s">
        <v>275</v>
      </c>
      <c r="CQ604" t="s">
        <v>147</v>
      </c>
    </row>
    <row r="605" spans="1:95" x14ac:dyDescent="0.2">
      <c r="A605" t="s">
        <v>115</v>
      </c>
      <c r="B605" t="s">
        <v>116</v>
      </c>
      <c r="C605">
        <v>210784</v>
      </c>
      <c r="E605" t="s">
        <v>117</v>
      </c>
      <c r="F605">
        <v>368</v>
      </c>
      <c r="G605" t="s">
        <v>141</v>
      </c>
      <c r="H605" t="s">
        <v>142</v>
      </c>
      <c r="I605" t="s">
        <v>279</v>
      </c>
      <c r="J605" t="s">
        <v>280</v>
      </c>
      <c r="L605" s="14">
        <v>45668</v>
      </c>
      <c r="M605" s="18">
        <f t="shared" si="12"/>
        <v>45658</v>
      </c>
      <c r="N605">
        <v>5646119</v>
      </c>
      <c r="O605" t="s">
        <v>123</v>
      </c>
      <c r="P605" t="s">
        <v>146</v>
      </c>
      <c r="Q605">
        <v>3.63</v>
      </c>
      <c r="R605" t="s">
        <v>125</v>
      </c>
      <c r="S605" t="s">
        <v>126</v>
      </c>
      <c r="T605" t="s">
        <v>125</v>
      </c>
      <c r="U605" t="s">
        <v>126</v>
      </c>
      <c r="W605">
        <v>3.63</v>
      </c>
      <c r="Y605">
        <v>3.63</v>
      </c>
      <c r="BE605">
        <v>3.63</v>
      </c>
      <c r="BH605" t="s">
        <v>126</v>
      </c>
      <c r="BI605" t="s">
        <v>126</v>
      </c>
      <c r="BJ605" t="s">
        <v>126</v>
      </c>
      <c r="BK605" t="s">
        <v>126</v>
      </c>
      <c r="BS605" t="s">
        <v>126</v>
      </c>
      <c r="BT605" t="s">
        <v>126</v>
      </c>
      <c r="BU605" t="s">
        <v>126</v>
      </c>
      <c r="BV605" t="s">
        <v>126</v>
      </c>
      <c r="CN605" t="s">
        <v>147</v>
      </c>
      <c r="CP605" t="s">
        <v>275</v>
      </c>
      <c r="CQ605" t="s">
        <v>147</v>
      </c>
    </row>
    <row r="606" spans="1:95" x14ac:dyDescent="0.2">
      <c r="A606" t="s">
        <v>115</v>
      </c>
      <c r="B606" t="s">
        <v>116</v>
      </c>
      <c r="C606">
        <v>210784</v>
      </c>
      <c r="E606" t="s">
        <v>117</v>
      </c>
      <c r="F606">
        <v>368</v>
      </c>
      <c r="G606" t="s">
        <v>141</v>
      </c>
      <c r="H606" t="s">
        <v>142</v>
      </c>
      <c r="I606" t="s">
        <v>279</v>
      </c>
      <c r="J606" t="s">
        <v>280</v>
      </c>
      <c r="L606" s="14">
        <v>45670</v>
      </c>
      <c r="M606" s="18">
        <f t="shared" si="12"/>
        <v>45658</v>
      </c>
      <c r="N606">
        <v>5646915</v>
      </c>
      <c r="O606" t="s">
        <v>123</v>
      </c>
      <c r="P606" t="s">
        <v>146</v>
      </c>
      <c r="Q606">
        <v>4.5999999999999996</v>
      </c>
      <c r="R606" t="s">
        <v>125</v>
      </c>
      <c r="S606" t="s">
        <v>126</v>
      </c>
      <c r="T606" t="s">
        <v>125</v>
      </c>
      <c r="U606" t="s">
        <v>126</v>
      </c>
      <c r="W606">
        <v>4.5999999999999996</v>
      </c>
      <c r="Y606">
        <v>4.5999999999999996</v>
      </c>
      <c r="AS606">
        <v>4.5999999999999996</v>
      </c>
      <c r="BH606" t="s">
        <v>126</v>
      </c>
      <c r="BI606" t="s">
        <v>126</v>
      </c>
      <c r="BJ606" t="s">
        <v>126</v>
      </c>
      <c r="BK606" t="s">
        <v>126</v>
      </c>
      <c r="BS606" t="s">
        <v>126</v>
      </c>
      <c r="BT606" t="s">
        <v>126</v>
      </c>
      <c r="BU606" t="s">
        <v>126</v>
      </c>
      <c r="BV606" t="s">
        <v>126</v>
      </c>
      <c r="CN606" t="s">
        <v>147</v>
      </c>
      <c r="CP606" t="s">
        <v>275</v>
      </c>
      <c r="CQ606" t="s">
        <v>147</v>
      </c>
    </row>
    <row r="607" spans="1:95" x14ac:dyDescent="0.2">
      <c r="A607" t="s">
        <v>115</v>
      </c>
      <c r="B607" t="s">
        <v>116</v>
      </c>
      <c r="C607">
        <v>210784</v>
      </c>
      <c r="E607" t="s">
        <v>117</v>
      </c>
      <c r="F607">
        <v>368</v>
      </c>
      <c r="G607" t="s">
        <v>141</v>
      </c>
      <c r="H607" t="s">
        <v>142</v>
      </c>
      <c r="I607" t="s">
        <v>279</v>
      </c>
      <c r="J607" t="s">
        <v>280</v>
      </c>
      <c r="L607" s="14">
        <v>45670</v>
      </c>
      <c r="M607" s="18">
        <f t="shared" si="12"/>
        <v>45658</v>
      </c>
      <c r="N607">
        <v>5646722</v>
      </c>
      <c r="O607" t="s">
        <v>123</v>
      </c>
      <c r="P607" t="s">
        <v>146</v>
      </c>
      <c r="Q607">
        <v>3.6599999999999993</v>
      </c>
      <c r="R607" t="s">
        <v>669</v>
      </c>
      <c r="S607" t="s">
        <v>126</v>
      </c>
      <c r="T607" t="s">
        <v>669</v>
      </c>
      <c r="U607" t="s">
        <v>670</v>
      </c>
      <c r="W607">
        <v>1.1299999999999999</v>
      </c>
      <c r="X607">
        <v>2.5299999999999998</v>
      </c>
      <c r="Y607">
        <v>3.6599999999999993</v>
      </c>
      <c r="Z607">
        <v>1.39</v>
      </c>
      <c r="AG607">
        <v>1.1299999999999999</v>
      </c>
      <c r="AI607">
        <v>1.1399999999999999</v>
      </c>
      <c r="BH607" t="s">
        <v>126</v>
      </c>
      <c r="BI607" t="s">
        <v>126</v>
      </c>
      <c r="BJ607" t="s">
        <v>126</v>
      </c>
      <c r="BK607" t="s">
        <v>126</v>
      </c>
      <c r="BS607" t="s">
        <v>126</v>
      </c>
      <c r="BT607" t="s">
        <v>126</v>
      </c>
      <c r="BU607" t="s">
        <v>126</v>
      </c>
      <c r="BV607" t="s">
        <v>126</v>
      </c>
      <c r="CN607" t="s">
        <v>147</v>
      </c>
      <c r="CP607" t="s">
        <v>275</v>
      </c>
      <c r="CQ607" t="s">
        <v>147</v>
      </c>
    </row>
    <row r="608" spans="1:95" x14ac:dyDescent="0.2">
      <c r="A608" t="s">
        <v>115</v>
      </c>
      <c r="B608" t="s">
        <v>116</v>
      </c>
      <c r="C608">
        <v>210784</v>
      </c>
      <c r="E608" t="s">
        <v>117</v>
      </c>
      <c r="F608">
        <v>368</v>
      </c>
      <c r="G608" t="s">
        <v>141</v>
      </c>
      <c r="H608" t="s">
        <v>142</v>
      </c>
      <c r="I608" t="s">
        <v>279</v>
      </c>
      <c r="J608" t="s">
        <v>280</v>
      </c>
      <c r="L608" s="14">
        <v>45672</v>
      </c>
      <c r="M608" s="18">
        <f t="shared" si="12"/>
        <v>45658</v>
      </c>
      <c r="N608">
        <v>5648647</v>
      </c>
      <c r="O608" t="s">
        <v>123</v>
      </c>
      <c r="P608" t="s">
        <v>146</v>
      </c>
      <c r="Q608">
        <v>4.07</v>
      </c>
      <c r="R608" t="s">
        <v>125</v>
      </c>
      <c r="S608" t="s">
        <v>126</v>
      </c>
      <c r="T608" t="s">
        <v>125</v>
      </c>
      <c r="U608" t="s">
        <v>126</v>
      </c>
      <c r="W608">
        <v>4.07</v>
      </c>
      <c r="Y608">
        <v>4.07</v>
      </c>
      <c r="AS608">
        <v>4.07</v>
      </c>
      <c r="BH608" t="s">
        <v>126</v>
      </c>
      <c r="BI608" t="s">
        <v>126</v>
      </c>
      <c r="BJ608" t="s">
        <v>126</v>
      </c>
      <c r="BK608" t="s">
        <v>126</v>
      </c>
      <c r="BS608" t="s">
        <v>126</v>
      </c>
      <c r="BT608" t="s">
        <v>126</v>
      </c>
      <c r="BU608" t="s">
        <v>126</v>
      </c>
      <c r="BV608" t="s">
        <v>126</v>
      </c>
      <c r="CN608" t="s">
        <v>147</v>
      </c>
      <c r="CP608" t="s">
        <v>275</v>
      </c>
      <c r="CQ608" t="s">
        <v>147</v>
      </c>
    </row>
    <row r="609" spans="1:95" x14ac:dyDescent="0.2">
      <c r="A609" t="s">
        <v>115</v>
      </c>
      <c r="B609" t="s">
        <v>116</v>
      </c>
      <c r="C609">
        <v>210784</v>
      </c>
      <c r="E609" t="s">
        <v>117</v>
      </c>
      <c r="F609">
        <v>368</v>
      </c>
      <c r="G609" t="s">
        <v>141</v>
      </c>
      <c r="H609" t="s">
        <v>142</v>
      </c>
      <c r="I609" t="s">
        <v>279</v>
      </c>
      <c r="J609" t="s">
        <v>280</v>
      </c>
      <c r="L609" s="14">
        <v>45673</v>
      </c>
      <c r="M609" s="18">
        <f t="shared" si="12"/>
        <v>45658</v>
      </c>
      <c r="N609">
        <v>5648903</v>
      </c>
      <c r="O609" t="s">
        <v>123</v>
      </c>
      <c r="P609" t="s">
        <v>146</v>
      </c>
      <c r="Q609">
        <v>4.49</v>
      </c>
      <c r="R609" t="s">
        <v>125</v>
      </c>
      <c r="S609" t="s">
        <v>126</v>
      </c>
      <c r="T609" t="s">
        <v>125</v>
      </c>
      <c r="U609" t="s">
        <v>126</v>
      </c>
      <c r="W609">
        <v>4.49</v>
      </c>
      <c r="Y609">
        <v>4.49</v>
      </c>
      <c r="AS609">
        <v>4.49</v>
      </c>
      <c r="BH609" t="s">
        <v>126</v>
      </c>
      <c r="BI609" t="s">
        <v>126</v>
      </c>
      <c r="BJ609" t="s">
        <v>126</v>
      </c>
      <c r="BK609" t="s">
        <v>126</v>
      </c>
      <c r="BS609" t="s">
        <v>126</v>
      </c>
      <c r="BT609" t="s">
        <v>126</v>
      </c>
      <c r="BU609" t="s">
        <v>126</v>
      </c>
      <c r="BV609" t="s">
        <v>126</v>
      </c>
      <c r="CN609" t="s">
        <v>147</v>
      </c>
      <c r="CP609" t="s">
        <v>275</v>
      </c>
      <c r="CQ609" t="s">
        <v>147</v>
      </c>
    </row>
    <row r="610" spans="1:95" x14ac:dyDescent="0.2">
      <c r="A610" t="s">
        <v>115</v>
      </c>
      <c r="B610" t="s">
        <v>116</v>
      </c>
      <c r="C610">
        <v>210784</v>
      </c>
      <c r="E610" t="s">
        <v>117</v>
      </c>
      <c r="F610">
        <v>368</v>
      </c>
      <c r="G610" t="s">
        <v>141</v>
      </c>
      <c r="H610" t="s">
        <v>142</v>
      </c>
      <c r="I610" t="s">
        <v>279</v>
      </c>
      <c r="J610" t="s">
        <v>280</v>
      </c>
      <c r="L610" s="14">
        <v>45673</v>
      </c>
      <c r="M610" s="18">
        <f t="shared" si="12"/>
        <v>45658</v>
      </c>
      <c r="N610">
        <v>5649478</v>
      </c>
      <c r="O610" t="s">
        <v>123</v>
      </c>
      <c r="P610" t="s">
        <v>146</v>
      </c>
      <c r="Q610">
        <v>1.98</v>
      </c>
      <c r="R610" t="s">
        <v>125</v>
      </c>
      <c r="S610" t="s">
        <v>126</v>
      </c>
      <c r="T610" t="s">
        <v>125</v>
      </c>
      <c r="U610" t="s">
        <v>126</v>
      </c>
      <c r="W610">
        <v>1.98</v>
      </c>
      <c r="Y610">
        <v>1.98</v>
      </c>
      <c r="AS610">
        <v>1.98</v>
      </c>
      <c r="BH610" t="s">
        <v>126</v>
      </c>
      <c r="BI610" t="s">
        <v>126</v>
      </c>
      <c r="BJ610" t="s">
        <v>126</v>
      </c>
      <c r="BK610" t="s">
        <v>126</v>
      </c>
      <c r="BS610" t="s">
        <v>126</v>
      </c>
      <c r="BT610" t="s">
        <v>126</v>
      </c>
      <c r="BU610" t="s">
        <v>126</v>
      </c>
      <c r="BV610" t="s">
        <v>126</v>
      </c>
      <c r="CN610" t="s">
        <v>147</v>
      </c>
      <c r="CP610" t="s">
        <v>275</v>
      </c>
      <c r="CQ610" t="s">
        <v>147</v>
      </c>
    </row>
    <row r="611" spans="1:95" x14ac:dyDescent="0.2">
      <c r="A611" t="s">
        <v>115</v>
      </c>
      <c r="B611" t="s">
        <v>116</v>
      </c>
      <c r="C611">
        <v>210784</v>
      </c>
      <c r="E611" t="s">
        <v>117</v>
      </c>
      <c r="F611">
        <v>368</v>
      </c>
      <c r="G611" t="s">
        <v>141</v>
      </c>
      <c r="H611" t="s">
        <v>142</v>
      </c>
      <c r="I611" t="s">
        <v>279</v>
      </c>
      <c r="J611" t="s">
        <v>280</v>
      </c>
      <c r="L611" s="14">
        <v>45674</v>
      </c>
      <c r="M611" s="18">
        <f t="shared" si="12"/>
        <v>45658</v>
      </c>
      <c r="N611">
        <v>5650178</v>
      </c>
      <c r="O611" t="s">
        <v>123</v>
      </c>
      <c r="P611" t="s">
        <v>146</v>
      </c>
      <c r="Q611">
        <v>1</v>
      </c>
      <c r="R611" t="s">
        <v>125</v>
      </c>
      <c r="S611" t="s">
        <v>126</v>
      </c>
      <c r="T611" t="s">
        <v>125</v>
      </c>
      <c r="U611" t="s">
        <v>126</v>
      </c>
      <c r="W611">
        <v>1</v>
      </c>
      <c r="Y611">
        <v>1</v>
      </c>
      <c r="AS611">
        <v>1</v>
      </c>
      <c r="BH611" t="s">
        <v>126</v>
      </c>
      <c r="BI611" t="s">
        <v>126</v>
      </c>
      <c r="BJ611" t="s">
        <v>126</v>
      </c>
      <c r="BK611" t="s">
        <v>126</v>
      </c>
      <c r="BS611" t="s">
        <v>126</v>
      </c>
      <c r="BT611" t="s">
        <v>126</v>
      </c>
      <c r="BU611" t="s">
        <v>126</v>
      </c>
      <c r="BV611" t="s">
        <v>126</v>
      </c>
      <c r="CN611" t="s">
        <v>147</v>
      </c>
      <c r="CP611" t="s">
        <v>275</v>
      </c>
      <c r="CQ611" t="s">
        <v>147</v>
      </c>
    </row>
    <row r="612" spans="1:95" x14ac:dyDescent="0.2">
      <c r="A612" t="s">
        <v>115</v>
      </c>
      <c r="B612" t="s">
        <v>116</v>
      </c>
      <c r="C612">
        <v>210784</v>
      </c>
      <c r="E612" t="s">
        <v>117</v>
      </c>
      <c r="F612">
        <v>368</v>
      </c>
      <c r="G612" t="s">
        <v>141</v>
      </c>
      <c r="H612" t="s">
        <v>142</v>
      </c>
      <c r="I612" t="s">
        <v>204</v>
      </c>
      <c r="J612" t="s">
        <v>205</v>
      </c>
      <c r="L612" s="14">
        <v>45678</v>
      </c>
      <c r="M612" s="18">
        <f t="shared" si="12"/>
        <v>45658</v>
      </c>
      <c r="N612">
        <v>115442</v>
      </c>
      <c r="O612" t="s">
        <v>123</v>
      </c>
      <c r="P612" t="s">
        <v>146</v>
      </c>
      <c r="Q612">
        <v>6.75</v>
      </c>
      <c r="R612" t="s">
        <v>125</v>
      </c>
      <c r="S612" t="s">
        <v>126</v>
      </c>
      <c r="T612" t="s">
        <v>125</v>
      </c>
      <c r="U612" t="s">
        <v>126</v>
      </c>
      <c r="W612">
        <v>6.75</v>
      </c>
      <c r="Y612">
        <v>6.75</v>
      </c>
      <c r="AC612">
        <v>6.75</v>
      </c>
      <c r="BH612" t="s">
        <v>126</v>
      </c>
      <c r="BI612" t="s">
        <v>126</v>
      </c>
      <c r="BJ612" t="s">
        <v>126</v>
      </c>
      <c r="BK612" t="s">
        <v>126</v>
      </c>
      <c r="BS612" t="s">
        <v>126</v>
      </c>
      <c r="BT612" t="s">
        <v>126</v>
      </c>
      <c r="BU612" t="s">
        <v>126</v>
      </c>
      <c r="BV612" t="s">
        <v>126</v>
      </c>
      <c r="CN612" t="s">
        <v>147</v>
      </c>
      <c r="CP612" t="s">
        <v>275</v>
      </c>
      <c r="CQ612" t="s">
        <v>147</v>
      </c>
    </row>
    <row r="613" spans="1:95" x14ac:dyDescent="0.2">
      <c r="A613" t="s">
        <v>115</v>
      </c>
      <c r="B613" t="s">
        <v>116</v>
      </c>
      <c r="C613">
        <v>210784</v>
      </c>
      <c r="E613" t="s">
        <v>117</v>
      </c>
      <c r="F613">
        <v>368</v>
      </c>
      <c r="G613" t="s">
        <v>141</v>
      </c>
      <c r="H613" t="s">
        <v>142</v>
      </c>
      <c r="I613" t="s">
        <v>279</v>
      </c>
      <c r="J613" t="s">
        <v>280</v>
      </c>
      <c r="L613" s="14">
        <v>45678</v>
      </c>
      <c r="M613" s="18">
        <f t="shared" si="12"/>
        <v>45658</v>
      </c>
      <c r="N613">
        <v>5652228</v>
      </c>
      <c r="O613" t="s">
        <v>123</v>
      </c>
      <c r="P613" t="s">
        <v>146</v>
      </c>
      <c r="Q613">
        <v>8.85</v>
      </c>
      <c r="R613" t="s">
        <v>125</v>
      </c>
      <c r="S613" t="s">
        <v>126</v>
      </c>
      <c r="T613" t="s">
        <v>125</v>
      </c>
      <c r="U613" t="s">
        <v>126</v>
      </c>
      <c r="W613">
        <v>8.85</v>
      </c>
      <c r="Y613">
        <v>8.85</v>
      </c>
      <c r="AS613">
        <v>8.85</v>
      </c>
      <c r="BH613" t="s">
        <v>126</v>
      </c>
      <c r="BI613" t="s">
        <v>126</v>
      </c>
      <c r="BJ613" t="s">
        <v>126</v>
      </c>
      <c r="BK613" t="s">
        <v>126</v>
      </c>
      <c r="BS613" t="s">
        <v>126</v>
      </c>
      <c r="BT613" t="s">
        <v>126</v>
      </c>
      <c r="BU613" t="s">
        <v>126</v>
      </c>
      <c r="BV613" t="s">
        <v>126</v>
      </c>
      <c r="CN613" t="s">
        <v>147</v>
      </c>
      <c r="CP613" t="s">
        <v>275</v>
      </c>
      <c r="CQ613" t="s">
        <v>147</v>
      </c>
    </row>
    <row r="614" spans="1:95" x14ac:dyDescent="0.2">
      <c r="A614" t="s">
        <v>115</v>
      </c>
      <c r="B614" t="s">
        <v>116</v>
      </c>
      <c r="C614">
        <v>210784</v>
      </c>
      <c r="E614" t="s">
        <v>117</v>
      </c>
      <c r="F614">
        <v>368</v>
      </c>
      <c r="G614" t="s">
        <v>141</v>
      </c>
      <c r="H614" t="s">
        <v>142</v>
      </c>
      <c r="I614" t="s">
        <v>279</v>
      </c>
      <c r="J614" t="s">
        <v>280</v>
      </c>
      <c r="L614" s="14">
        <v>45678</v>
      </c>
      <c r="M614" s="18">
        <f t="shared" si="12"/>
        <v>45658</v>
      </c>
      <c r="N614">
        <v>5651885</v>
      </c>
      <c r="O614" t="s">
        <v>123</v>
      </c>
      <c r="P614" t="s">
        <v>146</v>
      </c>
      <c r="Q614">
        <v>4.4000000000000004</v>
      </c>
      <c r="R614" t="s">
        <v>644</v>
      </c>
      <c r="S614" t="s">
        <v>126</v>
      </c>
      <c r="T614" t="s">
        <v>644</v>
      </c>
      <c r="U614" t="s">
        <v>645</v>
      </c>
      <c r="W614">
        <v>1.36</v>
      </c>
      <c r="X614">
        <v>3.04</v>
      </c>
      <c r="Y614">
        <v>4.4000000000000004</v>
      </c>
      <c r="Z614">
        <v>1.67</v>
      </c>
      <c r="AG614">
        <v>1.36</v>
      </c>
      <c r="AI614">
        <v>1.37</v>
      </c>
      <c r="BH614" t="s">
        <v>126</v>
      </c>
      <c r="BI614" t="s">
        <v>126</v>
      </c>
      <c r="BJ614" t="s">
        <v>126</v>
      </c>
      <c r="BK614" t="s">
        <v>126</v>
      </c>
      <c r="BS614" t="s">
        <v>126</v>
      </c>
      <c r="BT614" t="s">
        <v>126</v>
      </c>
      <c r="BU614" t="s">
        <v>126</v>
      </c>
      <c r="BV614" t="s">
        <v>126</v>
      </c>
      <c r="CN614" t="s">
        <v>147</v>
      </c>
      <c r="CP614" t="s">
        <v>275</v>
      </c>
      <c r="CQ614" t="s">
        <v>147</v>
      </c>
    </row>
    <row r="615" spans="1:95" x14ac:dyDescent="0.2">
      <c r="A615" t="s">
        <v>115</v>
      </c>
      <c r="B615" t="s">
        <v>116</v>
      </c>
      <c r="C615">
        <v>210784</v>
      </c>
      <c r="E615" t="s">
        <v>117</v>
      </c>
      <c r="F615">
        <v>368</v>
      </c>
      <c r="G615" t="s">
        <v>141</v>
      </c>
      <c r="H615" t="s">
        <v>142</v>
      </c>
      <c r="I615" t="s">
        <v>279</v>
      </c>
      <c r="J615" t="s">
        <v>280</v>
      </c>
      <c r="L615" s="14">
        <v>45680</v>
      </c>
      <c r="M615" s="18">
        <f t="shared" si="12"/>
        <v>45658</v>
      </c>
      <c r="N615">
        <v>5653348</v>
      </c>
      <c r="O615" t="s">
        <v>123</v>
      </c>
      <c r="P615" t="s">
        <v>146</v>
      </c>
      <c r="Q615">
        <v>2.04</v>
      </c>
      <c r="R615" t="s">
        <v>125</v>
      </c>
      <c r="S615" t="s">
        <v>126</v>
      </c>
      <c r="T615" t="s">
        <v>125</v>
      </c>
      <c r="U615" t="s">
        <v>126</v>
      </c>
      <c r="W615">
        <v>2.04</v>
      </c>
      <c r="Y615">
        <v>2.04</v>
      </c>
      <c r="AS615">
        <v>2.04</v>
      </c>
      <c r="BH615" t="s">
        <v>126</v>
      </c>
      <c r="BI615" t="s">
        <v>126</v>
      </c>
      <c r="BJ615" t="s">
        <v>126</v>
      </c>
      <c r="BK615" t="s">
        <v>126</v>
      </c>
      <c r="BS615" t="s">
        <v>126</v>
      </c>
      <c r="BT615" t="s">
        <v>126</v>
      </c>
      <c r="BU615" t="s">
        <v>126</v>
      </c>
      <c r="BV615" t="s">
        <v>126</v>
      </c>
      <c r="CN615" t="s">
        <v>147</v>
      </c>
      <c r="CP615" t="s">
        <v>275</v>
      </c>
      <c r="CQ615" t="s">
        <v>147</v>
      </c>
    </row>
    <row r="616" spans="1:95" x14ac:dyDescent="0.2">
      <c r="A616" t="s">
        <v>115</v>
      </c>
      <c r="B616" t="s">
        <v>116</v>
      </c>
      <c r="C616">
        <v>210784</v>
      </c>
      <c r="E616" t="s">
        <v>117</v>
      </c>
      <c r="F616">
        <v>368</v>
      </c>
      <c r="G616" t="s">
        <v>141</v>
      </c>
      <c r="H616" t="s">
        <v>142</v>
      </c>
      <c r="I616" t="s">
        <v>279</v>
      </c>
      <c r="J616" t="s">
        <v>280</v>
      </c>
      <c r="L616" s="14">
        <v>45681</v>
      </c>
      <c r="M616" s="18">
        <f t="shared" si="12"/>
        <v>45658</v>
      </c>
      <c r="N616">
        <v>5654331</v>
      </c>
      <c r="O616" t="s">
        <v>123</v>
      </c>
      <c r="P616" t="s">
        <v>146</v>
      </c>
      <c r="Q616">
        <v>4.13</v>
      </c>
      <c r="R616" t="s">
        <v>125</v>
      </c>
      <c r="S616" t="s">
        <v>126</v>
      </c>
      <c r="T616" t="s">
        <v>125</v>
      </c>
      <c r="U616" t="s">
        <v>126</v>
      </c>
      <c r="W616">
        <v>4.13</v>
      </c>
      <c r="Y616">
        <v>4.13</v>
      </c>
      <c r="AS616">
        <v>4.13</v>
      </c>
      <c r="BH616" t="s">
        <v>126</v>
      </c>
      <c r="BI616" t="s">
        <v>126</v>
      </c>
      <c r="BJ616" t="s">
        <v>126</v>
      </c>
      <c r="BK616" t="s">
        <v>126</v>
      </c>
      <c r="BS616" t="s">
        <v>126</v>
      </c>
      <c r="BT616" t="s">
        <v>126</v>
      </c>
      <c r="BU616" t="s">
        <v>126</v>
      </c>
      <c r="BV616" t="s">
        <v>126</v>
      </c>
      <c r="CN616" t="s">
        <v>147</v>
      </c>
      <c r="CP616" t="s">
        <v>275</v>
      </c>
      <c r="CQ616" t="s">
        <v>147</v>
      </c>
    </row>
    <row r="617" spans="1:95" x14ac:dyDescent="0.2">
      <c r="A617" t="s">
        <v>115</v>
      </c>
      <c r="B617" t="s">
        <v>116</v>
      </c>
      <c r="C617">
        <v>210784</v>
      </c>
      <c r="E617" t="s">
        <v>117</v>
      </c>
      <c r="F617">
        <v>368</v>
      </c>
      <c r="G617" t="s">
        <v>141</v>
      </c>
      <c r="H617" t="s">
        <v>142</v>
      </c>
      <c r="I617" t="s">
        <v>279</v>
      </c>
      <c r="J617" t="s">
        <v>280</v>
      </c>
      <c r="L617" s="14">
        <v>45681</v>
      </c>
      <c r="M617" s="18">
        <f t="shared" si="12"/>
        <v>45658</v>
      </c>
      <c r="N617">
        <v>5654343</v>
      </c>
      <c r="O617" t="s">
        <v>123</v>
      </c>
      <c r="P617" t="s">
        <v>146</v>
      </c>
      <c r="Q617">
        <v>1.6099999999999999</v>
      </c>
      <c r="R617" t="s">
        <v>671</v>
      </c>
      <c r="S617" t="s">
        <v>126</v>
      </c>
      <c r="T617" t="s">
        <v>671</v>
      </c>
      <c r="U617" t="s">
        <v>672</v>
      </c>
      <c r="W617">
        <v>0.5</v>
      </c>
      <c r="X617">
        <v>1.1099999999999999</v>
      </c>
      <c r="Y617">
        <v>1.6099999999999999</v>
      </c>
      <c r="Z617">
        <v>0.61</v>
      </c>
      <c r="AG617">
        <v>0.5</v>
      </c>
      <c r="AI617">
        <v>0.5</v>
      </c>
      <c r="BH617" t="s">
        <v>126</v>
      </c>
      <c r="BI617" t="s">
        <v>126</v>
      </c>
      <c r="BJ617" t="s">
        <v>126</v>
      </c>
      <c r="BK617" t="s">
        <v>126</v>
      </c>
      <c r="BS617" t="s">
        <v>126</v>
      </c>
      <c r="BT617" t="s">
        <v>126</v>
      </c>
      <c r="BU617" t="s">
        <v>126</v>
      </c>
      <c r="BV617" t="s">
        <v>126</v>
      </c>
      <c r="CN617" t="s">
        <v>147</v>
      </c>
      <c r="CP617" t="s">
        <v>275</v>
      </c>
      <c r="CQ617" t="s">
        <v>147</v>
      </c>
    </row>
    <row r="618" spans="1:95" x14ac:dyDescent="0.2">
      <c r="A618" t="s">
        <v>115</v>
      </c>
      <c r="B618" t="s">
        <v>116</v>
      </c>
      <c r="C618">
        <v>210784</v>
      </c>
      <c r="E618" t="s">
        <v>117</v>
      </c>
      <c r="F618">
        <v>368</v>
      </c>
      <c r="G618" t="s">
        <v>141</v>
      </c>
      <c r="H618" t="s">
        <v>142</v>
      </c>
      <c r="I618" t="s">
        <v>279</v>
      </c>
      <c r="J618" t="s">
        <v>280</v>
      </c>
      <c r="L618" s="14">
        <v>45684</v>
      </c>
      <c r="M618" s="18">
        <f t="shared" si="12"/>
        <v>45658</v>
      </c>
      <c r="N618">
        <v>5655679</v>
      </c>
      <c r="O618" t="s">
        <v>123</v>
      </c>
      <c r="P618" t="s">
        <v>146</v>
      </c>
      <c r="Q618">
        <v>1.41</v>
      </c>
      <c r="R618" t="s">
        <v>125</v>
      </c>
      <c r="S618" t="s">
        <v>126</v>
      </c>
      <c r="T618" t="s">
        <v>125</v>
      </c>
      <c r="U618" t="s">
        <v>126</v>
      </c>
      <c r="W618">
        <v>1.41</v>
      </c>
      <c r="Y618">
        <v>1.41</v>
      </c>
      <c r="AS618">
        <v>1.41</v>
      </c>
      <c r="BH618" t="s">
        <v>126</v>
      </c>
      <c r="BI618" t="s">
        <v>126</v>
      </c>
      <c r="BJ618" t="s">
        <v>126</v>
      </c>
      <c r="BK618" t="s">
        <v>126</v>
      </c>
      <c r="BS618" t="s">
        <v>126</v>
      </c>
      <c r="BT618" t="s">
        <v>126</v>
      </c>
      <c r="BU618" t="s">
        <v>126</v>
      </c>
      <c r="BV618" t="s">
        <v>126</v>
      </c>
      <c r="CN618" t="s">
        <v>147</v>
      </c>
      <c r="CP618" t="s">
        <v>275</v>
      </c>
      <c r="CQ618" t="s">
        <v>147</v>
      </c>
    </row>
    <row r="619" spans="1:95" x14ac:dyDescent="0.2">
      <c r="A619" t="s">
        <v>115</v>
      </c>
      <c r="B619" t="s">
        <v>116</v>
      </c>
      <c r="C619">
        <v>210784</v>
      </c>
      <c r="E619" t="s">
        <v>117</v>
      </c>
      <c r="F619">
        <v>368</v>
      </c>
      <c r="G619" t="s">
        <v>141</v>
      </c>
      <c r="H619" t="s">
        <v>142</v>
      </c>
      <c r="I619" t="s">
        <v>279</v>
      </c>
      <c r="J619" t="s">
        <v>280</v>
      </c>
      <c r="L619" s="14">
        <v>45684</v>
      </c>
      <c r="M619" s="18">
        <f t="shared" si="12"/>
        <v>45658</v>
      </c>
      <c r="N619">
        <v>5655664</v>
      </c>
      <c r="O619" t="s">
        <v>123</v>
      </c>
      <c r="P619" t="s">
        <v>146</v>
      </c>
      <c r="Q619">
        <v>5.23</v>
      </c>
      <c r="R619" t="s">
        <v>125</v>
      </c>
      <c r="S619" t="s">
        <v>126</v>
      </c>
      <c r="T619" t="s">
        <v>125</v>
      </c>
      <c r="U619" t="s">
        <v>126</v>
      </c>
      <c r="W619">
        <v>5.23</v>
      </c>
      <c r="Y619">
        <v>5.23</v>
      </c>
      <c r="AS619">
        <v>5.23</v>
      </c>
      <c r="BH619" t="s">
        <v>126</v>
      </c>
      <c r="BI619" t="s">
        <v>126</v>
      </c>
      <c r="BJ619" t="s">
        <v>126</v>
      </c>
      <c r="BK619" t="s">
        <v>126</v>
      </c>
      <c r="BS619" t="s">
        <v>126</v>
      </c>
      <c r="BT619" t="s">
        <v>126</v>
      </c>
      <c r="BU619" t="s">
        <v>126</v>
      </c>
      <c r="BV619" t="s">
        <v>126</v>
      </c>
      <c r="CN619" t="s">
        <v>147</v>
      </c>
      <c r="CP619" t="s">
        <v>275</v>
      </c>
      <c r="CQ619" t="s">
        <v>147</v>
      </c>
    </row>
    <row r="620" spans="1:95" x14ac:dyDescent="0.2">
      <c r="A620" t="s">
        <v>115</v>
      </c>
      <c r="B620" t="s">
        <v>116</v>
      </c>
      <c r="C620">
        <v>210784</v>
      </c>
      <c r="E620" t="s">
        <v>117</v>
      </c>
      <c r="F620">
        <v>368</v>
      </c>
      <c r="G620" t="s">
        <v>141</v>
      </c>
      <c r="H620" t="s">
        <v>142</v>
      </c>
      <c r="I620" t="s">
        <v>279</v>
      </c>
      <c r="J620" t="s">
        <v>280</v>
      </c>
      <c r="L620" s="14">
        <v>45684</v>
      </c>
      <c r="M620" s="18">
        <f t="shared" si="12"/>
        <v>45658</v>
      </c>
      <c r="N620">
        <v>5655483</v>
      </c>
      <c r="O620" t="s">
        <v>123</v>
      </c>
      <c r="P620" t="s">
        <v>146</v>
      </c>
      <c r="Q620">
        <v>3.84</v>
      </c>
      <c r="R620" t="s">
        <v>673</v>
      </c>
      <c r="S620" t="s">
        <v>126</v>
      </c>
      <c r="T620" t="s">
        <v>673</v>
      </c>
      <c r="U620" t="s">
        <v>674</v>
      </c>
      <c r="W620">
        <v>1.18</v>
      </c>
      <c r="X620">
        <v>2.66</v>
      </c>
      <c r="Y620">
        <v>3.84</v>
      </c>
      <c r="Z620">
        <v>1.46</v>
      </c>
      <c r="AG620">
        <v>1.18</v>
      </c>
      <c r="AI620">
        <v>1.2</v>
      </c>
      <c r="BH620" t="s">
        <v>126</v>
      </c>
      <c r="BI620" t="s">
        <v>126</v>
      </c>
      <c r="BJ620" t="s">
        <v>126</v>
      </c>
      <c r="BK620" t="s">
        <v>126</v>
      </c>
      <c r="BS620" t="s">
        <v>126</v>
      </c>
      <c r="BT620" t="s">
        <v>126</v>
      </c>
      <c r="BU620" t="s">
        <v>126</v>
      </c>
      <c r="BV620" t="s">
        <v>126</v>
      </c>
      <c r="CN620" t="s">
        <v>147</v>
      </c>
      <c r="CP620" t="s">
        <v>275</v>
      </c>
      <c r="CQ620" t="s">
        <v>147</v>
      </c>
    </row>
    <row r="621" spans="1:95" x14ac:dyDescent="0.2">
      <c r="A621" t="s">
        <v>115</v>
      </c>
      <c r="B621" t="s">
        <v>116</v>
      </c>
      <c r="C621">
        <v>210784</v>
      </c>
      <c r="E621" t="s">
        <v>117</v>
      </c>
      <c r="F621">
        <v>368</v>
      </c>
      <c r="G621" t="s">
        <v>141</v>
      </c>
      <c r="H621" t="s">
        <v>142</v>
      </c>
      <c r="I621" t="s">
        <v>279</v>
      </c>
      <c r="J621" t="s">
        <v>280</v>
      </c>
      <c r="L621" s="14">
        <v>45686</v>
      </c>
      <c r="M621" s="18">
        <f t="shared" si="12"/>
        <v>45658</v>
      </c>
      <c r="N621">
        <v>5657147</v>
      </c>
      <c r="O621" t="s">
        <v>123</v>
      </c>
      <c r="P621" t="s">
        <v>146</v>
      </c>
      <c r="Q621">
        <v>3.21</v>
      </c>
      <c r="R621" t="s">
        <v>125</v>
      </c>
      <c r="S621" t="s">
        <v>126</v>
      </c>
      <c r="T621" t="s">
        <v>125</v>
      </c>
      <c r="U621" t="s">
        <v>126</v>
      </c>
      <c r="W621">
        <v>3.21</v>
      </c>
      <c r="Y621">
        <v>3.21</v>
      </c>
      <c r="AS621">
        <v>3.21</v>
      </c>
      <c r="BH621" t="s">
        <v>126</v>
      </c>
      <c r="BI621" t="s">
        <v>126</v>
      </c>
      <c r="BJ621" t="s">
        <v>126</v>
      </c>
      <c r="BK621" t="s">
        <v>126</v>
      </c>
      <c r="BS621" t="s">
        <v>126</v>
      </c>
      <c r="BT621" t="s">
        <v>126</v>
      </c>
      <c r="BU621" t="s">
        <v>126</v>
      </c>
      <c r="BV621" t="s">
        <v>126</v>
      </c>
      <c r="CN621" t="s">
        <v>147</v>
      </c>
      <c r="CP621" t="s">
        <v>278</v>
      </c>
      <c r="CQ621" t="s">
        <v>147</v>
      </c>
    </row>
    <row r="622" spans="1:95" x14ac:dyDescent="0.2">
      <c r="A622" t="s">
        <v>115</v>
      </c>
      <c r="B622" t="s">
        <v>116</v>
      </c>
      <c r="C622">
        <v>210784</v>
      </c>
      <c r="E622" t="s">
        <v>117</v>
      </c>
      <c r="F622">
        <v>368</v>
      </c>
      <c r="G622" t="s">
        <v>141</v>
      </c>
      <c r="H622" t="s">
        <v>142</v>
      </c>
      <c r="I622" t="s">
        <v>279</v>
      </c>
      <c r="J622" t="s">
        <v>280</v>
      </c>
      <c r="L622" s="14">
        <v>45687</v>
      </c>
      <c r="M622" s="18">
        <f t="shared" si="12"/>
        <v>45658</v>
      </c>
      <c r="N622">
        <v>5657851</v>
      </c>
      <c r="O622" t="s">
        <v>123</v>
      </c>
      <c r="P622" t="s">
        <v>146</v>
      </c>
      <c r="Q622">
        <v>5.59</v>
      </c>
      <c r="R622" t="s">
        <v>125</v>
      </c>
      <c r="S622" t="s">
        <v>126</v>
      </c>
      <c r="T622" t="s">
        <v>125</v>
      </c>
      <c r="U622" t="s">
        <v>126</v>
      </c>
      <c r="W622">
        <v>5.59</v>
      </c>
      <c r="Y622">
        <v>5.59</v>
      </c>
      <c r="AS622">
        <v>5.59</v>
      </c>
      <c r="BH622" t="s">
        <v>126</v>
      </c>
      <c r="BI622" t="s">
        <v>126</v>
      </c>
      <c r="BJ622" t="s">
        <v>126</v>
      </c>
      <c r="BK622" t="s">
        <v>126</v>
      </c>
      <c r="BS622" t="s">
        <v>126</v>
      </c>
      <c r="BT622" t="s">
        <v>126</v>
      </c>
      <c r="BU622" t="s">
        <v>126</v>
      </c>
      <c r="BV622" t="s">
        <v>126</v>
      </c>
      <c r="CN622" t="s">
        <v>147</v>
      </c>
      <c r="CP622" t="s">
        <v>278</v>
      </c>
      <c r="CQ622" t="s">
        <v>147</v>
      </c>
    </row>
    <row r="623" spans="1:95" x14ac:dyDescent="0.2">
      <c r="A623" t="s">
        <v>115</v>
      </c>
      <c r="B623" t="s">
        <v>116</v>
      </c>
      <c r="C623">
        <v>210784</v>
      </c>
      <c r="E623" t="s">
        <v>117</v>
      </c>
      <c r="F623">
        <v>368</v>
      </c>
      <c r="G623" t="s">
        <v>141</v>
      </c>
      <c r="H623" t="s">
        <v>142</v>
      </c>
      <c r="I623" t="s">
        <v>279</v>
      </c>
      <c r="J623" t="s">
        <v>280</v>
      </c>
      <c r="L623" s="14">
        <v>45688</v>
      </c>
      <c r="M623" s="18">
        <f t="shared" si="12"/>
        <v>45658</v>
      </c>
      <c r="N623">
        <v>5659014</v>
      </c>
      <c r="O623" t="s">
        <v>123</v>
      </c>
      <c r="P623" t="s">
        <v>146</v>
      </c>
      <c r="Q623">
        <v>2.4400000000000004</v>
      </c>
      <c r="R623" t="s">
        <v>581</v>
      </c>
      <c r="S623" t="s">
        <v>126</v>
      </c>
      <c r="T623" t="s">
        <v>581</v>
      </c>
      <c r="U623" t="s">
        <v>582</v>
      </c>
      <c r="W623">
        <v>0.75</v>
      </c>
      <c r="X623">
        <v>1.69</v>
      </c>
      <c r="Y623">
        <v>2.4400000000000004</v>
      </c>
      <c r="Z623">
        <v>0.93</v>
      </c>
      <c r="AG623">
        <v>0.75</v>
      </c>
      <c r="AI623">
        <v>0.76</v>
      </c>
      <c r="BH623" t="s">
        <v>126</v>
      </c>
      <c r="BI623" t="s">
        <v>126</v>
      </c>
      <c r="BJ623" t="s">
        <v>126</v>
      </c>
      <c r="BK623" t="s">
        <v>126</v>
      </c>
      <c r="BS623" t="s">
        <v>126</v>
      </c>
      <c r="BT623" t="s">
        <v>126</v>
      </c>
      <c r="BU623" t="s">
        <v>126</v>
      </c>
      <c r="BV623" t="s">
        <v>126</v>
      </c>
      <c r="CN623" t="s">
        <v>147</v>
      </c>
      <c r="CP623" t="s">
        <v>278</v>
      </c>
      <c r="CQ623" t="s">
        <v>147</v>
      </c>
    </row>
    <row r="624" spans="1:95" x14ac:dyDescent="0.2">
      <c r="A624" t="s">
        <v>115</v>
      </c>
      <c r="B624" t="s">
        <v>116</v>
      </c>
      <c r="C624">
        <v>210784</v>
      </c>
      <c r="E624" t="s">
        <v>117</v>
      </c>
      <c r="F624">
        <v>368</v>
      </c>
      <c r="G624" t="s">
        <v>141</v>
      </c>
      <c r="H624" t="s">
        <v>142</v>
      </c>
      <c r="I624" t="s">
        <v>204</v>
      </c>
      <c r="J624" t="s">
        <v>205</v>
      </c>
      <c r="L624" s="14">
        <v>45691</v>
      </c>
      <c r="M624" s="18">
        <f t="shared" si="12"/>
        <v>45689</v>
      </c>
      <c r="N624">
        <v>116179</v>
      </c>
      <c r="O624" t="s">
        <v>123</v>
      </c>
      <c r="P624" t="s">
        <v>146</v>
      </c>
      <c r="Q624">
        <v>9.7899999999999991</v>
      </c>
      <c r="R624" t="s">
        <v>125</v>
      </c>
      <c r="S624" t="s">
        <v>126</v>
      </c>
      <c r="T624" t="s">
        <v>125</v>
      </c>
      <c r="U624" t="s">
        <v>126</v>
      </c>
      <c r="W624">
        <v>9.7899999999999991</v>
      </c>
      <c r="Y624">
        <v>9.7899999999999991</v>
      </c>
      <c r="AC624">
        <v>9.7899999999999991</v>
      </c>
      <c r="BH624" t="s">
        <v>126</v>
      </c>
      <c r="BI624" t="s">
        <v>126</v>
      </c>
      <c r="BJ624" t="s">
        <v>126</v>
      </c>
      <c r="BK624" t="s">
        <v>126</v>
      </c>
      <c r="BS624" t="s">
        <v>126</v>
      </c>
      <c r="BT624" t="s">
        <v>126</v>
      </c>
      <c r="BU624" t="s">
        <v>126</v>
      </c>
      <c r="BV624" t="s">
        <v>126</v>
      </c>
      <c r="CN624" t="s">
        <v>147</v>
      </c>
      <c r="CP624" t="s">
        <v>278</v>
      </c>
      <c r="CQ624" t="s">
        <v>147</v>
      </c>
    </row>
    <row r="625" spans="1:95" x14ac:dyDescent="0.2">
      <c r="A625" t="s">
        <v>115</v>
      </c>
      <c r="B625" t="s">
        <v>116</v>
      </c>
      <c r="C625">
        <v>210784</v>
      </c>
      <c r="E625" t="s">
        <v>117</v>
      </c>
      <c r="F625">
        <v>368</v>
      </c>
      <c r="G625" t="s">
        <v>141</v>
      </c>
      <c r="H625" t="s">
        <v>142</v>
      </c>
      <c r="I625" t="s">
        <v>279</v>
      </c>
      <c r="J625" t="s">
        <v>280</v>
      </c>
      <c r="L625" s="14">
        <v>45691</v>
      </c>
      <c r="M625" s="18">
        <f t="shared" si="12"/>
        <v>45689</v>
      </c>
      <c r="N625">
        <v>5659875</v>
      </c>
      <c r="O625" t="s">
        <v>123</v>
      </c>
      <c r="P625" t="s">
        <v>146</v>
      </c>
      <c r="Q625">
        <v>2.09</v>
      </c>
      <c r="R625" t="s">
        <v>125</v>
      </c>
      <c r="S625" t="s">
        <v>126</v>
      </c>
      <c r="T625" t="s">
        <v>125</v>
      </c>
      <c r="U625" t="s">
        <v>126</v>
      </c>
      <c r="W625">
        <v>2.09</v>
      </c>
      <c r="Y625">
        <v>2.09</v>
      </c>
      <c r="AS625">
        <v>2.09</v>
      </c>
      <c r="BH625" t="s">
        <v>126</v>
      </c>
      <c r="BI625" t="s">
        <v>126</v>
      </c>
      <c r="BJ625" t="s">
        <v>126</v>
      </c>
      <c r="BK625" t="s">
        <v>126</v>
      </c>
      <c r="BS625" t="s">
        <v>126</v>
      </c>
      <c r="BT625" t="s">
        <v>126</v>
      </c>
      <c r="BU625" t="s">
        <v>126</v>
      </c>
      <c r="BV625" t="s">
        <v>126</v>
      </c>
      <c r="CN625" t="s">
        <v>147</v>
      </c>
      <c r="CP625" t="s">
        <v>278</v>
      </c>
      <c r="CQ625" t="s">
        <v>147</v>
      </c>
    </row>
    <row r="626" spans="1:95" x14ac:dyDescent="0.2">
      <c r="A626" t="s">
        <v>115</v>
      </c>
      <c r="B626" t="s">
        <v>116</v>
      </c>
      <c r="C626">
        <v>210784</v>
      </c>
      <c r="E626" t="s">
        <v>117</v>
      </c>
      <c r="F626">
        <v>368</v>
      </c>
      <c r="G626" t="s">
        <v>141</v>
      </c>
      <c r="H626" t="s">
        <v>142</v>
      </c>
      <c r="I626" t="s">
        <v>279</v>
      </c>
      <c r="J626" t="s">
        <v>280</v>
      </c>
      <c r="L626" s="14">
        <v>45691</v>
      </c>
      <c r="M626" s="18">
        <f t="shared" si="12"/>
        <v>45689</v>
      </c>
      <c r="N626">
        <v>5659762</v>
      </c>
      <c r="O626" t="s">
        <v>123</v>
      </c>
      <c r="P626" t="s">
        <v>146</v>
      </c>
      <c r="Q626">
        <v>7.7</v>
      </c>
      <c r="R626" t="s">
        <v>125</v>
      </c>
      <c r="S626" t="s">
        <v>126</v>
      </c>
      <c r="T626" t="s">
        <v>125</v>
      </c>
      <c r="U626" t="s">
        <v>126</v>
      </c>
      <c r="W626">
        <v>7.7</v>
      </c>
      <c r="Y626">
        <v>7.7</v>
      </c>
      <c r="AS626">
        <v>7.7</v>
      </c>
      <c r="BH626" t="s">
        <v>126</v>
      </c>
      <c r="BI626" t="s">
        <v>126</v>
      </c>
      <c r="BJ626" t="s">
        <v>126</v>
      </c>
      <c r="BK626" t="s">
        <v>126</v>
      </c>
      <c r="BS626" t="s">
        <v>126</v>
      </c>
      <c r="BT626" t="s">
        <v>126</v>
      </c>
      <c r="BU626" t="s">
        <v>126</v>
      </c>
      <c r="BV626" t="s">
        <v>126</v>
      </c>
      <c r="CN626" t="s">
        <v>147</v>
      </c>
      <c r="CP626" t="s">
        <v>278</v>
      </c>
      <c r="CQ626" t="s">
        <v>147</v>
      </c>
    </row>
    <row r="627" spans="1:95" x14ac:dyDescent="0.2">
      <c r="A627" t="s">
        <v>115</v>
      </c>
      <c r="B627" t="s">
        <v>116</v>
      </c>
      <c r="C627">
        <v>210784</v>
      </c>
      <c r="E627" t="s">
        <v>117</v>
      </c>
      <c r="F627">
        <v>368</v>
      </c>
      <c r="G627" t="s">
        <v>141</v>
      </c>
      <c r="H627" t="s">
        <v>142</v>
      </c>
      <c r="I627" t="s">
        <v>279</v>
      </c>
      <c r="J627" t="s">
        <v>280</v>
      </c>
      <c r="L627" s="14">
        <v>45691</v>
      </c>
      <c r="M627" s="18">
        <f t="shared" si="12"/>
        <v>45689</v>
      </c>
      <c r="N627">
        <v>5659887</v>
      </c>
      <c r="O627" t="s">
        <v>123</v>
      </c>
      <c r="P627" t="s">
        <v>146</v>
      </c>
      <c r="Q627">
        <v>3.51</v>
      </c>
      <c r="R627" t="s">
        <v>569</v>
      </c>
      <c r="S627" t="s">
        <v>126</v>
      </c>
      <c r="T627" t="s">
        <v>569</v>
      </c>
      <c r="U627" t="s">
        <v>570</v>
      </c>
      <c r="W627">
        <v>1.08</v>
      </c>
      <c r="X627">
        <v>2.4300000000000002</v>
      </c>
      <c r="Y627">
        <v>3.51</v>
      </c>
      <c r="Z627">
        <v>1.34</v>
      </c>
      <c r="AG627">
        <v>1.08</v>
      </c>
      <c r="AI627">
        <v>1.0900000000000001</v>
      </c>
      <c r="BH627" t="s">
        <v>126</v>
      </c>
      <c r="BI627" t="s">
        <v>126</v>
      </c>
      <c r="BJ627" t="s">
        <v>126</v>
      </c>
      <c r="BK627" t="s">
        <v>126</v>
      </c>
      <c r="BS627" t="s">
        <v>126</v>
      </c>
      <c r="BT627" t="s">
        <v>126</v>
      </c>
      <c r="BU627" t="s">
        <v>126</v>
      </c>
      <c r="BV627" t="s">
        <v>126</v>
      </c>
      <c r="CN627" t="s">
        <v>147</v>
      </c>
      <c r="CP627" t="s">
        <v>278</v>
      </c>
      <c r="CQ627" t="s">
        <v>147</v>
      </c>
    </row>
    <row r="628" spans="1:95" x14ac:dyDescent="0.2">
      <c r="A628" t="s">
        <v>115</v>
      </c>
      <c r="B628" t="s">
        <v>116</v>
      </c>
      <c r="C628">
        <v>210784</v>
      </c>
      <c r="E628" t="s">
        <v>117</v>
      </c>
      <c r="F628">
        <v>368</v>
      </c>
      <c r="G628" t="s">
        <v>141</v>
      </c>
      <c r="H628" t="s">
        <v>142</v>
      </c>
      <c r="I628" t="s">
        <v>279</v>
      </c>
      <c r="J628" t="s">
        <v>280</v>
      </c>
      <c r="L628" s="14">
        <v>45691</v>
      </c>
      <c r="M628" s="18">
        <f t="shared" si="12"/>
        <v>45689</v>
      </c>
      <c r="N628">
        <v>5659469</v>
      </c>
      <c r="O628" t="s">
        <v>123</v>
      </c>
      <c r="P628" t="s">
        <v>146</v>
      </c>
      <c r="Q628">
        <v>1.19</v>
      </c>
      <c r="R628" t="s">
        <v>125</v>
      </c>
      <c r="S628" t="s">
        <v>126</v>
      </c>
      <c r="T628" t="s">
        <v>125</v>
      </c>
      <c r="U628" t="s">
        <v>126</v>
      </c>
      <c r="W628">
        <v>1.19</v>
      </c>
      <c r="Y628">
        <v>1.19</v>
      </c>
      <c r="BE628">
        <v>1.19</v>
      </c>
      <c r="BH628" t="s">
        <v>126</v>
      </c>
      <c r="BI628" t="s">
        <v>126</v>
      </c>
      <c r="BJ628" t="s">
        <v>126</v>
      </c>
      <c r="BK628" t="s">
        <v>126</v>
      </c>
      <c r="BS628" t="s">
        <v>126</v>
      </c>
      <c r="BT628" t="s">
        <v>126</v>
      </c>
      <c r="BU628" t="s">
        <v>126</v>
      </c>
      <c r="BV628" t="s">
        <v>126</v>
      </c>
      <c r="CN628" t="s">
        <v>147</v>
      </c>
      <c r="CP628" t="s">
        <v>278</v>
      </c>
      <c r="CQ628" t="s">
        <v>147</v>
      </c>
    </row>
    <row r="629" spans="1:95" x14ac:dyDescent="0.2">
      <c r="A629" t="s">
        <v>115</v>
      </c>
      <c r="B629" t="s">
        <v>116</v>
      </c>
      <c r="C629">
        <v>210784</v>
      </c>
      <c r="E629" t="s">
        <v>117</v>
      </c>
      <c r="F629">
        <v>368</v>
      </c>
      <c r="G629" t="s">
        <v>141</v>
      </c>
      <c r="H629" t="s">
        <v>142</v>
      </c>
      <c r="I629" t="s">
        <v>279</v>
      </c>
      <c r="J629" t="s">
        <v>280</v>
      </c>
      <c r="L629" s="14">
        <v>45693</v>
      </c>
      <c r="M629" s="18">
        <f t="shared" si="12"/>
        <v>45689</v>
      </c>
      <c r="N629">
        <v>5662397</v>
      </c>
      <c r="O629" t="s">
        <v>123</v>
      </c>
      <c r="P629" t="s">
        <v>146</v>
      </c>
      <c r="Q629">
        <v>2.75</v>
      </c>
      <c r="R629" t="s">
        <v>644</v>
      </c>
      <c r="S629" t="s">
        <v>126</v>
      </c>
      <c r="T629" t="s">
        <v>644</v>
      </c>
      <c r="U629" t="s">
        <v>645</v>
      </c>
      <c r="W629">
        <v>0.85</v>
      </c>
      <c r="X629">
        <v>1.9</v>
      </c>
      <c r="Y629">
        <v>2.75</v>
      </c>
      <c r="Z629">
        <v>1.04</v>
      </c>
      <c r="AG629">
        <v>0.85</v>
      </c>
      <c r="AI629">
        <v>0.86</v>
      </c>
      <c r="BH629" t="s">
        <v>126</v>
      </c>
      <c r="BI629" t="s">
        <v>126</v>
      </c>
      <c r="BJ629" t="s">
        <v>126</v>
      </c>
      <c r="BK629" t="s">
        <v>126</v>
      </c>
      <c r="BS629" t="s">
        <v>126</v>
      </c>
      <c r="BT629" t="s">
        <v>126</v>
      </c>
      <c r="BU629" t="s">
        <v>126</v>
      </c>
      <c r="BV629" t="s">
        <v>126</v>
      </c>
      <c r="CN629" t="s">
        <v>147</v>
      </c>
      <c r="CP629" t="s">
        <v>278</v>
      </c>
      <c r="CQ629" t="s">
        <v>147</v>
      </c>
    </row>
    <row r="630" spans="1:95" x14ac:dyDescent="0.2">
      <c r="A630" t="s">
        <v>115</v>
      </c>
      <c r="B630" t="s">
        <v>116</v>
      </c>
      <c r="C630">
        <v>210784</v>
      </c>
      <c r="E630" t="s">
        <v>117</v>
      </c>
      <c r="F630">
        <v>368</v>
      </c>
      <c r="G630" t="s">
        <v>141</v>
      </c>
      <c r="H630" t="s">
        <v>142</v>
      </c>
      <c r="I630" t="s">
        <v>279</v>
      </c>
      <c r="J630" t="s">
        <v>280</v>
      </c>
      <c r="L630" s="14">
        <v>45693</v>
      </c>
      <c r="M630" s="18">
        <f t="shared" si="12"/>
        <v>45689</v>
      </c>
      <c r="N630">
        <v>5661500</v>
      </c>
      <c r="O630" t="s">
        <v>123</v>
      </c>
      <c r="P630" t="s">
        <v>146</v>
      </c>
      <c r="Q630">
        <v>1.48</v>
      </c>
      <c r="R630" t="s">
        <v>125</v>
      </c>
      <c r="S630" t="s">
        <v>126</v>
      </c>
      <c r="T630" t="s">
        <v>125</v>
      </c>
      <c r="U630" t="s">
        <v>126</v>
      </c>
      <c r="W630">
        <v>1.48</v>
      </c>
      <c r="Y630">
        <v>1.48</v>
      </c>
      <c r="BE630">
        <v>1.48</v>
      </c>
      <c r="BH630" t="s">
        <v>126</v>
      </c>
      <c r="BI630" t="s">
        <v>126</v>
      </c>
      <c r="BJ630" t="s">
        <v>126</v>
      </c>
      <c r="BK630" t="s">
        <v>126</v>
      </c>
      <c r="BS630" t="s">
        <v>126</v>
      </c>
      <c r="BT630" t="s">
        <v>126</v>
      </c>
      <c r="BU630" t="s">
        <v>126</v>
      </c>
      <c r="BV630" t="s">
        <v>126</v>
      </c>
      <c r="CN630" t="s">
        <v>147</v>
      </c>
      <c r="CP630" t="s">
        <v>278</v>
      </c>
      <c r="CQ630" t="s">
        <v>147</v>
      </c>
    </row>
    <row r="631" spans="1:95" x14ac:dyDescent="0.2">
      <c r="A631" t="s">
        <v>115</v>
      </c>
      <c r="B631" t="s">
        <v>116</v>
      </c>
      <c r="C631">
        <v>210784</v>
      </c>
      <c r="E631" t="s">
        <v>117</v>
      </c>
      <c r="F631">
        <v>368</v>
      </c>
      <c r="G631" t="s">
        <v>141</v>
      </c>
      <c r="H631" t="s">
        <v>142</v>
      </c>
      <c r="I631" t="s">
        <v>279</v>
      </c>
      <c r="J631" t="s">
        <v>280</v>
      </c>
      <c r="L631" s="14">
        <v>45694</v>
      </c>
      <c r="M631" s="18">
        <f t="shared" si="12"/>
        <v>45689</v>
      </c>
      <c r="N631">
        <v>5661697</v>
      </c>
      <c r="O631" t="s">
        <v>123</v>
      </c>
      <c r="P631" t="s">
        <v>146</v>
      </c>
      <c r="Q631">
        <v>5.32</v>
      </c>
      <c r="R631" t="s">
        <v>125</v>
      </c>
      <c r="S631" t="s">
        <v>126</v>
      </c>
      <c r="T631" t="s">
        <v>125</v>
      </c>
      <c r="U631" t="s">
        <v>126</v>
      </c>
      <c r="W631">
        <v>5.32</v>
      </c>
      <c r="Y631">
        <v>5.32</v>
      </c>
      <c r="AS631">
        <v>5.32</v>
      </c>
      <c r="BH631" t="s">
        <v>126</v>
      </c>
      <c r="BI631" t="s">
        <v>126</v>
      </c>
      <c r="BJ631" t="s">
        <v>126</v>
      </c>
      <c r="BK631" t="s">
        <v>126</v>
      </c>
      <c r="BS631" t="s">
        <v>126</v>
      </c>
      <c r="BT631" t="s">
        <v>126</v>
      </c>
      <c r="BU631" t="s">
        <v>126</v>
      </c>
      <c r="BV631" t="s">
        <v>126</v>
      </c>
      <c r="CN631" t="s">
        <v>147</v>
      </c>
      <c r="CP631" t="s">
        <v>278</v>
      </c>
      <c r="CQ631" t="s">
        <v>147</v>
      </c>
    </row>
    <row r="632" spans="1:95" x14ac:dyDescent="0.2">
      <c r="A632" t="s">
        <v>115</v>
      </c>
      <c r="B632" t="s">
        <v>116</v>
      </c>
      <c r="C632">
        <v>210784</v>
      </c>
      <c r="E632" t="s">
        <v>117</v>
      </c>
      <c r="F632">
        <v>368</v>
      </c>
      <c r="G632" t="s">
        <v>141</v>
      </c>
      <c r="H632" t="s">
        <v>142</v>
      </c>
      <c r="I632" t="s">
        <v>279</v>
      </c>
      <c r="J632" t="s">
        <v>280</v>
      </c>
      <c r="L632" s="14">
        <v>45695</v>
      </c>
      <c r="M632" s="18">
        <f t="shared" si="12"/>
        <v>45689</v>
      </c>
      <c r="N632">
        <v>5662342</v>
      </c>
      <c r="O632" t="s">
        <v>123</v>
      </c>
      <c r="P632" t="s">
        <v>146</v>
      </c>
      <c r="Q632">
        <v>1.34</v>
      </c>
      <c r="R632" t="s">
        <v>125</v>
      </c>
      <c r="S632" t="s">
        <v>126</v>
      </c>
      <c r="T632" t="s">
        <v>125</v>
      </c>
      <c r="U632" t="s">
        <v>126</v>
      </c>
      <c r="W632">
        <v>1.34</v>
      </c>
      <c r="Y632">
        <v>1.34</v>
      </c>
      <c r="AS632">
        <v>1.34</v>
      </c>
      <c r="BH632" t="s">
        <v>126</v>
      </c>
      <c r="BI632" t="s">
        <v>126</v>
      </c>
      <c r="BJ632" t="s">
        <v>126</v>
      </c>
      <c r="BK632" t="s">
        <v>126</v>
      </c>
      <c r="BS632" t="s">
        <v>126</v>
      </c>
      <c r="BT632" t="s">
        <v>126</v>
      </c>
      <c r="BU632" t="s">
        <v>126</v>
      </c>
      <c r="BV632" t="s">
        <v>126</v>
      </c>
      <c r="CN632" t="s">
        <v>147</v>
      </c>
      <c r="CP632" t="s">
        <v>278</v>
      </c>
      <c r="CQ632" t="s">
        <v>147</v>
      </c>
    </row>
    <row r="633" spans="1:95" x14ac:dyDescent="0.2">
      <c r="A633" t="s">
        <v>115</v>
      </c>
      <c r="B633" t="s">
        <v>116</v>
      </c>
      <c r="C633">
        <v>210784</v>
      </c>
      <c r="E633" t="s">
        <v>117</v>
      </c>
      <c r="F633">
        <v>368</v>
      </c>
      <c r="G633" t="s">
        <v>141</v>
      </c>
      <c r="H633" t="s">
        <v>142</v>
      </c>
      <c r="I633" t="s">
        <v>279</v>
      </c>
      <c r="J633" t="s">
        <v>280</v>
      </c>
      <c r="L633" s="14">
        <v>45696</v>
      </c>
      <c r="M633" s="18">
        <f t="shared" si="12"/>
        <v>45689</v>
      </c>
      <c r="N633">
        <v>5663047</v>
      </c>
      <c r="O633" t="s">
        <v>123</v>
      </c>
      <c r="P633" t="s">
        <v>146</v>
      </c>
      <c r="Q633">
        <v>2.77</v>
      </c>
      <c r="R633" t="s">
        <v>125</v>
      </c>
      <c r="S633" t="s">
        <v>126</v>
      </c>
      <c r="T633" t="s">
        <v>125</v>
      </c>
      <c r="U633" t="s">
        <v>126</v>
      </c>
      <c r="W633">
        <v>2.77</v>
      </c>
      <c r="Y633">
        <v>2.77</v>
      </c>
      <c r="AS633">
        <v>2.77</v>
      </c>
      <c r="BH633" t="s">
        <v>126</v>
      </c>
      <c r="BI633" t="s">
        <v>126</v>
      </c>
      <c r="BJ633" t="s">
        <v>126</v>
      </c>
      <c r="BK633" t="s">
        <v>126</v>
      </c>
      <c r="BS633" t="s">
        <v>126</v>
      </c>
      <c r="BT633" t="s">
        <v>126</v>
      </c>
      <c r="BU633" t="s">
        <v>126</v>
      </c>
      <c r="BV633" t="s">
        <v>126</v>
      </c>
      <c r="CN633" t="s">
        <v>147</v>
      </c>
      <c r="CP633" t="s">
        <v>278</v>
      </c>
      <c r="CQ633" t="s">
        <v>147</v>
      </c>
    </row>
    <row r="634" spans="1:95" x14ac:dyDescent="0.2">
      <c r="A634" t="s">
        <v>115</v>
      </c>
      <c r="B634" t="s">
        <v>116</v>
      </c>
      <c r="C634">
        <v>210784</v>
      </c>
      <c r="E634" t="s">
        <v>117</v>
      </c>
      <c r="F634">
        <v>368</v>
      </c>
      <c r="G634" t="s">
        <v>141</v>
      </c>
      <c r="H634" t="s">
        <v>142</v>
      </c>
      <c r="I634" t="s">
        <v>279</v>
      </c>
      <c r="J634" t="s">
        <v>280</v>
      </c>
      <c r="L634" s="14">
        <v>45698</v>
      </c>
      <c r="M634" s="18">
        <f t="shared" si="12"/>
        <v>45689</v>
      </c>
      <c r="N634">
        <v>5663894</v>
      </c>
      <c r="O634" t="s">
        <v>123</v>
      </c>
      <c r="P634" t="s">
        <v>146</v>
      </c>
      <c r="Q634">
        <v>1.1399999999999999</v>
      </c>
      <c r="R634" t="s">
        <v>125</v>
      </c>
      <c r="S634" t="s">
        <v>126</v>
      </c>
      <c r="T634" t="s">
        <v>125</v>
      </c>
      <c r="U634" t="s">
        <v>126</v>
      </c>
      <c r="W634">
        <v>1.1399999999999999</v>
      </c>
      <c r="Y634">
        <v>1.1399999999999999</v>
      </c>
      <c r="AS634">
        <v>1.1399999999999999</v>
      </c>
      <c r="BH634" t="s">
        <v>126</v>
      </c>
      <c r="BI634" t="s">
        <v>126</v>
      </c>
      <c r="BJ634" t="s">
        <v>126</v>
      </c>
      <c r="BK634" t="s">
        <v>126</v>
      </c>
      <c r="BS634" t="s">
        <v>126</v>
      </c>
      <c r="BT634" t="s">
        <v>126</v>
      </c>
      <c r="BU634" t="s">
        <v>126</v>
      </c>
      <c r="BV634" t="s">
        <v>126</v>
      </c>
      <c r="CN634" t="s">
        <v>147</v>
      </c>
      <c r="CP634" t="s">
        <v>278</v>
      </c>
      <c r="CQ634" t="s">
        <v>147</v>
      </c>
    </row>
    <row r="635" spans="1:95" x14ac:dyDescent="0.2">
      <c r="A635" t="s">
        <v>115</v>
      </c>
      <c r="B635" t="s">
        <v>116</v>
      </c>
      <c r="C635">
        <v>210784</v>
      </c>
      <c r="E635" t="s">
        <v>117</v>
      </c>
      <c r="F635">
        <v>368</v>
      </c>
      <c r="G635" t="s">
        <v>141</v>
      </c>
      <c r="H635" t="s">
        <v>142</v>
      </c>
      <c r="I635" t="s">
        <v>279</v>
      </c>
      <c r="J635" t="s">
        <v>280</v>
      </c>
      <c r="L635" s="14">
        <v>45698</v>
      </c>
      <c r="M635" s="18">
        <f t="shared" si="12"/>
        <v>45689</v>
      </c>
      <c r="N635">
        <v>5663903</v>
      </c>
      <c r="O635" t="s">
        <v>123</v>
      </c>
      <c r="P635" t="s">
        <v>146</v>
      </c>
      <c r="Q635">
        <v>3.18</v>
      </c>
      <c r="R635" t="s">
        <v>125</v>
      </c>
      <c r="S635" t="s">
        <v>126</v>
      </c>
      <c r="T635" t="s">
        <v>125</v>
      </c>
      <c r="U635" t="s">
        <v>126</v>
      </c>
      <c r="W635">
        <v>3.18</v>
      </c>
      <c r="Y635">
        <v>3.18</v>
      </c>
      <c r="AS635">
        <v>3.18</v>
      </c>
      <c r="BH635" t="s">
        <v>126</v>
      </c>
      <c r="BI635" t="s">
        <v>126</v>
      </c>
      <c r="BJ635" t="s">
        <v>126</v>
      </c>
      <c r="BK635" t="s">
        <v>126</v>
      </c>
      <c r="BS635" t="s">
        <v>126</v>
      </c>
      <c r="BT635" t="s">
        <v>126</v>
      </c>
      <c r="BU635" t="s">
        <v>126</v>
      </c>
      <c r="BV635" t="s">
        <v>126</v>
      </c>
      <c r="CN635" t="s">
        <v>147</v>
      </c>
      <c r="CP635" t="s">
        <v>278</v>
      </c>
      <c r="CQ635" t="s">
        <v>147</v>
      </c>
    </row>
    <row r="636" spans="1:95" x14ac:dyDescent="0.2">
      <c r="A636" t="s">
        <v>115</v>
      </c>
      <c r="B636" t="s">
        <v>116</v>
      </c>
      <c r="C636">
        <v>210784</v>
      </c>
      <c r="E636" t="s">
        <v>117</v>
      </c>
      <c r="F636">
        <v>368</v>
      </c>
      <c r="G636" t="s">
        <v>141</v>
      </c>
      <c r="H636" t="s">
        <v>142</v>
      </c>
      <c r="I636" t="s">
        <v>279</v>
      </c>
      <c r="J636" t="s">
        <v>280</v>
      </c>
      <c r="L636" s="14">
        <v>45698</v>
      </c>
      <c r="M636" s="18">
        <f t="shared" si="12"/>
        <v>45689</v>
      </c>
      <c r="N636">
        <v>5663823</v>
      </c>
      <c r="O636" t="s">
        <v>123</v>
      </c>
      <c r="P636" t="s">
        <v>146</v>
      </c>
      <c r="Q636">
        <v>7.96</v>
      </c>
      <c r="R636" t="s">
        <v>125</v>
      </c>
      <c r="S636" t="s">
        <v>126</v>
      </c>
      <c r="T636" t="s">
        <v>125</v>
      </c>
      <c r="U636" t="s">
        <v>126</v>
      </c>
      <c r="W636">
        <v>7.96</v>
      </c>
      <c r="Y636">
        <v>7.96</v>
      </c>
      <c r="AS636">
        <v>7.96</v>
      </c>
      <c r="BH636" t="s">
        <v>126</v>
      </c>
      <c r="BI636" t="s">
        <v>126</v>
      </c>
      <c r="BJ636" t="s">
        <v>126</v>
      </c>
      <c r="BK636" t="s">
        <v>126</v>
      </c>
      <c r="BS636" t="s">
        <v>126</v>
      </c>
      <c r="BT636" t="s">
        <v>126</v>
      </c>
      <c r="BU636" t="s">
        <v>126</v>
      </c>
      <c r="BV636" t="s">
        <v>126</v>
      </c>
      <c r="CN636" t="s">
        <v>147</v>
      </c>
      <c r="CP636" t="s">
        <v>278</v>
      </c>
      <c r="CQ636" t="s">
        <v>147</v>
      </c>
    </row>
    <row r="637" spans="1:95" x14ac:dyDescent="0.2">
      <c r="A637" t="s">
        <v>115</v>
      </c>
      <c r="B637" t="s">
        <v>116</v>
      </c>
      <c r="C637">
        <v>210784</v>
      </c>
      <c r="E637" t="s">
        <v>117</v>
      </c>
      <c r="F637">
        <v>368</v>
      </c>
      <c r="G637" t="s">
        <v>141</v>
      </c>
      <c r="H637" t="s">
        <v>142</v>
      </c>
      <c r="I637" t="s">
        <v>279</v>
      </c>
      <c r="J637" t="s">
        <v>280</v>
      </c>
      <c r="L637" s="14">
        <v>45700</v>
      </c>
      <c r="M637" s="18">
        <f t="shared" si="12"/>
        <v>45689</v>
      </c>
      <c r="N637">
        <v>5665360</v>
      </c>
      <c r="O637" t="s">
        <v>123</v>
      </c>
      <c r="P637" t="s">
        <v>146</v>
      </c>
      <c r="Q637">
        <v>4.43</v>
      </c>
      <c r="R637" t="s">
        <v>125</v>
      </c>
      <c r="S637" t="s">
        <v>126</v>
      </c>
      <c r="T637" t="s">
        <v>125</v>
      </c>
      <c r="U637" t="s">
        <v>126</v>
      </c>
      <c r="W637">
        <v>4.43</v>
      </c>
      <c r="Y637">
        <v>4.43</v>
      </c>
      <c r="AS637">
        <v>4.43</v>
      </c>
      <c r="BH637" t="s">
        <v>126</v>
      </c>
      <c r="BI637" t="s">
        <v>126</v>
      </c>
      <c r="BJ637" t="s">
        <v>126</v>
      </c>
      <c r="BK637" t="s">
        <v>126</v>
      </c>
      <c r="BS637" t="s">
        <v>126</v>
      </c>
      <c r="BT637" t="s">
        <v>126</v>
      </c>
      <c r="BU637" t="s">
        <v>126</v>
      </c>
      <c r="BV637" t="s">
        <v>126</v>
      </c>
      <c r="CN637" t="s">
        <v>147</v>
      </c>
      <c r="CP637" t="s">
        <v>278</v>
      </c>
      <c r="CQ637" t="s">
        <v>147</v>
      </c>
    </row>
    <row r="638" spans="1:95" x14ac:dyDescent="0.2">
      <c r="A638" t="s">
        <v>115</v>
      </c>
      <c r="B638" t="s">
        <v>116</v>
      </c>
      <c r="C638">
        <v>210784</v>
      </c>
      <c r="E638" t="s">
        <v>117</v>
      </c>
      <c r="F638">
        <v>368</v>
      </c>
      <c r="G638" t="s">
        <v>141</v>
      </c>
      <c r="H638" t="s">
        <v>142</v>
      </c>
      <c r="I638" t="s">
        <v>279</v>
      </c>
      <c r="J638" t="s">
        <v>280</v>
      </c>
      <c r="L638" s="14">
        <v>45701</v>
      </c>
      <c r="M638" s="18">
        <f t="shared" si="12"/>
        <v>45689</v>
      </c>
      <c r="N638">
        <v>5665878</v>
      </c>
      <c r="O638" t="s">
        <v>123</v>
      </c>
      <c r="P638" t="s">
        <v>146</v>
      </c>
      <c r="Q638">
        <v>8.18</v>
      </c>
      <c r="R638" t="s">
        <v>125</v>
      </c>
      <c r="S638" t="s">
        <v>126</v>
      </c>
      <c r="T638" t="s">
        <v>125</v>
      </c>
      <c r="U638" t="s">
        <v>126</v>
      </c>
      <c r="W638">
        <v>8.18</v>
      </c>
      <c r="Y638">
        <v>8.18</v>
      </c>
      <c r="AS638">
        <v>8.18</v>
      </c>
      <c r="BH638" t="s">
        <v>126</v>
      </c>
      <c r="BI638" t="s">
        <v>126</v>
      </c>
      <c r="BJ638" t="s">
        <v>126</v>
      </c>
      <c r="BK638" t="s">
        <v>126</v>
      </c>
      <c r="BS638" t="s">
        <v>126</v>
      </c>
      <c r="BT638" t="s">
        <v>126</v>
      </c>
      <c r="BU638" t="s">
        <v>126</v>
      </c>
      <c r="BV638" t="s">
        <v>126</v>
      </c>
      <c r="CN638" t="s">
        <v>147</v>
      </c>
      <c r="CP638" t="s">
        <v>278</v>
      </c>
      <c r="CQ638" t="s">
        <v>147</v>
      </c>
    </row>
    <row r="639" spans="1:95" x14ac:dyDescent="0.2">
      <c r="A639" t="s">
        <v>115</v>
      </c>
      <c r="B639" t="s">
        <v>116</v>
      </c>
      <c r="C639">
        <v>210784</v>
      </c>
      <c r="E639" t="s">
        <v>117</v>
      </c>
      <c r="F639">
        <v>368</v>
      </c>
      <c r="G639" t="s">
        <v>141</v>
      </c>
      <c r="H639" t="s">
        <v>142</v>
      </c>
      <c r="I639" t="s">
        <v>279</v>
      </c>
      <c r="J639" t="s">
        <v>280</v>
      </c>
      <c r="L639" s="14">
        <v>45701</v>
      </c>
      <c r="M639" s="18">
        <f t="shared" si="12"/>
        <v>45689</v>
      </c>
      <c r="N639">
        <v>5665987</v>
      </c>
      <c r="O639" t="s">
        <v>123</v>
      </c>
      <c r="P639" t="s">
        <v>146</v>
      </c>
      <c r="Q639">
        <v>2.37</v>
      </c>
      <c r="R639" t="s">
        <v>125</v>
      </c>
      <c r="S639" t="s">
        <v>126</v>
      </c>
      <c r="T639" t="s">
        <v>125</v>
      </c>
      <c r="U639" t="s">
        <v>126</v>
      </c>
      <c r="W639">
        <v>2.37</v>
      </c>
      <c r="Y639">
        <v>2.37</v>
      </c>
      <c r="BE639">
        <v>2.37</v>
      </c>
      <c r="BH639" t="s">
        <v>126</v>
      </c>
      <c r="BI639" t="s">
        <v>126</v>
      </c>
      <c r="BJ639" t="s">
        <v>126</v>
      </c>
      <c r="BK639" t="s">
        <v>126</v>
      </c>
      <c r="BS639" t="s">
        <v>126</v>
      </c>
      <c r="BT639" t="s">
        <v>126</v>
      </c>
      <c r="BU639" t="s">
        <v>126</v>
      </c>
      <c r="BV639" t="s">
        <v>126</v>
      </c>
      <c r="CN639" t="s">
        <v>147</v>
      </c>
      <c r="CP639" t="s">
        <v>278</v>
      </c>
      <c r="CQ639" t="s">
        <v>147</v>
      </c>
    </row>
    <row r="640" spans="1:95" x14ac:dyDescent="0.2">
      <c r="A640" t="s">
        <v>115</v>
      </c>
      <c r="B640" t="s">
        <v>116</v>
      </c>
      <c r="C640">
        <v>210784</v>
      </c>
      <c r="E640" t="s">
        <v>117</v>
      </c>
      <c r="F640">
        <v>368</v>
      </c>
      <c r="G640" t="s">
        <v>141</v>
      </c>
      <c r="H640" t="s">
        <v>142</v>
      </c>
      <c r="I640" t="s">
        <v>279</v>
      </c>
      <c r="J640" t="s">
        <v>280</v>
      </c>
      <c r="L640" s="14">
        <v>45702</v>
      </c>
      <c r="M640" s="18">
        <f t="shared" si="12"/>
        <v>45689</v>
      </c>
      <c r="N640">
        <v>5666225</v>
      </c>
      <c r="O640" t="s">
        <v>123</v>
      </c>
      <c r="P640" t="s">
        <v>146</v>
      </c>
      <c r="Q640">
        <v>3.46</v>
      </c>
      <c r="R640" t="s">
        <v>125</v>
      </c>
      <c r="S640" t="s">
        <v>126</v>
      </c>
      <c r="T640" t="s">
        <v>125</v>
      </c>
      <c r="U640" t="s">
        <v>126</v>
      </c>
      <c r="W640">
        <v>3.46</v>
      </c>
      <c r="Y640">
        <v>3.46</v>
      </c>
      <c r="AS640">
        <v>3.46</v>
      </c>
      <c r="BH640" t="s">
        <v>126</v>
      </c>
      <c r="BI640" t="s">
        <v>126</v>
      </c>
      <c r="BJ640" t="s">
        <v>126</v>
      </c>
      <c r="BK640" t="s">
        <v>126</v>
      </c>
      <c r="BS640" t="s">
        <v>126</v>
      </c>
      <c r="BT640" t="s">
        <v>126</v>
      </c>
      <c r="BU640" t="s">
        <v>126</v>
      </c>
      <c r="BV640" t="s">
        <v>126</v>
      </c>
      <c r="CN640" t="s">
        <v>147</v>
      </c>
      <c r="CP640" t="s">
        <v>278</v>
      </c>
      <c r="CQ640" t="s">
        <v>147</v>
      </c>
    </row>
    <row r="641" spans="1:95" x14ac:dyDescent="0.2">
      <c r="A641" t="s">
        <v>115</v>
      </c>
      <c r="B641" t="s">
        <v>116</v>
      </c>
      <c r="C641">
        <v>210784</v>
      </c>
      <c r="E641" t="s">
        <v>117</v>
      </c>
      <c r="F641">
        <v>368</v>
      </c>
      <c r="G641" t="s">
        <v>141</v>
      </c>
      <c r="H641" t="s">
        <v>142</v>
      </c>
      <c r="I641" t="s">
        <v>279</v>
      </c>
      <c r="J641" t="s">
        <v>280</v>
      </c>
      <c r="L641" s="14">
        <v>45702</v>
      </c>
      <c r="M641" s="18">
        <f t="shared" si="12"/>
        <v>45689</v>
      </c>
      <c r="N641">
        <v>5666411</v>
      </c>
      <c r="O641" t="s">
        <v>123</v>
      </c>
      <c r="P641" t="s">
        <v>146</v>
      </c>
      <c r="Q641">
        <v>1.21</v>
      </c>
      <c r="R641" t="s">
        <v>125</v>
      </c>
      <c r="S641" t="s">
        <v>126</v>
      </c>
      <c r="T641" t="s">
        <v>125</v>
      </c>
      <c r="U641" t="s">
        <v>126</v>
      </c>
      <c r="W641">
        <v>1.21</v>
      </c>
      <c r="Y641">
        <v>1.21</v>
      </c>
      <c r="BE641">
        <v>1.21</v>
      </c>
      <c r="BH641" t="s">
        <v>126</v>
      </c>
      <c r="BI641" t="s">
        <v>126</v>
      </c>
      <c r="BJ641" t="s">
        <v>126</v>
      </c>
      <c r="BK641" t="s">
        <v>126</v>
      </c>
      <c r="BS641" t="s">
        <v>126</v>
      </c>
      <c r="BT641" t="s">
        <v>126</v>
      </c>
      <c r="BU641" t="s">
        <v>126</v>
      </c>
      <c r="BV641" t="s">
        <v>126</v>
      </c>
      <c r="CN641" t="s">
        <v>147</v>
      </c>
      <c r="CP641" t="s">
        <v>278</v>
      </c>
      <c r="CQ641" t="s">
        <v>147</v>
      </c>
    </row>
    <row r="642" spans="1:95" x14ac:dyDescent="0.2">
      <c r="A642" t="s">
        <v>115</v>
      </c>
      <c r="B642" t="s">
        <v>116</v>
      </c>
      <c r="C642">
        <v>210784</v>
      </c>
      <c r="E642" t="s">
        <v>117</v>
      </c>
      <c r="F642">
        <v>368</v>
      </c>
      <c r="G642" t="s">
        <v>141</v>
      </c>
      <c r="H642" t="s">
        <v>142</v>
      </c>
      <c r="I642" t="s">
        <v>279</v>
      </c>
      <c r="J642" t="s">
        <v>280</v>
      </c>
      <c r="L642" s="14">
        <v>45705</v>
      </c>
      <c r="M642" s="18">
        <f t="shared" si="12"/>
        <v>45689</v>
      </c>
      <c r="N642">
        <v>5667384</v>
      </c>
      <c r="O642" t="s">
        <v>123</v>
      </c>
      <c r="P642" t="s">
        <v>146</v>
      </c>
      <c r="Q642">
        <v>3.24</v>
      </c>
      <c r="R642" t="s">
        <v>125</v>
      </c>
      <c r="S642" t="s">
        <v>126</v>
      </c>
      <c r="T642" t="s">
        <v>125</v>
      </c>
      <c r="U642" t="s">
        <v>126</v>
      </c>
      <c r="W642">
        <v>3.24</v>
      </c>
      <c r="Y642">
        <v>3.24</v>
      </c>
      <c r="AS642">
        <v>3.24</v>
      </c>
      <c r="BH642" t="s">
        <v>126</v>
      </c>
      <c r="BI642" t="s">
        <v>126</v>
      </c>
      <c r="BJ642" t="s">
        <v>126</v>
      </c>
      <c r="BK642" t="s">
        <v>126</v>
      </c>
      <c r="BS642" t="s">
        <v>126</v>
      </c>
      <c r="BT642" t="s">
        <v>126</v>
      </c>
      <c r="BU642" t="s">
        <v>126</v>
      </c>
      <c r="BV642" t="s">
        <v>126</v>
      </c>
      <c r="CN642" t="s">
        <v>147</v>
      </c>
      <c r="CP642" t="s">
        <v>278</v>
      </c>
      <c r="CQ642" t="s">
        <v>147</v>
      </c>
    </row>
    <row r="643" spans="1:95" x14ac:dyDescent="0.2">
      <c r="A643" t="s">
        <v>115</v>
      </c>
      <c r="B643" t="s">
        <v>116</v>
      </c>
      <c r="C643">
        <v>210784</v>
      </c>
      <c r="E643" t="s">
        <v>117</v>
      </c>
      <c r="F643">
        <v>368</v>
      </c>
      <c r="G643" t="s">
        <v>141</v>
      </c>
      <c r="H643" t="s">
        <v>142</v>
      </c>
      <c r="I643" t="s">
        <v>279</v>
      </c>
      <c r="J643" t="s">
        <v>280</v>
      </c>
      <c r="L643" s="14">
        <v>45705</v>
      </c>
      <c r="M643" s="18">
        <f t="shared" si="12"/>
        <v>45689</v>
      </c>
      <c r="N643">
        <v>5667489</v>
      </c>
      <c r="O643" t="s">
        <v>123</v>
      </c>
      <c r="P643" t="s">
        <v>146</v>
      </c>
      <c r="Q643">
        <v>1.74</v>
      </c>
      <c r="R643" t="s">
        <v>125</v>
      </c>
      <c r="S643" t="s">
        <v>126</v>
      </c>
      <c r="T643" t="s">
        <v>125</v>
      </c>
      <c r="U643" t="s">
        <v>126</v>
      </c>
      <c r="W643">
        <v>1.74</v>
      </c>
      <c r="Y643">
        <v>1.74</v>
      </c>
      <c r="AS643">
        <v>1.74</v>
      </c>
      <c r="BH643" t="s">
        <v>126</v>
      </c>
      <c r="BI643" t="s">
        <v>126</v>
      </c>
      <c r="BJ643" t="s">
        <v>126</v>
      </c>
      <c r="BK643" t="s">
        <v>126</v>
      </c>
      <c r="BS643" t="s">
        <v>126</v>
      </c>
      <c r="BT643" t="s">
        <v>126</v>
      </c>
      <c r="BU643" t="s">
        <v>126</v>
      </c>
      <c r="BV643" t="s">
        <v>126</v>
      </c>
      <c r="CN643" t="s">
        <v>147</v>
      </c>
      <c r="CP643" t="s">
        <v>278</v>
      </c>
      <c r="CQ643" t="s">
        <v>147</v>
      </c>
    </row>
    <row r="644" spans="1:95" x14ac:dyDescent="0.2">
      <c r="A644" t="s">
        <v>115</v>
      </c>
      <c r="B644" t="s">
        <v>116</v>
      </c>
      <c r="C644">
        <v>210784</v>
      </c>
      <c r="E644" t="s">
        <v>117</v>
      </c>
      <c r="F644">
        <v>368</v>
      </c>
      <c r="G644" t="s">
        <v>141</v>
      </c>
      <c r="H644" t="s">
        <v>142</v>
      </c>
      <c r="I644" t="s">
        <v>279</v>
      </c>
      <c r="J644" t="s">
        <v>280</v>
      </c>
      <c r="L644" s="14">
        <v>45705</v>
      </c>
      <c r="M644" s="18">
        <f t="shared" si="12"/>
        <v>45689</v>
      </c>
      <c r="N644">
        <v>5667573</v>
      </c>
      <c r="O644" t="s">
        <v>123</v>
      </c>
      <c r="P644" t="s">
        <v>146</v>
      </c>
      <c r="Q644">
        <v>5.29</v>
      </c>
      <c r="R644" t="s">
        <v>125</v>
      </c>
      <c r="S644" t="s">
        <v>126</v>
      </c>
      <c r="T644" t="s">
        <v>125</v>
      </c>
      <c r="U644" t="s">
        <v>126</v>
      </c>
      <c r="W644">
        <v>5.29</v>
      </c>
      <c r="Y644">
        <v>5.29</v>
      </c>
      <c r="AS644">
        <v>5.29</v>
      </c>
      <c r="BH644" t="s">
        <v>126</v>
      </c>
      <c r="BI644" t="s">
        <v>126</v>
      </c>
      <c r="BJ644" t="s">
        <v>126</v>
      </c>
      <c r="BK644" t="s">
        <v>126</v>
      </c>
      <c r="BS644" t="s">
        <v>126</v>
      </c>
      <c r="BT644" t="s">
        <v>126</v>
      </c>
      <c r="BU644" t="s">
        <v>126</v>
      </c>
      <c r="BV644" t="s">
        <v>126</v>
      </c>
      <c r="CN644" t="s">
        <v>147</v>
      </c>
      <c r="CP644" t="s">
        <v>278</v>
      </c>
      <c r="CQ644" t="s">
        <v>147</v>
      </c>
    </row>
    <row r="645" spans="1:95" x14ac:dyDescent="0.2">
      <c r="A645" t="s">
        <v>115</v>
      </c>
      <c r="B645" t="s">
        <v>116</v>
      </c>
      <c r="C645">
        <v>210784</v>
      </c>
      <c r="E645" t="s">
        <v>117</v>
      </c>
      <c r="F645">
        <v>368</v>
      </c>
      <c r="G645" t="s">
        <v>141</v>
      </c>
      <c r="H645" t="s">
        <v>142</v>
      </c>
      <c r="I645" t="s">
        <v>279</v>
      </c>
      <c r="J645" t="s">
        <v>280</v>
      </c>
      <c r="L645" s="14">
        <v>45706</v>
      </c>
      <c r="M645" s="18">
        <f t="shared" si="12"/>
        <v>45689</v>
      </c>
      <c r="N645">
        <v>5668271</v>
      </c>
      <c r="O645" t="s">
        <v>123</v>
      </c>
      <c r="P645" t="s">
        <v>146</v>
      </c>
      <c r="Q645">
        <v>1.55</v>
      </c>
      <c r="R645" t="s">
        <v>125</v>
      </c>
      <c r="S645" t="s">
        <v>126</v>
      </c>
      <c r="T645" t="s">
        <v>125</v>
      </c>
      <c r="U645" t="s">
        <v>126</v>
      </c>
      <c r="W645">
        <v>1.55</v>
      </c>
      <c r="Y645">
        <v>1.55</v>
      </c>
      <c r="AS645">
        <v>1.55</v>
      </c>
      <c r="BH645" t="s">
        <v>126</v>
      </c>
      <c r="BI645" t="s">
        <v>126</v>
      </c>
      <c r="BJ645" t="s">
        <v>126</v>
      </c>
      <c r="BK645" t="s">
        <v>126</v>
      </c>
      <c r="BS645" t="s">
        <v>126</v>
      </c>
      <c r="BT645" t="s">
        <v>126</v>
      </c>
      <c r="BU645" t="s">
        <v>126</v>
      </c>
      <c r="BV645" t="s">
        <v>126</v>
      </c>
      <c r="CN645" t="s">
        <v>147</v>
      </c>
      <c r="CP645" t="s">
        <v>278</v>
      </c>
      <c r="CQ645" t="s">
        <v>147</v>
      </c>
    </row>
    <row r="646" spans="1:95" x14ac:dyDescent="0.2">
      <c r="A646" t="s">
        <v>115</v>
      </c>
      <c r="B646" t="s">
        <v>116</v>
      </c>
      <c r="C646">
        <v>210784</v>
      </c>
      <c r="E646" t="s">
        <v>117</v>
      </c>
      <c r="F646">
        <v>368</v>
      </c>
      <c r="G646" t="s">
        <v>141</v>
      </c>
      <c r="H646" t="s">
        <v>142</v>
      </c>
      <c r="I646" t="s">
        <v>279</v>
      </c>
      <c r="J646" t="s">
        <v>280</v>
      </c>
      <c r="L646" s="14">
        <v>45706</v>
      </c>
      <c r="M646" s="18">
        <f t="shared" si="12"/>
        <v>45689</v>
      </c>
      <c r="N646">
        <v>5668425</v>
      </c>
      <c r="O646" t="s">
        <v>123</v>
      </c>
      <c r="P646" t="s">
        <v>146</v>
      </c>
      <c r="Q646">
        <v>1.45</v>
      </c>
      <c r="R646" t="s">
        <v>620</v>
      </c>
      <c r="S646" t="s">
        <v>126</v>
      </c>
      <c r="T646" t="s">
        <v>620</v>
      </c>
      <c r="U646" t="s">
        <v>621</v>
      </c>
      <c r="W646">
        <v>0.45</v>
      </c>
      <c r="X646">
        <v>1</v>
      </c>
      <c r="Y646">
        <v>1.45</v>
      </c>
      <c r="Z646">
        <v>0.55000000000000004</v>
      </c>
      <c r="AG646">
        <v>0.45</v>
      </c>
      <c r="AI646">
        <v>0.45</v>
      </c>
      <c r="BH646" t="s">
        <v>126</v>
      </c>
      <c r="BI646" t="s">
        <v>126</v>
      </c>
      <c r="BJ646" t="s">
        <v>126</v>
      </c>
      <c r="BK646" t="s">
        <v>126</v>
      </c>
      <c r="BS646" t="s">
        <v>126</v>
      </c>
      <c r="BT646" t="s">
        <v>126</v>
      </c>
      <c r="BU646" t="s">
        <v>126</v>
      </c>
      <c r="BV646" t="s">
        <v>126</v>
      </c>
      <c r="CN646" t="s">
        <v>147</v>
      </c>
      <c r="CP646" t="s">
        <v>278</v>
      </c>
      <c r="CQ646" t="s">
        <v>147</v>
      </c>
    </row>
    <row r="647" spans="1:95" x14ac:dyDescent="0.2">
      <c r="A647" t="s">
        <v>115</v>
      </c>
      <c r="B647" t="s">
        <v>116</v>
      </c>
      <c r="C647">
        <v>210784</v>
      </c>
      <c r="E647" t="s">
        <v>117</v>
      </c>
      <c r="F647">
        <v>368</v>
      </c>
      <c r="G647" t="s">
        <v>141</v>
      </c>
      <c r="H647" t="s">
        <v>142</v>
      </c>
      <c r="I647" t="s">
        <v>279</v>
      </c>
      <c r="J647" t="s">
        <v>280</v>
      </c>
      <c r="L647" s="14">
        <v>45707</v>
      </c>
      <c r="M647" s="18">
        <f t="shared" si="12"/>
        <v>45689</v>
      </c>
      <c r="N647">
        <v>5668604</v>
      </c>
      <c r="O647" t="s">
        <v>123</v>
      </c>
      <c r="P647" t="s">
        <v>146</v>
      </c>
      <c r="Q647">
        <v>1.47</v>
      </c>
      <c r="R647" t="s">
        <v>125</v>
      </c>
      <c r="S647" t="s">
        <v>126</v>
      </c>
      <c r="T647" t="s">
        <v>125</v>
      </c>
      <c r="U647" t="s">
        <v>126</v>
      </c>
      <c r="W647">
        <v>1.47</v>
      </c>
      <c r="Y647">
        <v>1.47</v>
      </c>
      <c r="BE647">
        <v>1.47</v>
      </c>
      <c r="BH647" t="s">
        <v>126</v>
      </c>
      <c r="BI647" t="s">
        <v>126</v>
      </c>
      <c r="BJ647" t="s">
        <v>126</v>
      </c>
      <c r="BK647" t="s">
        <v>126</v>
      </c>
      <c r="BS647" t="s">
        <v>126</v>
      </c>
      <c r="BT647" t="s">
        <v>126</v>
      </c>
      <c r="BU647" t="s">
        <v>126</v>
      </c>
      <c r="BV647" t="s">
        <v>126</v>
      </c>
      <c r="CN647" t="s">
        <v>147</v>
      </c>
      <c r="CP647" t="s">
        <v>278</v>
      </c>
      <c r="CQ647" t="s">
        <v>147</v>
      </c>
    </row>
    <row r="648" spans="1:95" x14ac:dyDescent="0.2">
      <c r="A648" t="s">
        <v>115</v>
      </c>
      <c r="B648" t="s">
        <v>116</v>
      </c>
      <c r="C648">
        <v>210784</v>
      </c>
      <c r="E648" t="s">
        <v>117</v>
      </c>
      <c r="F648">
        <v>368</v>
      </c>
      <c r="G648" t="s">
        <v>141</v>
      </c>
      <c r="H648" t="s">
        <v>142</v>
      </c>
      <c r="I648" t="s">
        <v>279</v>
      </c>
      <c r="J648" t="s">
        <v>280</v>
      </c>
      <c r="L648" s="14">
        <v>45708</v>
      </c>
      <c r="M648" s="18">
        <f t="shared" si="12"/>
        <v>45689</v>
      </c>
      <c r="N648">
        <v>5669535</v>
      </c>
      <c r="O648" t="s">
        <v>123</v>
      </c>
      <c r="P648" t="s">
        <v>146</v>
      </c>
      <c r="Q648">
        <v>4.2300000000000004</v>
      </c>
      <c r="R648" t="s">
        <v>125</v>
      </c>
      <c r="S648" t="s">
        <v>126</v>
      </c>
      <c r="T648" t="s">
        <v>125</v>
      </c>
      <c r="U648" t="s">
        <v>126</v>
      </c>
      <c r="W648">
        <v>4.2300000000000004</v>
      </c>
      <c r="Y648">
        <v>4.2300000000000004</v>
      </c>
      <c r="AS648">
        <v>4.2300000000000004</v>
      </c>
      <c r="BH648" t="s">
        <v>126</v>
      </c>
      <c r="BI648" t="s">
        <v>126</v>
      </c>
      <c r="BJ648" t="s">
        <v>126</v>
      </c>
      <c r="BK648" t="s">
        <v>126</v>
      </c>
      <c r="BS648" t="s">
        <v>126</v>
      </c>
      <c r="BT648" t="s">
        <v>126</v>
      </c>
      <c r="BU648" t="s">
        <v>126</v>
      </c>
      <c r="BV648" t="s">
        <v>126</v>
      </c>
      <c r="CN648" t="s">
        <v>147</v>
      </c>
      <c r="CP648" t="s">
        <v>278</v>
      </c>
      <c r="CQ648" t="s">
        <v>147</v>
      </c>
    </row>
    <row r="649" spans="1:95" x14ac:dyDescent="0.2">
      <c r="A649" t="s">
        <v>115</v>
      </c>
      <c r="B649" t="s">
        <v>116</v>
      </c>
      <c r="C649">
        <v>210784</v>
      </c>
      <c r="E649" t="s">
        <v>117</v>
      </c>
      <c r="F649">
        <v>368</v>
      </c>
      <c r="G649" t="s">
        <v>141</v>
      </c>
      <c r="H649" t="s">
        <v>142</v>
      </c>
      <c r="I649" t="s">
        <v>279</v>
      </c>
      <c r="J649" t="s">
        <v>280</v>
      </c>
      <c r="L649" s="14">
        <v>45708</v>
      </c>
      <c r="M649" s="18">
        <f t="shared" si="12"/>
        <v>45689</v>
      </c>
      <c r="N649">
        <v>5669683</v>
      </c>
      <c r="O649" t="s">
        <v>123</v>
      </c>
      <c r="P649" t="s">
        <v>146</v>
      </c>
      <c r="Q649">
        <v>5.44</v>
      </c>
      <c r="R649" t="s">
        <v>125</v>
      </c>
      <c r="S649" t="s">
        <v>126</v>
      </c>
      <c r="T649" t="s">
        <v>125</v>
      </c>
      <c r="U649" t="s">
        <v>126</v>
      </c>
      <c r="W649">
        <v>5.44</v>
      </c>
      <c r="Y649">
        <v>5.44</v>
      </c>
      <c r="AS649">
        <v>5.44</v>
      </c>
      <c r="BH649" t="s">
        <v>126</v>
      </c>
      <c r="BI649" t="s">
        <v>126</v>
      </c>
      <c r="BJ649" t="s">
        <v>126</v>
      </c>
      <c r="BK649" t="s">
        <v>126</v>
      </c>
      <c r="BS649" t="s">
        <v>126</v>
      </c>
      <c r="BT649" t="s">
        <v>126</v>
      </c>
      <c r="BU649" t="s">
        <v>126</v>
      </c>
      <c r="BV649" t="s">
        <v>126</v>
      </c>
      <c r="CN649" t="s">
        <v>147</v>
      </c>
      <c r="CP649" t="s">
        <v>278</v>
      </c>
      <c r="CQ649" t="s">
        <v>147</v>
      </c>
    </row>
    <row r="650" spans="1:95" x14ac:dyDescent="0.2">
      <c r="A650" t="s">
        <v>115</v>
      </c>
      <c r="B650" t="s">
        <v>116</v>
      </c>
      <c r="C650">
        <v>210784</v>
      </c>
      <c r="E650" t="s">
        <v>117</v>
      </c>
      <c r="F650">
        <v>368</v>
      </c>
      <c r="G650" t="s">
        <v>141</v>
      </c>
      <c r="H650" t="s">
        <v>142</v>
      </c>
      <c r="I650" t="s">
        <v>279</v>
      </c>
      <c r="J650" t="s">
        <v>280</v>
      </c>
      <c r="L650" s="14">
        <v>45709</v>
      </c>
      <c r="M650" s="18">
        <f t="shared" si="12"/>
        <v>45689</v>
      </c>
      <c r="N650">
        <v>5670641</v>
      </c>
      <c r="O650" t="s">
        <v>123</v>
      </c>
      <c r="P650" t="s">
        <v>146</v>
      </c>
      <c r="Q650">
        <v>3.74</v>
      </c>
      <c r="R650" t="s">
        <v>125</v>
      </c>
      <c r="S650" t="s">
        <v>126</v>
      </c>
      <c r="T650" t="s">
        <v>125</v>
      </c>
      <c r="U650" t="s">
        <v>126</v>
      </c>
      <c r="W650">
        <v>3.74</v>
      </c>
      <c r="Y650">
        <v>3.74</v>
      </c>
      <c r="AS650">
        <v>3.74</v>
      </c>
      <c r="BH650" t="s">
        <v>126</v>
      </c>
      <c r="BI650" t="s">
        <v>126</v>
      </c>
      <c r="BJ650" t="s">
        <v>126</v>
      </c>
      <c r="BK650" t="s">
        <v>126</v>
      </c>
      <c r="BS650" t="s">
        <v>126</v>
      </c>
      <c r="BT650" t="s">
        <v>126</v>
      </c>
      <c r="BU650" t="s">
        <v>126</v>
      </c>
      <c r="BV650" t="s">
        <v>126</v>
      </c>
      <c r="CN650" t="s">
        <v>147</v>
      </c>
      <c r="CP650" t="s">
        <v>278</v>
      </c>
      <c r="CQ650" t="s">
        <v>147</v>
      </c>
    </row>
    <row r="651" spans="1:95" x14ac:dyDescent="0.2">
      <c r="A651" t="s">
        <v>115</v>
      </c>
      <c r="B651" t="s">
        <v>116</v>
      </c>
      <c r="C651">
        <v>210784</v>
      </c>
      <c r="E651" t="s">
        <v>117</v>
      </c>
      <c r="F651">
        <v>368</v>
      </c>
      <c r="G651" t="s">
        <v>141</v>
      </c>
      <c r="H651" t="s">
        <v>142</v>
      </c>
      <c r="I651" t="s">
        <v>279</v>
      </c>
      <c r="J651" t="s">
        <v>280</v>
      </c>
      <c r="L651" s="14">
        <v>45712</v>
      </c>
      <c r="M651" s="18">
        <f t="shared" ref="M651:M714" si="13">DATE(YEAR(L651), MONTH(L651), 1)</f>
        <v>45689</v>
      </c>
      <c r="N651">
        <v>117387</v>
      </c>
      <c r="O651" t="s">
        <v>123</v>
      </c>
      <c r="P651" t="s">
        <v>146</v>
      </c>
      <c r="Q651">
        <v>1.34</v>
      </c>
      <c r="R651" t="s">
        <v>125</v>
      </c>
      <c r="S651" t="s">
        <v>126</v>
      </c>
      <c r="T651" t="s">
        <v>125</v>
      </c>
      <c r="U651" t="s">
        <v>126</v>
      </c>
      <c r="W651">
        <v>1.34</v>
      </c>
      <c r="Y651">
        <v>1.34</v>
      </c>
      <c r="AC651">
        <v>1.34</v>
      </c>
      <c r="BH651" t="s">
        <v>126</v>
      </c>
      <c r="BI651" t="s">
        <v>126</v>
      </c>
      <c r="BJ651" t="s">
        <v>126</v>
      </c>
      <c r="BK651" t="s">
        <v>126</v>
      </c>
      <c r="BS651" t="s">
        <v>126</v>
      </c>
      <c r="BT651" t="s">
        <v>126</v>
      </c>
      <c r="BU651" t="s">
        <v>126</v>
      </c>
      <c r="BV651" t="s">
        <v>126</v>
      </c>
      <c r="CN651" t="s">
        <v>147</v>
      </c>
      <c r="CP651" t="s">
        <v>278</v>
      </c>
      <c r="CQ651" t="s">
        <v>147</v>
      </c>
    </row>
    <row r="652" spans="1:95" x14ac:dyDescent="0.2">
      <c r="A652" t="s">
        <v>115</v>
      </c>
      <c r="B652" t="s">
        <v>116</v>
      </c>
      <c r="C652">
        <v>210784</v>
      </c>
      <c r="E652" t="s">
        <v>117</v>
      </c>
      <c r="F652">
        <v>368</v>
      </c>
      <c r="G652" t="s">
        <v>141</v>
      </c>
      <c r="H652" t="s">
        <v>142</v>
      </c>
      <c r="I652" t="s">
        <v>279</v>
      </c>
      <c r="J652" t="s">
        <v>280</v>
      </c>
      <c r="L652" s="14">
        <v>45712</v>
      </c>
      <c r="M652" s="18">
        <f t="shared" si="13"/>
        <v>45689</v>
      </c>
      <c r="N652">
        <v>5671712</v>
      </c>
      <c r="O652" t="s">
        <v>123</v>
      </c>
      <c r="P652" t="s">
        <v>146</v>
      </c>
      <c r="Q652">
        <v>6.69</v>
      </c>
      <c r="R652" t="s">
        <v>125</v>
      </c>
      <c r="S652" t="s">
        <v>126</v>
      </c>
      <c r="T652" t="s">
        <v>125</v>
      </c>
      <c r="U652" t="s">
        <v>126</v>
      </c>
      <c r="W652">
        <v>6.69</v>
      </c>
      <c r="Y652">
        <v>6.69</v>
      </c>
      <c r="AS652">
        <v>6.69</v>
      </c>
      <c r="BH652" t="s">
        <v>126</v>
      </c>
      <c r="BI652" t="s">
        <v>126</v>
      </c>
      <c r="BJ652" t="s">
        <v>126</v>
      </c>
      <c r="BK652" t="s">
        <v>126</v>
      </c>
      <c r="BS652" t="s">
        <v>126</v>
      </c>
      <c r="BT652" t="s">
        <v>126</v>
      </c>
      <c r="BU652" t="s">
        <v>126</v>
      </c>
      <c r="BV652" t="s">
        <v>126</v>
      </c>
      <c r="CN652" t="s">
        <v>147</v>
      </c>
      <c r="CP652" t="s">
        <v>278</v>
      </c>
      <c r="CQ652" t="s">
        <v>147</v>
      </c>
    </row>
    <row r="653" spans="1:95" x14ac:dyDescent="0.2">
      <c r="A653" t="s">
        <v>115</v>
      </c>
      <c r="B653" t="s">
        <v>116</v>
      </c>
      <c r="C653">
        <v>210784</v>
      </c>
      <c r="E653" t="s">
        <v>117</v>
      </c>
      <c r="F653">
        <v>368</v>
      </c>
      <c r="G653" t="s">
        <v>141</v>
      </c>
      <c r="H653" t="s">
        <v>142</v>
      </c>
      <c r="I653" t="s">
        <v>279</v>
      </c>
      <c r="J653" t="s">
        <v>280</v>
      </c>
      <c r="L653" s="14">
        <v>45712</v>
      </c>
      <c r="M653" s="18">
        <f t="shared" si="13"/>
        <v>45689</v>
      </c>
      <c r="N653">
        <v>5671753</v>
      </c>
      <c r="O653" t="s">
        <v>123</v>
      </c>
      <c r="P653" t="s">
        <v>146</v>
      </c>
      <c r="Q653">
        <v>1.81</v>
      </c>
      <c r="R653" t="s">
        <v>125</v>
      </c>
      <c r="S653" t="s">
        <v>126</v>
      </c>
      <c r="T653" t="s">
        <v>125</v>
      </c>
      <c r="U653" t="s">
        <v>126</v>
      </c>
      <c r="W653">
        <v>1.81</v>
      </c>
      <c r="Y653">
        <v>1.81</v>
      </c>
      <c r="BE653">
        <v>1.81</v>
      </c>
      <c r="BH653" t="s">
        <v>126</v>
      </c>
      <c r="BI653" t="s">
        <v>126</v>
      </c>
      <c r="BJ653" t="s">
        <v>126</v>
      </c>
      <c r="BK653" t="s">
        <v>126</v>
      </c>
      <c r="BS653" t="s">
        <v>126</v>
      </c>
      <c r="BT653" t="s">
        <v>126</v>
      </c>
      <c r="BU653" t="s">
        <v>126</v>
      </c>
      <c r="BV653" t="s">
        <v>126</v>
      </c>
      <c r="CN653" t="s">
        <v>147</v>
      </c>
      <c r="CP653" t="s">
        <v>278</v>
      </c>
      <c r="CQ653" t="s">
        <v>147</v>
      </c>
    </row>
    <row r="654" spans="1:95" x14ac:dyDescent="0.2">
      <c r="A654" t="s">
        <v>115</v>
      </c>
      <c r="B654" t="s">
        <v>116</v>
      </c>
      <c r="C654">
        <v>210784</v>
      </c>
      <c r="E654" t="s">
        <v>117</v>
      </c>
      <c r="F654">
        <v>368</v>
      </c>
      <c r="G654" t="s">
        <v>141</v>
      </c>
      <c r="H654" t="s">
        <v>142</v>
      </c>
      <c r="I654" t="s">
        <v>279</v>
      </c>
      <c r="J654" t="s">
        <v>280</v>
      </c>
      <c r="L654" s="14">
        <v>45714</v>
      </c>
      <c r="M654" s="18">
        <f t="shared" si="13"/>
        <v>45689</v>
      </c>
      <c r="N654">
        <v>5672977</v>
      </c>
      <c r="O654" t="s">
        <v>123</v>
      </c>
      <c r="P654" t="s">
        <v>146</v>
      </c>
      <c r="Q654">
        <v>4.17</v>
      </c>
      <c r="R654" t="s">
        <v>125</v>
      </c>
      <c r="S654" t="s">
        <v>126</v>
      </c>
      <c r="T654" t="s">
        <v>125</v>
      </c>
      <c r="U654" t="s">
        <v>126</v>
      </c>
      <c r="W654">
        <v>4.17</v>
      </c>
      <c r="Y654">
        <v>4.17</v>
      </c>
      <c r="AS654">
        <v>4.17</v>
      </c>
      <c r="BH654" t="s">
        <v>126</v>
      </c>
      <c r="BI654" t="s">
        <v>126</v>
      </c>
      <c r="BJ654" t="s">
        <v>126</v>
      </c>
      <c r="BK654" t="s">
        <v>126</v>
      </c>
      <c r="BS654" t="s">
        <v>126</v>
      </c>
      <c r="BT654" t="s">
        <v>126</v>
      </c>
      <c r="BU654" t="s">
        <v>126</v>
      </c>
      <c r="BV654" t="s">
        <v>126</v>
      </c>
      <c r="CN654" t="s">
        <v>147</v>
      </c>
      <c r="CP654" t="s">
        <v>383</v>
      </c>
      <c r="CQ654" t="s">
        <v>147</v>
      </c>
    </row>
    <row r="655" spans="1:95" x14ac:dyDescent="0.2">
      <c r="A655" t="s">
        <v>115</v>
      </c>
      <c r="B655" t="s">
        <v>116</v>
      </c>
      <c r="C655">
        <v>210784</v>
      </c>
      <c r="E655" t="s">
        <v>117</v>
      </c>
      <c r="F655">
        <v>368</v>
      </c>
      <c r="G655" t="s">
        <v>141</v>
      </c>
      <c r="H655" t="s">
        <v>142</v>
      </c>
      <c r="I655" t="s">
        <v>279</v>
      </c>
      <c r="J655" t="s">
        <v>280</v>
      </c>
      <c r="L655" s="14">
        <v>45715</v>
      </c>
      <c r="M655" s="18">
        <f t="shared" si="13"/>
        <v>45689</v>
      </c>
      <c r="N655">
        <v>5674197</v>
      </c>
      <c r="O655" t="s">
        <v>123</v>
      </c>
      <c r="P655" t="s">
        <v>146</v>
      </c>
      <c r="Q655">
        <v>2.3199999999999998</v>
      </c>
      <c r="R655" t="s">
        <v>125</v>
      </c>
      <c r="S655" t="s">
        <v>126</v>
      </c>
      <c r="T655" t="s">
        <v>125</v>
      </c>
      <c r="U655" t="s">
        <v>126</v>
      </c>
      <c r="W655">
        <v>2.3199999999999998</v>
      </c>
      <c r="Y655">
        <v>2.3199999999999998</v>
      </c>
      <c r="AS655">
        <v>2.3199999999999998</v>
      </c>
      <c r="BH655" t="s">
        <v>126</v>
      </c>
      <c r="BI655" t="s">
        <v>126</v>
      </c>
      <c r="BJ655" t="s">
        <v>126</v>
      </c>
      <c r="BK655" t="s">
        <v>126</v>
      </c>
      <c r="BS655" t="s">
        <v>126</v>
      </c>
      <c r="BT655" t="s">
        <v>126</v>
      </c>
      <c r="BU655" t="s">
        <v>126</v>
      </c>
      <c r="BV655" t="s">
        <v>126</v>
      </c>
      <c r="CN655" t="s">
        <v>147</v>
      </c>
      <c r="CP655" t="s">
        <v>383</v>
      </c>
      <c r="CQ655" t="s">
        <v>147</v>
      </c>
    </row>
    <row r="656" spans="1:95" x14ac:dyDescent="0.2">
      <c r="A656" t="s">
        <v>115</v>
      </c>
      <c r="B656" t="s">
        <v>116</v>
      </c>
      <c r="C656">
        <v>210784</v>
      </c>
      <c r="E656" t="s">
        <v>117</v>
      </c>
      <c r="F656">
        <v>368</v>
      </c>
      <c r="G656" t="s">
        <v>141</v>
      </c>
      <c r="H656" t="s">
        <v>142</v>
      </c>
      <c r="I656" t="s">
        <v>279</v>
      </c>
      <c r="J656" t="s">
        <v>280</v>
      </c>
      <c r="L656" s="14">
        <v>45715</v>
      </c>
      <c r="M656" s="18">
        <f t="shared" si="13"/>
        <v>45689</v>
      </c>
      <c r="N656">
        <v>5673892</v>
      </c>
      <c r="O656" t="s">
        <v>123</v>
      </c>
      <c r="P656" t="s">
        <v>146</v>
      </c>
      <c r="Q656">
        <v>1.9</v>
      </c>
      <c r="R656" t="s">
        <v>125</v>
      </c>
      <c r="S656" t="s">
        <v>126</v>
      </c>
      <c r="T656" t="s">
        <v>125</v>
      </c>
      <c r="U656" t="s">
        <v>126</v>
      </c>
      <c r="W656">
        <v>1.9</v>
      </c>
      <c r="Y656">
        <v>1.9</v>
      </c>
      <c r="AS656">
        <v>1.9</v>
      </c>
      <c r="BH656" t="s">
        <v>126</v>
      </c>
      <c r="BI656" t="s">
        <v>126</v>
      </c>
      <c r="BJ656" t="s">
        <v>126</v>
      </c>
      <c r="BK656" t="s">
        <v>126</v>
      </c>
      <c r="BS656" t="s">
        <v>126</v>
      </c>
      <c r="BT656" t="s">
        <v>126</v>
      </c>
      <c r="BU656" t="s">
        <v>126</v>
      </c>
      <c r="BV656" t="s">
        <v>126</v>
      </c>
      <c r="CN656" t="s">
        <v>147</v>
      </c>
      <c r="CP656" t="s">
        <v>383</v>
      </c>
      <c r="CQ656" t="s">
        <v>147</v>
      </c>
    </row>
    <row r="657" spans="1:95" x14ac:dyDescent="0.2">
      <c r="A657" t="s">
        <v>115</v>
      </c>
      <c r="B657" t="s">
        <v>116</v>
      </c>
      <c r="C657">
        <v>210784</v>
      </c>
      <c r="E657" t="s">
        <v>117</v>
      </c>
      <c r="F657">
        <v>368</v>
      </c>
      <c r="G657" t="s">
        <v>141</v>
      </c>
      <c r="H657" t="s">
        <v>142</v>
      </c>
      <c r="I657" t="s">
        <v>279</v>
      </c>
      <c r="J657" t="s">
        <v>280</v>
      </c>
      <c r="L657" s="14">
        <v>45715</v>
      </c>
      <c r="M657" s="18">
        <f t="shared" si="13"/>
        <v>45689</v>
      </c>
      <c r="N657">
        <v>5673669</v>
      </c>
      <c r="O657" t="s">
        <v>123</v>
      </c>
      <c r="P657" t="s">
        <v>146</v>
      </c>
      <c r="Q657">
        <v>5.19</v>
      </c>
      <c r="R657" t="s">
        <v>125</v>
      </c>
      <c r="S657" t="s">
        <v>126</v>
      </c>
      <c r="T657" t="s">
        <v>125</v>
      </c>
      <c r="U657" t="s">
        <v>126</v>
      </c>
      <c r="W657">
        <v>5.19</v>
      </c>
      <c r="Y657">
        <v>5.19</v>
      </c>
      <c r="AS657">
        <v>5.19</v>
      </c>
      <c r="BH657" t="s">
        <v>126</v>
      </c>
      <c r="BI657" t="s">
        <v>126</v>
      </c>
      <c r="BJ657" t="s">
        <v>126</v>
      </c>
      <c r="BK657" t="s">
        <v>126</v>
      </c>
      <c r="BS657" t="s">
        <v>126</v>
      </c>
      <c r="BT657" t="s">
        <v>126</v>
      </c>
      <c r="BU657" t="s">
        <v>126</v>
      </c>
      <c r="BV657" t="s">
        <v>126</v>
      </c>
      <c r="CN657" t="s">
        <v>147</v>
      </c>
      <c r="CP657" t="s">
        <v>383</v>
      </c>
      <c r="CQ657" t="s">
        <v>147</v>
      </c>
    </row>
    <row r="658" spans="1:95" x14ac:dyDescent="0.2">
      <c r="A658" t="s">
        <v>115</v>
      </c>
      <c r="B658" t="s">
        <v>116</v>
      </c>
      <c r="C658">
        <v>210784</v>
      </c>
      <c r="E658" t="s">
        <v>117</v>
      </c>
      <c r="F658">
        <v>368</v>
      </c>
      <c r="G658" t="s">
        <v>141</v>
      </c>
      <c r="H658" t="s">
        <v>142</v>
      </c>
      <c r="I658" t="s">
        <v>279</v>
      </c>
      <c r="J658" t="s">
        <v>280</v>
      </c>
      <c r="L658" s="14">
        <v>45715</v>
      </c>
      <c r="M658" s="18">
        <f t="shared" si="13"/>
        <v>45689</v>
      </c>
      <c r="N658">
        <v>5673582</v>
      </c>
      <c r="O658" t="s">
        <v>123</v>
      </c>
      <c r="P658" t="s">
        <v>146</v>
      </c>
      <c r="Q658">
        <v>2.1800000000000002</v>
      </c>
      <c r="R658" t="s">
        <v>125</v>
      </c>
      <c r="S658" t="s">
        <v>126</v>
      </c>
      <c r="T658" t="s">
        <v>125</v>
      </c>
      <c r="U658" t="s">
        <v>126</v>
      </c>
      <c r="W658">
        <v>2.1800000000000002</v>
      </c>
      <c r="Y658">
        <v>2.1800000000000002</v>
      </c>
      <c r="BE658">
        <v>2.1800000000000002</v>
      </c>
      <c r="BH658" t="s">
        <v>126</v>
      </c>
      <c r="BI658" t="s">
        <v>126</v>
      </c>
      <c r="BJ658" t="s">
        <v>126</v>
      </c>
      <c r="BK658" t="s">
        <v>126</v>
      </c>
      <c r="BS658" t="s">
        <v>126</v>
      </c>
      <c r="BT658" t="s">
        <v>126</v>
      </c>
      <c r="BU658" t="s">
        <v>126</v>
      </c>
      <c r="BV658" t="s">
        <v>126</v>
      </c>
      <c r="CN658" t="s">
        <v>147</v>
      </c>
      <c r="CP658" t="s">
        <v>383</v>
      </c>
      <c r="CQ658" t="s">
        <v>147</v>
      </c>
    </row>
    <row r="659" spans="1:95" x14ac:dyDescent="0.2">
      <c r="A659" t="s">
        <v>115</v>
      </c>
      <c r="B659" t="s">
        <v>116</v>
      </c>
      <c r="C659">
        <v>210784</v>
      </c>
      <c r="E659" t="s">
        <v>117</v>
      </c>
      <c r="F659">
        <v>368</v>
      </c>
      <c r="G659" t="s">
        <v>141</v>
      </c>
      <c r="H659" t="s">
        <v>142</v>
      </c>
      <c r="I659" t="s">
        <v>279</v>
      </c>
      <c r="J659" t="s">
        <v>280</v>
      </c>
      <c r="L659" s="14">
        <v>45716</v>
      </c>
      <c r="M659" s="18">
        <f t="shared" si="13"/>
        <v>45689</v>
      </c>
      <c r="N659">
        <v>5674686</v>
      </c>
      <c r="O659" t="s">
        <v>123</v>
      </c>
      <c r="P659" t="s">
        <v>146</v>
      </c>
      <c r="Q659">
        <v>2.64</v>
      </c>
      <c r="R659" t="s">
        <v>125</v>
      </c>
      <c r="S659" t="s">
        <v>126</v>
      </c>
      <c r="T659" t="s">
        <v>125</v>
      </c>
      <c r="U659" t="s">
        <v>126</v>
      </c>
      <c r="W659">
        <v>2.64</v>
      </c>
      <c r="Y659">
        <v>2.64</v>
      </c>
      <c r="BE659">
        <v>2.64</v>
      </c>
      <c r="BH659" t="s">
        <v>126</v>
      </c>
      <c r="BI659" t="s">
        <v>126</v>
      </c>
      <c r="BJ659" t="s">
        <v>126</v>
      </c>
      <c r="BK659" t="s">
        <v>126</v>
      </c>
      <c r="BS659" t="s">
        <v>126</v>
      </c>
      <c r="BT659" t="s">
        <v>126</v>
      </c>
      <c r="BU659" t="s">
        <v>126</v>
      </c>
      <c r="BV659" t="s">
        <v>126</v>
      </c>
      <c r="CN659" t="s">
        <v>147</v>
      </c>
      <c r="CP659" t="s">
        <v>383</v>
      </c>
      <c r="CQ659" t="s">
        <v>147</v>
      </c>
    </row>
    <row r="660" spans="1:95" x14ac:dyDescent="0.2">
      <c r="A660" t="s">
        <v>115</v>
      </c>
      <c r="B660" t="s">
        <v>116</v>
      </c>
      <c r="C660">
        <v>210784</v>
      </c>
      <c r="E660" t="s">
        <v>117</v>
      </c>
      <c r="F660">
        <v>368</v>
      </c>
      <c r="G660" t="s">
        <v>141</v>
      </c>
      <c r="H660" t="s">
        <v>142</v>
      </c>
      <c r="I660" t="s">
        <v>279</v>
      </c>
      <c r="J660" t="s">
        <v>280</v>
      </c>
      <c r="L660" s="14">
        <v>45719</v>
      </c>
      <c r="M660" s="18">
        <f t="shared" si="13"/>
        <v>45717</v>
      </c>
      <c r="N660">
        <v>5675697</v>
      </c>
      <c r="O660" t="s">
        <v>123</v>
      </c>
      <c r="P660" t="s">
        <v>146</v>
      </c>
      <c r="Q660">
        <v>8.11</v>
      </c>
      <c r="R660" t="s">
        <v>125</v>
      </c>
      <c r="S660" t="s">
        <v>126</v>
      </c>
      <c r="T660" t="s">
        <v>125</v>
      </c>
      <c r="U660" t="s">
        <v>126</v>
      </c>
      <c r="W660">
        <v>8.11</v>
      </c>
      <c r="Y660">
        <v>8.11</v>
      </c>
      <c r="AS660">
        <v>8.11</v>
      </c>
      <c r="BH660" t="s">
        <v>126</v>
      </c>
      <c r="BI660" t="s">
        <v>126</v>
      </c>
      <c r="BJ660" t="s">
        <v>126</v>
      </c>
      <c r="BK660" t="s">
        <v>126</v>
      </c>
      <c r="BS660" t="s">
        <v>126</v>
      </c>
      <c r="BT660" t="s">
        <v>126</v>
      </c>
      <c r="BU660" t="s">
        <v>126</v>
      </c>
      <c r="BV660" t="s">
        <v>126</v>
      </c>
      <c r="CN660" t="s">
        <v>147</v>
      </c>
      <c r="CP660" t="s">
        <v>383</v>
      </c>
      <c r="CQ660" t="s">
        <v>147</v>
      </c>
    </row>
    <row r="661" spans="1:95" x14ac:dyDescent="0.2">
      <c r="A661" t="s">
        <v>115</v>
      </c>
      <c r="B661" t="s">
        <v>116</v>
      </c>
      <c r="C661">
        <v>210784</v>
      </c>
      <c r="E661" t="s">
        <v>117</v>
      </c>
      <c r="F661">
        <v>368</v>
      </c>
      <c r="G661" t="s">
        <v>141</v>
      </c>
      <c r="H661" t="s">
        <v>142</v>
      </c>
      <c r="I661" t="s">
        <v>279</v>
      </c>
      <c r="J661" t="s">
        <v>280</v>
      </c>
      <c r="L661" s="14">
        <v>45720</v>
      </c>
      <c r="M661" s="18">
        <f t="shared" si="13"/>
        <v>45717</v>
      </c>
      <c r="N661">
        <v>5676176</v>
      </c>
      <c r="O661" t="s">
        <v>123</v>
      </c>
      <c r="P661" t="s">
        <v>146</v>
      </c>
      <c r="Q661">
        <v>2.21</v>
      </c>
      <c r="R661" t="s">
        <v>125</v>
      </c>
      <c r="S661" t="s">
        <v>126</v>
      </c>
      <c r="T661" t="s">
        <v>125</v>
      </c>
      <c r="U661" t="s">
        <v>126</v>
      </c>
      <c r="W661">
        <v>2.21</v>
      </c>
      <c r="Y661">
        <v>2.21</v>
      </c>
      <c r="AS661">
        <v>2.21</v>
      </c>
      <c r="BH661" t="s">
        <v>126</v>
      </c>
      <c r="BI661" t="s">
        <v>126</v>
      </c>
      <c r="BJ661" t="s">
        <v>126</v>
      </c>
      <c r="BK661" t="s">
        <v>126</v>
      </c>
      <c r="BS661" t="s">
        <v>126</v>
      </c>
      <c r="BT661" t="s">
        <v>126</v>
      </c>
      <c r="BU661" t="s">
        <v>126</v>
      </c>
      <c r="BV661" t="s">
        <v>126</v>
      </c>
      <c r="CN661" t="s">
        <v>147</v>
      </c>
      <c r="CP661" t="s">
        <v>383</v>
      </c>
      <c r="CQ661" t="s">
        <v>147</v>
      </c>
    </row>
    <row r="662" spans="1:95" x14ac:dyDescent="0.2">
      <c r="A662" t="s">
        <v>115</v>
      </c>
      <c r="B662" t="s">
        <v>116</v>
      </c>
      <c r="C662">
        <v>210784</v>
      </c>
      <c r="E662" t="s">
        <v>117</v>
      </c>
      <c r="F662">
        <v>368</v>
      </c>
      <c r="G662" t="s">
        <v>141</v>
      </c>
      <c r="H662" t="s">
        <v>142</v>
      </c>
      <c r="I662" t="s">
        <v>279</v>
      </c>
      <c r="J662" t="s">
        <v>280</v>
      </c>
      <c r="L662" s="14">
        <v>45720</v>
      </c>
      <c r="M662" s="18">
        <f t="shared" si="13"/>
        <v>45717</v>
      </c>
      <c r="N662">
        <v>5676759</v>
      </c>
      <c r="O662" t="s">
        <v>123</v>
      </c>
      <c r="P662" t="s">
        <v>146</v>
      </c>
      <c r="Q662">
        <v>5.09</v>
      </c>
      <c r="R662" t="s">
        <v>125</v>
      </c>
      <c r="S662" t="s">
        <v>126</v>
      </c>
      <c r="T662" t="s">
        <v>125</v>
      </c>
      <c r="U662" t="s">
        <v>126</v>
      </c>
      <c r="W662">
        <v>5.09</v>
      </c>
      <c r="Y662">
        <v>5.09</v>
      </c>
      <c r="AS662">
        <v>5.09</v>
      </c>
      <c r="BH662" t="s">
        <v>126</v>
      </c>
      <c r="BI662" t="s">
        <v>126</v>
      </c>
      <c r="BJ662" t="s">
        <v>126</v>
      </c>
      <c r="BK662" t="s">
        <v>126</v>
      </c>
      <c r="BS662" t="s">
        <v>126</v>
      </c>
      <c r="BT662" t="s">
        <v>126</v>
      </c>
      <c r="BU662" t="s">
        <v>126</v>
      </c>
      <c r="BV662" t="s">
        <v>126</v>
      </c>
      <c r="CN662" t="s">
        <v>147</v>
      </c>
      <c r="CP662" t="s">
        <v>383</v>
      </c>
      <c r="CQ662" t="s">
        <v>147</v>
      </c>
    </row>
    <row r="663" spans="1:95" x14ac:dyDescent="0.2">
      <c r="A663" t="s">
        <v>115</v>
      </c>
      <c r="B663" t="s">
        <v>116</v>
      </c>
      <c r="C663">
        <v>210784</v>
      </c>
      <c r="E663" t="s">
        <v>117</v>
      </c>
      <c r="F663">
        <v>368</v>
      </c>
      <c r="G663" t="s">
        <v>141</v>
      </c>
      <c r="H663" t="s">
        <v>142</v>
      </c>
      <c r="I663" t="s">
        <v>279</v>
      </c>
      <c r="J663" t="s">
        <v>280</v>
      </c>
      <c r="L663" s="14">
        <v>45720</v>
      </c>
      <c r="M663" s="18">
        <f t="shared" si="13"/>
        <v>45717</v>
      </c>
      <c r="N663">
        <v>5676681</v>
      </c>
      <c r="O663" t="s">
        <v>123</v>
      </c>
      <c r="P663" t="s">
        <v>146</v>
      </c>
      <c r="Q663">
        <v>0.8</v>
      </c>
      <c r="R663" t="s">
        <v>125</v>
      </c>
      <c r="S663" t="s">
        <v>126</v>
      </c>
      <c r="T663" t="s">
        <v>125</v>
      </c>
      <c r="U663" t="s">
        <v>126</v>
      </c>
      <c r="W663">
        <v>0.8</v>
      </c>
      <c r="Y663">
        <v>0.8</v>
      </c>
      <c r="BE663">
        <v>0.8</v>
      </c>
      <c r="BH663" t="s">
        <v>126</v>
      </c>
      <c r="BI663" t="s">
        <v>126</v>
      </c>
      <c r="BJ663" t="s">
        <v>126</v>
      </c>
      <c r="BK663" t="s">
        <v>126</v>
      </c>
      <c r="BS663" t="s">
        <v>126</v>
      </c>
      <c r="BT663" t="s">
        <v>126</v>
      </c>
      <c r="BU663" t="s">
        <v>126</v>
      </c>
      <c r="BV663" t="s">
        <v>126</v>
      </c>
      <c r="CN663" t="s">
        <v>147</v>
      </c>
      <c r="CP663" t="s">
        <v>383</v>
      </c>
      <c r="CQ663" t="s">
        <v>147</v>
      </c>
    </row>
    <row r="664" spans="1:95" x14ac:dyDescent="0.2">
      <c r="A664" t="s">
        <v>115</v>
      </c>
      <c r="B664" t="s">
        <v>116</v>
      </c>
      <c r="C664">
        <v>210784</v>
      </c>
      <c r="E664" t="s">
        <v>117</v>
      </c>
      <c r="F664">
        <v>368</v>
      </c>
      <c r="G664" t="s">
        <v>141</v>
      </c>
      <c r="H664" t="s">
        <v>142</v>
      </c>
      <c r="I664" t="s">
        <v>279</v>
      </c>
      <c r="J664" t="s">
        <v>280</v>
      </c>
      <c r="L664" s="14">
        <v>45721</v>
      </c>
      <c r="M664" s="18">
        <f t="shared" si="13"/>
        <v>45717</v>
      </c>
      <c r="N664">
        <v>5676919</v>
      </c>
      <c r="O664" t="s">
        <v>123</v>
      </c>
      <c r="P664" t="s">
        <v>146</v>
      </c>
      <c r="Q664">
        <v>2.44</v>
      </c>
      <c r="R664" t="s">
        <v>125</v>
      </c>
      <c r="S664" t="s">
        <v>126</v>
      </c>
      <c r="T664" t="s">
        <v>125</v>
      </c>
      <c r="U664" t="s">
        <v>126</v>
      </c>
      <c r="W664">
        <v>2.44</v>
      </c>
      <c r="Y664">
        <v>2.44</v>
      </c>
      <c r="BE664">
        <v>2.44</v>
      </c>
      <c r="BH664" t="s">
        <v>126</v>
      </c>
      <c r="BI664" t="s">
        <v>126</v>
      </c>
      <c r="BJ664" t="s">
        <v>126</v>
      </c>
      <c r="BK664" t="s">
        <v>126</v>
      </c>
      <c r="BS664" t="s">
        <v>126</v>
      </c>
      <c r="BT664" t="s">
        <v>126</v>
      </c>
      <c r="BU664" t="s">
        <v>126</v>
      </c>
      <c r="BV664" t="s">
        <v>126</v>
      </c>
      <c r="CN664" t="s">
        <v>147</v>
      </c>
      <c r="CP664" t="s">
        <v>383</v>
      </c>
      <c r="CQ664" t="s">
        <v>147</v>
      </c>
    </row>
    <row r="665" spans="1:95" x14ac:dyDescent="0.2">
      <c r="A665" t="s">
        <v>115</v>
      </c>
      <c r="B665" t="s">
        <v>116</v>
      </c>
      <c r="C665">
        <v>210784</v>
      </c>
      <c r="E665" t="s">
        <v>117</v>
      </c>
      <c r="F665">
        <v>368</v>
      </c>
      <c r="G665" t="s">
        <v>141</v>
      </c>
      <c r="H665" t="s">
        <v>142</v>
      </c>
      <c r="I665" t="s">
        <v>279</v>
      </c>
      <c r="J665" t="s">
        <v>280</v>
      </c>
      <c r="L665" s="14">
        <v>45721</v>
      </c>
      <c r="M665" s="18">
        <f t="shared" si="13"/>
        <v>45717</v>
      </c>
      <c r="N665">
        <v>5677314</v>
      </c>
      <c r="O665" t="s">
        <v>123</v>
      </c>
      <c r="P665" t="s">
        <v>146</v>
      </c>
      <c r="Q665">
        <v>1.62</v>
      </c>
      <c r="R665" t="s">
        <v>125</v>
      </c>
      <c r="S665" t="s">
        <v>126</v>
      </c>
      <c r="T665" t="s">
        <v>125</v>
      </c>
      <c r="U665" t="s">
        <v>126</v>
      </c>
      <c r="W665">
        <v>1.62</v>
      </c>
      <c r="Y665">
        <v>1.62</v>
      </c>
      <c r="BE665">
        <v>1.62</v>
      </c>
      <c r="BH665" t="s">
        <v>126</v>
      </c>
      <c r="BI665" t="s">
        <v>126</v>
      </c>
      <c r="BJ665" t="s">
        <v>126</v>
      </c>
      <c r="BK665" t="s">
        <v>126</v>
      </c>
      <c r="BS665" t="s">
        <v>126</v>
      </c>
      <c r="BT665" t="s">
        <v>126</v>
      </c>
      <c r="BU665" t="s">
        <v>126</v>
      </c>
      <c r="BV665" t="s">
        <v>126</v>
      </c>
      <c r="CN665" t="s">
        <v>147</v>
      </c>
      <c r="CP665" t="s">
        <v>383</v>
      </c>
      <c r="CQ665" t="s">
        <v>147</v>
      </c>
    </row>
    <row r="666" spans="1:95" x14ac:dyDescent="0.2">
      <c r="A666" t="s">
        <v>115</v>
      </c>
      <c r="B666" t="s">
        <v>116</v>
      </c>
      <c r="C666">
        <v>210784</v>
      </c>
      <c r="E666" t="s">
        <v>117</v>
      </c>
      <c r="F666">
        <v>368</v>
      </c>
      <c r="G666" t="s">
        <v>141</v>
      </c>
      <c r="H666" t="s">
        <v>142</v>
      </c>
      <c r="I666" t="s">
        <v>279</v>
      </c>
      <c r="J666" t="s">
        <v>280</v>
      </c>
      <c r="L666" s="14">
        <v>45722</v>
      </c>
      <c r="M666" s="18">
        <f t="shared" si="13"/>
        <v>45717</v>
      </c>
      <c r="N666">
        <v>5677964</v>
      </c>
      <c r="O666" t="s">
        <v>123</v>
      </c>
      <c r="P666" t="s">
        <v>146</v>
      </c>
      <c r="Q666">
        <v>2.58</v>
      </c>
      <c r="R666" t="s">
        <v>125</v>
      </c>
      <c r="S666" t="s">
        <v>126</v>
      </c>
      <c r="T666" t="s">
        <v>125</v>
      </c>
      <c r="U666" t="s">
        <v>126</v>
      </c>
      <c r="W666">
        <v>2.58</v>
      </c>
      <c r="Y666">
        <v>2.58</v>
      </c>
      <c r="AS666">
        <v>2.58</v>
      </c>
      <c r="BH666" t="s">
        <v>126</v>
      </c>
      <c r="BI666" t="s">
        <v>126</v>
      </c>
      <c r="BJ666" t="s">
        <v>126</v>
      </c>
      <c r="BK666" t="s">
        <v>126</v>
      </c>
      <c r="BS666" t="s">
        <v>126</v>
      </c>
      <c r="BT666" t="s">
        <v>126</v>
      </c>
      <c r="BU666" t="s">
        <v>126</v>
      </c>
      <c r="BV666" t="s">
        <v>126</v>
      </c>
      <c r="CN666" t="s">
        <v>147</v>
      </c>
      <c r="CP666" t="s">
        <v>383</v>
      </c>
      <c r="CQ666" t="s">
        <v>147</v>
      </c>
    </row>
    <row r="667" spans="1:95" x14ac:dyDescent="0.2">
      <c r="A667" t="s">
        <v>115</v>
      </c>
      <c r="B667" t="s">
        <v>116</v>
      </c>
      <c r="C667">
        <v>210784</v>
      </c>
      <c r="E667" t="s">
        <v>117</v>
      </c>
      <c r="F667">
        <v>368</v>
      </c>
      <c r="G667" t="s">
        <v>141</v>
      </c>
      <c r="H667" t="s">
        <v>142</v>
      </c>
      <c r="I667" t="s">
        <v>279</v>
      </c>
      <c r="J667" t="s">
        <v>280</v>
      </c>
      <c r="L667" s="14">
        <v>45722</v>
      </c>
      <c r="M667" s="18">
        <f t="shared" si="13"/>
        <v>45717</v>
      </c>
      <c r="N667">
        <v>5678202</v>
      </c>
      <c r="O667" t="s">
        <v>123</v>
      </c>
      <c r="P667" t="s">
        <v>146</v>
      </c>
      <c r="Q667">
        <v>5.41</v>
      </c>
      <c r="R667" t="s">
        <v>125</v>
      </c>
      <c r="S667" t="s">
        <v>126</v>
      </c>
      <c r="T667" t="s">
        <v>125</v>
      </c>
      <c r="U667" t="s">
        <v>126</v>
      </c>
      <c r="W667">
        <v>5.41</v>
      </c>
      <c r="Y667">
        <v>5.41</v>
      </c>
      <c r="AS667">
        <v>5.41</v>
      </c>
      <c r="BH667" t="s">
        <v>126</v>
      </c>
      <c r="BI667" t="s">
        <v>126</v>
      </c>
      <c r="BJ667" t="s">
        <v>126</v>
      </c>
      <c r="BK667" t="s">
        <v>126</v>
      </c>
      <c r="BS667" t="s">
        <v>126</v>
      </c>
      <c r="BT667" t="s">
        <v>126</v>
      </c>
      <c r="BU667" t="s">
        <v>126</v>
      </c>
      <c r="BV667" t="s">
        <v>126</v>
      </c>
      <c r="CN667" t="s">
        <v>147</v>
      </c>
      <c r="CP667" t="s">
        <v>383</v>
      </c>
      <c r="CQ667" t="s">
        <v>147</v>
      </c>
    </row>
    <row r="668" spans="1:95" x14ac:dyDescent="0.2">
      <c r="A668" t="s">
        <v>115</v>
      </c>
      <c r="B668" t="s">
        <v>116</v>
      </c>
      <c r="C668">
        <v>210784</v>
      </c>
      <c r="E668" t="s">
        <v>117</v>
      </c>
      <c r="F668">
        <v>368</v>
      </c>
      <c r="G668" t="s">
        <v>141</v>
      </c>
      <c r="H668" t="s">
        <v>142</v>
      </c>
      <c r="I668" t="s">
        <v>279</v>
      </c>
      <c r="J668" t="s">
        <v>280</v>
      </c>
      <c r="L668" s="14">
        <v>45722</v>
      </c>
      <c r="M668" s="18">
        <f t="shared" si="13"/>
        <v>45717</v>
      </c>
      <c r="N668">
        <v>5677793</v>
      </c>
      <c r="O668" t="s">
        <v>123</v>
      </c>
      <c r="P668" t="s">
        <v>146</v>
      </c>
      <c r="Q668">
        <v>0.69</v>
      </c>
      <c r="R668" t="s">
        <v>677</v>
      </c>
      <c r="S668" t="s">
        <v>126</v>
      </c>
      <c r="T668" t="s">
        <v>677</v>
      </c>
      <c r="U668" t="s">
        <v>678</v>
      </c>
      <c r="W668">
        <v>0.21</v>
      </c>
      <c r="X668">
        <v>0.48</v>
      </c>
      <c r="Y668">
        <v>0.69</v>
      </c>
      <c r="Z668">
        <v>0.27</v>
      </c>
      <c r="AG668">
        <v>0.21</v>
      </c>
      <c r="AI668">
        <v>0.21</v>
      </c>
      <c r="BH668" t="s">
        <v>126</v>
      </c>
      <c r="BI668" t="s">
        <v>126</v>
      </c>
      <c r="BJ668" t="s">
        <v>126</v>
      </c>
      <c r="BK668" t="s">
        <v>126</v>
      </c>
      <c r="BS668" t="s">
        <v>126</v>
      </c>
      <c r="BT668" t="s">
        <v>126</v>
      </c>
      <c r="BU668" t="s">
        <v>126</v>
      </c>
      <c r="BV668" t="s">
        <v>126</v>
      </c>
      <c r="CN668" t="s">
        <v>147</v>
      </c>
      <c r="CP668" t="s">
        <v>383</v>
      </c>
      <c r="CQ668" t="s">
        <v>147</v>
      </c>
    </row>
    <row r="669" spans="1:95" x14ac:dyDescent="0.2">
      <c r="A669" t="s">
        <v>115</v>
      </c>
      <c r="B669" t="s">
        <v>116</v>
      </c>
      <c r="C669">
        <v>210784</v>
      </c>
      <c r="E669" t="s">
        <v>117</v>
      </c>
      <c r="F669">
        <v>368</v>
      </c>
      <c r="G669" t="s">
        <v>141</v>
      </c>
      <c r="H669" t="s">
        <v>142</v>
      </c>
      <c r="I669" t="s">
        <v>279</v>
      </c>
      <c r="J669" t="s">
        <v>280</v>
      </c>
      <c r="L669" s="14">
        <v>45722</v>
      </c>
      <c r="M669" s="18">
        <f t="shared" si="13"/>
        <v>45717</v>
      </c>
      <c r="N669">
        <v>5677720</v>
      </c>
      <c r="O669" t="s">
        <v>123</v>
      </c>
      <c r="P669" t="s">
        <v>146</v>
      </c>
      <c r="Q669">
        <v>3</v>
      </c>
      <c r="R669" t="s">
        <v>628</v>
      </c>
      <c r="S669" t="s">
        <v>126</v>
      </c>
      <c r="T669" t="s">
        <v>628</v>
      </c>
      <c r="U669" t="s">
        <v>629</v>
      </c>
      <c r="W669">
        <v>0.92</v>
      </c>
      <c r="X669">
        <v>2.08</v>
      </c>
      <c r="Y669">
        <v>3</v>
      </c>
      <c r="Z669">
        <v>1.1499999999999999</v>
      </c>
      <c r="AG669">
        <v>0.92</v>
      </c>
      <c r="AI669">
        <v>0.93</v>
      </c>
      <c r="BH669" t="s">
        <v>126</v>
      </c>
      <c r="BI669" t="s">
        <v>126</v>
      </c>
      <c r="BJ669" t="s">
        <v>126</v>
      </c>
      <c r="BK669" t="s">
        <v>126</v>
      </c>
      <c r="BS669" t="s">
        <v>126</v>
      </c>
      <c r="BT669" t="s">
        <v>126</v>
      </c>
      <c r="BU669" t="s">
        <v>126</v>
      </c>
      <c r="BV669" t="s">
        <v>126</v>
      </c>
      <c r="CN669" t="s">
        <v>147</v>
      </c>
      <c r="CP669" t="s">
        <v>383</v>
      </c>
      <c r="CQ669" t="s">
        <v>147</v>
      </c>
    </row>
    <row r="670" spans="1:95" x14ac:dyDescent="0.2">
      <c r="A670" t="s">
        <v>115</v>
      </c>
      <c r="B670" t="s">
        <v>116</v>
      </c>
      <c r="C670">
        <v>210784</v>
      </c>
      <c r="E670" t="s">
        <v>117</v>
      </c>
      <c r="F670">
        <v>368</v>
      </c>
      <c r="G670" t="s">
        <v>141</v>
      </c>
      <c r="H670" t="s">
        <v>142</v>
      </c>
      <c r="I670" t="s">
        <v>279</v>
      </c>
      <c r="J670" t="s">
        <v>280</v>
      </c>
      <c r="L670" s="14">
        <v>45723</v>
      </c>
      <c r="M670" s="18">
        <f t="shared" si="13"/>
        <v>45717</v>
      </c>
      <c r="N670">
        <v>5679062</v>
      </c>
      <c r="O670" t="s">
        <v>123</v>
      </c>
      <c r="P670" t="s">
        <v>146</v>
      </c>
      <c r="Q670">
        <v>5.0199999999999996</v>
      </c>
      <c r="R670" t="s">
        <v>125</v>
      </c>
      <c r="S670" t="s">
        <v>126</v>
      </c>
      <c r="T670" t="s">
        <v>125</v>
      </c>
      <c r="U670" t="s">
        <v>126</v>
      </c>
      <c r="W670">
        <v>5.0199999999999996</v>
      </c>
      <c r="Y670">
        <v>5.0199999999999996</v>
      </c>
      <c r="AS670">
        <v>5.0199999999999996</v>
      </c>
      <c r="BH670" t="s">
        <v>126</v>
      </c>
      <c r="BI670" t="s">
        <v>126</v>
      </c>
      <c r="BJ670" t="s">
        <v>126</v>
      </c>
      <c r="BK670" t="s">
        <v>126</v>
      </c>
      <c r="BS670" t="s">
        <v>126</v>
      </c>
      <c r="BT670" t="s">
        <v>126</v>
      </c>
      <c r="BU670" t="s">
        <v>126</v>
      </c>
      <c r="BV670" t="s">
        <v>126</v>
      </c>
      <c r="CN670" t="s">
        <v>147</v>
      </c>
      <c r="CP670" t="s">
        <v>383</v>
      </c>
      <c r="CQ670" t="s">
        <v>147</v>
      </c>
    </row>
    <row r="671" spans="1:95" x14ac:dyDescent="0.2">
      <c r="A671" t="s">
        <v>115</v>
      </c>
      <c r="B671" t="s">
        <v>116</v>
      </c>
      <c r="C671">
        <v>210784</v>
      </c>
      <c r="E671" t="s">
        <v>117</v>
      </c>
      <c r="F671">
        <v>368</v>
      </c>
      <c r="G671" t="s">
        <v>141</v>
      </c>
      <c r="H671" t="s">
        <v>142</v>
      </c>
      <c r="I671" t="s">
        <v>279</v>
      </c>
      <c r="J671" t="s">
        <v>280</v>
      </c>
      <c r="L671" s="14">
        <v>45723</v>
      </c>
      <c r="M671" s="18">
        <f t="shared" si="13"/>
        <v>45717</v>
      </c>
      <c r="N671">
        <v>5678758</v>
      </c>
      <c r="O671" t="s">
        <v>123</v>
      </c>
      <c r="P671" t="s">
        <v>146</v>
      </c>
      <c r="Q671">
        <v>2.4500000000000002</v>
      </c>
      <c r="R671" t="s">
        <v>679</v>
      </c>
      <c r="S671" t="s">
        <v>126</v>
      </c>
      <c r="T671" t="s">
        <v>679</v>
      </c>
      <c r="U671" t="s">
        <v>680</v>
      </c>
      <c r="W671">
        <v>0.76</v>
      </c>
      <c r="X671">
        <v>1.69</v>
      </c>
      <c r="Y671">
        <v>2.4500000000000002</v>
      </c>
      <c r="Z671">
        <v>0.93</v>
      </c>
      <c r="AG671">
        <v>0.76</v>
      </c>
      <c r="AI671">
        <v>0.76</v>
      </c>
      <c r="BH671" t="s">
        <v>126</v>
      </c>
      <c r="BI671" t="s">
        <v>126</v>
      </c>
      <c r="BJ671" t="s">
        <v>126</v>
      </c>
      <c r="BK671" t="s">
        <v>126</v>
      </c>
      <c r="BS671" t="s">
        <v>126</v>
      </c>
      <c r="BT671" t="s">
        <v>126</v>
      </c>
      <c r="BU671" t="s">
        <v>126</v>
      </c>
      <c r="BV671" t="s">
        <v>126</v>
      </c>
      <c r="CN671" t="s">
        <v>147</v>
      </c>
      <c r="CP671" t="s">
        <v>383</v>
      </c>
      <c r="CQ671" t="s">
        <v>147</v>
      </c>
    </row>
    <row r="672" spans="1:95" x14ac:dyDescent="0.2">
      <c r="A672" t="s">
        <v>115</v>
      </c>
      <c r="B672" t="s">
        <v>116</v>
      </c>
      <c r="C672">
        <v>210784</v>
      </c>
      <c r="E672" t="s">
        <v>117</v>
      </c>
      <c r="F672">
        <v>368</v>
      </c>
      <c r="G672" t="s">
        <v>141</v>
      </c>
      <c r="H672" t="s">
        <v>142</v>
      </c>
      <c r="I672" t="s">
        <v>279</v>
      </c>
      <c r="J672" t="s">
        <v>280</v>
      </c>
      <c r="L672" s="14">
        <v>45726</v>
      </c>
      <c r="M672" s="18">
        <f t="shared" si="13"/>
        <v>45717</v>
      </c>
      <c r="N672">
        <v>5679618</v>
      </c>
      <c r="O672" t="s">
        <v>123</v>
      </c>
      <c r="P672" t="s">
        <v>146</v>
      </c>
      <c r="Q672">
        <v>2.4</v>
      </c>
      <c r="R672" t="s">
        <v>125</v>
      </c>
      <c r="S672" t="s">
        <v>126</v>
      </c>
      <c r="T672" t="s">
        <v>125</v>
      </c>
      <c r="U672" t="s">
        <v>126</v>
      </c>
      <c r="W672">
        <v>2.4</v>
      </c>
      <c r="Y672">
        <v>2.4</v>
      </c>
      <c r="AS672">
        <v>2.4</v>
      </c>
      <c r="BH672" t="s">
        <v>126</v>
      </c>
      <c r="BI672" t="s">
        <v>126</v>
      </c>
      <c r="BJ672" t="s">
        <v>126</v>
      </c>
      <c r="BK672" t="s">
        <v>126</v>
      </c>
      <c r="BS672" t="s">
        <v>126</v>
      </c>
      <c r="BT672" t="s">
        <v>126</v>
      </c>
      <c r="BU672" t="s">
        <v>126</v>
      </c>
      <c r="BV672" t="s">
        <v>126</v>
      </c>
      <c r="CN672" t="s">
        <v>147</v>
      </c>
      <c r="CP672" t="s">
        <v>383</v>
      </c>
      <c r="CQ672" t="s">
        <v>147</v>
      </c>
    </row>
    <row r="673" spans="1:95" x14ac:dyDescent="0.2">
      <c r="A673" t="s">
        <v>115</v>
      </c>
      <c r="B673" t="s">
        <v>116</v>
      </c>
      <c r="C673">
        <v>210784</v>
      </c>
      <c r="E673" t="s">
        <v>117</v>
      </c>
      <c r="F673">
        <v>368</v>
      </c>
      <c r="G673" t="s">
        <v>141</v>
      </c>
      <c r="H673" t="s">
        <v>142</v>
      </c>
      <c r="I673" t="s">
        <v>279</v>
      </c>
      <c r="J673" t="s">
        <v>280</v>
      </c>
      <c r="L673" s="14">
        <v>45726</v>
      </c>
      <c r="M673" s="18">
        <f t="shared" si="13"/>
        <v>45717</v>
      </c>
      <c r="N673">
        <v>5679800</v>
      </c>
      <c r="O673" t="s">
        <v>123</v>
      </c>
      <c r="P673" t="s">
        <v>146</v>
      </c>
      <c r="Q673">
        <v>1.04</v>
      </c>
      <c r="R673" t="s">
        <v>569</v>
      </c>
      <c r="S673" t="s">
        <v>126</v>
      </c>
      <c r="T673" t="s">
        <v>569</v>
      </c>
      <c r="U673" t="s">
        <v>570</v>
      </c>
      <c r="W673">
        <v>0.32</v>
      </c>
      <c r="X673">
        <v>0.72</v>
      </c>
      <c r="Y673">
        <v>1.04</v>
      </c>
      <c r="Z673">
        <v>0.4</v>
      </c>
      <c r="AG673">
        <v>0.32</v>
      </c>
      <c r="AI673">
        <v>0.32</v>
      </c>
      <c r="BH673" t="s">
        <v>126</v>
      </c>
      <c r="BI673" t="s">
        <v>126</v>
      </c>
      <c r="BJ673" t="s">
        <v>126</v>
      </c>
      <c r="BK673" t="s">
        <v>126</v>
      </c>
      <c r="BS673" t="s">
        <v>126</v>
      </c>
      <c r="BT673" t="s">
        <v>126</v>
      </c>
      <c r="BU673" t="s">
        <v>126</v>
      </c>
      <c r="BV673" t="s">
        <v>126</v>
      </c>
      <c r="CN673" t="s">
        <v>147</v>
      </c>
      <c r="CP673" t="s">
        <v>383</v>
      </c>
      <c r="CQ673" t="s">
        <v>147</v>
      </c>
    </row>
    <row r="674" spans="1:95" x14ac:dyDescent="0.2">
      <c r="A674" t="s">
        <v>115</v>
      </c>
      <c r="B674" t="s">
        <v>116</v>
      </c>
      <c r="C674">
        <v>210784</v>
      </c>
      <c r="E674" t="s">
        <v>117</v>
      </c>
      <c r="F674">
        <v>368</v>
      </c>
      <c r="G674" t="s">
        <v>141</v>
      </c>
      <c r="H674" t="s">
        <v>142</v>
      </c>
      <c r="I674" t="s">
        <v>279</v>
      </c>
      <c r="J674" t="s">
        <v>280</v>
      </c>
      <c r="L674" s="14">
        <v>45727</v>
      </c>
      <c r="M674" s="18">
        <f t="shared" si="13"/>
        <v>45717</v>
      </c>
      <c r="N674">
        <v>5680942</v>
      </c>
      <c r="O674" t="s">
        <v>123</v>
      </c>
      <c r="P674" t="s">
        <v>146</v>
      </c>
      <c r="Q674">
        <v>5.91</v>
      </c>
      <c r="R674" t="s">
        <v>125</v>
      </c>
      <c r="S674" t="s">
        <v>126</v>
      </c>
      <c r="T674" t="s">
        <v>125</v>
      </c>
      <c r="U674" t="s">
        <v>126</v>
      </c>
      <c r="W674">
        <v>5.91</v>
      </c>
      <c r="Y674">
        <v>5.91</v>
      </c>
      <c r="AS674">
        <v>5.91</v>
      </c>
      <c r="BH674" t="s">
        <v>126</v>
      </c>
      <c r="BI674" t="s">
        <v>126</v>
      </c>
      <c r="BJ674" t="s">
        <v>126</v>
      </c>
      <c r="BK674" t="s">
        <v>126</v>
      </c>
      <c r="BS674" t="s">
        <v>126</v>
      </c>
      <c r="BT674" t="s">
        <v>126</v>
      </c>
      <c r="BU674" t="s">
        <v>126</v>
      </c>
      <c r="BV674" t="s">
        <v>126</v>
      </c>
      <c r="CN674" t="s">
        <v>147</v>
      </c>
      <c r="CP674" t="s">
        <v>383</v>
      </c>
      <c r="CQ674" t="s">
        <v>147</v>
      </c>
    </row>
    <row r="675" spans="1:95" x14ac:dyDescent="0.2">
      <c r="A675" t="s">
        <v>115</v>
      </c>
      <c r="B675" t="s">
        <v>116</v>
      </c>
      <c r="C675">
        <v>210784</v>
      </c>
      <c r="E675" t="s">
        <v>117</v>
      </c>
      <c r="F675">
        <v>368</v>
      </c>
      <c r="G675" t="s">
        <v>141</v>
      </c>
      <c r="H675" t="s">
        <v>142</v>
      </c>
      <c r="I675" t="s">
        <v>279</v>
      </c>
      <c r="J675" t="s">
        <v>280</v>
      </c>
      <c r="L675" s="14">
        <v>45728</v>
      </c>
      <c r="M675" s="18">
        <f t="shared" si="13"/>
        <v>45717</v>
      </c>
      <c r="N675">
        <v>5681692</v>
      </c>
      <c r="O675" t="s">
        <v>123</v>
      </c>
      <c r="P675" t="s">
        <v>146</v>
      </c>
      <c r="Q675">
        <v>3.21</v>
      </c>
      <c r="R675" t="s">
        <v>125</v>
      </c>
      <c r="S675" t="s">
        <v>126</v>
      </c>
      <c r="T675" t="s">
        <v>125</v>
      </c>
      <c r="U675" t="s">
        <v>126</v>
      </c>
      <c r="W675">
        <v>3.21</v>
      </c>
      <c r="Y675">
        <v>3.21</v>
      </c>
      <c r="AS675">
        <v>3.21</v>
      </c>
      <c r="BH675" t="s">
        <v>126</v>
      </c>
      <c r="BI675" t="s">
        <v>126</v>
      </c>
      <c r="BJ675" t="s">
        <v>126</v>
      </c>
      <c r="BK675" t="s">
        <v>126</v>
      </c>
      <c r="BS675" t="s">
        <v>126</v>
      </c>
      <c r="BT675" t="s">
        <v>126</v>
      </c>
      <c r="BU675" t="s">
        <v>126</v>
      </c>
      <c r="BV675" t="s">
        <v>126</v>
      </c>
      <c r="CN675" t="s">
        <v>147</v>
      </c>
      <c r="CP675" t="s">
        <v>383</v>
      </c>
      <c r="CQ675" t="s">
        <v>147</v>
      </c>
    </row>
    <row r="676" spans="1:95" x14ac:dyDescent="0.2">
      <c r="A676" t="s">
        <v>115</v>
      </c>
      <c r="B676" t="s">
        <v>116</v>
      </c>
      <c r="C676">
        <v>210784</v>
      </c>
      <c r="E676" t="s">
        <v>117</v>
      </c>
      <c r="F676">
        <v>368</v>
      </c>
      <c r="G676" t="s">
        <v>141</v>
      </c>
      <c r="H676" t="s">
        <v>142</v>
      </c>
      <c r="I676" t="s">
        <v>279</v>
      </c>
      <c r="J676" t="s">
        <v>280</v>
      </c>
      <c r="L676" s="14">
        <v>45728</v>
      </c>
      <c r="M676" s="18">
        <f t="shared" si="13"/>
        <v>45717</v>
      </c>
      <c r="N676">
        <v>5681113</v>
      </c>
      <c r="O676" t="s">
        <v>123</v>
      </c>
      <c r="P676" t="s">
        <v>146</v>
      </c>
      <c r="Q676">
        <v>3.8299999999999996</v>
      </c>
      <c r="R676" t="s">
        <v>610</v>
      </c>
      <c r="S676" t="s">
        <v>126</v>
      </c>
      <c r="T676" t="s">
        <v>610</v>
      </c>
      <c r="U676" t="s">
        <v>611</v>
      </c>
      <c r="W676">
        <v>1.18</v>
      </c>
      <c r="X676">
        <v>2.65</v>
      </c>
      <c r="Y676">
        <v>3.8299999999999996</v>
      </c>
      <c r="Z676">
        <v>1.46</v>
      </c>
      <c r="AG676">
        <v>1.18</v>
      </c>
      <c r="AI676">
        <v>1.19</v>
      </c>
      <c r="BH676" t="s">
        <v>126</v>
      </c>
      <c r="BI676" t="s">
        <v>126</v>
      </c>
      <c r="BJ676" t="s">
        <v>126</v>
      </c>
      <c r="BK676" t="s">
        <v>126</v>
      </c>
      <c r="BS676" t="s">
        <v>126</v>
      </c>
      <c r="BT676" t="s">
        <v>126</v>
      </c>
      <c r="BU676" t="s">
        <v>126</v>
      </c>
      <c r="BV676" t="s">
        <v>126</v>
      </c>
      <c r="CN676" t="s">
        <v>147</v>
      </c>
      <c r="CP676" t="s">
        <v>383</v>
      </c>
      <c r="CQ676" t="s">
        <v>147</v>
      </c>
    </row>
    <row r="677" spans="1:95" x14ac:dyDescent="0.2">
      <c r="A677" t="s">
        <v>115</v>
      </c>
      <c r="B677" t="s">
        <v>116</v>
      </c>
      <c r="C677">
        <v>210784</v>
      </c>
      <c r="E677" t="s">
        <v>117</v>
      </c>
      <c r="F677">
        <v>368</v>
      </c>
      <c r="G677" t="s">
        <v>141</v>
      </c>
      <c r="H677" t="s">
        <v>142</v>
      </c>
      <c r="I677" t="s">
        <v>279</v>
      </c>
      <c r="J677" t="s">
        <v>280</v>
      </c>
      <c r="L677" s="14">
        <v>45729</v>
      </c>
      <c r="M677" s="18">
        <f t="shared" si="13"/>
        <v>45717</v>
      </c>
      <c r="N677">
        <v>5682397</v>
      </c>
      <c r="O677" t="s">
        <v>123</v>
      </c>
      <c r="P677" t="s">
        <v>146</v>
      </c>
      <c r="Q677">
        <v>4.55</v>
      </c>
      <c r="R677" t="s">
        <v>125</v>
      </c>
      <c r="S677" t="s">
        <v>126</v>
      </c>
      <c r="T677" t="s">
        <v>125</v>
      </c>
      <c r="U677" t="s">
        <v>126</v>
      </c>
      <c r="W677">
        <v>4.55</v>
      </c>
      <c r="Y677">
        <v>4.55</v>
      </c>
      <c r="AS677">
        <v>4.55</v>
      </c>
      <c r="BH677" t="s">
        <v>126</v>
      </c>
      <c r="BI677" t="s">
        <v>126</v>
      </c>
      <c r="BJ677" t="s">
        <v>126</v>
      </c>
      <c r="BK677" t="s">
        <v>126</v>
      </c>
      <c r="BS677" t="s">
        <v>126</v>
      </c>
      <c r="BT677" t="s">
        <v>126</v>
      </c>
      <c r="BU677" t="s">
        <v>126</v>
      </c>
      <c r="BV677" t="s">
        <v>126</v>
      </c>
      <c r="CN677" t="s">
        <v>147</v>
      </c>
      <c r="CP677" t="s">
        <v>383</v>
      </c>
      <c r="CQ677" t="s">
        <v>147</v>
      </c>
    </row>
    <row r="678" spans="1:95" x14ac:dyDescent="0.2">
      <c r="A678" t="s">
        <v>115</v>
      </c>
      <c r="B678" t="s">
        <v>116</v>
      </c>
      <c r="C678">
        <v>210784</v>
      </c>
      <c r="E678" t="s">
        <v>117</v>
      </c>
      <c r="F678">
        <v>368</v>
      </c>
      <c r="G678" t="s">
        <v>141</v>
      </c>
      <c r="H678" t="s">
        <v>142</v>
      </c>
      <c r="I678" t="s">
        <v>279</v>
      </c>
      <c r="J678" t="s">
        <v>280</v>
      </c>
      <c r="L678" s="14">
        <v>45729</v>
      </c>
      <c r="M678" s="18">
        <f t="shared" si="13"/>
        <v>45717</v>
      </c>
      <c r="N678">
        <v>5682284</v>
      </c>
      <c r="O678" t="s">
        <v>123</v>
      </c>
      <c r="P678" t="s">
        <v>146</v>
      </c>
      <c r="Q678">
        <v>2.62</v>
      </c>
      <c r="R678" t="s">
        <v>125</v>
      </c>
      <c r="S678" t="s">
        <v>126</v>
      </c>
      <c r="T678" t="s">
        <v>125</v>
      </c>
      <c r="U678" t="s">
        <v>126</v>
      </c>
      <c r="W678">
        <v>2.62</v>
      </c>
      <c r="Y678">
        <v>2.62</v>
      </c>
      <c r="AS678">
        <v>2.62</v>
      </c>
      <c r="BH678" t="s">
        <v>126</v>
      </c>
      <c r="BI678" t="s">
        <v>126</v>
      </c>
      <c r="BJ678" t="s">
        <v>126</v>
      </c>
      <c r="BK678" t="s">
        <v>126</v>
      </c>
      <c r="BS678" t="s">
        <v>126</v>
      </c>
      <c r="BT678" t="s">
        <v>126</v>
      </c>
      <c r="BU678" t="s">
        <v>126</v>
      </c>
      <c r="BV678" t="s">
        <v>126</v>
      </c>
      <c r="CN678" t="s">
        <v>147</v>
      </c>
      <c r="CP678" t="s">
        <v>383</v>
      </c>
      <c r="CQ678" t="s">
        <v>147</v>
      </c>
    </row>
    <row r="679" spans="1:95" x14ac:dyDescent="0.2">
      <c r="A679" t="s">
        <v>115</v>
      </c>
      <c r="B679" t="s">
        <v>116</v>
      </c>
      <c r="C679">
        <v>210784</v>
      </c>
      <c r="E679" t="s">
        <v>117</v>
      </c>
      <c r="F679">
        <v>368</v>
      </c>
      <c r="G679" t="s">
        <v>141</v>
      </c>
      <c r="H679" t="s">
        <v>142</v>
      </c>
      <c r="I679" t="s">
        <v>279</v>
      </c>
      <c r="J679" t="s">
        <v>280</v>
      </c>
      <c r="L679" s="14">
        <v>45729</v>
      </c>
      <c r="M679" s="18">
        <f t="shared" si="13"/>
        <v>45717</v>
      </c>
      <c r="N679">
        <v>5682158</v>
      </c>
      <c r="O679" t="s">
        <v>123</v>
      </c>
      <c r="P679" t="s">
        <v>146</v>
      </c>
      <c r="Q679">
        <v>1.28</v>
      </c>
      <c r="R679" t="s">
        <v>125</v>
      </c>
      <c r="S679" t="s">
        <v>126</v>
      </c>
      <c r="T679" t="s">
        <v>125</v>
      </c>
      <c r="U679" t="s">
        <v>126</v>
      </c>
      <c r="W679">
        <v>1.28</v>
      </c>
      <c r="Y679">
        <v>1.28</v>
      </c>
      <c r="BE679">
        <v>1.28</v>
      </c>
      <c r="BH679" t="s">
        <v>126</v>
      </c>
      <c r="BI679" t="s">
        <v>126</v>
      </c>
      <c r="BJ679" t="s">
        <v>126</v>
      </c>
      <c r="BK679" t="s">
        <v>126</v>
      </c>
      <c r="BS679" t="s">
        <v>126</v>
      </c>
      <c r="BT679" t="s">
        <v>126</v>
      </c>
      <c r="BU679" t="s">
        <v>126</v>
      </c>
      <c r="BV679" t="s">
        <v>126</v>
      </c>
      <c r="CN679" t="s">
        <v>147</v>
      </c>
      <c r="CP679" t="s">
        <v>383</v>
      </c>
      <c r="CQ679" t="s">
        <v>147</v>
      </c>
    </row>
    <row r="680" spans="1:95" x14ac:dyDescent="0.2">
      <c r="A680" t="s">
        <v>115</v>
      </c>
      <c r="B680" t="s">
        <v>116</v>
      </c>
      <c r="C680">
        <v>210784</v>
      </c>
      <c r="E680" t="s">
        <v>117</v>
      </c>
      <c r="F680">
        <v>368</v>
      </c>
      <c r="G680" t="s">
        <v>141</v>
      </c>
      <c r="H680" t="s">
        <v>142</v>
      </c>
      <c r="I680" t="s">
        <v>279</v>
      </c>
      <c r="J680" t="s">
        <v>280</v>
      </c>
      <c r="L680" s="14">
        <v>45730</v>
      </c>
      <c r="M680" s="18">
        <f t="shared" si="13"/>
        <v>45717</v>
      </c>
      <c r="N680">
        <v>5682863</v>
      </c>
      <c r="O680" t="s">
        <v>123</v>
      </c>
      <c r="P680" t="s">
        <v>146</v>
      </c>
      <c r="Q680">
        <v>2.02</v>
      </c>
      <c r="R680" t="s">
        <v>125</v>
      </c>
      <c r="S680" t="s">
        <v>126</v>
      </c>
      <c r="T680" t="s">
        <v>125</v>
      </c>
      <c r="U680" t="s">
        <v>126</v>
      </c>
      <c r="W680">
        <v>2.02</v>
      </c>
      <c r="Y680">
        <v>2.02</v>
      </c>
      <c r="AS680">
        <v>2.02</v>
      </c>
      <c r="BH680" t="s">
        <v>126</v>
      </c>
      <c r="BI680" t="s">
        <v>126</v>
      </c>
      <c r="BJ680" t="s">
        <v>126</v>
      </c>
      <c r="BK680" t="s">
        <v>126</v>
      </c>
      <c r="BS680" t="s">
        <v>126</v>
      </c>
      <c r="BT680" t="s">
        <v>126</v>
      </c>
      <c r="BU680" t="s">
        <v>126</v>
      </c>
      <c r="BV680" t="s">
        <v>126</v>
      </c>
      <c r="CN680" t="s">
        <v>147</v>
      </c>
      <c r="CP680" t="s">
        <v>383</v>
      </c>
      <c r="CQ680" t="s">
        <v>147</v>
      </c>
    </row>
    <row r="681" spans="1:95" x14ac:dyDescent="0.2">
      <c r="A681" t="s">
        <v>115</v>
      </c>
      <c r="B681" t="s">
        <v>116</v>
      </c>
      <c r="C681">
        <v>210784</v>
      </c>
      <c r="E681" t="s">
        <v>117</v>
      </c>
      <c r="F681">
        <v>368</v>
      </c>
      <c r="G681" t="s">
        <v>141</v>
      </c>
      <c r="H681" t="s">
        <v>142</v>
      </c>
      <c r="I681" t="s">
        <v>279</v>
      </c>
      <c r="J681" t="s">
        <v>280</v>
      </c>
      <c r="L681" s="14">
        <v>45730</v>
      </c>
      <c r="M681" s="18">
        <f t="shared" si="13"/>
        <v>45717</v>
      </c>
      <c r="N681">
        <v>5683043</v>
      </c>
      <c r="O681" t="s">
        <v>123</v>
      </c>
      <c r="P681" t="s">
        <v>146</v>
      </c>
      <c r="Q681">
        <v>4.17</v>
      </c>
      <c r="R681" t="s">
        <v>125</v>
      </c>
      <c r="S681" t="s">
        <v>126</v>
      </c>
      <c r="T681" t="s">
        <v>125</v>
      </c>
      <c r="U681" t="s">
        <v>126</v>
      </c>
      <c r="W681">
        <v>4.17</v>
      </c>
      <c r="Y681">
        <v>4.17</v>
      </c>
      <c r="AS681">
        <v>4.17</v>
      </c>
      <c r="BH681" t="s">
        <v>126</v>
      </c>
      <c r="BI681" t="s">
        <v>126</v>
      </c>
      <c r="BJ681" t="s">
        <v>126</v>
      </c>
      <c r="BK681" t="s">
        <v>126</v>
      </c>
      <c r="BS681" t="s">
        <v>126</v>
      </c>
      <c r="BT681" t="s">
        <v>126</v>
      </c>
      <c r="BU681" t="s">
        <v>126</v>
      </c>
      <c r="BV681" t="s">
        <v>126</v>
      </c>
      <c r="CN681" t="s">
        <v>147</v>
      </c>
      <c r="CP681" t="s">
        <v>383</v>
      </c>
      <c r="CQ681" t="s">
        <v>147</v>
      </c>
    </row>
    <row r="682" spans="1:95" x14ac:dyDescent="0.2">
      <c r="A682" t="s">
        <v>115</v>
      </c>
      <c r="B682" t="s">
        <v>116</v>
      </c>
      <c r="C682">
        <v>210784</v>
      </c>
      <c r="E682" t="s">
        <v>117</v>
      </c>
      <c r="F682">
        <v>368</v>
      </c>
      <c r="G682" t="s">
        <v>141</v>
      </c>
      <c r="H682" t="s">
        <v>142</v>
      </c>
      <c r="I682" t="s">
        <v>279</v>
      </c>
      <c r="J682" t="s">
        <v>280</v>
      </c>
      <c r="L682" s="14">
        <v>45730</v>
      </c>
      <c r="M682" s="18">
        <f t="shared" si="13"/>
        <v>45717</v>
      </c>
      <c r="N682">
        <v>5683006</v>
      </c>
      <c r="O682" t="s">
        <v>123</v>
      </c>
      <c r="P682" t="s">
        <v>146</v>
      </c>
      <c r="Q682">
        <v>1.07</v>
      </c>
      <c r="R682" t="s">
        <v>125</v>
      </c>
      <c r="S682" t="s">
        <v>126</v>
      </c>
      <c r="T682" t="s">
        <v>125</v>
      </c>
      <c r="U682" t="s">
        <v>126</v>
      </c>
      <c r="W682">
        <v>1.07</v>
      </c>
      <c r="Y682">
        <v>1.07</v>
      </c>
      <c r="BE682">
        <v>1.07</v>
      </c>
      <c r="BH682" t="s">
        <v>126</v>
      </c>
      <c r="BI682" t="s">
        <v>126</v>
      </c>
      <c r="BJ682" t="s">
        <v>126</v>
      </c>
      <c r="BK682" t="s">
        <v>126</v>
      </c>
      <c r="BS682" t="s">
        <v>126</v>
      </c>
      <c r="BT682" t="s">
        <v>126</v>
      </c>
      <c r="BU682" t="s">
        <v>126</v>
      </c>
      <c r="BV682" t="s">
        <v>126</v>
      </c>
      <c r="CN682" t="s">
        <v>147</v>
      </c>
      <c r="CP682" t="s">
        <v>383</v>
      </c>
      <c r="CQ682" t="s">
        <v>147</v>
      </c>
    </row>
    <row r="683" spans="1:95" x14ac:dyDescent="0.2">
      <c r="A683" t="s">
        <v>115</v>
      </c>
      <c r="B683" t="s">
        <v>116</v>
      </c>
      <c r="C683">
        <v>210784</v>
      </c>
      <c r="E683" t="s">
        <v>117</v>
      </c>
      <c r="F683">
        <v>368</v>
      </c>
      <c r="G683" t="s">
        <v>141</v>
      </c>
      <c r="H683" t="s">
        <v>142</v>
      </c>
      <c r="I683" t="s">
        <v>279</v>
      </c>
      <c r="J683" t="s">
        <v>280</v>
      </c>
      <c r="L683" s="14">
        <v>45733</v>
      </c>
      <c r="M683" s="18">
        <f t="shared" si="13"/>
        <v>45717</v>
      </c>
      <c r="N683">
        <v>5684036</v>
      </c>
      <c r="O683" t="s">
        <v>123</v>
      </c>
      <c r="P683" t="s">
        <v>146</v>
      </c>
      <c r="Q683">
        <v>1.2</v>
      </c>
      <c r="R683" t="s">
        <v>125</v>
      </c>
      <c r="S683" t="s">
        <v>126</v>
      </c>
      <c r="T683" t="s">
        <v>125</v>
      </c>
      <c r="U683" t="s">
        <v>126</v>
      </c>
      <c r="W683">
        <v>1.2</v>
      </c>
      <c r="Y683">
        <v>1.2</v>
      </c>
      <c r="BE683">
        <v>1.2</v>
      </c>
      <c r="BH683" t="s">
        <v>126</v>
      </c>
      <c r="BI683" t="s">
        <v>126</v>
      </c>
      <c r="BJ683" t="s">
        <v>126</v>
      </c>
      <c r="BK683" t="s">
        <v>126</v>
      </c>
      <c r="BS683" t="s">
        <v>126</v>
      </c>
      <c r="BT683" t="s">
        <v>126</v>
      </c>
      <c r="BU683" t="s">
        <v>126</v>
      </c>
      <c r="BV683" t="s">
        <v>126</v>
      </c>
      <c r="CN683" t="s">
        <v>147</v>
      </c>
      <c r="CP683" t="s">
        <v>383</v>
      </c>
      <c r="CQ683" t="s">
        <v>147</v>
      </c>
    </row>
    <row r="684" spans="1:95" x14ac:dyDescent="0.2">
      <c r="A684" t="s">
        <v>115</v>
      </c>
      <c r="B684" t="s">
        <v>116</v>
      </c>
      <c r="C684">
        <v>210784</v>
      </c>
      <c r="E684" t="s">
        <v>117</v>
      </c>
      <c r="F684">
        <v>368</v>
      </c>
      <c r="G684" t="s">
        <v>141</v>
      </c>
      <c r="H684" t="s">
        <v>142</v>
      </c>
      <c r="I684" t="s">
        <v>279</v>
      </c>
      <c r="J684" t="s">
        <v>280</v>
      </c>
      <c r="L684" s="14">
        <v>45733</v>
      </c>
      <c r="M684" s="18">
        <f t="shared" si="13"/>
        <v>45717</v>
      </c>
      <c r="N684">
        <v>5683814</v>
      </c>
      <c r="O684" t="s">
        <v>123</v>
      </c>
      <c r="P684" t="s">
        <v>146</v>
      </c>
      <c r="Q684">
        <v>1.6</v>
      </c>
      <c r="R684" t="s">
        <v>125</v>
      </c>
      <c r="S684" t="s">
        <v>126</v>
      </c>
      <c r="T684" t="s">
        <v>125</v>
      </c>
      <c r="U684" t="s">
        <v>126</v>
      </c>
      <c r="W684">
        <v>1.6</v>
      </c>
      <c r="Y684">
        <v>1.6</v>
      </c>
      <c r="BE684">
        <v>1.6</v>
      </c>
      <c r="BH684" t="s">
        <v>126</v>
      </c>
      <c r="BI684" t="s">
        <v>126</v>
      </c>
      <c r="BJ684" t="s">
        <v>126</v>
      </c>
      <c r="BK684" t="s">
        <v>126</v>
      </c>
      <c r="BS684" t="s">
        <v>126</v>
      </c>
      <c r="BT684" t="s">
        <v>126</v>
      </c>
      <c r="BU684" t="s">
        <v>126</v>
      </c>
      <c r="BV684" t="s">
        <v>126</v>
      </c>
      <c r="CN684" t="s">
        <v>147</v>
      </c>
      <c r="CP684" t="s">
        <v>383</v>
      </c>
      <c r="CQ684" t="s">
        <v>147</v>
      </c>
    </row>
    <row r="685" spans="1:95" x14ac:dyDescent="0.2">
      <c r="A685" t="s">
        <v>115</v>
      </c>
      <c r="B685" t="s">
        <v>116</v>
      </c>
      <c r="C685">
        <v>210784</v>
      </c>
      <c r="E685" t="s">
        <v>117</v>
      </c>
      <c r="F685">
        <v>368</v>
      </c>
      <c r="G685" t="s">
        <v>141</v>
      </c>
      <c r="H685" t="s">
        <v>142</v>
      </c>
      <c r="I685" t="s">
        <v>279</v>
      </c>
      <c r="J685" t="s">
        <v>280</v>
      </c>
      <c r="L685" s="14">
        <v>45734</v>
      </c>
      <c r="M685" s="18">
        <f t="shared" si="13"/>
        <v>45717</v>
      </c>
      <c r="N685">
        <v>5684778</v>
      </c>
      <c r="O685" t="s">
        <v>123</v>
      </c>
      <c r="P685" t="s">
        <v>146</v>
      </c>
      <c r="Q685">
        <v>3.93</v>
      </c>
      <c r="R685" t="s">
        <v>125</v>
      </c>
      <c r="S685" t="s">
        <v>126</v>
      </c>
      <c r="T685" t="s">
        <v>125</v>
      </c>
      <c r="U685" t="s">
        <v>126</v>
      </c>
      <c r="W685">
        <v>3.93</v>
      </c>
      <c r="Y685">
        <v>3.93</v>
      </c>
      <c r="AS685">
        <v>3.93</v>
      </c>
      <c r="BH685" t="s">
        <v>126</v>
      </c>
      <c r="BI685" t="s">
        <v>126</v>
      </c>
      <c r="BJ685" t="s">
        <v>126</v>
      </c>
      <c r="BK685" t="s">
        <v>126</v>
      </c>
      <c r="BS685" t="s">
        <v>126</v>
      </c>
      <c r="BT685" t="s">
        <v>126</v>
      </c>
      <c r="BU685" t="s">
        <v>126</v>
      </c>
      <c r="BV685" t="s">
        <v>126</v>
      </c>
      <c r="CN685" t="s">
        <v>147</v>
      </c>
      <c r="CP685" t="s">
        <v>283</v>
      </c>
      <c r="CQ685" t="s">
        <v>147</v>
      </c>
    </row>
    <row r="686" spans="1:95" x14ac:dyDescent="0.2">
      <c r="A686" t="s">
        <v>115</v>
      </c>
      <c r="B686" t="s">
        <v>116</v>
      </c>
      <c r="C686">
        <v>210784</v>
      </c>
      <c r="E686" t="s">
        <v>117</v>
      </c>
      <c r="F686">
        <v>368</v>
      </c>
      <c r="G686" t="s">
        <v>141</v>
      </c>
      <c r="H686" t="s">
        <v>142</v>
      </c>
      <c r="I686" t="s">
        <v>279</v>
      </c>
      <c r="J686" t="s">
        <v>280</v>
      </c>
      <c r="L686" s="14">
        <v>45734</v>
      </c>
      <c r="M686" s="18">
        <f t="shared" si="13"/>
        <v>45717</v>
      </c>
      <c r="N686">
        <v>5684856</v>
      </c>
      <c r="O686" t="s">
        <v>123</v>
      </c>
      <c r="P686" t="s">
        <v>146</v>
      </c>
      <c r="Q686">
        <v>4.57</v>
      </c>
      <c r="R686" t="s">
        <v>125</v>
      </c>
      <c r="S686" t="s">
        <v>126</v>
      </c>
      <c r="T686" t="s">
        <v>125</v>
      </c>
      <c r="U686" t="s">
        <v>126</v>
      </c>
      <c r="W686">
        <v>4.57</v>
      </c>
      <c r="Y686">
        <v>4.57</v>
      </c>
      <c r="AS686">
        <v>4.57</v>
      </c>
      <c r="BH686" t="s">
        <v>126</v>
      </c>
      <c r="BI686" t="s">
        <v>126</v>
      </c>
      <c r="BJ686" t="s">
        <v>126</v>
      </c>
      <c r="BK686" t="s">
        <v>126</v>
      </c>
      <c r="BS686" t="s">
        <v>126</v>
      </c>
      <c r="BT686" t="s">
        <v>126</v>
      </c>
      <c r="BU686" t="s">
        <v>126</v>
      </c>
      <c r="BV686" t="s">
        <v>126</v>
      </c>
      <c r="CN686" t="s">
        <v>147</v>
      </c>
      <c r="CP686" t="s">
        <v>283</v>
      </c>
      <c r="CQ686" t="s">
        <v>147</v>
      </c>
    </row>
    <row r="687" spans="1:95" x14ac:dyDescent="0.2">
      <c r="A687" t="s">
        <v>115</v>
      </c>
      <c r="B687" t="s">
        <v>116</v>
      </c>
      <c r="C687">
        <v>210784</v>
      </c>
      <c r="E687" t="s">
        <v>117</v>
      </c>
      <c r="F687">
        <v>368</v>
      </c>
      <c r="G687" t="s">
        <v>141</v>
      </c>
      <c r="H687" t="s">
        <v>142</v>
      </c>
      <c r="I687" t="s">
        <v>279</v>
      </c>
      <c r="J687" t="s">
        <v>280</v>
      </c>
      <c r="L687" s="14">
        <v>45734</v>
      </c>
      <c r="M687" s="18">
        <f t="shared" si="13"/>
        <v>45717</v>
      </c>
      <c r="N687">
        <v>5684845</v>
      </c>
      <c r="O687" t="s">
        <v>123</v>
      </c>
      <c r="P687" t="s">
        <v>146</v>
      </c>
      <c r="Q687">
        <v>0.56000000000000005</v>
      </c>
      <c r="R687" t="s">
        <v>125</v>
      </c>
      <c r="S687" t="s">
        <v>126</v>
      </c>
      <c r="T687" t="s">
        <v>125</v>
      </c>
      <c r="U687" t="s">
        <v>126</v>
      </c>
      <c r="W687">
        <v>0.56000000000000005</v>
      </c>
      <c r="Y687">
        <v>0.56000000000000005</v>
      </c>
      <c r="BE687">
        <v>0.56000000000000005</v>
      </c>
      <c r="BH687" t="s">
        <v>126</v>
      </c>
      <c r="BI687" t="s">
        <v>126</v>
      </c>
      <c r="BJ687" t="s">
        <v>126</v>
      </c>
      <c r="BK687" t="s">
        <v>126</v>
      </c>
      <c r="BS687" t="s">
        <v>126</v>
      </c>
      <c r="BT687" t="s">
        <v>126</v>
      </c>
      <c r="BU687" t="s">
        <v>126</v>
      </c>
      <c r="BV687" t="s">
        <v>126</v>
      </c>
      <c r="CN687" t="s">
        <v>147</v>
      </c>
      <c r="CP687" t="s">
        <v>383</v>
      </c>
      <c r="CQ687" t="s">
        <v>147</v>
      </c>
    </row>
    <row r="688" spans="1:95" x14ac:dyDescent="0.2">
      <c r="A688" t="s">
        <v>115</v>
      </c>
      <c r="B688" t="s">
        <v>116</v>
      </c>
      <c r="C688">
        <v>210784</v>
      </c>
      <c r="E688" t="s">
        <v>117</v>
      </c>
      <c r="F688">
        <v>368</v>
      </c>
      <c r="G688" t="s">
        <v>141</v>
      </c>
      <c r="H688" t="s">
        <v>142</v>
      </c>
      <c r="I688" t="s">
        <v>279</v>
      </c>
      <c r="J688" t="s">
        <v>280</v>
      </c>
      <c r="L688" s="14">
        <v>45735</v>
      </c>
      <c r="M688" s="18">
        <f t="shared" si="13"/>
        <v>45717</v>
      </c>
      <c r="N688">
        <v>5685473</v>
      </c>
      <c r="O688" t="s">
        <v>123</v>
      </c>
      <c r="P688" t="s">
        <v>146</v>
      </c>
      <c r="Q688">
        <v>1.87</v>
      </c>
      <c r="R688" t="s">
        <v>125</v>
      </c>
      <c r="S688" t="s">
        <v>126</v>
      </c>
      <c r="T688" t="s">
        <v>125</v>
      </c>
      <c r="U688" t="s">
        <v>126</v>
      </c>
      <c r="W688">
        <v>1.87</v>
      </c>
      <c r="Y688">
        <v>1.87</v>
      </c>
      <c r="AS688">
        <v>1.87</v>
      </c>
      <c r="BH688" t="s">
        <v>126</v>
      </c>
      <c r="BI688" t="s">
        <v>126</v>
      </c>
      <c r="BJ688" t="s">
        <v>126</v>
      </c>
      <c r="BK688" t="s">
        <v>126</v>
      </c>
      <c r="BS688" t="s">
        <v>126</v>
      </c>
      <c r="BT688" t="s">
        <v>126</v>
      </c>
      <c r="BU688" t="s">
        <v>126</v>
      </c>
      <c r="BV688" t="s">
        <v>126</v>
      </c>
      <c r="CN688" t="s">
        <v>147</v>
      </c>
      <c r="CP688" t="s">
        <v>283</v>
      </c>
      <c r="CQ688" t="s">
        <v>147</v>
      </c>
    </row>
    <row r="689" spans="1:95" x14ac:dyDescent="0.2">
      <c r="A689" t="s">
        <v>115</v>
      </c>
      <c r="B689" t="s">
        <v>116</v>
      </c>
      <c r="C689">
        <v>210784</v>
      </c>
      <c r="E689" t="s">
        <v>117</v>
      </c>
      <c r="F689">
        <v>368</v>
      </c>
      <c r="G689" t="s">
        <v>141</v>
      </c>
      <c r="H689" t="s">
        <v>142</v>
      </c>
      <c r="I689" t="s">
        <v>279</v>
      </c>
      <c r="J689" t="s">
        <v>280</v>
      </c>
      <c r="L689" s="14">
        <v>45735</v>
      </c>
      <c r="M689" s="18">
        <f t="shared" si="13"/>
        <v>45717</v>
      </c>
      <c r="N689">
        <v>5685634</v>
      </c>
      <c r="O689" t="s">
        <v>123</v>
      </c>
      <c r="P689" t="s">
        <v>146</v>
      </c>
      <c r="Q689">
        <v>3.4</v>
      </c>
      <c r="R689" t="s">
        <v>125</v>
      </c>
      <c r="S689" t="s">
        <v>126</v>
      </c>
      <c r="T689" t="s">
        <v>125</v>
      </c>
      <c r="U689" t="s">
        <v>126</v>
      </c>
      <c r="W689">
        <v>3.4</v>
      </c>
      <c r="Y689">
        <v>3.4</v>
      </c>
      <c r="AS689">
        <v>3.4</v>
      </c>
      <c r="BH689" t="s">
        <v>126</v>
      </c>
      <c r="BI689" t="s">
        <v>126</v>
      </c>
      <c r="BJ689" t="s">
        <v>126</v>
      </c>
      <c r="BK689" t="s">
        <v>126</v>
      </c>
      <c r="BS689" t="s">
        <v>126</v>
      </c>
      <c r="BT689" t="s">
        <v>126</v>
      </c>
      <c r="BU689" t="s">
        <v>126</v>
      </c>
      <c r="BV689" t="s">
        <v>126</v>
      </c>
      <c r="CN689" t="s">
        <v>147</v>
      </c>
      <c r="CP689" t="s">
        <v>283</v>
      </c>
      <c r="CQ689" t="s">
        <v>147</v>
      </c>
    </row>
    <row r="690" spans="1:95" x14ac:dyDescent="0.2">
      <c r="A690" t="s">
        <v>115</v>
      </c>
      <c r="B690" t="s">
        <v>116</v>
      </c>
      <c r="C690">
        <v>210784</v>
      </c>
      <c r="E690" t="s">
        <v>117</v>
      </c>
      <c r="F690">
        <v>368</v>
      </c>
      <c r="G690" t="s">
        <v>141</v>
      </c>
      <c r="H690" t="s">
        <v>142</v>
      </c>
      <c r="I690" t="s">
        <v>279</v>
      </c>
      <c r="J690" t="s">
        <v>280</v>
      </c>
      <c r="L690" s="14">
        <v>45735</v>
      </c>
      <c r="M690" s="18">
        <f t="shared" si="13"/>
        <v>45717</v>
      </c>
      <c r="N690">
        <v>5685225</v>
      </c>
      <c r="O690" t="s">
        <v>123</v>
      </c>
      <c r="P690" t="s">
        <v>146</v>
      </c>
      <c r="Q690">
        <v>0.77</v>
      </c>
      <c r="R690" t="s">
        <v>125</v>
      </c>
      <c r="S690" t="s">
        <v>126</v>
      </c>
      <c r="T690" t="s">
        <v>125</v>
      </c>
      <c r="U690" t="s">
        <v>126</v>
      </c>
      <c r="W690">
        <v>0.77</v>
      </c>
      <c r="Y690">
        <v>0.77</v>
      </c>
      <c r="BE690">
        <v>0.77</v>
      </c>
      <c r="BH690" t="s">
        <v>126</v>
      </c>
      <c r="BI690" t="s">
        <v>126</v>
      </c>
      <c r="BJ690" t="s">
        <v>126</v>
      </c>
      <c r="BK690" t="s">
        <v>126</v>
      </c>
      <c r="BS690" t="s">
        <v>126</v>
      </c>
      <c r="BT690" t="s">
        <v>126</v>
      </c>
      <c r="BU690" t="s">
        <v>126</v>
      </c>
      <c r="BV690" t="s">
        <v>126</v>
      </c>
      <c r="CN690" t="s">
        <v>147</v>
      </c>
      <c r="CP690" t="s">
        <v>383</v>
      </c>
      <c r="CQ690" t="s">
        <v>147</v>
      </c>
    </row>
    <row r="691" spans="1:95" x14ac:dyDescent="0.2">
      <c r="A691" t="s">
        <v>115</v>
      </c>
      <c r="B691" t="s">
        <v>116</v>
      </c>
      <c r="C691">
        <v>210784</v>
      </c>
      <c r="E691" t="s">
        <v>117</v>
      </c>
      <c r="F691">
        <v>368</v>
      </c>
      <c r="G691" t="s">
        <v>141</v>
      </c>
      <c r="H691" t="s">
        <v>142</v>
      </c>
      <c r="I691" t="s">
        <v>279</v>
      </c>
      <c r="J691" t="s">
        <v>280</v>
      </c>
      <c r="L691" s="14">
        <v>45736</v>
      </c>
      <c r="M691" s="18">
        <f t="shared" si="13"/>
        <v>45717</v>
      </c>
      <c r="N691">
        <v>568072</v>
      </c>
      <c r="O691" t="s">
        <v>123</v>
      </c>
      <c r="P691" t="s">
        <v>146</v>
      </c>
      <c r="Q691">
        <v>1.71</v>
      </c>
      <c r="R691" t="s">
        <v>125</v>
      </c>
      <c r="S691" t="s">
        <v>126</v>
      </c>
      <c r="T691" t="s">
        <v>125</v>
      </c>
      <c r="U691" t="s">
        <v>126</v>
      </c>
      <c r="W691">
        <v>1.71</v>
      </c>
      <c r="Y691">
        <v>1.71</v>
      </c>
      <c r="AS691">
        <v>1.71</v>
      </c>
      <c r="BH691" t="s">
        <v>126</v>
      </c>
      <c r="BI691" t="s">
        <v>126</v>
      </c>
      <c r="BJ691" t="s">
        <v>126</v>
      </c>
      <c r="BK691" t="s">
        <v>126</v>
      </c>
      <c r="BS691" t="s">
        <v>126</v>
      </c>
      <c r="BT691" t="s">
        <v>126</v>
      </c>
      <c r="BU691" t="s">
        <v>126</v>
      </c>
      <c r="BV691" t="s">
        <v>126</v>
      </c>
      <c r="CN691" t="s">
        <v>147</v>
      </c>
      <c r="CP691" t="s">
        <v>283</v>
      </c>
      <c r="CQ691" t="s">
        <v>147</v>
      </c>
    </row>
    <row r="692" spans="1:95" x14ac:dyDescent="0.2">
      <c r="A692" t="s">
        <v>115</v>
      </c>
      <c r="B692" t="s">
        <v>116</v>
      </c>
      <c r="C692">
        <v>210784</v>
      </c>
      <c r="E692" t="s">
        <v>117</v>
      </c>
      <c r="F692">
        <v>368</v>
      </c>
      <c r="G692" t="s">
        <v>141</v>
      </c>
      <c r="H692" t="s">
        <v>142</v>
      </c>
      <c r="I692" t="s">
        <v>279</v>
      </c>
      <c r="J692" t="s">
        <v>280</v>
      </c>
      <c r="L692" s="14">
        <v>45736</v>
      </c>
      <c r="M692" s="18">
        <f t="shared" si="13"/>
        <v>45717</v>
      </c>
      <c r="N692">
        <v>5686432</v>
      </c>
      <c r="O692" t="s">
        <v>123</v>
      </c>
      <c r="P692" t="s">
        <v>146</v>
      </c>
      <c r="Q692">
        <v>1.0900000000000001</v>
      </c>
      <c r="R692" t="s">
        <v>125</v>
      </c>
      <c r="S692" t="s">
        <v>126</v>
      </c>
      <c r="T692" t="s">
        <v>125</v>
      </c>
      <c r="U692" t="s">
        <v>126</v>
      </c>
      <c r="W692">
        <v>1.0900000000000001</v>
      </c>
      <c r="Y692">
        <v>1.0900000000000001</v>
      </c>
      <c r="BE692">
        <v>1.0900000000000001</v>
      </c>
      <c r="BH692" t="s">
        <v>126</v>
      </c>
      <c r="BI692" t="s">
        <v>126</v>
      </c>
      <c r="BJ692" t="s">
        <v>126</v>
      </c>
      <c r="BK692" t="s">
        <v>126</v>
      </c>
      <c r="BS692" t="s">
        <v>126</v>
      </c>
      <c r="BT692" t="s">
        <v>126</v>
      </c>
      <c r="BU692" t="s">
        <v>126</v>
      </c>
      <c r="BV692" t="s">
        <v>126</v>
      </c>
      <c r="CN692" t="s">
        <v>147</v>
      </c>
      <c r="CP692" t="s">
        <v>402</v>
      </c>
      <c r="CQ692" t="s">
        <v>147</v>
      </c>
    </row>
    <row r="693" spans="1:95" x14ac:dyDescent="0.2">
      <c r="A693" t="s">
        <v>115</v>
      </c>
      <c r="B693" t="s">
        <v>116</v>
      </c>
      <c r="C693">
        <v>210784</v>
      </c>
      <c r="E693" t="s">
        <v>117</v>
      </c>
      <c r="F693">
        <v>368</v>
      </c>
      <c r="G693" t="s">
        <v>141</v>
      </c>
      <c r="H693" t="s">
        <v>142</v>
      </c>
      <c r="I693" t="s">
        <v>279</v>
      </c>
      <c r="J693" t="s">
        <v>280</v>
      </c>
      <c r="L693" s="14">
        <v>45737</v>
      </c>
      <c r="M693" s="18">
        <f t="shared" si="13"/>
        <v>45717</v>
      </c>
      <c r="N693">
        <v>5686938</v>
      </c>
      <c r="O693" t="s">
        <v>123</v>
      </c>
      <c r="P693" t="s">
        <v>146</v>
      </c>
      <c r="Q693">
        <v>3.21</v>
      </c>
      <c r="R693" t="s">
        <v>125</v>
      </c>
      <c r="S693" t="s">
        <v>126</v>
      </c>
      <c r="T693" t="s">
        <v>125</v>
      </c>
      <c r="U693" t="s">
        <v>126</v>
      </c>
      <c r="W693">
        <v>3.21</v>
      </c>
      <c r="Y693">
        <v>3.21</v>
      </c>
      <c r="AS693">
        <v>3.21</v>
      </c>
      <c r="BH693" t="s">
        <v>126</v>
      </c>
      <c r="BI693" t="s">
        <v>126</v>
      </c>
      <c r="BJ693" t="s">
        <v>126</v>
      </c>
      <c r="BK693" t="s">
        <v>126</v>
      </c>
      <c r="BS693" t="s">
        <v>126</v>
      </c>
      <c r="BT693" t="s">
        <v>126</v>
      </c>
      <c r="BU693" t="s">
        <v>126</v>
      </c>
      <c r="BV693" t="s">
        <v>126</v>
      </c>
      <c r="CN693" t="s">
        <v>147</v>
      </c>
      <c r="CP693" t="s">
        <v>283</v>
      </c>
      <c r="CQ693" t="s">
        <v>147</v>
      </c>
    </row>
    <row r="694" spans="1:95" x14ac:dyDescent="0.2">
      <c r="A694" t="s">
        <v>115</v>
      </c>
      <c r="B694" t="s">
        <v>116</v>
      </c>
      <c r="C694">
        <v>210784</v>
      </c>
      <c r="E694" t="s">
        <v>117</v>
      </c>
      <c r="F694">
        <v>368</v>
      </c>
      <c r="G694" t="s">
        <v>141</v>
      </c>
      <c r="H694" t="s">
        <v>142</v>
      </c>
      <c r="I694" t="s">
        <v>279</v>
      </c>
      <c r="J694" t="s">
        <v>280</v>
      </c>
      <c r="L694" s="14">
        <v>45737</v>
      </c>
      <c r="M694" s="18">
        <f t="shared" si="13"/>
        <v>45717</v>
      </c>
      <c r="N694">
        <v>5686625</v>
      </c>
      <c r="O694" t="s">
        <v>123</v>
      </c>
      <c r="P694" t="s">
        <v>146</v>
      </c>
      <c r="Q694">
        <v>3.71</v>
      </c>
      <c r="R694" t="s">
        <v>125</v>
      </c>
      <c r="S694" t="s">
        <v>126</v>
      </c>
      <c r="T694" t="s">
        <v>125</v>
      </c>
      <c r="U694" t="s">
        <v>126</v>
      </c>
      <c r="W694">
        <v>3.71</v>
      </c>
      <c r="Y694">
        <v>3.71</v>
      </c>
      <c r="AS694">
        <v>3.71</v>
      </c>
      <c r="BH694" t="s">
        <v>126</v>
      </c>
      <c r="BI694" t="s">
        <v>126</v>
      </c>
      <c r="BJ694" t="s">
        <v>126</v>
      </c>
      <c r="BK694" t="s">
        <v>126</v>
      </c>
      <c r="BS694" t="s">
        <v>126</v>
      </c>
      <c r="BT694" t="s">
        <v>126</v>
      </c>
      <c r="BU694" t="s">
        <v>126</v>
      </c>
      <c r="BV694" t="s">
        <v>126</v>
      </c>
      <c r="CN694" t="s">
        <v>147</v>
      </c>
      <c r="CP694" t="s">
        <v>283</v>
      </c>
      <c r="CQ694" t="s">
        <v>147</v>
      </c>
    </row>
    <row r="695" spans="1:95" x14ac:dyDescent="0.2">
      <c r="A695" t="s">
        <v>115</v>
      </c>
      <c r="B695" t="s">
        <v>116</v>
      </c>
      <c r="C695">
        <v>210784</v>
      </c>
      <c r="E695" t="s">
        <v>117</v>
      </c>
      <c r="F695">
        <v>368</v>
      </c>
      <c r="G695" t="s">
        <v>141</v>
      </c>
      <c r="H695" t="s">
        <v>142</v>
      </c>
      <c r="I695" t="s">
        <v>279</v>
      </c>
      <c r="J695" t="s">
        <v>280</v>
      </c>
      <c r="L695" s="14">
        <v>45738</v>
      </c>
      <c r="M695" s="18">
        <f t="shared" si="13"/>
        <v>45717</v>
      </c>
      <c r="N695">
        <v>5687426</v>
      </c>
      <c r="O695" t="s">
        <v>123</v>
      </c>
      <c r="P695" t="s">
        <v>146</v>
      </c>
      <c r="Q695">
        <v>6.54</v>
      </c>
      <c r="R695" t="s">
        <v>125</v>
      </c>
      <c r="S695" t="s">
        <v>126</v>
      </c>
      <c r="T695" t="s">
        <v>125</v>
      </c>
      <c r="U695" t="s">
        <v>126</v>
      </c>
      <c r="W695">
        <v>6.54</v>
      </c>
      <c r="Y695">
        <v>6.54</v>
      </c>
      <c r="AS695">
        <v>6.54</v>
      </c>
      <c r="BH695" t="s">
        <v>126</v>
      </c>
      <c r="BI695" t="s">
        <v>126</v>
      </c>
      <c r="BJ695" t="s">
        <v>126</v>
      </c>
      <c r="BK695" t="s">
        <v>126</v>
      </c>
      <c r="BS695" t="s">
        <v>126</v>
      </c>
      <c r="BT695" t="s">
        <v>126</v>
      </c>
      <c r="BU695" t="s">
        <v>126</v>
      </c>
      <c r="BV695" t="s">
        <v>126</v>
      </c>
      <c r="CN695" t="s">
        <v>147</v>
      </c>
      <c r="CP695" t="s">
        <v>283</v>
      </c>
      <c r="CQ695" t="s">
        <v>147</v>
      </c>
    </row>
    <row r="696" spans="1:95" x14ac:dyDescent="0.2">
      <c r="A696" t="s">
        <v>115</v>
      </c>
      <c r="B696" t="s">
        <v>116</v>
      </c>
      <c r="C696">
        <v>210784</v>
      </c>
      <c r="E696" t="s">
        <v>117</v>
      </c>
      <c r="F696">
        <v>368</v>
      </c>
      <c r="G696" t="s">
        <v>141</v>
      </c>
      <c r="H696" t="s">
        <v>142</v>
      </c>
      <c r="I696" t="s">
        <v>279</v>
      </c>
      <c r="J696" t="s">
        <v>280</v>
      </c>
      <c r="L696" s="14">
        <v>45738</v>
      </c>
      <c r="M696" s="18">
        <f t="shared" si="13"/>
        <v>45717</v>
      </c>
      <c r="N696">
        <v>5688065</v>
      </c>
      <c r="O696" t="s">
        <v>123</v>
      </c>
      <c r="P696" t="s">
        <v>146</v>
      </c>
      <c r="Q696">
        <v>1.86</v>
      </c>
      <c r="R696" t="s">
        <v>125</v>
      </c>
      <c r="S696" t="s">
        <v>126</v>
      </c>
      <c r="T696" t="s">
        <v>125</v>
      </c>
      <c r="U696" t="s">
        <v>126</v>
      </c>
      <c r="W696">
        <v>1.86</v>
      </c>
      <c r="Y696">
        <v>1.86</v>
      </c>
      <c r="BE696">
        <v>1.86</v>
      </c>
      <c r="BH696" t="s">
        <v>126</v>
      </c>
      <c r="BI696" t="s">
        <v>126</v>
      </c>
      <c r="BJ696" t="s">
        <v>126</v>
      </c>
      <c r="BK696" t="s">
        <v>126</v>
      </c>
      <c r="BS696" t="s">
        <v>126</v>
      </c>
      <c r="BT696" t="s">
        <v>126</v>
      </c>
      <c r="BU696" t="s">
        <v>126</v>
      </c>
      <c r="BV696" t="s">
        <v>126</v>
      </c>
      <c r="CN696" t="s">
        <v>147</v>
      </c>
      <c r="CP696" t="s">
        <v>402</v>
      </c>
      <c r="CQ696" t="s">
        <v>147</v>
      </c>
    </row>
    <row r="697" spans="1:95" x14ac:dyDescent="0.2">
      <c r="A697" t="s">
        <v>115</v>
      </c>
      <c r="B697" t="s">
        <v>116</v>
      </c>
      <c r="C697">
        <v>210784</v>
      </c>
      <c r="E697" t="s">
        <v>117</v>
      </c>
      <c r="F697">
        <v>368</v>
      </c>
      <c r="G697" t="s">
        <v>141</v>
      </c>
      <c r="H697" t="s">
        <v>142</v>
      </c>
      <c r="I697" t="s">
        <v>279</v>
      </c>
      <c r="J697" t="s">
        <v>280</v>
      </c>
      <c r="L697" s="14">
        <v>45740</v>
      </c>
      <c r="M697" s="18">
        <f t="shared" si="13"/>
        <v>45717</v>
      </c>
      <c r="N697">
        <v>5687527</v>
      </c>
      <c r="O697" t="s">
        <v>123</v>
      </c>
      <c r="P697" t="s">
        <v>146</v>
      </c>
      <c r="Q697">
        <v>2.89</v>
      </c>
      <c r="R697" t="s">
        <v>125</v>
      </c>
      <c r="S697" t="s">
        <v>126</v>
      </c>
      <c r="T697" t="s">
        <v>125</v>
      </c>
      <c r="U697" t="s">
        <v>126</v>
      </c>
      <c r="W697">
        <v>2.89</v>
      </c>
      <c r="Y697">
        <v>2.89</v>
      </c>
      <c r="AS697">
        <v>2.89</v>
      </c>
      <c r="BH697" t="s">
        <v>126</v>
      </c>
      <c r="BI697" t="s">
        <v>126</v>
      </c>
      <c r="BJ697" t="s">
        <v>126</v>
      </c>
      <c r="BK697" t="s">
        <v>126</v>
      </c>
      <c r="BS697" t="s">
        <v>126</v>
      </c>
      <c r="BT697" t="s">
        <v>126</v>
      </c>
      <c r="BU697" t="s">
        <v>126</v>
      </c>
      <c r="BV697" t="s">
        <v>126</v>
      </c>
      <c r="CN697" t="s">
        <v>147</v>
      </c>
      <c r="CP697" t="s">
        <v>283</v>
      </c>
      <c r="CQ697" t="s">
        <v>147</v>
      </c>
    </row>
    <row r="698" spans="1:95" x14ac:dyDescent="0.2">
      <c r="A698" t="s">
        <v>115</v>
      </c>
      <c r="B698" t="s">
        <v>116</v>
      </c>
      <c r="C698">
        <v>210784</v>
      </c>
      <c r="E698" t="s">
        <v>117</v>
      </c>
      <c r="F698">
        <v>368</v>
      </c>
      <c r="G698" t="s">
        <v>141</v>
      </c>
      <c r="H698" t="s">
        <v>142</v>
      </c>
      <c r="I698" t="s">
        <v>279</v>
      </c>
      <c r="J698" t="s">
        <v>280</v>
      </c>
      <c r="L698" s="14">
        <v>45740</v>
      </c>
      <c r="M698" s="18">
        <f t="shared" si="13"/>
        <v>45717</v>
      </c>
      <c r="N698">
        <v>5688164</v>
      </c>
      <c r="O698" t="s">
        <v>123</v>
      </c>
      <c r="P698" t="s">
        <v>146</v>
      </c>
      <c r="Q698">
        <v>2.89</v>
      </c>
      <c r="R698" t="s">
        <v>125</v>
      </c>
      <c r="S698" t="s">
        <v>126</v>
      </c>
      <c r="T698" t="s">
        <v>125</v>
      </c>
      <c r="U698" t="s">
        <v>126</v>
      </c>
      <c r="W698">
        <v>2.89</v>
      </c>
      <c r="Y698">
        <v>2.89</v>
      </c>
      <c r="AS698">
        <v>2.89</v>
      </c>
      <c r="BH698" t="s">
        <v>126</v>
      </c>
      <c r="BI698" t="s">
        <v>126</v>
      </c>
      <c r="BJ698" t="s">
        <v>126</v>
      </c>
      <c r="BK698" t="s">
        <v>126</v>
      </c>
      <c r="BS698" t="s">
        <v>126</v>
      </c>
      <c r="BT698" t="s">
        <v>126</v>
      </c>
      <c r="BU698" t="s">
        <v>126</v>
      </c>
      <c r="BV698" t="s">
        <v>126</v>
      </c>
      <c r="CN698" t="s">
        <v>147</v>
      </c>
      <c r="CP698" t="s">
        <v>283</v>
      </c>
      <c r="CQ698" t="s">
        <v>147</v>
      </c>
    </row>
    <row r="699" spans="1:95" x14ac:dyDescent="0.2">
      <c r="A699" t="s">
        <v>115</v>
      </c>
      <c r="B699" t="s">
        <v>116</v>
      </c>
      <c r="C699">
        <v>210784</v>
      </c>
      <c r="E699" t="s">
        <v>117</v>
      </c>
      <c r="F699">
        <v>368</v>
      </c>
      <c r="G699" t="s">
        <v>141</v>
      </c>
      <c r="H699" t="s">
        <v>142</v>
      </c>
      <c r="I699" t="s">
        <v>279</v>
      </c>
      <c r="J699" t="s">
        <v>280</v>
      </c>
      <c r="L699" s="14">
        <v>45741</v>
      </c>
      <c r="M699" s="18">
        <f t="shared" si="13"/>
        <v>45717</v>
      </c>
      <c r="N699">
        <v>5688785</v>
      </c>
      <c r="O699" t="s">
        <v>123</v>
      </c>
      <c r="P699" t="s">
        <v>146</v>
      </c>
      <c r="Q699">
        <v>5.78</v>
      </c>
      <c r="R699" t="s">
        <v>125</v>
      </c>
      <c r="S699" t="s">
        <v>126</v>
      </c>
      <c r="T699" t="s">
        <v>125</v>
      </c>
      <c r="U699" t="s">
        <v>126</v>
      </c>
      <c r="W699">
        <v>5.78</v>
      </c>
      <c r="Y699">
        <v>5.78</v>
      </c>
      <c r="AS699">
        <v>5.78</v>
      </c>
      <c r="BH699" t="s">
        <v>126</v>
      </c>
      <c r="BI699" t="s">
        <v>126</v>
      </c>
      <c r="BJ699" t="s">
        <v>126</v>
      </c>
      <c r="BK699" t="s">
        <v>126</v>
      </c>
      <c r="BS699" t="s">
        <v>126</v>
      </c>
      <c r="BT699" t="s">
        <v>126</v>
      </c>
      <c r="BU699" t="s">
        <v>126</v>
      </c>
      <c r="BV699" t="s">
        <v>126</v>
      </c>
      <c r="CN699" t="s">
        <v>147</v>
      </c>
      <c r="CP699" t="s">
        <v>283</v>
      </c>
      <c r="CQ699" t="s">
        <v>147</v>
      </c>
    </row>
    <row r="700" spans="1:95" x14ac:dyDescent="0.2">
      <c r="A700" t="s">
        <v>115</v>
      </c>
      <c r="B700" t="s">
        <v>116</v>
      </c>
      <c r="C700">
        <v>210784</v>
      </c>
      <c r="E700" t="s">
        <v>117</v>
      </c>
      <c r="F700">
        <v>368</v>
      </c>
      <c r="G700" t="s">
        <v>141</v>
      </c>
      <c r="H700" t="s">
        <v>142</v>
      </c>
      <c r="I700" t="s">
        <v>279</v>
      </c>
      <c r="J700" t="s">
        <v>280</v>
      </c>
      <c r="L700" s="14">
        <v>45741</v>
      </c>
      <c r="M700" s="18">
        <f t="shared" si="13"/>
        <v>45717</v>
      </c>
      <c r="N700">
        <v>5688609</v>
      </c>
      <c r="O700" t="s">
        <v>123</v>
      </c>
      <c r="P700" t="s">
        <v>146</v>
      </c>
      <c r="Q700">
        <v>2.4500000000000002</v>
      </c>
      <c r="R700" t="s">
        <v>125</v>
      </c>
      <c r="S700" t="s">
        <v>126</v>
      </c>
      <c r="T700" t="s">
        <v>125</v>
      </c>
      <c r="U700" t="s">
        <v>126</v>
      </c>
      <c r="W700">
        <v>2.4500000000000002</v>
      </c>
      <c r="Y700">
        <v>2.4500000000000002</v>
      </c>
      <c r="BE700">
        <v>2.4500000000000002</v>
      </c>
      <c r="BH700" t="s">
        <v>126</v>
      </c>
      <c r="BI700" t="s">
        <v>126</v>
      </c>
      <c r="BJ700" t="s">
        <v>126</v>
      </c>
      <c r="BK700" t="s">
        <v>126</v>
      </c>
      <c r="BS700" t="s">
        <v>126</v>
      </c>
      <c r="BT700" t="s">
        <v>126</v>
      </c>
      <c r="BU700" t="s">
        <v>126</v>
      </c>
      <c r="BV700" t="s">
        <v>126</v>
      </c>
      <c r="CN700" t="s">
        <v>147</v>
      </c>
      <c r="CP700" t="s">
        <v>402</v>
      </c>
      <c r="CQ700" t="s">
        <v>147</v>
      </c>
    </row>
    <row r="701" spans="1:95" x14ac:dyDescent="0.2">
      <c r="A701" t="s">
        <v>115</v>
      </c>
      <c r="B701" t="s">
        <v>116</v>
      </c>
      <c r="C701">
        <v>210784</v>
      </c>
      <c r="E701" t="s">
        <v>117</v>
      </c>
      <c r="F701">
        <v>368</v>
      </c>
      <c r="G701" t="s">
        <v>141</v>
      </c>
      <c r="H701" t="s">
        <v>142</v>
      </c>
      <c r="I701" t="s">
        <v>279</v>
      </c>
      <c r="J701" t="s">
        <v>280</v>
      </c>
      <c r="L701" s="14">
        <v>45741</v>
      </c>
      <c r="M701" s="18">
        <f t="shared" si="13"/>
        <v>45717</v>
      </c>
      <c r="N701">
        <v>5688998</v>
      </c>
      <c r="O701" t="s">
        <v>123</v>
      </c>
      <c r="P701" t="s">
        <v>146</v>
      </c>
      <c r="Q701">
        <v>0.54</v>
      </c>
      <c r="R701" t="s">
        <v>125</v>
      </c>
      <c r="S701" t="s">
        <v>126</v>
      </c>
      <c r="T701" t="s">
        <v>125</v>
      </c>
      <c r="U701" t="s">
        <v>126</v>
      </c>
      <c r="W701">
        <v>0.54</v>
      </c>
      <c r="Y701">
        <v>0.54</v>
      </c>
      <c r="BE701">
        <v>0.54</v>
      </c>
      <c r="BH701" t="s">
        <v>126</v>
      </c>
      <c r="BI701" t="s">
        <v>126</v>
      </c>
      <c r="BJ701" t="s">
        <v>126</v>
      </c>
      <c r="BK701" t="s">
        <v>126</v>
      </c>
      <c r="BS701" t="s">
        <v>126</v>
      </c>
      <c r="BT701" t="s">
        <v>126</v>
      </c>
      <c r="BU701" t="s">
        <v>126</v>
      </c>
      <c r="BV701" t="s">
        <v>126</v>
      </c>
      <c r="CN701" t="s">
        <v>147</v>
      </c>
      <c r="CP701" t="s">
        <v>402</v>
      </c>
      <c r="CQ701" t="s">
        <v>147</v>
      </c>
    </row>
    <row r="702" spans="1:95" x14ac:dyDescent="0.2">
      <c r="A702" t="s">
        <v>115</v>
      </c>
      <c r="B702" t="s">
        <v>116</v>
      </c>
      <c r="C702">
        <v>210784</v>
      </c>
      <c r="E702" t="s">
        <v>117</v>
      </c>
      <c r="F702">
        <v>368</v>
      </c>
      <c r="G702" t="s">
        <v>141</v>
      </c>
      <c r="H702" t="s">
        <v>142</v>
      </c>
      <c r="I702" t="s">
        <v>279</v>
      </c>
      <c r="J702" t="s">
        <v>280</v>
      </c>
      <c r="L702" s="14">
        <v>45743</v>
      </c>
      <c r="M702" s="18">
        <f t="shared" si="13"/>
        <v>45717</v>
      </c>
      <c r="N702">
        <v>5690083</v>
      </c>
      <c r="O702" t="s">
        <v>123</v>
      </c>
      <c r="P702" t="s">
        <v>146</v>
      </c>
      <c r="Q702">
        <v>3.88</v>
      </c>
      <c r="R702" t="s">
        <v>125</v>
      </c>
      <c r="S702" t="s">
        <v>126</v>
      </c>
      <c r="T702" t="s">
        <v>125</v>
      </c>
      <c r="U702" t="s">
        <v>126</v>
      </c>
      <c r="W702">
        <v>3.88</v>
      </c>
      <c r="Y702">
        <v>3.88</v>
      </c>
      <c r="AS702">
        <v>3.88</v>
      </c>
      <c r="BH702" t="s">
        <v>126</v>
      </c>
      <c r="BI702" t="s">
        <v>126</v>
      </c>
      <c r="BJ702" t="s">
        <v>126</v>
      </c>
      <c r="BK702" t="s">
        <v>126</v>
      </c>
      <c r="BS702" t="s">
        <v>126</v>
      </c>
      <c r="BT702" t="s">
        <v>126</v>
      </c>
      <c r="BU702" t="s">
        <v>126</v>
      </c>
      <c r="BV702" t="s">
        <v>126</v>
      </c>
      <c r="CN702" t="s">
        <v>147</v>
      </c>
      <c r="CP702" t="s">
        <v>283</v>
      </c>
      <c r="CQ702" t="s">
        <v>147</v>
      </c>
    </row>
    <row r="703" spans="1:95" x14ac:dyDescent="0.2">
      <c r="A703" t="s">
        <v>115</v>
      </c>
      <c r="B703" t="s">
        <v>116</v>
      </c>
      <c r="C703">
        <v>210784</v>
      </c>
      <c r="E703" t="s">
        <v>117</v>
      </c>
      <c r="F703">
        <v>368</v>
      </c>
      <c r="G703" t="s">
        <v>141</v>
      </c>
      <c r="H703" t="s">
        <v>142</v>
      </c>
      <c r="I703" t="s">
        <v>279</v>
      </c>
      <c r="J703" t="s">
        <v>280</v>
      </c>
      <c r="L703" s="14">
        <v>45743</v>
      </c>
      <c r="M703" s="18">
        <f t="shared" si="13"/>
        <v>45717</v>
      </c>
      <c r="N703">
        <v>5690675</v>
      </c>
      <c r="O703" t="s">
        <v>123</v>
      </c>
      <c r="P703" t="s">
        <v>146</v>
      </c>
      <c r="Q703">
        <v>1.07</v>
      </c>
      <c r="R703" t="s">
        <v>125</v>
      </c>
      <c r="S703" t="s">
        <v>126</v>
      </c>
      <c r="T703" t="s">
        <v>125</v>
      </c>
      <c r="U703" t="s">
        <v>126</v>
      </c>
      <c r="W703">
        <v>1.07</v>
      </c>
      <c r="Y703">
        <v>1.07</v>
      </c>
      <c r="BE703">
        <v>1.07</v>
      </c>
      <c r="BH703" t="s">
        <v>126</v>
      </c>
      <c r="BI703" t="s">
        <v>126</v>
      </c>
      <c r="BJ703" t="s">
        <v>126</v>
      </c>
      <c r="BK703" t="s">
        <v>126</v>
      </c>
      <c r="BS703" t="s">
        <v>126</v>
      </c>
      <c r="BT703" t="s">
        <v>126</v>
      </c>
      <c r="BU703" t="s">
        <v>126</v>
      </c>
      <c r="BV703" t="s">
        <v>126</v>
      </c>
      <c r="CN703" t="s">
        <v>147</v>
      </c>
      <c r="CP703" t="s">
        <v>283</v>
      </c>
      <c r="CQ703" t="s">
        <v>147</v>
      </c>
    </row>
    <row r="704" spans="1:95" x14ac:dyDescent="0.2">
      <c r="A704" t="s">
        <v>115</v>
      </c>
      <c r="B704" t="s">
        <v>116</v>
      </c>
      <c r="C704">
        <v>210784</v>
      </c>
      <c r="E704" t="s">
        <v>117</v>
      </c>
      <c r="F704">
        <v>368</v>
      </c>
      <c r="G704" t="s">
        <v>141</v>
      </c>
      <c r="H704" t="s">
        <v>142</v>
      </c>
      <c r="I704" t="s">
        <v>279</v>
      </c>
      <c r="J704" t="s">
        <v>280</v>
      </c>
      <c r="L704" s="14">
        <v>45744</v>
      </c>
      <c r="M704" s="18">
        <f t="shared" si="13"/>
        <v>45717</v>
      </c>
      <c r="N704">
        <v>5691383</v>
      </c>
      <c r="O704" t="s">
        <v>123</v>
      </c>
      <c r="P704" t="s">
        <v>146</v>
      </c>
      <c r="Q704">
        <v>3.44</v>
      </c>
      <c r="R704" t="s">
        <v>125</v>
      </c>
      <c r="S704" t="s">
        <v>126</v>
      </c>
      <c r="T704" t="s">
        <v>125</v>
      </c>
      <c r="U704" t="s">
        <v>126</v>
      </c>
      <c r="W704">
        <v>3.44</v>
      </c>
      <c r="Y704">
        <v>3.44</v>
      </c>
      <c r="AS704">
        <v>3.44</v>
      </c>
      <c r="BH704" t="s">
        <v>126</v>
      </c>
      <c r="BI704" t="s">
        <v>126</v>
      </c>
      <c r="BJ704" t="s">
        <v>126</v>
      </c>
      <c r="BK704" t="s">
        <v>126</v>
      </c>
      <c r="BS704" t="s">
        <v>126</v>
      </c>
      <c r="BT704" t="s">
        <v>126</v>
      </c>
      <c r="BU704" t="s">
        <v>126</v>
      </c>
      <c r="BV704" t="s">
        <v>126</v>
      </c>
      <c r="CN704" t="s">
        <v>147</v>
      </c>
      <c r="CP704" t="s">
        <v>283</v>
      </c>
      <c r="CQ704" t="s">
        <v>147</v>
      </c>
    </row>
    <row r="705" spans="1:95" x14ac:dyDescent="0.2">
      <c r="A705" t="s">
        <v>115</v>
      </c>
      <c r="B705" t="s">
        <v>116</v>
      </c>
      <c r="C705">
        <v>210784</v>
      </c>
      <c r="E705" t="s">
        <v>117</v>
      </c>
      <c r="F705">
        <v>368</v>
      </c>
      <c r="G705" t="s">
        <v>141</v>
      </c>
      <c r="H705" t="s">
        <v>142</v>
      </c>
      <c r="I705" t="s">
        <v>279</v>
      </c>
      <c r="J705" t="s">
        <v>280</v>
      </c>
      <c r="L705" s="14">
        <v>45744</v>
      </c>
      <c r="M705" s="18">
        <f t="shared" si="13"/>
        <v>45717</v>
      </c>
      <c r="N705">
        <v>5691482</v>
      </c>
      <c r="O705" t="s">
        <v>123</v>
      </c>
      <c r="P705" t="s">
        <v>146</v>
      </c>
      <c r="Q705">
        <v>5.24</v>
      </c>
      <c r="R705" t="s">
        <v>125</v>
      </c>
      <c r="S705" t="s">
        <v>126</v>
      </c>
      <c r="T705" t="s">
        <v>125</v>
      </c>
      <c r="U705" t="s">
        <v>126</v>
      </c>
      <c r="W705">
        <v>5.24</v>
      </c>
      <c r="Y705">
        <v>5.24</v>
      </c>
      <c r="AS705">
        <v>5.24</v>
      </c>
      <c r="BH705" t="s">
        <v>126</v>
      </c>
      <c r="BI705" t="s">
        <v>126</v>
      </c>
      <c r="BJ705" t="s">
        <v>126</v>
      </c>
      <c r="BK705" t="s">
        <v>126</v>
      </c>
      <c r="BS705" t="s">
        <v>126</v>
      </c>
      <c r="BT705" t="s">
        <v>126</v>
      </c>
      <c r="BU705" t="s">
        <v>126</v>
      </c>
      <c r="BV705" t="s">
        <v>126</v>
      </c>
      <c r="CN705" t="s">
        <v>147</v>
      </c>
      <c r="CP705" t="s">
        <v>283</v>
      </c>
      <c r="CQ705" t="s">
        <v>147</v>
      </c>
    </row>
    <row r="706" spans="1:95" x14ac:dyDescent="0.2">
      <c r="A706" t="s">
        <v>115</v>
      </c>
      <c r="B706" t="s">
        <v>116</v>
      </c>
      <c r="C706">
        <v>210784</v>
      </c>
      <c r="E706" t="s">
        <v>117</v>
      </c>
      <c r="F706">
        <v>368</v>
      </c>
      <c r="G706" t="s">
        <v>141</v>
      </c>
      <c r="H706" t="s">
        <v>142</v>
      </c>
      <c r="I706" t="s">
        <v>279</v>
      </c>
      <c r="J706" t="s">
        <v>280</v>
      </c>
      <c r="L706" s="14">
        <v>45747</v>
      </c>
      <c r="M706" s="18">
        <f t="shared" si="13"/>
        <v>45717</v>
      </c>
      <c r="N706">
        <v>5691866</v>
      </c>
      <c r="O706" t="s">
        <v>123</v>
      </c>
      <c r="P706" t="s">
        <v>146</v>
      </c>
      <c r="Q706">
        <v>2.92</v>
      </c>
      <c r="R706" t="s">
        <v>125</v>
      </c>
      <c r="S706" t="s">
        <v>126</v>
      </c>
      <c r="T706" t="s">
        <v>125</v>
      </c>
      <c r="U706" t="s">
        <v>126</v>
      </c>
      <c r="W706">
        <v>2.92</v>
      </c>
      <c r="Y706">
        <v>2.92</v>
      </c>
      <c r="AS706">
        <v>2.92</v>
      </c>
      <c r="BH706" t="s">
        <v>126</v>
      </c>
      <c r="BI706" t="s">
        <v>126</v>
      </c>
      <c r="BJ706" t="s">
        <v>126</v>
      </c>
      <c r="BK706" t="s">
        <v>126</v>
      </c>
      <c r="BS706" t="s">
        <v>126</v>
      </c>
      <c r="BT706" t="s">
        <v>126</v>
      </c>
      <c r="BU706" t="s">
        <v>126</v>
      </c>
      <c r="BV706" t="s">
        <v>126</v>
      </c>
      <c r="CN706" t="s">
        <v>147</v>
      </c>
      <c r="CP706" t="s">
        <v>283</v>
      </c>
      <c r="CQ706" t="s">
        <v>147</v>
      </c>
    </row>
    <row r="707" spans="1:95" x14ac:dyDescent="0.2">
      <c r="A707" t="s">
        <v>115</v>
      </c>
      <c r="B707" t="s">
        <v>116</v>
      </c>
      <c r="C707">
        <v>210784</v>
      </c>
      <c r="E707" t="s">
        <v>117</v>
      </c>
      <c r="F707">
        <v>368</v>
      </c>
      <c r="G707" t="s">
        <v>141</v>
      </c>
      <c r="H707" t="s">
        <v>142</v>
      </c>
      <c r="I707" t="s">
        <v>279</v>
      </c>
      <c r="J707" t="s">
        <v>280</v>
      </c>
      <c r="L707" s="14">
        <v>45747</v>
      </c>
      <c r="M707" s="18">
        <f t="shared" si="13"/>
        <v>45717</v>
      </c>
      <c r="N707">
        <v>5692512</v>
      </c>
      <c r="O707" t="s">
        <v>123</v>
      </c>
      <c r="P707" t="s">
        <v>146</v>
      </c>
      <c r="Q707">
        <v>3.11</v>
      </c>
      <c r="R707" t="s">
        <v>125</v>
      </c>
      <c r="S707" t="s">
        <v>126</v>
      </c>
      <c r="T707" t="s">
        <v>125</v>
      </c>
      <c r="U707" t="s">
        <v>126</v>
      </c>
      <c r="W707">
        <v>3.11</v>
      </c>
      <c r="Y707">
        <v>3.11</v>
      </c>
      <c r="AS707">
        <v>3.11</v>
      </c>
      <c r="BH707" t="s">
        <v>126</v>
      </c>
      <c r="BI707" t="s">
        <v>126</v>
      </c>
      <c r="BJ707" t="s">
        <v>126</v>
      </c>
      <c r="BK707" t="s">
        <v>126</v>
      </c>
      <c r="BS707" t="s">
        <v>126</v>
      </c>
      <c r="BT707" t="s">
        <v>126</v>
      </c>
      <c r="BU707" t="s">
        <v>126</v>
      </c>
      <c r="BV707" t="s">
        <v>126</v>
      </c>
      <c r="CN707" t="s">
        <v>147</v>
      </c>
      <c r="CP707" t="s">
        <v>283</v>
      </c>
      <c r="CQ707" t="s">
        <v>147</v>
      </c>
    </row>
    <row r="708" spans="1:95" x14ac:dyDescent="0.2">
      <c r="A708" t="s">
        <v>115</v>
      </c>
      <c r="B708" t="s">
        <v>116</v>
      </c>
      <c r="C708">
        <v>210784</v>
      </c>
      <c r="E708" t="s">
        <v>117</v>
      </c>
      <c r="F708">
        <v>368</v>
      </c>
      <c r="G708" t="s">
        <v>141</v>
      </c>
      <c r="H708" t="s">
        <v>142</v>
      </c>
      <c r="I708" t="s">
        <v>279</v>
      </c>
      <c r="J708" t="s">
        <v>280</v>
      </c>
      <c r="L708" s="14">
        <v>45747</v>
      </c>
      <c r="M708" s="18">
        <f t="shared" si="13"/>
        <v>45717</v>
      </c>
      <c r="N708">
        <v>5691907</v>
      </c>
      <c r="O708" t="s">
        <v>123</v>
      </c>
      <c r="P708" t="s">
        <v>146</v>
      </c>
      <c r="Q708">
        <v>1.0900000000000001</v>
      </c>
      <c r="R708" t="s">
        <v>125</v>
      </c>
      <c r="S708" t="s">
        <v>126</v>
      </c>
      <c r="T708" t="s">
        <v>125</v>
      </c>
      <c r="U708" t="s">
        <v>126</v>
      </c>
      <c r="W708">
        <v>1.0900000000000001</v>
      </c>
      <c r="Y708">
        <v>1.0900000000000001</v>
      </c>
      <c r="BE708">
        <v>1.0900000000000001</v>
      </c>
      <c r="BH708" t="s">
        <v>126</v>
      </c>
      <c r="BI708" t="s">
        <v>126</v>
      </c>
      <c r="BJ708" t="s">
        <v>126</v>
      </c>
      <c r="BK708" t="s">
        <v>126</v>
      </c>
      <c r="BS708" t="s">
        <v>126</v>
      </c>
      <c r="BT708" t="s">
        <v>126</v>
      </c>
      <c r="BU708" t="s">
        <v>126</v>
      </c>
      <c r="BV708" t="s">
        <v>126</v>
      </c>
      <c r="CN708" t="s">
        <v>147</v>
      </c>
      <c r="CP708" t="s">
        <v>283</v>
      </c>
      <c r="CQ708" t="s">
        <v>147</v>
      </c>
    </row>
    <row r="709" spans="1:95" x14ac:dyDescent="0.2">
      <c r="A709" t="s">
        <v>115</v>
      </c>
      <c r="B709" t="s">
        <v>116</v>
      </c>
      <c r="C709">
        <v>210784</v>
      </c>
      <c r="E709" t="s">
        <v>117</v>
      </c>
      <c r="F709">
        <v>368</v>
      </c>
      <c r="G709" t="s">
        <v>141</v>
      </c>
      <c r="H709" t="s">
        <v>142</v>
      </c>
      <c r="I709" t="s">
        <v>279</v>
      </c>
      <c r="J709" t="s">
        <v>280</v>
      </c>
      <c r="L709" s="14">
        <v>45748</v>
      </c>
      <c r="M709" s="18">
        <f t="shared" si="13"/>
        <v>45748</v>
      </c>
      <c r="N709">
        <v>5693047</v>
      </c>
      <c r="O709" t="s">
        <v>123</v>
      </c>
      <c r="P709" t="s">
        <v>146</v>
      </c>
      <c r="Q709">
        <v>4.03</v>
      </c>
      <c r="R709" t="s">
        <v>125</v>
      </c>
      <c r="S709" t="s">
        <v>126</v>
      </c>
      <c r="T709" t="s">
        <v>125</v>
      </c>
      <c r="U709" t="s">
        <v>126</v>
      </c>
      <c r="W709">
        <v>4.03</v>
      </c>
      <c r="Y709">
        <v>4.03</v>
      </c>
      <c r="AS709">
        <v>4.03</v>
      </c>
      <c r="BH709" t="s">
        <v>126</v>
      </c>
      <c r="BI709" t="s">
        <v>126</v>
      </c>
      <c r="BJ709" t="s">
        <v>126</v>
      </c>
      <c r="BK709" t="s">
        <v>126</v>
      </c>
      <c r="BS709" t="s">
        <v>126</v>
      </c>
      <c r="BT709" t="s">
        <v>126</v>
      </c>
      <c r="BU709" t="s">
        <v>126</v>
      </c>
      <c r="BV709" t="s">
        <v>126</v>
      </c>
      <c r="CN709" t="s">
        <v>147</v>
      </c>
      <c r="CP709" t="s">
        <v>283</v>
      </c>
      <c r="CQ709" t="s">
        <v>147</v>
      </c>
    </row>
    <row r="710" spans="1:95" x14ac:dyDescent="0.2">
      <c r="A710" t="s">
        <v>115</v>
      </c>
      <c r="B710" t="s">
        <v>116</v>
      </c>
      <c r="C710">
        <v>210784</v>
      </c>
      <c r="E710" t="s">
        <v>117</v>
      </c>
      <c r="F710">
        <v>368</v>
      </c>
      <c r="G710" t="s">
        <v>141</v>
      </c>
      <c r="H710" t="s">
        <v>142</v>
      </c>
      <c r="I710" t="s">
        <v>279</v>
      </c>
      <c r="J710" t="s">
        <v>280</v>
      </c>
      <c r="L710" s="14">
        <v>45748</v>
      </c>
      <c r="M710" s="18">
        <f t="shared" si="13"/>
        <v>45748</v>
      </c>
      <c r="N710">
        <v>5693201</v>
      </c>
      <c r="O710" t="s">
        <v>123</v>
      </c>
      <c r="P710" t="s">
        <v>146</v>
      </c>
      <c r="Q710">
        <v>2.65</v>
      </c>
      <c r="R710" t="s">
        <v>125</v>
      </c>
      <c r="S710" t="s">
        <v>126</v>
      </c>
      <c r="T710" t="s">
        <v>125</v>
      </c>
      <c r="U710" t="s">
        <v>126</v>
      </c>
      <c r="W710">
        <v>2.65</v>
      </c>
      <c r="Y710">
        <v>2.65</v>
      </c>
      <c r="BE710">
        <v>2.65</v>
      </c>
      <c r="BH710" t="s">
        <v>126</v>
      </c>
      <c r="BI710" t="s">
        <v>126</v>
      </c>
      <c r="BJ710" t="s">
        <v>126</v>
      </c>
      <c r="BK710" t="s">
        <v>126</v>
      </c>
      <c r="BS710" t="s">
        <v>126</v>
      </c>
      <c r="BT710" t="s">
        <v>126</v>
      </c>
      <c r="BU710" t="s">
        <v>126</v>
      </c>
      <c r="BV710" t="s">
        <v>126</v>
      </c>
      <c r="CN710" t="s">
        <v>147</v>
      </c>
      <c r="CP710" t="s">
        <v>283</v>
      </c>
      <c r="CQ710" t="s">
        <v>147</v>
      </c>
    </row>
    <row r="711" spans="1:95" x14ac:dyDescent="0.2">
      <c r="A711" t="s">
        <v>115</v>
      </c>
      <c r="B711" t="s">
        <v>116</v>
      </c>
      <c r="C711">
        <v>210784</v>
      </c>
      <c r="E711" t="s">
        <v>117</v>
      </c>
      <c r="F711">
        <v>368</v>
      </c>
      <c r="G711" t="s">
        <v>141</v>
      </c>
      <c r="H711" t="s">
        <v>142</v>
      </c>
      <c r="I711" t="s">
        <v>279</v>
      </c>
      <c r="J711" t="s">
        <v>280</v>
      </c>
      <c r="L711" s="14">
        <v>45749</v>
      </c>
      <c r="M711" s="18">
        <f t="shared" si="13"/>
        <v>45748</v>
      </c>
      <c r="N711">
        <v>5693665</v>
      </c>
      <c r="O711" t="s">
        <v>123</v>
      </c>
      <c r="P711" t="s">
        <v>146</v>
      </c>
      <c r="Q711">
        <v>4.6900000000000004</v>
      </c>
      <c r="R711" t="s">
        <v>125</v>
      </c>
      <c r="S711" t="s">
        <v>126</v>
      </c>
      <c r="T711" t="s">
        <v>125</v>
      </c>
      <c r="U711" t="s">
        <v>126</v>
      </c>
      <c r="W711">
        <v>4.6900000000000004</v>
      </c>
      <c r="Y711">
        <v>4.6900000000000004</v>
      </c>
      <c r="AS711">
        <v>4.6900000000000004</v>
      </c>
      <c r="BH711" t="s">
        <v>126</v>
      </c>
      <c r="BI711" t="s">
        <v>126</v>
      </c>
      <c r="BJ711" t="s">
        <v>126</v>
      </c>
      <c r="BK711" t="s">
        <v>126</v>
      </c>
      <c r="BS711" t="s">
        <v>126</v>
      </c>
      <c r="BT711" t="s">
        <v>126</v>
      </c>
      <c r="BU711" t="s">
        <v>126</v>
      </c>
      <c r="BV711" t="s">
        <v>126</v>
      </c>
      <c r="CN711" t="s">
        <v>147</v>
      </c>
      <c r="CP711" t="s">
        <v>283</v>
      </c>
      <c r="CQ711" t="s">
        <v>147</v>
      </c>
    </row>
    <row r="712" spans="1:95" x14ac:dyDescent="0.2">
      <c r="A712" t="s">
        <v>115</v>
      </c>
      <c r="B712" t="s">
        <v>116</v>
      </c>
      <c r="C712">
        <v>210784</v>
      </c>
      <c r="E712" t="s">
        <v>117</v>
      </c>
      <c r="F712">
        <v>368</v>
      </c>
      <c r="G712" t="s">
        <v>141</v>
      </c>
      <c r="H712" t="s">
        <v>142</v>
      </c>
      <c r="I712" t="s">
        <v>279</v>
      </c>
      <c r="J712" t="s">
        <v>280</v>
      </c>
      <c r="L712" s="14">
        <v>45749</v>
      </c>
      <c r="M712" s="18">
        <f t="shared" si="13"/>
        <v>45748</v>
      </c>
      <c r="N712">
        <v>5693914</v>
      </c>
      <c r="O712" t="s">
        <v>123</v>
      </c>
      <c r="P712" t="s">
        <v>146</v>
      </c>
      <c r="Q712">
        <v>1</v>
      </c>
      <c r="R712" t="s">
        <v>681</v>
      </c>
      <c r="S712" t="s">
        <v>126</v>
      </c>
      <c r="T712" t="s">
        <v>681</v>
      </c>
      <c r="U712" t="s">
        <v>682</v>
      </c>
      <c r="W712">
        <v>0.31</v>
      </c>
      <c r="X712">
        <v>0.69</v>
      </c>
      <c r="Y712">
        <v>1</v>
      </c>
      <c r="Z712">
        <v>0.38</v>
      </c>
      <c r="AG712">
        <v>0.31</v>
      </c>
      <c r="AI712">
        <v>0.31</v>
      </c>
      <c r="BH712" t="s">
        <v>126</v>
      </c>
      <c r="BI712" t="s">
        <v>126</v>
      </c>
      <c r="BJ712" t="s">
        <v>126</v>
      </c>
      <c r="BK712" t="s">
        <v>126</v>
      </c>
      <c r="BS712" t="s">
        <v>126</v>
      </c>
      <c r="BT712" t="s">
        <v>126</v>
      </c>
      <c r="BU712" t="s">
        <v>126</v>
      </c>
      <c r="BV712" t="s">
        <v>126</v>
      </c>
      <c r="CN712" t="s">
        <v>147</v>
      </c>
      <c r="CP712" t="s">
        <v>283</v>
      </c>
      <c r="CQ712" t="s">
        <v>147</v>
      </c>
    </row>
    <row r="713" spans="1:95" x14ac:dyDescent="0.2">
      <c r="A713" t="s">
        <v>115</v>
      </c>
      <c r="B713" t="s">
        <v>116</v>
      </c>
      <c r="C713">
        <v>210784</v>
      </c>
      <c r="E713" t="s">
        <v>117</v>
      </c>
      <c r="F713">
        <v>368</v>
      </c>
      <c r="G713" t="s">
        <v>141</v>
      </c>
      <c r="H713" t="s">
        <v>142</v>
      </c>
      <c r="I713" t="s">
        <v>279</v>
      </c>
      <c r="J713" t="s">
        <v>280</v>
      </c>
      <c r="L713" s="14">
        <v>45749</v>
      </c>
      <c r="M713" s="18">
        <f t="shared" si="13"/>
        <v>45748</v>
      </c>
      <c r="N713">
        <v>5693945</v>
      </c>
      <c r="O713" t="s">
        <v>123</v>
      </c>
      <c r="P713" t="s">
        <v>146</v>
      </c>
      <c r="Q713">
        <v>1.9099999999999997</v>
      </c>
      <c r="R713" t="s">
        <v>598</v>
      </c>
      <c r="S713" t="s">
        <v>126</v>
      </c>
      <c r="T713" t="s">
        <v>598</v>
      </c>
      <c r="U713" t="s">
        <v>599</v>
      </c>
      <c r="W713">
        <v>0.59</v>
      </c>
      <c r="X713">
        <v>1.3199999999999998</v>
      </c>
      <c r="Y713">
        <v>1.9099999999999997</v>
      </c>
      <c r="Z713">
        <v>0.73</v>
      </c>
      <c r="AG713">
        <v>0.59</v>
      </c>
      <c r="AI713">
        <v>0.59</v>
      </c>
      <c r="BH713" t="s">
        <v>126</v>
      </c>
      <c r="BI713" t="s">
        <v>126</v>
      </c>
      <c r="BJ713" t="s">
        <v>126</v>
      </c>
      <c r="BK713" t="s">
        <v>126</v>
      </c>
      <c r="BS713" t="s">
        <v>126</v>
      </c>
      <c r="BT713" t="s">
        <v>126</v>
      </c>
      <c r="BU713" t="s">
        <v>126</v>
      </c>
      <c r="BV713" t="s">
        <v>126</v>
      </c>
      <c r="CN713" t="s">
        <v>147</v>
      </c>
      <c r="CP713" t="s">
        <v>283</v>
      </c>
      <c r="CQ713" t="s">
        <v>147</v>
      </c>
    </row>
    <row r="714" spans="1:95" x14ac:dyDescent="0.2">
      <c r="A714" t="s">
        <v>115</v>
      </c>
      <c r="B714" t="s">
        <v>116</v>
      </c>
      <c r="C714">
        <v>210784</v>
      </c>
      <c r="E714" t="s">
        <v>117</v>
      </c>
      <c r="F714">
        <v>368</v>
      </c>
      <c r="G714" t="s">
        <v>141</v>
      </c>
      <c r="H714" t="s">
        <v>142</v>
      </c>
      <c r="I714" t="s">
        <v>279</v>
      </c>
      <c r="J714" t="s">
        <v>280</v>
      </c>
      <c r="L714" s="14">
        <v>45750</v>
      </c>
      <c r="M714" s="18">
        <f t="shared" si="13"/>
        <v>45748</v>
      </c>
      <c r="N714">
        <v>5694809</v>
      </c>
      <c r="O714" t="s">
        <v>123</v>
      </c>
      <c r="P714" t="s">
        <v>146</v>
      </c>
      <c r="Q714">
        <v>0.51</v>
      </c>
      <c r="R714" t="s">
        <v>125</v>
      </c>
      <c r="S714" t="s">
        <v>126</v>
      </c>
      <c r="T714" t="s">
        <v>125</v>
      </c>
      <c r="U714" t="s">
        <v>126</v>
      </c>
      <c r="W714">
        <v>0.51</v>
      </c>
      <c r="Y714">
        <v>0.51</v>
      </c>
      <c r="BE714">
        <v>0.51</v>
      </c>
      <c r="BH714" t="s">
        <v>126</v>
      </c>
      <c r="BI714" t="s">
        <v>126</v>
      </c>
      <c r="BJ714" t="s">
        <v>126</v>
      </c>
      <c r="BK714" t="s">
        <v>126</v>
      </c>
      <c r="BS714" t="s">
        <v>126</v>
      </c>
      <c r="BT714" t="s">
        <v>126</v>
      </c>
      <c r="BU714" t="s">
        <v>126</v>
      </c>
      <c r="BV714" t="s">
        <v>126</v>
      </c>
      <c r="CN714" t="s">
        <v>147</v>
      </c>
      <c r="CP714" t="s">
        <v>283</v>
      </c>
      <c r="CQ714" t="s">
        <v>147</v>
      </c>
    </row>
    <row r="715" spans="1:95" x14ac:dyDescent="0.2">
      <c r="A715" t="s">
        <v>115</v>
      </c>
      <c r="B715" t="s">
        <v>116</v>
      </c>
      <c r="C715">
        <v>210784</v>
      </c>
      <c r="E715" t="s">
        <v>117</v>
      </c>
      <c r="F715">
        <v>368</v>
      </c>
      <c r="G715" t="s">
        <v>141</v>
      </c>
      <c r="H715" t="s">
        <v>142</v>
      </c>
      <c r="I715" t="s">
        <v>279</v>
      </c>
      <c r="J715" t="s">
        <v>280</v>
      </c>
      <c r="L715" s="14">
        <v>45751</v>
      </c>
      <c r="M715" s="18">
        <f t="shared" ref="M715:M778" si="14">DATE(YEAR(L715), MONTH(L715), 1)</f>
        <v>45748</v>
      </c>
      <c r="N715">
        <v>5694989</v>
      </c>
      <c r="O715" t="s">
        <v>123</v>
      </c>
      <c r="P715" t="s">
        <v>146</v>
      </c>
      <c r="Q715">
        <v>5.42</v>
      </c>
      <c r="R715" t="s">
        <v>125</v>
      </c>
      <c r="S715" t="s">
        <v>126</v>
      </c>
      <c r="T715" t="s">
        <v>125</v>
      </c>
      <c r="U715" t="s">
        <v>126</v>
      </c>
      <c r="W715">
        <v>5.42</v>
      </c>
      <c r="Y715">
        <v>5.42</v>
      </c>
      <c r="AS715">
        <v>5.42</v>
      </c>
      <c r="BH715" t="s">
        <v>126</v>
      </c>
      <c r="BI715" t="s">
        <v>126</v>
      </c>
      <c r="BJ715" t="s">
        <v>126</v>
      </c>
      <c r="BK715" t="s">
        <v>126</v>
      </c>
      <c r="BS715" t="s">
        <v>126</v>
      </c>
      <c r="BT715" t="s">
        <v>126</v>
      </c>
      <c r="BU715" t="s">
        <v>126</v>
      </c>
      <c r="BV715" t="s">
        <v>126</v>
      </c>
      <c r="CN715" t="s">
        <v>147</v>
      </c>
      <c r="CP715" t="s">
        <v>283</v>
      </c>
      <c r="CQ715" t="s">
        <v>147</v>
      </c>
    </row>
    <row r="716" spans="1:95" x14ac:dyDescent="0.2">
      <c r="A716" t="s">
        <v>115</v>
      </c>
      <c r="B716" t="s">
        <v>116</v>
      </c>
      <c r="C716">
        <v>210784</v>
      </c>
      <c r="E716" t="s">
        <v>117</v>
      </c>
      <c r="F716">
        <v>368</v>
      </c>
      <c r="G716" t="s">
        <v>141</v>
      </c>
      <c r="H716" t="s">
        <v>142</v>
      </c>
      <c r="I716" t="s">
        <v>279</v>
      </c>
      <c r="J716" t="s">
        <v>280</v>
      </c>
      <c r="L716" s="14">
        <v>45751</v>
      </c>
      <c r="M716" s="18">
        <f t="shared" si="14"/>
        <v>45748</v>
      </c>
      <c r="N716">
        <v>5695385</v>
      </c>
      <c r="O716" t="s">
        <v>123</v>
      </c>
      <c r="P716" t="s">
        <v>146</v>
      </c>
      <c r="Q716">
        <v>2.79</v>
      </c>
      <c r="R716" t="s">
        <v>125</v>
      </c>
      <c r="S716" t="s">
        <v>126</v>
      </c>
      <c r="T716" t="s">
        <v>125</v>
      </c>
      <c r="U716" t="s">
        <v>126</v>
      </c>
      <c r="W716">
        <v>2.79</v>
      </c>
      <c r="Y716">
        <v>2.79</v>
      </c>
      <c r="AS716">
        <v>2.79</v>
      </c>
      <c r="BH716" t="s">
        <v>126</v>
      </c>
      <c r="BI716" t="s">
        <v>126</v>
      </c>
      <c r="BJ716" t="s">
        <v>126</v>
      </c>
      <c r="BK716" t="s">
        <v>126</v>
      </c>
      <c r="BS716" t="s">
        <v>126</v>
      </c>
      <c r="BT716" t="s">
        <v>126</v>
      </c>
      <c r="BU716" t="s">
        <v>126</v>
      </c>
      <c r="BV716" t="s">
        <v>126</v>
      </c>
      <c r="CN716" t="s">
        <v>147</v>
      </c>
      <c r="CP716" t="s">
        <v>283</v>
      </c>
      <c r="CQ716" t="s">
        <v>147</v>
      </c>
    </row>
    <row r="717" spans="1:95" x14ac:dyDescent="0.2">
      <c r="A717" t="s">
        <v>115</v>
      </c>
      <c r="B717" t="s">
        <v>116</v>
      </c>
      <c r="C717">
        <v>210784</v>
      </c>
      <c r="E717" t="s">
        <v>117</v>
      </c>
      <c r="F717">
        <v>368</v>
      </c>
      <c r="G717" t="s">
        <v>141</v>
      </c>
      <c r="H717" t="s">
        <v>142</v>
      </c>
      <c r="I717" t="s">
        <v>279</v>
      </c>
      <c r="J717" t="s">
        <v>280</v>
      </c>
      <c r="L717" s="14">
        <v>45751</v>
      </c>
      <c r="M717" s="18">
        <f t="shared" si="14"/>
        <v>45748</v>
      </c>
      <c r="N717">
        <v>5695611</v>
      </c>
      <c r="O717" t="s">
        <v>123</v>
      </c>
      <c r="P717" t="s">
        <v>146</v>
      </c>
      <c r="Q717">
        <v>1.6</v>
      </c>
      <c r="R717" t="s">
        <v>125</v>
      </c>
      <c r="S717" t="s">
        <v>126</v>
      </c>
      <c r="T717" t="s">
        <v>125</v>
      </c>
      <c r="U717" t="s">
        <v>126</v>
      </c>
      <c r="W717">
        <v>1.6</v>
      </c>
      <c r="Y717">
        <v>1.6</v>
      </c>
      <c r="AS717">
        <v>1.6</v>
      </c>
      <c r="BH717" t="s">
        <v>126</v>
      </c>
      <c r="BI717" t="s">
        <v>126</v>
      </c>
      <c r="BJ717" t="s">
        <v>126</v>
      </c>
      <c r="BK717" t="s">
        <v>126</v>
      </c>
      <c r="BS717" t="s">
        <v>126</v>
      </c>
      <c r="BT717" t="s">
        <v>126</v>
      </c>
      <c r="BU717" t="s">
        <v>126</v>
      </c>
      <c r="BV717" t="s">
        <v>126</v>
      </c>
      <c r="CN717" t="s">
        <v>147</v>
      </c>
      <c r="CP717" t="s">
        <v>283</v>
      </c>
      <c r="CQ717" t="s">
        <v>147</v>
      </c>
    </row>
    <row r="718" spans="1:95" x14ac:dyDescent="0.2">
      <c r="A718" t="s">
        <v>115</v>
      </c>
      <c r="B718" t="s">
        <v>116</v>
      </c>
      <c r="C718">
        <v>210784</v>
      </c>
      <c r="E718" t="s">
        <v>117</v>
      </c>
      <c r="F718">
        <v>368</v>
      </c>
      <c r="G718" t="s">
        <v>141</v>
      </c>
      <c r="H718" t="s">
        <v>142</v>
      </c>
      <c r="I718" t="s">
        <v>279</v>
      </c>
      <c r="J718" t="s">
        <v>280</v>
      </c>
      <c r="L718" s="14">
        <v>45754</v>
      </c>
      <c r="M718" s="18">
        <f t="shared" si="14"/>
        <v>45748</v>
      </c>
      <c r="N718">
        <v>5696677</v>
      </c>
      <c r="O718" t="s">
        <v>123</v>
      </c>
      <c r="P718" t="s">
        <v>146</v>
      </c>
      <c r="Q718">
        <v>7.38</v>
      </c>
      <c r="R718" t="s">
        <v>125</v>
      </c>
      <c r="S718" t="s">
        <v>126</v>
      </c>
      <c r="T718" t="s">
        <v>125</v>
      </c>
      <c r="U718" t="s">
        <v>126</v>
      </c>
      <c r="W718">
        <v>7.38</v>
      </c>
      <c r="Y718">
        <v>7.38</v>
      </c>
      <c r="AS718">
        <v>7.38</v>
      </c>
      <c r="BH718" t="s">
        <v>126</v>
      </c>
      <c r="BI718" t="s">
        <v>126</v>
      </c>
      <c r="BJ718" t="s">
        <v>126</v>
      </c>
      <c r="BK718" t="s">
        <v>126</v>
      </c>
      <c r="BS718" t="s">
        <v>126</v>
      </c>
      <c r="BT718" t="s">
        <v>126</v>
      </c>
      <c r="BU718" t="s">
        <v>126</v>
      </c>
      <c r="BV718" t="s">
        <v>126</v>
      </c>
      <c r="CN718" t="s">
        <v>147</v>
      </c>
      <c r="CP718" t="s">
        <v>283</v>
      </c>
      <c r="CQ718" t="s">
        <v>147</v>
      </c>
    </row>
    <row r="719" spans="1:95" x14ac:dyDescent="0.2">
      <c r="A719" t="s">
        <v>115</v>
      </c>
      <c r="B719" t="s">
        <v>116</v>
      </c>
      <c r="C719">
        <v>210784</v>
      </c>
      <c r="E719" t="s">
        <v>117</v>
      </c>
      <c r="F719">
        <v>368</v>
      </c>
      <c r="G719" t="s">
        <v>141</v>
      </c>
      <c r="H719" t="s">
        <v>142</v>
      </c>
      <c r="I719" t="s">
        <v>279</v>
      </c>
      <c r="J719" t="s">
        <v>280</v>
      </c>
      <c r="L719" s="14">
        <v>45754</v>
      </c>
      <c r="M719" s="18">
        <f t="shared" si="14"/>
        <v>45748</v>
      </c>
      <c r="N719">
        <v>5696060</v>
      </c>
      <c r="O719" t="s">
        <v>123</v>
      </c>
      <c r="P719" t="s">
        <v>146</v>
      </c>
      <c r="Q719">
        <v>6.14</v>
      </c>
      <c r="R719" t="s">
        <v>683</v>
      </c>
      <c r="S719" t="s">
        <v>126</v>
      </c>
      <c r="T719" t="s">
        <v>683</v>
      </c>
      <c r="U719" t="s">
        <v>684</v>
      </c>
      <c r="W719">
        <v>1.89</v>
      </c>
      <c r="X719">
        <v>4.25</v>
      </c>
      <c r="Y719">
        <v>6.14</v>
      </c>
      <c r="Z719">
        <v>2.34</v>
      </c>
      <c r="AG719">
        <v>1.89</v>
      </c>
      <c r="AI719">
        <v>1.91</v>
      </c>
      <c r="BH719" t="s">
        <v>126</v>
      </c>
      <c r="BI719" t="s">
        <v>126</v>
      </c>
      <c r="BJ719" t="s">
        <v>126</v>
      </c>
      <c r="BK719" t="s">
        <v>126</v>
      </c>
      <c r="BS719" t="s">
        <v>126</v>
      </c>
      <c r="BT719" t="s">
        <v>126</v>
      </c>
      <c r="BU719" t="s">
        <v>126</v>
      </c>
      <c r="BV719" t="s">
        <v>126</v>
      </c>
      <c r="CN719" t="s">
        <v>147</v>
      </c>
      <c r="CP719" t="s">
        <v>283</v>
      </c>
      <c r="CQ719" t="s">
        <v>147</v>
      </c>
    </row>
    <row r="720" spans="1:95" x14ac:dyDescent="0.2">
      <c r="A720" t="s">
        <v>115</v>
      </c>
      <c r="B720" t="s">
        <v>116</v>
      </c>
      <c r="C720">
        <v>210784</v>
      </c>
      <c r="E720" t="s">
        <v>117</v>
      </c>
      <c r="F720">
        <v>368</v>
      </c>
      <c r="G720" t="s">
        <v>141</v>
      </c>
      <c r="H720" t="s">
        <v>142</v>
      </c>
      <c r="I720" t="s">
        <v>279</v>
      </c>
      <c r="J720" t="s">
        <v>280</v>
      </c>
      <c r="L720" s="14">
        <v>45755</v>
      </c>
      <c r="M720" s="18">
        <f t="shared" si="14"/>
        <v>45748</v>
      </c>
      <c r="N720">
        <v>5697116</v>
      </c>
      <c r="O720" t="s">
        <v>123</v>
      </c>
      <c r="P720" t="s">
        <v>146</v>
      </c>
      <c r="Q720">
        <v>3.65</v>
      </c>
      <c r="R720" t="s">
        <v>125</v>
      </c>
      <c r="S720" t="s">
        <v>126</v>
      </c>
      <c r="T720" t="s">
        <v>125</v>
      </c>
      <c r="U720" t="s">
        <v>126</v>
      </c>
      <c r="W720">
        <v>3.65</v>
      </c>
      <c r="Y720">
        <v>3.65</v>
      </c>
      <c r="AS720">
        <v>3.65</v>
      </c>
      <c r="BH720" t="s">
        <v>126</v>
      </c>
      <c r="BI720" t="s">
        <v>126</v>
      </c>
      <c r="BJ720" t="s">
        <v>126</v>
      </c>
      <c r="BK720" t="s">
        <v>126</v>
      </c>
      <c r="BS720" t="s">
        <v>126</v>
      </c>
      <c r="BT720" t="s">
        <v>126</v>
      </c>
      <c r="BU720" t="s">
        <v>126</v>
      </c>
      <c r="BV720" t="s">
        <v>126</v>
      </c>
      <c r="CN720" t="s">
        <v>147</v>
      </c>
      <c r="CP720" t="s">
        <v>283</v>
      </c>
      <c r="CQ720" t="s">
        <v>147</v>
      </c>
    </row>
    <row r="721" spans="1:95" x14ac:dyDescent="0.2">
      <c r="A721" t="s">
        <v>115</v>
      </c>
      <c r="B721" t="s">
        <v>116</v>
      </c>
      <c r="C721">
        <v>210784</v>
      </c>
      <c r="E721" t="s">
        <v>117</v>
      </c>
      <c r="F721">
        <v>368</v>
      </c>
      <c r="G721" t="s">
        <v>141</v>
      </c>
      <c r="H721" t="s">
        <v>142</v>
      </c>
      <c r="I721" t="s">
        <v>279</v>
      </c>
      <c r="J721" t="s">
        <v>280</v>
      </c>
      <c r="L721" s="14">
        <v>45755</v>
      </c>
      <c r="M721" s="18">
        <f t="shared" si="14"/>
        <v>45748</v>
      </c>
      <c r="N721">
        <v>5697505</v>
      </c>
      <c r="O721" t="s">
        <v>123</v>
      </c>
      <c r="P721" t="s">
        <v>146</v>
      </c>
      <c r="Q721">
        <v>2.6</v>
      </c>
      <c r="R721" t="s">
        <v>125</v>
      </c>
      <c r="S721" t="s">
        <v>126</v>
      </c>
      <c r="T721" t="s">
        <v>125</v>
      </c>
      <c r="U721" t="s">
        <v>126</v>
      </c>
      <c r="W721">
        <v>2.6</v>
      </c>
      <c r="Y721">
        <v>2.6</v>
      </c>
      <c r="AS721">
        <v>2.6</v>
      </c>
      <c r="BH721" t="s">
        <v>126</v>
      </c>
      <c r="BI721" t="s">
        <v>126</v>
      </c>
      <c r="BJ721" t="s">
        <v>126</v>
      </c>
      <c r="BK721" t="s">
        <v>126</v>
      </c>
      <c r="BS721" t="s">
        <v>126</v>
      </c>
      <c r="BT721" t="s">
        <v>126</v>
      </c>
      <c r="BU721" t="s">
        <v>126</v>
      </c>
      <c r="BV721" t="s">
        <v>126</v>
      </c>
      <c r="CN721" t="s">
        <v>147</v>
      </c>
      <c r="CP721" t="s">
        <v>283</v>
      </c>
      <c r="CQ721" t="s">
        <v>147</v>
      </c>
    </row>
    <row r="722" spans="1:95" x14ac:dyDescent="0.2">
      <c r="A722" t="s">
        <v>115</v>
      </c>
      <c r="B722" t="s">
        <v>116</v>
      </c>
      <c r="C722">
        <v>210784</v>
      </c>
      <c r="E722" t="s">
        <v>117</v>
      </c>
      <c r="F722">
        <v>368</v>
      </c>
      <c r="G722" t="s">
        <v>141</v>
      </c>
      <c r="H722" t="s">
        <v>142</v>
      </c>
      <c r="I722" t="s">
        <v>279</v>
      </c>
      <c r="J722" t="s">
        <v>280</v>
      </c>
      <c r="L722" s="14">
        <v>45756</v>
      </c>
      <c r="M722" s="18">
        <f t="shared" si="14"/>
        <v>45748</v>
      </c>
      <c r="N722">
        <v>5698013</v>
      </c>
      <c r="O722" t="s">
        <v>123</v>
      </c>
      <c r="P722" t="s">
        <v>146</v>
      </c>
      <c r="Q722">
        <v>2.02</v>
      </c>
      <c r="R722" t="s">
        <v>125</v>
      </c>
      <c r="S722" t="s">
        <v>126</v>
      </c>
      <c r="T722" t="s">
        <v>125</v>
      </c>
      <c r="U722" t="s">
        <v>126</v>
      </c>
      <c r="W722">
        <v>2.02</v>
      </c>
      <c r="Y722">
        <v>2.02</v>
      </c>
      <c r="AS722">
        <v>2.02</v>
      </c>
      <c r="BH722" t="s">
        <v>126</v>
      </c>
      <c r="BI722" t="s">
        <v>126</v>
      </c>
      <c r="BJ722" t="s">
        <v>126</v>
      </c>
      <c r="BK722" t="s">
        <v>126</v>
      </c>
      <c r="BS722" t="s">
        <v>126</v>
      </c>
      <c r="BT722" t="s">
        <v>126</v>
      </c>
      <c r="BU722" t="s">
        <v>126</v>
      </c>
      <c r="BV722" t="s">
        <v>126</v>
      </c>
      <c r="CN722" t="s">
        <v>147</v>
      </c>
      <c r="CP722" t="s">
        <v>283</v>
      </c>
      <c r="CQ722" t="s">
        <v>147</v>
      </c>
    </row>
    <row r="723" spans="1:95" x14ac:dyDescent="0.2">
      <c r="A723" t="s">
        <v>115</v>
      </c>
      <c r="B723" t="s">
        <v>116</v>
      </c>
      <c r="C723">
        <v>210784</v>
      </c>
      <c r="E723" t="s">
        <v>117</v>
      </c>
      <c r="F723">
        <v>368</v>
      </c>
      <c r="G723" t="s">
        <v>141</v>
      </c>
      <c r="H723" t="s">
        <v>142</v>
      </c>
      <c r="I723" t="s">
        <v>279</v>
      </c>
      <c r="J723" t="s">
        <v>280</v>
      </c>
      <c r="L723" s="14">
        <v>45756</v>
      </c>
      <c r="M723" s="18">
        <f t="shared" si="14"/>
        <v>45748</v>
      </c>
      <c r="N723">
        <v>5698176</v>
      </c>
      <c r="O723" t="s">
        <v>123</v>
      </c>
      <c r="P723" t="s">
        <v>146</v>
      </c>
      <c r="Q723">
        <v>2.73</v>
      </c>
      <c r="R723" t="s">
        <v>125</v>
      </c>
      <c r="S723" t="s">
        <v>126</v>
      </c>
      <c r="T723" t="s">
        <v>125</v>
      </c>
      <c r="U723" t="s">
        <v>126</v>
      </c>
      <c r="W723">
        <v>2.73</v>
      </c>
      <c r="Y723">
        <v>2.73</v>
      </c>
      <c r="AS723">
        <v>2.73</v>
      </c>
      <c r="BH723" t="s">
        <v>126</v>
      </c>
      <c r="BI723" t="s">
        <v>126</v>
      </c>
      <c r="BJ723" t="s">
        <v>126</v>
      </c>
      <c r="BK723" t="s">
        <v>126</v>
      </c>
      <c r="BS723" t="s">
        <v>126</v>
      </c>
      <c r="BT723" t="s">
        <v>126</v>
      </c>
      <c r="BU723" t="s">
        <v>126</v>
      </c>
      <c r="BV723" t="s">
        <v>126</v>
      </c>
      <c r="CN723" t="s">
        <v>147</v>
      </c>
      <c r="CP723" t="s">
        <v>283</v>
      </c>
      <c r="CQ723" t="s">
        <v>147</v>
      </c>
    </row>
    <row r="724" spans="1:95" x14ac:dyDescent="0.2">
      <c r="A724" t="s">
        <v>115</v>
      </c>
      <c r="B724" t="s">
        <v>116</v>
      </c>
      <c r="C724">
        <v>210784</v>
      </c>
      <c r="E724" t="s">
        <v>117</v>
      </c>
      <c r="F724">
        <v>368</v>
      </c>
      <c r="G724" t="s">
        <v>141</v>
      </c>
      <c r="H724" t="s">
        <v>142</v>
      </c>
      <c r="I724" t="s">
        <v>279</v>
      </c>
      <c r="J724" t="s">
        <v>280</v>
      </c>
      <c r="L724" s="14">
        <v>45756</v>
      </c>
      <c r="M724" s="18">
        <f t="shared" si="14"/>
        <v>45748</v>
      </c>
      <c r="N724">
        <v>5698277</v>
      </c>
      <c r="O724" t="s">
        <v>123</v>
      </c>
      <c r="P724" t="s">
        <v>146</v>
      </c>
      <c r="Q724">
        <v>2.69</v>
      </c>
      <c r="R724" t="s">
        <v>125</v>
      </c>
      <c r="S724" t="s">
        <v>126</v>
      </c>
      <c r="T724" t="s">
        <v>125</v>
      </c>
      <c r="U724" t="s">
        <v>126</v>
      </c>
      <c r="W724">
        <v>2.69</v>
      </c>
      <c r="Y724">
        <v>2.69</v>
      </c>
      <c r="AS724">
        <v>2.69</v>
      </c>
      <c r="BH724" t="s">
        <v>126</v>
      </c>
      <c r="BI724" t="s">
        <v>126</v>
      </c>
      <c r="BJ724" t="s">
        <v>126</v>
      </c>
      <c r="BK724" t="s">
        <v>126</v>
      </c>
      <c r="BS724" t="s">
        <v>126</v>
      </c>
      <c r="BT724" t="s">
        <v>126</v>
      </c>
      <c r="BU724" t="s">
        <v>126</v>
      </c>
      <c r="BV724" t="s">
        <v>126</v>
      </c>
      <c r="CN724" t="s">
        <v>147</v>
      </c>
      <c r="CP724" t="s">
        <v>283</v>
      </c>
      <c r="CQ724" t="s">
        <v>147</v>
      </c>
    </row>
    <row r="725" spans="1:95" x14ac:dyDescent="0.2">
      <c r="A725" t="s">
        <v>115</v>
      </c>
      <c r="B725" t="s">
        <v>116</v>
      </c>
      <c r="C725">
        <v>210784</v>
      </c>
      <c r="E725" t="s">
        <v>117</v>
      </c>
      <c r="F725">
        <v>368</v>
      </c>
      <c r="G725" t="s">
        <v>141</v>
      </c>
      <c r="H725" t="s">
        <v>142</v>
      </c>
      <c r="I725" t="s">
        <v>279</v>
      </c>
      <c r="J725" t="s">
        <v>280</v>
      </c>
      <c r="L725" s="14">
        <v>45757</v>
      </c>
      <c r="M725" s="18">
        <f t="shared" si="14"/>
        <v>45748</v>
      </c>
      <c r="N725">
        <v>5698999</v>
      </c>
      <c r="O725" t="s">
        <v>123</v>
      </c>
      <c r="P725" t="s">
        <v>146</v>
      </c>
      <c r="Q725">
        <v>3.28</v>
      </c>
      <c r="R725" t="s">
        <v>125</v>
      </c>
      <c r="S725" t="s">
        <v>126</v>
      </c>
      <c r="T725" t="s">
        <v>125</v>
      </c>
      <c r="U725" t="s">
        <v>126</v>
      </c>
      <c r="W725">
        <v>3.28</v>
      </c>
      <c r="Y725">
        <v>3.28</v>
      </c>
      <c r="AS725">
        <v>3.28</v>
      </c>
      <c r="BH725" t="s">
        <v>126</v>
      </c>
      <c r="BI725" t="s">
        <v>126</v>
      </c>
      <c r="BJ725" t="s">
        <v>126</v>
      </c>
      <c r="BK725" t="s">
        <v>126</v>
      </c>
      <c r="BS725" t="s">
        <v>126</v>
      </c>
      <c r="BT725" t="s">
        <v>126</v>
      </c>
      <c r="BU725" t="s">
        <v>126</v>
      </c>
      <c r="BV725" t="s">
        <v>126</v>
      </c>
      <c r="CN725" t="s">
        <v>147</v>
      </c>
      <c r="CP725" t="s">
        <v>283</v>
      </c>
      <c r="CQ725" t="s">
        <v>147</v>
      </c>
    </row>
    <row r="726" spans="1:95" x14ac:dyDescent="0.2">
      <c r="A726" t="s">
        <v>115</v>
      </c>
      <c r="B726" t="s">
        <v>116</v>
      </c>
      <c r="C726">
        <v>210784</v>
      </c>
      <c r="E726" t="s">
        <v>117</v>
      </c>
      <c r="F726">
        <v>368</v>
      </c>
      <c r="G726" t="s">
        <v>141</v>
      </c>
      <c r="H726" t="s">
        <v>142</v>
      </c>
      <c r="I726" t="s">
        <v>279</v>
      </c>
      <c r="J726" t="s">
        <v>280</v>
      </c>
      <c r="L726" s="14">
        <v>45757</v>
      </c>
      <c r="M726" s="18">
        <f t="shared" si="14"/>
        <v>45748</v>
      </c>
      <c r="N726">
        <v>5698714</v>
      </c>
      <c r="O726" t="s">
        <v>123</v>
      </c>
      <c r="P726" t="s">
        <v>146</v>
      </c>
      <c r="Q726">
        <v>0.93</v>
      </c>
      <c r="R726" t="s">
        <v>125</v>
      </c>
      <c r="S726" t="s">
        <v>126</v>
      </c>
      <c r="T726" t="s">
        <v>125</v>
      </c>
      <c r="U726" t="s">
        <v>126</v>
      </c>
      <c r="W726">
        <v>0.93</v>
      </c>
      <c r="Y726">
        <v>0.93</v>
      </c>
      <c r="BE726">
        <v>0.93</v>
      </c>
      <c r="BH726" t="s">
        <v>126</v>
      </c>
      <c r="BI726" t="s">
        <v>126</v>
      </c>
      <c r="BJ726" t="s">
        <v>126</v>
      </c>
      <c r="BK726" t="s">
        <v>126</v>
      </c>
      <c r="BS726" t="s">
        <v>126</v>
      </c>
      <c r="BT726" t="s">
        <v>126</v>
      </c>
      <c r="BU726" t="s">
        <v>126</v>
      </c>
      <c r="BV726" t="s">
        <v>126</v>
      </c>
      <c r="CN726" t="s">
        <v>147</v>
      </c>
      <c r="CP726" t="s">
        <v>283</v>
      </c>
      <c r="CQ726" t="s">
        <v>147</v>
      </c>
    </row>
    <row r="727" spans="1:95" x14ac:dyDescent="0.2">
      <c r="A727" t="s">
        <v>115</v>
      </c>
      <c r="B727" t="s">
        <v>116</v>
      </c>
      <c r="C727">
        <v>210784</v>
      </c>
      <c r="E727" t="s">
        <v>117</v>
      </c>
      <c r="F727">
        <v>368</v>
      </c>
      <c r="G727" t="s">
        <v>141</v>
      </c>
      <c r="H727" t="s">
        <v>142</v>
      </c>
      <c r="I727" t="s">
        <v>279</v>
      </c>
      <c r="J727" t="s">
        <v>280</v>
      </c>
      <c r="L727" s="14">
        <v>45757</v>
      </c>
      <c r="M727" s="18">
        <f t="shared" si="14"/>
        <v>45748</v>
      </c>
      <c r="N727">
        <v>5698893</v>
      </c>
      <c r="O727" t="s">
        <v>123</v>
      </c>
      <c r="P727" t="s">
        <v>146</v>
      </c>
      <c r="Q727">
        <v>2.4900000000000002</v>
      </c>
      <c r="R727" t="s">
        <v>125</v>
      </c>
      <c r="S727" t="s">
        <v>126</v>
      </c>
      <c r="T727" t="s">
        <v>125</v>
      </c>
      <c r="U727" t="s">
        <v>126</v>
      </c>
      <c r="W727">
        <v>2.4900000000000002</v>
      </c>
      <c r="Y727">
        <v>2.4900000000000002</v>
      </c>
      <c r="BE727">
        <v>2.4900000000000002</v>
      </c>
      <c r="BH727" t="s">
        <v>126</v>
      </c>
      <c r="BI727" t="s">
        <v>126</v>
      </c>
      <c r="BJ727" t="s">
        <v>126</v>
      </c>
      <c r="BK727" t="s">
        <v>126</v>
      </c>
      <c r="BS727" t="s">
        <v>126</v>
      </c>
      <c r="BT727" t="s">
        <v>126</v>
      </c>
      <c r="BU727" t="s">
        <v>126</v>
      </c>
      <c r="BV727" t="s">
        <v>126</v>
      </c>
      <c r="CN727" t="s">
        <v>147</v>
      </c>
      <c r="CP727" t="s">
        <v>283</v>
      </c>
      <c r="CQ727" t="s">
        <v>147</v>
      </c>
    </row>
    <row r="728" spans="1:95" x14ac:dyDescent="0.2">
      <c r="A728" t="s">
        <v>115</v>
      </c>
      <c r="B728" t="s">
        <v>116</v>
      </c>
      <c r="C728">
        <v>210784</v>
      </c>
      <c r="E728" t="s">
        <v>117</v>
      </c>
      <c r="F728">
        <v>368</v>
      </c>
      <c r="G728" t="s">
        <v>141</v>
      </c>
      <c r="H728" t="s">
        <v>142</v>
      </c>
      <c r="I728" t="s">
        <v>279</v>
      </c>
      <c r="J728" t="s">
        <v>280</v>
      </c>
      <c r="L728" s="14">
        <v>45758</v>
      </c>
      <c r="M728" s="18">
        <f t="shared" si="14"/>
        <v>45748</v>
      </c>
      <c r="N728">
        <v>5699448</v>
      </c>
      <c r="O728" t="s">
        <v>123</v>
      </c>
      <c r="P728" t="s">
        <v>146</v>
      </c>
      <c r="Q728">
        <v>2.2200000000000002</v>
      </c>
      <c r="R728" t="s">
        <v>125</v>
      </c>
      <c r="S728" t="s">
        <v>126</v>
      </c>
      <c r="T728" t="s">
        <v>125</v>
      </c>
      <c r="U728" t="s">
        <v>126</v>
      </c>
      <c r="W728">
        <v>2.2200000000000002</v>
      </c>
      <c r="Y728">
        <v>2.2200000000000002</v>
      </c>
      <c r="AS728">
        <v>2.2200000000000002</v>
      </c>
      <c r="BH728" t="s">
        <v>126</v>
      </c>
      <c r="BI728" t="s">
        <v>126</v>
      </c>
      <c r="BJ728" t="s">
        <v>126</v>
      </c>
      <c r="BK728" t="s">
        <v>126</v>
      </c>
      <c r="BS728" t="s">
        <v>126</v>
      </c>
      <c r="BT728" t="s">
        <v>126</v>
      </c>
      <c r="BU728" t="s">
        <v>126</v>
      </c>
      <c r="BV728" t="s">
        <v>126</v>
      </c>
      <c r="CN728" t="s">
        <v>147</v>
      </c>
      <c r="CP728" t="s">
        <v>283</v>
      </c>
      <c r="CQ728" t="s">
        <v>147</v>
      </c>
    </row>
    <row r="729" spans="1:95" x14ac:dyDescent="0.2">
      <c r="A729" t="s">
        <v>115</v>
      </c>
      <c r="B729" t="s">
        <v>116</v>
      </c>
      <c r="C729">
        <v>210784</v>
      </c>
      <c r="E729" t="s">
        <v>117</v>
      </c>
      <c r="F729">
        <v>368</v>
      </c>
      <c r="G729" t="s">
        <v>141</v>
      </c>
      <c r="H729" t="s">
        <v>142</v>
      </c>
      <c r="I729" t="s">
        <v>279</v>
      </c>
      <c r="J729" t="s">
        <v>280</v>
      </c>
      <c r="L729" s="14">
        <v>45758</v>
      </c>
      <c r="M729" s="18">
        <f t="shared" si="14"/>
        <v>45748</v>
      </c>
      <c r="N729">
        <v>5699795</v>
      </c>
      <c r="O729" t="s">
        <v>123</v>
      </c>
      <c r="P729" t="s">
        <v>146</v>
      </c>
      <c r="Q729">
        <v>0.6</v>
      </c>
      <c r="R729" t="s">
        <v>125</v>
      </c>
      <c r="S729" t="s">
        <v>126</v>
      </c>
      <c r="T729" t="s">
        <v>125</v>
      </c>
      <c r="U729" t="s">
        <v>126</v>
      </c>
      <c r="W729">
        <v>0.6</v>
      </c>
      <c r="Y729">
        <v>0.6</v>
      </c>
      <c r="BE729">
        <v>0.6</v>
      </c>
      <c r="BH729" t="s">
        <v>126</v>
      </c>
      <c r="BI729" t="s">
        <v>126</v>
      </c>
      <c r="BJ729" t="s">
        <v>126</v>
      </c>
      <c r="BK729" t="s">
        <v>126</v>
      </c>
      <c r="BS729" t="s">
        <v>126</v>
      </c>
      <c r="BT729" t="s">
        <v>126</v>
      </c>
      <c r="BU729" t="s">
        <v>126</v>
      </c>
      <c r="BV729" t="s">
        <v>126</v>
      </c>
      <c r="CN729" t="s">
        <v>147</v>
      </c>
      <c r="CP729" t="s">
        <v>283</v>
      </c>
      <c r="CQ729" t="s">
        <v>147</v>
      </c>
    </row>
    <row r="730" spans="1:95" x14ac:dyDescent="0.2">
      <c r="A730" t="s">
        <v>115</v>
      </c>
      <c r="B730" t="s">
        <v>116</v>
      </c>
      <c r="C730">
        <v>210784</v>
      </c>
      <c r="E730" t="s">
        <v>117</v>
      </c>
      <c r="F730">
        <v>368</v>
      </c>
      <c r="G730" t="s">
        <v>141</v>
      </c>
      <c r="H730" t="s">
        <v>142</v>
      </c>
      <c r="I730" t="s">
        <v>279</v>
      </c>
      <c r="J730" t="s">
        <v>280</v>
      </c>
      <c r="L730" s="14">
        <v>45761</v>
      </c>
      <c r="M730" s="18">
        <f t="shared" si="14"/>
        <v>45748</v>
      </c>
      <c r="N730">
        <v>5700482</v>
      </c>
      <c r="O730" t="s">
        <v>123</v>
      </c>
      <c r="P730" t="s">
        <v>146</v>
      </c>
      <c r="Q730">
        <v>4.17</v>
      </c>
      <c r="R730" t="s">
        <v>125</v>
      </c>
      <c r="S730" t="s">
        <v>126</v>
      </c>
      <c r="T730" t="s">
        <v>125</v>
      </c>
      <c r="U730" t="s">
        <v>126</v>
      </c>
      <c r="W730">
        <v>4.17</v>
      </c>
      <c r="Y730">
        <v>4.17</v>
      </c>
      <c r="AS730">
        <v>4.17</v>
      </c>
      <c r="BH730" t="s">
        <v>126</v>
      </c>
      <c r="BI730" t="s">
        <v>126</v>
      </c>
      <c r="BJ730" t="s">
        <v>126</v>
      </c>
      <c r="BK730" t="s">
        <v>126</v>
      </c>
      <c r="BS730" t="s">
        <v>126</v>
      </c>
      <c r="BT730" t="s">
        <v>126</v>
      </c>
      <c r="BU730" t="s">
        <v>126</v>
      </c>
      <c r="BV730" t="s">
        <v>126</v>
      </c>
      <c r="CN730" t="s">
        <v>147</v>
      </c>
      <c r="CP730" t="s">
        <v>283</v>
      </c>
      <c r="CQ730" t="s">
        <v>147</v>
      </c>
    </row>
    <row r="731" spans="1:95" x14ac:dyDescent="0.2">
      <c r="A731" t="s">
        <v>115</v>
      </c>
      <c r="B731" t="s">
        <v>116</v>
      </c>
      <c r="C731">
        <v>210784</v>
      </c>
      <c r="E731" t="s">
        <v>117</v>
      </c>
      <c r="F731">
        <v>368</v>
      </c>
      <c r="G731" t="s">
        <v>141</v>
      </c>
      <c r="H731" t="s">
        <v>142</v>
      </c>
      <c r="I731" t="s">
        <v>279</v>
      </c>
      <c r="J731" t="s">
        <v>280</v>
      </c>
      <c r="L731" s="14">
        <v>45761</v>
      </c>
      <c r="M731" s="18">
        <f t="shared" si="14"/>
        <v>45748</v>
      </c>
      <c r="N731">
        <v>5700814</v>
      </c>
      <c r="O731" t="s">
        <v>123</v>
      </c>
      <c r="P731" t="s">
        <v>146</v>
      </c>
      <c r="Q731">
        <v>1.02</v>
      </c>
      <c r="R731" t="s">
        <v>125</v>
      </c>
      <c r="S731" t="s">
        <v>126</v>
      </c>
      <c r="T731" t="s">
        <v>125</v>
      </c>
      <c r="U731" t="s">
        <v>126</v>
      </c>
      <c r="W731">
        <v>1.02</v>
      </c>
      <c r="Y731">
        <v>1.02</v>
      </c>
      <c r="AS731">
        <v>1.02</v>
      </c>
      <c r="BH731" t="s">
        <v>126</v>
      </c>
      <c r="BI731" t="s">
        <v>126</v>
      </c>
      <c r="BJ731" t="s">
        <v>126</v>
      </c>
      <c r="BK731" t="s">
        <v>126</v>
      </c>
      <c r="BS731" t="s">
        <v>126</v>
      </c>
      <c r="BT731" t="s">
        <v>126</v>
      </c>
      <c r="BU731" t="s">
        <v>126</v>
      </c>
      <c r="BV731" t="s">
        <v>126</v>
      </c>
      <c r="CN731" t="s">
        <v>147</v>
      </c>
      <c r="CP731" t="s">
        <v>283</v>
      </c>
      <c r="CQ731" t="s">
        <v>147</v>
      </c>
    </row>
    <row r="732" spans="1:95" x14ac:dyDescent="0.2">
      <c r="A732" t="s">
        <v>115</v>
      </c>
      <c r="B732" t="s">
        <v>116</v>
      </c>
      <c r="C732">
        <v>210784</v>
      </c>
      <c r="E732" t="s">
        <v>117</v>
      </c>
      <c r="F732">
        <v>368</v>
      </c>
      <c r="G732" t="s">
        <v>141</v>
      </c>
      <c r="H732" t="s">
        <v>142</v>
      </c>
      <c r="I732" t="s">
        <v>279</v>
      </c>
      <c r="J732" t="s">
        <v>280</v>
      </c>
      <c r="L732" s="14">
        <v>45761</v>
      </c>
      <c r="M732" s="18">
        <f t="shared" si="14"/>
        <v>45748</v>
      </c>
      <c r="N732">
        <v>5700302</v>
      </c>
      <c r="O732" t="s">
        <v>123</v>
      </c>
      <c r="P732" t="s">
        <v>146</v>
      </c>
      <c r="Q732">
        <v>3.6</v>
      </c>
      <c r="R732" t="s">
        <v>125</v>
      </c>
      <c r="S732" t="s">
        <v>126</v>
      </c>
      <c r="T732" t="s">
        <v>125</v>
      </c>
      <c r="U732" t="s">
        <v>126</v>
      </c>
      <c r="W732">
        <v>3.6</v>
      </c>
      <c r="Y732">
        <v>3.6</v>
      </c>
      <c r="AS732">
        <v>3.6</v>
      </c>
      <c r="BH732" t="s">
        <v>126</v>
      </c>
      <c r="BI732" t="s">
        <v>126</v>
      </c>
      <c r="BJ732" t="s">
        <v>126</v>
      </c>
      <c r="BK732" t="s">
        <v>126</v>
      </c>
      <c r="BS732" t="s">
        <v>126</v>
      </c>
      <c r="BT732" t="s">
        <v>126</v>
      </c>
      <c r="BU732" t="s">
        <v>126</v>
      </c>
      <c r="BV732" t="s">
        <v>126</v>
      </c>
      <c r="CN732" t="s">
        <v>147</v>
      </c>
      <c r="CP732" t="s">
        <v>283</v>
      </c>
      <c r="CQ732" t="s">
        <v>147</v>
      </c>
    </row>
    <row r="733" spans="1:95" x14ac:dyDescent="0.2">
      <c r="A733" t="s">
        <v>115</v>
      </c>
      <c r="B733" t="s">
        <v>116</v>
      </c>
      <c r="C733">
        <v>210784</v>
      </c>
      <c r="E733" t="s">
        <v>117</v>
      </c>
      <c r="F733">
        <v>368</v>
      </c>
      <c r="G733" t="s">
        <v>141</v>
      </c>
      <c r="H733" t="s">
        <v>142</v>
      </c>
      <c r="I733" t="s">
        <v>279</v>
      </c>
      <c r="J733" t="s">
        <v>280</v>
      </c>
      <c r="L733" s="14">
        <v>45761</v>
      </c>
      <c r="M733" s="18">
        <f t="shared" si="14"/>
        <v>45748</v>
      </c>
      <c r="N733">
        <v>1850594</v>
      </c>
      <c r="O733" t="s">
        <v>123</v>
      </c>
      <c r="P733" t="s">
        <v>146</v>
      </c>
      <c r="Q733">
        <v>2.66</v>
      </c>
      <c r="R733" t="s">
        <v>602</v>
      </c>
      <c r="S733" t="s">
        <v>126</v>
      </c>
      <c r="T733" t="s">
        <v>602</v>
      </c>
      <c r="U733" t="s">
        <v>603</v>
      </c>
      <c r="W733">
        <v>0.82</v>
      </c>
      <c r="X733">
        <v>1.8399999999999999</v>
      </c>
      <c r="Y733">
        <v>2.66</v>
      </c>
      <c r="Z733">
        <v>1.01</v>
      </c>
      <c r="AG733">
        <v>0.82</v>
      </c>
      <c r="AI733">
        <v>0.83</v>
      </c>
      <c r="BH733" t="s">
        <v>126</v>
      </c>
      <c r="BI733" t="s">
        <v>126</v>
      </c>
      <c r="BJ733" t="s">
        <v>126</v>
      </c>
      <c r="BK733" t="s">
        <v>126</v>
      </c>
      <c r="BS733" t="s">
        <v>126</v>
      </c>
      <c r="BT733" t="s">
        <v>126</v>
      </c>
      <c r="BU733" t="s">
        <v>126</v>
      </c>
      <c r="BV733" t="s">
        <v>126</v>
      </c>
      <c r="CN733" t="s">
        <v>147</v>
      </c>
      <c r="CP733" t="s">
        <v>283</v>
      </c>
      <c r="CQ733" t="s">
        <v>147</v>
      </c>
    </row>
    <row r="734" spans="1:95" x14ac:dyDescent="0.2">
      <c r="A734" t="s">
        <v>115</v>
      </c>
      <c r="B734" t="s">
        <v>116</v>
      </c>
      <c r="C734">
        <v>210784</v>
      </c>
      <c r="E734" t="s">
        <v>117</v>
      </c>
      <c r="F734">
        <v>368</v>
      </c>
      <c r="G734" t="s">
        <v>141</v>
      </c>
      <c r="H734" t="s">
        <v>142</v>
      </c>
      <c r="I734" t="s">
        <v>279</v>
      </c>
      <c r="J734" t="s">
        <v>280</v>
      </c>
      <c r="L734" s="14">
        <v>45762</v>
      </c>
      <c r="M734" s="18">
        <f t="shared" si="14"/>
        <v>45748</v>
      </c>
      <c r="N734">
        <v>5701495</v>
      </c>
      <c r="O734" t="s">
        <v>123</v>
      </c>
      <c r="P734" t="s">
        <v>146</v>
      </c>
      <c r="Q734">
        <v>2.52</v>
      </c>
      <c r="R734" t="s">
        <v>125</v>
      </c>
      <c r="S734" t="s">
        <v>126</v>
      </c>
      <c r="T734" t="s">
        <v>125</v>
      </c>
      <c r="U734" t="s">
        <v>126</v>
      </c>
      <c r="W734">
        <v>2.52</v>
      </c>
      <c r="Y734">
        <v>2.52</v>
      </c>
      <c r="AS734">
        <v>2.52</v>
      </c>
      <c r="BH734" t="s">
        <v>126</v>
      </c>
      <c r="BI734" t="s">
        <v>126</v>
      </c>
      <c r="BJ734" t="s">
        <v>126</v>
      </c>
      <c r="BK734" t="s">
        <v>126</v>
      </c>
      <c r="BS734" t="s">
        <v>126</v>
      </c>
      <c r="BT734" t="s">
        <v>126</v>
      </c>
      <c r="BU734" t="s">
        <v>126</v>
      </c>
      <c r="BV734" t="s">
        <v>126</v>
      </c>
      <c r="CN734" t="s">
        <v>147</v>
      </c>
      <c r="CP734" t="s">
        <v>283</v>
      </c>
      <c r="CQ734" t="s">
        <v>147</v>
      </c>
    </row>
    <row r="735" spans="1:95" x14ac:dyDescent="0.2">
      <c r="A735" t="s">
        <v>115</v>
      </c>
      <c r="B735" t="s">
        <v>116</v>
      </c>
      <c r="C735">
        <v>210784</v>
      </c>
      <c r="E735" t="s">
        <v>117</v>
      </c>
      <c r="F735">
        <v>368</v>
      </c>
      <c r="G735" t="s">
        <v>141</v>
      </c>
      <c r="H735" t="s">
        <v>142</v>
      </c>
      <c r="I735" t="s">
        <v>204</v>
      </c>
      <c r="J735" t="s">
        <v>205</v>
      </c>
      <c r="L735" s="14">
        <v>45763</v>
      </c>
      <c r="M735" s="18">
        <f t="shared" si="14"/>
        <v>45748</v>
      </c>
      <c r="N735">
        <v>120677</v>
      </c>
      <c r="O735" t="s">
        <v>123</v>
      </c>
      <c r="P735" t="s">
        <v>146</v>
      </c>
      <c r="Q735">
        <v>7.59</v>
      </c>
      <c r="R735" t="s">
        <v>125</v>
      </c>
      <c r="S735" t="s">
        <v>126</v>
      </c>
      <c r="T735" t="s">
        <v>125</v>
      </c>
      <c r="U735" t="s">
        <v>126</v>
      </c>
      <c r="W735">
        <v>7.59</v>
      </c>
      <c r="Y735">
        <v>7.59</v>
      </c>
      <c r="AC735">
        <v>7.59</v>
      </c>
      <c r="BH735" t="s">
        <v>126</v>
      </c>
      <c r="BI735" t="s">
        <v>126</v>
      </c>
      <c r="BJ735" t="s">
        <v>126</v>
      </c>
      <c r="BK735" t="s">
        <v>126</v>
      </c>
      <c r="BS735" t="s">
        <v>126</v>
      </c>
      <c r="BT735" t="s">
        <v>126</v>
      </c>
      <c r="BU735" t="s">
        <v>126</v>
      </c>
      <c r="BV735" t="s">
        <v>126</v>
      </c>
      <c r="CN735" t="s">
        <v>147</v>
      </c>
      <c r="CP735" t="s">
        <v>283</v>
      </c>
      <c r="CQ735" t="s">
        <v>147</v>
      </c>
    </row>
    <row r="736" spans="1:95" x14ac:dyDescent="0.2">
      <c r="A736" t="s">
        <v>115</v>
      </c>
      <c r="B736" t="s">
        <v>116</v>
      </c>
      <c r="C736">
        <v>210784</v>
      </c>
      <c r="E736" t="s">
        <v>117</v>
      </c>
      <c r="F736">
        <v>368</v>
      </c>
      <c r="G736" t="s">
        <v>141</v>
      </c>
      <c r="H736" t="s">
        <v>142</v>
      </c>
      <c r="I736" t="s">
        <v>279</v>
      </c>
      <c r="J736" t="s">
        <v>280</v>
      </c>
      <c r="L736" s="14">
        <v>45764</v>
      </c>
      <c r="M736" s="18">
        <f t="shared" si="14"/>
        <v>45748</v>
      </c>
      <c r="N736">
        <v>5703131</v>
      </c>
      <c r="O736" t="s">
        <v>123</v>
      </c>
      <c r="P736" t="s">
        <v>146</v>
      </c>
      <c r="Q736">
        <v>3.15</v>
      </c>
      <c r="R736" t="s">
        <v>125</v>
      </c>
      <c r="S736" t="s">
        <v>126</v>
      </c>
      <c r="T736" t="s">
        <v>125</v>
      </c>
      <c r="U736" t="s">
        <v>126</v>
      </c>
      <c r="W736">
        <v>3.15</v>
      </c>
      <c r="Y736">
        <v>3.15</v>
      </c>
      <c r="AS736">
        <v>3.15</v>
      </c>
      <c r="BH736" t="s">
        <v>126</v>
      </c>
      <c r="BI736" t="s">
        <v>126</v>
      </c>
      <c r="BJ736" t="s">
        <v>126</v>
      </c>
      <c r="BK736" t="s">
        <v>126</v>
      </c>
      <c r="BS736" t="s">
        <v>126</v>
      </c>
      <c r="BT736" t="s">
        <v>126</v>
      </c>
      <c r="BU736" t="s">
        <v>126</v>
      </c>
      <c r="BV736" t="s">
        <v>126</v>
      </c>
      <c r="CN736" t="s">
        <v>147</v>
      </c>
      <c r="CP736" t="s">
        <v>283</v>
      </c>
      <c r="CQ736" t="s">
        <v>147</v>
      </c>
    </row>
    <row r="737" spans="1:95" x14ac:dyDescent="0.2">
      <c r="A737" t="s">
        <v>115</v>
      </c>
      <c r="B737" t="s">
        <v>116</v>
      </c>
      <c r="C737">
        <v>210784</v>
      </c>
      <c r="E737" t="s">
        <v>117</v>
      </c>
      <c r="F737">
        <v>368</v>
      </c>
      <c r="G737" t="s">
        <v>141</v>
      </c>
      <c r="H737" t="s">
        <v>142</v>
      </c>
      <c r="I737" t="s">
        <v>279</v>
      </c>
      <c r="J737" t="s">
        <v>280</v>
      </c>
      <c r="L737" s="14">
        <v>45764</v>
      </c>
      <c r="M737" s="18">
        <f t="shared" si="14"/>
        <v>45748</v>
      </c>
      <c r="N737">
        <v>5703133</v>
      </c>
      <c r="O737" t="s">
        <v>123</v>
      </c>
      <c r="P737" t="s">
        <v>146</v>
      </c>
      <c r="Q737">
        <v>1.2</v>
      </c>
      <c r="R737" t="s">
        <v>125</v>
      </c>
      <c r="S737" t="s">
        <v>126</v>
      </c>
      <c r="T737" t="s">
        <v>125</v>
      </c>
      <c r="U737" t="s">
        <v>126</v>
      </c>
      <c r="W737">
        <v>1.2</v>
      </c>
      <c r="Y737">
        <v>1.2</v>
      </c>
      <c r="BE737">
        <v>1.2</v>
      </c>
      <c r="BH737" t="s">
        <v>126</v>
      </c>
      <c r="BI737" t="s">
        <v>126</v>
      </c>
      <c r="BJ737" t="s">
        <v>126</v>
      </c>
      <c r="BK737" t="s">
        <v>126</v>
      </c>
      <c r="BS737" t="s">
        <v>126</v>
      </c>
      <c r="BT737" t="s">
        <v>126</v>
      </c>
      <c r="BU737" t="s">
        <v>126</v>
      </c>
      <c r="BV737" t="s">
        <v>126</v>
      </c>
      <c r="CN737" t="s">
        <v>147</v>
      </c>
      <c r="CP737" t="s">
        <v>283</v>
      </c>
      <c r="CQ737" t="s">
        <v>147</v>
      </c>
    </row>
    <row r="738" spans="1:95" x14ac:dyDescent="0.2">
      <c r="A738" t="s">
        <v>115</v>
      </c>
      <c r="B738" t="s">
        <v>116</v>
      </c>
      <c r="C738">
        <v>210784</v>
      </c>
      <c r="E738" t="s">
        <v>117</v>
      </c>
      <c r="F738">
        <v>368</v>
      </c>
      <c r="G738" t="s">
        <v>141</v>
      </c>
      <c r="H738" t="s">
        <v>142</v>
      </c>
      <c r="I738" t="s">
        <v>279</v>
      </c>
      <c r="J738" t="s">
        <v>280</v>
      </c>
      <c r="L738" s="14">
        <v>45765</v>
      </c>
      <c r="M738" s="18">
        <f t="shared" si="14"/>
        <v>45748</v>
      </c>
      <c r="N738">
        <v>5703750</v>
      </c>
      <c r="O738" t="s">
        <v>123</v>
      </c>
      <c r="P738" t="s">
        <v>146</v>
      </c>
      <c r="Q738">
        <v>4</v>
      </c>
      <c r="R738" t="s">
        <v>574</v>
      </c>
      <c r="S738" t="s">
        <v>126</v>
      </c>
      <c r="T738" t="s">
        <v>574</v>
      </c>
      <c r="U738" t="s">
        <v>575</v>
      </c>
      <c r="W738">
        <v>1.23</v>
      </c>
      <c r="X738">
        <v>2.77</v>
      </c>
      <c r="Y738">
        <v>4</v>
      </c>
      <c r="Z738">
        <v>1.52</v>
      </c>
      <c r="AG738">
        <v>1.23</v>
      </c>
      <c r="AI738">
        <v>1.25</v>
      </c>
      <c r="BH738" t="s">
        <v>126</v>
      </c>
      <c r="BI738" t="s">
        <v>126</v>
      </c>
      <c r="BJ738" t="s">
        <v>126</v>
      </c>
      <c r="BK738" t="s">
        <v>126</v>
      </c>
      <c r="BS738" t="s">
        <v>126</v>
      </c>
      <c r="BT738" t="s">
        <v>126</v>
      </c>
      <c r="BU738" t="s">
        <v>126</v>
      </c>
      <c r="BV738" t="s">
        <v>126</v>
      </c>
      <c r="CN738" t="s">
        <v>147</v>
      </c>
      <c r="CP738" t="s">
        <v>283</v>
      </c>
      <c r="CQ738" t="s">
        <v>147</v>
      </c>
    </row>
    <row r="739" spans="1:95" x14ac:dyDescent="0.2">
      <c r="A739" t="s">
        <v>115</v>
      </c>
      <c r="B739" t="s">
        <v>116</v>
      </c>
      <c r="C739">
        <v>210784</v>
      </c>
      <c r="E739" t="s">
        <v>117</v>
      </c>
      <c r="F739">
        <v>368</v>
      </c>
      <c r="G739" t="s">
        <v>141</v>
      </c>
      <c r="H739" t="s">
        <v>142</v>
      </c>
      <c r="I739" t="s">
        <v>279</v>
      </c>
      <c r="J739" t="s">
        <v>280</v>
      </c>
      <c r="L739" s="14">
        <v>45766</v>
      </c>
      <c r="M739" s="18">
        <f t="shared" si="14"/>
        <v>45748</v>
      </c>
      <c r="N739">
        <v>5703995</v>
      </c>
      <c r="O739" t="s">
        <v>123</v>
      </c>
      <c r="P739" t="s">
        <v>146</v>
      </c>
      <c r="Q739">
        <v>2.2400000000000002</v>
      </c>
      <c r="R739" t="s">
        <v>592</v>
      </c>
      <c r="S739" t="s">
        <v>126</v>
      </c>
      <c r="T739" t="s">
        <v>592</v>
      </c>
      <c r="U739" t="s">
        <v>593</v>
      </c>
      <c r="W739">
        <v>0.69</v>
      </c>
      <c r="X739">
        <v>1.5499999999999998</v>
      </c>
      <c r="Y739">
        <v>2.2400000000000002</v>
      </c>
      <c r="Z739">
        <v>0.85</v>
      </c>
      <c r="AG739">
        <v>0.69</v>
      </c>
      <c r="AI739">
        <v>0.7</v>
      </c>
      <c r="BH739" t="s">
        <v>126</v>
      </c>
      <c r="BI739" t="s">
        <v>126</v>
      </c>
      <c r="BJ739" t="s">
        <v>126</v>
      </c>
      <c r="BK739" t="s">
        <v>126</v>
      </c>
      <c r="BS739" t="s">
        <v>126</v>
      </c>
      <c r="BT739" t="s">
        <v>126</v>
      </c>
      <c r="BU739" t="s">
        <v>126</v>
      </c>
      <c r="BV739" t="s">
        <v>126</v>
      </c>
      <c r="CN739" t="s">
        <v>147</v>
      </c>
      <c r="CP739" t="s">
        <v>283</v>
      </c>
      <c r="CQ739" t="s">
        <v>147</v>
      </c>
    </row>
    <row r="740" spans="1:95" x14ac:dyDescent="0.2">
      <c r="A740" t="s">
        <v>115</v>
      </c>
      <c r="B740" t="s">
        <v>116</v>
      </c>
      <c r="C740">
        <v>210784</v>
      </c>
      <c r="E740" t="s">
        <v>117</v>
      </c>
      <c r="F740">
        <v>368</v>
      </c>
      <c r="G740" t="s">
        <v>141</v>
      </c>
      <c r="H740" t="s">
        <v>142</v>
      </c>
      <c r="I740" t="s">
        <v>279</v>
      </c>
      <c r="J740" t="s">
        <v>280</v>
      </c>
      <c r="L740" s="14">
        <v>45766</v>
      </c>
      <c r="M740" s="18">
        <f t="shared" si="14"/>
        <v>45748</v>
      </c>
      <c r="N740">
        <v>5703948</v>
      </c>
      <c r="O740" t="s">
        <v>123</v>
      </c>
      <c r="P740" t="s">
        <v>146</v>
      </c>
      <c r="Q740">
        <v>1.68</v>
      </c>
      <c r="R740" t="s">
        <v>125</v>
      </c>
      <c r="S740" t="s">
        <v>126</v>
      </c>
      <c r="T740" t="s">
        <v>125</v>
      </c>
      <c r="U740" t="s">
        <v>126</v>
      </c>
      <c r="W740">
        <v>1.68</v>
      </c>
      <c r="Y740">
        <v>1.68</v>
      </c>
      <c r="BE740">
        <v>1.68</v>
      </c>
      <c r="BH740" t="s">
        <v>126</v>
      </c>
      <c r="BI740" t="s">
        <v>126</v>
      </c>
      <c r="BJ740" t="s">
        <v>126</v>
      </c>
      <c r="BK740" t="s">
        <v>126</v>
      </c>
      <c r="BS740" t="s">
        <v>126</v>
      </c>
      <c r="BT740" t="s">
        <v>126</v>
      </c>
      <c r="BU740" t="s">
        <v>126</v>
      </c>
      <c r="BV740" t="s">
        <v>126</v>
      </c>
      <c r="CN740" t="s">
        <v>147</v>
      </c>
      <c r="CP740" t="s">
        <v>283</v>
      </c>
      <c r="CQ740" t="s">
        <v>147</v>
      </c>
    </row>
    <row r="741" spans="1:95" x14ac:dyDescent="0.2">
      <c r="A741" t="s">
        <v>115</v>
      </c>
      <c r="B741" t="s">
        <v>116</v>
      </c>
      <c r="C741">
        <v>210784</v>
      </c>
      <c r="E741" t="s">
        <v>117</v>
      </c>
      <c r="F741">
        <v>368</v>
      </c>
      <c r="G741" t="s">
        <v>141</v>
      </c>
      <c r="H741" t="s">
        <v>142</v>
      </c>
      <c r="I741" t="s">
        <v>279</v>
      </c>
      <c r="J741" t="s">
        <v>280</v>
      </c>
      <c r="L741" s="14">
        <v>45768</v>
      </c>
      <c r="M741" s="18">
        <f t="shared" si="14"/>
        <v>45748</v>
      </c>
      <c r="N741">
        <v>5704867</v>
      </c>
      <c r="O741" t="s">
        <v>123</v>
      </c>
      <c r="P741" t="s">
        <v>146</v>
      </c>
      <c r="Q741">
        <v>6.67</v>
      </c>
      <c r="R741" t="s">
        <v>125</v>
      </c>
      <c r="S741" t="s">
        <v>126</v>
      </c>
      <c r="T741" t="s">
        <v>125</v>
      </c>
      <c r="U741" t="s">
        <v>126</v>
      </c>
      <c r="W741">
        <v>6.67</v>
      </c>
      <c r="Y741">
        <v>6.67</v>
      </c>
      <c r="AS741">
        <v>6.67</v>
      </c>
      <c r="BH741" t="s">
        <v>126</v>
      </c>
      <c r="BI741" t="s">
        <v>126</v>
      </c>
      <c r="BJ741" t="s">
        <v>126</v>
      </c>
      <c r="BK741" t="s">
        <v>126</v>
      </c>
      <c r="BS741" t="s">
        <v>126</v>
      </c>
      <c r="BT741" t="s">
        <v>126</v>
      </c>
      <c r="BU741" t="s">
        <v>126</v>
      </c>
      <c r="BV741" t="s">
        <v>126</v>
      </c>
      <c r="CN741" t="s">
        <v>147</v>
      </c>
      <c r="CP741" t="s">
        <v>283</v>
      </c>
      <c r="CQ741" t="s">
        <v>147</v>
      </c>
    </row>
    <row r="742" spans="1:95" x14ac:dyDescent="0.2">
      <c r="A742" t="s">
        <v>115</v>
      </c>
      <c r="B742" t="s">
        <v>116</v>
      </c>
      <c r="C742">
        <v>210784</v>
      </c>
      <c r="E742" t="s">
        <v>117</v>
      </c>
      <c r="F742">
        <v>368</v>
      </c>
      <c r="G742" t="s">
        <v>141</v>
      </c>
      <c r="H742" t="s">
        <v>142</v>
      </c>
      <c r="I742" t="s">
        <v>279</v>
      </c>
      <c r="J742" t="s">
        <v>280</v>
      </c>
      <c r="L742" s="14">
        <v>45769</v>
      </c>
      <c r="M742" s="18">
        <f t="shared" si="14"/>
        <v>45748</v>
      </c>
      <c r="N742">
        <v>5705638</v>
      </c>
      <c r="O742" t="s">
        <v>123</v>
      </c>
      <c r="P742" t="s">
        <v>146</v>
      </c>
      <c r="Q742">
        <v>2.95</v>
      </c>
      <c r="R742" t="s">
        <v>125</v>
      </c>
      <c r="S742" t="s">
        <v>126</v>
      </c>
      <c r="T742" t="s">
        <v>125</v>
      </c>
      <c r="U742" t="s">
        <v>126</v>
      </c>
      <c r="W742">
        <v>2.95</v>
      </c>
      <c r="Y742">
        <v>2.95</v>
      </c>
      <c r="AS742">
        <v>2.95</v>
      </c>
      <c r="BH742" t="s">
        <v>126</v>
      </c>
      <c r="BI742" t="s">
        <v>126</v>
      </c>
      <c r="BJ742" t="s">
        <v>126</v>
      </c>
      <c r="BK742" t="s">
        <v>126</v>
      </c>
      <c r="BS742" t="s">
        <v>126</v>
      </c>
      <c r="BT742" t="s">
        <v>126</v>
      </c>
      <c r="BU742" t="s">
        <v>126</v>
      </c>
      <c r="BV742" t="s">
        <v>126</v>
      </c>
      <c r="CN742" t="s">
        <v>147</v>
      </c>
      <c r="CP742" t="s">
        <v>283</v>
      </c>
      <c r="CQ742" t="s">
        <v>147</v>
      </c>
    </row>
    <row r="743" spans="1:95" x14ac:dyDescent="0.2">
      <c r="A743" t="s">
        <v>115</v>
      </c>
      <c r="B743" t="s">
        <v>116</v>
      </c>
      <c r="C743">
        <v>210784</v>
      </c>
      <c r="E743" t="s">
        <v>117</v>
      </c>
      <c r="F743">
        <v>368</v>
      </c>
      <c r="G743" t="s">
        <v>141</v>
      </c>
      <c r="H743" t="s">
        <v>142</v>
      </c>
      <c r="I743" t="s">
        <v>279</v>
      </c>
      <c r="J743" t="s">
        <v>280</v>
      </c>
      <c r="L743" s="14">
        <v>45769</v>
      </c>
      <c r="M743" s="18">
        <f t="shared" si="14"/>
        <v>45748</v>
      </c>
      <c r="N743">
        <v>5705682</v>
      </c>
      <c r="O743" t="s">
        <v>123</v>
      </c>
      <c r="P743" t="s">
        <v>146</v>
      </c>
      <c r="Q743">
        <v>0.79</v>
      </c>
      <c r="R743" t="s">
        <v>125</v>
      </c>
      <c r="S743" t="s">
        <v>126</v>
      </c>
      <c r="T743" t="s">
        <v>125</v>
      </c>
      <c r="U743" t="s">
        <v>126</v>
      </c>
      <c r="W743">
        <v>0.79</v>
      </c>
      <c r="Y743">
        <v>0.79</v>
      </c>
      <c r="BE743">
        <v>0.79</v>
      </c>
      <c r="BH743" t="s">
        <v>126</v>
      </c>
      <c r="BI743" t="s">
        <v>126</v>
      </c>
      <c r="BJ743" t="s">
        <v>126</v>
      </c>
      <c r="BK743" t="s">
        <v>126</v>
      </c>
      <c r="BS743" t="s">
        <v>126</v>
      </c>
      <c r="BT743" t="s">
        <v>126</v>
      </c>
      <c r="BU743" t="s">
        <v>126</v>
      </c>
      <c r="BV743" t="s">
        <v>126</v>
      </c>
      <c r="CN743" t="s">
        <v>147</v>
      </c>
      <c r="CP743" t="s">
        <v>283</v>
      </c>
      <c r="CQ743" t="s">
        <v>147</v>
      </c>
    </row>
    <row r="744" spans="1:95" x14ac:dyDescent="0.2">
      <c r="A744" t="s">
        <v>115</v>
      </c>
      <c r="B744" t="s">
        <v>116</v>
      </c>
      <c r="C744">
        <v>210784</v>
      </c>
      <c r="E744" t="s">
        <v>117</v>
      </c>
      <c r="F744">
        <v>368</v>
      </c>
      <c r="G744" t="s">
        <v>141</v>
      </c>
      <c r="H744" t="s">
        <v>142</v>
      </c>
      <c r="I744" t="s">
        <v>279</v>
      </c>
      <c r="J744" t="s">
        <v>280</v>
      </c>
      <c r="L744" s="14">
        <v>45770</v>
      </c>
      <c r="M744" s="18">
        <f t="shared" si="14"/>
        <v>45748</v>
      </c>
      <c r="N744">
        <v>5706312</v>
      </c>
      <c r="O744" t="s">
        <v>123</v>
      </c>
      <c r="P744" t="s">
        <v>146</v>
      </c>
      <c r="Q744">
        <v>2.09</v>
      </c>
      <c r="R744" t="s">
        <v>688</v>
      </c>
      <c r="S744" t="s">
        <v>126</v>
      </c>
      <c r="T744" t="s">
        <v>688</v>
      </c>
      <c r="U744" t="s">
        <v>689</v>
      </c>
      <c r="W744">
        <v>0.64</v>
      </c>
      <c r="X744">
        <v>1.4500000000000002</v>
      </c>
      <c r="Y744">
        <v>2.09</v>
      </c>
      <c r="Z744">
        <v>0.8</v>
      </c>
      <c r="AG744">
        <v>0.64</v>
      </c>
      <c r="AI744">
        <v>0.65</v>
      </c>
      <c r="BH744" t="s">
        <v>126</v>
      </c>
      <c r="BI744" t="s">
        <v>126</v>
      </c>
      <c r="BJ744" t="s">
        <v>126</v>
      </c>
      <c r="BK744" t="s">
        <v>126</v>
      </c>
      <c r="BS744" t="s">
        <v>126</v>
      </c>
      <c r="BT744" t="s">
        <v>126</v>
      </c>
      <c r="BU744" t="s">
        <v>126</v>
      </c>
      <c r="BV744" t="s">
        <v>126</v>
      </c>
      <c r="CN744" t="s">
        <v>147</v>
      </c>
      <c r="CP744" t="s">
        <v>283</v>
      </c>
      <c r="CQ744" t="s">
        <v>147</v>
      </c>
    </row>
    <row r="745" spans="1:95" x14ac:dyDescent="0.2">
      <c r="A745" t="s">
        <v>115</v>
      </c>
      <c r="B745" t="s">
        <v>116</v>
      </c>
      <c r="C745">
        <v>210784</v>
      </c>
      <c r="E745" t="s">
        <v>117</v>
      </c>
      <c r="F745">
        <v>368</v>
      </c>
      <c r="G745" t="s">
        <v>141</v>
      </c>
      <c r="H745" t="s">
        <v>142</v>
      </c>
      <c r="I745" t="s">
        <v>279</v>
      </c>
      <c r="J745" t="s">
        <v>280</v>
      </c>
      <c r="L745" s="14">
        <v>45771</v>
      </c>
      <c r="M745" s="18">
        <f t="shared" si="14"/>
        <v>45748</v>
      </c>
      <c r="N745">
        <v>5707130</v>
      </c>
      <c r="O745" t="s">
        <v>123</v>
      </c>
      <c r="P745" t="s">
        <v>146</v>
      </c>
      <c r="Q745">
        <v>1.7</v>
      </c>
      <c r="R745" t="s">
        <v>125</v>
      </c>
      <c r="S745" t="s">
        <v>126</v>
      </c>
      <c r="T745" t="s">
        <v>125</v>
      </c>
      <c r="U745" t="s">
        <v>126</v>
      </c>
      <c r="W745">
        <v>1.7</v>
      </c>
      <c r="Y745">
        <v>1.7</v>
      </c>
      <c r="BE745">
        <v>1.7</v>
      </c>
      <c r="BH745" t="s">
        <v>126</v>
      </c>
      <c r="BI745" t="s">
        <v>126</v>
      </c>
      <c r="BJ745" t="s">
        <v>126</v>
      </c>
      <c r="BK745" t="s">
        <v>126</v>
      </c>
      <c r="BS745" t="s">
        <v>126</v>
      </c>
      <c r="BT745" t="s">
        <v>126</v>
      </c>
      <c r="BU745" t="s">
        <v>126</v>
      </c>
      <c r="BV745" t="s">
        <v>126</v>
      </c>
      <c r="CN745" t="s">
        <v>147</v>
      </c>
      <c r="CP745" t="s">
        <v>283</v>
      </c>
      <c r="CQ745" t="s">
        <v>147</v>
      </c>
    </row>
    <row r="746" spans="1:95" x14ac:dyDescent="0.2">
      <c r="A746" t="s">
        <v>115</v>
      </c>
      <c r="B746" t="s">
        <v>116</v>
      </c>
      <c r="C746">
        <v>210784</v>
      </c>
      <c r="E746" t="s">
        <v>117</v>
      </c>
      <c r="F746">
        <v>368</v>
      </c>
      <c r="G746" t="s">
        <v>141</v>
      </c>
      <c r="H746" t="s">
        <v>142</v>
      </c>
      <c r="I746" t="s">
        <v>279</v>
      </c>
      <c r="J746" t="s">
        <v>280</v>
      </c>
      <c r="L746" s="14">
        <v>45772</v>
      </c>
      <c r="M746" s="18">
        <f t="shared" si="14"/>
        <v>45748</v>
      </c>
      <c r="N746">
        <v>5707047</v>
      </c>
      <c r="O746" t="s">
        <v>123</v>
      </c>
      <c r="P746" t="s">
        <v>146</v>
      </c>
      <c r="Q746">
        <v>6.47</v>
      </c>
      <c r="R746" t="s">
        <v>125</v>
      </c>
      <c r="S746" t="s">
        <v>126</v>
      </c>
      <c r="T746" t="s">
        <v>125</v>
      </c>
      <c r="U746" t="s">
        <v>126</v>
      </c>
      <c r="W746">
        <v>6.47</v>
      </c>
      <c r="Y746">
        <v>6.47</v>
      </c>
      <c r="AS746">
        <v>6.47</v>
      </c>
      <c r="BH746" t="s">
        <v>126</v>
      </c>
      <c r="BI746" t="s">
        <v>126</v>
      </c>
      <c r="BJ746" t="s">
        <v>126</v>
      </c>
      <c r="BK746" t="s">
        <v>126</v>
      </c>
      <c r="BS746" t="s">
        <v>126</v>
      </c>
      <c r="BT746" t="s">
        <v>126</v>
      </c>
      <c r="BU746" t="s">
        <v>126</v>
      </c>
      <c r="BV746" t="s">
        <v>126</v>
      </c>
      <c r="CN746" t="s">
        <v>147</v>
      </c>
      <c r="CP746" t="s">
        <v>283</v>
      </c>
      <c r="CQ746" t="s">
        <v>147</v>
      </c>
    </row>
    <row r="747" spans="1:95" x14ac:dyDescent="0.2">
      <c r="A747" t="s">
        <v>115</v>
      </c>
      <c r="B747" t="s">
        <v>116</v>
      </c>
      <c r="C747">
        <v>210784</v>
      </c>
      <c r="E747" t="s">
        <v>117</v>
      </c>
      <c r="F747">
        <v>368</v>
      </c>
      <c r="G747" t="s">
        <v>141</v>
      </c>
      <c r="H747" t="s">
        <v>142</v>
      </c>
      <c r="I747" t="s">
        <v>279</v>
      </c>
      <c r="J747" t="s">
        <v>280</v>
      </c>
      <c r="L747" s="14">
        <v>45772</v>
      </c>
      <c r="M747" s="18">
        <f t="shared" si="14"/>
        <v>45748</v>
      </c>
      <c r="N747">
        <v>5707660</v>
      </c>
      <c r="O747" t="s">
        <v>123</v>
      </c>
      <c r="P747" t="s">
        <v>146</v>
      </c>
      <c r="Q747">
        <v>4.63</v>
      </c>
      <c r="R747" t="s">
        <v>125</v>
      </c>
      <c r="S747" t="s">
        <v>126</v>
      </c>
      <c r="T747" t="s">
        <v>125</v>
      </c>
      <c r="U747" t="s">
        <v>126</v>
      </c>
      <c r="W747">
        <v>4.63</v>
      </c>
      <c r="Y747">
        <v>4.63</v>
      </c>
      <c r="AS747">
        <v>4.63</v>
      </c>
      <c r="BH747" t="s">
        <v>126</v>
      </c>
      <c r="BI747" t="s">
        <v>126</v>
      </c>
      <c r="BJ747" t="s">
        <v>126</v>
      </c>
      <c r="BK747" t="s">
        <v>126</v>
      </c>
      <c r="BS747" t="s">
        <v>126</v>
      </c>
      <c r="BT747" t="s">
        <v>126</v>
      </c>
      <c r="BU747" t="s">
        <v>126</v>
      </c>
      <c r="BV747" t="s">
        <v>126</v>
      </c>
      <c r="CN747" t="s">
        <v>147</v>
      </c>
      <c r="CP747" t="s">
        <v>283</v>
      </c>
      <c r="CQ747" t="s">
        <v>147</v>
      </c>
    </row>
    <row r="748" spans="1:95" x14ac:dyDescent="0.2">
      <c r="A748" t="s">
        <v>115</v>
      </c>
      <c r="B748" t="s">
        <v>116</v>
      </c>
      <c r="C748">
        <v>210784</v>
      </c>
      <c r="E748" t="s">
        <v>117</v>
      </c>
      <c r="F748">
        <v>368</v>
      </c>
      <c r="G748" t="s">
        <v>141</v>
      </c>
      <c r="H748" t="s">
        <v>142</v>
      </c>
      <c r="I748" t="s">
        <v>279</v>
      </c>
      <c r="J748" t="s">
        <v>280</v>
      </c>
      <c r="L748" s="14">
        <v>45773</v>
      </c>
      <c r="M748" s="18">
        <f t="shared" si="14"/>
        <v>45748</v>
      </c>
      <c r="N748">
        <v>5708124</v>
      </c>
      <c r="O748" t="s">
        <v>123</v>
      </c>
      <c r="P748" t="s">
        <v>146</v>
      </c>
      <c r="Q748">
        <v>1.1000000000000001</v>
      </c>
      <c r="R748" t="s">
        <v>125</v>
      </c>
      <c r="S748" t="s">
        <v>126</v>
      </c>
      <c r="T748" t="s">
        <v>125</v>
      </c>
      <c r="U748" t="s">
        <v>126</v>
      </c>
      <c r="W748">
        <v>1.1000000000000001</v>
      </c>
      <c r="Y748">
        <v>1.1000000000000001</v>
      </c>
      <c r="BE748">
        <v>1.1000000000000001</v>
      </c>
      <c r="BH748" t="s">
        <v>126</v>
      </c>
      <c r="BI748" t="s">
        <v>126</v>
      </c>
      <c r="BJ748" t="s">
        <v>126</v>
      </c>
      <c r="BK748" t="s">
        <v>126</v>
      </c>
      <c r="BS748" t="s">
        <v>126</v>
      </c>
      <c r="BT748" t="s">
        <v>126</v>
      </c>
      <c r="BU748" t="s">
        <v>126</v>
      </c>
      <c r="BV748" t="s">
        <v>126</v>
      </c>
      <c r="CN748" t="s">
        <v>147</v>
      </c>
      <c r="CP748" t="s">
        <v>283</v>
      </c>
      <c r="CQ748" t="s">
        <v>147</v>
      </c>
    </row>
    <row r="749" spans="1:95" x14ac:dyDescent="0.2">
      <c r="A749" t="s">
        <v>115</v>
      </c>
      <c r="B749" t="s">
        <v>116</v>
      </c>
      <c r="C749">
        <v>210784</v>
      </c>
      <c r="E749" t="s">
        <v>117</v>
      </c>
      <c r="F749">
        <v>368</v>
      </c>
      <c r="G749" t="s">
        <v>141</v>
      </c>
      <c r="H749" t="s">
        <v>142</v>
      </c>
      <c r="I749" t="s">
        <v>279</v>
      </c>
      <c r="J749" t="s">
        <v>280</v>
      </c>
      <c r="L749" s="14">
        <v>45775</v>
      </c>
      <c r="M749" s="18">
        <f t="shared" si="14"/>
        <v>45748</v>
      </c>
      <c r="N749">
        <v>5708911</v>
      </c>
      <c r="O749" t="s">
        <v>123</v>
      </c>
      <c r="P749" t="s">
        <v>146</v>
      </c>
      <c r="Q749">
        <v>5.85</v>
      </c>
      <c r="R749" t="s">
        <v>125</v>
      </c>
      <c r="S749" t="s">
        <v>126</v>
      </c>
      <c r="T749" t="s">
        <v>125</v>
      </c>
      <c r="U749" t="s">
        <v>126</v>
      </c>
      <c r="W749">
        <v>5.85</v>
      </c>
      <c r="Y749">
        <v>5.85</v>
      </c>
      <c r="AS749">
        <v>5.85</v>
      </c>
      <c r="BH749" t="s">
        <v>126</v>
      </c>
      <c r="BI749" t="s">
        <v>126</v>
      </c>
      <c r="BJ749" t="s">
        <v>126</v>
      </c>
      <c r="BK749" t="s">
        <v>126</v>
      </c>
      <c r="BS749" t="s">
        <v>126</v>
      </c>
      <c r="BT749" t="s">
        <v>126</v>
      </c>
      <c r="BU749" t="s">
        <v>126</v>
      </c>
      <c r="BV749" t="s">
        <v>126</v>
      </c>
      <c r="CN749" t="s">
        <v>147</v>
      </c>
      <c r="CP749" t="s">
        <v>289</v>
      </c>
      <c r="CQ749" t="s">
        <v>147</v>
      </c>
    </row>
    <row r="750" spans="1:95" x14ac:dyDescent="0.2">
      <c r="A750" t="s">
        <v>115</v>
      </c>
      <c r="B750" t="s">
        <v>116</v>
      </c>
      <c r="C750">
        <v>210784</v>
      </c>
      <c r="E750" t="s">
        <v>117</v>
      </c>
      <c r="F750">
        <v>368</v>
      </c>
      <c r="G750" t="s">
        <v>141</v>
      </c>
      <c r="H750" t="s">
        <v>142</v>
      </c>
      <c r="I750" t="s">
        <v>279</v>
      </c>
      <c r="J750" t="s">
        <v>280</v>
      </c>
      <c r="L750" s="14">
        <v>45775</v>
      </c>
      <c r="M750" s="18">
        <f t="shared" si="14"/>
        <v>45748</v>
      </c>
      <c r="N750">
        <v>5708801</v>
      </c>
      <c r="O750" t="s">
        <v>123</v>
      </c>
      <c r="P750" t="s">
        <v>146</v>
      </c>
      <c r="Q750">
        <v>1.89</v>
      </c>
      <c r="R750" t="s">
        <v>125</v>
      </c>
      <c r="S750" t="s">
        <v>126</v>
      </c>
      <c r="T750" t="s">
        <v>125</v>
      </c>
      <c r="U750" t="s">
        <v>126</v>
      </c>
      <c r="W750">
        <v>1.89</v>
      </c>
      <c r="Y750">
        <v>1.89</v>
      </c>
      <c r="AS750">
        <v>1.89</v>
      </c>
      <c r="BH750" t="s">
        <v>126</v>
      </c>
      <c r="BI750" t="s">
        <v>126</v>
      </c>
      <c r="BJ750" t="s">
        <v>126</v>
      </c>
      <c r="BK750" t="s">
        <v>126</v>
      </c>
      <c r="BS750" t="s">
        <v>126</v>
      </c>
      <c r="BT750" t="s">
        <v>126</v>
      </c>
      <c r="BU750" t="s">
        <v>126</v>
      </c>
      <c r="BV750" t="s">
        <v>126</v>
      </c>
      <c r="CN750" t="s">
        <v>147</v>
      </c>
      <c r="CP750" t="s">
        <v>289</v>
      </c>
      <c r="CQ750" t="s">
        <v>147</v>
      </c>
    </row>
    <row r="751" spans="1:95" x14ac:dyDescent="0.2">
      <c r="A751" t="s">
        <v>115</v>
      </c>
      <c r="B751" t="s">
        <v>116</v>
      </c>
      <c r="C751">
        <v>210784</v>
      </c>
      <c r="E751" t="s">
        <v>117</v>
      </c>
      <c r="F751">
        <v>368</v>
      </c>
      <c r="G751" t="s">
        <v>141</v>
      </c>
      <c r="H751" t="s">
        <v>142</v>
      </c>
      <c r="I751" t="s">
        <v>279</v>
      </c>
      <c r="J751" t="s">
        <v>280</v>
      </c>
      <c r="L751" s="14">
        <v>45775</v>
      </c>
      <c r="M751" s="18">
        <f t="shared" si="14"/>
        <v>45748</v>
      </c>
      <c r="N751">
        <v>570892</v>
      </c>
      <c r="O751" t="s">
        <v>123</v>
      </c>
      <c r="P751" t="s">
        <v>146</v>
      </c>
      <c r="Q751">
        <v>2.08</v>
      </c>
      <c r="R751" t="s">
        <v>569</v>
      </c>
      <c r="S751" t="s">
        <v>126</v>
      </c>
      <c r="T751" t="s">
        <v>569</v>
      </c>
      <c r="U751" t="s">
        <v>570</v>
      </c>
      <c r="W751">
        <v>0.64</v>
      </c>
      <c r="X751">
        <v>1.44</v>
      </c>
      <c r="Y751">
        <v>2.08</v>
      </c>
      <c r="Z751">
        <v>0.79</v>
      </c>
      <c r="AG751">
        <v>0.64</v>
      </c>
      <c r="AI751">
        <v>0.65</v>
      </c>
      <c r="BH751" t="s">
        <v>126</v>
      </c>
      <c r="BI751" t="s">
        <v>126</v>
      </c>
      <c r="BJ751" t="s">
        <v>126</v>
      </c>
      <c r="BK751" t="s">
        <v>126</v>
      </c>
      <c r="BS751" t="s">
        <v>126</v>
      </c>
      <c r="BT751" t="s">
        <v>126</v>
      </c>
      <c r="BU751" t="s">
        <v>126</v>
      </c>
      <c r="BV751" t="s">
        <v>126</v>
      </c>
      <c r="CN751" t="s">
        <v>147</v>
      </c>
      <c r="CP751" t="s">
        <v>289</v>
      </c>
      <c r="CQ751" t="s">
        <v>147</v>
      </c>
    </row>
    <row r="752" spans="1:95" x14ac:dyDescent="0.2">
      <c r="A752" t="s">
        <v>115</v>
      </c>
      <c r="B752" t="s">
        <v>116</v>
      </c>
      <c r="C752">
        <v>210784</v>
      </c>
      <c r="E752" t="s">
        <v>117</v>
      </c>
      <c r="F752">
        <v>368</v>
      </c>
      <c r="G752" t="s">
        <v>141</v>
      </c>
      <c r="H752" t="s">
        <v>142</v>
      </c>
      <c r="I752" t="s">
        <v>279</v>
      </c>
      <c r="J752" t="s">
        <v>280</v>
      </c>
      <c r="L752" s="14">
        <v>45776</v>
      </c>
      <c r="M752" s="18">
        <f t="shared" si="14"/>
        <v>45748</v>
      </c>
      <c r="N752">
        <v>5709752</v>
      </c>
      <c r="O752" t="s">
        <v>123</v>
      </c>
      <c r="P752" t="s">
        <v>146</v>
      </c>
      <c r="Q752">
        <v>2.78</v>
      </c>
      <c r="R752" t="s">
        <v>125</v>
      </c>
      <c r="S752" t="s">
        <v>126</v>
      </c>
      <c r="T752" t="s">
        <v>125</v>
      </c>
      <c r="U752" t="s">
        <v>126</v>
      </c>
      <c r="W752">
        <v>2.78</v>
      </c>
      <c r="Y752">
        <v>2.78</v>
      </c>
      <c r="AS752">
        <v>2.78</v>
      </c>
      <c r="BH752" t="s">
        <v>126</v>
      </c>
      <c r="BI752" t="s">
        <v>126</v>
      </c>
      <c r="BJ752" t="s">
        <v>126</v>
      </c>
      <c r="BK752" t="s">
        <v>126</v>
      </c>
      <c r="BS752" t="s">
        <v>126</v>
      </c>
      <c r="BT752" t="s">
        <v>126</v>
      </c>
      <c r="BU752" t="s">
        <v>126</v>
      </c>
      <c r="BV752" t="s">
        <v>126</v>
      </c>
      <c r="CN752" t="s">
        <v>147</v>
      </c>
      <c r="CP752" t="s">
        <v>289</v>
      </c>
      <c r="CQ752" t="s">
        <v>147</v>
      </c>
    </row>
    <row r="753" spans="1:95" x14ac:dyDescent="0.2">
      <c r="A753" t="s">
        <v>115</v>
      </c>
      <c r="B753" t="s">
        <v>116</v>
      </c>
      <c r="C753">
        <v>210784</v>
      </c>
      <c r="E753" t="s">
        <v>117</v>
      </c>
      <c r="F753">
        <v>368</v>
      </c>
      <c r="G753" t="s">
        <v>141</v>
      </c>
      <c r="H753" t="s">
        <v>142</v>
      </c>
      <c r="I753" t="s">
        <v>279</v>
      </c>
      <c r="J753" t="s">
        <v>280</v>
      </c>
      <c r="L753" s="14">
        <v>45776</v>
      </c>
      <c r="M753" s="18">
        <f t="shared" si="14"/>
        <v>45748</v>
      </c>
      <c r="N753">
        <v>5709607</v>
      </c>
      <c r="O753" t="s">
        <v>123</v>
      </c>
      <c r="P753" t="s">
        <v>146</v>
      </c>
      <c r="Q753">
        <v>2.4700000000000002</v>
      </c>
      <c r="R753" t="s">
        <v>125</v>
      </c>
      <c r="S753" t="s">
        <v>126</v>
      </c>
      <c r="T753" t="s">
        <v>125</v>
      </c>
      <c r="U753" t="s">
        <v>126</v>
      </c>
      <c r="W753">
        <v>2.4700000000000002</v>
      </c>
      <c r="Y753">
        <v>2.4700000000000002</v>
      </c>
      <c r="BE753">
        <v>2.4700000000000002</v>
      </c>
      <c r="BH753" t="s">
        <v>126</v>
      </c>
      <c r="BI753" t="s">
        <v>126</v>
      </c>
      <c r="BJ753" t="s">
        <v>126</v>
      </c>
      <c r="BK753" t="s">
        <v>126</v>
      </c>
      <c r="BS753" t="s">
        <v>126</v>
      </c>
      <c r="BT753" t="s">
        <v>126</v>
      </c>
      <c r="BU753" t="s">
        <v>126</v>
      </c>
      <c r="BV753" t="s">
        <v>126</v>
      </c>
      <c r="CN753" t="s">
        <v>147</v>
      </c>
      <c r="CP753" t="s">
        <v>289</v>
      </c>
      <c r="CQ753" t="s">
        <v>147</v>
      </c>
    </row>
    <row r="754" spans="1:95" x14ac:dyDescent="0.2">
      <c r="A754" t="s">
        <v>115</v>
      </c>
      <c r="B754" t="s">
        <v>116</v>
      </c>
      <c r="C754">
        <v>210784</v>
      </c>
      <c r="E754" t="s">
        <v>117</v>
      </c>
      <c r="F754">
        <v>368</v>
      </c>
      <c r="G754" t="s">
        <v>141</v>
      </c>
      <c r="H754" t="s">
        <v>142</v>
      </c>
      <c r="I754" t="s">
        <v>279</v>
      </c>
      <c r="J754" t="s">
        <v>280</v>
      </c>
      <c r="L754" s="14">
        <v>45776</v>
      </c>
      <c r="M754" s="18">
        <f t="shared" si="14"/>
        <v>45748</v>
      </c>
      <c r="N754">
        <v>5709593</v>
      </c>
      <c r="O754" t="s">
        <v>123</v>
      </c>
      <c r="P754" t="s">
        <v>146</v>
      </c>
      <c r="Q754">
        <v>1.27</v>
      </c>
      <c r="R754" t="s">
        <v>125</v>
      </c>
      <c r="S754" t="s">
        <v>126</v>
      </c>
      <c r="T754" t="s">
        <v>125</v>
      </c>
      <c r="U754" t="s">
        <v>126</v>
      </c>
      <c r="W754">
        <v>1.27</v>
      </c>
      <c r="Y754">
        <v>1.27</v>
      </c>
      <c r="BE754">
        <v>1.27</v>
      </c>
      <c r="BH754" t="s">
        <v>126</v>
      </c>
      <c r="BI754" t="s">
        <v>126</v>
      </c>
      <c r="BJ754" t="s">
        <v>126</v>
      </c>
      <c r="BK754" t="s">
        <v>126</v>
      </c>
      <c r="BS754" t="s">
        <v>126</v>
      </c>
      <c r="BT754" t="s">
        <v>126</v>
      </c>
      <c r="BU754" t="s">
        <v>126</v>
      </c>
      <c r="BV754" t="s">
        <v>126</v>
      </c>
      <c r="CN754" t="s">
        <v>147</v>
      </c>
      <c r="CP754" t="s">
        <v>289</v>
      </c>
      <c r="CQ754" t="s">
        <v>147</v>
      </c>
    </row>
    <row r="755" spans="1:95" x14ac:dyDescent="0.2">
      <c r="A755" t="s">
        <v>115</v>
      </c>
      <c r="B755" t="s">
        <v>116</v>
      </c>
      <c r="C755">
        <v>210784</v>
      </c>
      <c r="E755" t="s">
        <v>117</v>
      </c>
      <c r="F755">
        <v>368</v>
      </c>
      <c r="G755" t="s">
        <v>141</v>
      </c>
      <c r="H755" t="s">
        <v>142</v>
      </c>
      <c r="I755" t="s">
        <v>279</v>
      </c>
      <c r="J755" t="s">
        <v>280</v>
      </c>
      <c r="L755" s="14">
        <v>45777</v>
      </c>
      <c r="M755" s="18">
        <f t="shared" si="14"/>
        <v>45748</v>
      </c>
      <c r="N755">
        <v>5710343</v>
      </c>
      <c r="O755" t="s">
        <v>123</v>
      </c>
      <c r="P755" t="s">
        <v>146</v>
      </c>
      <c r="Q755">
        <v>4.01</v>
      </c>
      <c r="R755" t="s">
        <v>623</v>
      </c>
      <c r="S755" t="s">
        <v>126</v>
      </c>
      <c r="T755" t="s">
        <v>623</v>
      </c>
      <c r="U755" t="s">
        <v>624</v>
      </c>
      <c r="W755">
        <v>1.24</v>
      </c>
      <c r="X755">
        <v>2.77</v>
      </c>
      <c r="Y755">
        <v>4.01</v>
      </c>
      <c r="Z755">
        <v>1.52</v>
      </c>
      <c r="AG755">
        <v>1.24</v>
      </c>
      <c r="AI755">
        <v>1.25</v>
      </c>
      <c r="BH755" t="s">
        <v>126</v>
      </c>
      <c r="BI755" t="s">
        <v>126</v>
      </c>
      <c r="BJ755" t="s">
        <v>126</v>
      </c>
      <c r="BK755" t="s">
        <v>126</v>
      </c>
      <c r="BS755" t="s">
        <v>126</v>
      </c>
      <c r="BT755" t="s">
        <v>126</v>
      </c>
      <c r="BU755" t="s">
        <v>126</v>
      </c>
      <c r="BV755" t="s">
        <v>126</v>
      </c>
      <c r="CN755" t="s">
        <v>147</v>
      </c>
      <c r="CP755" t="s">
        <v>289</v>
      </c>
      <c r="CQ755" t="s">
        <v>147</v>
      </c>
    </row>
    <row r="756" spans="1:95" x14ac:dyDescent="0.2">
      <c r="A756" t="s">
        <v>115</v>
      </c>
      <c r="B756" t="s">
        <v>116</v>
      </c>
      <c r="C756">
        <v>210784</v>
      </c>
      <c r="E756" t="s">
        <v>117</v>
      </c>
      <c r="F756">
        <v>368</v>
      </c>
      <c r="G756" t="s">
        <v>141</v>
      </c>
      <c r="H756" t="s">
        <v>142</v>
      </c>
      <c r="I756" t="s">
        <v>279</v>
      </c>
      <c r="J756" t="s">
        <v>280</v>
      </c>
      <c r="L756" s="14">
        <v>45777</v>
      </c>
      <c r="M756" s="18">
        <f t="shared" si="14"/>
        <v>45748</v>
      </c>
      <c r="N756">
        <v>5710512</v>
      </c>
      <c r="O756" t="s">
        <v>123</v>
      </c>
      <c r="P756" t="s">
        <v>146</v>
      </c>
      <c r="Q756">
        <v>1.0900000000000001</v>
      </c>
      <c r="R756" t="s">
        <v>648</v>
      </c>
      <c r="S756" t="s">
        <v>126</v>
      </c>
      <c r="T756" t="s">
        <v>648</v>
      </c>
      <c r="U756" t="s">
        <v>649</v>
      </c>
      <c r="W756">
        <v>0.34</v>
      </c>
      <c r="X756">
        <v>0.75</v>
      </c>
      <c r="Y756">
        <v>1.0900000000000001</v>
      </c>
      <c r="Z756">
        <v>0.41</v>
      </c>
      <c r="AG756">
        <v>0.34</v>
      </c>
      <c r="AI756">
        <v>0.34</v>
      </c>
      <c r="BH756" t="s">
        <v>126</v>
      </c>
      <c r="BI756" t="s">
        <v>126</v>
      </c>
      <c r="BJ756" t="s">
        <v>126</v>
      </c>
      <c r="BK756" t="s">
        <v>126</v>
      </c>
      <c r="BS756" t="s">
        <v>126</v>
      </c>
      <c r="BT756" t="s">
        <v>126</v>
      </c>
      <c r="BU756" t="s">
        <v>126</v>
      </c>
      <c r="BV756" t="s">
        <v>126</v>
      </c>
      <c r="CN756" t="s">
        <v>147</v>
      </c>
      <c r="CP756" t="s">
        <v>289</v>
      </c>
      <c r="CQ756" t="s">
        <v>147</v>
      </c>
    </row>
    <row r="757" spans="1:95" x14ac:dyDescent="0.2">
      <c r="A757" t="s">
        <v>115</v>
      </c>
      <c r="B757" t="s">
        <v>116</v>
      </c>
      <c r="C757">
        <v>210784</v>
      </c>
      <c r="E757" t="s">
        <v>117</v>
      </c>
      <c r="F757">
        <v>368</v>
      </c>
      <c r="G757" t="s">
        <v>141</v>
      </c>
      <c r="H757" t="s">
        <v>142</v>
      </c>
      <c r="I757" t="s">
        <v>279</v>
      </c>
      <c r="J757" t="s">
        <v>280</v>
      </c>
      <c r="L757" s="14">
        <v>45778</v>
      </c>
      <c r="M757" s="18">
        <f t="shared" si="14"/>
        <v>45778</v>
      </c>
      <c r="N757">
        <v>5711141</v>
      </c>
      <c r="O757" t="s">
        <v>123</v>
      </c>
      <c r="P757" t="s">
        <v>146</v>
      </c>
      <c r="Q757">
        <v>2.5</v>
      </c>
      <c r="R757" t="s">
        <v>125</v>
      </c>
      <c r="S757" t="s">
        <v>126</v>
      </c>
      <c r="T757" t="s">
        <v>125</v>
      </c>
      <c r="U757" t="s">
        <v>126</v>
      </c>
      <c r="W757">
        <v>2.5</v>
      </c>
      <c r="Y757">
        <v>2.5</v>
      </c>
      <c r="AS757">
        <v>2.5</v>
      </c>
      <c r="BH757" t="s">
        <v>126</v>
      </c>
      <c r="BI757" t="s">
        <v>126</v>
      </c>
      <c r="BJ757" t="s">
        <v>126</v>
      </c>
      <c r="BK757" t="s">
        <v>126</v>
      </c>
      <c r="BS757" t="s">
        <v>126</v>
      </c>
      <c r="BT757" t="s">
        <v>126</v>
      </c>
      <c r="BU757" t="s">
        <v>126</v>
      </c>
      <c r="BV757" t="s">
        <v>126</v>
      </c>
      <c r="CN757" t="s">
        <v>147</v>
      </c>
      <c r="CP757" t="s">
        <v>289</v>
      </c>
      <c r="CQ757" t="s">
        <v>147</v>
      </c>
    </row>
    <row r="758" spans="1:95" x14ac:dyDescent="0.2">
      <c r="A758" t="s">
        <v>115</v>
      </c>
      <c r="B758" t="s">
        <v>116</v>
      </c>
      <c r="C758">
        <v>210784</v>
      </c>
      <c r="E758" t="s">
        <v>117</v>
      </c>
      <c r="F758">
        <v>368</v>
      </c>
      <c r="G758" t="s">
        <v>141</v>
      </c>
      <c r="H758" t="s">
        <v>142</v>
      </c>
      <c r="I758" t="s">
        <v>279</v>
      </c>
      <c r="J758" t="s">
        <v>280</v>
      </c>
      <c r="L758" s="14">
        <v>45779</v>
      </c>
      <c r="M758" s="18">
        <f t="shared" si="14"/>
        <v>45778</v>
      </c>
      <c r="N758">
        <v>5711940</v>
      </c>
      <c r="O758" t="s">
        <v>123</v>
      </c>
      <c r="P758" t="s">
        <v>146</v>
      </c>
      <c r="Q758">
        <v>3.39</v>
      </c>
      <c r="R758" t="s">
        <v>125</v>
      </c>
      <c r="S758" t="s">
        <v>126</v>
      </c>
      <c r="T758" t="s">
        <v>125</v>
      </c>
      <c r="U758" t="s">
        <v>126</v>
      </c>
      <c r="W758">
        <v>3.39</v>
      </c>
      <c r="Y758">
        <v>3.39</v>
      </c>
      <c r="AS758">
        <v>3.39</v>
      </c>
      <c r="BH758" t="s">
        <v>126</v>
      </c>
      <c r="BI758" t="s">
        <v>126</v>
      </c>
      <c r="BJ758" t="s">
        <v>126</v>
      </c>
      <c r="BK758" t="s">
        <v>126</v>
      </c>
      <c r="BS758" t="s">
        <v>126</v>
      </c>
      <c r="BT758" t="s">
        <v>126</v>
      </c>
      <c r="BU758" t="s">
        <v>126</v>
      </c>
      <c r="BV758" t="s">
        <v>126</v>
      </c>
      <c r="CN758" t="s">
        <v>147</v>
      </c>
      <c r="CP758" t="s">
        <v>289</v>
      </c>
      <c r="CQ758" t="s">
        <v>147</v>
      </c>
    </row>
    <row r="759" spans="1:95" x14ac:dyDescent="0.2">
      <c r="A759" t="s">
        <v>115</v>
      </c>
      <c r="B759" t="s">
        <v>116</v>
      </c>
      <c r="C759">
        <v>210784</v>
      </c>
      <c r="E759" t="s">
        <v>117</v>
      </c>
      <c r="F759">
        <v>368</v>
      </c>
      <c r="G759" t="s">
        <v>141</v>
      </c>
      <c r="H759" t="s">
        <v>142</v>
      </c>
      <c r="I759" t="s">
        <v>279</v>
      </c>
      <c r="J759" t="s">
        <v>280</v>
      </c>
      <c r="L759" s="14">
        <v>45779</v>
      </c>
      <c r="M759" s="18">
        <f t="shared" si="14"/>
        <v>45778</v>
      </c>
      <c r="N759">
        <v>5711420</v>
      </c>
      <c r="O759" t="s">
        <v>123</v>
      </c>
      <c r="P759" t="s">
        <v>146</v>
      </c>
      <c r="Q759">
        <v>4.5999999999999996</v>
      </c>
      <c r="R759" t="s">
        <v>125</v>
      </c>
      <c r="S759" t="s">
        <v>126</v>
      </c>
      <c r="T759" t="s">
        <v>125</v>
      </c>
      <c r="U759" t="s">
        <v>126</v>
      </c>
      <c r="W759">
        <v>4.5999999999999996</v>
      </c>
      <c r="Y759">
        <v>4.5999999999999996</v>
      </c>
      <c r="AS759">
        <v>4.5999999999999996</v>
      </c>
      <c r="BH759" t="s">
        <v>126</v>
      </c>
      <c r="BI759" t="s">
        <v>126</v>
      </c>
      <c r="BJ759" t="s">
        <v>126</v>
      </c>
      <c r="BK759" t="s">
        <v>126</v>
      </c>
      <c r="BS759" t="s">
        <v>126</v>
      </c>
      <c r="BT759" t="s">
        <v>126</v>
      </c>
      <c r="BU759" t="s">
        <v>126</v>
      </c>
      <c r="BV759" t="s">
        <v>126</v>
      </c>
      <c r="CN759" t="s">
        <v>147</v>
      </c>
      <c r="CP759" t="s">
        <v>289</v>
      </c>
      <c r="CQ759" t="s">
        <v>147</v>
      </c>
    </row>
    <row r="760" spans="1:95" x14ac:dyDescent="0.2">
      <c r="A760" t="s">
        <v>115</v>
      </c>
      <c r="B760" t="s">
        <v>116</v>
      </c>
      <c r="C760">
        <v>210784</v>
      </c>
      <c r="E760" t="s">
        <v>117</v>
      </c>
      <c r="F760">
        <v>368</v>
      </c>
      <c r="G760" t="s">
        <v>141</v>
      </c>
      <c r="H760" t="s">
        <v>142</v>
      </c>
      <c r="I760" t="s">
        <v>279</v>
      </c>
      <c r="J760" t="s">
        <v>280</v>
      </c>
      <c r="L760" s="14">
        <v>45779</v>
      </c>
      <c r="M760" s="18">
        <f t="shared" si="14"/>
        <v>45778</v>
      </c>
      <c r="N760">
        <v>5712076</v>
      </c>
      <c r="O760" t="s">
        <v>123</v>
      </c>
      <c r="P760" t="s">
        <v>146</v>
      </c>
      <c r="Q760">
        <v>1.67</v>
      </c>
      <c r="R760" t="s">
        <v>125</v>
      </c>
      <c r="S760" t="s">
        <v>126</v>
      </c>
      <c r="T760" t="s">
        <v>125</v>
      </c>
      <c r="U760" t="s">
        <v>126</v>
      </c>
      <c r="W760">
        <v>1.67</v>
      </c>
      <c r="Y760">
        <v>1.67</v>
      </c>
      <c r="AS760">
        <v>1.67</v>
      </c>
      <c r="BH760" t="s">
        <v>126</v>
      </c>
      <c r="BI760" t="s">
        <v>126</v>
      </c>
      <c r="BJ760" t="s">
        <v>126</v>
      </c>
      <c r="BK760" t="s">
        <v>126</v>
      </c>
      <c r="BS760" t="s">
        <v>126</v>
      </c>
      <c r="BT760" t="s">
        <v>126</v>
      </c>
      <c r="BU760" t="s">
        <v>126</v>
      </c>
      <c r="BV760" t="s">
        <v>126</v>
      </c>
      <c r="CN760" t="s">
        <v>147</v>
      </c>
      <c r="CP760" t="s">
        <v>289</v>
      </c>
      <c r="CQ760" t="s">
        <v>147</v>
      </c>
    </row>
    <row r="761" spans="1:95" x14ac:dyDescent="0.2">
      <c r="A761" t="s">
        <v>115</v>
      </c>
      <c r="B761" t="s">
        <v>116</v>
      </c>
      <c r="C761">
        <v>210784</v>
      </c>
      <c r="E761" t="s">
        <v>117</v>
      </c>
      <c r="F761">
        <v>368</v>
      </c>
      <c r="G761" t="s">
        <v>141</v>
      </c>
      <c r="H761" t="s">
        <v>142</v>
      </c>
      <c r="I761" t="s">
        <v>279</v>
      </c>
      <c r="J761" t="s">
        <v>280</v>
      </c>
      <c r="L761" s="14">
        <v>45779</v>
      </c>
      <c r="M761" s="18">
        <f t="shared" si="14"/>
        <v>45778</v>
      </c>
      <c r="N761">
        <v>5711577</v>
      </c>
      <c r="O761" t="s">
        <v>123</v>
      </c>
      <c r="P761" t="s">
        <v>146</v>
      </c>
      <c r="Q761">
        <v>2.12</v>
      </c>
      <c r="R761" t="s">
        <v>125</v>
      </c>
      <c r="S761" t="s">
        <v>126</v>
      </c>
      <c r="T761" t="s">
        <v>125</v>
      </c>
      <c r="U761" t="s">
        <v>126</v>
      </c>
      <c r="W761">
        <v>2.12</v>
      </c>
      <c r="Y761">
        <v>2.12</v>
      </c>
      <c r="BE761">
        <v>2.12</v>
      </c>
      <c r="BH761" t="s">
        <v>126</v>
      </c>
      <c r="BI761" t="s">
        <v>126</v>
      </c>
      <c r="BJ761" t="s">
        <v>126</v>
      </c>
      <c r="BK761" t="s">
        <v>126</v>
      </c>
      <c r="BS761" t="s">
        <v>126</v>
      </c>
      <c r="BT761" t="s">
        <v>126</v>
      </c>
      <c r="BU761" t="s">
        <v>126</v>
      </c>
      <c r="BV761" t="s">
        <v>126</v>
      </c>
      <c r="CN761" t="s">
        <v>147</v>
      </c>
      <c r="CP761" t="s">
        <v>289</v>
      </c>
      <c r="CQ761" t="s">
        <v>147</v>
      </c>
    </row>
    <row r="762" spans="1:95" x14ac:dyDescent="0.2">
      <c r="A762" t="s">
        <v>115</v>
      </c>
      <c r="B762" t="s">
        <v>116</v>
      </c>
      <c r="C762">
        <v>210784</v>
      </c>
      <c r="E762" t="s">
        <v>117</v>
      </c>
      <c r="F762">
        <v>368</v>
      </c>
      <c r="G762" t="s">
        <v>141</v>
      </c>
      <c r="H762" t="s">
        <v>142</v>
      </c>
      <c r="I762" t="s">
        <v>279</v>
      </c>
      <c r="J762" t="s">
        <v>280</v>
      </c>
      <c r="L762" s="14">
        <v>45780</v>
      </c>
      <c r="M762" s="18">
        <f t="shared" si="14"/>
        <v>45778</v>
      </c>
      <c r="N762">
        <v>5712266</v>
      </c>
      <c r="O762" t="s">
        <v>123</v>
      </c>
      <c r="P762" t="s">
        <v>146</v>
      </c>
      <c r="Q762">
        <v>1.0900000000000001</v>
      </c>
      <c r="R762" t="s">
        <v>125</v>
      </c>
      <c r="S762" t="s">
        <v>126</v>
      </c>
      <c r="T762" t="s">
        <v>125</v>
      </c>
      <c r="U762" t="s">
        <v>126</v>
      </c>
      <c r="W762">
        <v>1.0900000000000001</v>
      </c>
      <c r="Y762">
        <v>1.0900000000000001</v>
      </c>
      <c r="BE762">
        <v>1.0900000000000001</v>
      </c>
      <c r="BH762" t="s">
        <v>126</v>
      </c>
      <c r="BI762" t="s">
        <v>126</v>
      </c>
      <c r="BJ762" t="s">
        <v>126</v>
      </c>
      <c r="BK762" t="s">
        <v>126</v>
      </c>
      <c r="BS762" t="s">
        <v>126</v>
      </c>
      <c r="BT762" t="s">
        <v>126</v>
      </c>
      <c r="BU762" t="s">
        <v>126</v>
      </c>
      <c r="BV762" t="s">
        <v>126</v>
      </c>
      <c r="CN762" t="s">
        <v>147</v>
      </c>
      <c r="CP762" t="s">
        <v>289</v>
      </c>
      <c r="CQ762" t="s">
        <v>147</v>
      </c>
    </row>
    <row r="763" spans="1:95" x14ac:dyDescent="0.2">
      <c r="A763" t="s">
        <v>115</v>
      </c>
      <c r="B763" t="s">
        <v>116</v>
      </c>
      <c r="C763">
        <v>210784</v>
      </c>
      <c r="E763" t="s">
        <v>117</v>
      </c>
      <c r="F763">
        <v>368</v>
      </c>
      <c r="G763" t="s">
        <v>141</v>
      </c>
      <c r="H763" t="s">
        <v>142</v>
      </c>
      <c r="I763" t="s">
        <v>279</v>
      </c>
      <c r="J763" t="s">
        <v>280</v>
      </c>
      <c r="L763" s="14">
        <v>45782</v>
      </c>
      <c r="M763" s="18">
        <f t="shared" si="14"/>
        <v>45778</v>
      </c>
      <c r="N763">
        <v>5712985</v>
      </c>
      <c r="O763" t="s">
        <v>123</v>
      </c>
      <c r="P763" t="s">
        <v>146</v>
      </c>
      <c r="Q763">
        <v>5.57</v>
      </c>
      <c r="R763" t="s">
        <v>125</v>
      </c>
      <c r="S763" t="s">
        <v>126</v>
      </c>
      <c r="T763" t="s">
        <v>125</v>
      </c>
      <c r="U763" t="s">
        <v>126</v>
      </c>
      <c r="W763">
        <v>5.57</v>
      </c>
      <c r="Y763">
        <v>5.57</v>
      </c>
      <c r="AS763">
        <v>5.57</v>
      </c>
      <c r="BH763" t="s">
        <v>126</v>
      </c>
      <c r="BI763" t="s">
        <v>126</v>
      </c>
      <c r="BJ763" t="s">
        <v>126</v>
      </c>
      <c r="BK763" t="s">
        <v>126</v>
      </c>
      <c r="BS763" t="s">
        <v>126</v>
      </c>
      <c r="BT763" t="s">
        <v>126</v>
      </c>
      <c r="BU763" t="s">
        <v>126</v>
      </c>
      <c r="BV763" t="s">
        <v>126</v>
      </c>
      <c r="CN763" t="s">
        <v>147</v>
      </c>
      <c r="CP763" t="s">
        <v>289</v>
      </c>
      <c r="CQ763" t="s">
        <v>147</v>
      </c>
    </row>
    <row r="764" spans="1:95" x14ac:dyDescent="0.2">
      <c r="A764" t="s">
        <v>115</v>
      </c>
      <c r="B764" t="s">
        <v>116</v>
      </c>
      <c r="C764">
        <v>210784</v>
      </c>
      <c r="E764" t="s">
        <v>117</v>
      </c>
      <c r="F764">
        <v>368</v>
      </c>
      <c r="G764" t="s">
        <v>141</v>
      </c>
      <c r="H764" t="s">
        <v>142</v>
      </c>
      <c r="I764" t="s">
        <v>279</v>
      </c>
      <c r="J764" t="s">
        <v>280</v>
      </c>
      <c r="L764" s="14">
        <v>45782</v>
      </c>
      <c r="M764" s="18">
        <f t="shared" si="14"/>
        <v>45778</v>
      </c>
      <c r="N764">
        <v>5713153</v>
      </c>
      <c r="O764" t="s">
        <v>123</v>
      </c>
      <c r="P764" t="s">
        <v>146</v>
      </c>
      <c r="Q764">
        <v>1.27</v>
      </c>
      <c r="R764" t="s">
        <v>125</v>
      </c>
      <c r="S764" t="s">
        <v>126</v>
      </c>
      <c r="T764" t="s">
        <v>125</v>
      </c>
      <c r="U764" t="s">
        <v>126</v>
      </c>
      <c r="W764">
        <v>1.27</v>
      </c>
      <c r="Y764">
        <v>1.27</v>
      </c>
      <c r="AS764">
        <v>1.27</v>
      </c>
      <c r="BH764" t="s">
        <v>126</v>
      </c>
      <c r="BI764" t="s">
        <v>126</v>
      </c>
      <c r="BJ764" t="s">
        <v>126</v>
      </c>
      <c r="BK764" t="s">
        <v>126</v>
      </c>
      <c r="BS764" t="s">
        <v>126</v>
      </c>
      <c r="BT764" t="s">
        <v>126</v>
      </c>
      <c r="BU764" t="s">
        <v>126</v>
      </c>
      <c r="BV764" t="s">
        <v>126</v>
      </c>
      <c r="CN764" t="s">
        <v>147</v>
      </c>
      <c r="CP764" t="s">
        <v>289</v>
      </c>
      <c r="CQ764" t="s">
        <v>147</v>
      </c>
    </row>
    <row r="765" spans="1:95" x14ac:dyDescent="0.2">
      <c r="A765" t="s">
        <v>115</v>
      </c>
      <c r="B765" t="s">
        <v>116</v>
      </c>
      <c r="C765">
        <v>210784</v>
      </c>
      <c r="E765" t="s">
        <v>117</v>
      </c>
      <c r="F765">
        <v>368</v>
      </c>
      <c r="G765" t="s">
        <v>141</v>
      </c>
      <c r="H765" t="s">
        <v>142</v>
      </c>
      <c r="I765" t="s">
        <v>279</v>
      </c>
      <c r="J765" t="s">
        <v>280</v>
      </c>
      <c r="L765" s="14">
        <v>45782</v>
      </c>
      <c r="M765" s="18">
        <f t="shared" si="14"/>
        <v>45778</v>
      </c>
      <c r="N765">
        <v>5712460</v>
      </c>
      <c r="O765" t="s">
        <v>123</v>
      </c>
      <c r="P765" t="s">
        <v>146</v>
      </c>
      <c r="Q765">
        <v>2.21</v>
      </c>
      <c r="R765" t="s">
        <v>569</v>
      </c>
      <c r="S765" t="s">
        <v>126</v>
      </c>
      <c r="T765" t="s">
        <v>569</v>
      </c>
      <c r="U765" t="s">
        <v>570</v>
      </c>
      <c r="W765">
        <v>0.68</v>
      </c>
      <c r="X765">
        <v>1.5299999999999998</v>
      </c>
      <c r="Y765">
        <v>2.21</v>
      </c>
      <c r="Z765">
        <v>0.84</v>
      </c>
      <c r="AG765">
        <v>0.68</v>
      </c>
      <c r="AI765">
        <v>0.69</v>
      </c>
      <c r="BH765" t="s">
        <v>126</v>
      </c>
      <c r="BI765" t="s">
        <v>126</v>
      </c>
      <c r="BJ765" t="s">
        <v>126</v>
      </c>
      <c r="BK765" t="s">
        <v>126</v>
      </c>
      <c r="BS765" t="s">
        <v>126</v>
      </c>
      <c r="BT765" t="s">
        <v>126</v>
      </c>
      <c r="BU765" t="s">
        <v>126</v>
      </c>
      <c r="BV765" t="s">
        <v>126</v>
      </c>
      <c r="CN765" t="s">
        <v>147</v>
      </c>
      <c r="CP765" t="s">
        <v>289</v>
      </c>
      <c r="CQ765" t="s">
        <v>147</v>
      </c>
    </row>
    <row r="766" spans="1:95" x14ac:dyDescent="0.2">
      <c r="A766" t="s">
        <v>115</v>
      </c>
      <c r="B766" t="s">
        <v>116</v>
      </c>
      <c r="C766">
        <v>210784</v>
      </c>
      <c r="E766" t="s">
        <v>117</v>
      </c>
      <c r="F766">
        <v>368</v>
      </c>
      <c r="G766" t="s">
        <v>141</v>
      </c>
      <c r="H766" t="s">
        <v>142</v>
      </c>
      <c r="I766" t="s">
        <v>279</v>
      </c>
      <c r="J766" t="s">
        <v>280</v>
      </c>
      <c r="L766" s="14">
        <v>45782</v>
      </c>
      <c r="M766" s="18">
        <f t="shared" si="14"/>
        <v>45778</v>
      </c>
      <c r="N766">
        <v>5713118</v>
      </c>
      <c r="O766" t="s">
        <v>123</v>
      </c>
      <c r="P766" t="s">
        <v>146</v>
      </c>
      <c r="Q766">
        <v>0.72</v>
      </c>
      <c r="R766" t="s">
        <v>125</v>
      </c>
      <c r="S766" t="s">
        <v>126</v>
      </c>
      <c r="T766" t="s">
        <v>125</v>
      </c>
      <c r="U766" t="s">
        <v>126</v>
      </c>
      <c r="W766">
        <v>0.72</v>
      </c>
      <c r="Y766">
        <v>0.72</v>
      </c>
      <c r="BE766">
        <v>0.72</v>
      </c>
      <c r="BH766" t="s">
        <v>126</v>
      </c>
      <c r="BI766" t="s">
        <v>126</v>
      </c>
      <c r="BJ766" t="s">
        <v>126</v>
      </c>
      <c r="BK766" t="s">
        <v>126</v>
      </c>
      <c r="BS766" t="s">
        <v>126</v>
      </c>
      <c r="BT766" t="s">
        <v>126</v>
      </c>
      <c r="BU766" t="s">
        <v>126</v>
      </c>
      <c r="BV766" t="s">
        <v>126</v>
      </c>
      <c r="CN766" t="s">
        <v>147</v>
      </c>
      <c r="CP766" t="s">
        <v>289</v>
      </c>
      <c r="CQ766" t="s">
        <v>147</v>
      </c>
    </row>
    <row r="767" spans="1:95" x14ac:dyDescent="0.2">
      <c r="A767" t="s">
        <v>115</v>
      </c>
      <c r="B767" t="s">
        <v>116</v>
      </c>
      <c r="C767">
        <v>210784</v>
      </c>
      <c r="E767" t="s">
        <v>117</v>
      </c>
      <c r="F767">
        <v>368</v>
      </c>
      <c r="G767" t="s">
        <v>141</v>
      </c>
      <c r="H767" t="s">
        <v>142</v>
      </c>
      <c r="I767" t="s">
        <v>279</v>
      </c>
      <c r="J767" t="s">
        <v>280</v>
      </c>
      <c r="L767" s="14">
        <v>45783</v>
      </c>
      <c r="M767" s="18">
        <f t="shared" si="14"/>
        <v>45778</v>
      </c>
      <c r="N767">
        <v>5713699</v>
      </c>
      <c r="O767" t="s">
        <v>123</v>
      </c>
      <c r="P767" t="s">
        <v>146</v>
      </c>
      <c r="Q767">
        <v>4.34</v>
      </c>
      <c r="R767" t="s">
        <v>635</v>
      </c>
      <c r="S767" t="s">
        <v>126</v>
      </c>
      <c r="T767" t="s">
        <v>635</v>
      </c>
      <c r="U767" t="s">
        <v>636</v>
      </c>
      <c r="W767">
        <v>1.34</v>
      </c>
      <c r="X767">
        <v>3</v>
      </c>
      <c r="Y767">
        <v>4.34</v>
      </c>
      <c r="Z767">
        <v>1.65</v>
      </c>
      <c r="AG767">
        <v>1.34</v>
      </c>
      <c r="AI767">
        <v>1.35</v>
      </c>
      <c r="BH767" t="s">
        <v>126</v>
      </c>
      <c r="BI767" t="s">
        <v>126</v>
      </c>
      <c r="BJ767" t="s">
        <v>126</v>
      </c>
      <c r="BK767" t="s">
        <v>126</v>
      </c>
      <c r="BS767" t="s">
        <v>126</v>
      </c>
      <c r="BT767" t="s">
        <v>126</v>
      </c>
      <c r="BU767" t="s">
        <v>126</v>
      </c>
      <c r="BV767" t="s">
        <v>126</v>
      </c>
      <c r="CN767" t="s">
        <v>147</v>
      </c>
      <c r="CP767" t="s">
        <v>289</v>
      </c>
      <c r="CQ767" t="s">
        <v>147</v>
      </c>
    </row>
    <row r="768" spans="1:95" x14ac:dyDescent="0.2">
      <c r="A768" t="s">
        <v>115</v>
      </c>
      <c r="B768" t="s">
        <v>116</v>
      </c>
      <c r="C768">
        <v>210784</v>
      </c>
      <c r="E768" t="s">
        <v>117</v>
      </c>
      <c r="F768">
        <v>368</v>
      </c>
      <c r="G768" t="s">
        <v>141</v>
      </c>
      <c r="H768" t="s">
        <v>142</v>
      </c>
      <c r="I768" t="s">
        <v>279</v>
      </c>
      <c r="J768" t="s">
        <v>280</v>
      </c>
      <c r="L768" s="14">
        <v>45783</v>
      </c>
      <c r="M768" s="18">
        <f t="shared" si="14"/>
        <v>45778</v>
      </c>
      <c r="N768">
        <v>5713402</v>
      </c>
      <c r="O768" t="s">
        <v>123</v>
      </c>
      <c r="P768" t="s">
        <v>146</v>
      </c>
      <c r="Q768">
        <v>2.29</v>
      </c>
      <c r="R768" t="s">
        <v>125</v>
      </c>
      <c r="S768" t="s">
        <v>126</v>
      </c>
      <c r="T768" t="s">
        <v>125</v>
      </c>
      <c r="U768" t="s">
        <v>126</v>
      </c>
      <c r="W768">
        <v>2.29</v>
      </c>
      <c r="Y768">
        <v>2.29</v>
      </c>
      <c r="BE768">
        <v>2.29</v>
      </c>
      <c r="BH768" t="s">
        <v>126</v>
      </c>
      <c r="BI768" t="s">
        <v>126</v>
      </c>
      <c r="BJ768" t="s">
        <v>126</v>
      </c>
      <c r="BK768" t="s">
        <v>126</v>
      </c>
      <c r="BS768" t="s">
        <v>126</v>
      </c>
      <c r="BT768" t="s">
        <v>126</v>
      </c>
      <c r="BU768" t="s">
        <v>126</v>
      </c>
      <c r="BV768" t="s">
        <v>126</v>
      </c>
      <c r="CN768" t="s">
        <v>147</v>
      </c>
      <c r="CP768" t="s">
        <v>289</v>
      </c>
      <c r="CQ768" t="s">
        <v>147</v>
      </c>
    </row>
    <row r="769" spans="1:95" x14ac:dyDescent="0.2">
      <c r="A769" t="s">
        <v>115</v>
      </c>
      <c r="B769" t="s">
        <v>116</v>
      </c>
      <c r="C769">
        <v>210784</v>
      </c>
      <c r="E769" t="s">
        <v>117</v>
      </c>
      <c r="F769">
        <v>368</v>
      </c>
      <c r="G769" t="s">
        <v>141</v>
      </c>
      <c r="H769" t="s">
        <v>142</v>
      </c>
      <c r="I769" t="s">
        <v>279</v>
      </c>
      <c r="J769" t="s">
        <v>280</v>
      </c>
      <c r="L769" s="14">
        <v>45784</v>
      </c>
      <c r="M769" s="18">
        <f t="shared" si="14"/>
        <v>45778</v>
      </c>
      <c r="N769">
        <v>5714468</v>
      </c>
      <c r="O769" t="s">
        <v>123</v>
      </c>
      <c r="P769" t="s">
        <v>146</v>
      </c>
      <c r="Q769">
        <v>5.56</v>
      </c>
      <c r="R769" t="s">
        <v>125</v>
      </c>
      <c r="S769" t="s">
        <v>126</v>
      </c>
      <c r="T769" t="s">
        <v>125</v>
      </c>
      <c r="U769" t="s">
        <v>126</v>
      </c>
      <c r="W769">
        <v>5.56</v>
      </c>
      <c r="Y769">
        <v>5.56</v>
      </c>
      <c r="AS769">
        <v>5.56</v>
      </c>
      <c r="BH769" t="s">
        <v>126</v>
      </c>
      <c r="BI769" t="s">
        <v>126</v>
      </c>
      <c r="BJ769" t="s">
        <v>126</v>
      </c>
      <c r="BK769" t="s">
        <v>126</v>
      </c>
      <c r="BS769" t="s">
        <v>126</v>
      </c>
      <c r="BT769" t="s">
        <v>126</v>
      </c>
      <c r="BU769" t="s">
        <v>126</v>
      </c>
      <c r="BV769" t="s">
        <v>126</v>
      </c>
      <c r="CN769" t="s">
        <v>147</v>
      </c>
      <c r="CP769" t="s">
        <v>289</v>
      </c>
      <c r="CQ769" t="s">
        <v>147</v>
      </c>
    </row>
    <row r="770" spans="1:95" x14ac:dyDescent="0.2">
      <c r="A770" t="s">
        <v>115</v>
      </c>
      <c r="B770" t="s">
        <v>116</v>
      </c>
      <c r="C770">
        <v>210784</v>
      </c>
      <c r="E770" t="s">
        <v>117</v>
      </c>
      <c r="F770">
        <v>368</v>
      </c>
      <c r="G770" t="s">
        <v>141</v>
      </c>
      <c r="H770" t="s">
        <v>142</v>
      </c>
      <c r="I770" t="s">
        <v>279</v>
      </c>
      <c r="J770" t="s">
        <v>280</v>
      </c>
      <c r="L770" s="14">
        <v>45784</v>
      </c>
      <c r="M770" s="18">
        <f t="shared" si="14"/>
        <v>45778</v>
      </c>
      <c r="N770">
        <v>5714566</v>
      </c>
      <c r="O770" t="s">
        <v>123</v>
      </c>
      <c r="P770" t="s">
        <v>146</v>
      </c>
      <c r="Q770">
        <v>2.95</v>
      </c>
      <c r="R770" t="s">
        <v>594</v>
      </c>
      <c r="S770" t="s">
        <v>126</v>
      </c>
      <c r="T770" t="s">
        <v>594</v>
      </c>
      <c r="U770" t="s">
        <v>595</v>
      </c>
      <c r="W770">
        <v>0.91</v>
      </c>
      <c r="X770">
        <v>2.04</v>
      </c>
      <c r="Y770">
        <v>2.95</v>
      </c>
      <c r="Z770">
        <v>1.1200000000000001</v>
      </c>
      <c r="AG770">
        <v>0.91</v>
      </c>
      <c r="AI770">
        <v>0.92</v>
      </c>
      <c r="BH770" t="s">
        <v>126</v>
      </c>
      <c r="BI770" t="s">
        <v>126</v>
      </c>
      <c r="BJ770" t="s">
        <v>126</v>
      </c>
      <c r="BK770" t="s">
        <v>126</v>
      </c>
      <c r="BS770" t="s">
        <v>126</v>
      </c>
      <c r="BT770" t="s">
        <v>126</v>
      </c>
      <c r="BU770" t="s">
        <v>126</v>
      </c>
      <c r="BV770" t="s">
        <v>126</v>
      </c>
      <c r="CN770" t="s">
        <v>147</v>
      </c>
      <c r="CP770" t="s">
        <v>289</v>
      </c>
      <c r="CQ770" t="s">
        <v>147</v>
      </c>
    </row>
    <row r="771" spans="1:95" x14ac:dyDescent="0.2">
      <c r="A771" t="s">
        <v>115</v>
      </c>
      <c r="B771" t="s">
        <v>116</v>
      </c>
      <c r="C771">
        <v>210784</v>
      </c>
      <c r="E771" t="s">
        <v>117</v>
      </c>
      <c r="F771">
        <v>368</v>
      </c>
      <c r="G771" t="s">
        <v>141</v>
      </c>
      <c r="H771" t="s">
        <v>142</v>
      </c>
      <c r="I771" t="s">
        <v>279</v>
      </c>
      <c r="J771" t="s">
        <v>280</v>
      </c>
      <c r="L771" s="14">
        <v>45784</v>
      </c>
      <c r="M771" s="18">
        <f t="shared" si="14"/>
        <v>45778</v>
      </c>
      <c r="N771">
        <v>5714512</v>
      </c>
      <c r="O771" t="s">
        <v>123</v>
      </c>
      <c r="P771" t="s">
        <v>146</v>
      </c>
      <c r="Q771">
        <v>0.88</v>
      </c>
      <c r="R771" t="s">
        <v>125</v>
      </c>
      <c r="S771" t="s">
        <v>126</v>
      </c>
      <c r="T771" t="s">
        <v>125</v>
      </c>
      <c r="U771" t="s">
        <v>126</v>
      </c>
      <c r="W771">
        <v>0.88</v>
      </c>
      <c r="Y771">
        <v>0.88</v>
      </c>
      <c r="BE771">
        <v>0.88</v>
      </c>
      <c r="BH771" t="s">
        <v>126</v>
      </c>
      <c r="BI771" t="s">
        <v>126</v>
      </c>
      <c r="BJ771" t="s">
        <v>126</v>
      </c>
      <c r="BK771" t="s">
        <v>126</v>
      </c>
      <c r="BS771" t="s">
        <v>126</v>
      </c>
      <c r="BT771" t="s">
        <v>126</v>
      </c>
      <c r="BU771" t="s">
        <v>126</v>
      </c>
      <c r="BV771" t="s">
        <v>126</v>
      </c>
      <c r="CN771" t="s">
        <v>147</v>
      </c>
      <c r="CP771" t="s">
        <v>289</v>
      </c>
      <c r="CQ771" t="s">
        <v>147</v>
      </c>
    </row>
    <row r="772" spans="1:95" x14ac:dyDescent="0.2">
      <c r="A772" t="s">
        <v>115</v>
      </c>
      <c r="B772" t="s">
        <v>116</v>
      </c>
      <c r="C772">
        <v>210784</v>
      </c>
      <c r="E772" t="s">
        <v>117</v>
      </c>
      <c r="F772">
        <v>368</v>
      </c>
      <c r="G772" t="s">
        <v>141</v>
      </c>
      <c r="H772" t="s">
        <v>142</v>
      </c>
      <c r="I772" t="s">
        <v>279</v>
      </c>
      <c r="J772" t="s">
        <v>280</v>
      </c>
      <c r="L772" s="14">
        <v>45785</v>
      </c>
      <c r="M772" s="18">
        <f t="shared" si="14"/>
        <v>45778</v>
      </c>
      <c r="N772">
        <v>5715113</v>
      </c>
      <c r="O772" t="s">
        <v>123</v>
      </c>
      <c r="P772" t="s">
        <v>146</v>
      </c>
      <c r="Q772">
        <v>3.16</v>
      </c>
      <c r="R772" t="s">
        <v>125</v>
      </c>
      <c r="S772" t="s">
        <v>126</v>
      </c>
      <c r="T772" t="s">
        <v>125</v>
      </c>
      <c r="U772" t="s">
        <v>126</v>
      </c>
      <c r="W772">
        <v>3.16</v>
      </c>
      <c r="Y772">
        <v>3.16</v>
      </c>
      <c r="AS772">
        <v>3.16</v>
      </c>
      <c r="BH772" t="s">
        <v>126</v>
      </c>
      <c r="BI772" t="s">
        <v>126</v>
      </c>
      <c r="BJ772" t="s">
        <v>126</v>
      </c>
      <c r="BK772" t="s">
        <v>126</v>
      </c>
      <c r="BS772" t="s">
        <v>126</v>
      </c>
      <c r="BT772" t="s">
        <v>126</v>
      </c>
      <c r="BU772" t="s">
        <v>126</v>
      </c>
      <c r="BV772" t="s">
        <v>126</v>
      </c>
      <c r="CN772" t="s">
        <v>147</v>
      </c>
      <c r="CP772" t="s">
        <v>289</v>
      </c>
      <c r="CQ772" t="s">
        <v>147</v>
      </c>
    </row>
    <row r="773" spans="1:95" x14ac:dyDescent="0.2">
      <c r="A773" t="s">
        <v>115</v>
      </c>
      <c r="B773" t="s">
        <v>116</v>
      </c>
      <c r="C773">
        <v>210784</v>
      </c>
      <c r="E773" t="s">
        <v>117</v>
      </c>
      <c r="F773">
        <v>368</v>
      </c>
      <c r="G773" t="s">
        <v>141</v>
      </c>
      <c r="H773" t="s">
        <v>142</v>
      </c>
      <c r="I773" t="s">
        <v>279</v>
      </c>
      <c r="J773" t="s">
        <v>280</v>
      </c>
      <c r="L773" s="14">
        <v>45786</v>
      </c>
      <c r="M773" s="18">
        <f t="shared" si="14"/>
        <v>45778</v>
      </c>
      <c r="N773">
        <v>5716220</v>
      </c>
      <c r="O773" t="s">
        <v>123</v>
      </c>
      <c r="P773" t="s">
        <v>146</v>
      </c>
      <c r="Q773">
        <v>6.16</v>
      </c>
      <c r="R773" t="s">
        <v>125</v>
      </c>
      <c r="S773" t="s">
        <v>126</v>
      </c>
      <c r="T773" t="s">
        <v>125</v>
      </c>
      <c r="U773" t="s">
        <v>126</v>
      </c>
      <c r="W773">
        <v>6.16</v>
      </c>
      <c r="Y773">
        <v>6.16</v>
      </c>
      <c r="AS773">
        <v>6.16</v>
      </c>
      <c r="BH773" t="s">
        <v>126</v>
      </c>
      <c r="BI773" t="s">
        <v>126</v>
      </c>
      <c r="BJ773" t="s">
        <v>126</v>
      </c>
      <c r="BK773" t="s">
        <v>126</v>
      </c>
      <c r="BS773" t="s">
        <v>126</v>
      </c>
      <c r="BT773" t="s">
        <v>126</v>
      </c>
      <c r="BU773" t="s">
        <v>126</v>
      </c>
      <c r="BV773" t="s">
        <v>126</v>
      </c>
      <c r="CN773" t="s">
        <v>147</v>
      </c>
      <c r="CP773" t="s">
        <v>289</v>
      </c>
      <c r="CQ773" t="s">
        <v>147</v>
      </c>
    </row>
    <row r="774" spans="1:95" x14ac:dyDescent="0.2">
      <c r="A774" t="s">
        <v>115</v>
      </c>
      <c r="B774" t="s">
        <v>116</v>
      </c>
      <c r="C774">
        <v>210784</v>
      </c>
      <c r="E774" t="s">
        <v>117</v>
      </c>
      <c r="F774">
        <v>368</v>
      </c>
      <c r="G774" t="s">
        <v>141</v>
      </c>
      <c r="H774" t="s">
        <v>142</v>
      </c>
      <c r="I774" t="s">
        <v>279</v>
      </c>
      <c r="J774" t="s">
        <v>280</v>
      </c>
      <c r="L774" s="14">
        <v>45786</v>
      </c>
      <c r="M774" s="18">
        <f t="shared" si="14"/>
        <v>45778</v>
      </c>
      <c r="N774">
        <v>5716013</v>
      </c>
      <c r="O774" t="s">
        <v>123</v>
      </c>
      <c r="P774" t="s">
        <v>146</v>
      </c>
      <c r="Q774">
        <v>1.82</v>
      </c>
      <c r="R774" t="s">
        <v>125</v>
      </c>
      <c r="S774" t="s">
        <v>126</v>
      </c>
      <c r="T774" t="s">
        <v>125</v>
      </c>
      <c r="U774" t="s">
        <v>126</v>
      </c>
      <c r="W774">
        <v>1.82</v>
      </c>
      <c r="Y774">
        <v>1.82</v>
      </c>
      <c r="BE774">
        <v>1.82</v>
      </c>
      <c r="BH774" t="s">
        <v>126</v>
      </c>
      <c r="BI774" t="s">
        <v>126</v>
      </c>
      <c r="BJ774" t="s">
        <v>126</v>
      </c>
      <c r="BK774" t="s">
        <v>126</v>
      </c>
      <c r="BS774" t="s">
        <v>126</v>
      </c>
      <c r="BT774" t="s">
        <v>126</v>
      </c>
      <c r="BU774" t="s">
        <v>126</v>
      </c>
      <c r="BV774" t="s">
        <v>126</v>
      </c>
      <c r="CN774" t="s">
        <v>147</v>
      </c>
      <c r="CP774" t="s">
        <v>289</v>
      </c>
      <c r="CQ774" t="s">
        <v>147</v>
      </c>
    </row>
    <row r="775" spans="1:95" x14ac:dyDescent="0.2">
      <c r="A775" t="s">
        <v>115</v>
      </c>
      <c r="B775" t="s">
        <v>116</v>
      </c>
      <c r="C775">
        <v>210784</v>
      </c>
      <c r="E775" t="s">
        <v>117</v>
      </c>
      <c r="F775">
        <v>368</v>
      </c>
      <c r="G775" t="s">
        <v>141</v>
      </c>
      <c r="H775" t="s">
        <v>142</v>
      </c>
      <c r="I775" t="s">
        <v>279</v>
      </c>
      <c r="J775" t="s">
        <v>280</v>
      </c>
      <c r="L775" s="14">
        <v>45787</v>
      </c>
      <c r="M775" s="18">
        <f t="shared" si="14"/>
        <v>45778</v>
      </c>
      <c r="N775">
        <v>5716410</v>
      </c>
      <c r="O775" t="s">
        <v>123</v>
      </c>
      <c r="P775" t="s">
        <v>146</v>
      </c>
      <c r="Q775">
        <v>2</v>
      </c>
      <c r="R775" t="s">
        <v>125</v>
      </c>
      <c r="S775" t="s">
        <v>126</v>
      </c>
      <c r="T775" t="s">
        <v>125</v>
      </c>
      <c r="U775" t="s">
        <v>126</v>
      </c>
      <c r="W775">
        <v>2</v>
      </c>
      <c r="Y775">
        <v>2</v>
      </c>
      <c r="AS775">
        <v>2</v>
      </c>
      <c r="BH775" t="s">
        <v>126</v>
      </c>
      <c r="BI775" t="s">
        <v>126</v>
      </c>
      <c r="BJ775" t="s">
        <v>126</v>
      </c>
      <c r="BK775" t="s">
        <v>126</v>
      </c>
      <c r="BS775" t="s">
        <v>126</v>
      </c>
      <c r="BT775" t="s">
        <v>126</v>
      </c>
      <c r="BU775" t="s">
        <v>126</v>
      </c>
      <c r="BV775" t="s">
        <v>126</v>
      </c>
      <c r="CN775" t="s">
        <v>147</v>
      </c>
      <c r="CP775" t="s">
        <v>289</v>
      </c>
      <c r="CQ775" t="s">
        <v>147</v>
      </c>
    </row>
    <row r="776" spans="1:95" x14ac:dyDescent="0.2">
      <c r="A776" t="s">
        <v>115</v>
      </c>
      <c r="B776" t="s">
        <v>116</v>
      </c>
      <c r="C776">
        <v>210784</v>
      </c>
      <c r="E776" t="s">
        <v>117</v>
      </c>
      <c r="F776">
        <v>368</v>
      </c>
      <c r="G776" t="s">
        <v>141</v>
      </c>
      <c r="H776" t="s">
        <v>142</v>
      </c>
      <c r="I776" t="s">
        <v>279</v>
      </c>
      <c r="J776" t="s">
        <v>280</v>
      </c>
      <c r="L776" s="14">
        <v>45787</v>
      </c>
      <c r="M776" s="18">
        <f t="shared" si="14"/>
        <v>45778</v>
      </c>
      <c r="N776">
        <v>5716289</v>
      </c>
      <c r="O776" t="s">
        <v>123</v>
      </c>
      <c r="P776" t="s">
        <v>146</v>
      </c>
      <c r="Q776">
        <v>3.23</v>
      </c>
      <c r="R776" t="s">
        <v>125</v>
      </c>
      <c r="S776" t="s">
        <v>126</v>
      </c>
      <c r="T776" t="s">
        <v>125</v>
      </c>
      <c r="U776" t="s">
        <v>126</v>
      </c>
      <c r="W776">
        <v>3.23</v>
      </c>
      <c r="Y776">
        <v>3.23</v>
      </c>
      <c r="BE776">
        <v>3.23</v>
      </c>
      <c r="BH776" t="s">
        <v>126</v>
      </c>
      <c r="BI776" t="s">
        <v>126</v>
      </c>
      <c r="BJ776" t="s">
        <v>126</v>
      </c>
      <c r="BK776" t="s">
        <v>126</v>
      </c>
      <c r="BS776" t="s">
        <v>126</v>
      </c>
      <c r="BT776" t="s">
        <v>126</v>
      </c>
      <c r="BU776" t="s">
        <v>126</v>
      </c>
      <c r="BV776" t="s">
        <v>126</v>
      </c>
      <c r="CN776" t="s">
        <v>147</v>
      </c>
      <c r="CP776" t="s">
        <v>289</v>
      </c>
      <c r="CQ776" t="s">
        <v>147</v>
      </c>
    </row>
    <row r="777" spans="1:95" x14ac:dyDescent="0.2">
      <c r="A777" t="s">
        <v>115</v>
      </c>
      <c r="B777" t="s">
        <v>116</v>
      </c>
      <c r="C777">
        <v>210784</v>
      </c>
      <c r="E777" t="s">
        <v>117</v>
      </c>
      <c r="F777">
        <v>368</v>
      </c>
      <c r="G777" t="s">
        <v>141</v>
      </c>
      <c r="H777" t="s">
        <v>142</v>
      </c>
      <c r="I777" t="s">
        <v>279</v>
      </c>
      <c r="J777" t="s">
        <v>280</v>
      </c>
      <c r="L777" s="14">
        <v>45789</v>
      </c>
      <c r="M777" s="18">
        <f t="shared" si="14"/>
        <v>45778</v>
      </c>
      <c r="N777">
        <v>5717250</v>
      </c>
      <c r="O777" t="s">
        <v>123</v>
      </c>
      <c r="P777" t="s">
        <v>146</v>
      </c>
      <c r="Q777">
        <v>3.92</v>
      </c>
      <c r="R777" t="s">
        <v>125</v>
      </c>
      <c r="S777" t="s">
        <v>126</v>
      </c>
      <c r="T777" t="s">
        <v>125</v>
      </c>
      <c r="U777" t="s">
        <v>126</v>
      </c>
      <c r="W777">
        <v>3.92</v>
      </c>
      <c r="Y777">
        <v>3.92</v>
      </c>
      <c r="AS777">
        <v>3.92</v>
      </c>
      <c r="BH777" t="s">
        <v>126</v>
      </c>
      <c r="BI777" t="s">
        <v>126</v>
      </c>
      <c r="BJ777" t="s">
        <v>126</v>
      </c>
      <c r="BK777" t="s">
        <v>126</v>
      </c>
      <c r="BS777" t="s">
        <v>126</v>
      </c>
      <c r="BT777" t="s">
        <v>126</v>
      </c>
      <c r="BU777" t="s">
        <v>126</v>
      </c>
      <c r="BV777" t="s">
        <v>126</v>
      </c>
      <c r="CN777" t="s">
        <v>147</v>
      </c>
      <c r="CP777" t="s">
        <v>289</v>
      </c>
      <c r="CQ777" t="s">
        <v>147</v>
      </c>
    </row>
    <row r="778" spans="1:95" x14ac:dyDescent="0.2">
      <c r="A778" t="s">
        <v>115</v>
      </c>
      <c r="B778" t="s">
        <v>116</v>
      </c>
      <c r="C778">
        <v>210784</v>
      </c>
      <c r="E778" t="s">
        <v>117</v>
      </c>
      <c r="F778">
        <v>368</v>
      </c>
      <c r="G778" t="s">
        <v>141</v>
      </c>
      <c r="H778" t="s">
        <v>142</v>
      </c>
      <c r="I778" t="s">
        <v>279</v>
      </c>
      <c r="J778" t="s">
        <v>280</v>
      </c>
      <c r="L778" s="14">
        <v>45789</v>
      </c>
      <c r="M778" s="18">
        <f t="shared" si="14"/>
        <v>45778</v>
      </c>
      <c r="N778">
        <v>5717166</v>
      </c>
      <c r="O778" t="s">
        <v>123</v>
      </c>
      <c r="P778" t="s">
        <v>146</v>
      </c>
      <c r="Q778">
        <v>1.58</v>
      </c>
      <c r="R778" t="s">
        <v>125</v>
      </c>
      <c r="S778" t="s">
        <v>126</v>
      </c>
      <c r="T778" t="s">
        <v>125</v>
      </c>
      <c r="U778" t="s">
        <v>126</v>
      </c>
      <c r="W778">
        <v>1.58</v>
      </c>
      <c r="Y778">
        <v>1.58</v>
      </c>
      <c r="BE778">
        <v>1.58</v>
      </c>
      <c r="BH778" t="s">
        <v>126</v>
      </c>
      <c r="BI778" t="s">
        <v>126</v>
      </c>
      <c r="BJ778" t="s">
        <v>126</v>
      </c>
      <c r="BK778" t="s">
        <v>126</v>
      </c>
      <c r="BS778" t="s">
        <v>126</v>
      </c>
      <c r="BT778" t="s">
        <v>126</v>
      </c>
      <c r="BU778" t="s">
        <v>126</v>
      </c>
      <c r="BV778" t="s">
        <v>126</v>
      </c>
      <c r="CN778" t="s">
        <v>147</v>
      </c>
      <c r="CP778" t="s">
        <v>289</v>
      </c>
      <c r="CQ778" t="s">
        <v>147</v>
      </c>
    </row>
    <row r="779" spans="1:95" x14ac:dyDescent="0.2">
      <c r="A779" t="s">
        <v>115</v>
      </c>
      <c r="B779" t="s">
        <v>116</v>
      </c>
      <c r="C779">
        <v>210784</v>
      </c>
      <c r="E779" t="s">
        <v>117</v>
      </c>
      <c r="F779">
        <v>368</v>
      </c>
      <c r="G779" t="s">
        <v>141</v>
      </c>
      <c r="H779" t="s">
        <v>142</v>
      </c>
      <c r="I779" t="s">
        <v>279</v>
      </c>
      <c r="J779" t="s">
        <v>280</v>
      </c>
      <c r="L779" s="14">
        <v>45789</v>
      </c>
      <c r="M779" s="18">
        <f t="shared" ref="M779:M842" si="15">DATE(YEAR(L779), MONTH(L779), 1)</f>
        <v>45778</v>
      </c>
      <c r="N779">
        <v>5717176</v>
      </c>
      <c r="O779" t="s">
        <v>123</v>
      </c>
      <c r="P779" t="s">
        <v>146</v>
      </c>
      <c r="Q779">
        <v>1.06</v>
      </c>
      <c r="R779" t="s">
        <v>125</v>
      </c>
      <c r="S779" t="s">
        <v>126</v>
      </c>
      <c r="T779" t="s">
        <v>125</v>
      </c>
      <c r="U779" t="s">
        <v>126</v>
      </c>
      <c r="W779">
        <v>1.06</v>
      </c>
      <c r="Y779">
        <v>1.06</v>
      </c>
      <c r="BE779">
        <v>1.06</v>
      </c>
      <c r="BH779" t="s">
        <v>126</v>
      </c>
      <c r="BI779" t="s">
        <v>126</v>
      </c>
      <c r="BJ779" t="s">
        <v>126</v>
      </c>
      <c r="BK779" t="s">
        <v>126</v>
      </c>
      <c r="BS779" t="s">
        <v>126</v>
      </c>
      <c r="BT779" t="s">
        <v>126</v>
      </c>
      <c r="BU779" t="s">
        <v>126</v>
      </c>
      <c r="BV779" t="s">
        <v>126</v>
      </c>
      <c r="CN779" t="s">
        <v>147</v>
      </c>
      <c r="CP779" t="s">
        <v>289</v>
      </c>
      <c r="CQ779" t="s">
        <v>147</v>
      </c>
    </row>
    <row r="780" spans="1:95" x14ac:dyDescent="0.2">
      <c r="A780" t="s">
        <v>115</v>
      </c>
      <c r="B780" t="s">
        <v>116</v>
      </c>
      <c r="C780">
        <v>210784</v>
      </c>
      <c r="E780" t="s">
        <v>117</v>
      </c>
      <c r="F780">
        <v>368</v>
      </c>
      <c r="G780" t="s">
        <v>141</v>
      </c>
      <c r="H780" t="s">
        <v>142</v>
      </c>
      <c r="I780" t="s">
        <v>279</v>
      </c>
      <c r="J780" t="s">
        <v>280</v>
      </c>
      <c r="L780" s="14">
        <v>45790</v>
      </c>
      <c r="M780" s="18">
        <f t="shared" si="15"/>
        <v>45778</v>
      </c>
      <c r="N780">
        <v>5718040</v>
      </c>
      <c r="O780" t="s">
        <v>123</v>
      </c>
      <c r="P780" t="s">
        <v>146</v>
      </c>
      <c r="Q780">
        <v>3.12</v>
      </c>
      <c r="R780" t="s">
        <v>125</v>
      </c>
      <c r="S780" t="s">
        <v>126</v>
      </c>
      <c r="T780" t="s">
        <v>125</v>
      </c>
      <c r="U780" t="s">
        <v>126</v>
      </c>
      <c r="W780">
        <v>3.12</v>
      </c>
      <c r="Y780">
        <v>3.12</v>
      </c>
      <c r="AS780">
        <v>3.12</v>
      </c>
      <c r="BH780" t="s">
        <v>126</v>
      </c>
      <c r="BI780" t="s">
        <v>126</v>
      </c>
      <c r="BJ780" t="s">
        <v>126</v>
      </c>
      <c r="BK780" t="s">
        <v>126</v>
      </c>
      <c r="BS780" t="s">
        <v>126</v>
      </c>
      <c r="BT780" t="s">
        <v>126</v>
      </c>
      <c r="BU780" t="s">
        <v>126</v>
      </c>
      <c r="BV780" t="s">
        <v>126</v>
      </c>
      <c r="CN780" t="s">
        <v>147</v>
      </c>
      <c r="CP780" t="s">
        <v>289</v>
      </c>
      <c r="CQ780" t="s">
        <v>147</v>
      </c>
    </row>
    <row r="781" spans="1:95" x14ac:dyDescent="0.2">
      <c r="A781" t="s">
        <v>115</v>
      </c>
      <c r="B781" t="s">
        <v>116</v>
      </c>
      <c r="C781">
        <v>210784</v>
      </c>
      <c r="E781" t="s">
        <v>117</v>
      </c>
      <c r="F781">
        <v>368</v>
      </c>
      <c r="G781" t="s">
        <v>141</v>
      </c>
      <c r="H781" t="s">
        <v>142</v>
      </c>
      <c r="I781" t="s">
        <v>279</v>
      </c>
      <c r="J781" t="s">
        <v>280</v>
      </c>
      <c r="L781" s="14">
        <v>45791</v>
      </c>
      <c r="M781" s="18">
        <f t="shared" si="15"/>
        <v>45778</v>
      </c>
      <c r="N781">
        <v>5718612</v>
      </c>
      <c r="O781" t="s">
        <v>123</v>
      </c>
      <c r="P781" t="s">
        <v>146</v>
      </c>
      <c r="Q781">
        <v>6.5</v>
      </c>
      <c r="R781" t="s">
        <v>125</v>
      </c>
      <c r="S781" t="s">
        <v>126</v>
      </c>
      <c r="T781" t="s">
        <v>125</v>
      </c>
      <c r="U781" t="s">
        <v>126</v>
      </c>
      <c r="W781">
        <v>6.5</v>
      </c>
      <c r="Y781">
        <v>6.5</v>
      </c>
      <c r="AS781">
        <v>6.5</v>
      </c>
      <c r="BH781" t="s">
        <v>126</v>
      </c>
      <c r="BI781" t="s">
        <v>126</v>
      </c>
      <c r="BJ781" t="s">
        <v>126</v>
      </c>
      <c r="BK781" t="s">
        <v>126</v>
      </c>
      <c r="BS781" t="s">
        <v>126</v>
      </c>
      <c r="BT781" t="s">
        <v>126</v>
      </c>
      <c r="BU781" t="s">
        <v>126</v>
      </c>
      <c r="BV781" t="s">
        <v>126</v>
      </c>
      <c r="CN781" t="s">
        <v>147</v>
      </c>
      <c r="CP781" t="s">
        <v>289</v>
      </c>
      <c r="CQ781" t="s">
        <v>147</v>
      </c>
    </row>
    <row r="782" spans="1:95" x14ac:dyDescent="0.2">
      <c r="A782" t="s">
        <v>115</v>
      </c>
      <c r="B782" t="s">
        <v>116</v>
      </c>
      <c r="C782">
        <v>210784</v>
      </c>
      <c r="E782" t="s">
        <v>117</v>
      </c>
      <c r="F782">
        <v>368</v>
      </c>
      <c r="G782" t="s">
        <v>141</v>
      </c>
      <c r="H782" t="s">
        <v>142</v>
      </c>
      <c r="I782" t="s">
        <v>279</v>
      </c>
      <c r="J782" t="s">
        <v>280</v>
      </c>
      <c r="L782" s="14">
        <v>45791</v>
      </c>
      <c r="M782" s="18">
        <f t="shared" si="15"/>
        <v>45778</v>
      </c>
      <c r="N782">
        <v>5718687</v>
      </c>
      <c r="O782" t="s">
        <v>123</v>
      </c>
      <c r="P782" t="s">
        <v>146</v>
      </c>
      <c r="Q782">
        <v>1.1200000000000001</v>
      </c>
      <c r="R782" t="s">
        <v>125</v>
      </c>
      <c r="S782" t="s">
        <v>126</v>
      </c>
      <c r="T782" t="s">
        <v>125</v>
      </c>
      <c r="U782" t="s">
        <v>126</v>
      </c>
      <c r="W782">
        <v>1.1200000000000001</v>
      </c>
      <c r="Y782">
        <v>1.1200000000000001</v>
      </c>
      <c r="BE782">
        <v>1.1200000000000001</v>
      </c>
      <c r="BH782" t="s">
        <v>126</v>
      </c>
      <c r="BI782" t="s">
        <v>126</v>
      </c>
      <c r="BJ782" t="s">
        <v>126</v>
      </c>
      <c r="BK782" t="s">
        <v>126</v>
      </c>
      <c r="BS782" t="s">
        <v>126</v>
      </c>
      <c r="BT782" t="s">
        <v>126</v>
      </c>
      <c r="BU782" t="s">
        <v>126</v>
      </c>
      <c r="BV782" t="s">
        <v>126</v>
      </c>
      <c r="CN782" t="s">
        <v>147</v>
      </c>
      <c r="CP782" t="s">
        <v>289</v>
      </c>
      <c r="CQ782" t="s">
        <v>147</v>
      </c>
    </row>
    <row r="783" spans="1:95" x14ac:dyDescent="0.2">
      <c r="A783" t="s">
        <v>115</v>
      </c>
      <c r="B783" t="s">
        <v>116</v>
      </c>
      <c r="C783">
        <v>210784</v>
      </c>
      <c r="E783" t="s">
        <v>117</v>
      </c>
      <c r="F783">
        <v>368</v>
      </c>
      <c r="G783" t="s">
        <v>141</v>
      </c>
      <c r="H783" t="s">
        <v>142</v>
      </c>
      <c r="I783" t="s">
        <v>279</v>
      </c>
      <c r="J783" t="s">
        <v>280</v>
      </c>
      <c r="L783" s="14">
        <v>45792</v>
      </c>
      <c r="M783" s="18">
        <f t="shared" si="15"/>
        <v>45778</v>
      </c>
      <c r="N783">
        <v>5719040</v>
      </c>
      <c r="O783" t="s">
        <v>123</v>
      </c>
      <c r="P783" t="s">
        <v>146</v>
      </c>
      <c r="Q783">
        <v>3.87</v>
      </c>
      <c r="R783" t="s">
        <v>574</v>
      </c>
      <c r="S783" t="s">
        <v>126</v>
      </c>
      <c r="T783" t="s">
        <v>574</v>
      </c>
      <c r="U783" t="s">
        <v>575</v>
      </c>
      <c r="W783">
        <v>1.19</v>
      </c>
      <c r="X783">
        <v>2.6799999999999997</v>
      </c>
      <c r="Y783">
        <v>3.87</v>
      </c>
      <c r="Z783">
        <v>1.47</v>
      </c>
      <c r="AG783">
        <v>1.19</v>
      </c>
      <c r="AI783">
        <v>1.21</v>
      </c>
      <c r="BH783" t="s">
        <v>126</v>
      </c>
      <c r="BI783" t="s">
        <v>126</v>
      </c>
      <c r="BJ783" t="s">
        <v>126</v>
      </c>
      <c r="BK783" t="s">
        <v>126</v>
      </c>
      <c r="BS783" t="s">
        <v>126</v>
      </c>
      <c r="BT783" t="s">
        <v>126</v>
      </c>
      <c r="BU783" t="s">
        <v>126</v>
      </c>
      <c r="BV783" t="s">
        <v>126</v>
      </c>
      <c r="CN783" t="s">
        <v>147</v>
      </c>
      <c r="CP783" t="s">
        <v>289</v>
      </c>
      <c r="CQ783" t="s">
        <v>147</v>
      </c>
    </row>
    <row r="784" spans="1:95" x14ac:dyDescent="0.2">
      <c r="A784" t="s">
        <v>115</v>
      </c>
      <c r="B784" t="s">
        <v>116</v>
      </c>
      <c r="C784">
        <v>210784</v>
      </c>
      <c r="E784" t="s">
        <v>117</v>
      </c>
      <c r="F784">
        <v>368</v>
      </c>
      <c r="G784" t="s">
        <v>141</v>
      </c>
      <c r="H784" t="s">
        <v>142</v>
      </c>
      <c r="I784" t="s">
        <v>279</v>
      </c>
      <c r="J784" t="s">
        <v>280</v>
      </c>
      <c r="L784" s="14">
        <v>45792</v>
      </c>
      <c r="M784" s="18">
        <f t="shared" si="15"/>
        <v>45778</v>
      </c>
      <c r="N784">
        <v>5719553</v>
      </c>
      <c r="O784" t="s">
        <v>123</v>
      </c>
      <c r="P784" t="s">
        <v>146</v>
      </c>
      <c r="Q784">
        <v>0.57999999999999996</v>
      </c>
      <c r="R784" t="s">
        <v>125</v>
      </c>
      <c r="S784" t="s">
        <v>126</v>
      </c>
      <c r="T784" t="s">
        <v>125</v>
      </c>
      <c r="U784" t="s">
        <v>126</v>
      </c>
      <c r="W784">
        <v>0.57999999999999996</v>
      </c>
      <c r="Y784">
        <v>0.57999999999999996</v>
      </c>
      <c r="BE784">
        <v>0.57999999999999996</v>
      </c>
      <c r="BH784" t="s">
        <v>126</v>
      </c>
      <c r="BI784" t="s">
        <v>126</v>
      </c>
      <c r="BJ784" t="s">
        <v>126</v>
      </c>
      <c r="BK784" t="s">
        <v>126</v>
      </c>
      <c r="BS784" t="s">
        <v>126</v>
      </c>
      <c r="BT784" t="s">
        <v>126</v>
      </c>
      <c r="BU784" t="s">
        <v>126</v>
      </c>
      <c r="BV784" t="s">
        <v>126</v>
      </c>
      <c r="CN784" t="s">
        <v>147</v>
      </c>
      <c r="CP784" t="s">
        <v>289</v>
      </c>
      <c r="CQ784" t="s">
        <v>147</v>
      </c>
    </row>
    <row r="785" spans="1:95" x14ac:dyDescent="0.2">
      <c r="A785" t="s">
        <v>115</v>
      </c>
      <c r="B785" t="s">
        <v>116</v>
      </c>
      <c r="C785">
        <v>210784</v>
      </c>
      <c r="E785" t="s">
        <v>117</v>
      </c>
      <c r="F785">
        <v>368</v>
      </c>
      <c r="G785" t="s">
        <v>141</v>
      </c>
      <c r="H785" t="s">
        <v>142</v>
      </c>
      <c r="I785" t="s">
        <v>279</v>
      </c>
      <c r="J785" t="s">
        <v>280</v>
      </c>
      <c r="L785" s="14">
        <v>45792</v>
      </c>
      <c r="M785" s="18">
        <f t="shared" si="15"/>
        <v>45778</v>
      </c>
      <c r="N785">
        <v>5719566</v>
      </c>
      <c r="O785" t="s">
        <v>123</v>
      </c>
      <c r="P785" t="s">
        <v>146</v>
      </c>
      <c r="Q785">
        <v>7.91</v>
      </c>
      <c r="R785" t="s">
        <v>125</v>
      </c>
      <c r="S785" t="s">
        <v>126</v>
      </c>
      <c r="T785" t="s">
        <v>125</v>
      </c>
      <c r="U785" t="s">
        <v>126</v>
      </c>
      <c r="W785">
        <v>7.91</v>
      </c>
      <c r="Y785">
        <v>7.91</v>
      </c>
      <c r="BE785">
        <v>7.91</v>
      </c>
      <c r="BH785" t="s">
        <v>126</v>
      </c>
      <c r="BI785" t="s">
        <v>126</v>
      </c>
      <c r="BJ785" t="s">
        <v>126</v>
      </c>
      <c r="BK785" t="s">
        <v>126</v>
      </c>
      <c r="BS785" t="s">
        <v>126</v>
      </c>
      <c r="BT785" t="s">
        <v>126</v>
      </c>
      <c r="BU785" t="s">
        <v>126</v>
      </c>
      <c r="BV785" t="s">
        <v>126</v>
      </c>
      <c r="CN785" t="s">
        <v>147</v>
      </c>
      <c r="CP785" t="s">
        <v>289</v>
      </c>
      <c r="CQ785" t="s">
        <v>147</v>
      </c>
    </row>
    <row r="786" spans="1:95" x14ac:dyDescent="0.2">
      <c r="A786" t="s">
        <v>115</v>
      </c>
      <c r="B786" t="s">
        <v>116</v>
      </c>
      <c r="C786">
        <v>210784</v>
      </c>
      <c r="E786" t="s">
        <v>117</v>
      </c>
      <c r="F786">
        <v>368</v>
      </c>
      <c r="G786" t="s">
        <v>141</v>
      </c>
      <c r="H786" t="s">
        <v>142</v>
      </c>
      <c r="I786" t="s">
        <v>279</v>
      </c>
      <c r="J786" t="s">
        <v>280</v>
      </c>
      <c r="L786" s="14">
        <v>45793</v>
      </c>
      <c r="M786" s="18">
        <f t="shared" si="15"/>
        <v>45778</v>
      </c>
      <c r="N786">
        <v>5719927</v>
      </c>
      <c r="O786" t="s">
        <v>123</v>
      </c>
      <c r="P786" t="s">
        <v>146</v>
      </c>
      <c r="Q786">
        <v>5.81</v>
      </c>
      <c r="R786" t="s">
        <v>125</v>
      </c>
      <c r="S786" t="s">
        <v>126</v>
      </c>
      <c r="T786" t="s">
        <v>125</v>
      </c>
      <c r="U786" t="s">
        <v>126</v>
      </c>
      <c r="W786">
        <v>5.81</v>
      </c>
      <c r="Y786">
        <v>5.81</v>
      </c>
      <c r="AS786">
        <v>5.81</v>
      </c>
      <c r="BH786" t="s">
        <v>126</v>
      </c>
      <c r="BI786" t="s">
        <v>126</v>
      </c>
      <c r="BJ786" t="s">
        <v>126</v>
      </c>
      <c r="BK786" t="s">
        <v>126</v>
      </c>
      <c r="BS786" t="s">
        <v>126</v>
      </c>
      <c r="BT786" t="s">
        <v>126</v>
      </c>
      <c r="BU786" t="s">
        <v>126</v>
      </c>
      <c r="BV786" t="s">
        <v>126</v>
      </c>
      <c r="CN786" t="s">
        <v>147</v>
      </c>
      <c r="CP786" t="s">
        <v>289</v>
      </c>
      <c r="CQ786" t="s">
        <v>147</v>
      </c>
    </row>
    <row r="787" spans="1:95" x14ac:dyDescent="0.2">
      <c r="A787" t="s">
        <v>115</v>
      </c>
      <c r="B787" t="s">
        <v>116</v>
      </c>
      <c r="C787">
        <v>210784</v>
      </c>
      <c r="E787" t="s">
        <v>117</v>
      </c>
      <c r="F787">
        <v>368</v>
      </c>
      <c r="G787" t="s">
        <v>141</v>
      </c>
      <c r="H787" t="s">
        <v>142</v>
      </c>
      <c r="I787" t="s">
        <v>279</v>
      </c>
      <c r="J787" t="s">
        <v>280</v>
      </c>
      <c r="L787" s="14">
        <v>45793</v>
      </c>
      <c r="M787" s="18">
        <f t="shared" si="15"/>
        <v>45778</v>
      </c>
      <c r="N787">
        <v>5720114</v>
      </c>
      <c r="O787" t="s">
        <v>123</v>
      </c>
      <c r="P787" t="s">
        <v>146</v>
      </c>
      <c r="Q787">
        <v>7.53</v>
      </c>
      <c r="R787" t="s">
        <v>125</v>
      </c>
      <c r="S787" t="s">
        <v>126</v>
      </c>
      <c r="T787" t="s">
        <v>125</v>
      </c>
      <c r="U787" t="s">
        <v>126</v>
      </c>
      <c r="W787">
        <v>7.53</v>
      </c>
      <c r="Y787">
        <v>7.53</v>
      </c>
      <c r="AS787">
        <v>7.53</v>
      </c>
      <c r="BH787" t="s">
        <v>126</v>
      </c>
      <c r="BI787" t="s">
        <v>126</v>
      </c>
      <c r="BJ787" t="s">
        <v>126</v>
      </c>
      <c r="BK787" t="s">
        <v>126</v>
      </c>
      <c r="BS787" t="s">
        <v>126</v>
      </c>
      <c r="BT787" t="s">
        <v>126</v>
      </c>
      <c r="BU787" t="s">
        <v>126</v>
      </c>
      <c r="BV787" t="s">
        <v>126</v>
      </c>
      <c r="CN787" t="s">
        <v>147</v>
      </c>
      <c r="CP787" t="s">
        <v>289</v>
      </c>
      <c r="CQ787" t="s">
        <v>147</v>
      </c>
    </row>
    <row r="788" spans="1:95" x14ac:dyDescent="0.2">
      <c r="A788" t="s">
        <v>115</v>
      </c>
      <c r="B788" t="s">
        <v>116</v>
      </c>
      <c r="C788">
        <v>210784</v>
      </c>
      <c r="E788" t="s">
        <v>117</v>
      </c>
      <c r="F788">
        <v>368</v>
      </c>
      <c r="G788" t="s">
        <v>141</v>
      </c>
      <c r="H788" t="s">
        <v>142</v>
      </c>
      <c r="I788" t="s">
        <v>279</v>
      </c>
      <c r="J788" t="s">
        <v>280</v>
      </c>
      <c r="L788" s="14">
        <v>45794</v>
      </c>
      <c r="M788" s="18">
        <f t="shared" si="15"/>
        <v>45778</v>
      </c>
      <c r="N788">
        <v>5720462</v>
      </c>
      <c r="O788" t="s">
        <v>123</v>
      </c>
      <c r="P788" t="s">
        <v>146</v>
      </c>
      <c r="Q788">
        <v>3.72</v>
      </c>
      <c r="R788" t="s">
        <v>125</v>
      </c>
      <c r="S788" t="s">
        <v>126</v>
      </c>
      <c r="T788" t="s">
        <v>125</v>
      </c>
      <c r="U788" t="s">
        <v>126</v>
      </c>
      <c r="W788">
        <v>3.72</v>
      </c>
      <c r="Y788">
        <v>3.72</v>
      </c>
      <c r="AS788">
        <v>3.72</v>
      </c>
      <c r="BH788" t="s">
        <v>126</v>
      </c>
      <c r="BI788" t="s">
        <v>126</v>
      </c>
      <c r="BJ788" t="s">
        <v>126</v>
      </c>
      <c r="BK788" t="s">
        <v>126</v>
      </c>
      <c r="BS788" t="s">
        <v>126</v>
      </c>
      <c r="BT788" t="s">
        <v>126</v>
      </c>
      <c r="BU788" t="s">
        <v>126</v>
      </c>
      <c r="BV788" t="s">
        <v>126</v>
      </c>
      <c r="CN788" t="s">
        <v>147</v>
      </c>
      <c r="CP788" t="s">
        <v>289</v>
      </c>
      <c r="CQ788" t="s">
        <v>147</v>
      </c>
    </row>
    <row r="789" spans="1:95" x14ac:dyDescent="0.2">
      <c r="A789" t="s">
        <v>115</v>
      </c>
      <c r="B789" t="s">
        <v>116</v>
      </c>
      <c r="C789">
        <v>210784</v>
      </c>
      <c r="E789" t="s">
        <v>117</v>
      </c>
      <c r="F789">
        <v>368</v>
      </c>
      <c r="G789" t="s">
        <v>141</v>
      </c>
      <c r="H789" t="s">
        <v>142</v>
      </c>
      <c r="I789" t="s">
        <v>279</v>
      </c>
      <c r="J789" t="s">
        <v>280</v>
      </c>
      <c r="L789" s="14">
        <v>45794</v>
      </c>
      <c r="M789" s="18">
        <f t="shared" si="15"/>
        <v>45778</v>
      </c>
      <c r="N789">
        <v>5720561</v>
      </c>
      <c r="O789" t="s">
        <v>123</v>
      </c>
      <c r="P789" t="s">
        <v>146</v>
      </c>
      <c r="Q789">
        <v>2.44</v>
      </c>
      <c r="R789" t="s">
        <v>125</v>
      </c>
      <c r="S789" t="s">
        <v>126</v>
      </c>
      <c r="T789" t="s">
        <v>125</v>
      </c>
      <c r="U789" t="s">
        <v>126</v>
      </c>
      <c r="W789">
        <v>2.44</v>
      </c>
      <c r="Y789">
        <v>2.44</v>
      </c>
      <c r="AS789">
        <v>2.44</v>
      </c>
      <c r="BH789" t="s">
        <v>126</v>
      </c>
      <c r="BI789" t="s">
        <v>126</v>
      </c>
      <c r="BJ789" t="s">
        <v>126</v>
      </c>
      <c r="BK789" t="s">
        <v>126</v>
      </c>
      <c r="BS789" t="s">
        <v>126</v>
      </c>
      <c r="BT789" t="s">
        <v>126</v>
      </c>
      <c r="BU789" t="s">
        <v>126</v>
      </c>
      <c r="BV789" t="s">
        <v>126</v>
      </c>
      <c r="CN789" t="s">
        <v>147</v>
      </c>
      <c r="CP789" t="s">
        <v>289</v>
      </c>
      <c r="CQ789" t="s">
        <v>147</v>
      </c>
    </row>
    <row r="790" spans="1:95" x14ac:dyDescent="0.2">
      <c r="A790" t="s">
        <v>115</v>
      </c>
      <c r="B790" t="s">
        <v>116</v>
      </c>
      <c r="C790">
        <v>210784</v>
      </c>
      <c r="E790" t="s">
        <v>117</v>
      </c>
      <c r="F790">
        <v>368</v>
      </c>
      <c r="G790" t="s">
        <v>141</v>
      </c>
      <c r="H790" t="s">
        <v>142</v>
      </c>
      <c r="I790" t="s">
        <v>279</v>
      </c>
      <c r="J790" t="s">
        <v>280</v>
      </c>
      <c r="L790" s="14">
        <v>45794</v>
      </c>
      <c r="M790" s="18">
        <f t="shared" si="15"/>
        <v>45778</v>
      </c>
      <c r="N790">
        <v>5720516</v>
      </c>
      <c r="O790" t="s">
        <v>123</v>
      </c>
      <c r="P790" t="s">
        <v>146</v>
      </c>
      <c r="Q790">
        <v>1.37</v>
      </c>
      <c r="R790" t="s">
        <v>125</v>
      </c>
      <c r="S790" t="s">
        <v>126</v>
      </c>
      <c r="T790" t="s">
        <v>125</v>
      </c>
      <c r="U790" t="s">
        <v>126</v>
      </c>
      <c r="W790">
        <v>1.37</v>
      </c>
      <c r="Y790">
        <v>1.37</v>
      </c>
      <c r="BE790">
        <v>1.37</v>
      </c>
      <c r="BH790" t="s">
        <v>126</v>
      </c>
      <c r="BI790" t="s">
        <v>126</v>
      </c>
      <c r="BJ790" t="s">
        <v>126</v>
      </c>
      <c r="BK790" t="s">
        <v>126</v>
      </c>
      <c r="BS790" t="s">
        <v>126</v>
      </c>
      <c r="BT790" t="s">
        <v>126</v>
      </c>
      <c r="BU790" t="s">
        <v>126</v>
      </c>
      <c r="BV790" t="s">
        <v>126</v>
      </c>
      <c r="CN790" t="s">
        <v>147</v>
      </c>
      <c r="CP790" t="s">
        <v>289</v>
      </c>
      <c r="CQ790" t="s">
        <v>147</v>
      </c>
    </row>
    <row r="791" spans="1:95" x14ac:dyDescent="0.2">
      <c r="A791" t="s">
        <v>115</v>
      </c>
      <c r="B791" t="s">
        <v>116</v>
      </c>
      <c r="C791">
        <v>210784</v>
      </c>
      <c r="E791" t="s">
        <v>117</v>
      </c>
      <c r="F791">
        <v>368</v>
      </c>
      <c r="G791" t="s">
        <v>141</v>
      </c>
      <c r="H791" t="s">
        <v>142</v>
      </c>
      <c r="I791" t="s">
        <v>279</v>
      </c>
      <c r="J791" t="s">
        <v>280</v>
      </c>
      <c r="L791" s="14">
        <v>45796</v>
      </c>
      <c r="M791" s="18">
        <f t="shared" si="15"/>
        <v>45778</v>
      </c>
      <c r="N791">
        <v>5721203</v>
      </c>
      <c r="O791" t="s">
        <v>123</v>
      </c>
      <c r="P791" t="s">
        <v>146</v>
      </c>
      <c r="Q791">
        <v>1.3</v>
      </c>
      <c r="R791" t="s">
        <v>569</v>
      </c>
      <c r="S791" t="s">
        <v>126</v>
      </c>
      <c r="T791" t="s">
        <v>569</v>
      </c>
      <c r="U791" t="s">
        <v>570</v>
      </c>
      <c r="W791">
        <v>0.4</v>
      </c>
      <c r="X791">
        <v>0.9</v>
      </c>
      <c r="Y791">
        <v>1.3</v>
      </c>
      <c r="Z791">
        <v>0.5</v>
      </c>
      <c r="AG791">
        <v>0.4</v>
      </c>
      <c r="AI791">
        <v>0.4</v>
      </c>
      <c r="BH791" t="s">
        <v>126</v>
      </c>
      <c r="BI791" t="s">
        <v>126</v>
      </c>
      <c r="BJ791" t="s">
        <v>126</v>
      </c>
      <c r="BK791" t="s">
        <v>126</v>
      </c>
      <c r="BS791" t="s">
        <v>126</v>
      </c>
      <c r="BT791" t="s">
        <v>126</v>
      </c>
      <c r="BU791" t="s">
        <v>126</v>
      </c>
      <c r="BV791" t="s">
        <v>126</v>
      </c>
      <c r="CN791" t="s">
        <v>147</v>
      </c>
      <c r="CP791" t="s">
        <v>289</v>
      </c>
      <c r="CQ791" t="s">
        <v>147</v>
      </c>
    </row>
    <row r="792" spans="1:95" x14ac:dyDescent="0.2">
      <c r="A792" t="s">
        <v>115</v>
      </c>
      <c r="B792" t="s">
        <v>116</v>
      </c>
      <c r="C792">
        <v>210784</v>
      </c>
      <c r="E792" t="s">
        <v>117</v>
      </c>
      <c r="F792">
        <v>368</v>
      </c>
      <c r="G792" t="s">
        <v>141</v>
      </c>
      <c r="H792" t="s">
        <v>142</v>
      </c>
      <c r="I792" t="s">
        <v>279</v>
      </c>
      <c r="J792" t="s">
        <v>280</v>
      </c>
      <c r="L792" s="14">
        <v>45797</v>
      </c>
      <c r="M792" s="18">
        <f t="shared" si="15"/>
        <v>45778</v>
      </c>
      <c r="N792">
        <v>5722060</v>
      </c>
      <c r="O792" t="s">
        <v>123</v>
      </c>
      <c r="P792" t="s">
        <v>146</v>
      </c>
      <c r="Q792">
        <v>3.59</v>
      </c>
      <c r="R792" t="s">
        <v>125</v>
      </c>
      <c r="S792" t="s">
        <v>126</v>
      </c>
      <c r="T792" t="s">
        <v>125</v>
      </c>
      <c r="U792" t="s">
        <v>126</v>
      </c>
      <c r="W792">
        <v>3.59</v>
      </c>
      <c r="Y792">
        <v>3.59</v>
      </c>
      <c r="AS792">
        <v>3.59</v>
      </c>
      <c r="BH792" t="s">
        <v>126</v>
      </c>
      <c r="BI792" t="s">
        <v>126</v>
      </c>
      <c r="BJ792" t="s">
        <v>126</v>
      </c>
      <c r="BK792" t="s">
        <v>126</v>
      </c>
      <c r="BS792" t="s">
        <v>126</v>
      </c>
      <c r="BT792" t="s">
        <v>126</v>
      </c>
      <c r="BU792" t="s">
        <v>126</v>
      </c>
      <c r="BV792" t="s">
        <v>126</v>
      </c>
      <c r="CN792" t="s">
        <v>147</v>
      </c>
      <c r="CP792" t="s">
        <v>289</v>
      </c>
      <c r="CQ792" t="s">
        <v>147</v>
      </c>
    </row>
    <row r="793" spans="1:95" x14ac:dyDescent="0.2">
      <c r="A793" t="s">
        <v>115</v>
      </c>
      <c r="B793" t="s">
        <v>116</v>
      </c>
      <c r="C793">
        <v>210784</v>
      </c>
      <c r="E793" t="s">
        <v>117</v>
      </c>
      <c r="F793">
        <v>368</v>
      </c>
      <c r="G793" t="s">
        <v>141</v>
      </c>
      <c r="H793" t="s">
        <v>142</v>
      </c>
      <c r="I793" t="s">
        <v>279</v>
      </c>
      <c r="J793" t="s">
        <v>280</v>
      </c>
      <c r="L793" s="14">
        <v>45797</v>
      </c>
      <c r="M793" s="18">
        <f t="shared" si="15"/>
        <v>45778</v>
      </c>
      <c r="N793">
        <v>5722151</v>
      </c>
      <c r="O793" t="s">
        <v>123</v>
      </c>
      <c r="P793" t="s">
        <v>146</v>
      </c>
      <c r="Q793">
        <v>3.81</v>
      </c>
      <c r="R793" t="s">
        <v>125</v>
      </c>
      <c r="S793" t="s">
        <v>126</v>
      </c>
      <c r="T793" t="s">
        <v>125</v>
      </c>
      <c r="U793" t="s">
        <v>126</v>
      </c>
      <c r="W793">
        <v>3.81</v>
      </c>
      <c r="Y793">
        <v>3.81</v>
      </c>
      <c r="AS793">
        <v>3.81</v>
      </c>
      <c r="BH793" t="s">
        <v>126</v>
      </c>
      <c r="BI793" t="s">
        <v>126</v>
      </c>
      <c r="BJ793" t="s">
        <v>126</v>
      </c>
      <c r="BK793" t="s">
        <v>126</v>
      </c>
      <c r="BS793" t="s">
        <v>126</v>
      </c>
      <c r="BT793" t="s">
        <v>126</v>
      </c>
      <c r="BU793" t="s">
        <v>126</v>
      </c>
      <c r="BV793" t="s">
        <v>126</v>
      </c>
      <c r="CN793" t="s">
        <v>147</v>
      </c>
      <c r="CP793" t="s">
        <v>289</v>
      </c>
      <c r="CQ793" t="s">
        <v>147</v>
      </c>
    </row>
    <row r="794" spans="1:95" x14ac:dyDescent="0.2">
      <c r="A794" t="s">
        <v>115</v>
      </c>
      <c r="B794" t="s">
        <v>116</v>
      </c>
      <c r="C794">
        <v>210784</v>
      </c>
      <c r="E794" t="s">
        <v>117</v>
      </c>
      <c r="F794">
        <v>368</v>
      </c>
      <c r="G794" t="s">
        <v>141</v>
      </c>
      <c r="H794" t="s">
        <v>142</v>
      </c>
      <c r="I794" t="s">
        <v>279</v>
      </c>
      <c r="J794" t="s">
        <v>280</v>
      </c>
      <c r="L794" s="14">
        <v>45797</v>
      </c>
      <c r="M794" s="18">
        <f t="shared" si="15"/>
        <v>45778</v>
      </c>
      <c r="N794">
        <v>5721946</v>
      </c>
      <c r="O794" t="s">
        <v>123</v>
      </c>
      <c r="P794" t="s">
        <v>146</v>
      </c>
      <c r="Q794">
        <v>0.42</v>
      </c>
      <c r="R794" t="s">
        <v>125</v>
      </c>
      <c r="S794" t="s">
        <v>126</v>
      </c>
      <c r="T794" t="s">
        <v>125</v>
      </c>
      <c r="U794" t="s">
        <v>126</v>
      </c>
      <c r="W794">
        <v>0.42</v>
      </c>
      <c r="Y794">
        <v>0.42</v>
      </c>
      <c r="BE794">
        <v>0.42</v>
      </c>
      <c r="BH794" t="s">
        <v>126</v>
      </c>
      <c r="BI794" t="s">
        <v>126</v>
      </c>
      <c r="BJ794" t="s">
        <v>126</v>
      </c>
      <c r="BK794" t="s">
        <v>126</v>
      </c>
      <c r="BS794" t="s">
        <v>126</v>
      </c>
      <c r="BT794" t="s">
        <v>126</v>
      </c>
      <c r="BU794" t="s">
        <v>126</v>
      </c>
      <c r="BV794" t="s">
        <v>126</v>
      </c>
      <c r="CN794" t="s">
        <v>147</v>
      </c>
      <c r="CP794" t="s">
        <v>289</v>
      </c>
      <c r="CQ794" t="s">
        <v>147</v>
      </c>
    </row>
    <row r="795" spans="1:95" x14ac:dyDescent="0.2">
      <c r="A795" t="s">
        <v>115</v>
      </c>
      <c r="B795" t="s">
        <v>116</v>
      </c>
      <c r="C795">
        <v>210784</v>
      </c>
      <c r="E795" t="s">
        <v>117</v>
      </c>
      <c r="F795">
        <v>368</v>
      </c>
      <c r="G795" t="s">
        <v>141</v>
      </c>
      <c r="H795" t="s">
        <v>142</v>
      </c>
      <c r="I795" t="s">
        <v>130</v>
      </c>
      <c r="J795" t="s">
        <v>131</v>
      </c>
      <c r="L795" s="14">
        <v>45798</v>
      </c>
      <c r="M795" s="18">
        <f t="shared" si="15"/>
        <v>45778</v>
      </c>
      <c r="N795">
        <v>7309375</v>
      </c>
      <c r="O795" t="s">
        <v>123</v>
      </c>
      <c r="P795" t="s">
        <v>146</v>
      </c>
      <c r="Q795">
        <v>11.1</v>
      </c>
      <c r="R795" t="s">
        <v>125</v>
      </c>
      <c r="S795" t="s">
        <v>126</v>
      </c>
      <c r="T795" t="s">
        <v>125</v>
      </c>
      <c r="U795" t="s">
        <v>126</v>
      </c>
      <c r="W795">
        <v>11.1</v>
      </c>
      <c r="Y795">
        <v>11.1</v>
      </c>
      <c r="AC795">
        <v>11.1</v>
      </c>
      <c r="BH795" t="s">
        <v>126</v>
      </c>
      <c r="BI795" t="s">
        <v>126</v>
      </c>
      <c r="BJ795" t="s">
        <v>126</v>
      </c>
      <c r="BK795" t="s">
        <v>126</v>
      </c>
      <c r="BS795" t="s">
        <v>126</v>
      </c>
      <c r="BT795" t="s">
        <v>126</v>
      </c>
      <c r="BU795" t="s">
        <v>126</v>
      </c>
      <c r="BV795" t="s">
        <v>126</v>
      </c>
      <c r="CN795" t="s">
        <v>147</v>
      </c>
      <c r="CP795" t="s">
        <v>175</v>
      </c>
      <c r="CQ795" t="s">
        <v>147</v>
      </c>
    </row>
    <row r="796" spans="1:95" x14ac:dyDescent="0.2">
      <c r="A796" t="s">
        <v>115</v>
      </c>
      <c r="B796" t="s">
        <v>116</v>
      </c>
      <c r="C796">
        <v>210784</v>
      </c>
      <c r="E796" t="s">
        <v>117</v>
      </c>
      <c r="F796">
        <v>368</v>
      </c>
      <c r="G796" t="s">
        <v>141</v>
      </c>
      <c r="H796" t="s">
        <v>142</v>
      </c>
      <c r="I796" t="s">
        <v>279</v>
      </c>
      <c r="J796" t="s">
        <v>280</v>
      </c>
      <c r="L796" s="14">
        <v>45798</v>
      </c>
      <c r="M796" s="18">
        <f t="shared" si="15"/>
        <v>45778</v>
      </c>
      <c r="N796">
        <v>5722686</v>
      </c>
      <c r="O796" t="s">
        <v>123</v>
      </c>
      <c r="P796" t="s">
        <v>146</v>
      </c>
      <c r="Q796">
        <v>3.13</v>
      </c>
      <c r="R796" t="s">
        <v>628</v>
      </c>
      <c r="S796" t="s">
        <v>126</v>
      </c>
      <c r="T796" t="s">
        <v>628</v>
      </c>
      <c r="U796" t="s">
        <v>629</v>
      </c>
      <c r="W796">
        <v>0.96</v>
      </c>
      <c r="X796">
        <v>2.17</v>
      </c>
      <c r="Y796">
        <v>3.13</v>
      </c>
      <c r="Z796">
        <v>1.2</v>
      </c>
      <c r="AG796">
        <v>0.96</v>
      </c>
      <c r="AI796">
        <v>0.97</v>
      </c>
      <c r="BH796" t="s">
        <v>126</v>
      </c>
      <c r="BI796" t="s">
        <v>126</v>
      </c>
      <c r="BJ796" t="s">
        <v>126</v>
      </c>
      <c r="BK796" t="s">
        <v>126</v>
      </c>
      <c r="BS796" t="s">
        <v>126</v>
      </c>
      <c r="BT796" t="s">
        <v>126</v>
      </c>
      <c r="BU796" t="s">
        <v>126</v>
      </c>
      <c r="BV796" t="s">
        <v>126</v>
      </c>
      <c r="CN796" t="s">
        <v>147</v>
      </c>
      <c r="CP796" t="s">
        <v>289</v>
      </c>
      <c r="CQ796" t="s">
        <v>147</v>
      </c>
    </row>
    <row r="797" spans="1:95" x14ac:dyDescent="0.2">
      <c r="A797" t="s">
        <v>115</v>
      </c>
      <c r="B797" t="s">
        <v>116</v>
      </c>
      <c r="C797">
        <v>210784</v>
      </c>
      <c r="E797" t="s">
        <v>117</v>
      </c>
      <c r="F797">
        <v>368</v>
      </c>
      <c r="G797" t="s">
        <v>141</v>
      </c>
      <c r="H797" t="s">
        <v>142</v>
      </c>
      <c r="I797" t="s">
        <v>279</v>
      </c>
      <c r="J797" t="s">
        <v>280</v>
      </c>
      <c r="L797" s="14">
        <v>45799</v>
      </c>
      <c r="M797" s="18">
        <f t="shared" si="15"/>
        <v>45778</v>
      </c>
      <c r="N797">
        <v>5723247</v>
      </c>
      <c r="O797" t="s">
        <v>123</v>
      </c>
      <c r="P797" t="s">
        <v>146</v>
      </c>
      <c r="Q797">
        <v>2.9200000000000004</v>
      </c>
      <c r="R797" t="s">
        <v>559</v>
      </c>
      <c r="S797" t="s">
        <v>126</v>
      </c>
      <c r="T797" t="s">
        <v>559</v>
      </c>
      <c r="U797" t="s">
        <v>560</v>
      </c>
      <c r="W797">
        <v>0.9</v>
      </c>
      <c r="X797">
        <v>2.02</v>
      </c>
      <c r="Y797">
        <v>2.9200000000000004</v>
      </c>
      <c r="Z797">
        <v>1.1100000000000001</v>
      </c>
      <c r="AG797">
        <v>0.9</v>
      </c>
      <c r="AI797">
        <v>0.91</v>
      </c>
      <c r="BH797" t="s">
        <v>126</v>
      </c>
      <c r="BI797" t="s">
        <v>126</v>
      </c>
      <c r="BJ797" t="s">
        <v>126</v>
      </c>
      <c r="BK797" t="s">
        <v>126</v>
      </c>
      <c r="BS797" t="s">
        <v>126</v>
      </c>
      <c r="BT797" t="s">
        <v>126</v>
      </c>
      <c r="BU797" t="s">
        <v>126</v>
      </c>
      <c r="BV797" t="s">
        <v>126</v>
      </c>
      <c r="CN797" t="s">
        <v>147</v>
      </c>
      <c r="CP797" t="s">
        <v>289</v>
      </c>
      <c r="CQ797" t="s">
        <v>147</v>
      </c>
    </row>
    <row r="798" spans="1:95" x14ac:dyDescent="0.2">
      <c r="A798" t="s">
        <v>115</v>
      </c>
      <c r="B798" t="s">
        <v>116</v>
      </c>
      <c r="C798">
        <v>210784</v>
      </c>
      <c r="E798" t="s">
        <v>117</v>
      </c>
      <c r="F798">
        <v>368</v>
      </c>
      <c r="G798" t="s">
        <v>141</v>
      </c>
      <c r="H798" t="s">
        <v>142</v>
      </c>
      <c r="I798" t="s">
        <v>279</v>
      </c>
      <c r="J798" t="s">
        <v>280</v>
      </c>
      <c r="L798" s="14">
        <v>45799</v>
      </c>
      <c r="M798" s="18">
        <f t="shared" si="15"/>
        <v>45778</v>
      </c>
      <c r="N798">
        <v>5723117</v>
      </c>
      <c r="O798" t="s">
        <v>123</v>
      </c>
      <c r="P798" t="s">
        <v>146</v>
      </c>
      <c r="Q798">
        <v>2.29</v>
      </c>
      <c r="R798" t="s">
        <v>125</v>
      </c>
      <c r="S798" t="s">
        <v>126</v>
      </c>
      <c r="T798" t="s">
        <v>125</v>
      </c>
      <c r="U798" t="s">
        <v>126</v>
      </c>
      <c r="W798">
        <v>2.29</v>
      </c>
      <c r="Y798">
        <v>2.29</v>
      </c>
      <c r="BE798">
        <v>2.29</v>
      </c>
      <c r="BH798" t="s">
        <v>126</v>
      </c>
      <c r="BI798" t="s">
        <v>126</v>
      </c>
      <c r="BJ798" t="s">
        <v>126</v>
      </c>
      <c r="BK798" t="s">
        <v>126</v>
      </c>
      <c r="BS798" t="s">
        <v>126</v>
      </c>
      <c r="BT798" t="s">
        <v>126</v>
      </c>
      <c r="BU798" t="s">
        <v>126</v>
      </c>
      <c r="BV798" t="s">
        <v>126</v>
      </c>
      <c r="CN798" t="s">
        <v>147</v>
      </c>
      <c r="CP798" t="s">
        <v>289</v>
      </c>
      <c r="CQ798" t="s">
        <v>147</v>
      </c>
    </row>
    <row r="799" spans="1:95" x14ac:dyDescent="0.2">
      <c r="A799" t="s">
        <v>115</v>
      </c>
      <c r="B799" t="s">
        <v>116</v>
      </c>
      <c r="C799">
        <v>210784</v>
      </c>
      <c r="E799" t="s">
        <v>117</v>
      </c>
      <c r="F799">
        <v>368</v>
      </c>
      <c r="G799" t="s">
        <v>141</v>
      </c>
      <c r="H799" t="s">
        <v>142</v>
      </c>
      <c r="I799" t="s">
        <v>284</v>
      </c>
      <c r="J799" t="s">
        <v>285</v>
      </c>
      <c r="L799" s="14">
        <v>45800</v>
      </c>
      <c r="M799" s="18">
        <f t="shared" si="15"/>
        <v>45778</v>
      </c>
      <c r="N799">
        <v>120262</v>
      </c>
      <c r="O799" t="s">
        <v>123</v>
      </c>
      <c r="P799" t="s">
        <v>146</v>
      </c>
      <c r="Q799">
        <v>5.81</v>
      </c>
      <c r="R799" t="s">
        <v>125</v>
      </c>
      <c r="S799" t="s">
        <v>126</v>
      </c>
      <c r="T799" t="s">
        <v>125</v>
      </c>
      <c r="U799" t="s">
        <v>126</v>
      </c>
      <c r="W799">
        <v>5.81</v>
      </c>
      <c r="Y799">
        <v>5.81</v>
      </c>
      <c r="AC799">
        <v>5.81</v>
      </c>
      <c r="BH799" t="s">
        <v>126</v>
      </c>
      <c r="BI799" t="s">
        <v>126</v>
      </c>
      <c r="BJ799" t="s">
        <v>126</v>
      </c>
      <c r="BK799" t="s">
        <v>126</v>
      </c>
      <c r="BS799" t="s">
        <v>126</v>
      </c>
      <c r="BT799" t="s">
        <v>126</v>
      </c>
      <c r="BU799" t="s">
        <v>126</v>
      </c>
      <c r="BV799" t="s">
        <v>126</v>
      </c>
      <c r="CN799" t="s">
        <v>147</v>
      </c>
      <c r="CP799" t="s">
        <v>175</v>
      </c>
      <c r="CQ799" t="s">
        <v>147</v>
      </c>
    </row>
    <row r="800" spans="1:95" x14ac:dyDescent="0.2">
      <c r="A800" t="s">
        <v>115</v>
      </c>
      <c r="B800" t="s">
        <v>116</v>
      </c>
      <c r="C800">
        <v>210784</v>
      </c>
      <c r="E800" t="s">
        <v>117</v>
      </c>
      <c r="F800">
        <v>368</v>
      </c>
      <c r="G800" t="s">
        <v>141</v>
      </c>
      <c r="H800" t="s">
        <v>142</v>
      </c>
      <c r="I800" t="s">
        <v>279</v>
      </c>
      <c r="J800" t="s">
        <v>280</v>
      </c>
      <c r="L800" s="14">
        <v>45800</v>
      </c>
      <c r="M800" s="18">
        <f t="shared" si="15"/>
        <v>45778</v>
      </c>
      <c r="N800">
        <v>5724497</v>
      </c>
      <c r="O800" t="s">
        <v>123</v>
      </c>
      <c r="P800" t="s">
        <v>146</v>
      </c>
      <c r="Q800">
        <v>3.92</v>
      </c>
      <c r="R800" t="s">
        <v>125</v>
      </c>
      <c r="S800" t="s">
        <v>126</v>
      </c>
      <c r="T800" t="s">
        <v>125</v>
      </c>
      <c r="U800" t="s">
        <v>126</v>
      </c>
      <c r="W800">
        <v>3.92</v>
      </c>
      <c r="Y800">
        <v>3.92</v>
      </c>
      <c r="AS800">
        <v>3.92</v>
      </c>
      <c r="BH800" t="s">
        <v>126</v>
      </c>
      <c r="BI800" t="s">
        <v>126</v>
      </c>
      <c r="BJ800" t="s">
        <v>126</v>
      </c>
      <c r="BK800" t="s">
        <v>126</v>
      </c>
      <c r="BS800" t="s">
        <v>126</v>
      </c>
      <c r="BT800" t="s">
        <v>126</v>
      </c>
      <c r="BU800" t="s">
        <v>126</v>
      </c>
      <c r="BV800" t="s">
        <v>126</v>
      </c>
      <c r="CN800" t="s">
        <v>147</v>
      </c>
      <c r="CP800" t="s">
        <v>289</v>
      </c>
      <c r="CQ800" t="s">
        <v>147</v>
      </c>
    </row>
    <row r="801" spans="1:95" x14ac:dyDescent="0.2">
      <c r="A801" t="s">
        <v>115</v>
      </c>
      <c r="B801" t="s">
        <v>116</v>
      </c>
      <c r="C801">
        <v>210784</v>
      </c>
      <c r="E801" t="s">
        <v>117</v>
      </c>
      <c r="F801">
        <v>368</v>
      </c>
      <c r="G801" t="s">
        <v>141</v>
      </c>
      <c r="H801" t="s">
        <v>142</v>
      </c>
      <c r="I801" t="s">
        <v>279</v>
      </c>
      <c r="J801" t="s">
        <v>280</v>
      </c>
      <c r="L801" s="14">
        <v>45800</v>
      </c>
      <c r="M801" s="18">
        <f t="shared" si="15"/>
        <v>45778</v>
      </c>
      <c r="N801">
        <v>5724502</v>
      </c>
      <c r="O801" t="s">
        <v>123</v>
      </c>
      <c r="P801" t="s">
        <v>146</v>
      </c>
      <c r="Q801">
        <v>1.17</v>
      </c>
      <c r="R801" t="s">
        <v>125</v>
      </c>
      <c r="S801" t="s">
        <v>126</v>
      </c>
      <c r="T801" t="s">
        <v>125</v>
      </c>
      <c r="U801" t="s">
        <v>126</v>
      </c>
      <c r="W801">
        <v>1.17</v>
      </c>
      <c r="Y801">
        <v>1.17</v>
      </c>
      <c r="BE801">
        <v>1.17</v>
      </c>
      <c r="BH801" t="s">
        <v>126</v>
      </c>
      <c r="BI801" t="s">
        <v>126</v>
      </c>
      <c r="BJ801" t="s">
        <v>126</v>
      </c>
      <c r="BK801" t="s">
        <v>126</v>
      </c>
      <c r="BS801" t="s">
        <v>126</v>
      </c>
      <c r="BT801" t="s">
        <v>126</v>
      </c>
      <c r="BU801" t="s">
        <v>126</v>
      </c>
      <c r="BV801" t="s">
        <v>126</v>
      </c>
      <c r="CN801" t="s">
        <v>147</v>
      </c>
      <c r="CP801" t="s">
        <v>289</v>
      </c>
      <c r="CQ801" t="s">
        <v>147</v>
      </c>
    </row>
    <row r="802" spans="1:95" x14ac:dyDescent="0.2">
      <c r="A802" t="s">
        <v>115</v>
      </c>
      <c r="B802" t="s">
        <v>116</v>
      </c>
      <c r="C802">
        <v>210784</v>
      </c>
      <c r="E802" t="s">
        <v>117</v>
      </c>
      <c r="F802">
        <v>368</v>
      </c>
      <c r="G802" t="s">
        <v>141</v>
      </c>
      <c r="H802" t="s">
        <v>142</v>
      </c>
      <c r="I802" t="s">
        <v>279</v>
      </c>
      <c r="J802" t="s">
        <v>280</v>
      </c>
      <c r="L802" s="14">
        <v>45801</v>
      </c>
      <c r="M802" s="18">
        <f t="shared" si="15"/>
        <v>45778</v>
      </c>
      <c r="N802">
        <v>5724759</v>
      </c>
      <c r="O802" t="s">
        <v>123</v>
      </c>
      <c r="P802" t="s">
        <v>146</v>
      </c>
      <c r="Q802">
        <v>1.7</v>
      </c>
      <c r="R802" t="s">
        <v>665</v>
      </c>
      <c r="S802" t="s">
        <v>126</v>
      </c>
      <c r="T802" t="s">
        <v>665</v>
      </c>
      <c r="U802" t="s">
        <v>666</v>
      </c>
      <c r="W802">
        <v>0.52</v>
      </c>
      <c r="X802">
        <v>1.1800000000000002</v>
      </c>
      <c r="Y802">
        <v>1.7</v>
      </c>
      <c r="Z802">
        <v>0.65</v>
      </c>
      <c r="AG802">
        <v>0.52</v>
      </c>
      <c r="AI802">
        <v>0.53</v>
      </c>
      <c r="BH802" t="s">
        <v>126</v>
      </c>
      <c r="BI802" t="s">
        <v>126</v>
      </c>
      <c r="BJ802" t="s">
        <v>126</v>
      </c>
      <c r="BK802" t="s">
        <v>126</v>
      </c>
      <c r="BS802" t="s">
        <v>126</v>
      </c>
      <c r="BT802" t="s">
        <v>126</v>
      </c>
      <c r="BU802" t="s">
        <v>126</v>
      </c>
      <c r="BV802" t="s">
        <v>126</v>
      </c>
      <c r="CN802" t="s">
        <v>147</v>
      </c>
      <c r="CP802" t="s">
        <v>289</v>
      </c>
      <c r="CQ802" t="s">
        <v>147</v>
      </c>
    </row>
    <row r="803" spans="1:95" x14ac:dyDescent="0.2">
      <c r="A803" t="s">
        <v>115</v>
      </c>
      <c r="B803" t="s">
        <v>116</v>
      </c>
      <c r="C803">
        <v>210784</v>
      </c>
      <c r="E803" t="s">
        <v>117</v>
      </c>
      <c r="F803">
        <v>368</v>
      </c>
      <c r="G803" t="s">
        <v>141</v>
      </c>
      <c r="H803" t="s">
        <v>142</v>
      </c>
      <c r="I803" t="s">
        <v>279</v>
      </c>
      <c r="J803" t="s">
        <v>280</v>
      </c>
      <c r="L803" s="14">
        <v>45804</v>
      </c>
      <c r="M803" s="18">
        <f t="shared" si="15"/>
        <v>45778</v>
      </c>
      <c r="N803">
        <v>5726019</v>
      </c>
      <c r="O803" t="s">
        <v>123</v>
      </c>
      <c r="P803" t="s">
        <v>146</v>
      </c>
      <c r="Q803">
        <v>2.16</v>
      </c>
      <c r="R803" t="s">
        <v>679</v>
      </c>
      <c r="S803" t="s">
        <v>126</v>
      </c>
      <c r="T803" t="s">
        <v>679</v>
      </c>
      <c r="U803" t="s">
        <v>680</v>
      </c>
      <c r="W803">
        <v>0.67</v>
      </c>
      <c r="X803">
        <v>1.49</v>
      </c>
      <c r="Y803">
        <v>2.16</v>
      </c>
      <c r="Z803">
        <v>0.82</v>
      </c>
      <c r="AG803">
        <v>0.67</v>
      </c>
      <c r="AI803">
        <v>0.67</v>
      </c>
      <c r="BH803" t="s">
        <v>126</v>
      </c>
      <c r="BI803" t="s">
        <v>126</v>
      </c>
      <c r="BJ803" t="s">
        <v>126</v>
      </c>
      <c r="BK803" t="s">
        <v>126</v>
      </c>
      <c r="BS803" t="s">
        <v>126</v>
      </c>
      <c r="BT803" t="s">
        <v>126</v>
      </c>
      <c r="BU803" t="s">
        <v>126</v>
      </c>
      <c r="BV803" t="s">
        <v>126</v>
      </c>
      <c r="CN803" t="s">
        <v>147</v>
      </c>
      <c r="CP803" t="s">
        <v>432</v>
      </c>
      <c r="CQ803" t="s">
        <v>147</v>
      </c>
    </row>
    <row r="804" spans="1:95" x14ac:dyDescent="0.2">
      <c r="A804" t="s">
        <v>115</v>
      </c>
      <c r="B804" t="s">
        <v>116</v>
      </c>
      <c r="C804">
        <v>210784</v>
      </c>
      <c r="E804" t="s">
        <v>117</v>
      </c>
      <c r="F804">
        <v>368</v>
      </c>
      <c r="G804" t="s">
        <v>141</v>
      </c>
      <c r="H804" t="s">
        <v>142</v>
      </c>
      <c r="I804" t="s">
        <v>279</v>
      </c>
      <c r="J804" t="s">
        <v>280</v>
      </c>
      <c r="L804" s="14">
        <v>45804</v>
      </c>
      <c r="M804" s="18">
        <f t="shared" si="15"/>
        <v>45778</v>
      </c>
      <c r="N804">
        <v>5725957</v>
      </c>
      <c r="O804" t="s">
        <v>123</v>
      </c>
      <c r="P804" t="s">
        <v>146</v>
      </c>
      <c r="Q804">
        <v>4.71</v>
      </c>
      <c r="R804" t="s">
        <v>614</v>
      </c>
      <c r="S804" t="s">
        <v>126</v>
      </c>
      <c r="T804" t="s">
        <v>614</v>
      </c>
      <c r="U804" t="s">
        <v>615</v>
      </c>
      <c r="W804">
        <v>1.45</v>
      </c>
      <c r="X804">
        <v>3.26</v>
      </c>
      <c r="Y804">
        <v>4.71</v>
      </c>
      <c r="Z804">
        <v>1.79</v>
      </c>
      <c r="AG804">
        <v>1.45</v>
      </c>
      <c r="AI804">
        <v>1.47</v>
      </c>
      <c r="BH804" t="s">
        <v>126</v>
      </c>
      <c r="BI804" t="s">
        <v>126</v>
      </c>
      <c r="BJ804" t="s">
        <v>126</v>
      </c>
      <c r="BK804" t="s">
        <v>126</v>
      </c>
      <c r="BS804" t="s">
        <v>126</v>
      </c>
      <c r="BT804" t="s">
        <v>126</v>
      </c>
      <c r="BU804" t="s">
        <v>126</v>
      </c>
      <c r="BV804" t="s">
        <v>126</v>
      </c>
      <c r="CN804" t="s">
        <v>147</v>
      </c>
      <c r="CP804" t="s">
        <v>432</v>
      </c>
      <c r="CQ804" t="s">
        <v>147</v>
      </c>
    </row>
    <row r="805" spans="1:95" x14ac:dyDescent="0.2">
      <c r="A805" t="s">
        <v>115</v>
      </c>
      <c r="B805" t="s">
        <v>116</v>
      </c>
      <c r="C805">
        <v>210784</v>
      </c>
      <c r="E805" t="s">
        <v>117</v>
      </c>
      <c r="F805">
        <v>368</v>
      </c>
      <c r="G805" t="s">
        <v>141</v>
      </c>
      <c r="H805" t="s">
        <v>142</v>
      </c>
      <c r="I805" t="s">
        <v>279</v>
      </c>
      <c r="J805" t="s">
        <v>280</v>
      </c>
      <c r="L805" s="14">
        <v>45804</v>
      </c>
      <c r="M805" s="18">
        <f t="shared" si="15"/>
        <v>45778</v>
      </c>
      <c r="N805">
        <v>5726018</v>
      </c>
      <c r="O805" t="s">
        <v>123</v>
      </c>
      <c r="P805" t="s">
        <v>146</v>
      </c>
      <c r="Q805">
        <v>2.23</v>
      </c>
      <c r="R805" t="s">
        <v>125</v>
      </c>
      <c r="S805" t="s">
        <v>126</v>
      </c>
      <c r="T805" t="s">
        <v>125</v>
      </c>
      <c r="U805" t="s">
        <v>126</v>
      </c>
      <c r="W805">
        <v>2.23</v>
      </c>
      <c r="Y805">
        <v>2.23</v>
      </c>
      <c r="BE805">
        <v>2.23</v>
      </c>
      <c r="BH805" t="s">
        <v>126</v>
      </c>
      <c r="BI805" t="s">
        <v>126</v>
      </c>
      <c r="BJ805" t="s">
        <v>126</v>
      </c>
      <c r="BK805" t="s">
        <v>126</v>
      </c>
      <c r="BS805" t="s">
        <v>126</v>
      </c>
      <c r="BT805" t="s">
        <v>126</v>
      </c>
      <c r="BU805" t="s">
        <v>126</v>
      </c>
      <c r="BV805" t="s">
        <v>126</v>
      </c>
      <c r="CN805" t="s">
        <v>147</v>
      </c>
      <c r="CP805" t="s">
        <v>432</v>
      </c>
      <c r="CQ805" t="s">
        <v>147</v>
      </c>
    </row>
    <row r="806" spans="1:95" x14ac:dyDescent="0.2">
      <c r="A806" t="s">
        <v>115</v>
      </c>
      <c r="B806" t="s">
        <v>116</v>
      </c>
      <c r="C806">
        <v>210784</v>
      </c>
      <c r="E806" t="s">
        <v>117</v>
      </c>
      <c r="F806">
        <v>368</v>
      </c>
      <c r="G806" t="s">
        <v>141</v>
      </c>
      <c r="H806" t="s">
        <v>142</v>
      </c>
      <c r="I806" t="s">
        <v>130</v>
      </c>
      <c r="J806" t="s">
        <v>131</v>
      </c>
      <c r="L806" s="14">
        <v>45805</v>
      </c>
      <c r="M806" s="18">
        <f t="shared" si="15"/>
        <v>45778</v>
      </c>
      <c r="N806">
        <v>7310371</v>
      </c>
      <c r="O806" t="s">
        <v>123</v>
      </c>
      <c r="P806" t="s">
        <v>146</v>
      </c>
      <c r="Q806">
        <v>13.19</v>
      </c>
      <c r="R806" t="s">
        <v>125</v>
      </c>
      <c r="S806" t="s">
        <v>126</v>
      </c>
      <c r="T806" t="s">
        <v>125</v>
      </c>
      <c r="U806" t="s">
        <v>126</v>
      </c>
      <c r="W806">
        <v>13.19</v>
      </c>
      <c r="Y806">
        <v>13.19</v>
      </c>
      <c r="AC806">
        <v>13.19</v>
      </c>
      <c r="BH806" t="s">
        <v>126</v>
      </c>
      <c r="BI806" t="s">
        <v>126</v>
      </c>
      <c r="BJ806" t="s">
        <v>126</v>
      </c>
      <c r="BK806" t="s">
        <v>126</v>
      </c>
      <c r="BS806" t="s">
        <v>126</v>
      </c>
      <c r="BT806" t="s">
        <v>126</v>
      </c>
      <c r="BU806" t="s">
        <v>126</v>
      </c>
      <c r="BV806" t="s">
        <v>126</v>
      </c>
      <c r="CN806" t="s">
        <v>147</v>
      </c>
      <c r="CP806" t="s">
        <v>175</v>
      </c>
      <c r="CQ806" t="s">
        <v>147</v>
      </c>
    </row>
    <row r="807" spans="1:95" x14ac:dyDescent="0.2">
      <c r="A807" t="s">
        <v>115</v>
      </c>
      <c r="B807" t="s">
        <v>116</v>
      </c>
      <c r="C807">
        <v>210784</v>
      </c>
      <c r="E807" t="s">
        <v>117</v>
      </c>
      <c r="F807">
        <v>368</v>
      </c>
      <c r="G807" t="s">
        <v>141</v>
      </c>
      <c r="H807" t="s">
        <v>142</v>
      </c>
      <c r="I807" t="s">
        <v>284</v>
      </c>
      <c r="J807" t="s">
        <v>285</v>
      </c>
      <c r="L807" s="14">
        <v>45805</v>
      </c>
      <c r="M807" s="18">
        <f t="shared" si="15"/>
        <v>45778</v>
      </c>
      <c r="N807">
        <v>120434</v>
      </c>
      <c r="O807" t="s">
        <v>123</v>
      </c>
      <c r="P807" t="s">
        <v>146</v>
      </c>
      <c r="Q807">
        <v>0.67999999999999994</v>
      </c>
      <c r="R807" t="s">
        <v>697</v>
      </c>
      <c r="S807" t="s">
        <v>126</v>
      </c>
      <c r="T807" t="s">
        <v>697</v>
      </c>
      <c r="U807" t="s">
        <v>698</v>
      </c>
      <c r="W807">
        <v>0.66639999999999999</v>
      </c>
      <c r="X807">
        <v>1.3599999999999999E-2</v>
      </c>
      <c r="Y807">
        <v>0.67999999999999994</v>
      </c>
      <c r="AI807">
        <v>1.3599999999999999E-2</v>
      </c>
      <c r="BE807">
        <v>0.66639999999999999</v>
      </c>
      <c r="BH807" t="s">
        <v>126</v>
      </c>
      <c r="BI807" t="s">
        <v>126</v>
      </c>
      <c r="BJ807" t="s">
        <v>126</v>
      </c>
      <c r="BK807" t="s">
        <v>126</v>
      </c>
      <c r="BS807" t="s">
        <v>126</v>
      </c>
      <c r="BT807" t="s">
        <v>126</v>
      </c>
      <c r="BU807" t="s">
        <v>126</v>
      </c>
      <c r="BV807" t="s">
        <v>126</v>
      </c>
      <c r="CN807" t="s">
        <v>147</v>
      </c>
      <c r="CP807" t="s">
        <v>432</v>
      </c>
      <c r="CQ807" t="s">
        <v>147</v>
      </c>
    </row>
    <row r="808" spans="1:95" x14ac:dyDescent="0.2">
      <c r="A808" t="s">
        <v>115</v>
      </c>
      <c r="B808" t="s">
        <v>116</v>
      </c>
      <c r="C808">
        <v>210784</v>
      </c>
      <c r="E808" t="s">
        <v>117</v>
      </c>
      <c r="F808">
        <v>368</v>
      </c>
      <c r="G808" t="s">
        <v>141</v>
      </c>
      <c r="H808" t="s">
        <v>142</v>
      </c>
      <c r="I808" t="s">
        <v>279</v>
      </c>
      <c r="J808" t="s">
        <v>280</v>
      </c>
      <c r="L808" s="14">
        <v>45805</v>
      </c>
      <c r="M808" s="18">
        <f t="shared" si="15"/>
        <v>45778</v>
      </c>
      <c r="N808">
        <v>5726739</v>
      </c>
      <c r="O808" t="s">
        <v>123</v>
      </c>
      <c r="P808" t="s">
        <v>146</v>
      </c>
      <c r="Q808">
        <v>3.3200000000000003</v>
      </c>
      <c r="R808" t="s">
        <v>544</v>
      </c>
      <c r="S808" t="s">
        <v>126</v>
      </c>
      <c r="T808" t="s">
        <v>544</v>
      </c>
      <c r="U808" t="s">
        <v>545</v>
      </c>
      <c r="W808">
        <v>1.02</v>
      </c>
      <c r="X808">
        <v>2.2999999999999998</v>
      </c>
      <c r="Y808">
        <v>3.3200000000000003</v>
      </c>
      <c r="Z808">
        <v>1.27</v>
      </c>
      <c r="AG808">
        <v>1.02</v>
      </c>
      <c r="AI808">
        <v>1.03</v>
      </c>
      <c r="BH808" t="s">
        <v>126</v>
      </c>
      <c r="BI808" t="s">
        <v>126</v>
      </c>
      <c r="BJ808" t="s">
        <v>126</v>
      </c>
      <c r="BK808" t="s">
        <v>126</v>
      </c>
      <c r="BS808" t="s">
        <v>126</v>
      </c>
      <c r="BT808" t="s">
        <v>126</v>
      </c>
      <c r="BU808" t="s">
        <v>126</v>
      </c>
      <c r="BV808" t="s">
        <v>126</v>
      </c>
      <c r="CN808" t="s">
        <v>147</v>
      </c>
      <c r="CP808" t="s">
        <v>432</v>
      </c>
      <c r="CQ808" t="s">
        <v>147</v>
      </c>
    </row>
    <row r="809" spans="1:95" x14ac:dyDescent="0.2">
      <c r="A809" t="s">
        <v>115</v>
      </c>
      <c r="B809" t="s">
        <v>116</v>
      </c>
      <c r="C809">
        <v>210784</v>
      </c>
      <c r="E809" t="s">
        <v>117</v>
      </c>
      <c r="F809">
        <v>368</v>
      </c>
      <c r="G809" t="s">
        <v>141</v>
      </c>
      <c r="H809" t="s">
        <v>142</v>
      </c>
      <c r="I809" t="s">
        <v>279</v>
      </c>
      <c r="J809" t="s">
        <v>280</v>
      </c>
      <c r="L809" s="14">
        <v>45806</v>
      </c>
      <c r="M809" s="18">
        <f t="shared" si="15"/>
        <v>45778</v>
      </c>
      <c r="N809">
        <v>5727458</v>
      </c>
      <c r="O809" t="s">
        <v>123</v>
      </c>
      <c r="P809" t="s">
        <v>146</v>
      </c>
      <c r="Q809">
        <v>4.97</v>
      </c>
      <c r="R809" t="s">
        <v>683</v>
      </c>
      <c r="S809" t="s">
        <v>126</v>
      </c>
      <c r="T809" t="s">
        <v>683</v>
      </c>
      <c r="U809" t="s">
        <v>684</v>
      </c>
      <c r="W809">
        <v>1.53</v>
      </c>
      <c r="X809">
        <v>3.44</v>
      </c>
      <c r="Y809">
        <v>4.97</v>
      </c>
      <c r="Z809">
        <v>1.89</v>
      </c>
      <c r="AG809">
        <v>1.53</v>
      </c>
      <c r="AI809">
        <v>1.55</v>
      </c>
      <c r="BH809" t="s">
        <v>126</v>
      </c>
      <c r="BI809" t="s">
        <v>126</v>
      </c>
      <c r="BJ809" t="s">
        <v>126</v>
      </c>
      <c r="BK809" t="s">
        <v>126</v>
      </c>
      <c r="BS809" t="s">
        <v>126</v>
      </c>
      <c r="BT809" t="s">
        <v>126</v>
      </c>
      <c r="BU809" t="s">
        <v>126</v>
      </c>
      <c r="BV809" t="s">
        <v>126</v>
      </c>
      <c r="CN809" t="s">
        <v>147</v>
      </c>
      <c r="CP809" t="s">
        <v>432</v>
      </c>
      <c r="CQ809" t="s">
        <v>147</v>
      </c>
    </row>
    <row r="810" spans="1:95" x14ac:dyDescent="0.2">
      <c r="A810" t="s">
        <v>115</v>
      </c>
      <c r="B810" t="s">
        <v>116</v>
      </c>
      <c r="C810">
        <v>210784</v>
      </c>
      <c r="E810" t="s">
        <v>117</v>
      </c>
      <c r="F810">
        <v>368</v>
      </c>
      <c r="G810" t="s">
        <v>141</v>
      </c>
      <c r="H810" t="s">
        <v>142</v>
      </c>
      <c r="I810" t="s">
        <v>279</v>
      </c>
      <c r="J810" t="s">
        <v>280</v>
      </c>
      <c r="L810" s="14">
        <v>45806</v>
      </c>
      <c r="M810" s="18">
        <f t="shared" si="15"/>
        <v>45778</v>
      </c>
      <c r="N810">
        <v>5727408</v>
      </c>
      <c r="O810" t="s">
        <v>123</v>
      </c>
      <c r="P810" t="s">
        <v>146</v>
      </c>
      <c r="Q810">
        <v>0.47</v>
      </c>
      <c r="R810" t="s">
        <v>125</v>
      </c>
      <c r="S810" t="s">
        <v>126</v>
      </c>
      <c r="T810" t="s">
        <v>125</v>
      </c>
      <c r="U810" t="s">
        <v>126</v>
      </c>
      <c r="W810">
        <v>0.47</v>
      </c>
      <c r="Y810">
        <v>0.47</v>
      </c>
      <c r="BE810">
        <v>0.47</v>
      </c>
      <c r="BH810" t="s">
        <v>126</v>
      </c>
      <c r="BI810" t="s">
        <v>126</v>
      </c>
      <c r="BJ810" t="s">
        <v>126</v>
      </c>
      <c r="BK810" t="s">
        <v>126</v>
      </c>
      <c r="BS810" t="s">
        <v>126</v>
      </c>
      <c r="BT810" t="s">
        <v>126</v>
      </c>
      <c r="BU810" t="s">
        <v>126</v>
      </c>
      <c r="BV810" t="s">
        <v>126</v>
      </c>
      <c r="CN810" t="s">
        <v>147</v>
      </c>
      <c r="CP810" t="s">
        <v>432</v>
      </c>
      <c r="CQ810" t="s">
        <v>147</v>
      </c>
    </row>
    <row r="811" spans="1:95" x14ac:dyDescent="0.2">
      <c r="A811" t="s">
        <v>115</v>
      </c>
      <c r="B811" t="s">
        <v>116</v>
      </c>
      <c r="C811">
        <v>210784</v>
      </c>
      <c r="E811" t="s">
        <v>117</v>
      </c>
      <c r="F811">
        <v>368</v>
      </c>
      <c r="G811" t="s">
        <v>141</v>
      </c>
      <c r="H811" t="s">
        <v>142</v>
      </c>
      <c r="I811" t="s">
        <v>279</v>
      </c>
      <c r="J811" t="s">
        <v>280</v>
      </c>
      <c r="L811" s="14">
        <v>45808</v>
      </c>
      <c r="M811" s="18">
        <f t="shared" si="15"/>
        <v>45778</v>
      </c>
      <c r="N811">
        <v>5728359</v>
      </c>
      <c r="O811" t="s">
        <v>123</v>
      </c>
      <c r="P811" t="s">
        <v>146</v>
      </c>
      <c r="Q811">
        <v>0.96</v>
      </c>
      <c r="R811" t="s">
        <v>701</v>
      </c>
      <c r="S811" t="s">
        <v>126</v>
      </c>
      <c r="T811" t="s">
        <v>701</v>
      </c>
      <c r="U811" t="s">
        <v>702</v>
      </c>
      <c r="W811">
        <v>0.3</v>
      </c>
      <c r="X811">
        <v>0.65999999999999992</v>
      </c>
      <c r="Y811">
        <v>0.96</v>
      </c>
      <c r="Z811">
        <v>0.36</v>
      </c>
      <c r="AG811">
        <v>0.3</v>
      </c>
      <c r="AI811">
        <v>0.3</v>
      </c>
      <c r="BH811" t="s">
        <v>126</v>
      </c>
      <c r="BI811" t="s">
        <v>126</v>
      </c>
      <c r="BJ811" t="s">
        <v>126</v>
      </c>
      <c r="BK811" t="s">
        <v>126</v>
      </c>
      <c r="BS811" t="s">
        <v>126</v>
      </c>
      <c r="BT811" t="s">
        <v>126</v>
      </c>
      <c r="BU811" t="s">
        <v>126</v>
      </c>
      <c r="BV811" t="s">
        <v>126</v>
      </c>
      <c r="CN811" t="s">
        <v>147</v>
      </c>
      <c r="CP811" t="s">
        <v>432</v>
      </c>
      <c r="CQ811" t="s">
        <v>147</v>
      </c>
    </row>
    <row r="812" spans="1:95" x14ac:dyDescent="0.2">
      <c r="A812" t="s">
        <v>115</v>
      </c>
      <c r="B812" t="s">
        <v>116</v>
      </c>
      <c r="C812">
        <v>210784</v>
      </c>
      <c r="E812" t="s">
        <v>117</v>
      </c>
      <c r="F812">
        <v>368</v>
      </c>
      <c r="G812" t="s">
        <v>141</v>
      </c>
      <c r="H812" t="s">
        <v>142</v>
      </c>
      <c r="I812" t="s">
        <v>279</v>
      </c>
      <c r="J812" t="s">
        <v>280</v>
      </c>
      <c r="L812" s="14">
        <v>45808</v>
      </c>
      <c r="M812" s="18">
        <f t="shared" si="15"/>
        <v>45778</v>
      </c>
      <c r="N812">
        <v>5728533</v>
      </c>
      <c r="O812" t="s">
        <v>123</v>
      </c>
      <c r="P812" t="s">
        <v>146</v>
      </c>
      <c r="Q812">
        <v>0.42000000000000004</v>
      </c>
      <c r="R812" t="s">
        <v>596</v>
      </c>
      <c r="S812" t="s">
        <v>126</v>
      </c>
      <c r="T812" t="s">
        <v>596</v>
      </c>
      <c r="U812" t="s">
        <v>597</v>
      </c>
      <c r="W812">
        <v>0.13</v>
      </c>
      <c r="X812">
        <v>0.29000000000000004</v>
      </c>
      <c r="Y812">
        <v>0.42000000000000004</v>
      </c>
      <c r="Z812">
        <v>0.16</v>
      </c>
      <c r="AG812">
        <v>0.13</v>
      </c>
      <c r="AI812">
        <v>0.13</v>
      </c>
      <c r="BH812" t="s">
        <v>126</v>
      </c>
      <c r="BI812" t="s">
        <v>126</v>
      </c>
      <c r="BJ812" t="s">
        <v>126</v>
      </c>
      <c r="BK812" t="s">
        <v>126</v>
      </c>
      <c r="BS812" t="s">
        <v>126</v>
      </c>
      <c r="BT812" t="s">
        <v>126</v>
      </c>
      <c r="BU812" t="s">
        <v>126</v>
      </c>
      <c r="BV812" t="s">
        <v>126</v>
      </c>
      <c r="CN812" t="s">
        <v>147</v>
      </c>
      <c r="CP812" t="s">
        <v>432</v>
      </c>
      <c r="CQ812" t="s">
        <v>147</v>
      </c>
    </row>
    <row r="813" spans="1:95" x14ac:dyDescent="0.2">
      <c r="A813" t="s">
        <v>115</v>
      </c>
      <c r="B813" t="s">
        <v>116</v>
      </c>
      <c r="C813">
        <v>210784</v>
      </c>
      <c r="E813" t="s">
        <v>117</v>
      </c>
      <c r="F813">
        <v>368</v>
      </c>
      <c r="G813" t="s">
        <v>141</v>
      </c>
      <c r="H813" t="s">
        <v>142</v>
      </c>
      <c r="I813" t="s">
        <v>279</v>
      </c>
      <c r="J813" t="s">
        <v>280</v>
      </c>
      <c r="L813" s="14">
        <v>45808</v>
      </c>
      <c r="M813" s="18">
        <f t="shared" si="15"/>
        <v>45778</v>
      </c>
      <c r="N813">
        <v>5728530</v>
      </c>
      <c r="O813" t="s">
        <v>123</v>
      </c>
      <c r="P813" t="s">
        <v>146</v>
      </c>
      <c r="Q813">
        <v>0.78</v>
      </c>
      <c r="R813" t="s">
        <v>569</v>
      </c>
      <c r="S813" t="s">
        <v>126</v>
      </c>
      <c r="T813" t="s">
        <v>569</v>
      </c>
      <c r="U813" t="s">
        <v>570</v>
      </c>
      <c r="W813">
        <v>0.24</v>
      </c>
      <c r="X813">
        <v>0.54</v>
      </c>
      <c r="Y813">
        <v>0.78</v>
      </c>
      <c r="Z813">
        <v>0.3</v>
      </c>
      <c r="AG813">
        <v>0.24</v>
      </c>
      <c r="AI813">
        <v>0.24</v>
      </c>
      <c r="BH813" t="s">
        <v>126</v>
      </c>
      <c r="BI813" t="s">
        <v>126</v>
      </c>
      <c r="BJ813" t="s">
        <v>126</v>
      </c>
      <c r="BK813" t="s">
        <v>126</v>
      </c>
      <c r="BS813" t="s">
        <v>126</v>
      </c>
      <c r="BT813" t="s">
        <v>126</v>
      </c>
      <c r="BU813" t="s">
        <v>126</v>
      </c>
      <c r="BV813" t="s">
        <v>126</v>
      </c>
      <c r="CN813" t="s">
        <v>147</v>
      </c>
      <c r="CP813" t="s">
        <v>432</v>
      </c>
      <c r="CQ813" t="s">
        <v>147</v>
      </c>
    </row>
    <row r="814" spans="1:95" x14ac:dyDescent="0.2">
      <c r="A814" t="s">
        <v>115</v>
      </c>
      <c r="B814" t="s">
        <v>116</v>
      </c>
      <c r="C814">
        <v>210784</v>
      </c>
      <c r="E814" t="s">
        <v>117</v>
      </c>
      <c r="F814">
        <v>368</v>
      </c>
      <c r="G814" t="s">
        <v>141</v>
      </c>
      <c r="H814" t="s">
        <v>142</v>
      </c>
      <c r="I814" t="s">
        <v>130</v>
      </c>
      <c r="J814" t="s">
        <v>131</v>
      </c>
      <c r="L814" s="14">
        <v>45810</v>
      </c>
      <c r="M814" s="18">
        <f t="shared" si="15"/>
        <v>45809</v>
      </c>
      <c r="N814">
        <v>7311174</v>
      </c>
      <c r="O814" t="s">
        <v>123</v>
      </c>
      <c r="P814" t="s">
        <v>146</v>
      </c>
      <c r="Q814">
        <v>10.57</v>
      </c>
      <c r="R814" t="s">
        <v>125</v>
      </c>
      <c r="S814" t="s">
        <v>126</v>
      </c>
      <c r="T814" t="s">
        <v>125</v>
      </c>
      <c r="U814" t="s">
        <v>126</v>
      </c>
      <c r="W814">
        <v>10.57</v>
      </c>
      <c r="Y814">
        <v>10.57</v>
      </c>
      <c r="AC814">
        <v>10.57</v>
      </c>
      <c r="BH814" t="s">
        <v>126</v>
      </c>
      <c r="BI814" t="s">
        <v>126</v>
      </c>
      <c r="BJ814" t="s">
        <v>126</v>
      </c>
      <c r="BK814" t="s">
        <v>126</v>
      </c>
      <c r="BS814" t="s">
        <v>126</v>
      </c>
      <c r="BT814" t="s">
        <v>126</v>
      </c>
      <c r="BU814" t="s">
        <v>126</v>
      </c>
      <c r="BV814" t="s">
        <v>126</v>
      </c>
      <c r="CN814" t="s">
        <v>147</v>
      </c>
      <c r="CP814" t="s">
        <v>175</v>
      </c>
      <c r="CQ814" t="s">
        <v>147</v>
      </c>
    </row>
    <row r="815" spans="1:95" x14ac:dyDescent="0.2">
      <c r="A815" t="s">
        <v>115</v>
      </c>
      <c r="B815" t="s">
        <v>116</v>
      </c>
      <c r="C815">
        <v>210784</v>
      </c>
      <c r="E815" t="s">
        <v>117</v>
      </c>
      <c r="F815">
        <v>368</v>
      </c>
      <c r="G815" t="s">
        <v>141</v>
      </c>
      <c r="H815" t="s">
        <v>142</v>
      </c>
      <c r="I815" t="s">
        <v>279</v>
      </c>
      <c r="J815" t="s">
        <v>280</v>
      </c>
      <c r="L815" s="14">
        <v>45810</v>
      </c>
      <c r="M815" s="18">
        <f t="shared" si="15"/>
        <v>45809</v>
      </c>
      <c r="N815">
        <v>5729013</v>
      </c>
      <c r="O815" t="s">
        <v>123</v>
      </c>
      <c r="P815" t="s">
        <v>146</v>
      </c>
      <c r="Q815">
        <v>1.28</v>
      </c>
      <c r="R815" t="s">
        <v>703</v>
      </c>
      <c r="S815" t="s">
        <v>126</v>
      </c>
      <c r="T815" t="s">
        <v>703</v>
      </c>
      <c r="U815" t="s">
        <v>704</v>
      </c>
      <c r="W815">
        <v>0.39</v>
      </c>
      <c r="X815">
        <v>0.89</v>
      </c>
      <c r="Y815">
        <v>1.28</v>
      </c>
      <c r="Z815">
        <v>0.49</v>
      </c>
      <c r="AG815">
        <v>0.39</v>
      </c>
      <c r="AI815">
        <v>0.4</v>
      </c>
      <c r="BH815" t="s">
        <v>126</v>
      </c>
      <c r="BI815" t="s">
        <v>126</v>
      </c>
      <c r="BJ815" t="s">
        <v>126</v>
      </c>
      <c r="BK815" t="s">
        <v>126</v>
      </c>
      <c r="BS815" t="s">
        <v>126</v>
      </c>
      <c r="BT815" t="s">
        <v>126</v>
      </c>
      <c r="BU815" t="s">
        <v>126</v>
      </c>
      <c r="BV815" t="s">
        <v>126</v>
      </c>
      <c r="CN815" t="s">
        <v>147</v>
      </c>
      <c r="CP815" t="s">
        <v>432</v>
      </c>
      <c r="CQ815" t="s">
        <v>147</v>
      </c>
    </row>
    <row r="816" spans="1:95" x14ac:dyDescent="0.2">
      <c r="A816" t="s">
        <v>115</v>
      </c>
      <c r="B816" t="s">
        <v>116</v>
      </c>
      <c r="C816">
        <v>210784</v>
      </c>
      <c r="E816" t="s">
        <v>117</v>
      </c>
      <c r="F816">
        <v>368</v>
      </c>
      <c r="G816" t="s">
        <v>141</v>
      </c>
      <c r="H816" t="s">
        <v>142</v>
      </c>
      <c r="I816" t="s">
        <v>279</v>
      </c>
      <c r="J816" t="s">
        <v>280</v>
      </c>
      <c r="L816" s="14">
        <v>45810</v>
      </c>
      <c r="M816" s="18">
        <f t="shared" si="15"/>
        <v>45809</v>
      </c>
      <c r="N816">
        <v>5729078</v>
      </c>
      <c r="O816" t="s">
        <v>123</v>
      </c>
      <c r="P816" t="s">
        <v>146</v>
      </c>
      <c r="Q816">
        <v>0.8</v>
      </c>
      <c r="R816" t="s">
        <v>125</v>
      </c>
      <c r="S816" t="s">
        <v>126</v>
      </c>
      <c r="T816" t="s">
        <v>125</v>
      </c>
      <c r="U816" t="s">
        <v>126</v>
      </c>
      <c r="W816">
        <v>0.8</v>
      </c>
      <c r="Y816">
        <v>0.8</v>
      </c>
      <c r="BE816">
        <v>0.8</v>
      </c>
      <c r="BH816" t="s">
        <v>126</v>
      </c>
      <c r="BI816" t="s">
        <v>126</v>
      </c>
      <c r="BJ816" t="s">
        <v>126</v>
      </c>
      <c r="BK816" t="s">
        <v>126</v>
      </c>
      <c r="BS816" t="s">
        <v>126</v>
      </c>
      <c r="BT816" t="s">
        <v>126</v>
      </c>
      <c r="BU816" t="s">
        <v>126</v>
      </c>
      <c r="BV816" t="s">
        <v>126</v>
      </c>
      <c r="CN816" t="s">
        <v>147</v>
      </c>
      <c r="CP816" t="s">
        <v>432</v>
      </c>
      <c r="CQ816" t="s">
        <v>147</v>
      </c>
    </row>
    <row r="817" spans="1:95" x14ac:dyDescent="0.2">
      <c r="A817" t="s">
        <v>115</v>
      </c>
      <c r="B817" t="s">
        <v>116</v>
      </c>
      <c r="C817">
        <v>210784</v>
      </c>
      <c r="E817" t="s">
        <v>117</v>
      </c>
      <c r="F817">
        <v>368</v>
      </c>
      <c r="G817" t="s">
        <v>141</v>
      </c>
      <c r="H817" t="s">
        <v>142</v>
      </c>
      <c r="I817" t="s">
        <v>279</v>
      </c>
      <c r="J817" t="s">
        <v>280</v>
      </c>
      <c r="L817" s="14">
        <v>45811</v>
      </c>
      <c r="M817" s="18">
        <f t="shared" si="15"/>
        <v>45809</v>
      </c>
      <c r="N817">
        <v>5730232</v>
      </c>
      <c r="O817" t="s">
        <v>123</v>
      </c>
      <c r="P817" t="s">
        <v>146</v>
      </c>
      <c r="Q817">
        <v>7.09</v>
      </c>
      <c r="R817" t="s">
        <v>598</v>
      </c>
      <c r="S817" t="s">
        <v>126</v>
      </c>
      <c r="T817" t="s">
        <v>598</v>
      </c>
      <c r="U817" t="s">
        <v>599</v>
      </c>
      <c r="W817">
        <v>2.19</v>
      </c>
      <c r="X817">
        <v>4.9000000000000004</v>
      </c>
      <c r="Y817">
        <v>7.09</v>
      </c>
      <c r="Z817">
        <v>2.69</v>
      </c>
      <c r="AG817">
        <v>2.19</v>
      </c>
      <c r="AI817">
        <v>2.21</v>
      </c>
      <c r="BH817" t="s">
        <v>126</v>
      </c>
      <c r="BI817" t="s">
        <v>126</v>
      </c>
      <c r="BJ817" t="s">
        <v>126</v>
      </c>
      <c r="BK817" t="s">
        <v>126</v>
      </c>
      <c r="BS817" t="s">
        <v>126</v>
      </c>
      <c r="BT817" t="s">
        <v>126</v>
      </c>
      <c r="BU817" t="s">
        <v>126</v>
      </c>
      <c r="BV817" t="s">
        <v>126</v>
      </c>
      <c r="CN817" t="s">
        <v>147</v>
      </c>
      <c r="CP817" t="s">
        <v>432</v>
      </c>
      <c r="CQ817" t="s">
        <v>147</v>
      </c>
    </row>
    <row r="818" spans="1:95" x14ac:dyDescent="0.2">
      <c r="A818" t="s">
        <v>115</v>
      </c>
      <c r="B818" t="s">
        <v>116</v>
      </c>
      <c r="C818">
        <v>210784</v>
      </c>
      <c r="E818" t="s">
        <v>117</v>
      </c>
      <c r="F818">
        <v>368</v>
      </c>
      <c r="G818" t="s">
        <v>141</v>
      </c>
      <c r="H818" t="s">
        <v>142</v>
      </c>
      <c r="I818" t="s">
        <v>279</v>
      </c>
      <c r="J818" t="s">
        <v>280</v>
      </c>
      <c r="L818" s="14">
        <v>45811</v>
      </c>
      <c r="M818" s="18">
        <f t="shared" si="15"/>
        <v>45809</v>
      </c>
      <c r="N818">
        <v>5729986</v>
      </c>
      <c r="O818" t="s">
        <v>123</v>
      </c>
      <c r="P818" t="s">
        <v>146</v>
      </c>
      <c r="Q818">
        <v>3.84</v>
      </c>
      <c r="R818" t="s">
        <v>673</v>
      </c>
      <c r="S818" t="s">
        <v>126</v>
      </c>
      <c r="T818" t="s">
        <v>673</v>
      </c>
      <c r="U818" t="s">
        <v>674</v>
      </c>
      <c r="W818">
        <v>1.18</v>
      </c>
      <c r="X818">
        <v>2.66</v>
      </c>
      <c r="Y818">
        <v>3.84</v>
      </c>
      <c r="Z818">
        <v>1.46</v>
      </c>
      <c r="AG818">
        <v>1.18</v>
      </c>
      <c r="AI818">
        <v>1.2</v>
      </c>
      <c r="BH818" t="s">
        <v>126</v>
      </c>
      <c r="BI818" t="s">
        <v>126</v>
      </c>
      <c r="BJ818" t="s">
        <v>126</v>
      </c>
      <c r="BK818" t="s">
        <v>126</v>
      </c>
      <c r="BS818" t="s">
        <v>126</v>
      </c>
      <c r="BT818" t="s">
        <v>126</v>
      </c>
      <c r="BU818" t="s">
        <v>126</v>
      </c>
      <c r="BV818" t="s">
        <v>126</v>
      </c>
      <c r="CN818" t="s">
        <v>147</v>
      </c>
      <c r="CP818" t="s">
        <v>432</v>
      </c>
      <c r="CQ818" t="s">
        <v>147</v>
      </c>
    </row>
    <row r="819" spans="1:95" x14ac:dyDescent="0.2">
      <c r="A819" t="s">
        <v>115</v>
      </c>
      <c r="B819" t="s">
        <v>116</v>
      </c>
      <c r="C819">
        <v>210784</v>
      </c>
      <c r="E819" t="s">
        <v>117</v>
      </c>
      <c r="F819">
        <v>368</v>
      </c>
      <c r="G819" t="s">
        <v>141</v>
      </c>
      <c r="H819" t="s">
        <v>142</v>
      </c>
      <c r="I819" t="s">
        <v>279</v>
      </c>
      <c r="J819" t="s">
        <v>280</v>
      </c>
      <c r="L819" s="14">
        <v>45811</v>
      </c>
      <c r="M819" s="18">
        <f t="shared" si="15"/>
        <v>45809</v>
      </c>
      <c r="N819">
        <v>5730307</v>
      </c>
      <c r="O819" t="s">
        <v>123</v>
      </c>
      <c r="P819" t="s">
        <v>146</v>
      </c>
      <c r="Q819">
        <v>0.87</v>
      </c>
      <c r="R819" t="s">
        <v>125</v>
      </c>
      <c r="S819" t="s">
        <v>126</v>
      </c>
      <c r="T819" t="s">
        <v>125</v>
      </c>
      <c r="U819" t="s">
        <v>126</v>
      </c>
      <c r="W819">
        <v>0.87</v>
      </c>
      <c r="Y819">
        <v>0.87</v>
      </c>
      <c r="BE819">
        <v>0.87</v>
      </c>
      <c r="BH819" t="s">
        <v>126</v>
      </c>
      <c r="BI819" t="s">
        <v>126</v>
      </c>
      <c r="BJ819" t="s">
        <v>126</v>
      </c>
      <c r="BK819" t="s">
        <v>126</v>
      </c>
      <c r="BS819" t="s">
        <v>126</v>
      </c>
      <c r="BT819" t="s">
        <v>126</v>
      </c>
      <c r="BU819" t="s">
        <v>126</v>
      </c>
      <c r="BV819" t="s">
        <v>126</v>
      </c>
      <c r="CN819" t="s">
        <v>147</v>
      </c>
      <c r="CP819" t="s">
        <v>432</v>
      </c>
      <c r="CQ819" t="s">
        <v>147</v>
      </c>
    </row>
    <row r="820" spans="1:95" x14ac:dyDescent="0.2">
      <c r="A820" t="s">
        <v>115</v>
      </c>
      <c r="B820" t="s">
        <v>116</v>
      </c>
      <c r="C820">
        <v>210784</v>
      </c>
      <c r="E820" t="s">
        <v>117</v>
      </c>
      <c r="F820">
        <v>368</v>
      </c>
      <c r="G820" t="s">
        <v>141</v>
      </c>
      <c r="H820" t="s">
        <v>142</v>
      </c>
      <c r="I820" t="s">
        <v>279</v>
      </c>
      <c r="J820" t="s">
        <v>280</v>
      </c>
      <c r="L820" s="14">
        <v>45812</v>
      </c>
      <c r="M820" s="18">
        <f t="shared" si="15"/>
        <v>45809</v>
      </c>
      <c r="N820">
        <v>5730764</v>
      </c>
      <c r="O820" t="s">
        <v>123</v>
      </c>
      <c r="P820" t="s">
        <v>146</v>
      </c>
      <c r="Q820">
        <v>2.79</v>
      </c>
      <c r="R820" t="s">
        <v>559</v>
      </c>
      <c r="S820" t="s">
        <v>126</v>
      </c>
      <c r="T820" t="s">
        <v>559</v>
      </c>
      <c r="U820" t="s">
        <v>560</v>
      </c>
      <c r="W820">
        <v>0.86</v>
      </c>
      <c r="X820">
        <v>1.9300000000000002</v>
      </c>
      <c r="Y820">
        <v>2.79</v>
      </c>
      <c r="Z820">
        <v>1.06</v>
      </c>
      <c r="AG820">
        <v>0.86</v>
      </c>
      <c r="AI820">
        <v>0.87</v>
      </c>
      <c r="BH820" t="s">
        <v>126</v>
      </c>
      <c r="BI820" t="s">
        <v>126</v>
      </c>
      <c r="BJ820" t="s">
        <v>126</v>
      </c>
      <c r="BK820" t="s">
        <v>126</v>
      </c>
      <c r="BS820" t="s">
        <v>126</v>
      </c>
      <c r="BT820" t="s">
        <v>126</v>
      </c>
      <c r="BU820" t="s">
        <v>126</v>
      </c>
      <c r="BV820" t="s">
        <v>126</v>
      </c>
      <c r="CN820" t="s">
        <v>147</v>
      </c>
      <c r="CP820" t="s">
        <v>432</v>
      </c>
      <c r="CQ820" t="s">
        <v>147</v>
      </c>
    </row>
    <row r="821" spans="1:95" x14ac:dyDescent="0.2">
      <c r="A821" t="s">
        <v>115</v>
      </c>
      <c r="B821" t="s">
        <v>116</v>
      </c>
      <c r="C821">
        <v>210784</v>
      </c>
      <c r="E821" t="s">
        <v>117</v>
      </c>
      <c r="F821">
        <v>368</v>
      </c>
      <c r="G821" t="s">
        <v>141</v>
      </c>
      <c r="H821" t="s">
        <v>142</v>
      </c>
      <c r="I821" t="s">
        <v>279</v>
      </c>
      <c r="J821" t="s">
        <v>280</v>
      </c>
      <c r="L821" s="14">
        <v>45812</v>
      </c>
      <c r="M821" s="18">
        <f t="shared" si="15"/>
        <v>45809</v>
      </c>
      <c r="N821">
        <v>5731082</v>
      </c>
      <c r="O821" t="s">
        <v>123</v>
      </c>
      <c r="P821" t="s">
        <v>146</v>
      </c>
      <c r="Q821">
        <v>2.2599999999999998</v>
      </c>
      <c r="R821" t="s">
        <v>707</v>
      </c>
      <c r="S821" t="s">
        <v>126</v>
      </c>
      <c r="T821" t="s">
        <v>707</v>
      </c>
      <c r="U821" t="s">
        <v>708</v>
      </c>
      <c r="W821">
        <v>0.7</v>
      </c>
      <c r="X821">
        <v>1.56</v>
      </c>
      <c r="Y821">
        <v>2.2599999999999998</v>
      </c>
      <c r="Z821">
        <v>0.86</v>
      </c>
      <c r="AG821">
        <v>0.7</v>
      </c>
      <c r="AI821">
        <v>0.7</v>
      </c>
      <c r="BH821" t="s">
        <v>126</v>
      </c>
      <c r="BI821" t="s">
        <v>126</v>
      </c>
      <c r="BJ821" t="s">
        <v>126</v>
      </c>
      <c r="BK821" t="s">
        <v>126</v>
      </c>
      <c r="BS821" t="s">
        <v>126</v>
      </c>
      <c r="BT821" t="s">
        <v>126</v>
      </c>
      <c r="BU821" t="s">
        <v>126</v>
      </c>
      <c r="BV821" t="s">
        <v>126</v>
      </c>
      <c r="CN821" t="s">
        <v>147</v>
      </c>
      <c r="CP821" t="s">
        <v>432</v>
      </c>
      <c r="CQ821" t="s">
        <v>147</v>
      </c>
    </row>
    <row r="822" spans="1:95" x14ac:dyDescent="0.2">
      <c r="A822" t="s">
        <v>115</v>
      </c>
      <c r="B822" t="s">
        <v>116</v>
      </c>
      <c r="C822">
        <v>210784</v>
      </c>
      <c r="E822" t="s">
        <v>117</v>
      </c>
      <c r="F822">
        <v>368</v>
      </c>
      <c r="G822" t="s">
        <v>141</v>
      </c>
      <c r="H822" t="s">
        <v>142</v>
      </c>
      <c r="I822" t="s">
        <v>279</v>
      </c>
      <c r="J822" t="s">
        <v>280</v>
      </c>
      <c r="L822" s="14">
        <v>45813</v>
      </c>
      <c r="M822" s="18">
        <f t="shared" si="15"/>
        <v>45809</v>
      </c>
      <c r="N822">
        <v>5731689</v>
      </c>
      <c r="O822" t="s">
        <v>123</v>
      </c>
      <c r="P822" t="s">
        <v>146</v>
      </c>
      <c r="Q822">
        <v>2.6</v>
      </c>
      <c r="R822" t="s">
        <v>569</v>
      </c>
      <c r="S822" t="s">
        <v>126</v>
      </c>
      <c r="T822" t="s">
        <v>569</v>
      </c>
      <c r="U822" t="s">
        <v>570</v>
      </c>
      <c r="W822">
        <v>0.8</v>
      </c>
      <c r="X822">
        <v>1.8</v>
      </c>
      <c r="Y822">
        <v>2.6</v>
      </c>
      <c r="Z822">
        <v>0.99</v>
      </c>
      <c r="AG822">
        <v>0.8</v>
      </c>
      <c r="AI822">
        <v>0.81</v>
      </c>
      <c r="BH822" t="s">
        <v>126</v>
      </c>
      <c r="BI822" t="s">
        <v>126</v>
      </c>
      <c r="BJ822" t="s">
        <v>126</v>
      </c>
      <c r="BK822" t="s">
        <v>126</v>
      </c>
      <c r="BS822" t="s">
        <v>126</v>
      </c>
      <c r="BT822" t="s">
        <v>126</v>
      </c>
      <c r="BU822" t="s">
        <v>126</v>
      </c>
      <c r="BV822" t="s">
        <v>126</v>
      </c>
      <c r="CN822" t="s">
        <v>147</v>
      </c>
      <c r="CP822" t="s">
        <v>432</v>
      </c>
      <c r="CQ822" t="s">
        <v>147</v>
      </c>
    </row>
    <row r="823" spans="1:95" x14ac:dyDescent="0.2">
      <c r="A823" t="s">
        <v>115</v>
      </c>
      <c r="B823" t="s">
        <v>116</v>
      </c>
      <c r="C823">
        <v>210784</v>
      </c>
      <c r="E823" t="s">
        <v>117</v>
      </c>
      <c r="F823">
        <v>368</v>
      </c>
      <c r="G823" t="s">
        <v>118</v>
      </c>
      <c r="H823" t="s">
        <v>119</v>
      </c>
      <c r="I823" t="s">
        <v>120</v>
      </c>
      <c r="J823" t="s">
        <v>121</v>
      </c>
      <c r="L823" s="14">
        <v>45814</v>
      </c>
      <c r="M823" s="18">
        <f t="shared" si="15"/>
        <v>45809</v>
      </c>
      <c r="N823">
        <v>132637</v>
      </c>
      <c r="O823" t="s">
        <v>123</v>
      </c>
      <c r="P823" t="s">
        <v>124</v>
      </c>
      <c r="Q823">
        <v>17.420000000000002</v>
      </c>
      <c r="R823" t="s">
        <v>125</v>
      </c>
      <c r="S823" t="s">
        <v>126</v>
      </c>
      <c r="T823" t="s">
        <v>125</v>
      </c>
      <c r="U823" t="s">
        <v>126</v>
      </c>
      <c r="W823">
        <v>17.420000000000002</v>
      </c>
      <c r="Y823">
        <v>17.420000000000002</v>
      </c>
      <c r="AA823">
        <v>17.420000000000002</v>
      </c>
      <c r="BH823" t="s">
        <v>126</v>
      </c>
      <c r="BI823" t="s">
        <v>126</v>
      </c>
      <c r="BJ823" t="s">
        <v>126</v>
      </c>
      <c r="BK823" t="s">
        <v>126</v>
      </c>
      <c r="BS823" t="s">
        <v>126</v>
      </c>
      <c r="BT823" t="s">
        <v>126</v>
      </c>
      <c r="BU823" t="s">
        <v>126</v>
      </c>
      <c r="BV823" t="s">
        <v>126</v>
      </c>
      <c r="CN823" t="s">
        <v>127</v>
      </c>
      <c r="CP823" t="s">
        <v>128</v>
      </c>
      <c r="CQ823" t="s">
        <v>127</v>
      </c>
    </row>
    <row r="824" spans="1:95" x14ac:dyDescent="0.2">
      <c r="A824" t="s">
        <v>115</v>
      </c>
      <c r="B824" t="s">
        <v>116</v>
      </c>
      <c r="C824">
        <v>210784</v>
      </c>
      <c r="E824" t="s">
        <v>117</v>
      </c>
      <c r="F824">
        <v>368</v>
      </c>
      <c r="G824" t="s">
        <v>118</v>
      </c>
      <c r="H824" t="s">
        <v>119</v>
      </c>
      <c r="I824" t="s">
        <v>120</v>
      </c>
      <c r="J824" t="s">
        <v>121</v>
      </c>
      <c r="L824" s="14">
        <v>45814</v>
      </c>
      <c r="M824" s="18">
        <f t="shared" si="15"/>
        <v>45809</v>
      </c>
      <c r="N824">
        <v>132650</v>
      </c>
      <c r="O824" t="s">
        <v>123</v>
      </c>
      <c r="P824" t="s">
        <v>124</v>
      </c>
      <c r="Q824">
        <v>11.99</v>
      </c>
      <c r="R824" t="s">
        <v>125</v>
      </c>
      <c r="S824" t="s">
        <v>126</v>
      </c>
      <c r="T824" t="s">
        <v>125</v>
      </c>
      <c r="U824" t="s">
        <v>126</v>
      </c>
      <c r="W824">
        <v>11.99</v>
      </c>
      <c r="Y824">
        <v>11.99</v>
      </c>
      <c r="AA824">
        <v>11.99</v>
      </c>
      <c r="BH824" t="s">
        <v>126</v>
      </c>
      <c r="BI824" t="s">
        <v>126</v>
      </c>
      <c r="BJ824" t="s">
        <v>126</v>
      </c>
      <c r="BK824" t="s">
        <v>126</v>
      </c>
      <c r="BS824" t="s">
        <v>126</v>
      </c>
      <c r="BT824" t="s">
        <v>126</v>
      </c>
      <c r="BU824" t="s">
        <v>126</v>
      </c>
      <c r="BV824" t="s">
        <v>126</v>
      </c>
      <c r="CN824" t="s">
        <v>127</v>
      </c>
      <c r="CP824" t="s">
        <v>128</v>
      </c>
      <c r="CQ824" t="s">
        <v>127</v>
      </c>
    </row>
    <row r="825" spans="1:95" x14ac:dyDescent="0.2">
      <c r="A825" t="s">
        <v>115</v>
      </c>
      <c r="B825" t="s">
        <v>116</v>
      </c>
      <c r="C825">
        <v>210784</v>
      </c>
      <c r="E825" t="s">
        <v>117</v>
      </c>
      <c r="F825">
        <v>368</v>
      </c>
      <c r="G825" t="s">
        <v>141</v>
      </c>
      <c r="H825" t="s">
        <v>142</v>
      </c>
      <c r="I825" t="s">
        <v>279</v>
      </c>
      <c r="J825" t="s">
        <v>280</v>
      </c>
      <c r="L825" s="14">
        <v>45814</v>
      </c>
      <c r="M825" s="18">
        <f t="shared" si="15"/>
        <v>45809</v>
      </c>
      <c r="N825">
        <v>5732269</v>
      </c>
      <c r="O825" t="s">
        <v>123</v>
      </c>
      <c r="P825" t="s">
        <v>146</v>
      </c>
      <c r="Q825">
        <v>3.4300000000000006</v>
      </c>
      <c r="R825" t="s">
        <v>710</v>
      </c>
      <c r="S825" t="s">
        <v>126</v>
      </c>
      <c r="T825" t="s">
        <v>710</v>
      </c>
      <c r="U825" t="s">
        <v>711</v>
      </c>
      <c r="W825">
        <v>1.06</v>
      </c>
      <c r="X825">
        <v>2.37</v>
      </c>
      <c r="Y825">
        <v>3.4300000000000006</v>
      </c>
      <c r="Z825">
        <v>1.3</v>
      </c>
      <c r="AG825">
        <v>1.06</v>
      </c>
      <c r="AI825">
        <v>1.07</v>
      </c>
      <c r="BH825" t="s">
        <v>126</v>
      </c>
      <c r="BI825" t="s">
        <v>126</v>
      </c>
      <c r="BJ825" t="s">
        <v>126</v>
      </c>
      <c r="BK825" t="s">
        <v>126</v>
      </c>
      <c r="BS825" t="s">
        <v>126</v>
      </c>
      <c r="BT825" t="s">
        <v>126</v>
      </c>
      <c r="BU825" t="s">
        <v>126</v>
      </c>
      <c r="BV825" t="s">
        <v>126</v>
      </c>
      <c r="CN825" t="s">
        <v>147</v>
      </c>
      <c r="CP825" t="s">
        <v>432</v>
      </c>
      <c r="CQ825" t="s">
        <v>147</v>
      </c>
    </row>
    <row r="826" spans="1:95" x14ac:dyDescent="0.2">
      <c r="A826" t="s">
        <v>115</v>
      </c>
      <c r="B826" t="s">
        <v>116</v>
      </c>
      <c r="C826">
        <v>210784</v>
      </c>
      <c r="E826" t="s">
        <v>117</v>
      </c>
      <c r="F826">
        <v>368</v>
      </c>
      <c r="G826" t="s">
        <v>141</v>
      </c>
      <c r="H826" t="s">
        <v>142</v>
      </c>
      <c r="I826" t="s">
        <v>279</v>
      </c>
      <c r="J826" t="s">
        <v>280</v>
      </c>
      <c r="L826" s="14">
        <v>45814</v>
      </c>
      <c r="M826" s="18">
        <f t="shared" si="15"/>
        <v>45809</v>
      </c>
      <c r="N826">
        <v>5732366</v>
      </c>
      <c r="O826" t="s">
        <v>123</v>
      </c>
      <c r="P826" t="s">
        <v>146</v>
      </c>
      <c r="Q826">
        <v>0.17</v>
      </c>
      <c r="R826" t="s">
        <v>712</v>
      </c>
      <c r="S826" t="s">
        <v>126</v>
      </c>
      <c r="T826" t="s">
        <v>712</v>
      </c>
      <c r="U826" t="s">
        <v>713</v>
      </c>
      <c r="W826">
        <v>0.05</v>
      </c>
      <c r="X826">
        <v>0.12000000000000001</v>
      </c>
      <c r="Y826">
        <v>0.17</v>
      </c>
      <c r="Z826">
        <v>7.0000000000000007E-2</v>
      </c>
      <c r="AG826">
        <v>0.05</v>
      </c>
      <c r="AI826">
        <v>0.05</v>
      </c>
      <c r="BH826" t="s">
        <v>126</v>
      </c>
      <c r="BI826" t="s">
        <v>126</v>
      </c>
      <c r="BJ826" t="s">
        <v>126</v>
      </c>
      <c r="BK826" t="s">
        <v>126</v>
      </c>
      <c r="BS826" t="s">
        <v>126</v>
      </c>
      <c r="BT826" t="s">
        <v>126</v>
      </c>
      <c r="BU826" t="s">
        <v>126</v>
      </c>
      <c r="BV826" t="s">
        <v>126</v>
      </c>
      <c r="CN826" t="s">
        <v>147</v>
      </c>
      <c r="CP826" t="s">
        <v>432</v>
      </c>
      <c r="CQ826" t="s">
        <v>147</v>
      </c>
    </row>
    <row r="827" spans="1:95" x14ac:dyDescent="0.2">
      <c r="A827" t="s">
        <v>115</v>
      </c>
      <c r="B827" t="s">
        <v>116</v>
      </c>
      <c r="C827">
        <v>210784</v>
      </c>
      <c r="E827" t="s">
        <v>117</v>
      </c>
      <c r="F827">
        <v>368</v>
      </c>
      <c r="G827" t="s">
        <v>141</v>
      </c>
      <c r="H827" t="s">
        <v>142</v>
      </c>
      <c r="I827" t="s">
        <v>279</v>
      </c>
      <c r="J827" t="s">
        <v>280</v>
      </c>
      <c r="L827" s="14">
        <v>45814</v>
      </c>
      <c r="M827" s="18">
        <f t="shared" si="15"/>
        <v>45809</v>
      </c>
      <c r="N827">
        <v>5732383</v>
      </c>
      <c r="O827" t="s">
        <v>123</v>
      </c>
      <c r="P827" t="s">
        <v>146</v>
      </c>
      <c r="Q827">
        <v>3.7699999999999996</v>
      </c>
      <c r="R827" t="s">
        <v>569</v>
      </c>
      <c r="S827" t="s">
        <v>126</v>
      </c>
      <c r="T827" t="s">
        <v>569</v>
      </c>
      <c r="U827" t="s">
        <v>570</v>
      </c>
      <c r="W827">
        <v>1.1599999999999999</v>
      </c>
      <c r="X827">
        <v>2.61</v>
      </c>
      <c r="Y827">
        <v>3.7699999999999996</v>
      </c>
      <c r="Z827">
        <v>1.44</v>
      </c>
      <c r="AG827">
        <v>1.1599999999999999</v>
      </c>
      <c r="AI827">
        <v>1.17</v>
      </c>
      <c r="BH827" t="s">
        <v>126</v>
      </c>
      <c r="BI827" t="s">
        <v>126</v>
      </c>
      <c r="BJ827" t="s">
        <v>126</v>
      </c>
      <c r="BK827" t="s">
        <v>126</v>
      </c>
      <c r="BS827" t="s">
        <v>126</v>
      </c>
      <c r="BT827" t="s">
        <v>126</v>
      </c>
      <c r="BU827" t="s">
        <v>126</v>
      </c>
      <c r="BV827" t="s">
        <v>126</v>
      </c>
      <c r="CN827" t="s">
        <v>147</v>
      </c>
      <c r="CP827" t="s">
        <v>432</v>
      </c>
      <c r="CQ827" t="s">
        <v>147</v>
      </c>
    </row>
    <row r="828" spans="1:95" x14ac:dyDescent="0.2">
      <c r="A828" t="s">
        <v>115</v>
      </c>
      <c r="B828" t="s">
        <v>116</v>
      </c>
      <c r="C828">
        <v>210784</v>
      </c>
      <c r="E828" t="s">
        <v>117</v>
      </c>
      <c r="F828">
        <v>368</v>
      </c>
      <c r="G828" t="s">
        <v>141</v>
      </c>
      <c r="H828" t="s">
        <v>142</v>
      </c>
      <c r="I828" t="s">
        <v>279</v>
      </c>
      <c r="J828" t="s">
        <v>280</v>
      </c>
      <c r="L828" s="14">
        <v>45814</v>
      </c>
      <c r="M828" s="18">
        <f t="shared" si="15"/>
        <v>45809</v>
      </c>
      <c r="N828">
        <v>5732628</v>
      </c>
      <c r="O828" t="s">
        <v>123</v>
      </c>
      <c r="P828" t="s">
        <v>146</v>
      </c>
      <c r="Q828">
        <v>1.27</v>
      </c>
      <c r="R828" t="s">
        <v>125</v>
      </c>
      <c r="S828" t="s">
        <v>126</v>
      </c>
      <c r="T828" t="s">
        <v>125</v>
      </c>
      <c r="U828" t="s">
        <v>126</v>
      </c>
      <c r="W828">
        <v>1.27</v>
      </c>
      <c r="Y828">
        <v>1.27</v>
      </c>
      <c r="BE828">
        <v>1.27</v>
      </c>
      <c r="BH828" t="s">
        <v>126</v>
      </c>
      <c r="BI828" t="s">
        <v>126</v>
      </c>
      <c r="BJ828" t="s">
        <v>126</v>
      </c>
      <c r="BK828" t="s">
        <v>126</v>
      </c>
      <c r="BS828" t="s">
        <v>126</v>
      </c>
      <c r="BT828" t="s">
        <v>126</v>
      </c>
      <c r="BU828" t="s">
        <v>126</v>
      </c>
      <c r="BV828" t="s">
        <v>126</v>
      </c>
      <c r="CN828" t="s">
        <v>147</v>
      </c>
      <c r="CP828" t="s">
        <v>432</v>
      </c>
      <c r="CQ828" t="s">
        <v>147</v>
      </c>
    </row>
    <row r="829" spans="1:95" x14ac:dyDescent="0.2">
      <c r="A829" t="s">
        <v>115</v>
      </c>
      <c r="B829" t="s">
        <v>116</v>
      </c>
      <c r="C829">
        <v>210784</v>
      </c>
      <c r="E829" t="s">
        <v>117</v>
      </c>
      <c r="F829">
        <v>368</v>
      </c>
      <c r="G829" t="s">
        <v>141</v>
      </c>
      <c r="H829" t="s">
        <v>142</v>
      </c>
      <c r="I829" t="s">
        <v>279</v>
      </c>
      <c r="J829" t="s">
        <v>280</v>
      </c>
      <c r="L829" s="14">
        <v>45815</v>
      </c>
      <c r="M829" s="18">
        <f t="shared" si="15"/>
        <v>45809</v>
      </c>
      <c r="N829">
        <v>5732850</v>
      </c>
      <c r="O829" t="s">
        <v>123</v>
      </c>
      <c r="P829" t="s">
        <v>146</v>
      </c>
      <c r="Q829">
        <v>1.24</v>
      </c>
      <c r="R829" t="s">
        <v>715</v>
      </c>
      <c r="S829" t="s">
        <v>126</v>
      </c>
      <c r="T829" t="s">
        <v>715</v>
      </c>
      <c r="U829" t="s">
        <v>716</v>
      </c>
      <c r="W829">
        <v>0.38</v>
      </c>
      <c r="X829">
        <v>0.86</v>
      </c>
      <c r="Y829">
        <v>1.24</v>
      </c>
      <c r="Z829">
        <v>0.47</v>
      </c>
      <c r="AG829">
        <v>0.38</v>
      </c>
      <c r="AI829">
        <v>0.39</v>
      </c>
      <c r="BH829" t="s">
        <v>126</v>
      </c>
      <c r="BI829" t="s">
        <v>126</v>
      </c>
      <c r="BJ829" t="s">
        <v>126</v>
      </c>
      <c r="BK829" t="s">
        <v>126</v>
      </c>
      <c r="BS829" t="s">
        <v>126</v>
      </c>
      <c r="BT829" t="s">
        <v>126</v>
      </c>
      <c r="BU829" t="s">
        <v>126</v>
      </c>
      <c r="BV829" t="s">
        <v>126</v>
      </c>
      <c r="CN829" t="s">
        <v>147</v>
      </c>
      <c r="CP829" t="s">
        <v>432</v>
      </c>
      <c r="CQ829" t="s">
        <v>147</v>
      </c>
    </row>
    <row r="830" spans="1:95" x14ac:dyDescent="0.2">
      <c r="A830" t="s">
        <v>115</v>
      </c>
      <c r="B830" t="s">
        <v>116</v>
      </c>
      <c r="C830">
        <v>210784</v>
      </c>
      <c r="E830" t="s">
        <v>117</v>
      </c>
      <c r="F830">
        <v>368</v>
      </c>
      <c r="G830" t="s">
        <v>141</v>
      </c>
      <c r="H830" t="s">
        <v>142</v>
      </c>
      <c r="I830" t="s">
        <v>279</v>
      </c>
      <c r="J830" t="s">
        <v>280</v>
      </c>
      <c r="L830" s="14">
        <v>45817</v>
      </c>
      <c r="M830" s="18">
        <f t="shared" si="15"/>
        <v>45809</v>
      </c>
      <c r="N830">
        <v>5733458</v>
      </c>
      <c r="O830" t="s">
        <v>123</v>
      </c>
      <c r="P830" t="s">
        <v>146</v>
      </c>
      <c r="Q830">
        <v>3.7299999999999995</v>
      </c>
      <c r="R830" t="s">
        <v>602</v>
      </c>
      <c r="S830" t="s">
        <v>126</v>
      </c>
      <c r="T830" t="s">
        <v>602</v>
      </c>
      <c r="U830" t="s">
        <v>603</v>
      </c>
      <c r="W830">
        <v>1.1499999999999999</v>
      </c>
      <c r="X830">
        <v>2.58</v>
      </c>
      <c r="Y830">
        <v>3.7299999999999995</v>
      </c>
      <c r="Z830">
        <v>1.42</v>
      </c>
      <c r="AG830">
        <v>1.1499999999999999</v>
      </c>
      <c r="AI830">
        <v>1.1599999999999999</v>
      </c>
      <c r="BH830" t="s">
        <v>126</v>
      </c>
      <c r="BI830" t="s">
        <v>126</v>
      </c>
      <c r="BJ830" t="s">
        <v>126</v>
      </c>
      <c r="BK830" t="s">
        <v>126</v>
      </c>
      <c r="BS830" t="s">
        <v>126</v>
      </c>
      <c r="BT830" t="s">
        <v>126</v>
      </c>
      <c r="BU830" t="s">
        <v>126</v>
      </c>
      <c r="BV830" t="s">
        <v>126</v>
      </c>
      <c r="CN830" t="s">
        <v>147</v>
      </c>
      <c r="CP830" t="s">
        <v>432</v>
      </c>
      <c r="CQ830" t="s">
        <v>147</v>
      </c>
    </row>
    <row r="831" spans="1:95" x14ac:dyDescent="0.2">
      <c r="A831" t="s">
        <v>115</v>
      </c>
      <c r="B831" t="s">
        <v>116</v>
      </c>
      <c r="C831">
        <v>210784</v>
      </c>
      <c r="E831" t="s">
        <v>117</v>
      </c>
      <c r="F831">
        <v>368</v>
      </c>
      <c r="G831" t="s">
        <v>141</v>
      </c>
      <c r="H831" t="s">
        <v>142</v>
      </c>
      <c r="I831" t="s">
        <v>279</v>
      </c>
      <c r="J831" t="s">
        <v>280</v>
      </c>
      <c r="L831" s="14">
        <v>45818</v>
      </c>
      <c r="M831" s="18">
        <f t="shared" si="15"/>
        <v>45809</v>
      </c>
      <c r="N831">
        <v>5734017</v>
      </c>
      <c r="O831" t="s">
        <v>123</v>
      </c>
      <c r="P831" t="s">
        <v>146</v>
      </c>
      <c r="Q831">
        <v>3.6799999999999997</v>
      </c>
      <c r="R831" t="s">
        <v>588</v>
      </c>
      <c r="S831" t="s">
        <v>126</v>
      </c>
      <c r="T831" t="s">
        <v>588</v>
      </c>
      <c r="U831" t="s">
        <v>589</v>
      </c>
      <c r="W831">
        <v>1.1299999999999999</v>
      </c>
      <c r="X831">
        <v>2.5499999999999998</v>
      </c>
      <c r="Y831">
        <v>3.6799999999999997</v>
      </c>
      <c r="Z831">
        <v>1.4</v>
      </c>
      <c r="AG831">
        <v>1.1299999999999999</v>
      </c>
      <c r="AI831">
        <v>1.1499999999999999</v>
      </c>
      <c r="BH831" t="s">
        <v>126</v>
      </c>
      <c r="BI831" t="s">
        <v>126</v>
      </c>
      <c r="BJ831" t="s">
        <v>126</v>
      </c>
      <c r="BK831" t="s">
        <v>126</v>
      </c>
      <c r="BS831" t="s">
        <v>126</v>
      </c>
      <c r="BT831" t="s">
        <v>126</v>
      </c>
      <c r="BU831" t="s">
        <v>126</v>
      </c>
      <c r="BV831" t="s">
        <v>126</v>
      </c>
      <c r="CN831" t="s">
        <v>147</v>
      </c>
      <c r="CP831" t="s">
        <v>432</v>
      </c>
      <c r="CQ831" t="s">
        <v>147</v>
      </c>
    </row>
    <row r="832" spans="1:95" x14ac:dyDescent="0.2">
      <c r="A832" t="s">
        <v>115</v>
      </c>
      <c r="B832" t="s">
        <v>116</v>
      </c>
      <c r="C832">
        <v>210784</v>
      </c>
      <c r="E832" t="s">
        <v>117</v>
      </c>
      <c r="F832">
        <v>368</v>
      </c>
      <c r="G832" t="s">
        <v>141</v>
      </c>
      <c r="H832" t="s">
        <v>142</v>
      </c>
      <c r="I832" t="s">
        <v>279</v>
      </c>
      <c r="J832" t="s">
        <v>280</v>
      </c>
      <c r="L832" s="14">
        <v>45818</v>
      </c>
      <c r="M832" s="18">
        <f t="shared" si="15"/>
        <v>45809</v>
      </c>
      <c r="N832">
        <v>5734453</v>
      </c>
      <c r="O832" t="s">
        <v>123</v>
      </c>
      <c r="P832" t="s">
        <v>146</v>
      </c>
      <c r="Q832">
        <v>1.47</v>
      </c>
      <c r="R832" t="s">
        <v>125</v>
      </c>
      <c r="S832" t="s">
        <v>126</v>
      </c>
      <c r="T832" t="s">
        <v>125</v>
      </c>
      <c r="U832" t="s">
        <v>126</v>
      </c>
      <c r="W832">
        <v>1.47</v>
      </c>
      <c r="Y832">
        <v>1.47</v>
      </c>
      <c r="BE832">
        <v>1.47</v>
      </c>
      <c r="BH832" t="s">
        <v>126</v>
      </c>
      <c r="BI832" t="s">
        <v>126</v>
      </c>
      <c r="BJ832" t="s">
        <v>126</v>
      </c>
      <c r="BK832" t="s">
        <v>126</v>
      </c>
      <c r="BS832" t="s">
        <v>126</v>
      </c>
      <c r="BT832" t="s">
        <v>126</v>
      </c>
      <c r="BU832" t="s">
        <v>126</v>
      </c>
      <c r="BV832" t="s">
        <v>126</v>
      </c>
      <c r="CN832" t="s">
        <v>147</v>
      </c>
      <c r="CP832" t="s">
        <v>432</v>
      </c>
      <c r="CQ832" t="s">
        <v>147</v>
      </c>
    </row>
    <row r="833" spans="1:95" x14ac:dyDescent="0.2">
      <c r="A833" t="s">
        <v>115</v>
      </c>
      <c r="B833" t="s">
        <v>116</v>
      </c>
      <c r="C833">
        <v>210784</v>
      </c>
      <c r="E833" t="s">
        <v>117</v>
      </c>
      <c r="F833">
        <v>368</v>
      </c>
      <c r="G833" t="s">
        <v>141</v>
      </c>
      <c r="H833" t="s">
        <v>142</v>
      </c>
      <c r="I833" t="s">
        <v>279</v>
      </c>
      <c r="J833" t="s">
        <v>280</v>
      </c>
      <c r="L833" s="14">
        <v>45819</v>
      </c>
      <c r="M833" s="18">
        <f t="shared" si="15"/>
        <v>45809</v>
      </c>
      <c r="N833">
        <v>5735100</v>
      </c>
      <c r="O833" t="s">
        <v>123</v>
      </c>
      <c r="P833" t="s">
        <v>146</v>
      </c>
      <c r="Q833">
        <v>3.05</v>
      </c>
      <c r="R833" t="s">
        <v>559</v>
      </c>
      <c r="S833" t="s">
        <v>126</v>
      </c>
      <c r="T833" t="s">
        <v>559</v>
      </c>
      <c r="U833" t="s">
        <v>560</v>
      </c>
      <c r="W833">
        <v>0.94</v>
      </c>
      <c r="X833">
        <v>2.11</v>
      </c>
      <c r="Y833">
        <v>3.05</v>
      </c>
      <c r="Z833">
        <v>1.1599999999999999</v>
      </c>
      <c r="AG833">
        <v>0.94</v>
      </c>
      <c r="AI833">
        <v>0.95</v>
      </c>
      <c r="BH833" t="s">
        <v>126</v>
      </c>
      <c r="BI833" t="s">
        <v>126</v>
      </c>
      <c r="BJ833" t="s">
        <v>126</v>
      </c>
      <c r="BK833" t="s">
        <v>126</v>
      </c>
      <c r="BS833" t="s">
        <v>126</v>
      </c>
      <c r="BT833" t="s">
        <v>126</v>
      </c>
      <c r="BU833" t="s">
        <v>126</v>
      </c>
      <c r="BV833" t="s">
        <v>126</v>
      </c>
      <c r="CN833" t="s">
        <v>147</v>
      </c>
      <c r="CP833" t="s">
        <v>432</v>
      </c>
      <c r="CQ833" t="s">
        <v>147</v>
      </c>
    </row>
    <row r="834" spans="1:95" x14ac:dyDescent="0.2">
      <c r="A834" t="s">
        <v>115</v>
      </c>
      <c r="B834" t="s">
        <v>116</v>
      </c>
      <c r="C834">
        <v>210784</v>
      </c>
      <c r="E834" t="s">
        <v>117</v>
      </c>
      <c r="F834">
        <v>368</v>
      </c>
      <c r="G834" t="s">
        <v>141</v>
      </c>
      <c r="H834" t="s">
        <v>142</v>
      </c>
      <c r="I834" t="s">
        <v>279</v>
      </c>
      <c r="J834" t="s">
        <v>280</v>
      </c>
      <c r="L834" s="14">
        <v>45819</v>
      </c>
      <c r="M834" s="18">
        <f t="shared" si="15"/>
        <v>45809</v>
      </c>
      <c r="N834">
        <v>5734976</v>
      </c>
      <c r="O834" t="s">
        <v>123</v>
      </c>
      <c r="P834" t="s">
        <v>146</v>
      </c>
      <c r="Q834">
        <v>2.5</v>
      </c>
      <c r="R834" t="s">
        <v>592</v>
      </c>
      <c r="S834" t="s">
        <v>126</v>
      </c>
      <c r="T834" t="s">
        <v>592</v>
      </c>
      <c r="U834" t="s">
        <v>593</v>
      </c>
      <c r="W834">
        <v>0.77</v>
      </c>
      <c r="X834">
        <v>1.73</v>
      </c>
      <c r="Y834">
        <v>2.5</v>
      </c>
      <c r="Z834">
        <v>0.95</v>
      </c>
      <c r="AG834">
        <v>0.77</v>
      </c>
      <c r="AI834">
        <v>0.78</v>
      </c>
      <c r="BH834" t="s">
        <v>126</v>
      </c>
      <c r="BI834" t="s">
        <v>126</v>
      </c>
      <c r="BJ834" t="s">
        <v>126</v>
      </c>
      <c r="BK834" t="s">
        <v>126</v>
      </c>
      <c r="BS834" t="s">
        <v>126</v>
      </c>
      <c r="BT834" t="s">
        <v>126</v>
      </c>
      <c r="BU834" t="s">
        <v>126</v>
      </c>
      <c r="BV834" t="s">
        <v>126</v>
      </c>
      <c r="CN834" t="s">
        <v>147</v>
      </c>
      <c r="CP834" t="s">
        <v>432</v>
      </c>
      <c r="CQ834" t="s">
        <v>147</v>
      </c>
    </row>
    <row r="835" spans="1:95" x14ac:dyDescent="0.2">
      <c r="A835" t="s">
        <v>115</v>
      </c>
      <c r="B835" t="s">
        <v>116</v>
      </c>
      <c r="C835">
        <v>210784</v>
      </c>
      <c r="E835" t="s">
        <v>117</v>
      </c>
      <c r="F835">
        <v>368</v>
      </c>
      <c r="G835" t="s">
        <v>141</v>
      </c>
      <c r="H835" t="s">
        <v>142</v>
      </c>
      <c r="I835" t="s">
        <v>279</v>
      </c>
      <c r="J835" t="s">
        <v>280</v>
      </c>
      <c r="L835" s="14">
        <v>45819</v>
      </c>
      <c r="M835" s="18">
        <f t="shared" si="15"/>
        <v>45809</v>
      </c>
      <c r="N835">
        <v>5735314</v>
      </c>
      <c r="O835" t="s">
        <v>123</v>
      </c>
      <c r="P835" t="s">
        <v>146</v>
      </c>
      <c r="Q835">
        <v>0.65</v>
      </c>
      <c r="R835" t="s">
        <v>125</v>
      </c>
      <c r="S835" t="s">
        <v>126</v>
      </c>
      <c r="T835" t="s">
        <v>125</v>
      </c>
      <c r="U835" t="s">
        <v>126</v>
      </c>
      <c r="W835">
        <v>0.65</v>
      </c>
      <c r="Y835">
        <v>0.65</v>
      </c>
      <c r="BE835">
        <v>0.65</v>
      </c>
      <c r="BH835" t="s">
        <v>126</v>
      </c>
      <c r="BI835" t="s">
        <v>126</v>
      </c>
      <c r="BJ835" t="s">
        <v>126</v>
      </c>
      <c r="BK835" t="s">
        <v>126</v>
      </c>
      <c r="BS835" t="s">
        <v>126</v>
      </c>
      <c r="BT835" t="s">
        <v>126</v>
      </c>
      <c r="BU835" t="s">
        <v>126</v>
      </c>
      <c r="BV835" t="s">
        <v>126</v>
      </c>
      <c r="CN835" t="s">
        <v>147</v>
      </c>
      <c r="CP835" t="s">
        <v>432</v>
      </c>
      <c r="CQ835" t="s">
        <v>147</v>
      </c>
    </row>
    <row r="836" spans="1:95" x14ac:dyDescent="0.2">
      <c r="A836" t="s">
        <v>115</v>
      </c>
      <c r="B836" t="s">
        <v>116</v>
      </c>
      <c r="C836">
        <v>210784</v>
      </c>
      <c r="E836" t="s">
        <v>117</v>
      </c>
      <c r="F836">
        <v>368</v>
      </c>
      <c r="G836" t="s">
        <v>141</v>
      </c>
      <c r="H836" t="s">
        <v>142</v>
      </c>
      <c r="I836" t="s">
        <v>279</v>
      </c>
      <c r="J836" t="s">
        <v>280</v>
      </c>
      <c r="L836" s="14">
        <v>45820</v>
      </c>
      <c r="M836" s="18">
        <f t="shared" si="15"/>
        <v>45809</v>
      </c>
      <c r="N836">
        <v>5736035</v>
      </c>
      <c r="O836" t="s">
        <v>123</v>
      </c>
      <c r="P836" t="s">
        <v>146</v>
      </c>
      <c r="Q836">
        <v>1.9099999999999997</v>
      </c>
      <c r="R836" t="s">
        <v>598</v>
      </c>
      <c r="S836" t="s">
        <v>126</v>
      </c>
      <c r="T836" t="s">
        <v>598</v>
      </c>
      <c r="U836" t="s">
        <v>599</v>
      </c>
      <c r="W836">
        <v>0.59</v>
      </c>
      <c r="X836">
        <v>1.3199999999999998</v>
      </c>
      <c r="Y836">
        <v>1.9099999999999997</v>
      </c>
      <c r="Z836">
        <v>0.73</v>
      </c>
      <c r="AG836">
        <v>0.59</v>
      </c>
      <c r="AI836">
        <v>0.59</v>
      </c>
      <c r="BH836" t="s">
        <v>126</v>
      </c>
      <c r="BI836" t="s">
        <v>126</v>
      </c>
      <c r="BJ836" t="s">
        <v>126</v>
      </c>
      <c r="BK836" t="s">
        <v>126</v>
      </c>
      <c r="BS836" t="s">
        <v>126</v>
      </c>
      <c r="BT836" t="s">
        <v>126</v>
      </c>
      <c r="BU836" t="s">
        <v>126</v>
      </c>
      <c r="BV836" t="s">
        <v>126</v>
      </c>
      <c r="CN836" t="s">
        <v>147</v>
      </c>
      <c r="CP836" t="s">
        <v>432</v>
      </c>
      <c r="CQ836" t="s">
        <v>147</v>
      </c>
    </row>
    <row r="837" spans="1:95" x14ac:dyDescent="0.2">
      <c r="A837" t="s">
        <v>115</v>
      </c>
      <c r="B837" t="s">
        <v>116</v>
      </c>
      <c r="C837">
        <v>210784</v>
      </c>
      <c r="E837" t="s">
        <v>117</v>
      </c>
      <c r="F837">
        <v>368</v>
      </c>
      <c r="G837" t="s">
        <v>141</v>
      </c>
      <c r="H837" t="s">
        <v>142</v>
      </c>
      <c r="I837" t="s">
        <v>279</v>
      </c>
      <c r="J837" t="s">
        <v>280</v>
      </c>
      <c r="L837" s="14">
        <v>45820</v>
      </c>
      <c r="M837" s="18">
        <f t="shared" si="15"/>
        <v>45809</v>
      </c>
      <c r="N837">
        <v>5736090</v>
      </c>
      <c r="O837" t="s">
        <v>123</v>
      </c>
      <c r="P837" t="s">
        <v>146</v>
      </c>
      <c r="Q837">
        <v>2.96</v>
      </c>
      <c r="R837" t="s">
        <v>581</v>
      </c>
      <c r="S837" t="s">
        <v>126</v>
      </c>
      <c r="T837" t="s">
        <v>581</v>
      </c>
      <c r="U837" t="s">
        <v>582</v>
      </c>
      <c r="W837">
        <v>0.91</v>
      </c>
      <c r="X837">
        <v>2.0499999999999998</v>
      </c>
      <c r="Y837">
        <v>2.96</v>
      </c>
      <c r="Z837">
        <v>1.1299999999999999</v>
      </c>
      <c r="AG837">
        <v>0.91</v>
      </c>
      <c r="AI837">
        <v>0.92</v>
      </c>
      <c r="BH837" t="s">
        <v>126</v>
      </c>
      <c r="BI837" t="s">
        <v>126</v>
      </c>
      <c r="BJ837" t="s">
        <v>126</v>
      </c>
      <c r="BK837" t="s">
        <v>126</v>
      </c>
      <c r="BS837" t="s">
        <v>126</v>
      </c>
      <c r="BT837" t="s">
        <v>126</v>
      </c>
      <c r="BU837" t="s">
        <v>126</v>
      </c>
      <c r="BV837" t="s">
        <v>126</v>
      </c>
      <c r="CN837" t="s">
        <v>147</v>
      </c>
      <c r="CP837" t="s">
        <v>432</v>
      </c>
      <c r="CQ837" t="s">
        <v>147</v>
      </c>
    </row>
    <row r="838" spans="1:95" x14ac:dyDescent="0.2">
      <c r="A838" t="s">
        <v>115</v>
      </c>
      <c r="B838" t="s">
        <v>116</v>
      </c>
      <c r="C838">
        <v>210784</v>
      </c>
      <c r="E838" t="s">
        <v>117</v>
      </c>
      <c r="F838">
        <v>368</v>
      </c>
      <c r="G838" t="s">
        <v>141</v>
      </c>
      <c r="H838" t="s">
        <v>142</v>
      </c>
      <c r="I838" t="s">
        <v>279</v>
      </c>
      <c r="J838" t="s">
        <v>280</v>
      </c>
      <c r="L838" s="14">
        <v>45821</v>
      </c>
      <c r="M838" s="18">
        <f t="shared" si="15"/>
        <v>45809</v>
      </c>
      <c r="N838">
        <v>5736870</v>
      </c>
      <c r="O838" t="s">
        <v>123</v>
      </c>
      <c r="P838" t="s">
        <v>146</v>
      </c>
      <c r="Q838">
        <v>3.01</v>
      </c>
      <c r="R838" t="s">
        <v>710</v>
      </c>
      <c r="S838" t="s">
        <v>126</v>
      </c>
      <c r="T838" t="s">
        <v>710</v>
      </c>
      <c r="U838" t="s">
        <v>711</v>
      </c>
      <c r="W838">
        <v>0.93</v>
      </c>
      <c r="X838">
        <v>2.08</v>
      </c>
      <c r="Y838">
        <v>3.01</v>
      </c>
      <c r="Z838">
        <v>1.1399999999999999</v>
      </c>
      <c r="AG838">
        <v>0.93</v>
      </c>
      <c r="AI838">
        <v>0.94</v>
      </c>
      <c r="BH838" t="s">
        <v>126</v>
      </c>
      <c r="BI838" t="s">
        <v>126</v>
      </c>
      <c r="BJ838" t="s">
        <v>126</v>
      </c>
      <c r="BK838" t="s">
        <v>126</v>
      </c>
      <c r="BS838" t="s">
        <v>126</v>
      </c>
      <c r="BT838" t="s">
        <v>126</v>
      </c>
      <c r="BU838" t="s">
        <v>126</v>
      </c>
      <c r="BV838" t="s">
        <v>126</v>
      </c>
      <c r="CN838" t="s">
        <v>147</v>
      </c>
      <c r="CP838" t="s">
        <v>432</v>
      </c>
      <c r="CQ838" t="s">
        <v>147</v>
      </c>
    </row>
    <row r="839" spans="1:95" x14ac:dyDescent="0.2">
      <c r="A839" t="s">
        <v>115</v>
      </c>
      <c r="B839" t="s">
        <v>116</v>
      </c>
      <c r="C839">
        <v>210784</v>
      </c>
      <c r="E839" t="s">
        <v>117</v>
      </c>
      <c r="F839">
        <v>368</v>
      </c>
      <c r="G839" t="s">
        <v>141</v>
      </c>
      <c r="H839" t="s">
        <v>142</v>
      </c>
      <c r="I839" t="s">
        <v>279</v>
      </c>
      <c r="J839" t="s">
        <v>280</v>
      </c>
      <c r="L839" s="14">
        <v>45824</v>
      </c>
      <c r="M839" s="18">
        <f t="shared" si="15"/>
        <v>45809</v>
      </c>
      <c r="N839">
        <v>5737910</v>
      </c>
      <c r="O839" t="s">
        <v>123</v>
      </c>
      <c r="P839" t="s">
        <v>146</v>
      </c>
      <c r="Q839">
        <v>3.1099999999999994</v>
      </c>
      <c r="R839" t="s">
        <v>669</v>
      </c>
      <c r="S839" t="s">
        <v>126</v>
      </c>
      <c r="T839" t="s">
        <v>669</v>
      </c>
      <c r="U839" t="s">
        <v>670</v>
      </c>
      <c r="W839">
        <v>0.96</v>
      </c>
      <c r="X839">
        <v>2.15</v>
      </c>
      <c r="Y839">
        <v>3.1099999999999994</v>
      </c>
      <c r="Z839">
        <v>1.18</v>
      </c>
      <c r="AG839">
        <v>0.96</v>
      </c>
      <c r="AI839">
        <v>0.97</v>
      </c>
      <c r="BH839" t="s">
        <v>126</v>
      </c>
      <c r="BI839" t="s">
        <v>126</v>
      </c>
      <c r="BJ839" t="s">
        <v>126</v>
      </c>
      <c r="BK839" t="s">
        <v>126</v>
      </c>
      <c r="BS839" t="s">
        <v>126</v>
      </c>
      <c r="BT839" t="s">
        <v>126</v>
      </c>
      <c r="BU839" t="s">
        <v>126</v>
      </c>
      <c r="BV839" t="s">
        <v>126</v>
      </c>
      <c r="CN839" t="s">
        <v>147</v>
      </c>
      <c r="CP839" t="s">
        <v>432</v>
      </c>
      <c r="CQ839" t="s">
        <v>147</v>
      </c>
    </row>
    <row r="840" spans="1:95" x14ac:dyDescent="0.2">
      <c r="A840" t="s">
        <v>115</v>
      </c>
      <c r="B840" t="s">
        <v>116</v>
      </c>
      <c r="C840">
        <v>210784</v>
      </c>
      <c r="E840" t="s">
        <v>117</v>
      </c>
      <c r="F840">
        <v>368</v>
      </c>
      <c r="G840" t="s">
        <v>141</v>
      </c>
      <c r="H840" t="s">
        <v>142</v>
      </c>
      <c r="I840" t="s">
        <v>279</v>
      </c>
      <c r="J840" t="s">
        <v>280</v>
      </c>
      <c r="L840" s="14">
        <v>45824</v>
      </c>
      <c r="M840" s="18">
        <f t="shared" si="15"/>
        <v>45809</v>
      </c>
      <c r="N840">
        <v>5737709</v>
      </c>
      <c r="O840" t="s">
        <v>123</v>
      </c>
      <c r="P840" t="s">
        <v>146</v>
      </c>
      <c r="Q840">
        <v>2.23</v>
      </c>
      <c r="R840" t="s">
        <v>125</v>
      </c>
      <c r="S840" t="s">
        <v>126</v>
      </c>
      <c r="T840" t="s">
        <v>125</v>
      </c>
      <c r="U840" t="s">
        <v>126</v>
      </c>
      <c r="W840">
        <v>2.23</v>
      </c>
      <c r="Y840">
        <v>2.23</v>
      </c>
      <c r="BE840">
        <v>2.23</v>
      </c>
      <c r="BH840" t="s">
        <v>126</v>
      </c>
      <c r="BI840" t="s">
        <v>126</v>
      </c>
      <c r="BJ840" t="s">
        <v>126</v>
      </c>
      <c r="BK840" t="s">
        <v>126</v>
      </c>
      <c r="BS840" t="s">
        <v>126</v>
      </c>
      <c r="BT840" t="s">
        <v>126</v>
      </c>
      <c r="BU840" t="s">
        <v>126</v>
      </c>
      <c r="BV840" t="s">
        <v>126</v>
      </c>
      <c r="CN840" t="s">
        <v>147</v>
      </c>
      <c r="CP840" t="s">
        <v>432</v>
      </c>
      <c r="CQ840" t="s">
        <v>147</v>
      </c>
    </row>
    <row r="841" spans="1:95" x14ac:dyDescent="0.2">
      <c r="A841" t="s">
        <v>115</v>
      </c>
      <c r="B841" t="s">
        <v>116</v>
      </c>
      <c r="C841">
        <v>210784</v>
      </c>
      <c r="E841" t="s">
        <v>117</v>
      </c>
      <c r="F841">
        <v>368</v>
      </c>
      <c r="G841" t="s">
        <v>141</v>
      </c>
      <c r="H841" t="s">
        <v>142</v>
      </c>
      <c r="I841" t="s">
        <v>279</v>
      </c>
      <c r="J841" t="s">
        <v>280</v>
      </c>
      <c r="L841" s="14">
        <v>45825</v>
      </c>
      <c r="M841" s="18">
        <f t="shared" si="15"/>
        <v>45809</v>
      </c>
      <c r="N841">
        <v>5738575</v>
      </c>
      <c r="O841" t="s">
        <v>123</v>
      </c>
      <c r="P841" t="s">
        <v>146</v>
      </c>
      <c r="Q841">
        <v>2.73</v>
      </c>
      <c r="R841" t="s">
        <v>569</v>
      </c>
      <c r="S841" t="s">
        <v>126</v>
      </c>
      <c r="T841" t="s">
        <v>569</v>
      </c>
      <c r="U841" t="s">
        <v>570</v>
      </c>
      <c r="W841">
        <v>0.84</v>
      </c>
      <c r="X841">
        <v>1.8900000000000001</v>
      </c>
      <c r="Y841">
        <v>2.73</v>
      </c>
      <c r="Z841">
        <v>1.04</v>
      </c>
      <c r="AG841">
        <v>0.84</v>
      </c>
      <c r="AI841">
        <v>0.85</v>
      </c>
      <c r="BH841" t="s">
        <v>126</v>
      </c>
      <c r="BI841" t="s">
        <v>126</v>
      </c>
      <c r="BJ841" t="s">
        <v>126</v>
      </c>
      <c r="BK841" t="s">
        <v>126</v>
      </c>
      <c r="BS841" t="s">
        <v>126</v>
      </c>
      <c r="BT841" t="s">
        <v>126</v>
      </c>
      <c r="BU841" t="s">
        <v>126</v>
      </c>
      <c r="BV841" t="s">
        <v>126</v>
      </c>
      <c r="CN841" t="s">
        <v>147</v>
      </c>
      <c r="CP841" t="s">
        <v>432</v>
      </c>
      <c r="CQ841" t="s">
        <v>147</v>
      </c>
    </row>
    <row r="842" spans="1:95" x14ac:dyDescent="0.2">
      <c r="A842" t="s">
        <v>115</v>
      </c>
      <c r="B842" t="s">
        <v>116</v>
      </c>
      <c r="C842">
        <v>210784</v>
      </c>
      <c r="E842" t="s">
        <v>117</v>
      </c>
      <c r="F842">
        <v>368</v>
      </c>
      <c r="G842" t="s">
        <v>141</v>
      </c>
      <c r="H842" t="s">
        <v>142</v>
      </c>
      <c r="I842" t="s">
        <v>279</v>
      </c>
      <c r="J842" t="s">
        <v>280</v>
      </c>
      <c r="L842" s="14">
        <v>45825</v>
      </c>
      <c r="M842" s="18">
        <f t="shared" si="15"/>
        <v>45809</v>
      </c>
      <c r="N842">
        <v>5738630</v>
      </c>
      <c r="O842" t="s">
        <v>123</v>
      </c>
      <c r="P842" t="s">
        <v>146</v>
      </c>
      <c r="Q842">
        <v>4.3499999999999996</v>
      </c>
      <c r="R842" t="s">
        <v>592</v>
      </c>
      <c r="S842" t="s">
        <v>126</v>
      </c>
      <c r="T842" t="s">
        <v>592</v>
      </c>
      <c r="U842" t="s">
        <v>593</v>
      </c>
      <c r="W842">
        <v>1.34</v>
      </c>
      <c r="X842">
        <v>3.01</v>
      </c>
      <c r="Y842">
        <v>4.3499999999999996</v>
      </c>
      <c r="Z842">
        <v>1.66</v>
      </c>
      <c r="AG842">
        <v>1.34</v>
      </c>
      <c r="AI842">
        <v>1.35</v>
      </c>
      <c r="BH842" t="s">
        <v>126</v>
      </c>
      <c r="BI842" t="s">
        <v>126</v>
      </c>
      <c r="BJ842" t="s">
        <v>126</v>
      </c>
      <c r="BK842" t="s">
        <v>126</v>
      </c>
      <c r="BS842" t="s">
        <v>126</v>
      </c>
      <c r="BT842" t="s">
        <v>126</v>
      </c>
      <c r="BU842" t="s">
        <v>126</v>
      </c>
      <c r="BV842" t="s">
        <v>126</v>
      </c>
      <c r="CN842" t="s">
        <v>147</v>
      </c>
      <c r="CP842" t="s">
        <v>432</v>
      </c>
      <c r="CQ842" t="s">
        <v>147</v>
      </c>
    </row>
    <row r="843" spans="1:95" x14ac:dyDescent="0.2">
      <c r="A843" t="s">
        <v>115</v>
      </c>
      <c r="B843" t="s">
        <v>116</v>
      </c>
      <c r="C843">
        <v>210784</v>
      </c>
      <c r="E843" t="s">
        <v>117</v>
      </c>
      <c r="F843">
        <v>368</v>
      </c>
      <c r="G843" t="s">
        <v>141</v>
      </c>
      <c r="H843" t="s">
        <v>142</v>
      </c>
      <c r="I843" t="s">
        <v>279</v>
      </c>
      <c r="J843" t="s">
        <v>280</v>
      </c>
      <c r="L843" s="14">
        <v>45825</v>
      </c>
      <c r="M843" s="18">
        <f t="shared" ref="M843:M906" si="16">DATE(YEAR(L843), MONTH(L843), 1)</f>
        <v>45809</v>
      </c>
      <c r="N843">
        <v>5738629</v>
      </c>
      <c r="O843" t="s">
        <v>123</v>
      </c>
      <c r="P843" t="s">
        <v>146</v>
      </c>
      <c r="Q843">
        <v>1.49</v>
      </c>
      <c r="R843" t="s">
        <v>125</v>
      </c>
      <c r="S843" t="s">
        <v>126</v>
      </c>
      <c r="T843" t="s">
        <v>125</v>
      </c>
      <c r="U843" t="s">
        <v>126</v>
      </c>
      <c r="W843">
        <v>1.49</v>
      </c>
      <c r="Y843">
        <v>1.49</v>
      </c>
      <c r="BE843">
        <v>1.49</v>
      </c>
      <c r="BH843" t="s">
        <v>126</v>
      </c>
      <c r="BI843" t="s">
        <v>126</v>
      </c>
      <c r="BJ843" t="s">
        <v>126</v>
      </c>
      <c r="BK843" t="s">
        <v>126</v>
      </c>
      <c r="BS843" t="s">
        <v>126</v>
      </c>
      <c r="BT843" t="s">
        <v>126</v>
      </c>
      <c r="BU843" t="s">
        <v>126</v>
      </c>
      <c r="BV843" t="s">
        <v>126</v>
      </c>
      <c r="CN843" t="s">
        <v>147</v>
      </c>
      <c r="CP843" t="s">
        <v>432</v>
      </c>
      <c r="CQ843" t="s">
        <v>147</v>
      </c>
    </row>
    <row r="844" spans="1:95" x14ac:dyDescent="0.2">
      <c r="A844" t="s">
        <v>115</v>
      </c>
      <c r="B844" t="s">
        <v>116</v>
      </c>
      <c r="C844">
        <v>210784</v>
      </c>
      <c r="E844" t="s">
        <v>117</v>
      </c>
      <c r="F844">
        <v>368</v>
      </c>
      <c r="G844" t="s">
        <v>141</v>
      </c>
      <c r="H844" t="s">
        <v>142</v>
      </c>
      <c r="I844" t="s">
        <v>279</v>
      </c>
      <c r="J844" t="s">
        <v>280</v>
      </c>
      <c r="L844" s="14">
        <v>45826</v>
      </c>
      <c r="M844" s="18">
        <f t="shared" si="16"/>
        <v>45809</v>
      </c>
      <c r="N844">
        <v>5739363</v>
      </c>
      <c r="O844" t="s">
        <v>123</v>
      </c>
      <c r="P844" t="s">
        <v>146</v>
      </c>
      <c r="Q844">
        <v>2.0500000000000003</v>
      </c>
      <c r="R844" t="s">
        <v>673</v>
      </c>
      <c r="S844" t="s">
        <v>126</v>
      </c>
      <c r="T844" t="s">
        <v>673</v>
      </c>
      <c r="U844" t="s">
        <v>674</v>
      </c>
      <c r="W844">
        <v>0.63</v>
      </c>
      <c r="X844">
        <v>1.42</v>
      </c>
      <c r="Y844">
        <v>2.0500000000000003</v>
      </c>
      <c r="Z844">
        <v>0.78</v>
      </c>
      <c r="AG844">
        <v>0.63</v>
      </c>
      <c r="AI844">
        <v>0.64</v>
      </c>
      <c r="BH844" t="s">
        <v>126</v>
      </c>
      <c r="BI844" t="s">
        <v>126</v>
      </c>
      <c r="BJ844" t="s">
        <v>126</v>
      </c>
      <c r="BK844" t="s">
        <v>126</v>
      </c>
      <c r="BS844" t="s">
        <v>126</v>
      </c>
      <c r="BT844" t="s">
        <v>126</v>
      </c>
      <c r="BU844" t="s">
        <v>126</v>
      </c>
      <c r="BV844" t="s">
        <v>126</v>
      </c>
      <c r="CN844" t="s">
        <v>147</v>
      </c>
      <c r="CP844" t="s">
        <v>432</v>
      </c>
      <c r="CQ844" t="s">
        <v>147</v>
      </c>
    </row>
    <row r="845" spans="1:95" x14ac:dyDescent="0.2">
      <c r="A845" t="s">
        <v>115</v>
      </c>
      <c r="B845" t="s">
        <v>116</v>
      </c>
      <c r="C845">
        <v>210784</v>
      </c>
      <c r="E845" t="s">
        <v>117</v>
      </c>
      <c r="F845">
        <v>368</v>
      </c>
      <c r="G845" t="s">
        <v>141</v>
      </c>
      <c r="H845" t="s">
        <v>142</v>
      </c>
      <c r="I845" t="s">
        <v>519</v>
      </c>
      <c r="J845" t="s">
        <v>520</v>
      </c>
      <c r="L845" s="14">
        <v>45827</v>
      </c>
      <c r="M845" s="18">
        <f t="shared" si="16"/>
        <v>45809</v>
      </c>
      <c r="N845">
        <v>610172</v>
      </c>
      <c r="O845" t="s">
        <v>123</v>
      </c>
      <c r="P845" t="s">
        <v>146</v>
      </c>
      <c r="Q845">
        <v>4.3</v>
      </c>
      <c r="R845" t="s">
        <v>125</v>
      </c>
      <c r="S845" t="s">
        <v>126</v>
      </c>
      <c r="T845" t="s">
        <v>125</v>
      </c>
      <c r="U845" t="s">
        <v>126</v>
      </c>
      <c r="W845">
        <v>4.3</v>
      </c>
      <c r="Y845">
        <v>4.3</v>
      </c>
      <c r="AF845">
        <v>4.3</v>
      </c>
      <c r="BH845" t="s">
        <v>126</v>
      </c>
      <c r="BI845" t="s">
        <v>126</v>
      </c>
      <c r="BJ845" t="s">
        <v>126</v>
      </c>
      <c r="BK845" t="s">
        <v>126</v>
      </c>
      <c r="BS845" t="s">
        <v>126</v>
      </c>
      <c r="BT845" t="s">
        <v>126</v>
      </c>
      <c r="BU845" t="s">
        <v>126</v>
      </c>
      <c r="BV845" t="s">
        <v>126</v>
      </c>
      <c r="CN845" t="s">
        <v>147</v>
      </c>
      <c r="CP845" t="s">
        <v>432</v>
      </c>
      <c r="CQ845" t="s">
        <v>147</v>
      </c>
    </row>
    <row r="846" spans="1:95" x14ac:dyDescent="0.2">
      <c r="A846" t="s">
        <v>115</v>
      </c>
      <c r="B846" t="s">
        <v>116</v>
      </c>
      <c r="C846">
        <v>210784</v>
      </c>
      <c r="E846" t="s">
        <v>117</v>
      </c>
      <c r="F846">
        <v>368</v>
      </c>
      <c r="G846" t="s">
        <v>141</v>
      </c>
      <c r="H846" t="s">
        <v>142</v>
      </c>
      <c r="I846" t="s">
        <v>279</v>
      </c>
      <c r="J846" t="s">
        <v>280</v>
      </c>
      <c r="L846" s="14">
        <v>45827</v>
      </c>
      <c r="M846" s="18">
        <f t="shared" si="16"/>
        <v>45809</v>
      </c>
      <c r="N846">
        <v>5740145</v>
      </c>
      <c r="O846" t="s">
        <v>123</v>
      </c>
      <c r="P846" t="s">
        <v>146</v>
      </c>
      <c r="Q846">
        <v>4.4800000000000004</v>
      </c>
      <c r="R846" t="s">
        <v>592</v>
      </c>
      <c r="S846" t="s">
        <v>126</v>
      </c>
      <c r="T846" t="s">
        <v>592</v>
      </c>
      <c r="U846" t="s">
        <v>593</v>
      </c>
      <c r="W846">
        <v>1.38</v>
      </c>
      <c r="X846">
        <v>3.0999999999999996</v>
      </c>
      <c r="Y846">
        <v>4.4800000000000004</v>
      </c>
      <c r="Z846">
        <v>1.7</v>
      </c>
      <c r="AG846">
        <v>1.38</v>
      </c>
      <c r="AI846">
        <v>1.4</v>
      </c>
      <c r="BH846" t="s">
        <v>126</v>
      </c>
      <c r="BI846" t="s">
        <v>126</v>
      </c>
      <c r="BJ846" t="s">
        <v>126</v>
      </c>
      <c r="BK846" t="s">
        <v>126</v>
      </c>
      <c r="BS846" t="s">
        <v>126</v>
      </c>
      <c r="BT846" t="s">
        <v>126</v>
      </c>
      <c r="BU846" t="s">
        <v>126</v>
      </c>
      <c r="BV846" t="s">
        <v>126</v>
      </c>
      <c r="CN846" t="s">
        <v>147</v>
      </c>
      <c r="CP846" t="s">
        <v>432</v>
      </c>
      <c r="CQ846" t="s">
        <v>147</v>
      </c>
    </row>
    <row r="847" spans="1:95" x14ac:dyDescent="0.2">
      <c r="A847" t="s">
        <v>115</v>
      </c>
      <c r="B847" t="s">
        <v>116</v>
      </c>
      <c r="C847">
        <v>210784</v>
      </c>
      <c r="E847" t="s">
        <v>117</v>
      </c>
      <c r="F847">
        <v>368</v>
      </c>
      <c r="G847" t="s">
        <v>141</v>
      </c>
      <c r="H847" t="s">
        <v>142</v>
      </c>
      <c r="I847" t="s">
        <v>279</v>
      </c>
      <c r="J847" t="s">
        <v>280</v>
      </c>
      <c r="L847" s="14">
        <v>45827</v>
      </c>
      <c r="M847" s="18">
        <f t="shared" si="16"/>
        <v>45809</v>
      </c>
      <c r="N847">
        <v>5740130</v>
      </c>
      <c r="O847" t="s">
        <v>123</v>
      </c>
      <c r="P847" t="s">
        <v>146</v>
      </c>
      <c r="Q847">
        <v>0.83</v>
      </c>
      <c r="R847" t="s">
        <v>125</v>
      </c>
      <c r="S847" t="s">
        <v>126</v>
      </c>
      <c r="T847" t="s">
        <v>125</v>
      </c>
      <c r="U847" t="s">
        <v>126</v>
      </c>
      <c r="W847">
        <v>0.83</v>
      </c>
      <c r="Y847">
        <v>0.83</v>
      </c>
      <c r="BE847">
        <v>0.83</v>
      </c>
      <c r="BH847" t="s">
        <v>126</v>
      </c>
      <c r="BI847" t="s">
        <v>126</v>
      </c>
      <c r="BJ847" t="s">
        <v>126</v>
      </c>
      <c r="BK847" t="s">
        <v>126</v>
      </c>
      <c r="BS847" t="s">
        <v>126</v>
      </c>
      <c r="BT847" t="s">
        <v>126</v>
      </c>
      <c r="BU847" t="s">
        <v>126</v>
      </c>
      <c r="BV847" t="s">
        <v>126</v>
      </c>
      <c r="CN847" t="s">
        <v>147</v>
      </c>
      <c r="CP847" t="s">
        <v>432</v>
      </c>
      <c r="CQ847" t="s">
        <v>147</v>
      </c>
    </row>
    <row r="848" spans="1:95" x14ac:dyDescent="0.2">
      <c r="A848" t="s">
        <v>115</v>
      </c>
      <c r="B848" t="s">
        <v>116</v>
      </c>
      <c r="C848">
        <v>210784</v>
      </c>
      <c r="E848" t="s">
        <v>117</v>
      </c>
      <c r="F848">
        <v>368</v>
      </c>
      <c r="G848" t="s">
        <v>141</v>
      </c>
      <c r="H848" t="s">
        <v>142</v>
      </c>
      <c r="I848" t="s">
        <v>279</v>
      </c>
      <c r="J848" t="s">
        <v>280</v>
      </c>
      <c r="L848" s="14">
        <v>45828</v>
      </c>
      <c r="M848" s="18">
        <f t="shared" si="16"/>
        <v>45809</v>
      </c>
      <c r="N848">
        <v>5740779</v>
      </c>
      <c r="O848" t="s">
        <v>123</v>
      </c>
      <c r="P848" t="s">
        <v>146</v>
      </c>
      <c r="Q848">
        <v>2.02</v>
      </c>
      <c r="R848" t="s">
        <v>586</v>
      </c>
      <c r="S848" t="s">
        <v>126</v>
      </c>
      <c r="T848" t="s">
        <v>586</v>
      </c>
      <c r="U848" t="s">
        <v>587</v>
      </c>
      <c r="W848">
        <v>0.62</v>
      </c>
      <c r="X848">
        <v>1.4</v>
      </c>
      <c r="Y848">
        <v>2.02</v>
      </c>
      <c r="Z848">
        <v>0.77</v>
      </c>
      <c r="AG848">
        <v>0.62</v>
      </c>
      <c r="AI848">
        <v>0.63</v>
      </c>
      <c r="BH848" t="s">
        <v>126</v>
      </c>
      <c r="BI848" t="s">
        <v>126</v>
      </c>
      <c r="BJ848" t="s">
        <v>126</v>
      </c>
      <c r="BK848" t="s">
        <v>126</v>
      </c>
      <c r="BS848" t="s">
        <v>126</v>
      </c>
      <c r="BT848" t="s">
        <v>126</v>
      </c>
      <c r="BU848" t="s">
        <v>126</v>
      </c>
      <c r="BV848" t="s">
        <v>126</v>
      </c>
      <c r="CN848" t="s">
        <v>147</v>
      </c>
      <c r="CP848" t="s">
        <v>432</v>
      </c>
      <c r="CQ848" t="s">
        <v>147</v>
      </c>
    </row>
    <row r="849" spans="1:95" x14ac:dyDescent="0.2">
      <c r="A849" t="s">
        <v>115</v>
      </c>
      <c r="B849" t="s">
        <v>116</v>
      </c>
      <c r="C849">
        <v>210784</v>
      </c>
      <c r="E849" t="s">
        <v>117</v>
      </c>
      <c r="F849">
        <v>368</v>
      </c>
      <c r="G849" t="s">
        <v>141</v>
      </c>
      <c r="H849" t="s">
        <v>142</v>
      </c>
      <c r="I849" t="s">
        <v>279</v>
      </c>
      <c r="J849" t="s">
        <v>280</v>
      </c>
      <c r="L849" s="14">
        <v>45828</v>
      </c>
      <c r="M849" s="18">
        <f t="shared" si="16"/>
        <v>45809</v>
      </c>
      <c r="N849">
        <v>5740896</v>
      </c>
      <c r="O849" t="s">
        <v>123</v>
      </c>
      <c r="P849" t="s">
        <v>146</v>
      </c>
      <c r="Q849">
        <v>4.42</v>
      </c>
      <c r="R849" t="s">
        <v>569</v>
      </c>
      <c r="S849" t="s">
        <v>126</v>
      </c>
      <c r="T849" t="s">
        <v>569</v>
      </c>
      <c r="U849" t="s">
        <v>570</v>
      </c>
      <c r="W849">
        <v>1.36</v>
      </c>
      <c r="X849">
        <v>3.0599999999999996</v>
      </c>
      <c r="Y849">
        <v>4.42</v>
      </c>
      <c r="Z849">
        <v>1.68</v>
      </c>
      <c r="AG849">
        <v>1.36</v>
      </c>
      <c r="AI849">
        <v>1.38</v>
      </c>
      <c r="BH849" t="s">
        <v>126</v>
      </c>
      <c r="BI849" t="s">
        <v>126</v>
      </c>
      <c r="BJ849" t="s">
        <v>126</v>
      </c>
      <c r="BK849" t="s">
        <v>126</v>
      </c>
      <c r="BS849" t="s">
        <v>126</v>
      </c>
      <c r="BT849" t="s">
        <v>126</v>
      </c>
      <c r="BU849" t="s">
        <v>126</v>
      </c>
      <c r="BV849" t="s">
        <v>126</v>
      </c>
      <c r="CN849" t="s">
        <v>147</v>
      </c>
      <c r="CP849" t="s">
        <v>432</v>
      </c>
      <c r="CQ849" t="s">
        <v>147</v>
      </c>
    </row>
    <row r="850" spans="1:95" x14ac:dyDescent="0.2">
      <c r="A850" t="s">
        <v>115</v>
      </c>
      <c r="B850" t="s">
        <v>116</v>
      </c>
      <c r="C850">
        <v>210784</v>
      </c>
      <c r="E850" t="s">
        <v>117</v>
      </c>
      <c r="F850">
        <v>368</v>
      </c>
      <c r="G850" t="s">
        <v>141</v>
      </c>
      <c r="H850" t="s">
        <v>142</v>
      </c>
      <c r="I850" t="s">
        <v>279</v>
      </c>
      <c r="J850" t="s">
        <v>280</v>
      </c>
      <c r="L850" s="14">
        <v>45831</v>
      </c>
      <c r="M850" s="18">
        <f t="shared" si="16"/>
        <v>45809</v>
      </c>
      <c r="N850">
        <v>5741389</v>
      </c>
      <c r="O850" t="s">
        <v>123</v>
      </c>
      <c r="P850" t="s">
        <v>146</v>
      </c>
      <c r="Q850">
        <v>3.6599999999999993</v>
      </c>
      <c r="R850" t="s">
        <v>669</v>
      </c>
      <c r="S850" t="s">
        <v>126</v>
      </c>
      <c r="T850" t="s">
        <v>669</v>
      </c>
      <c r="U850" t="s">
        <v>670</v>
      </c>
      <c r="W850">
        <v>1.1299999999999999</v>
      </c>
      <c r="X850">
        <v>2.5299999999999998</v>
      </c>
      <c r="Y850">
        <v>3.6599999999999993</v>
      </c>
      <c r="Z850">
        <v>1.39</v>
      </c>
      <c r="AG850">
        <v>1.1299999999999999</v>
      </c>
      <c r="AI850">
        <v>1.1399999999999999</v>
      </c>
      <c r="BH850" t="s">
        <v>126</v>
      </c>
      <c r="BI850" t="s">
        <v>126</v>
      </c>
      <c r="BJ850" t="s">
        <v>126</v>
      </c>
      <c r="BK850" t="s">
        <v>126</v>
      </c>
      <c r="BS850" t="s">
        <v>126</v>
      </c>
      <c r="BT850" t="s">
        <v>126</v>
      </c>
      <c r="BU850" t="s">
        <v>126</v>
      </c>
      <c r="BV850" t="s">
        <v>126</v>
      </c>
      <c r="CN850" t="s">
        <v>147</v>
      </c>
      <c r="CP850" t="s">
        <v>432</v>
      </c>
      <c r="CQ850" t="s">
        <v>147</v>
      </c>
    </row>
    <row r="851" spans="1:95" x14ac:dyDescent="0.2">
      <c r="A851" t="s">
        <v>115</v>
      </c>
      <c r="B851" t="s">
        <v>116</v>
      </c>
      <c r="C851">
        <v>210784</v>
      </c>
      <c r="E851" t="s">
        <v>117</v>
      </c>
      <c r="F851">
        <v>368</v>
      </c>
      <c r="G851" t="s">
        <v>141</v>
      </c>
      <c r="H851" t="s">
        <v>142</v>
      </c>
      <c r="I851" t="s">
        <v>279</v>
      </c>
      <c r="J851" t="s">
        <v>280</v>
      </c>
      <c r="L851" s="14">
        <v>45831</v>
      </c>
      <c r="M851" s="18">
        <f t="shared" si="16"/>
        <v>45809</v>
      </c>
      <c r="N851">
        <v>5741708</v>
      </c>
      <c r="O851" t="s">
        <v>123</v>
      </c>
      <c r="P851" t="s">
        <v>146</v>
      </c>
      <c r="Q851">
        <v>2.68</v>
      </c>
      <c r="R851" t="s">
        <v>707</v>
      </c>
      <c r="S851" t="s">
        <v>126</v>
      </c>
      <c r="T851" t="s">
        <v>707</v>
      </c>
      <c r="U851" t="s">
        <v>708</v>
      </c>
      <c r="W851">
        <v>0.83</v>
      </c>
      <c r="X851">
        <v>1.85</v>
      </c>
      <c r="Y851">
        <v>2.68</v>
      </c>
      <c r="Z851">
        <v>1.02</v>
      </c>
      <c r="AG851">
        <v>0.83</v>
      </c>
      <c r="AI851">
        <v>0.83</v>
      </c>
      <c r="BH851" t="s">
        <v>126</v>
      </c>
      <c r="BI851" t="s">
        <v>126</v>
      </c>
      <c r="BJ851" t="s">
        <v>126</v>
      </c>
      <c r="BK851" t="s">
        <v>126</v>
      </c>
      <c r="BS851" t="s">
        <v>126</v>
      </c>
      <c r="BT851" t="s">
        <v>126</v>
      </c>
      <c r="BU851" t="s">
        <v>126</v>
      </c>
      <c r="BV851" t="s">
        <v>126</v>
      </c>
      <c r="CN851" t="s">
        <v>147</v>
      </c>
      <c r="CP851" t="s">
        <v>432</v>
      </c>
      <c r="CQ851" t="s">
        <v>147</v>
      </c>
    </row>
    <row r="852" spans="1:95" x14ac:dyDescent="0.2">
      <c r="A852" t="s">
        <v>115</v>
      </c>
      <c r="B852" t="s">
        <v>116</v>
      </c>
      <c r="C852">
        <v>210784</v>
      </c>
      <c r="E852" t="s">
        <v>117</v>
      </c>
      <c r="F852">
        <v>368</v>
      </c>
      <c r="G852" t="s">
        <v>141</v>
      </c>
      <c r="H852" t="s">
        <v>142</v>
      </c>
      <c r="I852" t="s">
        <v>279</v>
      </c>
      <c r="J852" t="s">
        <v>280</v>
      </c>
      <c r="L852" s="14">
        <v>45831</v>
      </c>
      <c r="M852" s="18">
        <f t="shared" si="16"/>
        <v>45809</v>
      </c>
      <c r="N852">
        <v>5741558</v>
      </c>
      <c r="O852" t="s">
        <v>123</v>
      </c>
      <c r="P852" t="s">
        <v>146</v>
      </c>
      <c r="Q852">
        <v>5.46</v>
      </c>
      <c r="R852" t="s">
        <v>125</v>
      </c>
      <c r="S852" t="s">
        <v>126</v>
      </c>
      <c r="T852" t="s">
        <v>125</v>
      </c>
      <c r="U852" t="s">
        <v>126</v>
      </c>
      <c r="W852">
        <v>5.46</v>
      </c>
      <c r="Y852">
        <v>5.46</v>
      </c>
      <c r="BE852">
        <v>5.46</v>
      </c>
      <c r="BH852" t="s">
        <v>126</v>
      </c>
      <c r="BI852" t="s">
        <v>126</v>
      </c>
      <c r="BJ852" t="s">
        <v>126</v>
      </c>
      <c r="BK852" t="s">
        <v>126</v>
      </c>
      <c r="BS852" t="s">
        <v>126</v>
      </c>
      <c r="BT852" t="s">
        <v>126</v>
      </c>
      <c r="BU852" t="s">
        <v>126</v>
      </c>
      <c r="BV852" t="s">
        <v>126</v>
      </c>
      <c r="CN852" t="s">
        <v>147</v>
      </c>
      <c r="CP852" t="s">
        <v>432</v>
      </c>
      <c r="CQ852" t="s">
        <v>147</v>
      </c>
    </row>
    <row r="853" spans="1:95" x14ac:dyDescent="0.2">
      <c r="A853" t="s">
        <v>115</v>
      </c>
      <c r="B853" t="s">
        <v>116</v>
      </c>
      <c r="C853">
        <v>210784</v>
      </c>
      <c r="E853" t="s">
        <v>117</v>
      </c>
      <c r="F853">
        <v>368</v>
      </c>
      <c r="G853" t="s">
        <v>141</v>
      </c>
      <c r="H853" t="s">
        <v>142</v>
      </c>
      <c r="I853" t="s">
        <v>279</v>
      </c>
      <c r="J853" t="s">
        <v>280</v>
      </c>
      <c r="L853" s="14">
        <v>45831</v>
      </c>
      <c r="M853" s="18">
        <f t="shared" si="16"/>
        <v>45809</v>
      </c>
      <c r="N853">
        <v>5741918</v>
      </c>
      <c r="O853" t="s">
        <v>123</v>
      </c>
      <c r="P853" t="s">
        <v>146</v>
      </c>
      <c r="Q853">
        <v>2.06</v>
      </c>
      <c r="R853" t="s">
        <v>125</v>
      </c>
      <c r="S853" t="s">
        <v>126</v>
      </c>
      <c r="T853" t="s">
        <v>125</v>
      </c>
      <c r="U853" t="s">
        <v>126</v>
      </c>
      <c r="W853">
        <v>2.06</v>
      </c>
      <c r="Y853">
        <v>2.06</v>
      </c>
      <c r="BE853">
        <v>2.06</v>
      </c>
      <c r="BH853" t="s">
        <v>126</v>
      </c>
      <c r="BI853" t="s">
        <v>126</v>
      </c>
      <c r="BJ853" t="s">
        <v>126</v>
      </c>
      <c r="BK853" t="s">
        <v>126</v>
      </c>
      <c r="BS853" t="s">
        <v>126</v>
      </c>
      <c r="BT853" t="s">
        <v>126</v>
      </c>
      <c r="BU853" t="s">
        <v>126</v>
      </c>
      <c r="BV853" t="s">
        <v>126</v>
      </c>
      <c r="CN853" t="s">
        <v>147</v>
      </c>
      <c r="CP853" t="s">
        <v>432</v>
      </c>
      <c r="CQ853" t="s">
        <v>147</v>
      </c>
    </row>
    <row r="854" spans="1:95" x14ac:dyDescent="0.2">
      <c r="A854" t="s">
        <v>115</v>
      </c>
      <c r="B854" t="s">
        <v>116</v>
      </c>
      <c r="C854">
        <v>210784</v>
      </c>
      <c r="E854" t="s">
        <v>117</v>
      </c>
      <c r="F854">
        <v>368</v>
      </c>
      <c r="G854" t="s">
        <v>141</v>
      </c>
      <c r="H854" t="s">
        <v>142</v>
      </c>
      <c r="I854" t="s">
        <v>279</v>
      </c>
      <c r="J854" t="s">
        <v>280</v>
      </c>
      <c r="L854" s="14">
        <v>45832</v>
      </c>
      <c r="M854" s="18">
        <f t="shared" si="16"/>
        <v>45809</v>
      </c>
      <c r="N854">
        <v>5742457</v>
      </c>
      <c r="O854" t="s">
        <v>123</v>
      </c>
      <c r="P854" t="s">
        <v>146</v>
      </c>
      <c r="Q854">
        <v>4.8100000000000005</v>
      </c>
      <c r="R854" t="s">
        <v>569</v>
      </c>
      <c r="S854" t="s">
        <v>126</v>
      </c>
      <c r="T854" t="s">
        <v>569</v>
      </c>
      <c r="U854" t="s">
        <v>570</v>
      </c>
      <c r="W854">
        <v>1.48</v>
      </c>
      <c r="X854">
        <v>3.33</v>
      </c>
      <c r="Y854">
        <v>4.8100000000000005</v>
      </c>
      <c r="Z854">
        <v>1.83</v>
      </c>
      <c r="AG854">
        <v>1.48</v>
      </c>
      <c r="AI854">
        <v>1.5</v>
      </c>
      <c r="BH854" t="s">
        <v>126</v>
      </c>
      <c r="BI854" t="s">
        <v>126</v>
      </c>
      <c r="BJ854" t="s">
        <v>126</v>
      </c>
      <c r="BK854" t="s">
        <v>126</v>
      </c>
      <c r="BS854" t="s">
        <v>126</v>
      </c>
      <c r="BT854" t="s">
        <v>126</v>
      </c>
      <c r="BU854" t="s">
        <v>126</v>
      </c>
      <c r="BV854" t="s">
        <v>126</v>
      </c>
      <c r="CN854" t="s">
        <v>147</v>
      </c>
      <c r="CP854" t="s">
        <v>432</v>
      </c>
      <c r="CQ854" t="s">
        <v>147</v>
      </c>
    </row>
    <row r="855" spans="1:95" x14ac:dyDescent="0.2">
      <c r="A855" t="s">
        <v>115</v>
      </c>
      <c r="B855" t="s">
        <v>116</v>
      </c>
      <c r="C855">
        <v>210784</v>
      </c>
      <c r="E855" t="s">
        <v>117</v>
      </c>
      <c r="F855">
        <v>368</v>
      </c>
      <c r="G855" t="s">
        <v>141</v>
      </c>
      <c r="H855" t="s">
        <v>142</v>
      </c>
      <c r="I855" t="s">
        <v>279</v>
      </c>
      <c r="J855" t="s">
        <v>280</v>
      </c>
      <c r="L855" s="14">
        <v>45832</v>
      </c>
      <c r="M855" s="18">
        <f t="shared" si="16"/>
        <v>45809</v>
      </c>
      <c r="N855">
        <v>5742672</v>
      </c>
      <c r="O855" t="s">
        <v>123</v>
      </c>
      <c r="P855" t="s">
        <v>146</v>
      </c>
      <c r="Q855">
        <v>0.48</v>
      </c>
      <c r="R855" t="s">
        <v>125</v>
      </c>
      <c r="S855" t="s">
        <v>126</v>
      </c>
      <c r="T855" t="s">
        <v>125</v>
      </c>
      <c r="U855" t="s">
        <v>126</v>
      </c>
      <c r="W855">
        <v>0.48</v>
      </c>
      <c r="Y855">
        <v>0.48</v>
      </c>
      <c r="BE855">
        <v>0.48</v>
      </c>
      <c r="BH855" t="s">
        <v>126</v>
      </c>
      <c r="BI855" t="s">
        <v>126</v>
      </c>
      <c r="BJ855" t="s">
        <v>126</v>
      </c>
      <c r="BK855" t="s">
        <v>126</v>
      </c>
      <c r="BS855" t="s">
        <v>126</v>
      </c>
      <c r="BT855" t="s">
        <v>126</v>
      </c>
      <c r="BU855" t="s">
        <v>126</v>
      </c>
      <c r="BV855" t="s">
        <v>126</v>
      </c>
      <c r="CN855" t="s">
        <v>147</v>
      </c>
      <c r="CP855" t="s">
        <v>432</v>
      </c>
      <c r="CQ855" t="s">
        <v>147</v>
      </c>
    </row>
    <row r="856" spans="1:95" x14ac:dyDescent="0.2">
      <c r="A856" t="s">
        <v>115</v>
      </c>
      <c r="B856" t="s">
        <v>116</v>
      </c>
      <c r="C856">
        <v>210784</v>
      </c>
      <c r="E856" t="s">
        <v>117</v>
      </c>
      <c r="F856">
        <v>368</v>
      </c>
      <c r="G856" t="s">
        <v>141</v>
      </c>
      <c r="H856" t="s">
        <v>142</v>
      </c>
      <c r="I856" t="s">
        <v>279</v>
      </c>
      <c r="J856" t="s">
        <v>280</v>
      </c>
      <c r="L856" s="14">
        <v>45833</v>
      </c>
      <c r="M856" s="18">
        <f t="shared" si="16"/>
        <v>45809</v>
      </c>
      <c r="N856">
        <v>5743498</v>
      </c>
      <c r="O856" t="s">
        <v>123</v>
      </c>
      <c r="P856" t="s">
        <v>146</v>
      </c>
      <c r="Q856">
        <v>4.25</v>
      </c>
      <c r="R856" t="s">
        <v>125</v>
      </c>
      <c r="S856" t="s">
        <v>126</v>
      </c>
      <c r="T856" t="s">
        <v>125</v>
      </c>
      <c r="U856" t="s">
        <v>126</v>
      </c>
      <c r="W856">
        <v>4.25</v>
      </c>
      <c r="Y856">
        <v>4.25</v>
      </c>
      <c r="AS856">
        <v>4.25</v>
      </c>
      <c r="BH856" t="s">
        <v>126</v>
      </c>
      <c r="BI856" t="s">
        <v>126</v>
      </c>
      <c r="BJ856" t="s">
        <v>126</v>
      </c>
      <c r="BK856" t="s">
        <v>126</v>
      </c>
      <c r="BS856" t="s">
        <v>126</v>
      </c>
      <c r="BT856" t="s">
        <v>126</v>
      </c>
      <c r="BU856" t="s">
        <v>126</v>
      </c>
      <c r="BV856" t="s">
        <v>126</v>
      </c>
      <c r="CN856" t="s">
        <v>147</v>
      </c>
      <c r="CP856" t="s">
        <v>431</v>
      </c>
      <c r="CQ856" t="s">
        <v>147</v>
      </c>
    </row>
    <row r="857" spans="1:95" x14ac:dyDescent="0.2">
      <c r="A857" t="s">
        <v>115</v>
      </c>
      <c r="B857" t="s">
        <v>116</v>
      </c>
      <c r="C857">
        <v>210784</v>
      </c>
      <c r="E857" t="s">
        <v>117</v>
      </c>
      <c r="F857">
        <v>368</v>
      </c>
      <c r="G857" t="s">
        <v>141</v>
      </c>
      <c r="H857" t="s">
        <v>142</v>
      </c>
      <c r="I857" t="s">
        <v>279</v>
      </c>
      <c r="J857" t="s">
        <v>280</v>
      </c>
      <c r="L857" s="14">
        <v>45833</v>
      </c>
      <c r="M857" s="18">
        <f t="shared" si="16"/>
        <v>45809</v>
      </c>
      <c r="N857">
        <v>5743014</v>
      </c>
      <c r="O857" t="s">
        <v>123</v>
      </c>
      <c r="P857" t="s">
        <v>146</v>
      </c>
      <c r="Q857">
        <v>2.72</v>
      </c>
      <c r="R857" t="s">
        <v>635</v>
      </c>
      <c r="S857" t="s">
        <v>126</v>
      </c>
      <c r="T857" t="s">
        <v>635</v>
      </c>
      <c r="U857" t="s">
        <v>636</v>
      </c>
      <c r="W857">
        <v>0.84</v>
      </c>
      <c r="X857">
        <v>1.88</v>
      </c>
      <c r="Y857">
        <v>2.72</v>
      </c>
      <c r="Z857">
        <v>1.03</v>
      </c>
      <c r="AG857">
        <v>0.84</v>
      </c>
      <c r="AI857">
        <v>0.85</v>
      </c>
      <c r="BH857" t="s">
        <v>126</v>
      </c>
      <c r="BI857" t="s">
        <v>126</v>
      </c>
      <c r="BJ857" t="s">
        <v>126</v>
      </c>
      <c r="BK857" t="s">
        <v>126</v>
      </c>
      <c r="BS857" t="s">
        <v>126</v>
      </c>
      <c r="BT857" t="s">
        <v>126</v>
      </c>
      <c r="BU857" t="s">
        <v>126</v>
      </c>
      <c r="BV857" t="s">
        <v>126</v>
      </c>
      <c r="CN857" t="s">
        <v>147</v>
      </c>
      <c r="CP857" t="s">
        <v>431</v>
      </c>
      <c r="CQ857" t="s">
        <v>147</v>
      </c>
    </row>
    <row r="858" spans="1:95" x14ac:dyDescent="0.2">
      <c r="A858" t="s">
        <v>115</v>
      </c>
      <c r="B858" t="s">
        <v>116</v>
      </c>
      <c r="C858">
        <v>210784</v>
      </c>
      <c r="E858" t="s">
        <v>117</v>
      </c>
      <c r="F858">
        <v>368</v>
      </c>
      <c r="G858" t="s">
        <v>141</v>
      </c>
      <c r="H858" t="s">
        <v>142</v>
      </c>
      <c r="I858" t="s">
        <v>279</v>
      </c>
      <c r="J858" t="s">
        <v>280</v>
      </c>
      <c r="L858" s="14">
        <v>45834</v>
      </c>
      <c r="M858" s="18">
        <f t="shared" si="16"/>
        <v>45809</v>
      </c>
      <c r="N858">
        <v>5744142</v>
      </c>
      <c r="O858" t="s">
        <v>123</v>
      </c>
      <c r="P858" t="s">
        <v>146</v>
      </c>
      <c r="Q858">
        <v>2.84</v>
      </c>
      <c r="R858" t="s">
        <v>562</v>
      </c>
      <c r="S858" t="s">
        <v>126</v>
      </c>
      <c r="T858" t="s">
        <v>562</v>
      </c>
      <c r="U858" t="s">
        <v>563</v>
      </c>
      <c r="W858">
        <v>0.88</v>
      </c>
      <c r="X858">
        <v>1.96</v>
      </c>
      <c r="Y858">
        <v>2.84</v>
      </c>
      <c r="Z858">
        <v>1.08</v>
      </c>
      <c r="AG858">
        <v>0.88</v>
      </c>
      <c r="AI858">
        <v>0.88</v>
      </c>
      <c r="BH858" t="s">
        <v>126</v>
      </c>
      <c r="BI858" t="s">
        <v>126</v>
      </c>
      <c r="BJ858" t="s">
        <v>126</v>
      </c>
      <c r="BK858" t="s">
        <v>126</v>
      </c>
      <c r="BS858" t="s">
        <v>126</v>
      </c>
      <c r="BT858" t="s">
        <v>126</v>
      </c>
      <c r="BU858" t="s">
        <v>126</v>
      </c>
      <c r="BV858" t="s">
        <v>126</v>
      </c>
      <c r="CN858" t="s">
        <v>147</v>
      </c>
      <c r="CP858" t="s">
        <v>431</v>
      </c>
      <c r="CQ858" t="s">
        <v>147</v>
      </c>
    </row>
    <row r="859" spans="1:95" x14ac:dyDescent="0.2">
      <c r="A859" t="s">
        <v>115</v>
      </c>
      <c r="B859" t="s">
        <v>116</v>
      </c>
      <c r="C859">
        <v>210784</v>
      </c>
      <c r="E859" t="s">
        <v>117</v>
      </c>
      <c r="F859">
        <v>368</v>
      </c>
      <c r="G859" t="s">
        <v>141</v>
      </c>
      <c r="H859" t="s">
        <v>142</v>
      </c>
      <c r="I859" t="s">
        <v>279</v>
      </c>
      <c r="J859" t="s">
        <v>280</v>
      </c>
      <c r="L859" s="14">
        <v>45834</v>
      </c>
      <c r="M859" s="18">
        <f t="shared" si="16"/>
        <v>45809</v>
      </c>
      <c r="N859">
        <v>5744141</v>
      </c>
      <c r="O859" t="s">
        <v>123</v>
      </c>
      <c r="P859" t="s">
        <v>146</v>
      </c>
      <c r="Q859">
        <v>1.86</v>
      </c>
      <c r="R859" t="s">
        <v>125</v>
      </c>
      <c r="S859" t="s">
        <v>126</v>
      </c>
      <c r="T859" t="s">
        <v>125</v>
      </c>
      <c r="U859" t="s">
        <v>126</v>
      </c>
      <c r="W859">
        <v>1.86</v>
      </c>
      <c r="Y859">
        <v>1.86</v>
      </c>
      <c r="BE859">
        <v>1.86</v>
      </c>
      <c r="BH859" t="s">
        <v>126</v>
      </c>
      <c r="BI859" t="s">
        <v>126</v>
      </c>
      <c r="BJ859" t="s">
        <v>126</v>
      </c>
      <c r="BK859" t="s">
        <v>126</v>
      </c>
      <c r="BS859" t="s">
        <v>126</v>
      </c>
      <c r="BT859" t="s">
        <v>126</v>
      </c>
      <c r="BU859" t="s">
        <v>126</v>
      </c>
      <c r="BV859" t="s">
        <v>126</v>
      </c>
      <c r="CN859" t="s">
        <v>147</v>
      </c>
      <c r="CP859" t="s">
        <v>431</v>
      </c>
      <c r="CQ859" t="s">
        <v>147</v>
      </c>
    </row>
    <row r="860" spans="1:95" x14ac:dyDescent="0.2">
      <c r="A860" t="s">
        <v>115</v>
      </c>
      <c r="B860" t="s">
        <v>116</v>
      </c>
      <c r="C860">
        <v>210784</v>
      </c>
      <c r="E860" t="s">
        <v>117</v>
      </c>
      <c r="F860">
        <v>368</v>
      </c>
      <c r="G860" t="s">
        <v>141</v>
      </c>
      <c r="H860" t="s">
        <v>142</v>
      </c>
      <c r="I860" t="s">
        <v>284</v>
      </c>
      <c r="J860" t="s">
        <v>285</v>
      </c>
      <c r="L860" s="14">
        <v>45835</v>
      </c>
      <c r="M860" s="18">
        <f t="shared" si="16"/>
        <v>45809</v>
      </c>
      <c r="N860">
        <v>121725</v>
      </c>
      <c r="O860" t="s">
        <v>123</v>
      </c>
      <c r="P860" t="s">
        <v>146</v>
      </c>
      <c r="Q860">
        <v>5</v>
      </c>
      <c r="R860" t="s">
        <v>125</v>
      </c>
      <c r="S860" t="s">
        <v>126</v>
      </c>
      <c r="T860" t="s">
        <v>125</v>
      </c>
      <c r="U860" t="s">
        <v>126</v>
      </c>
      <c r="W860">
        <v>5</v>
      </c>
      <c r="Y860">
        <v>5</v>
      </c>
      <c r="AC860">
        <v>5</v>
      </c>
      <c r="BH860" t="s">
        <v>126</v>
      </c>
      <c r="BI860" t="s">
        <v>126</v>
      </c>
      <c r="BJ860" t="s">
        <v>126</v>
      </c>
      <c r="BK860" t="s">
        <v>126</v>
      </c>
      <c r="BS860" t="s">
        <v>126</v>
      </c>
      <c r="BT860" t="s">
        <v>126</v>
      </c>
      <c r="BU860" t="s">
        <v>126</v>
      </c>
      <c r="BV860" t="s">
        <v>126</v>
      </c>
      <c r="CN860" t="s">
        <v>147</v>
      </c>
      <c r="CP860" t="s">
        <v>175</v>
      </c>
      <c r="CQ860" t="s">
        <v>147</v>
      </c>
    </row>
    <row r="861" spans="1:95" x14ac:dyDescent="0.2">
      <c r="A861" t="s">
        <v>115</v>
      </c>
      <c r="B861" t="s">
        <v>116</v>
      </c>
      <c r="C861">
        <v>210784</v>
      </c>
      <c r="E861" t="s">
        <v>117</v>
      </c>
      <c r="F861">
        <v>368</v>
      </c>
      <c r="G861" t="s">
        <v>141</v>
      </c>
      <c r="H861" t="s">
        <v>142</v>
      </c>
      <c r="I861" t="s">
        <v>279</v>
      </c>
      <c r="J861" t="s">
        <v>280</v>
      </c>
      <c r="L861" s="14">
        <v>45835</v>
      </c>
      <c r="M861" s="18">
        <f t="shared" si="16"/>
        <v>45809</v>
      </c>
      <c r="N861">
        <v>5744997</v>
      </c>
      <c r="O861" t="s">
        <v>123</v>
      </c>
      <c r="P861" t="s">
        <v>146</v>
      </c>
      <c r="Q861">
        <v>3.27</v>
      </c>
      <c r="R861" t="s">
        <v>125</v>
      </c>
      <c r="S861" t="s">
        <v>126</v>
      </c>
      <c r="T861" t="s">
        <v>125</v>
      </c>
      <c r="U861" t="s">
        <v>126</v>
      </c>
      <c r="W861">
        <v>3.27</v>
      </c>
      <c r="Y861">
        <v>3.27</v>
      </c>
      <c r="AS861">
        <v>3.27</v>
      </c>
      <c r="BH861" t="s">
        <v>126</v>
      </c>
      <c r="BI861" t="s">
        <v>126</v>
      </c>
      <c r="BJ861" t="s">
        <v>126</v>
      </c>
      <c r="BK861" t="s">
        <v>126</v>
      </c>
      <c r="BS861" t="s">
        <v>126</v>
      </c>
      <c r="BT861" t="s">
        <v>126</v>
      </c>
      <c r="BU861" t="s">
        <v>126</v>
      </c>
      <c r="BV861" t="s">
        <v>126</v>
      </c>
      <c r="CN861" t="s">
        <v>147</v>
      </c>
      <c r="CP861" t="s">
        <v>431</v>
      </c>
      <c r="CQ861" t="s">
        <v>147</v>
      </c>
    </row>
    <row r="862" spans="1:95" x14ac:dyDescent="0.2">
      <c r="A862" t="s">
        <v>115</v>
      </c>
      <c r="B862" t="s">
        <v>116</v>
      </c>
      <c r="C862">
        <v>210784</v>
      </c>
      <c r="E862" t="s">
        <v>117</v>
      </c>
      <c r="F862">
        <v>368</v>
      </c>
      <c r="G862" t="s">
        <v>141</v>
      </c>
      <c r="H862" t="s">
        <v>142</v>
      </c>
      <c r="I862" t="s">
        <v>279</v>
      </c>
      <c r="J862" t="s">
        <v>280</v>
      </c>
      <c r="L862" s="14">
        <v>45835</v>
      </c>
      <c r="M862" s="18">
        <f t="shared" si="16"/>
        <v>45809</v>
      </c>
      <c r="N862">
        <v>5744849</v>
      </c>
      <c r="O862" t="s">
        <v>123</v>
      </c>
      <c r="P862" t="s">
        <v>146</v>
      </c>
      <c r="Q862">
        <v>3.96</v>
      </c>
      <c r="R862" t="s">
        <v>610</v>
      </c>
      <c r="S862" t="s">
        <v>126</v>
      </c>
      <c r="T862" t="s">
        <v>610</v>
      </c>
      <c r="U862" t="s">
        <v>611</v>
      </c>
      <c r="W862">
        <v>1.22</v>
      </c>
      <c r="X862">
        <v>2.74</v>
      </c>
      <c r="Y862">
        <v>3.96</v>
      </c>
      <c r="Z862">
        <v>1.51</v>
      </c>
      <c r="AG862">
        <v>1.22</v>
      </c>
      <c r="AI862">
        <v>1.23</v>
      </c>
      <c r="BH862" t="s">
        <v>126</v>
      </c>
      <c r="BI862" t="s">
        <v>126</v>
      </c>
      <c r="BJ862" t="s">
        <v>126</v>
      </c>
      <c r="BK862" t="s">
        <v>126</v>
      </c>
      <c r="BS862" t="s">
        <v>126</v>
      </c>
      <c r="BT862" t="s">
        <v>126</v>
      </c>
      <c r="BU862" t="s">
        <v>126</v>
      </c>
      <c r="BV862" t="s">
        <v>126</v>
      </c>
      <c r="CN862" t="s">
        <v>147</v>
      </c>
      <c r="CP862" t="s">
        <v>431</v>
      </c>
      <c r="CQ862" t="s">
        <v>147</v>
      </c>
    </row>
    <row r="863" spans="1:95" x14ac:dyDescent="0.2">
      <c r="A863" t="s">
        <v>115</v>
      </c>
      <c r="B863" t="s">
        <v>116</v>
      </c>
      <c r="C863">
        <v>210784</v>
      </c>
      <c r="E863" t="s">
        <v>117</v>
      </c>
      <c r="F863">
        <v>368</v>
      </c>
      <c r="G863" t="s">
        <v>141</v>
      </c>
      <c r="H863" t="s">
        <v>142</v>
      </c>
      <c r="I863" t="s">
        <v>279</v>
      </c>
      <c r="J863" t="s">
        <v>280</v>
      </c>
      <c r="L863" s="14">
        <v>45838</v>
      </c>
      <c r="M863" s="18">
        <f t="shared" si="16"/>
        <v>45809</v>
      </c>
      <c r="N863">
        <v>5746149</v>
      </c>
      <c r="O863" t="s">
        <v>123</v>
      </c>
      <c r="P863" t="s">
        <v>146</v>
      </c>
      <c r="Q863">
        <v>3.11</v>
      </c>
      <c r="R863" t="s">
        <v>125</v>
      </c>
      <c r="S863" t="s">
        <v>126</v>
      </c>
      <c r="T863" t="s">
        <v>125</v>
      </c>
      <c r="U863" t="s">
        <v>126</v>
      </c>
      <c r="W863">
        <v>3.11</v>
      </c>
      <c r="Y863">
        <v>3.11</v>
      </c>
      <c r="AS863">
        <v>3.11</v>
      </c>
      <c r="BH863" t="s">
        <v>126</v>
      </c>
      <c r="BI863" t="s">
        <v>126</v>
      </c>
      <c r="BJ863" t="s">
        <v>126</v>
      </c>
      <c r="BK863" t="s">
        <v>126</v>
      </c>
      <c r="BS863" t="s">
        <v>126</v>
      </c>
      <c r="BT863" t="s">
        <v>126</v>
      </c>
      <c r="BU863" t="s">
        <v>126</v>
      </c>
      <c r="BV863" t="s">
        <v>126</v>
      </c>
      <c r="CN863" t="s">
        <v>147</v>
      </c>
      <c r="CP863" t="s">
        <v>431</v>
      </c>
      <c r="CQ863" t="s">
        <v>147</v>
      </c>
    </row>
    <row r="864" spans="1:95" x14ac:dyDescent="0.2">
      <c r="A864" t="s">
        <v>115</v>
      </c>
      <c r="B864" t="s">
        <v>116</v>
      </c>
      <c r="C864">
        <v>210784</v>
      </c>
      <c r="E864" t="s">
        <v>117</v>
      </c>
      <c r="F864">
        <v>368</v>
      </c>
      <c r="G864" t="s">
        <v>141</v>
      </c>
      <c r="H864" t="s">
        <v>142</v>
      </c>
      <c r="I864" t="s">
        <v>279</v>
      </c>
      <c r="J864" t="s">
        <v>280</v>
      </c>
      <c r="L864" s="14">
        <v>45838</v>
      </c>
      <c r="M864" s="18">
        <f t="shared" si="16"/>
        <v>45809</v>
      </c>
      <c r="N864">
        <v>5745979</v>
      </c>
      <c r="O864" t="s">
        <v>123</v>
      </c>
      <c r="P864" t="s">
        <v>146</v>
      </c>
      <c r="Q864">
        <v>4.01</v>
      </c>
      <c r="R864" t="s">
        <v>623</v>
      </c>
      <c r="S864" t="s">
        <v>126</v>
      </c>
      <c r="T864" t="s">
        <v>623</v>
      </c>
      <c r="U864" t="s">
        <v>624</v>
      </c>
      <c r="W864">
        <v>1.24</v>
      </c>
      <c r="X864">
        <v>2.77</v>
      </c>
      <c r="Y864">
        <v>4.01</v>
      </c>
      <c r="Z864">
        <v>1.52</v>
      </c>
      <c r="AG864">
        <v>1.24</v>
      </c>
      <c r="AI864">
        <v>1.25</v>
      </c>
      <c r="BH864" t="s">
        <v>126</v>
      </c>
      <c r="BI864" t="s">
        <v>126</v>
      </c>
      <c r="BJ864" t="s">
        <v>126</v>
      </c>
      <c r="BK864" t="s">
        <v>126</v>
      </c>
      <c r="BS864" t="s">
        <v>126</v>
      </c>
      <c r="BT864" t="s">
        <v>126</v>
      </c>
      <c r="BU864" t="s">
        <v>126</v>
      </c>
      <c r="BV864" t="s">
        <v>126</v>
      </c>
      <c r="CN864" t="s">
        <v>147</v>
      </c>
      <c r="CP864" t="s">
        <v>431</v>
      </c>
      <c r="CQ864" t="s">
        <v>147</v>
      </c>
    </row>
    <row r="865" spans="1:95" x14ac:dyDescent="0.2">
      <c r="A865" t="s">
        <v>115</v>
      </c>
      <c r="B865" t="s">
        <v>116</v>
      </c>
      <c r="C865">
        <v>210784</v>
      </c>
      <c r="E865" t="s">
        <v>117</v>
      </c>
      <c r="F865">
        <v>368</v>
      </c>
      <c r="G865" t="s">
        <v>141</v>
      </c>
      <c r="H865" t="s">
        <v>142</v>
      </c>
      <c r="I865" t="s">
        <v>279</v>
      </c>
      <c r="J865" t="s">
        <v>280</v>
      </c>
      <c r="L865" s="14">
        <v>45838</v>
      </c>
      <c r="M865" s="18">
        <f t="shared" si="16"/>
        <v>45809</v>
      </c>
      <c r="N865">
        <v>5745421</v>
      </c>
      <c r="O865" t="s">
        <v>123</v>
      </c>
      <c r="P865" t="s">
        <v>146</v>
      </c>
      <c r="Q865">
        <v>1.67</v>
      </c>
      <c r="R865" t="s">
        <v>125</v>
      </c>
      <c r="S865" t="s">
        <v>126</v>
      </c>
      <c r="T865" t="s">
        <v>125</v>
      </c>
      <c r="U865" t="s">
        <v>126</v>
      </c>
      <c r="W865">
        <v>1.67</v>
      </c>
      <c r="Y865">
        <v>1.67</v>
      </c>
      <c r="BE865">
        <v>1.67</v>
      </c>
      <c r="BH865" t="s">
        <v>126</v>
      </c>
      <c r="BI865" t="s">
        <v>126</v>
      </c>
      <c r="BJ865" t="s">
        <v>126</v>
      </c>
      <c r="BK865" t="s">
        <v>126</v>
      </c>
      <c r="BS865" t="s">
        <v>126</v>
      </c>
      <c r="BT865" t="s">
        <v>126</v>
      </c>
      <c r="BU865" t="s">
        <v>126</v>
      </c>
      <c r="BV865" t="s">
        <v>126</v>
      </c>
      <c r="CN865" t="s">
        <v>147</v>
      </c>
      <c r="CP865" t="s">
        <v>431</v>
      </c>
      <c r="CQ865" t="s">
        <v>147</v>
      </c>
    </row>
    <row r="866" spans="1:95" x14ac:dyDescent="0.2">
      <c r="A866" t="s">
        <v>115</v>
      </c>
      <c r="B866" t="s">
        <v>116</v>
      </c>
      <c r="C866">
        <v>210784</v>
      </c>
      <c r="E866" t="s">
        <v>117</v>
      </c>
      <c r="F866">
        <v>368</v>
      </c>
      <c r="G866" t="s">
        <v>141</v>
      </c>
      <c r="H866" t="s">
        <v>142</v>
      </c>
      <c r="I866" t="s">
        <v>172</v>
      </c>
      <c r="J866" t="s">
        <v>173</v>
      </c>
      <c r="L866" s="14">
        <v>45839</v>
      </c>
      <c r="M866" s="18">
        <f t="shared" si="16"/>
        <v>45839</v>
      </c>
      <c r="N866">
        <v>124365</v>
      </c>
      <c r="O866" t="s">
        <v>123</v>
      </c>
      <c r="P866" t="s">
        <v>146</v>
      </c>
      <c r="Q866">
        <v>4.149</v>
      </c>
      <c r="R866" t="s">
        <v>125</v>
      </c>
      <c r="S866" t="s">
        <v>126</v>
      </c>
      <c r="T866" t="s">
        <v>125</v>
      </c>
      <c r="U866" t="s">
        <v>126</v>
      </c>
      <c r="W866">
        <v>4.149</v>
      </c>
      <c r="Y866">
        <v>4.149</v>
      </c>
      <c r="AB866">
        <v>4.149</v>
      </c>
      <c r="BH866" t="s">
        <v>126</v>
      </c>
      <c r="BI866" t="s">
        <v>126</v>
      </c>
      <c r="BJ866" t="s">
        <v>126</v>
      </c>
      <c r="BK866" t="s">
        <v>126</v>
      </c>
      <c r="BS866" t="s">
        <v>126</v>
      </c>
      <c r="BT866" t="s">
        <v>126</v>
      </c>
      <c r="BU866" t="s">
        <v>126</v>
      </c>
      <c r="BV866" t="s">
        <v>126</v>
      </c>
      <c r="CN866" t="s">
        <v>147</v>
      </c>
      <c r="CP866" t="s">
        <v>175</v>
      </c>
      <c r="CQ866" t="s">
        <v>147</v>
      </c>
    </row>
    <row r="867" spans="1:95" x14ac:dyDescent="0.2">
      <c r="A867" t="s">
        <v>115</v>
      </c>
      <c r="B867" t="s">
        <v>116</v>
      </c>
      <c r="C867">
        <v>210784</v>
      </c>
      <c r="E867" t="s">
        <v>117</v>
      </c>
      <c r="F867">
        <v>368</v>
      </c>
      <c r="G867" t="s">
        <v>141</v>
      </c>
      <c r="H867" t="s">
        <v>142</v>
      </c>
      <c r="I867" t="s">
        <v>279</v>
      </c>
      <c r="J867" t="s">
        <v>280</v>
      </c>
      <c r="L867" s="14">
        <v>45839</v>
      </c>
      <c r="M867" s="18">
        <f t="shared" si="16"/>
        <v>45839</v>
      </c>
      <c r="N867">
        <v>5746846</v>
      </c>
      <c r="O867" t="s">
        <v>123</v>
      </c>
      <c r="P867" t="s">
        <v>146</v>
      </c>
      <c r="Q867">
        <v>1.17</v>
      </c>
      <c r="R867" t="s">
        <v>125</v>
      </c>
      <c r="S867" t="s">
        <v>126</v>
      </c>
      <c r="T867" t="s">
        <v>125</v>
      </c>
      <c r="U867" t="s">
        <v>126</v>
      </c>
      <c r="W867">
        <v>1.17</v>
      </c>
      <c r="Y867">
        <v>1.17</v>
      </c>
      <c r="BE867">
        <v>1.17</v>
      </c>
      <c r="BH867" t="s">
        <v>126</v>
      </c>
      <c r="BI867" t="s">
        <v>126</v>
      </c>
      <c r="BJ867" t="s">
        <v>126</v>
      </c>
      <c r="BK867" t="s">
        <v>126</v>
      </c>
      <c r="BS867" t="s">
        <v>126</v>
      </c>
      <c r="BT867" t="s">
        <v>126</v>
      </c>
      <c r="BU867" t="s">
        <v>126</v>
      </c>
      <c r="BV867" t="s">
        <v>126</v>
      </c>
      <c r="CN867" t="s">
        <v>147</v>
      </c>
      <c r="CP867" t="s">
        <v>431</v>
      </c>
      <c r="CQ867" t="s">
        <v>147</v>
      </c>
    </row>
    <row r="868" spans="1:95" x14ac:dyDescent="0.2">
      <c r="A868" t="s">
        <v>115</v>
      </c>
      <c r="B868" t="s">
        <v>116</v>
      </c>
      <c r="C868">
        <v>210784</v>
      </c>
      <c r="E868" t="s">
        <v>117</v>
      </c>
      <c r="F868">
        <v>368</v>
      </c>
      <c r="G868" t="s">
        <v>141</v>
      </c>
      <c r="H868" t="s">
        <v>142</v>
      </c>
      <c r="I868" t="s">
        <v>279</v>
      </c>
      <c r="J868" t="s">
        <v>280</v>
      </c>
      <c r="L868" s="14">
        <v>45840</v>
      </c>
      <c r="M868" s="18">
        <f t="shared" si="16"/>
        <v>45839</v>
      </c>
      <c r="N868">
        <v>5747081</v>
      </c>
      <c r="O868" t="s">
        <v>123</v>
      </c>
      <c r="P868" t="s">
        <v>146</v>
      </c>
      <c r="Q868">
        <v>5.74</v>
      </c>
      <c r="R868" t="s">
        <v>584</v>
      </c>
      <c r="S868" t="s">
        <v>126</v>
      </c>
      <c r="T868" t="s">
        <v>584</v>
      </c>
      <c r="U868" t="s">
        <v>585</v>
      </c>
      <c r="W868">
        <v>1.77</v>
      </c>
      <c r="X868">
        <v>3.97</v>
      </c>
      <c r="Y868">
        <v>5.74</v>
      </c>
      <c r="Z868">
        <v>2.1800000000000002</v>
      </c>
      <c r="AG868">
        <v>1.77</v>
      </c>
      <c r="AI868">
        <v>1.79</v>
      </c>
      <c r="BH868" t="s">
        <v>126</v>
      </c>
      <c r="BI868" t="s">
        <v>126</v>
      </c>
      <c r="BJ868" t="s">
        <v>126</v>
      </c>
      <c r="BK868" t="s">
        <v>126</v>
      </c>
      <c r="BS868" t="s">
        <v>126</v>
      </c>
      <c r="BT868" t="s">
        <v>126</v>
      </c>
      <c r="BU868" t="s">
        <v>126</v>
      </c>
      <c r="BV868" t="s">
        <v>126</v>
      </c>
      <c r="CN868" t="s">
        <v>147</v>
      </c>
      <c r="CP868" t="s">
        <v>431</v>
      </c>
      <c r="CQ868" t="s">
        <v>147</v>
      </c>
    </row>
    <row r="869" spans="1:95" x14ac:dyDescent="0.2">
      <c r="A869" t="s">
        <v>115</v>
      </c>
      <c r="B869" t="s">
        <v>116</v>
      </c>
      <c r="C869">
        <v>210784</v>
      </c>
      <c r="E869" t="s">
        <v>117</v>
      </c>
      <c r="F869">
        <v>368</v>
      </c>
      <c r="G869" t="s">
        <v>141</v>
      </c>
      <c r="H869" t="s">
        <v>142</v>
      </c>
      <c r="I869" t="s">
        <v>279</v>
      </c>
      <c r="J869" t="s">
        <v>280</v>
      </c>
      <c r="L869" s="14">
        <v>45840</v>
      </c>
      <c r="M869" s="18">
        <f t="shared" si="16"/>
        <v>45839</v>
      </c>
      <c r="N869">
        <v>5747634</v>
      </c>
      <c r="O869" t="s">
        <v>123</v>
      </c>
      <c r="P869" t="s">
        <v>146</v>
      </c>
      <c r="Q869">
        <v>2.4900000000000002</v>
      </c>
      <c r="R869" t="s">
        <v>623</v>
      </c>
      <c r="S869" t="s">
        <v>126</v>
      </c>
      <c r="T869" t="s">
        <v>623</v>
      </c>
      <c r="U869" t="s">
        <v>624</v>
      </c>
      <c r="W869">
        <v>0.77</v>
      </c>
      <c r="X869">
        <v>1.72</v>
      </c>
      <c r="Y869">
        <v>2.4900000000000002</v>
      </c>
      <c r="Z869">
        <v>0.94</v>
      </c>
      <c r="AG869">
        <v>0.77</v>
      </c>
      <c r="AI869">
        <v>0.78</v>
      </c>
      <c r="BH869" t="s">
        <v>126</v>
      </c>
      <c r="BI869" t="s">
        <v>126</v>
      </c>
      <c r="BJ869" t="s">
        <v>126</v>
      </c>
      <c r="BK869" t="s">
        <v>126</v>
      </c>
      <c r="BS869" t="s">
        <v>126</v>
      </c>
      <c r="BT869" t="s">
        <v>126</v>
      </c>
      <c r="BU869" t="s">
        <v>126</v>
      </c>
      <c r="BV869" t="s">
        <v>126</v>
      </c>
      <c r="CN869" t="s">
        <v>147</v>
      </c>
      <c r="CP869" t="s">
        <v>431</v>
      </c>
      <c r="CQ869" t="s">
        <v>147</v>
      </c>
    </row>
    <row r="870" spans="1:95" x14ac:dyDescent="0.2">
      <c r="A870" t="s">
        <v>115</v>
      </c>
      <c r="B870" t="s">
        <v>116</v>
      </c>
      <c r="C870">
        <v>210784</v>
      </c>
      <c r="E870" t="s">
        <v>117</v>
      </c>
      <c r="F870">
        <v>368</v>
      </c>
      <c r="G870" t="s">
        <v>141</v>
      </c>
      <c r="H870" t="s">
        <v>142</v>
      </c>
      <c r="I870" t="s">
        <v>279</v>
      </c>
      <c r="J870" t="s">
        <v>280</v>
      </c>
      <c r="L870" s="14">
        <v>45841</v>
      </c>
      <c r="M870" s="18">
        <f t="shared" si="16"/>
        <v>45839</v>
      </c>
      <c r="N870">
        <v>5748136</v>
      </c>
      <c r="O870" t="s">
        <v>123</v>
      </c>
      <c r="P870" t="s">
        <v>146</v>
      </c>
      <c r="Q870">
        <v>1.48</v>
      </c>
      <c r="R870" t="s">
        <v>125</v>
      </c>
      <c r="S870" t="s">
        <v>126</v>
      </c>
      <c r="T870" t="s">
        <v>125</v>
      </c>
      <c r="U870" t="s">
        <v>126</v>
      </c>
      <c r="W870">
        <v>1.48</v>
      </c>
      <c r="Y870">
        <v>1.48</v>
      </c>
      <c r="BE870">
        <v>1.48</v>
      </c>
      <c r="BH870" t="s">
        <v>126</v>
      </c>
      <c r="BI870" t="s">
        <v>126</v>
      </c>
      <c r="BJ870" t="s">
        <v>126</v>
      </c>
      <c r="BK870" t="s">
        <v>126</v>
      </c>
      <c r="BS870" t="s">
        <v>126</v>
      </c>
      <c r="BT870" t="s">
        <v>126</v>
      </c>
      <c r="BU870" t="s">
        <v>126</v>
      </c>
      <c r="BV870" t="s">
        <v>126</v>
      </c>
      <c r="CN870" t="s">
        <v>147</v>
      </c>
      <c r="CP870" t="s">
        <v>431</v>
      </c>
      <c r="CQ870" t="s">
        <v>147</v>
      </c>
    </row>
    <row r="871" spans="1:95" x14ac:dyDescent="0.2">
      <c r="A871" t="s">
        <v>115</v>
      </c>
      <c r="B871" t="s">
        <v>116</v>
      </c>
      <c r="C871">
        <v>210784</v>
      </c>
      <c r="E871" t="s">
        <v>117</v>
      </c>
      <c r="F871">
        <v>368</v>
      </c>
      <c r="G871" t="s">
        <v>141</v>
      </c>
      <c r="H871" t="s">
        <v>142</v>
      </c>
      <c r="I871" t="s">
        <v>279</v>
      </c>
      <c r="J871" t="s">
        <v>280</v>
      </c>
      <c r="L871" s="14">
        <v>45845</v>
      </c>
      <c r="M871" s="18">
        <f t="shared" si="16"/>
        <v>45839</v>
      </c>
      <c r="N871">
        <v>5749840</v>
      </c>
      <c r="O871" t="s">
        <v>123</v>
      </c>
      <c r="P871" t="s">
        <v>146</v>
      </c>
      <c r="Q871">
        <v>2.6</v>
      </c>
      <c r="R871" t="s">
        <v>569</v>
      </c>
      <c r="S871" t="s">
        <v>126</v>
      </c>
      <c r="T871" t="s">
        <v>569</v>
      </c>
      <c r="U871" t="s">
        <v>570</v>
      </c>
      <c r="W871">
        <v>0.8</v>
      </c>
      <c r="X871">
        <v>1.8</v>
      </c>
      <c r="Y871">
        <v>2.6</v>
      </c>
      <c r="Z871">
        <v>0.99</v>
      </c>
      <c r="AG871">
        <v>0.8</v>
      </c>
      <c r="AI871">
        <v>0.81</v>
      </c>
      <c r="BH871" t="s">
        <v>126</v>
      </c>
      <c r="BI871" t="s">
        <v>126</v>
      </c>
      <c r="BJ871" t="s">
        <v>126</v>
      </c>
      <c r="BK871" t="s">
        <v>126</v>
      </c>
      <c r="BS871" t="s">
        <v>126</v>
      </c>
      <c r="BT871" t="s">
        <v>126</v>
      </c>
      <c r="BU871" t="s">
        <v>126</v>
      </c>
      <c r="BV871" t="s">
        <v>126</v>
      </c>
      <c r="CN871" t="s">
        <v>147</v>
      </c>
      <c r="CP871" t="s">
        <v>431</v>
      </c>
      <c r="CQ871" t="s">
        <v>147</v>
      </c>
    </row>
    <row r="872" spans="1:95" x14ac:dyDescent="0.2">
      <c r="A872" t="s">
        <v>115</v>
      </c>
      <c r="B872" t="s">
        <v>116</v>
      </c>
      <c r="C872">
        <v>210784</v>
      </c>
      <c r="E872" t="s">
        <v>117</v>
      </c>
      <c r="F872">
        <v>368</v>
      </c>
      <c r="G872" t="s">
        <v>141</v>
      </c>
      <c r="H872" t="s">
        <v>142</v>
      </c>
      <c r="I872" t="s">
        <v>279</v>
      </c>
      <c r="J872" t="s">
        <v>280</v>
      </c>
      <c r="L872" s="14">
        <v>45845</v>
      </c>
      <c r="M872" s="18">
        <f t="shared" si="16"/>
        <v>45839</v>
      </c>
      <c r="N872">
        <v>5749893</v>
      </c>
      <c r="O872" t="s">
        <v>123</v>
      </c>
      <c r="P872" t="s">
        <v>146</v>
      </c>
      <c r="Q872">
        <v>0.81</v>
      </c>
      <c r="R872" t="s">
        <v>125</v>
      </c>
      <c r="S872" t="s">
        <v>126</v>
      </c>
      <c r="T872" t="s">
        <v>125</v>
      </c>
      <c r="U872" t="s">
        <v>126</v>
      </c>
      <c r="W872">
        <v>0.81</v>
      </c>
      <c r="Y872">
        <v>0.81</v>
      </c>
      <c r="BE872">
        <v>0.81</v>
      </c>
      <c r="BH872" t="s">
        <v>126</v>
      </c>
      <c r="BI872" t="s">
        <v>126</v>
      </c>
      <c r="BJ872" t="s">
        <v>126</v>
      </c>
      <c r="BK872" t="s">
        <v>126</v>
      </c>
      <c r="BS872" t="s">
        <v>126</v>
      </c>
      <c r="BT872" t="s">
        <v>126</v>
      </c>
      <c r="BU872" t="s">
        <v>126</v>
      </c>
      <c r="BV872" t="s">
        <v>126</v>
      </c>
      <c r="CN872" t="s">
        <v>147</v>
      </c>
      <c r="CP872" t="s">
        <v>431</v>
      </c>
      <c r="CQ872" t="s">
        <v>147</v>
      </c>
    </row>
    <row r="873" spans="1:95" x14ac:dyDescent="0.2">
      <c r="A873" t="s">
        <v>115</v>
      </c>
      <c r="B873" t="s">
        <v>116</v>
      </c>
      <c r="C873">
        <v>210784</v>
      </c>
      <c r="E873" t="s">
        <v>117</v>
      </c>
      <c r="F873">
        <v>368</v>
      </c>
      <c r="G873" t="s">
        <v>141</v>
      </c>
      <c r="H873" t="s">
        <v>142</v>
      </c>
      <c r="I873" t="s">
        <v>279</v>
      </c>
      <c r="J873" t="s">
        <v>280</v>
      </c>
      <c r="L873" s="14">
        <v>45846</v>
      </c>
      <c r="M873" s="18">
        <f t="shared" si="16"/>
        <v>45839</v>
      </c>
      <c r="N873">
        <v>5750768</v>
      </c>
      <c r="O873" t="s">
        <v>123</v>
      </c>
      <c r="P873" t="s">
        <v>146</v>
      </c>
      <c r="Q873">
        <v>3.3</v>
      </c>
      <c r="R873" t="s">
        <v>644</v>
      </c>
      <c r="S873" t="s">
        <v>126</v>
      </c>
      <c r="T873" t="s">
        <v>644</v>
      </c>
      <c r="U873" t="s">
        <v>645</v>
      </c>
      <c r="W873">
        <v>1.02</v>
      </c>
      <c r="X873">
        <v>2.2800000000000002</v>
      </c>
      <c r="Y873">
        <v>3.3</v>
      </c>
      <c r="Z873">
        <v>1.25</v>
      </c>
      <c r="AG873">
        <v>1.02</v>
      </c>
      <c r="AI873">
        <v>1.03</v>
      </c>
      <c r="BH873" t="s">
        <v>126</v>
      </c>
      <c r="BI873" t="s">
        <v>126</v>
      </c>
      <c r="BJ873" t="s">
        <v>126</v>
      </c>
      <c r="BK873" t="s">
        <v>126</v>
      </c>
      <c r="BS873" t="s">
        <v>126</v>
      </c>
      <c r="BT873" t="s">
        <v>126</v>
      </c>
      <c r="BU873" t="s">
        <v>126</v>
      </c>
      <c r="BV873" t="s">
        <v>126</v>
      </c>
      <c r="CN873" t="s">
        <v>147</v>
      </c>
      <c r="CP873" t="s">
        <v>431</v>
      </c>
      <c r="CQ873" t="s">
        <v>147</v>
      </c>
    </row>
    <row r="874" spans="1:95" x14ac:dyDescent="0.2">
      <c r="A874" t="s">
        <v>115</v>
      </c>
      <c r="B874" t="s">
        <v>116</v>
      </c>
      <c r="C874">
        <v>210784</v>
      </c>
      <c r="E874" t="s">
        <v>117</v>
      </c>
      <c r="F874">
        <v>368</v>
      </c>
      <c r="G874" t="s">
        <v>141</v>
      </c>
      <c r="H874" t="s">
        <v>142</v>
      </c>
      <c r="I874" t="s">
        <v>279</v>
      </c>
      <c r="J874" t="s">
        <v>280</v>
      </c>
      <c r="L874" s="14">
        <v>45847</v>
      </c>
      <c r="M874" s="18">
        <f t="shared" si="16"/>
        <v>45839</v>
      </c>
      <c r="N874">
        <v>5751489</v>
      </c>
      <c r="O874" t="s">
        <v>123</v>
      </c>
      <c r="P874" t="s">
        <v>146</v>
      </c>
      <c r="Q874">
        <v>3.4</v>
      </c>
      <c r="R874" t="s">
        <v>125</v>
      </c>
      <c r="S874" t="s">
        <v>126</v>
      </c>
      <c r="T874" t="s">
        <v>125</v>
      </c>
      <c r="U874" t="s">
        <v>126</v>
      </c>
      <c r="W874">
        <v>3.4</v>
      </c>
      <c r="Y874">
        <v>3.4</v>
      </c>
      <c r="AS874">
        <v>3.4</v>
      </c>
      <c r="BH874" t="s">
        <v>126</v>
      </c>
      <c r="BI874" t="s">
        <v>126</v>
      </c>
      <c r="BJ874" t="s">
        <v>126</v>
      </c>
      <c r="BK874" t="s">
        <v>126</v>
      </c>
      <c r="BS874" t="s">
        <v>126</v>
      </c>
      <c r="BT874" t="s">
        <v>126</v>
      </c>
      <c r="BU874" t="s">
        <v>126</v>
      </c>
      <c r="BV874" t="s">
        <v>126</v>
      </c>
      <c r="CN874" t="s">
        <v>147</v>
      </c>
      <c r="CP874" t="s">
        <v>431</v>
      </c>
      <c r="CQ874" t="s">
        <v>147</v>
      </c>
    </row>
    <row r="875" spans="1:95" x14ac:dyDescent="0.2">
      <c r="A875" t="s">
        <v>115</v>
      </c>
      <c r="B875" t="s">
        <v>116</v>
      </c>
      <c r="C875">
        <v>210784</v>
      </c>
      <c r="E875" t="s">
        <v>117</v>
      </c>
      <c r="F875">
        <v>368</v>
      </c>
      <c r="G875" t="s">
        <v>141</v>
      </c>
      <c r="H875" t="s">
        <v>142</v>
      </c>
      <c r="I875" t="s">
        <v>130</v>
      </c>
      <c r="J875" t="s">
        <v>131</v>
      </c>
      <c r="L875" s="14">
        <v>45848</v>
      </c>
      <c r="M875" s="18">
        <f t="shared" si="16"/>
        <v>45839</v>
      </c>
      <c r="N875">
        <v>7318773</v>
      </c>
      <c r="O875" t="s">
        <v>123</v>
      </c>
      <c r="P875" t="s">
        <v>146</v>
      </c>
      <c r="Q875">
        <v>12.32</v>
      </c>
      <c r="R875" t="s">
        <v>125</v>
      </c>
      <c r="S875" t="s">
        <v>126</v>
      </c>
      <c r="T875" t="s">
        <v>125</v>
      </c>
      <c r="U875" t="s">
        <v>126</v>
      </c>
      <c r="W875">
        <v>12.32</v>
      </c>
      <c r="Y875">
        <v>12.32</v>
      </c>
      <c r="AC875">
        <v>12.32</v>
      </c>
      <c r="BH875" t="s">
        <v>126</v>
      </c>
      <c r="BI875" t="s">
        <v>126</v>
      </c>
      <c r="BJ875" t="s">
        <v>126</v>
      </c>
      <c r="BK875" t="s">
        <v>126</v>
      </c>
      <c r="BS875" t="s">
        <v>126</v>
      </c>
      <c r="BT875" t="s">
        <v>126</v>
      </c>
      <c r="BU875" t="s">
        <v>126</v>
      </c>
      <c r="BV875" t="s">
        <v>126</v>
      </c>
      <c r="CN875" t="s">
        <v>147</v>
      </c>
      <c r="CP875" t="s">
        <v>175</v>
      </c>
      <c r="CQ875" t="s">
        <v>147</v>
      </c>
    </row>
    <row r="876" spans="1:95" x14ac:dyDescent="0.2">
      <c r="A876" t="s">
        <v>115</v>
      </c>
      <c r="B876" t="s">
        <v>116</v>
      </c>
      <c r="C876">
        <v>210784</v>
      </c>
      <c r="E876" t="s">
        <v>117</v>
      </c>
      <c r="F876">
        <v>368</v>
      </c>
      <c r="G876" t="s">
        <v>141</v>
      </c>
      <c r="H876" t="s">
        <v>142</v>
      </c>
      <c r="I876" t="s">
        <v>279</v>
      </c>
      <c r="J876" t="s">
        <v>280</v>
      </c>
      <c r="L876" s="14">
        <v>45848</v>
      </c>
      <c r="M876" s="18">
        <f t="shared" si="16"/>
        <v>45839</v>
      </c>
      <c r="N876">
        <v>5752257</v>
      </c>
      <c r="O876" t="s">
        <v>123</v>
      </c>
      <c r="P876" t="s">
        <v>146</v>
      </c>
      <c r="Q876">
        <v>3.7299999999999995</v>
      </c>
      <c r="R876" t="s">
        <v>602</v>
      </c>
      <c r="S876" t="s">
        <v>126</v>
      </c>
      <c r="T876" t="s">
        <v>602</v>
      </c>
      <c r="U876" t="s">
        <v>603</v>
      </c>
      <c r="W876">
        <v>1.1499999999999999</v>
      </c>
      <c r="X876">
        <v>2.58</v>
      </c>
      <c r="Y876">
        <v>3.7299999999999995</v>
      </c>
      <c r="Z876">
        <v>1.42</v>
      </c>
      <c r="AG876">
        <v>1.1499999999999999</v>
      </c>
      <c r="AI876">
        <v>1.1599999999999999</v>
      </c>
      <c r="BH876" t="s">
        <v>126</v>
      </c>
      <c r="BI876" t="s">
        <v>126</v>
      </c>
      <c r="BJ876" t="s">
        <v>126</v>
      </c>
      <c r="BK876" t="s">
        <v>126</v>
      </c>
      <c r="BS876" t="s">
        <v>126</v>
      </c>
      <c r="BT876" t="s">
        <v>126</v>
      </c>
      <c r="BU876" t="s">
        <v>126</v>
      </c>
      <c r="BV876" t="s">
        <v>126</v>
      </c>
      <c r="CN876" t="s">
        <v>147</v>
      </c>
      <c r="CP876" t="s">
        <v>431</v>
      </c>
      <c r="CQ876" t="s">
        <v>147</v>
      </c>
    </row>
    <row r="877" spans="1:95" x14ac:dyDescent="0.2">
      <c r="A877" t="s">
        <v>115</v>
      </c>
      <c r="B877" t="s">
        <v>116</v>
      </c>
      <c r="C877">
        <v>210784</v>
      </c>
      <c r="E877" t="s">
        <v>117</v>
      </c>
      <c r="F877">
        <v>368</v>
      </c>
      <c r="G877" t="s">
        <v>141</v>
      </c>
      <c r="H877" t="s">
        <v>142</v>
      </c>
      <c r="I877" t="s">
        <v>279</v>
      </c>
      <c r="J877" t="s">
        <v>280</v>
      </c>
      <c r="L877" s="14">
        <v>45849</v>
      </c>
      <c r="M877" s="18">
        <f t="shared" si="16"/>
        <v>45839</v>
      </c>
      <c r="N877">
        <v>5752925</v>
      </c>
      <c r="O877" t="s">
        <v>123</v>
      </c>
      <c r="P877" t="s">
        <v>146</v>
      </c>
      <c r="Q877">
        <v>1.39</v>
      </c>
      <c r="R877" t="s">
        <v>125</v>
      </c>
      <c r="S877" t="s">
        <v>126</v>
      </c>
      <c r="T877" t="s">
        <v>125</v>
      </c>
      <c r="U877" t="s">
        <v>126</v>
      </c>
      <c r="W877">
        <v>1.39</v>
      </c>
      <c r="Y877">
        <v>1.39</v>
      </c>
      <c r="BE877">
        <v>1.39</v>
      </c>
      <c r="BH877" t="s">
        <v>126</v>
      </c>
      <c r="BI877" t="s">
        <v>126</v>
      </c>
      <c r="BJ877" t="s">
        <v>126</v>
      </c>
      <c r="BK877" t="s">
        <v>126</v>
      </c>
      <c r="BS877" t="s">
        <v>126</v>
      </c>
      <c r="BT877" t="s">
        <v>126</v>
      </c>
      <c r="BU877" t="s">
        <v>126</v>
      </c>
      <c r="BV877" t="s">
        <v>126</v>
      </c>
      <c r="CN877" t="s">
        <v>147</v>
      </c>
      <c r="CP877" t="s">
        <v>431</v>
      </c>
      <c r="CQ877" t="s">
        <v>147</v>
      </c>
    </row>
    <row r="878" spans="1:95" x14ac:dyDescent="0.2">
      <c r="A878" t="s">
        <v>115</v>
      </c>
      <c r="B878" t="s">
        <v>116</v>
      </c>
      <c r="C878">
        <v>210784</v>
      </c>
      <c r="E878" t="s">
        <v>117</v>
      </c>
      <c r="F878">
        <v>368</v>
      </c>
      <c r="G878" t="s">
        <v>141</v>
      </c>
      <c r="H878" t="s">
        <v>142</v>
      </c>
      <c r="I878" t="s">
        <v>279</v>
      </c>
      <c r="J878" t="s">
        <v>280</v>
      </c>
      <c r="L878" s="14">
        <v>45852</v>
      </c>
      <c r="M878" s="18">
        <f t="shared" si="16"/>
        <v>45839</v>
      </c>
      <c r="N878">
        <v>5754129</v>
      </c>
      <c r="O878" t="s">
        <v>123</v>
      </c>
      <c r="P878" t="s">
        <v>146</v>
      </c>
      <c r="Q878">
        <v>3.18</v>
      </c>
      <c r="R878" t="s">
        <v>125</v>
      </c>
      <c r="S878" t="s">
        <v>126</v>
      </c>
      <c r="T878" t="s">
        <v>125</v>
      </c>
      <c r="U878" t="s">
        <v>126</v>
      </c>
      <c r="W878">
        <v>3.18</v>
      </c>
      <c r="Y878">
        <v>3.18</v>
      </c>
      <c r="AS878">
        <v>3.18</v>
      </c>
      <c r="BH878" t="s">
        <v>126</v>
      </c>
      <c r="BI878" t="s">
        <v>126</v>
      </c>
      <c r="BJ878" t="s">
        <v>126</v>
      </c>
      <c r="BK878" t="s">
        <v>126</v>
      </c>
      <c r="BS878" t="s">
        <v>126</v>
      </c>
      <c r="BT878" t="s">
        <v>126</v>
      </c>
      <c r="BU878" t="s">
        <v>126</v>
      </c>
      <c r="BV878" t="s">
        <v>126</v>
      </c>
      <c r="CN878" t="s">
        <v>147</v>
      </c>
      <c r="CP878" t="s">
        <v>431</v>
      </c>
      <c r="CQ878" t="s">
        <v>147</v>
      </c>
    </row>
    <row r="879" spans="1:95" x14ac:dyDescent="0.2">
      <c r="A879" t="s">
        <v>115</v>
      </c>
      <c r="B879" t="s">
        <v>116</v>
      </c>
      <c r="C879">
        <v>210784</v>
      </c>
      <c r="E879" t="s">
        <v>117</v>
      </c>
      <c r="F879">
        <v>368</v>
      </c>
      <c r="G879" t="s">
        <v>141</v>
      </c>
      <c r="H879" t="s">
        <v>142</v>
      </c>
      <c r="I879" t="s">
        <v>279</v>
      </c>
      <c r="J879" t="s">
        <v>280</v>
      </c>
      <c r="L879" s="14">
        <v>45852</v>
      </c>
      <c r="M879" s="18">
        <f t="shared" si="16"/>
        <v>45839</v>
      </c>
      <c r="N879">
        <v>5753447</v>
      </c>
      <c r="O879" t="s">
        <v>123</v>
      </c>
      <c r="P879" t="s">
        <v>146</v>
      </c>
      <c r="Q879">
        <v>3.91</v>
      </c>
      <c r="R879" t="s">
        <v>596</v>
      </c>
      <c r="S879" t="s">
        <v>126</v>
      </c>
      <c r="T879" t="s">
        <v>596</v>
      </c>
      <c r="U879" t="s">
        <v>597</v>
      </c>
      <c r="W879">
        <v>1.21</v>
      </c>
      <c r="X879">
        <v>2.7</v>
      </c>
      <c r="Y879">
        <v>3.91</v>
      </c>
      <c r="Z879">
        <v>1.48</v>
      </c>
      <c r="AG879">
        <v>1.21</v>
      </c>
      <c r="AI879">
        <v>1.22</v>
      </c>
      <c r="BH879" t="s">
        <v>126</v>
      </c>
      <c r="BI879" t="s">
        <v>126</v>
      </c>
      <c r="BJ879" t="s">
        <v>126</v>
      </c>
      <c r="BK879" t="s">
        <v>126</v>
      </c>
      <c r="BS879" t="s">
        <v>126</v>
      </c>
      <c r="BT879" t="s">
        <v>126</v>
      </c>
      <c r="BU879" t="s">
        <v>126</v>
      </c>
      <c r="BV879" t="s">
        <v>126</v>
      </c>
      <c r="CN879" t="s">
        <v>147</v>
      </c>
      <c r="CP879" t="s">
        <v>431</v>
      </c>
      <c r="CQ879" t="s">
        <v>147</v>
      </c>
    </row>
    <row r="880" spans="1:95" x14ac:dyDescent="0.2">
      <c r="A880" t="s">
        <v>115</v>
      </c>
      <c r="B880" t="s">
        <v>116</v>
      </c>
      <c r="C880">
        <v>210784</v>
      </c>
      <c r="E880" t="s">
        <v>117</v>
      </c>
      <c r="F880">
        <v>368</v>
      </c>
      <c r="G880" t="s">
        <v>141</v>
      </c>
      <c r="H880" t="s">
        <v>142</v>
      </c>
      <c r="I880" t="s">
        <v>279</v>
      </c>
      <c r="J880" t="s">
        <v>280</v>
      </c>
      <c r="L880" s="14">
        <v>45852</v>
      </c>
      <c r="M880" s="18">
        <f t="shared" si="16"/>
        <v>45839</v>
      </c>
      <c r="N880">
        <v>5754040</v>
      </c>
      <c r="O880" t="s">
        <v>123</v>
      </c>
      <c r="P880" t="s">
        <v>146</v>
      </c>
      <c r="Q880">
        <v>4.6199999999999992</v>
      </c>
      <c r="R880" t="s">
        <v>581</v>
      </c>
      <c r="S880" t="s">
        <v>126</v>
      </c>
      <c r="T880" t="s">
        <v>581</v>
      </c>
      <c r="U880" t="s">
        <v>582</v>
      </c>
      <c r="W880">
        <v>1.42</v>
      </c>
      <c r="X880">
        <v>3.2</v>
      </c>
      <c r="Y880">
        <v>4.6199999999999992</v>
      </c>
      <c r="Z880">
        <v>1.76</v>
      </c>
      <c r="AG880">
        <v>1.42</v>
      </c>
      <c r="AI880">
        <v>1.44</v>
      </c>
      <c r="BH880" t="s">
        <v>126</v>
      </c>
      <c r="BI880" t="s">
        <v>126</v>
      </c>
      <c r="BJ880" t="s">
        <v>126</v>
      </c>
      <c r="BK880" t="s">
        <v>126</v>
      </c>
      <c r="BS880" t="s">
        <v>126</v>
      </c>
      <c r="BT880" t="s">
        <v>126</v>
      </c>
      <c r="BU880" t="s">
        <v>126</v>
      </c>
      <c r="BV880" t="s">
        <v>126</v>
      </c>
      <c r="CN880" t="s">
        <v>147</v>
      </c>
      <c r="CP880" t="s">
        <v>431</v>
      </c>
      <c r="CQ880" t="s">
        <v>147</v>
      </c>
    </row>
    <row r="881" spans="1:95" x14ac:dyDescent="0.2">
      <c r="A881" t="s">
        <v>115</v>
      </c>
      <c r="B881" t="s">
        <v>116</v>
      </c>
      <c r="C881">
        <v>210784</v>
      </c>
      <c r="E881" t="s">
        <v>117</v>
      </c>
      <c r="F881">
        <v>368</v>
      </c>
      <c r="G881" t="s">
        <v>141</v>
      </c>
      <c r="H881" t="s">
        <v>142</v>
      </c>
      <c r="I881" t="s">
        <v>279</v>
      </c>
      <c r="J881" t="s">
        <v>280</v>
      </c>
      <c r="L881" s="14">
        <v>45852</v>
      </c>
      <c r="M881" s="18">
        <f t="shared" si="16"/>
        <v>45839</v>
      </c>
      <c r="N881">
        <v>5753692</v>
      </c>
      <c r="O881" t="s">
        <v>123</v>
      </c>
      <c r="P881" t="s">
        <v>146</v>
      </c>
      <c r="Q881">
        <v>0.09</v>
      </c>
      <c r="R881" t="s">
        <v>732</v>
      </c>
      <c r="S881" t="s">
        <v>126</v>
      </c>
      <c r="T881" t="s">
        <v>732</v>
      </c>
      <c r="U881" t="s">
        <v>733</v>
      </c>
      <c r="W881">
        <v>0.03</v>
      </c>
      <c r="X881">
        <v>0.06</v>
      </c>
      <c r="Y881">
        <v>0.09</v>
      </c>
      <c r="Z881">
        <v>0.03</v>
      </c>
      <c r="AG881">
        <v>0.03</v>
      </c>
      <c r="AI881">
        <v>0.03</v>
      </c>
      <c r="BH881" t="s">
        <v>126</v>
      </c>
      <c r="BI881" t="s">
        <v>126</v>
      </c>
      <c r="BJ881" t="s">
        <v>126</v>
      </c>
      <c r="BK881" t="s">
        <v>126</v>
      </c>
      <c r="BS881" t="s">
        <v>126</v>
      </c>
      <c r="BT881" t="s">
        <v>126</v>
      </c>
      <c r="BU881" t="s">
        <v>126</v>
      </c>
      <c r="BV881" t="s">
        <v>126</v>
      </c>
      <c r="CN881" t="s">
        <v>147</v>
      </c>
      <c r="CP881" t="s">
        <v>431</v>
      </c>
      <c r="CQ881" t="s">
        <v>147</v>
      </c>
    </row>
    <row r="882" spans="1:95" x14ac:dyDescent="0.2">
      <c r="A882" t="s">
        <v>115</v>
      </c>
      <c r="B882" t="s">
        <v>116</v>
      </c>
      <c r="C882">
        <v>210784</v>
      </c>
      <c r="E882" t="s">
        <v>117</v>
      </c>
      <c r="F882">
        <v>368</v>
      </c>
      <c r="G882" t="s">
        <v>141</v>
      </c>
      <c r="H882" t="s">
        <v>142</v>
      </c>
      <c r="I882" t="s">
        <v>279</v>
      </c>
      <c r="J882" t="s">
        <v>280</v>
      </c>
      <c r="L882" s="14">
        <v>45853</v>
      </c>
      <c r="M882" s="18">
        <f t="shared" si="16"/>
        <v>45839</v>
      </c>
      <c r="N882">
        <v>5754905</v>
      </c>
      <c r="O882" t="s">
        <v>123</v>
      </c>
      <c r="P882" t="s">
        <v>146</v>
      </c>
      <c r="Q882">
        <v>3.2</v>
      </c>
      <c r="R882" t="s">
        <v>631</v>
      </c>
      <c r="S882" t="s">
        <v>126</v>
      </c>
      <c r="T882" t="s">
        <v>631</v>
      </c>
      <c r="U882" t="s">
        <v>632</v>
      </c>
      <c r="W882">
        <v>0.99</v>
      </c>
      <c r="X882">
        <v>2.21</v>
      </c>
      <c r="Y882">
        <v>3.2</v>
      </c>
      <c r="Z882">
        <v>1.21</v>
      </c>
      <c r="AG882">
        <v>0.99</v>
      </c>
      <c r="AI882">
        <v>1</v>
      </c>
      <c r="BH882" t="s">
        <v>126</v>
      </c>
      <c r="BI882" t="s">
        <v>126</v>
      </c>
      <c r="BJ882" t="s">
        <v>126</v>
      </c>
      <c r="BK882" t="s">
        <v>126</v>
      </c>
      <c r="BS882" t="s">
        <v>126</v>
      </c>
      <c r="BT882" t="s">
        <v>126</v>
      </c>
      <c r="BU882" t="s">
        <v>126</v>
      </c>
      <c r="BV882" t="s">
        <v>126</v>
      </c>
      <c r="CN882" t="s">
        <v>147</v>
      </c>
      <c r="CP882" t="s">
        <v>431</v>
      </c>
      <c r="CQ882" t="s">
        <v>147</v>
      </c>
    </row>
    <row r="883" spans="1:95" x14ac:dyDescent="0.2">
      <c r="A883" t="s">
        <v>115</v>
      </c>
      <c r="B883" t="s">
        <v>116</v>
      </c>
      <c r="C883">
        <v>210784</v>
      </c>
      <c r="E883" t="s">
        <v>117</v>
      </c>
      <c r="F883">
        <v>368</v>
      </c>
      <c r="G883" t="s">
        <v>141</v>
      </c>
      <c r="H883" t="s">
        <v>142</v>
      </c>
      <c r="I883" t="s">
        <v>279</v>
      </c>
      <c r="J883" t="s">
        <v>280</v>
      </c>
      <c r="L883" s="14">
        <v>45853</v>
      </c>
      <c r="M883" s="18">
        <f t="shared" si="16"/>
        <v>45839</v>
      </c>
      <c r="N883">
        <v>5754284</v>
      </c>
      <c r="O883" t="s">
        <v>123</v>
      </c>
      <c r="P883" t="s">
        <v>146</v>
      </c>
      <c r="Q883">
        <v>1.47</v>
      </c>
      <c r="R883" t="s">
        <v>125</v>
      </c>
      <c r="S883" t="s">
        <v>126</v>
      </c>
      <c r="T883" t="s">
        <v>125</v>
      </c>
      <c r="U883" t="s">
        <v>126</v>
      </c>
      <c r="W883">
        <v>1.47</v>
      </c>
      <c r="Y883">
        <v>1.47</v>
      </c>
      <c r="BE883">
        <v>1.47</v>
      </c>
      <c r="BH883" t="s">
        <v>126</v>
      </c>
      <c r="BI883" t="s">
        <v>126</v>
      </c>
      <c r="BJ883" t="s">
        <v>126</v>
      </c>
      <c r="BK883" t="s">
        <v>126</v>
      </c>
      <c r="BS883" t="s">
        <v>126</v>
      </c>
      <c r="BT883" t="s">
        <v>126</v>
      </c>
      <c r="BU883" t="s">
        <v>126</v>
      </c>
      <c r="BV883" t="s">
        <v>126</v>
      </c>
      <c r="CN883" t="s">
        <v>147</v>
      </c>
      <c r="CP883" t="s">
        <v>431</v>
      </c>
      <c r="CQ883" t="s">
        <v>147</v>
      </c>
    </row>
    <row r="884" spans="1:95" x14ac:dyDescent="0.2">
      <c r="A884" t="s">
        <v>115</v>
      </c>
      <c r="B884" t="s">
        <v>116</v>
      </c>
      <c r="C884">
        <v>210784</v>
      </c>
      <c r="E884" t="s">
        <v>117</v>
      </c>
      <c r="F884">
        <v>368</v>
      </c>
      <c r="G884" t="s">
        <v>141</v>
      </c>
      <c r="H884" t="s">
        <v>142</v>
      </c>
      <c r="I884" t="s">
        <v>279</v>
      </c>
      <c r="J884" t="s">
        <v>280</v>
      </c>
      <c r="L884" s="14">
        <v>45854</v>
      </c>
      <c r="M884" s="18">
        <f t="shared" si="16"/>
        <v>45839</v>
      </c>
      <c r="N884">
        <v>5755592</v>
      </c>
      <c r="O884" t="s">
        <v>123</v>
      </c>
      <c r="P884" t="s">
        <v>146</v>
      </c>
      <c r="Q884">
        <v>1.33</v>
      </c>
      <c r="R884" t="s">
        <v>125</v>
      </c>
      <c r="S884" t="s">
        <v>126</v>
      </c>
      <c r="T884" t="s">
        <v>125</v>
      </c>
      <c r="U884" t="s">
        <v>126</v>
      </c>
      <c r="W884">
        <v>1.33</v>
      </c>
      <c r="Y884">
        <v>1.33</v>
      </c>
      <c r="AS884">
        <v>1.33</v>
      </c>
      <c r="BH884" t="s">
        <v>126</v>
      </c>
      <c r="BI884" t="s">
        <v>126</v>
      </c>
      <c r="BJ884" t="s">
        <v>126</v>
      </c>
      <c r="BK884" t="s">
        <v>126</v>
      </c>
      <c r="BS884" t="s">
        <v>126</v>
      </c>
      <c r="BT884" t="s">
        <v>126</v>
      </c>
      <c r="BU884" t="s">
        <v>126</v>
      </c>
      <c r="BV884" t="s">
        <v>126</v>
      </c>
      <c r="CN884" t="s">
        <v>147</v>
      </c>
      <c r="CP884" t="s">
        <v>431</v>
      </c>
      <c r="CQ884" t="s">
        <v>147</v>
      </c>
    </row>
    <row r="885" spans="1:95" x14ac:dyDescent="0.2">
      <c r="A885" t="s">
        <v>115</v>
      </c>
      <c r="B885" t="s">
        <v>116</v>
      </c>
      <c r="C885">
        <v>210784</v>
      </c>
      <c r="E885" t="s">
        <v>117</v>
      </c>
      <c r="F885">
        <v>368</v>
      </c>
      <c r="G885" t="s">
        <v>141</v>
      </c>
      <c r="H885" t="s">
        <v>142</v>
      </c>
      <c r="I885" t="s">
        <v>279</v>
      </c>
      <c r="J885" t="s">
        <v>280</v>
      </c>
      <c r="L885" s="14">
        <v>45854</v>
      </c>
      <c r="M885" s="18">
        <f t="shared" si="16"/>
        <v>45839</v>
      </c>
      <c r="N885">
        <v>5755765</v>
      </c>
      <c r="O885" t="s">
        <v>123</v>
      </c>
      <c r="P885" t="s">
        <v>146</v>
      </c>
      <c r="Q885">
        <v>1.35</v>
      </c>
      <c r="R885" t="s">
        <v>125</v>
      </c>
      <c r="S885" t="s">
        <v>126</v>
      </c>
      <c r="T885" t="s">
        <v>125</v>
      </c>
      <c r="U885" t="s">
        <v>126</v>
      </c>
      <c r="W885">
        <v>1.35</v>
      </c>
      <c r="Y885">
        <v>1.35</v>
      </c>
      <c r="BE885">
        <v>1.35</v>
      </c>
      <c r="BH885" t="s">
        <v>126</v>
      </c>
      <c r="BI885" t="s">
        <v>126</v>
      </c>
      <c r="BJ885" t="s">
        <v>126</v>
      </c>
      <c r="BK885" t="s">
        <v>126</v>
      </c>
      <c r="BS885" t="s">
        <v>126</v>
      </c>
      <c r="BT885" t="s">
        <v>126</v>
      </c>
      <c r="BU885" t="s">
        <v>126</v>
      </c>
      <c r="BV885" t="s">
        <v>126</v>
      </c>
      <c r="CN885" t="s">
        <v>147</v>
      </c>
      <c r="CP885" t="s">
        <v>431</v>
      </c>
      <c r="CQ885" t="s">
        <v>147</v>
      </c>
    </row>
    <row r="886" spans="1:95" x14ac:dyDescent="0.2">
      <c r="A886" t="s">
        <v>115</v>
      </c>
      <c r="B886" t="s">
        <v>116</v>
      </c>
      <c r="C886">
        <v>210784</v>
      </c>
      <c r="E886" t="s">
        <v>117</v>
      </c>
      <c r="F886">
        <v>368</v>
      </c>
      <c r="G886" t="s">
        <v>141</v>
      </c>
      <c r="H886" t="s">
        <v>142</v>
      </c>
      <c r="I886" t="s">
        <v>279</v>
      </c>
      <c r="J886" t="s">
        <v>280</v>
      </c>
      <c r="L886" s="14">
        <v>45855</v>
      </c>
      <c r="M886" s="18">
        <f t="shared" si="16"/>
        <v>45839</v>
      </c>
      <c r="N886">
        <v>5756544</v>
      </c>
      <c r="O886" t="s">
        <v>123</v>
      </c>
      <c r="P886" t="s">
        <v>146</v>
      </c>
      <c r="Q886">
        <v>5.55</v>
      </c>
      <c r="R886" t="s">
        <v>610</v>
      </c>
      <c r="S886" t="s">
        <v>126</v>
      </c>
      <c r="T886" t="s">
        <v>610</v>
      </c>
      <c r="U886" t="s">
        <v>611</v>
      </c>
      <c r="W886">
        <v>1.71</v>
      </c>
      <c r="X886">
        <v>3.84</v>
      </c>
      <c r="Y886">
        <v>5.55</v>
      </c>
      <c r="Z886">
        <v>2.11</v>
      </c>
      <c r="AG886">
        <v>1.71</v>
      </c>
      <c r="AI886">
        <v>1.73</v>
      </c>
      <c r="BH886" t="s">
        <v>126</v>
      </c>
      <c r="BI886" t="s">
        <v>126</v>
      </c>
      <c r="BJ886" t="s">
        <v>126</v>
      </c>
      <c r="BK886" t="s">
        <v>126</v>
      </c>
      <c r="BS886" t="s">
        <v>126</v>
      </c>
      <c r="BT886" t="s">
        <v>126</v>
      </c>
      <c r="BU886" t="s">
        <v>126</v>
      </c>
      <c r="BV886" t="s">
        <v>126</v>
      </c>
      <c r="CN886" t="s">
        <v>147</v>
      </c>
      <c r="CP886" t="s">
        <v>431</v>
      </c>
      <c r="CQ886" t="s">
        <v>147</v>
      </c>
    </row>
    <row r="887" spans="1:95" x14ac:dyDescent="0.2">
      <c r="A887" t="s">
        <v>115</v>
      </c>
      <c r="B887" t="s">
        <v>116</v>
      </c>
      <c r="C887">
        <v>210784</v>
      </c>
      <c r="E887" t="s">
        <v>117</v>
      </c>
      <c r="F887">
        <v>368</v>
      </c>
      <c r="G887" t="s">
        <v>141</v>
      </c>
      <c r="H887" t="s">
        <v>142</v>
      </c>
      <c r="I887" t="s">
        <v>279</v>
      </c>
      <c r="J887" t="s">
        <v>280</v>
      </c>
      <c r="L887" s="14">
        <v>45855</v>
      </c>
      <c r="M887" s="18">
        <f t="shared" si="16"/>
        <v>45839</v>
      </c>
      <c r="N887">
        <v>5755269</v>
      </c>
      <c r="O887" t="s">
        <v>123</v>
      </c>
      <c r="P887" t="s">
        <v>146</v>
      </c>
      <c r="Q887">
        <v>0.61</v>
      </c>
      <c r="R887" t="s">
        <v>125</v>
      </c>
      <c r="S887" t="s">
        <v>126</v>
      </c>
      <c r="T887" t="s">
        <v>125</v>
      </c>
      <c r="U887" t="s">
        <v>126</v>
      </c>
      <c r="W887">
        <v>0.61</v>
      </c>
      <c r="Y887">
        <v>0.61</v>
      </c>
      <c r="BE887">
        <v>0.61</v>
      </c>
      <c r="BH887" t="s">
        <v>126</v>
      </c>
      <c r="BI887" t="s">
        <v>126</v>
      </c>
      <c r="BJ887" t="s">
        <v>126</v>
      </c>
      <c r="BK887" t="s">
        <v>126</v>
      </c>
      <c r="BS887" t="s">
        <v>126</v>
      </c>
      <c r="BT887" t="s">
        <v>126</v>
      </c>
      <c r="BU887" t="s">
        <v>126</v>
      </c>
      <c r="BV887" t="s">
        <v>126</v>
      </c>
      <c r="CN887" t="s">
        <v>147</v>
      </c>
      <c r="CP887" t="s">
        <v>431</v>
      </c>
      <c r="CQ887" t="s">
        <v>147</v>
      </c>
    </row>
    <row r="888" spans="1:95" x14ac:dyDescent="0.2">
      <c r="A888" t="s">
        <v>115</v>
      </c>
      <c r="B888" t="s">
        <v>116</v>
      </c>
      <c r="C888">
        <v>210784</v>
      </c>
      <c r="E888" t="s">
        <v>117</v>
      </c>
      <c r="F888">
        <v>368</v>
      </c>
      <c r="G888" t="s">
        <v>141</v>
      </c>
      <c r="H888" t="s">
        <v>142</v>
      </c>
      <c r="I888" t="s">
        <v>279</v>
      </c>
      <c r="J888" t="s">
        <v>280</v>
      </c>
      <c r="L888" s="14">
        <v>45856</v>
      </c>
      <c r="M888" s="18">
        <f t="shared" si="16"/>
        <v>45839</v>
      </c>
      <c r="N888">
        <v>5756663</v>
      </c>
      <c r="O888" t="s">
        <v>123</v>
      </c>
      <c r="P888" t="s">
        <v>146</v>
      </c>
      <c r="Q888">
        <v>4.71</v>
      </c>
      <c r="R888" t="s">
        <v>125</v>
      </c>
      <c r="S888" t="s">
        <v>126</v>
      </c>
      <c r="T888" t="s">
        <v>125</v>
      </c>
      <c r="U888" t="s">
        <v>126</v>
      </c>
      <c r="W888">
        <v>4.71</v>
      </c>
      <c r="Y888">
        <v>4.71</v>
      </c>
      <c r="AS888">
        <v>4.71</v>
      </c>
      <c r="BH888" t="s">
        <v>126</v>
      </c>
      <c r="BI888" t="s">
        <v>126</v>
      </c>
      <c r="BJ888" t="s">
        <v>126</v>
      </c>
      <c r="BK888" t="s">
        <v>126</v>
      </c>
      <c r="BS888" t="s">
        <v>126</v>
      </c>
      <c r="BT888" t="s">
        <v>126</v>
      </c>
      <c r="BU888" t="s">
        <v>126</v>
      </c>
      <c r="BV888" t="s">
        <v>126</v>
      </c>
      <c r="CN888" t="s">
        <v>147</v>
      </c>
      <c r="CP888" t="s">
        <v>431</v>
      </c>
      <c r="CQ888" t="s">
        <v>147</v>
      </c>
    </row>
    <row r="889" spans="1:95" x14ac:dyDescent="0.2">
      <c r="A889" t="s">
        <v>115</v>
      </c>
      <c r="B889" t="s">
        <v>116</v>
      </c>
      <c r="C889">
        <v>210784</v>
      </c>
      <c r="E889" t="s">
        <v>117</v>
      </c>
      <c r="F889">
        <v>368</v>
      </c>
      <c r="G889" t="s">
        <v>141</v>
      </c>
      <c r="H889" t="s">
        <v>142</v>
      </c>
      <c r="I889" t="s">
        <v>279</v>
      </c>
      <c r="J889" t="s">
        <v>280</v>
      </c>
      <c r="L889" s="14">
        <v>45856</v>
      </c>
      <c r="M889" s="18">
        <f t="shared" si="16"/>
        <v>45839</v>
      </c>
      <c r="N889">
        <v>5757034</v>
      </c>
      <c r="O889" t="s">
        <v>123</v>
      </c>
      <c r="P889" t="s">
        <v>146</v>
      </c>
      <c r="Q889">
        <v>4.76</v>
      </c>
      <c r="R889" t="s">
        <v>635</v>
      </c>
      <c r="S889" t="s">
        <v>126</v>
      </c>
      <c r="T889" t="s">
        <v>635</v>
      </c>
      <c r="U889" t="s">
        <v>636</v>
      </c>
      <c r="W889">
        <v>1.47</v>
      </c>
      <c r="X889">
        <v>3.29</v>
      </c>
      <c r="Y889">
        <v>4.76</v>
      </c>
      <c r="Z889">
        <v>1.81</v>
      </c>
      <c r="AG889">
        <v>1.47</v>
      </c>
      <c r="AI889">
        <v>1.48</v>
      </c>
      <c r="BH889" t="s">
        <v>126</v>
      </c>
      <c r="BI889" t="s">
        <v>126</v>
      </c>
      <c r="BJ889" t="s">
        <v>126</v>
      </c>
      <c r="BK889" t="s">
        <v>126</v>
      </c>
      <c r="BS889" t="s">
        <v>126</v>
      </c>
      <c r="BT889" t="s">
        <v>126</v>
      </c>
      <c r="BU889" t="s">
        <v>126</v>
      </c>
      <c r="BV889" t="s">
        <v>126</v>
      </c>
      <c r="CN889" t="s">
        <v>147</v>
      </c>
      <c r="CP889" t="s">
        <v>431</v>
      </c>
      <c r="CQ889" t="s">
        <v>147</v>
      </c>
    </row>
    <row r="890" spans="1:95" x14ac:dyDescent="0.2">
      <c r="A890" t="s">
        <v>115</v>
      </c>
      <c r="B890" t="s">
        <v>116</v>
      </c>
      <c r="C890">
        <v>210784</v>
      </c>
      <c r="E890" t="s">
        <v>117</v>
      </c>
      <c r="F890">
        <v>368</v>
      </c>
      <c r="G890" t="s">
        <v>141</v>
      </c>
      <c r="H890" t="s">
        <v>142</v>
      </c>
      <c r="I890" t="s">
        <v>279</v>
      </c>
      <c r="J890" t="s">
        <v>280</v>
      </c>
      <c r="L890" s="14">
        <v>45856</v>
      </c>
      <c r="M890" s="18">
        <f t="shared" si="16"/>
        <v>45839</v>
      </c>
      <c r="N890">
        <v>5757300</v>
      </c>
      <c r="O890" t="s">
        <v>123</v>
      </c>
      <c r="P890" t="s">
        <v>146</v>
      </c>
      <c r="Q890">
        <v>2</v>
      </c>
      <c r="R890" t="s">
        <v>681</v>
      </c>
      <c r="S890" t="s">
        <v>126</v>
      </c>
      <c r="T890" t="s">
        <v>681</v>
      </c>
      <c r="U890" t="s">
        <v>682</v>
      </c>
      <c r="W890">
        <v>0.62</v>
      </c>
      <c r="X890">
        <v>1.38</v>
      </c>
      <c r="Y890">
        <v>2</v>
      </c>
      <c r="Z890">
        <v>0.76</v>
      </c>
      <c r="AG890">
        <v>0.62</v>
      </c>
      <c r="AI890">
        <v>0.62</v>
      </c>
      <c r="BH890" t="s">
        <v>126</v>
      </c>
      <c r="BI890" t="s">
        <v>126</v>
      </c>
      <c r="BJ890" t="s">
        <v>126</v>
      </c>
      <c r="BK890" t="s">
        <v>126</v>
      </c>
      <c r="BS890" t="s">
        <v>126</v>
      </c>
      <c r="BT890" t="s">
        <v>126</v>
      </c>
      <c r="BU890" t="s">
        <v>126</v>
      </c>
      <c r="BV890" t="s">
        <v>126</v>
      </c>
      <c r="CN890" t="s">
        <v>147</v>
      </c>
      <c r="CP890" t="s">
        <v>431</v>
      </c>
      <c r="CQ890" t="s">
        <v>147</v>
      </c>
    </row>
    <row r="891" spans="1:95" x14ac:dyDescent="0.2">
      <c r="A891" t="s">
        <v>115</v>
      </c>
      <c r="B891" t="s">
        <v>116</v>
      </c>
      <c r="C891">
        <v>210784</v>
      </c>
      <c r="E891" t="s">
        <v>117</v>
      </c>
      <c r="F891">
        <v>368</v>
      </c>
      <c r="G891" t="s">
        <v>141</v>
      </c>
      <c r="H891" t="s">
        <v>142</v>
      </c>
      <c r="I891" t="s">
        <v>279</v>
      </c>
      <c r="J891" t="s">
        <v>280</v>
      </c>
      <c r="L891" s="14">
        <v>45857</v>
      </c>
      <c r="M891" s="18">
        <f t="shared" si="16"/>
        <v>45839</v>
      </c>
      <c r="N891">
        <v>5757377</v>
      </c>
      <c r="O891" t="s">
        <v>123</v>
      </c>
      <c r="P891" t="s">
        <v>146</v>
      </c>
      <c r="Q891">
        <v>4.17</v>
      </c>
      <c r="R891" t="s">
        <v>631</v>
      </c>
      <c r="S891" t="s">
        <v>126</v>
      </c>
      <c r="T891" t="s">
        <v>631</v>
      </c>
      <c r="U891" t="s">
        <v>632</v>
      </c>
      <c r="W891">
        <v>1.29</v>
      </c>
      <c r="X891">
        <v>2.88</v>
      </c>
      <c r="Y891">
        <v>4.17</v>
      </c>
      <c r="Z891">
        <v>1.58</v>
      </c>
      <c r="AG891">
        <v>1.29</v>
      </c>
      <c r="AI891">
        <v>1.3</v>
      </c>
      <c r="BH891" t="s">
        <v>126</v>
      </c>
      <c r="BI891" t="s">
        <v>126</v>
      </c>
      <c r="BJ891" t="s">
        <v>126</v>
      </c>
      <c r="BK891" t="s">
        <v>126</v>
      </c>
      <c r="BS891" t="s">
        <v>126</v>
      </c>
      <c r="BT891" t="s">
        <v>126</v>
      </c>
      <c r="BU891" t="s">
        <v>126</v>
      </c>
      <c r="BV891" t="s">
        <v>126</v>
      </c>
      <c r="CN891" t="s">
        <v>147</v>
      </c>
      <c r="CP891" t="s">
        <v>431</v>
      </c>
      <c r="CQ891" t="s">
        <v>147</v>
      </c>
    </row>
    <row r="892" spans="1:95" x14ac:dyDescent="0.2">
      <c r="A892" t="s">
        <v>115</v>
      </c>
      <c r="B892" t="s">
        <v>116</v>
      </c>
      <c r="C892">
        <v>210784</v>
      </c>
      <c r="E892" t="s">
        <v>117</v>
      </c>
      <c r="F892">
        <v>368</v>
      </c>
      <c r="G892" t="s">
        <v>141</v>
      </c>
      <c r="H892" t="s">
        <v>142</v>
      </c>
      <c r="I892" t="s">
        <v>279</v>
      </c>
      <c r="J892" t="s">
        <v>280</v>
      </c>
      <c r="L892" s="14">
        <v>45859</v>
      </c>
      <c r="M892" s="18">
        <f t="shared" si="16"/>
        <v>45839</v>
      </c>
      <c r="N892">
        <v>5757648</v>
      </c>
      <c r="O892" t="s">
        <v>123</v>
      </c>
      <c r="P892" t="s">
        <v>146</v>
      </c>
      <c r="Q892">
        <v>4.78</v>
      </c>
      <c r="R892" t="s">
        <v>125</v>
      </c>
      <c r="S892" t="s">
        <v>126</v>
      </c>
      <c r="T892" t="s">
        <v>125</v>
      </c>
      <c r="U892" t="s">
        <v>126</v>
      </c>
      <c r="W892">
        <v>4.78</v>
      </c>
      <c r="Y892">
        <v>4.78</v>
      </c>
      <c r="AS892">
        <v>4.78</v>
      </c>
      <c r="BH892" t="s">
        <v>126</v>
      </c>
      <c r="BI892" t="s">
        <v>126</v>
      </c>
      <c r="BJ892" t="s">
        <v>126</v>
      </c>
      <c r="BK892" t="s">
        <v>126</v>
      </c>
      <c r="BS892" t="s">
        <v>126</v>
      </c>
      <c r="BT892" t="s">
        <v>126</v>
      </c>
      <c r="BU892" t="s">
        <v>126</v>
      </c>
      <c r="BV892" t="s">
        <v>126</v>
      </c>
      <c r="CN892" t="s">
        <v>147</v>
      </c>
      <c r="CP892" t="s">
        <v>431</v>
      </c>
      <c r="CQ892" t="s">
        <v>147</v>
      </c>
    </row>
    <row r="893" spans="1:95" x14ac:dyDescent="0.2">
      <c r="A893" t="s">
        <v>115</v>
      </c>
      <c r="B893" t="s">
        <v>116</v>
      </c>
      <c r="C893">
        <v>210784</v>
      </c>
      <c r="E893" t="s">
        <v>117</v>
      </c>
      <c r="F893">
        <v>368</v>
      </c>
      <c r="G893" t="s">
        <v>141</v>
      </c>
      <c r="H893" t="s">
        <v>142</v>
      </c>
      <c r="I893" t="s">
        <v>279</v>
      </c>
      <c r="J893" t="s">
        <v>280</v>
      </c>
      <c r="L893" s="14">
        <v>45859</v>
      </c>
      <c r="M893" s="18">
        <f t="shared" si="16"/>
        <v>45839</v>
      </c>
      <c r="N893">
        <v>5758310</v>
      </c>
      <c r="O893" t="s">
        <v>123</v>
      </c>
      <c r="P893" t="s">
        <v>146</v>
      </c>
      <c r="Q893">
        <v>4.92</v>
      </c>
      <c r="R893" t="s">
        <v>125</v>
      </c>
      <c r="S893" t="s">
        <v>126</v>
      </c>
      <c r="T893" t="s">
        <v>125</v>
      </c>
      <c r="U893" t="s">
        <v>126</v>
      </c>
      <c r="W893">
        <v>4.92</v>
      </c>
      <c r="Y893">
        <v>4.92</v>
      </c>
      <c r="AS893">
        <v>4.92</v>
      </c>
      <c r="BH893" t="s">
        <v>126</v>
      </c>
      <c r="BI893" t="s">
        <v>126</v>
      </c>
      <c r="BJ893" t="s">
        <v>126</v>
      </c>
      <c r="BK893" t="s">
        <v>126</v>
      </c>
      <c r="BS893" t="s">
        <v>126</v>
      </c>
      <c r="BT893" t="s">
        <v>126</v>
      </c>
      <c r="BU893" t="s">
        <v>126</v>
      </c>
      <c r="BV893" t="s">
        <v>126</v>
      </c>
      <c r="CN893" t="s">
        <v>147</v>
      </c>
      <c r="CP893" t="s">
        <v>431</v>
      </c>
      <c r="CQ893" t="s">
        <v>147</v>
      </c>
    </row>
    <row r="894" spans="1:95" x14ac:dyDescent="0.2">
      <c r="A894" t="s">
        <v>115</v>
      </c>
      <c r="B894" t="s">
        <v>116</v>
      </c>
      <c r="C894">
        <v>210784</v>
      </c>
      <c r="E894" t="s">
        <v>117</v>
      </c>
      <c r="F894">
        <v>368</v>
      </c>
      <c r="G894" t="s">
        <v>141</v>
      </c>
      <c r="H894" t="s">
        <v>142</v>
      </c>
      <c r="I894" t="s">
        <v>279</v>
      </c>
      <c r="J894" t="s">
        <v>280</v>
      </c>
      <c r="L894" s="14">
        <v>45859</v>
      </c>
      <c r="M894" s="18">
        <f t="shared" si="16"/>
        <v>45839</v>
      </c>
      <c r="N894">
        <v>5758251</v>
      </c>
      <c r="O894" t="s">
        <v>123</v>
      </c>
      <c r="P894" t="s">
        <v>146</v>
      </c>
      <c r="Q894">
        <v>2.4699999999999998</v>
      </c>
      <c r="R894" t="s">
        <v>569</v>
      </c>
      <c r="S894" t="s">
        <v>126</v>
      </c>
      <c r="T894" t="s">
        <v>569</v>
      </c>
      <c r="U894" t="s">
        <v>570</v>
      </c>
      <c r="W894">
        <v>0.76</v>
      </c>
      <c r="X894">
        <v>1.71</v>
      </c>
      <c r="Y894">
        <v>2.4699999999999998</v>
      </c>
      <c r="Z894">
        <v>0.94</v>
      </c>
      <c r="AG894">
        <v>0.76</v>
      </c>
      <c r="AI894">
        <v>0.77</v>
      </c>
      <c r="BH894" t="s">
        <v>126</v>
      </c>
      <c r="BI894" t="s">
        <v>126</v>
      </c>
      <c r="BJ894" t="s">
        <v>126</v>
      </c>
      <c r="BK894" t="s">
        <v>126</v>
      </c>
      <c r="BS894" t="s">
        <v>126</v>
      </c>
      <c r="BT894" t="s">
        <v>126</v>
      </c>
      <c r="BU894" t="s">
        <v>126</v>
      </c>
      <c r="BV894" t="s">
        <v>126</v>
      </c>
      <c r="CN894" t="s">
        <v>147</v>
      </c>
      <c r="CP894" t="s">
        <v>431</v>
      </c>
      <c r="CQ894" t="s">
        <v>147</v>
      </c>
    </row>
    <row r="895" spans="1:95" x14ac:dyDescent="0.2">
      <c r="A895" t="s">
        <v>115</v>
      </c>
      <c r="B895" t="s">
        <v>116</v>
      </c>
      <c r="C895">
        <v>210784</v>
      </c>
      <c r="E895" t="s">
        <v>117</v>
      </c>
      <c r="F895">
        <v>368</v>
      </c>
      <c r="G895" t="s">
        <v>141</v>
      </c>
      <c r="H895" t="s">
        <v>142</v>
      </c>
      <c r="I895" t="s">
        <v>279</v>
      </c>
      <c r="J895" t="s">
        <v>280</v>
      </c>
      <c r="L895" s="14">
        <v>45860</v>
      </c>
      <c r="M895" s="18">
        <f t="shared" si="16"/>
        <v>45839</v>
      </c>
      <c r="N895">
        <v>5759020</v>
      </c>
      <c r="O895" t="s">
        <v>123</v>
      </c>
      <c r="P895" t="s">
        <v>146</v>
      </c>
      <c r="Q895">
        <v>3.78</v>
      </c>
      <c r="R895" t="s">
        <v>125</v>
      </c>
      <c r="S895" t="s">
        <v>126</v>
      </c>
      <c r="T895" t="s">
        <v>125</v>
      </c>
      <c r="U895" t="s">
        <v>126</v>
      </c>
      <c r="W895">
        <v>3.78</v>
      </c>
      <c r="Y895">
        <v>3.78</v>
      </c>
      <c r="AS895">
        <v>3.78</v>
      </c>
      <c r="BH895" t="s">
        <v>126</v>
      </c>
      <c r="BI895" t="s">
        <v>126</v>
      </c>
      <c r="BJ895" t="s">
        <v>126</v>
      </c>
      <c r="BK895" t="s">
        <v>126</v>
      </c>
      <c r="BS895" t="s">
        <v>126</v>
      </c>
      <c r="BT895" t="s">
        <v>126</v>
      </c>
      <c r="BU895" t="s">
        <v>126</v>
      </c>
      <c r="BV895" t="s">
        <v>126</v>
      </c>
      <c r="CN895" t="s">
        <v>147</v>
      </c>
      <c r="CP895" t="s">
        <v>431</v>
      </c>
      <c r="CQ895" t="s">
        <v>147</v>
      </c>
    </row>
    <row r="896" spans="1:95" x14ac:dyDescent="0.2">
      <c r="A896" t="s">
        <v>115</v>
      </c>
      <c r="B896" t="s">
        <v>116</v>
      </c>
      <c r="C896">
        <v>210784</v>
      </c>
      <c r="E896" t="s">
        <v>117</v>
      </c>
      <c r="F896">
        <v>368</v>
      </c>
      <c r="G896" t="s">
        <v>141</v>
      </c>
      <c r="H896" t="s">
        <v>142</v>
      </c>
      <c r="I896" t="s">
        <v>279</v>
      </c>
      <c r="J896" t="s">
        <v>280</v>
      </c>
      <c r="L896" s="14">
        <v>45861</v>
      </c>
      <c r="M896" s="18">
        <f t="shared" si="16"/>
        <v>45839</v>
      </c>
      <c r="N896">
        <v>5759879</v>
      </c>
      <c r="O896" t="s">
        <v>123</v>
      </c>
      <c r="P896" t="s">
        <v>146</v>
      </c>
      <c r="Q896">
        <v>4.17</v>
      </c>
      <c r="R896" t="s">
        <v>631</v>
      </c>
      <c r="S896" t="s">
        <v>126</v>
      </c>
      <c r="T896" t="s">
        <v>631</v>
      </c>
      <c r="U896" t="s">
        <v>632</v>
      </c>
      <c r="W896">
        <v>1.29</v>
      </c>
      <c r="X896">
        <v>2.88</v>
      </c>
      <c r="Y896">
        <v>4.17</v>
      </c>
      <c r="Z896">
        <v>1.58</v>
      </c>
      <c r="AG896">
        <v>1.29</v>
      </c>
      <c r="AI896">
        <v>1.3</v>
      </c>
      <c r="BH896" t="s">
        <v>126</v>
      </c>
      <c r="BI896" t="s">
        <v>126</v>
      </c>
      <c r="BJ896" t="s">
        <v>126</v>
      </c>
      <c r="BK896" t="s">
        <v>126</v>
      </c>
      <c r="BS896" t="s">
        <v>126</v>
      </c>
      <c r="BT896" t="s">
        <v>126</v>
      </c>
      <c r="BU896" t="s">
        <v>126</v>
      </c>
      <c r="BV896" t="s">
        <v>126</v>
      </c>
      <c r="CN896" t="s">
        <v>147</v>
      </c>
      <c r="CP896" t="s">
        <v>431</v>
      </c>
      <c r="CQ896" t="s">
        <v>147</v>
      </c>
    </row>
    <row r="897" spans="1:95" x14ac:dyDescent="0.2">
      <c r="A897" t="s">
        <v>115</v>
      </c>
      <c r="B897" t="s">
        <v>116</v>
      </c>
      <c r="C897">
        <v>210784</v>
      </c>
      <c r="E897" t="s">
        <v>117</v>
      </c>
      <c r="F897">
        <v>368</v>
      </c>
      <c r="G897" t="s">
        <v>141</v>
      </c>
      <c r="H897" t="s">
        <v>142</v>
      </c>
      <c r="I897" t="s">
        <v>279</v>
      </c>
      <c r="J897" t="s">
        <v>280</v>
      </c>
      <c r="L897" s="14">
        <v>45862</v>
      </c>
      <c r="M897" s="18">
        <f t="shared" si="16"/>
        <v>45839</v>
      </c>
      <c r="N897">
        <v>5760645</v>
      </c>
      <c r="O897" t="s">
        <v>123</v>
      </c>
      <c r="P897" t="s">
        <v>146</v>
      </c>
      <c r="Q897">
        <v>4.1900000000000004</v>
      </c>
      <c r="R897" t="s">
        <v>125</v>
      </c>
      <c r="S897" t="s">
        <v>126</v>
      </c>
      <c r="T897" t="s">
        <v>125</v>
      </c>
      <c r="U897" t="s">
        <v>126</v>
      </c>
      <c r="W897">
        <v>4.1900000000000004</v>
      </c>
      <c r="Y897">
        <v>4.1900000000000004</v>
      </c>
      <c r="BE897">
        <v>4.1900000000000004</v>
      </c>
      <c r="BH897" t="s">
        <v>126</v>
      </c>
      <c r="BI897" t="s">
        <v>126</v>
      </c>
      <c r="BJ897" t="s">
        <v>126</v>
      </c>
      <c r="BK897" t="s">
        <v>126</v>
      </c>
      <c r="BS897" t="s">
        <v>126</v>
      </c>
      <c r="BT897" t="s">
        <v>126</v>
      </c>
      <c r="BU897" t="s">
        <v>126</v>
      </c>
      <c r="BV897" t="s">
        <v>126</v>
      </c>
      <c r="CN897" t="s">
        <v>147</v>
      </c>
      <c r="CP897" t="s">
        <v>431</v>
      </c>
      <c r="CQ897" t="s">
        <v>147</v>
      </c>
    </row>
    <row r="898" spans="1:95" x14ac:dyDescent="0.2">
      <c r="A898" t="s">
        <v>115</v>
      </c>
      <c r="B898" t="s">
        <v>116</v>
      </c>
      <c r="C898">
        <v>210784</v>
      </c>
      <c r="E898" t="s">
        <v>117</v>
      </c>
      <c r="F898">
        <v>368</v>
      </c>
      <c r="G898" t="s">
        <v>141</v>
      </c>
      <c r="H898" t="s">
        <v>142</v>
      </c>
      <c r="I898" t="s">
        <v>279</v>
      </c>
      <c r="J898" t="s">
        <v>280</v>
      </c>
      <c r="L898" s="14">
        <v>45863</v>
      </c>
      <c r="M898" s="18">
        <f t="shared" si="16"/>
        <v>45839</v>
      </c>
      <c r="N898">
        <v>5760789</v>
      </c>
      <c r="O898" t="s">
        <v>123</v>
      </c>
      <c r="P898" t="s">
        <v>146</v>
      </c>
      <c r="Q898">
        <v>2.4300000000000002</v>
      </c>
      <c r="R898" t="s">
        <v>125</v>
      </c>
      <c r="S898" t="s">
        <v>126</v>
      </c>
      <c r="T898" t="s">
        <v>125</v>
      </c>
      <c r="U898" t="s">
        <v>126</v>
      </c>
      <c r="W898">
        <v>2.4300000000000002</v>
      </c>
      <c r="Y898">
        <v>2.4300000000000002</v>
      </c>
      <c r="AS898">
        <v>2.4300000000000002</v>
      </c>
      <c r="BH898" t="s">
        <v>126</v>
      </c>
      <c r="BI898" t="s">
        <v>126</v>
      </c>
      <c r="BJ898" t="s">
        <v>126</v>
      </c>
      <c r="BK898" t="s">
        <v>126</v>
      </c>
      <c r="BS898" t="s">
        <v>126</v>
      </c>
      <c r="BT898" t="s">
        <v>126</v>
      </c>
      <c r="BU898" t="s">
        <v>126</v>
      </c>
      <c r="BV898" t="s">
        <v>126</v>
      </c>
      <c r="CN898" t="s">
        <v>147</v>
      </c>
      <c r="CP898" t="s">
        <v>431</v>
      </c>
      <c r="CQ898" t="s">
        <v>147</v>
      </c>
    </row>
    <row r="899" spans="1:95" x14ac:dyDescent="0.2">
      <c r="A899" t="s">
        <v>115</v>
      </c>
      <c r="B899" t="s">
        <v>116</v>
      </c>
      <c r="C899">
        <v>210784</v>
      </c>
      <c r="E899" t="s">
        <v>117</v>
      </c>
      <c r="F899">
        <v>368</v>
      </c>
      <c r="G899" t="s">
        <v>141</v>
      </c>
      <c r="H899" t="s">
        <v>142</v>
      </c>
      <c r="I899" t="s">
        <v>279</v>
      </c>
      <c r="J899" t="s">
        <v>280</v>
      </c>
      <c r="L899" s="14">
        <v>45863</v>
      </c>
      <c r="M899" s="18">
        <f t="shared" si="16"/>
        <v>45839</v>
      </c>
      <c r="N899">
        <v>5761394</v>
      </c>
      <c r="O899" t="s">
        <v>123</v>
      </c>
      <c r="P899" t="s">
        <v>146</v>
      </c>
      <c r="Q899">
        <v>4.04</v>
      </c>
      <c r="R899" t="s">
        <v>125</v>
      </c>
      <c r="S899" t="s">
        <v>126</v>
      </c>
      <c r="T899" t="s">
        <v>125</v>
      </c>
      <c r="U899" t="s">
        <v>126</v>
      </c>
      <c r="W899">
        <v>4.04</v>
      </c>
      <c r="Y899">
        <v>4.04</v>
      </c>
      <c r="AS899">
        <v>4.04</v>
      </c>
      <c r="BH899" t="s">
        <v>126</v>
      </c>
      <c r="BI899" t="s">
        <v>126</v>
      </c>
      <c r="BJ899" t="s">
        <v>126</v>
      </c>
      <c r="BK899" t="s">
        <v>126</v>
      </c>
      <c r="BS899" t="s">
        <v>126</v>
      </c>
      <c r="BT899" t="s">
        <v>126</v>
      </c>
      <c r="BU899" t="s">
        <v>126</v>
      </c>
      <c r="BV899" t="s">
        <v>126</v>
      </c>
      <c r="CN899" t="s">
        <v>147</v>
      </c>
      <c r="CP899" t="s">
        <v>431</v>
      </c>
      <c r="CQ899" t="s">
        <v>147</v>
      </c>
    </row>
    <row r="900" spans="1:95" x14ac:dyDescent="0.2">
      <c r="A900" t="s">
        <v>115</v>
      </c>
      <c r="B900" t="s">
        <v>116</v>
      </c>
      <c r="C900">
        <v>210784</v>
      </c>
      <c r="E900" t="s">
        <v>117</v>
      </c>
      <c r="F900">
        <v>368</v>
      </c>
      <c r="G900" t="s">
        <v>141</v>
      </c>
      <c r="H900" t="s">
        <v>142</v>
      </c>
      <c r="I900" t="s">
        <v>279</v>
      </c>
      <c r="J900" t="s">
        <v>280</v>
      </c>
      <c r="L900" s="14">
        <v>45866</v>
      </c>
      <c r="M900" s="18">
        <f t="shared" si="16"/>
        <v>45839</v>
      </c>
      <c r="N900">
        <v>5762375</v>
      </c>
      <c r="O900" t="s">
        <v>123</v>
      </c>
      <c r="P900" t="s">
        <v>146</v>
      </c>
      <c r="Q900">
        <v>5.63</v>
      </c>
      <c r="R900" t="s">
        <v>125</v>
      </c>
      <c r="S900" t="s">
        <v>126</v>
      </c>
      <c r="T900" t="s">
        <v>125</v>
      </c>
      <c r="U900" t="s">
        <v>126</v>
      </c>
      <c r="W900">
        <v>5.63</v>
      </c>
      <c r="Y900">
        <v>5.63</v>
      </c>
      <c r="AS900">
        <v>5.63</v>
      </c>
      <c r="BH900" t="s">
        <v>126</v>
      </c>
      <c r="BI900" t="s">
        <v>126</v>
      </c>
      <c r="BJ900" t="s">
        <v>126</v>
      </c>
      <c r="BK900" t="s">
        <v>126</v>
      </c>
      <c r="BS900" t="s">
        <v>126</v>
      </c>
      <c r="BT900" t="s">
        <v>126</v>
      </c>
      <c r="BU900" t="s">
        <v>126</v>
      </c>
      <c r="BV900" t="s">
        <v>126</v>
      </c>
      <c r="CN900" t="s">
        <v>147</v>
      </c>
      <c r="CP900" t="s">
        <v>431</v>
      </c>
      <c r="CQ900" t="s">
        <v>147</v>
      </c>
    </row>
    <row r="901" spans="1:95" x14ac:dyDescent="0.2">
      <c r="A901" t="s">
        <v>115</v>
      </c>
      <c r="B901" t="s">
        <v>116</v>
      </c>
      <c r="C901">
        <v>210784</v>
      </c>
      <c r="E901" t="s">
        <v>117</v>
      </c>
      <c r="F901">
        <v>368</v>
      </c>
      <c r="G901" t="s">
        <v>141</v>
      </c>
      <c r="H901" t="s">
        <v>142</v>
      </c>
      <c r="I901" t="s">
        <v>279</v>
      </c>
      <c r="J901" t="s">
        <v>280</v>
      </c>
      <c r="L901" s="14">
        <v>45867</v>
      </c>
      <c r="M901" s="18">
        <f t="shared" si="16"/>
        <v>45839</v>
      </c>
      <c r="N901">
        <v>5763284</v>
      </c>
      <c r="O901" t="s">
        <v>123</v>
      </c>
      <c r="P901" t="s">
        <v>146</v>
      </c>
      <c r="Q901">
        <v>4.5199999999999996</v>
      </c>
      <c r="R901" t="s">
        <v>125</v>
      </c>
      <c r="S901" t="s">
        <v>126</v>
      </c>
      <c r="T901" t="s">
        <v>125</v>
      </c>
      <c r="U901" t="s">
        <v>126</v>
      </c>
      <c r="W901">
        <v>4.5199999999999996</v>
      </c>
      <c r="Y901">
        <v>4.5199999999999996</v>
      </c>
      <c r="AS901">
        <v>4.5199999999999996</v>
      </c>
      <c r="BH901" t="s">
        <v>126</v>
      </c>
      <c r="BI901" t="s">
        <v>126</v>
      </c>
      <c r="BJ901" t="s">
        <v>126</v>
      </c>
      <c r="BK901" t="s">
        <v>126</v>
      </c>
      <c r="BS901" t="s">
        <v>126</v>
      </c>
      <c r="BT901" t="s">
        <v>126</v>
      </c>
      <c r="BU901" t="s">
        <v>126</v>
      </c>
      <c r="BV901" t="s">
        <v>126</v>
      </c>
      <c r="CN901" t="s">
        <v>147</v>
      </c>
      <c r="CP901" t="s">
        <v>442</v>
      </c>
      <c r="CQ901" t="s">
        <v>147</v>
      </c>
    </row>
    <row r="902" spans="1:95" x14ac:dyDescent="0.2">
      <c r="A902" t="s">
        <v>115</v>
      </c>
      <c r="B902" t="s">
        <v>116</v>
      </c>
      <c r="C902">
        <v>210784</v>
      </c>
      <c r="E902" t="s">
        <v>117</v>
      </c>
      <c r="F902">
        <v>368</v>
      </c>
      <c r="G902" t="s">
        <v>141</v>
      </c>
      <c r="H902" t="s">
        <v>142</v>
      </c>
      <c r="I902" t="s">
        <v>279</v>
      </c>
      <c r="J902" t="s">
        <v>280</v>
      </c>
      <c r="L902" s="14">
        <v>45869</v>
      </c>
      <c r="M902" s="18">
        <f t="shared" si="16"/>
        <v>45839</v>
      </c>
      <c r="N902">
        <v>5764726</v>
      </c>
      <c r="O902" t="s">
        <v>123</v>
      </c>
      <c r="P902" t="s">
        <v>146</v>
      </c>
      <c r="Q902">
        <v>4.1000000000000005</v>
      </c>
      <c r="R902" t="s">
        <v>673</v>
      </c>
      <c r="S902" t="s">
        <v>126</v>
      </c>
      <c r="T902" t="s">
        <v>673</v>
      </c>
      <c r="U902" t="s">
        <v>674</v>
      </c>
      <c r="W902">
        <v>1.26</v>
      </c>
      <c r="X902">
        <v>2.84</v>
      </c>
      <c r="Y902">
        <v>4.1000000000000005</v>
      </c>
      <c r="Z902">
        <v>1.56</v>
      </c>
      <c r="AG902">
        <v>1.26</v>
      </c>
      <c r="AI902">
        <v>1.28</v>
      </c>
      <c r="BH902" t="s">
        <v>126</v>
      </c>
      <c r="BI902" t="s">
        <v>126</v>
      </c>
      <c r="BJ902" t="s">
        <v>126</v>
      </c>
      <c r="BK902" t="s">
        <v>126</v>
      </c>
      <c r="BS902" t="s">
        <v>126</v>
      </c>
      <c r="BT902" t="s">
        <v>126</v>
      </c>
      <c r="BU902" t="s">
        <v>126</v>
      </c>
      <c r="BV902" t="s">
        <v>126</v>
      </c>
      <c r="CN902" t="s">
        <v>147</v>
      </c>
      <c r="CP902" t="s">
        <v>442</v>
      </c>
      <c r="CQ902" t="s">
        <v>147</v>
      </c>
    </row>
    <row r="903" spans="1:95" x14ac:dyDescent="0.2">
      <c r="A903" t="s">
        <v>115</v>
      </c>
      <c r="B903" t="s">
        <v>116</v>
      </c>
      <c r="C903">
        <v>210784</v>
      </c>
      <c r="E903" t="s">
        <v>117</v>
      </c>
      <c r="F903">
        <v>368</v>
      </c>
      <c r="G903" t="s">
        <v>141</v>
      </c>
      <c r="H903" t="s">
        <v>142</v>
      </c>
      <c r="I903" t="s">
        <v>279</v>
      </c>
      <c r="J903" t="s">
        <v>280</v>
      </c>
      <c r="L903" s="14">
        <v>45869</v>
      </c>
      <c r="M903" s="18">
        <f t="shared" si="16"/>
        <v>45839</v>
      </c>
      <c r="N903">
        <v>5764777</v>
      </c>
      <c r="O903" t="s">
        <v>123</v>
      </c>
      <c r="P903" t="s">
        <v>146</v>
      </c>
      <c r="Q903">
        <v>4.1000000000000005</v>
      </c>
      <c r="R903" t="s">
        <v>673</v>
      </c>
      <c r="S903" t="s">
        <v>126</v>
      </c>
      <c r="T903" t="s">
        <v>673</v>
      </c>
      <c r="U903" t="s">
        <v>674</v>
      </c>
      <c r="W903">
        <v>1.26</v>
      </c>
      <c r="X903">
        <v>2.84</v>
      </c>
      <c r="Y903">
        <v>4.1000000000000005</v>
      </c>
      <c r="Z903">
        <v>1.56</v>
      </c>
      <c r="AG903">
        <v>1.26</v>
      </c>
      <c r="AI903">
        <v>1.28</v>
      </c>
      <c r="BH903" t="s">
        <v>126</v>
      </c>
      <c r="BI903" t="s">
        <v>126</v>
      </c>
      <c r="BJ903" t="s">
        <v>126</v>
      </c>
      <c r="BK903" t="s">
        <v>126</v>
      </c>
      <c r="BS903" t="s">
        <v>126</v>
      </c>
      <c r="BT903" t="s">
        <v>126</v>
      </c>
      <c r="BU903" t="s">
        <v>126</v>
      </c>
      <c r="BV903" t="s">
        <v>126</v>
      </c>
      <c r="CN903" t="s">
        <v>147</v>
      </c>
      <c r="CP903" t="s">
        <v>442</v>
      </c>
      <c r="CQ903" t="s">
        <v>147</v>
      </c>
    </row>
    <row r="904" spans="1:95" x14ac:dyDescent="0.2">
      <c r="A904" t="s">
        <v>115</v>
      </c>
      <c r="B904" t="s">
        <v>116</v>
      </c>
      <c r="C904">
        <v>210784</v>
      </c>
      <c r="E904" t="s">
        <v>117</v>
      </c>
      <c r="F904">
        <v>368</v>
      </c>
      <c r="G904" t="s">
        <v>141</v>
      </c>
      <c r="H904" t="s">
        <v>142</v>
      </c>
      <c r="I904" t="s">
        <v>279</v>
      </c>
      <c r="J904" t="s">
        <v>280</v>
      </c>
      <c r="L904" s="14">
        <v>45869</v>
      </c>
      <c r="M904" s="18">
        <f t="shared" si="16"/>
        <v>45839</v>
      </c>
      <c r="N904">
        <v>5764889</v>
      </c>
      <c r="O904" t="s">
        <v>123</v>
      </c>
      <c r="P904" t="s">
        <v>146</v>
      </c>
      <c r="Q904">
        <v>3.3200000000000003</v>
      </c>
      <c r="R904" t="s">
        <v>544</v>
      </c>
      <c r="S904" t="s">
        <v>126</v>
      </c>
      <c r="T904" t="s">
        <v>544</v>
      </c>
      <c r="U904" t="s">
        <v>545</v>
      </c>
      <c r="W904">
        <v>1.02</v>
      </c>
      <c r="X904">
        <v>2.2999999999999998</v>
      </c>
      <c r="Y904">
        <v>3.3200000000000003</v>
      </c>
      <c r="Z904">
        <v>1.27</v>
      </c>
      <c r="AG904">
        <v>1.02</v>
      </c>
      <c r="AI904">
        <v>1.03</v>
      </c>
      <c r="BH904" t="s">
        <v>126</v>
      </c>
      <c r="BI904" t="s">
        <v>126</v>
      </c>
      <c r="BJ904" t="s">
        <v>126</v>
      </c>
      <c r="BK904" t="s">
        <v>126</v>
      </c>
      <c r="BS904" t="s">
        <v>126</v>
      </c>
      <c r="BT904" t="s">
        <v>126</v>
      </c>
      <c r="BU904" t="s">
        <v>126</v>
      </c>
      <c r="BV904" t="s">
        <v>126</v>
      </c>
      <c r="CN904" t="s">
        <v>147</v>
      </c>
      <c r="CP904" t="s">
        <v>442</v>
      </c>
      <c r="CQ904" t="s">
        <v>147</v>
      </c>
    </row>
    <row r="905" spans="1:95" x14ac:dyDescent="0.2">
      <c r="A905" t="s">
        <v>115</v>
      </c>
      <c r="B905" t="s">
        <v>116</v>
      </c>
      <c r="C905">
        <v>210784</v>
      </c>
      <c r="E905" t="s">
        <v>117</v>
      </c>
      <c r="F905">
        <v>368</v>
      </c>
      <c r="G905" t="s">
        <v>141</v>
      </c>
      <c r="H905" t="s">
        <v>142</v>
      </c>
      <c r="I905" t="s">
        <v>279</v>
      </c>
      <c r="J905" t="s">
        <v>280</v>
      </c>
      <c r="L905" s="14">
        <v>45870</v>
      </c>
      <c r="M905" s="18">
        <f t="shared" si="16"/>
        <v>45870</v>
      </c>
      <c r="N905">
        <v>5765738</v>
      </c>
      <c r="O905" t="s">
        <v>123</v>
      </c>
      <c r="P905" t="s">
        <v>146</v>
      </c>
      <c r="Q905">
        <v>3.96</v>
      </c>
      <c r="R905" t="s">
        <v>610</v>
      </c>
      <c r="S905" t="s">
        <v>126</v>
      </c>
      <c r="T905" t="s">
        <v>610</v>
      </c>
      <c r="U905" t="s">
        <v>611</v>
      </c>
      <c r="W905">
        <v>1.22</v>
      </c>
      <c r="X905">
        <v>2.74</v>
      </c>
      <c r="Y905">
        <v>3.96</v>
      </c>
      <c r="Z905">
        <v>1.51</v>
      </c>
      <c r="AG905">
        <v>1.22</v>
      </c>
      <c r="AI905">
        <v>1.23</v>
      </c>
      <c r="BH905" t="s">
        <v>126</v>
      </c>
      <c r="BI905" t="s">
        <v>126</v>
      </c>
      <c r="BJ905" t="s">
        <v>126</v>
      </c>
      <c r="BK905" t="s">
        <v>126</v>
      </c>
      <c r="BS905" t="s">
        <v>126</v>
      </c>
      <c r="BT905" t="s">
        <v>126</v>
      </c>
      <c r="BU905" t="s">
        <v>126</v>
      </c>
      <c r="BV905" t="s">
        <v>126</v>
      </c>
      <c r="CN905" t="s">
        <v>147</v>
      </c>
      <c r="CP905" t="s">
        <v>442</v>
      </c>
      <c r="CQ905" t="s">
        <v>147</v>
      </c>
    </row>
    <row r="906" spans="1:95" x14ac:dyDescent="0.2">
      <c r="A906" t="s">
        <v>115</v>
      </c>
      <c r="B906" t="s">
        <v>116</v>
      </c>
      <c r="C906">
        <v>210784</v>
      </c>
      <c r="E906" t="s">
        <v>117</v>
      </c>
      <c r="F906">
        <v>368</v>
      </c>
      <c r="G906" t="s">
        <v>141</v>
      </c>
      <c r="H906" t="s">
        <v>142</v>
      </c>
      <c r="I906" t="s">
        <v>279</v>
      </c>
      <c r="J906" t="s">
        <v>280</v>
      </c>
      <c r="L906" s="14">
        <v>45871</v>
      </c>
      <c r="M906" s="18">
        <f t="shared" si="16"/>
        <v>45870</v>
      </c>
      <c r="N906">
        <v>5765895</v>
      </c>
      <c r="O906" t="s">
        <v>123</v>
      </c>
      <c r="P906" t="s">
        <v>146</v>
      </c>
      <c r="Q906">
        <v>5.9399999999999995</v>
      </c>
      <c r="R906" t="s">
        <v>610</v>
      </c>
      <c r="S906" t="s">
        <v>126</v>
      </c>
      <c r="T906" t="s">
        <v>610</v>
      </c>
      <c r="U906" t="s">
        <v>611</v>
      </c>
      <c r="W906">
        <v>1.83</v>
      </c>
      <c r="X906">
        <v>4.1099999999999994</v>
      </c>
      <c r="Y906">
        <v>5.9399999999999995</v>
      </c>
      <c r="Z906">
        <v>2.2599999999999998</v>
      </c>
      <c r="AG906">
        <v>1.83</v>
      </c>
      <c r="AI906">
        <v>1.85</v>
      </c>
      <c r="BH906" t="s">
        <v>126</v>
      </c>
      <c r="BI906" t="s">
        <v>126</v>
      </c>
      <c r="BJ906" t="s">
        <v>126</v>
      </c>
      <c r="BK906" t="s">
        <v>126</v>
      </c>
      <c r="BS906" t="s">
        <v>126</v>
      </c>
      <c r="BT906" t="s">
        <v>126</v>
      </c>
      <c r="BU906" t="s">
        <v>126</v>
      </c>
      <c r="BV906" t="s">
        <v>126</v>
      </c>
      <c r="CN906" t="s">
        <v>147</v>
      </c>
      <c r="CP906" t="s">
        <v>442</v>
      </c>
      <c r="CQ906" t="s">
        <v>147</v>
      </c>
    </row>
    <row r="907" spans="1:95" x14ac:dyDescent="0.2">
      <c r="A907" t="s">
        <v>115</v>
      </c>
      <c r="B907" t="s">
        <v>116</v>
      </c>
      <c r="C907">
        <v>210784</v>
      </c>
      <c r="E907" t="s">
        <v>117</v>
      </c>
      <c r="F907">
        <v>368</v>
      </c>
      <c r="G907" t="s">
        <v>141</v>
      </c>
      <c r="H907" t="s">
        <v>142</v>
      </c>
      <c r="I907" t="s">
        <v>279</v>
      </c>
      <c r="J907" t="s">
        <v>280</v>
      </c>
      <c r="L907" s="14">
        <v>45871</v>
      </c>
      <c r="M907" s="18">
        <f t="shared" ref="M907:M970" si="17">DATE(YEAR(L907), MONTH(L907), 1)</f>
        <v>45870</v>
      </c>
      <c r="N907">
        <v>5765863</v>
      </c>
      <c r="O907" t="s">
        <v>123</v>
      </c>
      <c r="P907" t="s">
        <v>146</v>
      </c>
      <c r="Q907">
        <v>0.9</v>
      </c>
      <c r="R907" t="s">
        <v>125</v>
      </c>
      <c r="S907" t="s">
        <v>126</v>
      </c>
      <c r="T907" t="s">
        <v>125</v>
      </c>
      <c r="U907" t="s">
        <v>126</v>
      </c>
      <c r="W907">
        <v>0.9</v>
      </c>
      <c r="Y907">
        <v>0.9</v>
      </c>
      <c r="BE907">
        <v>0.9</v>
      </c>
      <c r="BH907" t="s">
        <v>126</v>
      </c>
      <c r="BI907" t="s">
        <v>126</v>
      </c>
      <c r="BJ907" t="s">
        <v>126</v>
      </c>
      <c r="BK907" t="s">
        <v>126</v>
      </c>
      <c r="BS907" t="s">
        <v>126</v>
      </c>
      <c r="BT907" t="s">
        <v>126</v>
      </c>
      <c r="BU907" t="s">
        <v>126</v>
      </c>
      <c r="BV907" t="s">
        <v>126</v>
      </c>
      <c r="CN907" t="s">
        <v>147</v>
      </c>
      <c r="CP907" t="s">
        <v>442</v>
      </c>
      <c r="CQ907" t="s">
        <v>147</v>
      </c>
    </row>
    <row r="908" spans="1:95" x14ac:dyDescent="0.2">
      <c r="A908" t="s">
        <v>115</v>
      </c>
      <c r="B908" t="s">
        <v>116</v>
      </c>
      <c r="C908">
        <v>210784</v>
      </c>
      <c r="E908" t="s">
        <v>117</v>
      </c>
      <c r="F908">
        <v>368</v>
      </c>
      <c r="G908" t="s">
        <v>141</v>
      </c>
      <c r="H908" t="s">
        <v>142</v>
      </c>
      <c r="I908" t="s">
        <v>279</v>
      </c>
      <c r="J908" t="s">
        <v>280</v>
      </c>
      <c r="L908" s="14">
        <v>45873</v>
      </c>
      <c r="M908" s="18">
        <f t="shared" si="17"/>
        <v>45870</v>
      </c>
      <c r="N908">
        <v>5766780</v>
      </c>
      <c r="O908" t="s">
        <v>123</v>
      </c>
      <c r="P908" t="s">
        <v>146</v>
      </c>
      <c r="Q908">
        <v>1.1200000000000001</v>
      </c>
      <c r="R908" t="s">
        <v>125</v>
      </c>
      <c r="S908" t="s">
        <v>126</v>
      </c>
      <c r="T908" t="s">
        <v>125</v>
      </c>
      <c r="U908" t="s">
        <v>126</v>
      </c>
      <c r="W908">
        <v>1.1200000000000001</v>
      </c>
      <c r="Y908">
        <v>1.1200000000000001</v>
      </c>
      <c r="AS908">
        <v>1.1200000000000001</v>
      </c>
      <c r="BH908" t="s">
        <v>126</v>
      </c>
      <c r="BI908" t="s">
        <v>126</v>
      </c>
      <c r="BJ908" t="s">
        <v>126</v>
      </c>
      <c r="BK908" t="s">
        <v>126</v>
      </c>
      <c r="BS908" t="s">
        <v>126</v>
      </c>
      <c r="BT908" t="s">
        <v>126</v>
      </c>
      <c r="BU908" t="s">
        <v>126</v>
      </c>
      <c r="BV908" t="s">
        <v>126</v>
      </c>
      <c r="CN908" t="s">
        <v>147</v>
      </c>
      <c r="CP908" t="s">
        <v>442</v>
      </c>
      <c r="CQ908" t="s">
        <v>147</v>
      </c>
    </row>
    <row r="909" spans="1:95" x14ac:dyDescent="0.2">
      <c r="A909" t="s">
        <v>115</v>
      </c>
      <c r="B909" t="s">
        <v>116</v>
      </c>
      <c r="C909">
        <v>210784</v>
      </c>
      <c r="E909" t="s">
        <v>117</v>
      </c>
      <c r="F909">
        <v>368</v>
      </c>
      <c r="G909" t="s">
        <v>141</v>
      </c>
      <c r="H909" t="s">
        <v>142</v>
      </c>
      <c r="I909" t="s">
        <v>279</v>
      </c>
      <c r="J909" t="s">
        <v>280</v>
      </c>
      <c r="L909" s="14">
        <v>45875</v>
      </c>
      <c r="M909" s="18">
        <f t="shared" si="17"/>
        <v>45870</v>
      </c>
      <c r="N909">
        <v>5768325</v>
      </c>
      <c r="O909" t="s">
        <v>123</v>
      </c>
      <c r="P909" t="s">
        <v>146</v>
      </c>
      <c r="Q909">
        <v>3.9</v>
      </c>
      <c r="R909" t="s">
        <v>125</v>
      </c>
      <c r="S909" t="s">
        <v>126</v>
      </c>
      <c r="T909" t="s">
        <v>125</v>
      </c>
      <c r="U909" t="s">
        <v>126</v>
      </c>
      <c r="W909">
        <v>3.9</v>
      </c>
      <c r="Y909">
        <v>3.9</v>
      </c>
      <c r="AS909">
        <v>3.9</v>
      </c>
      <c r="BH909" t="s">
        <v>126</v>
      </c>
      <c r="BI909" t="s">
        <v>126</v>
      </c>
      <c r="BJ909" t="s">
        <v>126</v>
      </c>
      <c r="BK909" t="s">
        <v>126</v>
      </c>
      <c r="BS909" t="s">
        <v>126</v>
      </c>
      <c r="BT909" t="s">
        <v>126</v>
      </c>
      <c r="BU909" t="s">
        <v>126</v>
      </c>
      <c r="BV909" t="s">
        <v>126</v>
      </c>
      <c r="CN909" t="s">
        <v>147</v>
      </c>
      <c r="CP909" t="s">
        <v>442</v>
      </c>
      <c r="CQ909" t="s">
        <v>147</v>
      </c>
    </row>
    <row r="910" spans="1:95" x14ac:dyDescent="0.2">
      <c r="A910" t="s">
        <v>115</v>
      </c>
      <c r="B910" t="s">
        <v>116</v>
      </c>
      <c r="C910">
        <v>210784</v>
      </c>
      <c r="E910" t="s">
        <v>117</v>
      </c>
      <c r="F910">
        <v>368</v>
      </c>
      <c r="G910" t="s">
        <v>141</v>
      </c>
      <c r="H910" t="s">
        <v>142</v>
      </c>
      <c r="I910" t="s">
        <v>279</v>
      </c>
      <c r="J910" t="s">
        <v>280</v>
      </c>
      <c r="L910" s="14">
        <v>45876</v>
      </c>
      <c r="M910" s="18">
        <f t="shared" si="17"/>
        <v>45870</v>
      </c>
      <c r="N910">
        <v>5769247</v>
      </c>
      <c r="O910" t="s">
        <v>123</v>
      </c>
      <c r="P910" t="s">
        <v>146</v>
      </c>
      <c r="Q910">
        <v>3.51</v>
      </c>
      <c r="R910" t="s">
        <v>125</v>
      </c>
      <c r="S910" t="s">
        <v>126</v>
      </c>
      <c r="T910" t="s">
        <v>125</v>
      </c>
      <c r="U910" t="s">
        <v>126</v>
      </c>
      <c r="W910">
        <v>3.51</v>
      </c>
      <c r="Y910">
        <v>3.51</v>
      </c>
      <c r="AS910">
        <v>3.51</v>
      </c>
      <c r="BH910" t="s">
        <v>126</v>
      </c>
      <c r="BI910" t="s">
        <v>126</v>
      </c>
      <c r="BJ910" t="s">
        <v>126</v>
      </c>
      <c r="BK910" t="s">
        <v>126</v>
      </c>
      <c r="BS910" t="s">
        <v>126</v>
      </c>
      <c r="BT910" t="s">
        <v>126</v>
      </c>
      <c r="BU910" t="s">
        <v>126</v>
      </c>
      <c r="BV910" t="s">
        <v>126</v>
      </c>
      <c r="CN910" t="s">
        <v>147</v>
      </c>
      <c r="CP910" t="s">
        <v>442</v>
      </c>
      <c r="CQ910" t="s">
        <v>147</v>
      </c>
    </row>
    <row r="911" spans="1:95" x14ac:dyDescent="0.2">
      <c r="A911" t="s">
        <v>115</v>
      </c>
      <c r="B911" t="s">
        <v>116</v>
      </c>
      <c r="C911">
        <v>210784</v>
      </c>
      <c r="E911" t="s">
        <v>117</v>
      </c>
      <c r="F911">
        <v>368</v>
      </c>
      <c r="G911" t="s">
        <v>141</v>
      </c>
      <c r="H911" t="s">
        <v>142</v>
      </c>
      <c r="I911" t="s">
        <v>279</v>
      </c>
      <c r="J911" t="s">
        <v>280</v>
      </c>
      <c r="L911" s="14">
        <v>45876</v>
      </c>
      <c r="M911" s="18">
        <f t="shared" si="17"/>
        <v>45870</v>
      </c>
      <c r="N911">
        <v>5768551</v>
      </c>
      <c r="O911" t="s">
        <v>123</v>
      </c>
      <c r="P911" t="s">
        <v>146</v>
      </c>
      <c r="Q911">
        <v>3.99</v>
      </c>
      <c r="R911" t="s">
        <v>602</v>
      </c>
      <c r="S911" t="s">
        <v>126</v>
      </c>
      <c r="T911" t="s">
        <v>602</v>
      </c>
      <c r="U911" t="s">
        <v>603</v>
      </c>
      <c r="W911">
        <v>1.23</v>
      </c>
      <c r="X911">
        <v>2.76</v>
      </c>
      <c r="Y911">
        <v>3.99</v>
      </c>
      <c r="Z911">
        <v>1.52</v>
      </c>
      <c r="AG911">
        <v>1.23</v>
      </c>
      <c r="AI911">
        <v>1.24</v>
      </c>
      <c r="BH911" t="s">
        <v>126</v>
      </c>
      <c r="BI911" t="s">
        <v>126</v>
      </c>
      <c r="BJ911" t="s">
        <v>126</v>
      </c>
      <c r="BK911" t="s">
        <v>126</v>
      </c>
      <c r="BS911" t="s">
        <v>126</v>
      </c>
      <c r="BT911" t="s">
        <v>126</v>
      </c>
      <c r="BU911" t="s">
        <v>126</v>
      </c>
      <c r="BV911" t="s">
        <v>126</v>
      </c>
      <c r="CN911" t="s">
        <v>147</v>
      </c>
      <c r="CP911" t="s">
        <v>442</v>
      </c>
      <c r="CQ911" t="s">
        <v>147</v>
      </c>
    </row>
    <row r="912" spans="1:95" x14ac:dyDescent="0.2">
      <c r="A912" t="s">
        <v>115</v>
      </c>
      <c r="B912" t="s">
        <v>116</v>
      </c>
      <c r="C912">
        <v>210784</v>
      </c>
      <c r="E912" t="s">
        <v>117</v>
      </c>
      <c r="F912">
        <v>368</v>
      </c>
      <c r="G912" t="s">
        <v>141</v>
      </c>
      <c r="H912" t="s">
        <v>142</v>
      </c>
      <c r="I912" t="s">
        <v>279</v>
      </c>
      <c r="J912" t="s">
        <v>280</v>
      </c>
      <c r="L912" s="14">
        <v>45877</v>
      </c>
      <c r="M912" s="18">
        <f t="shared" si="17"/>
        <v>45870</v>
      </c>
      <c r="N912">
        <v>5770098</v>
      </c>
      <c r="O912" t="s">
        <v>123</v>
      </c>
      <c r="P912" t="s">
        <v>146</v>
      </c>
      <c r="Q912">
        <v>4.59</v>
      </c>
      <c r="R912" t="s">
        <v>125</v>
      </c>
      <c r="S912" t="s">
        <v>126</v>
      </c>
      <c r="T912" t="s">
        <v>125</v>
      </c>
      <c r="U912" t="s">
        <v>126</v>
      </c>
      <c r="W912">
        <v>4.59</v>
      </c>
      <c r="Y912">
        <v>4.59</v>
      </c>
      <c r="AS912">
        <v>4.59</v>
      </c>
      <c r="BH912" t="s">
        <v>126</v>
      </c>
      <c r="BI912" t="s">
        <v>126</v>
      </c>
      <c r="BJ912" t="s">
        <v>126</v>
      </c>
      <c r="BK912" t="s">
        <v>126</v>
      </c>
      <c r="BS912" t="s">
        <v>126</v>
      </c>
      <c r="BT912" t="s">
        <v>126</v>
      </c>
      <c r="BU912" t="s">
        <v>126</v>
      </c>
      <c r="BV912" t="s">
        <v>126</v>
      </c>
      <c r="CN912" t="s">
        <v>147</v>
      </c>
      <c r="CP912" t="s">
        <v>442</v>
      </c>
      <c r="CQ912" t="s">
        <v>147</v>
      </c>
    </row>
    <row r="913" spans="1:95" x14ac:dyDescent="0.2">
      <c r="A913" t="s">
        <v>115</v>
      </c>
      <c r="B913" t="s">
        <v>116</v>
      </c>
      <c r="C913">
        <v>210784</v>
      </c>
      <c r="E913" t="s">
        <v>117</v>
      </c>
      <c r="F913">
        <v>368</v>
      </c>
      <c r="G913" t="s">
        <v>141</v>
      </c>
      <c r="H913" t="s">
        <v>142</v>
      </c>
      <c r="I913" t="s">
        <v>279</v>
      </c>
      <c r="J913" t="s">
        <v>280</v>
      </c>
      <c r="L913" s="14">
        <v>45878</v>
      </c>
      <c r="M913" s="18">
        <f t="shared" si="17"/>
        <v>45870</v>
      </c>
      <c r="N913">
        <v>5770327</v>
      </c>
      <c r="O913" t="s">
        <v>123</v>
      </c>
      <c r="P913" t="s">
        <v>146</v>
      </c>
      <c r="Q913">
        <v>3.64</v>
      </c>
      <c r="R913" t="s">
        <v>125</v>
      </c>
      <c r="S913" t="s">
        <v>126</v>
      </c>
      <c r="T913" t="s">
        <v>125</v>
      </c>
      <c r="U913" t="s">
        <v>126</v>
      </c>
      <c r="W913">
        <v>3.64</v>
      </c>
      <c r="Y913">
        <v>3.64</v>
      </c>
      <c r="AS913">
        <v>3.64</v>
      </c>
      <c r="BH913" t="s">
        <v>126</v>
      </c>
      <c r="BI913" t="s">
        <v>126</v>
      </c>
      <c r="BJ913" t="s">
        <v>126</v>
      </c>
      <c r="BK913" t="s">
        <v>126</v>
      </c>
      <c r="BS913" t="s">
        <v>126</v>
      </c>
      <c r="BT913" t="s">
        <v>126</v>
      </c>
      <c r="BU913" t="s">
        <v>126</v>
      </c>
      <c r="BV913" t="s">
        <v>126</v>
      </c>
      <c r="CN913" t="s">
        <v>147</v>
      </c>
      <c r="CP913" t="s">
        <v>442</v>
      </c>
      <c r="CQ913" t="s">
        <v>147</v>
      </c>
    </row>
    <row r="914" spans="1:95" x14ac:dyDescent="0.2">
      <c r="A914" t="s">
        <v>115</v>
      </c>
      <c r="B914" t="s">
        <v>116</v>
      </c>
      <c r="C914">
        <v>210784</v>
      </c>
      <c r="E914" t="s">
        <v>117</v>
      </c>
      <c r="F914">
        <v>368</v>
      </c>
      <c r="G914" t="s">
        <v>141</v>
      </c>
      <c r="H914" t="s">
        <v>142</v>
      </c>
      <c r="I914" t="s">
        <v>279</v>
      </c>
      <c r="J914" t="s">
        <v>280</v>
      </c>
      <c r="L914" s="14">
        <v>45880</v>
      </c>
      <c r="M914" s="18">
        <f t="shared" si="17"/>
        <v>45870</v>
      </c>
      <c r="N914">
        <v>5770693</v>
      </c>
      <c r="O914" t="s">
        <v>123</v>
      </c>
      <c r="P914" t="s">
        <v>146</v>
      </c>
      <c r="Q914">
        <v>5.9</v>
      </c>
      <c r="R914" t="s">
        <v>125</v>
      </c>
      <c r="S914" t="s">
        <v>126</v>
      </c>
      <c r="T914" t="s">
        <v>125</v>
      </c>
      <c r="U914" t="s">
        <v>126</v>
      </c>
      <c r="W914">
        <v>5.9</v>
      </c>
      <c r="Y914">
        <v>5.9</v>
      </c>
      <c r="AS914">
        <v>5.9</v>
      </c>
      <c r="BH914" t="s">
        <v>126</v>
      </c>
      <c r="BI914" t="s">
        <v>126</v>
      </c>
      <c r="BJ914" t="s">
        <v>126</v>
      </c>
      <c r="BK914" t="s">
        <v>126</v>
      </c>
      <c r="BS914" t="s">
        <v>126</v>
      </c>
      <c r="BT914" t="s">
        <v>126</v>
      </c>
      <c r="BU914" t="s">
        <v>126</v>
      </c>
      <c r="BV914" t="s">
        <v>126</v>
      </c>
      <c r="CN914" t="s">
        <v>147</v>
      </c>
      <c r="CP914" t="s">
        <v>442</v>
      </c>
      <c r="CQ914" t="s">
        <v>147</v>
      </c>
    </row>
    <row r="915" spans="1:95" x14ac:dyDescent="0.2">
      <c r="A915" t="s">
        <v>115</v>
      </c>
      <c r="B915" t="s">
        <v>116</v>
      </c>
      <c r="C915">
        <v>210784</v>
      </c>
      <c r="E915" t="s">
        <v>117</v>
      </c>
      <c r="F915">
        <v>368</v>
      </c>
      <c r="G915" t="s">
        <v>141</v>
      </c>
      <c r="H915" t="s">
        <v>142</v>
      </c>
      <c r="I915" t="s">
        <v>279</v>
      </c>
      <c r="J915" t="s">
        <v>280</v>
      </c>
      <c r="L915" s="14">
        <v>45880</v>
      </c>
      <c r="M915" s="18">
        <f t="shared" si="17"/>
        <v>45870</v>
      </c>
      <c r="N915">
        <v>5771178</v>
      </c>
      <c r="O915" t="s">
        <v>123</v>
      </c>
      <c r="P915" t="s">
        <v>146</v>
      </c>
      <c r="Q915">
        <v>4.09</v>
      </c>
      <c r="R915" t="s">
        <v>610</v>
      </c>
      <c r="S915" t="s">
        <v>126</v>
      </c>
      <c r="T915" t="s">
        <v>610</v>
      </c>
      <c r="U915" t="s">
        <v>611</v>
      </c>
      <c r="W915">
        <v>1.26</v>
      </c>
      <c r="X915">
        <v>2.83</v>
      </c>
      <c r="Y915">
        <v>4.09</v>
      </c>
      <c r="Z915">
        <v>1.56</v>
      </c>
      <c r="AG915">
        <v>1.26</v>
      </c>
      <c r="AI915">
        <v>1.27</v>
      </c>
      <c r="BH915" t="s">
        <v>126</v>
      </c>
      <c r="BI915" t="s">
        <v>126</v>
      </c>
      <c r="BJ915" t="s">
        <v>126</v>
      </c>
      <c r="BK915" t="s">
        <v>126</v>
      </c>
      <c r="BS915" t="s">
        <v>126</v>
      </c>
      <c r="BT915" t="s">
        <v>126</v>
      </c>
      <c r="BU915" t="s">
        <v>126</v>
      </c>
      <c r="BV915" t="s">
        <v>126</v>
      </c>
      <c r="CN915" t="s">
        <v>147</v>
      </c>
      <c r="CP915" t="s">
        <v>442</v>
      </c>
      <c r="CQ915" t="s">
        <v>147</v>
      </c>
    </row>
    <row r="916" spans="1:95" x14ac:dyDescent="0.2">
      <c r="A916" t="s">
        <v>115</v>
      </c>
      <c r="B916" t="s">
        <v>116</v>
      </c>
      <c r="C916">
        <v>210784</v>
      </c>
      <c r="E916" t="s">
        <v>117</v>
      </c>
      <c r="F916">
        <v>368</v>
      </c>
      <c r="G916" t="s">
        <v>141</v>
      </c>
      <c r="H916" t="s">
        <v>142</v>
      </c>
      <c r="I916" t="s">
        <v>279</v>
      </c>
      <c r="J916" t="s">
        <v>280</v>
      </c>
      <c r="L916" s="14">
        <v>45881</v>
      </c>
      <c r="M916" s="18">
        <f t="shared" si="17"/>
        <v>45870</v>
      </c>
      <c r="N916">
        <v>5771299</v>
      </c>
      <c r="O916" t="s">
        <v>123</v>
      </c>
      <c r="P916" t="s">
        <v>146</v>
      </c>
      <c r="Q916">
        <v>2.82</v>
      </c>
      <c r="R916" t="s">
        <v>125</v>
      </c>
      <c r="S916" t="s">
        <v>126</v>
      </c>
      <c r="T916" t="s">
        <v>125</v>
      </c>
      <c r="U916" t="s">
        <v>126</v>
      </c>
      <c r="W916">
        <v>2.82</v>
      </c>
      <c r="Y916">
        <v>2.82</v>
      </c>
      <c r="AS916">
        <v>2.82</v>
      </c>
      <c r="BH916" t="s">
        <v>126</v>
      </c>
      <c r="BI916" t="s">
        <v>126</v>
      </c>
      <c r="BJ916" t="s">
        <v>126</v>
      </c>
      <c r="BK916" t="s">
        <v>126</v>
      </c>
      <c r="BS916" t="s">
        <v>126</v>
      </c>
      <c r="BT916" t="s">
        <v>126</v>
      </c>
      <c r="BU916" t="s">
        <v>126</v>
      </c>
      <c r="BV916" t="s">
        <v>126</v>
      </c>
      <c r="CN916" t="s">
        <v>147</v>
      </c>
      <c r="CP916" t="s">
        <v>442</v>
      </c>
      <c r="CQ916" t="s">
        <v>147</v>
      </c>
    </row>
    <row r="917" spans="1:95" x14ac:dyDescent="0.2">
      <c r="A917" t="s">
        <v>115</v>
      </c>
      <c r="B917" t="s">
        <v>116</v>
      </c>
      <c r="C917">
        <v>210784</v>
      </c>
      <c r="E917" t="s">
        <v>117</v>
      </c>
      <c r="F917">
        <v>368</v>
      </c>
      <c r="G917" t="s">
        <v>141</v>
      </c>
      <c r="H917" t="s">
        <v>142</v>
      </c>
      <c r="I917" t="s">
        <v>279</v>
      </c>
      <c r="J917" t="s">
        <v>280</v>
      </c>
      <c r="L917" s="14">
        <v>45881</v>
      </c>
      <c r="M917" s="18">
        <f t="shared" si="17"/>
        <v>45870</v>
      </c>
      <c r="N917">
        <v>5771997</v>
      </c>
      <c r="O917" t="s">
        <v>123</v>
      </c>
      <c r="P917" t="s">
        <v>146</v>
      </c>
      <c r="Q917">
        <v>3.68</v>
      </c>
      <c r="R917" t="s">
        <v>125</v>
      </c>
      <c r="S917" t="s">
        <v>126</v>
      </c>
      <c r="T917" t="s">
        <v>125</v>
      </c>
      <c r="U917" t="s">
        <v>126</v>
      </c>
      <c r="W917">
        <v>3.68</v>
      </c>
      <c r="Y917">
        <v>3.68</v>
      </c>
      <c r="AS917">
        <v>3.68</v>
      </c>
      <c r="BH917" t="s">
        <v>126</v>
      </c>
      <c r="BI917" t="s">
        <v>126</v>
      </c>
      <c r="BJ917" t="s">
        <v>126</v>
      </c>
      <c r="BK917" t="s">
        <v>126</v>
      </c>
      <c r="BS917" t="s">
        <v>126</v>
      </c>
      <c r="BT917" t="s">
        <v>126</v>
      </c>
      <c r="BU917" t="s">
        <v>126</v>
      </c>
      <c r="BV917" t="s">
        <v>126</v>
      </c>
      <c r="CN917" t="s">
        <v>147</v>
      </c>
      <c r="CP917" t="s">
        <v>442</v>
      </c>
      <c r="CQ917" t="s">
        <v>147</v>
      </c>
    </row>
    <row r="918" spans="1:95" x14ac:dyDescent="0.2">
      <c r="A918" t="s">
        <v>115</v>
      </c>
      <c r="B918" t="s">
        <v>116</v>
      </c>
      <c r="C918">
        <v>210784</v>
      </c>
      <c r="E918" t="s">
        <v>117</v>
      </c>
      <c r="F918">
        <v>368</v>
      </c>
      <c r="G918" t="s">
        <v>141</v>
      </c>
      <c r="H918" t="s">
        <v>142</v>
      </c>
      <c r="I918" t="s">
        <v>279</v>
      </c>
      <c r="J918" t="s">
        <v>280</v>
      </c>
      <c r="L918" s="14">
        <v>45882</v>
      </c>
      <c r="M918" s="18">
        <f t="shared" si="17"/>
        <v>45870</v>
      </c>
      <c r="N918">
        <v>5772794</v>
      </c>
      <c r="O918" t="s">
        <v>123</v>
      </c>
      <c r="P918" t="s">
        <v>146</v>
      </c>
      <c r="Q918">
        <v>3.39</v>
      </c>
      <c r="R918" t="s">
        <v>125</v>
      </c>
      <c r="S918" t="s">
        <v>126</v>
      </c>
      <c r="T918" t="s">
        <v>125</v>
      </c>
      <c r="U918" t="s">
        <v>126</v>
      </c>
      <c r="W918">
        <v>3.39</v>
      </c>
      <c r="Y918">
        <v>3.39</v>
      </c>
      <c r="AS918">
        <v>3.39</v>
      </c>
      <c r="BH918" t="s">
        <v>126</v>
      </c>
      <c r="BI918" t="s">
        <v>126</v>
      </c>
      <c r="BJ918" t="s">
        <v>126</v>
      </c>
      <c r="BK918" t="s">
        <v>126</v>
      </c>
      <c r="BS918" t="s">
        <v>126</v>
      </c>
      <c r="BT918" t="s">
        <v>126</v>
      </c>
      <c r="BU918" t="s">
        <v>126</v>
      </c>
      <c r="BV918" t="s">
        <v>126</v>
      </c>
      <c r="CN918" t="s">
        <v>147</v>
      </c>
      <c r="CP918" t="s">
        <v>442</v>
      </c>
      <c r="CQ918" t="s">
        <v>147</v>
      </c>
    </row>
    <row r="919" spans="1:95" x14ac:dyDescent="0.2">
      <c r="A919" t="s">
        <v>115</v>
      </c>
      <c r="B919" t="s">
        <v>116</v>
      </c>
      <c r="C919">
        <v>210784</v>
      </c>
      <c r="E919" t="s">
        <v>117</v>
      </c>
      <c r="F919">
        <v>368</v>
      </c>
      <c r="G919" t="s">
        <v>141</v>
      </c>
      <c r="H919" t="s">
        <v>142</v>
      </c>
      <c r="I919" t="s">
        <v>279</v>
      </c>
      <c r="J919" t="s">
        <v>280</v>
      </c>
      <c r="L919" s="14">
        <v>45883</v>
      </c>
      <c r="M919" s="18">
        <f t="shared" si="17"/>
        <v>45870</v>
      </c>
      <c r="N919">
        <v>5773528</v>
      </c>
      <c r="O919" t="s">
        <v>123</v>
      </c>
      <c r="P919" t="s">
        <v>146</v>
      </c>
      <c r="Q919">
        <v>5.36</v>
      </c>
      <c r="R919" t="s">
        <v>125</v>
      </c>
      <c r="S919" t="s">
        <v>126</v>
      </c>
      <c r="T919" t="s">
        <v>125</v>
      </c>
      <c r="U919" t="s">
        <v>126</v>
      </c>
      <c r="W919">
        <v>5.36</v>
      </c>
      <c r="Y919">
        <v>5.36</v>
      </c>
      <c r="AS919">
        <v>5.36</v>
      </c>
      <c r="BH919" t="s">
        <v>126</v>
      </c>
      <c r="BI919" t="s">
        <v>126</v>
      </c>
      <c r="BJ919" t="s">
        <v>126</v>
      </c>
      <c r="BK919" t="s">
        <v>126</v>
      </c>
      <c r="BS919" t="s">
        <v>126</v>
      </c>
      <c r="BT919" t="s">
        <v>126</v>
      </c>
      <c r="BU919" t="s">
        <v>126</v>
      </c>
      <c r="BV919" t="s">
        <v>126</v>
      </c>
      <c r="CN919" t="s">
        <v>147</v>
      </c>
      <c r="CP919" t="s">
        <v>442</v>
      </c>
      <c r="CQ919" t="s">
        <v>147</v>
      </c>
    </row>
    <row r="920" spans="1:95" x14ac:dyDescent="0.2">
      <c r="A920" t="s">
        <v>115</v>
      </c>
      <c r="B920" t="s">
        <v>116</v>
      </c>
      <c r="C920">
        <v>210784</v>
      </c>
      <c r="E920" t="s">
        <v>117</v>
      </c>
      <c r="F920">
        <v>368</v>
      </c>
      <c r="G920" t="s">
        <v>141</v>
      </c>
      <c r="H920" t="s">
        <v>142</v>
      </c>
      <c r="I920" t="s">
        <v>279</v>
      </c>
      <c r="J920" t="s">
        <v>280</v>
      </c>
      <c r="L920" s="14">
        <v>45884</v>
      </c>
      <c r="M920" s="18">
        <f t="shared" si="17"/>
        <v>45870</v>
      </c>
      <c r="N920">
        <v>5774383</v>
      </c>
      <c r="O920" t="s">
        <v>123</v>
      </c>
      <c r="P920" t="s">
        <v>146</v>
      </c>
      <c r="Q920">
        <v>3.59</v>
      </c>
      <c r="R920" t="s">
        <v>125</v>
      </c>
      <c r="S920" t="s">
        <v>126</v>
      </c>
      <c r="T920" t="s">
        <v>125</v>
      </c>
      <c r="U920" t="s">
        <v>126</v>
      </c>
      <c r="W920">
        <v>3.59</v>
      </c>
      <c r="Y920">
        <v>3.59</v>
      </c>
      <c r="AS920">
        <v>3.59</v>
      </c>
      <c r="BH920" t="s">
        <v>126</v>
      </c>
      <c r="BI920" t="s">
        <v>126</v>
      </c>
      <c r="BJ920" t="s">
        <v>126</v>
      </c>
      <c r="BK920" t="s">
        <v>126</v>
      </c>
      <c r="BS920" t="s">
        <v>126</v>
      </c>
      <c r="BT920" t="s">
        <v>126</v>
      </c>
      <c r="BU920" t="s">
        <v>126</v>
      </c>
      <c r="BV920" t="s">
        <v>126</v>
      </c>
      <c r="CN920" t="s">
        <v>147</v>
      </c>
      <c r="CP920" t="s">
        <v>442</v>
      </c>
      <c r="CQ920" t="s">
        <v>147</v>
      </c>
    </row>
    <row r="921" spans="1:95" x14ac:dyDescent="0.2">
      <c r="A921" t="s">
        <v>115</v>
      </c>
      <c r="B921" t="s">
        <v>116</v>
      </c>
      <c r="C921">
        <v>210784</v>
      </c>
      <c r="E921" t="s">
        <v>117</v>
      </c>
      <c r="F921">
        <v>368</v>
      </c>
      <c r="G921" t="s">
        <v>141</v>
      </c>
      <c r="H921" t="s">
        <v>142</v>
      </c>
      <c r="I921" t="s">
        <v>279</v>
      </c>
      <c r="J921" t="s">
        <v>280</v>
      </c>
      <c r="L921" s="14">
        <v>45884</v>
      </c>
      <c r="M921" s="18">
        <f t="shared" si="17"/>
        <v>45870</v>
      </c>
      <c r="N921">
        <v>5773785</v>
      </c>
      <c r="O921" t="s">
        <v>123</v>
      </c>
      <c r="P921" t="s">
        <v>146</v>
      </c>
      <c r="Q921">
        <v>3.2</v>
      </c>
      <c r="R921" t="s">
        <v>631</v>
      </c>
      <c r="S921" t="s">
        <v>126</v>
      </c>
      <c r="T921" t="s">
        <v>631</v>
      </c>
      <c r="U921" t="s">
        <v>632</v>
      </c>
      <c r="W921">
        <v>0.99</v>
      </c>
      <c r="X921">
        <v>2.21</v>
      </c>
      <c r="Y921">
        <v>3.2</v>
      </c>
      <c r="Z921">
        <v>1.21</v>
      </c>
      <c r="AG921">
        <v>0.99</v>
      </c>
      <c r="AI921">
        <v>1</v>
      </c>
      <c r="BH921" t="s">
        <v>126</v>
      </c>
      <c r="BI921" t="s">
        <v>126</v>
      </c>
      <c r="BJ921" t="s">
        <v>126</v>
      </c>
      <c r="BK921" t="s">
        <v>126</v>
      </c>
      <c r="BS921" t="s">
        <v>126</v>
      </c>
      <c r="BT921" t="s">
        <v>126</v>
      </c>
      <c r="BU921" t="s">
        <v>126</v>
      </c>
      <c r="BV921" t="s">
        <v>126</v>
      </c>
      <c r="CN921" t="s">
        <v>147</v>
      </c>
      <c r="CP921" t="s">
        <v>442</v>
      </c>
      <c r="CQ921" t="s">
        <v>147</v>
      </c>
    </row>
    <row r="922" spans="1:95" x14ac:dyDescent="0.2">
      <c r="A922" t="s">
        <v>115</v>
      </c>
      <c r="B922" t="s">
        <v>116</v>
      </c>
      <c r="C922">
        <v>210784</v>
      </c>
      <c r="E922" t="s">
        <v>117</v>
      </c>
      <c r="F922">
        <v>368</v>
      </c>
      <c r="G922" t="s">
        <v>141</v>
      </c>
      <c r="H922" t="s">
        <v>142</v>
      </c>
      <c r="I922" t="s">
        <v>279</v>
      </c>
      <c r="J922" t="s">
        <v>280</v>
      </c>
      <c r="L922" s="14">
        <v>45885</v>
      </c>
      <c r="M922" s="18">
        <f t="shared" si="17"/>
        <v>45870</v>
      </c>
      <c r="N922">
        <v>5774603</v>
      </c>
      <c r="O922" t="s">
        <v>123</v>
      </c>
      <c r="P922" t="s">
        <v>146</v>
      </c>
      <c r="Q922">
        <v>2.77</v>
      </c>
      <c r="R922" t="s">
        <v>125</v>
      </c>
      <c r="S922" t="s">
        <v>126</v>
      </c>
      <c r="T922" t="s">
        <v>125</v>
      </c>
      <c r="U922" t="s">
        <v>126</v>
      </c>
      <c r="W922">
        <v>2.77</v>
      </c>
      <c r="Y922">
        <v>2.77</v>
      </c>
      <c r="AS922">
        <v>2.77</v>
      </c>
      <c r="BH922" t="s">
        <v>126</v>
      </c>
      <c r="BI922" t="s">
        <v>126</v>
      </c>
      <c r="BJ922" t="s">
        <v>126</v>
      </c>
      <c r="BK922" t="s">
        <v>126</v>
      </c>
      <c r="BS922" t="s">
        <v>126</v>
      </c>
      <c r="BT922" t="s">
        <v>126</v>
      </c>
      <c r="BU922" t="s">
        <v>126</v>
      </c>
      <c r="BV922" t="s">
        <v>126</v>
      </c>
      <c r="CN922" t="s">
        <v>147</v>
      </c>
      <c r="CP922" t="s">
        <v>442</v>
      </c>
      <c r="CQ922" t="s">
        <v>147</v>
      </c>
    </row>
    <row r="923" spans="1:95" x14ac:dyDescent="0.2">
      <c r="A923" t="s">
        <v>115</v>
      </c>
      <c r="B923" t="s">
        <v>116</v>
      </c>
      <c r="C923">
        <v>210784</v>
      </c>
      <c r="E923" t="s">
        <v>117</v>
      </c>
      <c r="F923">
        <v>368</v>
      </c>
      <c r="G923" t="s">
        <v>141</v>
      </c>
      <c r="H923" t="s">
        <v>142</v>
      </c>
      <c r="I923" t="s">
        <v>279</v>
      </c>
      <c r="J923" t="s">
        <v>280</v>
      </c>
      <c r="L923" s="14">
        <v>45888</v>
      </c>
      <c r="M923" s="18">
        <f t="shared" si="17"/>
        <v>45870</v>
      </c>
      <c r="N923">
        <v>5776091</v>
      </c>
      <c r="O923" t="s">
        <v>123</v>
      </c>
      <c r="P923" t="s">
        <v>146</v>
      </c>
      <c r="Q923">
        <v>3.59</v>
      </c>
      <c r="R923" t="s">
        <v>125</v>
      </c>
      <c r="S923" t="s">
        <v>126</v>
      </c>
      <c r="T923" t="s">
        <v>125</v>
      </c>
      <c r="U923" t="s">
        <v>126</v>
      </c>
      <c r="W923">
        <v>3.59</v>
      </c>
      <c r="Y923">
        <v>3.59</v>
      </c>
      <c r="AS923">
        <v>3.59</v>
      </c>
      <c r="BH923" t="s">
        <v>126</v>
      </c>
      <c r="BI923" t="s">
        <v>126</v>
      </c>
      <c r="BJ923" t="s">
        <v>126</v>
      </c>
      <c r="BK923" t="s">
        <v>126</v>
      </c>
      <c r="BS923" t="s">
        <v>126</v>
      </c>
      <c r="BT923" t="s">
        <v>126</v>
      </c>
      <c r="BU923" t="s">
        <v>126</v>
      </c>
      <c r="BV923" t="s">
        <v>126</v>
      </c>
      <c r="CN923" t="s">
        <v>147</v>
      </c>
      <c r="CP923" t="s">
        <v>442</v>
      </c>
      <c r="CQ923" t="s">
        <v>147</v>
      </c>
    </row>
    <row r="924" spans="1:95" x14ac:dyDescent="0.2">
      <c r="A924" t="s">
        <v>115</v>
      </c>
      <c r="B924" t="s">
        <v>116</v>
      </c>
      <c r="C924">
        <v>210784</v>
      </c>
      <c r="E924" t="s">
        <v>117</v>
      </c>
      <c r="F924">
        <v>368</v>
      </c>
      <c r="G924" t="s">
        <v>141</v>
      </c>
      <c r="H924" t="s">
        <v>142</v>
      </c>
      <c r="I924" t="s">
        <v>279</v>
      </c>
      <c r="J924" t="s">
        <v>280</v>
      </c>
      <c r="L924" s="14">
        <v>45888</v>
      </c>
      <c r="M924" s="18">
        <f t="shared" si="17"/>
        <v>45870</v>
      </c>
      <c r="N924">
        <v>5775583</v>
      </c>
      <c r="O924" t="s">
        <v>123</v>
      </c>
      <c r="P924" t="s">
        <v>146</v>
      </c>
      <c r="Q924">
        <v>3.47</v>
      </c>
      <c r="R924" t="s">
        <v>584</v>
      </c>
      <c r="S924" t="s">
        <v>126</v>
      </c>
      <c r="T924" t="s">
        <v>584</v>
      </c>
      <c r="U924" t="s">
        <v>585</v>
      </c>
      <c r="W924">
        <v>1.07</v>
      </c>
      <c r="X924">
        <v>2.4000000000000004</v>
      </c>
      <c r="Y924">
        <v>3.47</v>
      </c>
      <c r="Z924">
        <v>1.32</v>
      </c>
      <c r="AG924">
        <v>1.07</v>
      </c>
      <c r="AI924">
        <v>1.08</v>
      </c>
      <c r="BH924" t="s">
        <v>126</v>
      </c>
      <c r="BI924" t="s">
        <v>126</v>
      </c>
      <c r="BJ924" t="s">
        <v>126</v>
      </c>
      <c r="BK924" t="s">
        <v>126</v>
      </c>
      <c r="BS924" t="s">
        <v>126</v>
      </c>
      <c r="BT924" t="s">
        <v>126</v>
      </c>
      <c r="BU924" t="s">
        <v>126</v>
      </c>
      <c r="BV924" t="s">
        <v>126</v>
      </c>
      <c r="CN924" t="s">
        <v>147</v>
      </c>
      <c r="CP924" t="s">
        <v>442</v>
      </c>
      <c r="CQ924" t="s">
        <v>147</v>
      </c>
    </row>
    <row r="925" spans="1:95" x14ac:dyDescent="0.2">
      <c r="A925" t="s">
        <v>115</v>
      </c>
      <c r="B925" t="s">
        <v>116</v>
      </c>
      <c r="C925">
        <v>210784</v>
      </c>
      <c r="E925" t="s">
        <v>117</v>
      </c>
      <c r="F925">
        <v>368</v>
      </c>
      <c r="G925" t="s">
        <v>141</v>
      </c>
      <c r="H925" t="s">
        <v>142</v>
      </c>
      <c r="I925" t="s">
        <v>279</v>
      </c>
      <c r="J925" t="s">
        <v>280</v>
      </c>
      <c r="L925" s="14">
        <v>45888</v>
      </c>
      <c r="M925" s="18">
        <f t="shared" si="17"/>
        <v>45870</v>
      </c>
      <c r="N925">
        <v>5776193</v>
      </c>
      <c r="O925" t="s">
        <v>123</v>
      </c>
      <c r="P925" t="s">
        <v>146</v>
      </c>
      <c r="Q925">
        <v>1.31</v>
      </c>
      <c r="R925" t="s">
        <v>740</v>
      </c>
      <c r="S925" t="s">
        <v>126</v>
      </c>
      <c r="T925" t="s">
        <v>740</v>
      </c>
      <c r="U925" t="s">
        <v>741</v>
      </c>
      <c r="W925">
        <v>0.4</v>
      </c>
      <c r="X925">
        <v>0.90999999999999992</v>
      </c>
      <c r="Y925">
        <v>1.31</v>
      </c>
      <c r="Z925">
        <v>0.5</v>
      </c>
      <c r="AG925">
        <v>0.4</v>
      </c>
      <c r="AI925">
        <v>0.41</v>
      </c>
      <c r="BH925" t="s">
        <v>126</v>
      </c>
      <c r="BI925" t="s">
        <v>126</v>
      </c>
      <c r="BJ925" t="s">
        <v>126</v>
      </c>
      <c r="BK925" t="s">
        <v>126</v>
      </c>
      <c r="BS925" t="s">
        <v>126</v>
      </c>
      <c r="BT925" t="s">
        <v>126</v>
      </c>
      <c r="BU925" t="s">
        <v>126</v>
      </c>
      <c r="BV925" t="s">
        <v>126</v>
      </c>
      <c r="CN925" t="s">
        <v>147</v>
      </c>
      <c r="CP925" t="s">
        <v>442</v>
      </c>
      <c r="CQ925" t="s">
        <v>147</v>
      </c>
    </row>
    <row r="926" spans="1:95" x14ac:dyDescent="0.2">
      <c r="A926" t="s">
        <v>115</v>
      </c>
      <c r="B926" t="s">
        <v>116</v>
      </c>
      <c r="C926">
        <v>210784</v>
      </c>
      <c r="E926" t="s">
        <v>117</v>
      </c>
      <c r="F926">
        <v>368</v>
      </c>
      <c r="G926" t="s">
        <v>118</v>
      </c>
      <c r="H926" t="s">
        <v>119</v>
      </c>
      <c r="I926" t="s">
        <v>120</v>
      </c>
      <c r="J926" t="s">
        <v>121</v>
      </c>
      <c r="L926" s="14">
        <v>45889</v>
      </c>
      <c r="M926" s="18">
        <f t="shared" si="17"/>
        <v>45870</v>
      </c>
      <c r="N926">
        <v>134024</v>
      </c>
      <c r="O926" t="s">
        <v>123</v>
      </c>
      <c r="P926" t="s">
        <v>124</v>
      </c>
      <c r="Q926">
        <v>10.74</v>
      </c>
      <c r="R926" t="s">
        <v>125</v>
      </c>
      <c r="S926" t="s">
        <v>126</v>
      </c>
      <c r="T926" t="s">
        <v>125</v>
      </c>
      <c r="U926" t="s">
        <v>126</v>
      </c>
      <c r="W926">
        <v>10.74</v>
      </c>
      <c r="Y926">
        <v>10.74</v>
      </c>
      <c r="AC926">
        <v>10.74</v>
      </c>
      <c r="BH926" t="s">
        <v>126</v>
      </c>
      <c r="BI926" t="s">
        <v>126</v>
      </c>
      <c r="BJ926" t="s">
        <v>126</v>
      </c>
      <c r="BK926" t="s">
        <v>126</v>
      </c>
      <c r="BS926" t="s">
        <v>126</v>
      </c>
      <c r="BT926" t="s">
        <v>126</v>
      </c>
      <c r="BU926" t="s">
        <v>126</v>
      </c>
      <c r="BV926" t="s">
        <v>126</v>
      </c>
      <c r="CN926" t="s">
        <v>127</v>
      </c>
      <c r="CP926" t="s">
        <v>128</v>
      </c>
      <c r="CQ926" t="s">
        <v>127</v>
      </c>
    </row>
    <row r="927" spans="1:95" x14ac:dyDescent="0.2">
      <c r="A927" t="s">
        <v>115</v>
      </c>
      <c r="B927" t="s">
        <v>116</v>
      </c>
      <c r="C927">
        <v>210784</v>
      </c>
      <c r="E927" t="s">
        <v>117</v>
      </c>
      <c r="F927">
        <v>368</v>
      </c>
      <c r="G927" t="s">
        <v>141</v>
      </c>
      <c r="H927" t="s">
        <v>142</v>
      </c>
      <c r="I927" t="s">
        <v>279</v>
      </c>
      <c r="J927" t="s">
        <v>280</v>
      </c>
      <c r="L927" s="14">
        <v>45889</v>
      </c>
      <c r="M927" s="18">
        <f t="shared" si="17"/>
        <v>45870</v>
      </c>
      <c r="N927">
        <v>5776875</v>
      </c>
      <c r="O927" t="s">
        <v>123</v>
      </c>
      <c r="P927" t="s">
        <v>146</v>
      </c>
      <c r="Q927">
        <v>5.74</v>
      </c>
      <c r="R927" t="s">
        <v>125</v>
      </c>
      <c r="S927" t="s">
        <v>126</v>
      </c>
      <c r="T927" t="s">
        <v>125</v>
      </c>
      <c r="U927" t="s">
        <v>126</v>
      </c>
      <c r="W927">
        <v>5.74</v>
      </c>
      <c r="Y927">
        <v>5.74</v>
      </c>
      <c r="AS927">
        <v>5.74</v>
      </c>
      <c r="BH927" t="s">
        <v>126</v>
      </c>
      <c r="BI927" t="s">
        <v>126</v>
      </c>
      <c r="BJ927" t="s">
        <v>126</v>
      </c>
      <c r="BK927" t="s">
        <v>126</v>
      </c>
      <c r="BS927" t="s">
        <v>126</v>
      </c>
      <c r="BT927" t="s">
        <v>126</v>
      </c>
      <c r="BU927" t="s">
        <v>126</v>
      </c>
      <c r="BV927" t="s">
        <v>126</v>
      </c>
      <c r="CN927" t="s">
        <v>147</v>
      </c>
      <c r="CP927" t="s">
        <v>442</v>
      </c>
      <c r="CQ927" t="s">
        <v>147</v>
      </c>
    </row>
    <row r="928" spans="1:95" x14ac:dyDescent="0.2">
      <c r="A928" t="s">
        <v>115</v>
      </c>
      <c r="B928" t="s">
        <v>116</v>
      </c>
      <c r="C928">
        <v>210784</v>
      </c>
      <c r="E928" t="s">
        <v>117</v>
      </c>
      <c r="F928">
        <v>368</v>
      </c>
      <c r="G928" t="s">
        <v>141</v>
      </c>
      <c r="H928" t="s">
        <v>142</v>
      </c>
      <c r="I928" t="s">
        <v>279</v>
      </c>
      <c r="J928" t="s">
        <v>280</v>
      </c>
      <c r="L928" s="14">
        <v>45890</v>
      </c>
      <c r="M928" s="18">
        <f t="shared" si="17"/>
        <v>45870</v>
      </c>
      <c r="N928">
        <v>5777713</v>
      </c>
      <c r="O928" t="s">
        <v>123</v>
      </c>
      <c r="P928" t="s">
        <v>146</v>
      </c>
      <c r="Q928">
        <v>5.07</v>
      </c>
      <c r="R928" t="s">
        <v>125</v>
      </c>
      <c r="S928" t="s">
        <v>126</v>
      </c>
      <c r="T928" t="s">
        <v>125</v>
      </c>
      <c r="U928" t="s">
        <v>126</v>
      </c>
      <c r="W928">
        <v>5.07</v>
      </c>
      <c r="Y928">
        <v>5.07</v>
      </c>
      <c r="AS928">
        <v>5.07</v>
      </c>
      <c r="BH928" t="s">
        <v>126</v>
      </c>
      <c r="BI928" t="s">
        <v>126</v>
      </c>
      <c r="BJ928" t="s">
        <v>126</v>
      </c>
      <c r="BK928" t="s">
        <v>126</v>
      </c>
      <c r="BS928" t="s">
        <v>126</v>
      </c>
      <c r="BT928" t="s">
        <v>126</v>
      </c>
      <c r="BU928" t="s">
        <v>126</v>
      </c>
      <c r="BV928" t="s">
        <v>126</v>
      </c>
      <c r="CN928" t="s">
        <v>147</v>
      </c>
      <c r="CP928" t="s">
        <v>442</v>
      </c>
      <c r="CQ928" t="s">
        <v>147</v>
      </c>
    </row>
    <row r="929" spans="1:95" x14ac:dyDescent="0.2">
      <c r="A929" t="s">
        <v>115</v>
      </c>
      <c r="B929" t="s">
        <v>116</v>
      </c>
      <c r="C929">
        <v>210784</v>
      </c>
      <c r="E929" t="s">
        <v>117</v>
      </c>
      <c r="F929">
        <v>368</v>
      </c>
      <c r="G929" t="s">
        <v>118</v>
      </c>
      <c r="H929" t="s">
        <v>119</v>
      </c>
      <c r="I929" t="s">
        <v>120</v>
      </c>
      <c r="J929" t="s">
        <v>121</v>
      </c>
      <c r="L929" s="14">
        <v>45891</v>
      </c>
      <c r="M929" s="18">
        <f t="shared" si="17"/>
        <v>45870</v>
      </c>
      <c r="N929">
        <v>134066</v>
      </c>
      <c r="O929" t="s">
        <v>123</v>
      </c>
      <c r="P929" t="s">
        <v>124</v>
      </c>
      <c r="Q929">
        <v>11.28</v>
      </c>
      <c r="R929" t="s">
        <v>125</v>
      </c>
      <c r="S929" t="s">
        <v>126</v>
      </c>
      <c r="T929" t="s">
        <v>125</v>
      </c>
      <c r="U929" t="s">
        <v>126</v>
      </c>
      <c r="W929">
        <v>11.28</v>
      </c>
      <c r="Y929">
        <v>11.28</v>
      </c>
      <c r="AC929">
        <v>11.28</v>
      </c>
      <c r="BH929" t="s">
        <v>126</v>
      </c>
      <c r="BI929" t="s">
        <v>126</v>
      </c>
      <c r="BJ929" t="s">
        <v>126</v>
      </c>
      <c r="BK929" t="s">
        <v>126</v>
      </c>
      <c r="BS929" t="s">
        <v>126</v>
      </c>
      <c r="BT929" t="s">
        <v>126</v>
      </c>
      <c r="BU929" t="s">
        <v>126</v>
      </c>
      <c r="BV929" t="s">
        <v>126</v>
      </c>
      <c r="CN929" t="s">
        <v>127</v>
      </c>
      <c r="CP929" t="s">
        <v>128</v>
      </c>
      <c r="CQ929" t="s">
        <v>127</v>
      </c>
    </row>
    <row r="930" spans="1:95" x14ac:dyDescent="0.2">
      <c r="A930" t="s">
        <v>115</v>
      </c>
      <c r="B930" t="s">
        <v>116</v>
      </c>
      <c r="C930">
        <v>210784</v>
      </c>
      <c r="E930" t="s">
        <v>117</v>
      </c>
      <c r="F930">
        <v>368</v>
      </c>
      <c r="G930" t="s">
        <v>118</v>
      </c>
      <c r="H930" t="s">
        <v>119</v>
      </c>
      <c r="I930" t="s">
        <v>120</v>
      </c>
      <c r="J930" t="s">
        <v>121</v>
      </c>
      <c r="L930" s="14">
        <v>45891</v>
      </c>
      <c r="M930" s="18">
        <f t="shared" si="17"/>
        <v>45870</v>
      </c>
      <c r="N930">
        <v>134067</v>
      </c>
      <c r="O930" t="s">
        <v>123</v>
      </c>
      <c r="P930" t="s">
        <v>124</v>
      </c>
      <c r="Q930">
        <v>12.6</v>
      </c>
      <c r="R930" t="s">
        <v>125</v>
      </c>
      <c r="S930" t="s">
        <v>126</v>
      </c>
      <c r="T930" t="s">
        <v>125</v>
      </c>
      <c r="U930" t="s">
        <v>126</v>
      </c>
      <c r="W930">
        <v>12.6</v>
      </c>
      <c r="Y930">
        <v>12.6</v>
      </c>
      <c r="AC930">
        <v>12.6</v>
      </c>
      <c r="BH930" t="s">
        <v>126</v>
      </c>
      <c r="BI930" t="s">
        <v>126</v>
      </c>
      <c r="BJ930" t="s">
        <v>126</v>
      </c>
      <c r="BK930" t="s">
        <v>126</v>
      </c>
      <c r="BS930" t="s">
        <v>126</v>
      </c>
      <c r="BT930" t="s">
        <v>126</v>
      </c>
      <c r="BU930" t="s">
        <v>126</v>
      </c>
      <c r="BV930" t="s">
        <v>126</v>
      </c>
      <c r="CN930" t="s">
        <v>127</v>
      </c>
      <c r="CP930" t="s">
        <v>128</v>
      </c>
      <c r="CQ930" t="s">
        <v>127</v>
      </c>
    </row>
    <row r="931" spans="1:95" x14ac:dyDescent="0.2">
      <c r="A931" t="s">
        <v>115</v>
      </c>
      <c r="B931" t="s">
        <v>116</v>
      </c>
      <c r="C931">
        <v>210784</v>
      </c>
      <c r="E931" t="s">
        <v>117</v>
      </c>
      <c r="F931">
        <v>368</v>
      </c>
      <c r="G931" t="s">
        <v>118</v>
      </c>
      <c r="H931" t="s">
        <v>119</v>
      </c>
      <c r="I931" t="s">
        <v>120</v>
      </c>
      <c r="J931" t="s">
        <v>121</v>
      </c>
      <c r="L931" s="14">
        <v>45891</v>
      </c>
      <c r="M931" s="18">
        <f t="shared" si="17"/>
        <v>45870</v>
      </c>
      <c r="N931">
        <v>134080</v>
      </c>
      <c r="O931" t="s">
        <v>123</v>
      </c>
      <c r="P931" t="s">
        <v>124</v>
      </c>
      <c r="Q931">
        <v>13.04</v>
      </c>
      <c r="R931" t="s">
        <v>125</v>
      </c>
      <c r="S931" t="s">
        <v>126</v>
      </c>
      <c r="T931" t="s">
        <v>125</v>
      </c>
      <c r="U931" t="s">
        <v>126</v>
      </c>
      <c r="W931">
        <v>13.04</v>
      </c>
      <c r="Y931">
        <v>13.04</v>
      </c>
      <c r="AC931">
        <v>13.04</v>
      </c>
      <c r="BH931" t="s">
        <v>126</v>
      </c>
      <c r="BI931" t="s">
        <v>126</v>
      </c>
      <c r="BJ931" t="s">
        <v>126</v>
      </c>
      <c r="BK931" t="s">
        <v>126</v>
      </c>
      <c r="BS931" t="s">
        <v>126</v>
      </c>
      <c r="BT931" t="s">
        <v>126</v>
      </c>
      <c r="BU931" t="s">
        <v>126</v>
      </c>
      <c r="BV931" t="s">
        <v>126</v>
      </c>
      <c r="CN931" t="s">
        <v>127</v>
      </c>
      <c r="CP931" t="s">
        <v>128</v>
      </c>
      <c r="CQ931" t="s">
        <v>127</v>
      </c>
    </row>
    <row r="932" spans="1:95" x14ac:dyDescent="0.2">
      <c r="A932" t="s">
        <v>115</v>
      </c>
      <c r="B932" t="s">
        <v>116</v>
      </c>
      <c r="C932">
        <v>210784</v>
      </c>
      <c r="E932" t="s">
        <v>117</v>
      </c>
      <c r="F932">
        <v>368</v>
      </c>
      <c r="G932" t="s">
        <v>141</v>
      </c>
      <c r="H932" t="s">
        <v>142</v>
      </c>
      <c r="I932" t="s">
        <v>279</v>
      </c>
      <c r="J932" t="s">
        <v>280</v>
      </c>
      <c r="L932" s="14">
        <v>45894</v>
      </c>
      <c r="M932" s="18">
        <f t="shared" si="17"/>
        <v>45870</v>
      </c>
      <c r="N932">
        <v>5779094</v>
      </c>
      <c r="O932" t="s">
        <v>123</v>
      </c>
      <c r="P932" t="s">
        <v>146</v>
      </c>
      <c r="Q932">
        <v>3.75</v>
      </c>
      <c r="R932" t="s">
        <v>577</v>
      </c>
      <c r="S932" t="s">
        <v>126</v>
      </c>
      <c r="T932" t="s">
        <v>577</v>
      </c>
      <c r="U932" t="s">
        <v>578</v>
      </c>
      <c r="W932">
        <v>1.1599999999999999</v>
      </c>
      <c r="X932">
        <v>2.59</v>
      </c>
      <c r="Y932">
        <v>3.75</v>
      </c>
      <c r="Z932">
        <v>1.42</v>
      </c>
      <c r="AG932">
        <v>1.1599999999999999</v>
      </c>
      <c r="AI932">
        <v>1.17</v>
      </c>
      <c r="BH932" t="s">
        <v>126</v>
      </c>
      <c r="BI932" t="s">
        <v>126</v>
      </c>
      <c r="BJ932" t="s">
        <v>126</v>
      </c>
      <c r="BK932" t="s">
        <v>126</v>
      </c>
      <c r="BS932" t="s">
        <v>126</v>
      </c>
      <c r="BT932" t="s">
        <v>126</v>
      </c>
      <c r="BU932" t="s">
        <v>126</v>
      </c>
      <c r="BV932" t="s">
        <v>126</v>
      </c>
      <c r="CN932" t="s">
        <v>147</v>
      </c>
      <c r="CP932" t="s">
        <v>442</v>
      </c>
      <c r="CQ932" t="s">
        <v>147</v>
      </c>
    </row>
    <row r="933" spans="1:95" x14ac:dyDescent="0.2">
      <c r="A933" t="s">
        <v>115</v>
      </c>
      <c r="B933" t="s">
        <v>116</v>
      </c>
      <c r="C933">
        <v>210784</v>
      </c>
      <c r="E933" t="s">
        <v>117</v>
      </c>
      <c r="F933">
        <v>368</v>
      </c>
      <c r="G933" t="s">
        <v>141</v>
      </c>
      <c r="H933" t="s">
        <v>142</v>
      </c>
      <c r="I933" t="s">
        <v>279</v>
      </c>
      <c r="J933" t="s">
        <v>280</v>
      </c>
      <c r="L933" s="14">
        <v>45894</v>
      </c>
      <c r="M933" s="18">
        <f t="shared" si="17"/>
        <v>45870</v>
      </c>
      <c r="N933">
        <v>5779514</v>
      </c>
      <c r="O933" t="s">
        <v>123</v>
      </c>
      <c r="P933" t="s">
        <v>146</v>
      </c>
      <c r="Q933">
        <v>4.1100000000000003</v>
      </c>
      <c r="R933" t="s">
        <v>710</v>
      </c>
      <c r="S933" t="s">
        <v>126</v>
      </c>
      <c r="T933" t="s">
        <v>710</v>
      </c>
      <c r="U933" t="s">
        <v>711</v>
      </c>
      <c r="W933">
        <v>1.27</v>
      </c>
      <c r="X933">
        <v>2.84</v>
      </c>
      <c r="Y933">
        <v>4.1100000000000003</v>
      </c>
      <c r="Z933">
        <v>1.56</v>
      </c>
      <c r="AG933">
        <v>1.27</v>
      </c>
      <c r="AI933">
        <v>1.28</v>
      </c>
      <c r="BH933" t="s">
        <v>126</v>
      </c>
      <c r="BI933" t="s">
        <v>126</v>
      </c>
      <c r="BJ933" t="s">
        <v>126</v>
      </c>
      <c r="BK933" t="s">
        <v>126</v>
      </c>
      <c r="BS933" t="s">
        <v>126</v>
      </c>
      <c r="BT933" t="s">
        <v>126</v>
      </c>
      <c r="BU933" t="s">
        <v>126</v>
      </c>
      <c r="BV933" t="s">
        <v>126</v>
      </c>
      <c r="CN933" t="s">
        <v>147</v>
      </c>
      <c r="CP933" t="s">
        <v>442</v>
      </c>
      <c r="CQ933" t="s">
        <v>147</v>
      </c>
    </row>
    <row r="934" spans="1:95" x14ac:dyDescent="0.2">
      <c r="A934" t="s">
        <v>115</v>
      </c>
      <c r="B934" t="s">
        <v>116</v>
      </c>
      <c r="C934">
        <v>210784</v>
      </c>
      <c r="E934" t="s">
        <v>117</v>
      </c>
      <c r="F934">
        <v>368</v>
      </c>
      <c r="G934" t="s">
        <v>141</v>
      </c>
      <c r="H934" t="s">
        <v>142</v>
      </c>
      <c r="I934" t="s">
        <v>279</v>
      </c>
      <c r="J934" t="s">
        <v>280</v>
      </c>
      <c r="L934" s="14">
        <v>45895</v>
      </c>
      <c r="M934" s="18">
        <f t="shared" si="17"/>
        <v>45870</v>
      </c>
      <c r="N934">
        <v>5780518</v>
      </c>
      <c r="O934" t="s">
        <v>123</v>
      </c>
      <c r="P934" t="s">
        <v>146</v>
      </c>
      <c r="Q934">
        <v>1.35</v>
      </c>
      <c r="R934" t="s">
        <v>125</v>
      </c>
      <c r="S934" t="s">
        <v>126</v>
      </c>
      <c r="T934" t="s">
        <v>125</v>
      </c>
      <c r="U934" t="s">
        <v>126</v>
      </c>
      <c r="W934">
        <v>1.35</v>
      </c>
      <c r="Y934">
        <v>1.35</v>
      </c>
      <c r="AS934">
        <v>1.35</v>
      </c>
      <c r="BH934" t="s">
        <v>126</v>
      </c>
      <c r="BI934" t="s">
        <v>126</v>
      </c>
      <c r="BJ934" t="s">
        <v>126</v>
      </c>
      <c r="BK934" t="s">
        <v>126</v>
      </c>
      <c r="BS934" t="s">
        <v>126</v>
      </c>
      <c r="BT934" t="s">
        <v>126</v>
      </c>
      <c r="BU934" t="s">
        <v>126</v>
      </c>
      <c r="BV934" t="s">
        <v>126</v>
      </c>
      <c r="CN934" t="s">
        <v>147</v>
      </c>
      <c r="CP934" t="s">
        <v>442</v>
      </c>
      <c r="CQ934" t="s">
        <v>147</v>
      </c>
    </row>
    <row r="935" spans="1:95" x14ac:dyDescent="0.2">
      <c r="A935" t="s">
        <v>115</v>
      </c>
      <c r="B935" t="s">
        <v>116</v>
      </c>
      <c r="C935">
        <v>210784</v>
      </c>
      <c r="E935" t="s">
        <v>117</v>
      </c>
      <c r="F935">
        <v>368</v>
      </c>
      <c r="G935" t="s">
        <v>141</v>
      </c>
      <c r="H935" t="s">
        <v>142</v>
      </c>
      <c r="I935" t="s">
        <v>279</v>
      </c>
      <c r="J935" t="s">
        <v>280</v>
      </c>
      <c r="L935" s="14">
        <v>45896</v>
      </c>
      <c r="M935" s="18">
        <f t="shared" si="17"/>
        <v>45870</v>
      </c>
      <c r="N935">
        <v>5781175</v>
      </c>
      <c r="O935" t="s">
        <v>123</v>
      </c>
      <c r="P935" t="s">
        <v>146</v>
      </c>
      <c r="Q935">
        <v>3.41</v>
      </c>
      <c r="R935" t="s">
        <v>614</v>
      </c>
      <c r="S935" t="s">
        <v>126</v>
      </c>
      <c r="T935" t="s">
        <v>614</v>
      </c>
      <c r="U935" t="s">
        <v>615</v>
      </c>
      <c r="W935">
        <v>1.05</v>
      </c>
      <c r="X935">
        <v>2.3600000000000003</v>
      </c>
      <c r="Y935">
        <v>3.41</v>
      </c>
      <c r="Z935">
        <v>1.3</v>
      </c>
      <c r="AG935">
        <v>1.05</v>
      </c>
      <c r="AI935">
        <v>1.06</v>
      </c>
      <c r="BH935" t="s">
        <v>126</v>
      </c>
      <c r="BI935" t="s">
        <v>126</v>
      </c>
      <c r="BJ935" t="s">
        <v>126</v>
      </c>
      <c r="BK935" t="s">
        <v>126</v>
      </c>
      <c r="BS935" t="s">
        <v>126</v>
      </c>
      <c r="BT935" t="s">
        <v>126</v>
      </c>
      <c r="BU935" t="s">
        <v>126</v>
      </c>
      <c r="BV935" t="s">
        <v>126</v>
      </c>
      <c r="CN935" t="s">
        <v>147</v>
      </c>
      <c r="CP935" t="s">
        <v>457</v>
      </c>
      <c r="CQ935" t="s">
        <v>147</v>
      </c>
    </row>
    <row r="936" spans="1:95" x14ac:dyDescent="0.2">
      <c r="A936" t="s">
        <v>115</v>
      </c>
      <c r="B936" t="s">
        <v>116</v>
      </c>
      <c r="C936">
        <v>210784</v>
      </c>
      <c r="E936" t="s">
        <v>117</v>
      </c>
      <c r="F936">
        <v>368</v>
      </c>
      <c r="G936" t="s">
        <v>141</v>
      </c>
      <c r="H936" t="s">
        <v>142</v>
      </c>
      <c r="I936" t="s">
        <v>279</v>
      </c>
      <c r="J936" t="s">
        <v>280</v>
      </c>
      <c r="L936" s="14">
        <v>45897</v>
      </c>
      <c r="M936" s="18">
        <f t="shared" si="17"/>
        <v>45870</v>
      </c>
      <c r="N936">
        <v>5782071</v>
      </c>
      <c r="O936" t="s">
        <v>123</v>
      </c>
      <c r="P936" t="s">
        <v>146</v>
      </c>
      <c r="Q936">
        <v>5.39</v>
      </c>
      <c r="R936" t="s">
        <v>592</v>
      </c>
      <c r="S936" t="s">
        <v>126</v>
      </c>
      <c r="T936" t="s">
        <v>592</v>
      </c>
      <c r="U936" t="s">
        <v>593</v>
      </c>
      <c r="W936">
        <v>1.66</v>
      </c>
      <c r="X936">
        <v>3.7299999999999995</v>
      </c>
      <c r="Y936">
        <v>5.39</v>
      </c>
      <c r="Z936">
        <v>2.0499999999999998</v>
      </c>
      <c r="AG936">
        <v>1.66</v>
      </c>
      <c r="AI936">
        <v>1.68</v>
      </c>
      <c r="BH936" t="s">
        <v>126</v>
      </c>
      <c r="BI936" t="s">
        <v>126</v>
      </c>
      <c r="BJ936" t="s">
        <v>126</v>
      </c>
      <c r="BK936" t="s">
        <v>126</v>
      </c>
      <c r="BS936" t="s">
        <v>126</v>
      </c>
      <c r="BT936" t="s">
        <v>126</v>
      </c>
      <c r="BU936" t="s">
        <v>126</v>
      </c>
      <c r="BV936" t="s">
        <v>126</v>
      </c>
      <c r="CN936" t="s">
        <v>147</v>
      </c>
      <c r="CP936" t="s">
        <v>457</v>
      </c>
      <c r="CQ936" t="s">
        <v>147</v>
      </c>
    </row>
    <row r="937" spans="1:95" x14ac:dyDescent="0.2">
      <c r="A937" t="s">
        <v>115</v>
      </c>
      <c r="B937" t="s">
        <v>116</v>
      </c>
      <c r="C937">
        <v>210784</v>
      </c>
      <c r="E937" t="s">
        <v>117</v>
      </c>
      <c r="F937">
        <v>368</v>
      </c>
      <c r="G937" t="s">
        <v>141</v>
      </c>
      <c r="H937" t="s">
        <v>142</v>
      </c>
      <c r="I937" t="s">
        <v>279</v>
      </c>
      <c r="J937" t="s">
        <v>280</v>
      </c>
      <c r="L937" s="14">
        <v>45898</v>
      </c>
      <c r="M937" s="18">
        <f t="shared" si="17"/>
        <v>45870</v>
      </c>
      <c r="N937">
        <v>5782852</v>
      </c>
      <c r="O937" t="s">
        <v>123</v>
      </c>
      <c r="P937" t="s">
        <v>146</v>
      </c>
      <c r="Q937">
        <v>3.82</v>
      </c>
      <c r="R937" t="s">
        <v>598</v>
      </c>
      <c r="S937" t="s">
        <v>126</v>
      </c>
      <c r="T937" t="s">
        <v>598</v>
      </c>
      <c r="U937" t="s">
        <v>599</v>
      </c>
      <c r="W937">
        <v>1.18</v>
      </c>
      <c r="X937">
        <v>2.6399999999999997</v>
      </c>
      <c r="Y937">
        <v>3.82</v>
      </c>
      <c r="Z937">
        <v>1.45</v>
      </c>
      <c r="AG937">
        <v>1.18</v>
      </c>
      <c r="AI937">
        <v>1.19</v>
      </c>
      <c r="BH937" t="s">
        <v>126</v>
      </c>
      <c r="BI937" t="s">
        <v>126</v>
      </c>
      <c r="BJ937" t="s">
        <v>126</v>
      </c>
      <c r="BK937" t="s">
        <v>126</v>
      </c>
      <c r="BS937" t="s">
        <v>126</v>
      </c>
      <c r="BT937" t="s">
        <v>126</v>
      </c>
      <c r="BU937" t="s">
        <v>126</v>
      </c>
      <c r="BV937" t="s">
        <v>126</v>
      </c>
      <c r="CN937" t="s">
        <v>147</v>
      </c>
      <c r="CP937" t="s">
        <v>457</v>
      </c>
      <c r="CQ937" t="s">
        <v>147</v>
      </c>
    </row>
    <row r="938" spans="1:95" x14ac:dyDescent="0.2">
      <c r="A938" t="s">
        <v>115</v>
      </c>
      <c r="B938" t="s">
        <v>116</v>
      </c>
      <c r="C938">
        <v>210784</v>
      </c>
      <c r="E938" t="s">
        <v>117</v>
      </c>
      <c r="F938">
        <v>368</v>
      </c>
      <c r="G938" t="s">
        <v>141</v>
      </c>
      <c r="H938" t="s">
        <v>142</v>
      </c>
      <c r="I938" t="s">
        <v>279</v>
      </c>
      <c r="J938" t="s">
        <v>280</v>
      </c>
      <c r="L938" s="14">
        <v>45902</v>
      </c>
      <c r="M938" s="18">
        <f t="shared" si="17"/>
        <v>45901</v>
      </c>
      <c r="N938">
        <v>5784436</v>
      </c>
      <c r="O938" t="s">
        <v>123</v>
      </c>
      <c r="P938" t="s">
        <v>146</v>
      </c>
      <c r="Q938">
        <v>3.9</v>
      </c>
      <c r="R938" t="s">
        <v>125</v>
      </c>
      <c r="S938" t="s">
        <v>126</v>
      </c>
      <c r="T938" t="s">
        <v>125</v>
      </c>
      <c r="U938" t="s">
        <v>126</v>
      </c>
      <c r="W938">
        <v>3.9</v>
      </c>
      <c r="Y938">
        <v>3.9</v>
      </c>
      <c r="BE938">
        <v>3.9</v>
      </c>
      <c r="BH938" t="s">
        <v>126</v>
      </c>
      <c r="BI938" t="s">
        <v>126</v>
      </c>
      <c r="BJ938" t="s">
        <v>126</v>
      </c>
      <c r="BK938" t="s">
        <v>126</v>
      </c>
      <c r="BS938" t="s">
        <v>126</v>
      </c>
      <c r="BT938" t="s">
        <v>126</v>
      </c>
      <c r="BU938" t="s">
        <v>126</v>
      </c>
      <c r="BV938" t="s">
        <v>126</v>
      </c>
      <c r="CN938" t="s">
        <v>147</v>
      </c>
      <c r="CP938" t="s">
        <v>457</v>
      </c>
      <c r="CQ938" t="s">
        <v>147</v>
      </c>
    </row>
    <row r="939" spans="1:95" x14ac:dyDescent="0.2">
      <c r="A939" t="s">
        <v>115</v>
      </c>
      <c r="B939" t="s">
        <v>116</v>
      </c>
      <c r="C939">
        <v>210784</v>
      </c>
      <c r="E939" t="s">
        <v>117</v>
      </c>
      <c r="F939">
        <v>368</v>
      </c>
      <c r="G939" t="s">
        <v>141</v>
      </c>
      <c r="H939" t="s">
        <v>142</v>
      </c>
      <c r="I939" t="s">
        <v>279</v>
      </c>
      <c r="J939" t="s">
        <v>280</v>
      </c>
      <c r="L939" s="14">
        <v>45903</v>
      </c>
      <c r="M939" s="18">
        <f t="shared" si="17"/>
        <v>45901</v>
      </c>
      <c r="N939">
        <v>5785214</v>
      </c>
      <c r="O939" t="s">
        <v>123</v>
      </c>
      <c r="P939" t="s">
        <v>146</v>
      </c>
      <c r="Q939">
        <v>2.5499999999999998</v>
      </c>
      <c r="R939" t="s">
        <v>125</v>
      </c>
      <c r="S939" t="s">
        <v>126</v>
      </c>
      <c r="T939" t="s">
        <v>125</v>
      </c>
      <c r="U939" t="s">
        <v>126</v>
      </c>
      <c r="W939">
        <v>2.5499999999999998</v>
      </c>
      <c r="Y939">
        <v>2.5499999999999998</v>
      </c>
      <c r="AS939">
        <v>2.5499999999999998</v>
      </c>
      <c r="BH939" t="s">
        <v>126</v>
      </c>
      <c r="BI939" t="s">
        <v>126</v>
      </c>
      <c r="BJ939" t="s">
        <v>126</v>
      </c>
      <c r="BK939" t="s">
        <v>126</v>
      </c>
      <c r="BS939" t="s">
        <v>126</v>
      </c>
      <c r="BT939" t="s">
        <v>126</v>
      </c>
      <c r="BU939" t="s">
        <v>126</v>
      </c>
      <c r="BV939" t="s">
        <v>126</v>
      </c>
      <c r="CN939" t="s">
        <v>147</v>
      </c>
      <c r="CP939" t="s">
        <v>457</v>
      </c>
      <c r="CQ939" t="s">
        <v>147</v>
      </c>
    </row>
    <row r="940" spans="1:95" x14ac:dyDescent="0.2">
      <c r="A940" t="s">
        <v>115</v>
      </c>
      <c r="B940" t="s">
        <v>116</v>
      </c>
      <c r="C940">
        <v>210784</v>
      </c>
      <c r="E940" t="s">
        <v>117</v>
      </c>
      <c r="F940">
        <v>368</v>
      </c>
      <c r="G940" t="s">
        <v>141</v>
      </c>
      <c r="H940" t="s">
        <v>142</v>
      </c>
      <c r="I940" t="s">
        <v>279</v>
      </c>
      <c r="J940" t="s">
        <v>280</v>
      </c>
      <c r="L940" s="14">
        <v>45903</v>
      </c>
      <c r="M940" s="18">
        <f t="shared" si="17"/>
        <v>45901</v>
      </c>
      <c r="N940">
        <v>5785297</v>
      </c>
      <c r="O940" t="s">
        <v>123</v>
      </c>
      <c r="P940" t="s">
        <v>146</v>
      </c>
      <c r="Q940">
        <v>4.07</v>
      </c>
      <c r="R940" t="s">
        <v>588</v>
      </c>
      <c r="S940" t="s">
        <v>126</v>
      </c>
      <c r="T940" t="s">
        <v>588</v>
      </c>
      <c r="U940" t="s">
        <v>589</v>
      </c>
      <c r="W940">
        <v>1.25</v>
      </c>
      <c r="X940">
        <v>2.8200000000000003</v>
      </c>
      <c r="Y940">
        <v>4.07</v>
      </c>
      <c r="Z940">
        <v>1.55</v>
      </c>
      <c r="AG940">
        <v>1.25</v>
      </c>
      <c r="AI940">
        <v>1.27</v>
      </c>
      <c r="BH940" t="s">
        <v>126</v>
      </c>
      <c r="BI940" t="s">
        <v>126</v>
      </c>
      <c r="BJ940" t="s">
        <v>126</v>
      </c>
      <c r="BK940" t="s">
        <v>126</v>
      </c>
      <c r="BS940" t="s">
        <v>126</v>
      </c>
      <c r="BT940" t="s">
        <v>126</v>
      </c>
      <c r="BU940" t="s">
        <v>126</v>
      </c>
      <c r="BV940" t="s">
        <v>126</v>
      </c>
      <c r="CN940" t="s">
        <v>147</v>
      </c>
      <c r="CP940" t="s">
        <v>457</v>
      </c>
      <c r="CQ940" t="s">
        <v>147</v>
      </c>
    </row>
    <row r="941" spans="1:95" x14ac:dyDescent="0.2">
      <c r="A941" t="s">
        <v>115</v>
      </c>
      <c r="B941" t="s">
        <v>116</v>
      </c>
      <c r="C941">
        <v>210784</v>
      </c>
      <c r="E941" t="s">
        <v>117</v>
      </c>
      <c r="F941">
        <v>368</v>
      </c>
      <c r="G941" t="s">
        <v>141</v>
      </c>
      <c r="H941" t="s">
        <v>142</v>
      </c>
      <c r="I941" t="s">
        <v>279</v>
      </c>
      <c r="J941" t="s">
        <v>280</v>
      </c>
      <c r="L941" s="14">
        <v>45903</v>
      </c>
      <c r="M941" s="18">
        <f t="shared" si="17"/>
        <v>45901</v>
      </c>
      <c r="N941">
        <v>5785168</v>
      </c>
      <c r="O941" t="s">
        <v>123</v>
      </c>
      <c r="P941" t="s">
        <v>146</v>
      </c>
      <c r="Q941">
        <v>0.375</v>
      </c>
      <c r="R941" t="s">
        <v>125</v>
      </c>
      <c r="S941" t="s">
        <v>126</v>
      </c>
      <c r="T941" t="s">
        <v>125</v>
      </c>
      <c r="U941" t="s">
        <v>126</v>
      </c>
      <c r="W941">
        <v>0.375</v>
      </c>
      <c r="Y941">
        <v>0.375</v>
      </c>
      <c r="AP941">
        <v>0.375</v>
      </c>
      <c r="BH941" t="s">
        <v>126</v>
      </c>
      <c r="BI941" t="s">
        <v>126</v>
      </c>
      <c r="BJ941" t="s">
        <v>126</v>
      </c>
      <c r="BK941" t="s">
        <v>126</v>
      </c>
      <c r="BS941" t="s">
        <v>126</v>
      </c>
      <c r="BT941" t="s">
        <v>126</v>
      </c>
      <c r="BU941" t="s">
        <v>126</v>
      </c>
      <c r="BV941" t="s">
        <v>126</v>
      </c>
      <c r="CN941" t="s">
        <v>147</v>
      </c>
      <c r="CP941" t="s">
        <v>456</v>
      </c>
      <c r="CQ941" t="s">
        <v>147</v>
      </c>
    </row>
    <row r="942" spans="1:95" x14ac:dyDescent="0.2">
      <c r="A942" t="s">
        <v>115</v>
      </c>
      <c r="B942" t="s">
        <v>116</v>
      </c>
      <c r="C942">
        <v>210784</v>
      </c>
      <c r="E942" t="s">
        <v>117</v>
      </c>
      <c r="F942">
        <v>368</v>
      </c>
      <c r="G942" t="s">
        <v>141</v>
      </c>
      <c r="H942" t="s">
        <v>142</v>
      </c>
      <c r="I942" t="s">
        <v>279</v>
      </c>
      <c r="J942" t="s">
        <v>280</v>
      </c>
      <c r="L942" s="14">
        <v>45904</v>
      </c>
      <c r="M942" s="18">
        <f t="shared" si="17"/>
        <v>45901</v>
      </c>
      <c r="N942">
        <v>5786000</v>
      </c>
      <c r="O942" t="s">
        <v>123</v>
      </c>
      <c r="P942" t="s">
        <v>146</v>
      </c>
      <c r="Q942">
        <v>1.92</v>
      </c>
      <c r="R942" t="s">
        <v>125</v>
      </c>
      <c r="S942" t="s">
        <v>126</v>
      </c>
      <c r="T942" t="s">
        <v>125</v>
      </c>
      <c r="U942" t="s">
        <v>126</v>
      </c>
      <c r="W942">
        <v>1.92</v>
      </c>
      <c r="Y942">
        <v>1.92</v>
      </c>
      <c r="BE942">
        <v>1.92</v>
      </c>
      <c r="BH942" t="s">
        <v>126</v>
      </c>
      <c r="BI942" t="s">
        <v>126</v>
      </c>
      <c r="BJ942" t="s">
        <v>126</v>
      </c>
      <c r="BK942" t="s">
        <v>126</v>
      </c>
      <c r="BS942" t="s">
        <v>126</v>
      </c>
      <c r="BT942" t="s">
        <v>126</v>
      </c>
      <c r="BU942" t="s">
        <v>126</v>
      </c>
      <c r="BV942" t="s">
        <v>126</v>
      </c>
      <c r="CN942" t="s">
        <v>147</v>
      </c>
      <c r="CP942" t="s">
        <v>457</v>
      </c>
      <c r="CQ942" t="s">
        <v>147</v>
      </c>
    </row>
    <row r="943" spans="1:95" x14ac:dyDescent="0.2">
      <c r="A943" t="s">
        <v>115</v>
      </c>
      <c r="B943" t="s">
        <v>116</v>
      </c>
      <c r="C943">
        <v>210784</v>
      </c>
      <c r="E943" t="s">
        <v>117</v>
      </c>
      <c r="F943">
        <v>368</v>
      </c>
      <c r="G943" t="s">
        <v>141</v>
      </c>
      <c r="H943" t="s">
        <v>142</v>
      </c>
      <c r="I943" t="s">
        <v>279</v>
      </c>
      <c r="J943" t="s">
        <v>280</v>
      </c>
      <c r="L943" s="14">
        <v>45905</v>
      </c>
      <c r="M943" s="18">
        <f t="shared" si="17"/>
        <v>45901</v>
      </c>
      <c r="N943">
        <v>5786792</v>
      </c>
      <c r="O943" t="s">
        <v>123</v>
      </c>
      <c r="P943" t="s">
        <v>146</v>
      </c>
      <c r="Q943">
        <v>3.2</v>
      </c>
      <c r="R943" t="s">
        <v>125</v>
      </c>
      <c r="S943" t="s">
        <v>126</v>
      </c>
      <c r="T943" t="s">
        <v>125</v>
      </c>
      <c r="U943" t="s">
        <v>126</v>
      </c>
      <c r="W943">
        <v>3.2</v>
      </c>
      <c r="Y943">
        <v>3.2</v>
      </c>
      <c r="AS943">
        <v>3.2</v>
      </c>
      <c r="BH943" t="s">
        <v>126</v>
      </c>
      <c r="BI943" t="s">
        <v>126</v>
      </c>
      <c r="BJ943" t="s">
        <v>126</v>
      </c>
      <c r="BK943" t="s">
        <v>126</v>
      </c>
      <c r="BS943" t="s">
        <v>126</v>
      </c>
      <c r="BT943" t="s">
        <v>126</v>
      </c>
      <c r="BU943" t="s">
        <v>126</v>
      </c>
      <c r="BV943" t="s">
        <v>126</v>
      </c>
      <c r="CN943" t="s">
        <v>147</v>
      </c>
      <c r="CP943" t="s">
        <v>457</v>
      </c>
      <c r="CQ943" t="s">
        <v>147</v>
      </c>
    </row>
    <row r="944" spans="1:95" x14ac:dyDescent="0.2">
      <c r="A944" t="s">
        <v>115</v>
      </c>
      <c r="B944" t="s">
        <v>116</v>
      </c>
      <c r="C944">
        <v>210784</v>
      </c>
      <c r="E944" t="s">
        <v>117</v>
      </c>
      <c r="F944">
        <v>368</v>
      </c>
      <c r="G944" t="s">
        <v>118</v>
      </c>
      <c r="H944" t="s">
        <v>119</v>
      </c>
      <c r="I944" t="s">
        <v>120</v>
      </c>
      <c r="J944" t="s">
        <v>121</v>
      </c>
      <c r="L944" s="14">
        <v>45908</v>
      </c>
      <c r="M944" s="18">
        <f t="shared" si="17"/>
        <v>45901</v>
      </c>
      <c r="N944">
        <v>134325</v>
      </c>
      <c r="O944" t="s">
        <v>123</v>
      </c>
      <c r="P944" t="s">
        <v>124</v>
      </c>
      <c r="Q944">
        <v>11.91</v>
      </c>
      <c r="R944" t="s">
        <v>125</v>
      </c>
      <c r="S944" t="s">
        <v>126</v>
      </c>
      <c r="T944" t="s">
        <v>125</v>
      </c>
      <c r="U944" t="s">
        <v>126</v>
      </c>
      <c r="W944">
        <v>11.91</v>
      </c>
      <c r="Y944">
        <v>11.91</v>
      </c>
      <c r="AC944">
        <v>11.91</v>
      </c>
      <c r="BH944" t="s">
        <v>126</v>
      </c>
      <c r="BI944" t="s">
        <v>126</v>
      </c>
      <c r="BJ944" t="s">
        <v>126</v>
      </c>
      <c r="BK944" t="s">
        <v>126</v>
      </c>
      <c r="BS944" t="s">
        <v>126</v>
      </c>
      <c r="BT944" t="s">
        <v>126</v>
      </c>
      <c r="BU944" t="s">
        <v>126</v>
      </c>
      <c r="BV944" t="s">
        <v>126</v>
      </c>
      <c r="CN944" t="s">
        <v>127</v>
      </c>
      <c r="CP944" t="s">
        <v>128</v>
      </c>
      <c r="CQ944" t="s">
        <v>127</v>
      </c>
    </row>
    <row r="945" spans="1:95" x14ac:dyDescent="0.2">
      <c r="A945" t="s">
        <v>115</v>
      </c>
      <c r="B945" t="s">
        <v>116</v>
      </c>
      <c r="C945">
        <v>210784</v>
      </c>
      <c r="E945" t="s">
        <v>117</v>
      </c>
      <c r="F945">
        <v>368</v>
      </c>
      <c r="G945" t="s">
        <v>118</v>
      </c>
      <c r="H945" t="s">
        <v>119</v>
      </c>
      <c r="I945" t="s">
        <v>120</v>
      </c>
      <c r="J945" t="s">
        <v>121</v>
      </c>
      <c r="L945" s="14">
        <v>45908</v>
      </c>
      <c r="M945" s="18">
        <f t="shared" si="17"/>
        <v>45901</v>
      </c>
      <c r="N945">
        <v>134326</v>
      </c>
      <c r="O945" t="s">
        <v>123</v>
      </c>
      <c r="P945" t="s">
        <v>124</v>
      </c>
      <c r="Q945">
        <v>13.31</v>
      </c>
      <c r="R945" t="s">
        <v>125</v>
      </c>
      <c r="S945" t="s">
        <v>126</v>
      </c>
      <c r="T945" t="s">
        <v>125</v>
      </c>
      <c r="U945" t="s">
        <v>126</v>
      </c>
      <c r="W945">
        <v>13.31</v>
      </c>
      <c r="Y945">
        <v>13.31</v>
      </c>
      <c r="AC945">
        <v>13.31</v>
      </c>
      <c r="BH945" t="s">
        <v>126</v>
      </c>
      <c r="BI945" t="s">
        <v>126</v>
      </c>
      <c r="BJ945" t="s">
        <v>126</v>
      </c>
      <c r="BK945" t="s">
        <v>126</v>
      </c>
      <c r="BS945" t="s">
        <v>126</v>
      </c>
      <c r="BT945" t="s">
        <v>126</v>
      </c>
      <c r="BU945" t="s">
        <v>126</v>
      </c>
      <c r="BV945" t="s">
        <v>126</v>
      </c>
      <c r="CN945" t="s">
        <v>127</v>
      </c>
      <c r="CP945" t="s">
        <v>128</v>
      </c>
      <c r="CQ945" t="s">
        <v>127</v>
      </c>
    </row>
    <row r="946" spans="1:95" x14ac:dyDescent="0.2">
      <c r="A946" t="s">
        <v>115</v>
      </c>
      <c r="B946" t="s">
        <v>116</v>
      </c>
      <c r="C946">
        <v>210784</v>
      </c>
      <c r="E946" t="s">
        <v>117</v>
      </c>
      <c r="F946">
        <v>368</v>
      </c>
      <c r="G946" t="s">
        <v>118</v>
      </c>
      <c r="H946" t="s">
        <v>119</v>
      </c>
      <c r="I946" t="s">
        <v>120</v>
      </c>
      <c r="J946" t="s">
        <v>121</v>
      </c>
      <c r="L946" s="14">
        <v>45908</v>
      </c>
      <c r="M946" s="18">
        <f t="shared" si="17"/>
        <v>45901</v>
      </c>
      <c r="N946">
        <v>134332</v>
      </c>
      <c r="O946" t="s">
        <v>123</v>
      </c>
      <c r="P946" t="s">
        <v>124</v>
      </c>
      <c r="Q946">
        <v>13.95</v>
      </c>
      <c r="R946" t="s">
        <v>125</v>
      </c>
      <c r="S946" t="s">
        <v>126</v>
      </c>
      <c r="T946" t="s">
        <v>125</v>
      </c>
      <c r="U946" t="s">
        <v>126</v>
      </c>
      <c r="W946">
        <v>13.95</v>
      </c>
      <c r="Y946">
        <v>13.95</v>
      </c>
      <c r="AC946">
        <v>13.95</v>
      </c>
      <c r="BH946" t="s">
        <v>126</v>
      </c>
      <c r="BI946" t="s">
        <v>126</v>
      </c>
      <c r="BJ946" t="s">
        <v>126</v>
      </c>
      <c r="BK946" t="s">
        <v>126</v>
      </c>
      <c r="BS946" t="s">
        <v>126</v>
      </c>
      <c r="BT946" t="s">
        <v>126</v>
      </c>
      <c r="BU946" t="s">
        <v>126</v>
      </c>
      <c r="BV946" t="s">
        <v>126</v>
      </c>
      <c r="CN946" t="s">
        <v>127</v>
      </c>
      <c r="CP946" t="s">
        <v>128</v>
      </c>
      <c r="CQ946" t="s">
        <v>127</v>
      </c>
    </row>
    <row r="947" spans="1:95" x14ac:dyDescent="0.2">
      <c r="A947" t="s">
        <v>115</v>
      </c>
      <c r="B947" t="s">
        <v>116</v>
      </c>
      <c r="C947">
        <v>210784</v>
      </c>
      <c r="E947" t="s">
        <v>117</v>
      </c>
      <c r="F947">
        <v>368</v>
      </c>
      <c r="G947" t="s">
        <v>118</v>
      </c>
      <c r="H947" t="s">
        <v>119</v>
      </c>
      <c r="I947" t="s">
        <v>120</v>
      </c>
      <c r="J947" t="s">
        <v>121</v>
      </c>
      <c r="L947" s="14">
        <v>45908</v>
      </c>
      <c r="M947" s="18">
        <f t="shared" si="17"/>
        <v>45901</v>
      </c>
      <c r="N947">
        <v>134347</v>
      </c>
      <c r="O947" t="s">
        <v>123</v>
      </c>
      <c r="P947" t="s">
        <v>124</v>
      </c>
      <c r="Q947">
        <v>13.86</v>
      </c>
      <c r="R947" t="s">
        <v>125</v>
      </c>
      <c r="S947" t="s">
        <v>126</v>
      </c>
      <c r="T947" t="s">
        <v>125</v>
      </c>
      <c r="U947" t="s">
        <v>126</v>
      </c>
      <c r="W947">
        <v>13.86</v>
      </c>
      <c r="Y947">
        <v>13.86</v>
      </c>
      <c r="AC947">
        <v>13.86</v>
      </c>
      <c r="BH947" t="s">
        <v>126</v>
      </c>
      <c r="BI947" t="s">
        <v>126</v>
      </c>
      <c r="BJ947" t="s">
        <v>126</v>
      </c>
      <c r="BK947" t="s">
        <v>126</v>
      </c>
      <c r="BS947" t="s">
        <v>126</v>
      </c>
      <c r="BT947" t="s">
        <v>126</v>
      </c>
      <c r="BU947" t="s">
        <v>126</v>
      </c>
      <c r="BV947" t="s">
        <v>126</v>
      </c>
      <c r="CN947" t="s">
        <v>127</v>
      </c>
      <c r="CP947" t="s">
        <v>128</v>
      </c>
      <c r="CQ947" t="s">
        <v>127</v>
      </c>
    </row>
    <row r="948" spans="1:95" x14ac:dyDescent="0.2">
      <c r="A948" t="s">
        <v>115</v>
      </c>
      <c r="B948" t="s">
        <v>116</v>
      </c>
      <c r="C948">
        <v>210784</v>
      </c>
      <c r="E948" t="s">
        <v>117</v>
      </c>
      <c r="F948">
        <v>368</v>
      </c>
      <c r="G948" t="s">
        <v>118</v>
      </c>
      <c r="H948" t="s">
        <v>119</v>
      </c>
      <c r="I948" t="s">
        <v>120</v>
      </c>
      <c r="J948" t="s">
        <v>121</v>
      </c>
      <c r="L948" s="14">
        <v>45908</v>
      </c>
      <c r="M948" s="18">
        <f t="shared" si="17"/>
        <v>45901</v>
      </c>
      <c r="N948">
        <v>134353</v>
      </c>
      <c r="O948" t="s">
        <v>123</v>
      </c>
      <c r="P948" t="s">
        <v>124</v>
      </c>
      <c r="Q948">
        <v>15.44</v>
      </c>
      <c r="R948" t="s">
        <v>125</v>
      </c>
      <c r="S948" t="s">
        <v>126</v>
      </c>
      <c r="T948" t="s">
        <v>125</v>
      </c>
      <c r="U948" t="s">
        <v>126</v>
      </c>
      <c r="W948">
        <v>15.44</v>
      </c>
      <c r="Y948">
        <v>15.44</v>
      </c>
      <c r="AC948">
        <v>15.44</v>
      </c>
      <c r="BH948" t="s">
        <v>126</v>
      </c>
      <c r="BI948" t="s">
        <v>126</v>
      </c>
      <c r="BJ948" t="s">
        <v>126</v>
      </c>
      <c r="BK948" t="s">
        <v>126</v>
      </c>
      <c r="BS948" t="s">
        <v>126</v>
      </c>
      <c r="BT948" t="s">
        <v>126</v>
      </c>
      <c r="BU948" t="s">
        <v>126</v>
      </c>
      <c r="BV948" t="s">
        <v>126</v>
      </c>
      <c r="CN948" t="s">
        <v>127</v>
      </c>
      <c r="CP948" t="s">
        <v>128</v>
      </c>
      <c r="CQ948" t="s">
        <v>127</v>
      </c>
    </row>
    <row r="949" spans="1:95" x14ac:dyDescent="0.2">
      <c r="A949" t="s">
        <v>115</v>
      </c>
      <c r="B949" t="s">
        <v>116</v>
      </c>
      <c r="C949">
        <v>210784</v>
      </c>
      <c r="E949" t="s">
        <v>117</v>
      </c>
      <c r="F949">
        <v>368</v>
      </c>
      <c r="G949" t="s">
        <v>118</v>
      </c>
      <c r="H949" t="s">
        <v>119</v>
      </c>
      <c r="I949" t="s">
        <v>120</v>
      </c>
      <c r="J949" t="s">
        <v>121</v>
      </c>
      <c r="L949" s="14">
        <v>45908</v>
      </c>
      <c r="M949" s="18">
        <f t="shared" si="17"/>
        <v>45901</v>
      </c>
      <c r="N949">
        <v>134357</v>
      </c>
      <c r="O949" t="s">
        <v>123</v>
      </c>
      <c r="P949" t="s">
        <v>124</v>
      </c>
      <c r="Q949">
        <v>17.28</v>
      </c>
      <c r="R949" t="s">
        <v>125</v>
      </c>
      <c r="S949" t="s">
        <v>126</v>
      </c>
      <c r="T949" t="s">
        <v>125</v>
      </c>
      <c r="U949" t="s">
        <v>126</v>
      </c>
      <c r="W949">
        <v>17.28</v>
      </c>
      <c r="Y949">
        <v>17.28</v>
      </c>
      <c r="AC949">
        <v>17.28</v>
      </c>
      <c r="BH949" t="s">
        <v>126</v>
      </c>
      <c r="BI949" t="s">
        <v>126</v>
      </c>
      <c r="BJ949" t="s">
        <v>126</v>
      </c>
      <c r="BK949" t="s">
        <v>126</v>
      </c>
      <c r="BS949" t="s">
        <v>126</v>
      </c>
      <c r="BT949" t="s">
        <v>126</v>
      </c>
      <c r="BU949" t="s">
        <v>126</v>
      </c>
      <c r="BV949" t="s">
        <v>126</v>
      </c>
      <c r="CN949" t="s">
        <v>127</v>
      </c>
      <c r="CP949" t="s">
        <v>128</v>
      </c>
      <c r="CQ949" t="s">
        <v>127</v>
      </c>
    </row>
    <row r="950" spans="1:95" x14ac:dyDescent="0.2">
      <c r="A950" t="s">
        <v>115</v>
      </c>
      <c r="B950" t="s">
        <v>116</v>
      </c>
      <c r="C950">
        <v>210784</v>
      </c>
      <c r="E950" t="s">
        <v>117</v>
      </c>
      <c r="F950">
        <v>368</v>
      </c>
      <c r="G950" t="s">
        <v>141</v>
      </c>
      <c r="H950" t="s">
        <v>142</v>
      </c>
      <c r="I950" t="s">
        <v>279</v>
      </c>
      <c r="J950" t="s">
        <v>280</v>
      </c>
      <c r="L950" s="14">
        <v>45908</v>
      </c>
      <c r="M950" s="18">
        <f t="shared" si="17"/>
        <v>45901</v>
      </c>
      <c r="N950">
        <v>5787892</v>
      </c>
      <c r="O950" t="s">
        <v>123</v>
      </c>
      <c r="P950" t="s">
        <v>146</v>
      </c>
      <c r="Q950">
        <v>4.2</v>
      </c>
      <c r="R950" t="s">
        <v>588</v>
      </c>
      <c r="S950" t="s">
        <v>126</v>
      </c>
      <c r="T950" t="s">
        <v>588</v>
      </c>
      <c r="U950" t="s">
        <v>589</v>
      </c>
      <c r="W950">
        <v>1.29</v>
      </c>
      <c r="X950">
        <v>2.91</v>
      </c>
      <c r="Y950">
        <v>4.2</v>
      </c>
      <c r="Z950">
        <v>1.6</v>
      </c>
      <c r="AG950">
        <v>1.29</v>
      </c>
      <c r="AI950">
        <v>1.31</v>
      </c>
      <c r="BH950" t="s">
        <v>126</v>
      </c>
      <c r="BI950" t="s">
        <v>126</v>
      </c>
      <c r="BJ950" t="s">
        <v>126</v>
      </c>
      <c r="BK950" t="s">
        <v>126</v>
      </c>
      <c r="BS950" t="s">
        <v>126</v>
      </c>
      <c r="BT950" t="s">
        <v>126</v>
      </c>
      <c r="BU950" t="s">
        <v>126</v>
      </c>
      <c r="BV950" t="s">
        <v>126</v>
      </c>
      <c r="CN950" t="s">
        <v>147</v>
      </c>
      <c r="CP950" t="s">
        <v>457</v>
      </c>
      <c r="CQ950" t="s">
        <v>147</v>
      </c>
    </row>
    <row r="951" spans="1:95" x14ac:dyDescent="0.2">
      <c r="A951" t="s">
        <v>115</v>
      </c>
      <c r="B951" t="s">
        <v>116</v>
      </c>
      <c r="C951">
        <v>210784</v>
      </c>
      <c r="E951" t="s">
        <v>117</v>
      </c>
      <c r="F951">
        <v>368</v>
      </c>
      <c r="G951" t="s">
        <v>141</v>
      </c>
      <c r="H951" t="s">
        <v>142</v>
      </c>
      <c r="I951" t="s">
        <v>279</v>
      </c>
      <c r="J951" t="s">
        <v>280</v>
      </c>
      <c r="L951" s="14">
        <v>45909</v>
      </c>
      <c r="M951" s="18">
        <f t="shared" si="17"/>
        <v>45901</v>
      </c>
      <c r="N951">
        <v>5788062</v>
      </c>
      <c r="O951" t="s">
        <v>123</v>
      </c>
      <c r="P951" t="s">
        <v>146</v>
      </c>
      <c r="Q951">
        <v>5.61</v>
      </c>
      <c r="R951" t="s">
        <v>125</v>
      </c>
      <c r="S951" t="s">
        <v>126</v>
      </c>
      <c r="T951" t="s">
        <v>125</v>
      </c>
      <c r="U951" t="s">
        <v>126</v>
      </c>
      <c r="W951">
        <v>5.61</v>
      </c>
      <c r="Y951">
        <v>5.61</v>
      </c>
      <c r="AS951">
        <v>5.61</v>
      </c>
      <c r="BH951" t="s">
        <v>126</v>
      </c>
      <c r="BI951" t="s">
        <v>126</v>
      </c>
      <c r="BJ951" t="s">
        <v>126</v>
      </c>
      <c r="BK951" t="s">
        <v>126</v>
      </c>
      <c r="BS951" t="s">
        <v>126</v>
      </c>
      <c r="BT951" t="s">
        <v>126</v>
      </c>
      <c r="BU951" t="s">
        <v>126</v>
      </c>
      <c r="BV951" t="s">
        <v>126</v>
      </c>
      <c r="CN951" t="s">
        <v>147</v>
      </c>
      <c r="CP951" t="s">
        <v>457</v>
      </c>
      <c r="CQ951" t="s">
        <v>147</v>
      </c>
    </row>
    <row r="952" spans="1:95" x14ac:dyDescent="0.2">
      <c r="A952" t="s">
        <v>115</v>
      </c>
      <c r="B952" t="s">
        <v>116</v>
      </c>
      <c r="C952">
        <v>210784</v>
      </c>
      <c r="E952" t="s">
        <v>117</v>
      </c>
      <c r="F952">
        <v>368</v>
      </c>
      <c r="G952" t="s">
        <v>141</v>
      </c>
      <c r="H952" t="s">
        <v>142</v>
      </c>
      <c r="I952" t="s">
        <v>279</v>
      </c>
      <c r="J952" t="s">
        <v>280</v>
      </c>
      <c r="L952" s="14">
        <v>45909</v>
      </c>
      <c r="M952" s="18">
        <f t="shared" si="17"/>
        <v>45901</v>
      </c>
      <c r="N952">
        <v>5788719</v>
      </c>
      <c r="O952" t="s">
        <v>123</v>
      </c>
      <c r="P952" t="s">
        <v>146</v>
      </c>
      <c r="Q952">
        <v>3.49</v>
      </c>
      <c r="R952" t="s">
        <v>596</v>
      </c>
      <c r="S952" t="s">
        <v>126</v>
      </c>
      <c r="T952" t="s">
        <v>596</v>
      </c>
      <c r="U952" t="s">
        <v>597</v>
      </c>
      <c r="W952">
        <v>1.08</v>
      </c>
      <c r="X952">
        <v>2.41</v>
      </c>
      <c r="Y952">
        <v>3.49</v>
      </c>
      <c r="Z952">
        <v>1.0900000000000001</v>
      </c>
      <c r="AG952">
        <v>1.08</v>
      </c>
      <c r="AI952">
        <v>1.32</v>
      </c>
      <c r="BH952" t="s">
        <v>126</v>
      </c>
      <c r="BI952" t="s">
        <v>126</v>
      </c>
      <c r="BJ952" t="s">
        <v>126</v>
      </c>
      <c r="BK952" t="s">
        <v>126</v>
      </c>
      <c r="BS952" t="s">
        <v>126</v>
      </c>
      <c r="BT952" t="s">
        <v>126</v>
      </c>
      <c r="BU952" t="s">
        <v>126</v>
      </c>
      <c r="BV952" t="s">
        <v>126</v>
      </c>
      <c r="CN952" t="s">
        <v>147</v>
      </c>
      <c r="CP952" t="s">
        <v>457</v>
      </c>
      <c r="CQ952" t="s">
        <v>147</v>
      </c>
    </row>
    <row r="953" spans="1:95" x14ac:dyDescent="0.2">
      <c r="A953" t="s">
        <v>115</v>
      </c>
      <c r="B953" t="s">
        <v>116</v>
      </c>
      <c r="C953">
        <v>210784</v>
      </c>
      <c r="E953" t="s">
        <v>117</v>
      </c>
      <c r="F953">
        <v>368</v>
      </c>
      <c r="G953" t="s">
        <v>141</v>
      </c>
      <c r="H953" t="s">
        <v>142</v>
      </c>
      <c r="I953" t="s">
        <v>519</v>
      </c>
      <c r="J953" t="s">
        <v>520</v>
      </c>
      <c r="L953" s="14">
        <v>45910</v>
      </c>
      <c r="M953" s="18">
        <f t="shared" si="17"/>
        <v>45901</v>
      </c>
      <c r="N953" t="s">
        <v>523</v>
      </c>
      <c r="O953" t="s">
        <v>123</v>
      </c>
      <c r="P953" t="s">
        <v>146</v>
      </c>
      <c r="Q953">
        <v>1E-3</v>
      </c>
      <c r="R953" t="s">
        <v>125</v>
      </c>
      <c r="S953" t="s">
        <v>126</v>
      </c>
      <c r="T953" t="s">
        <v>125</v>
      </c>
      <c r="U953" t="s">
        <v>126</v>
      </c>
      <c r="W953">
        <v>1E-3</v>
      </c>
      <c r="Y953">
        <v>1E-3</v>
      </c>
      <c r="AF953">
        <v>1E-3</v>
      </c>
      <c r="BH953" t="s">
        <v>126</v>
      </c>
      <c r="BI953" t="s">
        <v>126</v>
      </c>
      <c r="BJ953" t="s">
        <v>126</v>
      </c>
      <c r="BK953" t="s">
        <v>126</v>
      </c>
      <c r="BS953" t="s">
        <v>126</v>
      </c>
      <c r="BT953" t="s">
        <v>126</v>
      </c>
      <c r="BU953" t="s">
        <v>126</v>
      </c>
      <c r="BV953" t="s">
        <v>126</v>
      </c>
      <c r="CN953" t="s">
        <v>147</v>
      </c>
      <c r="CP953" t="s">
        <v>460</v>
      </c>
      <c r="CQ953" t="s">
        <v>147</v>
      </c>
    </row>
    <row r="954" spans="1:95" x14ac:dyDescent="0.2">
      <c r="A954" t="s">
        <v>115</v>
      </c>
      <c r="B954" t="s">
        <v>116</v>
      </c>
      <c r="C954">
        <v>210784</v>
      </c>
      <c r="E954" t="s">
        <v>117</v>
      </c>
      <c r="F954">
        <v>368</v>
      </c>
      <c r="G954" t="s">
        <v>141</v>
      </c>
      <c r="H954" t="s">
        <v>142</v>
      </c>
      <c r="I954" t="s">
        <v>279</v>
      </c>
      <c r="J954" t="s">
        <v>280</v>
      </c>
      <c r="L954" s="14">
        <v>45910</v>
      </c>
      <c r="M954" s="18">
        <f t="shared" si="17"/>
        <v>45901</v>
      </c>
      <c r="N954">
        <v>5789456</v>
      </c>
      <c r="O954" t="s">
        <v>123</v>
      </c>
      <c r="P954" t="s">
        <v>146</v>
      </c>
      <c r="Q954">
        <v>0.375</v>
      </c>
      <c r="R954" t="s">
        <v>125</v>
      </c>
      <c r="S954" t="s">
        <v>126</v>
      </c>
      <c r="T954" t="s">
        <v>125</v>
      </c>
      <c r="U954" t="s">
        <v>126</v>
      </c>
      <c r="W954">
        <v>0.375</v>
      </c>
      <c r="Y954">
        <v>0.375</v>
      </c>
      <c r="AP954">
        <v>0.375</v>
      </c>
      <c r="BH954" t="s">
        <v>126</v>
      </c>
      <c r="BI954" t="s">
        <v>126</v>
      </c>
      <c r="BJ954" t="s">
        <v>126</v>
      </c>
      <c r="BK954" t="s">
        <v>126</v>
      </c>
      <c r="BS954" t="s">
        <v>126</v>
      </c>
      <c r="BT954" t="s">
        <v>126</v>
      </c>
      <c r="BU954" t="s">
        <v>126</v>
      </c>
      <c r="BV954" t="s">
        <v>126</v>
      </c>
      <c r="CN954" t="s">
        <v>147</v>
      </c>
      <c r="CP954" t="s">
        <v>460</v>
      </c>
      <c r="CQ954" t="s">
        <v>147</v>
      </c>
    </row>
    <row r="955" spans="1:95" x14ac:dyDescent="0.2">
      <c r="A955" t="s">
        <v>115</v>
      </c>
      <c r="B955" t="s">
        <v>116</v>
      </c>
      <c r="C955">
        <v>210784</v>
      </c>
      <c r="E955" t="s">
        <v>117</v>
      </c>
      <c r="F955">
        <v>368</v>
      </c>
      <c r="G955" t="s">
        <v>141</v>
      </c>
      <c r="H955" t="s">
        <v>142</v>
      </c>
      <c r="I955" t="s">
        <v>279</v>
      </c>
      <c r="J955" t="s">
        <v>280</v>
      </c>
      <c r="L955" s="14">
        <v>45911</v>
      </c>
      <c r="M955" s="18">
        <f t="shared" si="17"/>
        <v>45901</v>
      </c>
      <c r="N955">
        <v>5789929</v>
      </c>
      <c r="O955" t="s">
        <v>123</v>
      </c>
      <c r="P955" t="s">
        <v>146</v>
      </c>
      <c r="Q955">
        <v>5.21</v>
      </c>
      <c r="R955" t="s">
        <v>125</v>
      </c>
      <c r="S955" t="s">
        <v>126</v>
      </c>
      <c r="T955" t="s">
        <v>125</v>
      </c>
      <c r="U955" t="s">
        <v>126</v>
      </c>
      <c r="W955">
        <v>5.21</v>
      </c>
      <c r="Y955">
        <v>5.21</v>
      </c>
      <c r="AS955">
        <v>5.21</v>
      </c>
      <c r="BH955" t="s">
        <v>126</v>
      </c>
      <c r="BI955" t="s">
        <v>126</v>
      </c>
      <c r="BJ955" t="s">
        <v>126</v>
      </c>
      <c r="BK955" t="s">
        <v>126</v>
      </c>
      <c r="BS955" t="s">
        <v>126</v>
      </c>
      <c r="BT955" t="s">
        <v>126</v>
      </c>
      <c r="BU955" t="s">
        <v>126</v>
      </c>
      <c r="BV955" t="s">
        <v>126</v>
      </c>
      <c r="CN955" t="s">
        <v>147</v>
      </c>
      <c r="CP955" t="s">
        <v>457</v>
      </c>
      <c r="CQ955" t="s">
        <v>147</v>
      </c>
    </row>
    <row r="956" spans="1:95" x14ac:dyDescent="0.2">
      <c r="A956" t="s">
        <v>115</v>
      </c>
      <c r="B956" t="s">
        <v>116</v>
      </c>
      <c r="C956">
        <v>210784</v>
      </c>
      <c r="E956" t="s">
        <v>117</v>
      </c>
      <c r="F956">
        <v>368</v>
      </c>
      <c r="G956" t="s">
        <v>141</v>
      </c>
      <c r="H956" t="s">
        <v>142</v>
      </c>
      <c r="I956" t="s">
        <v>279</v>
      </c>
      <c r="J956" t="s">
        <v>280</v>
      </c>
      <c r="L956" s="14">
        <v>45911</v>
      </c>
      <c r="M956" s="18">
        <f t="shared" si="17"/>
        <v>45901</v>
      </c>
      <c r="N956">
        <v>578913</v>
      </c>
      <c r="O956" t="s">
        <v>123</v>
      </c>
      <c r="P956" t="s">
        <v>146</v>
      </c>
      <c r="Q956">
        <v>6.65</v>
      </c>
      <c r="R956" t="s">
        <v>745</v>
      </c>
      <c r="S956" t="s">
        <v>126</v>
      </c>
      <c r="T956" t="s">
        <v>745</v>
      </c>
      <c r="U956" t="s">
        <v>746</v>
      </c>
      <c r="W956">
        <v>4.1199999999999992</v>
      </c>
      <c r="X956">
        <v>2.5299999999999998</v>
      </c>
      <c r="Y956">
        <v>6.65</v>
      </c>
      <c r="Z956">
        <v>2.5299999999999998</v>
      </c>
      <c r="AG956">
        <v>2.0499999999999998</v>
      </c>
      <c r="AH956">
        <v>2.0699999999999998</v>
      </c>
      <c r="BH956" t="s">
        <v>126</v>
      </c>
      <c r="BI956" t="s">
        <v>126</v>
      </c>
      <c r="BJ956" t="s">
        <v>126</v>
      </c>
      <c r="BK956" t="s">
        <v>126</v>
      </c>
      <c r="BS956" t="s">
        <v>126</v>
      </c>
      <c r="BT956" t="s">
        <v>126</v>
      </c>
      <c r="BU956" t="s">
        <v>126</v>
      </c>
      <c r="BV956" t="s">
        <v>126</v>
      </c>
      <c r="CN956" t="s">
        <v>147</v>
      </c>
      <c r="CP956" t="s">
        <v>457</v>
      </c>
      <c r="CQ956" t="s">
        <v>147</v>
      </c>
    </row>
    <row r="957" spans="1:95" x14ac:dyDescent="0.2">
      <c r="A957" t="s">
        <v>115</v>
      </c>
      <c r="B957" t="s">
        <v>116</v>
      </c>
      <c r="C957">
        <v>210784</v>
      </c>
      <c r="E957" t="s">
        <v>117</v>
      </c>
      <c r="F957">
        <v>368</v>
      </c>
      <c r="G957" t="s">
        <v>141</v>
      </c>
      <c r="H957" t="s">
        <v>142</v>
      </c>
      <c r="I957" t="s">
        <v>279</v>
      </c>
      <c r="J957" t="s">
        <v>280</v>
      </c>
      <c r="L957" s="14">
        <v>45911</v>
      </c>
      <c r="M957" s="18">
        <f t="shared" si="17"/>
        <v>45901</v>
      </c>
      <c r="N957">
        <v>5790297</v>
      </c>
      <c r="O957" t="s">
        <v>123</v>
      </c>
      <c r="P957" t="s">
        <v>146</v>
      </c>
      <c r="Q957">
        <v>3.24</v>
      </c>
      <c r="R957" t="s">
        <v>567</v>
      </c>
      <c r="S957" t="s">
        <v>126</v>
      </c>
      <c r="T957" t="s">
        <v>567</v>
      </c>
      <c r="U957" t="s">
        <v>568</v>
      </c>
      <c r="W957">
        <v>1</v>
      </c>
      <c r="X957">
        <v>2.2400000000000002</v>
      </c>
      <c r="Y957">
        <v>3.24</v>
      </c>
      <c r="Z957">
        <v>1.23</v>
      </c>
      <c r="AG957">
        <v>1</v>
      </c>
      <c r="AI957">
        <v>1.01</v>
      </c>
      <c r="BH957" t="s">
        <v>126</v>
      </c>
      <c r="BI957" t="s">
        <v>126</v>
      </c>
      <c r="BJ957" t="s">
        <v>126</v>
      </c>
      <c r="BK957" t="s">
        <v>126</v>
      </c>
      <c r="BS957" t="s">
        <v>126</v>
      </c>
      <c r="BT957" t="s">
        <v>126</v>
      </c>
      <c r="BU957" t="s">
        <v>126</v>
      </c>
      <c r="BV957" t="s">
        <v>126</v>
      </c>
      <c r="CN957" t="s">
        <v>147</v>
      </c>
      <c r="CP957" t="s">
        <v>457</v>
      </c>
      <c r="CQ957" t="s">
        <v>147</v>
      </c>
    </row>
    <row r="958" spans="1:95" x14ac:dyDescent="0.2">
      <c r="A958" t="s">
        <v>115</v>
      </c>
      <c r="B958" t="s">
        <v>116</v>
      </c>
      <c r="C958">
        <v>210784</v>
      </c>
      <c r="E958" t="s">
        <v>117</v>
      </c>
      <c r="F958">
        <v>368</v>
      </c>
      <c r="G958" t="s">
        <v>141</v>
      </c>
      <c r="H958" t="s">
        <v>142</v>
      </c>
      <c r="I958" t="s">
        <v>279</v>
      </c>
      <c r="J958" t="s">
        <v>280</v>
      </c>
      <c r="L958" s="14">
        <v>45912</v>
      </c>
      <c r="M958" s="18">
        <f t="shared" si="17"/>
        <v>45901</v>
      </c>
      <c r="N958">
        <v>5790961</v>
      </c>
      <c r="O958" t="s">
        <v>123</v>
      </c>
      <c r="P958" t="s">
        <v>146</v>
      </c>
      <c r="Q958">
        <v>5.18</v>
      </c>
      <c r="R958" t="s">
        <v>125</v>
      </c>
      <c r="S958" t="s">
        <v>126</v>
      </c>
      <c r="T958" t="s">
        <v>125</v>
      </c>
      <c r="U958" t="s">
        <v>126</v>
      </c>
      <c r="W958">
        <v>5.18</v>
      </c>
      <c r="Y958">
        <v>5.18</v>
      </c>
      <c r="AS958">
        <v>5.18</v>
      </c>
      <c r="BH958" t="s">
        <v>126</v>
      </c>
      <c r="BI958" t="s">
        <v>126</v>
      </c>
      <c r="BJ958" t="s">
        <v>126</v>
      </c>
      <c r="BK958" t="s">
        <v>126</v>
      </c>
      <c r="BS958" t="s">
        <v>126</v>
      </c>
      <c r="BT958" t="s">
        <v>126</v>
      </c>
      <c r="BU958" t="s">
        <v>126</v>
      </c>
      <c r="BV958" t="s">
        <v>126</v>
      </c>
      <c r="CN958" t="s">
        <v>147</v>
      </c>
      <c r="CP958" t="s">
        <v>457</v>
      </c>
      <c r="CQ958" t="s">
        <v>147</v>
      </c>
    </row>
    <row r="959" spans="1:95" x14ac:dyDescent="0.2">
      <c r="A959" t="s">
        <v>115</v>
      </c>
      <c r="B959" t="s">
        <v>116</v>
      </c>
      <c r="C959">
        <v>210784</v>
      </c>
      <c r="E959" t="s">
        <v>117</v>
      </c>
      <c r="F959">
        <v>368</v>
      </c>
      <c r="G959" t="s">
        <v>141</v>
      </c>
      <c r="H959" t="s">
        <v>142</v>
      </c>
      <c r="I959" t="s">
        <v>279</v>
      </c>
      <c r="J959" t="s">
        <v>280</v>
      </c>
      <c r="L959" s="14">
        <v>45912</v>
      </c>
      <c r="M959" s="18">
        <f t="shared" si="17"/>
        <v>45901</v>
      </c>
      <c r="N959">
        <v>5791183</v>
      </c>
      <c r="O959" t="s">
        <v>123</v>
      </c>
      <c r="P959" t="s">
        <v>146</v>
      </c>
      <c r="Q959">
        <v>3.5</v>
      </c>
      <c r="R959" t="s">
        <v>125</v>
      </c>
      <c r="S959" t="s">
        <v>126</v>
      </c>
      <c r="T959" t="s">
        <v>125</v>
      </c>
      <c r="U959" t="s">
        <v>126</v>
      </c>
      <c r="W959">
        <v>3.5</v>
      </c>
      <c r="Y959">
        <v>3.5</v>
      </c>
      <c r="AS959">
        <v>3.5</v>
      </c>
      <c r="BH959" t="s">
        <v>126</v>
      </c>
      <c r="BI959" t="s">
        <v>126</v>
      </c>
      <c r="BJ959" t="s">
        <v>126</v>
      </c>
      <c r="BK959" t="s">
        <v>126</v>
      </c>
      <c r="BS959" t="s">
        <v>126</v>
      </c>
      <c r="BT959" t="s">
        <v>126</v>
      </c>
      <c r="BU959" t="s">
        <v>126</v>
      </c>
      <c r="BV959" t="s">
        <v>126</v>
      </c>
      <c r="CN959" t="s">
        <v>147</v>
      </c>
      <c r="CP959" t="s">
        <v>457</v>
      </c>
      <c r="CQ959" t="s">
        <v>147</v>
      </c>
    </row>
    <row r="960" spans="1:95" x14ac:dyDescent="0.2">
      <c r="A960" t="s">
        <v>115</v>
      </c>
      <c r="B960" t="s">
        <v>116</v>
      </c>
      <c r="C960">
        <v>210784</v>
      </c>
      <c r="E960" t="s">
        <v>117</v>
      </c>
      <c r="F960">
        <v>368</v>
      </c>
      <c r="G960" t="s">
        <v>141</v>
      </c>
      <c r="H960" t="s">
        <v>142</v>
      </c>
      <c r="I960" t="s">
        <v>279</v>
      </c>
      <c r="J960" t="s">
        <v>280</v>
      </c>
      <c r="L960" s="14">
        <v>45915</v>
      </c>
      <c r="M960" s="18">
        <f t="shared" si="17"/>
        <v>45901</v>
      </c>
      <c r="N960">
        <v>5791955</v>
      </c>
      <c r="O960" t="s">
        <v>123</v>
      </c>
      <c r="P960" t="s">
        <v>146</v>
      </c>
      <c r="Q960">
        <v>3.69</v>
      </c>
      <c r="R960" t="s">
        <v>125</v>
      </c>
      <c r="S960" t="s">
        <v>126</v>
      </c>
      <c r="T960" t="s">
        <v>125</v>
      </c>
      <c r="U960" t="s">
        <v>126</v>
      </c>
      <c r="W960">
        <v>3.69</v>
      </c>
      <c r="Y960">
        <v>3.69</v>
      </c>
      <c r="AS960">
        <v>3.69</v>
      </c>
      <c r="BH960" t="s">
        <v>126</v>
      </c>
      <c r="BI960" t="s">
        <v>126</v>
      </c>
      <c r="BJ960" t="s">
        <v>126</v>
      </c>
      <c r="BK960" t="s">
        <v>126</v>
      </c>
      <c r="BS960" t="s">
        <v>126</v>
      </c>
      <c r="BT960" t="s">
        <v>126</v>
      </c>
      <c r="BU960" t="s">
        <v>126</v>
      </c>
      <c r="BV960" t="s">
        <v>126</v>
      </c>
      <c r="CN960" t="s">
        <v>147</v>
      </c>
      <c r="CP960" t="s">
        <v>457</v>
      </c>
      <c r="CQ960" t="s">
        <v>147</v>
      </c>
    </row>
    <row r="961" spans="1:95" x14ac:dyDescent="0.2">
      <c r="A961" t="s">
        <v>115</v>
      </c>
      <c r="B961" t="s">
        <v>116</v>
      </c>
      <c r="C961">
        <v>210784</v>
      </c>
      <c r="E961" t="s">
        <v>117</v>
      </c>
      <c r="F961">
        <v>368</v>
      </c>
      <c r="G961" t="s">
        <v>141</v>
      </c>
      <c r="H961" t="s">
        <v>142</v>
      </c>
      <c r="I961" t="s">
        <v>279</v>
      </c>
      <c r="J961" t="s">
        <v>280</v>
      </c>
      <c r="L961" s="14">
        <v>45915</v>
      </c>
      <c r="M961" s="18">
        <f t="shared" si="17"/>
        <v>45901</v>
      </c>
      <c r="N961">
        <v>5792261</v>
      </c>
      <c r="O961" t="s">
        <v>123</v>
      </c>
      <c r="P961" t="s">
        <v>146</v>
      </c>
      <c r="Q961">
        <v>3.35</v>
      </c>
      <c r="R961" t="s">
        <v>125</v>
      </c>
      <c r="S961" t="s">
        <v>126</v>
      </c>
      <c r="T961" t="s">
        <v>125</v>
      </c>
      <c r="U961" t="s">
        <v>126</v>
      </c>
      <c r="W961">
        <v>3.35</v>
      </c>
      <c r="Y961">
        <v>3.35</v>
      </c>
      <c r="AS961">
        <v>3.35</v>
      </c>
      <c r="BH961" t="s">
        <v>126</v>
      </c>
      <c r="BI961" t="s">
        <v>126</v>
      </c>
      <c r="BJ961" t="s">
        <v>126</v>
      </c>
      <c r="BK961" t="s">
        <v>126</v>
      </c>
      <c r="BS961" t="s">
        <v>126</v>
      </c>
      <c r="BT961" t="s">
        <v>126</v>
      </c>
      <c r="BU961" t="s">
        <v>126</v>
      </c>
      <c r="BV961" t="s">
        <v>126</v>
      </c>
      <c r="CN961" t="s">
        <v>147</v>
      </c>
      <c r="CP961" t="s">
        <v>457</v>
      </c>
      <c r="CQ961" t="s">
        <v>147</v>
      </c>
    </row>
    <row r="962" spans="1:95" x14ac:dyDescent="0.2">
      <c r="A962" t="s">
        <v>115</v>
      </c>
      <c r="B962" t="s">
        <v>116</v>
      </c>
      <c r="C962">
        <v>210784</v>
      </c>
      <c r="E962" t="s">
        <v>117</v>
      </c>
      <c r="F962">
        <v>368</v>
      </c>
      <c r="G962" t="s">
        <v>141</v>
      </c>
      <c r="H962" t="s">
        <v>142</v>
      </c>
      <c r="I962" t="s">
        <v>279</v>
      </c>
      <c r="J962" t="s">
        <v>280</v>
      </c>
      <c r="L962" s="14">
        <v>45916</v>
      </c>
      <c r="M962" s="18">
        <f t="shared" si="17"/>
        <v>45901</v>
      </c>
      <c r="N962">
        <v>5792680</v>
      </c>
      <c r="O962" t="s">
        <v>123</v>
      </c>
      <c r="P962" t="s">
        <v>146</v>
      </c>
      <c r="Q962">
        <v>4</v>
      </c>
      <c r="R962" t="s">
        <v>125</v>
      </c>
      <c r="S962" t="s">
        <v>126</v>
      </c>
      <c r="T962" t="s">
        <v>125</v>
      </c>
      <c r="U962" t="s">
        <v>126</v>
      </c>
      <c r="W962">
        <v>4</v>
      </c>
      <c r="Y962">
        <v>4</v>
      </c>
      <c r="AS962">
        <v>4</v>
      </c>
      <c r="BH962" t="s">
        <v>126</v>
      </c>
      <c r="BI962" t="s">
        <v>126</v>
      </c>
      <c r="BJ962" t="s">
        <v>126</v>
      </c>
      <c r="BK962" t="s">
        <v>126</v>
      </c>
      <c r="BS962" t="s">
        <v>126</v>
      </c>
      <c r="BT962" t="s">
        <v>126</v>
      </c>
      <c r="BU962" t="s">
        <v>126</v>
      </c>
      <c r="BV962" t="s">
        <v>126</v>
      </c>
      <c r="CN962" t="s">
        <v>147</v>
      </c>
      <c r="CP962" t="s">
        <v>457</v>
      </c>
      <c r="CQ962" t="s">
        <v>147</v>
      </c>
    </row>
    <row r="963" spans="1:95" x14ac:dyDescent="0.2">
      <c r="A963" t="s">
        <v>115</v>
      </c>
      <c r="B963" t="s">
        <v>116</v>
      </c>
      <c r="C963">
        <v>210784</v>
      </c>
      <c r="E963" t="s">
        <v>117</v>
      </c>
      <c r="F963">
        <v>368</v>
      </c>
      <c r="G963" t="s">
        <v>141</v>
      </c>
      <c r="H963" t="s">
        <v>142</v>
      </c>
      <c r="I963" t="s">
        <v>279</v>
      </c>
      <c r="J963" t="s">
        <v>280</v>
      </c>
      <c r="L963" s="14">
        <v>45916</v>
      </c>
      <c r="M963" s="18">
        <f t="shared" si="17"/>
        <v>45901</v>
      </c>
      <c r="N963">
        <v>5793110</v>
      </c>
      <c r="O963" t="s">
        <v>123</v>
      </c>
      <c r="P963" t="s">
        <v>146</v>
      </c>
      <c r="Q963">
        <v>1.92</v>
      </c>
      <c r="R963" t="s">
        <v>125</v>
      </c>
      <c r="S963" t="s">
        <v>126</v>
      </c>
      <c r="T963" t="s">
        <v>125</v>
      </c>
      <c r="U963" t="s">
        <v>126</v>
      </c>
      <c r="W963">
        <v>1.92</v>
      </c>
      <c r="Y963">
        <v>1.92</v>
      </c>
      <c r="AS963">
        <v>1.92</v>
      </c>
      <c r="BH963" t="s">
        <v>126</v>
      </c>
      <c r="BI963" t="s">
        <v>126</v>
      </c>
      <c r="BJ963" t="s">
        <v>126</v>
      </c>
      <c r="BK963" t="s">
        <v>126</v>
      </c>
      <c r="BS963" t="s">
        <v>126</v>
      </c>
      <c r="BT963" t="s">
        <v>126</v>
      </c>
      <c r="BU963" t="s">
        <v>126</v>
      </c>
      <c r="BV963" t="s">
        <v>126</v>
      </c>
      <c r="CN963" t="s">
        <v>147</v>
      </c>
      <c r="CP963" t="s">
        <v>457</v>
      </c>
      <c r="CQ963" t="s">
        <v>147</v>
      </c>
    </row>
    <row r="964" spans="1:95" x14ac:dyDescent="0.2">
      <c r="A964" t="s">
        <v>115</v>
      </c>
      <c r="B964" t="s">
        <v>116</v>
      </c>
      <c r="C964">
        <v>210784</v>
      </c>
      <c r="E964" t="s">
        <v>117</v>
      </c>
      <c r="F964">
        <v>368</v>
      </c>
      <c r="G964" t="s">
        <v>141</v>
      </c>
      <c r="H964" t="s">
        <v>142</v>
      </c>
      <c r="I964" t="s">
        <v>279</v>
      </c>
      <c r="J964" t="s">
        <v>280</v>
      </c>
      <c r="L964" s="14">
        <v>45917</v>
      </c>
      <c r="M964" s="18">
        <f t="shared" si="17"/>
        <v>45901</v>
      </c>
      <c r="N964">
        <v>5793814</v>
      </c>
      <c r="O964" t="s">
        <v>123</v>
      </c>
      <c r="P964" t="s">
        <v>146</v>
      </c>
      <c r="Q964">
        <v>3.6</v>
      </c>
      <c r="R964" t="s">
        <v>125</v>
      </c>
      <c r="S964" t="s">
        <v>126</v>
      </c>
      <c r="T964" t="s">
        <v>125</v>
      </c>
      <c r="U964" t="s">
        <v>126</v>
      </c>
      <c r="W964">
        <v>3.6</v>
      </c>
      <c r="Y964">
        <v>3.6</v>
      </c>
      <c r="AS964">
        <v>3.6</v>
      </c>
      <c r="BH964" t="s">
        <v>126</v>
      </c>
      <c r="BI964" t="s">
        <v>126</v>
      </c>
      <c r="BJ964" t="s">
        <v>126</v>
      </c>
      <c r="BK964" t="s">
        <v>126</v>
      </c>
      <c r="BS964" t="s">
        <v>126</v>
      </c>
      <c r="BT964" t="s">
        <v>126</v>
      </c>
      <c r="BU964" t="s">
        <v>126</v>
      </c>
      <c r="BV964" t="s">
        <v>126</v>
      </c>
      <c r="CN964" t="s">
        <v>147</v>
      </c>
      <c r="CP964" t="s">
        <v>457</v>
      </c>
      <c r="CQ964" t="s">
        <v>147</v>
      </c>
    </row>
    <row r="965" spans="1:95" x14ac:dyDescent="0.2">
      <c r="A965" t="s">
        <v>115</v>
      </c>
      <c r="B965" t="s">
        <v>116</v>
      </c>
      <c r="C965">
        <v>210784</v>
      </c>
      <c r="E965" t="s">
        <v>117</v>
      </c>
      <c r="F965">
        <v>368</v>
      </c>
      <c r="G965" t="s">
        <v>141</v>
      </c>
      <c r="H965" t="s">
        <v>142</v>
      </c>
      <c r="I965" t="s">
        <v>279</v>
      </c>
      <c r="J965" t="s">
        <v>280</v>
      </c>
      <c r="L965" s="14">
        <v>45918</v>
      </c>
      <c r="M965" s="18">
        <f t="shared" si="17"/>
        <v>45901</v>
      </c>
      <c r="N965">
        <v>5794643</v>
      </c>
      <c r="O965" t="s">
        <v>123</v>
      </c>
      <c r="P965" t="s">
        <v>146</v>
      </c>
      <c r="Q965">
        <v>4.08</v>
      </c>
      <c r="R965" t="s">
        <v>125</v>
      </c>
      <c r="S965" t="s">
        <v>126</v>
      </c>
      <c r="T965" t="s">
        <v>125</v>
      </c>
      <c r="U965" t="s">
        <v>126</v>
      </c>
      <c r="W965">
        <v>4.08</v>
      </c>
      <c r="Y965">
        <v>4.08</v>
      </c>
      <c r="AS965">
        <v>4.08</v>
      </c>
      <c r="BH965" t="s">
        <v>126</v>
      </c>
      <c r="BI965" t="s">
        <v>126</v>
      </c>
      <c r="BJ965" t="s">
        <v>126</v>
      </c>
      <c r="BK965" t="s">
        <v>126</v>
      </c>
      <c r="BS965" t="s">
        <v>126</v>
      </c>
      <c r="BT965" t="s">
        <v>126</v>
      </c>
      <c r="BU965" t="s">
        <v>126</v>
      </c>
      <c r="BV965" t="s">
        <v>126</v>
      </c>
      <c r="CN965" t="s">
        <v>147</v>
      </c>
      <c r="CP965" t="s">
        <v>457</v>
      </c>
      <c r="CQ965" t="s">
        <v>147</v>
      </c>
    </row>
    <row r="966" spans="1:95" x14ac:dyDescent="0.2">
      <c r="A966" t="s">
        <v>115</v>
      </c>
      <c r="B966" t="s">
        <v>116</v>
      </c>
      <c r="C966">
        <v>210784</v>
      </c>
      <c r="E966" t="s">
        <v>117</v>
      </c>
      <c r="F966">
        <v>368</v>
      </c>
      <c r="G966" t="s">
        <v>141</v>
      </c>
      <c r="H966" t="s">
        <v>142</v>
      </c>
      <c r="I966" t="s">
        <v>279</v>
      </c>
      <c r="J966" t="s">
        <v>280</v>
      </c>
      <c r="L966" s="14">
        <v>45919</v>
      </c>
      <c r="M966" s="18">
        <f t="shared" si="17"/>
        <v>45901</v>
      </c>
      <c r="N966">
        <v>5795419</v>
      </c>
      <c r="O966" t="s">
        <v>123</v>
      </c>
      <c r="P966" t="s">
        <v>146</v>
      </c>
      <c r="Q966">
        <v>4.66</v>
      </c>
      <c r="R966" t="s">
        <v>125</v>
      </c>
      <c r="S966" t="s">
        <v>126</v>
      </c>
      <c r="T966" t="s">
        <v>125</v>
      </c>
      <c r="U966" t="s">
        <v>126</v>
      </c>
      <c r="W966">
        <v>4.66</v>
      </c>
      <c r="Y966">
        <v>4.66</v>
      </c>
      <c r="AS966">
        <v>4.66</v>
      </c>
      <c r="BH966" t="s">
        <v>126</v>
      </c>
      <c r="BI966" t="s">
        <v>126</v>
      </c>
      <c r="BJ966" t="s">
        <v>126</v>
      </c>
      <c r="BK966" t="s">
        <v>126</v>
      </c>
      <c r="BS966" t="s">
        <v>126</v>
      </c>
      <c r="BT966" t="s">
        <v>126</v>
      </c>
      <c r="BU966" t="s">
        <v>126</v>
      </c>
      <c r="BV966" t="s">
        <v>126</v>
      </c>
      <c r="CN966" t="s">
        <v>147</v>
      </c>
      <c r="CP966" t="s">
        <v>457</v>
      </c>
      <c r="CQ966" t="s">
        <v>147</v>
      </c>
    </row>
    <row r="967" spans="1:95" x14ac:dyDescent="0.2">
      <c r="A967" t="s">
        <v>115</v>
      </c>
      <c r="B967" t="s">
        <v>116</v>
      </c>
      <c r="C967">
        <v>210784</v>
      </c>
      <c r="E967" t="s">
        <v>117</v>
      </c>
      <c r="F967">
        <v>368</v>
      </c>
      <c r="G967" t="s">
        <v>141</v>
      </c>
      <c r="H967" t="s">
        <v>142</v>
      </c>
      <c r="I967" t="s">
        <v>279</v>
      </c>
      <c r="J967" t="s">
        <v>280</v>
      </c>
      <c r="L967" s="14">
        <v>45922</v>
      </c>
      <c r="M967" s="18">
        <f t="shared" si="17"/>
        <v>45901</v>
      </c>
      <c r="N967">
        <v>5796138</v>
      </c>
      <c r="O967" t="s">
        <v>123</v>
      </c>
      <c r="P967" t="s">
        <v>146</v>
      </c>
      <c r="Q967">
        <v>4.4800000000000004</v>
      </c>
      <c r="R967" t="s">
        <v>125</v>
      </c>
      <c r="S967" t="s">
        <v>126</v>
      </c>
      <c r="T967" t="s">
        <v>125</v>
      </c>
      <c r="U967" t="s">
        <v>126</v>
      </c>
      <c r="W967">
        <v>4.4800000000000004</v>
      </c>
      <c r="Y967">
        <v>4.4800000000000004</v>
      </c>
      <c r="AS967">
        <v>4.4800000000000004</v>
      </c>
      <c r="BH967" t="s">
        <v>126</v>
      </c>
      <c r="BI967" t="s">
        <v>126</v>
      </c>
      <c r="BJ967" t="s">
        <v>126</v>
      </c>
      <c r="BK967" t="s">
        <v>126</v>
      </c>
      <c r="BS967" t="s">
        <v>126</v>
      </c>
      <c r="BT967" t="s">
        <v>126</v>
      </c>
      <c r="BU967" t="s">
        <v>126</v>
      </c>
      <c r="BV967" t="s">
        <v>126</v>
      </c>
      <c r="CN967" t="s">
        <v>147</v>
      </c>
      <c r="CP967" t="s">
        <v>457</v>
      </c>
      <c r="CQ967" t="s">
        <v>147</v>
      </c>
    </row>
    <row r="968" spans="1:95" x14ac:dyDescent="0.2">
      <c r="A968" t="s">
        <v>115</v>
      </c>
      <c r="B968" t="s">
        <v>116</v>
      </c>
      <c r="C968">
        <v>210784</v>
      </c>
      <c r="E968" t="s">
        <v>117</v>
      </c>
      <c r="F968">
        <v>368</v>
      </c>
      <c r="G968" t="s">
        <v>141</v>
      </c>
      <c r="H968" t="s">
        <v>142</v>
      </c>
      <c r="I968" t="s">
        <v>279</v>
      </c>
      <c r="J968" t="s">
        <v>280</v>
      </c>
      <c r="L968" s="14">
        <v>45923</v>
      </c>
      <c r="M968" s="18">
        <f t="shared" si="17"/>
        <v>45901</v>
      </c>
      <c r="N968">
        <v>5796801</v>
      </c>
      <c r="O968" t="s">
        <v>123</v>
      </c>
      <c r="P968" t="s">
        <v>146</v>
      </c>
      <c r="Q968">
        <v>5.76</v>
      </c>
      <c r="R968" t="s">
        <v>710</v>
      </c>
      <c r="S968" t="s">
        <v>126</v>
      </c>
      <c r="T968" t="s">
        <v>710</v>
      </c>
      <c r="U968" t="s">
        <v>711</v>
      </c>
      <c r="W968">
        <v>1.78</v>
      </c>
      <c r="X968">
        <v>3.98</v>
      </c>
      <c r="Y968">
        <v>5.76</v>
      </c>
      <c r="Z968">
        <v>2.19</v>
      </c>
      <c r="AG968">
        <v>1.78</v>
      </c>
      <c r="AI968">
        <v>1.79</v>
      </c>
      <c r="BH968" t="s">
        <v>126</v>
      </c>
      <c r="BI968" t="s">
        <v>126</v>
      </c>
      <c r="BJ968" t="s">
        <v>126</v>
      </c>
      <c r="BK968" t="s">
        <v>126</v>
      </c>
      <c r="BS968" t="s">
        <v>126</v>
      </c>
      <c r="BT968" t="s">
        <v>126</v>
      </c>
      <c r="BU968" t="s">
        <v>126</v>
      </c>
      <c r="BV968" t="s">
        <v>126</v>
      </c>
      <c r="CN968" t="s">
        <v>147</v>
      </c>
      <c r="CP968" t="s">
        <v>457</v>
      </c>
      <c r="CQ968" t="s">
        <v>147</v>
      </c>
    </row>
    <row r="969" spans="1:95" x14ac:dyDescent="0.2">
      <c r="A969" t="s">
        <v>115</v>
      </c>
      <c r="B969" t="s">
        <v>116</v>
      </c>
      <c r="C969">
        <v>210784</v>
      </c>
      <c r="E969" t="s">
        <v>117</v>
      </c>
      <c r="F969">
        <v>368</v>
      </c>
      <c r="G969" t="s">
        <v>141</v>
      </c>
      <c r="H969" t="s">
        <v>142</v>
      </c>
      <c r="I969" t="s">
        <v>279</v>
      </c>
      <c r="J969" t="s">
        <v>280</v>
      </c>
      <c r="L969" s="14">
        <v>45924</v>
      </c>
      <c r="M969" s="18">
        <f t="shared" si="17"/>
        <v>45901</v>
      </c>
      <c r="N969">
        <v>5798128</v>
      </c>
      <c r="O969" t="s">
        <v>123</v>
      </c>
      <c r="P969" t="s">
        <v>146</v>
      </c>
      <c r="Q969">
        <v>5.62</v>
      </c>
      <c r="R969" t="s">
        <v>683</v>
      </c>
      <c r="S969" t="s">
        <v>126</v>
      </c>
      <c r="T969" t="s">
        <v>683</v>
      </c>
      <c r="U969" t="s">
        <v>684</v>
      </c>
      <c r="W969">
        <v>1.73</v>
      </c>
      <c r="X969">
        <v>3.89</v>
      </c>
      <c r="Y969">
        <v>5.62</v>
      </c>
      <c r="Z969">
        <v>2.14</v>
      </c>
      <c r="AG969">
        <v>1.73</v>
      </c>
      <c r="AI969">
        <v>1.75</v>
      </c>
      <c r="BH969" t="s">
        <v>126</v>
      </c>
      <c r="BI969" t="s">
        <v>126</v>
      </c>
      <c r="BJ969" t="s">
        <v>126</v>
      </c>
      <c r="BK969" t="s">
        <v>126</v>
      </c>
      <c r="BS969" t="s">
        <v>126</v>
      </c>
      <c r="BT969" t="s">
        <v>126</v>
      </c>
      <c r="BU969" t="s">
        <v>126</v>
      </c>
      <c r="BV969" t="s">
        <v>126</v>
      </c>
      <c r="CN969" t="s">
        <v>147</v>
      </c>
      <c r="CP969" t="s">
        <v>469</v>
      </c>
      <c r="CQ969" t="s">
        <v>147</v>
      </c>
    </row>
    <row r="970" spans="1:95" x14ac:dyDescent="0.2">
      <c r="A970" t="s">
        <v>115</v>
      </c>
      <c r="B970" t="s">
        <v>116</v>
      </c>
      <c r="C970">
        <v>210784</v>
      </c>
      <c r="E970" t="s">
        <v>117</v>
      </c>
      <c r="F970">
        <v>368</v>
      </c>
      <c r="G970" t="s">
        <v>141</v>
      </c>
      <c r="H970" t="s">
        <v>142</v>
      </c>
      <c r="I970" t="s">
        <v>279</v>
      </c>
      <c r="J970" t="s">
        <v>280</v>
      </c>
      <c r="L970" s="14">
        <v>45925</v>
      </c>
      <c r="M970" s="18">
        <f t="shared" si="17"/>
        <v>45901</v>
      </c>
      <c r="N970">
        <v>5798882</v>
      </c>
      <c r="O970" t="s">
        <v>123</v>
      </c>
      <c r="P970" t="s">
        <v>146</v>
      </c>
      <c r="Q970">
        <v>5.08</v>
      </c>
      <c r="R970" t="s">
        <v>125</v>
      </c>
      <c r="S970" t="s">
        <v>126</v>
      </c>
      <c r="T970" t="s">
        <v>125</v>
      </c>
      <c r="U970" t="s">
        <v>126</v>
      </c>
      <c r="W970">
        <v>5.08</v>
      </c>
      <c r="Y970">
        <v>5.08</v>
      </c>
      <c r="AS970">
        <v>5.08</v>
      </c>
      <c r="BH970" t="s">
        <v>126</v>
      </c>
      <c r="BI970" t="s">
        <v>126</v>
      </c>
      <c r="BJ970" t="s">
        <v>126</v>
      </c>
      <c r="BK970" t="s">
        <v>126</v>
      </c>
      <c r="BS970" t="s">
        <v>126</v>
      </c>
      <c r="BT970" t="s">
        <v>126</v>
      </c>
      <c r="BU970" t="s">
        <v>126</v>
      </c>
      <c r="BV970" t="s">
        <v>126</v>
      </c>
      <c r="CN970" t="s">
        <v>147</v>
      </c>
      <c r="CP970" t="s">
        <v>469</v>
      </c>
      <c r="CQ970" t="s">
        <v>147</v>
      </c>
    </row>
    <row r="971" spans="1:95" x14ac:dyDescent="0.2">
      <c r="A971" t="s">
        <v>115</v>
      </c>
      <c r="B971" t="s">
        <v>116</v>
      </c>
      <c r="C971">
        <v>210784</v>
      </c>
      <c r="E971" t="s">
        <v>117</v>
      </c>
      <c r="F971">
        <v>368</v>
      </c>
      <c r="G971" t="s">
        <v>141</v>
      </c>
      <c r="H971" t="s">
        <v>142</v>
      </c>
      <c r="I971" t="s">
        <v>279</v>
      </c>
      <c r="J971" t="s">
        <v>280</v>
      </c>
      <c r="L971" s="14">
        <v>45925</v>
      </c>
      <c r="M971" s="18">
        <f t="shared" ref="M971:M1034" si="18">DATE(YEAR(L971), MONTH(L971), 1)</f>
        <v>45901</v>
      </c>
      <c r="N971">
        <v>5798962</v>
      </c>
      <c r="O971" t="s">
        <v>123</v>
      </c>
      <c r="P971" t="s">
        <v>146</v>
      </c>
      <c r="Q971">
        <v>2.65</v>
      </c>
      <c r="R971" t="s">
        <v>125</v>
      </c>
      <c r="S971" t="s">
        <v>126</v>
      </c>
      <c r="T971" t="s">
        <v>125</v>
      </c>
      <c r="U971" t="s">
        <v>126</v>
      </c>
      <c r="W971">
        <v>2.65</v>
      </c>
      <c r="Y971">
        <v>2.65</v>
      </c>
      <c r="AS971">
        <v>2.65</v>
      </c>
      <c r="BH971" t="s">
        <v>126</v>
      </c>
      <c r="BI971" t="s">
        <v>126</v>
      </c>
      <c r="BJ971" t="s">
        <v>126</v>
      </c>
      <c r="BK971" t="s">
        <v>126</v>
      </c>
      <c r="BS971" t="s">
        <v>126</v>
      </c>
      <c r="BT971" t="s">
        <v>126</v>
      </c>
      <c r="BU971" t="s">
        <v>126</v>
      </c>
      <c r="BV971" t="s">
        <v>126</v>
      </c>
      <c r="CN971" t="s">
        <v>147</v>
      </c>
      <c r="CP971" t="s">
        <v>469</v>
      </c>
      <c r="CQ971" t="s">
        <v>147</v>
      </c>
    </row>
    <row r="972" spans="1:95" x14ac:dyDescent="0.2">
      <c r="A972" t="s">
        <v>115</v>
      </c>
      <c r="B972" t="s">
        <v>116</v>
      </c>
      <c r="C972">
        <v>210784</v>
      </c>
      <c r="E972" t="s">
        <v>117</v>
      </c>
      <c r="F972">
        <v>368</v>
      </c>
      <c r="G972" t="s">
        <v>141</v>
      </c>
      <c r="H972" t="s">
        <v>142</v>
      </c>
      <c r="I972" t="s">
        <v>279</v>
      </c>
      <c r="J972" t="s">
        <v>280</v>
      </c>
      <c r="L972" s="14">
        <v>45926</v>
      </c>
      <c r="M972" s="18">
        <f t="shared" si="18"/>
        <v>45901</v>
      </c>
      <c r="N972">
        <v>5799644</v>
      </c>
      <c r="O972" t="s">
        <v>123</v>
      </c>
      <c r="P972" t="s">
        <v>146</v>
      </c>
      <c r="Q972">
        <v>5.08</v>
      </c>
      <c r="R972" t="s">
        <v>125</v>
      </c>
      <c r="S972" t="s">
        <v>126</v>
      </c>
      <c r="T972" t="s">
        <v>125</v>
      </c>
      <c r="U972" t="s">
        <v>126</v>
      </c>
      <c r="W972">
        <v>5.08</v>
      </c>
      <c r="Y972">
        <v>5.08</v>
      </c>
      <c r="AS972">
        <v>5.08</v>
      </c>
      <c r="BH972" t="s">
        <v>126</v>
      </c>
      <c r="BI972" t="s">
        <v>126</v>
      </c>
      <c r="BJ972" t="s">
        <v>126</v>
      </c>
      <c r="BK972" t="s">
        <v>126</v>
      </c>
      <c r="BS972" t="s">
        <v>126</v>
      </c>
      <c r="BT972" t="s">
        <v>126</v>
      </c>
      <c r="BU972" t="s">
        <v>126</v>
      </c>
      <c r="BV972" t="s">
        <v>126</v>
      </c>
      <c r="CN972" t="s">
        <v>147</v>
      </c>
      <c r="CP972" t="s">
        <v>469</v>
      </c>
      <c r="CQ972" t="s">
        <v>147</v>
      </c>
    </row>
    <row r="973" spans="1:95" x14ac:dyDescent="0.2">
      <c r="A973" t="s">
        <v>115</v>
      </c>
      <c r="B973" t="s">
        <v>116</v>
      </c>
      <c r="C973">
        <v>210784</v>
      </c>
      <c r="E973" t="s">
        <v>117</v>
      </c>
      <c r="F973">
        <v>368</v>
      </c>
      <c r="G973" t="s">
        <v>141</v>
      </c>
      <c r="H973" t="s">
        <v>142</v>
      </c>
      <c r="I973" t="s">
        <v>279</v>
      </c>
      <c r="J973" t="s">
        <v>280</v>
      </c>
      <c r="L973" s="14">
        <v>45929</v>
      </c>
      <c r="M973" s="18">
        <f t="shared" si="18"/>
        <v>45901</v>
      </c>
      <c r="N973">
        <v>5800426</v>
      </c>
      <c r="O973" t="s">
        <v>123</v>
      </c>
      <c r="P973" t="s">
        <v>146</v>
      </c>
      <c r="Q973">
        <v>5.81</v>
      </c>
      <c r="R973" t="s">
        <v>125</v>
      </c>
      <c r="S973" t="s">
        <v>126</v>
      </c>
      <c r="T973" t="s">
        <v>125</v>
      </c>
      <c r="U973" t="s">
        <v>126</v>
      </c>
      <c r="W973">
        <v>5.81</v>
      </c>
      <c r="Y973">
        <v>5.81</v>
      </c>
      <c r="AE973">
        <v>5.81</v>
      </c>
      <c r="BH973" t="s">
        <v>126</v>
      </c>
      <c r="BI973" t="s">
        <v>126</v>
      </c>
      <c r="BJ973" t="s">
        <v>126</v>
      </c>
      <c r="BK973" t="s">
        <v>126</v>
      </c>
      <c r="BS973" t="s">
        <v>126</v>
      </c>
      <c r="BT973" t="s">
        <v>126</v>
      </c>
      <c r="BU973" t="s">
        <v>126</v>
      </c>
      <c r="BV973" t="s">
        <v>126</v>
      </c>
      <c r="CN973" t="s">
        <v>147</v>
      </c>
      <c r="CP973" t="s">
        <v>469</v>
      </c>
      <c r="CQ973" t="s">
        <v>147</v>
      </c>
    </row>
    <row r="974" spans="1:95" x14ac:dyDescent="0.2">
      <c r="A974" t="s">
        <v>115</v>
      </c>
      <c r="B974" t="s">
        <v>116</v>
      </c>
      <c r="C974">
        <v>210784</v>
      </c>
      <c r="E974" t="s">
        <v>117</v>
      </c>
      <c r="F974">
        <v>368</v>
      </c>
      <c r="G974" t="s">
        <v>141</v>
      </c>
      <c r="H974" t="s">
        <v>142</v>
      </c>
      <c r="I974" t="s">
        <v>279</v>
      </c>
      <c r="J974" t="s">
        <v>280</v>
      </c>
      <c r="L974" s="14">
        <v>45930</v>
      </c>
      <c r="M974" s="18">
        <f t="shared" si="18"/>
        <v>45901</v>
      </c>
      <c r="N974">
        <v>5801536</v>
      </c>
      <c r="O974" t="s">
        <v>123</v>
      </c>
      <c r="P974" t="s">
        <v>146</v>
      </c>
      <c r="Q974">
        <v>3.86</v>
      </c>
      <c r="R974" t="s">
        <v>125</v>
      </c>
      <c r="S974" t="s">
        <v>126</v>
      </c>
      <c r="T974" t="s">
        <v>125</v>
      </c>
      <c r="U974" t="s">
        <v>126</v>
      </c>
      <c r="W974">
        <v>3.86</v>
      </c>
      <c r="Y974">
        <v>3.86</v>
      </c>
      <c r="AE974">
        <v>3.86</v>
      </c>
      <c r="BH974" t="s">
        <v>126</v>
      </c>
      <c r="BI974" t="s">
        <v>126</v>
      </c>
      <c r="BJ974" t="s">
        <v>126</v>
      </c>
      <c r="BK974" t="s">
        <v>126</v>
      </c>
      <c r="BS974" t="s">
        <v>126</v>
      </c>
      <c r="BT974" t="s">
        <v>126</v>
      </c>
      <c r="BU974" t="s">
        <v>126</v>
      </c>
      <c r="BV974" t="s">
        <v>126</v>
      </c>
      <c r="CN974" t="s">
        <v>147</v>
      </c>
      <c r="CP974" t="s">
        <v>469</v>
      </c>
      <c r="CQ974" t="s">
        <v>147</v>
      </c>
    </row>
    <row r="975" spans="1:95" x14ac:dyDescent="0.2">
      <c r="A975" t="s">
        <v>115</v>
      </c>
      <c r="B975" t="s">
        <v>116</v>
      </c>
      <c r="C975">
        <v>210784</v>
      </c>
      <c r="E975" t="s">
        <v>117</v>
      </c>
      <c r="F975">
        <v>368</v>
      </c>
      <c r="G975" t="s">
        <v>141</v>
      </c>
      <c r="H975" t="s">
        <v>142</v>
      </c>
      <c r="I975" t="s">
        <v>279</v>
      </c>
      <c r="J975" t="s">
        <v>280</v>
      </c>
      <c r="L975" s="14">
        <v>45931</v>
      </c>
      <c r="M975" s="18">
        <f t="shared" si="18"/>
        <v>45931</v>
      </c>
      <c r="N975">
        <v>5801804</v>
      </c>
      <c r="O975" t="s">
        <v>123</v>
      </c>
      <c r="P975" t="s">
        <v>146</v>
      </c>
      <c r="Q975">
        <v>3.16</v>
      </c>
      <c r="R975" t="s">
        <v>125</v>
      </c>
      <c r="S975" t="s">
        <v>126</v>
      </c>
      <c r="T975" t="s">
        <v>125</v>
      </c>
      <c r="U975" t="s">
        <v>126</v>
      </c>
      <c r="W975">
        <v>3.16</v>
      </c>
      <c r="Y975">
        <v>3.16</v>
      </c>
      <c r="AS975">
        <v>3.16</v>
      </c>
      <c r="BH975" t="s">
        <v>126</v>
      </c>
      <c r="BI975" t="s">
        <v>126</v>
      </c>
      <c r="BJ975" t="s">
        <v>126</v>
      </c>
      <c r="BK975" t="s">
        <v>126</v>
      </c>
      <c r="BS975" t="s">
        <v>126</v>
      </c>
      <c r="BT975" t="s">
        <v>126</v>
      </c>
      <c r="BU975" t="s">
        <v>126</v>
      </c>
      <c r="BV975" t="s">
        <v>126</v>
      </c>
      <c r="CN975" t="s">
        <v>147</v>
      </c>
      <c r="CP975" t="s">
        <v>469</v>
      </c>
      <c r="CQ975" t="s">
        <v>147</v>
      </c>
    </row>
    <row r="976" spans="1:95" x14ac:dyDescent="0.2">
      <c r="A976" t="s">
        <v>115</v>
      </c>
      <c r="B976" t="s">
        <v>116</v>
      </c>
      <c r="C976">
        <v>210784</v>
      </c>
      <c r="E976" t="s">
        <v>117</v>
      </c>
      <c r="F976">
        <v>368</v>
      </c>
      <c r="G976" t="s">
        <v>141</v>
      </c>
      <c r="H976" t="s">
        <v>142</v>
      </c>
      <c r="I976" t="s">
        <v>279</v>
      </c>
      <c r="J976" t="s">
        <v>280</v>
      </c>
      <c r="L976" s="14">
        <v>45931</v>
      </c>
      <c r="M976" s="18">
        <f t="shared" si="18"/>
        <v>45931</v>
      </c>
      <c r="N976">
        <v>5802055</v>
      </c>
      <c r="O976" t="s">
        <v>123</v>
      </c>
      <c r="P976" t="s">
        <v>146</v>
      </c>
      <c r="Q976">
        <v>2.88</v>
      </c>
      <c r="R976" t="s">
        <v>125</v>
      </c>
      <c r="S976" t="s">
        <v>126</v>
      </c>
      <c r="T976" t="s">
        <v>125</v>
      </c>
      <c r="U976" t="s">
        <v>126</v>
      </c>
      <c r="W976">
        <v>2.88</v>
      </c>
      <c r="Y976">
        <v>2.88</v>
      </c>
      <c r="AS976">
        <v>2.88</v>
      </c>
      <c r="BH976" t="s">
        <v>126</v>
      </c>
      <c r="BI976" t="s">
        <v>126</v>
      </c>
      <c r="BJ976" t="s">
        <v>126</v>
      </c>
      <c r="BK976" t="s">
        <v>126</v>
      </c>
      <c r="BS976" t="s">
        <v>126</v>
      </c>
      <c r="BT976" t="s">
        <v>126</v>
      </c>
      <c r="BU976" t="s">
        <v>126</v>
      </c>
      <c r="BV976" t="s">
        <v>126</v>
      </c>
      <c r="CN976" t="s">
        <v>147</v>
      </c>
      <c r="CP976" t="s">
        <v>469</v>
      </c>
      <c r="CQ976" t="s">
        <v>147</v>
      </c>
    </row>
    <row r="977" spans="1:95" x14ac:dyDescent="0.2">
      <c r="A977" t="s">
        <v>115</v>
      </c>
      <c r="B977" t="s">
        <v>116</v>
      </c>
      <c r="C977">
        <v>210784</v>
      </c>
      <c r="E977" t="s">
        <v>117</v>
      </c>
      <c r="F977">
        <v>368</v>
      </c>
      <c r="G977" t="s">
        <v>141</v>
      </c>
      <c r="H977" t="s">
        <v>142</v>
      </c>
      <c r="I977" t="s">
        <v>279</v>
      </c>
      <c r="J977" t="s">
        <v>280</v>
      </c>
      <c r="L977" s="14">
        <v>45931</v>
      </c>
      <c r="M977" s="18">
        <f t="shared" si="18"/>
        <v>45931</v>
      </c>
      <c r="N977">
        <v>5802518</v>
      </c>
      <c r="O977" t="s">
        <v>123</v>
      </c>
      <c r="P977" t="s">
        <v>146</v>
      </c>
      <c r="Q977">
        <v>5.04</v>
      </c>
      <c r="R977" t="s">
        <v>574</v>
      </c>
      <c r="S977" t="s">
        <v>126</v>
      </c>
      <c r="T977" t="s">
        <v>574</v>
      </c>
      <c r="U977" t="s">
        <v>575</v>
      </c>
      <c r="W977">
        <v>1.55</v>
      </c>
      <c r="X977">
        <v>3.49</v>
      </c>
      <c r="Y977">
        <v>5.04</v>
      </c>
      <c r="Z977">
        <v>1.92</v>
      </c>
      <c r="AG977">
        <v>1.55</v>
      </c>
      <c r="AI977">
        <v>1.57</v>
      </c>
      <c r="BH977" t="s">
        <v>126</v>
      </c>
      <c r="BI977" t="s">
        <v>126</v>
      </c>
      <c r="BJ977" t="s">
        <v>126</v>
      </c>
      <c r="BK977" t="s">
        <v>126</v>
      </c>
      <c r="BS977" t="s">
        <v>126</v>
      </c>
      <c r="BT977" t="s">
        <v>126</v>
      </c>
      <c r="BU977" t="s">
        <v>126</v>
      </c>
      <c r="BV977" t="s">
        <v>126</v>
      </c>
      <c r="CN977" t="s">
        <v>147</v>
      </c>
      <c r="CP977" t="s">
        <v>469</v>
      </c>
      <c r="CQ977" t="s">
        <v>147</v>
      </c>
    </row>
    <row r="978" spans="1:95" x14ac:dyDescent="0.2">
      <c r="A978" t="s">
        <v>115</v>
      </c>
      <c r="B978" t="s">
        <v>116</v>
      </c>
      <c r="C978">
        <v>210784</v>
      </c>
      <c r="E978" t="s">
        <v>117</v>
      </c>
      <c r="F978">
        <v>368</v>
      </c>
      <c r="G978" t="s">
        <v>141</v>
      </c>
      <c r="H978" t="s">
        <v>142</v>
      </c>
      <c r="I978" t="s">
        <v>279</v>
      </c>
      <c r="J978" t="s">
        <v>280</v>
      </c>
      <c r="L978" s="14">
        <v>45933</v>
      </c>
      <c r="M978" s="18">
        <f t="shared" si="18"/>
        <v>45931</v>
      </c>
      <c r="N978">
        <v>5803283</v>
      </c>
      <c r="O978" t="s">
        <v>123</v>
      </c>
      <c r="P978" t="s">
        <v>146</v>
      </c>
      <c r="Q978">
        <v>5.18</v>
      </c>
      <c r="R978" t="s">
        <v>125</v>
      </c>
      <c r="S978" t="s">
        <v>126</v>
      </c>
      <c r="T978" t="s">
        <v>125</v>
      </c>
      <c r="U978" t="s">
        <v>126</v>
      </c>
      <c r="W978">
        <v>5.18</v>
      </c>
      <c r="Y978">
        <v>5.18</v>
      </c>
      <c r="AS978">
        <v>5.18</v>
      </c>
      <c r="BH978" t="s">
        <v>126</v>
      </c>
      <c r="BI978" t="s">
        <v>126</v>
      </c>
      <c r="BJ978" t="s">
        <v>126</v>
      </c>
      <c r="BK978" t="s">
        <v>126</v>
      </c>
      <c r="BS978" t="s">
        <v>126</v>
      </c>
      <c r="BT978" t="s">
        <v>126</v>
      </c>
      <c r="BU978" t="s">
        <v>126</v>
      </c>
      <c r="BV978" t="s">
        <v>126</v>
      </c>
      <c r="CN978" t="s">
        <v>147</v>
      </c>
      <c r="CP978" t="s">
        <v>469</v>
      </c>
      <c r="CQ978" t="s">
        <v>147</v>
      </c>
    </row>
    <row r="979" spans="1:95" x14ac:dyDescent="0.2">
      <c r="A979" t="s">
        <v>115</v>
      </c>
      <c r="B979" t="s">
        <v>116</v>
      </c>
      <c r="C979">
        <v>210784</v>
      </c>
      <c r="E979" t="s">
        <v>117</v>
      </c>
      <c r="F979">
        <v>368</v>
      </c>
      <c r="G979" t="s">
        <v>141</v>
      </c>
      <c r="H979" t="s">
        <v>142</v>
      </c>
      <c r="I979" t="s">
        <v>279</v>
      </c>
      <c r="J979" t="s">
        <v>280</v>
      </c>
      <c r="L979" s="14">
        <v>45933</v>
      </c>
      <c r="M979" s="18">
        <f t="shared" si="18"/>
        <v>45931</v>
      </c>
      <c r="N979">
        <v>5803397</v>
      </c>
      <c r="O979" t="s">
        <v>123</v>
      </c>
      <c r="P979" t="s">
        <v>146</v>
      </c>
      <c r="Q979">
        <v>4.38</v>
      </c>
      <c r="R979" t="s">
        <v>125</v>
      </c>
      <c r="S979" t="s">
        <v>126</v>
      </c>
      <c r="T979" t="s">
        <v>125</v>
      </c>
      <c r="U979" t="s">
        <v>126</v>
      </c>
      <c r="W979">
        <v>4.38</v>
      </c>
      <c r="Y979">
        <v>4.38</v>
      </c>
      <c r="AS979">
        <v>4.38</v>
      </c>
      <c r="BH979" t="s">
        <v>126</v>
      </c>
      <c r="BI979" t="s">
        <v>126</v>
      </c>
      <c r="BJ979" t="s">
        <v>126</v>
      </c>
      <c r="BK979" t="s">
        <v>126</v>
      </c>
      <c r="BS979" t="s">
        <v>126</v>
      </c>
      <c r="BT979" t="s">
        <v>126</v>
      </c>
      <c r="BU979" t="s">
        <v>126</v>
      </c>
      <c r="BV979" t="s">
        <v>126</v>
      </c>
      <c r="CN979" t="s">
        <v>147</v>
      </c>
      <c r="CP979" t="s">
        <v>469</v>
      </c>
      <c r="CQ979" t="s">
        <v>147</v>
      </c>
    </row>
    <row r="980" spans="1:95" x14ac:dyDescent="0.2">
      <c r="A980" t="s">
        <v>115</v>
      </c>
      <c r="B980" t="s">
        <v>116</v>
      </c>
      <c r="C980">
        <v>210784</v>
      </c>
      <c r="E980" t="s">
        <v>117</v>
      </c>
      <c r="F980">
        <v>368</v>
      </c>
      <c r="G980" t="s">
        <v>141</v>
      </c>
      <c r="H980" t="s">
        <v>142</v>
      </c>
      <c r="I980" t="s">
        <v>279</v>
      </c>
      <c r="J980" t="s">
        <v>280</v>
      </c>
      <c r="L980" s="14">
        <v>45933</v>
      </c>
      <c r="M980" s="18">
        <f t="shared" si="18"/>
        <v>45931</v>
      </c>
      <c r="N980">
        <v>5803928</v>
      </c>
      <c r="O980" t="s">
        <v>123</v>
      </c>
      <c r="P980" t="s">
        <v>146</v>
      </c>
      <c r="Q980">
        <v>4.29</v>
      </c>
      <c r="R980" t="s">
        <v>569</v>
      </c>
      <c r="S980" t="s">
        <v>126</v>
      </c>
      <c r="T980" t="s">
        <v>569</v>
      </c>
      <c r="U980" t="s">
        <v>570</v>
      </c>
      <c r="W980">
        <v>1.32</v>
      </c>
      <c r="X980">
        <v>2.9699999999999998</v>
      </c>
      <c r="Y980">
        <v>4.29</v>
      </c>
      <c r="Z980">
        <v>1.63</v>
      </c>
      <c r="AG980">
        <v>1.32</v>
      </c>
      <c r="AI980">
        <v>1.34</v>
      </c>
      <c r="BH980" t="s">
        <v>126</v>
      </c>
      <c r="BI980" t="s">
        <v>126</v>
      </c>
      <c r="BJ980" t="s">
        <v>126</v>
      </c>
      <c r="BK980" t="s">
        <v>126</v>
      </c>
      <c r="BS980" t="s">
        <v>126</v>
      </c>
      <c r="BT980" t="s">
        <v>126</v>
      </c>
      <c r="BU980" t="s">
        <v>126</v>
      </c>
      <c r="BV980" t="s">
        <v>126</v>
      </c>
      <c r="CN980" t="s">
        <v>147</v>
      </c>
      <c r="CP980" t="s">
        <v>469</v>
      </c>
      <c r="CQ980" t="s">
        <v>147</v>
      </c>
    </row>
    <row r="981" spans="1:95" x14ac:dyDescent="0.2">
      <c r="A981" t="s">
        <v>115</v>
      </c>
      <c r="B981" t="s">
        <v>116</v>
      </c>
      <c r="C981">
        <v>210784</v>
      </c>
      <c r="E981" t="s">
        <v>117</v>
      </c>
      <c r="F981">
        <v>368</v>
      </c>
      <c r="G981" t="s">
        <v>141</v>
      </c>
      <c r="H981" t="s">
        <v>142</v>
      </c>
      <c r="I981" t="s">
        <v>279</v>
      </c>
      <c r="J981" t="s">
        <v>280</v>
      </c>
      <c r="L981" s="14">
        <v>45936</v>
      </c>
      <c r="M981" s="18">
        <f t="shared" si="18"/>
        <v>45931</v>
      </c>
      <c r="N981">
        <v>5805050</v>
      </c>
      <c r="O981" t="s">
        <v>123</v>
      </c>
      <c r="P981" t="s">
        <v>146</v>
      </c>
      <c r="Q981">
        <v>4.95</v>
      </c>
      <c r="R981" t="s">
        <v>125</v>
      </c>
      <c r="S981" t="s">
        <v>126</v>
      </c>
      <c r="T981" t="s">
        <v>125</v>
      </c>
      <c r="U981" t="s">
        <v>126</v>
      </c>
      <c r="W981">
        <v>4.95</v>
      </c>
      <c r="Y981">
        <v>4.95</v>
      </c>
      <c r="AE981">
        <v>4.95</v>
      </c>
      <c r="BH981" t="s">
        <v>126</v>
      </c>
      <c r="BI981" t="s">
        <v>126</v>
      </c>
      <c r="BJ981" t="s">
        <v>126</v>
      </c>
      <c r="BK981" t="s">
        <v>126</v>
      </c>
      <c r="BS981" t="s">
        <v>126</v>
      </c>
      <c r="BT981" t="s">
        <v>126</v>
      </c>
      <c r="BU981" t="s">
        <v>126</v>
      </c>
      <c r="BV981" t="s">
        <v>126</v>
      </c>
      <c r="CN981" t="s">
        <v>147</v>
      </c>
      <c r="CP981" t="s">
        <v>469</v>
      </c>
      <c r="CQ981" t="s">
        <v>147</v>
      </c>
    </row>
    <row r="982" spans="1:95" x14ac:dyDescent="0.2">
      <c r="A982" t="s">
        <v>115</v>
      </c>
      <c r="B982" t="s">
        <v>116</v>
      </c>
      <c r="C982">
        <v>210784</v>
      </c>
      <c r="E982" t="s">
        <v>117</v>
      </c>
      <c r="F982">
        <v>368</v>
      </c>
      <c r="G982" t="s">
        <v>141</v>
      </c>
      <c r="H982" t="s">
        <v>142</v>
      </c>
      <c r="I982" t="s">
        <v>279</v>
      </c>
      <c r="J982" t="s">
        <v>280</v>
      </c>
      <c r="L982" s="14">
        <v>45937</v>
      </c>
      <c r="M982" s="18">
        <f t="shared" si="18"/>
        <v>45931</v>
      </c>
      <c r="N982">
        <v>5805910</v>
      </c>
      <c r="O982" t="s">
        <v>123</v>
      </c>
      <c r="P982" t="s">
        <v>146</v>
      </c>
      <c r="Q982">
        <v>5.8900000000000006</v>
      </c>
      <c r="R982" t="s">
        <v>710</v>
      </c>
      <c r="S982" t="s">
        <v>126</v>
      </c>
      <c r="T982" t="s">
        <v>710</v>
      </c>
      <c r="U982" t="s">
        <v>711</v>
      </c>
      <c r="W982">
        <v>1.82</v>
      </c>
      <c r="X982">
        <v>4.07</v>
      </c>
      <c r="Y982">
        <v>5.8900000000000006</v>
      </c>
      <c r="Z982">
        <v>2.2400000000000002</v>
      </c>
      <c r="AG982">
        <v>1.82</v>
      </c>
      <c r="AI982">
        <v>1.83</v>
      </c>
      <c r="BH982" t="s">
        <v>126</v>
      </c>
      <c r="BI982" t="s">
        <v>126</v>
      </c>
      <c r="BJ982" t="s">
        <v>126</v>
      </c>
      <c r="BK982" t="s">
        <v>126</v>
      </c>
      <c r="BS982" t="s">
        <v>126</v>
      </c>
      <c r="BT982" t="s">
        <v>126</v>
      </c>
      <c r="BU982" t="s">
        <v>126</v>
      </c>
      <c r="BV982" t="s">
        <v>126</v>
      </c>
      <c r="CN982" t="s">
        <v>147</v>
      </c>
      <c r="CP982" t="s">
        <v>469</v>
      </c>
      <c r="CQ982" t="s">
        <v>147</v>
      </c>
    </row>
    <row r="983" spans="1:95" x14ac:dyDescent="0.2">
      <c r="A983" t="s">
        <v>115</v>
      </c>
      <c r="B983" t="s">
        <v>116</v>
      </c>
      <c r="C983">
        <v>210784</v>
      </c>
      <c r="E983" t="s">
        <v>117</v>
      </c>
      <c r="F983">
        <v>368</v>
      </c>
      <c r="G983" t="s">
        <v>141</v>
      </c>
      <c r="H983" t="s">
        <v>142</v>
      </c>
      <c r="I983" t="s">
        <v>279</v>
      </c>
      <c r="J983" t="s">
        <v>280</v>
      </c>
      <c r="L983" s="14">
        <v>45937</v>
      </c>
      <c r="M983" s="18">
        <f t="shared" si="18"/>
        <v>45931</v>
      </c>
      <c r="N983">
        <v>5805895</v>
      </c>
      <c r="O983" t="s">
        <v>123</v>
      </c>
      <c r="P983" t="s">
        <v>146</v>
      </c>
      <c r="Q983">
        <v>3.5</v>
      </c>
      <c r="R983" t="s">
        <v>125</v>
      </c>
      <c r="S983" t="s">
        <v>126</v>
      </c>
      <c r="T983" t="s">
        <v>125</v>
      </c>
      <c r="U983" t="s">
        <v>126</v>
      </c>
      <c r="W983">
        <v>3.5</v>
      </c>
      <c r="Y983">
        <v>3.5</v>
      </c>
      <c r="BE983">
        <v>3.5</v>
      </c>
      <c r="BH983" t="s">
        <v>126</v>
      </c>
      <c r="BI983" t="s">
        <v>126</v>
      </c>
      <c r="BJ983" t="s">
        <v>126</v>
      </c>
      <c r="BK983" t="s">
        <v>126</v>
      </c>
      <c r="BS983" t="s">
        <v>126</v>
      </c>
      <c r="BT983" t="s">
        <v>126</v>
      </c>
      <c r="BU983" t="s">
        <v>126</v>
      </c>
      <c r="BV983" t="s">
        <v>126</v>
      </c>
      <c r="CN983" t="s">
        <v>147</v>
      </c>
      <c r="CP983" t="s">
        <v>469</v>
      </c>
      <c r="CQ983" t="s">
        <v>147</v>
      </c>
    </row>
    <row r="984" spans="1:95" x14ac:dyDescent="0.2">
      <c r="A984" t="s">
        <v>115</v>
      </c>
      <c r="B984" t="s">
        <v>116</v>
      </c>
      <c r="C984">
        <v>210784</v>
      </c>
      <c r="E984" t="s">
        <v>117</v>
      </c>
      <c r="F984">
        <v>368</v>
      </c>
      <c r="G984" t="s">
        <v>141</v>
      </c>
      <c r="H984" t="s">
        <v>142</v>
      </c>
      <c r="I984" t="s">
        <v>279</v>
      </c>
      <c r="J984" t="s">
        <v>280</v>
      </c>
      <c r="L984" s="14">
        <v>45938</v>
      </c>
      <c r="M984" s="18">
        <f t="shared" si="18"/>
        <v>45931</v>
      </c>
      <c r="N984">
        <v>5806673</v>
      </c>
      <c r="O984" t="s">
        <v>123</v>
      </c>
      <c r="P984" t="s">
        <v>146</v>
      </c>
      <c r="Q984">
        <v>2.75</v>
      </c>
      <c r="R984" t="s">
        <v>644</v>
      </c>
      <c r="S984" t="s">
        <v>126</v>
      </c>
      <c r="T984" t="s">
        <v>644</v>
      </c>
      <c r="U984" t="s">
        <v>645</v>
      </c>
      <c r="W984">
        <v>0.85</v>
      </c>
      <c r="X984">
        <v>1.9</v>
      </c>
      <c r="Y984">
        <v>2.75</v>
      </c>
      <c r="Z984">
        <v>1.04</v>
      </c>
      <c r="AG984">
        <v>0.85</v>
      </c>
      <c r="AI984">
        <v>0.86</v>
      </c>
      <c r="BH984" t="s">
        <v>126</v>
      </c>
      <c r="BI984" t="s">
        <v>126</v>
      </c>
      <c r="BJ984" t="s">
        <v>126</v>
      </c>
      <c r="BK984" t="s">
        <v>126</v>
      </c>
      <c r="BS984" t="s">
        <v>126</v>
      </c>
      <c r="BT984" t="s">
        <v>126</v>
      </c>
      <c r="BU984" t="s">
        <v>126</v>
      </c>
      <c r="BV984" t="s">
        <v>126</v>
      </c>
      <c r="CN984" t="s">
        <v>147</v>
      </c>
      <c r="CP984" t="s">
        <v>469</v>
      </c>
      <c r="CQ984" t="s">
        <v>147</v>
      </c>
    </row>
    <row r="985" spans="1:95" x14ac:dyDescent="0.2">
      <c r="A985" t="s">
        <v>115</v>
      </c>
      <c r="B985" t="s">
        <v>116</v>
      </c>
      <c r="C985">
        <v>210784</v>
      </c>
      <c r="E985" t="s">
        <v>117</v>
      </c>
      <c r="F985">
        <v>368</v>
      </c>
      <c r="G985" t="s">
        <v>141</v>
      </c>
      <c r="H985" t="s">
        <v>142</v>
      </c>
      <c r="I985" t="s">
        <v>279</v>
      </c>
      <c r="J985" t="s">
        <v>280</v>
      </c>
      <c r="L985" s="14">
        <v>45938</v>
      </c>
      <c r="M985" s="18">
        <f t="shared" si="18"/>
        <v>45931</v>
      </c>
      <c r="N985">
        <v>5806754</v>
      </c>
      <c r="O985" t="s">
        <v>123</v>
      </c>
      <c r="P985" t="s">
        <v>146</v>
      </c>
      <c r="Q985">
        <v>1.8574999999999999</v>
      </c>
      <c r="R985" t="s">
        <v>586</v>
      </c>
      <c r="S985" t="s">
        <v>126</v>
      </c>
      <c r="T985" t="s">
        <v>586</v>
      </c>
      <c r="U985" t="s">
        <v>587</v>
      </c>
      <c r="W985">
        <v>0.56999999999999995</v>
      </c>
      <c r="X985">
        <v>1.2875000000000001</v>
      </c>
      <c r="Y985">
        <v>1.8574999999999999</v>
      </c>
      <c r="Z985">
        <v>0.70750000000000002</v>
      </c>
      <c r="AG985">
        <v>0.56999999999999995</v>
      </c>
      <c r="AI985">
        <v>0.57999999999999996</v>
      </c>
      <c r="BH985" t="s">
        <v>126</v>
      </c>
      <c r="BI985" t="s">
        <v>126</v>
      </c>
      <c r="BJ985" t="s">
        <v>126</v>
      </c>
      <c r="BK985" t="s">
        <v>126</v>
      </c>
      <c r="BS985" t="s">
        <v>126</v>
      </c>
      <c r="BT985" t="s">
        <v>126</v>
      </c>
      <c r="BU985" t="s">
        <v>126</v>
      </c>
      <c r="BV985" t="s">
        <v>126</v>
      </c>
      <c r="CN985" t="s">
        <v>147</v>
      </c>
      <c r="CP985" t="s">
        <v>469</v>
      </c>
      <c r="CQ985" t="s">
        <v>147</v>
      </c>
    </row>
    <row r="986" spans="1:95" x14ac:dyDescent="0.2">
      <c r="A986" t="s">
        <v>115</v>
      </c>
      <c r="B986" t="s">
        <v>116</v>
      </c>
      <c r="C986">
        <v>210784</v>
      </c>
      <c r="E986" t="s">
        <v>117</v>
      </c>
      <c r="F986">
        <v>368</v>
      </c>
      <c r="G986" t="s">
        <v>141</v>
      </c>
      <c r="H986" t="s">
        <v>142</v>
      </c>
      <c r="I986" t="s">
        <v>279</v>
      </c>
      <c r="J986" t="s">
        <v>280</v>
      </c>
      <c r="L986" s="14">
        <v>45939</v>
      </c>
      <c r="M986" s="18">
        <f t="shared" si="18"/>
        <v>45931</v>
      </c>
      <c r="N986">
        <v>5807487</v>
      </c>
      <c r="O986" t="s">
        <v>123</v>
      </c>
      <c r="P986" t="s">
        <v>146</v>
      </c>
      <c r="Q986">
        <v>3.89</v>
      </c>
      <c r="R986" t="s">
        <v>125</v>
      </c>
      <c r="S986" t="s">
        <v>126</v>
      </c>
      <c r="T986" t="s">
        <v>125</v>
      </c>
      <c r="U986" t="s">
        <v>126</v>
      </c>
      <c r="W986">
        <v>3.89</v>
      </c>
      <c r="Y986">
        <v>3.89</v>
      </c>
      <c r="AS986">
        <v>3.89</v>
      </c>
      <c r="BH986" t="s">
        <v>126</v>
      </c>
      <c r="BI986" t="s">
        <v>126</v>
      </c>
      <c r="BJ986" t="s">
        <v>126</v>
      </c>
      <c r="BK986" t="s">
        <v>126</v>
      </c>
      <c r="BS986" t="s">
        <v>126</v>
      </c>
      <c r="BT986" t="s">
        <v>126</v>
      </c>
      <c r="BU986" t="s">
        <v>126</v>
      </c>
      <c r="BV986" t="s">
        <v>126</v>
      </c>
      <c r="CN986" t="s">
        <v>147</v>
      </c>
      <c r="CP986" t="s">
        <v>469</v>
      </c>
      <c r="CQ986" t="s">
        <v>147</v>
      </c>
    </row>
    <row r="987" spans="1:95" x14ac:dyDescent="0.2">
      <c r="A987" t="s">
        <v>115</v>
      </c>
      <c r="B987" t="s">
        <v>116</v>
      </c>
      <c r="C987">
        <v>210784</v>
      </c>
      <c r="E987" t="s">
        <v>117</v>
      </c>
      <c r="F987">
        <v>368</v>
      </c>
      <c r="G987" t="s">
        <v>141</v>
      </c>
      <c r="H987" t="s">
        <v>142</v>
      </c>
      <c r="I987" t="s">
        <v>279</v>
      </c>
      <c r="J987" t="s">
        <v>280</v>
      </c>
      <c r="L987" s="14">
        <v>45940</v>
      </c>
      <c r="M987" s="18">
        <f t="shared" si="18"/>
        <v>45931</v>
      </c>
      <c r="N987">
        <v>5808200</v>
      </c>
      <c r="O987" t="s">
        <v>123</v>
      </c>
      <c r="P987" t="s">
        <v>146</v>
      </c>
      <c r="Q987">
        <v>4.87</v>
      </c>
      <c r="R987" t="s">
        <v>125</v>
      </c>
      <c r="S987" t="s">
        <v>126</v>
      </c>
      <c r="T987" t="s">
        <v>125</v>
      </c>
      <c r="U987" t="s">
        <v>126</v>
      </c>
      <c r="W987">
        <v>4.87</v>
      </c>
      <c r="Y987">
        <v>4.87</v>
      </c>
      <c r="AS987">
        <v>4.87</v>
      </c>
      <c r="BH987" t="s">
        <v>126</v>
      </c>
      <c r="BI987" t="s">
        <v>126</v>
      </c>
      <c r="BJ987" t="s">
        <v>126</v>
      </c>
      <c r="BK987" t="s">
        <v>126</v>
      </c>
      <c r="BS987" t="s">
        <v>126</v>
      </c>
      <c r="BT987" t="s">
        <v>126</v>
      </c>
      <c r="BU987" t="s">
        <v>126</v>
      </c>
      <c r="BV987" t="s">
        <v>126</v>
      </c>
      <c r="CN987" t="s">
        <v>147</v>
      </c>
      <c r="CP987" t="s">
        <v>469</v>
      </c>
      <c r="CQ987" t="s">
        <v>147</v>
      </c>
    </row>
    <row r="988" spans="1:95" x14ac:dyDescent="0.2">
      <c r="A988" t="s">
        <v>115</v>
      </c>
      <c r="B988" t="s">
        <v>116</v>
      </c>
      <c r="C988">
        <v>210784</v>
      </c>
      <c r="E988" t="s">
        <v>117</v>
      </c>
      <c r="F988">
        <v>368</v>
      </c>
      <c r="G988" t="s">
        <v>141</v>
      </c>
      <c r="H988" t="s">
        <v>142</v>
      </c>
      <c r="I988" t="s">
        <v>279</v>
      </c>
      <c r="J988" t="s">
        <v>280</v>
      </c>
      <c r="L988" s="14">
        <v>45944</v>
      </c>
      <c r="M988" s="18">
        <f t="shared" si="18"/>
        <v>45931</v>
      </c>
      <c r="N988">
        <v>5810069</v>
      </c>
      <c r="O988" t="s">
        <v>123</v>
      </c>
      <c r="P988" t="s">
        <v>146</v>
      </c>
      <c r="Q988">
        <v>1.38</v>
      </c>
      <c r="R988" t="s">
        <v>125</v>
      </c>
      <c r="S988" t="s">
        <v>126</v>
      </c>
      <c r="T988" t="s">
        <v>125</v>
      </c>
      <c r="U988" t="s">
        <v>126</v>
      </c>
      <c r="W988">
        <v>1.38</v>
      </c>
      <c r="Y988">
        <v>1.38</v>
      </c>
      <c r="BE988">
        <v>1.38</v>
      </c>
      <c r="BH988" t="s">
        <v>126</v>
      </c>
      <c r="BI988" t="s">
        <v>126</v>
      </c>
      <c r="BJ988" t="s">
        <v>126</v>
      </c>
      <c r="BK988" t="s">
        <v>126</v>
      </c>
      <c r="BS988" t="s">
        <v>126</v>
      </c>
      <c r="BT988" t="s">
        <v>126</v>
      </c>
      <c r="BU988" t="s">
        <v>126</v>
      </c>
      <c r="BV988" t="s">
        <v>126</v>
      </c>
      <c r="CN988" t="s">
        <v>147</v>
      </c>
      <c r="CP988" t="s">
        <v>469</v>
      </c>
      <c r="CQ988" t="s">
        <v>147</v>
      </c>
    </row>
    <row r="989" spans="1:95" x14ac:dyDescent="0.2">
      <c r="A989" t="s">
        <v>115</v>
      </c>
      <c r="B989" t="s">
        <v>116</v>
      </c>
      <c r="C989">
        <v>210784</v>
      </c>
      <c r="E989" t="s">
        <v>117</v>
      </c>
      <c r="F989">
        <v>368</v>
      </c>
      <c r="G989" t="s">
        <v>141</v>
      </c>
      <c r="H989" t="s">
        <v>142</v>
      </c>
      <c r="I989" t="s">
        <v>279</v>
      </c>
      <c r="J989" t="s">
        <v>280</v>
      </c>
      <c r="L989" s="14">
        <v>45945</v>
      </c>
      <c r="M989" s="18">
        <f t="shared" si="18"/>
        <v>45931</v>
      </c>
      <c r="N989">
        <v>5810880</v>
      </c>
      <c r="O989" t="s">
        <v>123</v>
      </c>
      <c r="P989" t="s">
        <v>146</v>
      </c>
      <c r="Q989">
        <v>2.0299999999999998</v>
      </c>
      <c r="R989" t="s">
        <v>620</v>
      </c>
      <c r="S989" t="s">
        <v>126</v>
      </c>
      <c r="T989" t="s">
        <v>620</v>
      </c>
      <c r="U989" t="s">
        <v>621</v>
      </c>
      <c r="W989">
        <v>0.63</v>
      </c>
      <c r="X989">
        <v>1.4</v>
      </c>
      <c r="Y989">
        <v>2.0299999999999998</v>
      </c>
      <c r="Z989">
        <v>0.77</v>
      </c>
      <c r="AG989">
        <v>0.63</v>
      </c>
      <c r="AI989">
        <v>0.63</v>
      </c>
      <c r="BH989" t="s">
        <v>126</v>
      </c>
      <c r="BI989" t="s">
        <v>126</v>
      </c>
      <c r="BJ989" t="s">
        <v>126</v>
      </c>
      <c r="BK989" t="s">
        <v>126</v>
      </c>
      <c r="BS989" t="s">
        <v>126</v>
      </c>
      <c r="BT989" t="s">
        <v>126</v>
      </c>
      <c r="BU989" t="s">
        <v>126</v>
      </c>
      <c r="BV989" t="s">
        <v>126</v>
      </c>
      <c r="CN989" t="s">
        <v>147</v>
      </c>
      <c r="CP989" t="s">
        <v>469</v>
      </c>
      <c r="CQ989" t="s">
        <v>147</v>
      </c>
    </row>
    <row r="990" spans="1:95" x14ac:dyDescent="0.2">
      <c r="A990" t="s">
        <v>115</v>
      </c>
      <c r="B990" t="s">
        <v>116</v>
      </c>
      <c r="C990">
        <v>210784</v>
      </c>
      <c r="E990" t="s">
        <v>117</v>
      </c>
      <c r="F990">
        <v>368</v>
      </c>
      <c r="G990" t="s">
        <v>118</v>
      </c>
      <c r="H990" t="s">
        <v>119</v>
      </c>
      <c r="I990" t="s">
        <v>120</v>
      </c>
      <c r="J990" t="s">
        <v>121</v>
      </c>
      <c r="L990" s="14">
        <v>45945</v>
      </c>
      <c r="M990" s="18">
        <f t="shared" si="18"/>
        <v>45931</v>
      </c>
      <c r="N990">
        <v>135194</v>
      </c>
      <c r="O990" t="s">
        <v>123</v>
      </c>
      <c r="P990" t="s">
        <v>124</v>
      </c>
      <c r="Q990">
        <v>14.66</v>
      </c>
      <c r="R990" t="s">
        <v>125</v>
      </c>
      <c r="S990" t="s">
        <v>126</v>
      </c>
      <c r="T990" t="s">
        <v>125</v>
      </c>
      <c r="U990" t="s">
        <v>126</v>
      </c>
      <c r="W990">
        <v>14.66</v>
      </c>
      <c r="Y990">
        <v>14.66</v>
      </c>
      <c r="AA990">
        <v>7.33</v>
      </c>
      <c r="AC990">
        <v>7.33</v>
      </c>
      <c r="BH990" t="s">
        <v>126</v>
      </c>
      <c r="BI990" t="s">
        <v>126</v>
      </c>
      <c r="BJ990" t="s">
        <v>126</v>
      </c>
      <c r="BK990" t="s">
        <v>126</v>
      </c>
      <c r="BS990" t="s">
        <v>126</v>
      </c>
      <c r="BT990" t="s">
        <v>126</v>
      </c>
      <c r="BU990" t="s">
        <v>126</v>
      </c>
      <c r="BV990" t="s">
        <v>126</v>
      </c>
      <c r="CN990" t="s">
        <v>127</v>
      </c>
      <c r="CP990" t="s">
        <v>128</v>
      </c>
      <c r="CQ990" t="s">
        <v>127</v>
      </c>
    </row>
    <row r="991" spans="1:95" x14ac:dyDescent="0.2">
      <c r="A991" t="s">
        <v>115</v>
      </c>
      <c r="B991" t="s">
        <v>116</v>
      </c>
      <c r="C991">
        <v>210784</v>
      </c>
      <c r="E991" t="s">
        <v>117</v>
      </c>
      <c r="F991">
        <v>368</v>
      </c>
      <c r="G991" t="s">
        <v>118</v>
      </c>
      <c r="H991" t="s">
        <v>119</v>
      </c>
      <c r="I991" t="s">
        <v>120</v>
      </c>
      <c r="J991" t="s">
        <v>121</v>
      </c>
      <c r="L991" s="14">
        <v>45946</v>
      </c>
      <c r="M991" s="18">
        <f t="shared" si="18"/>
        <v>45931</v>
      </c>
      <c r="N991">
        <v>135243</v>
      </c>
      <c r="O991" t="s">
        <v>123</v>
      </c>
      <c r="P991" t="s">
        <v>124</v>
      </c>
      <c r="Q991">
        <v>14.22</v>
      </c>
      <c r="R991" t="s">
        <v>125</v>
      </c>
      <c r="S991" t="s">
        <v>126</v>
      </c>
      <c r="T991" t="s">
        <v>125</v>
      </c>
      <c r="U991" t="s">
        <v>126</v>
      </c>
      <c r="W991">
        <v>14.22</v>
      </c>
      <c r="Y991">
        <v>14.22</v>
      </c>
      <c r="AC991">
        <v>14.22</v>
      </c>
      <c r="BH991" t="s">
        <v>126</v>
      </c>
      <c r="BI991" t="s">
        <v>126</v>
      </c>
      <c r="BJ991" t="s">
        <v>126</v>
      </c>
      <c r="BK991" t="s">
        <v>126</v>
      </c>
      <c r="BS991" t="s">
        <v>126</v>
      </c>
      <c r="BT991" t="s">
        <v>126</v>
      </c>
      <c r="BU991" t="s">
        <v>126</v>
      </c>
      <c r="BV991" t="s">
        <v>126</v>
      </c>
      <c r="CN991" t="s">
        <v>127</v>
      </c>
      <c r="CP991" t="s">
        <v>128</v>
      </c>
      <c r="CQ991" t="s">
        <v>127</v>
      </c>
    </row>
    <row r="992" spans="1:95" x14ac:dyDescent="0.2">
      <c r="A992" t="s">
        <v>115</v>
      </c>
      <c r="B992" t="s">
        <v>116</v>
      </c>
      <c r="C992">
        <v>210784</v>
      </c>
      <c r="E992" t="s">
        <v>117</v>
      </c>
      <c r="F992">
        <v>368</v>
      </c>
      <c r="G992" t="s">
        <v>118</v>
      </c>
      <c r="H992" t="s">
        <v>119</v>
      </c>
      <c r="I992" t="s">
        <v>120</v>
      </c>
      <c r="J992" t="s">
        <v>121</v>
      </c>
      <c r="L992" s="14">
        <v>45946</v>
      </c>
      <c r="M992" s="18">
        <f t="shared" si="18"/>
        <v>45931</v>
      </c>
      <c r="N992">
        <v>135252</v>
      </c>
      <c r="O992" t="s">
        <v>123</v>
      </c>
      <c r="P992" t="s">
        <v>124</v>
      </c>
      <c r="Q992">
        <v>13.87</v>
      </c>
      <c r="R992" t="s">
        <v>125</v>
      </c>
      <c r="S992" t="s">
        <v>126</v>
      </c>
      <c r="T992" t="s">
        <v>125</v>
      </c>
      <c r="U992" t="s">
        <v>126</v>
      </c>
      <c r="W992">
        <v>13.87</v>
      </c>
      <c r="Y992">
        <v>13.87</v>
      </c>
      <c r="AC992">
        <v>13.87</v>
      </c>
      <c r="BH992" t="s">
        <v>126</v>
      </c>
      <c r="BI992" t="s">
        <v>126</v>
      </c>
      <c r="BJ992" t="s">
        <v>126</v>
      </c>
      <c r="BK992" t="s">
        <v>126</v>
      </c>
      <c r="BS992" t="s">
        <v>126</v>
      </c>
      <c r="BT992" t="s">
        <v>126</v>
      </c>
      <c r="BU992" t="s">
        <v>126</v>
      </c>
      <c r="BV992" t="s">
        <v>126</v>
      </c>
      <c r="CN992" t="s">
        <v>127</v>
      </c>
      <c r="CP992" t="s">
        <v>128</v>
      </c>
      <c r="CQ992" t="s">
        <v>127</v>
      </c>
    </row>
    <row r="993" spans="1:95" x14ac:dyDescent="0.2">
      <c r="A993" t="s">
        <v>115</v>
      </c>
      <c r="B993" t="s">
        <v>116</v>
      </c>
      <c r="C993">
        <v>210784</v>
      </c>
      <c r="E993" t="s">
        <v>117</v>
      </c>
      <c r="F993">
        <v>368</v>
      </c>
      <c r="G993" t="s">
        <v>141</v>
      </c>
      <c r="H993" t="s">
        <v>142</v>
      </c>
      <c r="I993" t="s">
        <v>279</v>
      </c>
      <c r="J993" t="s">
        <v>280</v>
      </c>
      <c r="L993" s="14">
        <v>45946</v>
      </c>
      <c r="M993" s="18">
        <f t="shared" si="18"/>
        <v>45931</v>
      </c>
      <c r="N993">
        <v>5811084</v>
      </c>
      <c r="O993" t="s">
        <v>123</v>
      </c>
      <c r="P993" t="s">
        <v>146</v>
      </c>
      <c r="Q993">
        <v>0.56000000000000005</v>
      </c>
      <c r="R993" t="s">
        <v>125</v>
      </c>
      <c r="S993" t="s">
        <v>126</v>
      </c>
      <c r="T993" t="s">
        <v>125</v>
      </c>
      <c r="U993" t="s">
        <v>126</v>
      </c>
      <c r="W993">
        <v>0.56000000000000005</v>
      </c>
      <c r="Y993">
        <v>0.56000000000000005</v>
      </c>
      <c r="AS993">
        <v>0.56000000000000005</v>
      </c>
      <c r="BH993" t="s">
        <v>126</v>
      </c>
      <c r="BI993" t="s">
        <v>126</v>
      </c>
      <c r="BJ993" t="s">
        <v>126</v>
      </c>
      <c r="BK993" t="s">
        <v>126</v>
      </c>
      <c r="BS993" t="s">
        <v>126</v>
      </c>
      <c r="BT993" t="s">
        <v>126</v>
      </c>
      <c r="BU993" t="s">
        <v>126</v>
      </c>
      <c r="BV993" t="s">
        <v>126</v>
      </c>
      <c r="CN993" t="s">
        <v>147</v>
      </c>
      <c r="CP993" t="s">
        <v>469</v>
      </c>
      <c r="CQ993" t="s">
        <v>147</v>
      </c>
    </row>
    <row r="994" spans="1:95" x14ac:dyDescent="0.2">
      <c r="A994" t="s">
        <v>115</v>
      </c>
      <c r="B994" t="s">
        <v>116</v>
      </c>
      <c r="C994">
        <v>210784</v>
      </c>
      <c r="E994" t="s">
        <v>117</v>
      </c>
      <c r="F994">
        <v>368</v>
      </c>
      <c r="G994" t="s">
        <v>141</v>
      </c>
      <c r="H994" t="s">
        <v>142</v>
      </c>
      <c r="I994" t="s">
        <v>279</v>
      </c>
      <c r="J994" t="s">
        <v>280</v>
      </c>
      <c r="L994" s="14">
        <v>45946</v>
      </c>
      <c r="M994" s="18">
        <f t="shared" si="18"/>
        <v>45931</v>
      </c>
      <c r="N994">
        <v>5811398</v>
      </c>
      <c r="O994" t="s">
        <v>123</v>
      </c>
      <c r="P994" t="s">
        <v>146</v>
      </c>
      <c r="Q994">
        <v>1.75</v>
      </c>
      <c r="R994" t="s">
        <v>567</v>
      </c>
      <c r="S994" t="s">
        <v>126</v>
      </c>
      <c r="T994" t="s">
        <v>567</v>
      </c>
      <c r="U994" t="s">
        <v>568</v>
      </c>
      <c r="W994">
        <v>0.54</v>
      </c>
      <c r="X994">
        <v>1.21</v>
      </c>
      <c r="Y994">
        <v>1.75</v>
      </c>
      <c r="Z994">
        <v>0.67</v>
      </c>
      <c r="AG994">
        <v>0.54</v>
      </c>
      <c r="AI994">
        <v>0.54</v>
      </c>
      <c r="BH994" t="s">
        <v>126</v>
      </c>
      <c r="BI994" t="s">
        <v>126</v>
      </c>
      <c r="BJ994" t="s">
        <v>126</v>
      </c>
      <c r="BK994" t="s">
        <v>126</v>
      </c>
      <c r="BS994" t="s">
        <v>126</v>
      </c>
      <c r="BT994" t="s">
        <v>126</v>
      </c>
      <c r="BU994" t="s">
        <v>126</v>
      </c>
      <c r="BV994" t="s">
        <v>126</v>
      </c>
      <c r="CN994" t="s">
        <v>147</v>
      </c>
      <c r="CP994" t="s">
        <v>469</v>
      </c>
      <c r="CQ994" t="s">
        <v>147</v>
      </c>
    </row>
    <row r="995" spans="1:95" x14ac:dyDescent="0.2">
      <c r="A995" t="s">
        <v>115</v>
      </c>
      <c r="B995" t="s">
        <v>116</v>
      </c>
      <c r="C995">
        <v>210784</v>
      </c>
      <c r="E995" t="s">
        <v>117</v>
      </c>
      <c r="F995">
        <v>368</v>
      </c>
      <c r="G995" t="s">
        <v>141</v>
      </c>
      <c r="H995" t="s">
        <v>142</v>
      </c>
      <c r="I995" t="s">
        <v>279</v>
      </c>
      <c r="J995" t="s">
        <v>280</v>
      </c>
      <c r="L995" s="14">
        <v>45946</v>
      </c>
      <c r="M995" s="18">
        <f t="shared" si="18"/>
        <v>45931</v>
      </c>
      <c r="N995">
        <v>5811416</v>
      </c>
      <c r="O995" t="s">
        <v>123</v>
      </c>
      <c r="P995" t="s">
        <v>146</v>
      </c>
      <c r="Q995">
        <v>0.1295</v>
      </c>
      <c r="R995" t="s">
        <v>598</v>
      </c>
      <c r="S995" t="s">
        <v>126</v>
      </c>
      <c r="T995" t="s">
        <v>598</v>
      </c>
      <c r="U995" t="s">
        <v>599</v>
      </c>
      <c r="W995">
        <v>0.04</v>
      </c>
      <c r="X995">
        <v>8.9499999999999996E-2</v>
      </c>
      <c r="Y995">
        <v>0.1295</v>
      </c>
      <c r="Z995">
        <v>4.9500000000000002E-2</v>
      </c>
      <c r="AG995">
        <v>0.04</v>
      </c>
      <c r="AI995">
        <v>0.04</v>
      </c>
      <c r="BH995" t="s">
        <v>126</v>
      </c>
      <c r="BI995" t="s">
        <v>126</v>
      </c>
      <c r="BJ995" t="s">
        <v>126</v>
      </c>
      <c r="BK995" t="s">
        <v>126</v>
      </c>
      <c r="BS995" t="s">
        <v>126</v>
      </c>
      <c r="BT995" t="s">
        <v>126</v>
      </c>
      <c r="BU995" t="s">
        <v>126</v>
      </c>
      <c r="BV995" t="s">
        <v>126</v>
      </c>
      <c r="CN995" t="s">
        <v>147</v>
      </c>
      <c r="CP995" t="s">
        <v>469</v>
      </c>
      <c r="CQ995" t="s">
        <v>147</v>
      </c>
    </row>
    <row r="996" spans="1:95" x14ac:dyDescent="0.2">
      <c r="A996" t="s">
        <v>115</v>
      </c>
      <c r="B996" t="s">
        <v>116</v>
      </c>
      <c r="C996">
        <v>210784</v>
      </c>
      <c r="E996" t="s">
        <v>117</v>
      </c>
      <c r="F996">
        <v>368</v>
      </c>
      <c r="G996" t="s">
        <v>141</v>
      </c>
      <c r="H996" t="s">
        <v>142</v>
      </c>
      <c r="I996" t="s">
        <v>279</v>
      </c>
      <c r="J996" t="s">
        <v>280</v>
      </c>
      <c r="L996" s="14">
        <v>45946</v>
      </c>
      <c r="M996" s="18">
        <f t="shared" si="18"/>
        <v>45931</v>
      </c>
      <c r="N996">
        <v>5811599</v>
      </c>
      <c r="O996" t="s">
        <v>123</v>
      </c>
      <c r="P996" t="s">
        <v>146</v>
      </c>
      <c r="Q996">
        <v>5.7610999999999999</v>
      </c>
      <c r="R996" t="s">
        <v>710</v>
      </c>
      <c r="S996" t="s">
        <v>126</v>
      </c>
      <c r="T996" t="s">
        <v>710</v>
      </c>
      <c r="U996" t="s">
        <v>711</v>
      </c>
      <c r="W996">
        <v>1.78</v>
      </c>
      <c r="X996">
        <v>3.9811000000000001</v>
      </c>
      <c r="Y996">
        <v>5.7610999999999999</v>
      </c>
      <c r="Z996">
        <v>2.1911</v>
      </c>
      <c r="AG996">
        <v>1.78</v>
      </c>
      <c r="AI996">
        <v>1.79</v>
      </c>
      <c r="BH996" t="s">
        <v>126</v>
      </c>
      <c r="BI996" t="s">
        <v>126</v>
      </c>
      <c r="BJ996" t="s">
        <v>126</v>
      </c>
      <c r="BK996" t="s">
        <v>126</v>
      </c>
      <c r="BS996" t="s">
        <v>126</v>
      </c>
      <c r="BT996" t="s">
        <v>126</v>
      </c>
      <c r="BU996" t="s">
        <v>126</v>
      </c>
      <c r="BV996" t="s">
        <v>126</v>
      </c>
      <c r="CN996" t="s">
        <v>147</v>
      </c>
      <c r="CP996" t="s">
        <v>469</v>
      </c>
      <c r="CQ996" t="s">
        <v>147</v>
      </c>
    </row>
    <row r="997" spans="1:95" x14ac:dyDescent="0.2">
      <c r="A997" t="s">
        <v>115</v>
      </c>
      <c r="B997" t="s">
        <v>116</v>
      </c>
      <c r="C997">
        <v>210784</v>
      </c>
      <c r="E997" t="s">
        <v>117</v>
      </c>
      <c r="F997">
        <v>368</v>
      </c>
      <c r="G997" t="s">
        <v>141</v>
      </c>
      <c r="H997" t="s">
        <v>142</v>
      </c>
      <c r="I997" t="s">
        <v>279</v>
      </c>
      <c r="J997" t="s">
        <v>280</v>
      </c>
      <c r="L997" s="14">
        <v>45946</v>
      </c>
      <c r="M997" s="18">
        <f t="shared" si="18"/>
        <v>45931</v>
      </c>
      <c r="N997">
        <v>5811410</v>
      </c>
      <c r="O997" t="s">
        <v>123</v>
      </c>
      <c r="P997" t="s">
        <v>146</v>
      </c>
      <c r="Q997">
        <v>2.8540999999999999</v>
      </c>
      <c r="R997" t="s">
        <v>754</v>
      </c>
      <c r="S997" t="s">
        <v>126</v>
      </c>
      <c r="T997" t="s">
        <v>754</v>
      </c>
      <c r="U997" t="s">
        <v>755</v>
      </c>
      <c r="W997">
        <v>0.89</v>
      </c>
      <c r="X997">
        <v>1.9641000000000002</v>
      </c>
      <c r="Y997">
        <v>2.8540999999999999</v>
      </c>
      <c r="Z997">
        <v>1.0841000000000001</v>
      </c>
      <c r="AG997">
        <v>0.89</v>
      </c>
      <c r="AI997">
        <v>0.88</v>
      </c>
      <c r="BH997" t="s">
        <v>126</v>
      </c>
      <c r="BI997" t="s">
        <v>126</v>
      </c>
      <c r="BJ997" t="s">
        <v>126</v>
      </c>
      <c r="BK997" t="s">
        <v>126</v>
      </c>
      <c r="BS997" t="s">
        <v>126</v>
      </c>
      <c r="BT997" t="s">
        <v>126</v>
      </c>
      <c r="BU997" t="s">
        <v>126</v>
      </c>
      <c r="BV997" t="s">
        <v>126</v>
      </c>
      <c r="CN997" t="s">
        <v>147</v>
      </c>
      <c r="CP997" t="s">
        <v>469</v>
      </c>
      <c r="CQ997" t="s">
        <v>147</v>
      </c>
    </row>
    <row r="998" spans="1:95" x14ac:dyDescent="0.2">
      <c r="A998" t="s">
        <v>115</v>
      </c>
      <c r="B998" t="s">
        <v>116</v>
      </c>
      <c r="C998">
        <v>210784</v>
      </c>
      <c r="E998" t="s">
        <v>117</v>
      </c>
      <c r="F998">
        <v>368</v>
      </c>
      <c r="G998" t="s">
        <v>118</v>
      </c>
      <c r="H998" t="s">
        <v>119</v>
      </c>
      <c r="I998" t="s">
        <v>120</v>
      </c>
      <c r="J998" t="s">
        <v>121</v>
      </c>
      <c r="L998" s="14">
        <v>45947</v>
      </c>
      <c r="M998" s="18">
        <f t="shared" si="18"/>
        <v>45931</v>
      </c>
      <c r="N998">
        <v>135304</v>
      </c>
      <c r="O998" t="s">
        <v>123</v>
      </c>
      <c r="P998" t="s">
        <v>124</v>
      </c>
      <c r="Q998">
        <v>11.4</v>
      </c>
      <c r="R998" t="s">
        <v>125</v>
      </c>
      <c r="S998" t="s">
        <v>126</v>
      </c>
      <c r="T998" t="s">
        <v>125</v>
      </c>
      <c r="U998" t="s">
        <v>126</v>
      </c>
      <c r="W998">
        <v>11.4</v>
      </c>
      <c r="Y998">
        <v>11.4</v>
      </c>
      <c r="AC998">
        <v>11.4</v>
      </c>
      <c r="BH998" t="s">
        <v>126</v>
      </c>
      <c r="BI998" t="s">
        <v>126</v>
      </c>
      <c r="BJ998" t="s">
        <v>126</v>
      </c>
      <c r="BK998" t="s">
        <v>126</v>
      </c>
      <c r="BS998" t="s">
        <v>126</v>
      </c>
      <c r="BT998" t="s">
        <v>126</v>
      </c>
      <c r="BU998" t="s">
        <v>126</v>
      </c>
      <c r="BV998" t="s">
        <v>126</v>
      </c>
      <c r="CN998" t="s">
        <v>127</v>
      </c>
      <c r="CP998" t="s">
        <v>128</v>
      </c>
      <c r="CQ998" t="s">
        <v>127</v>
      </c>
    </row>
    <row r="999" spans="1:95" x14ac:dyDescent="0.2">
      <c r="A999" t="s">
        <v>115</v>
      </c>
      <c r="B999" t="s">
        <v>116</v>
      </c>
      <c r="C999">
        <v>210784</v>
      </c>
      <c r="E999" t="s">
        <v>117</v>
      </c>
      <c r="F999">
        <v>368</v>
      </c>
      <c r="G999" t="s">
        <v>141</v>
      </c>
      <c r="H999" t="s">
        <v>142</v>
      </c>
      <c r="I999" t="s">
        <v>279</v>
      </c>
      <c r="J999" t="s">
        <v>280</v>
      </c>
      <c r="L999" s="14">
        <v>45947</v>
      </c>
      <c r="M999" s="18">
        <f t="shared" si="18"/>
        <v>45931</v>
      </c>
      <c r="N999">
        <v>5812367</v>
      </c>
      <c r="O999" t="s">
        <v>123</v>
      </c>
      <c r="P999" t="s">
        <v>146</v>
      </c>
      <c r="Q999">
        <v>2.6657000000000002</v>
      </c>
      <c r="R999" t="s">
        <v>751</v>
      </c>
      <c r="S999" t="s">
        <v>126</v>
      </c>
      <c r="T999" t="s">
        <v>751</v>
      </c>
      <c r="U999" t="s">
        <v>752</v>
      </c>
      <c r="W999">
        <v>0.82</v>
      </c>
      <c r="X999">
        <v>1.8456999999999999</v>
      </c>
      <c r="Y999">
        <v>2.6657000000000002</v>
      </c>
      <c r="Z999">
        <v>1.0157</v>
      </c>
      <c r="AG999">
        <v>0.82</v>
      </c>
      <c r="AI999">
        <v>0.83</v>
      </c>
      <c r="BH999" t="s">
        <v>126</v>
      </c>
      <c r="BI999" t="s">
        <v>126</v>
      </c>
      <c r="BJ999" t="s">
        <v>126</v>
      </c>
      <c r="BK999" t="s">
        <v>126</v>
      </c>
      <c r="BS999" t="s">
        <v>126</v>
      </c>
      <c r="BT999" t="s">
        <v>126</v>
      </c>
      <c r="BU999" t="s">
        <v>126</v>
      </c>
      <c r="BV999" t="s">
        <v>126</v>
      </c>
      <c r="CN999" t="s">
        <v>147</v>
      </c>
      <c r="CP999" t="s">
        <v>469</v>
      </c>
      <c r="CQ999" t="s">
        <v>147</v>
      </c>
    </row>
    <row r="1000" spans="1:95" x14ac:dyDescent="0.2">
      <c r="A1000" t="s">
        <v>115</v>
      </c>
      <c r="B1000" t="s">
        <v>116</v>
      </c>
      <c r="C1000">
        <v>210784</v>
      </c>
      <c r="E1000" t="s">
        <v>117</v>
      </c>
      <c r="F1000">
        <v>368</v>
      </c>
      <c r="G1000" t="s">
        <v>141</v>
      </c>
      <c r="H1000" t="s">
        <v>142</v>
      </c>
      <c r="I1000" t="s">
        <v>279</v>
      </c>
      <c r="J1000" t="s">
        <v>280</v>
      </c>
      <c r="L1000" s="14">
        <v>45947</v>
      </c>
      <c r="M1000" s="18">
        <f t="shared" si="18"/>
        <v>45931</v>
      </c>
      <c r="N1000">
        <v>5812455</v>
      </c>
      <c r="O1000" t="s">
        <v>123</v>
      </c>
      <c r="P1000" t="s">
        <v>146</v>
      </c>
      <c r="Q1000">
        <v>4.6802999999999999</v>
      </c>
      <c r="R1000" t="s">
        <v>756</v>
      </c>
      <c r="S1000" t="s">
        <v>126</v>
      </c>
      <c r="T1000" t="s">
        <v>756</v>
      </c>
      <c r="U1000" t="s">
        <v>757</v>
      </c>
      <c r="W1000">
        <v>1.45</v>
      </c>
      <c r="X1000">
        <v>3.2302999999999997</v>
      </c>
      <c r="Y1000">
        <v>4.6802999999999999</v>
      </c>
      <c r="Z1000">
        <v>1.7803</v>
      </c>
      <c r="AG1000">
        <v>1.45</v>
      </c>
      <c r="AI1000">
        <v>1.45</v>
      </c>
      <c r="BH1000" t="s">
        <v>126</v>
      </c>
      <c r="BI1000" t="s">
        <v>126</v>
      </c>
      <c r="BJ1000" t="s">
        <v>126</v>
      </c>
      <c r="BK1000" t="s">
        <v>126</v>
      </c>
      <c r="BS1000" t="s">
        <v>126</v>
      </c>
      <c r="BT1000" t="s">
        <v>126</v>
      </c>
      <c r="BU1000" t="s">
        <v>126</v>
      </c>
      <c r="BV1000" t="s">
        <v>126</v>
      </c>
      <c r="CN1000" t="s">
        <v>147</v>
      </c>
      <c r="CP1000" t="s">
        <v>469</v>
      </c>
      <c r="CQ1000" t="s">
        <v>147</v>
      </c>
    </row>
    <row r="1001" spans="1:95" x14ac:dyDescent="0.2">
      <c r="A1001" t="s">
        <v>115</v>
      </c>
      <c r="B1001" t="s">
        <v>116</v>
      </c>
      <c r="C1001">
        <v>210784</v>
      </c>
      <c r="E1001" t="s">
        <v>117</v>
      </c>
      <c r="F1001">
        <v>368</v>
      </c>
      <c r="G1001" t="s">
        <v>141</v>
      </c>
      <c r="H1001" t="s">
        <v>142</v>
      </c>
      <c r="I1001" t="s">
        <v>279</v>
      </c>
      <c r="J1001" t="s">
        <v>280</v>
      </c>
      <c r="L1001" s="14">
        <v>45950</v>
      </c>
      <c r="M1001" s="18">
        <f t="shared" si="18"/>
        <v>45931</v>
      </c>
      <c r="N1001">
        <v>5813097</v>
      </c>
      <c r="O1001" t="s">
        <v>123</v>
      </c>
      <c r="P1001" t="s">
        <v>146</v>
      </c>
      <c r="Q1001">
        <v>4.9000000000000004</v>
      </c>
      <c r="R1001" t="s">
        <v>125</v>
      </c>
      <c r="S1001" t="s">
        <v>126</v>
      </c>
      <c r="T1001" t="s">
        <v>125</v>
      </c>
      <c r="U1001" t="s">
        <v>126</v>
      </c>
      <c r="W1001">
        <v>4.9000000000000004</v>
      </c>
      <c r="Y1001">
        <v>4.9000000000000004</v>
      </c>
      <c r="BE1001">
        <v>4.9000000000000004</v>
      </c>
      <c r="BH1001" t="s">
        <v>126</v>
      </c>
      <c r="BI1001" t="s">
        <v>126</v>
      </c>
      <c r="BJ1001" t="s">
        <v>126</v>
      </c>
      <c r="BK1001" t="s">
        <v>126</v>
      </c>
      <c r="BS1001" t="s">
        <v>126</v>
      </c>
      <c r="BT1001" t="s">
        <v>126</v>
      </c>
      <c r="BU1001" t="s">
        <v>126</v>
      </c>
      <c r="BV1001" t="s">
        <v>126</v>
      </c>
      <c r="CN1001" t="s">
        <v>147</v>
      </c>
      <c r="CP1001" t="s">
        <v>469</v>
      </c>
      <c r="CQ1001" t="s">
        <v>147</v>
      </c>
    </row>
    <row r="1002" spans="1:95" x14ac:dyDescent="0.2">
      <c r="A1002" t="s">
        <v>115</v>
      </c>
      <c r="B1002" t="s">
        <v>116</v>
      </c>
      <c r="C1002">
        <v>210784</v>
      </c>
      <c r="E1002" t="s">
        <v>117</v>
      </c>
      <c r="F1002">
        <v>368</v>
      </c>
      <c r="G1002" t="s">
        <v>141</v>
      </c>
      <c r="H1002" t="s">
        <v>142</v>
      </c>
      <c r="I1002" t="s">
        <v>279</v>
      </c>
      <c r="J1002" t="s">
        <v>280</v>
      </c>
      <c r="L1002" s="14">
        <v>45950</v>
      </c>
      <c r="M1002" s="18">
        <f t="shared" si="18"/>
        <v>45931</v>
      </c>
      <c r="N1002">
        <v>5813537</v>
      </c>
      <c r="O1002" t="s">
        <v>123</v>
      </c>
      <c r="P1002" t="s">
        <v>146</v>
      </c>
      <c r="Q1002">
        <v>4.25</v>
      </c>
      <c r="R1002" t="s">
        <v>125</v>
      </c>
      <c r="S1002" t="s">
        <v>126</v>
      </c>
      <c r="T1002" t="s">
        <v>125</v>
      </c>
      <c r="U1002" t="s">
        <v>126</v>
      </c>
      <c r="W1002">
        <v>4.25</v>
      </c>
      <c r="Y1002">
        <v>4.25</v>
      </c>
      <c r="BE1002">
        <v>4.25</v>
      </c>
      <c r="BH1002" t="s">
        <v>126</v>
      </c>
      <c r="BI1002" t="s">
        <v>126</v>
      </c>
      <c r="BJ1002" t="s">
        <v>126</v>
      </c>
      <c r="BK1002" t="s">
        <v>126</v>
      </c>
      <c r="BS1002" t="s">
        <v>126</v>
      </c>
      <c r="BT1002" t="s">
        <v>126</v>
      </c>
      <c r="BU1002" t="s">
        <v>126</v>
      </c>
      <c r="BV1002" t="s">
        <v>126</v>
      </c>
      <c r="CN1002" t="s">
        <v>147</v>
      </c>
      <c r="CP1002" t="s">
        <v>469</v>
      </c>
      <c r="CQ1002" t="s">
        <v>147</v>
      </c>
    </row>
    <row r="1003" spans="1:95" x14ac:dyDescent="0.2">
      <c r="A1003" t="s">
        <v>115</v>
      </c>
      <c r="B1003" t="s">
        <v>116</v>
      </c>
      <c r="C1003">
        <v>210784</v>
      </c>
      <c r="E1003" t="s">
        <v>117</v>
      </c>
      <c r="F1003">
        <v>368</v>
      </c>
      <c r="G1003" t="s">
        <v>118</v>
      </c>
      <c r="H1003" t="s">
        <v>119</v>
      </c>
      <c r="I1003" t="s">
        <v>120</v>
      </c>
      <c r="J1003" t="s">
        <v>121</v>
      </c>
      <c r="L1003" s="14">
        <v>45952</v>
      </c>
      <c r="M1003" s="18">
        <f t="shared" si="18"/>
        <v>45931</v>
      </c>
      <c r="N1003">
        <v>135444</v>
      </c>
      <c r="O1003" t="s">
        <v>123</v>
      </c>
      <c r="P1003" t="s">
        <v>124</v>
      </c>
      <c r="Q1003">
        <v>12.22</v>
      </c>
      <c r="R1003" t="s">
        <v>125</v>
      </c>
      <c r="S1003" t="s">
        <v>126</v>
      </c>
      <c r="T1003" t="s">
        <v>125</v>
      </c>
      <c r="U1003" t="s">
        <v>126</v>
      </c>
      <c r="W1003">
        <v>12.22</v>
      </c>
      <c r="Y1003">
        <v>12.22</v>
      </c>
      <c r="AC1003">
        <v>12.22</v>
      </c>
      <c r="BH1003" t="s">
        <v>126</v>
      </c>
      <c r="BI1003" t="s">
        <v>126</v>
      </c>
      <c r="BJ1003" t="s">
        <v>126</v>
      </c>
      <c r="BK1003" t="s">
        <v>126</v>
      </c>
      <c r="BS1003" t="s">
        <v>126</v>
      </c>
      <c r="BT1003" t="s">
        <v>126</v>
      </c>
      <c r="BU1003" t="s">
        <v>126</v>
      </c>
      <c r="BV1003" t="s">
        <v>126</v>
      </c>
      <c r="CN1003" t="s">
        <v>127</v>
      </c>
      <c r="CP1003" t="s">
        <v>128</v>
      </c>
      <c r="CQ1003" t="s">
        <v>127</v>
      </c>
    </row>
    <row r="1004" spans="1:95" x14ac:dyDescent="0.2">
      <c r="A1004" t="s">
        <v>115</v>
      </c>
      <c r="B1004" t="s">
        <v>116</v>
      </c>
      <c r="C1004">
        <v>210784</v>
      </c>
      <c r="E1004" t="s">
        <v>117</v>
      </c>
      <c r="F1004">
        <v>368</v>
      </c>
      <c r="G1004" t="s">
        <v>141</v>
      </c>
      <c r="H1004" t="s">
        <v>142</v>
      </c>
      <c r="I1004" t="s">
        <v>279</v>
      </c>
      <c r="J1004" t="s">
        <v>280</v>
      </c>
      <c r="L1004" s="14">
        <v>45952</v>
      </c>
      <c r="M1004" s="18">
        <f t="shared" si="18"/>
        <v>45931</v>
      </c>
      <c r="N1004">
        <v>5814936</v>
      </c>
      <c r="O1004" t="s">
        <v>123</v>
      </c>
      <c r="P1004" t="s">
        <v>146</v>
      </c>
      <c r="Q1004">
        <v>4.5683999999999996</v>
      </c>
      <c r="R1004" t="s">
        <v>567</v>
      </c>
      <c r="S1004" t="s">
        <v>126</v>
      </c>
      <c r="T1004" t="s">
        <v>567</v>
      </c>
      <c r="U1004" t="s">
        <v>568</v>
      </c>
      <c r="W1004">
        <v>1.41</v>
      </c>
      <c r="X1004">
        <v>3.1583999999999999</v>
      </c>
      <c r="Y1004">
        <v>4.5683999999999996</v>
      </c>
      <c r="Z1004">
        <v>1.7383999999999999</v>
      </c>
      <c r="AG1004">
        <v>1.41</v>
      </c>
      <c r="AI1004">
        <v>1.42</v>
      </c>
      <c r="BH1004" t="s">
        <v>126</v>
      </c>
      <c r="BI1004" t="s">
        <v>126</v>
      </c>
      <c r="BJ1004" t="s">
        <v>126</v>
      </c>
      <c r="BK1004" t="s">
        <v>126</v>
      </c>
      <c r="BS1004" t="s">
        <v>126</v>
      </c>
      <c r="BT1004" t="s">
        <v>126</v>
      </c>
      <c r="BU1004" t="s">
        <v>126</v>
      </c>
      <c r="BV1004" t="s">
        <v>126</v>
      </c>
      <c r="CN1004" t="s">
        <v>147</v>
      </c>
      <c r="CP1004" t="s">
        <v>476</v>
      </c>
      <c r="CQ1004" t="s">
        <v>147</v>
      </c>
    </row>
    <row r="1005" spans="1:95" x14ac:dyDescent="0.2">
      <c r="A1005" t="s">
        <v>115</v>
      </c>
      <c r="B1005" t="s">
        <v>116</v>
      </c>
      <c r="C1005">
        <v>210784</v>
      </c>
      <c r="E1005" t="s">
        <v>117</v>
      </c>
      <c r="F1005">
        <v>368</v>
      </c>
      <c r="G1005" t="s">
        <v>141</v>
      </c>
      <c r="H1005" t="s">
        <v>142</v>
      </c>
      <c r="I1005" t="s">
        <v>279</v>
      </c>
      <c r="J1005" t="s">
        <v>280</v>
      </c>
      <c r="L1005" s="14">
        <v>45952</v>
      </c>
      <c r="M1005" s="18">
        <f t="shared" si="18"/>
        <v>45931</v>
      </c>
      <c r="N1005">
        <v>5815064</v>
      </c>
      <c r="O1005" t="s">
        <v>123</v>
      </c>
      <c r="P1005" t="s">
        <v>146</v>
      </c>
      <c r="Q1005">
        <v>2.8264999999999998</v>
      </c>
      <c r="R1005" t="s">
        <v>683</v>
      </c>
      <c r="S1005" t="s">
        <v>126</v>
      </c>
      <c r="T1005" t="s">
        <v>683</v>
      </c>
      <c r="U1005" t="s">
        <v>684</v>
      </c>
      <c r="W1005">
        <v>0.87</v>
      </c>
      <c r="X1005">
        <v>1.9565000000000001</v>
      </c>
      <c r="Y1005">
        <v>2.8264999999999998</v>
      </c>
      <c r="Z1005">
        <v>1.0765</v>
      </c>
      <c r="AG1005">
        <v>0.87</v>
      </c>
      <c r="AI1005">
        <v>0.88</v>
      </c>
      <c r="BH1005" t="s">
        <v>126</v>
      </c>
      <c r="BI1005" t="s">
        <v>126</v>
      </c>
      <c r="BJ1005" t="s">
        <v>126</v>
      </c>
      <c r="BK1005" t="s">
        <v>126</v>
      </c>
      <c r="BS1005" t="s">
        <v>126</v>
      </c>
      <c r="BT1005" t="s">
        <v>126</v>
      </c>
      <c r="BU1005" t="s">
        <v>126</v>
      </c>
      <c r="BV1005" t="s">
        <v>126</v>
      </c>
      <c r="CN1005" t="s">
        <v>147</v>
      </c>
      <c r="CP1005" t="s">
        <v>476</v>
      </c>
      <c r="CQ1005" t="s">
        <v>147</v>
      </c>
    </row>
    <row r="1006" spans="1:95" x14ac:dyDescent="0.2">
      <c r="A1006" t="s">
        <v>115</v>
      </c>
      <c r="B1006" t="s">
        <v>116</v>
      </c>
      <c r="C1006">
        <v>210784</v>
      </c>
      <c r="E1006" t="s">
        <v>117</v>
      </c>
      <c r="F1006">
        <v>368</v>
      </c>
      <c r="G1006" t="s">
        <v>141</v>
      </c>
      <c r="H1006" t="s">
        <v>142</v>
      </c>
      <c r="I1006" t="s">
        <v>279</v>
      </c>
      <c r="J1006" t="s">
        <v>280</v>
      </c>
      <c r="L1006" s="14">
        <v>45953</v>
      </c>
      <c r="M1006" s="18">
        <f t="shared" si="18"/>
        <v>45931</v>
      </c>
      <c r="N1006">
        <v>5815310</v>
      </c>
      <c r="O1006" t="s">
        <v>123</v>
      </c>
      <c r="P1006" t="s">
        <v>146</v>
      </c>
      <c r="Q1006">
        <v>4.26</v>
      </c>
      <c r="R1006" t="s">
        <v>574</v>
      </c>
      <c r="S1006" t="s">
        <v>126</v>
      </c>
      <c r="T1006" t="s">
        <v>574</v>
      </c>
      <c r="U1006" t="s">
        <v>575</v>
      </c>
      <c r="W1006">
        <v>1.31</v>
      </c>
      <c r="X1006">
        <v>2.95</v>
      </c>
      <c r="Y1006">
        <v>4.26</v>
      </c>
      <c r="Z1006">
        <v>1.62</v>
      </c>
      <c r="AG1006">
        <v>1.31</v>
      </c>
      <c r="AI1006">
        <v>1.33</v>
      </c>
      <c r="BH1006" t="s">
        <v>126</v>
      </c>
      <c r="BI1006" t="s">
        <v>126</v>
      </c>
      <c r="BJ1006" t="s">
        <v>126</v>
      </c>
      <c r="BK1006" t="s">
        <v>126</v>
      </c>
      <c r="BS1006" t="s">
        <v>126</v>
      </c>
      <c r="BT1006" t="s">
        <v>126</v>
      </c>
      <c r="BU1006" t="s">
        <v>126</v>
      </c>
      <c r="BV1006" t="s">
        <v>126</v>
      </c>
      <c r="CN1006" t="s">
        <v>147</v>
      </c>
      <c r="CP1006" t="s">
        <v>476</v>
      </c>
      <c r="CQ1006" t="s">
        <v>147</v>
      </c>
    </row>
    <row r="1007" spans="1:95" x14ac:dyDescent="0.2">
      <c r="A1007" t="s">
        <v>115</v>
      </c>
      <c r="B1007" t="s">
        <v>116</v>
      </c>
      <c r="C1007">
        <v>210784</v>
      </c>
      <c r="E1007" t="s">
        <v>117</v>
      </c>
      <c r="F1007">
        <v>368</v>
      </c>
      <c r="G1007" t="s">
        <v>141</v>
      </c>
      <c r="H1007" t="s">
        <v>142</v>
      </c>
      <c r="I1007" t="s">
        <v>279</v>
      </c>
      <c r="J1007" t="s">
        <v>280</v>
      </c>
      <c r="L1007" s="14">
        <v>45953</v>
      </c>
      <c r="M1007" s="18">
        <f t="shared" si="18"/>
        <v>45931</v>
      </c>
      <c r="N1007">
        <v>5815416</v>
      </c>
      <c r="O1007" t="s">
        <v>123</v>
      </c>
      <c r="P1007" t="s">
        <v>146</v>
      </c>
      <c r="Q1007">
        <v>6.1946999999999992</v>
      </c>
      <c r="R1007" t="s">
        <v>562</v>
      </c>
      <c r="S1007" t="s">
        <v>126</v>
      </c>
      <c r="T1007" t="s">
        <v>562</v>
      </c>
      <c r="U1007" t="s">
        <v>563</v>
      </c>
      <c r="W1007">
        <v>1.92</v>
      </c>
      <c r="X1007">
        <v>4.2746999999999993</v>
      </c>
      <c r="Y1007">
        <v>6.1946999999999992</v>
      </c>
      <c r="Z1007">
        <v>2.3546999999999998</v>
      </c>
      <c r="AG1007">
        <v>1.92</v>
      </c>
      <c r="AI1007">
        <v>1.92</v>
      </c>
      <c r="BH1007" t="s">
        <v>126</v>
      </c>
      <c r="BI1007" t="s">
        <v>126</v>
      </c>
      <c r="BJ1007" t="s">
        <v>126</v>
      </c>
      <c r="BK1007" t="s">
        <v>126</v>
      </c>
      <c r="BS1007" t="s">
        <v>126</v>
      </c>
      <c r="BT1007" t="s">
        <v>126</v>
      </c>
      <c r="BU1007" t="s">
        <v>126</v>
      </c>
      <c r="BV1007" t="s">
        <v>126</v>
      </c>
      <c r="CN1007" t="s">
        <v>147</v>
      </c>
      <c r="CP1007" t="s">
        <v>476</v>
      </c>
      <c r="CQ1007" t="s">
        <v>147</v>
      </c>
    </row>
    <row r="1008" spans="1:95" x14ac:dyDescent="0.2">
      <c r="A1008" t="s">
        <v>115</v>
      </c>
      <c r="B1008" t="s">
        <v>116</v>
      </c>
      <c r="C1008">
        <v>210784</v>
      </c>
      <c r="E1008" t="s">
        <v>117</v>
      </c>
      <c r="F1008">
        <v>368</v>
      </c>
      <c r="G1008" t="s">
        <v>141</v>
      </c>
      <c r="H1008" t="s">
        <v>142</v>
      </c>
      <c r="I1008" t="s">
        <v>279</v>
      </c>
      <c r="J1008" t="s">
        <v>280</v>
      </c>
      <c r="L1008" s="14">
        <v>45954</v>
      </c>
      <c r="M1008" s="18">
        <f t="shared" si="18"/>
        <v>45931</v>
      </c>
      <c r="N1008">
        <v>5816514</v>
      </c>
      <c r="O1008" t="s">
        <v>123</v>
      </c>
      <c r="P1008" t="s">
        <v>146</v>
      </c>
      <c r="Q1008">
        <v>2.99</v>
      </c>
      <c r="R1008" t="s">
        <v>125</v>
      </c>
      <c r="S1008" t="s">
        <v>126</v>
      </c>
      <c r="T1008" t="s">
        <v>125</v>
      </c>
      <c r="U1008" t="s">
        <v>126</v>
      </c>
      <c r="W1008">
        <v>2.99</v>
      </c>
      <c r="Y1008">
        <v>2.99</v>
      </c>
      <c r="AS1008">
        <v>2.99</v>
      </c>
      <c r="BH1008" t="s">
        <v>126</v>
      </c>
      <c r="BI1008" t="s">
        <v>126</v>
      </c>
      <c r="BJ1008" t="s">
        <v>126</v>
      </c>
      <c r="BK1008" t="s">
        <v>126</v>
      </c>
      <c r="BS1008" t="s">
        <v>126</v>
      </c>
      <c r="BT1008" t="s">
        <v>126</v>
      </c>
      <c r="BU1008" t="s">
        <v>126</v>
      </c>
      <c r="BV1008" t="s">
        <v>126</v>
      </c>
      <c r="CN1008" t="s">
        <v>147</v>
      </c>
      <c r="CP1008" t="s">
        <v>476</v>
      </c>
      <c r="CQ1008" t="s">
        <v>147</v>
      </c>
    </row>
    <row r="1009" spans="1:95" x14ac:dyDescent="0.2">
      <c r="A1009" t="s">
        <v>115</v>
      </c>
      <c r="B1009" t="s">
        <v>116</v>
      </c>
      <c r="C1009">
        <v>210784</v>
      </c>
      <c r="E1009" t="s">
        <v>117</v>
      </c>
      <c r="F1009">
        <v>368</v>
      </c>
      <c r="G1009" t="s">
        <v>141</v>
      </c>
      <c r="H1009" t="s">
        <v>142</v>
      </c>
      <c r="I1009" t="s">
        <v>279</v>
      </c>
      <c r="J1009" t="s">
        <v>280</v>
      </c>
      <c r="L1009" s="14">
        <v>45954</v>
      </c>
      <c r="M1009" s="18">
        <f t="shared" si="18"/>
        <v>45931</v>
      </c>
      <c r="N1009">
        <v>5816110</v>
      </c>
      <c r="O1009" t="s">
        <v>123</v>
      </c>
      <c r="P1009" t="s">
        <v>146</v>
      </c>
      <c r="Q1009">
        <v>2.7599</v>
      </c>
      <c r="R1009" t="s">
        <v>592</v>
      </c>
      <c r="S1009" t="s">
        <v>126</v>
      </c>
      <c r="T1009" t="s">
        <v>592</v>
      </c>
      <c r="U1009" t="s">
        <v>593</v>
      </c>
      <c r="W1009">
        <v>0.85</v>
      </c>
      <c r="X1009">
        <v>1.9098999999999999</v>
      </c>
      <c r="Y1009">
        <v>2.7599</v>
      </c>
      <c r="Z1009">
        <v>1.0499000000000001</v>
      </c>
      <c r="AG1009">
        <v>0.85</v>
      </c>
      <c r="AI1009">
        <v>0.86</v>
      </c>
      <c r="BH1009" t="s">
        <v>126</v>
      </c>
      <c r="BI1009" t="s">
        <v>126</v>
      </c>
      <c r="BJ1009" t="s">
        <v>126</v>
      </c>
      <c r="BK1009" t="s">
        <v>126</v>
      </c>
      <c r="BS1009" t="s">
        <v>126</v>
      </c>
      <c r="BT1009" t="s">
        <v>126</v>
      </c>
      <c r="BU1009" t="s">
        <v>126</v>
      </c>
      <c r="BV1009" t="s">
        <v>126</v>
      </c>
      <c r="CN1009" t="s">
        <v>147</v>
      </c>
      <c r="CP1009" t="s">
        <v>476</v>
      </c>
      <c r="CQ1009" t="s">
        <v>147</v>
      </c>
    </row>
    <row r="1010" spans="1:95" x14ac:dyDescent="0.2">
      <c r="A1010" t="s">
        <v>115</v>
      </c>
      <c r="B1010" t="s">
        <v>116</v>
      </c>
      <c r="C1010">
        <v>210784</v>
      </c>
      <c r="E1010" t="s">
        <v>117</v>
      </c>
      <c r="F1010">
        <v>368</v>
      </c>
      <c r="G1010" t="s">
        <v>141</v>
      </c>
      <c r="H1010" t="s">
        <v>142</v>
      </c>
      <c r="I1010" t="s">
        <v>279</v>
      </c>
      <c r="J1010" t="s">
        <v>280</v>
      </c>
      <c r="L1010" s="14">
        <v>45955</v>
      </c>
      <c r="M1010" s="18">
        <f t="shared" si="18"/>
        <v>45931</v>
      </c>
      <c r="N1010">
        <v>5816883</v>
      </c>
      <c r="O1010" t="s">
        <v>123</v>
      </c>
      <c r="P1010" t="s">
        <v>146</v>
      </c>
      <c r="Q1010">
        <v>1.68</v>
      </c>
      <c r="R1010" t="s">
        <v>125</v>
      </c>
      <c r="S1010" t="s">
        <v>126</v>
      </c>
      <c r="T1010" t="s">
        <v>125</v>
      </c>
      <c r="U1010" t="s">
        <v>126</v>
      </c>
      <c r="W1010">
        <v>1.68</v>
      </c>
      <c r="Y1010">
        <v>1.68</v>
      </c>
      <c r="AS1010">
        <v>1.68</v>
      </c>
      <c r="BH1010" t="s">
        <v>126</v>
      </c>
      <c r="BI1010" t="s">
        <v>126</v>
      </c>
      <c r="BJ1010" t="s">
        <v>126</v>
      </c>
      <c r="BK1010" t="s">
        <v>126</v>
      </c>
      <c r="BS1010" t="s">
        <v>126</v>
      </c>
      <c r="BT1010" t="s">
        <v>126</v>
      </c>
      <c r="BU1010" t="s">
        <v>126</v>
      </c>
      <c r="BV1010" t="s">
        <v>126</v>
      </c>
      <c r="CN1010" t="s">
        <v>147</v>
      </c>
      <c r="CP1010" t="s">
        <v>476</v>
      </c>
      <c r="CQ1010" t="s">
        <v>147</v>
      </c>
    </row>
    <row r="1011" spans="1:95" x14ac:dyDescent="0.2">
      <c r="A1011" t="s">
        <v>115</v>
      </c>
      <c r="B1011" t="s">
        <v>116</v>
      </c>
      <c r="C1011">
        <v>210784</v>
      </c>
      <c r="E1011" t="s">
        <v>117</v>
      </c>
      <c r="F1011">
        <v>368</v>
      </c>
      <c r="G1011" t="s">
        <v>141</v>
      </c>
      <c r="H1011" t="s">
        <v>142</v>
      </c>
      <c r="I1011" t="s">
        <v>279</v>
      </c>
      <c r="J1011" t="s">
        <v>280</v>
      </c>
      <c r="L1011" s="14">
        <v>45955</v>
      </c>
      <c r="M1011" s="18">
        <f t="shared" si="18"/>
        <v>45931</v>
      </c>
      <c r="N1011">
        <v>5816833</v>
      </c>
      <c r="O1011" t="s">
        <v>123</v>
      </c>
      <c r="P1011" t="s">
        <v>146</v>
      </c>
      <c r="Q1011">
        <v>3.46</v>
      </c>
      <c r="R1011" t="s">
        <v>125</v>
      </c>
      <c r="S1011" t="s">
        <v>126</v>
      </c>
      <c r="T1011" t="s">
        <v>125</v>
      </c>
      <c r="U1011" t="s">
        <v>126</v>
      </c>
      <c r="W1011">
        <v>3.46</v>
      </c>
      <c r="Y1011">
        <v>3.46</v>
      </c>
      <c r="BE1011">
        <v>3.46</v>
      </c>
      <c r="BH1011" t="s">
        <v>126</v>
      </c>
      <c r="BI1011" t="s">
        <v>126</v>
      </c>
      <c r="BJ1011" t="s">
        <v>126</v>
      </c>
      <c r="BK1011" t="s">
        <v>126</v>
      </c>
      <c r="BS1011" t="s">
        <v>126</v>
      </c>
      <c r="BT1011" t="s">
        <v>126</v>
      </c>
      <c r="BU1011" t="s">
        <v>126</v>
      </c>
      <c r="BV1011" t="s">
        <v>126</v>
      </c>
      <c r="CN1011" t="s">
        <v>147</v>
      </c>
      <c r="CP1011" t="s">
        <v>476</v>
      </c>
      <c r="CQ1011" t="s">
        <v>147</v>
      </c>
    </row>
    <row r="1012" spans="1:95" x14ac:dyDescent="0.2">
      <c r="A1012" t="s">
        <v>115</v>
      </c>
      <c r="B1012" t="s">
        <v>116</v>
      </c>
      <c r="C1012">
        <v>210784</v>
      </c>
      <c r="E1012" t="s">
        <v>117</v>
      </c>
      <c r="F1012">
        <v>368</v>
      </c>
      <c r="G1012" t="s">
        <v>141</v>
      </c>
      <c r="H1012" t="s">
        <v>142</v>
      </c>
      <c r="I1012" t="s">
        <v>279</v>
      </c>
      <c r="J1012" t="s">
        <v>280</v>
      </c>
      <c r="L1012" s="14">
        <v>45957</v>
      </c>
      <c r="M1012" s="18">
        <f t="shared" si="18"/>
        <v>45931</v>
      </c>
      <c r="N1012">
        <v>5817826</v>
      </c>
      <c r="O1012" t="s">
        <v>123</v>
      </c>
      <c r="P1012" t="s">
        <v>146</v>
      </c>
      <c r="Q1012">
        <v>6.1004000000000005</v>
      </c>
      <c r="R1012" t="s">
        <v>559</v>
      </c>
      <c r="S1012" t="s">
        <v>126</v>
      </c>
      <c r="T1012" t="s">
        <v>559</v>
      </c>
      <c r="U1012" t="s">
        <v>560</v>
      </c>
      <c r="W1012">
        <v>1.88</v>
      </c>
      <c r="X1012">
        <v>4.2203999999999997</v>
      </c>
      <c r="Y1012">
        <v>6.1004000000000005</v>
      </c>
      <c r="Z1012">
        <v>2.3203999999999998</v>
      </c>
      <c r="AG1012">
        <v>1.88</v>
      </c>
      <c r="AI1012">
        <v>1.9</v>
      </c>
      <c r="BH1012" t="s">
        <v>126</v>
      </c>
      <c r="BI1012" t="s">
        <v>126</v>
      </c>
      <c r="BJ1012" t="s">
        <v>126</v>
      </c>
      <c r="BK1012" t="s">
        <v>126</v>
      </c>
      <c r="BS1012" t="s">
        <v>126</v>
      </c>
      <c r="BT1012" t="s">
        <v>126</v>
      </c>
      <c r="BU1012" t="s">
        <v>126</v>
      </c>
      <c r="BV1012" t="s">
        <v>126</v>
      </c>
      <c r="CN1012" t="s">
        <v>147</v>
      </c>
      <c r="CP1012" t="s">
        <v>476</v>
      </c>
      <c r="CQ1012" t="s">
        <v>147</v>
      </c>
    </row>
    <row r="1013" spans="1:95" x14ac:dyDescent="0.2">
      <c r="A1013" t="s">
        <v>115</v>
      </c>
      <c r="B1013" t="s">
        <v>116</v>
      </c>
      <c r="C1013">
        <v>210784</v>
      </c>
      <c r="E1013" t="s">
        <v>117</v>
      </c>
      <c r="F1013">
        <v>368</v>
      </c>
      <c r="G1013" t="s">
        <v>141</v>
      </c>
      <c r="H1013" t="s">
        <v>142</v>
      </c>
      <c r="I1013" t="s">
        <v>279</v>
      </c>
      <c r="J1013" t="s">
        <v>280</v>
      </c>
      <c r="L1013" s="14">
        <v>45957</v>
      </c>
      <c r="M1013" s="18">
        <f t="shared" si="18"/>
        <v>45931</v>
      </c>
      <c r="N1013">
        <v>5817584</v>
      </c>
      <c r="O1013" t="s">
        <v>123</v>
      </c>
      <c r="P1013" t="s">
        <v>146</v>
      </c>
      <c r="Q1013">
        <v>3.32</v>
      </c>
      <c r="R1013" t="s">
        <v>125</v>
      </c>
      <c r="S1013" t="s">
        <v>126</v>
      </c>
      <c r="T1013" t="s">
        <v>125</v>
      </c>
      <c r="U1013" t="s">
        <v>126</v>
      </c>
      <c r="W1013">
        <v>3.32</v>
      </c>
      <c r="Y1013">
        <v>3.32</v>
      </c>
      <c r="BE1013">
        <v>3.32</v>
      </c>
      <c r="BH1013" t="s">
        <v>126</v>
      </c>
      <c r="BI1013" t="s">
        <v>126</v>
      </c>
      <c r="BJ1013" t="s">
        <v>126</v>
      </c>
      <c r="BK1013" t="s">
        <v>126</v>
      </c>
      <c r="BS1013" t="s">
        <v>126</v>
      </c>
      <c r="BT1013" t="s">
        <v>126</v>
      </c>
      <c r="BU1013" t="s">
        <v>126</v>
      </c>
      <c r="BV1013" t="s">
        <v>126</v>
      </c>
      <c r="CN1013" t="s">
        <v>147</v>
      </c>
      <c r="CP1013" t="s">
        <v>476</v>
      </c>
      <c r="CQ1013" t="s">
        <v>147</v>
      </c>
    </row>
    <row r="1014" spans="1:95" x14ac:dyDescent="0.2">
      <c r="A1014" t="s">
        <v>115</v>
      </c>
      <c r="B1014" t="s">
        <v>116</v>
      </c>
      <c r="C1014">
        <v>210784</v>
      </c>
      <c r="E1014" t="s">
        <v>117</v>
      </c>
      <c r="F1014">
        <v>368</v>
      </c>
      <c r="G1014" t="s">
        <v>118</v>
      </c>
      <c r="H1014" t="s">
        <v>119</v>
      </c>
      <c r="I1014" t="s">
        <v>120</v>
      </c>
      <c r="J1014" t="s">
        <v>121</v>
      </c>
      <c r="L1014" s="14">
        <v>45958</v>
      </c>
      <c r="M1014" s="18">
        <f t="shared" si="18"/>
        <v>45931</v>
      </c>
      <c r="N1014">
        <v>135528</v>
      </c>
      <c r="O1014" t="s">
        <v>123</v>
      </c>
      <c r="P1014" t="s">
        <v>124</v>
      </c>
      <c r="Q1014">
        <v>8.4499999999999993</v>
      </c>
      <c r="R1014" t="s">
        <v>125</v>
      </c>
      <c r="S1014" t="s">
        <v>126</v>
      </c>
      <c r="T1014" t="s">
        <v>125</v>
      </c>
      <c r="U1014" t="s">
        <v>126</v>
      </c>
      <c r="W1014">
        <v>8.4499999999999993</v>
      </c>
      <c r="Y1014">
        <v>8.4499999999999993</v>
      </c>
      <c r="AC1014">
        <v>8.4499999999999993</v>
      </c>
      <c r="BH1014" t="s">
        <v>126</v>
      </c>
      <c r="BI1014" t="s">
        <v>126</v>
      </c>
      <c r="BJ1014" t="s">
        <v>126</v>
      </c>
      <c r="BK1014" t="s">
        <v>126</v>
      </c>
      <c r="BS1014" t="s">
        <v>126</v>
      </c>
      <c r="BT1014" t="s">
        <v>126</v>
      </c>
      <c r="BU1014" t="s">
        <v>126</v>
      </c>
      <c r="BV1014" t="s">
        <v>126</v>
      </c>
      <c r="CN1014" t="s">
        <v>127</v>
      </c>
      <c r="CP1014" t="s">
        <v>128</v>
      </c>
      <c r="CQ1014" t="s">
        <v>127</v>
      </c>
    </row>
    <row r="1015" spans="1:95" x14ac:dyDescent="0.2">
      <c r="A1015" t="s">
        <v>115</v>
      </c>
      <c r="B1015" t="s">
        <v>116</v>
      </c>
      <c r="C1015">
        <v>210784</v>
      </c>
      <c r="E1015" t="s">
        <v>117</v>
      </c>
      <c r="F1015">
        <v>368</v>
      </c>
      <c r="G1015" t="s">
        <v>141</v>
      </c>
      <c r="H1015" t="s">
        <v>142</v>
      </c>
      <c r="I1015" t="s">
        <v>279</v>
      </c>
      <c r="J1015" t="s">
        <v>280</v>
      </c>
      <c r="L1015" s="14">
        <v>45958</v>
      </c>
      <c r="M1015" s="18">
        <f t="shared" si="18"/>
        <v>45931</v>
      </c>
      <c r="N1015">
        <v>5818669</v>
      </c>
      <c r="O1015" t="s">
        <v>123</v>
      </c>
      <c r="P1015" t="s">
        <v>146</v>
      </c>
      <c r="Q1015">
        <v>2.8089</v>
      </c>
      <c r="R1015" t="s">
        <v>707</v>
      </c>
      <c r="S1015" t="s">
        <v>126</v>
      </c>
      <c r="T1015" t="s">
        <v>707</v>
      </c>
      <c r="U1015" t="s">
        <v>708</v>
      </c>
      <c r="W1015">
        <v>0.87</v>
      </c>
      <c r="X1015">
        <v>1.9388999999999998</v>
      </c>
      <c r="Y1015">
        <v>2.8089</v>
      </c>
      <c r="Z1015">
        <v>1.0689</v>
      </c>
      <c r="AG1015">
        <v>0.87</v>
      </c>
      <c r="AI1015">
        <v>0.87</v>
      </c>
      <c r="BH1015" t="s">
        <v>126</v>
      </c>
      <c r="BI1015" t="s">
        <v>126</v>
      </c>
      <c r="BJ1015" t="s">
        <v>126</v>
      </c>
      <c r="BK1015" t="s">
        <v>126</v>
      </c>
      <c r="BS1015" t="s">
        <v>126</v>
      </c>
      <c r="BT1015" t="s">
        <v>126</v>
      </c>
      <c r="BU1015" t="s">
        <v>126</v>
      </c>
      <c r="BV1015" t="s">
        <v>126</v>
      </c>
      <c r="CN1015" t="s">
        <v>147</v>
      </c>
      <c r="CP1015" t="s">
        <v>476</v>
      </c>
      <c r="CQ1015" t="s">
        <v>147</v>
      </c>
    </row>
    <row r="1016" spans="1:95" x14ac:dyDescent="0.2">
      <c r="A1016" t="s">
        <v>115</v>
      </c>
      <c r="B1016" t="s">
        <v>116</v>
      </c>
      <c r="C1016">
        <v>210784</v>
      </c>
      <c r="E1016" t="s">
        <v>117</v>
      </c>
      <c r="F1016">
        <v>368</v>
      </c>
      <c r="G1016" t="s">
        <v>141</v>
      </c>
      <c r="H1016" t="s">
        <v>142</v>
      </c>
      <c r="I1016" t="s">
        <v>279</v>
      </c>
      <c r="J1016" t="s">
        <v>280</v>
      </c>
      <c r="L1016" s="14">
        <v>45958</v>
      </c>
      <c r="M1016" s="18">
        <f t="shared" si="18"/>
        <v>45931</v>
      </c>
      <c r="N1016">
        <v>5817973</v>
      </c>
      <c r="O1016" t="s">
        <v>123</v>
      </c>
      <c r="P1016" t="s">
        <v>146</v>
      </c>
      <c r="Q1016">
        <v>4.42</v>
      </c>
      <c r="R1016" t="s">
        <v>569</v>
      </c>
      <c r="S1016" t="s">
        <v>126</v>
      </c>
      <c r="T1016" t="s">
        <v>569</v>
      </c>
      <c r="U1016" t="s">
        <v>570</v>
      </c>
      <c r="W1016">
        <v>1.36</v>
      </c>
      <c r="X1016">
        <v>3.0599999999999996</v>
      </c>
      <c r="Y1016">
        <v>4.42</v>
      </c>
      <c r="Z1016">
        <v>1.68</v>
      </c>
      <c r="AG1016">
        <v>1.36</v>
      </c>
      <c r="AI1016">
        <v>1.38</v>
      </c>
      <c r="BH1016" t="s">
        <v>126</v>
      </c>
      <c r="BI1016" t="s">
        <v>126</v>
      </c>
      <c r="BJ1016" t="s">
        <v>126</v>
      </c>
      <c r="BK1016" t="s">
        <v>126</v>
      </c>
      <c r="BS1016" t="s">
        <v>126</v>
      </c>
      <c r="BT1016" t="s">
        <v>126</v>
      </c>
      <c r="BU1016" t="s">
        <v>126</v>
      </c>
      <c r="BV1016" t="s">
        <v>126</v>
      </c>
      <c r="CN1016" t="s">
        <v>147</v>
      </c>
      <c r="CP1016" t="s">
        <v>476</v>
      </c>
      <c r="CQ1016" t="s">
        <v>147</v>
      </c>
    </row>
    <row r="1017" spans="1:95" x14ac:dyDescent="0.2">
      <c r="A1017" t="s">
        <v>115</v>
      </c>
      <c r="B1017" t="s">
        <v>116</v>
      </c>
      <c r="C1017">
        <v>210784</v>
      </c>
      <c r="E1017" t="s">
        <v>117</v>
      </c>
      <c r="F1017">
        <v>368</v>
      </c>
      <c r="G1017" t="s">
        <v>141</v>
      </c>
      <c r="H1017" t="s">
        <v>142</v>
      </c>
      <c r="I1017" t="s">
        <v>279</v>
      </c>
      <c r="J1017" t="s">
        <v>280</v>
      </c>
      <c r="L1017" s="14">
        <v>45959</v>
      </c>
      <c r="M1017" s="18">
        <f t="shared" si="18"/>
        <v>45931</v>
      </c>
      <c r="N1017">
        <v>5819496</v>
      </c>
      <c r="O1017" t="s">
        <v>123</v>
      </c>
      <c r="P1017" t="s">
        <v>146</v>
      </c>
      <c r="Q1017">
        <v>2.73</v>
      </c>
      <c r="R1017" t="s">
        <v>125</v>
      </c>
      <c r="S1017" t="s">
        <v>126</v>
      </c>
      <c r="T1017" t="s">
        <v>125</v>
      </c>
      <c r="U1017" t="s">
        <v>126</v>
      </c>
      <c r="W1017">
        <v>2.73</v>
      </c>
      <c r="Y1017">
        <v>2.73</v>
      </c>
      <c r="AS1017">
        <v>2.73</v>
      </c>
      <c r="BH1017" t="s">
        <v>126</v>
      </c>
      <c r="BI1017" t="s">
        <v>126</v>
      </c>
      <c r="BJ1017" t="s">
        <v>126</v>
      </c>
      <c r="BK1017" t="s">
        <v>126</v>
      </c>
      <c r="BS1017" t="s">
        <v>126</v>
      </c>
      <c r="BT1017" t="s">
        <v>126</v>
      </c>
      <c r="BU1017" t="s">
        <v>126</v>
      </c>
      <c r="BV1017" t="s">
        <v>126</v>
      </c>
      <c r="CN1017" t="s">
        <v>147</v>
      </c>
      <c r="CP1017" t="s">
        <v>476</v>
      </c>
      <c r="CQ1017" t="s">
        <v>147</v>
      </c>
    </row>
    <row r="1018" spans="1:95" x14ac:dyDescent="0.2">
      <c r="A1018" t="s">
        <v>115</v>
      </c>
      <c r="B1018" t="s">
        <v>116</v>
      </c>
      <c r="C1018">
        <v>210784</v>
      </c>
      <c r="E1018" t="s">
        <v>117</v>
      </c>
      <c r="F1018">
        <v>368</v>
      </c>
      <c r="G1018" t="s">
        <v>141</v>
      </c>
      <c r="H1018" t="s">
        <v>142</v>
      </c>
      <c r="I1018" t="s">
        <v>279</v>
      </c>
      <c r="J1018" t="s">
        <v>280</v>
      </c>
      <c r="L1018" s="14">
        <v>45960</v>
      </c>
      <c r="M1018" s="18">
        <f t="shared" si="18"/>
        <v>45931</v>
      </c>
      <c r="N1018">
        <v>5820241</v>
      </c>
      <c r="O1018" t="s">
        <v>123</v>
      </c>
      <c r="P1018" t="s">
        <v>146</v>
      </c>
      <c r="Q1018">
        <v>2.9</v>
      </c>
      <c r="R1018" t="s">
        <v>125</v>
      </c>
      <c r="S1018" t="s">
        <v>126</v>
      </c>
      <c r="T1018" t="s">
        <v>125</v>
      </c>
      <c r="U1018" t="s">
        <v>126</v>
      </c>
      <c r="W1018">
        <v>2.9</v>
      </c>
      <c r="Y1018">
        <v>2.9</v>
      </c>
      <c r="BE1018">
        <v>2.9</v>
      </c>
      <c r="BH1018" t="s">
        <v>126</v>
      </c>
      <c r="BI1018" t="s">
        <v>126</v>
      </c>
      <c r="BJ1018" t="s">
        <v>126</v>
      </c>
      <c r="BK1018" t="s">
        <v>126</v>
      </c>
      <c r="BS1018" t="s">
        <v>126</v>
      </c>
      <c r="BT1018" t="s">
        <v>126</v>
      </c>
      <c r="BU1018" t="s">
        <v>126</v>
      </c>
      <c r="BV1018" t="s">
        <v>126</v>
      </c>
      <c r="CN1018" t="s">
        <v>147</v>
      </c>
      <c r="CP1018" t="s">
        <v>476</v>
      </c>
      <c r="CQ1018" t="s">
        <v>147</v>
      </c>
    </row>
    <row r="1019" spans="1:95" x14ac:dyDescent="0.2">
      <c r="A1019" t="s">
        <v>115</v>
      </c>
      <c r="B1019" t="s">
        <v>116</v>
      </c>
      <c r="C1019">
        <v>210784</v>
      </c>
      <c r="E1019" t="s">
        <v>117</v>
      </c>
      <c r="F1019">
        <v>368</v>
      </c>
      <c r="G1019" t="s">
        <v>118</v>
      </c>
      <c r="H1019" t="s">
        <v>119</v>
      </c>
      <c r="I1019" t="s">
        <v>120</v>
      </c>
      <c r="J1019" t="s">
        <v>121</v>
      </c>
      <c r="L1019" s="14">
        <v>45961</v>
      </c>
      <c r="M1019" s="18">
        <f t="shared" si="18"/>
        <v>45931</v>
      </c>
      <c r="N1019">
        <v>135606</v>
      </c>
      <c r="O1019" t="s">
        <v>123</v>
      </c>
      <c r="P1019" t="s">
        <v>124</v>
      </c>
      <c r="Q1019">
        <v>14.09</v>
      </c>
      <c r="R1019" t="s">
        <v>125</v>
      </c>
      <c r="S1019" t="s">
        <v>126</v>
      </c>
      <c r="T1019" t="s">
        <v>125</v>
      </c>
      <c r="U1019" t="s">
        <v>126</v>
      </c>
      <c r="W1019">
        <v>14.09</v>
      </c>
      <c r="Y1019">
        <v>14.09</v>
      </c>
      <c r="AA1019">
        <v>14.09</v>
      </c>
      <c r="BH1019" t="s">
        <v>126</v>
      </c>
      <c r="BI1019" t="s">
        <v>126</v>
      </c>
      <c r="BJ1019" t="s">
        <v>126</v>
      </c>
      <c r="BK1019" t="s">
        <v>126</v>
      </c>
      <c r="BS1019" t="s">
        <v>126</v>
      </c>
      <c r="BT1019" t="s">
        <v>126</v>
      </c>
      <c r="BU1019" t="s">
        <v>126</v>
      </c>
      <c r="BV1019" t="s">
        <v>126</v>
      </c>
      <c r="CN1019" t="s">
        <v>127</v>
      </c>
      <c r="CP1019" t="s">
        <v>128</v>
      </c>
      <c r="CQ1019" t="s">
        <v>127</v>
      </c>
    </row>
    <row r="1020" spans="1:95" x14ac:dyDescent="0.2">
      <c r="A1020" t="s">
        <v>115</v>
      </c>
      <c r="B1020" t="s">
        <v>116</v>
      </c>
      <c r="C1020">
        <v>210784</v>
      </c>
      <c r="E1020" t="s">
        <v>117</v>
      </c>
      <c r="F1020">
        <v>368</v>
      </c>
      <c r="G1020" t="s">
        <v>141</v>
      </c>
      <c r="H1020" t="s">
        <v>142</v>
      </c>
      <c r="I1020" t="s">
        <v>279</v>
      </c>
      <c r="J1020" t="s">
        <v>280</v>
      </c>
      <c r="L1020" s="14">
        <v>45961</v>
      </c>
      <c r="M1020" s="18">
        <f t="shared" si="18"/>
        <v>45931</v>
      </c>
      <c r="N1020">
        <v>5820942</v>
      </c>
      <c r="O1020" t="s">
        <v>123</v>
      </c>
      <c r="P1020" t="s">
        <v>146</v>
      </c>
      <c r="Q1020">
        <v>2.5499999999999998</v>
      </c>
      <c r="R1020" t="s">
        <v>125</v>
      </c>
      <c r="S1020" t="s">
        <v>126</v>
      </c>
      <c r="T1020" t="s">
        <v>125</v>
      </c>
      <c r="U1020" t="s">
        <v>126</v>
      </c>
      <c r="W1020">
        <v>2.5499999999999998</v>
      </c>
      <c r="Y1020">
        <v>2.5499999999999998</v>
      </c>
      <c r="BE1020">
        <v>2.5499999999999998</v>
      </c>
      <c r="BH1020" t="s">
        <v>126</v>
      </c>
      <c r="BI1020" t="s">
        <v>126</v>
      </c>
      <c r="BJ1020" t="s">
        <v>126</v>
      </c>
      <c r="BK1020" t="s">
        <v>126</v>
      </c>
      <c r="BS1020" t="s">
        <v>126</v>
      </c>
      <c r="BT1020" t="s">
        <v>126</v>
      </c>
      <c r="BU1020" t="s">
        <v>126</v>
      </c>
      <c r="BV1020" t="s">
        <v>126</v>
      </c>
      <c r="CN1020" t="s">
        <v>147</v>
      </c>
      <c r="CP1020" t="s">
        <v>476</v>
      </c>
      <c r="CQ1020" t="s">
        <v>147</v>
      </c>
    </row>
    <row r="1021" spans="1:95" x14ac:dyDescent="0.2">
      <c r="A1021" t="s">
        <v>115</v>
      </c>
      <c r="B1021" t="s">
        <v>116</v>
      </c>
      <c r="C1021">
        <v>210784</v>
      </c>
      <c r="E1021" t="s">
        <v>117</v>
      </c>
      <c r="F1021">
        <v>368</v>
      </c>
      <c r="G1021" t="s">
        <v>141</v>
      </c>
      <c r="H1021" t="s">
        <v>142</v>
      </c>
      <c r="I1021" t="s">
        <v>279</v>
      </c>
      <c r="J1021" t="s">
        <v>280</v>
      </c>
      <c r="L1021" s="14">
        <v>45965</v>
      </c>
      <c r="M1021" s="18">
        <f t="shared" si="18"/>
        <v>45962</v>
      </c>
      <c r="N1021">
        <v>5822962</v>
      </c>
      <c r="O1021" t="s">
        <v>123</v>
      </c>
      <c r="P1021" t="s">
        <v>146</v>
      </c>
      <c r="Q1021">
        <v>5.4</v>
      </c>
      <c r="R1021" t="s">
        <v>125</v>
      </c>
      <c r="S1021" t="s">
        <v>126</v>
      </c>
      <c r="T1021" t="s">
        <v>125</v>
      </c>
      <c r="U1021" t="s">
        <v>126</v>
      </c>
      <c r="W1021">
        <v>5.4</v>
      </c>
      <c r="Y1021">
        <v>5.4</v>
      </c>
      <c r="AS1021">
        <v>5.4</v>
      </c>
      <c r="BH1021" t="s">
        <v>126</v>
      </c>
      <c r="BI1021" t="s">
        <v>126</v>
      </c>
      <c r="BJ1021" t="s">
        <v>126</v>
      </c>
      <c r="BK1021" t="s">
        <v>126</v>
      </c>
      <c r="BS1021" t="s">
        <v>126</v>
      </c>
      <c r="BT1021" t="s">
        <v>126</v>
      </c>
      <c r="BU1021" t="s">
        <v>126</v>
      </c>
      <c r="BV1021" t="s">
        <v>126</v>
      </c>
      <c r="CN1021" t="s">
        <v>147</v>
      </c>
      <c r="CP1021" t="s">
        <v>476</v>
      </c>
      <c r="CQ1021" t="s">
        <v>147</v>
      </c>
    </row>
    <row r="1022" spans="1:95" x14ac:dyDescent="0.2">
      <c r="A1022" t="s">
        <v>115</v>
      </c>
      <c r="B1022" t="s">
        <v>116</v>
      </c>
      <c r="C1022">
        <v>210784</v>
      </c>
      <c r="E1022" t="s">
        <v>117</v>
      </c>
      <c r="F1022">
        <v>368</v>
      </c>
      <c r="G1022" t="s">
        <v>141</v>
      </c>
      <c r="H1022" t="s">
        <v>142</v>
      </c>
      <c r="I1022" t="s">
        <v>279</v>
      </c>
      <c r="J1022" t="s">
        <v>280</v>
      </c>
      <c r="L1022" s="14">
        <v>45965</v>
      </c>
      <c r="M1022" s="18">
        <f t="shared" si="18"/>
        <v>45962</v>
      </c>
      <c r="N1022">
        <v>5822312</v>
      </c>
      <c r="O1022" t="s">
        <v>123</v>
      </c>
      <c r="P1022" t="s">
        <v>146</v>
      </c>
      <c r="Q1022">
        <v>4.42</v>
      </c>
      <c r="R1022" t="s">
        <v>569</v>
      </c>
      <c r="S1022" t="s">
        <v>126</v>
      </c>
      <c r="T1022" t="s">
        <v>569</v>
      </c>
      <c r="U1022" t="s">
        <v>570</v>
      </c>
      <c r="W1022">
        <v>1.36</v>
      </c>
      <c r="X1022">
        <v>3.0599999999999996</v>
      </c>
      <c r="Y1022">
        <v>4.42</v>
      </c>
      <c r="Z1022">
        <v>1.68</v>
      </c>
      <c r="AG1022">
        <v>1.36</v>
      </c>
      <c r="AI1022">
        <v>1.38</v>
      </c>
      <c r="BH1022" t="s">
        <v>126</v>
      </c>
      <c r="BI1022" t="s">
        <v>126</v>
      </c>
      <c r="BJ1022" t="s">
        <v>126</v>
      </c>
      <c r="BK1022" t="s">
        <v>126</v>
      </c>
      <c r="BS1022" t="s">
        <v>126</v>
      </c>
      <c r="BT1022" t="s">
        <v>126</v>
      </c>
      <c r="BU1022" t="s">
        <v>126</v>
      </c>
      <c r="BV1022" t="s">
        <v>126</v>
      </c>
      <c r="CN1022" t="s">
        <v>147</v>
      </c>
      <c r="CP1022" t="s">
        <v>476</v>
      </c>
      <c r="CQ1022" t="s">
        <v>147</v>
      </c>
    </row>
    <row r="1023" spans="1:95" x14ac:dyDescent="0.2">
      <c r="A1023" t="s">
        <v>115</v>
      </c>
      <c r="B1023" t="s">
        <v>116</v>
      </c>
      <c r="C1023">
        <v>210784</v>
      </c>
      <c r="E1023" t="s">
        <v>117</v>
      </c>
      <c r="F1023">
        <v>368</v>
      </c>
      <c r="G1023" t="s">
        <v>141</v>
      </c>
      <c r="H1023" t="s">
        <v>142</v>
      </c>
      <c r="I1023" t="s">
        <v>279</v>
      </c>
      <c r="J1023" t="s">
        <v>280</v>
      </c>
      <c r="L1023" s="14">
        <v>45966</v>
      </c>
      <c r="M1023" s="18">
        <f t="shared" si="18"/>
        <v>45962</v>
      </c>
      <c r="N1023">
        <v>5823114</v>
      </c>
      <c r="O1023" t="s">
        <v>123</v>
      </c>
      <c r="P1023" t="s">
        <v>146</v>
      </c>
      <c r="Q1023">
        <v>2.66</v>
      </c>
      <c r="R1023" t="s">
        <v>125</v>
      </c>
      <c r="S1023" t="s">
        <v>126</v>
      </c>
      <c r="T1023" t="s">
        <v>125</v>
      </c>
      <c r="U1023" t="s">
        <v>126</v>
      </c>
      <c r="W1023">
        <v>2.66</v>
      </c>
      <c r="Y1023">
        <v>2.66</v>
      </c>
      <c r="AS1023">
        <v>2.66</v>
      </c>
      <c r="BH1023" t="s">
        <v>126</v>
      </c>
      <c r="BI1023" t="s">
        <v>126</v>
      </c>
      <c r="BJ1023" t="s">
        <v>126</v>
      </c>
      <c r="BK1023" t="s">
        <v>126</v>
      </c>
      <c r="BS1023" t="s">
        <v>126</v>
      </c>
      <c r="BT1023" t="s">
        <v>126</v>
      </c>
      <c r="BU1023" t="s">
        <v>126</v>
      </c>
      <c r="BV1023" t="s">
        <v>126</v>
      </c>
      <c r="CN1023" t="s">
        <v>147</v>
      </c>
      <c r="CP1023" t="s">
        <v>476</v>
      </c>
      <c r="CQ1023" t="s">
        <v>147</v>
      </c>
    </row>
    <row r="1024" spans="1:95" x14ac:dyDescent="0.2">
      <c r="A1024" t="s">
        <v>115</v>
      </c>
      <c r="B1024" t="s">
        <v>116</v>
      </c>
      <c r="C1024">
        <v>210784</v>
      </c>
      <c r="E1024" t="s">
        <v>117</v>
      </c>
      <c r="F1024">
        <v>368</v>
      </c>
      <c r="G1024" t="s">
        <v>141</v>
      </c>
      <c r="H1024" t="s">
        <v>142</v>
      </c>
      <c r="I1024" t="s">
        <v>279</v>
      </c>
      <c r="J1024" t="s">
        <v>280</v>
      </c>
      <c r="L1024" s="14">
        <v>45966</v>
      </c>
      <c r="M1024" s="18">
        <f t="shared" si="18"/>
        <v>45962</v>
      </c>
      <c r="N1024">
        <v>5823712</v>
      </c>
      <c r="O1024" t="s">
        <v>123</v>
      </c>
      <c r="P1024" t="s">
        <v>146</v>
      </c>
      <c r="Q1024">
        <v>2.88</v>
      </c>
      <c r="R1024" t="s">
        <v>125</v>
      </c>
      <c r="S1024" t="s">
        <v>126</v>
      </c>
      <c r="T1024" t="s">
        <v>125</v>
      </c>
      <c r="U1024" t="s">
        <v>126</v>
      </c>
      <c r="W1024">
        <v>2.88</v>
      </c>
      <c r="Y1024">
        <v>2.88</v>
      </c>
      <c r="BE1024">
        <v>2.88</v>
      </c>
      <c r="BH1024" t="s">
        <v>126</v>
      </c>
      <c r="BI1024" t="s">
        <v>126</v>
      </c>
      <c r="BJ1024" t="s">
        <v>126</v>
      </c>
      <c r="BK1024" t="s">
        <v>126</v>
      </c>
      <c r="BS1024" t="s">
        <v>126</v>
      </c>
      <c r="BT1024" t="s">
        <v>126</v>
      </c>
      <c r="BU1024" t="s">
        <v>126</v>
      </c>
      <c r="BV1024" t="s">
        <v>126</v>
      </c>
      <c r="CN1024" t="s">
        <v>147</v>
      </c>
      <c r="CP1024" t="s">
        <v>476</v>
      </c>
      <c r="CQ1024" t="s">
        <v>147</v>
      </c>
    </row>
    <row r="1025" spans="1:95" x14ac:dyDescent="0.2">
      <c r="A1025" t="s">
        <v>115</v>
      </c>
      <c r="B1025" t="s">
        <v>116</v>
      </c>
      <c r="C1025">
        <v>210784</v>
      </c>
      <c r="E1025" t="s">
        <v>117</v>
      </c>
      <c r="F1025">
        <v>368</v>
      </c>
      <c r="G1025" t="s">
        <v>141</v>
      </c>
      <c r="H1025" t="s">
        <v>142</v>
      </c>
      <c r="I1025" t="s">
        <v>279</v>
      </c>
      <c r="J1025" t="s">
        <v>280</v>
      </c>
      <c r="L1025" s="14">
        <v>45967</v>
      </c>
      <c r="M1025" s="18">
        <f t="shared" si="18"/>
        <v>45962</v>
      </c>
      <c r="N1025">
        <v>5824355</v>
      </c>
      <c r="O1025" t="s">
        <v>123</v>
      </c>
      <c r="P1025" t="s">
        <v>146</v>
      </c>
      <c r="Q1025">
        <v>5.0599999999999996</v>
      </c>
      <c r="R1025" t="s">
        <v>125</v>
      </c>
      <c r="S1025" t="s">
        <v>126</v>
      </c>
      <c r="T1025" t="s">
        <v>125</v>
      </c>
      <c r="U1025" t="s">
        <v>126</v>
      </c>
      <c r="W1025">
        <v>5.0599999999999996</v>
      </c>
      <c r="Y1025">
        <v>5.0599999999999996</v>
      </c>
      <c r="BE1025">
        <v>5.0599999999999996</v>
      </c>
      <c r="BH1025" t="s">
        <v>126</v>
      </c>
      <c r="BI1025" t="s">
        <v>126</v>
      </c>
      <c r="BJ1025" t="s">
        <v>126</v>
      </c>
      <c r="BK1025" t="s">
        <v>126</v>
      </c>
      <c r="BS1025" t="s">
        <v>126</v>
      </c>
      <c r="BT1025" t="s">
        <v>126</v>
      </c>
      <c r="BU1025" t="s">
        <v>126</v>
      </c>
      <c r="BV1025" t="s">
        <v>126</v>
      </c>
      <c r="CN1025" t="s">
        <v>147</v>
      </c>
      <c r="CP1025" t="s">
        <v>476</v>
      </c>
      <c r="CQ1025" t="s">
        <v>147</v>
      </c>
    </row>
    <row r="1026" spans="1:95" x14ac:dyDescent="0.2">
      <c r="A1026" t="s">
        <v>115</v>
      </c>
      <c r="B1026" t="s">
        <v>116</v>
      </c>
      <c r="C1026">
        <v>210784</v>
      </c>
      <c r="E1026" t="s">
        <v>117</v>
      </c>
      <c r="F1026">
        <v>368</v>
      </c>
      <c r="G1026" t="s">
        <v>141</v>
      </c>
      <c r="H1026" t="s">
        <v>142</v>
      </c>
      <c r="I1026" t="s">
        <v>279</v>
      </c>
      <c r="J1026" t="s">
        <v>280</v>
      </c>
      <c r="L1026" s="14">
        <v>45968</v>
      </c>
      <c r="M1026" s="18">
        <f t="shared" si="18"/>
        <v>45962</v>
      </c>
      <c r="N1026">
        <v>5824677</v>
      </c>
      <c r="O1026" t="s">
        <v>123</v>
      </c>
      <c r="P1026" t="s">
        <v>146</v>
      </c>
      <c r="Q1026">
        <v>3.12</v>
      </c>
      <c r="R1026" t="s">
        <v>569</v>
      </c>
      <c r="S1026" t="s">
        <v>126</v>
      </c>
      <c r="T1026" t="s">
        <v>569</v>
      </c>
      <c r="U1026" t="s">
        <v>570</v>
      </c>
      <c r="W1026">
        <v>0.96</v>
      </c>
      <c r="X1026">
        <v>2.16</v>
      </c>
      <c r="Y1026">
        <v>3.12</v>
      </c>
      <c r="Z1026">
        <v>1.19</v>
      </c>
      <c r="AG1026">
        <v>0.96</v>
      </c>
      <c r="AI1026">
        <v>0.97</v>
      </c>
      <c r="BH1026" t="s">
        <v>126</v>
      </c>
      <c r="BI1026" t="s">
        <v>126</v>
      </c>
      <c r="BJ1026" t="s">
        <v>126</v>
      </c>
      <c r="BK1026" t="s">
        <v>126</v>
      </c>
      <c r="BS1026" t="s">
        <v>126</v>
      </c>
      <c r="BT1026" t="s">
        <v>126</v>
      </c>
      <c r="BU1026" t="s">
        <v>126</v>
      </c>
      <c r="BV1026" t="s">
        <v>126</v>
      </c>
      <c r="CN1026" t="s">
        <v>147</v>
      </c>
      <c r="CP1026" t="s">
        <v>476</v>
      </c>
      <c r="CQ1026" t="s">
        <v>147</v>
      </c>
    </row>
    <row r="1027" spans="1:95" x14ac:dyDescent="0.2">
      <c r="A1027" t="s">
        <v>115</v>
      </c>
      <c r="B1027" t="s">
        <v>116</v>
      </c>
      <c r="C1027">
        <v>210784</v>
      </c>
      <c r="E1027" t="s">
        <v>117</v>
      </c>
      <c r="F1027">
        <v>368</v>
      </c>
      <c r="G1027" t="s">
        <v>141</v>
      </c>
      <c r="H1027" t="s">
        <v>142</v>
      </c>
      <c r="I1027" t="s">
        <v>279</v>
      </c>
      <c r="J1027" t="s">
        <v>280</v>
      </c>
      <c r="L1027" s="14">
        <v>45971</v>
      </c>
      <c r="M1027" s="18">
        <f t="shared" si="18"/>
        <v>45962</v>
      </c>
      <c r="N1027">
        <v>5826054</v>
      </c>
      <c r="O1027" t="s">
        <v>123</v>
      </c>
      <c r="P1027" t="s">
        <v>146</v>
      </c>
      <c r="Q1027">
        <v>6.24</v>
      </c>
      <c r="R1027" t="s">
        <v>125</v>
      </c>
      <c r="S1027" t="s">
        <v>126</v>
      </c>
      <c r="T1027" t="s">
        <v>125</v>
      </c>
      <c r="U1027" t="s">
        <v>126</v>
      </c>
      <c r="W1027">
        <v>6.24</v>
      </c>
      <c r="Y1027">
        <v>6.24</v>
      </c>
      <c r="AS1027">
        <v>6.24</v>
      </c>
      <c r="BH1027" t="s">
        <v>126</v>
      </c>
      <c r="BI1027" t="s">
        <v>126</v>
      </c>
      <c r="BJ1027" t="s">
        <v>126</v>
      </c>
      <c r="BK1027" t="s">
        <v>126</v>
      </c>
      <c r="BS1027" t="s">
        <v>126</v>
      </c>
      <c r="BT1027" t="s">
        <v>126</v>
      </c>
      <c r="BU1027" t="s">
        <v>126</v>
      </c>
      <c r="BV1027" t="s">
        <v>126</v>
      </c>
      <c r="CN1027" t="s">
        <v>147</v>
      </c>
      <c r="CP1027" t="s">
        <v>476</v>
      </c>
      <c r="CQ1027" t="s">
        <v>147</v>
      </c>
    </row>
    <row r="1028" spans="1:95" x14ac:dyDescent="0.2">
      <c r="A1028" t="s">
        <v>115</v>
      </c>
      <c r="B1028" t="s">
        <v>116</v>
      </c>
      <c r="C1028">
        <v>210784</v>
      </c>
      <c r="E1028" t="s">
        <v>117</v>
      </c>
      <c r="F1028">
        <v>368</v>
      </c>
      <c r="G1028" t="s">
        <v>141</v>
      </c>
      <c r="H1028" t="s">
        <v>142</v>
      </c>
      <c r="I1028" t="s">
        <v>279</v>
      </c>
      <c r="J1028" t="s">
        <v>280</v>
      </c>
      <c r="L1028" s="14">
        <v>45972</v>
      </c>
      <c r="M1028" s="18">
        <f t="shared" si="18"/>
        <v>45962</v>
      </c>
      <c r="N1028">
        <v>5826644</v>
      </c>
      <c r="O1028" t="s">
        <v>123</v>
      </c>
      <c r="P1028" t="s">
        <v>146</v>
      </c>
      <c r="Q1028">
        <v>6.1</v>
      </c>
      <c r="R1028" t="s">
        <v>125</v>
      </c>
      <c r="S1028" t="s">
        <v>126</v>
      </c>
      <c r="T1028" t="s">
        <v>125</v>
      </c>
      <c r="U1028" t="s">
        <v>126</v>
      </c>
      <c r="W1028">
        <v>6.1</v>
      </c>
      <c r="Y1028">
        <v>6.1</v>
      </c>
      <c r="AS1028">
        <v>6.1</v>
      </c>
      <c r="BH1028" t="s">
        <v>126</v>
      </c>
      <c r="BI1028" t="s">
        <v>126</v>
      </c>
      <c r="BJ1028" t="s">
        <v>126</v>
      </c>
      <c r="BK1028" t="s">
        <v>126</v>
      </c>
      <c r="BS1028" t="s">
        <v>126</v>
      </c>
      <c r="BT1028" t="s">
        <v>126</v>
      </c>
      <c r="BU1028" t="s">
        <v>126</v>
      </c>
      <c r="BV1028" t="s">
        <v>126</v>
      </c>
      <c r="CN1028" t="s">
        <v>147</v>
      </c>
      <c r="CP1028" t="s">
        <v>476</v>
      </c>
      <c r="CQ1028" t="s">
        <v>147</v>
      </c>
    </row>
    <row r="1029" spans="1:95" x14ac:dyDescent="0.2">
      <c r="A1029" t="s">
        <v>115</v>
      </c>
      <c r="B1029" t="s">
        <v>116</v>
      </c>
      <c r="C1029">
        <v>210784</v>
      </c>
      <c r="E1029" t="s">
        <v>117</v>
      </c>
      <c r="F1029">
        <v>368</v>
      </c>
      <c r="G1029" t="s">
        <v>141</v>
      </c>
      <c r="H1029" t="s">
        <v>142</v>
      </c>
      <c r="I1029" t="s">
        <v>279</v>
      </c>
      <c r="J1029" t="s">
        <v>280</v>
      </c>
      <c r="L1029" s="14">
        <v>45972</v>
      </c>
      <c r="M1029" s="18">
        <f t="shared" si="18"/>
        <v>45962</v>
      </c>
      <c r="N1029">
        <v>5826776</v>
      </c>
      <c r="O1029" t="s">
        <v>123</v>
      </c>
      <c r="P1029" t="s">
        <v>146</v>
      </c>
      <c r="Q1029">
        <v>5.25</v>
      </c>
      <c r="R1029" t="s">
        <v>567</v>
      </c>
      <c r="S1029" t="s">
        <v>126</v>
      </c>
      <c r="T1029" t="s">
        <v>567</v>
      </c>
      <c r="U1029" t="s">
        <v>568</v>
      </c>
      <c r="W1029">
        <v>1.62</v>
      </c>
      <c r="X1029">
        <v>3.63</v>
      </c>
      <c r="Y1029">
        <v>5.25</v>
      </c>
      <c r="Z1029">
        <v>2</v>
      </c>
      <c r="AG1029">
        <v>1.62</v>
      </c>
      <c r="AI1029">
        <v>1.63</v>
      </c>
      <c r="BH1029" t="s">
        <v>126</v>
      </c>
      <c r="BI1029" t="s">
        <v>126</v>
      </c>
      <c r="BJ1029" t="s">
        <v>126</v>
      </c>
      <c r="BK1029" t="s">
        <v>126</v>
      </c>
      <c r="BS1029" t="s">
        <v>126</v>
      </c>
      <c r="BT1029" t="s">
        <v>126</v>
      </c>
      <c r="BU1029" t="s">
        <v>126</v>
      </c>
      <c r="BV1029" t="s">
        <v>126</v>
      </c>
      <c r="CN1029" t="s">
        <v>147</v>
      </c>
      <c r="CP1029" t="s">
        <v>476</v>
      </c>
      <c r="CQ1029" t="s">
        <v>147</v>
      </c>
    </row>
    <row r="1030" spans="1:95" x14ac:dyDescent="0.2">
      <c r="A1030" t="s">
        <v>115</v>
      </c>
      <c r="B1030" t="s">
        <v>116</v>
      </c>
      <c r="C1030">
        <v>210784</v>
      </c>
      <c r="E1030" t="s">
        <v>117</v>
      </c>
      <c r="F1030">
        <v>368</v>
      </c>
      <c r="G1030" t="s">
        <v>141</v>
      </c>
      <c r="H1030" t="s">
        <v>142</v>
      </c>
      <c r="I1030" t="s">
        <v>279</v>
      </c>
      <c r="J1030" t="s">
        <v>280</v>
      </c>
      <c r="L1030" s="14">
        <v>45972</v>
      </c>
      <c r="M1030" s="18">
        <f t="shared" si="18"/>
        <v>45962</v>
      </c>
      <c r="N1030">
        <v>5827188</v>
      </c>
      <c r="O1030" t="s">
        <v>123</v>
      </c>
      <c r="P1030" t="s">
        <v>146</v>
      </c>
      <c r="Q1030">
        <v>3.61</v>
      </c>
      <c r="R1030" t="s">
        <v>125</v>
      </c>
      <c r="S1030" t="s">
        <v>126</v>
      </c>
      <c r="T1030" t="s">
        <v>125</v>
      </c>
      <c r="U1030" t="s">
        <v>126</v>
      </c>
      <c r="W1030">
        <v>3.61</v>
      </c>
      <c r="Y1030">
        <v>3.61</v>
      </c>
      <c r="BE1030">
        <v>3.61</v>
      </c>
      <c r="BH1030" t="s">
        <v>126</v>
      </c>
      <c r="BI1030" t="s">
        <v>126</v>
      </c>
      <c r="BJ1030" t="s">
        <v>126</v>
      </c>
      <c r="BK1030" t="s">
        <v>126</v>
      </c>
      <c r="BS1030" t="s">
        <v>126</v>
      </c>
      <c r="BT1030" t="s">
        <v>126</v>
      </c>
      <c r="BU1030" t="s">
        <v>126</v>
      </c>
      <c r="BV1030" t="s">
        <v>126</v>
      </c>
      <c r="CN1030" t="s">
        <v>147</v>
      </c>
      <c r="CP1030" t="s">
        <v>476</v>
      </c>
      <c r="CQ1030" t="s">
        <v>147</v>
      </c>
    </row>
    <row r="1031" spans="1:95" x14ac:dyDescent="0.2">
      <c r="A1031" t="s">
        <v>115</v>
      </c>
      <c r="B1031" t="s">
        <v>116</v>
      </c>
      <c r="C1031">
        <v>210784</v>
      </c>
      <c r="E1031" t="s">
        <v>117</v>
      </c>
      <c r="F1031">
        <v>368</v>
      </c>
      <c r="G1031" t="s">
        <v>141</v>
      </c>
      <c r="H1031" t="s">
        <v>142</v>
      </c>
      <c r="I1031" t="s">
        <v>279</v>
      </c>
      <c r="J1031" t="s">
        <v>280</v>
      </c>
      <c r="L1031" s="14">
        <v>45973</v>
      </c>
      <c r="M1031" s="18">
        <f t="shared" si="18"/>
        <v>45962</v>
      </c>
      <c r="N1031">
        <v>5827569</v>
      </c>
      <c r="O1031" t="s">
        <v>123</v>
      </c>
      <c r="P1031" t="s">
        <v>146</v>
      </c>
      <c r="Q1031">
        <v>5.15</v>
      </c>
      <c r="R1031" t="s">
        <v>125</v>
      </c>
      <c r="S1031" t="s">
        <v>126</v>
      </c>
      <c r="T1031" t="s">
        <v>125</v>
      </c>
      <c r="U1031" t="s">
        <v>126</v>
      </c>
      <c r="W1031">
        <v>5.15</v>
      </c>
      <c r="Y1031">
        <v>5.15</v>
      </c>
      <c r="BE1031">
        <v>5.15</v>
      </c>
      <c r="BH1031" t="s">
        <v>126</v>
      </c>
      <c r="BI1031" t="s">
        <v>126</v>
      </c>
      <c r="BJ1031" t="s">
        <v>126</v>
      </c>
      <c r="BK1031" t="s">
        <v>126</v>
      </c>
      <c r="BS1031" t="s">
        <v>126</v>
      </c>
      <c r="BT1031" t="s">
        <v>126</v>
      </c>
      <c r="BU1031" t="s">
        <v>126</v>
      </c>
      <c r="BV1031" t="s">
        <v>126</v>
      </c>
      <c r="CN1031" t="s">
        <v>147</v>
      </c>
      <c r="CP1031" t="s">
        <v>476</v>
      </c>
      <c r="CQ1031" t="s">
        <v>147</v>
      </c>
    </row>
    <row r="1032" spans="1:95" x14ac:dyDescent="0.2">
      <c r="A1032" t="s">
        <v>115</v>
      </c>
      <c r="B1032" t="s">
        <v>116</v>
      </c>
      <c r="C1032">
        <v>210784</v>
      </c>
      <c r="E1032" t="s">
        <v>117</v>
      </c>
      <c r="F1032">
        <v>368</v>
      </c>
      <c r="G1032" t="s">
        <v>141</v>
      </c>
      <c r="H1032" t="s">
        <v>142</v>
      </c>
      <c r="I1032" t="s">
        <v>279</v>
      </c>
      <c r="J1032" t="s">
        <v>280</v>
      </c>
      <c r="L1032" s="14">
        <v>45974</v>
      </c>
      <c r="M1032" s="18">
        <f t="shared" si="18"/>
        <v>45962</v>
      </c>
      <c r="N1032">
        <v>5828156</v>
      </c>
      <c r="O1032" t="s">
        <v>123</v>
      </c>
      <c r="P1032" t="s">
        <v>146</v>
      </c>
      <c r="Q1032">
        <v>5.34</v>
      </c>
      <c r="R1032" t="s">
        <v>125</v>
      </c>
      <c r="S1032" t="s">
        <v>126</v>
      </c>
      <c r="T1032" t="s">
        <v>125</v>
      </c>
      <c r="U1032" t="s">
        <v>126</v>
      </c>
      <c r="W1032">
        <v>5.34</v>
      </c>
      <c r="Y1032">
        <v>5.34</v>
      </c>
      <c r="BE1032">
        <v>5.34</v>
      </c>
      <c r="BH1032" t="s">
        <v>126</v>
      </c>
      <c r="BI1032" t="s">
        <v>126</v>
      </c>
      <c r="BJ1032" t="s">
        <v>126</v>
      </c>
      <c r="BK1032" t="s">
        <v>126</v>
      </c>
      <c r="BS1032" t="s">
        <v>126</v>
      </c>
      <c r="BT1032" t="s">
        <v>126</v>
      </c>
      <c r="BU1032" t="s">
        <v>126</v>
      </c>
      <c r="BV1032" t="s">
        <v>126</v>
      </c>
      <c r="CN1032" t="s">
        <v>147</v>
      </c>
      <c r="CP1032" t="s">
        <v>476</v>
      </c>
      <c r="CQ1032" t="s">
        <v>147</v>
      </c>
    </row>
    <row r="1033" spans="1:95" x14ac:dyDescent="0.2">
      <c r="A1033" t="s">
        <v>115</v>
      </c>
      <c r="B1033" t="s">
        <v>116</v>
      </c>
      <c r="C1033">
        <v>210784</v>
      </c>
      <c r="E1033" t="s">
        <v>117</v>
      </c>
      <c r="F1033">
        <v>368</v>
      </c>
      <c r="G1033" t="s">
        <v>141</v>
      </c>
      <c r="H1033" t="s">
        <v>142</v>
      </c>
      <c r="I1033" t="s">
        <v>279</v>
      </c>
      <c r="J1033" t="s">
        <v>280</v>
      </c>
      <c r="L1033" s="14">
        <v>45975</v>
      </c>
      <c r="M1033" s="18">
        <f t="shared" si="18"/>
        <v>45962</v>
      </c>
      <c r="N1033">
        <v>5829416</v>
      </c>
      <c r="O1033" t="s">
        <v>123</v>
      </c>
      <c r="P1033" t="s">
        <v>146</v>
      </c>
      <c r="Q1033">
        <v>2.2999999999999998</v>
      </c>
      <c r="R1033" t="s">
        <v>669</v>
      </c>
      <c r="S1033" t="s">
        <v>126</v>
      </c>
      <c r="T1033" t="s">
        <v>669</v>
      </c>
      <c r="U1033" t="s">
        <v>670</v>
      </c>
      <c r="W1033">
        <v>0.71</v>
      </c>
      <c r="X1033">
        <v>1.5899999999999999</v>
      </c>
      <c r="Y1033">
        <v>2.2999999999999998</v>
      </c>
      <c r="Z1033">
        <v>0.87</v>
      </c>
      <c r="AG1033">
        <v>0.71</v>
      </c>
      <c r="AI1033">
        <v>0.72</v>
      </c>
      <c r="BH1033" t="s">
        <v>126</v>
      </c>
      <c r="BI1033" t="s">
        <v>126</v>
      </c>
      <c r="BJ1033" t="s">
        <v>126</v>
      </c>
      <c r="BK1033" t="s">
        <v>126</v>
      </c>
      <c r="BS1033" t="s">
        <v>126</v>
      </c>
      <c r="BT1033" t="s">
        <v>126</v>
      </c>
      <c r="BU1033" t="s">
        <v>126</v>
      </c>
      <c r="BV1033" t="s">
        <v>126</v>
      </c>
      <c r="CN1033" t="s">
        <v>147</v>
      </c>
      <c r="CP1033" t="s">
        <v>484</v>
      </c>
      <c r="CQ1033" t="s">
        <v>147</v>
      </c>
    </row>
    <row r="1034" spans="1:95" x14ac:dyDescent="0.2">
      <c r="A1034" t="s">
        <v>115</v>
      </c>
      <c r="B1034" t="s">
        <v>116</v>
      </c>
      <c r="C1034">
        <v>210784</v>
      </c>
      <c r="E1034" t="s">
        <v>117</v>
      </c>
      <c r="F1034">
        <v>368</v>
      </c>
      <c r="G1034" t="s">
        <v>141</v>
      </c>
      <c r="H1034" t="s">
        <v>142</v>
      </c>
      <c r="I1034" t="s">
        <v>279</v>
      </c>
      <c r="J1034" t="s">
        <v>280</v>
      </c>
      <c r="L1034" s="14">
        <v>45975</v>
      </c>
      <c r="M1034" s="18">
        <f t="shared" si="18"/>
        <v>45962</v>
      </c>
      <c r="N1034">
        <v>5829537</v>
      </c>
      <c r="O1034" t="s">
        <v>123</v>
      </c>
      <c r="P1034" t="s">
        <v>146</v>
      </c>
      <c r="Q1034">
        <v>5.45</v>
      </c>
      <c r="R1034" t="s">
        <v>125</v>
      </c>
      <c r="S1034" t="s">
        <v>126</v>
      </c>
      <c r="T1034" t="s">
        <v>125</v>
      </c>
      <c r="U1034" t="s">
        <v>126</v>
      </c>
      <c r="W1034">
        <v>5.45</v>
      </c>
      <c r="Y1034">
        <v>5.45</v>
      </c>
      <c r="BE1034">
        <v>5.45</v>
      </c>
      <c r="BH1034" t="s">
        <v>126</v>
      </c>
      <c r="BI1034" t="s">
        <v>126</v>
      </c>
      <c r="BJ1034" t="s">
        <v>126</v>
      </c>
      <c r="BK1034" t="s">
        <v>126</v>
      </c>
      <c r="BS1034" t="s">
        <v>126</v>
      </c>
      <c r="BT1034" t="s">
        <v>126</v>
      </c>
      <c r="BU1034" t="s">
        <v>126</v>
      </c>
      <c r="BV1034" t="s">
        <v>126</v>
      </c>
      <c r="CN1034" t="s">
        <v>147</v>
      </c>
      <c r="CP1034" t="s">
        <v>484</v>
      </c>
      <c r="CQ1034" t="s">
        <v>147</v>
      </c>
    </row>
    <row r="1035" spans="1:95" x14ac:dyDescent="0.2">
      <c r="A1035" t="s">
        <v>115</v>
      </c>
      <c r="B1035" t="s">
        <v>116</v>
      </c>
      <c r="C1035">
        <v>210784</v>
      </c>
      <c r="E1035" t="s">
        <v>117</v>
      </c>
      <c r="F1035">
        <v>368</v>
      </c>
      <c r="G1035" t="s">
        <v>141</v>
      </c>
      <c r="H1035" t="s">
        <v>142</v>
      </c>
      <c r="I1035" t="s">
        <v>279</v>
      </c>
      <c r="J1035" t="s">
        <v>280</v>
      </c>
      <c r="L1035" s="14">
        <v>45976</v>
      </c>
      <c r="M1035" s="18">
        <f t="shared" ref="M1035:M1098" si="19">DATE(YEAR(L1035), MONTH(L1035), 1)</f>
        <v>45962</v>
      </c>
      <c r="N1035">
        <v>5829494</v>
      </c>
      <c r="O1035" t="s">
        <v>123</v>
      </c>
      <c r="P1035" t="s">
        <v>146</v>
      </c>
      <c r="Q1035">
        <v>0.51</v>
      </c>
      <c r="R1035" t="s">
        <v>767</v>
      </c>
      <c r="S1035" t="s">
        <v>126</v>
      </c>
      <c r="T1035" t="s">
        <v>767</v>
      </c>
      <c r="U1035" t="s">
        <v>768</v>
      </c>
      <c r="W1035">
        <v>0.16</v>
      </c>
      <c r="X1035">
        <v>0.35</v>
      </c>
      <c r="Y1035">
        <v>0.51</v>
      </c>
      <c r="Z1035">
        <v>0.19</v>
      </c>
      <c r="AG1035">
        <v>0.16</v>
      </c>
      <c r="AI1035">
        <v>0.16</v>
      </c>
      <c r="BH1035" t="s">
        <v>126</v>
      </c>
      <c r="BI1035" t="s">
        <v>126</v>
      </c>
      <c r="BJ1035" t="s">
        <v>126</v>
      </c>
      <c r="BK1035" t="s">
        <v>126</v>
      </c>
      <c r="BS1035" t="s">
        <v>126</v>
      </c>
      <c r="BT1035" t="s">
        <v>126</v>
      </c>
      <c r="BU1035" t="s">
        <v>126</v>
      </c>
      <c r="BV1035" t="s">
        <v>126</v>
      </c>
      <c r="CN1035" t="s">
        <v>147</v>
      </c>
      <c r="CP1035" t="s">
        <v>484</v>
      </c>
      <c r="CQ1035" t="s">
        <v>147</v>
      </c>
    </row>
    <row r="1036" spans="1:95" x14ac:dyDescent="0.2">
      <c r="A1036" t="s">
        <v>115</v>
      </c>
      <c r="B1036" t="s">
        <v>116</v>
      </c>
      <c r="C1036">
        <v>210784</v>
      </c>
      <c r="E1036" t="s">
        <v>117</v>
      </c>
      <c r="F1036">
        <v>368</v>
      </c>
      <c r="G1036" t="s">
        <v>141</v>
      </c>
      <c r="H1036" t="s">
        <v>142</v>
      </c>
      <c r="I1036" t="s">
        <v>279</v>
      </c>
      <c r="J1036" t="s">
        <v>280</v>
      </c>
      <c r="L1036" s="14">
        <v>45978</v>
      </c>
      <c r="M1036" s="18">
        <f t="shared" si="19"/>
        <v>45962</v>
      </c>
      <c r="N1036">
        <v>5830491</v>
      </c>
      <c r="O1036" t="s">
        <v>123</v>
      </c>
      <c r="P1036" t="s">
        <v>146</v>
      </c>
      <c r="Q1036">
        <v>5.52</v>
      </c>
      <c r="R1036" t="s">
        <v>125</v>
      </c>
      <c r="S1036" t="s">
        <v>126</v>
      </c>
      <c r="T1036" t="s">
        <v>125</v>
      </c>
      <c r="U1036" t="s">
        <v>126</v>
      </c>
      <c r="W1036">
        <v>5.52</v>
      </c>
      <c r="Y1036">
        <v>5.52</v>
      </c>
      <c r="BE1036">
        <v>5.52</v>
      </c>
      <c r="BH1036" t="s">
        <v>126</v>
      </c>
      <c r="BI1036" t="s">
        <v>126</v>
      </c>
      <c r="BJ1036" t="s">
        <v>126</v>
      </c>
      <c r="BK1036" t="s">
        <v>126</v>
      </c>
      <c r="BS1036" t="s">
        <v>126</v>
      </c>
      <c r="BT1036" t="s">
        <v>126</v>
      </c>
      <c r="BU1036" t="s">
        <v>126</v>
      </c>
      <c r="BV1036" t="s">
        <v>126</v>
      </c>
      <c r="CN1036" t="s">
        <v>147</v>
      </c>
      <c r="CP1036" t="s">
        <v>484</v>
      </c>
      <c r="CQ1036" t="s">
        <v>147</v>
      </c>
    </row>
    <row r="1037" spans="1:95" x14ac:dyDescent="0.2">
      <c r="A1037" t="s">
        <v>115</v>
      </c>
      <c r="B1037" t="s">
        <v>116</v>
      </c>
      <c r="C1037">
        <v>210784</v>
      </c>
      <c r="E1037" t="s">
        <v>117</v>
      </c>
      <c r="F1037">
        <v>368</v>
      </c>
      <c r="G1037" t="s">
        <v>314</v>
      </c>
      <c r="H1037" t="s">
        <v>115</v>
      </c>
      <c r="I1037" t="s">
        <v>515</v>
      </c>
      <c r="J1037" t="s">
        <v>516</v>
      </c>
      <c r="L1037" s="14">
        <v>45979</v>
      </c>
      <c r="M1037" s="18">
        <f t="shared" si="19"/>
        <v>45962</v>
      </c>
      <c r="N1037" t="s">
        <v>525</v>
      </c>
      <c r="O1037" t="s">
        <v>123</v>
      </c>
      <c r="P1037" t="s">
        <v>146</v>
      </c>
      <c r="Q1037">
        <v>121.94</v>
      </c>
      <c r="R1037" t="s">
        <v>125</v>
      </c>
      <c r="S1037" t="s">
        <v>126</v>
      </c>
      <c r="T1037" t="s">
        <v>125</v>
      </c>
      <c r="U1037" t="s">
        <v>126</v>
      </c>
      <c r="W1037">
        <v>121.94</v>
      </c>
      <c r="Y1037">
        <v>121.94</v>
      </c>
      <c r="AF1037">
        <v>121.94</v>
      </c>
      <c r="BH1037" t="s">
        <v>126</v>
      </c>
      <c r="BI1037" t="s">
        <v>126</v>
      </c>
      <c r="BJ1037" t="s">
        <v>126</v>
      </c>
      <c r="BK1037" t="s">
        <v>126</v>
      </c>
      <c r="BS1037" t="s">
        <v>126</v>
      </c>
      <c r="BT1037" t="s">
        <v>126</v>
      </c>
      <c r="BU1037" t="s">
        <v>126</v>
      </c>
      <c r="BV1037" t="s">
        <v>126</v>
      </c>
      <c r="CN1037" t="s">
        <v>526</v>
      </c>
      <c r="CP1037" t="s">
        <v>527</v>
      </c>
      <c r="CQ1037" t="s">
        <v>526</v>
      </c>
    </row>
    <row r="1038" spans="1:95" x14ac:dyDescent="0.2">
      <c r="A1038" t="s">
        <v>115</v>
      </c>
      <c r="B1038" t="s">
        <v>116</v>
      </c>
      <c r="C1038">
        <v>210784</v>
      </c>
      <c r="E1038" t="s">
        <v>117</v>
      </c>
      <c r="F1038">
        <v>368</v>
      </c>
      <c r="G1038" t="s">
        <v>141</v>
      </c>
      <c r="H1038" t="s">
        <v>142</v>
      </c>
      <c r="I1038" t="s">
        <v>279</v>
      </c>
      <c r="J1038" t="s">
        <v>280</v>
      </c>
      <c r="L1038" s="14">
        <v>45979</v>
      </c>
      <c r="M1038" s="18">
        <f t="shared" si="19"/>
        <v>45962</v>
      </c>
      <c r="N1038">
        <v>5830914</v>
      </c>
      <c r="O1038" t="s">
        <v>123</v>
      </c>
      <c r="P1038" t="s">
        <v>146</v>
      </c>
      <c r="Q1038">
        <v>5.74</v>
      </c>
      <c r="R1038" t="s">
        <v>125</v>
      </c>
      <c r="S1038" t="s">
        <v>126</v>
      </c>
      <c r="T1038" t="s">
        <v>125</v>
      </c>
      <c r="U1038" t="s">
        <v>126</v>
      </c>
      <c r="W1038">
        <v>5.74</v>
      </c>
      <c r="Y1038">
        <v>5.74</v>
      </c>
      <c r="BE1038">
        <v>5.74</v>
      </c>
      <c r="BH1038" t="s">
        <v>126</v>
      </c>
      <c r="BI1038" t="s">
        <v>126</v>
      </c>
      <c r="BJ1038" t="s">
        <v>126</v>
      </c>
      <c r="BK1038" t="s">
        <v>126</v>
      </c>
      <c r="BS1038" t="s">
        <v>126</v>
      </c>
      <c r="BT1038" t="s">
        <v>126</v>
      </c>
      <c r="BU1038" t="s">
        <v>126</v>
      </c>
      <c r="BV1038" t="s">
        <v>126</v>
      </c>
      <c r="CN1038" t="s">
        <v>147</v>
      </c>
      <c r="CP1038" t="s">
        <v>484</v>
      </c>
      <c r="CQ1038" t="s">
        <v>147</v>
      </c>
    </row>
    <row r="1039" spans="1:95" x14ac:dyDescent="0.2">
      <c r="A1039" t="s">
        <v>115</v>
      </c>
      <c r="B1039" t="s">
        <v>116</v>
      </c>
      <c r="C1039">
        <v>210784</v>
      </c>
      <c r="E1039" t="s">
        <v>117</v>
      </c>
      <c r="F1039">
        <v>368</v>
      </c>
      <c r="G1039" t="s">
        <v>141</v>
      </c>
      <c r="H1039" t="s">
        <v>142</v>
      </c>
      <c r="I1039" t="s">
        <v>279</v>
      </c>
      <c r="J1039" t="s">
        <v>280</v>
      </c>
      <c r="L1039" s="14">
        <v>45980</v>
      </c>
      <c r="M1039" s="18">
        <f t="shared" si="19"/>
        <v>45962</v>
      </c>
      <c r="N1039">
        <v>5831906</v>
      </c>
      <c r="O1039" t="s">
        <v>123</v>
      </c>
      <c r="P1039" t="s">
        <v>146</v>
      </c>
      <c r="Q1039">
        <v>4.6500000000000004</v>
      </c>
      <c r="R1039" t="s">
        <v>125</v>
      </c>
      <c r="S1039" t="s">
        <v>126</v>
      </c>
      <c r="T1039" t="s">
        <v>125</v>
      </c>
      <c r="U1039" t="s">
        <v>126</v>
      </c>
      <c r="W1039">
        <v>4.6500000000000004</v>
      </c>
      <c r="Y1039">
        <v>4.6500000000000004</v>
      </c>
      <c r="BE1039">
        <v>4.6500000000000004</v>
      </c>
      <c r="BH1039" t="s">
        <v>126</v>
      </c>
      <c r="BI1039" t="s">
        <v>126</v>
      </c>
      <c r="BJ1039" t="s">
        <v>126</v>
      </c>
      <c r="BK1039" t="s">
        <v>126</v>
      </c>
      <c r="BS1039" t="s">
        <v>126</v>
      </c>
      <c r="BT1039" t="s">
        <v>126</v>
      </c>
      <c r="BU1039" t="s">
        <v>126</v>
      </c>
      <c r="BV1039" t="s">
        <v>126</v>
      </c>
      <c r="CN1039" t="s">
        <v>147</v>
      </c>
      <c r="CP1039" t="s">
        <v>484</v>
      </c>
      <c r="CQ1039" t="s">
        <v>147</v>
      </c>
    </row>
    <row r="1040" spans="1:95" x14ac:dyDescent="0.2">
      <c r="A1040" t="s">
        <v>115</v>
      </c>
      <c r="B1040" t="s">
        <v>116</v>
      </c>
      <c r="C1040">
        <v>210784</v>
      </c>
      <c r="E1040" t="s">
        <v>117</v>
      </c>
      <c r="F1040">
        <v>368</v>
      </c>
      <c r="G1040" t="s">
        <v>141</v>
      </c>
      <c r="H1040" t="s">
        <v>142</v>
      </c>
      <c r="I1040" t="s">
        <v>279</v>
      </c>
      <c r="J1040" t="s">
        <v>280</v>
      </c>
      <c r="L1040" s="14">
        <v>45980</v>
      </c>
      <c r="M1040" s="18">
        <f t="shared" si="19"/>
        <v>45962</v>
      </c>
      <c r="N1040">
        <v>5831718</v>
      </c>
      <c r="O1040" t="s">
        <v>123</v>
      </c>
      <c r="P1040" t="s">
        <v>146</v>
      </c>
      <c r="Q1040">
        <v>7.12</v>
      </c>
      <c r="R1040" t="s">
        <v>125</v>
      </c>
      <c r="S1040" t="s">
        <v>126</v>
      </c>
      <c r="T1040" t="s">
        <v>125</v>
      </c>
      <c r="U1040" t="s">
        <v>126</v>
      </c>
      <c r="W1040">
        <v>7.12</v>
      </c>
      <c r="Y1040">
        <v>7.12</v>
      </c>
      <c r="BE1040">
        <v>7.12</v>
      </c>
      <c r="BH1040" t="s">
        <v>126</v>
      </c>
      <c r="BI1040" t="s">
        <v>126</v>
      </c>
      <c r="BJ1040" t="s">
        <v>126</v>
      </c>
      <c r="BK1040" t="s">
        <v>126</v>
      </c>
      <c r="BS1040" t="s">
        <v>126</v>
      </c>
      <c r="BT1040" t="s">
        <v>126</v>
      </c>
      <c r="BU1040" t="s">
        <v>126</v>
      </c>
      <c r="BV1040" t="s">
        <v>126</v>
      </c>
      <c r="CN1040" t="s">
        <v>147</v>
      </c>
      <c r="CP1040" t="s">
        <v>484</v>
      </c>
      <c r="CQ1040" t="s">
        <v>147</v>
      </c>
    </row>
    <row r="1041" spans="1:95" x14ac:dyDescent="0.2">
      <c r="A1041" t="s">
        <v>115</v>
      </c>
      <c r="B1041" t="s">
        <v>116</v>
      </c>
      <c r="C1041">
        <v>210784</v>
      </c>
      <c r="E1041" t="s">
        <v>117</v>
      </c>
      <c r="F1041">
        <v>368</v>
      </c>
      <c r="G1041" t="s">
        <v>141</v>
      </c>
      <c r="H1041" t="s">
        <v>142</v>
      </c>
      <c r="I1041" t="s">
        <v>279</v>
      </c>
      <c r="J1041" t="s">
        <v>280</v>
      </c>
      <c r="L1041" s="14">
        <v>45981</v>
      </c>
      <c r="M1041" s="18">
        <f t="shared" si="19"/>
        <v>45962</v>
      </c>
      <c r="N1041">
        <v>5832786</v>
      </c>
      <c r="O1041" t="s">
        <v>123</v>
      </c>
      <c r="P1041" t="s">
        <v>146</v>
      </c>
      <c r="Q1041">
        <v>7.63</v>
      </c>
      <c r="R1041" t="s">
        <v>125</v>
      </c>
      <c r="S1041" t="s">
        <v>126</v>
      </c>
      <c r="T1041" t="s">
        <v>125</v>
      </c>
      <c r="U1041" t="s">
        <v>126</v>
      </c>
      <c r="W1041">
        <v>7.63</v>
      </c>
      <c r="Y1041">
        <v>7.63</v>
      </c>
      <c r="BE1041">
        <v>7.63</v>
      </c>
      <c r="BH1041" t="s">
        <v>126</v>
      </c>
      <c r="BI1041" t="s">
        <v>126</v>
      </c>
      <c r="BJ1041" t="s">
        <v>126</v>
      </c>
      <c r="BK1041" t="s">
        <v>126</v>
      </c>
      <c r="BS1041" t="s">
        <v>126</v>
      </c>
      <c r="BT1041" t="s">
        <v>126</v>
      </c>
      <c r="BU1041" t="s">
        <v>126</v>
      </c>
      <c r="BV1041" t="s">
        <v>126</v>
      </c>
      <c r="CN1041" t="s">
        <v>147</v>
      </c>
      <c r="CP1041" t="s">
        <v>484</v>
      </c>
      <c r="CQ1041" t="s">
        <v>147</v>
      </c>
    </row>
    <row r="1042" spans="1:95" x14ac:dyDescent="0.2">
      <c r="A1042" t="s">
        <v>115</v>
      </c>
      <c r="B1042" t="s">
        <v>116</v>
      </c>
      <c r="C1042">
        <v>210784</v>
      </c>
      <c r="E1042" t="s">
        <v>117</v>
      </c>
      <c r="F1042">
        <v>368</v>
      </c>
      <c r="G1042" t="s">
        <v>141</v>
      </c>
      <c r="H1042" t="s">
        <v>142</v>
      </c>
      <c r="I1042" t="s">
        <v>279</v>
      </c>
      <c r="J1042" t="s">
        <v>280</v>
      </c>
      <c r="L1042" s="14">
        <v>45982</v>
      </c>
      <c r="M1042" s="18">
        <f t="shared" si="19"/>
        <v>45962</v>
      </c>
      <c r="N1042">
        <v>5833552</v>
      </c>
      <c r="O1042" t="s">
        <v>123</v>
      </c>
      <c r="P1042" t="s">
        <v>146</v>
      </c>
      <c r="Q1042">
        <v>4.34</v>
      </c>
      <c r="R1042" t="s">
        <v>125</v>
      </c>
      <c r="S1042" t="s">
        <v>126</v>
      </c>
      <c r="T1042" t="s">
        <v>125</v>
      </c>
      <c r="U1042" t="s">
        <v>126</v>
      </c>
      <c r="W1042">
        <v>4.34</v>
      </c>
      <c r="Y1042">
        <v>4.34</v>
      </c>
      <c r="AS1042">
        <v>4.34</v>
      </c>
      <c r="BH1042" t="s">
        <v>126</v>
      </c>
      <c r="BI1042" t="s">
        <v>126</v>
      </c>
      <c r="BJ1042" t="s">
        <v>126</v>
      </c>
      <c r="BK1042" t="s">
        <v>126</v>
      </c>
      <c r="BS1042" t="s">
        <v>126</v>
      </c>
      <c r="BT1042" t="s">
        <v>126</v>
      </c>
      <c r="BU1042" t="s">
        <v>126</v>
      </c>
      <c r="BV1042" t="s">
        <v>126</v>
      </c>
      <c r="CN1042" t="s">
        <v>147</v>
      </c>
      <c r="CP1042" t="s">
        <v>484</v>
      </c>
      <c r="CQ1042" t="s">
        <v>147</v>
      </c>
    </row>
    <row r="1043" spans="1:95" x14ac:dyDescent="0.2">
      <c r="A1043" t="s">
        <v>115</v>
      </c>
      <c r="B1043" t="s">
        <v>116</v>
      </c>
      <c r="C1043">
        <v>210784</v>
      </c>
      <c r="E1043" t="s">
        <v>117</v>
      </c>
      <c r="F1043">
        <v>368</v>
      </c>
      <c r="G1043" t="s">
        <v>141</v>
      </c>
      <c r="H1043" t="s">
        <v>142</v>
      </c>
      <c r="I1043" t="s">
        <v>279</v>
      </c>
      <c r="J1043" t="s">
        <v>280</v>
      </c>
      <c r="L1043" s="14">
        <v>45982</v>
      </c>
      <c r="M1043" s="18">
        <f t="shared" si="19"/>
        <v>45962</v>
      </c>
      <c r="N1043">
        <v>5833517</v>
      </c>
      <c r="O1043" t="s">
        <v>123</v>
      </c>
      <c r="P1043" t="s">
        <v>146</v>
      </c>
      <c r="Q1043">
        <v>5.43</v>
      </c>
      <c r="R1043" t="s">
        <v>125</v>
      </c>
      <c r="S1043" t="s">
        <v>126</v>
      </c>
      <c r="T1043" t="s">
        <v>125</v>
      </c>
      <c r="U1043" t="s">
        <v>126</v>
      </c>
      <c r="W1043">
        <v>5.43</v>
      </c>
      <c r="Y1043">
        <v>5.43</v>
      </c>
      <c r="BE1043">
        <v>5.43</v>
      </c>
      <c r="BH1043" t="s">
        <v>126</v>
      </c>
      <c r="BI1043" t="s">
        <v>126</v>
      </c>
      <c r="BJ1043" t="s">
        <v>126</v>
      </c>
      <c r="BK1043" t="s">
        <v>126</v>
      </c>
      <c r="BS1043" t="s">
        <v>126</v>
      </c>
      <c r="BT1043" t="s">
        <v>126</v>
      </c>
      <c r="BU1043" t="s">
        <v>126</v>
      </c>
      <c r="BV1043" t="s">
        <v>126</v>
      </c>
      <c r="CN1043" t="s">
        <v>147</v>
      </c>
      <c r="CP1043" t="s">
        <v>484</v>
      </c>
      <c r="CQ1043" t="s">
        <v>147</v>
      </c>
    </row>
    <row r="1044" spans="1:95" x14ac:dyDescent="0.2">
      <c r="A1044" t="s">
        <v>115</v>
      </c>
      <c r="B1044" t="s">
        <v>116</v>
      </c>
      <c r="C1044">
        <v>210784</v>
      </c>
      <c r="E1044" t="s">
        <v>117</v>
      </c>
      <c r="F1044">
        <v>368</v>
      </c>
      <c r="G1044" t="s">
        <v>141</v>
      </c>
      <c r="H1044" t="s">
        <v>142</v>
      </c>
      <c r="I1044" t="s">
        <v>279</v>
      </c>
      <c r="J1044" t="s">
        <v>280</v>
      </c>
      <c r="L1044" s="14">
        <v>45985</v>
      </c>
      <c r="M1044" s="18">
        <f t="shared" si="19"/>
        <v>45962</v>
      </c>
      <c r="N1044">
        <v>5834291</v>
      </c>
      <c r="O1044" t="s">
        <v>123</v>
      </c>
      <c r="P1044" t="s">
        <v>146</v>
      </c>
      <c r="Q1044">
        <v>6.76</v>
      </c>
      <c r="R1044" t="s">
        <v>125</v>
      </c>
      <c r="S1044" t="s">
        <v>126</v>
      </c>
      <c r="T1044" t="s">
        <v>125</v>
      </c>
      <c r="U1044" t="s">
        <v>126</v>
      </c>
      <c r="W1044">
        <v>6.76</v>
      </c>
      <c r="Y1044">
        <v>6.76</v>
      </c>
      <c r="AS1044">
        <v>6.76</v>
      </c>
      <c r="BH1044" t="s">
        <v>126</v>
      </c>
      <c r="BI1044" t="s">
        <v>126</v>
      </c>
      <c r="BJ1044" t="s">
        <v>126</v>
      </c>
      <c r="BK1044" t="s">
        <v>126</v>
      </c>
      <c r="BS1044" t="s">
        <v>126</v>
      </c>
      <c r="BT1044" t="s">
        <v>126</v>
      </c>
      <c r="BU1044" t="s">
        <v>126</v>
      </c>
      <c r="BV1044" t="s">
        <v>126</v>
      </c>
      <c r="CN1044" t="s">
        <v>147</v>
      </c>
      <c r="CP1044" t="s">
        <v>484</v>
      </c>
      <c r="CQ1044" t="s">
        <v>147</v>
      </c>
    </row>
    <row r="1045" spans="1:95" x14ac:dyDescent="0.2">
      <c r="A1045" t="s">
        <v>115</v>
      </c>
      <c r="B1045" t="s">
        <v>116</v>
      </c>
      <c r="C1045">
        <v>210784</v>
      </c>
      <c r="E1045" t="s">
        <v>117</v>
      </c>
      <c r="F1045">
        <v>368</v>
      </c>
      <c r="G1045" t="s">
        <v>141</v>
      </c>
      <c r="H1045" t="s">
        <v>142</v>
      </c>
      <c r="I1045" t="s">
        <v>279</v>
      </c>
      <c r="J1045" t="s">
        <v>280</v>
      </c>
      <c r="L1045" s="14">
        <v>45985</v>
      </c>
      <c r="M1045" s="18">
        <f t="shared" si="19"/>
        <v>45962</v>
      </c>
      <c r="N1045">
        <v>5834689</v>
      </c>
      <c r="O1045" t="s">
        <v>123</v>
      </c>
      <c r="P1045" t="s">
        <v>146</v>
      </c>
      <c r="Q1045">
        <v>2.81</v>
      </c>
      <c r="R1045" t="s">
        <v>125</v>
      </c>
      <c r="S1045" t="s">
        <v>126</v>
      </c>
      <c r="T1045" t="s">
        <v>125</v>
      </c>
      <c r="U1045" t="s">
        <v>126</v>
      </c>
      <c r="W1045">
        <v>2.81</v>
      </c>
      <c r="Y1045">
        <v>2.81</v>
      </c>
      <c r="BE1045">
        <v>2.81</v>
      </c>
      <c r="BH1045" t="s">
        <v>126</v>
      </c>
      <c r="BI1045" t="s">
        <v>126</v>
      </c>
      <c r="BJ1045" t="s">
        <v>126</v>
      </c>
      <c r="BK1045" t="s">
        <v>126</v>
      </c>
      <c r="BS1045" t="s">
        <v>126</v>
      </c>
      <c r="BT1045" t="s">
        <v>126</v>
      </c>
      <c r="BU1045" t="s">
        <v>126</v>
      </c>
      <c r="BV1045" t="s">
        <v>126</v>
      </c>
      <c r="CN1045" t="s">
        <v>147</v>
      </c>
      <c r="CP1045" t="s">
        <v>484</v>
      </c>
      <c r="CQ1045" t="s">
        <v>147</v>
      </c>
    </row>
    <row r="1046" spans="1:95" x14ac:dyDescent="0.2">
      <c r="A1046" t="s">
        <v>115</v>
      </c>
      <c r="B1046" t="s">
        <v>116</v>
      </c>
      <c r="C1046">
        <v>210784</v>
      </c>
      <c r="E1046" t="s">
        <v>117</v>
      </c>
      <c r="F1046">
        <v>368</v>
      </c>
      <c r="G1046" t="s">
        <v>118</v>
      </c>
      <c r="H1046" t="s">
        <v>119</v>
      </c>
      <c r="I1046" t="s">
        <v>130</v>
      </c>
      <c r="J1046" t="s">
        <v>131</v>
      </c>
      <c r="L1046" s="14">
        <v>45986</v>
      </c>
      <c r="M1046" s="18">
        <f t="shared" si="19"/>
        <v>45962</v>
      </c>
      <c r="N1046">
        <v>7343722</v>
      </c>
      <c r="O1046" t="s">
        <v>123</v>
      </c>
      <c r="P1046" t="s">
        <v>124</v>
      </c>
      <c r="Q1046">
        <v>5.7</v>
      </c>
      <c r="R1046" t="s">
        <v>125</v>
      </c>
      <c r="S1046" t="s">
        <v>126</v>
      </c>
      <c r="T1046" t="s">
        <v>125</v>
      </c>
      <c r="U1046" t="s">
        <v>126</v>
      </c>
      <c r="W1046">
        <v>5.7</v>
      </c>
      <c r="Y1046">
        <v>5.7</v>
      </c>
      <c r="AA1046">
        <v>2.5</v>
      </c>
      <c r="AC1046">
        <v>3.2</v>
      </c>
      <c r="BH1046" t="s">
        <v>126</v>
      </c>
      <c r="BI1046" t="s">
        <v>126</v>
      </c>
      <c r="BJ1046" t="s">
        <v>126</v>
      </c>
      <c r="BK1046" t="s">
        <v>126</v>
      </c>
      <c r="BS1046" t="s">
        <v>126</v>
      </c>
      <c r="BT1046" t="s">
        <v>126</v>
      </c>
      <c r="BU1046" t="s">
        <v>126</v>
      </c>
      <c r="BV1046" t="s">
        <v>126</v>
      </c>
      <c r="CN1046" t="s">
        <v>127</v>
      </c>
      <c r="CP1046" t="s">
        <v>128</v>
      </c>
      <c r="CQ1046" t="s">
        <v>127</v>
      </c>
    </row>
    <row r="1047" spans="1:95" x14ac:dyDescent="0.2">
      <c r="A1047" t="s">
        <v>115</v>
      </c>
      <c r="B1047" t="s">
        <v>116</v>
      </c>
      <c r="C1047">
        <v>210784</v>
      </c>
      <c r="E1047" t="s">
        <v>117</v>
      </c>
      <c r="F1047">
        <v>368</v>
      </c>
      <c r="G1047" t="s">
        <v>141</v>
      </c>
      <c r="H1047" t="s">
        <v>142</v>
      </c>
      <c r="I1047" t="s">
        <v>279</v>
      </c>
      <c r="J1047" t="s">
        <v>280</v>
      </c>
      <c r="L1047" s="14">
        <v>45986</v>
      </c>
      <c r="M1047" s="18">
        <f t="shared" si="19"/>
        <v>45962</v>
      </c>
      <c r="N1047">
        <v>5834807</v>
      </c>
      <c r="O1047" t="s">
        <v>123</v>
      </c>
      <c r="P1047" t="s">
        <v>146</v>
      </c>
      <c r="Q1047">
        <v>3.97</v>
      </c>
      <c r="R1047" t="s">
        <v>125</v>
      </c>
      <c r="S1047" t="s">
        <v>126</v>
      </c>
      <c r="T1047" t="s">
        <v>125</v>
      </c>
      <c r="U1047" t="s">
        <v>126</v>
      </c>
      <c r="W1047">
        <v>3.97</v>
      </c>
      <c r="Y1047">
        <v>3.97</v>
      </c>
      <c r="BE1047">
        <v>3.97</v>
      </c>
      <c r="BH1047" t="s">
        <v>126</v>
      </c>
      <c r="BI1047" t="s">
        <v>126</v>
      </c>
      <c r="BJ1047" t="s">
        <v>126</v>
      </c>
      <c r="BK1047" t="s">
        <v>126</v>
      </c>
      <c r="BS1047" t="s">
        <v>126</v>
      </c>
      <c r="BT1047" t="s">
        <v>126</v>
      </c>
      <c r="BU1047" t="s">
        <v>126</v>
      </c>
      <c r="BV1047" t="s">
        <v>126</v>
      </c>
      <c r="CN1047" t="s">
        <v>147</v>
      </c>
      <c r="CP1047" t="s">
        <v>484</v>
      </c>
      <c r="CQ1047" t="s">
        <v>147</v>
      </c>
    </row>
    <row r="1048" spans="1:95" x14ac:dyDescent="0.2">
      <c r="A1048" t="s">
        <v>115</v>
      </c>
      <c r="B1048" t="s">
        <v>116</v>
      </c>
      <c r="C1048">
        <v>210784</v>
      </c>
      <c r="E1048" t="s">
        <v>117</v>
      </c>
      <c r="F1048">
        <v>368</v>
      </c>
      <c r="G1048" t="s">
        <v>141</v>
      </c>
      <c r="H1048" t="s">
        <v>142</v>
      </c>
      <c r="I1048" t="s">
        <v>279</v>
      </c>
      <c r="J1048" t="s">
        <v>280</v>
      </c>
      <c r="L1048" s="14">
        <v>45987</v>
      </c>
      <c r="M1048" s="18">
        <f t="shared" si="19"/>
        <v>45962</v>
      </c>
      <c r="N1048">
        <v>5836243</v>
      </c>
      <c r="O1048" t="s">
        <v>123</v>
      </c>
      <c r="P1048" t="s">
        <v>146</v>
      </c>
      <c r="Q1048">
        <v>3.99</v>
      </c>
      <c r="R1048" t="s">
        <v>125</v>
      </c>
      <c r="S1048" t="s">
        <v>126</v>
      </c>
      <c r="T1048" t="s">
        <v>125</v>
      </c>
      <c r="U1048" t="s">
        <v>126</v>
      </c>
      <c r="W1048">
        <v>3.99</v>
      </c>
      <c r="Y1048">
        <v>3.99</v>
      </c>
      <c r="BE1048">
        <v>3.99</v>
      </c>
      <c r="BH1048" t="s">
        <v>126</v>
      </c>
      <c r="BI1048" t="s">
        <v>126</v>
      </c>
      <c r="BJ1048" t="s">
        <v>126</v>
      </c>
      <c r="BK1048" t="s">
        <v>126</v>
      </c>
      <c r="BS1048" t="s">
        <v>126</v>
      </c>
      <c r="BT1048" t="s">
        <v>126</v>
      </c>
      <c r="BU1048" t="s">
        <v>126</v>
      </c>
      <c r="BV1048" t="s">
        <v>126</v>
      </c>
      <c r="CN1048" t="s">
        <v>147</v>
      </c>
      <c r="CP1048" t="s">
        <v>484</v>
      </c>
      <c r="CQ1048" t="s">
        <v>147</v>
      </c>
    </row>
    <row r="1049" spans="1:95" x14ac:dyDescent="0.2">
      <c r="A1049" t="s">
        <v>115</v>
      </c>
      <c r="B1049" t="s">
        <v>116</v>
      </c>
      <c r="C1049">
        <v>210784</v>
      </c>
      <c r="E1049" t="s">
        <v>117</v>
      </c>
      <c r="F1049">
        <v>368</v>
      </c>
      <c r="G1049" t="s">
        <v>141</v>
      </c>
      <c r="H1049" t="s">
        <v>142</v>
      </c>
      <c r="I1049" t="s">
        <v>279</v>
      </c>
      <c r="J1049" t="s">
        <v>280</v>
      </c>
      <c r="L1049" s="14">
        <v>45987</v>
      </c>
      <c r="M1049" s="18">
        <f t="shared" si="19"/>
        <v>45962</v>
      </c>
      <c r="N1049">
        <v>5836137</v>
      </c>
      <c r="O1049" t="s">
        <v>123</v>
      </c>
      <c r="P1049" t="s">
        <v>146</v>
      </c>
      <c r="Q1049">
        <v>4.59</v>
      </c>
      <c r="R1049" t="s">
        <v>125</v>
      </c>
      <c r="S1049" t="s">
        <v>126</v>
      </c>
      <c r="T1049" t="s">
        <v>125</v>
      </c>
      <c r="U1049" t="s">
        <v>126</v>
      </c>
      <c r="W1049">
        <v>4.59</v>
      </c>
      <c r="Y1049">
        <v>4.59</v>
      </c>
      <c r="BE1049">
        <v>4.59</v>
      </c>
      <c r="BH1049" t="s">
        <v>126</v>
      </c>
      <c r="BI1049" t="s">
        <v>126</v>
      </c>
      <c r="BJ1049" t="s">
        <v>126</v>
      </c>
      <c r="BK1049" t="s">
        <v>126</v>
      </c>
      <c r="BS1049" t="s">
        <v>126</v>
      </c>
      <c r="BT1049" t="s">
        <v>126</v>
      </c>
      <c r="BU1049" t="s">
        <v>126</v>
      </c>
      <c r="BV1049" t="s">
        <v>126</v>
      </c>
      <c r="CN1049" t="s">
        <v>147</v>
      </c>
      <c r="CP1049" t="s">
        <v>484</v>
      </c>
      <c r="CQ1049" t="s">
        <v>147</v>
      </c>
    </row>
    <row r="1050" spans="1:95" x14ac:dyDescent="0.2">
      <c r="A1050" t="s">
        <v>115</v>
      </c>
      <c r="B1050" t="s">
        <v>116</v>
      </c>
      <c r="C1050">
        <v>210784</v>
      </c>
      <c r="E1050" t="s">
        <v>117</v>
      </c>
      <c r="F1050">
        <v>368</v>
      </c>
      <c r="G1050" t="s">
        <v>118</v>
      </c>
      <c r="H1050" t="s">
        <v>119</v>
      </c>
      <c r="I1050" t="s">
        <v>130</v>
      </c>
      <c r="J1050" t="s">
        <v>131</v>
      </c>
      <c r="L1050" s="14">
        <v>45992</v>
      </c>
      <c r="M1050" s="18">
        <f t="shared" si="19"/>
        <v>45992</v>
      </c>
      <c r="N1050">
        <v>7344375</v>
      </c>
      <c r="O1050" t="s">
        <v>123</v>
      </c>
      <c r="P1050" t="s">
        <v>124</v>
      </c>
      <c r="Q1050">
        <v>12.5404</v>
      </c>
      <c r="R1050" t="s">
        <v>125</v>
      </c>
      <c r="S1050" t="s">
        <v>126</v>
      </c>
      <c r="T1050" t="s">
        <v>125</v>
      </c>
      <c r="U1050" t="s">
        <v>126</v>
      </c>
      <c r="W1050">
        <v>12.5404</v>
      </c>
      <c r="Y1050">
        <v>12.5404</v>
      </c>
      <c r="AA1050">
        <v>6.0004</v>
      </c>
      <c r="AC1050">
        <v>6.54</v>
      </c>
      <c r="BH1050" t="s">
        <v>126</v>
      </c>
      <c r="BI1050" t="s">
        <v>126</v>
      </c>
      <c r="BJ1050" t="s">
        <v>126</v>
      </c>
      <c r="BK1050" t="s">
        <v>126</v>
      </c>
      <c r="BS1050" t="s">
        <v>126</v>
      </c>
      <c r="BT1050" t="s">
        <v>126</v>
      </c>
      <c r="BU1050" t="s">
        <v>126</v>
      </c>
      <c r="BV1050" t="s">
        <v>126</v>
      </c>
      <c r="CN1050" t="s">
        <v>127</v>
      </c>
      <c r="CP1050" t="s">
        <v>128</v>
      </c>
      <c r="CQ1050" t="s">
        <v>127</v>
      </c>
    </row>
    <row r="1051" spans="1:95" x14ac:dyDescent="0.2">
      <c r="A1051" t="s">
        <v>115</v>
      </c>
      <c r="B1051" t="s">
        <v>116</v>
      </c>
      <c r="C1051">
        <v>210784</v>
      </c>
      <c r="E1051" t="s">
        <v>117</v>
      </c>
      <c r="F1051">
        <v>368</v>
      </c>
      <c r="G1051" t="s">
        <v>118</v>
      </c>
      <c r="H1051" t="s">
        <v>119</v>
      </c>
      <c r="I1051" t="s">
        <v>130</v>
      </c>
      <c r="J1051" t="s">
        <v>131</v>
      </c>
      <c r="L1051" s="14">
        <v>45992</v>
      </c>
      <c r="M1051" s="18">
        <f t="shared" si="19"/>
        <v>45992</v>
      </c>
      <c r="N1051">
        <v>7344275</v>
      </c>
      <c r="O1051" t="s">
        <v>123</v>
      </c>
      <c r="P1051" t="s">
        <v>124</v>
      </c>
      <c r="Q1051">
        <v>16.480600000000003</v>
      </c>
      <c r="R1051" t="s">
        <v>125</v>
      </c>
      <c r="S1051" t="s">
        <v>126</v>
      </c>
      <c r="T1051" t="s">
        <v>125</v>
      </c>
      <c r="U1051" t="s">
        <v>126</v>
      </c>
      <c r="W1051">
        <v>16.480600000000003</v>
      </c>
      <c r="Y1051">
        <v>16.480600000000003</v>
      </c>
      <c r="AA1051">
        <v>8</v>
      </c>
      <c r="AC1051">
        <v>8.4806000000000008</v>
      </c>
      <c r="BH1051" t="s">
        <v>126</v>
      </c>
      <c r="BI1051" t="s">
        <v>126</v>
      </c>
      <c r="BJ1051" t="s">
        <v>126</v>
      </c>
      <c r="BK1051" t="s">
        <v>126</v>
      </c>
      <c r="BS1051" t="s">
        <v>126</v>
      </c>
      <c r="BT1051" t="s">
        <v>126</v>
      </c>
      <c r="BU1051" t="s">
        <v>126</v>
      </c>
      <c r="BV1051" t="s">
        <v>126</v>
      </c>
      <c r="CN1051" t="s">
        <v>764</v>
      </c>
      <c r="CP1051" t="s">
        <v>128</v>
      </c>
      <c r="CQ1051" t="s">
        <v>764</v>
      </c>
    </row>
    <row r="1052" spans="1:95" x14ac:dyDescent="0.2">
      <c r="A1052" t="s">
        <v>115</v>
      </c>
      <c r="B1052" t="s">
        <v>116</v>
      </c>
      <c r="C1052">
        <v>210784</v>
      </c>
      <c r="E1052" t="s">
        <v>117</v>
      </c>
      <c r="F1052">
        <v>368</v>
      </c>
      <c r="G1052" t="s">
        <v>118</v>
      </c>
      <c r="H1052" t="s">
        <v>119</v>
      </c>
      <c r="I1052" t="s">
        <v>130</v>
      </c>
      <c r="J1052" t="s">
        <v>131</v>
      </c>
      <c r="L1052" s="14">
        <v>45992</v>
      </c>
      <c r="M1052" s="18">
        <f t="shared" si="19"/>
        <v>45992</v>
      </c>
      <c r="N1052">
        <v>7344431</v>
      </c>
      <c r="O1052" t="s">
        <v>123</v>
      </c>
      <c r="P1052" t="s">
        <v>124</v>
      </c>
      <c r="Q1052">
        <v>6.04</v>
      </c>
      <c r="R1052" t="s">
        <v>125</v>
      </c>
      <c r="S1052" t="s">
        <v>126</v>
      </c>
      <c r="T1052" t="s">
        <v>125</v>
      </c>
      <c r="U1052" t="s">
        <v>126</v>
      </c>
      <c r="W1052">
        <v>6.04</v>
      </c>
      <c r="Y1052">
        <v>6.04</v>
      </c>
      <c r="AA1052">
        <v>3.0001000000000002</v>
      </c>
      <c r="AC1052">
        <v>3.0398999999999998</v>
      </c>
      <c r="BH1052" t="s">
        <v>126</v>
      </c>
      <c r="BI1052" t="s">
        <v>126</v>
      </c>
      <c r="BJ1052" t="s">
        <v>126</v>
      </c>
      <c r="BK1052" t="s">
        <v>126</v>
      </c>
      <c r="BS1052" t="s">
        <v>126</v>
      </c>
      <c r="BT1052" t="s">
        <v>126</v>
      </c>
      <c r="BU1052" t="s">
        <v>126</v>
      </c>
      <c r="BV1052" t="s">
        <v>126</v>
      </c>
      <c r="CN1052" t="s">
        <v>127</v>
      </c>
      <c r="CP1052" t="s">
        <v>128</v>
      </c>
      <c r="CQ1052" t="s">
        <v>127</v>
      </c>
    </row>
    <row r="1053" spans="1:95" x14ac:dyDescent="0.2">
      <c r="A1053" t="s">
        <v>115</v>
      </c>
      <c r="B1053" t="s">
        <v>116</v>
      </c>
      <c r="C1053">
        <v>210784</v>
      </c>
      <c r="E1053" t="s">
        <v>117</v>
      </c>
      <c r="F1053">
        <v>368</v>
      </c>
      <c r="G1053" t="s">
        <v>141</v>
      </c>
      <c r="H1053" t="s">
        <v>142</v>
      </c>
      <c r="I1053" t="s">
        <v>279</v>
      </c>
      <c r="J1053" t="s">
        <v>280</v>
      </c>
      <c r="L1053" s="14">
        <v>45992</v>
      </c>
      <c r="M1053" s="18">
        <f t="shared" si="19"/>
        <v>45992</v>
      </c>
      <c r="N1053">
        <v>5838082</v>
      </c>
      <c r="O1053" t="s">
        <v>123</v>
      </c>
      <c r="P1053" t="s">
        <v>146</v>
      </c>
      <c r="Q1053">
        <v>3.48</v>
      </c>
      <c r="R1053" t="s">
        <v>125</v>
      </c>
      <c r="S1053" t="s">
        <v>126</v>
      </c>
      <c r="T1053" t="s">
        <v>125</v>
      </c>
      <c r="U1053" t="s">
        <v>126</v>
      </c>
      <c r="W1053">
        <v>3.48</v>
      </c>
      <c r="Y1053">
        <v>3.48</v>
      </c>
      <c r="BE1053">
        <v>3.48</v>
      </c>
      <c r="BH1053" t="s">
        <v>126</v>
      </c>
      <c r="BI1053" t="s">
        <v>126</v>
      </c>
      <c r="BJ1053" t="s">
        <v>126</v>
      </c>
      <c r="BK1053" t="s">
        <v>126</v>
      </c>
      <c r="BS1053" t="s">
        <v>126</v>
      </c>
      <c r="BT1053" t="s">
        <v>126</v>
      </c>
      <c r="BU1053" t="s">
        <v>126</v>
      </c>
      <c r="BV1053" t="s">
        <v>126</v>
      </c>
      <c r="CN1053" t="s">
        <v>147</v>
      </c>
      <c r="CP1053" t="s">
        <v>484</v>
      </c>
      <c r="CQ1053" t="s">
        <v>147</v>
      </c>
    </row>
    <row r="1054" spans="1:95" x14ac:dyDescent="0.2">
      <c r="A1054" t="s">
        <v>115</v>
      </c>
      <c r="B1054" t="s">
        <v>116</v>
      </c>
      <c r="C1054">
        <v>210784</v>
      </c>
      <c r="E1054" t="s">
        <v>117</v>
      </c>
      <c r="F1054">
        <v>368</v>
      </c>
      <c r="G1054" t="s">
        <v>141</v>
      </c>
      <c r="H1054" t="s">
        <v>142</v>
      </c>
      <c r="I1054" t="s">
        <v>279</v>
      </c>
      <c r="J1054" t="s">
        <v>280</v>
      </c>
      <c r="L1054" s="14">
        <v>45992</v>
      </c>
      <c r="M1054" s="18">
        <f t="shared" si="19"/>
        <v>45992</v>
      </c>
      <c r="N1054">
        <v>5837663</v>
      </c>
      <c r="O1054" t="s">
        <v>123</v>
      </c>
      <c r="P1054" t="s">
        <v>146</v>
      </c>
      <c r="Q1054">
        <v>8.85</v>
      </c>
      <c r="R1054" t="s">
        <v>125</v>
      </c>
      <c r="S1054" t="s">
        <v>126</v>
      </c>
      <c r="T1054" t="s">
        <v>125</v>
      </c>
      <c r="U1054" t="s">
        <v>126</v>
      </c>
      <c r="W1054">
        <v>8.85</v>
      </c>
      <c r="Y1054">
        <v>8.85</v>
      </c>
      <c r="BE1054">
        <v>8.85</v>
      </c>
      <c r="BH1054" t="s">
        <v>126</v>
      </c>
      <c r="BI1054" t="s">
        <v>126</v>
      </c>
      <c r="BJ1054" t="s">
        <v>126</v>
      </c>
      <c r="BK1054" t="s">
        <v>126</v>
      </c>
      <c r="BS1054" t="s">
        <v>126</v>
      </c>
      <c r="BT1054" t="s">
        <v>126</v>
      </c>
      <c r="BU1054" t="s">
        <v>126</v>
      </c>
      <c r="BV1054" t="s">
        <v>126</v>
      </c>
      <c r="CN1054" t="s">
        <v>147</v>
      </c>
      <c r="CP1054" t="s">
        <v>484</v>
      </c>
      <c r="CQ1054" t="s">
        <v>147</v>
      </c>
    </row>
    <row r="1055" spans="1:95" x14ac:dyDescent="0.2">
      <c r="A1055" t="s">
        <v>115</v>
      </c>
      <c r="B1055" t="s">
        <v>116</v>
      </c>
      <c r="C1055">
        <v>210784</v>
      </c>
      <c r="E1055" t="s">
        <v>117</v>
      </c>
      <c r="F1055">
        <v>368</v>
      </c>
      <c r="G1055" t="s">
        <v>118</v>
      </c>
      <c r="H1055" t="s">
        <v>119</v>
      </c>
      <c r="I1055" t="s">
        <v>130</v>
      </c>
      <c r="J1055" t="s">
        <v>131</v>
      </c>
      <c r="L1055" s="14">
        <v>45993</v>
      </c>
      <c r="M1055" s="18">
        <f t="shared" si="19"/>
        <v>45992</v>
      </c>
      <c r="N1055">
        <v>7344548</v>
      </c>
      <c r="O1055" t="s">
        <v>123</v>
      </c>
      <c r="P1055" t="s">
        <v>124</v>
      </c>
      <c r="Q1055">
        <v>10.73</v>
      </c>
      <c r="R1055" t="s">
        <v>125</v>
      </c>
      <c r="S1055" t="s">
        <v>126</v>
      </c>
      <c r="T1055" t="s">
        <v>125</v>
      </c>
      <c r="U1055" t="s">
        <v>126</v>
      </c>
      <c r="W1055">
        <v>10.73</v>
      </c>
      <c r="Y1055">
        <v>10.73</v>
      </c>
      <c r="AA1055">
        <v>5.0002000000000004</v>
      </c>
      <c r="AC1055">
        <v>5.7298</v>
      </c>
      <c r="BH1055" t="s">
        <v>126</v>
      </c>
      <c r="BI1055" t="s">
        <v>126</v>
      </c>
      <c r="BJ1055" t="s">
        <v>126</v>
      </c>
      <c r="BK1055" t="s">
        <v>126</v>
      </c>
      <c r="BS1055" t="s">
        <v>126</v>
      </c>
      <c r="BT1055" t="s">
        <v>126</v>
      </c>
      <c r="BU1055" t="s">
        <v>126</v>
      </c>
      <c r="BV1055" t="s">
        <v>126</v>
      </c>
      <c r="CN1055" t="s">
        <v>127</v>
      </c>
      <c r="CP1055" t="s">
        <v>128</v>
      </c>
      <c r="CQ1055" t="s">
        <v>127</v>
      </c>
    </row>
    <row r="1056" spans="1:95" x14ac:dyDescent="0.2">
      <c r="A1056" t="s">
        <v>115</v>
      </c>
      <c r="B1056" t="s">
        <v>116</v>
      </c>
      <c r="C1056">
        <v>210784</v>
      </c>
      <c r="E1056" t="s">
        <v>117</v>
      </c>
      <c r="F1056">
        <v>368</v>
      </c>
      <c r="G1056" t="s">
        <v>118</v>
      </c>
      <c r="H1056" t="s">
        <v>119</v>
      </c>
      <c r="I1056" t="s">
        <v>130</v>
      </c>
      <c r="J1056" t="s">
        <v>131</v>
      </c>
      <c r="L1056" s="14">
        <v>45993</v>
      </c>
      <c r="M1056" s="18">
        <f t="shared" si="19"/>
        <v>45992</v>
      </c>
      <c r="N1056">
        <v>7344656</v>
      </c>
      <c r="O1056" t="s">
        <v>123</v>
      </c>
      <c r="P1056" t="s">
        <v>124</v>
      </c>
      <c r="Q1056">
        <v>13.68</v>
      </c>
      <c r="R1056" t="s">
        <v>125</v>
      </c>
      <c r="S1056" t="s">
        <v>126</v>
      </c>
      <c r="T1056" t="s">
        <v>125</v>
      </c>
      <c r="U1056" t="s">
        <v>126</v>
      </c>
      <c r="W1056">
        <v>13.68</v>
      </c>
      <c r="Y1056">
        <v>13.68</v>
      </c>
      <c r="AA1056">
        <v>6</v>
      </c>
      <c r="AC1056">
        <v>7.68</v>
      </c>
      <c r="BH1056" t="s">
        <v>126</v>
      </c>
      <c r="BI1056" t="s">
        <v>126</v>
      </c>
      <c r="BJ1056" t="s">
        <v>126</v>
      </c>
      <c r="BK1056" t="s">
        <v>126</v>
      </c>
      <c r="BS1056" t="s">
        <v>126</v>
      </c>
      <c r="BT1056" t="s">
        <v>126</v>
      </c>
      <c r="BU1056" t="s">
        <v>126</v>
      </c>
      <c r="BV1056" t="s">
        <v>126</v>
      </c>
      <c r="CN1056" t="s">
        <v>127</v>
      </c>
      <c r="CP1056" t="s">
        <v>128</v>
      </c>
      <c r="CQ1056" t="s">
        <v>127</v>
      </c>
    </row>
    <row r="1057" spans="1:95" x14ac:dyDescent="0.2">
      <c r="A1057" t="s">
        <v>115</v>
      </c>
      <c r="B1057" t="s">
        <v>116</v>
      </c>
      <c r="C1057">
        <v>210784</v>
      </c>
      <c r="E1057" t="s">
        <v>117</v>
      </c>
      <c r="F1057">
        <v>368</v>
      </c>
      <c r="G1057" t="s">
        <v>141</v>
      </c>
      <c r="H1057" t="s">
        <v>142</v>
      </c>
      <c r="I1057" t="s">
        <v>279</v>
      </c>
      <c r="J1057" t="s">
        <v>280</v>
      </c>
      <c r="L1057" s="14">
        <v>45993</v>
      </c>
      <c r="M1057" s="18">
        <f t="shared" si="19"/>
        <v>45992</v>
      </c>
      <c r="N1057">
        <v>5838919</v>
      </c>
      <c r="O1057" t="s">
        <v>123</v>
      </c>
      <c r="P1057" t="s">
        <v>146</v>
      </c>
      <c r="Q1057">
        <v>4.6500000000000004</v>
      </c>
      <c r="R1057" t="s">
        <v>574</v>
      </c>
      <c r="S1057" t="s">
        <v>126</v>
      </c>
      <c r="T1057" t="s">
        <v>574</v>
      </c>
      <c r="U1057" t="s">
        <v>575</v>
      </c>
      <c r="W1057">
        <v>1.43</v>
      </c>
      <c r="X1057">
        <v>3.2199999999999998</v>
      </c>
      <c r="Y1057">
        <v>4.6500000000000004</v>
      </c>
      <c r="Z1057">
        <v>1.77</v>
      </c>
      <c r="AG1057">
        <v>1.43</v>
      </c>
      <c r="AI1057">
        <v>1.45</v>
      </c>
      <c r="BH1057" t="s">
        <v>126</v>
      </c>
      <c r="BI1057" t="s">
        <v>126</v>
      </c>
      <c r="BJ1057" t="s">
        <v>126</v>
      </c>
      <c r="BK1057" t="s">
        <v>126</v>
      </c>
      <c r="BS1057" t="s">
        <v>126</v>
      </c>
      <c r="BT1057" t="s">
        <v>126</v>
      </c>
      <c r="BU1057" t="s">
        <v>126</v>
      </c>
      <c r="BV1057" t="s">
        <v>126</v>
      </c>
      <c r="CN1057" t="s">
        <v>147</v>
      </c>
      <c r="CP1057" t="s">
        <v>484</v>
      </c>
      <c r="CQ1057" t="s">
        <v>147</v>
      </c>
    </row>
    <row r="1058" spans="1:95" x14ac:dyDescent="0.2">
      <c r="A1058" t="s">
        <v>115</v>
      </c>
      <c r="B1058" t="s">
        <v>116</v>
      </c>
      <c r="C1058">
        <v>210784</v>
      </c>
      <c r="E1058" t="s">
        <v>117</v>
      </c>
      <c r="F1058">
        <v>368</v>
      </c>
      <c r="G1058" t="s">
        <v>118</v>
      </c>
      <c r="H1058" t="s">
        <v>119</v>
      </c>
      <c r="I1058" t="s">
        <v>120</v>
      </c>
      <c r="J1058" t="s">
        <v>121</v>
      </c>
      <c r="L1058" s="14">
        <v>45994</v>
      </c>
      <c r="M1058" s="18">
        <f t="shared" si="19"/>
        <v>45992</v>
      </c>
      <c r="N1058">
        <v>136142</v>
      </c>
      <c r="O1058" t="s">
        <v>123</v>
      </c>
      <c r="P1058" t="s">
        <v>124</v>
      </c>
      <c r="Q1058">
        <v>14.6106</v>
      </c>
      <c r="R1058" t="s">
        <v>125</v>
      </c>
      <c r="S1058" t="s">
        <v>126</v>
      </c>
      <c r="T1058" t="s">
        <v>125</v>
      </c>
      <c r="U1058" t="s">
        <v>126</v>
      </c>
      <c r="W1058">
        <v>14.6106</v>
      </c>
      <c r="Y1058">
        <v>14.6106</v>
      </c>
      <c r="AA1058">
        <v>7.3006000000000002</v>
      </c>
      <c r="AC1058">
        <v>7.31</v>
      </c>
      <c r="BH1058" t="s">
        <v>126</v>
      </c>
      <c r="BI1058" t="s">
        <v>126</v>
      </c>
      <c r="BJ1058" t="s">
        <v>126</v>
      </c>
      <c r="BK1058" t="s">
        <v>126</v>
      </c>
      <c r="BS1058" t="s">
        <v>126</v>
      </c>
      <c r="BT1058" t="s">
        <v>126</v>
      </c>
      <c r="BU1058" t="s">
        <v>126</v>
      </c>
      <c r="BV1058" t="s">
        <v>126</v>
      </c>
      <c r="CN1058" t="s">
        <v>127</v>
      </c>
      <c r="CP1058" t="s">
        <v>128</v>
      </c>
      <c r="CQ1058" t="s">
        <v>127</v>
      </c>
    </row>
    <row r="1059" spans="1:95" x14ac:dyDescent="0.2">
      <c r="A1059" t="s">
        <v>115</v>
      </c>
      <c r="B1059" t="s">
        <v>116</v>
      </c>
      <c r="C1059">
        <v>210784</v>
      </c>
      <c r="E1059" t="s">
        <v>117</v>
      </c>
      <c r="F1059">
        <v>368</v>
      </c>
      <c r="G1059" t="s">
        <v>141</v>
      </c>
      <c r="H1059" t="s">
        <v>142</v>
      </c>
      <c r="I1059" t="s">
        <v>279</v>
      </c>
      <c r="J1059" t="s">
        <v>280</v>
      </c>
      <c r="L1059" s="14">
        <v>45994</v>
      </c>
      <c r="M1059" s="18">
        <f t="shared" si="19"/>
        <v>45992</v>
      </c>
      <c r="N1059">
        <v>5839608</v>
      </c>
      <c r="O1059" t="s">
        <v>123</v>
      </c>
      <c r="P1059" t="s">
        <v>146</v>
      </c>
      <c r="Q1059">
        <v>6.54</v>
      </c>
      <c r="R1059" t="s">
        <v>125</v>
      </c>
      <c r="S1059" t="s">
        <v>126</v>
      </c>
      <c r="T1059" t="s">
        <v>125</v>
      </c>
      <c r="U1059" t="s">
        <v>126</v>
      </c>
      <c r="W1059">
        <v>6.54</v>
      </c>
      <c r="Y1059">
        <v>6.54</v>
      </c>
      <c r="BE1059">
        <v>6.54</v>
      </c>
      <c r="BH1059" t="s">
        <v>126</v>
      </c>
      <c r="BI1059" t="s">
        <v>126</v>
      </c>
      <c r="BJ1059" t="s">
        <v>126</v>
      </c>
      <c r="BK1059" t="s">
        <v>126</v>
      </c>
      <c r="BS1059" t="s">
        <v>126</v>
      </c>
      <c r="BT1059" t="s">
        <v>126</v>
      </c>
      <c r="BU1059" t="s">
        <v>126</v>
      </c>
      <c r="BV1059" t="s">
        <v>126</v>
      </c>
      <c r="CN1059" t="s">
        <v>147</v>
      </c>
      <c r="CP1059" t="s">
        <v>484</v>
      </c>
      <c r="CQ1059" t="s">
        <v>147</v>
      </c>
    </row>
    <row r="1060" spans="1:95" x14ac:dyDescent="0.2">
      <c r="A1060" t="s">
        <v>115</v>
      </c>
      <c r="B1060" t="s">
        <v>116</v>
      </c>
      <c r="C1060">
        <v>210784</v>
      </c>
      <c r="E1060" t="s">
        <v>117</v>
      </c>
      <c r="F1060">
        <v>368</v>
      </c>
      <c r="G1060" t="s">
        <v>141</v>
      </c>
      <c r="H1060" t="s">
        <v>142</v>
      </c>
      <c r="I1060" t="s">
        <v>279</v>
      </c>
      <c r="J1060" t="s">
        <v>280</v>
      </c>
      <c r="L1060" s="14">
        <v>45996</v>
      </c>
      <c r="M1060" s="18">
        <f t="shared" si="19"/>
        <v>45992</v>
      </c>
      <c r="N1060">
        <v>5841619</v>
      </c>
      <c r="O1060" t="s">
        <v>123</v>
      </c>
      <c r="P1060" t="s">
        <v>146</v>
      </c>
      <c r="Q1060">
        <v>5.9848000000000008</v>
      </c>
      <c r="R1060" t="s">
        <v>644</v>
      </c>
      <c r="S1060" t="s">
        <v>126</v>
      </c>
      <c r="T1060" t="s">
        <v>644</v>
      </c>
      <c r="U1060" t="s">
        <v>645</v>
      </c>
      <c r="W1060">
        <v>1.85</v>
      </c>
      <c r="X1060">
        <v>4.1348000000000003</v>
      </c>
      <c r="Y1060">
        <v>5.9848000000000008</v>
      </c>
      <c r="Z1060">
        <v>2.2747999999999999</v>
      </c>
      <c r="AG1060">
        <v>1.85</v>
      </c>
      <c r="AI1060">
        <v>1.86</v>
      </c>
      <c r="BH1060" t="s">
        <v>126</v>
      </c>
      <c r="BI1060" t="s">
        <v>126</v>
      </c>
      <c r="BJ1060" t="s">
        <v>126</v>
      </c>
      <c r="BK1060" t="s">
        <v>126</v>
      </c>
      <c r="BS1060" t="s">
        <v>126</v>
      </c>
      <c r="BT1060" t="s">
        <v>126</v>
      </c>
      <c r="BU1060" t="s">
        <v>126</v>
      </c>
      <c r="BV1060" t="s">
        <v>126</v>
      </c>
      <c r="CN1060" t="s">
        <v>147</v>
      </c>
      <c r="CP1060" t="s">
        <v>484</v>
      </c>
      <c r="CQ1060" t="s">
        <v>147</v>
      </c>
    </row>
    <row r="1061" spans="1:95" x14ac:dyDescent="0.2">
      <c r="A1061" t="s">
        <v>115</v>
      </c>
      <c r="B1061" t="s">
        <v>116</v>
      </c>
      <c r="C1061">
        <v>210784</v>
      </c>
      <c r="E1061" t="s">
        <v>117</v>
      </c>
      <c r="F1061">
        <v>368</v>
      </c>
      <c r="G1061" t="s">
        <v>141</v>
      </c>
      <c r="H1061" t="s">
        <v>142</v>
      </c>
      <c r="I1061" t="s">
        <v>279</v>
      </c>
      <c r="J1061" t="s">
        <v>280</v>
      </c>
      <c r="L1061" s="14">
        <v>45996</v>
      </c>
      <c r="M1061" s="18">
        <f t="shared" si="19"/>
        <v>45992</v>
      </c>
      <c r="N1061">
        <v>5841267</v>
      </c>
      <c r="O1061" t="s">
        <v>123</v>
      </c>
      <c r="P1061" t="s">
        <v>146</v>
      </c>
      <c r="Q1061">
        <v>4.72</v>
      </c>
      <c r="R1061" t="s">
        <v>125</v>
      </c>
      <c r="S1061" t="s">
        <v>126</v>
      </c>
      <c r="T1061" t="s">
        <v>125</v>
      </c>
      <c r="U1061" t="s">
        <v>126</v>
      </c>
      <c r="W1061">
        <v>4.72</v>
      </c>
      <c r="Y1061">
        <v>4.72</v>
      </c>
      <c r="BE1061">
        <v>4.72</v>
      </c>
      <c r="BH1061" t="s">
        <v>126</v>
      </c>
      <c r="BI1061" t="s">
        <v>126</v>
      </c>
      <c r="BJ1061" t="s">
        <v>126</v>
      </c>
      <c r="BK1061" t="s">
        <v>126</v>
      </c>
      <c r="BS1061" t="s">
        <v>126</v>
      </c>
      <c r="BT1061" t="s">
        <v>126</v>
      </c>
      <c r="BU1061" t="s">
        <v>126</v>
      </c>
      <c r="BV1061" t="s">
        <v>126</v>
      </c>
      <c r="CN1061" t="s">
        <v>147</v>
      </c>
      <c r="CP1061" t="s">
        <v>484</v>
      </c>
      <c r="CQ1061" t="s">
        <v>147</v>
      </c>
    </row>
    <row r="1062" spans="1:95" x14ac:dyDescent="0.2">
      <c r="A1062" t="s">
        <v>115</v>
      </c>
      <c r="B1062" t="s">
        <v>116</v>
      </c>
      <c r="C1062">
        <v>210784</v>
      </c>
      <c r="E1062" t="s">
        <v>117</v>
      </c>
      <c r="F1062">
        <v>368</v>
      </c>
      <c r="G1062" t="s">
        <v>141</v>
      </c>
      <c r="H1062" t="s">
        <v>142</v>
      </c>
      <c r="I1062" t="s">
        <v>279</v>
      </c>
      <c r="J1062" t="s">
        <v>280</v>
      </c>
      <c r="L1062" s="14">
        <v>45999</v>
      </c>
      <c r="M1062" s="18">
        <f t="shared" si="19"/>
        <v>45992</v>
      </c>
      <c r="N1062">
        <v>5841870</v>
      </c>
      <c r="O1062" t="s">
        <v>123</v>
      </c>
      <c r="P1062" t="s">
        <v>146</v>
      </c>
      <c r="Q1062">
        <v>6.59</v>
      </c>
      <c r="R1062" t="s">
        <v>125</v>
      </c>
      <c r="S1062" t="s">
        <v>126</v>
      </c>
      <c r="T1062" t="s">
        <v>125</v>
      </c>
      <c r="U1062" t="s">
        <v>126</v>
      </c>
      <c r="W1062">
        <v>6.59</v>
      </c>
      <c r="Y1062">
        <v>6.59</v>
      </c>
      <c r="AS1062">
        <v>6.59</v>
      </c>
      <c r="BH1062" t="s">
        <v>126</v>
      </c>
      <c r="BI1062" t="s">
        <v>126</v>
      </c>
      <c r="BJ1062" t="s">
        <v>126</v>
      </c>
      <c r="BK1062" t="s">
        <v>126</v>
      </c>
      <c r="BS1062" t="s">
        <v>126</v>
      </c>
      <c r="BT1062" t="s">
        <v>126</v>
      </c>
      <c r="BU1062" t="s">
        <v>126</v>
      </c>
      <c r="BV1062" t="s">
        <v>126</v>
      </c>
      <c r="CN1062" t="s">
        <v>147</v>
      </c>
      <c r="CP1062" t="s">
        <v>484</v>
      </c>
      <c r="CQ1062" t="s">
        <v>147</v>
      </c>
    </row>
    <row r="1063" spans="1:95" x14ac:dyDescent="0.2">
      <c r="A1063" t="s">
        <v>115</v>
      </c>
      <c r="B1063" t="s">
        <v>116</v>
      </c>
      <c r="C1063">
        <v>210784</v>
      </c>
      <c r="E1063" t="s">
        <v>117</v>
      </c>
      <c r="F1063">
        <v>368</v>
      </c>
      <c r="G1063" t="s">
        <v>141</v>
      </c>
      <c r="H1063" t="s">
        <v>142</v>
      </c>
      <c r="I1063" t="s">
        <v>279</v>
      </c>
      <c r="J1063" t="s">
        <v>280</v>
      </c>
      <c r="L1063" s="14">
        <v>45999</v>
      </c>
      <c r="M1063" s="18">
        <f t="shared" si="19"/>
        <v>45992</v>
      </c>
      <c r="N1063">
        <v>5841610</v>
      </c>
      <c r="O1063" t="s">
        <v>123</v>
      </c>
      <c r="P1063" t="s">
        <v>146</v>
      </c>
      <c r="Q1063">
        <v>6.73</v>
      </c>
      <c r="R1063" t="s">
        <v>751</v>
      </c>
      <c r="S1063" t="s">
        <v>126</v>
      </c>
      <c r="T1063" t="s">
        <v>751</v>
      </c>
      <c r="U1063" t="s">
        <v>752</v>
      </c>
      <c r="W1063">
        <v>2.0699999999999998</v>
      </c>
      <c r="X1063">
        <v>4.66</v>
      </c>
      <c r="Y1063">
        <v>6.73</v>
      </c>
      <c r="Z1063">
        <v>2.56</v>
      </c>
      <c r="AG1063">
        <v>2.0699999999999998</v>
      </c>
      <c r="AI1063">
        <v>2.1</v>
      </c>
      <c r="BH1063" t="s">
        <v>126</v>
      </c>
      <c r="BI1063" t="s">
        <v>126</v>
      </c>
      <c r="BJ1063" t="s">
        <v>126</v>
      </c>
      <c r="BK1063" t="s">
        <v>126</v>
      </c>
      <c r="BS1063" t="s">
        <v>126</v>
      </c>
      <c r="BT1063" t="s">
        <v>126</v>
      </c>
      <c r="BU1063" t="s">
        <v>126</v>
      </c>
      <c r="BV1063" t="s">
        <v>126</v>
      </c>
      <c r="CN1063" t="s">
        <v>147</v>
      </c>
      <c r="CP1063" t="s">
        <v>484</v>
      </c>
      <c r="CQ1063" t="s">
        <v>147</v>
      </c>
    </row>
    <row r="1064" spans="1:95" x14ac:dyDescent="0.2">
      <c r="A1064" t="s">
        <v>115</v>
      </c>
      <c r="B1064" t="s">
        <v>116</v>
      </c>
      <c r="C1064">
        <v>210784</v>
      </c>
      <c r="E1064" t="s">
        <v>117</v>
      </c>
      <c r="F1064">
        <v>368</v>
      </c>
      <c r="G1064" t="s">
        <v>141</v>
      </c>
      <c r="H1064" t="s">
        <v>142</v>
      </c>
      <c r="I1064" t="s">
        <v>279</v>
      </c>
      <c r="J1064" t="s">
        <v>280</v>
      </c>
      <c r="L1064" s="14">
        <v>45999</v>
      </c>
      <c r="M1064" s="18">
        <f t="shared" si="19"/>
        <v>45992</v>
      </c>
      <c r="N1064">
        <v>5842294</v>
      </c>
      <c r="O1064" t="s">
        <v>123</v>
      </c>
      <c r="P1064" t="s">
        <v>146</v>
      </c>
      <c r="Q1064">
        <v>4.08</v>
      </c>
      <c r="R1064" t="s">
        <v>125</v>
      </c>
      <c r="S1064" t="s">
        <v>126</v>
      </c>
      <c r="T1064" t="s">
        <v>125</v>
      </c>
      <c r="U1064" t="s">
        <v>126</v>
      </c>
      <c r="W1064">
        <v>4.08</v>
      </c>
      <c r="Y1064">
        <v>4.08</v>
      </c>
      <c r="BE1064">
        <v>4.08</v>
      </c>
      <c r="BH1064" t="s">
        <v>126</v>
      </c>
      <c r="BI1064" t="s">
        <v>126</v>
      </c>
      <c r="BJ1064" t="s">
        <v>126</v>
      </c>
      <c r="BK1064" t="s">
        <v>126</v>
      </c>
      <c r="BS1064" t="s">
        <v>126</v>
      </c>
      <c r="BT1064" t="s">
        <v>126</v>
      </c>
      <c r="BU1064" t="s">
        <v>126</v>
      </c>
      <c r="BV1064" t="s">
        <v>126</v>
      </c>
      <c r="CN1064" t="s">
        <v>147</v>
      </c>
      <c r="CP1064" t="s">
        <v>484</v>
      </c>
      <c r="CQ1064" t="s">
        <v>147</v>
      </c>
    </row>
    <row r="1065" spans="1:95" x14ac:dyDescent="0.2">
      <c r="A1065" t="s">
        <v>115</v>
      </c>
      <c r="B1065" t="s">
        <v>116</v>
      </c>
      <c r="C1065">
        <v>210784</v>
      </c>
      <c r="E1065" t="s">
        <v>117</v>
      </c>
      <c r="F1065">
        <v>368</v>
      </c>
      <c r="G1065" t="s">
        <v>141</v>
      </c>
      <c r="H1065" t="s">
        <v>142</v>
      </c>
      <c r="I1065" t="s">
        <v>279</v>
      </c>
      <c r="J1065" t="s">
        <v>280</v>
      </c>
      <c r="L1065" s="14">
        <v>46000</v>
      </c>
      <c r="M1065" s="18">
        <f t="shared" si="19"/>
        <v>45992</v>
      </c>
      <c r="N1065">
        <v>5842823</v>
      </c>
      <c r="O1065" t="s">
        <v>123</v>
      </c>
      <c r="P1065" t="s">
        <v>146</v>
      </c>
      <c r="Q1065">
        <v>7.23</v>
      </c>
      <c r="R1065" t="s">
        <v>125</v>
      </c>
      <c r="S1065" t="s">
        <v>126</v>
      </c>
      <c r="T1065" t="s">
        <v>125</v>
      </c>
      <c r="U1065" t="s">
        <v>126</v>
      </c>
      <c r="W1065">
        <v>7.23</v>
      </c>
      <c r="Y1065">
        <v>7.23</v>
      </c>
      <c r="AS1065">
        <v>7.23</v>
      </c>
      <c r="BH1065" t="s">
        <v>126</v>
      </c>
      <c r="BI1065" t="s">
        <v>126</v>
      </c>
      <c r="BJ1065" t="s">
        <v>126</v>
      </c>
      <c r="BK1065" t="s">
        <v>126</v>
      </c>
      <c r="BS1065" t="s">
        <v>126</v>
      </c>
      <c r="BT1065" t="s">
        <v>126</v>
      </c>
      <c r="BU1065" t="s">
        <v>126</v>
      </c>
      <c r="BV1065" t="s">
        <v>126</v>
      </c>
      <c r="CN1065" t="s">
        <v>147</v>
      </c>
      <c r="CP1065" t="s">
        <v>484</v>
      </c>
      <c r="CQ1065" t="s">
        <v>147</v>
      </c>
    </row>
    <row r="1066" spans="1:95" x14ac:dyDescent="0.2">
      <c r="A1066" t="s">
        <v>115</v>
      </c>
      <c r="B1066" t="s">
        <v>116</v>
      </c>
      <c r="C1066">
        <v>210784</v>
      </c>
      <c r="E1066" t="s">
        <v>117</v>
      </c>
      <c r="F1066">
        <v>368</v>
      </c>
      <c r="G1066" t="s">
        <v>141</v>
      </c>
      <c r="H1066" t="s">
        <v>142</v>
      </c>
      <c r="I1066" t="s">
        <v>279</v>
      </c>
      <c r="J1066" t="s">
        <v>280</v>
      </c>
      <c r="L1066" s="14">
        <v>46000</v>
      </c>
      <c r="M1066" s="18">
        <f t="shared" si="19"/>
        <v>45992</v>
      </c>
      <c r="N1066">
        <v>5842694</v>
      </c>
      <c r="O1066" t="s">
        <v>123</v>
      </c>
      <c r="P1066" t="s">
        <v>146</v>
      </c>
      <c r="Q1066">
        <v>9.35</v>
      </c>
      <c r="R1066" t="s">
        <v>125</v>
      </c>
      <c r="S1066" t="s">
        <v>126</v>
      </c>
      <c r="T1066" t="s">
        <v>125</v>
      </c>
      <c r="U1066" t="s">
        <v>126</v>
      </c>
      <c r="W1066">
        <v>9.35</v>
      </c>
      <c r="Y1066">
        <v>9.35</v>
      </c>
      <c r="BE1066">
        <v>9.35</v>
      </c>
      <c r="BH1066" t="s">
        <v>126</v>
      </c>
      <c r="BI1066" t="s">
        <v>126</v>
      </c>
      <c r="BJ1066" t="s">
        <v>126</v>
      </c>
      <c r="BK1066" t="s">
        <v>126</v>
      </c>
      <c r="BS1066" t="s">
        <v>126</v>
      </c>
      <c r="BT1066" t="s">
        <v>126</v>
      </c>
      <c r="BU1066" t="s">
        <v>126</v>
      </c>
      <c r="BV1066" t="s">
        <v>126</v>
      </c>
      <c r="CN1066" t="s">
        <v>147</v>
      </c>
      <c r="CP1066" t="s">
        <v>484</v>
      </c>
      <c r="CQ1066" t="s">
        <v>147</v>
      </c>
    </row>
    <row r="1067" spans="1:95" x14ac:dyDescent="0.2">
      <c r="A1067" t="s">
        <v>115</v>
      </c>
      <c r="B1067" t="s">
        <v>116</v>
      </c>
      <c r="C1067">
        <v>210784</v>
      </c>
      <c r="E1067" t="s">
        <v>117</v>
      </c>
      <c r="F1067">
        <v>368</v>
      </c>
      <c r="G1067" t="s">
        <v>141</v>
      </c>
      <c r="H1067" t="s">
        <v>142</v>
      </c>
      <c r="I1067" t="s">
        <v>279</v>
      </c>
      <c r="J1067" t="s">
        <v>280</v>
      </c>
      <c r="L1067" s="14">
        <v>46001</v>
      </c>
      <c r="M1067" s="18">
        <f t="shared" si="19"/>
        <v>45992</v>
      </c>
      <c r="N1067">
        <v>5843872</v>
      </c>
      <c r="O1067" t="s">
        <v>123</v>
      </c>
      <c r="P1067" t="s">
        <v>146</v>
      </c>
      <c r="Q1067">
        <v>5.1943000000000001</v>
      </c>
      <c r="R1067" t="s">
        <v>592</v>
      </c>
      <c r="S1067" t="s">
        <v>126</v>
      </c>
      <c r="T1067" t="s">
        <v>592</v>
      </c>
      <c r="U1067" t="s">
        <v>593</v>
      </c>
      <c r="W1067">
        <v>1.6</v>
      </c>
      <c r="X1067">
        <v>3.5943000000000001</v>
      </c>
      <c r="Y1067">
        <v>5.1943000000000001</v>
      </c>
      <c r="Z1067">
        <v>1.9742999999999999</v>
      </c>
      <c r="AG1067">
        <v>1.6</v>
      </c>
      <c r="AI1067">
        <v>1.62</v>
      </c>
      <c r="BH1067" t="s">
        <v>126</v>
      </c>
      <c r="BI1067" t="s">
        <v>126</v>
      </c>
      <c r="BJ1067" t="s">
        <v>126</v>
      </c>
      <c r="BK1067" t="s">
        <v>126</v>
      </c>
      <c r="BS1067" t="s">
        <v>126</v>
      </c>
      <c r="BT1067" t="s">
        <v>126</v>
      </c>
      <c r="BU1067" t="s">
        <v>126</v>
      </c>
      <c r="BV1067" t="s">
        <v>126</v>
      </c>
      <c r="CN1067" t="s">
        <v>147</v>
      </c>
      <c r="CP1067" t="s">
        <v>484</v>
      </c>
      <c r="CQ1067" t="s">
        <v>147</v>
      </c>
    </row>
    <row r="1068" spans="1:95" x14ac:dyDescent="0.2">
      <c r="A1068" t="s">
        <v>115</v>
      </c>
      <c r="B1068" t="s">
        <v>116</v>
      </c>
      <c r="C1068">
        <v>210784</v>
      </c>
      <c r="E1068" t="s">
        <v>117</v>
      </c>
      <c r="F1068">
        <v>368</v>
      </c>
      <c r="G1068" t="s">
        <v>118</v>
      </c>
      <c r="H1068" t="s">
        <v>119</v>
      </c>
      <c r="I1068" t="s">
        <v>130</v>
      </c>
      <c r="J1068" t="s">
        <v>131</v>
      </c>
      <c r="L1068" s="14">
        <v>46001</v>
      </c>
      <c r="M1068" s="18">
        <f t="shared" si="19"/>
        <v>45992</v>
      </c>
      <c r="N1068">
        <v>7346397</v>
      </c>
      <c r="O1068" t="s">
        <v>123</v>
      </c>
      <c r="P1068" t="s">
        <v>124</v>
      </c>
      <c r="Q1068">
        <v>15.870000000000001</v>
      </c>
      <c r="R1068" t="s">
        <v>125</v>
      </c>
      <c r="S1068" t="s">
        <v>126</v>
      </c>
      <c r="T1068" t="s">
        <v>125</v>
      </c>
      <c r="U1068" t="s">
        <v>126</v>
      </c>
      <c r="W1068">
        <v>15.870000000000001</v>
      </c>
      <c r="Y1068">
        <v>15.870000000000001</v>
      </c>
      <c r="AA1068">
        <v>5.87</v>
      </c>
      <c r="AC1068">
        <v>10</v>
      </c>
      <c r="BH1068" t="s">
        <v>126</v>
      </c>
      <c r="BI1068" t="s">
        <v>126</v>
      </c>
      <c r="BJ1068" t="s">
        <v>126</v>
      </c>
      <c r="BK1068" t="s">
        <v>126</v>
      </c>
      <c r="BS1068" t="s">
        <v>126</v>
      </c>
      <c r="BT1068" t="s">
        <v>126</v>
      </c>
      <c r="BU1068" t="s">
        <v>126</v>
      </c>
      <c r="BV1068" t="s">
        <v>126</v>
      </c>
      <c r="CN1068" t="s">
        <v>127</v>
      </c>
      <c r="CP1068" t="s">
        <v>136</v>
      </c>
      <c r="CQ1068" t="s">
        <v>127</v>
      </c>
    </row>
    <row r="1069" spans="1:95" x14ac:dyDescent="0.2">
      <c r="A1069" t="s">
        <v>115</v>
      </c>
      <c r="B1069" t="s">
        <v>116</v>
      </c>
      <c r="C1069">
        <v>210784</v>
      </c>
      <c r="E1069" t="s">
        <v>117</v>
      </c>
      <c r="F1069">
        <v>368</v>
      </c>
      <c r="G1069" t="s">
        <v>118</v>
      </c>
      <c r="H1069" t="s">
        <v>119</v>
      </c>
      <c r="I1069" t="s">
        <v>120</v>
      </c>
      <c r="J1069" t="s">
        <v>121</v>
      </c>
      <c r="L1069" s="14">
        <v>46002</v>
      </c>
      <c r="M1069" s="18">
        <f t="shared" si="19"/>
        <v>45992</v>
      </c>
      <c r="N1069">
        <v>136416</v>
      </c>
      <c r="O1069" t="s">
        <v>123</v>
      </c>
      <c r="P1069" t="s">
        <v>124</v>
      </c>
      <c r="Q1069">
        <v>10.220000000000001</v>
      </c>
      <c r="R1069" t="s">
        <v>125</v>
      </c>
      <c r="S1069" t="s">
        <v>126</v>
      </c>
      <c r="T1069" t="s">
        <v>125</v>
      </c>
      <c r="U1069" t="s">
        <v>126</v>
      </c>
      <c r="W1069">
        <v>10.220000000000001</v>
      </c>
      <c r="Y1069">
        <v>10.220000000000001</v>
      </c>
      <c r="AC1069">
        <v>10.220000000000001</v>
      </c>
      <c r="BH1069" t="s">
        <v>126</v>
      </c>
      <c r="BI1069" t="s">
        <v>126</v>
      </c>
      <c r="BJ1069" t="s">
        <v>126</v>
      </c>
      <c r="BK1069" t="s">
        <v>126</v>
      </c>
      <c r="BS1069" t="s">
        <v>126</v>
      </c>
      <c r="BT1069" t="s">
        <v>126</v>
      </c>
      <c r="BU1069" t="s">
        <v>126</v>
      </c>
      <c r="BV1069" t="s">
        <v>126</v>
      </c>
      <c r="CN1069" t="s">
        <v>127</v>
      </c>
      <c r="CP1069" t="s">
        <v>128</v>
      </c>
      <c r="CQ1069" t="s">
        <v>127</v>
      </c>
    </row>
    <row r="1070" spans="1:95" x14ac:dyDescent="0.2">
      <c r="A1070" t="s">
        <v>115</v>
      </c>
      <c r="B1070" t="s">
        <v>116</v>
      </c>
      <c r="C1070">
        <v>210784</v>
      </c>
      <c r="E1070" t="s">
        <v>117</v>
      </c>
      <c r="F1070">
        <v>368</v>
      </c>
      <c r="G1070" t="s">
        <v>141</v>
      </c>
      <c r="H1070" t="s">
        <v>142</v>
      </c>
      <c r="I1070" t="s">
        <v>279</v>
      </c>
      <c r="J1070" t="s">
        <v>280</v>
      </c>
      <c r="L1070" s="14">
        <v>46002</v>
      </c>
      <c r="M1070" s="18">
        <f t="shared" si="19"/>
        <v>45992</v>
      </c>
      <c r="N1070">
        <v>5844027</v>
      </c>
      <c r="O1070" t="s">
        <v>123</v>
      </c>
      <c r="P1070" t="s">
        <v>146</v>
      </c>
      <c r="Q1070">
        <v>4.21</v>
      </c>
      <c r="R1070" t="s">
        <v>125</v>
      </c>
      <c r="S1070" t="s">
        <v>126</v>
      </c>
      <c r="T1070" t="s">
        <v>125</v>
      </c>
      <c r="U1070" t="s">
        <v>126</v>
      </c>
      <c r="W1070">
        <v>4.21</v>
      </c>
      <c r="Y1070">
        <v>4.21</v>
      </c>
      <c r="AS1070">
        <v>4.21</v>
      </c>
      <c r="BH1070" t="s">
        <v>126</v>
      </c>
      <c r="BI1070" t="s">
        <v>126</v>
      </c>
      <c r="BJ1070" t="s">
        <v>126</v>
      </c>
      <c r="BK1070" t="s">
        <v>126</v>
      </c>
      <c r="BS1070" t="s">
        <v>126</v>
      </c>
      <c r="BT1070" t="s">
        <v>126</v>
      </c>
      <c r="BU1070" t="s">
        <v>126</v>
      </c>
      <c r="BV1070" t="s">
        <v>126</v>
      </c>
      <c r="CN1070" t="s">
        <v>147</v>
      </c>
      <c r="CP1070" t="s">
        <v>484</v>
      </c>
      <c r="CQ1070" t="s">
        <v>147</v>
      </c>
    </row>
    <row r="1071" spans="1:95" x14ac:dyDescent="0.2">
      <c r="A1071" t="s">
        <v>115</v>
      </c>
      <c r="B1071" t="s">
        <v>116</v>
      </c>
      <c r="C1071">
        <v>210784</v>
      </c>
      <c r="E1071" t="s">
        <v>117</v>
      </c>
      <c r="F1071">
        <v>368</v>
      </c>
      <c r="G1071" t="s">
        <v>118</v>
      </c>
      <c r="H1071" t="s">
        <v>119</v>
      </c>
      <c r="I1071" t="s">
        <v>130</v>
      </c>
      <c r="J1071" t="s">
        <v>131</v>
      </c>
      <c r="L1071" s="14">
        <v>46002</v>
      </c>
      <c r="M1071" s="18">
        <f t="shared" si="19"/>
        <v>45992</v>
      </c>
      <c r="N1071">
        <v>7346616</v>
      </c>
      <c r="O1071" t="s">
        <v>123</v>
      </c>
      <c r="P1071" t="s">
        <v>124</v>
      </c>
      <c r="Q1071">
        <v>10.17</v>
      </c>
      <c r="R1071" t="s">
        <v>125</v>
      </c>
      <c r="S1071" t="s">
        <v>126</v>
      </c>
      <c r="T1071" t="s">
        <v>125</v>
      </c>
      <c r="U1071" t="s">
        <v>126</v>
      </c>
      <c r="W1071">
        <v>10.17</v>
      </c>
      <c r="Y1071">
        <v>10.17</v>
      </c>
      <c r="AA1071">
        <v>4.9996</v>
      </c>
      <c r="AC1071">
        <v>5.1703999999999999</v>
      </c>
      <c r="BH1071" t="s">
        <v>126</v>
      </c>
      <c r="BI1071" t="s">
        <v>126</v>
      </c>
      <c r="BJ1071" t="s">
        <v>126</v>
      </c>
      <c r="BK1071" t="s">
        <v>126</v>
      </c>
      <c r="BS1071" t="s">
        <v>126</v>
      </c>
      <c r="BT1071" t="s">
        <v>126</v>
      </c>
      <c r="BU1071" t="s">
        <v>126</v>
      </c>
      <c r="BV1071" t="s">
        <v>126</v>
      </c>
      <c r="CN1071" t="s">
        <v>127</v>
      </c>
      <c r="CP1071" t="s">
        <v>136</v>
      </c>
      <c r="CQ1071" t="s">
        <v>127</v>
      </c>
    </row>
    <row r="1072" spans="1:95" x14ac:dyDescent="0.2">
      <c r="A1072" t="s">
        <v>115</v>
      </c>
      <c r="B1072" t="s">
        <v>116</v>
      </c>
      <c r="C1072">
        <v>210784</v>
      </c>
      <c r="E1072" t="s">
        <v>117</v>
      </c>
      <c r="F1072">
        <v>368</v>
      </c>
      <c r="G1072" t="s">
        <v>141</v>
      </c>
      <c r="H1072" t="s">
        <v>142</v>
      </c>
      <c r="I1072" t="s">
        <v>279</v>
      </c>
      <c r="J1072" t="s">
        <v>280</v>
      </c>
      <c r="L1072" s="14">
        <v>46002</v>
      </c>
      <c r="M1072" s="18">
        <f t="shared" si="19"/>
        <v>45992</v>
      </c>
      <c r="N1072">
        <v>58444221</v>
      </c>
      <c r="O1072" t="s">
        <v>123</v>
      </c>
      <c r="P1072" t="s">
        <v>146</v>
      </c>
      <c r="Q1072">
        <v>3.78</v>
      </c>
      <c r="R1072" t="s">
        <v>125</v>
      </c>
      <c r="S1072" t="s">
        <v>126</v>
      </c>
      <c r="T1072" t="s">
        <v>125</v>
      </c>
      <c r="U1072" t="s">
        <v>126</v>
      </c>
      <c r="W1072">
        <v>3.78</v>
      </c>
      <c r="Y1072">
        <v>3.78</v>
      </c>
      <c r="BE1072">
        <v>3.78</v>
      </c>
      <c r="BH1072" t="s">
        <v>126</v>
      </c>
      <c r="BI1072" t="s">
        <v>126</v>
      </c>
      <c r="BJ1072" t="s">
        <v>126</v>
      </c>
      <c r="BK1072" t="s">
        <v>126</v>
      </c>
      <c r="BS1072" t="s">
        <v>126</v>
      </c>
      <c r="BT1072" t="s">
        <v>126</v>
      </c>
      <c r="BU1072" t="s">
        <v>126</v>
      </c>
      <c r="BV1072" t="s">
        <v>126</v>
      </c>
      <c r="CN1072" t="s">
        <v>147</v>
      </c>
      <c r="CP1072" t="s">
        <v>484</v>
      </c>
      <c r="CQ1072" t="s">
        <v>147</v>
      </c>
    </row>
    <row r="1073" spans="1:95" x14ac:dyDescent="0.2">
      <c r="A1073" t="s">
        <v>115</v>
      </c>
      <c r="B1073" t="s">
        <v>116</v>
      </c>
      <c r="C1073">
        <v>210784</v>
      </c>
      <c r="E1073" t="s">
        <v>117</v>
      </c>
      <c r="F1073">
        <v>368</v>
      </c>
      <c r="G1073" t="s">
        <v>141</v>
      </c>
      <c r="H1073" t="s">
        <v>142</v>
      </c>
      <c r="I1073" t="s">
        <v>279</v>
      </c>
      <c r="J1073" t="s">
        <v>280</v>
      </c>
      <c r="L1073" s="14">
        <v>46003</v>
      </c>
      <c r="M1073" s="18">
        <f t="shared" si="19"/>
        <v>45992</v>
      </c>
      <c r="N1073">
        <v>5844846</v>
      </c>
      <c r="O1073" t="s">
        <v>123</v>
      </c>
      <c r="P1073" t="s">
        <v>146</v>
      </c>
      <c r="Q1073">
        <v>6.28</v>
      </c>
      <c r="R1073" t="s">
        <v>125</v>
      </c>
      <c r="S1073" t="s">
        <v>126</v>
      </c>
      <c r="T1073" t="s">
        <v>125</v>
      </c>
      <c r="U1073" t="s">
        <v>126</v>
      </c>
      <c r="W1073">
        <v>6.28</v>
      </c>
      <c r="Y1073">
        <v>6.28</v>
      </c>
      <c r="AS1073">
        <v>6.28</v>
      </c>
      <c r="BH1073" t="s">
        <v>126</v>
      </c>
      <c r="BI1073" t="s">
        <v>126</v>
      </c>
      <c r="BJ1073" t="s">
        <v>126</v>
      </c>
      <c r="BK1073" t="s">
        <v>126</v>
      </c>
      <c r="BS1073" t="s">
        <v>126</v>
      </c>
      <c r="BT1073" t="s">
        <v>126</v>
      </c>
      <c r="BU1073" t="s">
        <v>126</v>
      </c>
      <c r="BV1073" t="s">
        <v>126</v>
      </c>
      <c r="CN1073" t="s">
        <v>147</v>
      </c>
      <c r="CP1073" t="s">
        <v>484</v>
      </c>
      <c r="CQ1073" t="s">
        <v>147</v>
      </c>
    </row>
    <row r="1074" spans="1:95" x14ac:dyDescent="0.2">
      <c r="A1074" t="s">
        <v>115</v>
      </c>
      <c r="B1074" t="s">
        <v>116</v>
      </c>
      <c r="C1074">
        <v>210784</v>
      </c>
      <c r="E1074" t="s">
        <v>117</v>
      </c>
      <c r="F1074">
        <v>368</v>
      </c>
      <c r="G1074" t="s">
        <v>141</v>
      </c>
      <c r="H1074" t="s">
        <v>142</v>
      </c>
      <c r="I1074" t="s">
        <v>279</v>
      </c>
      <c r="J1074" t="s">
        <v>280</v>
      </c>
      <c r="L1074" s="14">
        <v>46006</v>
      </c>
      <c r="M1074" s="18">
        <f t="shared" si="19"/>
        <v>45992</v>
      </c>
      <c r="N1074">
        <v>5846280</v>
      </c>
      <c r="O1074" t="s">
        <v>123</v>
      </c>
      <c r="P1074" t="s">
        <v>146</v>
      </c>
      <c r="Q1074">
        <v>4.82</v>
      </c>
      <c r="R1074" t="s">
        <v>125</v>
      </c>
      <c r="S1074" t="s">
        <v>126</v>
      </c>
      <c r="T1074" t="s">
        <v>125</v>
      </c>
      <c r="U1074" t="s">
        <v>126</v>
      </c>
      <c r="W1074">
        <v>4.82</v>
      </c>
      <c r="Y1074">
        <v>4.82</v>
      </c>
      <c r="AS1074">
        <v>4.82</v>
      </c>
      <c r="BH1074" t="s">
        <v>126</v>
      </c>
      <c r="BI1074" t="s">
        <v>126</v>
      </c>
      <c r="BJ1074" t="s">
        <v>126</v>
      </c>
      <c r="BK1074" t="s">
        <v>126</v>
      </c>
      <c r="BS1074" t="s">
        <v>126</v>
      </c>
      <c r="BT1074" t="s">
        <v>126</v>
      </c>
      <c r="BU1074" t="s">
        <v>126</v>
      </c>
      <c r="BV1074" t="s">
        <v>126</v>
      </c>
      <c r="CN1074" t="s">
        <v>147</v>
      </c>
      <c r="CP1074" t="s">
        <v>484</v>
      </c>
      <c r="CQ1074" t="s">
        <v>147</v>
      </c>
    </row>
    <row r="1075" spans="1:95" x14ac:dyDescent="0.2">
      <c r="A1075" t="s">
        <v>115</v>
      </c>
      <c r="B1075" t="s">
        <v>116</v>
      </c>
      <c r="C1075">
        <v>210784</v>
      </c>
      <c r="E1075" t="s">
        <v>117</v>
      </c>
      <c r="F1075">
        <v>368</v>
      </c>
      <c r="G1075" t="s">
        <v>141</v>
      </c>
      <c r="H1075" t="s">
        <v>142</v>
      </c>
      <c r="I1075" t="s">
        <v>279</v>
      </c>
      <c r="J1075" t="s">
        <v>280</v>
      </c>
      <c r="L1075" s="14">
        <v>46006</v>
      </c>
      <c r="M1075" s="18">
        <f t="shared" si="19"/>
        <v>45992</v>
      </c>
      <c r="N1075">
        <v>5846125</v>
      </c>
      <c r="O1075" t="s">
        <v>123</v>
      </c>
      <c r="P1075" t="s">
        <v>146</v>
      </c>
      <c r="Q1075">
        <v>5.63</v>
      </c>
      <c r="R1075" t="s">
        <v>644</v>
      </c>
      <c r="S1075" t="s">
        <v>126</v>
      </c>
      <c r="T1075" t="s">
        <v>644</v>
      </c>
      <c r="U1075" t="s">
        <v>645</v>
      </c>
      <c r="W1075">
        <v>1.74</v>
      </c>
      <c r="X1075">
        <v>3.89</v>
      </c>
      <c r="Y1075">
        <v>5.63</v>
      </c>
      <c r="Z1075">
        <v>2.14</v>
      </c>
      <c r="AG1075">
        <v>1.74</v>
      </c>
      <c r="AI1075">
        <v>1.75</v>
      </c>
      <c r="BH1075" t="s">
        <v>126</v>
      </c>
      <c r="BI1075" t="s">
        <v>126</v>
      </c>
      <c r="BJ1075" t="s">
        <v>126</v>
      </c>
      <c r="BK1075" t="s">
        <v>126</v>
      </c>
      <c r="BS1075" t="s">
        <v>126</v>
      </c>
      <c r="BT1075" t="s">
        <v>126</v>
      </c>
      <c r="BU1075" t="s">
        <v>126</v>
      </c>
      <c r="BV1075" t="s">
        <v>126</v>
      </c>
      <c r="CN1075" t="s">
        <v>147</v>
      </c>
      <c r="CP1075" t="s">
        <v>484</v>
      </c>
      <c r="CQ1075" t="s">
        <v>147</v>
      </c>
    </row>
    <row r="1076" spans="1:95" x14ac:dyDescent="0.2">
      <c r="A1076" t="s">
        <v>115</v>
      </c>
      <c r="B1076" t="s">
        <v>116</v>
      </c>
      <c r="C1076">
        <v>210784</v>
      </c>
      <c r="E1076" t="s">
        <v>117</v>
      </c>
      <c r="F1076">
        <v>368</v>
      </c>
      <c r="G1076" t="s">
        <v>141</v>
      </c>
      <c r="H1076" t="s">
        <v>142</v>
      </c>
      <c r="I1076" t="s">
        <v>279</v>
      </c>
      <c r="J1076" t="s">
        <v>280</v>
      </c>
      <c r="L1076" s="14">
        <v>46007</v>
      </c>
      <c r="M1076" s="18">
        <f t="shared" si="19"/>
        <v>45992</v>
      </c>
      <c r="N1076">
        <v>5847101</v>
      </c>
      <c r="O1076" t="s">
        <v>123</v>
      </c>
      <c r="P1076" t="s">
        <v>146</v>
      </c>
      <c r="Q1076">
        <v>1.8574999999999999</v>
      </c>
      <c r="R1076" t="s">
        <v>586</v>
      </c>
      <c r="S1076" t="s">
        <v>126</v>
      </c>
      <c r="T1076" t="s">
        <v>586</v>
      </c>
      <c r="U1076" t="s">
        <v>587</v>
      </c>
      <c r="W1076">
        <v>0.56999999999999995</v>
      </c>
      <c r="X1076">
        <v>1.2875000000000001</v>
      </c>
      <c r="Y1076">
        <v>1.8574999999999999</v>
      </c>
      <c r="Z1076">
        <v>0.70750000000000002</v>
      </c>
      <c r="AG1076">
        <v>0.56999999999999995</v>
      </c>
      <c r="AI1076">
        <v>0.57999999999999996</v>
      </c>
      <c r="BH1076" t="s">
        <v>126</v>
      </c>
      <c r="BI1076" t="s">
        <v>126</v>
      </c>
      <c r="BJ1076" t="s">
        <v>126</v>
      </c>
      <c r="BK1076" t="s">
        <v>126</v>
      </c>
      <c r="BS1076" t="s">
        <v>126</v>
      </c>
      <c r="BT1076" t="s">
        <v>126</v>
      </c>
      <c r="BU1076" t="s">
        <v>126</v>
      </c>
      <c r="BV1076" t="s">
        <v>126</v>
      </c>
      <c r="CN1076" t="s">
        <v>147</v>
      </c>
      <c r="CP1076" t="s">
        <v>484</v>
      </c>
      <c r="CQ1076" t="s">
        <v>147</v>
      </c>
    </row>
    <row r="1077" spans="1:95" x14ac:dyDescent="0.2">
      <c r="A1077" t="s">
        <v>115</v>
      </c>
      <c r="B1077" t="s">
        <v>116</v>
      </c>
      <c r="C1077">
        <v>210784</v>
      </c>
      <c r="E1077" t="s">
        <v>117</v>
      </c>
      <c r="F1077">
        <v>368</v>
      </c>
      <c r="G1077" t="s">
        <v>141</v>
      </c>
      <c r="H1077" t="s">
        <v>142</v>
      </c>
      <c r="I1077" t="s">
        <v>279</v>
      </c>
      <c r="J1077" t="s">
        <v>280</v>
      </c>
      <c r="L1077" s="14">
        <v>46007</v>
      </c>
      <c r="M1077" s="18">
        <f t="shared" si="19"/>
        <v>45992</v>
      </c>
      <c r="N1077">
        <v>5847195</v>
      </c>
      <c r="O1077" t="s">
        <v>123</v>
      </c>
      <c r="P1077" t="s">
        <v>146</v>
      </c>
      <c r="Q1077">
        <v>2.036</v>
      </c>
      <c r="R1077" t="s">
        <v>631</v>
      </c>
      <c r="S1077" t="s">
        <v>126</v>
      </c>
      <c r="T1077" t="s">
        <v>631</v>
      </c>
      <c r="U1077" t="s">
        <v>632</v>
      </c>
      <c r="W1077">
        <v>0.63</v>
      </c>
      <c r="X1077">
        <v>1.4060000000000001</v>
      </c>
      <c r="Y1077">
        <v>2.036</v>
      </c>
      <c r="Z1077">
        <v>0.77600000000000002</v>
      </c>
      <c r="AG1077">
        <v>0.63</v>
      </c>
      <c r="AI1077">
        <v>0.63</v>
      </c>
      <c r="BH1077" t="s">
        <v>126</v>
      </c>
      <c r="BI1077" t="s">
        <v>126</v>
      </c>
      <c r="BJ1077" t="s">
        <v>126</v>
      </c>
      <c r="BK1077" t="s">
        <v>126</v>
      </c>
      <c r="BS1077" t="s">
        <v>126</v>
      </c>
      <c r="BT1077" t="s">
        <v>126</v>
      </c>
      <c r="BU1077" t="s">
        <v>126</v>
      </c>
      <c r="BV1077" t="s">
        <v>126</v>
      </c>
      <c r="CN1077" t="s">
        <v>147</v>
      </c>
      <c r="CP1077" t="s">
        <v>484</v>
      </c>
      <c r="CQ1077" t="s">
        <v>147</v>
      </c>
    </row>
    <row r="1078" spans="1:95" x14ac:dyDescent="0.2">
      <c r="A1078" t="s">
        <v>115</v>
      </c>
      <c r="B1078" t="s">
        <v>116</v>
      </c>
      <c r="C1078">
        <v>210784</v>
      </c>
      <c r="E1078" t="s">
        <v>117</v>
      </c>
      <c r="F1078">
        <v>368</v>
      </c>
      <c r="G1078" t="s">
        <v>141</v>
      </c>
      <c r="H1078" t="s">
        <v>142</v>
      </c>
      <c r="I1078" t="s">
        <v>279</v>
      </c>
      <c r="J1078" t="s">
        <v>280</v>
      </c>
      <c r="L1078" s="14">
        <v>46009</v>
      </c>
      <c r="M1078" s="18">
        <f t="shared" si="19"/>
        <v>45992</v>
      </c>
      <c r="N1078">
        <v>5848673</v>
      </c>
      <c r="O1078" t="s">
        <v>123</v>
      </c>
      <c r="P1078" t="s">
        <v>146</v>
      </c>
      <c r="Q1078">
        <v>5.82</v>
      </c>
      <c r="R1078" t="s">
        <v>125</v>
      </c>
      <c r="S1078" t="s">
        <v>126</v>
      </c>
      <c r="T1078" t="s">
        <v>125</v>
      </c>
      <c r="U1078" t="s">
        <v>126</v>
      </c>
      <c r="W1078">
        <v>5.82</v>
      </c>
      <c r="Y1078">
        <v>5.82</v>
      </c>
      <c r="AS1078">
        <v>5.82</v>
      </c>
      <c r="BH1078" t="s">
        <v>126</v>
      </c>
      <c r="BI1078" t="s">
        <v>126</v>
      </c>
      <c r="BJ1078" t="s">
        <v>126</v>
      </c>
      <c r="BK1078" t="s">
        <v>126</v>
      </c>
      <c r="BS1078" t="s">
        <v>126</v>
      </c>
      <c r="BT1078" t="s">
        <v>126</v>
      </c>
      <c r="BU1078" t="s">
        <v>126</v>
      </c>
      <c r="BV1078" t="s">
        <v>126</v>
      </c>
      <c r="CN1078" t="s">
        <v>147</v>
      </c>
      <c r="CP1078" t="s">
        <v>484</v>
      </c>
      <c r="CQ1078" t="s">
        <v>147</v>
      </c>
    </row>
    <row r="1079" spans="1:95" x14ac:dyDescent="0.2">
      <c r="A1079" t="s">
        <v>115</v>
      </c>
      <c r="B1079" t="s">
        <v>116</v>
      </c>
      <c r="C1079">
        <v>210784</v>
      </c>
      <c r="E1079" t="s">
        <v>117</v>
      </c>
      <c r="F1079">
        <v>368</v>
      </c>
      <c r="G1079" t="s">
        <v>141</v>
      </c>
      <c r="H1079" t="s">
        <v>142</v>
      </c>
      <c r="I1079" t="s">
        <v>279</v>
      </c>
      <c r="J1079" t="s">
        <v>280</v>
      </c>
      <c r="L1079" s="14">
        <v>46010</v>
      </c>
      <c r="M1079" s="18">
        <f t="shared" si="19"/>
        <v>45992</v>
      </c>
      <c r="N1079">
        <v>5849073</v>
      </c>
      <c r="O1079" t="s">
        <v>123</v>
      </c>
      <c r="P1079" t="s">
        <v>146</v>
      </c>
      <c r="Q1079">
        <v>0.96900000000000008</v>
      </c>
      <c r="R1079" t="s">
        <v>657</v>
      </c>
      <c r="S1079" t="s">
        <v>126</v>
      </c>
      <c r="T1079" t="s">
        <v>657</v>
      </c>
      <c r="U1079" t="s">
        <v>658</v>
      </c>
      <c r="W1079">
        <v>0.3</v>
      </c>
      <c r="X1079">
        <v>0.66900000000000004</v>
      </c>
      <c r="Y1079">
        <v>0.96900000000000008</v>
      </c>
      <c r="Z1079">
        <v>0.36899999999999999</v>
      </c>
      <c r="AG1079">
        <v>0.3</v>
      </c>
      <c r="AI1079">
        <v>0.3</v>
      </c>
      <c r="BH1079" t="s">
        <v>126</v>
      </c>
      <c r="BI1079" t="s">
        <v>126</v>
      </c>
      <c r="BJ1079" t="s">
        <v>126</v>
      </c>
      <c r="BK1079" t="s">
        <v>126</v>
      </c>
      <c r="BS1079" t="s">
        <v>126</v>
      </c>
      <c r="BT1079" t="s">
        <v>126</v>
      </c>
      <c r="BU1079" t="s">
        <v>126</v>
      </c>
      <c r="BV1079" t="s">
        <v>126</v>
      </c>
      <c r="CN1079" t="s">
        <v>147</v>
      </c>
      <c r="CP1079" t="s">
        <v>484</v>
      </c>
      <c r="CQ1079" t="s">
        <v>147</v>
      </c>
    </row>
    <row r="1080" spans="1:95" x14ac:dyDescent="0.2">
      <c r="A1080" t="s">
        <v>115</v>
      </c>
      <c r="B1080" t="s">
        <v>116</v>
      </c>
      <c r="C1080">
        <v>210784</v>
      </c>
      <c r="E1080" t="s">
        <v>117</v>
      </c>
      <c r="F1080">
        <v>368</v>
      </c>
      <c r="G1080" t="s">
        <v>141</v>
      </c>
      <c r="H1080" t="s">
        <v>142</v>
      </c>
      <c r="I1080" t="s">
        <v>279</v>
      </c>
      <c r="J1080" t="s">
        <v>280</v>
      </c>
      <c r="L1080" s="14">
        <v>46010</v>
      </c>
      <c r="M1080" s="18">
        <f t="shared" si="19"/>
        <v>45992</v>
      </c>
      <c r="N1080">
        <v>5848804</v>
      </c>
      <c r="O1080" t="s">
        <v>123</v>
      </c>
      <c r="P1080" t="s">
        <v>146</v>
      </c>
      <c r="Q1080">
        <v>9.91</v>
      </c>
      <c r="R1080" t="s">
        <v>125</v>
      </c>
      <c r="S1080" t="s">
        <v>126</v>
      </c>
      <c r="T1080" t="s">
        <v>125</v>
      </c>
      <c r="U1080" t="s">
        <v>126</v>
      </c>
      <c r="W1080">
        <v>9.91</v>
      </c>
      <c r="Y1080">
        <v>9.91</v>
      </c>
      <c r="BE1080">
        <v>9.91</v>
      </c>
      <c r="BH1080" t="s">
        <v>126</v>
      </c>
      <c r="BI1080" t="s">
        <v>126</v>
      </c>
      <c r="BJ1080" t="s">
        <v>126</v>
      </c>
      <c r="BK1080" t="s">
        <v>126</v>
      </c>
      <c r="BS1080" t="s">
        <v>126</v>
      </c>
      <c r="BT1080" t="s">
        <v>126</v>
      </c>
      <c r="BU1080" t="s">
        <v>126</v>
      </c>
      <c r="BV1080" t="s">
        <v>126</v>
      </c>
      <c r="CN1080" t="s">
        <v>147</v>
      </c>
      <c r="CP1080" t="s">
        <v>484</v>
      </c>
      <c r="CQ1080" t="s">
        <v>147</v>
      </c>
    </row>
    <row r="1081" spans="1:95" x14ac:dyDescent="0.2">
      <c r="A1081" t="s">
        <v>115</v>
      </c>
      <c r="B1081" t="s">
        <v>116</v>
      </c>
      <c r="C1081">
        <v>210784</v>
      </c>
      <c r="E1081" t="s">
        <v>117</v>
      </c>
      <c r="F1081">
        <v>368</v>
      </c>
      <c r="G1081" t="s">
        <v>141</v>
      </c>
      <c r="H1081" t="s">
        <v>142</v>
      </c>
      <c r="I1081" t="s">
        <v>279</v>
      </c>
      <c r="J1081" t="s">
        <v>280</v>
      </c>
      <c r="L1081" s="14">
        <v>46014</v>
      </c>
      <c r="M1081" s="18">
        <f t="shared" si="19"/>
        <v>45992</v>
      </c>
      <c r="N1081">
        <v>5850582</v>
      </c>
      <c r="O1081" t="s">
        <v>123</v>
      </c>
      <c r="P1081" t="s">
        <v>146</v>
      </c>
      <c r="Q1081">
        <v>0.76750000000000007</v>
      </c>
      <c r="R1081" t="s">
        <v>623</v>
      </c>
      <c r="S1081" t="s">
        <v>126</v>
      </c>
      <c r="T1081" t="s">
        <v>623</v>
      </c>
      <c r="U1081" t="s">
        <v>624</v>
      </c>
      <c r="W1081">
        <v>0.23730000000000001</v>
      </c>
      <c r="X1081">
        <v>0.5302</v>
      </c>
      <c r="Y1081">
        <v>0.76750000000000007</v>
      </c>
      <c r="Z1081">
        <v>0.29289999999999999</v>
      </c>
      <c r="AG1081">
        <v>0.23730000000000001</v>
      </c>
      <c r="AI1081">
        <v>0.23730000000000001</v>
      </c>
      <c r="BH1081" t="s">
        <v>126</v>
      </c>
      <c r="BI1081" t="s">
        <v>126</v>
      </c>
      <c r="BJ1081" t="s">
        <v>126</v>
      </c>
      <c r="BK1081" t="s">
        <v>126</v>
      </c>
      <c r="BS1081" t="s">
        <v>126</v>
      </c>
      <c r="BT1081" t="s">
        <v>126</v>
      </c>
      <c r="BU1081" t="s">
        <v>126</v>
      </c>
      <c r="BV1081" t="s">
        <v>126</v>
      </c>
      <c r="CN1081" t="s">
        <v>147</v>
      </c>
      <c r="CP1081" t="s">
        <v>484</v>
      </c>
      <c r="CQ1081" t="s">
        <v>147</v>
      </c>
    </row>
    <row r="1082" spans="1:95" x14ac:dyDescent="0.2">
      <c r="A1082" t="s">
        <v>115</v>
      </c>
      <c r="B1082" t="s">
        <v>116</v>
      </c>
      <c r="C1082">
        <v>210784</v>
      </c>
      <c r="E1082" t="s">
        <v>117</v>
      </c>
      <c r="F1082">
        <v>368</v>
      </c>
      <c r="G1082" t="s">
        <v>141</v>
      </c>
      <c r="H1082" t="s">
        <v>142</v>
      </c>
      <c r="I1082" t="s">
        <v>279</v>
      </c>
      <c r="J1082" t="s">
        <v>280</v>
      </c>
      <c r="L1082" s="14">
        <v>46014</v>
      </c>
      <c r="M1082" s="18">
        <f t="shared" si="19"/>
        <v>45992</v>
      </c>
      <c r="N1082">
        <v>5850604</v>
      </c>
      <c r="O1082" t="s">
        <v>123</v>
      </c>
      <c r="P1082" t="s">
        <v>146</v>
      </c>
      <c r="Q1082">
        <v>5.15</v>
      </c>
      <c r="R1082" t="s">
        <v>669</v>
      </c>
      <c r="S1082" t="s">
        <v>126</v>
      </c>
      <c r="T1082" t="s">
        <v>669</v>
      </c>
      <c r="U1082" t="s">
        <v>670</v>
      </c>
      <c r="W1082">
        <v>1.59</v>
      </c>
      <c r="X1082">
        <v>3.56</v>
      </c>
      <c r="Y1082">
        <v>5.15</v>
      </c>
      <c r="Z1082">
        <v>1.96</v>
      </c>
      <c r="AG1082">
        <v>1.59</v>
      </c>
      <c r="AI1082">
        <v>1.6</v>
      </c>
      <c r="BH1082" t="s">
        <v>126</v>
      </c>
      <c r="BI1082" t="s">
        <v>126</v>
      </c>
      <c r="BJ1082" t="s">
        <v>126</v>
      </c>
      <c r="BK1082" t="s">
        <v>126</v>
      </c>
      <c r="BS1082" t="s">
        <v>126</v>
      </c>
      <c r="BT1082" t="s">
        <v>126</v>
      </c>
      <c r="BU1082" t="s">
        <v>126</v>
      </c>
      <c r="BV1082" t="s">
        <v>126</v>
      </c>
      <c r="CN1082" t="s">
        <v>147</v>
      </c>
      <c r="CP1082" t="s">
        <v>484</v>
      </c>
      <c r="CQ1082" t="s">
        <v>147</v>
      </c>
    </row>
    <row r="1083" spans="1:95" x14ac:dyDescent="0.2">
      <c r="A1083" t="s">
        <v>115</v>
      </c>
      <c r="B1083" t="s">
        <v>116</v>
      </c>
      <c r="C1083">
        <v>210784</v>
      </c>
      <c r="E1083" t="s">
        <v>117</v>
      </c>
      <c r="F1083">
        <v>368</v>
      </c>
      <c r="G1083" t="s">
        <v>141</v>
      </c>
      <c r="H1083" t="s">
        <v>142</v>
      </c>
      <c r="I1083" t="s">
        <v>279</v>
      </c>
      <c r="J1083" t="s">
        <v>280</v>
      </c>
      <c r="L1083" s="14">
        <v>46014</v>
      </c>
      <c r="M1083" s="18">
        <f t="shared" si="19"/>
        <v>45992</v>
      </c>
      <c r="N1083">
        <v>5851264</v>
      </c>
      <c r="O1083" t="s">
        <v>123</v>
      </c>
      <c r="P1083" t="s">
        <v>146</v>
      </c>
      <c r="Q1083">
        <v>0.98</v>
      </c>
      <c r="R1083" t="s">
        <v>774</v>
      </c>
      <c r="S1083" t="s">
        <v>126</v>
      </c>
      <c r="T1083" t="s">
        <v>774</v>
      </c>
      <c r="U1083" t="s">
        <v>775</v>
      </c>
      <c r="W1083">
        <v>0.3</v>
      </c>
      <c r="X1083">
        <v>0.67999999999999994</v>
      </c>
      <c r="Y1083">
        <v>0.98</v>
      </c>
      <c r="Z1083">
        <v>0.37</v>
      </c>
      <c r="AG1083">
        <v>0.3</v>
      </c>
      <c r="AI1083">
        <v>0.31</v>
      </c>
      <c r="BH1083" t="s">
        <v>126</v>
      </c>
      <c r="BI1083" t="s">
        <v>126</v>
      </c>
      <c r="BJ1083" t="s">
        <v>126</v>
      </c>
      <c r="BK1083" t="s">
        <v>126</v>
      </c>
      <c r="BS1083" t="s">
        <v>126</v>
      </c>
      <c r="BT1083" t="s">
        <v>126</v>
      </c>
      <c r="BU1083" t="s">
        <v>126</v>
      </c>
      <c r="BV1083" t="s">
        <v>126</v>
      </c>
      <c r="CN1083" t="s">
        <v>147</v>
      </c>
      <c r="CP1083" t="s">
        <v>484</v>
      </c>
      <c r="CQ1083" t="s">
        <v>147</v>
      </c>
    </row>
    <row r="1084" spans="1:95" x14ac:dyDescent="0.2">
      <c r="A1084" t="s">
        <v>115</v>
      </c>
      <c r="B1084" t="s">
        <v>116</v>
      </c>
      <c r="C1084">
        <v>210784</v>
      </c>
      <c r="E1084" t="s">
        <v>117</v>
      </c>
      <c r="F1084">
        <v>368</v>
      </c>
      <c r="G1084" t="s">
        <v>141</v>
      </c>
      <c r="H1084" t="s">
        <v>142</v>
      </c>
      <c r="I1084" t="s">
        <v>279</v>
      </c>
      <c r="J1084" t="s">
        <v>280</v>
      </c>
      <c r="L1084" s="14">
        <v>46015</v>
      </c>
      <c r="M1084" s="18">
        <f t="shared" si="19"/>
        <v>45992</v>
      </c>
      <c r="N1084">
        <v>5851782</v>
      </c>
      <c r="O1084" t="s">
        <v>123</v>
      </c>
      <c r="P1084" t="s">
        <v>146</v>
      </c>
      <c r="Q1084">
        <v>5.81</v>
      </c>
      <c r="R1084" t="s">
        <v>125</v>
      </c>
      <c r="S1084" t="s">
        <v>126</v>
      </c>
      <c r="T1084" t="s">
        <v>125</v>
      </c>
      <c r="U1084" t="s">
        <v>126</v>
      </c>
      <c r="W1084">
        <v>5.81</v>
      </c>
      <c r="Y1084">
        <v>5.81</v>
      </c>
      <c r="BE1084">
        <v>5.81</v>
      </c>
      <c r="BH1084" t="s">
        <v>126</v>
      </c>
      <c r="BI1084" t="s">
        <v>126</v>
      </c>
      <c r="BJ1084" t="s">
        <v>126</v>
      </c>
      <c r="BK1084" t="s">
        <v>126</v>
      </c>
      <c r="BS1084" t="s">
        <v>126</v>
      </c>
      <c r="BT1084" t="s">
        <v>126</v>
      </c>
      <c r="BU1084" t="s">
        <v>126</v>
      </c>
      <c r="BV1084" t="s">
        <v>126</v>
      </c>
      <c r="CN1084" t="s">
        <v>147</v>
      </c>
      <c r="CP1084" t="s">
        <v>484</v>
      </c>
      <c r="CQ1084" t="s">
        <v>147</v>
      </c>
    </row>
    <row r="1085" spans="1:95" x14ac:dyDescent="0.2">
      <c r="A1085" t="s">
        <v>115</v>
      </c>
      <c r="B1085" t="s">
        <v>116</v>
      </c>
      <c r="C1085">
        <v>210784</v>
      </c>
      <c r="E1085" t="s">
        <v>117</v>
      </c>
      <c r="F1085">
        <v>368</v>
      </c>
      <c r="G1085" t="s">
        <v>141</v>
      </c>
      <c r="H1085" t="s">
        <v>142</v>
      </c>
      <c r="I1085" t="s">
        <v>279</v>
      </c>
      <c r="J1085" t="s">
        <v>280</v>
      </c>
      <c r="L1085" s="14">
        <v>46020</v>
      </c>
      <c r="M1085" s="18">
        <f t="shared" si="19"/>
        <v>45992</v>
      </c>
      <c r="N1085">
        <v>5853562</v>
      </c>
      <c r="O1085" t="s">
        <v>123</v>
      </c>
      <c r="P1085" t="s">
        <v>146</v>
      </c>
      <c r="Q1085">
        <v>1.6901000000000002</v>
      </c>
      <c r="R1085" t="s">
        <v>559</v>
      </c>
      <c r="S1085" t="s">
        <v>126</v>
      </c>
      <c r="T1085" t="s">
        <v>559</v>
      </c>
      <c r="U1085" t="s">
        <v>560</v>
      </c>
      <c r="W1085">
        <v>0.52090000000000003</v>
      </c>
      <c r="X1085">
        <v>1.1692</v>
      </c>
      <c r="Y1085">
        <v>1.6901000000000002</v>
      </c>
      <c r="Z1085">
        <v>0.64290000000000003</v>
      </c>
      <c r="AG1085">
        <v>0.52090000000000003</v>
      </c>
      <c r="AI1085">
        <v>0.52629999999999999</v>
      </c>
      <c r="BH1085" t="s">
        <v>126</v>
      </c>
      <c r="BI1085" t="s">
        <v>126</v>
      </c>
      <c r="BJ1085" t="s">
        <v>126</v>
      </c>
      <c r="BK1085" t="s">
        <v>126</v>
      </c>
      <c r="BS1085" t="s">
        <v>126</v>
      </c>
      <c r="BT1085" t="s">
        <v>126</v>
      </c>
      <c r="BU1085" t="s">
        <v>126</v>
      </c>
      <c r="BV1085" t="s">
        <v>126</v>
      </c>
      <c r="CN1085" t="s">
        <v>147</v>
      </c>
      <c r="CP1085" t="s">
        <v>490</v>
      </c>
      <c r="CQ1085" t="s">
        <v>147</v>
      </c>
    </row>
    <row r="1086" spans="1:95" x14ac:dyDescent="0.2">
      <c r="A1086" t="s">
        <v>115</v>
      </c>
      <c r="B1086" t="s">
        <v>116</v>
      </c>
      <c r="C1086">
        <v>210784</v>
      </c>
      <c r="E1086" t="s">
        <v>117</v>
      </c>
      <c r="F1086">
        <v>368</v>
      </c>
      <c r="G1086" t="s">
        <v>141</v>
      </c>
      <c r="H1086" t="s">
        <v>142</v>
      </c>
      <c r="I1086" t="s">
        <v>279</v>
      </c>
      <c r="J1086" t="s">
        <v>280</v>
      </c>
      <c r="L1086" s="14">
        <v>46020</v>
      </c>
      <c r="M1086" s="18">
        <f t="shared" si="19"/>
        <v>45992</v>
      </c>
      <c r="N1086">
        <v>5853423</v>
      </c>
      <c r="O1086" t="s">
        <v>123</v>
      </c>
      <c r="P1086" t="s">
        <v>146</v>
      </c>
      <c r="Q1086">
        <v>2.68</v>
      </c>
      <c r="R1086" t="s">
        <v>125</v>
      </c>
      <c r="S1086" t="s">
        <v>126</v>
      </c>
      <c r="T1086" t="s">
        <v>125</v>
      </c>
      <c r="U1086" t="s">
        <v>126</v>
      </c>
      <c r="W1086">
        <v>2.68</v>
      </c>
      <c r="Y1086">
        <v>2.68</v>
      </c>
      <c r="BE1086">
        <v>2.68</v>
      </c>
      <c r="BH1086" t="s">
        <v>126</v>
      </c>
      <c r="BI1086" t="s">
        <v>126</v>
      </c>
      <c r="BJ1086" t="s">
        <v>126</v>
      </c>
      <c r="BK1086" t="s">
        <v>126</v>
      </c>
      <c r="BS1086" t="s">
        <v>126</v>
      </c>
      <c r="BT1086" t="s">
        <v>126</v>
      </c>
      <c r="BU1086" t="s">
        <v>126</v>
      </c>
      <c r="BV1086" t="s">
        <v>126</v>
      </c>
      <c r="CN1086" t="s">
        <v>147</v>
      </c>
      <c r="CP1086" t="s">
        <v>490</v>
      </c>
      <c r="CQ1086" t="s">
        <v>147</v>
      </c>
    </row>
    <row r="1087" spans="1:95" x14ac:dyDescent="0.2">
      <c r="A1087" t="s">
        <v>115</v>
      </c>
      <c r="B1087" t="s">
        <v>116</v>
      </c>
      <c r="C1087">
        <v>210784</v>
      </c>
      <c r="E1087" t="s">
        <v>117</v>
      </c>
      <c r="F1087">
        <v>368</v>
      </c>
      <c r="G1087" t="s">
        <v>141</v>
      </c>
      <c r="H1087" t="s">
        <v>142</v>
      </c>
      <c r="I1087" t="s">
        <v>279</v>
      </c>
      <c r="J1087" t="s">
        <v>280</v>
      </c>
      <c r="L1087" s="14">
        <v>46021</v>
      </c>
      <c r="M1087" s="18">
        <f t="shared" si="19"/>
        <v>45992</v>
      </c>
      <c r="N1087">
        <v>5854840</v>
      </c>
      <c r="O1087" t="s">
        <v>123</v>
      </c>
      <c r="P1087" t="s">
        <v>146</v>
      </c>
      <c r="Q1087">
        <v>6.58</v>
      </c>
      <c r="R1087" t="s">
        <v>559</v>
      </c>
      <c r="S1087" t="s">
        <v>126</v>
      </c>
      <c r="T1087" t="s">
        <v>559</v>
      </c>
      <c r="U1087" t="s">
        <v>560</v>
      </c>
      <c r="W1087">
        <v>2.028</v>
      </c>
      <c r="X1087">
        <v>4.5519999999999996</v>
      </c>
      <c r="Y1087">
        <v>6.58</v>
      </c>
      <c r="Z1087">
        <v>2.5030000000000001</v>
      </c>
      <c r="AG1087">
        <v>2.028</v>
      </c>
      <c r="AI1087">
        <v>2.0489999999999999</v>
      </c>
      <c r="BH1087" t="s">
        <v>126</v>
      </c>
      <c r="BI1087" t="s">
        <v>126</v>
      </c>
      <c r="BJ1087" t="s">
        <v>126</v>
      </c>
      <c r="BK1087" t="s">
        <v>126</v>
      </c>
      <c r="BS1087" t="s">
        <v>126</v>
      </c>
      <c r="BT1087" t="s">
        <v>126</v>
      </c>
      <c r="BU1087" t="s">
        <v>126</v>
      </c>
      <c r="BV1087" t="s">
        <v>126</v>
      </c>
      <c r="CN1087" t="s">
        <v>147</v>
      </c>
      <c r="CP1087" t="s">
        <v>490</v>
      </c>
      <c r="CQ1087" t="s">
        <v>147</v>
      </c>
    </row>
    <row r="1088" spans="1:95" x14ac:dyDescent="0.2">
      <c r="A1088" t="s">
        <v>115</v>
      </c>
      <c r="B1088" t="s">
        <v>116</v>
      </c>
      <c r="C1088">
        <v>210784</v>
      </c>
      <c r="E1088" t="s">
        <v>117</v>
      </c>
      <c r="F1088">
        <v>368</v>
      </c>
      <c r="G1088" t="s">
        <v>141</v>
      </c>
      <c r="H1088" t="s">
        <v>142</v>
      </c>
      <c r="I1088" t="s">
        <v>279</v>
      </c>
      <c r="J1088" t="s">
        <v>280</v>
      </c>
      <c r="L1088" s="14">
        <v>46021</v>
      </c>
      <c r="M1088" s="18">
        <f t="shared" si="19"/>
        <v>45992</v>
      </c>
      <c r="N1088">
        <v>5854794</v>
      </c>
      <c r="O1088" t="s">
        <v>123</v>
      </c>
      <c r="P1088" t="s">
        <v>146</v>
      </c>
      <c r="Q1088">
        <v>5.54</v>
      </c>
      <c r="R1088" t="s">
        <v>125</v>
      </c>
      <c r="S1088" t="s">
        <v>126</v>
      </c>
      <c r="T1088" t="s">
        <v>125</v>
      </c>
      <c r="U1088" t="s">
        <v>126</v>
      </c>
      <c r="W1088">
        <v>5.54</v>
      </c>
      <c r="Y1088">
        <v>5.54</v>
      </c>
      <c r="BE1088">
        <v>5.54</v>
      </c>
      <c r="BH1088" t="s">
        <v>126</v>
      </c>
      <c r="BI1088" t="s">
        <v>126</v>
      </c>
      <c r="BJ1088" t="s">
        <v>126</v>
      </c>
      <c r="BK1088" t="s">
        <v>126</v>
      </c>
      <c r="BS1088" t="s">
        <v>126</v>
      </c>
      <c r="BT1088" t="s">
        <v>126</v>
      </c>
      <c r="BU1088" t="s">
        <v>126</v>
      </c>
      <c r="BV1088" t="s">
        <v>126</v>
      </c>
      <c r="CN1088" t="s">
        <v>147</v>
      </c>
      <c r="CP1088" t="s">
        <v>490</v>
      </c>
      <c r="CQ1088" t="s">
        <v>147</v>
      </c>
    </row>
    <row r="1089" spans="1:95" x14ac:dyDescent="0.2">
      <c r="A1089" t="s">
        <v>115</v>
      </c>
      <c r="B1089" t="s">
        <v>116</v>
      </c>
      <c r="C1089">
        <v>210784</v>
      </c>
      <c r="E1089" t="s">
        <v>117</v>
      </c>
      <c r="F1089">
        <v>368</v>
      </c>
      <c r="G1089" t="s">
        <v>141</v>
      </c>
      <c r="H1089" t="s">
        <v>142</v>
      </c>
      <c r="I1089" t="s">
        <v>279</v>
      </c>
      <c r="J1089" t="s">
        <v>280</v>
      </c>
      <c r="L1089" s="14">
        <v>46024</v>
      </c>
      <c r="M1089" s="18">
        <f t="shared" si="19"/>
        <v>46023</v>
      </c>
      <c r="N1089">
        <v>5855904</v>
      </c>
      <c r="O1089" t="s">
        <v>123</v>
      </c>
      <c r="P1089" t="s">
        <v>146</v>
      </c>
      <c r="Q1089">
        <v>2.84</v>
      </c>
      <c r="R1089" t="s">
        <v>559</v>
      </c>
      <c r="S1089" t="s">
        <v>126</v>
      </c>
      <c r="T1089" t="s">
        <v>559</v>
      </c>
      <c r="U1089" t="s">
        <v>560</v>
      </c>
      <c r="W1089">
        <v>0.87529999999999997</v>
      </c>
      <c r="X1089">
        <v>1.9647000000000001</v>
      </c>
      <c r="Y1089">
        <v>2.84</v>
      </c>
      <c r="Z1089">
        <v>1.0803</v>
      </c>
      <c r="AG1089">
        <v>0.87529999999999997</v>
      </c>
      <c r="AI1089">
        <v>0.88439999999999996</v>
      </c>
      <c r="BH1089" t="s">
        <v>126</v>
      </c>
      <c r="BI1089" t="s">
        <v>126</v>
      </c>
      <c r="BJ1089" t="s">
        <v>126</v>
      </c>
      <c r="BK1089" t="s">
        <v>126</v>
      </c>
      <c r="BS1089" t="s">
        <v>126</v>
      </c>
      <c r="BT1089" t="s">
        <v>126</v>
      </c>
      <c r="BU1089" t="s">
        <v>126</v>
      </c>
      <c r="BV1089" t="s">
        <v>126</v>
      </c>
      <c r="CN1089" t="s">
        <v>147</v>
      </c>
      <c r="CP1089" t="s">
        <v>490</v>
      </c>
      <c r="CQ1089" t="s">
        <v>147</v>
      </c>
    </row>
    <row r="1090" spans="1:95" x14ac:dyDescent="0.2">
      <c r="A1090" t="s">
        <v>115</v>
      </c>
      <c r="B1090" t="s">
        <v>116</v>
      </c>
      <c r="C1090">
        <v>210784</v>
      </c>
      <c r="E1090" t="s">
        <v>117</v>
      </c>
      <c r="F1090">
        <v>368</v>
      </c>
      <c r="G1090" t="s">
        <v>141</v>
      </c>
      <c r="H1090" t="s">
        <v>142</v>
      </c>
      <c r="I1090" t="s">
        <v>279</v>
      </c>
      <c r="J1090" t="s">
        <v>280</v>
      </c>
      <c r="L1090" s="14">
        <v>46027</v>
      </c>
      <c r="M1090" s="18">
        <f t="shared" si="19"/>
        <v>46023</v>
      </c>
      <c r="N1090">
        <v>5957516</v>
      </c>
      <c r="O1090" t="s">
        <v>123</v>
      </c>
      <c r="P1090" t="s">
        <v>146</v>
      </c>
      <c r="Q1090">
        <v>5.8800000000000008</v>
      </c>
      <c r="R1090" t="s">
        <v>559</v>
      </c>
      <c r="S1090" t="s">
        <v>126</v>
      </c>
      <c r="T1090" t="s">
        <v>559</v>
      </c>
      <c r="U1090" t="s">
        <v>560</v>
      </c>
      <c r="W1090">
        <v>1.8122</v>
      </c>
      <c r="X1090">
        <v>4.0678000000000001</v>
      </c>
      <c r="Y1090">
        <v>5.8800000000000008</v>
      </c>
      <c r="Z1090">
        <v>2.2368000000000001</v>
      </c>
      <c r="AG1090">
        <v>1.8122</v>
      </c>
      <c r="AI1090">
        <v>1.831</v>
      </c>
      <c r="BH1090" t="s">
        <v>126</v>
      </c>
      <c r="BI1090" t="s">
        <v>126</v>
      </c>
      <c r="BJ1090" t="s">
        <v>126</v>
      </c>
      <c r="BK1090" t="s">
        <v>126</v>
      </c>
      <c r="BS1090" t="s">
        <v>126</v>
      </c>
      <c r="BT1090" t="s">
        <v>126</v>
      </c>
      <c r="BU1090" t="s">
        <v>126</v>
      </c>
      <c r="BV1090" t="s">
        <v>126</v>
      </c>
      <c r="CN1090" t="s">
        <v>147</v>
      </c>
      <c r="CP1090" t="s">
        <v>490</v>
      </c>
      <c r="CQ1090" t="s">
        <v>147</v>
      </c>
    </row>
    <row r="1091" spans="1:95" x14ac:dyDescent="0.2">
      <c r="A1091" t="s">
        <v>115</v>
      </c>
      <c r="B1091" t="s">
        <v>116</v>
      </c>
      <c r="C1091">
        <v>210784</v>
      </c>
      <c r="E1091" t="s">
        <v>117</v>
      </c>
      <c r="F1091">
        <v>368</v>
      </c>
      <c r="G1091" t="s">
        <v>141</v>
      </c>
      <c r="H1091" t="s">
        <v>142</v>
      </c>
      <c r="I1091" t="s">
        <v>279</v>
      </c>
      <c r="J1091" t="s">
        <v>280</v>
      </c>
      <c r="L1091" s="14">
        <v>46027</v>
      </c>
      <c r="M1091" s="18">
        <f t="shared" si="19"/>
        <v>46023</v>
      </c>
      <c r="N1091">
        <v>5857578</v>
      </c>
      <c r="O1091" t="s">
        <v>123</v>
      </c>
      <c r="P1091" t="s">
        <v>146</v>
      </c>
      <c r="Q1091">
        <v>2.88</v>
      </c>
      <c r="R1091" t="s">
        <v>559</v>
      </c>
      <c r="S1091" t="s">
        <v>126</v>
      </c>
      <c r="T1091" t="s">
        <v>559</v>
      </c>
      <c r="U1091" t="s">
        <v>560</v>
      </c>
      <c r="W1091">
        <v>0.88759999999999994</v>
      </c>
      <c r="X1091">
        <v>1.9923999999999999</v>
      </c>
      <c r="Y1091">
        <v>2.88</v>
      </c>
      <c r="Z1091">
        <v>1.0955999999999999</v>
      </c>
      <c r="AG1091">
        <v>0.88759999999999994</v>
      </c>
      <c r="AI1091">
        <v>0.89680000000000004</v>
      </c>
      <c r="BH1091" t="s">
        <v>126</v>
      </c>
      <c r="BI1091" t="s">
        <v>126</v>
      </c>
      <c r="BJ1091" t="s">
        <v>126</v>
      </c>
      <c r="BK1091" t="s">
        <v>126</v>
      </c>
      <c r="BS1091" t="s">
        <v>126</v>
      </c>
      <c r="BT1091" t="s">
        <v>126</v>
      </c>
      <c r="BU1091" t="s">
        <v>126</v>
      </c>
      <c r="BV1091" t="s">
        <v>126</v>
      </c>
      <c r="CN1091" t="s">
        <v>147</v>
      </c>
      <c r="CP1091" t="s">
        <v>490</v>
      </c>
      <c r="CQ1091" t="s">
        <v>147</v>
      </c>
    </row>
    <row r="1092" spans="1:95" x14ac:dyDescent="0.2">
      <c r="A1092" t="s">
        <v>115</v>
      </c>
      <c r="B1092" t="s">
        <v>116</v>
      </c>
      <c r="C1092">
        <v>210784</v>
      </c>
      <c r="E1092" t="s">
        <v>117</v>
      </c>
      <c r="F1092">
        <v>368</v>
      </c>
      <c r="G1092" t="s">
        <v>141</v>
      </c>
      <c r="H1092" t="s">
        <v>142</v>
      </c>
      <c r="I1092" t="s">
        <v>279</v>
      </c>
      <c r="J1092" t="s">
        <v>280</v>
      </c>
      <c r="L1092" s="14">
        <v>46028</v>
      </c>
      <c r="M1092" s="18">
        <f t="shared" si="19"/>
        <v>46023</v>
      </c>
      <c r="N1092">
        <v>5858284</v>
      </c>
      <c r="O1092" t="s">
        <v>123</v>
      </c>
      <c r="P1092" t="s">
        <v>146</v>
      </c>
      <c r="Q1092">
        <v>2.58</v>
      </c>
      <c r="R1092" t="s">
        <v>559</v>
      </c>
      <c r="S1092" t="s">
        <v>126</v>
      </c>
      <c r="T1092" t="s">
        <v>559</v>
      </c>
      <c r="U1092" t="s">
        <v>560</v>
      </c>
      <c r="W1092">
        <v>0.79520000000000002</v>
      </c>
      <c r="X1092">
        <v>1.7848000000000002</v>
      </c>
      <c r="Y1092">
        <v>2.58</v>
      </c>
      <c r="Z1092">
        <v>0.98140000000000005</v>
      </c>
      <c r="AG1092">
        <v>0.79520000000000002</v>
      </c>
      <c r="AI1092">
        <v>0.8034</v>
      </c>
      <c r="BH1092" t="s">
        <v>126</v>
      </c>
      <c r="BI1092" t="s">
        <v>126</v>
      </c>
      <c r="BJ1092" t="s">
        <v>126</v>
      </c>
      <c r="BK1092" t="s">
        <v>126</v>
      </c>
      <c r="BS1092" t="s">
        <v>126</v>
      </c>
      <c r="BT1092" t="s">
        <v>126</v>
      </c>
      <c r="BU1092" t="s">
        <v>126</v>
      </c>
      <c r="BV1092" t="s">
        <v>126</v>
      </c>
      <c r="CN1092" t="s">
        <v>147</v>
      </c>
      <c r="CP1092" t="s">
        <v>490</v>
      </c>
      <c r="CQ1092" t="s">
        <v>147</v>
      </c>
    </row>
    <row r="1093" spans="1:95" x14ac:dyDescent="0.2">
      <c r="A1093" t="s">
        <v>115</v>
      </c>
      <c r="B1093" t="s">
        <v>116</v>
      </c>
      <c r="C1093">
        <v>210784</v>
      </c>
      <c r="E1093" t="s">
        <v>117</v>
      </c>
      <c r="F1093">
        <v>368</v>
      </c>
      <c r="G1093" t="s">
        <v>141</v>
      </c>
      <c r="H1093" t="s">
        <v>142</v>
      </c>
      <c r="I1093" t="s">
        <v>279</v>
      </c>
      <c r="J1093" t="s">
        <v>280</v>
      </c>
      <c r="L1093" s="14">
        <v>46029</v>
      </c>
      <c r="M1093" s="18">
        <f t="shared" si="19"/>
        <v>46023</v>
      </c>
      <c r="N1093">
        <v>5859235</v>
      </c>
      <c r="O1093" t="s">
        <v>123</v>
      </c>
      <c r="P1093" t="s">
        <v>146</v>
      </c>
      <c r="Q1093">
        <v>1.7399999999999998</v>
      </c>
      <c r="R1093" t="s">
        <v>559</v>
      </c>
      <c r="S1093" t="s">
        <v>126</v>
      </c>
      <c r="T1093" t="s">
        <v>559</v>
      </c>
      <c r="U1093" t="s">
        <v>560</v>
      </c>
      <c r="W1093">
        <v>0.5363</v>
      </c>
      <c r="X1093">
        <v>1.2037</v>
      </c>
      <c r="Y1093">
        <v>1.7399999999999998</v>
      </c>
      <c r="Z1093">
        <v>0.66190000000000004</v>
      </c>
      <c r="AG1093">
        <v>0.5363</v>
      </c>
      <c r="AI1093">
        <v>0.54179999999999995</v>
      </c>
      <c r="BH1093" t="s">
        <v>126</v>
      </c>
      <c r="BI1093" t="s">
        <v>126</v>
      </c>
      <c r="BJ1093" t="s">
        <v>126</v>
      </c>
      <c r="BK1093" t="s">
        <v>126</v>
      </c>
      <c r="BS1093" t="s">
        <v>126</v>
      </c>
      <c r="BT1093" t="s">
        <v>126</v>
      </c>
      <c r="BU1093" t="s">
        <v>126</v>
      </c>
      <c r="BV1093" t="s">
        <v>126</v>
      </c>
      <c r="CN1093" t="s">
        <v>147</v>
      </c>
      <c r="CP1093" t="s">
        <v>490</v>
      </c>
      <c r="CQ1093" t="s">
        <v>147</v>
      </c>
    </row>
    <row r="1094" spans="1:95" x14ac:dyDescent="0.2">
      <c r="A1094" t="s">
        <v>115</v>
      </c>
      <c r="B1094" t="s">
        <v>116</v>
      </c>
      <c r="C1094">
        <v>210784</v>
      </c>
      <c r="E1094" t="s">
        <v>117</v>
      </c>
      <c r="F1094">
        <v>368</v>
      </c>
      <c r="G1094" t="s">
        <v>118</v>
      </c>
      <c r="H1094" t="s">
        <v>119</v>
      </c>
      <c r="I1094" t="s">
        <v>120</v>
      </c>
      <c r="J1094" t="s">
        <v>121</v>
      </c>
      <c r="L1094" s="14">
        <v>46030</v>
      </c>
      <c r="M1094" s="18">
        <f t="shared" si="19"/>
        <v>46023</v>
      </c>
      <c r="N1094">
        <v>136655</v>
      </c>
      <c r="O1094" t="s">
        <v>123</v>
      </c>
      <c r="P1094" t="s">
        <v>124</v>
      </c>
      <c r="Q1094">
        <v>14.75</v>
      </c>
      <c r="R1094" t="s">
        <v>125</v>
      </c>
      <c r="S1094" t="s">
        <v>126</v>
      </c>
      <c r="T1094" t="s">
        <v>125</v>
      </c>
      <c r="U1094" t="s">
        <v>126</v>
      </c>
      <c r="W1094">
        <v>14.75</v>
      </c>
      <c r="Y1094">
        <v>14.75</v>
      </c>
      <c r="AA1094">
        <v>14.75</v>
      </c>
      <c r="BH1094" t="s">
        <v>126</v>
      </c>
      <c r="BI1094" t="s">
        <v>126</v>
      </c>
      <c r="BJ1094" t="s">
        <v>126</v>
      </c>
      <c r="BK1094" t="s">
        <v>126</v>
      </c>
      <c r="BS1094" t="s">
        <v>126</v>
      </c>
      <c r="BT1094" t="s">
        <v>126</v>
      </c>
      <c r="BU1094" t="s">
        <v>126</v>
      </c>
      <c r="BV1094" t="s">
        <v>126</v>
      </c>
      <c r="CN1094" t="s">
        <v>119</v>
      </c>
      <c r="CP1094" t="s">
        <v>133</v>
      </c>
      <c r="CQ1094" t="s">
        <v>119</v>
      </c>
    </row>
    <row r="1095" spans="1:95" x14ac:dyDescent="0.2">
      <c r="A1095" t="s">
        <v>115</v>
      </c>
      <c r="B1095" t="s">
        <v>116</v>
      </c>
      <c r="C1095">
        <v>210784</v>
      </c>
      <c r="E1095" t="s">
        <v>117</v>
      </c>
      <c r="F1095">
        <v>368</v>
      </c>
      <c r="G1095" t="s">
        <v>141</v>
      </c>
      <c r="H1095" t="s">
        <v>142</v>
      </c>
      <c r="I1095" t="s">
        <v>279</v>
      </c>
      <c r="J1095" t="s">
        <v>280</v>
      </c>
      <c r="L1095" s="14">
        <v>46030</v>
      </c>
      <c r="M1095" s="18">
        <f t="shared" si="19"/>
        <v>46023</v>
      </c>
      <c r="N1095">
        <v>5859943</v>
      </c>
      <c r="O1095" t="s">
        <v>123</v>
      </c>
      <c r="P1095" t="s">
        <v>146</v>
      </c>
      <c r="Q1095">
        <v>2.8098999999999998</v>
      </c>
      <c r="R1095" t="s">
        <v>559</v>
      </c>
      <c r="S1095" t="s">
        <v>126</v>
      </c>
      <c r="T1095" t="s">
        <v>559</v>
      </c>
      <c r="U1095" t="s">
        <v>560</v>
      </c>
      <c r="W1095">
        <v>0.86599999999999999</v>
      </c>
      <c r="X1095">
        <v>1.9439</v>
      </c>
      <c r="Y1095">
        <v>2.8098999999999998</v>
      </c>
      <c r="Z1095">
        <v>1.0689</v>
      </c>
      <c r="AG1095">
        <v>0.86599999999999999</v>
      </c>
      <c r="AI1095">
        <v>0.875</v>
      </c>
      <c r="BH1095" t="s">
        <v>126</v>
      </c>
      <c r="BI1095" t="s">
        <v>126</v>
      </c>
      <c r="BJ1095" t="s">
        <v>126</v>
      </c>
      <c r="BK1095" t="s">
        <v>126</v>
      </c>
      <c r="BS1095" t="s">
        <v>126</v>
      </c>
      <c r="BT1095" t="s">
        <v>126</v>
      </c>
      <c r="BU1095" t="s">
        <v>126</v>
      </c>
      <c r="BV1095" t="s">
        <v>126</v>
      </c>
      <c r="CN1095" t="s">
        <v>147</v>
      </c>
      <c r="CP1095" t="s">
        <v>490</v>
      </c>
      <c r="CQ1095" t="s">
        <v>147</v>
      </c>
    </row>
    <row r="1096" spans="1:95" x14ac:dyDescent="0.2">
      <c r="A1096" t="s">
        <v>115</v>
      </c>
      <c r="B1096" t="s">
        <v>116</v>
      </c>
      <c r="C1096">
        <v>210784</v>
      </c>
      <c r="E1096" t="s">
        <v>117</v>
      </c>
      <c r="F1096">
        <v>368</v>
      </c>
      <c r="G1096" t="s">
        <v>118</v>
      </c>
      <c r="H1096" t="s">
        <v>119</v>
      </c>
      <c r="I1096" t="s">
        <v>130</v>
      </c>
      <c r="J1096" t="s">
        <v>131</v>
      </c>
      <c r="L1096" s="14">
        <v>46031</v>
      </c>
      <c r="M1096" s="18">
        <f t="shared" si="19"/>
        <v>46023</v>
      </c>
      <c r="N1096">
        <v>7349991</v>
      </c>
      <c r="O1096" t="s">
        <v>123</v>
      </c>
      <c r="P1096" t="s">
        <v>124</v>
      </c>
      <c r="Q1096">
        <v>16.59</v>
      </c>
      <c r="R1096" t="s">
        <v>125</v>
      </c>
      <c r="S1096" t="s">
        <v>126</v>
      </c>
      <c r="T1096" t="s">
        <v>125</v>
      </c>
      <c r="U1096" t="s">
        <v>126</v>
      </c>
      <c r="W1096">
        <v>16.59</v>
      </c>
      <c r="Y1096">
        <v>16.59</v>
      </c>
      <c r="AA1096">
        <v>16.59</v>
      </c>
      <c r="BH1096" t="s">
        <v>126</v>
      </c>
      <c r="BI1096" t="s">
        <v>126</v>
      </c>
      <c r="BJ1096" t="s">
        <v>126</v>
      </c>
      <c r="BK1096" t="s">
        <v>126</v>
      </c>
      <c r="BS1096" t="s">
        <v>126</v>
      </c>
      <c r="BT1096" t="s">
        <v>126</v>
      </c>
      <c r="BU1096" t="s">
        <v>126</v>
      </c>
      <c r="BV1096" t="s">
        <v>126</v>
      </c>
      <c r="CN1096" t="s">
        <v>119</v>
      </c>
      <c r="CP1096" t="s">
        <v>133</v>
      </c>
      <c r="CQ1096" t="s">
        <v>119</v>
      </c>
    </row>
    <row r="1097" spans="1:95" x14ac:dyDescent="0.2">
      <c r="A1097" t="s">
        <v>115</v>
      </c>
      <c r="B1097" t="s">
        <v>116</v>
      </c>
      <c r="C1097">
        <v>210784</v>
      </c>
      <c r="E1097" t="s">
        <v>117</v>
      </c>
      <c r="F1097">
        <v>368</v>
      </c>
      <c r="G1097" t="s">
        <v>118</v>
      </c>
      <c r="H1097" t="s">
        <v>119</v>
      </c>
      <c r="I1097" t="s">
        <v>130</v>
      </c>
      <c r="J1097" t="s">
        <v>131</v>
      </c>
      <c r="L1097" s="14">
        <v>46031</v>
      </c>
      <c r="M1097" s="18">
        <f t="shared" si="19"/>
        <v>46023</v>
      </c>
      <c r="N1097">
        <v>7349999</v>
      </c>
      <c r="O1097" t="s">
        <v>123</v>
      </c>
      <c r="P1097" t="s">
        <v>124</v>
      </c>
      <c r="Q1097">
        <v>18.82</v>
      </c>
      <c r="R1097" t="s">
        <v>125</v>
      </c>
      <c r="S1097" t="s">
        <v>126</v>
      </c>
      <c r="T1097" t="s">
        <v>125</v>
      </c>
      <c r="U1097" t="s">
        <v>126</v>
      </c>
      <c r="W1097">
        <v>18.82</v>
      </c>
      <c r="Y1097">
        <v>18.82</v>
      </c>
      <c r="AA1097">
        <v>18.82</v>
      </c>
      <c r="BH1097" t="s">
        <v>126</v>
      </c>
      <c r="BI1097" t="s">
        <v>126</v>
      </c>
      <c r="BJ1097" t="s">
        <v>126</v>
      </c>
      <c r="BK1097" t="s">
        <v>126</v>
      </c>
      <c r="BS1097" t="s">
        <v>126</v>
      </c>
      <c r="BT1097" t="s">
        <v>126</v>
      </c>
      <c r="BU1097" t="s">
        <v>126</v>
      </c>
      <c r="BV1097" t="s">
        <v>126</v>
      </c>
      <c r="CN1097" t="s">
        <v>119</v>
      </c>
      <c r="CP1097" t="s">
        <v>133</v>
      </c>
      <c r="CQ1097" t="s">
        <v>119</v>
      </c>
    </row>
    <row r="1098" spans="1:95" x14ac:dyDescent="0.2">
      <c r="A1098" t="s">
        <v>115</v>
      </c>
      <c r="B1098" t="s">
        <v>116</v>
      </c>
      <c r="C1098">
        <v>210784</v>
      </c>
      <c r="E1098" t="s">
        <v>117</v>
      </c>
      <c r="F1098">
        <v>368</v>
      </c>
      <c r="G1098" t="s">
        <v>118</v>
      </c>
      <c r="H1098" t="s">
        <v>119</v>
      </c>
      <c r="I1098" t="s">
        <v>130</v>
      </c>
      <c r="J1098" t="s">
        <v>131</v>
      </c>
      <c r="L1098" s="14">
        <v>46031</v>
      </c>
      <c r="M1098" s="18">
        <f t="shared" si="19"/>
        <v>46023</v>
      </c>
      <c r="N1098">
        <v>7350062</v>
      </c>
      <c r="O1098" t="s">
        <v>123</v>
      </c>
      <c r="P1098" t="s">
        <v>124</v>
      </c>
      <c r="Q1098">
        <v>17.190000000000001</v>
      </c>
      <c r="R1098" t="s">
        <v>125</v>
      </c>
      <c r="S1098" t="s">
        <v>126</v>
      </c>
      <c r="T1098" t="s">
        <v>125</v>
      </c>
      <c r="U1098" t="s">
        <v>126</v>
      </c>
      <c r="W1098">
        <v>17.190000000000001</v>
      </c>
      <c r="Y1098">
        <v>17.190000000000001</v>
      </c>
      <c r="AA1098">
        <v>17.190000000000001</v>
      </c>
      <c r="BH1098" t="s">
        <v>126</v>
      </c>
      <c r="BI1098" t="s">
        <v>126</v>
      </c>
      <c r="BJ1098" t="s">
        <v>126</v>
      </c>
      <c r="BK1098" t="s">
        <v>126</v>
      </c>
      <c r="BS1098" t="s">
        <v>126</v>
      </c>
      <c r="BT1098" t="s">
        <v>126</v>
      </c>
      <c r="BU1098" t="s">
        <v>126</v>
      </c>
      <c r="BV1098" t="s">
        <v>126</v>
      </c>
      <c r="CN1098" t="s">
        <v>119</v>
      </c>
      <c r="CP1098" t="s">
        <v>133</v>
      </c>
      <c r="CQ1098" t="s">
        <v>119</v>
      </c>
    </row>
    <row r="1099" spans="1:95" x14ac:dyDescent="0.2">
      <c r="A1099" t="s">
        <v>115</v>
      </c>
      <c r="B1099" t="s">
        <v>116</v>
      </c>
      <c r="C1099">
        <v>210784</v>
      </c>
      <c r="E1099" t="s">
        <v>117</v>
      </c>
      <c r="F1099">
        <v>368</v>
      </c>
      <c r="G1099" t="s">
        <v>118</v>
      </c>
      <c r="H1099" t="s">
        <v>119</v>
      </c>
      <c r="I1099" t="s">
        <v>130</v>
      </c>
      <c r="J1099" t="s">
        <v>131</v>
      </c>
      <c r="L1099" s="14">
        <v>46031</v>
      </c>
      <c r="M1099" s="18">
        <f t="shared" ref="M1099:M1162" si="20">DATE(YEAR(L1099), MONTH(L1099), 1)</f>
        <v>46023</v>
      </c>
      <c r="N1099">
        <v>7350115</v>
      </c>
      <c r="O1099" t="s">
        <v>123</v>
      </c>
      <c r="P1099" t="s">
        <v>124</v>
      </c>
      <c r="Q1099">
        <v>17.22</v>
      </c>
      <c r="R1099" t="s">
        <v>125</v>
      </c>
      <c r="S1099" t="s">
        <v>126</v>
      </c>
      <c r="T1099" t="s">
        <v>125</v>
      </c>
      <c r="U1099" t="s">
        <v>126</v>
      </c>
      <c r="W1099">
        <v>17.22</v>
      </c>
      <c r="Y1099">
        <v>17.22</v>
      </c>
      <c r="AA1099">
        <v>17.22</v>
      </c>
      <c r="BH1099" t="s">
        <v>126</v>
      </c>
      <c r="BI1099" t="s">
        <v>126</v>
      </c>
      <c r="BJ1099" t="s">
        <v>126</v>
      </c>
      <c r="BK1099" t="s">
        <v>126</v>
      </c>
      <c r="BS1099" t="s">
        <v>126</v>
      </c>
      <c r="BT1099" t="s">
        <v>126</v>
      </c>
      <c r="BU1099" t="s">
        <v>126</v>
      </c>
      <c r="BV1099" t="s">
        <v>126</v>
      </c>
      <c r="CN1099" t="s">
        <v>119</v>
      </c>
      <c r="CP1099" t="s">
        <v>133</v>
      </c>
      <c r="CQ1099" t="s">
        <v>119</v>
      </c>
    </row>
    <row r="1100" spans="1:95" x14ac:dyDescent="0.2">
      <c r="A1100" t="s">
        <v>115</v>
      </c>
      <c r="B1100" t="s">
        <v>116</v>
      </c>
      <c r="C1100">
        <v>210784</v>
      </c>
      <c r="E1100" t="s">
        <v>117</v>
      </c>
      <c r="F1100">
        <v>368</v>
      </c>
      <c r="G1100" t="s">
        <v>118</v>
      </c>
      <c r="H1100" t="s">
        <v>119</v>
      </c>
      <c r="I1100" t="s">
        <v>130</v>
      </c>
      <c r="J1100" t="s">
        <v>131</v>
      </c>
      <c r="L1100" s="14">
        <v>46031</v>
      </c>
      <c r="M1100" s="18">
        <f t="shared" si="20"/>
        <v>46023</v>
      </c>
      <c r="N1100">
        <v>7350129</v>
      </c>
      <c r="O1100" t="s">
        <v>123</v>
      </c>
      <c r="P1100" t="s">
        <v>124</v>
      </c>
      <c r="Q1100">
        <v>16.32</v>
      </c>
      <c r="R1100" t="s">
        <v>125</v>
      </c>
      <c r="S1100" t="s">
        <v>126</v>
      </c>
      <c r="T1100" t="s">
        <v>125</v>
      </c>
      <c r="U1100" t="s">
        <v>126</v>
      </c>
      <c r="W1100">
        <v>16.32</v>
      </c>
      <c r="Y1100">
        <v>16.32</v>
      </c>
      <c r="AA1100">
        <v>16.32</v>
      </c>
      <c r="BH1100" t="s">
        <v>126</v>
      </c>
      <c r="BI1100" t="s">
        <v>126</v>
      </c>
      <c r="BJ1100" t="s">
        <v>126</v>
      </c>
      <c r="BK1100" t="s">
        <v>126</v>
      </c>
      <c r="BS1100" t="s">
        <v>126</v>
      </c>
      <c r="BT1100" t="s">
        <v>126</v>
      </c>
      <c r="BU1100" t="s">
        <v>126</v>
      </c>
      <c r="BV1100" t="s">
        <v>126</v>
      </c>
      <c r="CN1100" t="s">
        <v>119</v>
      </c>
      <c r="CP1100" t="s">
        <v>133</v>
      </c>
      <c r="CQ1100" t="s">
        <v>119</v>
      </c>
    </row>
    <row r="1101" spans="1:95" x14ac:dyDescent="0.2">
      <c r="A1101" t="s">
        <v>115</v>
      </c>
      <c r="B1101" t="s">
        <v>116</v>
      </c>
      <c r="C1101">
        <v>210784</v>
      </c>
      <c r="E1101" t="s">
        <v>117</v>
      </c>
      <c r="F1101">
        <v>368</v>
      </c>
      <c r="G1101" t="s">
        <v>118</v>
      </c>
      <c r="H1101" t="s">
        <v>119</v>
      </c>
      <c r="I1101" t="s">
        <v>130</v>
      </c>
      <c r="J1101" t="s">
        <v>131</v>
      </c>
      <c r="L1101" s="14">
        <v>46031</v>
      </c>
      <c r="M1101" s="18">
        <f t="shared" si="20"/>
        <v>46023</v>
      </c>
      <c r="N1101">
        <v>7350166</v>
      </c>
      <c r="O1101" t="s">
        <v>123</v>
      </c>
      <c r="P1101" t="s">
        <v>124</v>
      </c>
      <c r="Q1101">
        <v>18.05</v>
      </c>
      <c r="R1101" t="s">
        <v>125</v>
      </c>
      <c r="S1101" t="s">
        <v>126</v>
      </c>
      <c r="T1101" t="s">
        <v>125</v>
      </c>
      <c r="U1101" t="s">
        <v>126</v>
      </c>
      <c r="W1101">
        <v>18.05</v>
      </c>
      <c r="Y1101">
        <v>18.05</v>
      </c>
      <c r="AA1101">
        <v>18.05</v>
      </c>
      <c r="BH1101" t="s">
        <v>126</v>
      </c>
      <c r="BI1101" t="s">
        <v>126</v>
      </c>
      <c r="BJ1101" t="s">
        <v>126</v>
      </c>
      <c r="BK1101" t="s">
        <v>126</v>
      </c>
      <c r="BS1101" t="s">
        <v>126</v>
      </c>
      <c r="BT1101" t="s">
        <v>126</v>
      </c>
      <c r="BU1101" t="s">
        <v>126</v>
      </c>
      <c r="BV1101" t="s">
        <v>126</v>
      </c>
      <c r="CN1101" t="s">
        <v>119</v>
      </c>
      <c r="CP1101" t="s">
        <v>133</v>
      </c>
      <c r="CQ1101" t="s">
        <v>119</v>
      </c>
    </row>
    <row r="1102" spans="1:95" x14ac:dyDescent="0.2">
      <c r="A1102" t="s">
        <v>115</v>
      </c>
      <c r="B1102" t="s">
        <v>116</v>
      </c>
      <c r="C1102">
        <v>210784</v>
      </c>
      <c r="E1102" t="s">
        <v>117</v>
      </c>
      <c r="F1102">
        <v>368</v>
      </c>
      <c r="G1102" t="s">
        <v>118</v>
      </c>
      <c r="H1102" t="s">
        <v>119</v>
      </c>
      <c r="I1102" t="s">
        <v>130</v>
      </c>
      <c r="J1102" t="s">
        <v>131</v>
      </c>
      <c r="L1102" s="14">
        <v>46031</v>
      </c>
      <c r="M1102" s="18">
        <f t="shared" si="20"/>
        <v>46023</v>
      </c>
      <c r="N1102">
        <v>7350178</v>
      </c>
      <c r="O1102" t="s">
        <v>123</v>
      </c>
      <c r="P1102" t="s">
        <v>124</v>
      </c>
      <c r="Q1102">
        <v>15.54</v>
      </c>
      <c r="R1102" t="s">
        <v>125</v>
      </c>
      <c r="S1102" t="s">
        <v>126</v>
      </c>
      <c r="T1102" t="s">
        <v>125</v>
      </c>
      <c r="U1102" t="s">
        <v>126</v>
      </c>
      <c r="W1102">
        <v>15.54</v>
      </c>
      <c r="Y1102">
        <v>15.54</v>
      </c>
      <c r="AA1102">
        <v>15.54</v>
      </c>
      <c r="BH1102" t="s">
        <v>126</v>
      </c>
      <c r="BI1102" t="s">
        <v>126</v>
      </c>
      <c r="BJ1102" t="s">
        <v>126</v>
      </c>
      <c r="BK1102" t="s">
        <v>126</v>
      </c>
      <c r="BS1102" t="s">
        <v>126</v>
      </c>
      <c r="BT1102" t="s">
        <v>126</v>
      </c>
      <c r="BU1102" t="s">
        <v>126</v>
      </c>
      <c r="BV1102" t="s">
        <v>126</v>
      </c>
      <c r="CN1102" t="s">
        <v>119</v>
      </c>
      <c r="CP1102" t="s">
        <v>133</v>
      </c>
      <c r="CQ1102" t="s">
        <v>119</v>
      </c>
    </row>
    <row r="1103" spans="1:95" x14ac:dyDescent="0.2">
      <c r="A1103" t="s">
        <v>115</v>
      </c>
      <c r="B1103" t="s">
        <v>116</v>
      </c>
      <c r="C1103">
        <v>210784</v>
      </c>
      <c r="E1103" t="s">
        <v>117</v>
      </c>
      <c r="F1103">
        <v>368</v>
      </c>
      <c r="G1103" t="s">
        <v>118</v>
      </c>
      <c r="H1103" t="s">
        <v>119</v>
      </c>
      <c r="I1103" t="s">
        <v>120</v>
      </c>
      <c r="J1103" t="s">
        <v>121</v>
      </c>
      <c r="L1103" s="14">
        <v>46031</v>
      </c>
      <c r="M1103" s="18">
        <f t="shared" si="20"/>
        <v>46023</v>
      </c>
      <c r="N1103">
        <v>136664</v>
      </c>
      <c r="O1103" t="s">
        <v>123</v>
      </c>
      <c r="P1103" t="s">
        <v>124</v>
      </c>
      <c r="Q1103">
        <v>17.98</v>
      </c>
      <c r="R1103" t="s">
        <v>125</v>
      </c>
      <c r="S1103" t="s">
        <v>126</v>
      </c>
      <c r="T1103" t="s">
        <v>125</v>
      </c>
      <c r="U1103" t="s">
        <v>126</v>
      </c>
      <c r="W1103">
        <v>17.98</v>
      </c>
      <c r="Y1103">
        <v>17.98</v>
      </c>
      <c r="AC1103">
        <v>17.98</v>
      </c>
      <c r="BH1103" t="s">
        <v>126</v>
      </c>
      <c r="BI1103" t="s">
        <v>126</v>
      </c>
      <c r="BJ1103" t="s">
        <v>126</v>
      </c>
      <c r="BK1103" t="s">
        <v>126</v>
      </c>
      <c r="BS1103" t="s">
        <v>126</v>
      </c>
      <c r="BT1103" t="s">
        <v>126</v>
      </c>
      <c r="BU1103" t="s">
        <v>126</v>
      </c>
      <c r="BV1103" t="s">
        <v>126</v>
      </c>
      <c r="CN1103" t="s">
        <v>119</v>
      </c>
      <c r="CP1103" t="s">
        <v>133</v>
      </c>
      <c r="CQ1103" t="s">
        <v>119</v>
      </c>
    </row>
    <row r="1104" spans="1:95" x14ac:dyDescent="0.2">
      <c r="A1104" t="s">
        <v>115</v>
      </c>
      <c r="B1104" t="s">
        <v>116</v>
      </c>
      <c r="C1104">
        <v>210784</v>
      </c>
      <c r="E1104" t="s">
        <v>117</v>
      </c>
      <c r="F1104">
        <v>368</v>
      </c>
      <c r="G1104" t="s">
        <v>118</v>
      </c>
      <c r="H1104" t="s">
        <v>119</v>
      </c>
      <c r="I1104" t="s">
        <v>130</v>
      </c>
      <c r="J1104" t="s">
        <v>131</v>
      </c>
      <c r="L1104" s="14">
        <v>46031</v>
      </c>
      <c r="M1104" s="18">
        <f t="shared" si="20"/>
        <v>46023</v>
      </c>
      <c r="N1104">
        <v>7349987</v>
      </c>
      <c r="O1104" t="s">
        <v>123</v>
      </c>
      <c r="P1104" t="s">
        <v>146</v>
      </c>
      <c r="Q1104">
        <v>16.3</v>
      </c>
      <c r="R1104" t="s">
        <v>125</v>
      </c>
      <c r="S1104" t="s">
        <v>126</v>
      </c>
      <c r="T1104" t="s">
        <v>125</v>
      </c>
      <c r="U1104" t="s">
        <v>126</v>
      </c>
      <c r="W1104">
        <v>16.3</v>
      </c>
      <c r="Y1104">
        <v>16.3</v>
      </c>
      <c r="AA1104">
        <v>7</v>
      </c>
      <c r="AC1104">
        <v>9.3000000000000007</v>
      </c>
      <c r="BH1104" t="s">
        <v>126</v>
      </c>
      <c r="BI1104" t="s">
        <v>126</v>
      </c>
      <c r="BJ1104" t="s">
        <v>126</v>
      </c>
      <c r="BK1104" t="s">
        <v>126</v>
      </c>
      <c r="BS1104" t="s">
        <v>126</v>
      </c>
      <c r="BT1104" t="s">
        <v>126</v>
      </c>
      <c r="BU1104" t="s">
        <v>126</v>
      </c>
      <c r="BV1104" t="s">
        <v>126</v>
      </c>
      <c r="CN1104" t="s">
        <v>127</v>
      </c>
      <c r="CP1104" t="s">
        <v>133</v>
      </c>
      <c r="CQ1104" t="s">
        <v>127</v>
      </c>
    </row>
    <row r="1105" spans="1:95" x14ac:dyDescent="0.2">
      <c r="A1105" t="s">
        <v>115</v>
      </c>
      <c r="B1105" t="s">
        <v>116</v>
      </c>
      <c r="C1105">
        <v>210784</v>
      </c>
      <c r="E1105" t="s">
        <v>117</v>
      </c>
      <c r="F1105">
        <v>368</v>
      </c>
      <c r="G1105" t="s">
        <v>118</v>
      </c>
      <c r="H1105" t="s">
        <v>119</v>
      </c>
      <c r="I1105" t="s">
        <v>130</v>
      </c>
      <c r="J1105" t="s">
        <v>131</v>
      </c>
      <c r="L1105" s="14">
        <v>46031</v>
      </c>
      <c r="M1105" s="18">
        <f t="shared" si="20"/>
        <v>46023</v>
      </c>
      <c r="N1105">
        <v>7350014</v>
      </c>
      <c r="O1105" t="s">
        <v>123</v>
      </c>
      <c r="P1105" t="s">
        <v>124</v>
      </c>
      <c r="Q1105">
        <v>14.08</v>
      </c>
      <c r="R1105" t="s">
        <v>125</v>
      </c>
      <c r="S1105" t="s">
        <v>126</v>
      </c>
      <c r="T1105" t="s">
        <v>125</v>
      </c>
      <c r="U1105" t="s">
        <v>126</v>
      </c>
      <c r="W1105">
        <v>14.08</v>
      </c>
      <c r="Y1105">
        <v>14.08</v>
      </c>
      <c r="AA1105">
        <v>7.0006000000000004</v>
      </c>
      <c r="AC1105">
        <v>7.0793999999999997</v>
      </c>
      <c r="BH1105" t="s">
        <v>126</v>
      </c>
      <c r="BI1105" t="s">
        <v>126</v>
      </c>
      <c r="BJ1105" t="s">
        <v>126</v>
      </c>
      <c r="BK1105" t="s">
        <v>126</v>
      </c>
      <c r="BS1105" t="s">
        <v>126</v>
      </c>
      <c r="BT1105" t="s">
        <v>126</v>
      </c>
      <c r="BU1105" t="s">
        <v>126</v>
      </c>
      <c r="BV1105" t="s">
        <v>126</v>
      </c>
      <c r="CN1105" t="s">
        <v>119</v>
      </c>
      <c r="CP1105" t="s">
        <v>133</v>
      </c>
      <c r="CQ1105" t="s">
        <v>119</v>
      </c>
    </row>
    <row r="1106" spans="1:95" x14ac:dyDescent="0.2">
      <c r="A1106" t="s">
        <v>115</v>
      </c>
      <c r="B1106" t="s">
        <v>116</v>
      </c>
      <c r="C1106">
        <v>210784</v>
      </c>
      <c r="E1106" t="s">
        <v>117</v>
      </c>
      <c r="F1106">
        <v>368</v>
      </c>
      <c r="G1106" t="s">
        <v>118</v>
      </c>
      <c r="H1106" t="s">
        <v>119</v>
      </c>
      <c r="I1106" t="s">
        <v>130</v>
      </c>
      <c r="J1106" t="s">
        <v>131</v>
      </c>
      <c r="L1106" s="14">
        <v>46031</v>
      </c>
      <c r="M1106" s="18">
        <f t="shared" si="20"/>
        <v>46023</v>
      </c>
      <c r="N1106">
        <v>7350033</v>
      </c>
      <c r="O1106" t="s">
        <v>123</v>
      </c>
      <c r="P1106" t="s">
        <v>124</v>
      </c>
      <c r="Q1106">
        <v>15.18</v>
      </c>
      <c r="R1106" t="s">
        <v>125</v>
      </c>
      <c r="S1106" t="s">
        <v>126</v>
      </c>
      <c r="T1106" t="s">
        <v>125</v>
      </c>
      <c r="U1106" t="s">
        <v>126</v>
      </c>
      <c r="W1106">
        <v>15.18</v>
      </c>
      <c r="Y1106">
        <v>15.18</v>
      </c>
      <c r="AA1106">
        <v>10</v>
      </c>
      <c r="AC1106">
        <v>5.18</v>
      </c>
      <c r="BH1106" t="s">
        <v>126</v>
      </c>
      <c r="BI1106" t="s">
        <v>126</v>
      </c>
      <c r="BJ1106" t="s">
        <v>126</v>
      </c>
      <c r="BK1106" t="s">
        <v>126</v>
      </c>
      <c r="BS1106" t="s">
        <v>126</v>
      </c>
      <c r="BT1106" t="s">
        <v>126</v>
      </c>
      <c r="BU1106" t="s">
        <v>126</v>
      </c>
      <c r="BV1106" t="s">
        <v>126</v>
      </c>
      <c r="CN1106" t="s">
        <v>119</v>
      </c>
      <c r="CP1106" t="s">
        <v>133</v>
      </c>
      <c r="CQ1106" t="s">
        <v>119</v>
      </c>
    </row>
    <row r="1107" spans="1:95" x14ac:dyDescent="0.2">
      <c r="A1107" t="s">
        <v>115</v>
      </c>
      <c r="B1107" t="s">
        <v>116</v>
      </c>
      <c r="C1107">
        <v>210784</v>
      </c>
      <c r="E1107" t="s">
        <v>117</v>
      </c>
      <c r="F1107">
        <v>368</v>
      </c>
      <c r="G1107" t="s">
        <v>118</v>
      </c>
      <c r="H1107" t="s">
        <v>119</v>
      </c>
      <c r="I1107" t="s">
        <v>130</v>
      </c>
      <c r="J1107" t="s">
        <v>131</v>
      </c>
      <c r="L1107" s="14">
        <v>46031</v>
      </c>
      <c r="M1107" s="18">
        <f t="shared" si="20"/>
        <v>46023</v>
      </c>
      <c r="N1107">
        <v>7350050</v>
      </c>
      <c r="O1107" t="s">
        <v>123</v>
      </c>
      <c r="P1107" t="s">
        <v>124</v>
      </c>
      <c r="Q1107">
        <v>16.84</v>
      </c>
      <c r="R1107" t="s">
        <v>125</v>
      </c>
      <c r="S1107" t="s">
        <v>126</v>
      </c>
      <c r="T1107" t="s">
        <v>125</v>
      </c>
      <c r="U1107" t="s">
        <v>126</v>
      </c>
      <c r="W1107">
        <v>16.84</v>
      </c>
      <c r="Y1107">
        <v>16.84</v>
      </c>
      <c r="AA1107">
        <v>7</v>
      </c>
      <c r="AC1107">
        <v>9.84</v>
      </c>
      <c r="BH1107" t="s">
        <v>126</v>
      </c>
      <c r="BI1107" t="s">
        <v>126</v>
      </c>
      <c r="BJ1107" t="s">
        <v>126</v>
      </c>
      <c r="BK1107" t="s">
        <v>126</v>
      </c>
      <c r="BS1107" t="s">
        <v>126</v>
      </c>
      <c r="BT1107" t="s">
        <v>126</v>
      </c>
      <c r="BU1107" t="s">
        <v>126</v>
      </c>
      <c r="BV1107" t="s">
        <v>126</v>
      </c>
      <c r="CN1107" t="s">
        <v>119</v>
      </c>
      <c r="CP1107" t="s">
        <v>133</v>
      </c>
      <c r="CQ1107" t="s">
        <v>119</v>
      </c>
    </row>
    <row r="1108" spans="1:95" x14ac:dyDescent="0.2">
      <c r="A1108" t="s">
        <v>115</v>
      </c>
      <c r="B1108" t="s">
        <v>116</v>
      </c>
      <c r="C1108">
        <v>210784</v>
      </c>
      <c r="E1108" t="s">
        <v>117</v>
      </c>
      <c r="F1108">
        <v>368</v>
      </c>
      <c r="G1108" t="s">
        <v>118</v>
      </c>
      <c r="H1108" t="s">
        <v>119</v>
      </c>
      <c r="I1108" t="s">
        <v>130</v>
      </c>
      <c r="J1108" t="s">
        <v>131</v>
      </c>
      <c r="L1108" s="14">
        <v>46031</v>
      </c>
      <c r="M1108" s="18">
        <f t="shared" si="20"/>
        <v>46023</v>
      </c>
      <c r="N1108">
        <v>7350067</v>
      </c>
      <c r="O1108" t="s">
        <v>123</v>
      </c>
      <c r="P1108" t="s">
        <v>124</v>
      </c>
      <c r="Q1108">
        <v>16.439999999999998</v>
      </c>
      <c r="R1108" t="s">
        <v>125</v>
      </c>
      <c r="S1108" t="s">
        <v>126</v>
      </c>
      <c r="T1108" t="s">
        <v>125</v>
      </c>
      <c r="U1108" t="s">
        <v>126</v>
      </c>
      <c r="W1108">
        <v>16.439999999999998</v>
      </c>
      <c r="Y1108">
        <v>16.439999999999998</v>
      </c>
      <c r="AA1108">
        <v>8</v>
      </c>
      <c r="AC1108">
        <v>8.44</v>
      </c>
      <c r="BH1108" t="s">
        <v>126</v>
      </c>
      <c r="BI1108" t="s">
        <v>126</v>
      </c>
      <c r="BJ1108" t="s">
        <v>126</v>
      </c>
      <c r="BK1108" t="s">
        <v>126</v>
      </c>
      <c r="BS1108" t="s">
        <v>126</v>
      </c>
      <c r="BT1108" t="s">
        <v>126</v>
      </c>
      <c r="BU1108" t="s">
        <v>126</v>
      </c>
      <c r="BV1108" t="s">
        <v>126</v>
      </c>
      <c r="CN1108" t="s">
        <v>119</v>
      </c>
      <c r="CP1108" t="s">
        <v>133</v>
      </c>
      <c r="CQ1108" t="s">
        <v>119</v>
      </c>
    </row>
    <row r="1109" spans="1:95" x14ac:dyDescent="0.2">
      <c r="A1109" t="s">
        <v>115</v>
      </c>
      <c r="B1109" t="s">
        <v>116</v>
      </c>
      <c r="C1109">
        <v>210784</v>
      </c>
      <c r="E1109" t="s">
        <v>117</v>
      </c>
      <c r="F1109">
        <v>368</v>
      </c>
      <c r="G1109" t="s">
        <v>118</v>
      </c>
      <c r="H1109" t="s">
        <v>119</v>
      </c>
      <c r="I1109" t="s">
        <v>130</v>
      </c>
      <c r="J1109" t="s">
        <v>131</v>
      </c>
      <c r="L1109" s="14">
        <v>46031</v>
      </c>
      <c r="M1109" s="18">
        <f t="shared" si="20"/>
        <v>46023</v>
      </c>
      <c r="N1109">
        <v>7350119</v>
      </c>
      <c r="O1109" t="s">
        <v>123</v>
      </c>
      <c r="P1109" t="s">
        <v>124</v>
      </c>
      <c r="Q1109">
        <v>15.950299999999999</v>
      </c>
      <c r="R1109" t="s">
        <v>125</v>
      </c>
      <c r="S1109" t="s">
        <v>126</v>
      </c>
      <c r="T1109" t="s">
        <v>125</v>
      </c>
      <c r="U1109" t="s">
        <v>126</v>
      </c>
      <c r="W1109">
        <v>15.950299999999999</v>
      </c>
      <c r="Y1109">
        <v>15.950299999999999</v>
      </c>
      <c r="AA1109">
        <v>10.95</v>
      </c>
      <c r="AC1109">
        <v>5.0003000000000002</v>
      </c>
      <c r="BH1109" t="s">
        <v>126</v>
      </c>
      <c r="BI1109" t="s">
        <v>126</v>
      </c>
      <c r="BJ1109" t="s">
        <v>126</v>
      </c>
      <c r="BK1109" t="s">
        <v>126</v>
      </c>
      <c r="BS1109" t="s">
        <v>126</v>
      </c>
      <c r="BT1109" t="s">
        <v>126</v>
      </c>
      <c r="BU1109" t="s">
        <v>126</v>
      </c>
      <c r="BV1109" t="s">
        <v>126</v>
      </c>
      <c r="CN1109" t="s">
        <v>119</v>
      </c>
      <c r="CP1109" t="s">
        <v>133</v>
      </c>
      <c r="CQ1109" t="s">
        <v>119</v>
      </c>
    </row>
    <row r="1110" spans="1:95" x14ac:dyDescent="0.2">
      <c r="A1110" t="s">
        <v>115</v>
      </c>
      <c r="B1110" t="s">
        <v>116</v>
      </c>
      <c r="C1110">
        <v>210784</v>
      </c>
      <c r="E1110" t="s">
        <v>117</v>
      </c>
      <c r="F1110">
        <v>368</v>
      </c>
      <c r="G1110" t="s">
        <v>118</v>
      </c>
      <c r="H1110" t="s">
        <v>119</v>
      </c>
      <c r="I1110" t="s">
        <v>130</v>
      </c>
      <c r="J1110" t="s">
        <v>131</v>
      </c>
      <c r="L1110" s="14">
        <v>46031</v>
      </c>
      <c r="M1110" s="18">
        <f t="shared" si="20"/>
        <v>46023</v>
      </c>
      <c r="N1110">
        <v>7350161</v>
      </c>
      <c r="O1110" t="s">
        <v>123</v>
      </c>
      <c r="P1110" t="s">
        <v>124</v>
      </c>
      <c r="Q1110">
        <v>16.699400000000001</v>
      </c>
      <c r="R1110" t="s">
        <v>125</v>
      </c>
      <c r="S1110" t="s">
        <v>126</v>
      </c>
      <c r="T1110" t="s">
        <v>125</v>
      </c>
      <c r="U1110" t="s">
        <v>126</v>
      </c>
      <c r="W1110">
        <v>16.699400000000001</v>
      </c>
      <c r="Y1110">
        <v>16.699400000000001</v>
      </c>
      <c r="AA1110">
        <v>7</v>
      </c>
      <c r="AC1110">
        <v>9.6994000000000007</v>
      </c>
      <c r="BH1110" t="s">
        <v>126</v>
      </c>
      <c r="BI1110" t="s">
        <v>126</v>
      </c>
      <c r="BJ1110" t="s">
        <v>126</v>
      </c>
      <c r="BK1110" t="s">
        <v>126</v>
      </c>
      <c r="BS1110" t="s">
        <v>126</v>
      </c>
      <c r="BT1110" t="s">
        <v>126</v>
      </c>
      <c r="BU1110" t="s">
        <v>126</v>
      </c>
      <c r="BV1110" t="s">
        <v>126</v>
      </c>
      <c r="CN1110" t="s">
        <v>119</v>
      </c>
      <c r="CP1110" t="s">
        <v>133</v>
      </c>
      <c r="CQ1110" t="s">
        <v>119</v>
      </c>
    </row>
    <row r="1111" spans="1:95" x14ac:dyDescent="0.2">
      <c r="A1111" t="s">
        <v>115</v>
      </c>
      <c r="B1111" t="s">
        <v>116</v>
      </c>
      <c r="C1111">
        <v>210784</v>
      </c>
      <c r="E1111" t="s">
        <v>117</v>
      </c>
      <c r="F1111">
        <v>368</v>
      </c>
      <c r="G1111" t="s">
        <v>118</v>
      </c>
      <c r="H1111" t="s">
        <v>119</v>
      </c>
      <c r="I1111" t="s">
        <v>130</v>
      </c>
      <c r="J1111" t="s">
        <v>131</v>
      </c>
      <c r="L1111" s="14">
        <v>46031</v>
      </c>
      <c r="M1111" s="18">
        <f t="shared" si="20"/>
        <v>46023</v>
      </c>
      <c r="N1111">
        <v>7350170</v>
      </c>
      <c r="O1111" t="s">
        <v>123</v>
      </c>
      <c r="P1111" t="s">
        <v>124</v>
      </c>
      <c r="Q1111">
        <v>17.34</v>
      </c>
      <c r="R1111" t="s">
        <v>125</v>
      </c>
      <c r="S1111" t="s">
        <v>126</v>
      </c>
      <c r="T1111" t="s">
        <v>125</v>
      </c>
      <c r="U1111" t="s">
        <v>126</v>
      </c>
      <c r="W1111">
        <v>17.34</v>
      </c>
      <c r="Y1111">
        <v>17.34</v>
      </c>
      <c r="AA1111">
        <v>10.34</v>
      </c>
      <c r="AC1111">
        <v>7</v>
      </c>
      <c r="BH1111" t="s">
        <v>126</v>
      </c>
      <c r="BI1111" t="s">
        <v>126</v>
      </c>
      <c r="BJ1111" t="s">
        <v>126</v>
      </c>
      <c r="BK1111" t="s">
        <v>126</v>
      </c>
      <c r="BS1111" t="s">
        <v>126</v>
      </c>
      <c r="BT1111" t="s">
        <v>126</v>
      </c>
      <c r="BU1111" t="s">
        <v>126</v>
      </c>
      <c r="BV1111" t="s">
        <v>126</v>
      </c>
      <c r="CN1111" t="s">
        <v>119</v>
      </c>
      <c r="CP1111" t="s">
        <v>133</v>
      </c>
      <c r="CQ1111" t="s">
        <v>119</v>
      </c>
    </row>
    <row r="1112" spans="1:95" x14ac:dyDescent="0.2">
      <c r="A1112" t="s">
        <v>115</v>
      </c>
      <c r="B1112" t="s">
        <v>116</v>
      </c>
      <c r="C1112">
        <v>210784</v>
      </c>
      <c r="E1112" t="s">
        <v>117</v>
      </c>
      <c r="F1112">
        <v>368</v>
      </c>
      <c r="G1112" t="s">
        <v>141</v>
      </c>
      <c r="H1112" t="s">
        <v>142</v>
      </c>
      <c r="I1112" t="s">
        <v>279</v>
      </c>
      <c r="J1112" t="s">
        <v>280</v>
      </c>
      <c r="L1112" s="14">
        <v>46031</v>
      </c>
      <c r="M1112" s="18">
        <f t="shared" si="20"/>
        <v>46023</v>
      </c>
      <c r="N1112">
        <v>5860599</v>
      </c>
      <c r="O1112" t="s">
        <v>123</v>
      </c>
      <c r="P1112" t="s">
        <v>146</v>
      </c>
      <c r="Q1112">
        <v>7.1</v>
      </c>
      <c r="R1112" t="s">
        <v>125</v>
      </c>
      <c r="S1112" t="s">
        <v>126</v>
      </c>
      <c r="T1112" t="s">
        <v>125</v>
      </c>
      <c r="U1112" t="s">
        <v>126</v>
      </c>
      <c r="W1112">
        <v>7.1</v>
      </c>
      <c r="Y1112">
        <v>7.1</v>
      </c>
      <c r="BE1112">
        <v>7.1</v>
      </c>
      <c r="BH1112" t="s">
        <v>126</v>
      </c>
      <c r="BI1112" t="s">
        <v>126</v>
      </c>
      <c r="BJ1112" t="s">
        <v>126</v>
      </c>
      <c r="BK1112" t="s">
        <v>126</v>
      </c>
      <c r="BS1112" t="s">
        <v>126</v>
      </c>
      <c r="BT1112" t="s">
        <v>126</v>
      </c>
      <c r="BU1112" t="s">
        <v>126</v>
      </c>
      <c r="BV1112" t="s">
        <v>126</v>
      </c>
      <c r="CN1112" t="s">
        <v>147</v>
      </c>
      <c r="CP1112" t="s">
        <v>490</v>
      </c>
      <c r="CQ1112" t="s">
        <v>147</v>
      </c>
    </row>
    <row r="1113" spans="1:95" x14ac:dyDescent="0.2">
      <c r="A1113" t="s">
        <v>115</v>
      </c>
      <c r="B1113" t="s">
        <v>116</v>
      </c>
      <c r="C1113">
        <v>210784</v>
      </c>
      <c r="E1113" t="s">
        <v>117</v>
      </c>
      <c r="F1113">
        <v>368</v>
      </c>
      <c r="G1113" t="s">
        <v>118</v>
      </c>
      <c r="H1113" t="s">
        <v>119</v>
      </c>
      <c r="I1113" t="s">
        <v>130</v>
      </c>
      <c r="J1113" t="s">
        <v>131</v>
      </c>
      <c r="L1113" s="14">
        <v>46032</v>
      </c>
      <c r="M1113" s="18">
        <f t="shared" si="20"/>
        <v>46023</v>
      </c>
      <c r="N1113">
        <v>7350217</v>
      </c>
      <c r="O1113" t="s">
        <v>123</v>
      </c>
      <c r="P1113" t="s">
        <v>124</v>
      </c>
      <c r="Q1113">
        <v>16.420000000000002</v>
      </c>
      <c r="R1113" t="s">
        <v>125</v>
      </c>
      <c r="S1113" t="s">
        <v>126</v>
      </c>
      <c r="T1113" t="s">
        <v>125</v>
      </c>
      <c r="U1113" t="s">
        <v>126</v>
      </c>
      <c r="W1113">
        <v>16.420000000000002</v>
      </c>
      <c r="Y1113">
        <v>16.420000000000002</v>
      </c>
      <c r="AA1113">
        <v>16.420000000000002</v>
      </c>
      <c r="BH1113" t="s">
        <v>126</v>
      </c>
      <c r="BI1113" t="s">
        <v>126</v>
      </c>
      <c r="BJ1113" t="s">
        <v>126</v>
      </c>
      <c r="BK1113" t="s">
        <v>126</v>
      </c>
      <c r="BS1113" t="s">
        <v>126</v>
      </c>
      <c r="BT1113" t="s">
        <v>126</v>
      </c>
      <c r="BU1113" t="s">
        <v>126</v>
      </c>
      <c r="BV1113" t="s">
        <v>126</v>
      </c>
      <c r="CN1113" t="s">
        <v>127</v>
      </c>
      <c r="CP1113" t="s">
        <v>136</v>
      </c>
      <c r="CQ1113" t="s">
        <v>127</v>
      </c>
    </row>
    <row r="1114" spans="1:95" x14ac:dyDescent="0.2">
      <c r="A1114" t="s">
        <v>115</v>
      </c>
      <c r="B1114" t="s">
        <v>116</v>
      </c>
      <c r="C1114">
        <v>210784</v>
      </c>
      <c r="E1114" t="s">
        <v>117</v>
      </c>
      <c r="F1114">
        <v>368</v>
      </c>
      <c r="G1114" t="s">
        <v>141</v>
      </c>
      <c r="H1114" t="s">
        <v>142</v>
      </c>
      <c r="I1114" t="s">
        <v>279</v>
      </c>
      <c r="J1114" t="s">
        <v>280</v>
      </c>
      <c r="L1114" s="14">
        <v>46032</v>
      </c>
      <c r="M1114" s="18">
        <f t="shared" si="20"/>
        <v>46023</v>
      </c>
      <c r="N1114">
        <v>5861133</v>
      </c>
      <c r="O1114" t="s">
        <v>123</v>
      </c>
      <c r="P1114" t="s">
        <v>146</v>
      </c>
      <c r="Q1114">
        <v>6.24</v>
      </c>
      <c r="R1114" t="s">
        <v>125</v>
      </c>
      <c r="S1114" t="s">
        <v>126</v>
      </c>
      <c r="T1114" t="s">
        <v>125</v>
      </c>
      <c r="U1114" t="s">
        <v>126</v>
      </c>
      <c r="W1114">
        <v>6.24</v>
      </c>
      <c r="Y1114">
        <v>6.24</v>
      </c>
      <c r="AS1114">
        <v>6.24</v>
      </c>
      <c r="BH1114" t="s">
        <v>126</v>
      </c>
      <c r="BI1114" t="s">
        <v>126</v>
      </c>
      <c r="BJ1114" t="s">
        <v>126</v>
      </c>
      <c r="BK1114" t="s">
        <v>126</v>
      </c>
      <c r="BS1114" t="s">
        <v>126</v>
      </c>
      <c r="BT1114" t="s">
        <v>126</v>
      </c>
      <c r="BU1114" t="s">
        <v>126</v>
      </c>
      <c r="BV1114" t="s">
        <v>126</v>
      </c>
      <c r="CN1114" t="s">
        <v>147</v>
      </c>
      <c r="CP1114" t="s">
        <v>490</v>
      </c>
      <c r="CQ1114" t="s">
        <v>147</v>
      </c>
    </row>
    <row r="1115" spans="1:95" x14ac:dyDescent="0.2">
      <c r="A1115" t="s">
        <v>115</v>
      </c>
      <c r="B1115" t="s">
        <v>116</v>
      </c>
      <c r="C1115">
        <v>210784</v>
      </c>
      <c r="E1115" t="s">
        <v>117</v>
      </c>
      <c r="F1115">
        <v>368</v>
      </c>
      <c r="G1115" t="s">
        <v>141</v>
      </c>
      <c r="H1115" t="s">
        <v>142</v>
      </c>
      <c r="I1115" t="s">
        <v>279</v>
      </c>
      <c r="J1115" t="s">
        <v>280</v>
      </c>
      <c r="L1115" s="14">
        <v>46032</v>
      </c>
      <c r="M1115" s="18">
        <f t="shared" si="20"/>
        <v>46023</v>
      </c>
      <c r="N1115">
        <v>5860854</v>
      </c>
      <c r="O1115" t="s">
        <v>123</v>
      </c>
      <c r="P1115" t="s">
        <v>146</v>
      </c>
      <c r="Q1115">
        <v>6.0400000000000009</v>
      </c>
      <c r="R1115" t="s">
        <v>559</v>
      </c>
      <c r="S1115" t="s">
        <v>126</v>
      </c>
      <c r="T1115" t="s">
        <v>559</v>
      </c>
      <c r="U1115" t="s">
        <v>560</v>
      </c>
      <c r="W1115">
        <v>1.8614999999999999</v>
      </c>
      <c r="X1115">
        <v>4.1784999999999997</v>
      </c>
      <c r="Y1115">
        <v>6.0400000000000009</v>
      </c>
      <c r="Z1115">
        <v>2.2976000000000001</v>
      </c>
      <c r="AG1115">
        <v>1.8614999999999999</v>
      </c>
      <c r="AI1115">
        <v>1.8809</v>
      </c>
      <c r="BH1115" t="s">
        <v>126</v>
      </c>
      <c r="BI1115" t="s">
        <v>126</v>
      </c>
      <c r="BJ1115" t="s">
        <v>126</v>
      </c>
      <c r="BK1115" t="s">
        <v>126</v>
      </c>
      <c r="BS1115" t="s">
        <v>126</v>
      </c>
      <c r="BT1115" t="s">
        <v>126</v>
      </c>
      <c r="BU1115" t="s">
        <v>126</v>
      </c>
      <c r="BV1115" t="s">
        <v>126</v>
      </c>
      <c r="CN1115" t="s">
        <v>147</v>
      </c>
      <c r="CP1115" t="s">
        <v>490</v>
      </c>
      <c r="CQ1115" t="s">
        <v>147</v>
      </c>
    </row>
    <row r="1116" spans="1:95" x14ac:dyDescent="0.2">
      <c r="A1116" t="s">
        <v>115</v>
      </c>
      <c r="B1116" t="s">
        <v>116</v>
      </c>
      <c r="C1116">
        <v>210784</v>
      </c>
      <c r="E1116" t="s">
        <v>117</v>
      </c>
      <c r="F1116">
        <v>368</v>
      </c>
      <c r="G1116" t="s">
        <v>118</v>
      </c>
      <c r="H1116" t="s">
        <v>119</v>
      </c>
      <c r="I1116" t="s">
        <v>130</v>
      </c>
      <c r="J1116" t="s">
        <v>131</v>
      </c>
      <c r="L1116" s="14">
        <v>46032</v>
      </c>
      <c r="M1116" s="18">
        <f t="shared" si="20"/>
        <v>46023</v>
      </c>
      <c r="N1116">
        <v>7350213</v>
      </c>
      <c r="O1116" t="s">
        <v>123</v>
      </c>
      <c r="P1116" t="s">
        <v>124</v>
      </c>
      <c r="Q1116">
        <v>18.939999999999998</v>
      </c>
      <c r="R1116" t="s">
        <v>125</v>
      </c>
      <c r="S1116" t="s">
        <v>126</v>
      </c>
      <c r="T1116" t="s">
        <v>125</v>
      </c>
      <c r="U1116" t="s">
        <v>126</v>
      </c>
      <c r="W1116">
        <v>18.939999999999998</v>
      </c>
      <c r="Y1116">
        <v>18.939999999999998</v>
      </c>
      <c r="AA1116">
        <v>8.94</v>
      </c>
      <c r="AC1116">
        <v>10</v>
      </c>
      <c r="BH1116" t="s">
        <v>126</v>
      </c>
      <c r="BI1116" t="s">
        <v>126</v>
      </c>
      <c r="BJ1116" t="s">
        <v>126</v>
      </c>
      <c r="BK1116" t="s">
        <v>126</v>
      </c>
      <c r="BS1116" t="s">
        <v>126</v>
      </c>
      <c r="BT1116" t="s">
        <v>126</v>
      </c>
      <c r="BU1116" t="s">
        <v>126</v>
      </c>
      <c r="BV1116" t="s">
        <v>126</v>
      </c>
      <c r="CN1116" t="s">
        <v>127</v>
      </c>
      <c r="CP1116" t="s">
        <v>136</v>
      </c>
      <c r="CQ1116" t="s">
        <v>127</v>
      </c>
    </row>
    <row r="1117" spans="1:95" x14ac:dyDescent="0.2">
      <c r="A1117" t="s">
        <v>115</v>
      </c>
      <c r="B1117" t="s">
        <v>116</v>
      </c>
      <c r="C1117">
        <v>210784</v>
      </c>
      <c r="E1117" t="s">
        <v>117</v>
      </c>
      <c r="F1117">
        <v>368</v>
      </c>
      <c r="G1117" t="s">
        <v>118</v>
      </c>
      <c r="H1117" t="s">
        <v>119</v>
      </c>
      <c r="I1117" t="s">
        <v>130</v>
      </c>
      <c r="J1117" t="s">
        <v>131</v>
      </c>
      <c r="L1117" s="14">
        <v>46032</v>
      </c>
      <c r="M1117" s="18">
        <f t="shared" si="20"/>
        <v>46023</v>
      </c>
      <c r="N1117">
        <v>7350242</v>
      </c>
      <c r="O1117" t="s">
        <v>123</v>
      </c>
      <c r="P1117" t="s">
        <v>124</v>
      </c>
      <c r="Q1117">
        <v>17.8399</v>
      </c>
      <c r="R1117" t="s">
        <v>125</v>
      </c>
      <c r="S1117" t="s">
        <v>126</v>
      </c>
      <c r="T1117" t="s">
        <v>125</v>
      </c>
      <c r="U1117" t="s">
        <v>126</v>
      </c>
      <c r="W1117">
        <v>17.8399</v>
      </c>
      <c r="Y1117">
        <v>17.8399</v>
      </c>
      <c r="AA1117">
        <v>15.84</v>
      </c>
      <c r="AC1117">
        <v>1.9999</v>
      </c>
      <c r="BH1117" t="s">
        <v>126</v>
      </c>
      <c r="BI1117" t="s">
        <v>126</v>
      </c>
      <c r="BJ1117" t="s">
        <v>126</v>
      </c>
      <c r="BK1117" t="s">
        <v>126</v>
      </c>
      <c r="BS1117" t="s">
        <v>126</v>
      </c>
      <c r="BT1117" t="s">
        <v>126</v>
      </c>
      <c r="BU1117" t="s">
        <v>126</v>
      </c>
      <c r="BV1117" t="s">
        <v>126</v>
      </c>
      <c r="CN1117" t="s">
        <v>127</v>
      </c>
      <c r="CP1117" t="s">
        <v>136</v>
      </c>
      <c r="CQ1117" t="s">
        <v>127</v>
      </c>
    </row>
    <row r="1118" spans="1:95" x14ac:dyDescent="0.2">
      <c r="A1118" t="s">
        <v>115</v>
      </c>
      <c r="B1118" t="s">
        <v>116</v>
      </c>
      <c r="C1118">
        <v>210784</v>
      </c>
      <c r="E1118" t="s">
        <v>117</v>
      </c>
      <c r="F1118">
        <v>368</v>
      </c>
      <c r="G1118" t="s">
        <v>141</v>
      </c>
      <c r="H1118" t="s">
        <v>142</v>
      </c>
      <c r="I1118" t="s">
        <v>279</v>
      </c>
      <c r="J1118" t="s">
        <v>280</v>
      </c>
      <c r="L1118" s="14">
        <v>46034</v>
      </c>
      <c r="M1118" s="18">
        <f t="shared" si="20"/>
        <v>46023</v>
      </c>
      <c r="N1118">
        <v>5861777</v>
      </c>
      <c r="O1118" t="s">
        <v>123</v>
      </c>
      <c r="P1118" t="s">
        <v>146</v>
      </c>
      <c r="Q1118">
        <v>4.79</v>
      </c>
      <c r="R1118" t="s">
        <v>559</v>
      </c>
      <c r="S1118" t="s">
        <v>126</v>
      </c>
      <c r="T1118" t="s">
        <v>559</v>
      </c>
      <c r="U1118" t="s">
        <v>560</v>
      </c>
      <c r="W1118">
        <v>1.4762999999999999</v>
      </c>
      <c r="X1118">
        <v>3.3136999999999999</v>
      </c>
      <c r="Y1118">
        <v>4.79</v>
      </c>
      <c r="Z1118">
        <v>1.8221000000000001</v>
      </c>
      <c r="AG1118">
        <v>1.4762999999999999</v>
      </c>
      <c r="AI1118">
        <v>1.4916</v>
      </c>
      <c r="BH1118" t="s">
        <v>126</v>
      </c>
      <c r="BI1118" t="s">
        <v>126</v>
      </c>
      <c r="BJ1118" t="s">
        <v>126</v>
      </c>
      <c r="BK1118" t="s">
        <v>126</v>
      </c>
      <c r="BS1118" t="s">
        <v>126</v>
      </c>
      <c r="BT1118" t="s">
        <v>126</v>
      </c>
      <c r="BU1118" t="s">
        <v>126</v>
      </c>
      <c r="BV1118" t="s">
        <v>126</v>
      </c>
      <c r="CN1118" t="s">
        <v>147</v>
      </c>
      <c r="CP1118" t="s">
        <v>490</v>
      </c>
      <c r="CQ1118" t="s">
        <v>147</v>
      </c>
    </row>
    <row r="1119" spans="1:95" x14ac:dyDescent="0.2">
      <c r="A1119" t="s">
        <v>115</v>
      </c>
      <c r="B1119" t="s">
        <v>116</v>
      </c>
      <c r="C1119">
        <v>210784</v>
      </c>
      <c r="E1119" t="s">
        <v>117</v>
      </c>
      <c r="F1119">
        <v>368</v>
      </c>
      <c r="G1119" t="s">
        <v>141</v>
      </c>
      <c r="H1119" t="s">
        <v>142</v>
      </c>
      <c r="I1119" t="s">
        <v>279</v>
      </c>
      <c r="J1119" t="s">
        <v>280</v>
      </c>
      <c r="L1119" s="14">
        <v>46035</v>
      </c>
      <c r="M1119" s="18">
        <f t="shared" si="20"/>
        <v>46023</v>
      </c>
      <c r="N1119">
        <v>5862630</v>
      </c>
      <c r="O1119" t="s">
        <v>123</v>
      </c>
      <c r="P1119" t="s">
        <v>146</v>
      </c>
      <c r="Q1119">
        <v>4.4800000000000004</v>
      </c>
      <c r="R1119" t="s">
        <v>125</v>
      </c>
      <c r="S1119" t="s">
        <v>126</v>
      </c>
      <c r="T1119" t="s">
        <v>125</v>
      </c>
      <c r="U1119" t="s">
        <v>126</v>
      </c>
      <c r="W1119">
        <v>4.4800000000000004</v>
      </c>
      <c r="Y1119">
        <v>4.4800000000000004</v>
      </c>
      <c r="BE1119">
        <v>4.4800000000000004</v>
      </c>
      <c r="BH1119" t="s">
        <v>126</v>
      </c>
      <c r="BI1119" t="s">
        <v>126</v>
      </c>
      <c r="BJ1119" t="s">
        <v>126</v>
      </c>
      <c r="BK1119" t="s">
        <v>126</v>
      </c>
      <c r="BS1119" t="s">
        <v>126</v>
      </c>
      <c r="BT1119" t="s">
        <v>126</v>
      </c>
      <c r="BU1119" t="s">
        <v>126</v>
      </c>
      <c r="BV1119" t="s">
        <v>126</v>
      </c>
      <c r="CN1119" t="s">
        <v>147</v>
      </c>
      <c r="CP1119" t="s">
        <v>490</v>
      </c>
      <c r="CQ1119" t="s">
        <v>147</v>
      </c>
    </row>
    <row r="1120" spans="1:95" x14ac:dyDescent="0.2">
      <c r="A1120" t="s">
        <v>115</v>
      </c>
      <c r="B1120" t="s">
        <v>116</v>
      </c>
      <c r="C1120">
        <v>210784</v>
      </c>
      <c r="E1120" t="s">
        <v>117</v>
      </c>
      <c r="F1120">
        <v>368</v>
      </c>
      <c r="G1120" t="s">
        <v>141</v>
      </c>
      <c r="H1120" t="s">
        <v>142</v>
      </c>
      <c r="I1120" t="s">
        <v>279</v>
      </c>
      <c r="J1120" t="s">
        <v>280</v>
      </c>
      <c r="L1120" s="14">
        <v>46036</v>
      </c>
      <c r="M1120" s="18">
        <f t="shared" si="20"/>
        <v>46023</v>
      </c>
      <c r="N1120">
        <v>5863450</v>
      </c>
      <c r="O1120" t="s">
        <v>123</v>
      </c>
      <c r="P1120" t="s">
        <v>146</v>
      </c>
      <c r="Q1120">
        <v>4.5599999999999996</v>
      </c>
      <c r="R1120" t="s">
        <v>125</v>
      </c>
      <c r="S1120" t="s">
        <v>126</v>
      </c>
      <c r="T1120" t="s">
        <v>125</v>
      </c>
      <c r="U1120" t="s">
        <v>126</v>
      </c>
      <c r="W1120">
        <v>4.5599999999999996</v>
      </c>
      <c r="Y1120">
        <v>4.5599999999999996</v>
      </c>
      <c r="AS1120">
        <v>4.5599999999999996</v>
      </c>
      <c r="BH1120" t="s">
        <v>126</v>
      </c>
      <c r="BI1120" t="s">
        <v>126</v>
      </c>
      <c r="BJ1120" t="s">
        <v>126</v>
      </c>
      <c r="BK1120" t="s">
        <v>126</v>
      </c>
      <c r="BS1120" t="s">
        <v>126</v>
      </c>
      <c r="BT1120" t="s">
        <v>126</v>
      </c>
      <c r="BU1120" t="s">
        <v>126</v>
      </c>
      <c r="BV1120" t="s">
        <v>126</v>
      </c>
      <c r="CN1120" t="s">
        <v>147</v>
      </c>
      <c r="CP1120" t="s">
        <v>490</v>
      </c>
      <c r="CQ1120" t="s">
        <v>147</v>
      </c>
    </row>
    <row r="1121" spans="1:95" x14ac:dyDescent="0.2">
      <c r="A1121" t="s">
        <v>115</v>
      </c>
      <c r="B1121" t="s">
        <v>116</v>
      </c>
      <c r="C1121">
        <v>210784</v>
      </c>
      <c r="E1121" t="s">
        <v>117</v>
      </c>
      <c r="F1121">
        <v>368</v>
      </c>
      <c r="G1121" t="s">
        <v>141</v>
      </c>
      <c r="H1121" t="s">
        <v>142</v>
      </c>
      <c r="I1121" t="s">
        <v>279</v>
      </c>
      <c r="J1121" t="s">
        <v>280</v>
      </c>
      <c r="L1121" s="14">
        <v>46038</v>
      </c>
      <c r="M1121" s="18">
        <f t="shared" si="20"/>
        <v>46023</v>
      </c>
      <c r="N1121">
        <v>5865513</v>
      </c>
      <c r="O1121" t="s">
        <v>123</v>
      </c>
      <c r="P1121" t="s">
        <v>146</v>
      </c>
      <c r="Q1121">
        <v>3.3199000000000005</v>
      </c>
      <c r="R1121" t="s">
        <v>559</v>
      </c>
      <c r="S1121" t="s">
        <v>126</v>
      </c>
      <c r="T1121" t="s">
        <v>559</v>
      </c>
      <c r="U1121" t="s">
        <v>560</v>
      </c>
      <c r="W1121">
        <v>1.0232000000000001</v>
      </c>
      <c r="X1121">
        <v>2.2967</v>
      </c>
      <c r="Y1121">
        <v>3.3199000000000005</v>
      </c>
      <c r="Z1121">
        <v>1.2628999999999999</v>
      </c>
      <c r="AG1121">
        <v>1.0232000000000001</v>
      </c>
      <c r="AI1121">
        <v>1.0338000000000001</v>
      </c>
      <c r="BH1121" t="s">
        <v>126</v>
      </c>
      <c r="BI1121" t="s">
        <v>126</v>
      </c>
      <c r="BJ1121" t="s">
        <v>126</v>
      </c>
      <c r="BK1121" t="s">
        <v>126</v>
      </c>
      <c r="BS1121" t="s">
        <v>126</v>
      </c>
      <c r="BT1121" t="s">
        <v>126</v>
      </c>
      <c r="BU1121" t="s">
        <v>126</v>
      </c>
      <c r="BV1121" t="s">
        <v>126</v>
      </c>
      <c r="CN1121" t="s">
        <v>147</v>
      </c>
      <c r="CP1121" t="s">
        <v>490</v>
      </c>
      <c r="CQ1121" t="s">
        <v>147</v>
      </c>
    </row>
    <row r="1122" spans="1:95" x14ac:dyDescent="0.2">
      <c r="A1122" t="s">
        <v>115</v>
      </c>
      <c r="B1122" t="s">
        <v>116</v>
      </c>
      <c r="C1122">
        <v>210784</v>
      </c>
      <c r="E1122" t="s">
        <v>117</v>
      </c>
      <c r="F1122">
        <v>368</v>
      </c>
      <c r="G1122" t="s">
        <v>141</v>
      </c>
      <c r="H1122" t="s">
        <v>142</v>
      </c>
      <c r="I1122" t="s">
        <v>279</v>
      </c>
      <c r="J1122" t="s">
        <v>280</v>
      </c>
      <c r="L1122" s="14">
        <v>46038</v>
      </c>
      <c r="M1122" s="18">
        <f t="shared" si="20"/>
        <v>46023</v>
      </c>
      <c r="N1122">
        <v>5864307</v>
      </c>
      <c r="O1122" t="s">
        <v>123</v>
      </c>
      <c r="P1122" t="s">
        <v>146</v>
      </c>
      <c r="Q1122">
        <v>3.1301000000000001</v>
      </c>
      <c r="R1122" t="s">
        <v>559</v>
      </c>
      <c r="S1122" t="s">
        <v>126</v>
      </c>
      <c r="T1122" t="s">
        <v>559</v>
      </c>
      <c r="U1122" t="s">
        <v>560</v>
      </c>
      <c r="W1122">
        <v>0.9647</v>
      </c>
      <c r="X1122">
        <v>2.1654</v>
      </c>
      <c r="Y1122">
        <v>3.1301000000000001</v>
      </c>
      <c r="Z1122">
        <v>1.1907000000000001</v>
      </c>
      <c r="AG1122">
        <v>0.9647</v>
      </c>
      <c r="AI1122">
        <v>0.97470000000000001</v>
      </c>
      <c r="BH1122" t="s">
        <v>126</v>
      </c>
      <c r="BI1122" t="s">
        <v>126</v>
      </c>
      <c r="BJ1122" t="s">
        <v>126</v>
      </c>
      <c r="BK1122" t="s">
        <v>126</v>
      </c>
      <c r="BS1122" t="s">
        <v>126</v>
      </c>
      <c r="BT1122" t="s">
        <v>126</v>
      </c>
      <c r="BU1122" t="s">
        <v>126</v>
      </c>
      <c r="BV1122" t="s">
        <v>126</v>
      </c>
      <c r="CN1122" t="s">
        <v>147</v>
      </c>
      <c r="CP1122" t="s">
        <v>490</v>
      </c>
      <c r="CQ1122" t="s">
        <v>147</v>
      </c>
    </row>
    <row r="1123" spans="1:95" x14ac:dyDescent="0.2">
      <c r="A1123" t="s">
        <v>115</v>
      </c>
      <c r="B1123" t="s">
        <v>116</v>
      </c>
      <c r="C1123">
        <v>210784</v>
      </c>
      <c r="E1123" t="s">
        <v>117</v>
      </c>
      <c r="F1123">
        <v>368</v>
      </c>
      <c r="G1123" t="s">
        <v>141</v>
      </c>
      <c r="H1123" t="s">
        <v>142</v>
      </c>
      <c r="I1123" t="s">
        <v>279</v>
      </c>
      <c r="J1123" t="s">
        <v>280</v>
      </c>
      <c r="L1123" s="14">
        <v>46039</v>
      </c>
      <c r="M1123" s="18">
        <f t="shared" si="20"/>
        <v>46023</v>
      </c>
      <c r="N1123">
        <v>5865333</v>
      </c>
      <c r="O1123" t="s">
        <v>123</v>
      </c>
      <c r="P1123" t="s">
        <v>146</v>
      </c>
      <c r="Q1123">
        <v>2.17</v>
      </c>
      <c r="R1123" t="s">
        <v>559</v>
      </c>
      <c r="S1123" t="s">
        <v>126</v>
      </c>
      <c r="T1123" t="s">
        <v>559</v>
      </c>
      <c r="U1123" t="s">
        <v>560</v>
      </c>
      <c r="W1123">
        <v>0.66879999999999995</v>
      </c>
      <c r="X1123">
        <v>1.5011999999999999</v>
      </c>
      <c r="Y1123">
        <v>2.17</v>
      </c>
      <c r="Z1123">
        <v>0.82550000000000001</v>
      </c>
      <c r="AG1123">
        <v>0.66879999999999995</v>
      </c>
      <c r="AI1123">
        <v>0.67569999999999997</v>
      </c>
      <c r="BH1123" t="s">
        <v>126</v>
      </c>
      <c r="BI1123" t="s">
        <v>126</v>
      </c>
      <c r="BJ1123" t="s">
        <v>126</v>
      </c>
      <c r="BK1123" t="s">
        <v>126</v>
      </c>
      <c r="BS1123" t="s">
        <v>126</v>
      </c>
      <c r="BT1123" t="s">
        <v>126</v>
      </c>
      <c r="BU1123" t="s">
        <v>126</v>
      </c>
      <c r="BV1123" t="s">
        <v>126</v>
      </c>
      <c r="CN1123" t="s">
        <v>147</v>
      </c>
      <c r="CP1123" t="s">
        <v>490</v>
      </c>
      <c r="CQ1123" t="s">
        <v>147</v>
      </c>
    </row>
    <row r="1124" spans="1:95" x14ac:dyDescent="0.2">
      <c r="A1124" t="s">
        <v>115</v>
      </c>
      <c r="B1124" t="s">
        <v>116</v>
      </c>
      <c r="C1124">
        <v>210784</v>
      </c>
      <c r="E1124" t="s">
        <v>117</v>
      </c>
      <c r="F1124">
        <v>368</v>
      </c>
      <c r="G1124" t="s">
        <v>118</v>
      </c>
      <c r="H1124" t="s">
        <v>119</v>
      </c>
      <c r="I1124" t="s">
        <v>120</v>
      </c>
      <c r="J1124" t="s">
        <v>121</v>
      </c>
      <c r="L1124" s="14">
        <v>46041</v>
      </c>
      <c r="M1124" s="18">
        <f t="shared" si="20"/>
        <v>46023</v>
      </c>
      <c r="N1124">
        <v>136807</v>
      </c>
      <c r="O1124" t="s">
        <v>123</v>
      </c>
      <c r="P1124" t="s">
        <v>124</v>
      </c>
      <c r="Q1124">
        <v>20.77</v>
      </c>
      <c r="R1124" t="s">
        <v>125</v>
      </c>
      <c r="S1124" t="s">
        <v>126</v>
      </c>
      <c r="T1124" t="s">
        <v>125</v>
      </c>
      <c r="U1124" t="s">
        <v>126</v>
      </c>
      <c r="W1124">
        <v>20.77</v>
      </c>
      <c r="Y1124">
        <v>20.77</v>
      </c>
      <c r="AA1124">
        <v>20.77</v>
      </c>
      <c r="BH1124" t="s">
        <v>126</v>
      </c>
      <c r="BI1124" t="s">
        <v>126</v>
      </c>
      <c r="BJ1124" t="s">
        <v>126</v>
      </c>
      <c r="BK1124" t="s">
        <v>126</v>
      </c>
      <c r="BS1124" t="s">
        <v>126</v>
      </c>
      <c r="BT1124" t="s">
        <v>126</v>
      </c>
      <c r="BU1124" t="s">
        <v>126</v>
      </c>
      <c r="BV1124" t="s">
        <v>126</v>
      </c>
      <c r="CN1124" t="s">
        <v>127</v>
      </c>
      <c r="CP1124" t="s">
        <v>136</v>
      </c>
      <c r="CQ1124" t="s">
        <v>127</v>
      </c>
    </row>
    <row r="1125" spans="1:95" x14ac:dyDescent="0.2">
      <c r="A1125" t="s">
        <v>115</v>
      </c>
      <c r="B1125" t="s">
        <v>116</v>
      </c>
      <c r="C1125">
        <v>210784</v>
      </c>
      <c r="E1125" t="s">
        <v>117</v>
      </c>
      <c r="F1125">
        <v>368</v>
      </c>
      <c r="G1125" t="s">
        <v>118</v>
      </c>
      <c r="H1125" t="s">
        <v>119</v>
      </c>
      <c r="I1125" t="s">
        <v>120</v>
      </c>
      <c r="J1125" t="s">
        <v>121</v>
      </c>
      <c r="L1125" s="14">
        <v>46041</v>
      </c>
      <c r="M1125" s="18">
        <f t="shared" si="20"/>
        <v>46023</v>
      </c>
      <c r="N1125">
        <v>136805</v>
      </c>
      <c r="O1125" t="s">
        <v>123</v>
      </c>
      <c r="P1125" t="s">
        <v>124</v>
      </c>
      <c r="Q1125">
        <v>13.51</v>
      </c>
      <c r="R1125" t="s">
        <v>125</v>
      </c>
      <c r="S1125" t="s">
        <v>126</v>
      </c>
      <c r="T1125" t="s">
        <v>125</v>
      </c>
      <c r="U1125" t="s">
        <v>126</v>
      </c>
      <c r="W1125">
        <v>13.51</v>
      </c>
      <c r="Y1125">
        <v>13.51</v>
      </c>
      <c r="AC1125">
        <v>13.51</v>
      </c>
      <c r="BH1125" t="s">
        <v>126</v>
      </c>
      <c r="BI1125" t="s">
        <v>126</v>
      </c>
      <c r="BJ1125" t="s">
        <v>126</v>
      </c>
      <c r="BK1125" t="s">
        <v>126</v>
      </c>
      <c r="BS1125" t="s">
        <v>126</v>
      </c>
      <c r="BT1125" t="s">
        <v>126</v>
      </c>
      <c r="BU1125" t="s">
        <v>126</v>
      </c>
      <c r="BV1125" t="s">
        <v>126</v>
      </c>
      <c r="CN1125" t="s">
        <v>127</v>
      </c>
      <c r="CP1125" t="s">
        <v>136</v>
      </c>
      <c r="CQ1125" t="s">
        <v>127</v>
      </c>
    </row>
    <row r="1126" spans="1:95" x14ac:dyDescent="0.2">
      <c r="A1126" t="s">
        <v>115</v>
      </c>
      <c r="B1126" t="s">
        <v>116</v>
      </c>
      <c r="C1126">
        <v>210784</v>
      </c>
      <c r="E1126" t="s">
        <v>117</v>
      </c>
      <c r="F1126">
        <v>368</v>
      </c>
      <c r="G1126" t="s">
        <v>141</v>
      </c>
      <c r="H1126" t="s">
        <v>142</v>
      </c>
      <c r="I1126" t="s">
        <v>279</v>
      </c>
      <c r="J1126" t="s">
        <v>280</v>
      </c>
      <c r="L1126" s="14">
        <v>46041</v>
      </c>
      <c r="M1126" s="18">
        <f t="shared" si="20"/>
        <v>46023</v>
      </c>
      <c r="N1126">
        <v>5865657</v>
      </c>
      <c r="O1126" t="s">
        <v>123</v>
      </c>
      <c r="P1126" t="s">
        <v>146</v>
      </c>
      <c r="Q1126">
        <v>7.26</v>
      </c>
      <c r="R1126" t="s">
        <v>559</v>
      </c>
      <c r="S1126" t="s">
        <v>126</v>
      </c>
      <c r="T1126" t="s">
        <v>559</v>
      </c>
      <c r="U1126" t="s">
        <v>560</v>
      </c>
      <c r="W1126">
        <v>2.2374999999999998</v>
      </c>
      <c r="X1126">
        <v>5.0225</v>
      </c>
      <c r="Y1126">
        <v>7.26</v>
      </c>
      <c r="Z1126">
        <v>2.7616999999999998</v>
      </c>
      <c r="AG1126">
        <v>2.2374999999999998</v>
      </c>
      <c r="AI1126">
        <v>2.2608000000000001</v>
      </c>
      <c r="BH1126" t="s">
        <v>126</v>
      </c>
      <c r="BI1126" t="s">
        <v>126</v>
      </c>
      <c r="BJ1126" t="s">
        <v>126</v>
      </c>
      <c r="BK1126" t="s">
        <v>126</v>
      </c>
      <c r="BS1126" t="s">
        <v>126</v>
      </c>
      <c r="BT1126" t="s">
        <v>126</v>
      </c>
      <c r="BU1126" t="s">
        <v>126</v>
      </c>
      <c r="BV1126" t="s">
        <v>126</v>
      </c>
      <c r="CN1126" t="s">
        <v>147</v>
      </c>
      <c r="CP1126" t="s">
        <v>490</v>
      </c>
      <c r="CQ1126" t="s">
        <v>147</v>
      </c>
    </row>
    <row r="1127" spans="1:95" x14ac:dyDescent="0.2">
      <c r="A1127" t="s">
        <v>115</v>
      </c>
      <c r="B1127" t="s">
        <v>116</v>
      </c>
      <c r="C1127">
        <v>210784</v>
      </c>
      <c r="E1127" t="s">
        <v>117</v>
      </c>
      <c r="F1127">
        <v>368</v>
      </c>
      <c r="G1127" t="s">
        <v>141</v>
      </c>
      <c r="H1127" t="s">
        <v>142</v>
      </c>
      <c r="I1127" t="s">
        <v>279</v>
      </c>
      <c r="J1127" t="s">
        <v>280</v>
      </c>
      <c r="L1127" s="14">
        <v>46041</v>
      </c>
      <c r="M1127" s="18">
        <f t="shared" si="20"/>
        <v>46023</v>
      </c>
      <c r="N1127">
        <v>5865589</v>
      </c>
      <c r="O1127" t="s">
        <v>123</v>
      </c>
      <c r="P1127" t="s">
        <v>146</v>
      </c>
      <c r="Q1127">
        <v>7.19</v>
      </c>
      <c r="R1127" t="s">
        <v>125</v>
      </c>
      <c r="S1127" t="s">
        <v>126</v>
      </c>
      <c r="T1127" t="s">
        <v>125</v>
      </c>
      <c r="U1127" t="s">
        <v>126</v>
      </c>
      <c r="W1127">
        <v>7.19</v>
      </c>
      <c r="Y1127">
        <v>7.19</v>
      </c>
      <c r="BE1127">
        <v>7.19</v>
      </c>
      <c r="BH1127" t="s">
        <v>126</v>
      </c>
      <c r="BI1127" t="s">
        <v>126</v>
      </c>
      <c r="BJ1127" t="s">
        <v>126</v>
      </c>
      <c r="BK1127" t="s">
        <v>126</v>
      </c>
      <c r="BS1127" t="s">
        <v>126</v>
      </c>
      <c r="BT1127" t="s">
        <v>126</v>
      </c>
      <c r="BU1127" t="s">
        <v>126</v>
      </c>
      <c r="BV1127" t="s">
        <v>126</v>
      </c>
      <c r="CN1127" t="s">
        <v>147</v>
      </c>
      <c r="CP1127" t="s">
        <v>490</v>
      </c>
      <c r="CQ1127" t="s">
        <v>147</v>
      </c>
    </row>
    <row r="1128" spans="1:95" x14ac:dyDescent="0.2">
      <c r="A1128" t="s">
        <v>115</v>
      </c>
      <c r="B1128" t="s">
        <v>116</v>
      </c>
      <c r="C1128">
        <v>210784</v>
      </c>
      <c r="E1128" t="s">
        <v>117</v>
      </c>
      <c r="F1128">
        <v>368</v>
      </c>
      <c r="G1128" t="s">
        <v>141</v>
      </c>
      <c r="H1128" t="s">
        <v>142</v>
      </c>
      <c r="I1128" t="s">
        <v>279</v>
      </c>
      <c r="J1128" t="s">
        <v>280</v>
      </c>
      <c r="L1128" s="14">
        <v>46042</v>
      </c>
      <c r="M1128" s="18">
        <f t="shared" si="20"/>
        <v>46023</v>
      </c>
      <c r="N1128">
        <v>5866969</v>
      </c>
      <c r="O1128" t="s">
        <v>123</v>
      </c>
      <c r="P1128" t="s">
        <v>146</v>
      </c>
      <c r="Q1128">
        <v>5.6900999999999993</v>
      </c>
      <c r="R1128" t="s">
        <v>559</v>
      </c>
      <c r="S1128" t="s">
        <v>126</v>
      </c>
      <c r="T1128" t="s">
        <v>559</v>
      </c>
      <c r="U1128" t="s">
        <v>560</v>
      </c>
      <c r="W1128">
        <v>1.7537</v>
      </c>
      <c r="X1128">
        <v>3.9363999999999999</v>
      </c>
      <c r="Y1128">
        <v>5.6900999999999993</v>
      </c>
      <c r="Z1128">
        <v>2.1644999999999999</v>
      </c>
      <c r="AG1128">
        <v>1.7537</v>
      </c>
      <c r="AI1128">
        <v>1.7719</v>
      </c>
      <c r="BH1128" t="s">
        <v>126</v>
      </c>
      <c r="BI1128" t="s">
        <v>126</v>
      </c>
      <c r="BJ1128" t="s">
        <v>126</v>
      </c>
      <c r="BK1128" t="s">
        <v>126</v>
      </c>
      <c r="BS1128" t="s">
        <v>126</v>
      </c>
      <c r="BT1128" t="s">
        <v>126</v>
      </c>
      <c r="BU1128" t="s">
        <v>126</v>
      </c>
      <c r="BV1128" t="s">
        <v>126</v>
      </c>
      <c r="CN1128" t="s">
        <v>147</v>
      </c>
      <c r="CP1128" t="s">
        <v>490</v>
      </c>
      <c r="CQ1128" t="s">
        <v>147</v>
      </c>
    </row>
    <row r="1129" spans="1:95" x14ac:dyDescent="0.2">
      <c r="A1129" t="s">
        <v>115</v>
      </c>
      <c r="B1129" t="s">
        <v>116</v>
      </c>
      <c r="C1129">
        <v>210784</v>
      </c>
      <c r="E1129" t="s">
        <v>117</v>
      </c>
      <c r="F1129">
        <v>368</v>
      </c>
      <c r="G1129" t="s">
        <v>141</v>
      </c>
      <c r="H1129" t="s">
        <v>142</v>
      </c>
      <c r="I1129" t="s">
        <v>279</v>
      </c>
      <c r="J1129" t="s">
        <v>280</v>
      </c>
      <c r="L1129" s="14">
        <v>46042</v>
      </c>
      <c r="M1129" s="18">
        <f t="shared" si="20"/>
        <v>46023</v>
      </c>
      <c r="N1129">
        <v>5866897</v>
      </c>
      <c r="O1129" t="s">
        <v>123</v>
      </c>
      <c r="P1129" t="s">
        <v>146</v>
      </c>
      <c r="Q1129">
        <v>4.78</v>
      </c>
      <c r="R1129" t="s">
        <v>559</v>
      </c>
      <c r="S1129" t="s">
        <v>126</v>
      </c>
      <c r="T1129" t="s">
        <v>559</v>
      </c>
      <c r="U1129" t="s">
        <v>560</v>
      </c>
      <c r="W1129">
        <v>1.4732000000000001</v>
      </c>
      <c r="X1129">
        <v>3.3068</v>
      </c>
      <c r="Y1129">
        <v>4.78</v>
      </c>
      <c r="Z1129">
        <v>1.8183</v>
      </c>
      <c r="AG1129">
        <v>1.4732000000000001</v>
      </c>
      <c r="AI1129">
        <v>1.4884999999999999</v>
      </c>
      <c r="BH1129" t="s">
        <v>126</v>
      </c>
      <c r="BI1129" t="s">
        <v>126</v>
      </c>
      <c r="BJ1129" t="s">
        <v>126</v>
      </c>
      <c r="BK1129" t="s">
        <v>126</v>
      </c>
      <c r="BS1129" t="s">
        <v>126</v>
      </c>
      <c r="BT1129" t="s">
        <v>126</v>
      </c>
      <c r="BU1129" t="s">
        <v>126</v>
      </c>
      <c r="BV1129" t="s">
        <v>126</v>
      </c>
      <c r="CN1129" t="s">
        <v>147</v>
      </c>
      <c r="CP1129" t="s">
        <v>490</v>
      </c>
      <c r="CQ1129" t="s">
        <v>147</v>
      </c>
    </row>
    <row r="1130" spans="1:95" x14ac:dyDescent="0.2">
      <c r="A1130" t="s">
        <v>115</v>
      </c>
      <c r="B1130" t="s">
        <v>116</v>
      </c>
      <c r="C1130">
        <v>210784</v>
      </c>
      <c r="E1130" t="s">
        <v>117</v>
      </c>
      <c r="F1130">
        <v>368</v>
      </c>
      <c r="G1130" t="s">
        <v>141</v>
      </c>
      <c r="H1130" t="s">
        <v>142</v>
      </c>
      <c r="I1130" t="s">
        <v>279</v>
      </c>
      <c r="J1130" t="s">
        <v>280</v>
      </c>
      <c r="L1130" s="14">
        <v>46043</v>
      </c>
      <c r="M1130" s="18">
        <f t="shared" si="20"/>
        <v>46023</v>
      </c>
      <c r="N1130">
        <v>5867766</v>
      </c>
      <c r="O1130" t="s">
        <v>123</v>
      </c>
      <c r="P1130" t="s">
        <v>146</v>
      </c>
      <c r="Q1130">
        <v>0.76</v>
      </c>
      <c r="R1130" t="s">
        <v>559</v>
      </c>
      <c r="S1130" t="s">
        <v>126</v>
      </c>
      <c r="T1130" t="s">
        <v>559</v>
      </c>
      <c r="U1130" t="s">
        <v>560</v>
      </c>
      <c r="W1130">
        <v>0.23419999999999999</v>
      </c>
      <c r="X1130">
        <v>0.52580000000000005</v>
      </c>
      <c r="Y1130">
        <v>0.76</v>
      </c>
      <c r="Z1130">
        <v>0.28910000000000002</v>
      </c>
      <c r="AG1130">
        <v>0.23419999999999999</v>
      </c>
      <c r="AI1130">
        <v>0.23669999999999999</v>
      </c>
      <c r="BH1130" t="s">
        <v>126</v>
      </c>
      <c r="BI1130" t="s">
        <v>126</v>
      </c>
      <c r="BJ1130" t="s">
        <v>126</v>
      </c>
      <c r="BK1130" t="s">
        <v>126</v>
      </c>
      <c r="BS1130" t="s">
        <v>126</v>
      </c>
      <c r="BT1130" t="s">
        <v>126</v>
      </c>
      <c r="BU1130" t="s">
        <v>126</v>
      </c>
      <c r="BV1130" t="s">
        <v>126</v>
      </c>
      <c r="CN1130" t="s">
        <v>147</v>
      </c>
      <c r="CP1130" t="s">
        <v>490</v>
      </c>
      <c r="CQ1130" t="s">
        <v>147</v>
      </c>
    </row>
    <row r="1131" spans="1:95" x14ac:dyDescent="0.2">
      <c r="A1131" t="s">
        <v>115</v>
      </c>
      <c r="B1131" t="s">
        <v>116</v>
      </c>
      <c r="C1131">
        <v>210784</v>
      </c>
      <c r="E1131" t="s">
        <v>117</v>
      </c>
      <c r="F1131">
        <v>368</v>
      </c>
      <c r="G1131" t="s">
        <v>141</v>
      </c>
      <c r="H1131" t="s">
        <v>142</v>
      </c>
      <c r="I1131" t="s">
        <v>279</v>
      </c>
      <c r="J1131" t="s">
        <v>280</v>
      </c>
      <c r="L1131" s="14">
        <v>46044</v>
      </c>
      <c r="M1131" s="18">
        <f t="shared" si="20"/>
        <v>46023</v>
      </c>
      <c r="N1131">
        <v>5868276</v>
      </c>
      <c r="O1131" t="s">
        <v>123</v>
      </c>
      <c r="P1131" t="s">
        <v>146</v>
      </c>
      <c r="Q1131">
        <v>5.55</v>
      </c>
      <c r="R1131" t="s">
        <v>559</v>
      </c>
      <c r="S1131" t="s">
        <v>126</v>
      </c>
      <c r="T1131" t="s">
        <v>559</v>
      </c>
      <c r="U1131" t="s">
        <v>560</v>
      </c>
      <c r="W1131">
        <v>1.7104999999999999</v>
      </c>
      <c r="X1131">
        <v>3.8395000000000001</v>
      </c>
      <c r="Y1131">
        <v>5.55</v>
      </c>
      <c r="Z1131">
        <v>2.1112000000000002</v>
      </c>
      <c r="AG1131">
        <v>1.7104999999999999</v>
      </c>
      <c r="AI1131">
        <v>1.7282999999999999</v>
      </c>
      <c r="BH1131" t="s">
        <v>126</v>
      </c>
      <c r="BI1131" t="s">
        <v>126</v>
      </c>
      <c r="BJ1131" t="s">
        <v>126</v>
      </c>
      <c r="BK1131" t="s">
        <v>126</v>
      </c>
      <c r="BS1131" t="s">
        <v>126</v>
      </c>
      <c r="BT1131" t="s">
        <v>126</v>
      </c>
      <c r="BU1131" t="s">
        <v>126</v>
      </c>
      <c r="BV1131" t="s">
        <v>126</v>
      </c>
      <c r="CN1131" t="s">
        <v>147</v>
      </c>
      <c r="CP1131" t="s">
        <v>490</v>
      </c>
      <c r="CQ1131" t="s">
        <v>147</v>
      </c>
    </row>
    <row r="1132" spans="1:95" x14ac:dyDescent="0.2">
      <c r="A1132" t="s">
        <v>115</v>
      </c>
      <c r="B1132" t="s">
        <v>116</v>
      </c>
      <c r="C1132">
        <v>210784</v>
      </c>
      <c r="E1132" t="s">
        <v>117</v>
      </c>
      <c r="F1132">
        <v>368</v>
      </c>
      <c r="G1132" t="s">
        <v>141</v>
      </c>
      <c r="H1132" t="s">
        <v>142</v>
      </c>
      <c r="I1132" t="s">
        <v>279</v>
      </c>
      <c r="J1132" t="s">
        <v>280</v>
      </c>
      <c r="L1132" s="14">
        <v>46044</v>
      </c>
      <c r="M1132" s="18">
        <f t="shared" si="20"/>
        <v>46023</v>
      </c>
      <c r="N1132">
        <v>5868623</v>
      </c>
      <c r="O1132" t="s">
        <v>123</v>
      </c>
      <c r="P1132" t="s">
        <v>146</v>
      </c>
      <c r="Q1132">
        <v>3.89</v>
      </c>
      <c r="R1132" t="s">
        <v>559</v>
      </c>
      <c r="S1132" t="s">
        <v>126</v>
      </c>
      <c r="T1132" t="s">
        <v>559</v>
      </c>
      <c r="U1132" t="s">
        <v>560</v>
      </c>
      <c r="W1132">
        <v>1.1989000000000001</v>
      </c>
      <c r="X1132">
        <v>2.6911</v>
      </c>
      <c r="Y1132">
        <v>3.89</v>
      </c>
      <c r="Z1132">
        <v>1.4798</v>
      </c>
      <c r="AG1132">
        <v>1.1989000000000001</v>
      </c>
      <c r="AI1132">
        <v>1.2113</v>
      </c>
      <c r="BH1132" t="s">
        <v>126</v>
      </c>
      <c r="BI1132" t="s">
        <v>126</v>
      </c>
      <c r="BJ1132" t="s">
        <v>126</v>
      </c>
      <c r="BK1132" t="s">
        <v>126</v>
      </c>
      <c r="BS1132" t="s">
        <v>126</v>
      </c>
      <c r="BT1132" t="s">
        <v>126</v>
      </c>
      <c r="BU1132" t="s">
        <v>126</v>
      </c>
      <c r="BV1132" t="s">
        <v>126</v>
      </c>
      <c r="CN1132" t="s">
        <v>147</v>
      </c>
      <c r="CP1132" t="s">
        <v>490</v>
      </c>
      <c r="CQ1132" t="s">
        <v>147</v>
      </c>
    </row>
    <row r="1133" spans="1:95" x14ac:dyDescent="0.2">
      <c r="A1133" t="s">
        <v>115</v>
      </c>
      <c r="B1133" t="s">
        <v>116</v>
      </c>
      <c r="C1133">
        <v>210784</v>
      </c>
      <c r="E1133" t="s">
        <v>117</v>
      </c>
      <c r="F1133">
        <v>368</v>
      </c>
      <c r="G1133" t="s">
        <v>141</v>
      </c>
      <c r="H1133" t="s">
        <v>142</v>
      </c>
      <c r="I1133" t="s">
        <v>279</v>
      </c>
      <c r="J1133" t="s">
        <v>280</v>
      </c>
      <c r="L1133" s="14">
        <v>46045</v>
      </c>
      <c r="M1133" s="18">
        <f t="shared" si="20"/>
        <v>46023</v>
      </c>
      <c r="N1133">
        <v>5869389</v>
      </c>
      <c r="O1133" t="s">
        <v>123</v>
      </c>
      <c r="P1133" t="s">
        <v>146</v>
      </c>
      <c r="Q1133">
        <v>4.7700000000000005</v>
      </c>
      <c r="R1133" t="s">
        <v>559</v>
      </c>
      <c r="S1133" t="s">
        <v>126</v>
      </c>
      <c r="T1133" t="s">
        <v>559</v>
      </c>
      <c r="U1133" t="s">
        <v>560</v>
      </c>
      <c r="W1133">
        <v>1.4701</v>
      </c>
      <c r="X1133">
        <v>3.2999000000000001</v>
      </c>
      <c r="Y1133">
        <v>4.7700000000000005</v>
      </c>
      <c r="Z1133">
        <v>1.8145</v>
      </c>
      <c r="AG1133">
        <v>1.4701</v>
      </c>
      <c r="AI1133">
        <v>1.4854000000000001</v>
      </c>
      <c r="BH1133" t="s">
        <v>126</v>
      </c>
      <c r="BI1133" t="s">
        <v>126</v>
      </c>
      <c r="BJ1133" t="s">
        <v>126</v>
      </c>
      <c r="BK1133" t="s">
        <v>126</v>
      </c>
      <c r="BS1133" t="s">
        <v>126</v>
      </c>
      <c r="BT1133" t="s">
        <v>126</v>
      </c>
      <c r="BU1133" t="s">
        <v>126</v>
      </c>
      <c r="BV1133" t="s">
        <v>126</v>
      </c>
      <c r="CN1133" t="s">
        <v>147</v>
      </c>
      <c r="CP1133" t="s">
        <v>490</v>
      </c>
      <c r="CQ1133" t="s">
        <v>147</v>
      </c>
    </row>
    <row r="1134" spans="1:95" x14ac:dyDescent="0.2">
      <c r="A1134" t="s">
        <v>115</v>
      </c>
      <c r="B1134" t="s">
        <v>116</v>
      </c>
      <c r="C1134">
        <v>210784</v>
      </c>
      <c r="E1134" t="s">
        <v>117</v>
      </c>
      <c r="F1134">
        <v>368</v>
      </c>
      <c r="G1134" t="s">
        <v>118</v>
      </c>
      <c r="H1134" t="s">
        <v>119</v>
      </c>
      <c r="I1134" t="s">
        <v>120</v>
      </c>
      <c r="J1134" t="s">
        <v>121</v>
      </c>
      <c r="L1134" s="14">
        <v>46048</v>
      </c>
      <c r="M1134" s="18">
        <f t="shared" si="20"/>
        <v>46023</v>
      </c>
      <c r="N1134">
        <v>136936</v>
      </c>
      <c r="O1134" t="s">
        <v>123</v>
      </c>
      <c r="P1134" t="s">
        <v>124</v>
      </c>
      <c r="Q1134">
        <v>7.33</v>
      </c>
      <c r="R1134" t="s">
        <v>125</v>
      </c>
      <c r="S1134" t="s">
        <v>126</v>
      </c>
      <c r="T1134" t="s">
        <v>125</v>
      </c>
      <c r="U1134" t="s">
        <v>126</v>
      </c>
      <c r="W1134">
        <v>7.33</v>
      </c>
      <c r="Y1134">
        <v>7.33</v>
      </c>
      <c r="AA1134">
        <v>7.33</v>
      </c>
      <c r="BH1134" t="s">
        <v>126</v>
      </c>
      <c r="BI1134" t="s">
        <v>126</v>
      </c>
      <c r="BJ1134" t="s">
        <v>126</v>
      </c>
      <c r="BK1134" t="s">
        <v>126</v>
      </c>
      <c r="BS1134" t="s">
        <v>126</v>
      </c>
      <c r="BT1134" t="s">
        <v>126</v>
      </c>
      <c r="BU1134" t="s">
        <v>126</v>
      </c>
      <c r="BV1134" t="s">
        <v>126</v>
      </c>
      <c r="CN1134" t="s">
        <v>127</v>
      </c>
      <c r="CP1134" t="s">
        <v>136</v>
      </c>
      <c r="CQ1134" t="s">
        <v>127</v>
      </c>
    </row>
    <row r="1135" spans="1:95" x14ac:dyDescent="0.2">
      <c r="A1135" t="s">
        <v>115</v>
      </c>
      <c r="B1135" t="s">
        <v>116</v>
      </c>
      <c r="C1135">
        <v>210784</v>
      </c>
      <c r="E1135" t="s">
        <v>117</v>
      </c>
      <c r="F1135">
        <v>368</v>
      </c>
      <c r="G1135" t="s">
        <v>141</v>
      </c>
      <c r="H1135" t="s">
        <v>142</v>
      </c>
      <c r="I1135" t="s">
        <v>279</v>
      </c>
      <c r="J1135" t="s">
        <v>280</v>
      </c>
      <c r="L1135" s="14">
        <v>46048</v>
      </c>
      <c r="M1135" s="18">
        <f t="shared" si="20"/>
        <v>46023</v>
      </c>
      <c r="N1135">
        <v>5870638</v>
      </c>
      <c r="O1135" t="s">
        <v>123</v>
      </c>
      <c r="P1135" t="s">
        <v>146</v>
      </c>
      <c r="Q1135">
        <v>5.0298999999999996</v>
      </c>
      <c r="R1135" t="s">
        <v>559</v>
      </c>
      <c r="S1135" t="s">
        <v>126</v>
      </c>
      <c r="T1135" t="s">
        <v>559</v>
      </c>
      <c r="U1135" t="s">
        <v>560</v>
      </c>
      <c r="W1135">
        <v>1.5502</v>
      </c>
      <c r="X1135">
        <v>3.4797000000000002</v>
      </c>
      <c r="Y1135">
        <v>5.0298999999999996</v>
      </c>
      <c r="Z1135">
        <v>1.9134</v>
      </c>
      <c r="AG1135">
        <v>1.5502</v>
      </c>
      <c r="AI1135">
        <v>1.5663</v>
      </c>
      <c r="BH1135" t="s">
        <v>126</v>
      </c>
      <c r="BI1135" t="s">
        <v>126</v>
      </c>
      <c r="BJ1135" t="s">
        <v>126</v>
      </c>
      <c r="BK1135" t="s">
        <v>126</v>
      </c>
      <c r="BS1135" t="s">
        <v>126</v>
      </c>
      <c r="BT1135" t="s">
        <v>126</v>
      </c>
      <c r="BU1135" t="s">
        <v>126</v>
      </c>
      <c r="BV1135" t="s">
        <v>126</v>
      </c>
      <c r="CN1135" t="s">
        <v>147</v>
      </c>
      <c r="CP1135" t="s">
        <v>490</v>
      </c>
      <c r="CQ1135" t="s">
        <v>147</v>
      </c>
    </row>
    <row r="1136" spans="1:95" x14ac:dyDescent="0.2">
      <c r="A1136" t="s">
        <v>115</v>
      </c>
      <c r="B1136" t="s">
        <v>116</v>
      </c>
      <c r="C1136">
        <v>210784</v>
      </c>
      <c r="E1136" t="s">
        <v>117</v>
      </c>
      <c r="F1136">
        <v>368</v>
      </c>
      <c r="G1136" t="s">
        <v>141</v>
      </c>
      <c r="H1136" t="s">
        <v>142</v>
      </c>
      <c r="I1136" t="s">
        <v>279</v>
      </c>
      <c r="J1136" t="s">
        <v>280</v>
      </c>
      <c r="L1136" s="14">
        <v>46048</v>
      </c>
      <c r="M1136" s="18">
        <f t="shared" si="20"/>
        <v>46023</v>
      </c>
      <c r="N1136">
        <v>5870359</v>
      </c>
      <c r="O1136" t="s">
        <v>123</v>
      </c>
      <c r="P1136" t="s">
        <v>146</v>
      </c>
      <c r="Q1136">
        <v>7.67</v>
      </c>
      <c r="R1136" t="s">
        <v>559</v>
      </c>
      <c r="S1136" t="s">
        <v>126</v>
      </c>
      <c r="T1136" t="s">
        <v>559</v>
      </c>
      <c r="U1136" t="s">
        <v>560</v>
      </c>
      <c r="W1136">
        <v>2.3639000000000001</v>
      </c>
      <c r="X1136">
        <v>5.3060999999999998</v>
      </c>
      <c r="Y1136">
        <v>7.67</v>
      </c>
      <c r="Z1136">
        <v>2.9177</v>
      </c>
      <c r="AG1136">
        <v>2.3639000000000001</v>
      </c>
      <c r="AI1136">
        <v>2.3883999999999999</v>
      </c>
      <c r="BH1136" t="s">
        <v>126</v>
      </c>
      <c r="BI1136" t="s">
        <v>126</v>
      </c>
      <c r="BJ1136" t="s">
        <v>126</v>
      </c>
      <c r="BK1136" t="s">
        <v>126</v>
      </c>
      <c r="BS1136" t="s">
        <v>126</v>
      </c>
      <c r="BT1136" t="s">
        <v>126</v>
      </c>
      <c r="BU1136" t="s">
        <v>126</v>
      </c>
      <c r="BV1136" t="s">
        <v>126</v>
      </c>
      <c r="CN1136" t="s">
        <v>147</v>
      </c>
      <c r="CP1136" t="s">
        <v>490</v>
      </c>
      <c r="CQ1136" t="s">
        <v>147</v>
      </c>
    </row>
    <row r="1137" spans="1:95" x14ac:dyDescent="0.2">
      <c r="A1137" t="s">
        <v>115</v>
      </c>
      <c r="B1137" t="s">
        <v>116</v>
      </c>
      <c r="C1137">
        <v>210784</v>
      </c>
      <c r="E1137" t="s">
        <v>117</v>
      </c>
      <c r="F1137">
        <v>368</v>
      </c>
      <c r="G1137" t="s">
        <v>118</v>
      </c>
      <c r="H1137" t="s">
        <v>119</v>
      </c>
      <c r="I1137" t="s">
        <v>120</v>
      </c>
      <c r="J1137" t="s">
        <v>121</v>
      </c>
      <c r="L1137" s="14">
        <v>46049</v>
      </c>
      <c r="M1137" s="18">
        <f t="shared" si="20"/>
        <v>46023</v>
      </c>
      <c r="N1137">
        <v>136945</v>
      </c>
      <c r="O1137" t="s">
        <v>123</v>
      </c>
      <c r="P1137" t="s">
        <v>124</v>
      </c>
      <c r="Q1137">
        <v>7.72</v>
      </c>
      <c r="R1137" t="s">
        <v>125</v>
      </c>
      <c r="S1137" t="s">
        <v>126</v>
      </c>
      <c r="T1137" t="s">
        <v>125</v>
      </c>
      <c r="U1137" t="s">
        <v>126</v>
      </c>
      <c r="W1137">
        <v>7.72</v>
      </c>
      <c r="Y1137">
        <v>7.72</v>
      </c>
      <c r="AC1137">
        <v>7.72</v>
      </c>
      <c r="BH1137" t="s">
        <v>126</v>
      </c>
      <c r="BI1137" t="s">
        <v>126</v>
      </c>
      <c r="BJ1137" t="s">
        <v>126</v>
      </c>
      <c r="BK1137" t="s">
        <v>126</v>
      </c>
      <c r="BS1137" t="s">
        <v>126</v>
      </c>
      <c r="BT1137" t="s">
        <v>126</v>
      </c>
      <c r="BU1137" t="s">
        <v>126</v>
      </c>
      <c r="BV1137" t="s">
        <v>126</v>
      </c>
      <c r="CN1137" t="s">
        <v>127</v>
      </c>
      <c r="CP1137" t="s">
        <v>136</v>
      </c>
      <c r="CQ1137" t="s">
        <v>127</v>
      </c>
    </row>
    <row r="1138" spans="1:95" x14ac:dyDescent="0.2">
      <c r="A1138" t="s">
        <v>115</v>
      </c>
      <c r="B1138" t="s">
        <v>116</v>
      </c>
      <c r="C1138">
        <v>210784</v>
      </c>
      <c r="E1138" t="s">
        <v>117</v>
      </c>
      <c r="F1138">
        <v>368</v>
      </c>
      <c r="G1138" t="s">
        <v>141</v>
      </c>
      <c r="H1138" t="s">
        <v>142</v>
      </c>
      <c r="I1138" t="s">
        <v>279</v>
      </c>
      <c r="J1138" t="s">
        <v>280</v>
      </c>
      <c r="L1138" s="14">
        <v>46049</v>
      </c>
      <c r="M1138" s="18">
        <f t="shared" si="20"/>
        <v>46023</v>
      </c>
      <c r="N1138">
        <v>5871097</v>
      </c>
      <c r="O1138" t="s">
        <v>123</v>
      </c>
      <c r="P1138" t="s">
        <v>146</v>
      </c>
      <c r="Q1138">
        <v>3.05</v>
      </c>
      <c r="R1138" t="s">
        <v>125</v>
      </c>
      <c r="S1138" t="s">
        <v>126</v>
      </c>
      <c r="T1138" t="s">
        <v>125</v>
      </c>
      <c r="U1138" t="s">
        <v>126</v>
      </c>
      <c r="W1138">
        <v>3.05</v>
      </c>
      <c r="Y1138">
        <v>3.05</v>
      </c>
      <c r="BE1138">
        <v>3.05</v>
      </c>
      <c r="BH1138" t="s">
        <v>126</v>
      </c>
      <c r="BI1138" t="s">
        <v>126</v>
      </c>
      <c r="BJ1138" t="s">
        <v>126</v>
      </c>
      <c r="BK1138" t="s">
        <v>126</v>
      </c>
      <c r="BS1138" t="s">
        <v>126</v>
      </c>
      <c r="BT1138" t="s">
        <v>126</v>
      </c>
      <c r="BU1138" t="s">
        <v>126</v>
      </c>
      <c r="BV1138" t="s">
        <v>126</v>
      </c>
      <c r="CN1138" t="s">
        <v>147</v>
      </c>
      <c r="CP1138" t="s">
        <v>490</v>
      </c>
      <c r="CQ1138" t="s">
        <v>147</v>
      </c>
    </row>
    <row r="1139" spans="1:95" x14ac:dyDescent="0.2">
      <c r="A1139" t="s">
        <v>115</v>
      </c>
      <c r="B1139" t="s">
        <v>116</v>
      </c>
      <c r="C1139">
        <v>210784</v>
      </c>
      <c r="E1139" t="s">
        <v>117</v>
      </c>
      <c r="F1139">
        <v>368</v>
      </c>
      <c r="G1139" t="s">
        <v>141</v>
      </c>
      <c r="H1139" t="s">
        <v>142</v>
      </c>
      <c r="I1139" t="s">
        <v>279</v>
      </c>
      <c r="J1139" t="s">
        <v>280</v>
      </c>
      <c r="L1139" s="14">
        <v>46050</v>
      </c>
      <c r="M1139" s="18">
        <f t="shared" si="20"/>
        <v>46023</v>
      </c>
      <c r="N1139">
        <v>5871777</v>
      </c>
      <c r="O1139" t="s">
        <v>123</v>
      </c>
      <c r="P1139" t="s">
        <v>146</v>
      </c>
      <c r="Q1139">
        <v>4.68</v>
      </c>
      <c r="R1139" t="s">
        <v>125</v>
      </c>
      <c r="S1139" t="s">
        <v>126</v>
      </c>
      <c r="T1139" t="s">
        <v>125</v>
      </c>
      <c r="U1139" t="s">
        <v>126</v>
      </c>
      <c r="W1139">
        <v>4.68</v>
      </c>
      <c r="Y1139">
        <v>4.68</v>
      </c>
      <c r="BE1139">
        <v>4.68</v>
      </c>
      <c r="BH1139" t="s">
        <v>126</v>
      </c>
      <c r="BI1139" t="s">
        <v>126</v>
      </c>
      <c r="BJ1139" t="s">
        <v>126</v>
      </c>
      <c r="BK1139" t="s">
        <v>126</v>
      </c>
      <c r="BS1139" t="s">
        <v>126</v>
      </c>
      <c r="BT1139" t="s">
        <v>126</v>
      </c>
      <c r="BU1139" t="s">
        <v>126</v>
      </c>
      <c r="BV1139" t="s">
        <v>126</v>
      </c>
      <c r="CN1139" t="s">
        <v>147</v>
      </c>
      <c r="CP1139" t="s">
        <v>304</v>
      </c>
      <c r="CQ1139" t="s">
        <v>147</v>
      </c>
    </row>
    <row r="1140" spans="1:95" x14ac:dyDescent="0.2">
      <c r="A1140" t="s">
        <v>115</v>
      </c>
      <c r="B1140" t="s">
        <v>116</v>
      </c>
      <c r="C1140">
        <v>210784</v>
      </c>
      <c r="E1140" t="s">
        <v>117</v>
      </c>
      <c r="F1140">
        <v>368</v>
      </c>
      <c r="G1140" t="s">
        <v>141</v>
      </c>
      <c r="H1140" t="s">
        <v>142</v>
      </c>
      <c r="I1140" t="s">
        <v>279</v>
      </c>
      <c r="J1140" t="s">
        <v>280</v>
      </c>
      <c r="L1140" s="14">
        <v>46050</v>
      </c>
      <c r="M1140" s="18">
        <f t="shared" si="20"/>
        <v>46023</v>
      </c>
      <c r="N1140">
        <v>5872135</v>
      </c>
      <c r="O1140" t="s">
        <v>123</v>
      </c>
      <c r="P1140" t="s">
        <v>146</v>
      </c>
      <c r="Q1140">
        <v>2.63</v>
      </c>
      <c r="R1140" t="s">
        <v>125</v>
      </c>
      <c r="S1140" t="s">
        <v>126</v>
      </c>
      <c r="T1140" t="s">
        <v>125</v>
      </c>
      <c r="U1140" t="s">
        <v>126</v>
      </c>
      <c r="W1140">
        <v>2.63</v>
      </c>
      <c r="Y1140">
        <v>2.63</v>
      </c>
      <c r="BE1140">
        <v>2.63</v>
      </c>
      <c r="BH1140" t="s">
        <v>126</v>
      </c>
      <c r="BI1140" t="s">
        <v>126</v>
      </c>
      <c r="BJ1140" t="s">
        <v>126</v>
      </c>
      <c r="BK1140" t="s">
        <v>126</v>
      </c>
      <c r="BS1140" t="s">
        <v>126</v>
      </c>
      <c r="BT1140" t="s">
        <v>126</v>
      </c>
      <c r="BU1140" t="s">
        <v>126</v>
      </c>
      <c r="BV1140" t="s">
        <v>126</v>
      </c>
      <c r="CN1140" t="s">
        <v>147</v>
      </c>
      <c r="CP1140" t="s">
        <v>304</v>
      </c>
      <c r="CQ1140" t="s">
        <v>147</v>
      </c>
    </row>
    <row r="1141" spans="1:95" x14ac:dyDescent="0.2">
      <c r="A1141" t="s">
        <v>115</v>
      </c>
      <c r="B1141" t="s">
        <v>116</v>
      </c>
      <c r="C1141">
        <v>210784</v>
      </c>
      <c r="E1141" t="s">
        <v>117</v>
      </c>
      <c r="F1141">
        <v>368</v>
      </c>
      <c r="G1141" t="s">
        <v>141</v>
      </c>
      <c r="H1141" t="s">
        <v>142</v>
      </c>
      <c r="I1141" t="s">
        <v>279</v>
      </c>
      <c r="J1141" t="s">
        <v>280</v>
      </c>
      <c r="L1141" s="14">
        <v>46051</v>
      </c>
      <c r="M1141" s="18">
        <f t="shared" si="20"/>
        <v>46023</v>
      </c>
      <c r="N1141">
        <v>5873002</v>
      </c>
      <c r="O1141" t="s">
        <v>123</v>
      </c>
      <c r="P1141" t="s">
        <v>146</v>
      </c>
      <c r="Q1141">
        <v>4.6100000000000003</v>
      </c>
      <c r="R1141" t="s">
        <v>559</v>
      </c>
      <c r="S1141" t="s">
        <v>126</v>
      </c>
      <c r="T1141" t="s">
        <v>559</v>
      </c>
      <c r="U1141" t="s">
        <v>560</v>
      </c>
      <c r="W1141">
        <v>1.4208000000000001</v>
      </c>
      <c r="X1141">
        <v>3.1892</v>
      </c>
      <c r="Y1141">
        <v>4.6100000000000003</v>
      </c>
      <c r="Z1141">
        <v>1.7536</v>
      </c>
      <c r="AG1141">
        <v>1.4208000000000001</v>
      </c>
      <c r="AI1141">
        <v>1.4356</v>
      </c>
      <c r="BH1141" t="s">
        <v>126</v>
      </c>
      <c r="BI1141" t="s">
        <v>126</v>
      </c>
      <c r="BJ1141" t="s">
        <v>126</v>
      </c>
      <c r="BK1141" t="s">
        <v>126</v>
      </c>
      <c r="BS1141" t="s">
        <v>126</v>
      </c>
      <c r="BT1141" t="s">
        <v>126</v>
      </c>
      <c r="BU1141" t="s">
        <v>126</v>
      </c>
      <c r="BV1141" t="s">
        <v>126</v>
      </c>
      <c r="CN1141" t="s">
        <v>147</v>
      </c>
      <c r="CP1141" t="s">
        <v>304</v>
      </c>
      <c r="CQ1141" t="s">
        <v>147</v>
      </c>
    </row>
    <row r="1142" spans="1:95" x14ac:dyDescent="0.2">
      <c r="A1142" t="s">
        <v>115</v>
      </c>
      <c r="B1142" t="s">
        <v>116</v>
      </c>
      <c r="C1142">
        <v>210784</v>
      </c>
      <c r="E1142" t="s">
        <v>117</v>
      </c>
      <c r="F1142">
        <v>368</v>
      </c>
      <c r="G1142" t="s">
        <v>141</v>
      </c>
      <c r="H1142" t="s">
        <v>142</v>
      </c>
      <c r="I1142" t="s">
        <v>279</v>
      </c>
      <c r="J1142" t="s">
        <v>280</v>
      </c>
      <c r="L1142" s="14">
        <v>46052</v>
      </c>
      <c r="M1142" s="18">
        <f t="shared" si="20"/>
        <v>46023</v>
      </c>
      <c r="N1142">
        <v>5873666</v>
      </c>
      <c r="O1142" t="s">
        <v>123</v>
      </c>
      <c r="P1142" t="s">
        <v>146</v>
      </c>
      <c r="Q1142">
        <v>4.79</v>
      </c>
      <c r="R1142" t="s">
        <v>559</v>
      </c>
      <c r="S1142" t="s">
        <v>126</v>
      </c>
      <c r="T1142" t="s">
        <v>559</v>
      </c>
      <c r="U1142" t="s">
        <v>560</v>
      </c>
      <c r="W1142">
        <v>1.4762999999999999</v>
      </c>
      <c r="X1142">
        <v>3.3136999999999999</v>
      </c>
      <c r="Y1142">
        <v>4.79</v>
      </c>
      <c r="Z1142">
        <v>1.8221000000000001</v>
      </c>
      <c r="AG1142">
        <v>1.4762999999999999</v>
      </c>
      <c r="AI1142">
        <v>1.4916</v>
      </c>
      <c r="BH1142" t="s">
        <v>126</v>
      </c>
      <c r="BI1142" t="s">
        <v>126</v>
      </c>
      <c r="BJ1142" t="s">
        <v>126</v>
      </c>
      <c r="BK1142" t="s">
        <v>126</v>
      </c>
      <c r="BS1142" t="s">
        <v>126</v>
      </c>
      <c r="BT1142" t="s">
        <v>126</v>
      </c>
      <c r="BU1142" t="s">
        <v>126</v>
      </c>
      <c r="BV1142" t="s">
        <v>126</v>
      </c>
      <c r="CN1142" t="s">
        <v>147</v>
      </c>
      <c r="CP1142" t="s">
        <v>304</v>
      </c>
      <c r="CQ1142" t="s">
        <v>147</v>
      </c>
    </row>
    <row r="1143" spans="1:95" x14ac:dyDescent="0.2">
      <c r="A1143" t="s">
        <v>115</v>
      </c>
      <c r="B1143" t="s">
        <v>116</v>
      </c>
      <c r="C1143">
        <v>210784</v>
      </c>
      <c r="E1143" t="s">
        <v>117</v>
      </c>
      <c r="F1143">
        <v>368</v>
      </c>
      <c r="G1143" t="s">
        <v>141</v>
      </c>
      <c r="H1143" t="s">
        <v>142</v>
      </c>
      <c r="I1143" t="s">
        <v>279</v>
      </c>
      <c r="J1143" t="s">
        <v>280</v>
      </c>
      <c r="L1143" s="14">
        <v>46055</v>
      </c>
      <c r="M1143" s="18">
        <f t="shared" si="20"/>
        <v>46054</v>
      </c>
      <c r="N1143">
        <v>5874570</v>
      </c>
      <c r="O1143" t="s">
        <v>123</v>
      </c>
      <c r="P1143" t="s">
        <v>146</v>
      </c>
      <c r="Q1143">
        <v>5.3098999999999998</v>
      </c>
      <c r="R1143" t="s">
        <v>559</v>
      </c>
      <c r="S1143" t="s">
        <v>126</v>
      </c>
      <c r="T1143" t="s">
        <v>559</v>
      </c>
      <c r="U1143" t="s">
        <v>560</v>
      </c>
      <c r="W1143">
        <v>1.6365000000000001</v>
      </c>
      <c r="X1143">
        <v>3.6734</v>
      </c>
      <c r="Y1143">
        <v>5.3098999999999998</v>
      </c>
      <c r="Z1143">
        <v>2.0198999999999998</v>
      </c>
      <c r="AG1143">
        <v>1.6365000000000001</v>
      </c>
      <c r="AI1143">
        <v>1.6535</v>
      </c>
      <c r="BH1143" t="s">
        <v>126</v>
      </c>
      <c r="BI1143" t="s">
        <v>126</v>
      </c>
      <c r="BJ1143" t="s">
        <v>126</v>
      </c>
      <c r="BK1143" t="s">
        <v>126</v>
      </c>
      <c r="BS1143" t="s">
        <v>126</v>
      </c>
      <c r="BT1143" t="s">
        <v>126</v>
      </c>
      <c r="BU1143" t="s">
        <v>126</v>
      </c>
      <c r="BV1143" t="s">
        <v>126</v>
      </c>
      <c r="CN1143" t="s">
        <v>147</v>
      </c>
      <c r="CP1143" t="s">
        <v>304</v>
      </c>
      <c r="CQ1143" t="s">
        <v>147</v>
      </c>
    </row>
    <row r="1144" spans="1:95" x14ac:dyDescent="0.2">
      <c r="A1144" t="s">
        <v>115</v>
      </c>
      <c r="B1144" t="s">
        <v>116</v>
      </c>
      <c r="C1144">
        <v>210784</v>
      </c>
      <c r="E1144" t="s">
        <v>117</v>
      </c>
      <c r="F1144">
        <v>368</v>
      </c>
      <c r="G1144" t="s">
        <v>141</v>
      </c>
      <c r="H1144" t="s">
        <v>142</v>
      </c>
      <c r="I1144" t="s">
        <v>279</v>
      </c>
      <c r="J1144" t="s">
        <v>280</v>
      </c>
      <c r="L1144" s="14">
        <v>46055</v>
      </c>
      <c r="M1144" s="18">
        <f t="shared" si="20"/>
        <v>46054</v>
      </c>
      <c r="N1144">
        <v>5874727</v>
      </c>
      <c r="O1144" t="s">
        <v>123</v>
      </c>
      <c r="P1144" t="s">
        <v>146</v>
      </c>
      <c r="Q1144">
        <v>3.79</v>
      </c>
      <c r="R1144" t="s">
        <v>559</v>
      </c>
      <c r="S1144" t="s">
        <v>126</v>
      </c>
      <c r="T1144" t="s">
        <v>559</v>
      </c>
      <c r="U1144" t="s">
        <v>560</v>
      </c>
      <c r="W1144">
        <v>1.1680999999999999</v>
      </c>
      <c r="X1144">
        <v>2.6219000000000001</v>
      </c>
      <c r="Y1144">
        <v>3.79</v>
      </c>
      <c r="Z1144">
        <v>1.4417</v>
      </c>
      <c r="AG1144">
        <v>1.1680999999999999</v>
      </c>
      <c r="AI1144">
        <v>1.1801999999999999</v>
      </c>
      <c r="BH1144" t="s">
        <v>126</v>
      </c>
      <c r="BI1144" t="s">
        <v>126</v>
      </c>
      <c r="BJ1144" t="s">
        <v>126</v>
      </c>
      <c r="BK1144" t="s">
        <v>126</v>
      </c>
      <c r="BS1144" t="s">
        <v>126</v>
      </c>
      <c r="BT1144" t="s">
        <v>126</v>
      </c>
      <c r="BU1144" t="s">
        <v>126</v>
      </c>
      <c r="BV1144" t="s">
        <v>126</v>
      </c>
      <c r="CN1144" t="s">
        <v>147</v>
      </c>
      <c r="CP1144" t="s">
        <v>304</v>
      </c>
      <c r="CQ1144" t="s">
        <v>147</v>
      </c>
    </row>
    <row r="1145" spans="1:95" x14ac:dyDescent="0.2">
      <c r="A1145" t="s">
        <v>115</v>
      </c>
      <c r="B1145" t="s">
        <v>116</v>
      </c>
      <c r="C1145">
        <v>210784</v>
      </c>
      <c r="E1145" t="s">
        <v>117</v>
      </c>
      <c r="F1145">
        <v>368</v>
      </c>
      <c r="G1145" t="s">
        <v>141</v>
      </c>
      <c r="H1145" t="s">
        <v>142</v>
      </c>
      <c r="I1145" t="s">
        <v>279</v>
      </c>
      <c r="J1145" t="s">
        <v>280</v>
      </c>
      <c r="L1145" s="14">
        <v>46056</v>
      </c>
      <c r="M1145" s="18">
        <f t="shared" si="20"/>
        <v>46054</v>
      </c>
      <c r="N1145">
        <v>5875532</v>
      </c>
      <c r="O1145" t="s">
        <v>123</v>
      </c>
      <c r="P1145" t="s">
        <v>146</v>
      </c>
      <c r="Q1145">
        <v>4.7700000000000005</v>
      </c>
      <c r="R1145" t="s">
        <v>559</v>
      </c>
      <c r="S1145" t="s">
        <v>126</v>
      </c>
      <c r="T1145" t="s">
        <v>559</v>
      </c>
      <c r="U1145" t="s">
        <v>560</v>
      </c>
      <c r="W1145">
        <v>1.4701</v>
      </c>
      <c r="X1145">
        <v>3.2999000000000001</v>
      </c>
      <c r="Y1145">
        <v>4.7700000000000005</v>
      </c>
      <c r="Z1145">
        <v>1.8145</v>
      </c>
      <c r="AG1145">
        <v>1.4701</v>
      </c>
      <c r="AI1145">
        <v>1.4854000000000001</v>
      </c>
      <c r="BH1145" t="s">
        <v>126</v>
      </c>
      <c r="BI1145" t="s">
        <v>126</v>
      </c>
      <c r="BJ1145" t="s">
        <v>126</v>
      </c>
      <c r="BK1145" t="s">
        <v>126</v>
      </c>
      <c r="BS1145" t="s">
        <v>126</v>
      </c>
      <c r="BT1145" t="s">
        <v>126</v>
      </c>
      <c r="BU1145" t="s">
        <v>126</v>
      </c>
      <c r="BV1145" t="s">
        <v>126</v>
      </c>
      <c r="CN1145" t="s">
        <v>147</v>
      </c>
      <c r="CP1145" t="s">
        <v>304</v>
      </c>
      <c r="CQ1145" t="s">
        <v>147</v>
      </c>
    </row>
    <row r="1146" spans="1:95" x14ac:dyDescent="0.2">
      <c r="A1146" t="s">
        <v>115</v>
      </c>
      <c r="B1146" t="s">
        <v>116</v>
      </c>
      <c r="C1146">
        <v>210784</v>
      </c>
      <c r="E1146" t="s">
        <v>117</v>
      </c>
      <c r="F1146">
        <v>368</v>
      </c>
      <c r="G1146" t="s">
        <v>141</v>
      </c>
      <c r="H1146" t="s">
        <v>142</v>
      </c>
      <c r="I1146" t="s">
        <v>279</v>
      </c>
      <c r="J1146" t="s">
        <v>280</v>
      </c>
      <c r="L1146" s="14">
        <v>46057</v>
      </c>
      <c r="M1146" s="18">
        <f t="shared" si="20"/>
        <v>46054</v>
      </c>
      <c r="N1146">
        <v>5876499</v>
      </c>
      <c r="O1146" t="s">
        <v>123</v>
      </c>
      <c r="P1146" t="s">
        <v>146</v>
      </c>
      <c r="Q1146">
        <v>1.7000000000000002</v>
      </c>
      <c r="R1146" t="s">
        <v>559</v>
      </c>
      <c r="S1146" t="s">
        <v>126</v>
      </c>
      <c r="T1146" t="s">
        <v>559</v>
      </c>
      <c r="U1146" t="s">
        <v>560</v>
      </c>
      <c r="W1146">
        <v>0.52390000000000003</v>
      </c>
      <c r="X1146">
        <v>1.1760999999999999</v>
      </c>
      <c r="Y1146">
        <v>1.7000000000000002</v>
      </c>
      <c r="Z1146">
        <v>0.64670000000000005</v>
      </c>
      <c r="AG1146">
        <v>0.52390000000000003</v>
      </c>
      <c r="AI1146">
        <v>0.52939999999999998</v>
      </c>
      <c r="BH1146" t="s">
        <v>126</v>
      </c>
      <c r="BI1146" t="s">
        <v>126</v>
      </c>
      <c r="BJ1146" t="s">
        <v>126</v>
      </c>
      <c r="BK1146" t="s">
        <v>126</v>
      </c>
      <c r="BS1146" t="s">
        <v>126</v>
      </c>
      <c r="BT1146" t="s">
        <v>126</v>
      </c>
      <c r="BU1146" t="s">
        <v>126</v>
      </c>
      <c r="BV1146" t="s">
        <v>126</v>
      </c>
      <c r="CN1146" t="s">
        <v>147</v>
      </c>
      <c r="CP1146" t="s">
        <v>304</v>
      </c>
      <c r="CQ1146" t="s">
        <v>147</v>
      </c>
    </row>
    <row r="1147" spans="1:95" x14ac:dyDescent="0.2">
      <c r="A1147" t="s">
        <v>115</v>
      </c>
      <c r="B1147" t="s">
        <v>116</v>
      </c>
      <c r="C1147">
        <v>210784</v>
      </c>
      <c r="E1147" t="s">
        <v>117</v>
      </c>
      <c r="F1147">
        <v>368</v>
      </c>
      <c r="G1147" t="s">
        <v>141</v>
      </c>
      <c r="H1147" t="s">
        <v>142</v>
      </c>
      <c r="I1147" t="s">
        <v>279</v>
      </c>
      <c r="J1147" t="s">
        <v>280</v>
      </c>
      <c r="L1147" s="14">
        <v>46057</v>
      </c>
      <c r="M1147" s="18">
        <f t="shared" si="20"/>
        <v>46054</v>
      </c>
      <c r="N1147">
        <v>5876433</v>
      </c>
      <c r="O1147" t="s">
        <v>123</v>
      </c>
      <c r="P1147" t="s">
        <v>146</v>
      </c>
      <c r="Q1147">
        <v>4.75</v>
      </c>
      <c r="R1147" t="s">
        <v>125</v>
      </c>
      <c r="S1147" t="s">
        <v>126</v>
      </c>
      <c r="T1147" t="s">
        <v>125</v>
      </c>
      <c r="U1147" t="s">
        <v>126</v>
      </c>
      <c r="W1147">
        <v>4.75</v>
      </c>
      <c r="Y1147">
        <v>4.75</v>
      </c>
      <c r="BE1147">
        <v>4.75</v>
      </c>
      <c r="BH1147" t="s">
        <v>126</v>
      </c>
      <c r="BI1147" t="s">
        <v>126</v>
      </c>
      <c r="BJ1147" t="s">
        <v>126</v>
      </c>
      <c r="BK1147" t="s">
        <v>126</v>
      </c>
      <c r="BS1147" t="s">
        <v>126</v>
      </c>
      <c r="BT1147" t="s">
        <v>126</v>
      </c>
      <c r="BU1147" t="s">
        <v>126</v>
      </c>
      <c r="BV1147" t="s">
        <v>126</v>
      </c>
      <c r="CN1147" t="s">
        <v>147</v>
      </c>
      <c r="CP1147" t="s">
        <v>304</v>
      </c>
      <c r="CQ1147" t="s">
        <v>147</v>
      </c>
    </row>
    <row r="1148" spans="1:95" x14ac:dyDescent="0.2">
      <c r="A1148" t="s">
        <v>115</v>
      </c>
      <c r="B1148" t="s">
        <v>116</v>
      </c>
      <c r="C1148">
        <v>210784</v>
      </c>
      <c r="E1148" t="s">
        <v>117</v>
      </c>
      <c r="F1148">
        <v>368</v>
      </c>
      <c r="G1148" t="s">
        <v>141</v>
      </c>
      <c r="H1148" t="s">
        <v>142</v>
      </c>
      <c r="I1148" t="s">
        <v>279</v>
      </c>
      <c r="J1148" t="s">
        <v>280</v>
      </c>
      <c r="L1148" s="14">
        <v>46058</v>
      </c>
      <c r="M1148" s="18">
        <f t="shared" si="20"/>
        <v>46054</v>
      </c>
      <c r="N1148">
        <v>5877268</v>
      </c>
      <c r="O1148" t="s">
        <v>123</v>
      </c>
      <c r="P1148" t="s">
        <v>146</v>
      </c>
      <c r="Q1148">
        <v>4.1199999999999992</v>
      </c>
      <c r="R1148" t="s">
        <v>559</v>
      </c>
      <c r="S1148" t="s">
        <v>126</v>
      </c>
      <c r="T1148" t="s">
        <v>559</v>
      </c>
      <c r="U1148" t="s">
        <v>560</v>
      </c>
      <c r="W1148">
        <v>1.2698</v>
      </c>
      <c r="X1148">
        <v>2.8502000000000001</v>
      </c>
      <c r="Y1148">
        <v>4.1199999999999992</v>
      </c>
      <c r="Z1148">
        <v>1.5671999999999999</v>
      </c>
      <c r="AG1148">
        <v>1.2698</v>
      </c>
      <c r="AI1148">
        <v>1.2829999999999999</v>
      </c>
      <c r="BH1148" t="s">
        <v>126</v>
      </c>
      <c r="BI1148" t="s">
        <v>126</v>
      </c>
      <c r="BJ1148" t="s">
        <v>126</v>
      </c>
      <c r="BK1148" t="s">
        <v>126</v>
      </c>
      <c r="BS1148" t="s">
        <v>126</v>
      </c>
      <c r="BT1148" t="s">
        <v>126</v>
      </c>
      <c r="BU1148" t="s">
        <v>126</v>
      </c>
      <c r="BV1148" t="s">
        <v>126</v>
      </c>
      <c r="CN1148" t="s">
        <v>147</v>
      </c>
      <c r="CP1148" t="s">
        <v>304</v>
      </c>
      <c r="CQ1148" t="s">
        <v>147</v>
      </c>
    </row>
    <row r="1149" spans="1:95" x14ac:dyDescent="0.2">
      <c r="A1149" t="s">
        <v>115</v>
      </c>
      <c r="B1149" t="s">
        <v>116</v>
      </c>
      <c r="C1149">
        <v>210784</v>
      </c>
      <c r="E1149" t="s">
        <v>117</v>
      </c>
      <c r="F1149">
        <v>368</v>
      </c>
      <c r="G1149" t="s">
        <v>141</v>
      </c>
      <c r="H1149" t="s">
        <v>142</v>
      </c>
      <c r="I1149" t="s">
        <v>279</v>
      </c>
      <c r="J1149" t="s">
        <v>280</v>
      </c>
      <c r="L1149" s="14">
        <v>46059</v>
      </c>
      <c r="M1149" s="18">
        <f t="shared" si="20"/>
        <v>46054</v>
      </c>
      <c r="N1149">
        <v>5878048</v>
      </c>
      <c r="O1149" t="s">
        <v>123</v>
      </c>
      <c r="P1149" t="s">
        <v>146</v>
      </c>
      <c r="Q1149">
        <v>3.4100999999999999</v>
      </c>
      <c r="R1149" t="s">
        <v>559</v>
      </c>
      <c r="S1149" t="s">
        <v>126</v>
      </c>
      <c r="T1149" t="s">
        <v>559</v>
      </c>
      <c r="U1149" t="s">
        <v>560</v>
      </c>
      <c r="W1149">
        <v>1.0509999999999999</v>
      </c>
      <c r="X1149">
        <v>2.3590999999999998</v>
      </c>
      <c r="Y1149">
        <v>3.4100999999999999</v>
      </c>
      <c r="Z1149">
        <v>1.2971999999999999</v>
      </c>
      <c r="AG1149">
        <v>1.0509999999999999</v>
      </c>
      <c r="AI1149">
        <v>1.0619000000000001</v>
      </c>
      <c r="BH1149" t="s">
        <v>126</v>
      </c>
      <c r="BI1149" t="s">
        <v>126</v>
      </c>
      <c r="BJ1149" t="s">
        <v>126</v>
      </c>
      <c r="BK1149" t="s">
        <v>126</v>
      </c>
      <c r="BS1149" t="s">
        <v>126</v>
      </c>
      <c r="BT1149" t="s">
        <v>126</v>
      </c>
      <c r="BU1149" t="s">
        <v>126</v>
      </c>
      <c r="BV1149" t="s">
        <v>126</v>
      </c>
      <c r="CN1149" t="s">
        <v>147</v>
      </c>
      <c r="CP1149" t="s">
        <v>304</v>
      </c>
      <c r="CQ1149" t="s">
        <v>147</v>
      </c>
    </row>
    <row r="1150" spans="1:95" x14ac:dyDescent="0.2">
      <c r="A1150" t="s">
        <v>115</v>
      </c>
      <c r="B1150" t="s">
        <v>116</v>
      </c>
      <c r="C1150">
        <v>210784</v>
      </c>
      <c r="E1150" t="s">
        <v>117</v>
      </c>
      <c r="F1150">
        <v>368</v>
      </c>
      <c r="G1150" t="s">
        <v>141</v>
      </c>
      <c r="H1150" t="s">
        <v>142</v>
      </c>
      <c r="I1150" t="s">
        <v>279</v>
      </c>
      <c r="J1150" t="s">
        <v>280</v>
      </c>
      <c r="L1150" s="14">
        <v>46059</v>
      </c>
      <c r="M1150" s="18">
        <f t="shared" si="20"/>
        <v>46054</v>
      </c>
      <c r="N1150">
        <v>5878095</v>
      </c>
      <c r="O1150" t="s">
        <v>123</v>
      </c>
      <c r="P1150" t="s">
        <v>146</v>
      </c>
      <c r="Q1150">
        <v>1.91</v>
      </c>
      <c r="R1150" t="s">
        <v>125</v>
      </c>
      <c r="S1150" t="s">
        <v>126</v>
      </c>
      <c r="T1150" t="s">
        <v>125</v>
      </c>
      <c r="U1150" t="s">
        <v>126</v>
      </c>
      <c r="W1150">
        <v>1.91</v>
      </c>
      <c r="Y1150">
        <v>1.91</v>
      </c>
      <c r="BE1150">
        <v>1.91</v>
      </c>
      <c r="BH1150" t="s">
        <v>126</v>
      </c>
      <c r="BI1150" t="s">
        <v>126</v>
      </c>
      <c r="BJ1150" t="s">
        <v>126</v>
      </c>
      <c r="BK1150" t="s">
        <v>126</v>
      </c>
      <c r="BS1150" t="s">
        <v>126</v>
      </c>
      <c r="BT1150" t="s">
        <v>126</v>
      </c>
      <c r="BU1150" t="s">
        <v>126</v>
      </c>
      <c r="BV1150" t="s">
        <v>126</v>
      </c>
      <c r="CN1150" t="s">
        <v>147</v>
      </c>
      <c r="CP1150" t="s">
        <v>304</v>
      </c>
      <c r="CQ1150" t="s">
        <v>147</v>
      </c>
    </row>
    <row r="1151" spans="1:95" x14ac:dyDescent="0.2">
      <c r="A1151" t="s">
        <v>115</v>
      </c>
      <c r="B1151" t="s">
        <v>116</v>
      </c>
      <c r="C1151">
        <v>210784</v>
      </c>
      <c r="E1151" t="s">
        <v>117</v>
      </c>
      <c r="F1151">
        <v>368</v>
      </c>
      <c r="G1151" t="s">
        <v>141</v>
      </c>
      <c r="H1151" t="s">
        <v>142</v>
      </c>
      <c r="I1151" t="s">
        <v>279</v>
      </c>
      <c r="J1151" t="s">
        <v>280</v>
      </c>
      <c r="L1151" s="14">
        <v>46062</v>
      </c>
      <c r="M1151" s="18">
        <f t="shared" si="20"/>
        <v>46054</v>
      </c>
      <c r="N1151">
        <v>5879173</v>
      </c>
      <c r="O1151" t="s">
        <v>123</v>
      </c>
      <c r="P1151" t="s">
        <v>146</v>
      </c>
      <c r="Q1151">
        <v>3.3499999999999996</v>
      </c>
      <c r="R1151" t="s">
        <v>559</v>
      </c>
      <c r="S1151" t="s">
        <v>126</v>
      </c>
      <c r="T1151" t="s">
        <v>559</v>
      </c>
      <c r="U1151" t="s">
        <v>560</v>
      </c>
      <c r="W1151">
        <v>1.0325</v>
      </c>
      <c r="X1151">
        <v>2.3174999999999999</v>
      </c>
      <c r="Y1151">
        <v>3.3499999999999996</v>
      </c>
      <c r="Z1151">
        <v>1.2743</v>
      </c>
      <c r="AG1151">
        <v>1.0325</v>
      </c>
      <c r="AI1151">
        <v>1.0431999999999999</v>
      </c>
      <c r="BH1151" t="s">
        <v>126</v>
      </c>
      <c r="BI1151" t="s">
        <v>126</v>
      </c>
      <c r="BJ1151" t="s">
        <v>126</v>
      </c>
      <c r="BK1151" t="s">
        <v>126</v>
      </c>
      <c r="BS1151" t="s">
        <v>126</v>
      </c>
      <c r="BT1151" t="s">
        <v>126</v>
      </c>
      <c r="BU1151" t="s">
        <v>126</v>
      </c>
      <c r="BV1151" t="s">
        <v>126</v>
      </c>
      <c r="CN1151" t="s">
        <v>147</v>
      </c>
      <c r="CP1151" t="s">
        <v>304</v>
      </c>
      <c r="CQ1151" t="s">
        <v>147</v>
      </c>
    </row>
    <row r="1152" spans="1:95" x14ac:dyDescent="0.2">
      <c r="A1152" t="s">
        <v>115</v>
      </c>
      <c r="B1152" t="s">
        <v>116</v>
      </c>
      <c r="C1152">
        <v>210784</v>
      </c>
      <c r="E1152" t="s">
        <v>117</v>
      </c>
      <c r="F1152">
        <v>368</v>
      </c>
      <c r="G1152" t="s">
        <v>141</v>
      </c>
      <c r="H1152" t="s">
        <v>142</v>
      </c>
      <c r="I1152" t="s">
        <v>279</v>
      </c>
      <c r="J1152" t="s">
        <v>280</v>
      </c>
      <c r="L1152" s="14">
        <v>46062</v>
      </c>
      <c r="M1152" s="18">
        <f t="shared" si="20"/>
        <v>46054</v>
      </c>
      <c r="N1152">
        <v>5879106</v>
      </c>
      <c r="O1152" t="s">
        <v>123</v>
      </c>
      <c r="P1152" t="s">
        <v>146</v>
      </c>
      <c r="Q1152">
        <v>3.62</v>
      </c>
      <c r="R1152" t="s">
        <v>125</v>
      </c>
      <c r="S1152" t="s">
        <v>126</v>
      </c>
      <c r="T1152" t="s">
        <v>125</v>
      </c>
      <c r="U1152" t="s">
        <v>126</v>
      </c>
      <c r="W1152">
        <v>3.62</v>
      </c>
      <c r="Y1152">
        <v>3.62</v>
      </c>
      <c r="BE1152">
        <v>3.62</v>
      </c>
      <c r="BH1152" t="s">
        <v>126</v>
      </c>
      <c r="BI1152" t="s">
        <v>126</v>
      </c>
      <c r="BJ1152" t="s">
        <v>126</v>
      </c>
      <c r="BK1152" t="s">
        <v>126</v>
      </c>
      <c r="BS1152" t="s">
        <v>126</v>
      </c>
      <c r="BT1152" t="s">
        <v>126</v>
      </c>
      <c r="BU1152" t="s">
        <v>126</v>
      </c>
      <c r="BV1152" t="s">
        <v>126</v>
      </c>
      <c r="CN1152" t="s">
        <v>147</v>
      </c>
      <c r="CP1152" t="s">
        <v>304</v>
      </c>
      <c r="CQ1152" t="s">
        <v>147</v>
      </c>
    </row>
    <row r="1153" spans="1:95" x14ac:dyDescent="0.2">
      <c r="A1153" t="s">
        <v>115</v>
      </c>
      <c r="B1153" t="s">
        <v>116</v>
      </c>
      <c r="C1153">
        <v>210784</v>
      </c>
      <c r="E1153" t="s">
        <v>117</v>
      </c>
      <c r="F1153">
        <v>368</v>
      </c>
      <c r="G1153" t="s">
        <v>141</v>
      </c>
      <c r="H1153" t="s">
        <v>142</v>
      </c>
      <c r="I1153" t="s">
        <v>279</v>
      </c>
      <c r="J1153" t="s">
        <v>280</v>
      </c>
      <c r="L1153" s="14">
        <v>46063</v>
      </c>
      <c r="M1153" s="18">
        <f t="shared" si="20"/>
        <v>46054</v>
      </c>
      <c r="N1153">
        <v>5879964</v>
      </c>
      <c r="O1153" t="s">
        <v>123</v>
      </c>
      <c r="P1153" t="s">
        <v>146</v>
      </c>
      <c r="Q1153">
        <v>1.45</v>
      </c>
      <c r="R1153" t="s">
        <v>125</v>
      </c>
      <c r="S1153" t="s">
        <v>126</v>
      </c>
      <c r="T1153" t="s">
        <v>125</v>
      </c>
      <c r="U1153" t="s">
        <v>126</v>
      </c>
      <c r="W1153">
        <v>1.45</v>
      </c>
      <c r="Y1153">
        <v>1.45</v>
      </c>
      <c r="BE1153">
        <v>1.45</v>
      </c>
      <c r="BH1153" t="s">
        <v>126</v>
      </c>
      <c r="BI1153" t="s">
        <v>126</v>
      </c>
      <c r="BJ1153" t="s">
        <v>126</v>
      </c>
      <c r="BK1153" t="s">
        <v>126</v>
      </c>
      <c r="BS1153" t="s">
        <v>126</v>
      </c>
      <c r="BT1153" t="s">
        <v>126</v>
      </c>
      <c r="BU1153" t="s">
        <v>126</v>
      </c>
      <c r="BV1153" t="s">
        <v>126</v>
      </c>
      <c r="CN1153" t="s">
        <v>147</v>
      </c>
      <c r="CP1153" t="s">
        <v>304</v>
      </c>
      <c r="CQ1153" t="s">
        <v>147</v>
      </c>
    </row>
    <row r="1154" spans="1:95" x14ac:dyDescent="0.2">
      <c r="A1154" t="s">
        <v>115</v>
      </c>
      <c r="B1154" t="s">
        <v>116</v>
      </c>
      <c r="C1154">
        <v>210784</v>
      </c>
      <c r="E1154" t="s">
        <v>117</v>
      </c>
      <c r="F1154">
        <v>368</v>
      </c>
      <c r="G1154" t="s">
        <v>141</v>
      </c>
      <c r="H1154" t="s">
        <v>142</v>
      </c>
      <c r="I1154" t="s">
        <v>279</v>
      </c>
      <c r="J1154" t="s">
        <v>280</v>
      </c>
      <c r="L1154" s="14">
        <v>46065</v>
      </c>
      <c r="M1154" s="18">
        <f t="shared" si="20"/>
        <v>46054</v>
      </c>
      <c r="N1154">
        <v>5880924</v>
      </c>
      <c r="O1154" t="s">
        <v>123</v>
      </c>
      <c r="P1154" t="s">
        <v>146</v>
      </c>
      <c r="Q1154">
        <v>2.8499999999999996</v>
      </c>
      <c r="R1154" t="s">
        <v>559</v>
      </c>
      <c r="S1154" t="s">
        <v>126</v>
      </c>
      <c r="T1154" t="s">
        <v>559</v>
      </c>
      <c r="U1154" t="s">
        <v>560</v>
      </c>
      <c r="W1154">
        <v>0.87839999999999996</v>
      </c>
      <c r="X1154">
        <v>1.9716</v>
      </c>
      <c r="Y1154">
        <v>2.8499999999999996</v>
      </c>
      <c r="Z1154">
        <v>1.0841000000000001</v>
      </c>
      <c r="AG1154">
        <v>0.87839999999999996</v>
      </c>
      <c r="AI1154">
        <v>0.88749999999999996</v>
      </c>
      <c r="BH1154" t="s">
        <v>126</v>
      </c>
      <c r="BI1154" t="s">
        <v>126</v>
      </c>
      <c r="BJ1154" t="s">
        <v>126</v>
      </c>
      <c r="BK1154" t="s">
        <v>126</v>
      </c>
      <c r="BS1154" t="s">
        <v>126</v>
      </c>
      <c r="BT1154" t="s">
        <v>126</v>
      </c>
      <c r="BU1154" t="s">
        <v>126</v>
      </c>
      <c r="BV1154" t="s">
        <v>126</v>
      </c>
      <c r="CN1154" t="s">
        <v>147</v>
      </c>
      <c r="CP1154" t="s">
        <v>304</v>
      </c>
      <c r="CQ1154" t="s">
        <v>147</v>
      </c>
    </row>
    <row r="1155" spans="1:95" x14ac:dyDescent="0.2">
      <c r="A1155" t="s">
        <v>115</v>
      </c>
      <c r="B1155" t="s">
        <v>116</v>
      </c>
      <c r="C1155">
        <v>210784</v>
      </c>
      <c r="E1155" t="s">
        <v>117</v>
      </c>
      <c r="F1155">
        <v>368</v>
      </c>
      <c r="G1155" t="s">
        <v>141</v>
      </c>
      <c r="H1155" t="s">
        <v>142</v>
      </c>
      <c r="I1155" t="s">
        <v>279</v>
      </c>
      <c r="J1155" t="s">
        <v>280</v>
      </c>
      <c r="L1155" s="14">
        <v>46065</v>
      </c>
      <c r="M1155" s="18">
        <f t="shared" si="20"/>
        <v>46054</v>
      </c>
      <c r="N1155">
        <v>5881380</v>
      </c>
      <c r="O1155" t="s">
        <v>123</v>
      </c>
      <c r="P1155" t="s">
        <v>146</v>
      </c>
      <c r="Q1155">
        <v>2.35</v>
      </c>
      <c r="R1155" t="s">
        <v>559</v>
      </c>
      <c r="S1155" t="s">
        <v>126</v>
      </c>
      <c r="T1155" t="s">
        <v>559</v>
      </c>
      <c r="U1155" t="s">
        <v>560</v>
      </c>
      <c r="W1155">
        <v>0.72430000000000005</v>
      </c>
      <c r="X1155">
        <v>1.6257000000000001</v>
      </c>
      <c r="Y1155">
        <v>2.35</v>
      </c>
      <c r="Z1155">
        <v>0.89390000000000003</v>
      </c>
      <c r="AG1155">
        <v>0.72430000000000005</v>
      </c>
      <c r="AI1155">
        <v>0.73180000000000001</v>
      </c>
      <c r="BH1155" t="s">
        <v>126</v>
      </c>
      <c r="BI1155" t="s">
        <v>126</v>
      </c>
      <c r="BJ1155" t="s">
        <v>126</v>
      </c>
      <c r="BK1155" t="s">
        <v>126</v>
      </c>
      <c r="BS1155" t="s">
        <v>126</v>
      </c>
      <c r="BT1155" t="s">
        <v>126</v>
      </c>
      <c r="BU1155" t="s">
        <v>126</v>
      </c>
      <c r="BV1155" t="s">
        <v>126</v>
      </c>
      <c r="CN1155" t="s">
        <v>147</v>
      </c>
      <c r="CP1155" t="s">
        <v>304</v>
      </c>
      <c r="CQ1155" t="s">
        <v>147</v>
      </c>
    </row>
    <row r="1156" spans="1:95" x14ac:dyDescent="0.2">
      <c r="A1156" t="s">
        <v>115</v>
      </c>
      <c r="B1156" t="s">
        <v>116</v>
      </c>
      <c r="C1156">
        <v>210784</v>
      </c>
      <c r="E1156" t="s">
        <v>117</v>
      </c>
      <c r="F1156">
        <v>368</v>
      </c>
      <c r="G1156" t="s">
        <v>141</v>
      </c>
      <c r="H1156" t="s">
        <v>142</v>
      </c>
      <c r="I1156" t="s">
        <v>279</v>
      </c>
      <c r="J1156" t="s">
        <v>280</v>
      </c>
      <c r="L1156" s="14">
        <v>46065</v>
      </c>
      <c r="M1156" s="18">
        <f t="shared" si="20"/>
        <v>46054</v>
      </c>
      <c r="N1156">
        <v>5884278</v>
      </c>
      <c r="O1156" t="s">
        <v>123</v>
      </c>
      <c r="P1156" t="s">
        <v>146</v>
      </c>
      <c r="Q1156">
        <v>7.8000000000000007</v>
      </c>
      <c r="R1156" t="s">
        <v>559</v>
      </c>
      <c r="S1156" t="s">
        <v>126</v>
      </c>
      <c r="T1156" t="s">
        <v>559</v>
      </c>
      <c r="U1156" t="s">
        <v>560</v>
      </c>
      <c r="W1156">
        <v>2.4039999999999999</v>
      </c>
      <c r="X1156">
        <v>5.3959999999999999</v>
      </c>
      <c r="Y1156">
        <v>7.8000000000000007</v>
      </c>
      <c r="Z1156">
        <v>2.9670999999999998</v>
      </c>
      <c r="AG1156">
        <v>2.4039999999999999</v>
      </c>
      <c r="AI1156">
        <v>2.4289000000000001</v>
      </c>
      <c r="BH1156" t="s">
        <v>126</v>
      </c>
      <c r="BI1156" t="s">
        <v>126</v>
      </c>
      <c r="BJ1156" t="s">
        <v>126</v>
      </c>
      <c r="BK1156" t="s">
        <v>126</v>
      </c>
      <c r="BS1156" t="s">
        <v>126</v>
      </c>
      <c r="BT1156" t="s">
        <v>126</v>
      </c>
      <c r="BU1156" t="s">
        <v>126</v>
      </c>
      <c r="BV1156" t="s">
        <v>126</v>
      </c>
      <c r="CN1156" t="s">
        <v>147</v>
      </c>
      <c r="CP1156" t="s">
        <v>304</v>
      </c>
      <c r="CQ1156" t="s">
        <v>147</v>
      </c>
    </row>
    <row r="1157" spans="1:95" x14ac:dyDescent="0.2">
      <c r="A1157" t="s">
        <v>115</v>
      </c>
      <c r="B1157" t="s">
        <v>116</v>
      </c>
      <c r="C1157">
        <v>210784</v>
      </c>
      <c r="E1157" t="s">
        <v>117</v>
      </c>
      <c r="F1157">
        <v>368</v>
      </c>
      <c r="G1157" t="s">
        <v>141</v>
      </c>
      <c r="H1157" t="s">
        <v>142</v>
      </c>
      <c r="I1157" t="s">
        <v>279</v>
      </c>
      <c r="J1157" t="s">
        <v>280</v>
      </c>
      <c r="L1157" s="14">
        <v>46066</v>
      </c>
      <c r="M1157" s="18">
        <f t="shared" si="20"/>
        <v>46054</v>
      </c>
      <c r="N1157">
        <v>5882114</v>
      </c>
      <c r="O1157" t="s">
        <v>123</v>
      </c>
      <c r="P1157" t="s">
        <v>146</v>
      </c>
      <c r="Q1157">
        <v>2.17</v>
      </c>
      <c r="R1157" t="s">
        <v>559</v>
      </c>
      <c r="S1157" t="s">
        <v>126</v>
      </c>
      <c r="T1157" t="s">
        <v>559</v>
      </c>
      <c r="U1157" t="s">
        <v>560</v>
      </c>
      <c r="W1157">
        <v>0.66879999999999995</v>
      </c>
      <c r="X1157">
        <v>1.5011999999999999</v>
      </c>
      <c r="Y1157">
        <v>2.17</v>
      </c>
      <c r="Z1157">
        <v>0.82550000000000001</v>
      </c>
      <c r="AG1157">
        <v>0.66879999999999995</v>
      </c>
      <c r="AI1157">
        <v>0.67569999999999997</v>
      </c>
      <c r="BH1157" t="s">
        <v>126</v>
      </c>
      <c r="BI1157" t="s">
        <v>126</v>
      </c>
      <c r="BJ1157" t="s">
        <v>126</v>
      </c>
      <c r="BK1157" t="s">
        <v>126</v>
      </c>
      <c r="BS1157" t="s">
        <v>126</v>
      </c>
      <c r="BT1157" t="s">
        <v>126</v>
      </c>
      <c r="BU1157" t="s">
        <v>126</v>
      </c>
      <c r="BV1157" t="s">
        <v>126</v>
      </c>
      <c r="CN1157" t="s">
        <v>147</v>
      </c>
      <c r="CP1157" t="s">
        <v>304</v>
      </c>
      <c r="CQ1157" t="s">
        <v>147</v>
      </c>
    </row>
    <row r="1158" spans="1:95" x14ac:dyDescent="0.2">
      <c r="A1158" t="s">
        <v>115</v>
      </c>
      <c r="B1158" t="s">
        <v>116</v>
      </c>
      <c r="C1158">
        <v>210784</v>
      </c>
      <c r="E1158" t="s">
        <v>117</v>
      </c>
      <c r="F1158">
        <v>368</v>
      </c>
      <c r="G1158" t="s">
        <v>141</v>
      </c>
      <c r="H1158" t="s">
        <v>142</v>
      </c>
      <c r="I1158" t="s">
        <v>279</v>
      </c>
      <c r="J1158" t="s">
        <v>280</v>
      </c>
      <c r="L1158" s="14">
        <v>46070</v>
      </c>
      <c r="M1158" s="18">
        <f t="shared" si="20"/>
        <v>46054</v>
      </c>
      <c r="N1158">
        <v>5883775</v>
      </c>
      <c r="O1158" t="s">
        <v>123</v>
      </c>
      <c r="P1158" t="s">
        <v>146</v>
      </c>
      <c r="Q1158">
        <v>3.5199999999999996</v>
      </c>
      <c r="R1158" t="s">
        <v>559</v>
      </c>
      <c r="S1158" t="s">
        <v>126</v>
      </c>
      <c r="T1158" t="s">
        <v>559</v>
      </c>
      <c r="U1158" t="s">
        <v>560</v>
      </c>
      <c r="W1158">
        <v>1.0849</v>
      </c>
      <c r="X1158">
        <v>2.4351000000000003</v>
      </c>
      <c r="Y1158">
        <v>3.5199999999999996</v>
      </c>
      <c r="Z1158">
        <v>1.339</v>
      </c>
      <c r="AG1158">
        <v>1.0849</v>
      </c>
      <c r="AI1158">
        <v>1.0961000000000001</v>
      </c>
      <c r="BH1158" t="s">
        <v>126</v>
      </c>
      <c r="BI1158" t="s">
        <v>126</v>
      </c>
      <c r="BJ1158" t="s">
        <v>126</v>
      </c>
      <c r="BK1158" t="s">
        <v>126</v>
      </c>
      <c r="BS1158" t="s">
        <v>126</v>
      </c>
      <c r="BT1158" t="s">
        <v>126</v>
      </c>
      <c r="BU1158" t="s">
        <v>126</v>
      </c>
      <c r="BV1158" t="s">
        <v>126</v>
      </c>
      <c r="CN1158" t="s">
        <v>147</v>
      </c>
      <c r="CP1158" t="s">
        <v>304</v>
      </c>
      <c r="CQ1158" t="s">
        <v>147</v>
      </c>
    </row>
    <row r="1159" spans="1:95" x14ac:dyDescent="0.2">
      <c r="A1159" t="s">
        <v>115</v>
      </c>
      <c r="B1159" t="s">
        <v>116</v>
      </c>
      <c r="C1159">
        <v>210784</v>
      </c>
      <c r="E1159" t="s">
        <v>117</v>
      </c>
      <c r="F1159">
        <v>368</v>
      </c>
      <c r="G1159" t="s">
        <v>141</v>
      </c>
      <c r="H1159" t="s">
        <v>142</v>
      </c>
      <c r="I1159" t="s">
        <v>279</v>
      </c>
      <c r="J1159" t="s">
        <v>280</v>
      </c>
      <c r="L1159" s="14">
        <v>46071</v>
      </c>
      <c r="M1159" s="18">
        <f t="shared" si="20"/>
        <v>46054</v>
      </c>
      <c r="N1159">
        <v>5884229</v>
      </c>
      <c r="O1159" t="s">
        <v>123</v>
      </c>
      <c r="P1159" t="s">
        <v>146</v>
      </c>
      <c r="Q1159">
        <v>3.8699000000000003</v>
      </c>
      <c r="R1159" t="s">
        <v>559</v>
      </c>
      <c r="S1159" t="s">
        <v>126</v>
      </c>
      <c r="T1159" t="s">
        <v>559</v>
      </c>
      <c r="U1159" t="s">
        <v>560</v>
      </c>
      <c r="W1159">
        <v>1.1927000000000001</v>
      </c>
      <c r="X1159">
        <v>2.6772</v>
      </c>
      <c r="Y1159">
        <v>3.8699000000000003</v>
      </c>
      <c r="Z1159">
        <v>1.4721</v>
      </c>
      <c r="AG1159">
        <v>1.1927000000000001</v>
      </c>
      <c r="AI1159">
        <v>1.2051000000000001</v>
      </c>
      <c r="BH1159" t="s">
        <v>126</v>
      </c>
      <c r="BI1159" t="s">
        <v>126</v>
      </c>
      <c r="BJ1159" t="s">
        <v>126</v>
      </c>
      <c r="BK1159" t="s">
        <v>126</v>
      </c>
      <c r="BS1159" t="s">
        <v>126</v>
      </c>
      <c r="BT1159" t="s">
        <v>126</v>
      </c>
      <c r="BU1159" t="s">
        <v>126</v>
      </c>
      <c r="BV1159" t="s">
        <v>126</v>
      </c>
      <c r="CN1159" t="s">
        <v>147</v>
      </c>
      <c r="CP1159" t="s">
        <v>304</v>
      </c>
      <c r="CQ1159" t="s">
        <v>147</v>
      </c>
    </row>
    <row r="1160" spans="1:95" x14ac:dyDescent="0.2">
      <c r="A1160" t="s">
        <v>115</v>
      </c>
      <c r="B1160" t="s">
        <v>116</v>
      </c>
      <c r="C1160">
        <v>210784</v>
      </c>
      <c r="E1160" t="s">
        <v>117</v>
      </c>
      <c r="F1160">
        <v>368</v>
      </c>
      <c r="G1160" t="s">
        <v>141</v>
      </c>
      <c r="H1160" t="s">
        <v>142</v>
      </c>
      <c r="I1160" t="s">
        <v>279</v>
      </c>
      <c r="J1160" t="s">
        <v>280</v>
      </c>
      <c r="L1160" s="14">
        <v>46072</v>
      </c>
      <c r="M1160" s="18">
        <f t="shared" si="20"/>
        <v>46054</v>
      </c>
      <c r="N1160">
        <v>5884870</v>
      </c>
      <c r="O1160" t="s">
        <v>123</v>
      </c>
      <c r="P1160" t="s">
        <v>146</v>
      </c>
      <c r="Q1160">
        <v>2.02</v>
      </c>
      <c r="R1160" t="s">
        <v>559</v>
      </c>
      <c r="S1160" t="s">
        <v>126</v>
      </c>
      <c r="T1160" t="s">
        <v>559</v>
      </c>
      <c r="U1160" t="s">
        <v>560</v>
      </c>
      <c r="W1160">
        <v>0.62260000000000004</v>
      </c>
      <c r="X1160">
        <v>1.3974</v>
      </c>
      <c r="Y1160">
        <v>2.02</v>
      </c>
      <c r="Z1160">
        <v>0.76839999999999997</v>
      </c>
      <c r="AG1160">
        <v>0.62260000000000004</v>
      </c>
      <c r="AI1160">
        <v>0.629</v>
      </c>
      <c r="BH1160" t="s">
        <v>126</v>
      </c>
      <c r="BI1160" t="s">
        <v>126</v>
      </c>
      <c r="BJ1160" t="s">
        <v>126</v>
      </c>
      <c r="BK1160" t="s">
        <v>126</v>
      </c>
      <c r="BS1160" t="s">
        <v>126</v>
      </c>
      <c r="BT1160" t="s">
        <v>126</v>
      </c>
      <c r="BU1160" t="s">
        <v>126</v>
      </c>
      <c r="BV1160" t="s">
        <v>126</v>
      </c>
      <c r="CN1160" t="s">
        <v>147</v>
      </c>
      <c r="CP1160" t="s">
        <v>304</v>
      </c>
      <c r="CQ1160" t="s">
        <v>147</v>
      </c>
    </row>
    <row r="1161" spans="1:95" x14ac:dyDescent="0.2">
      <c r="A1161" t="s">
        <v>115</v>
      </c>
      <c r="B1161" t="s">
        <v>116</v>
      </c>
      <c r="C1161">
        <v>210784</v>
      </c>
      <c r="E1161" t="s">
        <v>117</v>
      </c>
      <c r="F1161">
        <v>368</v>
      </c>
      <c r="G1161" t="s">
        <v>141</v>
      </c>
      <c r="H1161" t="s">
        <v>142</v>
      </c>
      <c r="I1161" t="s">
        <v>279</v>
      </c>
      <c r="J1161" t="s">
        <v>280</v>
      </c>
      <c r="L1161" s="14">
        <v>46072</v>
      </c>
      <c r="M1161" s="18">
        <f t="shared" si="20"/>
        <v>46054</v>
      </c>
      <c r="N1161">
        <v>5886185</v>
      </c>
      <c r="O1161" t="s">
        <v>123</v>
      </c>
      <c r="P1161" t="s">
        <v>146</v>
      </c>
      <c r="Q1161">
        <v>1.26</v>
      </c>
      <c r="R1161" t="s">
        <v>559</v>
      </c>
      <c r="S1161" t="s">
        <v>126</v>
      </c>
      <c r="T1161" t="s">
        <v>559</v>
      </c>
      <c r="U1161" t="s">
        <v>560</v>
      </c>
      <c r="W1161">
        <v>0.38829999999999998</v>
      </c>
      <c r="X1161">
        <v>0.87170000000000003</v>
      </c>
      <c r="Y1161">
        <v>1.26</v>
      </c>
      <c r="Z1161">
        <v>0.4793</v>
      </c>
      <c r="AG1161">
        <v>0.38829999999999998</v>
      </c>
      <c r="AI1161">
        <v>0.39240000000000003</v>
      </c>
      <c r="BH1161" t="s">
        <v>126</v>
      </c>
      <c r="BI1161" t="s">
        <v>126</v>
      </c>
      <c r="BJ1161" t="s">
        <v>126</v>
      </c>
      <c r="BK1161" t="s">
        <v>126</v>
      </c>
      <c r="BS1161" t="s">
        <v>126</v>
      </c>
      <c r="BT1161" t="s">
        <v>126</v>
      </c>
      <c r="BU1161" t="s">
        <v>126</v>
      </c>
      <c r="BV1161" t="s">
        <v>126</v>
      </c>
      <c r="CN1161" t="s">
        <v>147</v>
      </c>
      <c r="CP1161" t="s">
        <v>304</v>
      </c>
      <c r="CQ1161" t="s">
        <v>147</v>
      </c>
    </row>
    <row r="1162" spans="1:95" x14ac:dyDescent="0.2">
      <c r="A1162" t="s">
        <v>115</v>
      </c>
      <c r="B1162" t="s">
        <v>116</v>
      </c>
      <c r="C1162">
        <v>210784</v>
      </c>
      <c r="E1162" t="s">
        <v>117</v>
      </c>
      <c r="F1162">
        <v>368</v>
      </c>
      <c r="G1162" t="s">
        <v>141</v>
      </c>
      <c r="H1162" t="s">
        <v>142</v>
      </c>
      <c r="I1162" t="s">
        <v>301</v>
      </c>
      <c r="J1162" t="s">
        <v>302</v>
      </c>
      <c r="L1162" s="14">
        <v>46073</v>
      </c>
      <c r="M1162" s="18">
        <f t="shared" si="20"/>
        <v>46054</v>
      </c>
      <c r="N1162">
        <v>118750</v>
      </c>
      <c r="O1162" t="s">
        <v>123</v>
      </c>
      <c r="P1162" t="s">
        <v>146</v>
      </c>
      <c r="Q1162">
        <v>8</v>
      </c>
      <c r="R1162" t="s">
        <v>125</v>
      </c>
      <c r="S1162" t="s">
        <v>126</v>
      </c>
      <c r="T1162" t="s">
        <v>125</v>
      </c>
      <c r="U1162" t="s">
        <v>126</v>
      </c>
      <c r="W1162">
        <v>8</v>
      </c>
      <c r="Y1162">
        <v>8</v>
      </c>
      <c r="AC1162">
        <v>8</v>
      </c>
      <c r="BH1162" t="s">
        <v>126</v>
      </c>
      <c r="BI1162" t="s">
        <v>126</v>
      </c>
      <c r="BJ1162" t="s">
        <v>126</v>
      </c>
      <c r="BK1162" t="s">
        <v>126</v>
      </c>
      <c r="BS1162" t="s">
        <v>126</v>
      </c>
      <c r="BT1162" t="s">
        <v>126</v>
      </c>
      <c r="BU1162" t="s">
        <v>126</v>
      </c>
      <c r="BV1162" t="s">
        <v>126</v>
      </c>
      <c r="CN1162" t="s">
        <v>147</v>
      </c>
      <c r="CP1162" t="s">
        <v>304</v>
      </c>
      <c r="CQ1162" t="s">
        <v>147</v>
      </c>
    </row>
    <row r="1163" spans="1:95" x14ac:dyDescent="0.2">
      <c r="A1163" t="s">
        <v>115</v>
      </c>
      <c r="B1163" t="s">
        <v>116</v>
      </c>
      <c r="C1163">
        <v>210784</v>
      </c>
      <c r="E1163" t="s">
        <v>117</v>
      </c>
      <c r="F1163">
        <v>368</v>
      </c>
      <c r="G1163" t="s">
        <v>141</v>
      </c>
      <c r="H1163" t="s">
        <v>142</v>
      </c>
      <c r="I1163" t="s">
        <v>279</v>
      </c>
      <c r="J1163" t="s">
        <v>280</v>
      </c>
      <c r="L1163" s="14">
        <v>46076</v>
      </c>
      <c r="M1163" s="18">
        <f t="shared" ref="M1163:M1217" si="21">DATE(YEAR(L1163), MONTH(L1163), 1)</f>
        <v>46054</v>
      </c>
      <c r="N1163">
        <v>5886873</v>
      </c>
      <c r="O1163" t="s">
        <v>123</v>
      </c>
      <c r="P1163" t="s">
        <v>146</v>
      </c>
      <c r="Q1163">
        <v>5.07</v>
      </c>
      <c r="R1163" t="s">
        <v>559</v>
      </c>
      <c r="S1163" t="s">
        <v>126</v>
      </c>
      <c r="T1163" t="s">
        <v>559</v>
      </c>
      <c r="U1163" t="s">
        <v>560</v>
      </c>
      <c r="W1163">
        <v>1.5626</v>
      </c>
      <c r="X1163">
        <v>3.5074000000000001</v>
      </c>
      <c r="Y1163">
        <v>5.07</v>
      </c>
      <c r="Z1163">
        <v>1.9286000000000001</v>
      </c>
      <c r="AG1163">
        <v>1.5626</v>
      </c>
      <c r="AI1163">
        <v>1.5788</v>
      </c>
      <c r="BH1163" t="s">
        <v>126</v>
      </c>
      <c r="BI1163" t="s">
        <v>126</v>
      </c>
      <c r="BJ1163" t="s">
        <v>126</v>
      </c>
      <c r="BK1163" t="s">
        <v>126</v>
      </c>
      <c r="BS1163" t="s">
        <v>126</v>
      </c>
      <c r="BT1163" t="s">
        <v>126</v>
      </c>
      <c r="BU1163" t="s">
        <v>126</v>
      </c>
      <c r="BV1163" t="s">
        <v>126</v>
      </c>
      <c r="CN1163" t="s">
        <v>147</v>
      </c>
      <c r="CP1163" t="s">
        <v>304</v>
      </c>
      <c r="CQ1163" t="s">
        <v>147</v>
      </c>
    </row>
    <row r="1164" spans="1:95" x14ac:dyDescent="0.2">
      <c r="A1164" t="s">
        <v>115</v>
      </c>
      <c r="B1164" t="s">
        <v>116</v>
      </c>
      <c r="C1164">
        <v>210784</v>
      </c>
      <c r="E1164" t="s">
        <v>117</v>
      </c>
      <c r="F1164">
        <v>368</v>
      </c>
      <c r="G1164" t="s">
        <v>141</v>
      </c>
      <c r="H1164" t="s">
        <v>142</v>
      </c>
      <c r="I1164" t="s">
        <v>279</v>
      </c>
      <c r="J1164" t="s">
        <v>280</v>
      </c>
      <c r="L1164" s="14">
        <v>46076</v>
      </c>
      <c r="M1164" s="18">
        <f t="shared" si="21"/>
        <v>46054</v>
      </c>
      <c r="N1164">
        <v>5886863</v>
      </c>
      <c r="O1164" t="s">
        <v>123</v>
      </c>
      <c r="P1164" t="s">
        <v>146</v>
      </c>
      <c r="Q1164">
        <v>1.8199000000000001</v>
      </c>
      <c r="R1164" t="s">
        <v>559</v>
      </c>
      <c r="S1164" t="s">
        <v>126</v>
      </c>
      <c r="T1164" t="s">
        <v>559</v>
      </c>
      <c r="U1164" t="s">
        <v>560</v>
      </c>
      <c r="W1164">
        <v>0.56089999999999995</v>
      </c>
      <c r="X1164">
        <v>1.2589999999999999</v>
      </c>
      <c r="Y1164">
        <v>1.8199000000000001</v>
      </c>
      <c r="Z1164">
        <v>0.69230000000000003</v>
      </c>
      <c r="AG1164">
        <v>0.56089999999999995</v>
      </c>
      <c r="AI1164">
        <v>0.56669999999999998</v>
      </c>
      <c r="BH1164" t="s">
        <v>126</v>
      </c>
      <c r="BI1164" t="s">
        <v>126</v>
      </c>
      <c r="BJ1164" t="s">
        <v>126</v>
      </c>
      <c r="BK1164" t="s">
        <v>126</v>
      </c>
      <c r="BS1164" t="s">
        <v>126</v>
      </c>
      <c r="BT1164" t="s">
        <v>126</v>
      </c>
      <c r="BU1164" t="s">
        <v>126</v>
      </c>
      <c r="BV1164" t="s">
        <v>126</v>
      </c>
      <c r="CN1164" t="s">
        <v>147</v>
      </c>
      <c r="CP1164" t="s">
        <v>304</v>
      </c>
      <c r="CQ1164" t="s">
        <v>147</v>
      </c>
    </row>
    <row r="1165" spans="1:95" x14ac:dyDescent="0.2">
      <c r="A1165" t="s">
        <v>115</v>
      </c>
      <c r="B1165" t="s">
        <v>116</v>
      </c>
      <c r="C1165">
        <v>210784</v>
      </c>
      <c r="E1165" t="s">
        <v>117</v>
      </c>
      <c r="F1165">
        <v>368</v>
      </c>
      <c r="G1165" t="s">
        <v>141</v>
      </c>
      <c r="H1165" t="s">
        <v>142</v>
      </c>
      <c r="I1165" t="s">
        <v>279</v>
      </c>
      <c r="J1165" t="s">
        <v>280</v>
      </c>
      <c r="L1165" s="14">
        <v>46077</v>
      </c>
      <c r="M1165" s="18">
        <f t="shared" si="21"/>
        <v>46054</v>
      </c>
      <c r="N1165">
        <v>5887522</v>
      </c>
      <c r="O1165" t="s">
        <v>123</v>
      </c>
      <c r="P1165" t="s">
        <v>146</v>
      </c>
      <c r="Q1165">
        <v>5.8599999999999994</v>
      </c>
      <c r="R1165" t="s">
        <v>559</v>
      </c>
      <c r="S1165" t="s">
        <v>126</v>
      </c>
      <c r="T1165" t="s">
        <v>559</v>
      </c>
      <c r="U1165" t="s">
        <v>560</v>
      </c>
      <c r="W1165">
        <v>1.8061</v>
      </c>
      <c r="X1165">
        <v>4.0538999999999996</v>
      </c>
      <c r="Y1165">
        <v>5.8599999999999994</v>
      </c>
      <c r="Z1165">
        <v>2.2290999999999999</v>
      </c>
      <c r="AG1165">
        <v>1.8061</v>
      </c>
      <c r="AI1165">
        <v>1.8248</v>
      </c>
      <c r="BH1165" t="s">
        <v>126</v>
      </c>
      <c r="BI1165" t="s">
        <v>126</v>
      </c>
      <c r="BJ1165" t="s">
        <v>126</v>
      </c>
      <c r="BK1165" t="s">
        <v>126</v>
      </c>
      <c r="BS1165" t="s">
        <v>126</v>
      </c>
      <c r="BT1165" t="s">
        <v>126</v>
      </c>
      <c r="BU1165" t="s">
        <v>126</v>
      </c>
      <c r="BV1165" t="s">
        <v>126</v>
      </c>
      <c r="CN1165" t="s">
        <v>147</v>
      </c>
      <c r="CP1165" t="s">
        <v>304</v>
      </c>
      <c r="CQ1165" t="s">
        <v>147</v>
      </c>
    </row>
    <row r="1166" spans="1:95" x14ac:dyDescent="0.2">
      <c r="A1166" t="s">
        <v>115</v>
      </c>
      <c r="B1166" t="s">
        <v>116</v>
      </c>
      <c r="C1166">
        <v>210784</v>
      </c>
      <c r="E1166" t="s">
        <v>117</v>
      </c>
      <c r="F1166">
        <v>368</v>
      </c>
      <c r="G1166" t="s">
        <v>118</v>
      </c>
      <c r="H1166" t="s">
        <v>119</v>
      </c>
      <c r="I1166" t="s">
        <v>120</v>
      </c>
      <c r="J1166" t="s">
        <v>121</v>
      </c>
      <c r="L1166" s="14">
        <v>46078</v>
      </c>
      <c r="M1166" s="18">
        <f t="shared" si="21"/>
        <v>46054</v>
      </c>
      <c r="N1166">
        <v>137382</v>
      </c>
      <c r="O1166" t="s">
        <v>123</v>
      </c>
      <c r="P1166" t="s">
        <v>124</v>
      </c>
      <c r="Q1166">
        <v>6.13</v>
      </c>
      <c r="R1166" t="s">
        <v>125</v>
      </c>
      <c r="S1166" t="s">
        <v>126</v>
      </c>
      <c r="T1166" t="s">
        <v>125</v>
      </c>
      <c r="U1166" t="s">
        <v>126</v>
      </c>
      <c r="W1166">
        <v>6.13</v>
      </c>
      <c r="Y1166">
        <v>6.13</v>
      </c>
      <c r="AA1166">
        <v>6.13</v>
      </c>
      <c r="BH1166" t="s">
        <v>126</v>
      </c>
      <c r="BI1166" t="s">
        <v>126</v>
      </c>
      <c r="BJ1166" t="s">
        <v>126</v>
      </c>
      <c r="BK1166" t="s">
        <v>126</v>
      </c>
      <c r="BS1166" t="s">
        <v>126</v>
      </c>
      <c r="BT1166" t="s">
        <v>126</v>
      </c>
      <c r="BU1166" t="s">
        <v>126</v>
      </c>
      <c r="BV1166" t="s">
        <v>126</v>
      </c>
      <c r="CN1166" t="s">
        <v>127</v>
      </c>
      <c r="CP1166" t="s">
        <v>140</v>
      </c>
      <c r="CQ1166" t="s">
        <v>127</v>
      </c>
    </row>
    <row r="1167" spans="1:95" x14ac:dyDescent="0.2">
      <c r="A1167" t="s">
        <v>115</v>
      </c>
      <c r="B1167" t="s">
        <v>116</v>
      </c>
      <c r="C1167">
        <v>210784</v>
      </c>
      <c r="E1167" t="s">
        <v>117</v>
      </c>
      <c r="F1167">
        <v>368</v>
      </c>
      <c r="G1167" t="s">
        <v>118</v>
      </c>
      <c r="H1167" t="s">
        <v>119</v>
      </c>
      <c r="I1167" t="s">
        <v>120</v>
      </c>
      <c r="J1167" t="s">
        <v>121</v>
      </c>
      <c r="L1167" s="14">
        <v>46078</v>
      </c>
      <c r="M1167" s="18">
        <f t="shared" si="21"/>
        <v>46054</v>
      </c>
      <c r="N1167">
        <v>137394</v>
      </c>
      <c r="O1167" t="s">
        <v>123</v>
      </c>
      <c r="P1167" t="s">
        <v>124</v>
      </c>
      <c r="Q1167">
        <v>3.72</v>
      </c>
      <c r="R1167" t="s">
        <v>125</v>
      </c>
      <c r="S1167" t="s">
        <v>126</v>
      </c>
      <c r="T1167" t="s">
        <v>125</v>
      </c>
      <c r="U1167" t="s">
        <v>126</v>
      </c>
      <c r="W1167">
        <v>3.72</v>
      </c>
      <c r="Y1167">
        <v>3.72</v>
      </c>
      <c r="AA1167">
        <v>3.72</v>
      </c>
      <c r="BH1167" t="s">
        <v>126</v>
      </c>
      <c r="BI1167" t="s">
        <v>126</v>
      </c>
      <c r="BJ1167" t="s">
        <v>126</v>
      </c>
      <c r="BK1167" t="s">
        <v>126</v>
      </c>
      <c r="BS1167" t="s">
        <v>126</v>
      </c>
      <c r="BT1167" t="s">
        <v>126</v>
      </c>
      <c r="BU1167" t="s">
        <v>126</v>
      </c>
      <c r="BV1167" t="s">
        <v>126</v>
      </c>
      <c r="CN1167" t="s">
        <v>127</v>
      </c>
      <c r="CP1167" t="s">
        <v>140</v>
      </c>
      <c r="CQ1167" t="s">
        <v>127</v>
      </c>
    </row>
    <row r="1168" spans="1:95" x14ac:dyDescent="0.2">
      <c r="A1168" t="s">
        <v>115</v>
      </c>
      <c r="B1168" t="s">
        <v>116</v>
      </c>
      <c r="C1168">
        <v>210784</v>
      </c>
      <c r="E1168" t="s">
        <v>117</v>
      </c>
      <c r="F1168">
        <v>368</v>
      </c>
      <c r="G1168" t="s">
        <v>141</v>
      </c>
      <c r="H1168" t="s">
        <v>142</v>
      </c>
      <c r="I1168" t="s">
        <v>279</v>
      </c>
      <c r="J1168" t="s">
        <v>280</v>
      </c>
      <c r="L1168" s="14">
        <v>46078</v>
      </c>
      <c r="M1168" s="18">
        <f t="shared" si="21"/>
        <v>46054</v>
      </c>
      <c r="N1168">
        <v>5888217</v>
      </c>
      <c r="O1168" t="s">
        <v>123</v>
      </c>
      <c r="P1168" t="s">
        <v>146</v>
      </c>
      <c r="Q1168">
        <v>1.48</v>
      </c>
      <c r="R1168" t="s">
        <v>559</v>
      </c>
      <c r="S1168" t="s">
        <v>126</v>
      </c>
      <c r="T1168" t="s">
        <v>559</v>
      </c>
      <c r="U1168" t="s">
        <v>560</v>
      </c>
      <c r="W1168">
        <v>0.45610000000000001</v>
      </c>
      <c r="X1168">
        <v>1.0238999999999998</v>
      </c>
      <c r="Y1168">
        <v>1.48</v>
      </c>
      <c r="Z1168">
        <v>0.56299999999999994</v>
      </c>
      <c r="AG1168">
        <v>0.45610000000000001</v>
      </c>
      <c r="AI1168">
        <v>0.46089999999999998</v>
      </c>
      <c r="BH1168" t="s">
        <v>126</v>
      </c>
      <c r="BI1168" t="s">
        <v>126</v>
      </c>
      <c r="BJ1168" t="s">
        <v>126</v>
      </c>
      <c r="BK1168" t="s">
        <v>126</v>
      </c>
      <c r="BS1168" t="s">
        <v>126</v>
      </c>
      <c r="BT1168" t="s">
        <v>126</v>
      </c>
      <c r="BU1168" t="s">
        <v>126</v>
      </c>
      <c r="BV1168" t="s">
        <v>126</v>
      </c>
      <c r="CN1168" t="s">
        <v>147</v>
      </c>
      <c r="CP1168" t="s">
        <v>140</v>
      </c>
      <c r="CQ1168" t="s">
        <v>147</v>
      </c>
    </row>
    <row r="1169" spans="1:95" x14ac:dyDescent="0.2">
      <c r="A1169" t="s">
        <v>115</v>
      </c>
      <c r="B1169" t="s">
        <v>116</v>
      </c>
      <c r="C1169">
        <v>210784</v>
      </c>
      <c r="E1169" t="s">
        <v>117</v>
      </c>
      <c r="F1169">
        <v>368</v>
      </c>
      <c r="G1169" t="s">
        <v>141</v>
      </c>
      <c r="H1169" t="s">
        <v>142</v>
      </c>
      <c r="I1169" t="s">
        <v>279</v>
      </c>
      <c r="J1169" t="s">
        <v>280</v>
      </c>
      <c r="L1169" s="14">
        <v>46079</v>
      </c>
      <c r="M1169" s="18">
        <f t="shared" si="21"/>
        <v>46054</v>
      </c>
      <c r="N1169">
        <v>5889050</v>
      </c>
      <c r="O1169" t="s">
        <v>123</v>
      </c>
      <c r="P1169" t="s">
        <v>146</v>
      </c>
      <c r="Q1169">
        <v>4.7300000000000004</v>
      </c>
      <c r="R1169" t="s">
        <v>125</v>
      </c>
      <c r="S1169" t="s">
        <v>126</v>
      </c>
      <c r="T1169" t="s">
        <v>125</v>
      </c>
      <c r="U1169" t="s">
        <v>126</v>
      </c>
      <c r="W1169">
        <v>4.7300000000000004</v>
      </c>
      <c r="Y1169">
        <v>4.7300000000000004</v>
      </c>
      <c r="BE1169">
        <v>4.7300000000000004</v>
      </c>
      <c r="BH1169" t="s">
        <v>126</v>
      </c>
      <c r="BI1169" t="s">
        <v>126</v>
      </c>
      <c r="BJ1169" t="s">
        <v>126</v>
      </c>
      <c r="BK1169" t="s">
        <v>126</v>
      </c>
      <c r="BS1169" t="s">
        <v>126</v>
      </c>
      <c r="BT1169" t="s">
        <v>126</v>
      </c>
      <c r="BU1169" t="s">
        <v>126</v>
      </c>
      <c r="BV1169" t="s">
        <v>126</v>
      </c>
      <c r="CN1169" t="s">
        <v>147</v>
      </c>
      <c r="CP1169" t="s">
        <v>140</v>
      </c>
      <c r="CQ1169" t="s">
        <v>147</v>
      </c>
    </row>
    <row r="1170" spans="1:95" x14ac:dyDescent="0.2">
      <c r="A1170" t="s">
        <v>115</v>
      </c>
      <c r="B1170" t="s">
        <v>116</v>
      </c>
      <c r="C1170">
        <v>210784</v>
      </c>
      <c r="E1170" t="s">
        <v>117</v>
      </c>
      <c r="F1170">
        <v>368</v>
      </c>
      <c r="G1170" t="s">
        <v>141</v>
      </c>
      <c r="H1170" t="s">
        <v>142</v>
      </c>
      <c r="I1170" t="s">
        <v>279</v>
      </c>
      <c r="J1170" t="s">
        <v>280</v>
      </c>
      <c r="L1170" s="14">
        <v>46080</v>
      </c>
      <c r="M1170" s="18">
        <f t="shared" si="21"/>
        <v>46054</v>
      </c>
      <c r="N1170">
        <v>5889875</v>
      </c>
      <c r="O1170" t="s">
        <v>123</v>
      </c>
      <c r="P1170" t="s">
        <v>146</v>
      </c>
      <c r="Q1170">
        <v>3.5700000000000003</v>
      </c>
      <c r="R1170" t="s">
        <v>559</v>
      </c>
      <c r="S1170" t="s">
        <v>126</v>
      </c>
      <c r="T1170" t="s">
        <v>559</v>
      </c>
      <c r="U1170" t="s">
        <v>560</v>
      </c>
      <c r="W1170">
        <v>1.1003000000000001</v>
      </c>
      <c r="X1170">
        <v>2.4697</v>
      </c>
      <c r="Y1170">
        <v>3.5700000000000003</v>
      </c>
      <c r="Z1170">
        <v>1.3580000000000001</v>
      </c>
      <c r="AG1170">
        <v>1.1003000000000001</v>
      </c>
      <c r="AI1170">
        <v>1.1116999999999999</v>
      </c>
      <c r="BH1170" t="s">
        <v>126</v>
      </c>
      <c r="BI1170" t="s">
        <v>126</v>
      </c>
      <c r="BJ1170" t="s">
        <v>126</v>
      </c>
      <c r="BK1170" t="s">
        <v>126</v>
      </c>
      <c r="BS1170" t="s">
        <v>126</v>
      </c>
      <c r="BT1170" t="s">
        <v>126</v>
      </c>
      <c r="BU1170" t="s">
        <v>126</v>
      </c>
      <c r="BV1170" t="s">
        <v>126</v>
      </c>
      <c r="CN1170" t="s">
        <v>147</v>
      </c>
      <c r="CP1170" t="s">
        <v>140</v>
      </c>
      <c r="CQ1170" t="s">
        <v>147</v>
      </c>
    </row>
    <row r="1171" spans="1:95" x14ac:dyDescent="0.2">
      <c r="A1171" t="s">
        <v>115</v>
      </c>
      <c r="B1171" t="s">
        <v>116</v>
      </c>
      <c r="C1171">
        <v>210784</v>
      </c>
      <c r="E1171" t="s">
        <v>117</v>
      </c>
      <c r="F1171">
        <v>368</v>
      </c>
      <c r="G1171" t="s">
        <v>141</v>
      </c>
      <c r="H1171" t="s">
        <v>142</v>
      </c>
      <c r="I1171" t="s">
        <v>305</v>
      </c>
      <c r="J1171" t="s">
        <v>306</v>
      </c>
      <c r="L1171" s="14">
        <v>46083</v>
      </c>
      <c r="M1171" s="18">
        <f t="shared" si="21"/>
        <v>46082</v>
      </c>
      <c r="N1171">
        <v>10957608</v>
      </c>
      <c r="O1171" t="s">
        <v>123</v>
      </c>
      <c r="P1171" t="s">
        <v>146</v>
      </c>
      <c r="Q1171">
        <v>4.95</v>
      </c>
      <c r="R1171" t="s">
        <v>125</v>
      </c>
      <c r="S1171" t="s">
        <v>126</v>
      </c>
      <c r="T1171" t="s">
        <v>125</v>
      </c>
      <c r="U1171" t="s">
        <v>126</v>
      </c>
      <c r="W1171">
        <v>4.95</v>
      </c>
      <c r="Y1171">
        <v>4.95</v>
      </c>
      <c r="AC1171">
        <v>4.95</v>
      </c>
      <c r="BH1171" t="s">
        <v>126</v>
      </c>
      <c r="BI1171" t="s">
        <v>126</v>
      </c>
      <c r="BJ1171" t="s">
        <v>126</v>
      </c>
      <c r="BK1171" t="s">
        <v>126</v>
      </c>
      <c r="BS1171" t="s">
        <v>126</v>
      </c>
      <c r="BT1171" t="s">
        <v>126</v>
      </c>
      <c r="BU1171" t="s">
        <v>126</v>
      </c>
      <c r="BV1171" t="s">
        <v>126</v>
      </c>
      <c r="CN1171" t="s">
        <v>147</v>
      </c>
      <c r="CP1171" t="s">
        <v>140</v>
      </c>
      <c r="CQ1171" t="s">
        <v>147</v>
      </c>
    </row>
    <row r="1172" spans="1:95" x14ac:dyDescent="0.2">
      <c r="A1172" t="s">
        <v>115</v>
      </c>
      <c r="B1172" t="s">
        <v>116</v>
      </c>
      <c r="C1172">
        <v>210784</v>
      </c>
      <c r="E1172" t="s">
        <v>117</v>
      </c>
      <c r="F1172">
        <v>368</v>
      </c>
      <c r="G1172" t="s">
        <v>141</v>
      </c>
      <c r="H1172" t="s">
        <v>142</v>
      </c>
      <c r="I1172" t="s">
        <v>279</v>
      </c>
      <c r="J1172" t="s">
        <v>280</v>
      </c>
      <c r="L1172" s="14">
        <v>46085</v>
      </c>
      <c r="M1172" s="18">
        <f t="shared" si="21"/>
        <v>46082</v>
      </c>
      <c r="N1172">
        <v>5893441</v>
      </c>
      <c r="O1172" t="s">
        <v>123</v>
      </c>
      <c r="P1172" t="s">
        <v>146</v>
      </c>
      <c r="Q1172">
        <v>3.7</v>
      </c>
      <c r="R1172" t="s">
        <v>559</v>
      </c>
      <c r="S1172" t="s">
        <v>126</v>
      </c>
      <c r="T1172" t="s">
        <v>559</v>
      </c>
      <c r="U1172" t="s">
        <v>560</v>
      </c>
      <c r="W1172">
        <v>1.1403000000000001</v>
      </c>
      <c r="X1172">
        <v>2.5596999999999999</v>
      </c>
      <c r="Y1172">
        <v>3.7</v>
      </c>
      <c r="Z1172">
        <v>1.4075</v>
      </c>
      <c r="AG1172">
        <v>1.1403000000000001</v>
      </c>
      <c r="AI1172">
        <v>1.1521999999999999</v>
      </c>
      <c r="BH1172" t="s">
        <v>126</v>
      </c>
      <c r="BI1172" t="s">
        <v>126</v>
      </c>
      <c r="BJ1172" t="s">
        <v>126</v>
      </c>
      <c r="BK1172" t="s">
        <v>126</v>
      </c>
      <c r="BS1172" t="s">
        <v>126</v>
      </c>
      <c r="BT1172" t="s">
        <v>126</v>
      </c>
      <c r="BU1172" t="s">
        <v>126</v>
      </c>
      <c r="BV1172" t="s">
        <v>126</v>
      </c>
      <c r="CN1172" t="s">
        <v>147</v>
      </c>
      <c r="CP1172" t="s">
        <v>140</v>
      </c>
      <c r="CQ1172" t="s">
        <v>147</v>
      </c>
    </row>
    <row r="1173" spans="1:95" x14ac:dyDescent="0.2">
      <c r="A1173" t="s">
        <v>115</v>
      </c>
      <c r="B1173" t="s">
        <v>116</v>
      </c>
      <c r="C1173">
        <v>210784</v>
      </c>
      <c r="E1173" t="s">
        <v>117</v>
      </c>
      <c r="F1173">
        <v>368</v>
      </c>
      <c r="G1173" t="s">
        <v>141</v>
      </c>
      <c r="H1173" t="s">
        <v>142</v>
      </c>
      <c r="I1173" t="s">
        <v>279</v>
      </c>
      <c r="J1173" t="s">
        <v>280</v>
      </c>
      <c r="L1173" s="14">
        <v>46085</v>
      </c>
      <c r="M1173" s="18">
        <f t="shared" si="21"/>
        <v>46082</v>
      </c>
      <c r="N1173">
        <v>5892500</v>
      </c>
      <c r="O1173" t="s">
        <v>123</v>
      </c>
      <c r="P1173" t="s">
        <v>146</v>
      </c>
      <c r="Q1173">
        <v>2.0299</v>
      </c>
      <c r="R1173" t="s">
        <v>559</v>
      </c>
      <c r="S1173" t="s">
        <v>126</v>
      </c>
      <c r="T1173" t="s">
        <v>559</v>
      </c>
      <c r="U1173" t="s">
        <v>560</v>
      </c>
      <c r="W1173">
        <v>0.62560000000000004</v>
      </c>
      <c r="X1173">
        <v>1.4043000000000001</v>
      </c>
      <c r="Y1173">
        <v>2.0299</v>
      </c>
      <c r="Z1173">
        <v>0.7722</v>
      </c>
      <c r="AG1173">
        <v>0.62560000000000004</v>
      </c>
      <c r="AI1173">
        <v>0.6321</v>
      </c>
      <c r="BH1173" t="s">
        <v>126</v>
      </c>
      <c r="BI1173" t="s">
        <v>126</v>
      </c>
      <c r="BJ1173" t="s">
        <v>126</v>
      </c>
      <c r="BK1173" t="s">
        <v>126</v>
      </c>
      <c r="BS1173" t="s">
        <v>126</v>
      </c>
      <c r="BT1173" t="s">
        <v>126</v>
      </c>
      <c r="BU1173" t="s">
        <v>126</v>
      </c>
      <c r="BV1173" t="s">
        <v>126</v>
      </c>
      <c r="CN1173" t="s">
        <v>147</v>
      </c>
      <c r="CP1173" t="s">
        <v>140</v>
      </c>
      <c r="CQ1173" t="s">
        <v>147</v>
      </c>
    </row>
    <row r="1174" spans="1:95" x14ac:dyDescent="0.2">
      <c r="A1174" t="s">
        <v>115</v>
      </c>
      <c r="B1174" t="s">
        <v>116</v>
      </c>
      <c r="C1174">
        <v>210784</v>
      </c>
      <c r="E1174" t="s">
        <v>117</v>
      </c>
      <c r="F1174">
        <v>368</v>
      </c>
      <c r="G1174" t="s">
        <v>141</v>
      </c>
      <c r="H1174" t="s">
        <v>142</v>
      </c>
      <c r="I1174" t="s">
        <v>279</v>
      </c>
      <c r="J1174" t="s">
        <v>280</v>
      </c>
      <c r="L1174" s="14">
        <v>46090</v>
      </c>
      <c r="M1174" s="18">
        <f t="shared" si="21"/>
        <v>46082</v>
      </c>
      <c r="N1174">
        <v>5895203</v>
      </c>
      <c r="O1174" t="s">
        <v>123</v>
      </c>
      <c r="P1174" t="s">
        <v>146</v>
      </c>
      <c r="Q1174">
        <v>2.73</v>
      </c>
      <c r="R1174" t="s">
        <v>559</v>
      </c>
      <c r="S1174" t="s">
        <v>126</v>
      </c>
      <c r="T1174" t="s">
        <v>559</v>
      </c>
      <c r="U1174" t="s">
        <v>560</v>
      </c>
      <c r="W1174">
        <v>0.84140000000000004</v>
      </c>
      <c r="X1174">
        <v>1.8885999999999998</v>
      </c>
      <c r="Y1174">
        <v>2.73</v>
      </c>
      <c r="Z1174">
        <v>1.0385</v>
      </c>
      <c r="AG1174">
        <v>0.84140000000000004</v>
      </c>
      <c r="AI1174">
        <v>0.85009999999999997</v>
      </c>
      <c r="BH1174" t="s">
        <v>126</v>
      </c>
      <c r="BI1174" t="s">
        <v>126</v>
      </c>
      <c r="BJ1174" t="s">
        <v>126</v>
      </c>
      <c r="BK1174" t="s">
        <v>126</v>
      </c>
      <c r="BS1174" t="s">
        <v>126</v>
      </c>
      <c r="BT1174" t="s">
        <v>126</v>
      </c>
      <c r="BU1174" t="s">
        <v>126</v>
      </c>
      <c r="BV1174" t="s">
        <v>126</v>
      </c>
      <c r="CN1174" t="s">
        <v>147</v>
      </c>
      <c r="CP1174" t="s">
        <v>140</v>
      </c>
      <c r="CQ1174" t="s">
        <v>147</v>
      </c>
    </row>
    <row r="1175" spans="1:95" x14ac:dyDescent="0.2">
      <c r="A1175" t="s">
        <v>115</v>
      </c>
      <c r="B1175" t="s">
        <v>116</v>
      </c>
      <c r="C1175">
        <v>210784</v>
      </c>
      <c r="E1175" t="s">
        <v>117</v>
      </c>
      <c r="F1175">
        <v>368</v>
      </c>
      <c r="G1175" t="s">
        <v>141</v>
      </c>
      <c r="H1175" t="s">
        <v>142</v>
      </c>
      <c r="I1175" t="s">
        <v>279</v>
      </c>
      <c r="J1175" t="s">
        <v>280</v>
      </c>
      <c r="L1175" s="14">
        <v>46091</v>
      </c>
      <c r="M1175" s="18">
        <f t="shared" si="21"/>
        <v>46082</v>
      </c>
      <c r="N1175">
        <v>5895935</v>
      </c>
      <c r="O1175" t="s">
        <v>123</v>
      </c>
      <c r="P1175" t="s">
        <v>146</v>
      </c>
      <c r="Q1175">
        <v>3.82</v>
      </c>
      <c r="R1175" t="s">
        <v>125</v>
      </c>
      <c r="S1175" t="s">
        <v>126</v>
      </c>
      <c r="T1175" t="s">
        <v>125</v>
      </c>
      <c r="U1175" t="s">
        <v>126</v>
      </c>
      <c r="W1175">
        <v>3.82</v>
      </c>
      <c r="Y1175">
        <v>3.82</v>
      </c>
      <c r="BE1175">
        <v>3.82</v>
      </c>
      <c r="BH1175" t="s">
        <v>126</v>
      </c>
      <c r="BI1175" t="s">
        <v>126</v>
      </c>
      <c r="BJ1175" t="s">
        <v>126</v>
      </c>
      <c r="BK1175" t="s">
        <v>126</v>
      </c>
      <c r="BS1175" t="s">
        <v>126</v>
      </c>
      <c r="BT1175" t="s">
        <v>126</v>
      </c>
      <c r="BU1175" t="s">
        <v>126</v>
      </c>
      <c r="BV1175" t="s">
        <v>126</v>
      </c>
      <c r="CN1175" t="s">
        <v>147</v>
      </c>
      <c r="CP1175" t="s">
        <v>140</v>
      </c>
      <c r="CQ1175" t="s">
        <v>147</v>
      </c>
    </row>
    <row r="1176" spans="1:95" x14ac:dyDescent="0.2">
      <c r="A1176" t="s">
        <v>115</v>
      </c>
      <c r="B1176" t="s">
        <v>116</v>
      </c>
      <c r="C1176">
        <v>210784</v>
      </c>
      <c r="E1176" t="s">
        <v>117</v>
      </c>
      <c r="F1176">
        <v>368</v>
      </c>
      <c r="G1176" t="s">
        <v>141</v>
      </c>
      <c r="H1176" t="s">
        <v>142</v>
      </c>
      <c r="I1176" t="s">
        <v>284</v>
      </c>
      <c r="J1176" t="s">
        <v>285</v>
      </c>
      <c r="L1176" s="14">
        <v>46092</v>
      </c>
      <c r="M1176" s="18">
        <f t="shared" si="21"/>
        <v>46082</v>
      </c>
      <c r="N1176">
        <v>132520</v>
      </c>
      <c r="O1176" t="s">
        <v>123</v>
      </c>
      <c r="P1176" t="s">
        <v>146</v>
      </c>
      <c r="Q1176">
        <v>6.97</v>
      </c>
      <c r="R1176" t="s">
        <v>125</v>
      </c>
      <c r="S1176" t="s">
        <v>126</v>
      </c>
      <c r="T1176" t="s">
        <v>125</v>
      </c>
      <c r="U1176" t="s">
        <v>126</v>
      </c>
      <c r="W1176">
        <v>6.97</v>
      </c>
      <c r="Y1176">
        <v>6.97</v>
      </c>
      <c r="AC1176">
        <v>6.97</v>
      </c>
      <c r="BH1176" t="s">
        <v>126</v>
      </c>
      <c r="BI1176" t="s">
        <v>126</v>
      </c>
      <c r="BJ1176" t="s">
        <v>126</v>
      </c>
      <c r="BK1176" t="s">
        <v>126</v>
      </c>
      <c r="BS1176" t="s">
        <v>126</v>
      </c>
      <c r="BT1176" t="s">
        <v>126</v>
      </c>
      <c r="BU1176" t="s">
        <v>126</v>
      </c>
      <c r="BV1176" t="s">
        <v>126</v>
      </c>
      <c r="CN1176" t="s">
        <v>147</v>
      </c>
      <c r="CP1176" t="s">
        <v>140</v>
      </c>
      <c r="CQ1176" t="s">
        <v>147</v>
      </c>
    </row>
    <row r="1177" spans="1:95" x14ac:dyDescent="0.2">
      <c r="A1177" t="s">
        <v>115</v>
      </c>
      <c r="B1177" t="s">
        <v>116</v>
      </c>
      <c r="C1177">
        <v>210784</v>
      </c>
      <c r="E1177" t="s">
        <v>117</v>
      </c>
      <c r="F1177">
        <v>368</v>
      </c>
      <c r="G1177" t="s">
        <v>141</v>
      </c>
      <c r="H1177" t="s">
        <v>142</v>
      </c>
      <c r="I1177" t="s">
        <v>279</v>
      </c>
      <c r="J1177" t="s">
        <v>280</v>
      </c>
      <c r="L1177" s="14">
        <v>46092</v>
      </c>
      <c r="M1177" s="18">
        <f t="shared" si="21"/>
        <v>46082</v>
      </c>
      <c r="N1177">
        <v>5896744</v>
      </c>
      <c r="O1177" t="s">
        <v>123</v>
      </c>
      <c r="P1177" t="s">
        <v>146</v>
      </c>
      <c r="Q1177">
        <v>2.6800999999999999</v>
      </c>
      <c r="R1177" t="s">
        <v>559</v>
      </c>
      <c r="S1177" t="s">
        <v>126</v>
      </c>
      <c r="T1177" t="s">
        <v>559</v>
      </c>
      <c r="U1177" t="s">
        <v>560</v>
      </c>
      <c r="W1177">
        <v>0.82599999999999996</v>
      </c>
      <c r="X1177">
        <v>1.8541000000000001</v>
      </c>
      <c r="Y1177">
        <v>2.6800999999999999</v>
      </c>
      <c r="Z1177">
        <v>1.0195000000000001</v>
      </c>
      <c r="AG1177">
        <v>0.82599999999999996</v>
      </c>
      <c r="AI1177">
        <v>0.83460000000000001</v>
      </c>
      <c r="BH1177" t="s">
        <v>126</v>
      </c>
      <c r="BI1177" t="s">
        <v>126</v>
      </c>
      <c r="BJ1177" t="s">
        <v>126</v>
      </c>
      <c r="BK1177" t="s">
        <v>126</v>
      </c>
      <c r="BS1177" t="s">
        <v>126</v>
      </c>
      <c r="BT1177" t="s">
        <v>126</v>
      </c>
      <c r="BU1177" t="s">
        <v>126</v>
      </c>
      <c r="BV1177" t="s">
        <v>126</v>
      </c>
      <c r="CN1177" t="s">
        <v>147</v>
      </c>
      <c r="CP1177" t="s">
        <v>140</v>
      </c>
      <c r="CQ1177" t="s">
        <v>147</v>
      </c>
    </row>
    <row r="1178" spans="1:95" x14ac:dyDescent="0.2">
      <c r="A1178" t="s">
        <v>115</v>
      </c>
      <c r="B1178" t="s">
        <v>116</v>
      </c>
      <c r="C1178">
        <v>210784</v>
      </c>
      <c r="E1178" t="s">
        <v>117</v>
      </c>
      <c r="F1178">
        <v>368</v>
      </c>
      <c r="G1178" t="s">
        <v>141</v>
      </c>
      <c r="H1178" t="s">
        <v>142</v>
      </c>
      <c r="I1178" t="s">
        <v>279</v>
      </c>
      <c r="J1178" t="s">
        <v>280</v>
      </c>
      <c r="L1178" s="14">
        <v>46093</v>
      </c>
      <c r="M1178" s="18">
        <f t="shared" si="21"/>
        <v>46082</v>
      </c>
      <c r="N1178">
        <v>5897594</v>
      </c>
      <c r="O1178" t="s">
        <v>123</v>
      </c>
      <c r="P1178" t="s">
        <v>146</v>
      </c>
      <c r="Q1178">
        <v>4.8</v>
      </c>
      <c r="R1178" t="s">
        <v>559</v>
      </c>
      <c r="S1178" t="s">
        <v>126</v>
      </c>
      <c r="T1178" t="s">
        <v>559</v>
      </c>
      <c r="U1178" t="s">
        <v>560</v>
      </c>
      <c r="W1178">
        <v>1.4794</v>
      </c>
      <c r="X1178">
        <v>3.3205999999999998</v>
      </c>
      <c r="Y1178">
        <v>4.8</v>
      </c>
      <c r="Z1178">
        <v>1.8259000000000001</v>
      </c>
      <c r="AG1178">
        <v>1.4794</v>
      </c>
      <c r="AI1178">
        <v>1.4946999999999999</v>
      </c>
      <c r="BH1178" t="s">
        <v>126</v>
      </c>
      <c r="BI1178" t="s">
        <v>126</v>
      </c>
      <c r="BJ1178" t="s">
        <v>126</v>
      </c>
      <c r="BK1178" t="s">
        <v>126</v>
      </c>
      <c r="BS1178" t="s">
        <v>126</v>
      </c>
      <c r="BT1178" t="s">
        <v>126</v>
      </c>
      <c r="BU1178" t="s">
        <v>126</v>
      </c>
      <c r="BV1178" t="s">
        <v>126</v>
      </c>
      <c r="CN1178" t="s">
        <v>147</v>
      </c>
      <c r="CP1178" t="s">
        <v>140</v>
      </c>
      <c r="CQ1178" t="s">
        <v>147</v>
      </c>
    </row>
    <row r="1179" spans="1:95" x14ac:dyDescent="0.2">
      <c r="A1179" t="s">
        <v>115</v>
      </c>
      <c r="B1179" t="s">
        <v>116</v>
      </c>
      <c r="C1179">
        <v>210784</v>
      </c>
      <c r="E1179" t="s">
        <v>117</v>
      </c>
      <c r="F1179">
        <v>368</v>
      </c>
      <c r="G1179" t="s">
        <v>141</v>
      </c>
      <c r="H1179" t="s">
        <v>142</v>
      </c>
      <c r="I1179" t="s">
        <v>279</v>
      </c>
      <c r="J1179" t="s">
        <v>280</v>
      </c>
      <c r="L1179" s="14">
        <v>46097</v>
      </c>
      <c r="M1179" s="18">
        <f t="shared" si="21"/>
        <v>46082</v>
      </c>
      <c r="N1179">
        <v>5899386</v>
      </c>
      <c r="O1179" t="s">
        <v>123</v>
      </c>
      <c r="P1179" t="s">
        <v>146</v>
      </c>
      <c r="Q1179">
        <v>4.6901000000000002</v>
      </c>
      <c r="R1179" t="s">
        <v>559</v>
      </c>
      <c r="S1179" t="s">
        <v>126</v>
      </c>
      <c r="T1179" t="s">
        <v>559</v>
      </c>
      <c r="U1179" t="s">
        <v>560</v>
      </c>
      <c r="W1179">
        <v>1.4455</v>
      </c>
      <c r="X1179">
        <v>3.2446000000000002</v>
      </c>
      <c r="Y1179">
        <v>4.6901000000000002</v>
      </c>
      <c r="Z1179">
        <v>1.7841</v>
      </c>
      <c r="AG1179">
        <v>1.4455</v>
      </c>
      <c r="AI1179">
        <v>1.4604999999999999</v>
      </c>
      <c r="BH1179" t="s">
        <v>126</v>
      </c>
      <c r="BI1179" t="s">
        <v>126</v>
      </c>
      <c r="BJ1179" t="s">
        <v>126</v>
      </c>
      <c r="BK1179" t="s">
        <v>126</v>
      </c>
      <c r="BS1179" t="s">
        <v>126</v>
      </c>
      <c r="BT1179" t="s">
        <v>126</v>
      </c>
      <c r="BU1179" t="s">
        <v>126</v>
      </c>
      <c r="BV1179" t="s">
        <v>126</v>
      </c>
      <c r="CN1179" t="s">
        <v>147</v>
      </c>
      <c r="CP1179" t="s">
        <v>140</v>
      </c>
      <c r="CQ1179" t="s">
        <v>147</v>
      </c>
    </row>
    <row r="1180" spans="1:95" x14ac:dyDescent="0.2">
      <c r="A1180" t="s">
        <v>115</v>
      </c>
      <c r="B1180" t="s">
        <v>116</v>
      </c>
      <c r="C1180">
        <v>210784</v>
      </c>
      <c r="E1180" t="s">
        <v>117</v>
      </c>
      <c r="F1180">
        <v>368</v>
      </c>
      <c r="G1180" t="s">
        <v>141</v>
      </c>
      <c r="H1180" t="s">
        <v>142</v>
      </c>
      <c r="I1180" t="s">
        <v>279</v>
      </c>
      <c r="J1180" t="s">
        <v>280</v>
      </c>
      <c r="L1180" s="14">
        <v>46098</v>
      </c>
      <c r="M1180" s="18">
        <f t="shared" si="21"/>
        <v>46082</v>
      </c>
      <c r="N1180">
        <v>5900037</v>
      </c>
      <c r="O1180" t="s">
        <v>123</v>
      </c>
      <c r="P1180" t="s">
        <v>146</v>
      </c>
      <c r="Q1180">
        <v>1.0299</v>
      </c>
      <c r="R1180" t="s">
        <v>559</v>
      </c>
      <c r="S1180" t="s">
        <v>126</v>
      </c>
      <c r="T1180" t="s">
        <v>559</v>
      </c>
      <c r="U1180" t="s">
        <v>560</v>
      </c>
      <c r="W1180">
        <v>0.31740000000000002</v>
      </c>
      <c r="X1180">
        <v>0.71249999999999991</v>
      </c>
      <c r="Y1180">
        <v>1.0299</v>
      </c>
      <c r="Z1180">
        <v>0.39179999999999998</v>
      </c>
      <c r="AG1180">
        <v>0.31740000000000002</v>
      </c>
      <c r="AI1180">
        <v>0.32069999999999999</v>
      </c>
      <c r="BH1180" t="s">
        <v>126</v>
      </c>
      <c r="BI1180" t="s">
        <v>126</v>
      </c>
      <c r="BJ1180" t="s">
        <v>126</v>
      </c>
      <c r="BK1180" t="s">
        <v>126</v>
      </c>
      <c r="BS1180" t="s">
        <v>126</v>
      </c>
      <c r="BT1180" t="s">
        <v>126</v>
      </c>
      <c r="BU1180" t="s">
        <v>126</v>
      </c>
      <c r="BV1180" t="s">
        <v>126</v>
      </c>
      <c r="CN1180" t="s">
        <v>147</v>
      </c>
      <c r="CP1180" t="s">
        <v>140</v>
      </c>
      <c r="CQ1180" t="s">
        <v>147</v>
      </c>
    </row>
    <row r="1181" spans="1:95" x14ac:dyDescent="0.2">
      <c r="A1181" t="s">
        <v>115</v>
      </c>
      <c r="B1181" t="s">
        <v>116</v>
      </c>
      <c r="C1181">
        <v>210784</v>
      </c>
      <c r="E1181" t="s">
        <v>117</v>
      </c>
      <c r="F1181">
        <v>368</v>
      </c>
      <c r="G1181" t="s">
        <v>141</v>
      </c>
      <c r="H1181" t="s">
        <v>142</v>
      </c>
      <c r="I1181" t="s">
        <v>279</v>
      </c>
      <c r="J1181" t="s">
        <v>280</v>
      </c>
      <c r="L1181" s="14">
        <v>46099</v>
      </c>
      <c r="M1181" s="18">
        <f t="shared" si="21"/>
        <v>46082</v>
      </c>
      <c r="N1181">
        <v>5901116</v>
      </c>
      <c r="O1181" t="s">
        <v>123</v>
      </c>
      <c r="P1181" t="s">
        <v>146</v>
      </c>
      <c r="Q1181">
        <v>1.4000999999999999</v>
      </c>
      <c r="R1181" t="s">
        <v>559</v>
      </c>
      <c r="S1181" t="s">
        <v>126</v>
      </c>
      <c r="T1181" t="s">
        <v>559</v>
      </c>
      <c r="U1181" t="s">
        <v>560</v>
      </c>
      <c r="W1181">
        <v>0.43149999999999999</v>
      </c>
      <c r="X1181">
        <v>0.96859999999999991</v>
      </c>
      <c r="Y1181">
        <v>1.4000999999999999</v>
      </c>
      <c r="Z1181">
        <v>0.53259999999999996</v>
      </c>
      <c r="AG1181">
        <v>0.43149999999999999</v>
      </c>
      <c r="AI1181">
        <v>0.436</v>
      </c>
      <c r="BH1181" t="s">
        <v>126</v>
      </c>
      <c r="BI1181" t="s">
        <v>126</v>
      </c>
      <c r="BJ1181" t="s">
        <v>126</v>
      </c>
      <c r="BK1181" t="s">
        <v>126</v>
      </c>
      <c r="BS1181" t="s">
        <v>126</v>
      </c>
      <c r="BT1181" t="s">
        <v>126</v>
      </c>
      <c r="BU1181" t="s">
        <v>126</v>
      </c>
      <c r="BV1181" t="s">
        <v>126</v>
      </c>
      <c r="CN1181" t="s">
        <v>147</v>
      </c>
      <c r="CP1181" t="s">
        <v>140</v>
      </c>
      <c r="CQ1181" t="s">
        <v>147</v>
      </c>
    </row>
    <row r="1182" spans="1:95" x14ac:dyDescent="0.2">
      <c r="A1182" t="s">
        <v>115</v>
      </c>
      <c r="B1182" t="s">
        <v>116</v>
      </c>
      <c r="C1182">
        <v>210784</v>
      </c>
      <c r="E1182" t="s">
        <v>117</v>
      </c>
      <c r="F1182">
        <v>368</v>
      </c>
      <c r="G1182" t="s">
        <v>141</v>
      </c>
      <c r="H1182" t="s">
        <v>142</v>
      </c>
      <c r="I1182" t="s">
        <v>279</v>
      </c>
      <c r="J1182" t="s">
        <v>280</v>
      </c>
      <c r="L1182" s="14">
        <v>46100</v>
      </c>
      <c r="M1182" s="18">
        <f t="shared" si="21"/>
        <v>46082</v>
      </c>
      <c r="N1182">
        <v>5901741</v>
      </c>
      <c r="O1182" t="s">
        <v>123</v>
      </c>
      <c r="P1182" t="s">
        <v>146</v>
      </c>
      <c r="Q1182">
        <v>0.84999999999999987</v>
      </c>
      <c r="R1182" t="s">
        <v>559</v>
      </c>
      <c r="S1182" t="s">
        <v>126</v>
      </c>
      <c r="T1182" t="s">
        <v>559</v>
      </c>
      <c r="U1182" t="s">
        <v>560</v>
      </c>
      <c r="W1182">
        <v>0.26200000000000001</v>
      </c>
      <c r="X1182">
        <v>0.58799999999999997</v>
      </c>
      <c r="Y1182">
        <v>0.84999999999999987</v>
      </c>
      <c r="Z1182">
        <v>0.32329999999999998</v>
      </c>
      <c r="AG1182">
        <v>0.26200000000000001</v>
      </c>
      <c r="AI1182">
        <v>0.26469999999999999</v>
      </c>
      <c r="BH1182" t="s">
        <v>126</v>
      </c>
      <c r="BI1182" t="s">
        <v>126</v>
      </c>
      <c r="BJ1182" t="s">
        <v>126</v>
      </c>
      <c r="BK1182" t="s">
        <v>126</v>
      </c>
      <c r="BS1182" t="s">
        <v>126</v>
      </c>
      <c r="BT1182" t="s">
        <v>126</v>
      </c>
      <c r="BU1182" t="s">
        <v>126</v>
      </c>
      <c r="BV1182" t="s">
        <v>126</v>
      </c>
      <c r="CN1182" t="s">
        <v>147</v>
      </c>
      <c r="CP1182" t="s">
        <v>140</v>
      </c>
      <c r="CQ1182" t="s">
        <v>147</v>
      </c>
    </row>
    <row r="1183" spans="1:95" x14ac:dyDescent="0.2">
      <c r="A1183" t="s">
        <v>115</v>
      </c>
      <c r="B1183" t="s">
        <v>116</v>
      </c>
      <c r="C1183">
        <v>210784</v>
      </c>
      <c r="E1183" t="s">
        <v>117</v>
      </c>
      <c r="F1183">
        <v>368</v>
      </c>
      <c r="G1183" t="s">
        <v>141</v>
      </c>
      <c r="H1183" t="s">
        <v>142</v>
      </c>
      <c r="I1183" t="s">
        <v>279</v>
      </c>
      <c r="J1183" t="s">
        <v>280</v>
      </c>
      <c r="L1183" s="14">
        <v>46101</v>
      </c>
      <c r="M1183" s="18">
        <f t="shared" si="21"/>
        <v>46082</v>
      </c>
      <c r="N1183">
        <v>5902930</v>
      </c>
      <c r="O1183" t="s">
        <v>123</v>
      </c>
      <c r="P1183" t="s">
        <v>146</v>
      </c>
      <c r="Q1183">
        <v>3.38</v>
      </c>
      <c r="R1183" t="s">
        <v>559</v>
      </c>
      <c r="S1183" t="s">
        <v>126</v>
      </c>
      <c r="T1183" t="s">
        <v>559</v>
      </c>
      <c r="U1183" t="s">
        <v>560</v>
      </c>
      <c r="W1183">
        <v>1.0417000000000001</v>
      </c>
      <c r="X1183">
        <v>2.3383000000000003</v>
      </c>
      <c r="Y1183">
        <v>3.38</v>
      </c>
      <c r="Z1183">
        <v>1.2858000000000001</v>
      </c>
      <c r="AG1183">
        <v>1.0417000000000001</v>
      </c>
      <c r="AI1183">
        <v>1.0525</v>
      </c>
      <c r="BH1183" t="s">
        <v>126</v>
      </c>
      <c r="BI1183" t="s">
        <v>126</v>
      </c>
      <c r="BJ1183" t="s">
        <v>126</v>
      </c>
      <c r="BK1183" t="s">
        <v>126</v>
      </c>
      <c r="BS1183" t="s">
        <v>126</v>
      </c>
      <c r="BT1183" t="s">
        <v>126</v>
      </c>
      <c r="BU1183" t="s">
        <v>126</v>
      </c>
      <c r="BV1183" t="s">
        <v>126</v>
      </c>
      <c r="CN1183" t="s">
        <v>147</v>
      </c>
      <c r="CP1183" t="s">
        <v>140</v>
      </c>
      <c r="CQ1183" t="s">
        <v>147</v>
      </c>
    </row>
    <row r="1184" spans="1:95" x14ac:dyDescent="0.2">
      <c r="A1184" t="s">
        <v>115</v>
      </c>
      <c r="B1184" t="s">
        <v>116</v>
      </c>
      <c r="C1184">
        <v>210784</v>
      </c>
      <c r="E1184" t="s">
        <v>117</v>
      </c>
      <c r="F1184">
        <v>368</v>
      </c>
      <c r="G1184" t="s">
        <v>141</v>
      </c>
      <c r="H1184" t="s">
        <v>142</v>
      </c>
      <c r="I1184" t="s">
        <v>279</v>
      </c>
      <c r="J1184" t="s">
        <v>280</v>
      </c>
      <c r="L1184" s="14">
        <v>46104</v>
      </c>
      <c r="M1184" s="18">
        <f t="shared" si="21"/>
        <v>46082</v>
      </c>
      <c r="N1184">
        <v>5903940</v>
      </c>
      <c r="O1184" t="s">
        <v>123</v>
      </c>
      <c r="P1184" t="s">
        <v>146</v>
      </c>
      <c r="Q1184">
        <v>4.1801000000000004</v>
      </c>
      <c r="R1184" t="s">
        <v>559</v>
      </c>
      <c r="S1184" t="s">
        <v>126</v>
      </c>
      <c r="T1184" t="s">
        <v>559</v>
      </c>
      <c r="U1184" t="s">
        <v>560</v>
      </c>
      <c r="W1184">
        <v>1.2883</v>
      </c>
      <c r="X1184">
        <v>2.8917999999999999</v>
      </c>
      <c r="Y1184">
        <v>4.1801000000000004</v>
      </c>
      <c r="Z1184">
        <v>1.5901000000000001</v>
      </c>
      <c r="AG1184">
        <v>1.2883</v>
      </c>
      <c r="AI1184">
        <v>1.3017000000000001</v>
      </c>
      <c r="BH1184" t="s">
        <v>126</v>
      </c>
      <c r="BI1184" t="s">
        <v>126</v>
      </c>
      <c r="BJ1184" t="s">
        <v>126</v>
      </c>
      <c r="BK1184" t="s">
        <v>126</v>
      </c>
      <c r="BS1184" t="s">
        <v>126</v>
      </c>
      <c r="BT1184" t="s">
        <v>126</v>
      </c>
      <c r="BU1184" t="s">
        <v>126</v>
      </c>
      <c r="BV1184" t="s">
        <v>126</v>
      </c>
      <c r="CN1184" t="s">
        <v>147</v>
      </c>
      <c r="CP1184" t="s">
        <v>140</v>
      </c>
      <c r="CQ1184" t="s">
        <v>147</v>
      </c>
    </row>
    <row r="1185" spans="1:95" x14ac:dyDescent="0.2">
      <c r="A1185" t="s">
        <v>115</v>
      </c>
      <c r="B1185" t="s">
        <v>116</v>
      </c>
      <c r="C1185">
        <v>210784</v>
      </c>
      <c r="E1185" t="s">
        <v>117</v>
      </c>
      <c r="F1185">
        <v>368</v>
      </c>
      <c r="G1185" t="s">
        <v>141</v>
      </c>
      <c r="H1185" t="s">
        <v>142</v>
      </c>
      <c r="I1185" t="s">
        <v>279</v>
      </c>
      <c r="J1185" t="s">
        <v>280</v>
      </c>
      <c r="L1185" s="14">
        <v>46105</v>
      </c>
      <c r="M1185" s="18">
        <f t="shared" si="21"/>
        <v>46082</v>
      </c>
      <c r="N1185">
        <v>5904536</v>
      </c>
      <c r="O1185" t="s">
        <v>123</v>
      </c>
      <c r="P1185" t="s">
        <v>146</v>
      </c>
      <c r="Q1185">
        <v>2.79</v>
      </c>
      <c r="R1185" t="s">
        <v>559</v>
      </c>
      <c r="S1185" t="s">
        <v>126</v>
      </c>
      <c r="T1185" t="s">
        <v>559</v>
      </c>
      <c r="U1185" t="s">
        <v>560</v>
      </c>
      <c r="W1185">
        <v>0.8599</v>
      </c>
      <c r="X1185">
        <v>1.9300999999999999</v>
      </c>
      <c r="Y1185">
        <v>2.79</v>
      </c>
      <c r="Z1185">
        <v>1.0612999999999999</v>
      </c>
      <c r="AG1185">
        <v>0.8599</v>
      </c>
      <c r="AI1185">
        <v>0.86880000000000002</v>
      </c>
      <c r="BH1185" t="s">
        <v>126</v>
      </c>
      <c r="BI1185" t="s">
        <v>126</v>
      </c>
      <c r="BJ1185" t="s">
        <v>126</v>
      </c>
      <c r="BK1185" t="s">
        <v>126</v>
      </c>
      <c r="BS1185" t="s">
        <v>126</v>
      </c>
      <c r="BT1185" t="s">
        <v>126</v>
      </c>
      <c r="BU1185" t="s">
        <v>126</v>
      </c>
      <c r="BV1185" t="s">
        <v>126</v>
      </c>
      <c r="CN1185" t="s">
        <v>147</v>
      </c>
      <c r="CP1185" t="s">
        <v>140</v>
      </c>
      <c r="CQ1185" t="s">
        <v>147</v>
      </c>
    </row>
    <row r="1186" spans="1:95" x14ac:dyDescent="0.2">
      <c r="A1186" t="s">
        <v>115</v>
      </c>
      <c r="B1186" t="s">
        <v>116</v>
      </c>
      <c r="C1186">
        <v>210784</v>
      </c>
      <c r="E1186" t="s">
        <v>117</v>
      </c>
      <c r="F1186">
        <v>368</v>
      </c>
      <c r="G1186" t="s">
        <v>141</v>
      </c>
      <c r="H1186" t="s">
        <v>142</v>
      </c>
      <c r="I1186" t="s">
        <v>279</v>
      </c>
      <c r="J1186" t="s">
        <v>280</v>
      </c>
      <c r="L1186" s="14">
        <v>46106</v>
      </c>
      <c r="M1186" s="18">
        <f t="shared" si="21"/>
        <v>46082</v>
      </c>
      <c r="N1186">
        <v>5904742</v>
      </c>
      <c r="O1186" t="s">
        <v>123</v>
      </c>
      <c r="P1186" t="s">
        <v>146</v>
      </c>
      <c r="Q1186">
        <v>1.53</v>
      </c>
      <c r="R1186" t="s">
        <v>125</v>
      </c>
      <c r="S1186" t="s">
        <v>126</v>
      </c>
      <c r="T1186" t="s">
        <v>125</v>
      </c>
      <c r="U1186" t="s">
        <v>126</v>
      </c>
      <c r="W1186">
        <v>1.53</v>
      </c>
      <c r="Y1186">
        <v>1.53</v>
      </c>
      <c r="BE1186">
        <v>1.53</v>
      </c>
      <c r="BH1186" t="s">
        <v>126</v>
      </c>
      <c r="BI1186" t="s">
        <v>126</v>
      </c>
      <c r="BJ1186" t="s">
        <v>126</v>
      </c>
      <c r="BK1186" t="s">
        <v>126</v>
      </c>
      <c r="BS1186" t="s">
        <v>126</v>
      </c>
      <c r="BT1186" t="s">
        <v>126</v>
      </c>
      <c r="BU1186" t="s">
        <v>126</v>
      </c>
      <c r="BV1186" t="s">
        <v>126</v>
      </c>
      <c r="CN1186" t="s">
        <v>147</v>
      </c>
      <c r="CP1186" t="s">
        <v>140</v>
      </c>
      <c r="CQ1186" t="s">
        <v>147</v>
      </c>
    </row>
    <row r="1187" spans="1:95" x14ac:dyDescent="0.2">
      <c r="A1187" t="s">
        <v>115</v>
      </c>
      <c r="B1187" t="s">
        <v>116</v>
      </c>
      <c r="C1187">
        <v>210784</v>
      </c>
      <c r="E1187" t="s">
        <v>117</v>
      </c>
      <c r="F1187">
        <v>368</v>
      </c>
      <c r="G1187" t="s">
        <v>141</v>
      </c>
      <c r="H1187" t="s">
        <v>142</v>
      </c>
      <c r="I1187" t="s">
        <v>301</v>
      </c>
      <c r="J1187" t="s">
        <v>302</v>
      </c>
      <c r="L1187" s="14">
        <v>46107</v>
      </c>
      <c r="M1187" s="18">
        <f t="shared" si="21"/>
        <v>46082</v>
      </c>
      <c r="N1187">
        <v>124621</v>
      </c>
      <c r="O1187" t="s">
        <v>123</v>
      </c>
      <c r="P1187" t="s">
        <v>146</v>
      </c>
      <c r="Q1187">
        <v>8</v>
      </c>
      <c r="R1187" t="s">
        <v>125</v>
      </c>
      <c r="S1187" t="s">
        <v>126</v>
      </c>
      <c r="T1187" t="s">
        <v>125</v>
      </c>
      <c r="U1187" t="s">
        <v>126</v>
      </c>
      <c r="W1187">
        <v>8</v>
      </c>
      <c r="Y1187">
        <v>8</v>
      </c>
      <c r="AC1187">
        <v>8</v>
      </c>
      <c r="BH1187" t="s">
        <v>126</v>
      </c>
      <c r="BI1187" t="s">
        <v>126</v>
      </c>
      <c r="BJ1187" t="s">
        <v>126</v>
      </c>
      <c r="BK1187" t="s">
        <v>126</v>
      </c>
      <c r="BS1187" t="s">
        <v>126</v>
      </c>
      <c r="BT1187" t="s">
        <v>126</v>
      </c>
      <c r="BU1187" t="s">
        <v>126</v>
      </c>
      <c r="BV1187" t="s">
        <v>126</v>
      </c>
      <c r="CN1187" t="s">
        <v>147</v>
      </c>
      <c r="CP1187" t="s">
        <v>310</v>
      </c>
      <c r="CQ1187" t="s">
        <v>147</v>
      </c>
    </row>
    <row r="1188" spans="1:95" x14ac:dyDescent="0.2">
      <c r="A1188" t="s">
        <v>115</v>
      </c>
      <c r="B1188" t="s">
        <v>116</v>
      </c>
      <c r="C1188">
        <v>210784</v>
      </c>
      <c r="E1188" t="s">
        <v>117</v>
      </c>
      <c r="F1188">
        <v>368</v>
      </c>
      <c r="G1188" t="s">
        <v>141</v>
      </c>
      <c r="H1188" t="s">
        <v>142</v>
      </c>
      <c r="I1188" t="s">
        <v>279</v>
      </c>
      <c r="J1188" t="s">
        <v>280</v>
      </c>
      <c r="L1188" s="14">
        <v>46108</v>
      </c>
      <c r="M1188" s="18">
        <f t="shared" si="21"/>
        <v>46082</v>
      </c>
      <c r="N1188">
        <v>5906730</v>
      </c>
      <c r="O1188" t="s">
        <v>123</v>
      </c>
      <c r="P1188" t="s">
        <v>146</v>
      </c>
      <c r="Q1188">
        <v>0.48</v>
      </c>
      <c r="R1188" t="s">
        <v>610</v>
      </c>
      <c r="S1188" t="s">
        <v>126</v>
      </c>
      <c r="T1188" t="s">
        <v>610</v>
      </c>
      <c r="U1188" t="s">
        <v>611</v>
      </c>
      <c r="W1188">
        <v>0.1479</v>
      </c>
      <c r="X1188">
        <v>0.33210000000000001</v>
      </c>
      <c r="Y1188">
        <v>0.48</v>
      </c>
      <c r="Z1188">
        <v>0.18260000000000001</v>
      </c>
      <c r="AG1188">
        <v>0.1479</v>
      </c>
      <c r="AI1188">
        <v>0.14949999999999999</v>
      </c>
      <c r="BH1188" t="s">
        <v>126</v>
      </c>
      <c r="BI1188" t="s">
        <v>126</v>
      </c>
      <c r="BJ1188" t="s">
        <v>126</v>
      </c>
      <c r="BK1188" t="s">
        <v>126</v>
      </c>
      <c r="BS1188" t="s">
        <v>126</v>
      </c>
      <c r="BT1188" t="s">
        <v>126</v>
      </c>
      <c r="BU1188" t="s">
        <v>126</v>
      </c>
      <c r="BV1188" t="s">
        <v>126</v>
      </c>
      <c r="CN1188" t="s">
        <v>147</v>
      </c>
      <c r="CP1188" t="s">
        <v>310</v>
      </c>
      <c r="CQ1188" t="s">
        <v>147</v>
      </c>
    </row>
    <row r="1189" spans="1:95" x14ac:dyDescent="0.2">
      <c r="A1189" t="s">
        <v>115</v>
      </c>
      <c r="B1189" t="s">
        <v>116</v>
      </c>
      <c r="C1189">
        <v>210784</v>
      </c>
      <c r="E1189" t="s">
        <v>117</v>
      </c>
      <c r="F1189">
        <v>368</v>
      </c>
      <c r="G1189" t="s">
        <v>141</v>
      </c>
      <c r="H1189" t="s">
        <v>142</v>
      </c>
      <c r="I1189" t="s">
        <v>279</v>
      </c>
      <c r="J1189" t="s">
        <v>280</v>
      </c>
      <c r="L1189" s="14">
        <v>46111</v>
      </c>
      <c r="M1189" s="18">
        <f t="shared" si="21"/>
        <v>46082</v>
      </c>
      <c r="N1189">
        <v>5907806</v>
      </c>
      <c r="O1189" t="s">
        <v>123</v>
      </c>
      <c r="P1189" t="s">
        <v>146</v>
      </c>
      <c r="Q1189">
        <v>1.1000000000000001</v>
      </c>
      <c r="R1189" t="s">
        <v>125</v>
      </c>
      <c r="S1189" t="s">
        <v>126</v>
      </c>
      <c r="T1189" t="s">
        <v>125</v>
      </c>
      <c r="U1189" t="s">
        <v>126</v>
      </c>
      <c r="W1189">
        <v>1.1000000000000001</v>
      </c>
      <c r="Y1189">
        <v>1.1000000000000001</v>
      </c>
      <c r="BE1189">
        <v>1.1000000000000001</v>
      </c>
      <c r="BH1189" t="s">
        <v>126</v>
      </c>
      <c r="BI1189" t="s">
        <v>126</v>
      </c>
      <c r="BJ1189" t="s">
        <v>126</v>
      </c>
      <c r="BK1189" t="s">
        <v>126</v>
      </c>
      <c r="BS1189" t="s">
        <v>126</v>
      </c>
      <c r="BT1189" t="s">
        <v>126</v>
      </c>
      <c r="BU1189" t="s">
        <v>126</v>
      </c>
      <c r="BV1189" t="s">
        <v>126</v>
      </c>
      <c r="CN1189" t="s">
        <v>147</v>
      </c>
      <c r="CP1189" t="s">
        <v>310</v>
      </c>
      <c r="CQ1189" t="s">
        <v>147</v>
      </c>
    </row>
    <row r="1190" spans="1:95" x14ac:dyDescent="0.2">
      <c r="A1190" t="s">
        <v>115</v>
      </c>
      <c r="B1190" t="s">
        <v>116</v>
      </c>
      <c r="C1190">
        <v>210784</v>
      </c>
      <c r="E1190" t="s">
        <v>117</v>
      </c>
      <c r="F1190">
        <v>368</v>
      </c>
      <c r="G1190" t="s">
        <v>141</v>
      </c>
      <c r="H1190" t="s">
        <v>142</v>
      </c>
      <c r="I1190" t="s">
        <v>279</v>
      </c>
      <c r="J1190" t="s">
        <v>280</v>
      </c>
      <c r="L1190" s="14">
        <v>46113</v>
      </c>
      <c r="M1190" s="18">
        <f t="shared" si="21"/>
        <v>46113</v>
      </c>
      <c r="N1190">
        <v>5909360</v>
      </c>
      <c r="O1190" t="s">
        <v>123</v>
      </c>
      <c r="P1190" t="s">
        <v>146</v>
      </c>
      <c r="Q1190">
        <v>4.93</v>
      </c>
      <c r="R1190" t="s">
        <v>125</v>
      </c>
      <c r="S1190" t="s">
        <v>126</v>
      </c>
      <c r="T1190" t="s">
        <v>125</v>
      </c>
      <c r="U1190" t="s">
        <v>126</v>
      </c>
      <c r="W1190">
        <v>4.93</v>
      </c>
      <c r="Y1190">
        <v>4.93</v>
      </c>
      <c r="BE1190">
        <v>4.93</v>
      </c>
      <c r="BH1190" t="s">
        <v>126</v>
      </c>
      <c r="BI1190" t="s">
        <v>126</v>
      </c>
      <c r="BJ1190" t="s">
        <v>126</v>
      </c>
      <c r="BK1190" t="s">
        <v>126</v>
      </c>
      <c r="BS1190" t="s">
        <v>126</v>
      </c>
      <c r="BT1190" t="s">
        <v>126</v>
      </c>
      <c r="BU1190" t="s">
        <v>126</v>
      </c>
      <c r="BV1190" t="s">
        <v>126</v>
      </c>
      <c r="CN1190" t="s">
        <v>147</v>
      </c>
      <c r="CP1190" t="s">
        <v>310</v>
      </c>
      <c r="CQ1190" t="s">
        <v>147</v>
      </c>
    </row>
    <row r="1191" spans="1:95" x14ac:dyDescent="0.2">
      <c r="A1191" t="s">
        <v>115</v>
      </c>
      <c r="B1191" t="s">
        <v>116</v>
      </c>
      <c r="C1191">
        <v>210784</v>
      </c>
      <c r="E1191" t="s">
        <v>117</v>
      </c>
      <c r="F1191">
        <v>368</v>
      </c>
      <c r="G1191" t="s">
        <v>141</v>
      </c>
      <c r="H1191" t="s">
        <v>142</v>
      </c>
      <c r="I1191" t="s">
        <v>279</v>
      </c>
      <c r="J1191" t="s">
        <v>280</v>
      </c>
      <c r="L1191" s="14">
        <v>46114</v>
      </c>
      <c r="M1191" s="18">
        <f t="shared" si="21"/>
        <v>46113</v>
      </c>
      <c r="N1191">
        <v>5910065</v>
      </c>
      <c r="O1191" t="s">
        <v>123</v>
      </c>
      <c r="P1191" t="s">
        <v>146</v>
      </c>
      <c r="Q1191">
        <v>3.4</v>
      </c>
      <c r="R1191" t="s">
        <v>125</v>
      </c>
      <c r="S1191" t="s">
        <v>126</v>
      </c>
      <c r="T1191" t="s">
        <v>125</v>
      </c>
      <c r="U1191" t="s">
        <v>126</v>
      </c>
      <c r="W1191">
        <v>3.4</v>
      </c>
      <c r="Y1191">
        <v>3.4</v>
      </c>
      <c r="BE1191">
        <v>3.4</v>
      </c>
      <c r="BH1191" t="s">
        <v>126</v>
      </c>
      <c r="BI1191" t="s">
        <v>126</v>
      </c>
      <c r="BJ1191" t="s">
        <v>126</v>
      </c>
      <c r="BK1191" t="s">
        <v>126</v>
      </c>
      <c r="BS1191" t="s">
        <v>126</v>
      </c>
      <c r="BT1191" t="s">
        <v>126</v>
      </c>
      <c r="BU1191" t="s">
        <v>126</v>
      </c>
      <c r="BV1191" t="s">
        <v>126</v>
      </c>
      <c r="CN1191" t="s">
        <v>147</v>
      </c>
      <c r="CP1191" t="s">
        <v>310</v>
      </c>
      <c r="CQ1191" t="s">
        <v>147</v>
      </c>
    </row>
    <row r="1192" spans="1:95" x14ac:dyDescent="0.2">
      <c r="A1192" t="s">
        <v>115</v>
      </c>
      <c r="B1192" t="s">
        <v>116</v>
      </c>
      <c r="C1192">
        <v>210784</v>
      </c>
      <c r="E1192" t="s">
        <v>117</v>
      </c>
      <c r="F1192">
        <v>368</v>
      </c>
      <c r="G1192" t="s">
        <v>141</v>
      </c>
      <c r="H1192" t="s">
        <v>142</v>
      </c>
      <c r="I1192" t="s">
        <v>279</v>
      </c>
      <c r="J1192" t="s">
        <v>280</v>
      </c>
      <c r="L1192" s="14">
        <v>46115</v>
      </c>
      <c r="M1192" s="18">
        <f t="shared" si="21"/>
        <v>46113</v>
      </c>
      <c r="N1192">
        <v>5910640</v>
      </c>
      <c r="O1192" t="s">
        <v>123</v>
      </c>
      <c r="P1192" t="s">
        <v>146</v>
      </c>
      <c r="Q1192">
        <v>1.5899000000000001</v>
      </c>
      <c r="R1192" t="s">
        <v>559</v>
      </c>
      <c r="S1192" t="s">
        <v>126</v>
      </c>
      <c r="T1192" t="s">
        <v>559</v>
      </c>
      <c r="U1192" t="s">
        <v>560</v>
      </c>
      <c r="W1192">
        <v>0.49</v>
      </c>
      <c r="X1192">
        <v>1.0998999999999999</v>
      </c>
      <c r="Y1192">
        <v>1.5899000000000001</v>
      </c>
      <c r="Z1192">
        <v>0.6048</v>
      </c>
      <c r="AG1192">
        <v>0.49</v>
      </c>
      <c r="AI1192">
        <v>0.49509999999999998</v>
      </c>
      <c r="BH1192" t="s">
        <v>126</v>
      </c>
      <c r="BI1192" t="s">
        <v>126</v>
      </c>
      <c r="BJ1192" t="s">
        <v>126</v>
      </c>
      <c r="BK1192" t="s">
        <v>126</v>
      </c>
      <c r="BS1192" t="s">
        <v>126</v>
      </c>
      <c r="BT1192" t="s">
        <v>126</v>
      </c>
      <c r="BU1192" t="s">
        <v>126</v>
      </c>
      <c r="BV1192" t="s">
        <v>126</v>
      </c>
      <c r="CN1192" t="s">
        <v>147</v>
      </c>
      <c r="CP1192" t="s">
        <v>310</v>
      </c>
      <c r="CQ1192" t="s">
        <v>147</v>
      </c>
    </row>
    <row r="1193" spans="1:95" x14ac:dyDescent="0.2">
      <c r="A1193" t="s">
        <v>115</v>
      </c>
      <c r="B1193" t="s">
        <v>116</v>
      </c>
      <c r="C1193">
        <v>210784</v>
      </c>
      <c r="E1193" t="s">
        <v>117</v>
      </c>
      <c r="F1193">
        <v>368</v>
      </c>
      <c r="G1193" t="s">
        <v>141</v>
      </c>
      <c r="H1193" t="s">
        <v>142</v>
      </c>
      <c r="I1193" t="s">
        <v>279</v>
      </c>
      <c r="J1193" t="s">
        <v>280</v>
      </c>
      <c r="L1193" s="14">
        <v>46119</v>
      </c>
      <c r="M1193" s="18">
        <f t="shared" si="21"/>
        <v>46113</v>
      </c>
      <c r="N1193">
        <v>5912334</v>
      </c>
      <c r="O1193" t="s">
        <v>123</v>
      </c>
      <c r="P1193" t="s">
        <v>146</v>
      </c>
      <c r="Q1193">
        <v>2.17</v>
      </c>
      <c r="R1193" t="s">
        <v>559</v>
      </c>
      <c r="S1193" t="s">
        <v>126</v>
      </c>
      <c r="T1193" t="s">
        <v>559</v>
      </c>
      <c r="U1193" t="s">
        <v>560</v>
      </c>
      <c r="W1193">
        <v>0.66879999999999995</v>
      </c>
      <c r="X1193">
        <v>1.5011999999999999</v>
      </c>
      <c r="Y1193">
        <v>2.17</v>
      </c>
      <c r="Z1193">
        <v>0.82550000000000001</v>
      </c>
      <c r="AG1193">
        <v>0.66879999999999995</v>
      </c>
      <c r="AI1193">
        <v>0.67569999999999997</v>
      </c>
      <c r="BH1193" t="s">
        <v>126</v>
      </c>
      <c r="BI1193" t="s">
        <v>126</v>
      </c>
      <c r="BJ1193" t="s">
        <v>126</v>
      </c>
      <c r="BK1193" t="s">
        <v>126</v>
      </c>
      <c r="BS1193" t="s">
        <v>126</v>
      </c>
      <c r="BT1193" t="s">
        <v>126</v>
      </c>
      <c r="BU1193" t="s">
        <v>126</v>
      </c>
      <c r="BV1193" t="s">
        <v>126</v>
      </c>
      <c r="CN1193" t="s">
        <v>147</v>
      </c>
      <c r="CP1193" t="s">
        <v>310</v>
      </c>
      <c r="CQ1193" t="s">
        <v>147</v>
      </c>
    </row>
    <row r="1194" spans="1:95" x14ac:dyDescent="0.2">
      <c r="A1194" t="s">
        <v>115</v>
      </c>
      <c r="B1194" t="s">
        <v>116</v>
      </c>
      <c r="C1194">
        <v>210784</v>
      </c>
      <c r="E1194" t="s">
        <v>117</v>
      </c>
      <c r="F1194">
        <v>368</v>
      </c>
      <c r="G1194" t="s">
        <v>141</v>
      </c>
      <c r="H1194" t="s">
        <v>142</v>
      </c>
      <c r="I1194" t="s">
        <v>279</v>
      </c>
      <c r="J1194" t="s">
        <v>280</v>
      </c>
      <c r="L1194" s="14">
        <v>46121</v>
      </c>
      <c r="M1194" s="18">
        <f t="shared" si="21"/>
        <v>46113</v>
      </c>
      <c r="N1194">
        <v>5914156</v>
      </c>
      <c r="O1194" t="s">
        <v>123</v>
      </c>
      <c r="P1194" t="s">
        <v>146</v>
      </c>
      <c r="Q1194">
        <v>1.6400000000000001</v>
      </c>
      <c r="R1194" t="s">
        <v>559</v>
      </c>
      <c r="S1194" t="s">
        <v>126</v>
      </c>
      <c r="T1194" t="s">
        <v>559</v>
      </c>
      <c r="U1194" t="s">
        <v>560</v>
      </c>
      <c r="W1194">
        <v>0.50539999999999996</v>
      </c>
      <c r="X1194">
        <v>1.1346000000000001</v>
      </c>
      <c r="Y1194">
        <v>1.6400000000000001</v>
      </c>
      <c r="Z1194">
        <v>0.62390000000000001</v>
      </c>
      <c r="AG1194">
        <v>0.50539999999999996</v>
      </c>
      <c r="AI1194">
        <v>0.51070000000000004</v>
      </c>
      <c r="BH1194" t="s">
        <v>126</v>
      </c>
      <c r="BI1194" t="s">
        <v>126</v>
      </c>
      <c r="BJ1194" t="s">
        <v>126</v>
      </c>
      <c r="BK1194" t="s">
        <v>126</v>
      </c>
      <c r="BS1194" t="s">
        <v>126</v>
      </c>
      <c r="BT1194" t="s">
        <v>126</v>
      </c>
      <c r="BU1194" t="s">
        <v>126</v>
      </c>
      <c r="BV1194" t="s">
        <v>126</v>
      </c>
      <c r="CN1194" t="s">
        <v>147</v>
      </c>
      <c r="CP1194" t="s">
        <v>310</v>
      </c>
      <c r="CQ1194" t="s">
        <v>147</v>
      </c>
    </row>
    <row r="1195" spans="1:95" x14ac:dyDescent="0.2">
      <c r="A1195" t="s">
        <v>115</v>
      </c>
      <c r="B1195" t="s">
        <v>116</v>
      </c>
      <c r="C1195">
        <v>210784</v>
      </c>
      <c r="E1195" t="s">
        <v>117</v>
      </c>
      <c r="F1195">
        <v>368</v>
      </c>
      <c r="G1195" t="s">
        <v>141</v>
      </c>
      <c r="H1195" t="s">
        <v>142</v>
      </c>
      <c r="I1195" t="s">
        <v>279</v>
      </c>
      <c r="J1195" t="s">
        <v>280</v>
      </c>
      <c r="L1195" s="14">
        <v>46126</v>
      </c>
      <c r="M1195" s="18">
        <f t="shared" si="21"/>
        <v>46113</v>
      </c>
      <c r="N1195">
        <v>5916699</v>
      </c>
      <c r="O1195" t="s">
        <v>123</v>
      </c>
      <c r="P1195" t="s">
        <v>146</v>
      </c>
      <c r="Q1195">
        <v>3.9299999999999997</v>
      </c>
      <c r="R1195" t="s">
        <v>559</v>
      </c>
      <c r="S1195" t="s">
        <v>126</v>
      </c>
      <c r="T1195" t="s">
        <v>559</v>
      </c>
      <c r="U1195" t="s">
        <v>560</v>
      </c>
      <c r="W1195">
        <v>1.2112000000000001</v>
      </c>
      <c r="X1195">
        <v>2.7187999999999999</v>
      </c>
      <c r="Y1195">
        <v>3.9299999999999997</v>
      </c>
      <c r="Z1195">
        <v>1.4950000000000001</v>
      </c>
      <c r="AG1195">
        <v>1.2112000000000001</v>
      </c>
      <c r="AI1195">
        <v>1.2238</v>
      </c>
      <c r="BH1195" t="s">
        <v>126</v>
      </c>
      <c r="BI1195" t="s">
        <v>126</v>
      </c>
      <c r="BJ1195" t="s">
        <v>126</v>
      </c>
      <c r="BK1195" t="s">
        <v>126</v>
      </c>
      <c r="BS1195" t="s">
        <v>126</v>
      </c>
      <c r="BT1195" t="s">
        <v>126</v>
      </c>
      <c r="BU1195" t="s">
        <v>126</v>
      </c>
      <c r="BV1195" t="s">
        <v>126</v>
      </c>
      <c r="CN1195" t="s">
        <v>147</v>
      </c>
      <c r="CP1195" t="s">
        <v>310</v>
      </c>
      <c r="CQ1195" t="s">
        <v>147</v>
      </c>
    </row>
    <row r="1196" spans="1:95" x14ac:dyDescent="0.2">
      <c r="A1196" t="s">
        <v>115</v>
      </c>
      <c r="B1196" t="s">
        <v>116</v>
      </c>
      <c r="C1196">
        <v>210784</v>
      </c>
      <c r="E1196" t="s">
        <v>117</v>
      </c>
      <c r="F1196">
        <v>368</v>
      </c>
      <c r="G1196" t="s">
        <v>141</v>
      </c>
      <c r="H1196" t="s">
        <v>142</v>
      </c>
      <c r="I1196" t="s">
        <v>279</v>
      </c>
      <c r="J1196" t="s">
        <v>280</v>
      </c>
      <c r="L1196" s="14">
        <v>46129</v>
      </c>
      <c r="M1196" s="18">
        <f t="shared" si="21"/>
        <v>46113</v>
      </c>
      <c r="N1196">
        <v>5921018</v>
      </c>
      <c r="O1196" t="s">
        <v>123</v>
      </c>
      <c r="P1196" t="s">
        <v>146</v>
      </c>
      <c r="Q1196">
        <v>7.57</v>
      </c>
      <c r="R1196" t="s">
        <v>559</v>
      </c>
      <c r="S1196" t="s">
        <v>126</v>
      </c>
      <c r="T1196" t="s">
        <v>559</v>
      </c>
      <c r="U1196" t="s">
        <v>560</v>
      </c>
      <c r="W1196">
        <v>2.3331</v>
      </c>
      <c r="X1196">
        <v>5.2369000000000003</v>
      </c>
      <c r="Y1196">
        <v>7.57</v>
      </c>
      <c r="Z1196">
        <v>2.8795999999999999</v>
      </c>
      <c r="AG1196">
        <v>2.3331</v>
      </c>
      <c r="AI1196">
        <v>2.3573</v>
      </c>
      <c r="BH1196" t="s">
        <v>126</v>
      </c>
      <c r="BI1196" t="s">
        <v>126</v>
      </c>
      <c r="BJ1196" t="s">
        <v>126</v>
      </c>
      <c r="BK1196" t="s">
        <v>126</v>
      </c>
      <c r="BS1196" t="s">
        <v>126</v>
      </c>
      <c r="BT1196" t="s">
        <v>126</v>
      </c>
      <c r="BU1196" t="s">
        <v>126</v>
      </c>
      <c r="BV1196" t="s">
        <v>126</v>
      </c>
      <c r="CN1196" t="s">
        <v>147</v>
      </c>
      <c r="CP1196" t="s">
        <v>310</v>
      </c>
      <c r="CQ1196" t="s">
        <v>147</v>
      </c>
    </row>
    <row r="1197" spans="1:95" x14ac:dyDescent="0.2">
      <c r="A1197" t="s">
        <v>115</v>
      </c>
      <c r="B1197" t="s">
        <v>116</v>
      </c>
      <c r="C1197">
        <v>210784</v>
      </c>
      <c r="E1197" t="s">
        <v>117</v>
      </c>
      <c r="F1197">
        <v>368</v>
      </c>
      <c r="G1197" t="s">
        <v>141</v>
      </c>
      <c r="H1197" t="s">
        <v>142</v>
      </c>
      <c r="I1197" t="s">
        <v>279</v>
      </c>
      <c r="J1197" t="s">
        <v>280</v>
      </c>
      <c r="L1197" s="14">
        <v>46133</v>
      </c>
      <c r="M1197" s="18">
        <f t="shared" si="21"/>
        <v>46113</v>
      </c>
      <c r="N1197">
        <v>5920915</v>
      </c>
      <c r="O1197" t="s">
        <v>123</v>
      </c>
      <c r="P1197" t="s">
        <v>146</v>
      </c>
      <c r="Q1197">
        <v>1.4000999999999999</v>
      </c>
      <c r="R1197" t="s">
        <v>559</v>
      </c>
      <c r="S1197" t="s">
        <v>126</v>
      </c>
      <c r="T1197" t="s">
        <v>559</v>
      </c>
      <c r="U1197" t="s">
        <v>560</v>
      </c>
      <c r="W1197">
        <v>0.43149999999999999</v>
      </c>
      <c r="X1197">
        <v>0.96859999999999991</v>
      </c>
      <c r="Y1197">
        <v>1.4000999999999999</v>
      </c>
      <c r="Z1197">
        <v>0.53259999999999996</v>
      </c>
      <c r="AG1197">
        <v>0.43149999999999999</v>
      </c>
      <c r="AI1197">
        <v>0.436</v>
      </c>
      <c r="BH1197" t="s">
        <v>126</v>
      </c>
      <c r="BI1197" t="s">
        <v>126</v>
      </c>
      <c r="BJ1197" t="s">
        <v>126</v>
      </c>
      <c r="BK1197" t="s">
        <v>126</v>
      </c>
      <c r="BS1197" t="s">
        <v>126</v>
      </c>
      <c r="BT1197" t="s">
        <v>126</v>
      </c>
      <c r="BU1197" t="s">
        <v>126</v>
      </c>
      <c r="BV1197" t="s">
        <v>126</v>
      </c>
      <c r="CN1197" t="s">
        <v>147</v>
      </c>
      <c r="CP1197" t="s">
        <v>310</v>
      </c>
      <c r="CQ1197" t="s">
        <v>147</v>
      </c>
    </row>
    <row r="1198" spans="1:95" x14ac:dyDescent="0.2">
      <c r="A1198" t="s">
        <v>115</v>
      </c>
      <c r="B1198" t="s">
        <v>116</v>
      </c>
      <c r="C1198">
        <v>210784</v>
      </c>
      <c r="E1198" t="s">
        <v>117</v>
      </c>
      <c r="F1198">
        <v>368</v>
      </c>
      <c r="G1198" t="s">
        <v>141</v>
      </c>
      <c r="H1198" t="s">
        <v>142</v>
      </c>
      <c r="I1198" t="s">
        <v>279</v>
      </c>
      <c r="J1198" t="s">
        <v>280</v>
      </c>
      <c r="L1198" s="14">
        <v>46136</v>
      </c>
      <c r="M1198" s="18">
        <f t="shared" si="21"/>
        <v>46113</v>
      </c>
      <c r="N1198">
        <v>5923079</v>
      </c>
      <c r="O1198" t="s">
        <v>123</v>
      </c>
      <c r="P1198" t="s">
        <v>146</v>
      </c>
      <c r="Q1198">
        <v>4.07</v>
      </c>
      <c r="R1198" t="s">
        <v>559</v>
      </c>
      <c r="S1198" t="s">
        <v>126</v>
      </c>
      <c r="T1198" t="s">
        <v>559</v>
      </c>
      <c r="U1198" t="s">
        <v>560</v>
      </c>
      <c r="W1198">
        <v>1.2544</v>
      </c>
      <c r="X1198">
        <v>2.8155999999999999</v>
      </c>
      <c r="Y1198">
        <v>4.07</v>
      </c>
      <c r="Z1198">
        <v>1.5482</v>
      </c>
      <c r="AG1198">
        <v>1.2544</v>
      </c>
      <c r="AI1198">
        <v>1.2674000000000001</v>
      </c>
      <c r="BH1198" t="s">
        <v>126</v>
      </c>
      <c r="BI1198" t="s">
        <v>126</v>
      </c>
      <c r="BJ1198" t="s">
        <v>126</v>
      </c>
      <c r="BK1198" t="s">
        <v>126</v>
      </c>
      <c r="BS1198" t="s">
        <v>126</v>
      </c>
      <c r="BT1198" t="s">
        <v>126</v>
      </c>
      <c r="BU1198" t="s">
        <v>126</v>
      </c>
      <c r="BV1198" t="s">
        <v>126</v>
      </c>
      <c r="CN1198" t="s">
        <v>147</v>
      </c>
      <c r="CP1198" t="s">
        <v>310</v>
      </c>
      <c r="CQ1198" t="s">
        <v>147</v>
      </c>
    </row>
    <row r="1199" spans="1:95" x14ac:dyDescent="0.2">
      <c r="A1199" t="s">
        <v>115</v>
      </c>
      <c r="B1199" t="s">
        <v>116</v>
      </c>
      <c r="C1199">
        <v>210784</v>
      </c>
      <c r="E1199" t="s">
        <v>117</v>
      </c>
      <c r="F1199">
        <v>368</v>
      </c>
      <c r="G1199" t="s">
        <v>141</v>
      </c>
      <c r="H1199" t="s">
        <v>142</v>
      </c>
      <c r="I1199" t="s">
        <v>279</v>
      </c>
      <c r="J1199" t="s">
        <v>280</v>
      </c>
      <c r="L1199" s="14">
        <v>46139</v>
      </c>
      <c r="M1199" s="18">
        <f t="shared" si="21"/>
        <v>46113</v>
      </c>
      <c r="N1199">
        <v>5924839</v>
      </c>
      <c r="O1199" t="s">
        <v>123</v>
      </c>
      <c r="P1199" t="s">
        <v>146</v>
      </c>
      <c r="Q1199">
        <v>1.76</v>
      </c>
      <c r="R1199" t="s">
        <v>559</v>
      </c>
      <c r="S1199" t="s">
        <v>126</v>
      </c>
      <c r="T1199" t="s">
        <v>559</v>
      </c>
      <c r="U1199" t="s">
        <v>560</v>
      </c>
      <c r="W1199">
        <v>0.54239999999999999</v>
      </c>
      <c r="X1199">
        <v>1.2176</v>
      </c>
      <c r="Y1199">
        <v>1.76</v>
      </c>
      <c r="Z1199">
        <v>0.66949999999999998</v>
      </c>
      <c r="AG1199">
        <v>0.54239999999999999</v>
      </c>
      <c r="AI1199">
        <v>0.54810000000000003</v>
      </c>
      <c r="BH1199" t="s">
        <v>126</v>
      </c>
      <c r="BI1199" t="s">
        <v>126</v>
      </c>
      <c r="BJ1199" t="s">
        <v>126</v>
      </c>
      <c r="BK1199" t="s">
        <v>126</v>
      </c>
      <c r="BS1199" t="s">
        <v>126</v>
      </c>
      <c r="BT1199" t="s">
        <v>126</v>
      </c>
      <c r="BU1199" t="s">
        <v>126</v>
      </c>
      <c r="BV1199" t="s">
        <v>126</v>
      </c>
      <c r="CN1199" t="s">
        <v>147</v>
      </c>
      <c r="CP1199" t="s">
        <v>818</v>
      </c>
      <c r="CQ1199" t="s">
        <v>147</v>
      </c>
    </row>
    <row r="1200" spans="1:95" x14ac:dyDescent="0.2">
      <c r="A1200" t="s">
        <v>115</v>
      </c>
      <c r="B1200" t="s">
        <v>116</v>
      </c>
      <c r="C1200">
        <v>210784</v>
      </c>
      <c r="E1200" t="s">
        <v>117</v>
      </c>
      <c r="F1200">
        <v>368</v>
      </c>
      <c r="G1200" t="s">
        <v>141</v>
      </c>
      <c r="H1200" t="s">
        <v>142</v>
      </c>
      <c r="I1200" t="s">
        <v>279</v>
      </c>
      <c r="J1200" t="s">
        <v>280</v>
      </c>
      <c r="L1200" s="14">
        <v>46141</v>
      </c>
      <c r="M1200" s="18">
        <f t="shared" si="21"/>
        <v>46113</v>
      </c>
      <c r="N1200">
        <v>5925691</v>
      </c>
      <c r="O1200" t="s">
        <v>123</v>
      </c>
      <c r="P1200" t="s">
        <v>146</v>
      </c>
      <c r="Q1200">
        <v>5.0899000000000001</v>
      </c>
      <c r="R1200" t="s">
        <v>559</v>
      </c>
      <c r="S1200" t="s">
        <v>126</v>
      </c>
      <c r="T1200" t="s">
        <v>559</v>
      </c>
      <c r="U1200" t="s">
        <v>560</v>
      </c>
      <c r="W1200">
        <v>1.5687</v>
      </c>
      <c r="X1200">
        <v>3.5211999999999999</v>
      </c>
      <c r="Y1200">
        <v>5.0899000000000001</v>
      </c>
      <c r="Z1200">
        <v>1.9361999999999999</v>
      </c>
      <c r="AG1200">
        <v>1.5687</v>
      </c>
      <c r="AI1200">
        <v>1.585</v>
      </c>
      <c r="BH1200" t="s">
        <v>126</v>
      </c>
      <c r="BI1200" t="s">
        <v>126</v>
      </c>
      <c r="BJ1200" t="s">
        <v>126</v>
      </c>
      <c r="BK1200" t="s">
        <v>126</v>
      </c>
      <c r="BS1200" t="s">
        <v>126</v>
      </c>
      <c r="BT1200" t="s">
        <v>126</v>
      </c>
      <c r="BU1200" t="s">
        <v>126</v>
      </c>
      <c r="BV1200" t="s">
        <v>126</v>
      </c>
      <c r="CN1200" t="s">
        <v>147</v>
      </c>
      <c r="CP1200" t="s">
        <v>818</v>
      </c>
      <c r="CQ1200" t="s">
        <v>147</v>
      </c>
    </row>
    <row r="1201" spans="1:95" x14ac:dyDescent="0.2">
      <c r="A1201" t="s">
        <v>115</v>
      </c>
      <c r="B1201" t="s">
        <v>116</v>
      </c>
      <c r="C1201">
        <v>210784</v>
      </c>
      <c r="E1201" t="s">
        <v>117</v>
      </c>
      <c r="F1201">
        <v>368</v>
      </c>
      <c r="G1201" t="s">
        <v>141</v>
      </c>
      <c r="H1201" t="s">
        <v>142</v>
      </c>
      <c r="I1201" t="s">
        <v>279</v>
      </c>
      <c r="J1201" t="s">
        <v>280</v>
      </c>
      <c r="L1201" s="14">
        <v>46142</v>
      </c>
      <c r="M1201" s="18">
        <f t="shared" si="21"/>
        <v>46113</v>
      </c>
      <c r="N1201">
        <v>5926801</v>
      </c>
      <c r="O1201" t="s">
        <v>123</v>
      </c>
      <c r="P1201" t="s">
        <v>146</v>
      </c>
      <c r="Q1201">
        <v>5</v>
      </c>
      <c r="R1201" t="s">
        <v>559</v>
      </c>
      <c r="S1201" t="s">
        <v>126</v>
      </c>
      <c r="T1201" t="s">
        <v>559</v>
      </c>
      <c r="U1201" t="s">
        <v>560</v>
      </c>
      <c r="W1201">
        <v>1.5409999999999999</v>
      </c>
      <c r="X1201">
        <v>3.4589999999999996</v>
      </c>
      <c r="Y1201">
        <v>5</v>
      </c>
      <c r="Z1201">
        <v>1.9019999999999999</v>
      </c>
      <c r="AG1201">
        <v>1.5409999999999999</v>
      </c>
      <c r="AI1201">
        <v>1.5569999999999999</v>
      </c>
      <c r="BH1201" t="s">
        <v>126</v>
      </c>
      <c r="BI1201" t="s">
        <v>126</v>
      </c>
      <c r="BJ1201" t="s">
        <v>126</v>
      </c>
      <c r="BK1201" t="s">
        <v>126</v>
      </c>
      <c r="BS1201" t="s">
        <v>126</v>
      </c>
      <c r="BT1201" t="s">
        <v>126</v>
      </c>
      <c r="BU1201" t="s">
        <v>126</v>
      </c>
      <c r="BV1201" t="s">
        <v>126</v>
      </c>
      <c r="CN1201" t="s">
        <v>147</v>
      </c>
      <c r="CP1201" t="s">
        <v>818</v>
      </c>
      <c r="CQ1201" t="s">
        <v>147</v>
      </c>
    </row>
    <row r="1202" spans="1:95" x14ac:dyDescent="0.2">
      <c r="A1202" t="s">
        <v>115</v>
      </c>
      <c r="B1202" t="s">
        <v>116</v>
      </c>
      <c r="C1202">
        <v>210784</v>
      </c>
      <c r="E1202" t="s">
        <v>117</v>
      </c>
      <c r="F1202">
        <v>368</v>
      </c>
      <c r="G1202" t="s">
        <v>141</v>
      </c>
      <c r="H1202" t="s">
        <v>142</v>
      </c>
      <c r="I1202" t="s">
        <v>279</v>
      </c>
      <c r="J1202" t="s">
        <v>280</v>
      </c>
      <c r="L1202" s="14">
        <v>46146</v>
      </c>
      <c r="M1202" s="18">
        <f t="shared" si="21"/>
        <v>46143</v>
      </c>
      <c r="N1202">
        <v>5928494</v>
      </c>
      <c r="O1202" t="s">
        <v>123</v>
      </c>
      <c r="P1202" t="s">
        <v>146</v>
      </c>
      <c r="Q1202">
        <v>5.0199999999999996</v>
      </c>
      <c r="R1202" t="s">
        <v>559</v>
      </c>
      <c r="S1202" t="s">
        <v>126</v>
      </c>
      <c r="T1202" t="s">
        <v>559</v>
      </c>
      <c r="U1202" t="s">
        <v>560</v>
      </c>
      <c r="W1202">
        <v>1.5471999999999999</v>
      </c>
      <c r="X1202">
        <v>3.4727999999999999</v>
      </c>
      <c r="Y1202">
        <v>5.0199999999999996</v>
      </c>
      <c r="Z1202">
        <v>1.9096</v>
      </c>
      <c r="AG1202">
        <v>1.5471999999999999</v>
      </c>
      <c r="AI1202">
        <v>1.5631999999999999</v>
      </c>
      <c r="BH1202" t="s">
        <v>126</v>
      </c>
      <c r="BI1202" t="s">
        <v>126</v>
      </c>
      <c r="BJ1202" t="s">
        <v>126</v>
      </c>
      <c r="BK1202" t="s">
        <v>126</v>
      </c>
      <c r="BS1202" t="s">
        <v>126</v>
      </c>
      <c r="BT1202" t="s">
        <v>126</v>
      </c>
      <c r="BU1202" t="s">
        <v>126</v>
      </c>
      <c r="BV1202" t="s">
        <v>126</v>
      </c>
      <c r="CN1202" t="s">
        <v>147</v>
      </c>
      <c r="CP1202" t="s">
        <v>818</v>
      </c>
      <c r="CQ1202" t="s">
        <v>147</v>
      </c>
    </row>
    <row r="1203" spans="1:95" x14ac:dyDescent="0.2">
      <c r="A1203" t="s">
        <v>115</v>
      </c>
      <c r="B1203" t="s">
        <v>116</v>
      </c>
      <c r="C1203">
        <v>210784</v>
      </c>
      <c r="E1203" t="s">
        <v>117</v>
      </c>
      <c r="F1203">
        <v>368</v>
      </c>
      <c r="G1203" t="s">
        <v>141</v>
      </c>
      <c r="H1203" t="s">
        <v>142</v>
      </c>
      <c r="I1203" t="s">
        <v>279</v>
      </c>
      <c r="J1203" t="s">
        <v>280</v>
      </c>
      <c r="L1203" s="14">
        <v>46147</v>
      </c>
      <c r="M1203" s="18">
        <f t="shared" si="21"/>
        <v>46143</v>
      </c>
      <c r="N1203">
        <v>5929437</v>
      </c>
      <c r="O1203" t="s">
        <v>123</v>
      </c>
      <c r="P1203" t="s">
        <v>146</v>
      </c>
      <c r="Q1203">
        <v>9.73</v>
      </c>
      <c r="R1203" t="s">
        <v>559</v>
      </c>
      <c r="S1203" t="s">
        <v>126</v>
      </c>
      <c r="T1203" t="s">
        <v>559</v>
      </c>
      <c r="U1203" t="s">
        <v>560</v>
      </c>
      <c r="W1203">
        <v>2.9988000000000001</v>
      </c>
      <c r="X1203">
        <v>6.7311999999999994</v>
      </c>
      <c r="Y1203">
        <v>9.73</v>
      </c>
      <c r="Z1203">
        <v>3.7012999999999998</v>
      </c>
      <c r="AG1203">
        <v>2.9988000000000001</v>
      </c>
      <c r="AI1203">
        <v>3.0299</v>
      </c>
      <c r="BH1203" t="s">
        <v>126</v>
      </c>
      <c r="BI1203" t="s">
        <v>126</v>
      </c>
      <c r="BJ1203" t="s">
        <v>126</v>
      </c>
      <c r="BK1203" t="s">
        <v>126</v>
      </c>
      <c r="BS1203" t="s">
        <v>126</v>
      </c>
      <c r="BT1203" t="s">
        <v>126</v>
      </c>
      <c r="BU1203" t="s">
        <v>126</v>
      </c>
      <c r="BV1203" t="s">
        <v>126</v>
      </c>
      <c r="CN1203" t="s">
        <v>147</v>
      </c>
      <c r="CP1203" t="s">
        <v>818</v>
      </c>
      <c r="CQ1203" t="s">
        <v>147</v>
      </c>
    </row>
    <row r="1204" spans="1:95" x14ac:dyDescent="0.2">
      <c r="A1204" t="s">
        <v>115</v>
      </c>
      <c r="B1204" t="s">
        <v>116</v>
      </c>
      <c r="C1204">
        <v>210784</v>
      </c>
      <c r="E1204" t="s">
        <v>117</v>
      </c>
      <c r="F1204">
        <v>368</v>
      </c>
      <c r="G1204" t="s">
        <v>141</v>
      </c>
      <c r="H1204" t="s">
        <v>142</v>
      </c>
      <c r="I1204" t="s">
        <v>279</v>
      </c>
      <c r="J1204" t="s">
        <v>280</v>
      </c>
      <c r="L1204" s="14">
        <v>46148</v>
      </c>
      <c r="M1204" s="18">
        <f t="shared" si="21"/>
        <v>46143</v>
      </c>
      <c r="N1204">
        <v>5930198</v>
      </c>
      <c r="O1204" t="s">
        <v>123</v>
      </c>
      <c r="P1204" t="s">
        <v>146</v>
      </c>
      <c r="Q1204">
        <v>1.67</v>
      </c>
      <c r="R1204" t="s">
        <v>559</v>
      </c>
      <c r="S1204" t="s">
        <v>126</v>
      </c>
      <c r="T1204" t="s">
        <v>559</v>
      </c>
      <c r="U1204" t="s">
        <v>560</v>
      </c>
      <c r="W1204">
        <v>0.51470000000000005</v>
      </c>
      <c r="X1204">
        <v>1.1553</v>
      </c>
      <c r="Y1204">
        <v>1.67</v>
      </c>
      <c r="Z1204">
        <v>0.63529999999999998</v>
      </c>
      <c r="AG1204">
        <v>0.51470000000000005</v>
      </c>
      <c r="AI1204">
        <v>0.52</v>
      </c>
      <c r="BH1204" t="s">
        <v>126</v>
      </c>
      <c r="BI1204" t="s">
        <v>126</v>
      </c>
      <c r="BJ1204" t="s">
        <v>126</v>
      </c>
      <c r="BK1204" t="s">
        <v>126</v>
      </c>
      <c r="BS1204" t="s">
        <v>126</v>
      </c>
      <c r="BT1204" t="s">
        <v>126</v>
      </c>
      <c r="BU1204" t="s">
        <v>126</v>
      </c>
      <c r="BV1204" t="s">
        <v>126</v>
      </c>
      <c r="CN1204" t="s">
        <v>147</v>
      </c>
      <c r="CP1204" t="s">
        <v>818</v>
      </c>
      <c r="CQ1204" t="s">
        <v>147</v>
      </c>
    </row>
    <row r="1205" spans="1:95" x14ac:dyDescent="0.2">
      <c r="A1205" t="s">
        <v>115</v>
      </c>
      <c r="B1205" t="s">
        <v>116</v>
      </c>
      <c r="C1205">
        <v>210784</v>
      </c>
      <c r="E1205" t="s">
        <v>117</v>
      </c>
      <c r="F1205">
        <v>368</v>
      </c>
      <c r="G1205" t="s">
        <v>141</v>
      </c>
      <c r="H1205" t="s">
        <v>142</v>
      </c>
      <c r="I1205" t="s">
        <v>279</v>
      </c>
      <c r="J1205" t="s">
        <v>280</v>
      </c>
      <c r="L1205" s="14">
        <v>46153</v>
      </c>
      <c r="M1205" s="18">
        <f t="shared" si="21"/>
        <v>46143</v>
      </c>
      <c r="N1205">
        <v>5932534</v>
      </c>
      <c r="O1205" t="s">
        <v>123</v>
      </c>
      <c r="P1205" t="s">
        <v>146</v>
      </c>
      <c r="Q1205">
        <v>4.5599999999999996</v>
      </c>
      <c r="R1205" t="s">
        <v>559</v>
      </c>
      <c r="S1205" t="s">
        <v>126</v>
      </c>
      <c r="T1205" t="s">
        <v>559</v>
      </c>
      <c r="U1205" t="s">
        <v>560</v>
      </c>
      <c r="W1205">
        <v>1.4054</v>
      </c>
      <c r="X1205">
        <v>3.1545999999999998</v>
      </c>
      <c r="Y1205">
        <v>4.5599999999999996</v>
      </c>
      <c r="Z1205">
        <v>1.7345999999999999</v>
      </c>
      <c r="AG1205">
        <v>1.4054</v>
      </c>
      <c r="AI1205">
        <v>1.42</v>
      </c>
      <c r="BH1205" t="s">
        <v>126</v>
      </c>
      <c r="BI1205" t="s">
        <v>126</v>
      </c>
      <c r="BJ1205" t="s">
        <v>126</v>
      </c>
      <c r="BK1205" t="s">
        <v>126</v>
      </c>
      <c r="BS1205" t="s">
        <v>126</v>
      </c>
      <c r="BT1205" t="s">
        <v>126</v>
      </c>
      <c r="BU1205" t="s">
        <v>126</v>
      </c>
      <c r="BV1205" t="s">
        <v>126</v>
      </c>
      <c r="CN1205" t="s">
        <v>147</v>
      </c>
      <c r="CP1205" t="s">
        <v>818</v>
      </c>
      <c r="CQ1205" t="s">
        <v>147</v>
      </c>
    </row>
    <row r="1206" spans="1:95" x14ac:dyDescent="0.2">
      <c r="A1206" t="s">
        <v>115</v>
      </c>
      <c r="B1206" t="s">
        <v>116</v>
      </c>
      <c r="C1206">
        <v>210784</v>
      </c>
      <c r="E1206" t="s">
        <v>117</v>
      </c>
      <c r="F1206">
        <v>368</v>
      </c>
      <c r="G1206" t="s">
        <v>141</v>
      </c>
      <c r="H1206" t="s">
        <v>142</v>
      </c>
      <c r="I1206" t="s">
        <v>279</v>
      </c>
      <c r="J1206" t="s">
        <v>280</v>
      </c>
      <c r="L1206" s="14">
        <v>46154</v>
      </c>
      <c r="M1206" s="18">
        <f t="shared" si="21"/>
        <v>46143</v>
      </c>
      <c r="N1206">
        <v>5933636</v>
      </c>
      <c r="O1206" t="s">
        <v>123</v>
      </c>
      <c r="P1206" t="s">
        <v>146</v>
      </c>
      <c r="Q1206">
        <v>4.3599999999999994</v>
      </c>
      <c r="R1206" t="s">
        <v>559</v>
      </c>
      <c r="S1206" t="s">
        <v>126</v>
      </c>
      <c r="T1206" t="s">
        <v>559</v>
      </c>
      <c r="U1206" t="s">
        <v>560</v>
      </c>
      <c r="W1206">
        <v>1.3438000000000001</v>
      </c>
      <c r="X1206">
        <v>3.0162</v>
      </c>
      <c r="Y1206">
        <v>4.3599999999999994</v>
      </c>
      <c r="Z1206">
        <v>1.6585000000000001</v>
      </c>
      <c r="AG1206">
        <v>1.3438000000000001</v>
      </c>
      <c r="AI1206">
        <v>1.3576999999999999</v>
      </c>
      <c r="BH1206" t="s">
        <v>126</v>
      </c>
      <c r="BI1206" t="s">
        <v>126</v>
      </c>
      <c r="BJ1206" t="s">
        <v>126</v>
      </c>
      <c r="BK1206" t="s">
        <v>126</v>
      </c>
      <c r="BS1206" t="s">
        <v>126</v>
      </c>
      <c r="BT1206" t="s">
        <v>126</v>
      </c>
      <c r="BU1206" t="s">
        <v>126</v>
      </c>
      <c r="BV1206" t="s">
        <v>126</v>
      </c>
      <c r="CN1206" t="s">
        <v>147</v>
      </c>
      <c r="CP1206" t="s">
        <v>818</v>
      </c>
      <c r="CQ1206" t="s">
        <v>147</v>
      </c>
    </row>
    <row r="1207" spans="1:95" x14ac:dyDescent="0.2">
      <c r="A1207" t="s">
        <v>115</v>
      </c>
      <c r="B1207" t="s">
        <v>116</v>
      </c>
      <c r="C1207">
        <v>210784</v>
      </c>
      <c r="E1207" t="s">
        <v>117</v>
      </c>
      <c r="F1207">
        <v>368</v>
      </c>
      <c r="G1207" t="s">
        <v>141</v>
      </c>
      <c r="H1207" t="s">
        <v>142</v>
      </c>
      <c r="I1207" t="s">
        <v>279</v>
      </c>
      <c r="J1207" t="s">
        <v>280</v>
      </c>
      <c r="L1207" s="14">
        <v>46156</v>
      </c>
      <c r="M1207" s="18">
        <f t="shared" si="21"/>
        <v>46143</v>
      </c>
      <c r="N1207">
        <v>5935732</v>
      </c>
      <c r="O1207" t="s">
        <v>123</v>
      </c>
      <c r="P1207" t="s">
        <v>146</v>
      </c>
      <c r="Q1207">
        <v>2.0299</v>
      </c>
      <c r="R1207" t="s">
        <v>559</v>
      </c>
      <c r="S1207" t="s">
        <v>126</v>
      </c>
      <c r="T1207" t="s">
        <v>559</v>
      </c>
      <c r="U1207" t="s">
        <v>560</v>
      </c>
      <c r="W1207">
        <v>0.62560000000000004</v>
      </c>
      <c r="X1207">
        <v>1.4043000000000001</v>
      </c>
      <c r="Y1207">
        <v>2.0299</v>
      </c>
      <c r="Z1207">
        <v>0.7722</v>
      </c>
      <c r="AG1207">
        <v>0.62560000000000004</v>
      </c>
      <c r="AI1207">
        <v>0.6321</v>
      </c>
      <c r="BH1207" t="s">
        <v>126</v>
      </c>
      <c r="BI1207" t="s">
        <v>126</v>
      </c>
      <c r="BJ1207" t="s">
        <v>126</v>
      </c>
      <c r="BK1207" t="s">
        <v>126</v>
      </c>
      <c r="BS1207" t="s">
        <v>126</v>
      </c>
      <c r="BT1207" t="s">
        <v>126</v>
      </c>
      <c r="BU1207" t="s">
        <v>126</v>
      </c>
      <c r="BV1207" t="s">
        <v>126</v>
      </c>
      <c r="CN1207" t="s">
        <v>147</v>
      </c>
      <c r="CP1207" t="s">
        <v>818</v>
      </c>
      <c r="CQ1207" t="s">
        <v>147</v>
      </c>
    </row>
    <row r="1208" spans="1:95" x14ac:dyDescent="0.2">
      <c r="A1208" t="s">
        <v>115</v>
      </c>
      <c r="B1208" t="s">
        <v>116</v>
      </c>
      <c r="C1208">
        <v>210784</v>
      </c>
      <c r="E1208" t="s">
        <v>117</v>
      </c>
      <c r="F1208">
        <v>368</v>
      </c>
      <c r="G1208" t="s">
        <v>141</v>
      </c>
      <c r="H1208" t="s">
        <v>142</v>
      </c>
      <c r="I1208" t="s">
        <v>279</v>
      </c>
      <c r="J1208" t="s">
        <v>280</v>
      </c>
      <c r="L1208" s="14">
        <v>46161</v>
      </c>
      <c r="M1208" s="18">
        <f t="shared" si="21"/>
        <v>46143</v>
      </c>
      <c r="N1208">
        <v>5937884</v>
      </c>
      <c r="O1208" t="s">
        <v>123</v>
      </c>
      <c r="P1208" t="s">
        <v>146</v>
      </c>
      <c r="Q1208">
        <v>3.51</v>
      </c>
      <c r="R1208" t="s">
        <v>559</v>
      </c>
      <c r="S1208" t="s">
        <v>126</v>
      </c>
      <c r="T1208" t="s">
        <v>559</v>
      </c>
      <c r="U1208" t="s">
        <v>560</v>
      </c>
      <c r="W1208">
        <v>1.0818000000000001</v>
      </c>
      <c r="X1208">
        <v>2.4281999999999999</v>
      </c>
      <c r="Y1208">
        <v>3.51</v>
      </c>
      <c r="Z1208">
        <v>1.3351999999999999</v>
      </c>
      <c r="AG1208">
        <v>1.0818000000000001</v>
      </c>
      <c r="AI1208">
        <v>1.093</v>
      </c>
      <c r="BH1208" t="s">
        <v>126</v>
      </c>
      <c r="BI1208" t="s">
        <v>126</v>
      </c>
      <c r="BJ1208" t="s">
        <v>126</v>
      </c>
      <c r="BK1208" t="s">
        <v>126</v>
      </c>
      <c r="BS1208" t="s">
        <v>126</v>
      </c>
      <c r="BT1208" t="s">
        <v>126</v>
      </c>
      <c r="BU1208" t="s">
        <v>126</v>
      </c>
      <c r="BV1208" t="s">
        <v>126</v>
      </c>
      <c r="CN1208" t="s">
        <v>147</v>
      </c>
      <c r="CP1208" t="s">
        <v>818</v>
      </c>
      <c r="CQ1208" t="s">
        <v>147</v>
      </c>
    </row>
    <row r="1209" spans="1:95" x14ac:dyDescent="0.2">
      <c r="A1209" t="s">
        <v>115</v>
      </c>
      <c r="B1209" t="s">
        <v>116</v>
      </c>
      <c r="C1209">
        <v>210784</v>
      </c>
      <c r="E1209" t="s">
        <v>117</v>
      </c>
      <c r="F1209">
        <v>368</v>
      </c>
      <c r="G1209" t="s">
        <v>141</v>
      </c>
      <c r="H1209" t="s">
        <v>142</v>
      </c>
      <c r="I1209" t="s">
        <v>279</v>
      </c>
      <c r="J1209" t="s">
        <v>280</v>
      </c>
      <c r="L1209" s="14">
        <v>46164</v>
      </c>
      <c r="M1209" s="18">
        <f t="shared" si="21"/>
        <v>46143</v>
      </c>
      <c r="N1209">
        <v>5940159</v>
      </c>
      <c r="O1209" t="s">
        <v>123</v>
      </c>
      <c r="P1209" t="s">
        <v>146</v>
      </c>
      <c r="Q1209">
        <v>7.06</v>
      </c>
      <c r="R1209" t="s">
        <v>559</v>
      </c>
      <c r="S1209" t="s">
        <v>126</v>
      </c>
      <c r="T1209" t="s">
        <v>559</v>
      </c>
      <c r="U1209" t="s">
        <v>560</v>
      </c>
      <c r="W1209">
        <v>2.1758999999999999</v>
      </c>
      <c r="X1209">
        <v>4.8841000000000001</v>
      </c>
      <c r="Y1209">
        <v>7.06</v>
      </c>
      <c r="Z1209">
        <v>2.6856</v>
      </c>
      <c r="AG1209">
        <v>2.1758999999999999</v>
      </c>
      <c r="AI1209">
        <v>2.1985000000000001</v>
      </c>
      <c r="BH1209" t="s">
        <v>126</v>
      </c>
      <c r="BI1209" t="s">
        <v>126</v>
      </c>
      <c r="BJ1209" t="s">
        <v>126</v>
      </c>
      <c r="BK1209" t="s">
        <v>126</v>
      </c>
      <c r="BS1209" t="s">
        <v>126</v>
      </c>
      <c r="BT1209" t="s">
        <v>126</v>
      </c>
      <c r="BU1209" t="s">
        <v>126</v>
      </c>
      <c r="BV1209" t="s">
        <v>126</v>
      </c>
      <c r="CN1209" t="s">
        <v>147</v>
      </c>
      <c r="CP1209" t="s">
        <v>818</v>
      </c>
      <c r="CQ1209" t="s">
        <v>147</v>
      </c>
    </row>
    <row r="1210" spans="1:95" x14ac:dyDescent="0.2">
      <c r="A1210" t="s">
        <v>115</v>
      </c>
      <c r="B1210" t="s">
        <v>116</v>
      </c>
      <c r="C1210">
        <v>210784</v>
      </c>
      <c r="E1210" t="s">
        <v>117</v>
      </c>
      <c r="F1210">
        <v>368</v>
      </c>
      <c r="G1210" t="s">
        <v>141</v>
      </c>
      <c r="H1210" t="s">
        <v>142</v>
      </c>
      <c r="I1210" t="s">
        <v>279</v>
      </c>
      <c r="J1210" t="s">
        <v>280</v>
      </c>
      <c r="L1210" s="14">
        <v>46169</v>
      </c>
      <c r="M1210" s="18">
        <f t="shared" si="21"/>
        <v>46143</v>
      </c>
      <c r="N1210">
        <v>5942596</v>
      </c>
      <c r="O1210" t="s">
        <v>123</v>
      </c>
      <c r="P1210" t="s">
        <v>146</v>
      </c>
      <c r="Q1210">
        <v>5.2</v>
      </c>
      <c r="R1210" t="s">
        <v>559</v>
      </c>
      <c r="S1210" t="s">
        <v>126</v>
      </c>
      <c r="T1210" t="s">
        <v>559</v>
      </c>
      <c r="U1210" t="s">
        <v>560</v>
      </c>
      <c r="W1210">
        <v>1.6026</v>
      </c>
      <c r="X1210">
        <v>3.5973999999999999</v>
      </c>
      <c r="Y1210">
        <v>5.2</v>
      </c>
      <c r="Z1210">
        <v>1.9781</v>
      </c>
      <c r="AG1210">
        <v>1.6026</v>
      </c>
      <c r="AI1210">
        <v>1.6193</v>
      </c>
      <c r="BH1210" t="s">
        <v>126</v>
      </c>
      <c r="BI1210" t="s">
        <v>126</v>
      </c>
      <c r="BJ1210" t="s">
        <v>126</v>
      </c>
      <c r="BK1210" t="s">
        <v>126</v>
      </c>
      <c r="BS1210" t="s">
        <v>126</v>
      </c>
      <c r="BT1210" t="s">
        <v>126</v>
      </c>
      <c r="BU1210" t="s">
        <v>126</v>
      </c>
      <c r="BV1210" t="s">
        <v>126</v>
      </c>
      <c r="CN1210" t="s">
        <v>147</v>
      </c>
      <c r="CP1210" t="s">
        <v>818</v>
      </c>
      <c r="CQ1210" t="s">
        <v>147</v>
      </c>
    </row>
    <row r="1211" spans="1:95" x14ac:dyDescent="0.2">
      <c r="A1211" t="s">
        <v>115</v>
      </c>
      <c r="B1211" t="s">
        <v>116</v>
      </c>
      <c r="C1211">
        <v>210784</v>
      </c>
      <c r="E1211" t="s">
        <v>117</v>
      </c>
      <c r="F1211">
        <v>368</v>
      </c>
      <c r="G1211" t="s">
        <v>141</v>
      </c>
      <c r="H1211" t="s">
        <v>142</v>
      </c>
      <c r="I1211" t="s">
        <v>279</v>
      </c>
      <c r="J1211" t="s">
        <v>280</v>
      </c>
      <c r="L1211" s="14">
        <v>46171</v>
      </c>
      <c r="M1211" s="18">
        <f t="shared" si="21"/>
        <v>46143</v>
      </c>
      <c r="N1211">
        <v>5943942</v>
      </c>
      <c r="O1211" t="s">
        <v>123</v>
      </c>
      <c r="P1211" t="s">
        <v>146</v>
      </c>
      <c r="Q1211">
        <v>5.71</v>
      </c>
      <c r="R1211" t="s">
        <v>559</v>
      </c>
      <c r="S1211" t="s">
        <v>126</v>
      </c>
      <c r="T1211" t="s">
        <v>559</v>
      </c>
      <c r="U1211" t="s">
        <v>560</v>
      </c>
      <c r="W1211">
        <v>1.76</v>
      </c>
      <c r="X1211">
        <v>3.95</v>
      </c>
      <c r="Y1211">
        <v>5.71</v>
      </c>
      <c r="Z1211">
        <v>2.25</v>
      </c>
      <c r="AG1211">
        <v>1.76</v>
      </c>
      <c r="AI1211">
        <v>1.7</v>
      </c>
      <c r="BH1211" t="s">
        <v>126</v>
      </c>
      <c r="BI1211" t="s">
        <v>126</v>
      </c>
      <c r="BJ1211" t="s">
        <v>126</v>
      </c>
      <c r="BK1211" t="s">
        <v>126</v>
      </c>
      <c r="BS1211" t="s">
        <v>126</v>
      </c>
      <c r="BT1211" t="s">
        <v>126</v>
      </c>
      <c r="BU1211" t="s">
        <v>126</v>
      </c>
      <c r="BV1211" t="s">
        <v>126</v>
      </c>
      <c r="CN1211" t="s">
        <v>147</v>
      </c>
      <c r="CP1211" t="s">
        <v>830</v>
      </c>
      <c r="CQ1211" t="s">
        <v>147</v>
      </c>
    </row>
    <row r="1212" spans="1:95" s="13" customFormat="1" x14ac:dyDescent="0.2">
      <c r="A1212" s="13" t="s">
        <v>115</v>
      </c>
      <c r="B1212" s="13" t="s">
        <v>116</v>
      </c>
      <c r="C1212" s="13">
        <v>210784</v>
      </c>
      <c r="E1212" s="13" t="s">
        <v>117</v>
      </c>
      <c r="F1212" s="13">
        <v>368</v>
      </c>
      <c r="G1212" s="13" t="s">
        <v>141</v>
      </c>
      <c r="H1212" s="13" t="s">
        <v>142</v>
      </c>
      <c r="I1212" s="13" t="s">
        <v>279</v>
      </c>
      <c r="J1212" s="13" t="s">
        <v>280</v>
      </c>
      <c r="L1212" s="60">
        <v>46174</v>
      </c>
      <c r="M1212" s="61">
        <f t="shared" si="21"/>
        <v>46174</v>
      </c>
      <c r="N1212" s="13">
        <v>5945299</v>
      </c>
      <c r="O1212" s="13" t="s">
        <v>123</v>
      </c>
      <c r="P1212" s="13" t="s">
        <v>146</v>
      </c>
      <c r="Q1212" s="13">
        <v>2.66</v>
      </c>
      <c r="R1212" s="13" t="s">
        <v>125</v>
      </c>
      <c r="S1212" s="13" t="s">
        <v>126</v>
      </c>
      <c r="T1212" s="13" t="s">
        <v>125</v>
      </c>
      <c r="U1212" s="13" t="s">
        <v>126</v>
      </c>
      <c r="W1212" s="13">
        <v>2.66</v>
      </c>
      <c r="Y1212" s="13">
        <v>2.66</v>
      </c>
      <c r="BE1212" s="13">
        <v>2.66</v>
      </c>
      <c r="BH1212" s="13" t="s">
        <v>126</v>
      </c>
      <c r="BI1212" s="13" t="s">
        <v>126</v>
      </c>
      <c r="BJ1212" s="13" t="s">
        <v>126</v>
      </c>
      <c r="BK1212" s="13" t="s">
        <v>126</v>
      </c>
      <c r="BS1212" s="13" t="s">
        <v>126</v>
      </c>
      <c r="BT1212" s="13" t="s">
        <v>126</v>
      </c>
      <c r="BU1212" s="13" t="s">
        <v>126</v>
      </c>
      <c r="BV1212" s="13" t="s">
        <v>126</v>
      </c>
      <c r="CN1212" s="13" t="s">
        <v>147</v>
      </c>
      <c r="CP1212" s="13" t="s">
        <v>830</v>
      </c>
      <c r="CQ1212" s="13" t="s">
        <v>147</v>
      </c>
    </row>
    <row r="1213" spans="1:95" s="13" customFormat="1" x14ac:dyDescent="0.2">
      <c r="A1213" s="13" t="s">
        <v>115</v>
      </c>
      <c r="B1213" s="13" t="s">
        <v>116</v>
      </c>
      <c r="C1213" s="13">
        <v>210784</v>
      </c>
      <c r="E1213" s="13" t="s">
        <v>117</v>
      </c>
      <c r="F1213" s="13">
        <v>368</v>
      </c>
      <c r="G1213" s="13" t="s">
        <v>141</v>
      </c>
      <c r="H1213" s="13" t="s">
        <v>142</v>
      </c>
      <c r="I1213" s="13" t="s">
        <v>279</v>
      </c>
      <c r="J1213" s="13" t="s">
        <v>280</v>
      </c>
      <c r="L1213" s="60">
        <v>46177</v>
      </c>
      <c r="M1213" s="61">
        <f t="shared" si="21"/>
        <v>46174</v>
      </c>
      <c r="N1213" s="13">
        <v>5947649</v>
      </c>
      <c r="O1213" s="13" t="s">
        <v>123</v>
      </c>
      <c r="P1213" s="13" t="s">
        <v>146</v>
      </c>
      <c r="Q1213" s="13">
        <v>1.77</v>
      </c>
      <c r="R1213" s="13" t="s">
        <v>125</v>
      </c>
      <c r="S1213" s="13" t="s">
        <v>126</v>
      </c>
      <c r="T1213" s="13" t="s">
        <v>125</v>
      </c>
      <c r="U1213" s="13" t="s">
        <v>126</v>
      </c>
      <c r="W1213" s="13">
        <v>1.77</v>
      </c>
      <c r="Y1213" s="13">
        <v>1.77</v>
      </c>
      <c r="BE1213" s="13">
        <v>1.77</v>
      </c>
      <c r="BH1213" s="13" t="s">
        <v>126</v>
      </c>
      <c r="BI1213" s="13" t="s">
        <v>126</v>
      </c>
      <c r="BJ1213" s="13" t="s">
        <v>126</v>
      </c>
      <c r="BK1213" s="13" t="s">
        <v>126</v>
      </c>
      <c r="BS1213" s="13" t="s">
        <v>126</v>
      </c>
      <c r="BT1213" s="13" t="s">
        <v>126</v>
      </c>
      <c r="BU1213" s="13" t="s">
        <v>126</v>
      </c>
      <c r="BV1213" s="13" t="s">
        <v>126</v>
      </c>
      <c r="CN1213" s="13" t="s">
        <v>147</v>
      </c>
      <c r="CP1213" s="13" t="s">
        <v>830</v>
      </c>
      <c r="CQ1213" s="13" t="s">
        <v>147</v>
      </c>
    </row>
    <row r="1214" spans="1:95" s="13" customFormat="1" x14ac:dyDescent="0.2">
      <c r="A1214" s="13" t="s">
        <v>115</v>
      </c>
      <c r="B1214" s="13" t="s">
        <v>116</v>
      </c>
      <c r="C1214" s="13">
        <v>210784</v>
      </c>
      <c r="E1214" s="13" t="s">
        <v>117</v>
      </c>
      <c r="F1214" s="13">
        <v>368</v>
      </c>
      <c r="G1214" s="13" t="s">
        <v>141</v>
      </c>
      <c r="H1214" s="13" t="s">
        <v>142</v>
      </c>
      <c r="I1214" s="13" t="s">
        <v>279</v>
      </c>
      <c r="J1214" s="13" t="s">
        <v>280</v>
      </c>
      <c r="L1214" s="60">
        <v>46178</v>
      </c>
      <c r="M1214" s="61">
        <f t="shared" si="21"/>
        <v>46174</v>
      </c>
      <c r="N1214" s="13">
        <v>5948631</v>
      </c>
      <c r="O1214" s="13" t="s">
        <v>123</v>
      </c>
      <c r="P1214" s="13" t="s">
        <v>146</v>
      </c>
      <c r="Q1214" s="13">
        <v>2.5099999999999998</v>
      </c>
      <c r="R1214" s="13" t="s">
        <v>559</v>
      </c>
      <c r="S1214" s="13" t="s">
        <v>126</v>
      </c>
      <c r="T1214" s="13" t="s">
        <v>559</v>
      </c>
      <c r="U1214" s="13" t="s">
        <v>560</v>
      </c>
      <c r="W1214" s="13">
        <v>0.77359999999999995</v>
      </c>
      <c r="X1214" s="13">
        <v>1.7363999999999999</v>
      </c>
      <c r="Y1214" s="13">
        <v>2.5099999999999998</v>
      </c>
      <c r="Z1214" s="13">
        <v>0.95479999999999998</v>
      </c>
      <c r="AG1214" s="13">
        <v>0.77359999999999995</v>
      </c>
      <c r="AI1214" s="13">
        <v>0.78159999999999996</v>
      </c>
      <c r="BH1214" s="13" t="s">
        <v>126</v>
      </c>
      <c r="BI1214" s="13" t="s">
        <v>126</v>
      </c>
      <c r="BJ1214" s="13" t="s">
        <v>126</v>
      </c>
      <c r="BK1214" s="13" t="s">
        <v>126</v>
      </c>
      <c r="BS1214" s="13" t="s">
        <v>126</v>
      </c>
      <c r="BT1214" s="13" t="s">
        <v>126</v>
      </c>
      <c r="BU1214" s="13" t="s">
        <v>126</v>
      </c>
      <c r="BV1214" s="13" t="s">
        <v>126</v>
      </c>
      <c r="CN1214" s="13" t="s">
        <v>147</v>
      </c>
      <c r="CP1214" s="13" t="s">
        <v>830</v>
      </c>
      <c r="CQ1214" s="13" t="s">
        <v>147</v>
      </c>
    </row>
    <row r="1215" spans="1:95" s="13" customFormat="1" x14ac:dyDescent="0.2">
      <c r="A1215" s="13" t="s">
        <v>115</v>
      </c>
      <c r="B1215" s="13" t="s">
        <v>116</v>
      </c>
      <c r="C1215" s="13">
        <v>210784</v>
      </c>
      <c r="E1215" s="13" t="s">
        <v>117</v>
      </c>
      <c r="F1215" s="13">
        <v>368</v>
      </c>
      <c r="G1215" s="13" t="s">
        <v>141</v>
      </c>
      <c r="H1215" s="13" t="s">
        <v>142</v>
      </c>
      <c r="I1215" s="13" t="s">
        <v>279</v>
      </c>
      <c r="J1215" s="13" t="s">
        <v>280</v>
      </c>
      <c r="L1215" s="60">
        <v>46182</v>
      </c>
      <c r="M1215" s="61">
        <f t="shared" si="21"/>
        <v>46174</v>
      </c>
      <c r="N1215" s="13">
        <v>5950358</v>
      </c>
      <c r="O1215" s="13" t="s">
        <v>123</v>
      </c>
      <c r="P1215" s="13" t="s">
        <v>146</v>
      </c>
      <c r="Q1215" s="13">
        <v>3.02</v>
      </c>
      <c r="R1215" s="13" t="s">
        <v>559</v>
      </c>
      <c r="S1215" s="13" t="s">
        <v>126</v>
      </c>
      <c r="T1215" s="13" t="s">
        <v>559</v>
      </c>
      <c r="U1215" s="13" t="s">
        <v>560</v>
      </c>
      <c r="W1215" s="13">
        <v>0.93079999999999996</v>
      </c>
      <c r="X1215" s="13">
        <v>2.0891999999999999</v>
      </c>
      <c r="Y1215" s="13">
        <v>3.02</v>
      </c>
      <c r="Z1215" s="13">
        <v>1.1488</v>
      </c>
      <c r="AG1215" s="13">
        <v>0.93079999999999996</v>
      </c>
      <c r="AI1215" s="13">
        <v>0.94040000000000001</v>
      </c>
      <c r="BH1215" s="13" t="s">
        <v>126</v>
      </c>
      <c r="BI1215" s="13" t="s">
        <v>126</v>
      </c>
      <c r="BJ1215" s="13" t="s">
        <v>126</v>
      </c>
      <c r="BK1215" s="13" t="s">
        <v>126</v>
      </c>
      <c r="BS1215" s="13" t="s">
        <v>126</v>
      </c>
      <c r="BT1215" s="13" t="s">
        <v>126</v>
      </c>
      <c r="BU1215" s="13" t="s">
        <v>126</v>
      </c>
      <c r="BV1215" s="13" t="s">
        <v>126</v>
      </c>
      <c r="CN1215" s="13" t="s">
        <v>147</v>
      </c>
      <c r="CP1215" s="13" t="s">
        <v>830</v>
      </c>
      <c r="CQ1215" s="13" t="s">
        <v>147</v>
      </c>
    </row>
    <row r="1216" spans="1:95" s="13" customFormat="1" x14ac:dyDescent="0.2">
      <c r="A1216" s="13" t="s">
        <v>115</v>
      </c>
      <c r="B1216" s="13" t="s">
        <v>116</v>
      </c>
      <c r="C1216" s="13">
        <v>210784</v>
      </c>
      <c r="E1216" s="13" t="s">
        <v>117</v>
      </c>
      <c r="F1216" s="13">
        <v>368</v>
      </c>
      <c r="G1216" s="13" t="s">
        <v>141</v>
      </c>
      <c r="H1216" s="13" t="s">
        <v>142</v>
      </c>
      <c r="I1216" s="13" t="s">
        <v>279</v>
      </c>
      <c r="J1216" s="13" t="s">
        <v>280</v>
      </c>
      <c r="L1216" s="60">
        <v>46184</v>
      </c>
      <c r="M1216" s="61">
        <f t="shared" si="21"/>
        <v>46174</v>
      </c>
      <c r="N1216" s="13">
        <v>5952010</v>
      </c>
      <c r="O1216" s="13" t="s">
        <v>123</v>
      </c>
      <c r="P1216" s="13" t="s">
        <v>146</v>
      </c>
      <c r="Q1216" s="13">
        <v>2.79</v>
      </c>
      <c r="R1216" s="13" t="s">
        <v>559</v>
      </c>
      <c r="S1216" s="13" t="s">
        <v>126</v>
      </c>
      <c r="T1216" s="13" t="s">
        <v>559</v>
      </c>
      <c r="U1216" s="13" t="s">
        <v>560</v>
      </c>
      <c r="W1216" s="13">
        <v>0.8599</v>
      </c>
      <c r="X1216" s="13">
        <v>1.9300999999999999</v>
      </c>
      <c r="Y1216" s="13">
        <v>2.79</v>
      </c>
      <c r="Z1216" s="13">
        <v>1.0612999999999999</v>
      </c>
      <c r="AG1216" s="13">
        <v>0.8599</v>
      </c>
      <c r="AI1216" s="13">
        <v>0.86880000000000002</v>
      </c>
      <c r="BH1216" s="13" t="s">
        <v>126</v>
      </c>
      <c r="BI1216" s="13" t="s">
        <v>126</v>
      </c>
      <c r="BJ1216" s="13" t="s">
        <v>126</v>
      </c>
      <c r="BK1216" s="13" t="s">
        <v>126</v>
      </c>
      <c r="BS1216" s="13" t="s">
        <v>126</v>
      </c>
      <c r="BT1216" s="13" t="s">
        <v>126</v>
      </c>
      <c r="BU1216" s="13" t="s">
        <v>126</v>
      </c>
      <c r="BV1216" s="13" t="s">
        <v>126</v>
      </c>
      <c r="CN1216" s="13" t="s">
        <v>147</v>
      </c>
      <c r="CP1216" s="13" t="s">
        <v>830</v>
      </c>
      <c r="CQ1216" s="13" t="s">
        <v>147</v>
      </c>
    </row>
    <row r="1217" spans="1:97" s="13" customFormat="1" x14ac:dyDescent="0.2">
      <c r="A1217" s="13" t="s">
        <v>115</v>
      </c>
      <c r="B1217" s="13" t="s">
        <v>116</v>
      </c>
      <c r="C1217" s="13">
        <v>210784</v>
      </c>
      <c r="E1217" s="13" t="s">
        <v>117</v>
      </c>
      <c r="F1217" s="13">
        <v>368</v>
      </c>
      <c r="G1217" s="13" t="s">
        <v>141</v>
      </c>
      <c r="H1217" s="13" t="s">
        <v>142</v>
      </c>
      <c r="I1217" s="13" t="s">
        <v>279</v>
      </c>
      <c r="J1217" s="13" t="s">
        <v>280</v>
      </c>
      <c r="L1217" s="60">
        <v>46185</v>
      </c>
      <c r="M1217" s="61">
        <f t="shared" si="21"/>
        <v>46174</v>
      </c>
      <c r="N1217" s="13">
        <v>5953005</v>
      </c>
      <c r="O1217" s="13" t="s">
        <v>123</v>
      </c>
      <c r="P1217" s="13" t="s">
        <v>146</v>
      </c>
      <c r="Q1217" s="13">
        <v>1.7399999999999998</v>
      </c>
      <c r="R1217" s="13" t="s">
        <v>559</v>
      </c>
      <c r="S1217" s="13" t="s">
        <v>126</v>
      </c>
      <c r="T1217" s="13" t="s">
        <v>559</v>
      </c>
      <c r="U1217" s="13" t="s">
        <v>560</v>
      </c>
      <c r="W1217" s="13">
        <v>0.5363</v>
      </c>
      <c r="X1217" s="13">
        <v>1.2037</v>
      </c>
      <c r="Y1217" s="13">
        <v>1.7399999999999998</v>
      </c>
      <c r="Z1217" s="13">
        <v>0.66190000000000004</v>
      </c>
      <c r="AG1217" s="13">
        <v>0.5363</v>
      </c>
      <c r="AI1217" s="13">
        <v>0.54179999999999995</v>
      </c>
      <c r="BH1217" s="13" t="s">
        <v>126</v>
      </c>
      <c r="BI1217" s="13" t="s">
        <v>126</v>
      </c>
      <c r="BJ1217" s="13" t="s">
        <v>126</v>
      </c>
      <c r="BK1217" s="13" t="s">
        <v>126</v>
      </c>
      <c r="BS1217" s="13" t="s">
        <v>126</v>
      </c>
      <c r="BT1217" s="13" t="s">
        <v>126</v>
      </c>
      <c r="BU1217" s="13" t="s">
        <v>126</v>
      </c>
      <c r="BV1217" s="13" t="s">
        <v>126</v>
      </c>
      <c r="CN1217" s="13" t="s">
        <v>147</v>
      </c>
      <c r="CP1217" s="13" t="s">
        <v>830</v>
      </c>
      <c r="CQ1217" s="13" t="s">
        <v>147</v>
      </c>
    </row>
    <row r="1218" spans="1:97" ht="16" x14ac:dyDescent="0.2">
      <c r="A1218" s="5" t="s">
        <v>922</v>
      </c>
      <c r="B1218" s="5"/>
      <c r="C1218" s="5"/>
      <c r="D1218" s="5"/>
      <c r="E1218" s="5"/>
      <c r="F1218" s="5"/>
      <c r="G1218" s="5"/>
      <c r="H1218" s="5"/>
      <c r="I1218" s="5"/>
      <c r="J1218" s="5"/>
      <c r="K1218" s="5"/>
      <c r="L1218" s="5"/>
      <c r="M1218" s="5"/>
      <c r="N1218" s="5"/>
      <c r="O1218" s="5"/>
      <c r="P1218" s="5"/>
      <c r="Q1218" s="10">
        <f t="shared" ref="Q1218:AV1218" si="22">SUM(Q11:Q1217)</f>
        <v>67418.252899999788</v>
      </c>
      <c r="R1218" s="10">
        <f t="shared" si="22"/>
        <v>0</v>
      </c>
      <c r="S1218" s="10">
        <f t="shared" si="22"/>
        <v>0</v>
      </c>
      <c r="T1218" s="10">
        <f t="shared" si="22"/>
        <v>0</v>
      </c>
      <c r="U1218" s="10">
        <f t="shared" si="22"/>
        <v>0</v>
      </c>
      <c r="V1218" s="10">
        <f t="shared" si="22"/>
        <v>0</v>
      </c>
      <c r="W1218" s="10">
        <f t="shared" si="22"/>
        <v>7578.9545999999991</v>
      </c>
      <c r="X1218" s="10">
        <f t="shared" si="22"/>
        <v>654.09829999999988</v>
      </c>
      <c r="Y1218" s="10">
        <f t="shared" si="22"/>
        <v>8233.0528999999951</v>
      </c>
      <c r="Z1218" s="10">
        <f t="shared" si="22"/>
        <v>354.43390000000022</v>
      </c>
      <c r="AA1218" s="10">
        <f t="shared" si="22"/>
        <v>380.42149999999992</v>
      </c>
      <c r="AB1218" s="10">
        <f t="shared" si="22"/>
        <v>10.009</v>
      </c>
      <c r="AC1218" s="10">
        <f t="shared" si="22"/>
        <v>4903.8497000000007</v>
      </c>
      <c r="AD1218" s="10">
        <f t="shared" si="22"/>
        <v>0</v>
      </c>
      <c r="AE1218" s="10">
        <f t="shared" si="22"/>
        <v>20.45</v>
      </c>
      <c r="AF1218" s="10">
        <f t="shared" si="22"/>
        <v>244.36699999999999</v>
      </c>
      <c r="AG1218" s="10">
        <f t="shared" si="22"/>
        <v>302.32150000000001</v>
      </c>
      <c r="AH1218" s="10">
        <f t="shared" si="22"/>
        <v>3.6159999999999997</v>
      </c>
      <c r="AI1218" s="10">
        <f t="shared" si="22"/>
        <v>288.34660000000008</v>
      </c>
      <c r="AJ1218" s="10">
        <f t="shared" si="22"/>
        <v>0</v>
      </c>
      <c r="AK1218" s="10">
        <f t="shared" si="22"/>
        <v>0</v>
      </c>
      <c r="AL1218" s="10">
        <f t="shared" si="22"/>
        <v>0</v>
      </c>
      <c r="AM1218" s="10">
        <f t="shared" si="22"/>
        <v>0</v>
      </c>
      <c r="AN1218" s="10">
        <f t="shared" si="22"/>
        <v>0</v>
      </c>
      <c r="AO1218" s="10">
        <f t="shared" si="22"/>
        <v>0</v>
      </c>
      <c r="AP1218" s="10">
        <f t="shared" si="22"/>
        <v>0.75</v>
      </c>
      <c r="AQ1218" s="10">
        <f t="shared" si="22"/>
        <v>0</v>
      </c>
      <c r="AR1218" s="10">
        <f t="shared" si="22"/>
        <v>0</v>
      </c>
      <c r="AS1218" s="10">
        <f t="shared" si="22"/>
        <v>939.56999999999948</v>
      </c>
      <c r="AT1218" s="10">
        <f t="shared" si="22"/>
        <v>0</v>
      </c>
      <c r="AU1218" s="10">
        <f t="shared" si="22"/>
        <v>0</v>
      </c>
      <c r="AV1218" s="10">
        <f t="shared" si="22"/>
        <v>0</v>
      </c>
      <c r="AW1218" s="10">
        <f t="shared" ref="AW1218:CB1218" si="23">SUM(AW11:AW1217)</f>
        <v>0</v>
      </c>
      <c r="AX1218" s="10">
        <f t="shared" si="23"/>
        <v>0</v>
      </c>
      <c r="AY1218" s="10">
        <f t="shared" si="23"/>
        <v>24.342600000000001</v>
      </c>
      <c r="AZ1218" s="10">
        <f t="shared" si="23"/>
        <v>0</v>
      </c>
      <c r="BA1218" s="10">
        <f t="shared" si="23"/>
        <v>0</v>
      </c>
      <c r="BB1218" s="10">
        <f t="shared" si="23"/>
        <v>0</v>
      </c>
      <c r="BC1218" s="10">
        <f t="shared" si="23"/>
        <v>0</v>
      </c>
      <c r="BD1218" s="10">
        <f t="shared" si="23"/>
        <v>9.1001999999999992</v>
      </c>
      <c r="BE1218" s="10">
        <f t="shared" si="23"/>
        <v>751.47489999999982</v>
      </c>
      <c r="BF1218" s="10">
        <f t="shared" si="23"/>
        <v>0</v>
      </c>
      <c r="BG1218" s="10">
        <f t="shared" si="23"/>
        <v>0</v>
      </c>
      <c r="BH1218" s="10">
        <f t="shared" si="23"/>
        <v>0</v>
      </c>
      <c r="BI1218" s="10">
        <f t="shared" si="23"/>
        <v>0</v>
      </c>
      <c r="BJ1218" s="10">
        <f t="shared" si="23"/>
        <v>0</v>
      </c>
      <c r="BK1218" s="10">
        <f t="shared" si="23"/>
        <v>0</v>
      </c>
      <c r="BL1218" s="10">
        <f t="shared" si="23"/>
        <v>0</v>
      </c>
      <c r="BM1218" s="10">
        <f t="shared" si="23"/>
        <v>59185.2</v>
      </c>
      <c r="BN1218" s="10">
        <f t="shared" si="23"/>
        <v>0</v>
      </c>
      <c r="BO1218" s="10">
        <f t="shared" si="23"/>
        <v>59185.2</v>
      </c>
      <c r="BP1218" s="10">
        <f t="shared" si="23"/>
        <v>59185.2</v>
      </c>
      <c r="BQ1218" s="10">
        <f t="shared" si="23"/>
        <v>0</v>
      </c>
      <c r="BR1218" s="10">
        <f t="shared" si="23"/>
        <v>0</v>
      </c>
      <c r="BS1218" s="10">
        <f t="shared" si="23"/>
        <v>0</v>
      </c>
      <c r="BT1218" s="10">
        <f t="shared" si="23"/>
        <v>0</v>
      </c>
      <c r="BU1218" s="10">
        <f t="shared" si="23"/>
        <v>0</v>
      </c>
      <c r="BV1218" s="10">
        <f t="shared" si="23"/>
        <v>0</v>
      </c>
      <c r="BW1218" s="10">
        <f t="shared" si="23"/>
        <v>0</v>
      </c>
      <c r="BX1218" s="10">
        <f t="shared" si="23"/>
        <v>0</v>
      </c>
      <c r="BY1218" s="10">
        <f t="shared" si="23"/>
        <v>0</v>
      </c>
      <c r="BZ1218" s="10">
        <f t="shared" si="23"/>
        <v>0</v>
      </c>
      <c r="CA1218" s="10">
        <f t="shared" si="23"/>
        <v>0</v>
      </c>
      <c r="CB1218" s="10">
        <f t="shared" si="23"/>
        <v>0</v>
      </c>
      <c r="CC1218" s="10">
        <f t="shared" ref="CC1218:CS1218" si="24">SUM(CC11:CC1217)</f>
        <v>0</v>
      </c>
      <c r="CD1218" s="10">
        <f t="shared" si="24"/>
        <v>0</v>
      </c>
      <c r="CE1218" s="10">
        <f t="shared" si="24"/>
        <v>0</v>
      </c>
      <c r="CF1218" s="10">
        <f t="shared" si="24"/>
        <v>0</v>
      </c>
      <c r="CG1218" s="10">
        <f t="shared" si="24"/>
        <v>0</v>
      </c>
      <c r="CH1218" s="10">
        <f t="shared" si="24"/>
        <v>0</v>
      </c>
      <c r="CI1218" s="10">
        <f t="shared" si="24"/>
        <v>0</v>
      </c>
      <c r="CJ1218" s="10">
        <f t="shared" si="24"/>
        <v>0</v>
      </c>
      <c r="CK1218" s="10">
        <f t="shared" si="24"/>
        <v>0</v>
      </c>
      <c r="CL1218" s="10">
        <f t="shared" si="24"/>
        <v>0</v>
      </c>
      <c r="CM1218" s="10">
        <f t="shared" si="24"/>
        <v>0</v>
      </c>
      <c r="CN1218" s="10">
        <f t="shared" si="24"/>
        <v>0</v>
      </c>
      <c r="CO1218" s="10">
        <f t="shared" si="24"/>
        <v>0</v>
      </c>
      <c r="CP1218" s="10">
        <f t="shared" si="24"/>
        <v>0</v>
      </c>
      <c r="CQ1218" s="10">
        <f t="shared" si="24"/>
        <v>0</v>
      </c>
      <c r="CR1218" s="10">
        <f t="shared" si="24"/>
        <v>0</v>
      </c>
      <c r="CS1218" s="10">
        <f t="shared" si="24"/>
        <v>0</v>
      </c>
    </row>
    <row r="1222" spans="1:97" x14ac:dyDescent="0.2">
      <c r="CN1222" s="11"/>
    </row>
  </sheetData>
  <sheetProtection formatCells="0" formatColumns="0" formatRows="0" insertColumns="0" insertRows="0" insertHyperlinks="0" deleteColumns="0" deleteRows="0" sort="0" autoFilter="0" pivotTables="0"/>
  <autoFilter ref="A10:CS1217" xr:uid="{4F0FB815-E12A-49FC-93E1-EF5A7DBE508A}">
    <sortState xmlns:xlrd2="http://schemas.microsoft.com/office/spreadsheetml/2017/richdata2" ref="A11:CS1218">
      <sortCondition ref="L10:L1218"/>
    </sortState>
  </autoFilter>
  <mergeCells count="10">
    <mergeCell ref="BP7:BR7"/>
    <mergeCell ref="BS7:BV7"/>
    <mergeCell ref="BW7:BZ7"/>
    <mergeCell ref="CA7:CL7"/>
    <mergeCell ref="A2:D2"/>
    <mergeCell ref="R7:U7"/>
    <mergeCell ref="V7:Y7"/>
    <mergeCell ref="Z7:BG7"/>
    <mergeCell ref="BH7:BK7"/>
    <mergeCell ref="BL7:BO7"/>
  </mergeCells>
  <hyperlinks>
    <hyperlink ref="O1019" r:id="rId1" display="http://turnertracker.com/data/extensions_data/tickets/f/0/8/f/f/1380207RD//ticket.jpg" xr:uid="{4978AD43-425D-EB40-8A6B-D9AEE143EDB6}"/>
    <hyperlink ref="O823" r:id="rId2" display="http://turnertracker.com/data/extensions_data/tickets/2/2/0/d/1/1380256RD//ticket.jpg" xr:uid="{0B6E6C93-1E1A-464B-A10E-250AD8387692}"/>
    <hyperlink ref="O824" r:id="rId3" display="http://turnertracker.com/data/extensions_data/tickets/c/a/3/9/a/1380257RD//ticket.jpg" xr:uid="{168A7D3C-5CCB-754A-AE58-1EC5AF02B261}"/>
    <hyperlink ref="O1096" r:id="rId4" display="http://turnertracker.com/data/extensions_data/tickets/e/9/b/9/d/1392452RD//ticket.jpg" xr:uid="{67CE242A-0DC3-7E45-8901-43055C7F6772}"/>
    <hyperlink ref="O1097" r:id="rId5" display="http://turnertracker.com/data/extensions_data/tickets/b/5/a/b/2/1392453RD//ticket.jpg" xr:uid="{26115B4D-6F5A-B145-A105-50AFC699F5F3}"/>
    <hyperlink ref="O1098" r:id="rId6" display="http://turnertracker.com/data/extensions_data/tickets/3/7/d/2/e/1392457RD//ticket.jpg" xr:uid="{11D9DDC1-5A23-B842-880B-7C0EBBA5D477}"/>
    <hyperlink ref="O1099" r:id="rId7" display="http://turnertracker.com/data/extensions_data/tickets/6/3/2/2/f/1392464RD//ticket.jpg" xr:uid="{8907A6D5-4B81-4B49-A083-B1D5EB0B4CCB}"/>
    <hyperlink ref="O1100" r:id="rId8" display="http://turnertracker.com/data/extensions_data/tickets/4/d/2/e/7/1392466RD//ticket.jpg" xr:uid="{D8410967-8065-0E47-96BA-4B91EAD57C14}"/>
    <hyperlink ref="O1101" r:id="rId9" display="http://turnertracker.com/data/extensions_data/tickets/d/0/f/b/8/1392468RD//ticket.jpg" xr:uid="{3661681F-AA78-0C44-8DF3-4BB3DE1492FD}"/>
    <hyperlink ref="O1102" r:id="rId10" display="http://turnertracker.com/data/extensions_data/tickets/c/3/1/9/7/1392470RD//ticket.jpg" xr:uid="{18DBD143-D205-4A4A-A943-9C43883E5846}"/>
    <hyperlink ref="O1094" r:id="rId11" display="http://turnertracker.com/data/extensions_data/tickets/1/a/0/0/6/1392479RD//ticket.jpg" xr:uid="{5D421BF8-CC3E-4048-86FF-0C534EA60D77}"/>
    <hyperlink ref="O1113" r:id="rId12" display="http://turnertracker.com/data/extensions_data/tickets/3/7/d/7/b/1417104RD//ticket.jpg" xr:uid="{6EA93F6E-6A1E-B64F-9785-BCB137738F18}"/>
    <hyperlink ref="O1124" r:id="rId13" display="http://turnertracker.com/data/extensions_data/tickets/7/5/f/c/2/1417110RD//ticket.jpg" xr:uid="{5292609F-5E9A-9C45-8A60-9AA445416B7E}"/>
    <hyperlink ref="O1134" r:id="rId14" display="http://turnertracker.com/data/extensions_data/tickets/d/c/0/1/3/1417112RD//ticket.jpg" xr:uid="{FC853E9B-8E9B-1947-AF16-1AD7BAA5583D}"/>
    <hyperlink ref="O1166" r:id="rId15" display="http://turnertracker.com/data/extensions_data/tickets/1/f/6/d/0/1436282RD//ticket.jpg" xr:uid="{23FB5D38-CB2C-064D-A308-3AF165D9F4D8}"/>
    <hyperlink ref="O1167" r:id="rId16" display="http://turnertracker.com/data/extensions_data/tickets/b/7/c/8/1/1436284RD//ticket.jpg" xr:uid="{CC659D2C-FD93-E445-9C2C-CFC1E72F116E}"/>
    <hyperlink ref="O313" r:id="rId17" display="http://turnertracker.com/data/extensions_data/tickets/f/6/8/f/5/1092512RD//ticket.jpg" xr:uid="{A8C86C57-17CB-EC4F-A0C0-C4CFE44582BB}"/>
    <hyperlink ref="O314" r:id="rId18" display="http://turnertracker.com/data/extensions_data/tickets/9/a/5/5/5/1092513RD//ticket.jpg" xr:uid="{957A57C3-7F3C-9D4D-BE5E-1BBC672C9208}"/>
    <hyperlink ref="O316" r:id="rId19" display="http://turnertracker.com/data/extensions_data/tickets/9/a/4/7/6/1092519RD//ticket.jpg" xr:uid="{1A89F4E3-33D5-AF45-9324-84D162A00315}"/>
    <hyperlink ref="O311" r:id="rId20" display="http://turnertracker.com/data/extensions_data/tickets/4/1/a/4/5/1092557RD//ticket.jpg" xr:uid="{776B75F9-B1A9-0244-8592-8FB3C90FC1E1}"/>
    <hyperlink ref="O306" r:id="rId21" display="http://turnertracker.com/data/extensions_data/tickets/6/8/f/e/2/1092560RD//ticket.jpg" xr:uid="{0A50D82B-8954-2D41-A2A4-62BA5389E40C}"/>
    <hyperlink ref="O305" r:id="rId22" display="http://turnertracker.com/data/extensions_data/tickets/0/9/6/2/5/1092569RD//ticket.jpg" xr:uid="{49FD532F-6EC2-2F4D-B673-131909B4230D}"/>
    <hyperlink ref="O300" r:id="rId23" display="http://turnertracker.com/data/extensions_data/tickets/6/1/c/5/0/1092572RD//ticket.jpg" xr:uid="{6DE43111-7FFA-1C46-B768-CA5590EA385F}"/>
    <hyperlink ref="O292" r:id="rId24" display="http://turnertracker.com/data/extensions_data/tickets/7/8/4/a/6/1092579RD//ticket.jpg" xr:uid="{4D0277C9-F25C-1940-A68F-BEF9BEB984F7}"/>
    <hyperlink ref="O293" r:id="rId25" display="http://turnertracker.com/data/extensions_data/tickets/4/a/a/b/b/1092582RD//ticket.jpg" xr:uid="{031A792D-89E1-1C4A-B6F1-AAA6CC5EB59B}"/>
    <hyperlink ref="O295" r:id="rId26" display="http://turnertracker.com/data/extensions_data/tickets/d/f/9/1/6/1092586RD//ticket.jpg" xr:uid="{A6E807F4-E651-9745-8FFB-698995581D21}"/>
    <hyperlink ref="O296" r:id="rId27" display="http://turnertracker.com/data/extensions_data/tickets/4/a/8/f/8/1092589RD//ticket.jpg" xr:uid="{996A699F-0683-CC46-A0BE-7299A60B72FD}"/>
    <hyperlink ref="O290" r:id="rId28" display="http://turnertracker.com/data/extensions_data/tickets/9/b/c/a/a/1092602RD//ticket.jpg" xr:uid="{E79BA52C-9B98-1648-BCB6-887B97F033E5}"/>
    <hyperlink ref="O287" r:id="rId29" display="http://turnertracker.com/data/extensions_data/tickets/f/2/b/7/4/1092606RD//ticket.jpg" xr:uid="{5310328E-BB7A-C84A-900F-96B1D6C21086}"/>
    <hyperlink ref="O286" r:id="rId30" display="http://turnertracker.com/data/extensions_data/tickets/f/2/f/0/6/1092614RD//ticket.jpg" xr:uid="{CC75B301-66F3-F441-9030-E71F17CA79F2}"/>
    <hyperlink ref="O285" r:id="rId31" display="http://turnertracker.com/data/extensions_data/tickets/2/a/c/c/e/1092618RD//ticket.jpg" xr:uid="{A999776B-C79E-1040-9402-E470D3CBA42E}"/>
    <hyperlink ref="O283" r:id="rId32" display="http://turnertracker.com/data/extensions_data/tickets/b/c/f/2/1/1092622RD//ticket.jpg" xr:uid="{63D49B13-48E5-0242-9A52-D53900512805}"/>
    <hyperlink ref="O282" r:id="rId33" display="http://turnertracker.com/data/extensions_data/tickets/9/d/5/0/5/1092631RD//ticket.jpg" xr:uid="{4572BDD0-A352-8340-96CA-7D106C4A14E1}"/>
    <hyperlink ref="O280" r:id="rId34" display="http://turnertracker.com/data/extensions_data/tickets/6/e/4/a/2/1092635RD//ticket.jpg" xr:uid="{D86C6C72-AD6F-1243-8259-2BD606398E2B}"/>
    <hyperlink ref="O276" r:id="rId35" display="http://turnertracker.com/data/extensions_data/tickets/9/0/3/5/2/1092641RD//ticket.jpg" xr:uid="{B97BA96F-C441-4E4E-AB05-D7E656F20066}"/>
    <hyperlink ref="O273" r:id="rId36" display="http://turnertracker.com/data/extensions_data/tickets/a/5/2/b/1/1092705RD//ticket.jpg" xr:uid="{3E351B8E-F100-B34A-BB0C-BF94830019FF}"/>
    <hyperlink ref="O346" r:id="rId37" display="http://turnertracker.com/data/extensions_data/tickets/2/5/4/d/c/1120149RD//ticket.jpg" xr:uid="{ED6C9E93-0619-EE4C-9A69-87BCF3EC0B1C}"/>
    <hyperlink ref="O347" r:id="rId38" display="http://turnertracker.com/data/extensions_data/tickets/d/1/e/3/0/1120150RD//ticket.jpg" xr:uid="{1BED9FB3-19D5-9649-82BE-3B39F4E18FD0}"/>
    <hyperlink ref="O350" r:id="rId39" display="http://turnertracker.com/data/extensions_data/tickets/0/f/b/a/2/1120151RD//ticket.jpg" xr:uid="{073957EB-ECA1-6744-B890-E77901611934}"/>
    <hyperlink ref="O866" r:id="rId40" display="http://turnertracker.com/data/extensions_data/tickets/f/2/1/4/6/1310094RD//ticket.jpg" xr:uid="{7BC6E324-03C8-844B-8D75-0D0E4E5E6A2B}"/>
    <hyperlink ref="O15" r:id="rId41" display="http://turnertracker.com/data/extensions_data/tickets/6/8/6/c/f/999357RD//ticket.jpg" xr:uid="{CF9BB8AC-CA93-E146-A3EA-37CFED7D7E37}"/>
    <hyperlink ref="O11" r:id="rId42" display="http://turnertracker.com/data/extensions_data/tickets/7/c/0/6/4/999358RD//ticket.jpg" xr:uid="{1CB94DE2-D2C4-034A-9FBD-68B096051B51}"/>
    <hyperlink ref="O12" r:id="rId43" display="http://turnertracker.com/data/extensions_data/tickets/7/e/c/5/6/999360RD//ticket.jpg" xr:uid="{6CD80E4F-A676-8748-A566-7DB3F9B7E993}"/>
    <hyperlink ref="O13" r:id="rId44" display="http://turnertracker.com/data/extensions_data/tickets/c/f/f/1/c/999361RD//ticket.jpg" xr:uid="{2B47E650-EEB2-DC48-96D8-3945EBCB7DCA}"/>
    <hyperlink ref="O14" r:id="rId45" display="http://turnertracker.com/data/extensions_data/tickets/4/7/8/7/b/999362RD//ticket.jpg" xr:uid="{3B9841A6-8EC2-8643-B74A-BDA77F9C7C43}"/>
    <hyperlink ref="O17" r:id="rId46" display="http://turnertracker.com/data/extensions_data/tickets/e/6/7/c/3/999363RD//ticket.jpg" xr:uid="{1A982CFA-E4A9-974D-B6A9-A0C5889D8246}"/>
    <hyperlink ref="O18" r:id="rId47" display="http://turnertracker.com/data/extensions_data/tickets/8/f/8/4/d/999364RD//ticket.jpg" xr:uid="{F8AA8D5C-E5D0-494E-81F6-CC4BC45E49BA}"/>
    <hyperlink ref="O19" r:id="rId48" display="http://turnertracker.com/data/extensions_data/tickets/5/a/9/6/7/999366RD//ticket.jpg" xr:uid="{0293F02A-2937-4B4D-890C-BC6E3641E49D}"/>
    <hyperlink ref="O20" r:id="rId49" display="http://turnertracker.com/data/extensions_data/tickets/9/0/e/7/0/999367RD//ticket.jpg" xr:uid="{AD0030EF-F71F-684E-B031-8CF4F7622E1B}"/>
    <hyperlink ref="O21" r:id="rId50" display="http://turnertracker.com/data/extensions_data/tickets/2/c/2/a/6/999370RD//ticket.jpg" xr:uid="{14DC81E5-A14E-0C43-ADC5-A235D189C975}"/>
    <hyperlink ref="O22" r:id="rId51" display="http://turnertracker.com/data/extensions_data/tickets/5/6/7/3/e/999371RD//ticket.jpg" xr:uid="{86965CE5-8690-3740-8BA0-1BF0869CDCE0}"/>
    <hyperlink ref="O23" r:id="rId52" display="http://turnertracker.com/data/extensions_data/tickets/a/d/2/e/8/999372RD//ticket.jpg" xr:uid="{07E852DE-718D-284E-A99C-5A4ACAC552C7}"/>
    <hyperlink ref="O24" r:id="rId53" display="http://turnertracker.com/data/extensions_data/tickets/0/2/0/b/9/999373RD//ticket.jpg" xr:uid="{70B683DC-5707-5542-804E-C2FB49D09C8D}"/>
    <hyperlink ref="O25" r:id="rId54" display="http://turnertracker.com/data/extensions_data/tickets/3/6/5/f/5/999374RD//ticket.jpg" xr:uid="{8373695C-0083-7C43-B1E0-879D3DA223B9}"/>
    <hyperlink ref="O26" r:id="rId55" display="http://turnertracker.com/data/extensions_data/tickets/9/0/3/d/b/999375RD//ticket.jpg" xr:uid="{5C7AB8F7-4EE0-6E47-B8ED-F10A60C0D6CF}"/>
    <hyperlink ref="O27" r:id="rId56" display="http://turnertracker.com/data/extensions_data/tickets/6/2/1/5/b/999376RD//ticket.jpg" xr:uid="{147C2FF5-D45A-8943-A88A-8FCCA8D8DE8F}"/>
    <hyperlink ref="O28" r:id="rId57" display="http://turnertracker.com/data/extensions_data/tickets/c/f/7/d/5/999378RD//ticket.jpg" xr:uid="{2E24EFCC-454B-C343-BDF9-FD5CEDA58934}"/>
    <hyperlink ref="O29" r:id="rId58" display="http://turnertracker.com/data/extensions_data/tickets/c/d/e/8/4/999379RD//ticket.jpg" xr:uid="{EBBFF05B-8550-F44C-8D67-1A4DD4CED02C}"/>
    <hyperlink ref="O30" r:id="rId59" display="http://turnertracker.com/data/extensions_data/tickets/4/b/6/5/a/999380RD//ticket.jpg" xr:uid="{AE8D6577-E22C-534F-ADC4-D4F7C79A2DA2}"/>
    <hyperlink ref="O31" r:id="rId60" display="http://turnertracker.com/data/extensions_data/tickets/e/8/d/b/3/999381RD//ticket.jpg" xr:uid="{2BB05397-E5D4-814F-AFB9-3F05F4592958}"/>
    <hyperlink ref="O32" r:id="rId61" display="http://turnertracker.com/data/extensions_data/tickets/b/1/4/3/8/999382RD//ticket.jpg" xr:uid="{AE629DA7-1946-444E-96E4-DAC417B8E9CF}"/>
    <hyperlink ref="O33" r:id="rId62" display="http://turnertracker.com/data/extensions_data/tickets/c/6/e/d/0/999383RD//ticket.jpg" xr:uid="{D4B014A8-D407-934D-8B33-ABD6B34FE87A}"/>
    <hyperlink ref="O34" r:id="rId63" display="http://turnertracker.com/data/extensions_data/tickets/3/1/d/1/2/999384RD//ticket.jpg" xr:uid="{5B738283-4063-C44C-8607-8B2890475C79}"/>
    <hyperlink ref="O35" r:id="rId64" display="http://turnertracker.com/data/extensions_data/tickets/3/6/7/5/2/999385RD//ticket.jpg" xr:uid="{5E06F935-F95C-224E-987B-EBD611CA46F9}"/>
    <hyperlink ref="O36" r:id="rId65" display="http://turnertracker.com/data/extensions_data/tickets/f/2/f/c/9/999387RD//ticket.jpg" xr:uid="{BDFEBDAC-06A4-C242-8860-85A9350D4FF9}"/>
    <hyperlink ref="O37" r:id="rId66" display="http://turnertracker.com/data/extensions_data/tickets/9/8/6/6/5/999388RD//ticket.jpg" xr:uid="{4506210C-9120-094E-8B47-3DEBF98FCD81}"/>
    <hyperlink ref="O43" r:id="rId67" display="http://turnertracker.com/data/extensions_data/tickets/7/3/e/d/1/999633RD//ticket.jpg" xr:uid="{1D2DD9E9-D943-9446-AB1F-1617B458692C}"/>
    <hyperlink ref="O44" r:id="rId68" display="http://turnertracker.com/data/extensions_data/tickets/8/6/6/3/a/999644RD//ticket.jpg" xr:uid="{03F53C59-7296-4241-9996-86985A58AC67}"/>
    <hyperlink ref="O45" r:id="rId69" display="http://turnertracker.com/data/extensions_data/tickets/7/b/1/7/5/999646RD//ticket.jpg" xr:uid="{DFB321DB-ABDC-4D4A-AC40-8E274FFA8C0D}"/>
    <hyperlink ref="O46" r:id="rId70" display="http://turnertracker.com/data/extensions_data/tickets/d/3/3/f/c/999647RD//ticket.jpg" xr:uid="{3CCDFF24-ABFD-EA42-8BC1-842C9984C517}"/>
    <hyperlink ref="O50" r:id="rId71" display="http://turnertracker.com/data/extensions_data/tickets/d/c/c/7/6/999659RD//ticket.jpg" xr:uid="{5F8178D0-F023-584D-BBEF-F0E1705B2ECC}"/>
    <hyperlink ref="O52" r:id="rId72" display="http://turnertracker.com/data/extensions_data/tickets/6/8/d/2/4/999661RD//ticket.jpg" xr:uid="{503B22F6-020D-D940-AD51-5E73595912BE}"/>
    <hyperlink ref="O53" r:id="rId73" display="http://turnertracker.com/data/extensions_data/tickets/0/f/8/6/0/999664RD//ticket.jpg" xr:uid="{74258733-3A8F-9947-8A1B-7B5DA258A844}"/>
    <hyperlink ref="O54" r:id="rId74" display="http://turnertracker.com/data/extensions_data/tickets/a/3/8/d/3/999665RD//ticket.jpg" xr:uid="{A06465A6-2668-2C40-A91B-8433A42410CA}"/>
    <hyperlink ref="O55" r:id="rId75" display="http://turnertracker.com/data/extensions_data/tickets/f/e/6/b/3/999667RD//ticket.jpg" xr:uid="{FCAF41EB-46BE-7144-87C1-DB35434B1773}"/>
    <hyperlink ref="O56" r:id="rId76" display="http://turnertracker.com/data/extensions_data/tickets/6/f/d/b/b/999669RD//ticket.jpg" xr:uid="{124F1F50-9BF7-AF40-B974-9D599019440D}"/>
    <hyperlink ref="O57" r:id="rId77" display="http://turnertracker.com/data/extensions_data/tickets/4/3/8/4/4/999670RD//ticket.jpg" xr:uid="{8BE059D7-0C4D-7B42-9577-70B0B7FF5C79}"/>
    <hyperlink ref="O58" r:id="rId78" display="http://turnertracker.com/data/extensions_data/tickets/f/d/5/8/a/999673RD//ticket.jpg" xr:uid="{82AEDE90-3619-DF4B-8849-BE40D1C660BD}"/>
    <hyperlink ref="O59" r:id="rId79" display="http://turnertracker.com/data/extensions_data/tickets/9/c/d/b/3/999676RD//ticket.jpg" xr:uid="{614F98E5-93BA-5A45-8F2B-BFCF108A2DE9}"/>
    <hyperlink ref="O60" r:id="rId80" display="http://turnertracker.com/data/extensions_data/tickets/c/e/2/0/e/999677RD//ticket.jpg" xr:uid="{B605688F-6732-3246-82C7-A8F203853592}"/>
    <hyperlink ref="O61" r:id="rId81" display="http://turnertracker.com/data/extensions_data/tickets/6/5/b/a/c/999678RD//ticket.jpg" xr:uid="{8EABD547-5CE4-BD43-980A-7646630BBF69}"/>
    <hyperlink ref="O62" r:id="rId82" display="http://turnertracker.com/data/extensions_data/tickets/5/f/3/c/e/999679RD//ticket.jpg" xr:uid="{3A3D5421-F967-354D-B7EA-346F3FFB5EB0}"/>
    <hyperlink ref="O63" r:id="rId83" display="http://turnertracker.com/data/extensions_data/tickets/2/9/3/c/8/999680RD//ticket.jpg" xr:uid="{F5383D0B-85B7-A84D-ABE7-DD6EF79E9879}"/>
    <hyperlink ref="O64" r:id="rId84" display="http://turnertracker.com/data/extensions_data/tickets/6/5/b/7/9/999681RD//ticket.jpg" xr:uid="{11F561E0-C58A-2E4D-8336-FD91C9C35545}"/>
    <hyperlink ref="O65" r:id="rId85" display="http://turnertracker.com/data/extensions_data/tickets/a/2/7/a/9/999682RD//ticket.jpg" xr:uid="{6B2D1BB6-5E9D-B24B-89E2-761D8BD3A241}"/>
    <hyperlink ref="O66" r:id="rId86" display="http://turnertracker.com/data/extensions_data/tickets/2/f/4/e/4/999683RD//ticket.jpg" xr:uid="{8F123D83-316E-444A-8561-0E1E1FE687A3}"/>
    <hyperlink ref="O67" r:id="rId87" display="http://turnertracker.com/data/extensions_data/tickets/e/1/0/8/e/999684RD//ticket.jpg" xr:uid="{21F226FE-F8E9-8A4E-98FE-1B9657CF0A5C}"/>
    <hyperlink ref="O68" r:id="rId88" display="http://turnertracker.com/data/extensions_data/tickets/5/d/f/7/9/999685RD//ticket.jpg" xr:uid="{D7CD7184-A7B1-4D4E-AF93-82D4493EE825}"/>
    <hyperlink ref="O69" r:id="rId89" display="http://turnertracker.com/data/extensions_data/tickets/f/5/a/4/4/999686RD//ticket.jpg" xr:uid="{052F2B5B-DDBF-5942-B574-BA6028733422}"/>
    <hyperlink ref="O70" r:id="rId90" display="http://turnertracker.com/data/extensions_data/tickets/7/9/4/a/1/999687RD//ticket.jpg" xr:uid="{3712564B-4F4A-5D42-9919-5C4432812551}"/>
    <hyperlink ref="O71" r:id="rId91" display="http://turnertracker.com/data/extensions_data/tickets/8/4/f/e/7/999689RD//ticket.jpg" xr:uid="{BBC00F43-B51D-C147-ADFF-1581432B0D50}"/>
    <hyperlink ref="O72" r:id="rId92" display="http://turnertracker.com/data/extensions_data/tickets/d/7/4/e/7/999690RD//ticket.jpg" xr:uid="{6D4727C3-2551-7449-AB53-0FF16E615069}"/>
    <hyperlink ref="O74" r:id="rId93" display="http://turnertracker.com/data/extensions_data/tickets/d/c/9/f/9/999691RD//ticket.jpg" xr:uid="{4A8BE445-3227-274C-9683-8E1DD87E39A1}"/>
    <hyperlink ref="O75" r:id="rId94" display="http://turnertracker.com/data/extensions_data/tickets/d/8/b/6/2/999693RD//ticket.jpg" xr:uid="{63938633-98BF-7846-871E-638AFBCC206D}"/>
    <hyperlink ref="O76" r:id="rId95" display="http://turnertracker.com/data/extensions_data/tickets/0/9/a/3/2/999694RD//ticket.jpg" xr:uid="{8684C192-110A-694E-91FC-52D50BD4EB9A}"/>
    <hyperlink ref="O77" r:id="rId96" display="http://turnertracker.com/data/extensions_data/tickets/7/f/7/2/8/999695RD//ticket.jpg" xr:uid="{822CDFDE-21F3-0740-AD5E-B337A0C79B2A}"/>
    <hyperlink ref="O78" r:id="rId97" display="http://turnertracker.com/data/extensions_data/tickets/c/3/9/9/b/999698RD//ticket.jpg" xr:uid="{097C8E72-3D0E-2440-A846-E39F9AF60B30}"/>
    <hyperlink ref="O79" r:id="rId98" display="http://turnertracker.com/data/extensions_data/tickets/5/0/7/e/b/999700RD//ticket.jpg" xr:uid="{DF0DE82B-88EE-5045-86BC-91058A45A339}"/>
    <hyperlink ref="O80" r:id="rId99" display="http://turnertracker.com/data/extensions_data/tickets/6/3/3/4/e/999701RD//ticket.jpg" xr:uid="{107DC05B-7288-594B-BB94-2E91B4C1F621}"/>
    <hyperlink ref="O81" r:id="rId100" display="http://turnertracker.com/data/extensions_data/tickets/1/5/d/8/9/999702RD//ticket.jpg" xr:uid="{28E05881-53E4-ED4D-BE44-97DDD6A0A296}"/>
    <hyperlink ref="O82" r:id="rId101" display="http://turnertracker.com/data/extensions_data/tickets/d/2/2/6/d/999706RD//ticket.jpg" xr:uid="{8217D0D0-9EC9-4E43-B87C-66972EF3BC53}"/>
    <hyperlink ref="O83" r:id="rId102" display="http://turnertracker.com/data/extensions_data/tickets/b/c/b/8/4/999707RD//ticket.jpg" xr:uid="{0E1B8347-653A-4148-8213-57E5A1A35259}"/>
    <hyperlink ref="O84" r:id="rId103" display="http://turnertracker.com/data/extensions_data/tickets/f/c/4/d/7/999708RD//ticket.jpg" xr:uid="{EFAB08C4-C253-7347-9D47-B675408CA2AB}"/>
    <hyperlink ref="O85" r:id="rId104" display="http://turnertracker.com/data/extensions_data/tickets/3/e/3/f/d/999709RD//ticket.jpg" xr:uid="{382203B7-DDD5-7445-A82F-0A8793AFDD44}"/>
    <hyperlink ref="O86" r:id="rId105" display="http://turnertracker.com/data/extensions_data/tickets/a/6/4/b/5/999711RD//ticket.jpg" xr:uid="{FCA246AB-6812-B94E-ACD5-94DED098A38A}"/>
    <hyperlink ref="O87" r:id="rId106" display="http://turnertracker.com/data/extensions_data/tickets/9/2/d/5/c/999713RD//ticket.jpg" xr:uid="{376F36F5-5E9B-C04B-A8C7-EFE3795E6C0A}"/>
    <hyperlink ref="O88" r:id="rId107" display="http://turnertracker.com/data/extensions_data/tickets/4/4/5/2/2/999714RD//ticket.jpg" xr:uid="{5159F2CE-364F-7040-A828-2182DD9FC39E}"/>
    <hyperlink ref="O89" r:id="rId108" display="http://turnertracker.com/data/extensions_data/tickets/6/1/8/5/e/999744RD//ticket.jpg" xr:uid="{E2224FC2-A35E-984A-B447-43DDED3CDC43}"/>
    <hyperlink ref="O90" r:id="rId109" display="http://turnertracker.com/data/extensions_data/tickets/8/8/5/f/1/999745RD//ticket.jpg" xr:uid="{4E401C2B-D580-0D4D-AEF0-C7B296625A4A}"/>
    <hyperlink ref="O91" r:id="rId110" display="http://turnertracker.com/data/extensions_data/tickets/d/6/6/1/1/999746RD//ticket.jpg" xr:uid="{81E2F951-A3B8-1B4E-8E00-83558765EEBC}"/>
    <hyperlink ref="O92" r:id="rId111" display="http://turnertracker.com/data/extensions_data/tickets/3/f/c/5/9/999747RD//ticket.jpg" xr:uid="{1821B369-A740-CF4F-90B8-06B082522069}"/>
    <hyperlink ref="O94" r:id="rId112" display="http://turnertracker.com/data/extensions_data/tickets/7/d/4/6/e/999748RD//ticket.jpg" xr:uid="{4DD91EF9-DDEC-114B-9D64-83ABE09B7D1E}"/>
    <hyperlink ref="O95" r:id="rId113" display="http://turnertracker.com/data/extensions_data/tickets/9/2/0/7/3/999752RD//ticket.jpg" xr:uid="{D837A3A7-DD6C-B544-8399-E450D5F516E7}"/>
    <hyperlink ref="O96" r:id="rId114" display="http://turnertracker.com/data/extensions_data/tickets/3/2/2/1/b/999754RD//ticket.jpg" xr:uid="{BF4D0B5B-1EB4-ED42-A0B0-4CF261D6F1E1}"/>
    <hyperlink ref="O97" r:id="rId115" display="http://turnertracker.com/data/extensions_data/tickets/5/1/9/0/d/999755RD//ticket.jpg" xr:uid="{CDF91ABC-CBB1-E24D-8726-308BEEDAEFA9}"/>
    <hyperlink ref="O98" r:id="rId116" display="http://turnertracker.com/data/extensions_data/tickets/a/2/6/7/9/999756RD//ticket.jpg" xr:uid="{76795CAE-CCC4-A842-9F02-F9F4D3B0E15E}"/>
    <hyperlink ref="O99" r:id="rId117" display="http://turnertracker.com/data/extensions_data/tickets/8/4/a/3/0/999758RD//ticket.jpg" xr:uid="{25C5E254-436F-8049-A458-DB4539E12AAE}"/>
    <hyperlink ref="O100" r:id="rId118" display="http://turnertracker.com/data/extensions_data/tickets/d/5/2/4/5/999759RD//ticket.jpg" xr:uid="{2FE7706F-368F-2D4A-904B-97789D13BCA9}"/>
    <hyperlink ref="O101" r:id="rId119" display="http://turnertracker.com/data/extensions_data/tickets/f/d/b/5/a/999760RD//ticket.jpg" xr:uid="{C35FF9AB-F52A-944D-8BB5-4EB492FAFCAD}"/>
    <hyperlink ref="O102" r:id="rId120" display="http://turnertracker.com/data/extensions_data/tickets/a/1/4/d/8/999763RD//ticket.jpg" xr:uid="{A5AAF1C4-23C1-FE4A-A678-C208C1A224FD}"/>
    <hyperlink ref="O103" r:id="rId121" display="http://turnertracker.com/data/extensions_data/tickets/3/1/f/f/0/999764RD//ticket.jpg" xr:uid="{F2FB1D4D-7090-174A-9DE9-204FBCD7D6FB}"/>
    <hyperlink ref="O104" r:id="rId122" display="http://turnertracker.com/data/extensions_data/tickets/4/e/4/6/f/999765RD//ticket.jpg" xr:uid="{062884AA-7CA3-284A-9871-E8DFFF58137C}"/>
    <hyperlink ref="O105" r:id="rId123" display="http://turnertracker.com/data/extensions_data/tickets/4/7/0/0/3/999766RD//ticket.jpg" xr:uid="{1F293884-12C2-3141-9A1C-AD2498F3FD32}"/>
    <hyperlink ref="O106" r:id="rId124" display="http://turnertracker.com/data/extensions_data/tickets/2/0/6/a/9/999767RD//ticket.jpg" xr:uid="{32C005B7-8A40-6F4E-92EC-28B1B9428B42}"/>
    <hyperlink ref="O107" r:id="rId125" display="http://turnertracker.com/data/extensions_data/tickets/7/2/b/f/2/999768RD//ticket.jpg" xr:uid="{6F0EE490-79B1-8743-BC4B-4EEF5B109B63}"/>
    <hyperlink ref="O108" r:id="rId126" display="http://turnertracker.com/data/extensions_data/tickets/4/0/c/6/2/999769RD//ticket.jpg" xr:uid="{C7DECB1F-0F58-C247-A46B-92ECF9F7D890}"/>
    <hyperlink ref="O109" r:id="rId127" display="http://turnertracker.com/data/extensions_data/tickets/c/0/c/d/3/999770RD//ticket.jpg" xr:uid="{92072874-6ECF-AA4A-A9EC-0719D454DBF9}"/>
    <hyperlink ref="O110" r:id="rId128" display="http://turnertracker.com/data/extensions_data/tickets/c/7/9/1/0/999771RD//ticket.jpg" xr:uid="{30DCDDD5-13AA-524B-BCF9-73136B0C4EF6}"/>
    <hyperlink ref="O111" r:id="rId129" display="http://turnertracker.com/data/extensions_data/tickets/f/1/7/3/3/999773RD//ticket.jpg" xr:uid="{71D82F0A-9525-0047-B762-0F5A6061ACE1}"/>
    <hyperlink ref="O112" r:id="rId130" display="http://turnertracker.com/data/extensions_data/tickets/2/4/4/e/c/999776RD//ticket.jpg" xr:uid="{ADCE4325-4A81-CC4D-B026-E5CA23A934A1}"/>
    <hyperlink ref="O113" r:id="rId131" display="http://turnertracker.com/data/extensions_data/tickets/3/6/3/c/a/999777RD//ticket.jpg" xr:uid="{50F3C5D8-1FC3-614E-9B0C-3EF53AEAA997}"/>
    <hyperlink ref="O114" r:id="rId132" display="http://turnertracker.com/data/extensions_data/tickets/3/0/3/e/e/999778RD//ticket.jpg" xr:uid="{BDB97C21-D019-3945-B6E8-06B930CB7EC7}"/>
    <hyperlink ref="O115" r:id="rId133" display="http://turnertracker.com/data/extensions_data/tickets/c/f/0/d/5/999781RD//ticket.jpg" xr:uid="{F9C941FF-DEE7-AA4A-91EC-37C94115C2BA}"/>
    <hyperlink ref="O117" r:id="rId134" display="http://turnertracker.com/data/extensions_data/tickets/7/f/c/8/f/999783RD//ticket.jpg" xr:uid="{A1E3106A-8672-834B-AF54-5A5F1E26B661}"/>
    <hyperlink ref="O118" r:id="rId135" display="http://turnertracker.com/data/extensions_data/tickets/2/f/7/b/b/999785RD//ticket.jpg" xr:uid="{C62D6315-DB67-2040-9B76-6F282A9941FF}"/>
    <hyperlink ref="O119" r:id="rId136" display="http://turnertracker.com/data/extensions_data/tickets/b/3/5/4/8/999789RD//ticket.jpg" xr:uid="{3D021583-1768-EA4F-AAB6-B817F61493E1}"/>
    <hyperlink ref="O120" r:id="rId137" display="http://turnertracker.com/data/extensions_data/tickets/f/f/5/9/9/999790RD//ticket.jpg" xr:uid="{97815602-F321-AF4F-A6B0-E63A0EEDA3A3}"/>
    <hyperlink ref="O121" r:id="rId138" display="http://turnertracker.com/data/extensions_data/tickets/b/e/6/c/4/999792RD//ticket.jpg" xr:uid="{D67BCDB8-D90A-684E-A21E-2F8E4A610843}"/>
    <hyperlink ref="O122" r:id="rId139" display="http://turnertracker.com/data/extensions_data/tickets/3/2/1/5/b/999795RD//ticket.jpg" xr:uid="{C33B8C7D-84C4-2346-8969-BC65D12412B4}"/>
    <hyperlink ref="O123" r:id="rId140" display="http://turnertracker.com/data/extensions_data/tickets/7/b/5/f/2/999796RD//ticket.jpg" xr:uid="{7985B976-C5DC-034C-8CF3-A27A80921274}"/>
    <hyperlink ref="O124" r:id="rId141" display="http://turnertracker.com/data/extensions_data/tickets/c/5/d/a/3/999798RD//ticket.jpg" xr:uid="{B3D72509-9A73-3E44-BE41-19FB4926E196}"/>
    <hyperlink ref="O125" r:id="rId142" display="http://turnertracker.com/data/extensions_data/tickets/1/a/e/b/1/999799RD//ticket.jpg" xr:uid="{D57592BC-0A08-7B4E-9498-5304B3469DAE}"/>
    <hyperlink ref="O126" r:id="rId143" display="http://turnertracker.com/data/extensions_data/tickets/4/b/c/e/f/999800RD//ticket.jpg" xr:uid="{ABBD6949-D06B-2F4F-A67F-CBF7F1E905E5}"/>
    <hyperlink ref="O127" r:id="rId144" display="http://turnertracker.com/data/extensions_data/tickets/8/6/f/f/3/999802RD//ticket.jpg" xr:uid="{49D8B513-B80B-CE49-A5B2-10EC7FF0BDD0}"/>
    <hyperlink ref="O128" r:id="rId145" display="http://turnertracker.com/data/extensions_data/tickets/f/0/e/2/b/999804RD//ticket.jpg" xr:uid="{17EB6D72-F1C9-6342-89A2-0AC51088EA27}"/>
    <hyperlink ref="O129" r:id="rId146" display="http://turnertracker.com/data/extensions_data/tickets/2/8/d/e/4/999805RD//ticket.jpg" xr:uid="{0704B978-6D84-024C-9342-74AB46E3B99B}"/>
    <hyperlink ref="O130" r:id="rId147" display="http://turnertracker.com/data/extensions_data/tickets/8/d/4/0/4/999807RD//ticket.jpg" xr:uid="{42E5A2FA-7CB5-6944-B44A-C9BBAC063650}"/>
    <hyperlink ref="O131" r:id="rId148" display="http://turnertracker.com/data/extensions_data/tickets/1/4/d/a/e/999809RD//ticket.jpg" xr:uid="{E5A5D8DC-3647-544A-A9DB-950BF72F7F47}"/>
    <hyperlink ref="O135" r:id="rId149" display="http://turnertracker.com/data/extensions_data/tickets/e/8/a/2/b/999813RD//ticket.jpg" xr:uid="{B897768C-C4AF-6F42-989B-DC2273475FD5}"/>
    <hyperlink ref="O136" r:id="rId150" display="http://turnertracker.com/data/extensions_data/tickets/e/4/4/f/2/999815RD//ticket.jpg" xr:uid="{6B405EBF-5AA1-1340-8D03-9A505492A898}"/>
    <hyperlink ref="O137" r:id="rId151" display="http://turnertracker.com/data/extensions_data/tickets/6/2/c/f/8/999817RD//ticket.jpg" xr:uid="{0B22C35F-04BB-1E42-8192-FD6E717E4406}"/>
    <hyperlink ref="O138" r:id="rId152" display="http://turnertracker.com/data/extensions_data/tickets/f/5/6/0/9/999819RD//ticket.jpg" xr:uid="{00EF070E-11CD-F94F-B234-A4397185D5FA}"/>
    <hyperlink ref="O139" r:id="rId153" display="http://turnertracker.com/data/extensions_data/tickets/0/a/5/7/7/999822RD//ticket.jpg" xr:uid="{F34A5DF1-4308-A343-A4E5-6B05E0EBF291}"/>
    <hyperlink ref="O140" r:id="rId154" display="http://turnertracker.com/data/extensions_data/tickets/9/5/4/a/a/999829RD//ticket.jpg" xr:uid="{252E3428-196A-7442-992C-BD944BE32B06}"/>
    <hyperlink ref="O141" r:id="rId155" display="http://turnertracker.com/data/extensions_data/tickets/4/4/6/0/4/999830RD//ticket.jpg" xr:uid="{90215FF9-358F-1B48-BF43-E40006384767}"/>
    <hyperlink ref="O144" r:id="rId156" display="http://turnertracker.com/data/extensions_data/tickets/c/c/c/d/b/999831RD//ticket.jpg" xr:uid="{72C6246E-D408-B343-BEFE-56AC69AC37C2}"/>
    <hyperlink ref="O145" r:id="rId157" display="http://turnertracker.com/data/extensions_data/tickets/1/4/4/e/d/999835RD//ticket.jpg" xr:uid="{CFE58C54-703B-5140-9D8C-B2D5C52601B9}"/>
    <hyperlink ref="O146" r:id="rId158" display="http://turnertracker.com/data/extensions_data/tickets/d/7/4/5/7/999836RD//ticket.jpg" xr:uid="{140664A3-24D0-DF43-BDE7-FB0A6C9E8E4A}"/>
    <hyperlink ref="O147" r:id="rId159" display="http://turnertracker.com/data/extensions_data/tickets/f/2/f/b/4/999838RD//ticket.jpg" xr:uid="{6F697044-03E5-CD4E-AF06-A97F8DD97FF1}"/>
    <hyperlink ref="O148" r:id="rId160" display="http://turnertracker.com/data/extensions_data/tickets/a/b/f/7/e/999839RD//ticket.jpg" xr:uid="{4E087ACE-8BFC-3046-9E89-7DE8982FC011}"/>
    <hyperlink ref="O149" r:id="rId161" display="http://turnertracker.com/data/extensions_data/tickets/e/b/f/3/c/999840RD//ticket.jpg" xr:uid="{1D9C80B6-7B38-BA4D-9FA8-364D08C1FC40}"/>
    <hyperlink ref="O150" r:id="rId162" display="http://turnertracker.com/data/extensions_data/tickets/b/9/2/a/e/999842RD//ticket.jpg" xr:uid="{8F71E497-C51E-974A-8BCE-B6A3718AD976}"/>
    <hyperlink ref="O151" r:id="rId163" display="http://turnertracker.com/data/extensions_data/tickets/7/a/0/d/2/999843RD//ticket.jpg" xr:uid="{22214755-D7DA-A54C-8B89-744594A84D72}"/>
    <hyperlink ref="O152" r:id="rId164" display="http://turnertracker.com/data/extensions_data/tickets/7/7/0/b/9/999851RD//ticket.jpg" xr:uid="{68E21349-E8BA-C642-B098-D07054E27F25}"/>
    <hyperlink ref="O153" r:id="rId165" display="http://turnertracker.com/data/extensions_data/tickets/f/9/1/d/9/999853RD//ticket.jpg" xr:uid="{819083A7-1485-924C-808D-3B96D9EF6A6B}"/>
    <hyperlink ref="O154" r:id="rId166" display="http://turnertracker.com/data/extensions_data/tickets/1/1/2/0/2/999854RD//ticket.jpg" xr:uid="{69EE13F3-9C7B-A34D-9B6E-7857FD72DF24}"/>
    <hyperlink ref="O155" r:id="rId167" display="http://turnertracker.com/data/extensions_data/tickets/2/5/1/d/a/999856RD//ticket.jpg" xr:uid="{C8855742-D166-1C48-9AA5-367227A975FF}"/>
    <hyperlink ref="O156" r:id="rId168" display="http://turnertracker.com/data/extensions_data/tickets/1/e/b/0/d/999857RD//ticket.jpg" xr:uid="{2AE8E7F2-2535-8448-8013-D4AA20304D63}"/>
    <hyperlink ref="O157" r:id="rId169" display="http://turnertracker.com/data/extensions_data/tickets/9/8/7/3/1/999858RD//ticket.jpg" xr:uid="{31F78392-DF08-6549-8970-B18B11B25F09}"/>
    <hyperlink ref="O158" r:id="rId170" display="http://turnertracker.com/data/extensions_data/tickets/9/0/a/d/b/999859RD//ticket.jpg" xr:uid="{51DEDD09-DFB1-5349-82CB-CEF35D53CF6F}"/>
    <hyperlink ref="O159" r:id="rId171" display="http://turnertracker.com/data/extensions_data/tickets/7/c/3/f/b/999860RD//ticket.jpg" xr:uid="{78C399AE-9860-1146-94F4-743445116693}"/>
    <hyperlink ref="O160" r:id="rId172" display="http://turnertracker.com/data/extensions_data/tickets/f/c/1/2/2/999861RD//ticket.jpg" xr:uid="{EB119B8F-0156-DE4E-A953-A289E4447592}"/>
    <hyperlink ref="O161" r:id="rId173" display="http://turnertracker.com/data/extensions_data/tickets/e/0/e/6/0/999863RD//ticket.jpg" xr:uid="{EB0E6F6A-4307-F343-AF97-B145D2A713A9}"/>
    <hyperlink ref="O162" r:id="rId174" display="http://turnertracker.com/data/extensions_data/tickets/d/2/0/3/9/999864RD//ticket.jpg" xr:uid="{CDAEE5DC-A7C5-F344-A711-E692E9C6F007}"/>
    <hyperlink ref="O163" r:id="rId175" display="http://turnertracker.com/data/extensions_data/tickets/8/8/9/2/2/999867RD//ticket.jpg" xr:uid="{9DF07DB2-FABC-1F40-9132-B88EE887D5AB}"/>
    <hyperlink ref="O164" r:id="rId176" display="http://turnertracker.com/data/extensions_data/tickets/5/7/a/d/e/999869RD//ticket.jpg" xr:uid="{2FB2175E-634C-914C-A47A-8871F32CDDCF}"/>
    <hyperlink ref="O166" r:id="rId177" display="http://turnertracker.com/data/extensions_data/tickets/0/5/a/9/1/999873RD//ticket.jpg" xr:uid="{F61AF371-954F-FE4A-BA8B-41729EE208CE}"/>
    <hyperlink ref="O167" r:id="rId178" display="http://turnertracker.com/data/extensions_data/tickets/9/2/6/e/a/999874RD//ticket.jpg" xr:uid="{374EFE7D-39BF-A642-8A26-DC17825EFE16}"/>
    <hyperlink ref="O168" r:id="rId179" display="http://turnertracker.com/data/extensions_data/tickets/1/2/0/a/6/999876RD//ticket.jpg" xr:uid="{78086399-77B0-304C-9D87-49742D19A721}"/>
    <hyperlink ref="O169" r:id="rId180" display="http://turnertracker.com/data/extensions_data/tickets/9/d/d/4/9/999879RD//ticket.jpg" xr:uid="{733877E9-D0BA-7342-BD8F-C15D00427C9A}"/>
    <hyperlink ref="O170" r:id="rId181" display="http://turnertracker.com/data/extensions_data/tickets/b/5/a/e/a/999883RD//ticket.jpg" xr:uid="{9ADA1303-2D7D-6A46-9771-A93139C09AA8}"/>
    <hyperlink ref="O171" r:id="rId182" display="http://turnertracker.com/data/extensions_data/tickets/f/b/a/9/2/999887RD//ticket.jpg" xr:uid="{73C011B0-C81C-9347-8262-FD39CDABB028}"/>
    <hyperlink ref="O172" r:id="rId183" display="http://turnertracker.com/data/extensions_data/tickets/4/1/b/1/9/999890RD//ticket.jpg" xr:uid="{1567A857-CE99-7A4F-9CB0-99496F2B824D}"/>
    <hyperlink ref="O173" r:id="rId184" display="http://turnertracker.com/data/extensions_data/tickets/1/b/b/6/8/999892RD//ticket.jpg" xr:uid="{FE66CC49-1F27-CF4C-AE6A-430104A497E5}"/>
    <hyperlink ref="O174" r:id="rId185" display="http://turnertracker.com/data/extensions_data/tickets/d/a/f/4/f/999895RD//ticket.jpg" xr:uid="{6B86F700-36FF-6344-ABD8-1BACB37B6A7C}"/>
    <hyperlink ref="O175" r:id="rId186" display="http://turnertracker.com/data/extensions_data/tickets/f/5/9/c/0/999897RD//ticket.jpg" xr:uid="{D4943CBB-3040-EE46-B494-1C1D05DEC5BA}"/>
    <hyperlink ref="O176" r:id="rId187" display="http://turnertracker.com/data/extensions_data/tickets/b/f/3/6/2/999903RD//ticket.jpg" xr:uid="{28E28715-AFC8-1540-AF62-B1C7CD092566}"/>
    <hyperlink ref="O177" r:id="rId188" display="http://turnertracker.com/data/extensions_data/tickets/8/a/9/6/f/999905RD//ticket.jpg" xr:uid="{64270AA1-78ED-F642-99AC-E9E37AC5D264}"/>
    <hyperlink ref="O178" r:id="rId189" display="http://turnertracker.com/data/extensions_data/tickets/9/b/6/9/3/999908RD//ticket.jpg" xr:uid="{D4E20DCA-B468-D540-8599-56F687272534}"/>
    <hyperlink ref="O179" r:id="rId190" display="http://turnertracker.com/data/extensions_data/tickets/3/0/8/7/9/999909RD//ticket.jpg" xr:uid="{71C1271A-9C8C-134F-A104-EC0BEB02E1FE}"/>
    <hyperlink ref="O180" r:id="rId191" display="http://turnertracker.com/data/extensions_data/tickets/6/9/8/b/5/999912RD//ticket.jpg" xr:uid="{56E4F4B3-D045-9545-9279-CC8D32AF6DEE}"/>
    <hyperlink ref="O181" r:id="rId192" display="http://turnertracker.com/data/extensions_data/tickets/1/3/0/e/e/999913RD//ticket.jpg" xr:uid="{526653D8-CD64-5542-8F18-2787C89961E6}"/>
    <hyperlink ref="O183" r:id="rId193" display="http://turnertracker.com/data/extensions_data/tickets/c/c/8/5/3/999915RD//ticket.jpg" xr:uid="{8B7E8BF1-6185-2845-BA21-162CB8E81100}"/>
    <hyperlink ref="O184" r:id="rId194" display="http://turnertracker.com/data/extensions_data/tickets/e/7/8/9/b/999917RD//ticket.jpg" xr:uid="{34FBDB00-EFFD-A644-8F4E-D372CCFA3F34}"/>
    <hyperlink ref="O185" r:id="rId195" display="http://turnertracker.com/data/extensions_data/tickets/4/3/1/2/1/999918RD//ticket.jpg" xr:uid="{53A71632-814B-814B-9010-3346F6D7CAC9}"/>
    <hyperlink ref="O186" r:id="rId196" display="http://turnertracker.com/data/extensions_data/tickets/6/4/2/a/5/999920RD//ticket.jpg" xr:uid="{ADB1332B-1F73-B446-A867-5A36215FA624}"/>
    <hyperlink ref="O187" r:id="rId197" display="http://turnertracker.com/data/extensions_data/tickets/1/5/2/1/b/999925RD//ticket.jpg" xr:uid="{58FDF5F9-C2C5-0940-8B1D-9D8495F37C22}"/>
    <hyperlink ref="O188" r:id="rId198" display="http://turnertracker.com/data/extensions_data/tickets/7/b/8/2/4/999926RD//ticket.jpg" xr:uid="{6B91A352-7CEE-664E-A938-D3F9B4258F33}"/>
    <hyperlink ref="O189" r:id="rId199" display="http://turnertracker.com/data/extensions_data/tickets/1/f/f/c/4/999941RD//ticket.jpg" xr:uid="{C5D7DA37-E77F-3F4E-988E-3C25C1734A2D}"/>
    <hyperlink ref="O190" r:id="rId200" display="http://turnertracker.com/data/extensions_data/tickets/9/c/6/9/8/1000033RD//ticket.jpg" xr:uid="{8182A9CA-4D3A-724F-B2AB-56A056545BD5}"/>
    <hyperlink ref="O191" r:id="rId201" display="http://turnertracker.com/data/extensions_data/tickets/8/2/8/2/1/1000034RD//ticket.jpg" xr:uid="{24E4D86D-122F-8E4C-86A6-3B5F4A124F1A}"/>
    <hyperlink ref="O192" r:id="rId202" display="http://turnertracker.com/data/extensions_data/tickets/b/0/a/b/4/1000047RD//ticket.jpg" xr:uid="{93AF6072-0581-6A40-8BD3-58C4BC3C40FD}"/>
    <hyperlink ref="O193" r:id="rId203" display="http://turnertracker.com/data/extensions_data/tickets/d/4/c/1/c/1000048RD//ticket.jpg" xr:uid="{FF2097FD-55DF-8246-B2A7-0FFBFC75E202}"/>
    <hyperlink ref="O194" r:id="rId204" display="http://turnertracker.com/data/extensions_data/tickets/f/b/a/0/9/1000053RD//ticket.jpg" xr:uid="{0D76555C-9F1A-7B48-8120-C42D98A76DDE}"/>
    <hyperlink ref="O195" r:id="rId205" display="http://turnertracker.com/data/extensions_data/tickets/1/7/c/d/3/1000055RD//ticket.jpg" xr:uid="{04ED6298-D557-5E47-92F0-0D50B72BA64D}"/>
    <hyperlink ref="O196" r:id="rId206" display="http://turnertracker.com/data/extensions_data/tickets/4/9/b/8/e/1000058RD//ticket.jpg" xr:uid="{0C3B7134-C135-D846-9E82-23C41E7AEE38}"/>
    <hyperlink ref="O198" r:id="rId207" display="http://turnertracker.com/data/extensions_data/tickets/3/f/e/a/e/1000064RD//ticket.jpg" xr:uid="{0A29F332-FCE9-5749-BB02-5EE3A3F9BD05}"/>
    <hyperlink ref="O199" r:id="rId208" display="http://turnertracker.com/data/extensions_data/tickets/2/1/8/2/1/1000066RD//ticket.jpg" xr:uid="{D2B24D30-1AAF-A448-9E00-0F9147B3B014}"/>
    <hyperlink ref="O197" r:id="rId209" display="http://turnertracker.com/data/extensions_data/tickets/e/8/2/e/0/1069251RD//ticket.jpg" xr:uid="{36361AB8-8D9C-B14C-894D-2D44C1368C99}"/>
    <hyperlink ref="O202" r:id="rId210" display="http://turnertracker.com/data/extensions_data/tickets/0/5/1/e/1/1069252RD//ticket.jpg" xr:uid="{F14A3173-EE5D-1040-9727-8D54B86B5C4C}"/>
    <hyperlink ref="O206" r:id="rId211" display="http://turnertracker.com/data/extensions_data/tickets/c/5/d/3/f/1069253RD//ticket.jpg" xr:uid="{7A526768-067B-B249-B11E-587702E87FF6}"/>
    <hyperlink ref="O210" r:id="rId212" display="http://turnertracker.com/data/extensions_data/tickets/5/c/0/7/e/1069254RD//ticket.jpg" xr:uid="{DAB07F0D-2CB5-104B-B74C-8CFEEA4808CE}"/>
    <hyperlink ref="O213" r:id="rId213" display="http://turnertracker.com/data/extensions_data/tickets/8/d/1/7/4/1069255RD//ticket.jpg" xr:uid="{3D9FF116-E950-BD43-9984-54080ACE46A9}"/>
    <hyperlink ref="O216" r:id="rId214" display="http://turnertracker.com/data/extensions_data/tickets/9/9/c/f/5/1069256RD//ticket.jpg" xr:uid="{A84AA535-FA06-D048-ADA3-B743974EAC26}"/>
    <hyperlink ref="O218" r:id="rId215" display="http://turnertracker.com/data/extensions_data/tickets/6/0/f/c/a/1069257RD//ticket.jpg" xr:uid="{E44649A1-D709-1A41-A039-6561ADAF560F}"/>
    <hyperlink ref="O226" r:id="rId216" display="http://turnertracker.com/data/extensions_data/tickets/b/b/8/7/6/1069258RD//ticket.jpg" xr:uid="{6A74920D-E6D8-6F46-93F1-49D79A1FB6E2}"/>
    <hyperlink ref="O234" r:id="rId217" display="http://turnertracker.com/data/extensions_data/tickets/3/d/1/9/9/1069259RD//ticket.jpg" xr:uid="{97AEA011-779D-7948-9D61-5084BD13D061}"/>
    <hyperlink ref="O237" r:id="rId218" display="http://turnertracker.com/data/extensions_data/tickets/b/d/7/c/6/1069260RD//ticket.jpg" xr:uid="{20C6D93E-4EF1-6C43-A29F-FA1977F64BDF}"/>
    <hyperlink ref="O242" r:id="rId219" display="http://turnertracker.com/data/extensions_data/tickets/f/f/d/6/2/1069261RD//ticket.jpg" xr:uid="{1CC54543-DFEF-7648-8D11-1C3857FCD1AA}"/>
    <hyperlink ref="O245" r:id="rId220" display="http://turnertracker.com/data/extensions_data/tickets/4/5/3/7/f/1069262RD//ticket.jpg" xr:uid="{2C267172-6757-1C49-8C94-52556097C9B8}"/>
    <hyperlink ref="O247" r:id="rId221" display="http://turnertracker.com/data/extensions_data/tickets/3/e/7/3/d/1069263RD//ticket.jpg" xr:uid="{A3E31004-D5B1-AD43-8826-809CFB539189}"/>
    <hyperlink ref="O249" r:id="rId222" display="http://turnertracker.com/data/extensions_data/tickets/1/4/f/5/0/1069264RD//ticket.jpg" xr:uid="{86B96406-9847-2345-96F5-E9455CA9750E}"/>
    <hyperlink ref="O251" r:id="rId223" display="http://turnertracker.com/data/extensions_data/tickets/6/7/4/c/f/1069265RD//ticket.jpg" xr:uid="{BBDC7784-F0EE-264C-966D-4442DFFA4046}"/>
    <hyperlink ref="O252" r:id="rId224" display="http://turnertracker.com/data/extensions_data/tickets/a/0/e/7/7/1069266RD//ticket.jpg" xr:uid="{DFF83B6E-E7D7-934E-BCFD-33305EB4B3A9}"/>
    <hyperlink ref="O256" r:id="rId225" display="http://turnertracker.com/data/extensions_data/tickets/5/b/4/e/6/1069267RD//ticket.jpg" xr:uid="{63D37381-F13D-0348-BC8F-FD99B9DD955A}"/>
    <hyperlink ref="O253" r:id="rId226" display="http://turnertracker.com/data/extensions_data/tickets/d/9/0/f/1/1069268RD//ticket.jpg" xr:uid="{418C13A3-93AA-4148-9F09-1294E9B62297}"/>
    <hyperlink ref="O258" r:id="rId227" display="http://turnertracker.com/data/extensions_data/tickets/1/a/3/c/d/1069269RD//ticket.jpg" xr:uid="{63750ADA-F15E-6146-B68F-3330A8F312DE}"/>
    <hyperlink ref="O259" r:id="rId228" display="http://turnertracker.com/data/extensions_data/tickets/6/4/d/0/7/1069270RD//ticket.jpg" xr:uid="{1110159A-E40D-7147-B1B6-941912D6E21E}"/>
    <hyperlink ref="O267" r:id="rId229" display="http://turnertracker.com/data/extensions_data/tickets/6/9/b/7/8/1069271RD//ticket.jpg" xr:uid="{E1FED4FD-370F-8641-9288-A693728C0FE6}"/>
    <hyperlink ref="O278" r:id="rId230" display="http://turnertracker.com/data/extensions_data/tickets/6/b/b/e/c/1076881RD//ticket.jpg" xr:uid="{CBD813A7-9E50-F44F-8A6C-B3B7BA57D05A}"/>
    <hyperlink ref="O288" r:id="rId231" display="http://turnertracker.com/data/extensions_data/tickets/9/2/4/9/d/1089155RD//ticket.jpg" xr:uid="{3ACB8B72-25FF-154A-AD0E-47133B9E6963}"/>
    <hyperlink ref="O297" r:id="rId232" display="http://turnertracker.com/data/extensions_data/tickets/9/3/f/c/f/1089156RD//ticket.jpg" xr:uid="{9B8B355F-F676-E942-B626-8966878B7CD7}"/>
    <hyperlink ref="O301" r:id="rId233" display="http://turnertracker.com/data/extensions_data/tickets/1/5/b/a/d/1089157RD//ticket.jpg" xr:uid="{B1A588E1-70F7-9D41-BA36-C2A8C3BA72FE}"/>
    <hyperlink ref="O308" r:id="rId234" display="http://turnertracker.com/data/extensions_data/tickets/1/4/8/5/3/1089158RD//ticket.jpg" xr:uid="{94CE5D8A-784C-1E4B-96B3-2B8542A3EC4C}"/>
    <hyperlink ref="O279" r:id="rId235" display="http://turnertracker.com/data/extensions_data/tickets/1/8/4/6/3/1101906RD//ticket.jpg" xr:uid="{B6299ECC-1E43-4E4E-A75E-F990E3D0E4AF}"/>
    <hyperlink ref="O289" r:id="rId236" display="http://turnertracker.com/data/extensions_data/tickets/9/8/b/b/4/1101915RD//ticket.jpg" xr:uid="{19531E23-E990-394C-A456-A879A82B6E1B}"/>
    <hyperlink ref="O298" r:id="rId237" display="http://turnertracker.com/data/extensions_data/tickets/0/8/1/5/b/1101916RD//ticket.jpg" xr:uid="{5CC3A0F0-A6BF-F249-9325-DAAA1C9DB1D2}"/>
    <hyperlink ref="O302" r:id="rId238" display="http://turnertracker.com/data/extensions_data/tickets/f/a/1/f/7/1101919RD//ticket.jpg" xr:uid="{7D765AC7-B028-1B48-95F9-E98EA1750A35}"/>
    <hyperlink ref="O309" r:id="rId239" display="http://turnertracker.com/data/extensions_data/tickets/2/4/b/1/1/1101920RD//ticket.jpg" xr:uid="{87085FC9-C44E-0F4A-B0ED-16C1AAD46B5D}"/>
    <hyperlink ref="O319" r:id="rId240" display="http://turnertracker.com/data/extensions_data/tickets/e/3/3/5/b/1101922RD//ticket.jpg" xr:uid="{ED728834-894F-DA49-92EE-ED9D8967971E}"/>
    <hyperlink ref="O322" r:id="rId241" display="http://turnertracker.com/data/extensions_data/tickets/8/3/2/b/1/1101924RD//ticket.jpg" xr:uid="{09C1ABA0-164C-4F41-8ABB-93722E7498F1}"/>
    <hyperlink ref="O332" r:id="rId242" display="http://turnertracker.com/data/extensions_data/tickets/3/0/6/1/4/1101925RD//ticket.jpg" xr:uid="{AEFF0570-6F7D-5A4F-83B8-E4FCAE8F13E4}"/>
    <hyperlink ref="O358" r:id="rId243" display="http://turnertracker.com/data/extensions_data/tickets/4/5/7/1/f/1163637RD//ticket.jpg" xr:uid="{5CA044BA-29B3-594F-88EB-215D5F107E93}"/>
    <hyperlink ref="O370" r:id="rId244" display="http://turnertracker.com/data/extensions_data/tickets/9/9/c/e/f/1163640RD//ticket.jpg" xr:uid="{39E5AB15-4859-5A42-9955-3635D7486B70}"/>
    <hyperlink ref="O376" r:id="rId245" display="http://turnertracker.com/data/extensions_data/tickets/6/4/1/8/b/1163642RD//ticket.jpg" xr:uid="{0A9D0F85-04B2-8D4C-8051-D8BB879F3582}"/>
    <hyperlink ref="O382" r:id="rId246" display="http://turnertracker.com/data/extensions_data/tickets/1/3/d/c/a/1163645RD//ticket.jpg" xr:uid="{A2AD8ABD-8E11-664D-A8EB-9AAA8D98D19C}"/>
    <hyperlink ref="O396" r:id="rId247" display="http://turnertracker.com/data/extensions_data/tickets/c/7/1/1/8/1163646RD//ticket.jpg" xr:uid="{283F85FA-FFAB-A541-AE7E-1DE729EB2443}"/>
    <hyperlink ref="O409" r:id="rId248" display="http://turnertracker.com/data/extensions_data/tickets/f/c/6/7/a/1163647RD//ticket.jpg" xr:uid="{7CC1F6B5-6E08-434C-ACEE-1E5C922781CB}"/>
    <hyperlink ref="O415" r:id="rId249" display="http://turnertracker.com/data/extensions_data/tickets/3/c/6/a/a/1163648RD//ticket.jpg" xr:uid="{6D469781-CA4A-AD48-AF80-F2D4C6775709}"/>
    <hyperlink ref="O440" r:id="rId250" display="http://turnertracker.com/data/extensions_data/tickets/5/e/5/e/4/1187645RD//ticket.jpg" xr:uid="{A8187197-1D91-E14C-9289-A88D06DC9190}"/>
    <hyperlink ref="O447" r:id="rId251" display="http://turnertracker.com/data/extensions_data/tickets/7/0/4/d/6/1188000RD//ticket.jpg" xr:uid="{5C0FC6C2-0235-5149-A6EC-F718CB28337E}"/>
    <hyperlink ref="O452" r:id="rId252" display="http://turnertracker.com/data/extensions_data/tickets/5/d/4/c/b/1188009RD//ticket.jpg" xr:uid="{4AC1C6F2-2497-F245-A4B2-E137B2261FB0}"/>
    <hyperlink ref="O453" r:id="rId253" display="http://turnertracker.com/data/extensions_data/tickets/6/b/f/2/b/1188014RD//ticket.jpg" xr:uid="{81041985-F86D-6C45-9084-45B827E03D14}"/>
    <hyperlink ref="O457" r:id="rId254" display="http://turnertracker.com/data/extensions_data/tickets/8/a/0/f/2/1188019RD//ticket.jpg" xr:uid="{66200D3B-2D79-3E44-A9EB-3FC0C5159C1D}"/>
    <hyperlink ref="O460" r:id="rId255" display="http://turnertracker.com/data/extensions_data/tickets/7/2/7/f/b/1188028RD//ticket.jpg" xr:uid="{879423B6-E6B6-1244-97D1-4F98BB94AD35}"/>
    <hyperlink ref="O461" r:id="rId256" display="http://turnertracker.com/data/extensions_data/tickets/f/5/b/0/a/1188032RD//ticket.jpg" xr:uid="{18884B58-9517-FB4A-A0B4-E1183D1A424A}"/>
    <hyperlink ref="O466" r:id="rId257" display="http://turnertracker.com/data/extensions_data/tickets/1/1/7/d/7/1188059RD//ticket.jpg" xr:uid="{9724A6B3-4FCB-0F49-B132-BAF410E42A45}"/>
    <hyperlink ref="O473" r:id="rId258" display="http://turnertracker.com/data/extensions_data/tickets/4/a/d/2/5/1188060RD//ticket.jpg" xr:uid="{E54A8DB5-7087-E742-A50F-ABB5E43E8715}"/>
    <hyperlink ref="O467" r:id="rId259" display="http://turnertracker.com/data/extensions_data/tickets/3/b/a/7/c/1188061RD//ticket.jpg" xr:uid="{0BBAD624-E1D4-F24D-904C-C1604B179661}"/>
    <hyperlink ref="O474" r:id="rId260" display="http://turnertracker.com/data/extensions_data/tickets/4/d/4/6/3/1188062RD//ticket.jpg" xr:uid="{EB843F05-06BE-3D45-A6A6-716EAF417126}"/>
    <hyperlink ref="O475" r:id="rId261" display="http://turnertracker.com/data/extensions_data/tickets/0/f/f/0/c/1188063RD//ticket.jpg" xr:uid="{492FADCB-57E8-754C-B711-B894E0982BDB}"/>
    <hyperlink ref="O481" r:id="rId262" display="http://turnertracker.com/data/extensions_data/tickets/7/9/7/4/8/1188071RD//ticket.jpg" xr:uid="{4E5EEAA6-9B5B-DB43-B5B6-33EFCC8C0450}"/>
    <hyperlink ref="O482" r:id="rId263" display="http://turnertracker.com/data/extensions_data/tickets/a/3/3/6/3/1188080RD//ticket.jpg" xr:uid="{BF5B42E7-6308-514E-8B6B-6A89375E7F33}"/>
    <hyperlink ref="O483" r:id="rId264" display="http://turnertracker.com/data/extensions_data/tickets/b/6/d/7/5/1188090RD//ticket.jpg" xr:uid="{77E93884-9FD8-7F43-AFDB-DDEF70396917}"/>
    <hyperlink ref="O485" r:id="rId265" display="http://turnertracker.com/data/extensions_data/tickets/7/8/f/6/c/1188093RD//ticket.jpg" xr:uid="{DA6615AD-0CC2-B840-89CB-DBDA4C2129FD}"/>
    <hyperlink ref="O494" r:id="rId266" display="http://turnertracker.com/data/extensions_data/tickets/4/3/e/2/b/1188094RD//ticket.jpg" xr:uid="{BDC1E0FE-053F-0E46-845D-C338F43BFC6D}"/>
    <hyperlink ref="O499" r:id="rId267" display="http://turnertracker.com/data/extensions_data/tickets/1/d/c/2/0/1188097RD//ticket.jpg" xr:uid="{727113EE-5D67-2345-9E27-1F42F73C494B}"/>
    <hyperlink ref="O506" r:id="rId268" display="http://turnertracker.com/data/extensions_data/tickets/b/b/f/7/5/1188100RD//ticket.jpg" xr:uid="{CA327851-755E-094F-9712-A922CC3D2DD6}"/>
    <hyperlink ref="O518" r:id="rId269" display="http://turnertracker.com/data/extensions_data/tickets/8/7/b/6/7/1188101RD//ticket.jpg" xr:uid="{70037449-5569-4640-BE7F-E40096ECA5C7}"/>
    <hyperlink ref="O441" r:id="rId270" display="http://turnertracker.com/data/extensions_data/tickets/9/d/8/e/b/1193881RD//ticket.jpg" xr:uid="{AB1A3E89-9ED9-BD41-A732-B2C9A5C49D5C}"/>
    <hyperlink ref="O442" r:id="rId271" display="http://turnertracker.com/data/extensions_data/tickets/9/9/5/1/8/1193883RD//ticket.jpg" xr:uid="{32574645-F544-CC4C-9DE4-BF818FEAD5FD}"/>
    <hyperlink ref="O448" r:id="rId272" display="http://turnertracker.com/data/extensions_data/tickets/a/c/b/0/7/1193885RD//ticket.jpg" xr:uid="{70E9B6A9-90EE-8D4F-A667-6AD9584AC7CD}"/>
    <hyperlink ref="O454" r:id="rId273" display="http://turnertracker.com/data/extensions_data/tickets/c/c/9/3/e/1193887RD//ticket.jpg" xr:uid="{780A3579-F9D3-0847-93DB-760031B28DAD}"/>
    <hyperlink ref="O530" r:id="rId274" display="http://turnertracker.com/data/extensions_data/tickets/b/7/1/b/5/1193888RD//ticket.jpg" xr:uid="{27299421-3E64-7A49-902A-0C44BBDCE3FC}"/>
    <hyperlink ref="O458" r:id="rId275" display="http://turnertracker.com/data/extensions_data/tickets/a/6/0/2/b/1193890RD//ticket.jpg" xr:uid="{982B7CA3-58F0-1A45-BF09-A43CF15881AE}"/>
    <hyperlink ref="O462" r:id="rId276" display="http://turnertracker.com/data/extensions_data/tickets/1/5/f/3/5/1193891RD//ticket.jpg" xr:uid="{6B4EAC10-0EC6-3745-A75D-3ED73AEEC9F9}"/>
    <hyperlink ref="O463" r:id="rId277" display="http://turnertracker.com/data/extensions_data/tickets/b/2/4/b/3/1193892RD//ticket.jpg" xr:uid="{4916DFB8-5D7A-5245-BDEE-B42984B765EF}"/>
    <hyperlink ref="O468" r:id="rId278" display="http://turnertracker.com/data/extensions_data/tickets/3/e/c/f/c/1193893RD//ticket.jpg" xr:uid="{5CE523FB-C56E-3B42-94E4-78A632184AD1}"/>
    <hyperlink ref="O476" r:id="rId279" display="http://turnertracker.com/data/extensions_data/tickets/a/4/1/0/e/1193894RD//ticket.jpg" xr:uid="{FC0CACF8-B077-8947-BFE3-248BA3349E00}"/>
    <hyperlink ref="O469" r:id="rId280" display="http://turnertracker.com/data/extensions_data/tickets/1/4/4/6/e/1193895RD//ticket.jpg" xr:uid="{C07F230B-7282-D940-A319-2127B7099F50}"/>
    <hyperlink ref="O477" r:id="rId281" display="http://turnertracker.com/data/extensions_data/tickets/6/b/9/c/a/1193903RD//ticket.jpg" xr:uid="{06508456-52F9-314C-B3F4-2A7094B8D236}"/>
    <hyperlink ref="O478" r:id="rId282" display="http://turnertracker.com/data/extensions_data/tickets/7/3/b/d/a/1193904RD//ticket.jpg" xr:uid="{27A63A06-C2D1-D74F-92E3-BD4CEFFB1D99}"/>
    <hyperlink ref="O486" r:id="rId283" display="http://turnertracker.com/data/extensions_data/tickets/f/7/1/2/1/1193906RD//ticket.jpg" xr:uid="{84722FD4-F35C-2946-8A43-7B0B318CA340}"/>
    <hyperlink ref="O487" r:id="rId284" display="http://turnertracker.com/data/extensions_data/tickets/3/d/c/f/0/1193908RD//ticket.jpg" xr:uid="{4B4B01B8-734A-C449-8687-7B8E79D71C31}"/>
    <hyperlink ref="O495" r:id="rId285" display="http://turnertracker.com/data/extensions_data/tickets/6/e/9/2/2/1193910RD//ticket.jpg" xr:uid="{766D6963-EF0C-074D-95FF-1355038AFDDF}"/>
    <hyperlink ref="O500" r:id="rId286" display="http://turnertracker.com/data/extensions_data/tickets/e/c/4/9/6/1193916RD//ticket.jpg" xr:uid="{082CF6B1-7616-7846-A001-8DB7A4994356}"/>
    <hyperlink ref="O507" r:id="rId287" display="http://turnertracker.com/data/extensions_data/tickets/0/b/4/5/4/1193917RD//ticket.jpg" xr:uid="{35CA37CF-37CC-3645-AC3E-E290F96E76D9}"/>
    <hyperlink ref="O519" r:id="rId288" display="http://turnertracker.com/data/extensions_data/tickets/b/0/7/7/8/1193918RD//ticket.jpg" xr:uid="{64C86164-1296-7B40-A19D-48FCFCF5D367}"/>
    <hyperlink ref="O521" r:id="rId289" display="http://turnertracker.com/data/extensions_data/tickets/8/c/d/2/2/1193924RD//ticket.jpg" xr:uid="{6ADAE169-E6C5-D649-B725-E70C84C833C4}"/>
    <hyperlink ref="O531" r:id="rId290" display="http://turnertracker.com/data/extensions_data/tickets/1/5/d/6/3/1193925RD//ticket.jpg" xr:uid="{35683B72-2DD3-6544-91A8-5B0D8EFA7867}"/>
    <hyperlink ref="O546" r:id="rId291" display="http://turnertracker.com/data/extensions_data/tickets/5/0/6/c/b/1193927RD//ticket.jpg" xr:uid="{44BCE943-6A8E-DE48-84BB-13B96883D04B}"/>
    <hyperlink ref="O410" r:id="rId292" display="http://turnertracker.com/data/extensions_data/tickets/0/7/e/5/d/1193933RD//ticket.jpg" xr:uid="{4424258A-8A25-B140-98FE-A8092B54F5F8}"/>
    <hyperlink ref="O416" r:id="rId293" display="http://turnertracker.com/data/extensions_data/tickets/5/8/c/3/8/1193934RD//ticket.jpg" xr:uid="{C9779B8F-343D-D944-9BEA-330FAD9BE5E3}"/>
    <hyperlink ref="O420" r:id="rId294" display="http://turnertracker.com/data/extensions_data/tickets/0/5/e/d/2/1193940RD//ticket.jpg" xr:uid="{DD873139-052D-8543-9E6D-63524A526EB8}"/>
    <hyperlink ref="O423" r:id="rId295" display="http://turnertracker.com/data/extensions_data/tickets/a/c/7/c/b/1193941RD//ticket.jpg" xr:uid="{89325E8E-B1BB-8346-9E73-1120920EB093}"/>
    <hyperlink ref="O432" r:id="rId296" display="http://turnertracker.com/data/extensions_data/tickets/5/b/4/c/6/1193942RD//ticket.jpg" xr:uid="{9A9987B3-20B9-614B-9AF0-921C995B72EF}"/>
    <hyperlink ref="O436" r:id="rId297" display="http://turnertracker.com/data/extensions_data/tickets/a/b/7/2/3/1193943RD//ticket.jpg" xr:uid="{295189BF-E716-644E-B8FB-ED2197A14F14}"/>
    <hyperlink ref="O378" r:id="rId298" display="http://turnertracker.com/data/extensions_data/tickets/3/f/e/4/2/1193944RD//ticket.jpg" xr:uid="{47E33025-3503-6948-B5D9-08BADBD54EA9}"/>
    <hyperlink ref="O383" r:id="rId299" display="http://turnertracker.com/data/extensions_data/tickets/e/4/2/9/c/1193945RD//ticket.jpg" xr:uid="{635DCC39-ABA6-F046-9E41-6AC84C42AE92}"/>
    <hyperlink ref="O390" r:id="rId300" display="http://turnertracker.com/data/extensions_data/tickets/c/9/d/4/8/1193951RD//ticket.jpg" xr:uid="{C0374564-0C07-2342-82D4-6CB98BB7A932}"/>
    <hyperlink ref="O397" r:id="rId301" display="http://turnertracker.com/data/extensions_data/tickets/5/1/4/4/6/1193952RD//ticket.jpg" xr:uid="{40FFD81F-208E-094B-B6E1-EF47A4E96A0F}"/>
    <hyperlink ref="O333" r:id="rId302" display="http://turnertracker.com/data/extensions_data/tickets/b/7/f/a/b/1194106RD//ticket.jpg" xr:uid="{B4D58F44-604C-9240-8EF8-2E89E14C724F}"/>
    <hyperlink ref="O323" r:id="rId303" display="http://turnertracker.com/data/extensions_data/tickets/4/2/8/2/f/1194113RD//ticket.jpg" xr:uid="{603DDCE8-8B93-8F4D-AF3C-55849D32C4E3}"/>
    <hyperlink ref="O324" r:id="rId304" display="http://turnertracker.com/data/extensions_data/tickets/c/6/0/2/e/1194115RD//ticket.jpg" xr:uid="{E86DFD15-EAD1-5B42-852C-AD101CB499AC}"/>
    <hyperlink ref="O320" r:id="rId305" display="http://turnertracker.com/data/extensions_data/tickets/b/f/b/7/9/1194120RD//ticket.jpg" xr:uid="{511AB2ED-4AC8-D740-98FE-9DFE94EF5349}"/>
    <hyperlink ref="O351" r:id="rId306" display="http://turnertracker.com/data/extensions_data/tickets/c/1/4/c/e/1194127RD//ticket.jpg" xr:uid="{66848984-CF8F-4544-9017-2D57D82E4726}"/>
    <hyperlink ref="O359" r:id="rId307" display="http://turnertracker.com/data/extensions_data/tickets/7/f/a/5/0/1194131RD//ticket.jpg" xr:uid="{90058977-D5E3-FD4A-870D-89C3CFD049A7}"/>
    <hyperlink ref="O377" r:id="rId308" display="http://turnertracker.com/data/extensions_data/tickets/4/1/3/f/9/1194135RD//ticket.jpg" xr:uid="{EF0D22D6-F9BC-0F47-AB21-BAA4345CD225}"/>
    <hyperlink ref="O567" r:id="rId309" display="http://turnertracker.com/data/extensions_data/tickets/1/5/9/8/5/1205063RD//ticket.jpg" xr:uid="{6A2E83F1-95EC-384B-AD02-10AFDE63776B}"/>
    <hyperlink ref="O587" r:id="rId310" display="http://turnertracker.com/data/extensions_data/tickets/2/6/9/b/5/1219079RD//ticket.jpg" xr:uid="{147FBEBB-6744-5F49-BFFD-89CC9F60B4CD}"/>
    <hyperlink ref="O612" r:id="rId311" display="http://turnertracker.com/data/extensions_data/tickets/a/0/d/8/2/1219080RD//ticket.jpg" xr:uid="{41009A22-FE2F-1042-A339-78067BBD9EB9}"/>
    <hyperlink ref="O624" r:id="rId312" display="http://turnertracker.com/data/extensions_data/tickets/0/0/1/f/2/1233084RD//ticket.jpg" xr:uid="{94177BF9-3323-6D41-858A-E7AC04A2A6C2}"/>
    <hyperlink ref="O651" r:id="rId313" display="http://turnertracker.com/data/extensions_data/tickets/a/f/9/0/9/1233088RD//ticket.jpg" xr:uid="{8F60ECD2-37A5-8445-BB10-E6A1923E4BC4}"/>
    <hyperlink ref="O735" r:id="rId314" display="http://turnertracker.com/data/extensions_data/tickets/4/7/3/4/5/1261758RD//ticket.jpg" xr:uid="{A4DE2AC6-DC50-504A-A7DE-7B83F7ED63C6}"/>
    <hyperlink ref="O799" r:id="rId315" display="http://turnertracker.com/data/extensions_data/tickets/1/4/f/6/1/1310068RD//ticket.jpg" xr:uid="{B9CC86A6-52B5-F543-891F-97AC4C7A0B98}"/>
    <hyperlink ref="O860" r:id="rId316" display="http://turnertracker.com/data/extensions_data/tickets/b/2/1/c/0/1310069RD//ticket.jpg" xr:uid="{17D06EBE-5400-C748-91E8-BD126306B666}"/>
    <hyperlink ref="O806" r:id="rId317" display="http://turnertracker.com/data/extensions_data/tickets/0/c/7/2/2/1310070RD//ticket.jpg" xr:uid="{9A4811EF-0114-E645-9A91-15592F5A53F8}"/>
    <hyperlink ref="O814" r:id="rId318" display="http://turnertracker.com/data/extensions_data/tickets/e/f/1/e/e/1310071RD//ticket.jpg" xr:uid="{1953217C-A2CE-004D-9AAD-C67D0703BD29}"/>
    <hyperlink ref="O795" r:id="rId319" display="http://turnertracker.com/data/extensions_data/tickets/a/1/0/a/5/1310072RD//ticket.jpg" xr:uid="{B737CE93-01C5-1A49-B500-84F7EBFECDFC}"/>
    <hyperlink ref="O875" r:id="rId320" display="http://turnertracker.com/data/extensions_data/tickets/8/c/3/3/1/1310073RD//ticket.jpg" xr:uid="{E9A1F3AF-94EE-C546-A4DE-A6B7F1D0AB1A}"/>
    <hyperlink ref="O944" r:id="rId321" display="http://turnertracker.com/data/extensions_data/tickets/5/1/f/4/a/1380071RD//ticket.jpg" xr:uid="{B249FE57-B21F-1745-9454-1965D44FA39F}"/>
    <hyperlink ref="O945" r:id="rId322" display="http://turnertracker.com/data/extensions_data/tickets/d/c/e/0/9/1380072RD//ticket.jpg" xr:uid="{B73633B9-EFB1-0E4F-AB07-C0B0694D8545}"/>
    <hyperlink ref="O946" r:id="rId323" display="http://turnertracker.com/data/extensions_data/tickets/0/e/9/9/0/1380073RD//ticket.jpg" xr:uid="{589B6017-969F-2C41-B5D8-15EC91F7CF4C}"/>
    <hyperlink ref="O947" r:id="rId324" display="http://turnertracker.com/data/extensions_data/tickets/f/c/5/3/f/1380075RD//ticket.jpg" xr:uid="{37A6D932-9358-AA42-BB4E-0B5815536957}"/>
    <hyperlink ref="O948" r:id="rId325" display="http://turnertracker.com/data/extensions_data/tickets/b/9/3/0/3/1380076RD//ticket.jpg" xr:uid="{CB11004C-4FCE-254E-8501-AFC890C12602}"/>
    <hyperlink ref="O949" r:id="rId326" display="http://turnertracker.com/data/extensions_data/tickets/c/8/3/0/5/1380186RD//ticket.jpg" xr:uid="{DCA6EB73-9110-B347-9F91-6A553DAB41A4}"/>
    <hyperlink ref="O991" r:id="rId327" display="http://turnertracker.com/data/extensions_data/tickets/0/5/3/f/d/1380188RD//ticket.jpg" xr:uid="{BF49662E-EF54-5348-BB93-72E104355304}"/>
    <hyperlink ref="O992" r:id="rId328" display="http://turnertracker.com/data/extensions_data/tickets/7/2/c/d/b/1380189RD//ticket.jpg" xr:uid="{73E45370-6664-0A4A-8617-9A39E5AFE1B5}"/>
    <hyperlink ref="O998" r:id="rId329" display="http://turnertracker.com/data/extensions_data/tickets/1/1/b/1/4/1380190RD//ticket.jpg" xr:uid="{2B34D728-6C15-D044-8EDB-A88D2E4DF106}"/>
    <hyperlink ref="O1003" r:id="rId330" display="http://turnertracker.com/data/extensions_data/tickets/1/6/7/8/9/1380205RD//ticket.jpg" xr:uid="{E144AD94-D008-E34F-86C6-1CB4A6240520}"/>
    <hyperlink ref="O1014" r:id="rId331" display="http://turnertracker.com/data/extensions_data/tickets/6/c/8/2/2/1380206RD//ticket.jpg" xr:uid="{FFF1461C-1F71-C84C-BE36-D1BFAEABFC55}"/>
    <hyperlink ref="O1069" r:id="rId332" display="http://turnertracker.com/data/extensions_data/tickets/1/8/d/8/9/1380209RD//ticket.jpg" xr:uid="{E8A00CDF-28EA-C145-9022-59E23D5B324F}"/>
    <hyperlink ref="O926" r:id="rId333" display="http://turnertracker.com/data/extensions_data/tickets/1/e/5/d/6/1380270RD//ticket.jpg" xr:uid="{3097D9C0-A1AF-E640-9C74-D24932743B24}"/>
    <hyperlink ref="O929" r:id="rId334" display="http://turnertracker.com/data/extensions_data/tickets/6/d/a/d/0/1380271RD//ticket.jpg" xr:uid="{892D4990-CBE2-BB4B-A11B-43DB3DAA76D9}"/>
    <hyperlink ref="O930" r:id="rId335" display="http://turnertracker.com/data/extensions_data/tickets/c/1/6/9/a/1380272RD//ticket.jpg" xr:uid="{6C3F9C2D-E408-6D4D-81B7-F968B8BB51B2}"/>
    <hyperlink ref="O931" r:id="rId336" display="http://turnertracker.com/data/extensions_data/tickets/6/5/0/d/7/1380273RD//ticket.jpg" xr:uid="{0F170D99-C1EB-6545-BDCB-6F9A573B4626}"/>
    <hyperlink ref="O1103" r:id="rId337" display="http://turnertracker.com/data/extensions_data/tickets/9/1/8/6/7/1392480RD//ticket.jpg" xr:uid="{38EF8D9E-3EEB-D543-BFB6-54982E053689}"/>
    <hyperlink ref="O1125" r:id="rId338" display="http://turnertracker.com/data/extensions_data/tickets/4/9/4/e/b/1417107RD//ticket.jpg" xr:uid="{158F7E25-9A31-2246-BDD3-FF09F69FCA6A}"/>
    <hyperlink ref="O1137" r:id="rId339" display="http://turnertracker.com/data/extensions_data/tickets/c/d/4/7/2/1417115RD//ticket.jpg" xr:uid="{706FB676-5C87-574C-9F37-85779A272552}"/>
    <hyperlink ref="O1162" r:id="rId340" display="http://turnertracker.com/data/extensions_data/tickets/c/3/0/4/7/1419141RD//ticket.jpg" xr:uid="{B3CB6800-3831-1D4F-886D-C2FA1F4408F4}"/>
    <hyperlink ref="O1171" r:id="rId341" display="http://turnertracker.com/data/extensions_data/tickets/d/6/0/1/c/1436049RD//ticket.jpg" xr:uid="{AE9AB3F0-D6C6-5B44-B03D-12B11804D4E6}"/>
    <hyperlink ref="O1176" r:id="rId342" display="http://turnertracker.com/data/extensions_data/tickets/0/b/e/1/f/1436054RD//ticket.jpg" xr:uid="{2CBF3BBF-74D3-B043-BEC7-6563CB15F5E4}"/>
    <hyperlink ref="O1187" r:id="rId343" display="http://turnertracker.com/data/extensions_data/tickets/1/0/1/2/a/1458029RD//ticket.jpg" xr:uid="{F7960560-C318-CB49-BAFA-B28EFCCCA82A}"/>
    <hyperlink ref="O222" r:id="rId344" display="http://turnertracker.com/data/extensions_data/tickets/2/3/0/3/9/1031354RD//ticket.jpg" xr:uid="{9659C2B5-2724-F345-A585-8634CBA8F22A}"/>
    <hyperlink ref="O223" r:id="rId345" display="http://turnertracker.com/data/extensions_data/tickets/6/f/5/0/2/1031355RD//ticket.jpg" xr:uid="{EE336249-BC40-D749-8223-F467654B6323}"/>
    <hyperlink ref="O224" r:id="rId346" display="http://turnertracker.com/data/extensions_data/tickets/f/a/b/3/e/1031362RD//ticket.jpg" xr:uid="{E14BBC0D-6E9F-594D-868E-39A3880AFE94}"/>
    <hyperlink ref="O406" r:id="rId347" display="http://turnertracker.com/data/extensions_data/tickets/2/5/9/3/4/1165876RD//ticket.jpg" xr:uid="{92BB1A47-DB4C-1A4B-B059-8ED67D85E05B}"/>
    <hyperlink ref="O421" r:id="rId348" display="http://turnertracker.com/data/extensions_data/tickets/f/8/1/d/5/1165925RD//ticket.jpg" xr:uid="{BBAE1CEB-70FD-3F4A-93CD-07AF0DE422E3}"/>
    <hyperlink ref="O425" r:id="rId349" display="http://turnertracker.com/data/extensions_data/tickets/e/7/8/b/f/1165930RD//ticket.jpg" xr:uid="{D5CA0DDA-F262-DA41-921B-8CC556E74DE8}"/>
    <hyperlink ref="O428" r:id="rId350" display="http://turnertracker.com/data/extensions_data/tickets/a/b/b/d/3/1165938RD//ticket.jpg" xr:uid="{07A6341D-7513-1F48-BF10-3146A8F39F94}"/>
    <hyperlink ref="O431" r:id="rId351" display="http://turnertracker.com/data/extensions_data/tickets/f/a/2/b/a/1182624RD//ticket.jpg" xr:uid="{E1CB4852-4699-EC42-ADAC-95815F5CB8D5}"/>
    <hyperlink ref="O437" r:id="rId352" display="http://turnertracker.com/data/extensions_data/tickets/1/e/6/8/7/1182630RD//ticket.jpg" xr:uid="{2B850AD0-DE18-4F4F-B296-A04CC7232811}"/>
    <hyperlink ref="O439" r:id="rId353" display="http://turnertracker.com/data/extensions_data/tickets/d/4/6/f/e/1182634RD//ticket.jpg" xr:uid="{1771CC88-85D6-B844-AFF2-65B01E1DFADC}"/>
    <hyperlink ref="O443" r:id="rId354" display="http://turnertracker.com/data/extensions_data/tickets/7/6/1/2/f/1182639RD//ticket.jpg" xr:uid="{C7E9DD31-AD83-D544-8894-236E4318AB7F}"/>
    <hyperlink ref="O449" r:id="rId355" display="http://turnertracker.com/data/extensions_data/tickets/e/0/5/9/c/1182646RD//ticket.jpg" xr:uid="{723ADF5A-7A5D-FF4F-AC25-171C310C33A4}"/>
    <hyperlink ref="O451" r:id="rId356" display="http://turnertracker.com/data/extensions_data/tickets/7/b/d/b/c/1182657RD//ticket.jpg" xr:uid="{E9B12A11-D57D-354A-96B3-D0E2CCE5B037}"/>
    <hyperlink ref="O455" r:id="rId357" display="http://turnertracker.com/data/extensions_data/tickets/b/5/8/b/d/1182659RD//ticket.jpg" xr:uid="{67BA783E-A548-AF48-8092-C6DF3CB12BAE}"/>
    <hyperlink ref="O464" r:id="rId358" display="http://turnertracker.com/data/extensions_data/tickets/0/2/3/1/2/1182670RD//ticket.jpg" xr:uid="{87D10781-4F59-CC41-86A2-0F0DF07A31F6}"/>
    <hyperlink ref="O470" r:id="rId359" display="http://turnertracker.com/data/extensions_data/tickets/0/1/b/d/8/1182673RD//ticket.jpg" xr:uid="{5B0498D4-E292-1748-B86C-301671E1CCE4}"/>
    <hyperlink ref="O471" r:id="rId360" display="http://turnertracker.com/data/extensions_data/tickets/7/2/7/3/8/1182675RD//ticket.jpg" xr:uid="{133DD6F6-63C2-794F-B1F3-34A0E7C56FB6}"/>
    <hyperlink ref="O488" r:id="rId361" display="http://turnertracker.com/data/extensions_data/tickets/7/0/9/6/a/1182755RD//ticket.jpg" xr:uid="{622C548E-9072-B349-BE65-70D32A9DDBF2}"/>
    <hyperlink ref="O490" r:id="rId362" display="http://turnertracker.com/data/extensions_data/tickets/e/1/9/1/a/1182760RD//ticket.jpg" xr:uid="{70069690-6981-794D-AFF8-CB009110C81B}"/>
    <hyperlink ref="O491" r:id="rId363" display="http://turnertracker.com/data/extensions_data/tickets/1/4/f/2/6/1182761RD//ticket.jpg" xr:uid="{2C39C26F-A96E-994D-AC18-EE5620767116}"/>
    <hyperlink ref="O497" r:id="rId364" display="http://turnertracker.com/data/extensions_data/tickets/8/e/9/5/e/1182764RD//ticket.jpg" xr:uid="{D46FC028-002D-7945-BA37-BED42D8A871C}"/>
    <hyperlink ref="O496" r:id="rId365" display="http://turnertracker.com/data/extensions_data/tickets/6/4/b/5/a/1182774RD//ticket.jpg" xr:uid="{FDE087AB-752F-0843-80DF-52EF7372EC69}"/>
    <hyperlink ref="O502" r:id="rId366" display="http://turnertracker.com/data/extensions_data/tickets/7/e/4/6/9/1182779RD//ticket.jpg" xr:uid="{7117C73F-76D2-AB4C-A87E-DDE02846547C}"/>
    <hyperlink ref="O508" r:id="rId367" display="http://turnertracker.com/data/extensions_data/tickets/0/7/4/d/f/1182787RD//ticket.jpg" xr:uid="{C73C79FB-30AA-764B-9901-6E170D574F11}"/>
    <hyperlink ref="O510" r:id="rId368" display="http://turnertracker.com/data/extensions_data/tickets/4/0/9/f/5/1182790RD//ticket.jpg" xr:uid="{B45CE991-6C4A-DD41-B11A-EDC56893C05E}"/>
    <hyperlink ref="O511" r:id="rId369" display="http://turnertracker.com/data/extensions_data/tickets/e/f/4/1/7/1182791RD//ticket.jpg" xr:uid="{8FA4FDA0-55E0-CC4A-8EC4-C1B4B15000F8}"/>
    <hyperlink ref="O513" r:id="rId370" display="http://turnertracker.com/data/extensions_data/tickets/0/f/0/5/9/1193653RD//ticket.jpg" xr:uid="{3717D243-34DB-CF48-8ECB-005CCDFE4942}"/>
    <hyperlink ref="O514" r:id="rId371" display="http://turnertracker.com/data/extensions_data/tickets/5/8/2/7/9/1193663RD//ticket.jpg" xr:uid="{4BCFF708-0865-E647-8371-F35649FE718F}"/>
    <hyperlink ref="O522" r:id="rId372" display="http://turnertracker.com/data/extensions_data/tickets/4/3/2/f/1/1193670RD//ticket.jpg" xr:uid="{4655CBD9-9B23-184C-AAAB-E555EB01C580}"/>
    <hyperlink ref="O523" r:id="rId373" display="http://turnertracker.com/data/extensions_data/tickets/e/5/a/0/7/1193673RD//ticket.jpg" xr:uid="{5CC76BBD-6D56-4F47-9A66-554C6D7E421F}"/>
    <hyperlink ref="O525" r:id="rId374" display="http://turnertracker.com/data/extensions_data/tickets/0/d/3/2/5/1193674RD//ticket.jpg" xr:uid="{035B19FC-C87A-C942-96BC-868C1A5A4A51}"/>
    <hyperlink ref="O526" r:id="rId375" display="http://turnertracker.com/data/extensions_data/tickets/4/8/e/7/1/1193676RD//ticket.jpg" xr:uid="{4D27A5AC-AE3B-7E41-A19D-8DDE707316A0}"/>
    <hyperlink ref="O528" r:id="rId376" display="http://turnertracker.com/data/extensions_data/tickets/e/1/d/6/5/1193679RD//ticket.jpg" xr:uid="{9E0550D1-0DC1-B941-8FF9-ED2A76FBCE2D}"/>
    <hyperlink ref="O529" r:id="rId377" display="http://turnertracker.com/data/extensions_data/tickets/8/c/6/6/a/1193680RD//ticket.jpg" xr:uid="{CFE27752-C804-E949-A8AD-20B110344640}"/>
    <hyperlink ref="O532" r:id="rId378" display="http://turnertracker.com/data/extensions_data/tickets/b/9/4/b/a/1193681RD//ticket.jpg" xr:uid="{BD0B5F16-D758-404B-AFE8-20FBC3903F85}"/>
    <hyperlink ref="O533" r:id="rId379" display="http://turnertracker.com/data/extensions_data/tickets/9/d/0/2/5/1193682RD//ticket.jpg" xr:uid="{0B34C974-D452-FC48-B820-BD4108E20621}"/>
    <hyperlink ref="O534" r:id="rId380" display="http://turnertracker.com/data/extensions_data/tickets/6/9/c/8/4/1193685RD//ticket.jpg" xr:uid="{C3799E8E-6084-8747-8AE5-D41BD01003DF}"/>
    <hyperlink ref="O535" r:id="rId381" display="http://turnertracker.com/data/extensions_data/tickets/7/b/5/d/1/1193693RD//ticket.jpg" xr:uid="{48AA4F4D-8782-BA40-981C-6D1A4F5332AA}"/>
    <hyperlink ref="O536" r:id="rId382" display="http://turnertracker.com/data/extensions_data/tickets/5/8/3/b/6/1193699RD//ticket.jpg" xr:uid="{52ED79FA-E50D-684A-B4DF-710C66E442E1}"/>
    <hyperlink ref="O538" r:id="rId383" display="http://turnertracker.com/data/extensions_data/tickets/9/a/a/d/3/1193710RD//ticket.jpg" xr:uid="{743F3E61-266D-5644-BD11-B44ECE1A2367}"/>
    <hyperlink ref="O540" r:id="rId384" display="http://turnertracker.com/data/extensions_data/tickets/6/d/1/a/1/1193712RD//ticket.jpg" xr:uid="{E0696C8F-DBAA-A340-8981-F02F528112A9}"/>
    <hyperlink ref="O541" r:id="rId385" display="http://turnertracker.com/data/extensions_data/tickets/1/6/3/d/d/1193715RD//ticket.jpg" xr:uid="{A56BF5FC-3054-A44D-B9FF-435EA04FD954}"/>
    <hyperlink ref="O543" r:id="rId386" display="http://turnertracker.com/data/extensions_data/tickets/a/7/1/0/6/1193721RD//ticket.jpg" xr:uid="{31F0F6CA-EF0B-9048-B88D-3885636B324C}"/>
    <hyperlink ref="O544" r:id="rId387" display="http://turnertracker.com/data/extensions_data/tickets/a/1/a/3/2/1193724RD//ticket.jpg" xr:uid="{68FAD190-856B-5E44-8E36-227525E77562}"/>
    <hyperlink ref="O545" r:id="rId388" display="http://turnertracker.com/data/extensions_data/tickets/5/b/1/b/3/1193727RD//ticket.jpg" xr:uid="{17EDC567-EDC7-ED4C-92C3-493A30B2523D}"/>
    <hyperlink ref="O547" r:id="rId389" display="http://turnertracker.com/data/extensions_data/tickets/a/b/3/9/0/1193730RD//ticket.jpg" xr:uid="{B8E3B80F-8AEF-864D-97C0-F4B862706B20}"/>
    <hyperlink ref="O548" r:id="rId390" display="http://turnertracker.com/data/extensions_data/tickets/b/a/3/3/7/1193733RD//ticket.jpg" xr:uid="{8CB996F0-EADF-5146-B065-E43E1C743C51}"/>
    <hyperlink ref="O549" r:id="rId391" display="http://turnertracker.com/data/extensions_data/tickets/b/7/3/8/7/1193738RD//ticket.jpg" xr:uid="{EF5CE40A-F9D9-8B4D-992E-21B238E1E65B}"/>
    <hyperlink ref="O552" r:id="rId392" display="http://turnertracker.com/data/extensions_data/tickets/5/9/1/b/2/1193741RD//ticket.jpg" xr:uid="{53C85352-4A9C-4643-82B5-70DCF40CD9FA}"/>
    <hyperlink ref="O553" r:id="rId393" display="http://turnertracker.com/data/extensions_data/tickets/7/7/b/8/e/1193742RD//ticket.jpg" xr:uid="{954E1AD5-7D75-4549-AF9C-96B089970A53}"/>
    <hyperlink ref="O554" r:id="rId394" display="http://turnertracker.com/data/extensions_data/tickets/6/7/b/7/a/1193744RD//ticket.jpg" xr:uid="{18AE1DA0-703A-7F4B-8A33-43067BCC1033}"/>
    <hyperlink ref="O558" r:id="rId395" display="http://turnertracker.com/data/extensions_data/tickets/7/e/e/e/a/1195164RD//ticket.jpg" xr:uid="{DEAC75DC-9229-F34E-9A6A-5929899C0BC4}"/>
    <hyperlink ref="O559" r:id="rId396" display="http://turnertracker.com/data/extensions_data/tickets/e/3/2/d/e/1195165RD//ticket.jpg" xr:uid="{059956C5-643C-FA47-AEB3-7BAD5DF86FBE}"/>
    <hyperlink ref="O563" r:id="rId397" display="http://turnertracker.com/data/extensions_data/tickets/f/9/f/7/c/1205036RD//ticket.jpg" xr:uid="{65FC2E1F-6ABF-C84F-87A6-0758C49B5808}"/>
    <hyperlink ref="O564" r:id="rId398" display="http://turnertracker.com/data/extensions_data/tickets/8/8/9/9/4/1205037RD//ticket.jpg" xr:uid="{7A51827A-A5F7-5C47-943C-957ACA262F67}"/>
    <hyperlink ref="O568" r:id="rId399" display="http://turnertracker.com/data/extensions_data/tickets/d/3/c/7/6/1205040RD//ticket.jpg" xr:uid="{607A28C8-444A-A648-BDB5-2CECD41EDB14}"/>
    <hyperlink ref="O569" r:id="rId400" display="http://turnertracker.com/data/extensions_data/tickets/e/c/9/f/a/1205042RD//ticket.jpg" xr:uid="{8EA85479-1A1B-8C43-B962-7FFBF4DF6D93}"/>
    <hyperlink ref="O570" r:id="rId401" display="http://turnertracker.com/data/extensions_data/tickets/b/b/f/1/2/1205047RD//ticket.jpg" xr:uid="{C888A3B4-AD08-3D45-B80C-A09FB44AC03B}"/>
    <hyperlink ref="O571" r:id="rId402" display="http://turnertracker.com/data/extensions_data/tickets/0/c/f/1/e/1205048RD//ticket.jpg" xr:uid="{72413574-5EB4-3647-94EF-245891E42393}"/>
    <hyperlink ref="O573" r:id="rId403" display="http://turnertracker.com/data/extensions_data/tickets/c/2/6/a/c/1205050RD//ticket.jpg" xr:uid="{773A0FF6-C0C4-EF41-BEAA-059D4C3BE28D}"/>
    <hyperlink ref="O574" r:id="rId404" display="http://turnertracker.com/data/extensions_data/tickets/a/4/2/3/0/1205051RD//ticket.jpg" xr:uid="{8FBCDC71-224B-184C-8A6E-7507887D32E2}"/>
    <hyperlink ref="O575" r:id="rId405" display="http://turnertracker.com/data/extensions_data/tickets/5/8/4/e/5/1205052RD//ticket.jpg" xr:uid="{37BE6C36-80C7-734C-A233-050384B21887}"/>
    <hyperlink ref="O576" r:id="rId406" display="http://turnertracker.com/data/extensions_data/tickets/7/c/e/c/4/1205053RD//ticket.jpg" xr:uid="{6A515B12-7783-B741-B58E-50FA3015C546}"/>
    <hyperlink ref="O577" r:id="rId407" display="http://turnertracker.com/data/extensions_data/tickets/8/e/2/e/3/1205054RD//ticket.jpg" xr:uid="{7BB0465B-353B-574D-B25A-4BEAC6853FFB}"/>
    <hyperlink ref="O578" r:id="rId408" display="http://turnertracker.com/data/extensions_data/tickets/b/b/b/9/4/1205055RD//ticket.jpg" xr:uid="{F0DD6A56-B828-CF4A-A9CD-1DE659E27005}"/>
    <hyperlink ref="O579" r:id="rId409" display="http://turnertracker.com/data/extensions_data/tickets/7/3/0/5/7/1205056RD//ticket.jpg" xr:uid="{58D15AC3-96D7-8D4F-BF6A-C303781FA8A4}"/>
    <hyperlink ref="O581" r:id="rId410" display="http://turnertracker.com/data/extensions_data/tickets/1/c/d/7/9/1205062RD//ticket.jpg" xr:uid="{2D7DED5B-77FE-3E4D-95DC-72EEB448F8ED}"/>
    <hyperlink ref="O582" r:id="rId411" display="http://turnertracker.com/data/extensions_data/tickets/c/7/c/8/3/1218816RD//ticket.jpg" xr:uid="{71331762-7CCA-B748-BBAB-A95567DF4D71}"/>
    <hyperlink ref="O584" r:id="rId412" display="http://turnertracker.com/data/extensions_data/tickets/e/9/e/f/4/1218819RD//ticket.jpg" xr:uid="{54914F9A-FF29-A944-982A-3B81E3C7B151}"/>
    <hyperlink ref="O585" r:id="rId413" display="http://turnertracker.com/data/extensions_data/tickets/2/1/7/1/3/1218843RD//ticket.jpg" xr:uid="{339C0AF4-8B36-1545-BD4A-A7037C37E2F7}"/>
    <hyperlink ref="O588" r:id="rId414" display="http://turnertracker.com/data/extensions_data/tickets/e/1/f/2/c/1218845RD//ticket.jpg" xr:uid="{09D03FFB-8B29-6F48-9537-1C041D8FEC9B}"/>
    <hyperlink ref="O589" r:id="rId415" display="http://turnertracker.com/data/extensions_data/tickets/9/f/5/8/7/1218848RD//ticket.jpg" xr:uid="{2F4C7B1E-9BB5-5B4F-ABBF-EB66034E27BF}"/>
    <hyperlink ref="O591" r:id="rId416" display="http://turnertracker.com/data/extensions_data/tickets/2/a/1/b/5/1218849RD//ticket.jpg" xr:uid="{7DAF991D-AAB2-CC4C-A003-4F4DF6859084}"/>
    <hyperlink ref="O592" r:id="rId417" display="http://turnertracker.com/data/extensions_data/tickets/6/3/a/c/e/1218858RD//ticket.jpg" xr:uid="{8138EC3C-B34E-BC4D-920A-3733EE538A8D}"/>
    <hyperlink ref="O595" r:id="rId418" display="http://turnertracker.com/data/extensions_data/tickets/4/b/7/1/6/1219053RD//ticket.jpg" xr:uid="{1C7D9C1C-D660-AF4E-B0B5-65BF32678F0F}"/>
    <hyperlink ref="O596" r:id="rId419" display="http://turnertracker.com/data/extensions_data/tickets/8/9/b/2/1/1219054RD//ticket.jpg" xr:uid="{E26F73B3-1B4E-5644-9F5D-EC6FA6008B97}"/>
    <hyperlink ref="O597" r:id="rId420" display="http://turnertracker.com/data/extensions_data/tickets/7/0/f/9/e/1219055RD//ticket.jpg" xr:uid="{59A650E1-588A-AF41-B626-94A15FC5D212}"/>
    <hyperlink ref="O598" r:id="rId421" display="http://turnertracker.com/data/extensions_data/tickets/6/e/3/1/7/1219058RD//ticket.jpg" xr:uid="{413FBC4E-F7AD-0344-AE9D-730525C099A9}"/>
    <hyperlink ref="O600" r:id="rId422" display="http://turnertracker.com/data/extensions_data/tickets/2/7/9/1/e/1219059RD//ticket.jpg" xr:uid="{ED19B567-A802-F548-9474-CAFB4C6E694D}"/>
    <hyperlink ref="O601" r:id="rId423" display="http://turnertracker.com/data/extensions_data/tickets/6/a/8/0/4/1219060RD//ticket.jpg" xr:uid="{205C50E7-EDF7-D347-8B29-A18C6BF25C0B}"/>
    <hyperlink ref="O604" r:id="rId424" display="http://turnertracker.com/data/extensions_data/tickets/f/2/d/7/e/1219063RD//ticket.jpg" xr:uid="{07858CCD-6D4B-B249-B753-FC05BFF12D6F}"/>
    <hyperlink ref="O606" r:id="rId425" display="http://turnertracker.com/data/extensions_data/tickets/6/d/3/a/e/1219065RD//ticket.jpg" xr:uid="{16205DE6-F04F-DA48-B69B-3DDFAE707367}"/>
    <hyperlink ref="O608" r:id="rId426" display="http://turnertracker.com/data/extensions_data/tickets/a/6/9/0/3/1219067RD//ticket.jpg" xr:uid="{FEDB0F43-8223-2041-8D8A-F96B3394A119}"/>
    <hyperlink ref="O609" r:id="rId427" display="http://turnertracker.com/data/extensions_data/tickets/d/6/8/b/a/1219068RD//ticket.jpg" xr:uid="{1FD3C5C8-3DCB-8840-BF33-976F4E5949E7}"/>
    <hyperlink ref="O610" r:id="rId428" display="http://turnertracker.com/data/extensions_data/tickets/a/e/b/1/0/1219069RD//ticket.jpg" xr:uid="{6DB33B23-B256-C744-B518-41F70BBC20CA}"/>
    <hyperlink ref="O611" r:id="rId429" display="http://turnertracker.com/data/extensions_data/tickets/6/3/f/6/d/1219070RD//ticket.jpg" xr:uid="{CFABF1F0-F01D-9F47-B7B1-4DE40962AFA8}"/>
    <hyperlink ref="O613" r:id="rId430" display="http://turnertracker.com/data/extensions_data/tickets/4/3/a/b/c/1219071RD//ticket.jpg" xr:uid="{938F98B2-B3CC-644A-A2D0-BD764637FDAC}"/>
    <hyperlink ref="O615" r:id="rId431" display="http://turnertracker.com/data/extensions_data/tickets/4/9/c/2/c/1219073RD//ticket.jpg" xr:uid="{6B7139F8-645B-1944-9C06-E9A767888414}"/>
    <hyperlink ref="O616" r:id="rId432" display="http://turnertracker.com/data/extensions_data/tickets/0/0/2/f/b/1219074RD//ticket.jpg" xr:uid="{ED6FAF63-9459-5E4F-B811-F4F76FFF7A78}"/>
    <hyperlink ref="O618" r:id="rId433" display="http://turnertracker.com/data/extensions_data/tickets/0/8/9/3/b/1219076RD//ticket.jpg" xr:uid="{9B871B48-9948-5A42-86F0-2E9916FF8961}"/>
    <hyperlink ref="O619" r:id="rId434" display="http://turnertracker.com/data/extensions_data/tickets/f/f/1/4/e/1219077RD//ticket.jpg" xr:uid="{E93A3600-F270-274C-B5A0-D6D164DFFEB8}"/>
    <hyperlink ref="O621" r:id="rId435" display="http://turnertracker.com/data/extensions_data/tickets/0/e/8/1/d/1232859RD//ticket.jpg" xr:uid="{328BBCB8-3EE7-8847-88E1-E13BFC7761ED}"/>
    <hyperlink ref="O622" r:id="rId436" display="http://turnertracker.com/data/extensions_data/tickets/8/f/3/6/4/1232862RD//ticket.jpg" xr:uid="{DD2B2EB6-89E5-3F44-B984-7EA8AEC262D8}"/>
    <hyperlink ref="O625" r:id="rId437" display="http://turnertracker.com/data/extensions_data/tickets/f/1/3/c/9/1232870RD//ticket.jpg" xr:uid="{00F93B3F-6A19-794E-9901-D987539EE5B4}"/>
    <hyperlink ref="O626" r:id="rId438" display="http://turnertracker.com/data/extensions_data/tickets/a/5/c/2/9/1232875RD//ticket.jpg" xr:uid="{57F0F2A5-CB08-DD4A-9927-214826A04580}"/>
    <hyperlink ref="O631" r:id="rId439" display="http://turnertracker.com/data/extensions_data/tickets/7/7/c/3/c/1233035RD//ticket.jpg" xr:uid="{FD476249-9B33-CC43-9570-9CCE37694F31}"/>
    <hyperlink ref="O632" r:id="rId440" display="http://turnertracker.com/data/extensions_data/tickets/e/c/d/8/5/1233037RD//ticket.jpg" xr:uid="{E4A593AE-6333-1445-97CA-836E04D125FC}"/>
    <hyperlink ref="O633" r:id="rId441" display="http://turnertracker.com/data/extensions_data/tickets/9/c/4/f/0/1233040RD//ticket.jpg" xr:uid="{EC8CCBB8-F12A-AD4E-9D36-3CD07685C2C0}"/>
    <hyperlink ref="O634" r:id="rId442" display="http://turnertracker.com/data/extensions_data/tickets/a/5/4/1/e/1233041RD//ticket.jpg" xr:uid="{246EAC2B-779A-A941-A649-58D6839EA816}"/>
    <hyperlink ref="O635" r:id="rId443" display="http://turnertracker.com/data/extensions_data/tickets/0/7/9/b/0/1233043RD//ticket.jpg" xr:uid="{C8A9F83C-E80E-0449-B830-2FB8C342B66C}"/>
    <hyperlink ref="O636" r:id="rId444" display="http://turnertracker.com/data/extensions_data/tickets/a/d/9/0/c/1233044RD//ticket.jpg" xr:uid="{DD4DF54E-C91C-C649-BAB9-99E828CF2271}"/>
    <hyperlink ref="O637" r:id="rId445" display="http://turnertracker.com/data/extensions_data/tickets/1/b/a/2/3/1233046RD//ticket.jpg" xr:uid="{46800D35-1FA3-A445-AF16-0F4243FAD77B}"/>
    <hyperlink ref="O638" r:id="rId446" display="http://turnertracker.com/data/extensions_data/tickets/a/5/7/6/d/1233049RD//ticket.jpg" xr:uid="{7447472A-E4B7-0148-A853-4BEF64E34A35}"/>
    <hyperlink ref="O640" r:id="rId447" display="http://turnertracker.com/data/extensions_data/tickets/5/0/1/d/b/1233054RD//ticket.jpg" xr:uid="{FDBB3026-3F4D-5949-A5D0-02A537BB7B23}"/>
    <hyperlink ref="O642" r:id="rId448" display="http://turnertracker.com/data/extensions_data/tickets/f/f/6/4/b/1233056RD//ticket.jpg" xr:uid="{23444582-42DC-A541-B4C6-3FB2AED99D55}"/>
    <hyperlink ref="O643" r:id="rId449" display="http://turnertracker.com/data/extensions_data/tickets/d/9/1/a/0/1233058RD//ticket.jpg" xr:uid="{0564678D-23D3-8A46-98C0-BCF320AACB05}"/>
    <hyperlink ref="O644" r:id="rId450" display="http://turnertracker.com/data/extensions_data/tickets/c/0/f/c/6/1233059RD//ticket.jpg" xr:uid="{485026D5-BA98-3B43-91DF-5157BA84CD33}"/>
    <hyperlink ref="O645" r:id="rId451" display="http://turnertracker.com/data/extensions_data/tickets/9/4/8/f/d/1233061RD//ticket.jpg" xr:uid="{9477480C-2ADF-A14E-9998-AA0FB1CE9F99}"/>
    <hyperlink ref="O648" r:id="rId452" display="http://turnertracker.com/data/extensions_data/tickets/b/f/7/8/4/1233071RD//ticket.jpg" xr:uid="{4AB46236-3133-1740-953D-52B27A306CAB}"/>
    <hyperlink ref="O649" r:id="rId453" display="http://turnertracker.com/data/extensions_data/tickets/1/d/b/7/b/1233074RD//ticket.jpg" xr:uid="{C793EE70-BE30-5A4F-AD62-7715282AB966}"/>
    <hyperlink ref="O650" r:id="rId454" display="http://turnertracker.com/data/extensions_data/tickets/e/a/9/4/5/1233076RD//ticket.jpg" xr:uid="{C5080313-75DB-2042-99F3-ED87937D6023}"/>
    <hyperlink ref="O652" r:id="rId455" display="http://turnertracker.com/data/extensions_data/tickets/3/d/1/e/1/1233077RD//ticket.jpg" xr:uid="{132B92BE-E0B6-CF40-889F-9AB65B8C1E19}"/>
    <hyperlink ref="O654" r:id="rId456" display="http://turnertracker.com/data/extensions_data/tickets/1/2/c/b/2/1246456RD//ticket.jpg" xr:uid="{16824530-D472-494E-B607-EF0F4151E054}"/>
    <hyperlink ref="O655" r:id="rId457" display="http://turnertracker.com/data/extensions_data/tickets/2/0/9/d/0/1246459RD//ticket.jpg" xr:uid="{A1EB4EC1-1FEE-B54D-81A5-8A3D48DB6826}"/>
    <hyperlink ref="O656" r:id="rId458" display="http://turnertracker.com/data/extensions_data/tickets/1/2/3/f/3/1246460RD//ticket.jpg" xr:uid="{C6F709E2-F32E-5047-9FB2-B5697F104A22}"/>
    <hyperlink ref="O657" r:id="rId459" display="http://turnertracker.com/data/extensions_data/tickets/9/6/b/d/7/1246461RD//ticket.jpg" xr:uid="{DB0A7E52-7F30-9B47-AECC-8533083A3B15}"/>
    <hyperlink ref="O661" r:id="rId460" display="http://turnertracker.com/data/extensions_data/tickets/4/f/2/8/8/1246470RD//ticket.jpg" xr:uid="{A8622CA0-B98D-DC4C-9FA5-34CFDE119CE4}"/>
    <hyperlink ref="O660" r:id="rId461" display="http://turnertracker.com/data/extensions_data/tickets/e/c/d/d/9/1246479RD//ticket.jpg" xr:uid="{BA3CD2F7-6428-DE40-A8D0-CA0EFCEB8DFD}"/>
    <hyperlink ref="O662" r:id="rId462" display="http://turnertracker.com/data/extensions_data/tickets/e/a/c/8/5/1246481RD//ticket.jpg" xr:uid="{120CD455-5EF0-E24E-A567-60064B81AA26}"/>
    <hyperlink ref="O666" r:id="rId463" display="http://turnertracker.com/data/extensions_data/tickets/7/8/2/9/9/1246513RD//ticket.jpg" xr:uid="{7D8023FD-4FB5-0A44-8A5B-E353430B2C02}"/>
    <hyperlink ref="O667" r:id="rId464" display="http://turnertracker.com/data/extensions_data/tickets/2/e/1/9/5/1246516RD//ticket.jpg" xr:uid="{E55573A3-E34A-4C4D-AA0F-E2791214DB6A}"/>
    <hyperlink ref="O670" r:id="rId465" display="http://turnertracker.com/data/extensions_data/tickets/8/7/a/5/8/1246611RD//ticket.jpg" xr:uid="{5E4F5179-4C25-A54F-8FCB-29240ED3704E}"/>
    <hyperlink ref="O672" r:id="rId466" display="http://turnertracker.com/data/extensions_data/tickets/0/a/a/3/7/1246623RD//ticket.jpg" xr:uid="{8D51353C-656B-5F46-9590-A02BDEF77DE5}"/>
    <hyperlink ref="O674" r:id="rId467" display="http://turnertracker.com/data/extensions_data/tickets/8/9/6/e/b/1246626RD//ticket.jpg" xr:uid="{D15CABA1-C77A-8B4E-93B1-CBF1DBAA9049}"/>
    <hyperlink ref="O675" r:id="rId468" display="http://turnertracker.com/data/extensions_data/tickets/0/2/1/3/3/1246630RD//ticket.jpg" xr:uid="{1ED28484-251D-494F-A0C9-485A9B8C2C91}"/>
    <hyperlink ref="O677" r:id="rId469" display="http://turnertracker.com/data/extensions_data/tickets/d/7/0/c/6/1246633RD//ticket.jpg" xr:uid="{6E86AC4E-474B-8E4B-A7D4-E54E55D6BC89}"/>
    <hyperlink ref="O678" r:id="rId470" display="http://turnertracker.com/data/extensions_data/tickets/b/a/1/a/d/1246636RD//ticket.jpg" xr:uid="{F2DA29CF-190A-AA44-84E6-0EBAD03BE7F2}"/>
    <hyperlink ref="O680" r:id="rId471" display="http://turnertracker.com/data/extensions_data/tickets/2/8/0/e/a/1246646RD//ticket.jpg" xr:uid="{F490C5E2-035E-0946-B464-760DD70A4CB6}"/>
    <hyperlink ref="O681" r:id="rId472" display="http://turnertracker.com/data/extensions_data/tickets/1/4/1/6/1/1246647RD//ticket.jpg" xr:uid="{B04CB7CA-C33E-1746-96DA-A70675AC0FA3}"/>
    <hyperlink ref="O685" r:id="rId473" display="http://turnertracker.com/data/extensions_data/tickets/8/c/1/e/b/1261558RD//ticket.jpg" xr:uid="{2894A1AF-DD94-BF44-AA6D-CDB9FB4AA89D}"/>
    <hyperlink ref="O686" r:id="rId474" display="http://turnertracker.com/data/extensions_data/tickets/c/f/1/f/f/1261559RD//ticket.jpg" xr:uid="{1B610FAF-F308-284F-96C5-CDDB6F9D6D00}"/>
    <hyperlink ref="O688" r:id="rId475" display="http://turnertracker.com/data/extensions_data/tickets/1/9/f/c/c/1261560RD//ticket.jpg" xr:uid="{AEB6EFA7-F1D9-7740-9B79-A9FC75B30685}"/>
    <hyperlink ref="O689" r:id="rId476" display="http://turnertracker.com/data/extensions_data/tickets/f/b/3/a/2/1261561RD//ticket.jpg" xr:uid="{8EAA62D7-63BC-864C-A442-8BCA2D72C7D8}"/>
    <hyperlink ref="O691" r:id="rId477" display="http://turnertracker.com/data/extensions_data/tickets/6/a/6/0/3/1261562RD//ticket.jpg" xr:uid="{1CE7F2D9-2078-FD45-BBA3-D357E7235C77}"/>
    <hyperlink ref="O693" r:id="rId478" display="http://turnertracker.com/data/extensions_data/tickets/6/a/c/f/7/1261563RD//ticket.jpg" xr:uid="{8545C946-CF8A-FE41-AE25-8E0D48599703}"/>
    <hyperlink ref="O694" r:id="rId479" display="http://turnertracker.com/data/extensions_data/tickets/8/0/6/d/e/1261564RD//ticket.jpg" xr:uid="{BEF1E47B-B47E-624A-A821-8349B03AE206}"/>
    <hyperlink ref="O697" r:id="rId480" display="http://turnertracker.com/data/extensions_data/tickets/2/1/7/8/b/1261565RD//ticket.jpg" xr:uid="{E324C359-D463-CD47-B203-3559C032D18B}"/>
    <hyperlink ref="O695" r:id="rId481" display="http://turnertracker.com/data/extensions_data/tickets/8/c/8/4/8/1261566RD//ticket.jpg" xr:uid="{15930C12-8D63-F743-BB5E-567EDA5224C7}"/>
    <hyperlink ref="O698" r:id="rId482" display="http://turnertracker.com/data/extensions_data/tickets/2/d/a/f/4/1261567RD//ticket.jpg" xr:uid="{33137F92-FC90-A14A-BBD7-471D17C5C3CC}"/>
    <hyperlink ref="O699" r:id="rId483" display="http://turnertracker.com/data/extensions_data/tickets/e/5/3/4/7/1261568RD//ticket.jpg" xr:uid="{514EEAF8-456B-9F45-86E2-BA287EF02280}"/>
    <hyperlink ref="O702" r:id="rId484" display="http://turnertracker.com/data/extensions_data/tickets/c/a/d/8/a/1261569RD//ticket.jpg" xr:uid="{7C132085-7011-7E4E-B94B-DBCFC232C86B}"/>
    <hyperlink ref="O704" r:id="rId485" display="http://turnertracker.com/data/extensions_data/tickets/9/f/9/b/6/1261570RD//ticket.jpg" xr:uid="{36B2AF3D-3D8A-9B41-AE4E-3C38CFCF6FB3}"/>
    <hyperlink ref="O705" r:id="rId486" display="http://turnertracker.com/data/extensions_data/tickets/b/5/f/3/5/1261571RD//ticket.jpg" xr:uid="{3239FE9E-9119-614D-A2F7-742CB54A505D}"/>
    <hyperlink ref="O706" r:id="rId487" display="http://turnertracker.com/data/extensions_data/tickets/1/3/4/1/0/1261572RD//ticket.jpg" xr:uid="{32420342-23C2-3641-87CC-ED4D2D6A1913}"/>
    <hyperlink ref="O707" r:id="rId488" display="http://turnertracker.com/data/extensions_data/tickets/9/5/4/5/d/1261573RD//ticket.jpg" xr:uid="{1587F709-994A-5641-9375-667CA5E7DB34}"/>
    <hyperlink ref="O709" r:id="rId489" display="http://turnertracker.com/data/extensions_data/tickets/6/6/d/3/9/1261576RD//ticket.jpg" xr:uid="{3031E9DF-AA12-714A-AA66-BA9552394751}"/>
    <hyperlink ref="O711" r:id="rId490" display="http://turnertracker.com/data/extensions_data/tickets/2/8/d/8/2/1261578RD//ticket.jpg" xr:uid="{3BDD39C1-D411-1249-ABF5-8E46D7CDF58C}"/>
    <hyperlink ref="O715" r:id="rId491" display="http://turnertracker.com/data/extensions_data/tickets/1/b/f/a/4/1261582RD//ticket.jpg" xr:uid="{FC557117-49F7-6040-A610-4A7F77A17745}"/>
    <hyperlink ref="O716" r:id="rId492" display="http://turnertracker.com/data/extensions_data/tickets/4/8/f/5/0/1261583RD//ticket.jpg" xr:uid="{0889045D-7D50-684F-979D-C6969DFC614B}"/>
    <hyperlink ref="O717" r:id="rId493" display="http://turnertracker.com/data/extensions_data/tickets/a/6/7/a/f/1261584RD//ticket.jpg" xr:uid="{3DBC89C6-F25D-9545-814C-4184377F6B56}"/>
    <hyperlink ref="O718" r:id="rId494" display="http://turnertracker.com/data/extensions_data/tickets/0/5/5/3/2/1261659RD//ticket.jpg" xr:uid="{146D77EA-4A25-294F-A00F-633C38BD01E1}"/>
    <hyperlink ref="O720" r:id="rId495" display="http://turnertracker.com/data/extensions_data/tickets/5/4/5/d/f/1261662RD//ticket.jpg" xr:uid="{94214C0D-A431-BB4F-BB78-CAEB5E30305E}"/>
    <hyperlink ref="O721" r:id="rId496" display="http://turnertracker.com/data/extensions_data/tickets/8/d/6/c/5/1261663RD//ticket.jpg" xr:uid="{1E6C8200-0DA2-9E46-8644-1E6441B06616}"/>
    <hyperlink ref="O722" r:id="rId497" display="http://turnertracker.com/data/extensions_data/tickets/3/2/4/d/2/1261664RD//ticket.jpg" xr:uid="{996B1A6F-62B6-8C48-A72F-1C3A08F185B0}"/>
    <hyperlink ref="O723" r:id="rId498" display="http://turnertracker.com/data/extensions_data/tickets/2/4/4/0/b/1261665RD//ticket.jpg" xr:uid="{0D4A8532-9290-A24C-9673-E6C8CD738482}"/>
    <hyperlink ref="O724" r:id="rId499" display="http://turnertracker.com/data/extensions_data/tickets/7/b/3/f/0/1261666RD//ticket.jpg" xr:uid="{F176AFCB-DFA3-3547-ACE9-3EF6E28BB57D}"/>
    <hyperlink ref="O725" r:id="rId500" display="http://turnertracker.com/data/extensions_data/tickets/b/3/4/1/a/1261669RD//ticket.jpg" xr:uid="{D099C3DF-4809-E94B-85FD-F11761C229AC}"/>
    <hyperlink ref="O730" r:id="rId501" display="http://turnertracker.com/data/extensions_data/tickets/b/1/4/f/4/1261670RD//ticket.jpg" xr:uid="{769698E0-D17D-5A41-9261-15D5011C30F8}"/>
    <hyperlink ref="O728" r:id="rId502" display="http://turnertracker.com/data/extensions_data/tickets/7/7/2/0/9/1261671RD//ticket.jpg" xr:uid="{1A7EBDAE-2172-714D-B5A2-FA18DE20A6FF}"/>
    <hyperlink ref="O731" r:id="rId503" display="http://turnertracker.com/data/extensions_data/tickets/0/b/7/a/c/1261676RD//ticket.jpg" xr:uid="{E8B4E634-73A7-F04E-A6B7-3D99F54D915A}"/>
    <hyperlink ref="O732" r:id="rId504" display="http://turnertracker.com/data/extensions_data/tickets/e/6/c/7/8/1261689RD//ticket.jpg" xr:uid="{80B0D0F5-DF29-2D4E-9347-B02B81640367}"/>
    <hyperlink ref="O734" r:id="rId505" display="http://turnertracker.com/data/extensions_data/tickets/e/f/5/1/2/1261690RD//ticket.jpg" xr:uid="{A40BC642-3556-8446-8183-9B74FF20C4F5}"/>
    <hyperlink ref="O736" r:id="rId506" display="http://turnertracker.com/data/extensions_data/tickets/f/a/7/e/3/1261699RD//ticket.jpg" xr:uid="{42DB1FDC-E694-804D-988B-5A72A7ED0122}"/>
    <hyperlink ref="O741" r:id="rId507" display="http://turnertracker.com/data/extensions_data/tickets/4/6/0/3/c/1261734RD//ticket.jpg" xr:uid="{7D27F555-72D8-334A-9AC2-4848DD9BB4B1}"/>
    <hyperlink ref="O742" r:id="rId508" display="http://turnertracker.com/data/extensions_data/tickets/a/a/b/f/e/1261739RD//ticket.jpg" xr:uid="{3328ED23-09E0-774A-AAEC-D9EAE396F673}"/>
    <hyperlink ref="O746" r:id="rId509" display="http://turnertracker.com/data/extensions_data/tickets/3/b/4/f/0/1261747RD//ticket.jpg" xr:uid="{8288F5E1-DCAF-C840-AB38-EF5802D74DB1}"/>
    <hyperlink ref="O747" r:id="rId510" display="http://turnertracker.com/data/extensions_data/tickets/e/6/f/9/1/1261749RD//ticket.jpg" xr:uid="{CB3A37C7-3862-4E43-88EA-4FDC696E029E}"/>
    <hyperlink ref="O749" r:id="rId511" display="http://turnertracker.com/data/extensions_data/tickets/3/d/0/7/3/1273842RD//ticket.jpg" xr:uid="{22A39D89-56FE-9740-8ECF-23B2D14A6B73}"/>
    <hyperlink ref="O750" r:id="rId512" display="http://turnertracker.com/data/extensions_data/tickets/c/7/b/1/b/1273844RD//ticket.jpg" xr:uid="{1E897364-3EF6-4148-AC6B-EA340EE23FB8}"/>
    <hyperlink ref="O752" r:id="rId513" display="http://turnertracker.com/data/extensions_data/tickets/1/f/1/3/a/1273847RD//ticket.jpg" xr:uid="{B506E794-F28D-8943-B8FE-0E092E8ACA09}"/>
    <hyperlink ref="O757" r:id="rId514" display="http://turnertracker.com/data/extensions_data/tickets/0/c/6/e/f/1273869RD//ticket.jpg" xr:uid="{98C8588E-3323-A542-9810-28CA949C6A23}"/>
    <hyperlink ref="O758" r:id="rId515" display="http://turnertracker.com/data/extensions_data/tickets/a/4/2/e/6/1273871RD//ticket.jpg" xr:uid="{23EEC929-2CAB-1E4B-93C7-7DC7815D7466}"/>
    <hyperlink ref="O759" r:id="rId516" display="http://turnertracker.com/data/extensions_data/tickets/6/5/d/1/5/1273872RD//ticket.jpg" xr:uid="{11FF001C-EBC5-624D-917D-E8AD656D7BBF}"/>
    <hyperlink ref="O760" r:id="rId517" display="http://turnertracker.com/data/extensions_data/tickets/3/e/6/f/f/1273873RD//ticket.jpg" xr:uid="{3098EDA3-84BE-2843-8E89-591BC65803AC}"/>
    <hyperlink ref="O763" r:id="rId518" display="http://turnertracker.com/data/extensions_data/tickets/2/d/c/6/c/1273875RD//ticket.jpg" xr:uid="{5A4646FE-CF30-9F4B-B034-8717513A5641}"/>
    <hyperlink ref="O764" r:id="rId519" display="http://turnertracker.com/data/extensions_data/tickets/0/a/5/e/c/1273878RD//ticket.jpg" xr:uid="{C2ADACEC-BB99-3D4A-AE93-AF2B81E76B6F}"/>
    <hyperlink ref="O769" r:id="rId520" display="http://turnertracker.com/data/extensions_data/tickets/d/4/5/4/3/1274107RD//ticket.jpg" xr:uid="{BDB047F3-41B1-7946-A54A-A2CF5074A972}"/>
    <hyperlink ref="O772" r:id="rId521" display="http://turnertracker.com/data/extensions_data/tickets/9/1/d/b/2/1274109RD//ticket.jpg" xr:uid="{A6E0F1E4-FB99-A244-8C6C-2A2FA915A944}"/>
    <hyperlink ref="O773" r:id="rId522" display="http://turnertracker.com/data/extensions_data/tickets/d/3/6/4/9/1274112RD//ticket.jpg" xr:uid="{6718F92F-AC68-D34C-86E8-31CAF0F06283}"/>
    <hyperlink ref="O775" r:id="rId523" display="http://turnertracker.com/data/extensions_data/tickets/9/2/e/6/4/1274113RD//ticket.jpg" xr:uid="{DCC716FC-8D57-C249-B616-5FB7016911CF}"/>
    <hyperlink ref="O777" r:id="rId524" display="http://turnertracker.com/data/extensions_data/tickets/9/7/c/e/c/1274143RD//ticket.jpg" xr:uid="{635F27F5-2CCB-4349-B4B1-A35E6693593D}"/>
    <hyperlink ref="O780" r:id="rId525" display="http://turnertracker.com/data/extensions_data/tickets/d/7/e/3/2/1274147RD//ticket.jpg" xr:uid="{43BD420D-2FC0-3B47-AE2B-E5E03EFA9E98}"/>
    <hyperlink ref="O781" r:id="rId526" display="http://turnertracker.com/data/extensions_data/tickets/b/2/9/7/b/1274166RD//ticket.jpg" xr:uid="{9BEFBCAB-6DC8-8547-8136-CDBE64F924EB}"/>
    <hyperlink ref="O786" r:id="rId527" display="http://turnertracker.com/data/extensions_data/tickets/8/b/d/d/8/1274184RD//ticket.jpg" xr:uid="{A641F4D4-95AC-2A48-B2F5-E27EB32D1AFC}"/>
    <hyperlink ref="O787" r:id="rId528" display="http://turnertracker.com/data/extensions_data/tickets/d/f/3/7/c/1274198RD//ticket.jpg" xr:uid="{CB19F881-E683-B341-A45C-C0BE9549AE2E}"/>
    <hyperlink ref="O788" r:id="rId529" display="http://turnertracker.com/data/extensions_data/tickets/1/3/5/f/2/1274199RD//ticket.jpg" xr:uid="{9F1E335A-AE2D-BE48-B802-0DADE52F5ED3}"/>
    <hyperlink ref="O789" r:id="rId530" display="http://turnertracker.com/data/extensions_data/tickets/f/4/f/2/7/1274205RD//ticket.jpg" xr:uid="{8BBCF621-286A-A749-9173-E7CC266D0F3C}"/>
    <hyperlink ref="O792" r:id="rId531" display="http://turnertracker.com/data/extensions_data/tickets/a/2/1/f/9/1274208RD//ticket.jpg" xr:uid="{98663919-1655-E140-A734-768DB528BFD8}"/>
    <hyperlink ref="O793" r:id="rId532" display="http://turnertracker.com/data/extensions_data/tickets/4/2/c/d/b/1274217RD//ticket.jpg" xr:uid="{3B687657-5980-1F41-BD0E-31693A80100C}"/>
    <hyperlink ref="O800" r:id="rId533" display="http://turnertracker.com/data/extensions_data/tickets/7/8/6/b/5/1274234RD//ticket.jpg" xr:uid="{E514D900-BA97-EF47-BA9F-C7D572402A56}"/>
    <hyperlink ref="O856" r:id="rId534" display="http://turnertracker.com/data/extensions_data/tickets/7/8/5/9/c/1308177RD//ticket.jpg" xr:uid="{D3CA11F3-80C4-924A-8FB3-DBCCE33912DF}"/>
    <hyperlink ref="O861" r:id="rId535" display="http://turnertracker.com/data/extensions_data/tickets/7/f/e/a/b/1308181RD//ticket.jpg" xr:uid="{847E6E99-7FED-D944-B93A-607E215F5803}"/>
    <hyperlink ref="O863" r:id="rId536" display="http://turnertracker.com/data/extensions_data/tickets/9/6/6/8/b/1308184RD//ticket.jpg" xr:uid="{B1C2ADD8-A371-3D4B-A015-AE3401687DF5}"/>
    <hyperlink ref="O874" r:id="rId537" display="http://turnertracker.com/data/extensions_data/tickets/8/5/7/f/2/1308192RD//ticket.jpg" xr:uid="{09A2E1F6-BD4E-B143-A2C0-D7ADC10EA623}"/>
    <hyperlink ref="O878" r:id="rId538" display="http://turnertracker.com/data/extensions_data/tickets/7/1/8/4/6/1308198RD//ticket.jpg" xr:uid="{16EE4011-23C0-B84A-A90E-197FA26BB1D7}"/>
    <hyperlink ref="O884" r:id="rId539" display="http://turnertracker.com/data/extensions_data/tickets/c/d/1/6/e/1308202RD//ticket.jpg" xr:uid="{16876EB0-2100-BB47-9F2C-46BD9BEBB3B6}"/>
    <hyperlink ref="O888" r:id="rId540" display="http://turnertracker.com/data/extensions_data/tickets/8/6/3/c/f/1308205RD//ticket.jpg" xr:uid="{4BD066FB-D306-4845-9F9A-23942E85DAC2}"/>
    <hyperlink ref="O892" r:id="rId541" display="http://turnertracker.com/data/extensions_data/tickets/1/0/5/4/4/1308218RD//ticket.jpg" xr:uid="{26C5F61E-0B60-0D42-A238-35ECFAA4404A}"/>
    <hyperlink ref="O893" r:id="rId542" display="http://turnertracker.com/data/extensions_data/tickets/1/8/6/2/0/1308222RD//ticket.jpg" xr:uid="{C0266C6F-25C5-1344-967C-7EFCEDA437D3}"/>
    <hyperlink ref="O895" r:id="rId543" display="http://turnertracker.com/data/extensions_data/tickets/c/7/a/a/b/1308223RD//ticket.jpg" xr:uid="{902D7C8D-3212-EA49-9F04-B28442265372}"/>
    <hyperlink ref="O898" r:id="rId544" display="http://turnertracker.com/data/extensions_data/tickets/3/e/f/b/5/1308226RD//ticket.jpg" xr:uid="{8401172C-B69B-7345-B582-7AB6BC667C43}"/>
    <hyperlink ref="O899" r:id="rId545" display="http://turnertracker.com/data/extensions_data/tickets/d/c/d/2/6/1308227RD//ticket.jpg" xr:uid="{3B9A2845-CE41-A44F-91A9-64CE4000B20A}"/>
    <hyperlink ref="O900" r:id="rId546" display="http://turnertracker.com/data/extensions_data/tickets/a/c/7/5/0/1308228RD//ticket.jpg" xr:uid="{5CB1F3AD-6821-9648-8E48-1A664A3FD160}"/>
    <hyperlink ref="O901" r:id="rId547" display="http://turnertracker.com/data/extensions_data/tickets/d/5/f/7/6/1322835RD//ticket.jpg" xr:uid="{BA18A60C-E856-E64D-A7BB-7BE1DF0874F2}"/>
    <hyperlink ref="O908" r:id="rId548" display="http://turnertracker.com/data/extensions_data/tickets/1/7/7/b/7/1322855RD//ticket.jpg" xr:uid="{F146EB1B-661E-B942-9404-419FFB9CB973}"/>
    <hyperlink ref="O909" r:id="rId549" display="http://turnertracker.com/data/extensions_data/tickets/9/0/3/a/a/1322856RD//ticket.jpg" xr:uid="{AA9C39C5-8EFA-544A-BFD7-5F992B25E61D}"/>
    <hyperlink ref="O910" r:id="rId550" display="http://turnertracker.com/data/extensions_data/tickets/1/8/0/5/a/1322857RD//ticket.jpg" xr:uid="{F1D4B523-91D1-BA41-ACFF-0625EDB52DF3}"/>
    <hyperlink ref="O912" r:id="rId551" display="http://turnertracker.com/data/extensions_data/tickets/b/d/3/4/4/1322860RD//ticket.jpg" xr:uid="{35ADE025-278C-B14D-8FE7-02EEB6B67D83}"/>
    <hyperlink ref="O913" r:id="rId552" display="http://turnertracker.com/data/extensions_data/tickets/c/7/2/a/e/1322862RD//ticket.jpg" xr:uid="{3C64F96F-0C25-6C48-9D29-6C9C0EF6EF9F}"/>
    <hyperlink ref="O914" r:id="rId553" display="http://turnertracker.com/data/extensions_data/tickets/6/f/4/e/6/1322863RD//ticket.jpg" xr:uid="{EA2F7A4B-0995-1941-B130-0D54F6A2EB4A}"/>
    <hyperlink ref="O916" r:id="rId554" display="http://turnertracker.com/data/extensions_data/tickets/0/a/f/c/c/1322866RD//ticket.jpg" xr:uid="{35528B7F-7C40-344C-B2EB-217C67B16852}"/>
    <hyperlink ref="O917" r:id="rId555" display="http://turnertracker.com/data/extensions_data/tickets/e/b/4/8/d/1322870RD//ticket.jpg" xr:uid="{0103D009-FC67-1D40-9AE8-CD636A4AE34E}"/>
    <hyperlink ref="O918" r:id="rId556" display="http://turnertracker.com/data/extensions_data/tickets/e/9/c/4/0/1322889RD//ticket.jpg" xr:uid="{051FDD4B-6B33-B944-9958-E28E13FD35FC}"/>
    <hyperlink ref="O919" r:id="rId557" display="http://turnertracker.com/data/extensions_data/tickets/a/9/7/f/6/1322891RD//ticket.jpg" xr:uid="{B72A2B02-A1F2-C043-A60C-2625DE03E5B7}"/>
    <hyperlink ref="O920" r:id="rId558" display="http://turnertracker.com/data/extensions_data/tickets/9/d/c/1/8/1322896RD//ticket.jpg" xr:uid="{9ED091CC-74D5-C24C-88F2-A64A62532E43}"/>
    <hyperlink ref="O922" r:id="rId559" display="http://turnertracker.com/data/extensions_data/tickets/e/e/8/9/2/1322902RD//ticket.jpg" xr:uid="{82C1CF7E-0C91-2746-B531-7DD70F9947AB}"/>
    <hyperlink ref="O923" r:id="rId560" display="http://turnertracker.com/data/extensions_data/tickets/e/b/3/6/e/1322907RD//ticket.jpg" xr:uid="{2BD6A12B-DE43-E642-8491-CFC1D690A5AB}"/>
    <hyperlink ref="O927" r:id="rId561" display="http://turnertracker.com/data/extensions_data/tickets/1/8/c/8/f/1322913RD//ticket.jpg" xr:uid="{2C115F54-97D5-4349-A8DD-B3908D2CD5AC}"/>
    <hyperlink ref="O928" r:id="rId562" display="http://turnertracker.com/data/extensions_data/tickets/e/f/8/c/4/1322915RD//ticket.jpg" xr:uid="{95DB9B25-C973-D648-BE29-308ACDB2901C}"/>
    <hyperlink ref="O934" r:id="rId563" display="http://turnertracker.com/data/extensions_data/tickets/b/6/e/d/1/1322925RD//ticket.jpg" xr:uid="{FDC60945-787D-134C-868B-4AD51E268D59}"/>
    <hyperlink ref="O939" r:id="rId564" display="http://turnertracker.com/data/extensions_data/tickets/5/a/8/e/f/1337844RD//ticket.jpg" xr:uid="{0EA6A112-4ED3-ED45-8524-A56B905BECFF}"/>
    <hyperlink ref="O943" r:id="rId565" display="http://turnertracker.com/data/extensions_data/tickets/d/e/9/0/0/1337846RD//ticket.jpg" xr:uid="{84C396AA-12E3-3A40-ACDE-0C87F41F11F3}"/>
    <hyperlink ref="O951" r:id="rId566" display="http://turnertracker.com/data/extensions_data/tickets/3/f/9/4/a/1337847RD//ticket.jpg" xr:uid="{7B85BD65-25DC-CD44-9441-95E65407FD6D}"/>
    <hyperlink ref="O955" r:id="rId567" display="http://turnertracker.com/data/extensions_data/tickets/e/a/0/c/a/1337851RD//ticket.jpg" xr:uid="{073AAFB7-552D-FA48-B2B9-C8C4EDDE377E}"/>
    <hyperlink ref="O958" r:id="rId568" display="http://turnertracker.com/data/extensions_data/tickets/4/6/2/1/a/1337853RD//ticket.jpg" xr:uid="{CA61DAAE-EDBB-854A-9C04-F364D593A395}"/>
    <hyperlink ref="O959" r:id="rId569" display="http://turnertracker.com/data/extensions_data/tickets/f/3/5/9/3/1337854RD//ticket.jpg" xr:uid="{6353F350-CA25-D342-B7D5-423B4573F364}"/>
    <hyperlink ref="O960" r:id="rId570" display="http://turnertracker.com/data/extensions_data/tickets/e/b/c/3/f/1337855RD//ticket.jpg" xr:uid="{A17519C0-81AC-624A-82AA-69E752250D94}"/>
    <hyperlink ref="O961" r:id="rId571" display="http://turnertracker.com/data/extensions_data/tickets/f/d/0/4/0/1337856RD//ticket.jpg" xr:uid="{6B636057-8A81-214D-B51F-D476FBDB124C}"/>
    <hyperlink ref="O962" r:id="rId572" display="http://turnertracker.com/data/extensions_data/tickets/d/b/f/5/b/1337857RD//ticket.jpg" xr:uid="{9D331220-C829-2540-89AD-791C8D5D542D}"/>
    <hyperlink ref="O963" r:id="rId573" display="http://turnertracker.com/data/extensions_data/tickets/8/c/7/9/c/1337858RD//ticket.jpg" xr:uid="{896F40D7-C834-224A-9D1B-47471965FAB8}"/>
    <hyperlink ref="O964" r:id="rId574" display="http://turnertracker.com/data/extensions_data/tickets/b/e/d/6/f/1337859RD//ticket.jpg" xr:uid="{5A608DE0-2DE6-7244-B4E2-56D60BC9518A}"/>
    <hyperlink ref="O965" r:id="rId575" display="http://turnertracker.com/data/extensions_data/tickets/9/7/2/6/1/1337860RD//ticket.jpg" xr:uid="{964616DE-9604-2E4C-88E4-7BE4B877BCAE}"/>
    <hyperlink ref="O966" r:id="rId576" display="http://turnertracker.com/data/extensions_data/tickets/3/e/6/8/4/1337861RD//ticket.jpg" xr:uid="{C705CF6B-523C-CC4C-868D-309E4EAA13FF}"/>
    <hyperlink ref="O967" r:id="rId577" display="http://turnertracker.com/data/extensions_data/tickets/7/5/7/d/d/1337862RD//ticket.jpg" xr:uid="{1425B055-AEF3-1549-A48D-C3DDC9DDF371}"/>
    <hyperlink ref="O970" r:id="rId578" display="http://turnertracker.com/data/extensions_data/tickets/7/7/5/6/f/1356443RD//ticket.jpg" xr:uid="{6AA866FC-FB1F-DB40-966B-F00762AB1A4F}"/>
    <hyperlink ref="O971" r:id="rId579" display="http://turnertracker.com/data/extensions_data/tickets/9/c/8/7/c/1356444RD//ticket.jpg" xr:uid="{067635D6-DE0F-9046-BE5A-67BF31188A5E}"/>
    <hyperlink ref="O972" r:id="rId580" display="http://turnertracker.com/data/extensions_data/tickets/0/2/6/d/0/1356445RD//ticket.jpg" xr:uid="{BF1877CB-BB23-164D-B708-6265F415466F}"/>
    <hyperlink ref="O975" r:id="rId581" display="http://turnertracker.com/data/extensions_data/tickets/6/9/7/6/8/1356448RD//ticket.jpg" xr:uid="{5E1DD97B-E931-0343-A18C-26553278A66E}"/>
    <hyperlink ref="O976" r:id="rId582" display="http://turnertracker.com/data/extensions_data/tickets/b/8/6/5/9/1356449RD//ticket.jpg" xr:uid="{2DA769B6-86C3-1B4C-8096-9D5A702211AD}"/>
    <hyperlink ref="O978" r:id="rId583" display="http://turnertracker.com/data/extensions_data/tickets/5/e/4/a/9/1356451RD//ticket.jpg" xr:uid="{5F408CAF-E282-E549-9389-75605C64A90E}"/>
    <hyperlink ref="O979" r:id="rId584" display="http://turnertracker.com/data/extensions_data/tickets/3/d/1/5/e/1356452RD//ticket.jpg" xr:uid="{72AC1277-5D1D-AC45-A735-0D610599DE2F}"/>
    <hyperlink ref="O986" r:id="rId585" display="http://turnertracker.com/data/extensions_data/tickets/0/5/6/6/e/1356459RD//ticket.jpg" xr:uid="{F0650AA0-E1F2-CF4C-A813-925A7F866527}"/>
    <hyperlink ref="O987" r:id="rId586" display="http://turnertracker.com/data/extensions_data/tickets/1/1/d/1/f/1356460RD//ticket.jpg" xr:uid="{CD2C7DDC-896A-204A-91F4-48023FF4898D}"/>
    <hyperlink ref="O993" r:id="rId587" display="http://turnertracker.com/data/extensions_data/tickets/2/6/4/a/1/1356464RD//ticket.jpg" xr:uid="{2DF48097-4C42-6942-B68B-28BDE48DF1DB}"/>
    <hyperlink ref="O1008" r:id="rId588" display="http://turnertracker.com/data/extensions_data/tickets/b/9/8/d/1/1371215RD//ticket.jpg" xr:uid="{2DD48FFF-7E7D-DB47-84B6-45E65E4375F1}"/>
    <hyperlink ref="O1010" r:id="rId589" display="http://turnertracker.com/data/extensions_data/tickets/e/a/1/5/7/1371217RD//ticket.jpg" xr:uid="{11B90E30-348F-004D-B431-0E5D4EE7F733}"/>
    <hyperlink ref="O1017" r:id="rId590" display="http://turnertracker.com/data/extensions_data/tickets/e/7/7/7/0/1371281RD//ticket.jpg" xr:uid="{2C628BA7-5AB6-C34B-A9D5-E3234C07A518}"/>
    <hyperlink ref="O1023" r:id="rId591" display="http://turnertracker.com/data/extensions_data/tickets/9/b/c/0/b/1371285RD//ticket.jpg" xr:uid="{7EEB1B92-3DEE-684E-BCB6-76F1020C90BD}"/>
    <hyperlink ref="O1021" r:id="rId592" display="http://turnertracker.com/data/extensions_data/tickets/2/1/b/7/4/1371286RD//ticket.jpg" xr:uid="{47129686-C5F7-874E-9094-19A4F99A8F96}"/>
    <hyperlink ref="O1028" r:id="rId593" display="http://turnertracker.com/data/extensions_data/tickets/4/4/d/1/0/1371291RD//ticket.jpg" xr:uid="{550E6671-E967-544E-98C4-C9A9D000CE99}"/>
    <hyperlink ref="O1027" r:id="rId594" display="http://turnertracker.com/data/extensions_data/tickets/3/e/a/0/2/1371292RD//ticket.jpg" xr:uid="{D9C440E0-1A38-BC4A-B34B-4172317F1F5A}"/>
    <hyperlink ref="O1042" r:id="rId595" display="http://turnertracker.com/data/extensions_data/tickets/9/0/9/9/5/1384125RD//ticket.jpg" xr:uid="{D3E02A36-6558-2A40-B3C3-98C50E954859}"/>
    <hyperlink ref="O1044" r:id="rId596" display="http://turnertracker.com/data/extensions_data/tickets/e/3/1/1/8/1384127RD//ticket.jpg" xr:uid="{29A26857-03DD-F044-94E7-E17C9B8E96CD}"/>
    <hyperlink ref="O1062" r:id="rId597" display="http://turnertracker.com/data/extensions_data/tickets/3/4/9/c/9/1384137RD//ticket.jpg" xr:uid="{61A0C469-E926-5E4C-801E-28B422A6F61D}"/>
    <hyperlink ref="O1065" r:id="rId598" display="http://turnertracker.com/data/extensions_data/tickets/4/d/b/1/8/1384143RD//ticket.jpg" xr:uid="{365EBB1C-41C9-D04D-82A8-D7107FDAF695}"/>
    <hyperlink ref="O1070" r:id="rId599" display="http://turnertracker.com/data/extensions_data/tickets/1/f/4/c/7/1384145RD//ticket.jpg" xr:uid="{33CF8100-5AF6-0246-AD9B-09B975E77CB4}"/>
    <hyperlink ref="O1073" r:id="rId600" display="http://turnertracker.com/data/extensions_data/tickets/8/2/b/4/e/1384147RD//ticket.jpg" xr:uid="{3F4BA33C-EF3B-7943-86BC-12D716FCF55A}"/>
    <hyperlink ref="O1074" r:id="rId601" display="http://turnertracker.com/data/extensions_data/tickets/8/3/a/8/b/1384149RD//ticket.jpg" xr:uid="{7007CD50-3855-F34E-8839-5ABC7F5DAD5A}"/>
    <hyperlink ref="O1078" r:id="rId602" display="http://turnertracker.com/data/extensions_data/tickets/d/7/7/f/3/1384152RD//ticket.jpg" xr:uid="{0E92B30A-F678-1E4F-8613-36C4E62B4C87}"/>
    <hyperlink ref="O1114" r:id="rId603" display="http://turnertracker.com/data/extensions_data/tickets/6/6/a/7/0/1401219RD//ticket.jpg" xr:uid="{BB038CC8-9340-9E40-AA56-202EF85CA622}"/>
    <hyperlink ref="O1120" r:id="rId604" display="http://turnertracker.com/data/extensions_data/tickets/4/b/7/5/f/1401232RD//ticket.jpg" xr:uid="{3872F965-2976-B945-A026-357AA2BD9ABC}"/>
    <hyperlink ref="O49" r:id="rId605" display="http://turnertracker.com/data/extensions_data/tickets/e/4/1/9/c/999403RD//ticket.jpg" xr:uid="{25D9BB0E-F929-1A4B-B412-58954D7E53B8}"/>
    <hyperlink ref="O51" r:id="rId606" display="http://turnertracker.com/data/extensions_data/tickets/1/4/2/c/a/999405RD//ticket.jpg" xr:uid="{BB7F7E0C-9E43-4F4E-A37A-34CAF51FA899}"/>
    <hyperlink ref="O93" r:id="rId607" display="http://turnertracker.com/data/extensions_data/tickets/f/5/9/1/3/999408RD//ticket.jpg" xr:uid="{826959B1-A1BF-5B4F-988C-D021E968B303}"/>
    <hyperlink ref="O116" r:id="rId608" display="http://turnertracker.com/data/extensions_data/tickets/7/f/5/f/e/999410RD//ticket.jpg" xr:uid="{B8893643-B8A4-4D45-AA4B-D16CDA9C5123}"/>
    <hyperlink ref="O132" r:id="rId609" display="http://turnertracker.com/data/extensions_data/tickets/2/8/d/5/1/999412RD//ticket.jpg" xr:uid="{9A3DC1C3-E412-BE4D-8F91-640481545937}"/>
    <hyperlink ref="O134" r:id="rId610" display="http://turnertracker.com/data/extensions_data/tickets/0/4/8/8/f/999416RD//ticket.jpg" xr:uid="{AF454823-336C-0643-B351-4B9AF1AD7C34}"/>
    <hyperlink ref="O142" r:id="rId611" display="http://turnertracker.com/data/extensions_data/tickets/4/c/3/9/d/999417RD//ticket.jpg" xr:uid="{2257B12E-23AF-DA42-8FB1-8D72D36A9F7F}"/>
    <hyperlink ref="O182" r:id="rId612" display="http://turnertracker.com/data/extensions_data/tickets/3/d/6/3/4/999419RD//ticket.jpg" xr:uid="{1D3A576B-FF36-7947-91F7-6C03DE19476C}"/>
    <hyperlink ref="O16" r:id="rId613" display="http://turnertracker.com/data/extensions_data/tickets/9/2/9/6/b/999420RD//ticket.jpg" xr:uid="{6BEBADD1-C47B-F941-A699-809A3A52A74C}"/>
    <hyperlink ref="O40" r:id="rId614" display="http://turnertracker.com/data/extensions_data/tickets/9/6/c/6/7/999422RD//ticket.jpg" xr:uid="{B2B35660-683F-8841-B55D-4E5A5B6F9AC6}"/>
    <hyperlink ref="O262" r:id="rId615" display="http://turnertracker.com/data/extensions_data/tickets/d/5/8/1/9/1209745RD//ticket.jpg" xr:uid="{39E77BFE-3DFD-454A-9D36-0C25FBCC175B}"/>
    <hyperlink ref="O277" r:id="rId616" display="http://turnertracker.com/data/extensions_data/tickets/b/f/5/7/3/1209746RD//ticket.jpg" xr:uid="{F13139F6-FDB9-5547-ABF6-A08F392CA4C0}"/>
    <hyperlink ref="O330" r:id="rId617" display="http://turnertracker.com/data/extensions_data/tickets/5/e/a/e/a/1209754RD//ticket.jpg" xr:uid="{BABC18DB-8965-874F-9557-53D6255BDC3D}"/>
    <hyperlink ref="O555" r:id="rId618" display="http://turnertracker.com/data/extensions_data/tickets/2/6/4/7/8/1248152RD//ticket.jpg" xr:uid="{2430DA97-FD7D-F84C-B0EA-3A1F7FAD9321}"/>
    <hyperlink ref="O845" r:id="rId619" display="http://turnertracker.com/data/extensions_data/tickets/b/6/5/f/4/1293480RD//ticket.jpg" xr:uid="{31B8FF33-C38F-9D46-9217-8AB6F69BD051}"/>
    <hyperlink ref="O953" r:id="rId620" display="http://turnertracker.com/data/extensions_data/tickets/9/8/f/f/9/1329902RD//ticket.jpg" xr:uid="{41A17713-9C8B-6643-A603-506EBD313328}"/>
    <hyperlink ref="O1037" r:id="rId621" display="http://turnertracker.com/data/extensions_data/tickets/e/f/3/d/4/1448966RD/ticket_file.pdf" xr:uid="{22B3803B-E7B0-E942-A2AA-69196D171D00}"/>
    <hyperlink ref="O41" r:id="rId622" display="http://turnertracker.com/data/extensions_data/tickets/6/7/4/b/3/935842RD//ticket.jpg" xr:uid="{D2F0164D-51AF-C146-A1CE-03EADA8B4267}"/>
    <hyperlink ref="O38" r:id="rId623" display="http://turnertracker.com/data/extensions_data/tickets/d/d/6/e/1/935844RD//ticket.jpg" xr:uid="{AD203450-BCB3-5D49-96CA-87485095057B}"/>
    <hyperlink ref="O133" r:id="rId624" display="http://turnertracker.com/data/extensions_data/tickets/2/0/a/c/b/983478RD//ticket.jpg" xr:uid="{D3736A0F-DCF4-5D44-B55B-8D690A5DF286}"/>
    <hyperlink ref="O143" r:id="rId625" display="http://turnertracker.com/data/extensions_data/tickets/0/7/8/0/b/983488RD//ticket.jpg" xr:uid="{6EBA421D-81C4-484A-AADB-485633F63906}"/>
    <hyperlink ref="O42" r:id="rId626" display="http://turnertracker.com/data/extensions_data/tickets/4/8/a/4/0/1000105RD//ticket.jpg" xr:uid="{839527E6-C6EF-4A48-AACA-85DEC7314044}"/>
    <hyperlink ref="O47" r:id="rId627" display="http://turnertracker.com/data/extensions_data/tickets/b/8/3/8/a/1000113RD//ticket.jpg" xr:uid="{202F1B28-1C57-5241-AA04-9A664BD4DB84}"/>
    <hyperlink ref="O48" r:id="rId628" display="http://turnertracker.com/data/extensions_data/tickets/e/c/a/a/7/1000117RD//ticket.jpg" xr:uid="{27463132-1A53-5C42-AF27-9A9DFBFC6816}"/>
    <hyperlink ref="O73" r:id="rId629" display="http://turnertracker.com/data/extensions_data/tickets/0/3/3/2/8/1000120RD//ticket.jpg" xr:uid="{52DD56A2-9C17-2E4D-B57D-FA3D56498771}"/>
    <hyperlink ref="O200" r:id="rId630" display="http://turnertracker.com/data/extensions_data/tickets/9/e/9/8/5/1000121RD//ticket.jpg" xr:uid="{9F165B00-2C82-3C40-B27B-A0C9AA030CF8}"/>
    <hyperlink ref="O165" r:id="rId631" display="http://turnertracker.com/data/extensions_data/tickets/3/2/5/b/d/1022935RD//ticket.jpg" xr:uid="{A964019E-5543-C544-B1B4-4575DD98D56A}"/>
    <hyperlink ref="O225" r:id="rId632" display="http://turnertracker.com/data/extensions_data/tickets/6/8/d/a/5/1046191RD//ticket.jpg" xr:uid="{CE0C38CA-44B3-7549-A2AE-CD4D780BFEB0}"/>
    <hyperlink ref="O235" r:id="rId633" display="http://turnertracker.com/data/extensions_data/tickets/a/9/d/1/9/1059107RD//ticket.jpg" xr:uid="{956950F0-A9F2-E84D-BC97-448A68E8E82F}"/>
    <hyperlink ref="O238" r:id="rId634" display="http://turnertracker.com/data/extensions_data/tickets/9/4/0/2/9/1059109RD//ticket.jpg" xr:uid="{812143B8-A4C7-3C4E-AF35-C84896F8E37F}"/>
    <hyperlink ref="O240" r:id="rId635" display="http://turnertracker.com/data/extensions_data/tickets/3/4/f/2/f/1059111RD//ticket.jpg" xr:uid="{62EA9F9C-E739-1E44-9583-9470591B4004}"/>
    <hyperlink ref="O241" r:id="rId636" display="http://turnertracker.com/data/extensions_data/tickets/e/d/b/9/d/1059112RD//ticket.jpg" xr:uid="{AAD8FD48-5737-F24E-AE67-49151EE5892A}"/>
    <hyperlink ref="O243" r:id="rId637" display="http://turnertracker.com/data/extensions_data/tickets/1/7/f/2/9/1059113RD//ticket.jpg" xr:uid="{E0B4D81E-A307-5340-A01C-A44815EE6F3E}"/>
    <hyperlink ref="O244" r:id="rId638" display="http://turnertracker.com/data/extensions_data/tickets/0/a/4/d/5/1059114RD//ticket.jpg" xr:uid="{DF1297AC-2780-DA45-9CD0-CB321C9452F5}"/>
    <hyperlink ref="O250" r:id="rId639" display="http://turnertracker.com/data/extensions_data/tickets/4/b/4/4/2/1059115RD//ticket.jpg" xr:uid="{266A2696-0D27-8F40-9115-937F5E868B1B}"/>
    <hyperlink ref="O248" r:id="rId640" display="http://turnertracker.com/data/extensions_data/tickets/f/5/f/d/c/1059117RD//ticket.jpg" xr:uid="{BB6BA822-87C6-1D40-9247-D559DBA0B5D4}"/>
    <hyperlink ref="O254" r:id="rId641" display="http://turnertracker.com/data/extensions_data/tickets/a/8/9/0/6/1068846RD//ticket.jpg" xr:uid="{B0DCCB3C-6964-0646-B4D6-60838C632D00}"/>
    <hyperlink ref="O255" r:id="rId642" display="http://turnertracker.com/data/extensions_data/tickets/e/0/2/6/a/1068849RD//ticket.jpg" xr:uid="{BE672FBA-3AC0-B848-8607-5FB8FAB9C5D2}"/>
    <hyperlink ref="O263" r:id="rId643" display="http://turnertracker.com/data/extensions_data/tickets/1/f/6/2/c/1068855RD//ticket.jpg" xr:uid="{7EF3E3E2-AFFD-C246-9469-125853E3DB62}"/>
    <hyperlink ref="O266" r:id="rId644" display="http://turnertracker.com/data/extensions_data/tickets/4/4/1/a/f/1068857RD//ticket.jpg" xr:uid="{A3D39C78-45AF-7148-AA0F-24242C32C750}"/>
    <hyperlink ref="O270" r:id="rId645" display="http://turnertracker.com/data/extensions_data/tickets/7/5/7/5/c/1076879RD//ticket.jpg" xr:uid="{F1B4C175-0C50-A248-B88D-37DD2A975BA1}"/>
    <hyperlink ref="O272" r:id="rId646" display="http://turnertracker.com/data/extensions_data/tickets/8/8/4/d/4/1076882RD//ticket.jpg" xr:uid="{14248F13-C86C-104F-9C6A-1FC75118A1D0}"/>
    <hyperlink ref="O281" r:id="rId647" display="http://turnertracker.com/data/extensions_data/tickets/e/b/c/4/2/1076883RD//ticket.jpg" xr:uid="{312BBDD3-A5DD-E041-B10F-F8CA01F26ED4}"/>
    <hyperlink ref="O274" r:id="rId648" display="http://turnertracker.com/data/extensions_data/tickets/6/e/c/d/8/1076884RD//ticket.jpg" xr:uid="{D2D99C6A-6461-564C-BD2D-3BFB44CB129D}"/>
    <hyperlink ref="O291" r:id="rId649" display="http://turnertracker.com/data/extensions_data/tickets/b/2/f/3/4/1089147RD//ticket.jpg" xr:uid="{0D903205-D253-3449-9A0D-6224163BC5E6}"/>
    <hyperlink ref="O294" r:id="rId650" display="http://turnertracker.com/data/extensions_data/tickets/2/d/1/5/c/1089148RD//ticket.jpg" xr:uid="{E65CF258-3EB0-1E4E-AE2E-BEDC014DFC43}"/>
    <hyperlink ref="O299" r:id="rId651" display="http://turnertracker.com/data/extensions_data/tickets/5/3/2/1/0/1089149RD//ticket.jpg" xr:uid="{CCBB0DC3-DE89-3D44-B38B-475EEE05BC2F}"/>
    <hyperlink ref="O303" r:id="rId652" display="http://turnertracker.com/data/extensions_data/tickets/0/e/a/9/2/1089150RD//ticket.jpg" xr:uid="{4AB8AD6B-321F-784A-9BB5-2013F7BB15EE}"/>
    <hyperlink ref="O310" r:id="rId653" display="http://turnertracker.com/data/extensions_data/tickets/a/a/9/4/2/1089153RD//ticket.jpg" xr:uid="{80165983-0239-6142-B4B3-CC2C4BED2F3A}"/>
    <hyperlink ref="O317" r:id="rId654" display="http://turnertracker.com/data/extensions_data/tickets/b/1/8/3/2/1092507RD//ticket.jpg" xr:uid="{6FCE0BAF-26EF-B942-8AC8-28ED2475EC10}"/>
    <hyperlink ref="O325" r:id="rId655" display="http://turnertracker.com/data/extensions_data/tickets/f/9/1/3/9/1107608RD//ticket.jpg" xr:uid="{8473600A-AE00-A44A-B3EC-77DCF6ED65D5}"/>
    <hyperlink ref="O327" r:id="rId656" display="http://turnertracker.com/data/extensions_data/tickets/4/e/5/a/4/1107612RD//ticket.jpg" xr:uid="{24E28011-8788-6940-BCE1-E4BF71449368}"/>
    <hyperlink ref="O334" r:id="rId657" display="http://turnertracker.com/data/extensions_data/tickets/8/4/f/7/0/1107618RD//ticket.jpg" xr:uid="{805265EB-4EF3-9447-A992-77DA361D4A60}"/>
    <hyperlink ref="O338" r:id="rId658" display="http://turnertracker.com/data/extensions_data/tickets/8/9/c/1/3/1107627RD//ticket.jpg" xr:uid="{B715F67F-B014-4F4D-BE94-018B5D2438AB}"/>
    <hyperlink ref="O341" r:id="rId659" display="http://turnertracker.com/data/extensions_data/tickets/5/5/b/3/1/1107630RD//ticket.jpg" xr:uid="{6050884A-67A3-6A4F-B2A0-11D8E45F1D27}"/>
    <hyperlink ref="O342" r:id="rId660" display="http://turnertracker.com/data/extensions_data/tickets/e/8/d/a/f/1107632RD//ticket.jpg" xr:uid="{163A88E4-BA70-C842-965A-6E718EE22AE3}"/>
    <hyperlink ref="O343" r:id="rId661" display="http://turnertracker.com/data/extensions_data/tickets/d/e/c/2/b/1107633RD//ticket.jpg" xr:uid="{25CA543C-F8C2-9943-982D-6816E7D1D537}"/>
    <hyperlink ref="O344" r:id="rId662" display="http://turnertracker.com/data/extensions_data/tickets/c/3/0/d/5/1107634RD//ticket.jpg" xr:uid="{E67920DB-7C87-5C4B-A158-48FF4098CBF7}"/>
    <hyperlink ref="O348" r:id="rId663" display="http://turnertracker.com/data/extensions_data/tickets/6/2/e/d/3/1120142RD//ticket.jpg" xr:uid="{25666017-34E3-4540-B22E-40C824CA9873}"/>
    <hyperlink ref="O352" r:id="rId664" display="http://turnertracker.com/data/extensions_data/tickets/4/b/a/b/4/1120144RD//ticket.jpg" xr:uid="{F9C19B73-7E61-534E-A898-41660EBBAFB2}"/>
    <hyperlink ref="O353" r:id="rId665" display="http://turnertracker.com/data/extensions_data/tickets/6/0/a/e/9/1120145RD//ticket.jpg" xr:uid="{54305B5C-C590-1C43-851E-1B8914978408}"/>
    <hyperlink ref="O356" r:id="rId666" display="http://turnertracker.com/data/extensions_data/tickets/c/7/0/f/6/1120148RD//ticket.jpg" xr:uid="{CAC1026B-162F-5A40-89D8-F805CB0D4370}"/>
    <hyperlink ref="O357" r:id="rId667" display="http://turnertracker.com/data/extensions_data/tickets/4/2/9/c/3/1130019RD//ticket.jpg" xr:uid="{39E76D2D-2027-FD4E-B224-C8D18FB3459B}"/>
    <hyperlink ref="O360" r:id="rId668" display="http://turnertracker.com/data/extensions_data/tickets/d/4/6/c/5/1130023RD//ticket.jpg" xr:uid="{1DB65F01-44EB-F145-8CA7-2022A939E221}"/>
    <hyperlink ref="O362" r:id="rId669" display="http://turnertracker.com/data/extensions_data/tickets/b/d/7/c/6/1130026RD//ticket.jpg" xr:uid="{A0026B90-2BE6-ED49-962F-6C5EF10C6E68}"/>
    <hyperlink ref="O363" r:id="rId670" display="http://turnertracker.com/data/extensions_data/tickets/d/2/7/9/f/1130029RD//ticket.jpg" xr:uid="{6B0A9E1E-9003-1F42-A30C-8FFB1C869549}"/>
    <hyperlink ref="O365" r:id="rId671" display="http://turnertracker.com/data/extensions_data/tickets/1/9/b/2/f/1130038RD//ticket.jpg" xr:uid="{613A50AE-E7B3-F141-A306-96974EBBF53B}"/>
    <hyperlink ref="O372" r:id="rId672" display="http://turnertracker.com/data/extensions_data/tickets/2/8/1/6/b/1143066RD//ticket.jpg" xr:uid="{A2176979-08A1-7448-BD9A-CC5E8F8EB58C}"/>
    <hyperlink ref="O373" r:id="rId673" display="http://turnertracker.com/data/extensions_data/tickets/f/2/e/2/e/1143067RD//ticket.jpg" xr:uid="{EFA4FFB2-C809-804C-B977-A0466742319B}"/>
    <hyperlink ref="O374" r:id="rId674" display="http://turnertracker.com/data/extensions_data/tickets/e/f/d/0/1/1143068RD//ticket.jpg" xr:uid="{142BA5FF-E6A1-EF4A-842D-088DC26ED2E4}"/>
    <hyperlink ref="O379" r:id="rId675" display="http://turnertracker.com/data/extensions_data/tickets/f/4/2/6/6/1152819RD//ticket.jpg" xr:uid="{1EC99C24-F3E3-874C-8100-9A6A5B84A7B3}"/>
    <hyperlink ref="O385" r:id="rId676" display="http://turnertracker.com/data/extensions_data/tickets/f/6/c/9/6/1152824RD//ticket.jpg" xr:uid="{7ACCB722-8004-4948-BBB7-392F415C95E1}"/>
    <hyperlink ref="O386" r:id="rId677" display="http://turnertracker.com/data/extensions_data/tickets/4/7/3/d/4/1152825RD//ticket.jpg" xr:uid="{00BD4CC3-8149-2145-B08D-7B7EDB9CE0F0}"/>
    <hyperlink ref="O388" r:id="rId678" display="http://turnertracker.com/data/extensions_data/tickets/8/d/6/9/f/1152829RD//ticket.jpg" xr:uid="{5E60FEBC-C87F-3445-AD3F-633A3339CA65}"/>
    <hyperlink ref="O389" r:id="rId679" display="http://turnertracker.com/data/extensions_data/tickets/b/e/b/8/0/1152830RD//ticket.jpg" xr:uid="{385DEBE8-8421-5F48-8DB2-47879CE63997}"/>
    <hyperlink ref="O391" r:id="rId680" display="http://turnertracker.com/data/extensions_data/tickets/3/7/3/8/9/1152834RD//ticket.jpg" xr:uid="{AD80CE4F-2615-7B47-8B5E-919BAD393980}"/>
    <hyperlink ref="O394" r:id="rId681" display="http://turnertracker.com/data/extensions_data/tickets/0/6/b/c/b/1152836RD//ticket.jpg" xr:uid="{686A2036-3D5D-C543-85D2-4112AD4D977A}"/>
    <hyperlink ref="O398" r:id="rId682" display="http://turnertracker.com/data/extensions_data/tickets/0/7/e/6/a/1154737RD//ticket.jpg" xr:uid="{B177FFE0-97F4-2A47-9064-C629C4A0E1DF}"/>
    <hyperlink ref="O399" r:id="rId683" display="http://turnertracker.com/data/extensions_data/tickets/4/b/7/f/0/1154741RD//ticket.jpg" xr:uid="{363FD8EF-02A1-304A-8DA6-8D47A9B05577}"/>
    <hyperlink ref="O400" r:id="rId684" display="http://turnertracker.com/data/extensions_data/tickets/c/9/8/0/f/1154742RD//ticket.jpg" xr:uid="{82C59B1C-26CA-2B42-8308-329014579608}"/>
    <hyperlink ref="O403" r:id="rId685" display="http://turnertracker.com/data/extensions_data/tickets/1/e/c/5/e/1165873RD//ticket.jpg" xr:uid="{84648320-AC9C-F347-B408-B91836D74AC5}"/>
    <hyperlink ref="O427" r:id="rId686" display="http://turnertracker.com/data/extensions_data/tickets/1/9/2/4/8/1165934RD//ticket.jpg" xr:uid="{ACE319ED-FEA3-BF48-AD56-8CA64DC5D1D4}"/>
    <hyperlink ref="O433" r:id="rId687" display="http://turnertracker.com/data/extensions_data/tickets/e/0/5/5/d/1182626RD//ticket.jpg" xr:uid="{C5677AEF-446F-4142-A047-F0AEC1B2B32D}"/>
    <hyperlink ref="O438" r:id="rId688" display="http://turnertracker.com/data/extensions_data/tickets/b/5/2/8/6/1182628RD//ticket.jpg" xr:uid="{71BA8DB9-2983-1649-98A3-3A0CD7C2A93F}"/>
    <hyperlink ref="O444" r:id="rId689" display="http://turnertracker.com/data/extensions_data/tickets/c/a/f/0/a/1182636RD//ticket.jpg" xr:uid="{030577DE-00B0-6B49-85B9-79C0C8151B3B}"/>
    <hyperlink ref="O542" r:id="rId690" display="http://turnertracker.com/data/extensions_data/tickets/2/c/9/8/4/1193718RD//ticket.jpg" xr:uid="{67C07AA0-9FA9-D346-A4E4-F89703897DFD}"/>
    <hyperlink ref="O550" r:id="rId691" display="http://turnertracker.com/data/extensions_data/tickets/a/3/1/8/e/1193739RD//ticket.jpg" xr:uid="{952B86FE-1C32-9E47-BEFC-723B7611FB86}"/>
    <hyperlink ref="O556" r:id="rId692" display="http://turnertracker.com/data/extensions_data/tickets/f/6/6/e/0/1195163RD//ticket.jpg" xr:uid="{51F011F5-C40B-DA44-BD6F-08D99E988189}"/>
    <hyperlink ref="O565" r:id="rId693" display="http://turnertracker.com/data/extensions_data/tickets/f/7/e/8/4/1205038RD//ticket.jpg" xr:uid="{777BE79B-7B30-1A47-8485-A4F3EAB05D5A}"/>
    <hyperlink ref="O572" r:id="rId694" display="http://turnertracker.com/data/extensions_data/tickets/3/2/e/b/0/1205049RD//ticket.jpg" xr:uid="{AC6C796A-64D6-B34D-9673-1AE5F447BE0D}"/>
    <hyperlink ref="O586" r:id="rId695" display="http://turnertracker.com/data/extensions_data/tickets/8/0/5/3/8/1218841RD//ticket.jpg" xr:uid="{2C81D351-FE67-F44D-8CF3-51BD2007E4A4}"/>
    <hyperlink ref="O593" r:id="rId696" display="http://turnertracker.com/data/extensions_data/tickets/8/6/f/1/8/1218852RD//ticket.jpg" xr:uid="{D4A6DCB9-5F03-C84C-AAAE-7E93780819FF}"/>
    <hyperlink ref="O594" r:id="rId697" display="http://turnertracker.com/data/extensions_data/tickets/2/1/b/5/a/1218856RD//ticket.jpg" xr:uid="{023FBE9C-498A-6846-88D8-C35E9978EBF4}"/>
    <hyperlink ref="O599" r:id="rId698" display="http://turnertracker.com/data/extensions_data/tickets/e/b/a/d/c/1219057RD//ticket.jpg" xr:uid="{F4017E0C-6F54-DD46-A087-E25D285AC8E2}"/>
    <hyperlink ref="O607" r:id="rId699" display="http://turnertracker.com/data/extensions_data/tickets/e/a/9/3/5/1219066RD//ticket.jpg" xr:uid="{40631349-8D41-2B49-BE06-E7D767F1820C}"/>
    <hyperlink ref="O614" r:id="rId700" display="http://turnertracker.com/data/extensions_data/tickets/d/0/e/d/4/1219072RD//ticket.jpg" xr:uid="{92024D5F-8A07-1344-B2DC-47DC23FC54D1}"/>
    <hyperlink ref="O617" r:id="rId701" display="http://turnertracker.com/data/extensions_data/tickets/5/2/4/f/a/1219075RD//ticket.jpg" xr:uid="{9210C7F5-03E6-AB43-9917-B6471334AFD6}"/>
    <hyperlink ref="O620" r:id="rId702" display="http://turnertracker.com/data/extensions_data/tickets/2/4/6/1/3/1219078RD//ticket.jpg" xr:uid="{5D28E4F4-D1A7-ED40-8798-3866D83EBB72}"/>
    <hyperlink ref="O623" r:id="rId703" display="http://turnertracker.com/data/extensions_data/tickets/5/1/0/d/4/1232865RD//ticket.jpg" xr:uid="{19DEB3A2-AAB7-2141-B551-BDD7DF954178}"/>
    <hyperlink ref="O627" r:id="rId704" display="http://turnertracker.com/data/extensions_data/tickets/9/d/b/f/1/1232873RD//ticket.jpg" xr:uid="{D68A0E83-5E69-3E47-8D9C-5534A239E12F}"/>
    <hyperlink ref="O629" r:id="rId705" display="http://turnertracker.com/data/extensions_data/tickets/1/0/7/f/a/1232880RD//ticket.jpg" xr:uid="{33C9C695-C27F-064A-965F-84E6138A8EDF}"/>
    <hyperlink ref="O646" r:id="rId706" display="http://turnertracker.com/data/extensions_data/tickets/1/1/5/f/7/1233065RD//ticket.jpg" xr:uid="{C01BF2FA-9C32-9F4D-8D9E-1BFA86E7B9D8}"/>
    <hyperlink ref="O668" r:id="rId707" display="http://turnertracker.com/data/extensions_data/tickets/2/0/e/4/7/1246518RD//ticket.jpg" xr:uid="{DCF6CB20-7786-F646-B0AB-A183B6571F16}"/>
    <hyperlink ref="O669" r:id="rId708" display="http://turnertracker.com/data/extensions_data/tickets/b/f/0/2/e/1246519RD//ticket.jpg" xr:uid="{6E7658A6-605F-114F-8E29-696A6620C929}"/>
    <hyperlink ref="O671" r:id="rId709" display="http://turnertracker.com/data/extensions_data/tickets/8/a/3/7/0/1246614RD//ticket.jpg" xr:uid="{5819E210-56CA-2C46-8E88-FD1D7E431CC0}"/>
    <hyperlink ref="O673" r:id="rId710" display="http://turnertracker.com/data/extensions_data/tickets/1/9/9/8/0/1246615RD//ticket.jpg" xr:uid="{EAD28CAF-48D2-6A40-ADF1-1E91B85BBCFA}"/>
    <hyperlink ref="O676" r:id="rId711" display="http://turnertracker.com/data/extensions_data/tickets/0/7/7/e/9/1246627RD//ticket.jpg" xr:uid="{7446FE1A-396C-0E46-84CD-D2F8F4679937}"/>
    <hyperlink ref="O712" r:id="rId712" display="http://turnertracker.com/data/extensions_data/tickets/9/c/a/0/3/1261579RD//ticket.jpg" xr:uid="{FCD4B075-E490-9A42-A002-E217DEAC1B42}"/>
    <hyperlink ref="O713" r:id="rId713" display="http://turnertracker.com/data/extensions_data/tickets/3/0/b/e/8/1261580RD//ticket.jpg" xr:uid="{6178DFB4-A000-2F4A-8101-45137F18DB33}"/>
    <hyperlink ref="O719" r:id="rId714" display="http://turnertracker.com/data/extensions_data/tickets/1/d/f/4/2/1261656RD//ticket.jpg" xr:uid="{0157821B-FE93-3547-9EBB-20CBF1D4C2A7}"/>
    <hyperlink ref="O733" r:id="rId715" display="http://turnertracker.com/data/extensions_data/tickets/f/6/c/d/f/1261675RD//ticket.jpg" xr:uid="{2FAAAD46-8FEF-6A45-B021-6BBA46065C8F}"/>
    <hyperlink ref="O738" r:id="rId716" display="http://turnertracker.com/data/extensions_data/tickets/e/d/d/5/5/1261701RD//ticket.jpg" xr:uid="{64569444-19BA-8A41-9695-62E67AF1FC60}"/>
    <hyperlink ref="O739" r:id="rId717" display="http://turnertracker.com/data/extensions_data/tickets/1/9/8/5/2/1261733RD//ticket.jpg" xr:uid="{FA353101-8C60-1B42-9D39-57D5027AB569}"/>
    <hyperlink ref="O744" r:id="rId718" display="http://turnertracker.com/data/extensions_data/tickets/4/4/5/f/d/1261742RD//ticket.jpg" xr:uid="{33934F85-8732-3348-BD2C-DFF4D696E173}"/>
    <hyperlink ref="O751" r:id="rId719" display="http://turnertracker.com/data/extensions_data/tickets/a/f/1/b/1/1273845RD//ticket.jpg" xr:uid="{1BE04FEB-0914-E647-90E3-621BFAAA5DC5}"/>
    <hyperlink ref="O755" r:id="rId720" display="http://turnertracker.com/data/extensions_data/tickets/3/a/d/a/3/1273865RD//ticket.jpg" xr:uid="{BE4CDD64-0A51-0C48-9F41-3505968CF746}"/>
    <hyperlink ref="O756" r:id="rId721" display="http://turnertracker.com/data/extensions_data/tickets/9/1/1/7/c/1273868RD//ticket.jpg" xr:uid="{657AF497-72A7-5D4A-A728-D2E44ABF1AA0}"/>
    <hyperlink ref="O765" r:id="rId722" display="http://turnertracker.com/data/extensions_data/tickets/f/a/9/5/a/1273877RD//ticket.jpg" xr:uid="{CEF8EBCF-98BC-1145-8B1A-262901781C70}"/>
    <hyperlink ref="O767" r:id="rId723" display="http://turnertracker.com/data/extensions_data/tickets/c/0/c/3/e/1274022RD//ticket.jpg" xr:uid="{DC8201B8-66F7-4A4C-8520-C7BCA271784D}"/>
    <hyperlink ref="O770" r:id="rId724" display="http://turnertracker.com/data/extensions_data/tickets/3/5/4/b/e/1274027RD//ticket.jpg" xr:uid="{8611C6CD-F532-E34B-B575-61FB27B117F8}"/>
    <hyperlink ref="O783" r:id="rId725" display="http://turnertracker.com/data/extensions_data/tickets/4/6/4/a/d/1274175RD//ticket.jpg" xr:uid="{F42D3439-9ABB-8C4A-B565-32AFBDD6A67C}"/>
    <hyperlink ref="O791" r:id="rId726" display="http://turnertracker.com/data/extensions_data/tickets/6/a/a/e/8/1274207RD//ticket.jpg" xr:uid="{381C99BF-EC20-8B4A-8A04-FF86F2C1BAC0}"/>
    <hyperlink ref="O796" r:id="rId727" display="http://turnertracker.com/data/extensions_data/tickets/f/b/9/c/2/1274218RD//ticket.jpg" xr:uid="{EDEF165F-C3DC-BE4B-B7C9-BC10DE1DFFEA}"/>
    <hyperlink ref="O797" r:id="rId728" display="http://turnertracker.com/data/extensions_data/tickets/4/e/1/4/5/1274230RD//ticket.jpg" xr:uid="{64088447-E77F-6642-A0F0-2E9574B91843}"/>
    <hyperlink ref="O802" r:id="rId729" display="http://turnertracker.com/data/extensions_data/tickets/4/4/9/e/7/1274236RD//ticket.jpg" xr:uid="{235EE80D-6CA2-BC42-BCCC-F5A62601071E}"/>
    <hyperlink ref="O803" r:id="rId730" display="http://turnertracker.com/data/extensions_data/tickets/6/2/d/2/2/1293399RD//ticket.jpg" xr:uid="{45BA0379-42FB-C845-B189-857931088B76}"/>
    <hyperlink ref="O804" r:id="rId731" display="http://turnertracker.com/data/extensions_data/tickets/d/9/b/f/4/1293401RD//ticket.jpg" xr:uid="{06F63EEE-7353-D04E-84FD-772C444252B0}"/>
    <hyperlink ref="O807" r:id="rId732" display="http://turnertracker.com/data/extensions_data/tickets/0/0/a/8/4/1293405RD//ticket.jpg" xr:uid="{57EBACE5-05A6-3F48-AF5B-7A10DBD4CD3E}"/>
    <hyperlink ref="O808" r:id="rId733" display="http://turnertracker.com/data/extensions_data/tickets/a/8/c/f/0/1293406RD//ticket.jpg" xr:uid="{99C02D53-B5CB-F74B-A39C-38C3A183ADEF}"/>
    <hyperlink ref="O809" r:id="rId734" display="http://turnertracker.com/data/extensions_data/tickets/e/4/a/c/c/1293409RD//ticket.jpg" xr:uid="{847CA717-299A-5341-9FE8-D1875736346D}"/>
    <hyperlink ref="O811" r:id="rId735" display="http://turnertracker.com/data/extensions_data/tickets/3/7/7/9/b/1293411RD//ticket.jpg" xr:uid="{9F7E423F-9B66-DF49-91BC-729C133D8359}"/>
    <hyperlink ref="O812" r:id="rId736" display="http://turnertracker.com/data/extensions_data/tickets/5/7/a/f/0/1293415RD//ticket.jpg" xr:uid="{B432B5CF-36F5-4C4A-9C5E-1DD003EE4EAB}"/>
    <hyperlink ref="O813" r:id="rId737" display="http://turnertracker.com/data/extensions_data/tickets/2/0/c/f/1/1293418RD//ticket.jpg" xr:uid="{EC02E0CB-2F89-144D-B829-EA0310ED3A64}"/>
    <hyperlink ref="O815" r:id="rId738" display="http://turnertracker.com/data/extensions_data/tickets/d/e/e/d/0/1293421RD//ticket.jpg" xr:uid="{9FF15CD9-B64D-194C-B4BD-D5BEB7A5DE07}"/>
    <hyperlink ref="O817" r:id="rId739" display="http://turnertracker.com/data/extensions_data/tickets/0/1/0/b/0/1293423RD//ticket.jpg" xr:uid="{7DED702C-FC1B-394C-ACDC-286C6473E244}"/>
    <hyperlink ref="O818" r:id="rId740" display="http://turnertracker.com/data/extensions_data/tickets/e/c/7/0/9/1293424RD//ticket.jpg" xr:uid="{6669C4D3-9C99-FB4A-A7C3-3D933BAD6F65}"/>
    <hyperlink ref="O820" r:id="rId741" display="http://turnertracker.com/data/extensions_data/tickets/9/a/9/2/6/1293427RD//ticket.jpg" xr:uid="{03323662-282D-ED41-A198-2694BED96E39}"/>
    <hyperlink ref="O821" r:id="rId742" display="http://turnertracker.com/data/extensions_data/tickets/7/d/e/b/1/1293430RD//ticket.jpg" xr:uid="{FE76B1FD-FCD7-E24D-A09E-E4973873145D}"/>
    <hyperlink ref="O822" r:id="rId743" display="http://turnertracker.com/data/extensions_data/tickets/8/6/0/b/6/1293432RD//ticket.jpg" xr:uid="{52ECAAC5-E008-4940-A954-89CEEA106D58}"/>
    <hyperlink ref="O825" r:id="rId744" display="http://turnertracker.com/data/extensions_data/tickets/c/1/c/f/a/1293435RD//ticket.jpg" xr:uid="{14DC0C5B-FEBB-1841-A3B6-4394DE8CEB6E}"/>
    <hyperlink ref="O826" r:id="rId745" display="http://turnertracker.com/data/extensions_data/tickets/f/6/5/4/f/1293436RD//ticket.jpg" xr:uid="{9B4E5B5A-3037-7B44-AA2A-FE0F8529D573}"/>
    <hyperlink ref="O827" r:id="rId746" display="http://turnertracker.com/data/extensions_data/tickets/2/4/1/d/0/1293440RD//ticket.jpg" xr:uid="{FEBFFDEE-E266-4343-8E3F-A37B54C3E0B6}"/>
    <hyperlink ref="O829" r:id="rId747" display="http://turnertracker.com/data/extensions_data/tickets/c/d/b/b/4/1293441RD//ticket.jpg" xr:uid="{27385BA0-B5D7-A54E-A510-56DEEEDD74E4}"/>
    <hyperlink ref="O830" r:id="rId748" display="http://turnertracker.com/data/extensions_data/tickets/8/2/e/b/5/1293443RD//ticket.jpg" xr:uid="{EBA7F773-26D5-4C4B-B602-6D1C6EEF8B6A}"/>
    <hyperlink ref="O831" r:id="rId749" display="http://turnertracker.com/data/extensions_data/tickets/c/9/3/b/c/1293449RD//ticket.jpg" xr:uid="{38BC73AD-8F07-0B47-93E0-8C8E56C1F1D3}"/>
    <hyperlink ref="O833" r:id="rId750" display="http://turnertracker.com/data/extensions_data/tickets/e/b/a/d/1/1293453RD//ticket.jpg" xr:uid="{4FACEC52-865C-3B4F-B4C5-51F6993B8DB1}"/>
    <hyperlink ref="O834" r:id="rId751" display="http://turnertracker.com/data/extensions_data/tickets/0/d/0/b/8/1293454RD//ticket.jpg" xr:uid="{FA33BAFD-0A1C-AC4D-94E0-623104148BC8}"/>
    <hyperlink ref="O836" r:id="rId752" display="http://turnertracker.com/data/extensions_data/tickets/9/0/7/7/0/1293458RD//ticket.jpg" xr:uid="{3AB26414-B6B7-744F-B9C4-1632A1DD6F96}"/>
    <hyperlink ref="O837" r:id="rId753" display="http://turnertracker.com/data/extensions_data/tickets/4/1/3/e/d/1293459RD//ticket.jpg" xr:uid="{1C4CA1B2-AE50-9D40-A147-229CAA2621CC}"/>
    <hyperlink ref="O838" r:id="rId754" display="http://turnertracker.com/data/extensions_data/tickets/7/3/7/4/1/1293462RD//ticket.jpg" xr:uid="{15AE88F7-8160-E841-912E-6348FF18BF01}"/>
    <hyperlink ref="O839" r:id="rId755" display="http://turnertracker.com/data/extensions_data/tickets/d/c/a/8/6/1293463RD//ticket.jpg" xr:uid="{5695E075-006F-944C-9403-BB37F2C07C1E}"/>
    <hyperlink ref="O841" r:id="rId756" display="http://turnertracker.com/data/extensions_data/tickets/6/a/0/f/f/1293468RD//ticket.jpg" xr:uid="{D9CB3D46-8BDC-2E44-898A-21FB567534EB}"/>
    <hyperlink ref="O842" r:id="rId757" display="http://turnertracker.com/data/extensions_data/tickets/b/5/1/4/8/1293470RD//ticket.jpg" xr:uid="{E3528944-90CB-F846-8E7E-7D1AB06E005D}"/>
    <hyperlink ref="O844" r:id="rId758" display="http://turnertracker.com/data/extensions_data/tickets/7/c/d/4/3/1293472RD//ticket.jpg" xr:uid="{C6601D74-E6B8-CD49-B05F-FD6D96F14E59}"/>
    <hyperlink ref="O846" r:id="rId759" display="http://turnertracker.com/data/extensions_data/tickets/c/5/b/f/0/1293476RD//ticket.jpg" xr:uid="{D1991329-6E57-0847-A398-D49476B6252F}"/>
    <hyperlink ref="O848" r:id="rId760" display="http://turnertracker.com/data/extensions_data/tickets/1/c/7/c/0/1293481RD//ticket.jpg" xr:uid="{EF08A97B-9F6E-524E-B8A1-9FAC46AF388B}"/>
    <hyperlink ref="O849" r:id="rId761" display="http://turnertracker.com/data/extensions_data/tickets/b/e/5/d/b/1293482RD//ticket.jpg" xr:uid="{D22645E4-3278-5747-A435-B4AF8DCF6AE6}"/>
    <hyperlink ref="O850" r:id="rId762" display="http://turnertracker.com/data/extensions_data/tickets/b/7/5/3/8/1293484RD//ticket.jpg" xr:uid="{A6D75183-1E3F-B14E-8FC7-523470F8333B}"/>
    <hyperlink ref="O851" r:id="rId763" display="http://turnertracker.com/data/extensions_data/tickets/b/7/c/6/b/1293485RD//ticket.jpg" xr:uid="{EFD0F5F3-F4C2-0E4A-932D-BE9B079CBE66}"/>
    <hyperlink ref="O854" r:id="rId764" display="http://turnertracker.com/data/extensions_data/tickets/7/7/a/5/e/1293487RD//ticket.jpg" xr:uid="{22CC0013-4907-8247-A4CF-7FE251FFC2BA}"/>
    <hyperlink ref="O857" r:id="rId765" display="http://turnertracker.com/data/extensions_data/tickets/3/c/b/d/4/1308176RD//ticket.jpg" xr:uid="{9D55B499-D0F6-B846-AFF9-FA3477866F5C}"/>
    <hyperlink ref="O858" r:id="rId766" display="http://turnertracker.com/data/extensions_data/tickets/b/0/6/7/7/1308179RD//ticket.jpg" xr:uid="{5A927618-26C3-CE4A-B2E8-FE01E1C28D25}"/>
    <hyperlink ref="O862" r:id="rId767" display="http://turnertracker.com/data/extensions_data/tickets/0/5/0/0/e/1308180RD//ticket.jpg" xr:uid="{DA301B2D-1274-854A-A777-09715EA23115}"/>
    <hyperlink ref="O864" r:id="rId768" display="http://turnertracker.com/data/extensions_data/tickets/4/9/e/5/1/1308182RD//ticket.jpg" xr:uid="{D23CEB59-D7F3-5E4E-9226-F4CB9186A442}"/>
    <hyperlink ref="O868" r:id="rId769" display="http://turnertracker.com/data/extensions_data/tickets/9/e/0/9/6/1308186RD//ticket.jpg" xr:uid="{B572B7D0-051D-FE47-B130-B1924DBCBA57}"/>
    <hyperlink ref="O869" r:id="rId770" display="http://turnertracker.com/data/extensions_data/tickets/e/2/3/0/4/1308187RD//ticket.jpg" xr:uid="{C6ABBCC8-E243-2B4F-A118-94D5E2494802}"/>
    <hyperlink ref="O871" r:id="rId771" display="http://turnertracker.com/data/extensions_data/tickets/5/1/b/2/0/1308189RD//ticket.jpg" xr:uid="{08FBABE1-4B80-184E-943F-42B76515407F}"/>
    <hyperlink ref="O873" r:id="rId772" display="http://turnertracker.com/data/extensions_data/tickets/b/5/6/6/9/1308191RD//ticket.jpg" xr:uid="{C9B9AC9D-0EDE-C44E-933A-336ECA6A6AB1}"/>
    <hyperlink ref="O876" r:id="rId773" display="http://turnertracker.com/data/extensions_data/tickets/2/8/5/8/e/1308193RD//ticket.jpg" xr:uid="{83280388-63E2-AB47-9EF8-62F7D1F9F155}"/>
    <hyperlink ref="O879" r:id="rId774" display="http://turnertracker.com/data/extensions_data/tickets/9/2/9/8/0/1308195RD//ticket.jpg" xr:uid="{48DA5713-5E63-5F47-B6D6-8F1441460807}"/>
    <hyperlink ref="O880" r:id="rId775" display="http://turnertracker.com/data/extensions_data/tickets/b/7/7/8/d/1308196RD//ticket.jpg" xr:uid="{83C8105D-275F-6B47-8532-1A64E0378BE3}"/>
    <hyperlink ref="O881" r:id="rId776" display="http://turnertracker.com/data/extensions_data/tickets/5/4/e/1/8/1308197RD//ticket.jpg" xr:uid="{4C300C3F-97FF-E740-8E3B-29350A268D32}"/>
    <hyperlink ref="O882" r:id="rId777" display="http://turnertracker.com/data/extensions_data/tickets/4/c/d/3/4/1308201RD//ticket.jpg" xr:uid="{1D71CAA2-5699-A248-A44C-8BA6D121C41B}"/>
    <hyperlink ref="O886" r:id="rId778" display="http://turnertracker.com/data/extensions_data/tickets/b/7/2/b/c/1308206RD//ticket.jpg" xr:uid="{C905A93E-E613-FA44-B999-CA1EDD6A8709}"/>
    <hyperlink ref="O889" r:id="rId779" display="http://turnertracker.com/data/extensions_data/tickets/d/4/8/5/c/1308212RD//ticket.jpg" xr:uid="{CBE2F5C0-D03E-BB44-96A2-43BA2ECC4758}"/>
    <hyperlink ref="O890" r:id="rId780" display="http://turnertracker.com/data/extensions_data/tickets/b/a/9/9/0/1308213RD//ticket.jpg" xr:uid="{3B03997A-A88A-7745-BDC4-CFA824D4BEAE}"/>
    <hyperlink ref="O891" r:id="rId781" display="http://turnertracker.com/data/extensions_data/tickets/9/2/1/1/0/1308219RD//ticket.jpg" xr:uid="{A9BA440E-BC39-B044-BEB5-4A5EB66B4EAE}"/>
    <hyperlink ref="O894" r:id="rId782" display="http://turnertracker.com/data/extensions_data/tickets/4/f/e/b/4/1308221RD//ticket.jpg" xr:uid="{4F97B1B9-2DC0-6D4C-80C9-D7E5B9C8911F}"/>
    <hyperlink ref="O896" r:id="rId783" display="http://turnertracker.com/data/extensions_data/tickets/6/0/e/d/6/1308224RD//ticket.jpg" xr:uid="{63A7AEBA-067D-A74C-A7D7-A0F5504B7483}"/>
    <hyperlink ref="O902" r:id="rId784" display="http://turnertracker.com/data/extensions_data/tickets/7/e/2/9/f/1322837RD//ticket.jpg" xr:uid="{E4F5EDC2-0F62-D242-A531-DB1BF6DDE560}"/>
    <hyperlink ref="O903" r:id="rId785" display="http://turnertracker.com/data/extensions_data/tickets/d/c/2/1/9/1322839RD//ticket.jpg" xr:uid="{C7B3AF3E-18C4-4F40-8ACB-D881D22DFB6A}"/>
    <hyperlink ref="O904" r:id="rId786" display="http://turnertracker.com/data/extensions_data/tickets/6/7/4/a/4/1322842RD//ticket.jpg" xr:uid="{560C80CF-272C-7546-8649-FCECDA012645}"/>
    <hyperlink ref="O905" r:id="rId787" display="http://turnertracker.com/data/extensions_data/tickets/a/3/e/a/a/1322850RD//ticket.jpg" xr:uid="{7E7A2A88-1E6F-A14D-915D-8D9BB681B856}"/>
    <hyperlink ref="O906" r:id="rId788" display="http://turnertracker.com/data/extensions_data/tickets/9/5/3/2/d/1322853RD//ticket.jpg" xr:uid="{88DBC536-A1A3-DC40-A91A-35239C8B099B}"/>
    <hyperlink ref="O911" r:id="rId789" display="http://turnertracker.com/data/extensions_data/tickets/2/e/7/7/3/1322858RD//ticket.jpg" xr:uid="{CA01A4EE-AC3C-B949-A60A-08DD219626D2}"/>
    <hyperlink ref="O915" r:id="rId790" display="http://turnertracker.com/data/extensions_data/tickets/3/6/d/a/6/1322865RD//ticket.jpg" xr:uid="{7F3FB76B-51F5-844B-8745-6BEB8DA82724}"/>
    <hyperlink ref="O921" r:id="rId791" display="http://turnertracker.com/data/extensions_data/tickets/4/3/b/a/2/1322892RD//ticket.jpg" xr:uid="{62148181-1C16-7E43-8491-5AD81C6880FC}"/>
    <hyperlink ref="O924" r:id="rId792" display="http://turnertracker.com/data/extensions_data/tickets/e/7/a/9/1/1322905RD//ticket.jpg" xr:uid="{AC8B92C8-9CCC-D143-AE1E-F66864896B60}"/>
    <hyperlink ref="O925" r:id="rId793" display="http://turnertracker.com/data/extensions_data/tickets/9/e/3/a/4/1322910RD//ticket.jpg" xr:uid="{96C7D979-EB3E-3847-B61A-B9C6A141203F}"/>
    <hyperlink ref="O932" r:id="rId794" display="http://turnertracker.com/data/extensions_data/tickets/d/5/5/f/f/1322918RD//ticket.jpg" xr:uid="{9590639C-CD67-0C4A-819A-AD65DC2B420E}"/>
    <hyperlink ref="O933" r:id="rId795" display="http://turnertracker.com/data/extensions_data/tickets/7/7/c/b/0/1322922RD//ticket.jpg" xr:uid="{6AF14A93-8763-BA4C-B4E8-053CDADB7831}"/>
    <hyperlink ref="O935" r:id="rId796" display="http://turnertracker.com/data/extensions_data/tickets/7/4/f/e/6/1337839RD//ticket.jpg" xr:uid="{E520D875-1190-1147-BAC1-744C15CA0348}"/>
    <hyperlink ref="O936" r:id="rId797" display="http://turnertracker.com/data/extensions_data/tickets/b/f/b/0/3/1337840RD//ticket.jpg" xr:uid="{F3EA7175-B212-F341-8211-85F5881155F0}"/>
    <hyperlink ref="O937" r:id="rId798" display="http://turnertracker.com/data/extensions_data/tickets/c/4/4/9/4/1337841RD//ticket.jpg" xr:uid="{BB1DDFC6-1D4F-1147-BFC7-26F961192499}"/>
    <hyperlink ref="O940" r:id="rId799" display="http://turnertracker.com/data/extensions_data/tickets/3/d/e/4/5/1337843RD//ticket.jpg" xr:uid="{71C9C80A-122D-2744-922D-EBC77684D58E}"/>
    <hyperlink ref="O950" r:id="rId800" display="http://turnertracker.com/data/extensions_data/tickets/0/b/f/1/2/1337848RD//ticket.jpg" xr:uid="{ADA4AC52-A3C0-454A-B1F6-042EDE085712}"/>
    <hyperlink ref="O952" r:id="rId801" display="http://turnertracker.com/data/extensions_data/tickets/3/4/a/4/b/1337849RD//ticket.jpg" xr:uid="{BCC2E76C-D8A0-F344-8E38-37A6BA8DE1F8}"/>
    <hyperlink ref="O956" r:id="rId802" display="http://turnertracker.com/data/extensions_data/tickets/2/2/7/9/e/1337850RD//ticket.jpg" xr:uid="{801A1D99-1E5B-B84B-BC08-112EFEA0217A}"/>
    <hyperlink ref="O957" r:id="rId803" display="http://turnertracker.com/data/extensions_data/tickets/d/5/b/c/7/1337852RD//ticket.jpg" xr:uid="{FC787D87-C787-7B4A-B140-5C68884182CC}"/>
    <hyperlink ref="O968" r:id="rId804" display="http://turnertracker.com/data/extensions_data/tickets/0/4/4/6/9/1337863RD//ticket.jpg" xr:uid="{88594980-15E8-CE4D-952B-66729462B885}"/>
    <hyperlink ref="O969" r:id="rId805" display="http://turnertracker.com/data/extensions_data/tickets/b/1/f/0/1/1356442RD//ticket.jpg" xr:uid="{F8BF4B04-75CA-094B-9E33-6A6053639286}"/>
    <hyperlink ref="O977" r:id="rId806" display="http://turnertracker.com/data/extensions_data/tickets/1/f/5/4/a/1356450RD//ticket.jpg" xr:uid="{4BA6E316-13E0-0C4B-9BFF-F8649880843A}"/>
    <hyperlink ref="O980" r:id="rId807" display="http://turnertracker.com/data/extensions_data/tickets/3/2/e/0/d/1356453RD//ticket.jpg" xr:uid="{6E6AC61E-EC45-AA4C-977E-C1C2538B2A48}"/>
    <hyperlink ref="O982" r:id="rId808" display="http://turnertracker.com/data/extensions_data/tickets/8/f/3/b/7/1356456RD//ticket.jpg" xr:uid="{4FF79938-BA31-F846-B7A1-8EF75A455FC5}"/>
    <hyperlink ref="O984" r:id="rId809" display="http://turnertracker.com/data/extensions_data/tickets/c/0/b/4/1/1356457RD//ticket.jpg" xr:uid="{F3FF0AAB-2939-174F-BEDE-2F28B747EE9F}"/>
    <hyperlink ref="O985" r:id="rId810" display="http://turnertracker.com/data/extensions_data/tickets/2/2/c/d/e/1356458RD//ticket.jpg" xr:uid="{74F58C3B-28AA-4940-B190-D041346D9CEF}"/>
    <hyperlink ref="O999" r:id="rId811" display="http://turnertracker.com/data/extensions_data/tickets/d/6/f/1/f/1356461RD//ticket.jpg" xr:uid="{8555712B-CDF3-8C45-9337-22C26B9C69BB}"/>
    <hyperlink ref="O989" r:id="rId812" display="http://turnertracker.com/data/extensions_data/tickets/9/e/a/d/e/1356463RD//ticket.jpg" xr:uid="{0E28CB65-9171-1E41-910F-D151959202DF}"/>
    <hyperlink ref="O994" r:id="rId813" display="http://turnertracker.com/data/extensions_data/tickets/1/7/b/9/d/1356465RD//ticket.jpg" xr:uid="{914597BD-303A-F04F-8C7C-9BF942BFC143}"/>
    <hyperlink ref="O995" r:id="rId814" display="http://turnertracker.com/data/extensions_data/tickets/8/6/6/4/e/1356466RD//ticket.jpg" xr:uid="{FF8C23A2-E293-E54F-8CBC-7D94F45FD826}"/>
    <hyperlink ref="O996" r:id="rId815" display="http://turnertracker.com/data/extensions_data/tickets/f/1/b/2/2/1356467RD//ticket.jpg" xr:uid="{4D797193-BB65-E44F-9F46-FE7780B13810}"/>
    <hyperlink ref="O997" r:id="rId816" display="http://turnertracker.com/data/extensions_data/tickets/2/2/e/5/f/1356468RD//ticket.jpg" xr:uid="{AD29E940-CF7F-EF49-9A2B-40DBC22768B2}"/>
    <hyperlink ref="O1000" r:id="rId817" display="http://turnertracker.com/data/extensions_data/tickets/6/0/d/7/a/1356469RD//ticket.jpg" xr:uid="{399EA261-5830-214C-980E-4819C4D71CF9}"/>
    <hyperlink ref="O1004" r:id="rId818" display="http://turnertracker.com/data/extensions_data/tickets/a/0/c/b/8/1371207RD//ticket.jpg" xr:uid="{8A7ADD0F-CABD-7C44-9EA7-D526485847DC}"/>
    <hyperlink ref="O1005" r:id="rId819" display="http://turnertracker.com/data/extensions_data/tickets/8/7/3/d/5/1371208RD//ticket.jpg" xr:uid="{25E2BC96-1D7D-C14A-BEAC-E575943B80F2}"/>
    <hyperlink ref="O1006" r:id="rId820" display="http://turnertracker.com/data/extensions_data/tickets/e/0/9/f/d/1371209RD//ticket.jpg" xr:uid="{42E3A8AC-8306-5746-84E1-C7BA1D0F0A4B}"/>
    <hyperlink ref="O1007" r:id="rId821" display="http://turnertracker.com/data/extensions_data/tickets/9/3/3/b/e/1371211RD//ticket.jpg" xr:uid="{4C66D41D-AC69-CE4C-B4A2-B30DF67E9392}"/>
    <hyperlink ref="O1009" r:id="rId822" display="http://turnertracker.com/data/extensions_data/tickets/2/3/7/2/2/1371214RD//ticket.jpg" xr:uid="{D9C10F38-8C83-A04A-AC0D-EB76B4E22683}"/>
    <hyperlink ref="O1012" r:id="rId823" display="http://turnertracker.com/data/extensions_data/tickets/9/0/7/7/4/1371276RD//ticket.jpg" xr:uid="{B183D812-1557-5746-8901-59636C406F59}"/>
    <hyperlink ref="O1015" r:id="rId824" display="http://turnertracker.com/data/extensions_data/tickets/0/e/1/7/9/1371279RD//ticket.jpg" xr:uid="{FBD8A677-0251-9E44-9595-3E98BCF81539}"/>
    <hyperlink ref="O1016" r:id="rId825" display="http://turnertracker.com/data/extensions_data/tickets/d/d/7/e/d/1371280RD//ticket.jpg" xr:uid="{7C13FBB4-2270-A84B-B2A8-1939C9AF86F9}"/>
    <hyperlink ref="O1022" r:id="rId826" display="http://turnertracker.com/data/extensions_data/tickets/1/5/3/2/5/1371284RD//ticket.jpg" xr:uid="{25EBDA34-2FCA-1D4F-AD29-F2E6DB755A10}"/>
    <hyperlink ref="O1026" r:id="rId827" display="http://turnertracker.com/data/extensions_data/tickets/d/4/1/7/7/1371288RD//ticket.jpg" xr:uid="{06C0CD6C-A542-C941-935E-4E33830671C9}"/>
    <hyperlink ref="O1029" r:id="rId828" display="http://turnertracker.com/data/extensions_data/tickets/a/a/f/7/1/1371293RD//ticket.jpg" xr:uid="{86752CD3-A053-8245-90B0-32AF960322FD}"/>
    <hyperlink ref="O990" r:id="rId829" display="http://turnertracker.com/data/extensions_data/tickets/9/1/3/c/2/1380187RD//ticket.jpg" xr:uid="{B321C82C-5A92-064C-9F49-32B2434B576C}"/>
    <hyperlink ref="O1058" r:id="rId830" display="http://turnertracker.com/data/extensions_data/tickets/1/7/2/3/7/1380208RD//ticket.jpg" xr:uid="{EBB51D53-50D7-E341-983B-187906F0FA6F}"/>
    <hyperlink ref="O1046" r:id="rId831" display="http://turnertracker.com/data/extensions_data/tickets/8/4/0/a/0/1380218RD//ticket.jpg" xr:uid="{372064CE-E6E5-E644-8D52-2234E331B964}"/>
    <hyperlink ref="O1050" r:id="rId832" display="http://turnertracker.com/data/extensions_data/tickets/0/c/2/2/d/1380219RD//ticket.jpg" xr:uid="{761F1E3C-FECC-9549-8B06-84F0FC42D825}"/>
    <hyperlink ref="O1051" r:id="rId833" display="http://turnertracker.com/data/extensions_data/tickets/c/5/4/d/e/1380220RD//ticket.jpg" xr:uid="{11A9D11D-8406-DE42-A0ED-58BAF1B3571E}"/>
    <hyperlink ref="O1052" r:id="rId834" display="http://turnertracker.com/data/extensions_data/tickets/4/3/7/a/f/1380221RD//ticket.jpg" xr:uid="{A8141AAF-EE27-DE44-A997-D4E4F199DDD5}"/>
    <hyperlink ref="O1055" r:id="rId835" display="http://turnertracker.com/data/extensions_data/tickets/4/3/8/4/e/1380258RD//ticket.jpg" xr:uid="{2C2D1F5D-76EE-D140-856E-82EBBFCC560A}"/>
    <hyperlink ref="O1056" r:id="rId836" display="http://turnertracker.com/data/extensions_data/tickets/3/7/b/f/9/1380259RD//ticket.jpg" xr:uid="{883811F4-E435-7C45-95CC-682181A1DF66}"/>
    <hyperlink ref="O1033" r:id="rId837" display="http://turnertracker.com/data/extensions_data/tickets/c/3/4/a/8/1384117RD//ticket.jpg" xr:uid="{B076C2E4-2F97-374C-9C57-4D01B286036D}"/>
    <hyperlink ref="O1035" r:id="rId838" display="http://turnertracker.com/data/extensions_data/tickets/3/8/d/d/0/1384118RD//ticket.jpg" xr:uid="{D983C765-D942-3841-BBF6-1400A6CD23BA}"/>
    <hyperlink ref="O1057" r:id="rId839" display="http://turnertracker.com/data/extensions_data/tickets/f/a/d/d/5/1384133RD//ticket.jpg" xr:uid="{49BC46DD-A366-BE4D-AD3C-A0CC1A75A9C2}"/>
    <hyperlink ref="O1060" r:id="rId840" display="http://turnertracker.com/data/extensions_data/tickets/0/8/6/a/3/1384135RD//ticket.jpg" xr:uid="{7CCC0A49-998B-9C4B-85AD-1194E0682A66}"/>
    <hyperlink ref="O1063" r:id="rId841" display="http://turnertracker.com/data/extensions_data/tickets/3/a/1/f/a/1384138RD//ticket.jpg" xr:uid="{872722BA-D26E-AF4F-95C3-71FCAA3B3FBA}"/>
    <hyperlink ref="O1067" r:id="rId842" display="http://turnertracker.com/data/extensions_data/tickets/c/e/3/e/f/1384144RD//ticket.jpg" xr:uid="{B51ABBBD-7234-8B4D-9B78-2E8C4FB68BCF}"/>
    <hyperlink ref="O1075" r:id="rId843" display="http://turnertracker.com/data/extensions_data/tickets/9/0/d/b/8/1384148RD//ticket.jpg" xr:uid="{0459E4AC-5089-CF40-87DF-EAA0F7A116CE}"/>
    <hyperlink ref="O1076" r:id="rId844" display="http://turnertracker.com/data/extensions_data/tickets/0/4/4/b/4/1384150RD//ticket.jpg" xr:uid="{861FDC4E-6EDE-E546-BF6C-614BA2B07FA9}"/>
    <hyperlink ref="O1077" r:id="rId845" display="http://turnertracker.com/data/extensions_data/tickets/b/9/4/a/9/1384151RD//ticket.jpg" xr:uid="{00B202D7-B70E-374B-9CCF-BA5AF0EB0DE6}"/>
    <hyperlink ref="O1079" r:id="rId846" display="http://turnertracker.com/data/extensions_data/tickets/c/e/c/2/c/1384154RD//ticket.jpg" xr:uid="{5F3291D5-377C-2A4B-9FF1-07F6D0E20927}"/>
    <hyperlink ref="O1081" r:id="rId847" display="http://turnertracker.com/data/extensions_data/tickets/1/1/3/e/b/1384155RD//ticket.jpg" xr:uid="{25FB37EA-CEF4-8646-9B2C-F11F80129F5C}"/>
    <hyperlink ref="O1082" r:id="rId848" display="http://turnertracker.com/data/extensions_data/tickets/d/6/0/8/2/1384156RD//ticket.jpg" xr:uid="{F65A58AB-81D7-7A49-94D4-61DDDC30F4CB}"/>
    <hyperlink ref="O1083" r:id="rId849" display="http://turnertracker.com/data/extensions_data/tickets/7/b/8/e/4/1384157RD//ticket.jpg" xr:uid="{18906096-C400-244F-8B99-96885E56A67E}"/>
    <hyperlink ref="O1104" r:id="rId850" display="http://turnertracker.com/data/extensions_data/tickets/e/d/5/d/f/1392451RD//ticket.jpg" xr:uid="{F3CB9578-2935-9740-BEE9-741A05F6F82D}"/>
    <hyperlink ref="O1105" r:id="rId851" display="http://turnertracker.com/data/extensions_data/tickets/c/e/8/8/9/1392454RD//ticket.jpg" xr:uid="{341A025C-7806-F748-9F1A-022FDDC38A4E}"/>
    <hyperlink ref="O1106" r:id="rId852" display="http://turnertracker.com/data/extensions_data/tickets/0/e/9/1/9/1392455RD//ticket.jpg" xr:uid="{BB1982EB-C688-8742-B3C3-BDDA6854738A}"/>
    <hyperlink ref="O1107" r:id="rId853" display="http://turnertracker.com/data/extensions_data/tickets/c/6/9/5/6/1392456RD//ticket.jpg" xr:uid="{28DBC6FE-9C8E-C64D-8073-078C8C7592FF}"/>
    <hyperlink ref="O1108" r:id="rId854" display="http://turnertracker.com/data/extensions_data/tickets/0/0/4/b/9/1392463RD//ticket.jpg" xr:uid="{7B0C19EA-7269-1545-91BC-58CC95D09DA3}"/>
    <hyperlink ref="O1109" r:id="rId855" display="http://turnertracker.com/data/extensions_data/tickets/6/6/0/2/3/1392465RD//ticket.jpg" xr:uid="{E8028659-C3D8-F743-8E2B-7C885379C940}"/>
    <hyperlink ref="O1110" r:id="rId856" display="http://turnertracker.com/data/extensions_data/tickets/3/d/2/4/6/1392467RD//ticket.jpg" xr:uid="{51E7D173-A8EC-E443-9172-0923A6AAA274}"/>
    <hyperlink ref="O1111" r:id="rId857" display="http://turnertracker.com/data/extensions_data/tickets/e/6/a/8/f/1392469RD//ticket.jpg" xr:uid="{9F9FBB0E-5100-F24D-BF46-E808A0D1BE0B}"/>
    <hyperlink ref="O1085" r:id="rId858" display="http://turnertracker.com/data/extensions_data/tickets/6/6/d/f/3/1401119RD//ticket.jpg" xr:uid="{602CFE67-3642-144E-8955-46D51A61264F}"/>
    <hyperlink ref="O1087" r:id="rId859" display="http://turnertracker.com/data/extensions_data/tickets/6/5/1/0/a/1401121RD//ticket.jpg" xr:uid="{1C52DA9D-095D-C741-9081-DAE5A9D60A4F}"/>
    <hyperlink ref="O1089" r:id="rId860" display="http://turnertracker.com/data/extensions_data/tickets/b/a/c/2/3/1401128RD//ticket.jpg" xr:uid="{79F725FC-12D4-B341-81E6-4432124C76A0}"/>
    <hyperlink ref="O1090" r:id="rId861" display="http://turnertracker.com/data/extensions_data/tickets/9/e/f/5/f/1401129RD//ticket.jpg" xr:uid="{D1167529-9B99-7E40-AD31-6828E783C81F}"/>
    <hyperlink ref="O1091" r:id="rId862" display="http://turnertracker.com/data/extensions_data/tickets/5/d/0/5/2/1401130RD//ticket.jpg" xr:uid="{411BDC40-63CD-6045-9A74-EA96791C546F}"/>
    <hyperlink ref="O1092" r:id="rId863" display="http://turnertracker.com/data/extensions_data/tickets/b/f/1/d/4/1401131RD//ticket.jpg" xr:uid="{85C98581-9361-D745-B4B1-7CA463903D4E}"/>
    <hyperlink ref="O1093" r:id="rId864" display="http://turnertracker.com/data/extensions_data/tickets/4/8/f/b/d/1401132RD//ticket.jpg" xr:uid="{610E19B9-74CD-6148-BD80-BF473957AA89}"/>
    <hyperlink ref="O1095" r:id="rId865" display="http://turnertracker.com/data/extensions_data/tickets/d/4/3/2/e/1401135RD//ticket.jpg" xr:uid="{F75D9FD6-CEC0-3A44-A112-C319B7BFD89C}"/>
    <hyperlink ref="O1115" r:id="rId866" display="http://turnertracker.com/data/extensions_data/tickets/5/a/f/2/f/1401146RD//ticket.jpg" xr:uid="{459F0317-87D7-9644-AEA7-06BF5409328E}"/>
    <hyperlink ref="O1118" r:id="rId867" display="http://turnertracker.com/data/extensions_data/tickets/4/7/b/2/a/1401222RD//ticket.jpg" xr:uid="{F6542867-2757-7E4F-BF88-45613275293C}"/>
    <hyperlink ref="O1121" r:id="rId868" display="http://turnertracker.com/data/extensions_data/tickets/5/0/5/2/a/1401248RD//ticket.jpg" xr:uid="{239117F6-448B-0B44-99F1-EC25F264EF7A}"/>
    <hyperlink ref="O1122" r:id="rId869" display="http://turnertracker.com/data/extensions_data/tickets/7/8/f/9/2/1401250RD//ticket.jpg" xr:uid="{F61CCA9A-A7A8-B04A-8B1E-A631602424C1}"/>
    <hyperlink ref="O1123" r:id="rId870" display="http://turnertracker.com/data/extensions_data/tickets/f/b/9/c/2/1401251RD//ticket.jpg" xr:uid="{E1AF95DD-9592-1A44-9771-F213BC6F7849}"/>
    <hyperlink ref="O1126" r:id="rId871" display="http://turnertracker.com/data/extensions_data/tickets/5/8/c/7/8/1401260RD//ticket.jpg" xr:uid="{760380A3-A2CF-B346-B0A4-10323E14C904}"/>
    <hyperlink ref="O1128" r:id="rId872" display="http://turnertracker.com/data/extensions_data/tickets/7/e/0/e/d/1401272RD//ticket.jpg" xr:uid="{BDAD91C6-A143-8E46-AC6A-B3A8EAE0B8D4}"/>
    <hyperlink ref="O1129" r:id="rId873" display="http://turnertracker.com/data/extensions_data/tickets/7/7/e/d/8/1401274RD//ticket.jpg" xr:uid="{FBBBCD90-3798-E44A-BBFD-66BCD0B3831A}"/>
    <hyperlink ref="O1130" r:id="rId874" display="http://turnertracker.com/data/extensions_data/tickets/2/d/1/e/d/1401277RD//ticket.jpg" xr:uid="{46282D19-CD50-314D-AD87-F8C82408875D}"/>
    <hyperlink ref="O1131" r:id="rId875" display="http://turnertracker.com/data/extensions_data/tickets/f/f/e/8/1/1401279RD//ticket.jpg" xr:uid="{8C0B1E53-7165-3E41-B141-BCDD772E1D1A}"/>
    <hyperlink ref="O1132" r:id="rId876" display="http://turnertracker.com/data/extensions_data/tickets/c/6/5/6/2/1401281RD//ticket.jpg" xr:uid="{A97499EF-47AC-2D4E-8667-554AB973C75B}"/>
    <hyperlink ref="O1133" r:id="rId877" display="http://turnertracker.com/data/extensions_data/tickets/f/5/5/2/5/1401282RD//ticket.jpg" xr:uid="{02DA905B-FBBE-AF4D-9075-32FFFCD25D3E}"/>
    <hyperlink ref="O1135" r:id="rId878" display="http://turnertracker.com/data/extensions_data/tickets/a/6/1/7/b/1401283RD//ticket.jpg" xr:uid="{6326714C-4262-ED44-8CAA-875F1BF54F0C}"/>
    <hyperlink ref="O1136" r:id="rId879" display="http://turnertracker.com/data/extensions_data/tickets/2/c/a/c/e/1401286RD//ticket.jpg" xr:uid="{499C0DAF-E73D-D94D-9E64-59991EABF619}"/>
    <hyperlink ref="O1068" r:id="rId880" display="http://turnertracker.com/data/extensions_data/tickets/8/a/f/d/9/1417098RD//ticket.jpg" xr:uid="{70DB7893-03A4-4940-94B9-4B06C9C7F6AE}"/>
    <hyperlink ref="O1071" r:id="rId881" display="http://turnertracker.com/data/extensions_data/tickets/e/b/9/c/9/1417099RD//ticket.jpg" xr:uid="{3D55E16A-E4C7-274D-BB3E-3A93D21900B3}"/>
    <hyperlink ref="O1116" r:id="rId882" display="http://turnertracker.com/data/extensions_data/tickets/7/7/c/b/d/1417101RD//ticket.jpg" xr:uid="{6BAE8ABA-38EE-B94D-85DA-4B7B86198E80}"/>
    <hyperlink ref="O1117" r:id="rId883" display="http://turnertracker.com/data/extensions_data/tickets/2/8/3/3/d/1417106RD//ticket.jpg" xr:uid="{C8DA7B96-85C0-3142-A126-03F59D31C96D}"/>
    <hyperlink ref="O1141" r:id="rId884" display="http://turnertracker.com/data/extensions_data/tickets/7/f/1/a/b/1419119RD//ticket.jpg" xr:uid="{E3959063-A839-744A-BF43-F21D9B2AB71A}"/>
    <hyperlink ref="O1142" r:id="rId885" display="http://turnertracker.com/data/extensions_data/tickets/a/a/d/5/1/1419120RD//ticket.jpg" xr:uid="{F1FFEEB5-D815-6A45-8302-EBE7DC0D741F}"/>
    <hyperlink ref="O1143" r:id="rId886" display="http://turnertracker.com/data/extensions_data/tickets/c/f/4/0/a/1419121RD//ticket.jpg" xr:uid="{5BA38823-A2BC-2C45-9239-13B061A920A6}"/>
    <hyperlink ref="O1144" r:id="rId887" display="http://turnertracker.com/data/extensions_data/tickets/a/b/5/d/a/1419122RD//ticket.jpg" xr:uid="{8F74B8AE-C4EC-B64E-8973-CB74BFBE1E07}"/>
    <hyperlink ref="O1145" r:id="rId888" display="http://turnertracker.com/data/extensions_data/tickets/3/4/f/1/b/1419123RD//ticket.jpg" xr:uid="{21E98BB4-00B0-264B-8F5C-8F81838A4288}"/>
    <hyperlink ref="O1146" r:id="rId889" display="http://turnertracker.com/data/extensions_data/tickets/4/4/1/e/6/1419124RD//ticket.jpg" xr:uid="{88FBEEBD-75D1-AE45-9180-A957B74D5E63}"/>
    <hyperlink ref="O1148" r:id="rId890" display="http://turnertracker.com/data/extensions_data/tickets/0/6/8/b/7/1419126RD//ticket.jpg" xr:uid="{AE7389A4-77F1-F14E-B2CB-7931FF2D5469}"/>
    <hyperlink ref="O1149" r:id="rId891" display="http://turnertracker.com/data/extensions_data/tickets/b/6/a/8/3/1419127RD//ticket.jpg" xr:uid="{47AEDF23-4F69-4747-B442-4CD89DE887A1}"/>
    <hyperlink ref="O1151" r:id="rId892" display="http://turnertracker.com/data/extensions_data/tickets/e/9/2/b/f/1419130RD//ticket.jpg" xr:uid="{C3648D5F-FB98-C447-802B-D6CC148126D6}"/>
    <hyperlink ref="O1154" r:id="rId893" display="http://turnertracker.com/data/extensions_data/tickets/c/6/9/d/9/1419132RD//ticket.jpg" xr:uid="{5D6EF32D-D002-D642-878B-AD9EB6188710}"/>
    <hyperlink ref="O1155" r:id="rId894" display="http://turnertracker.com/data/extensions_data/tickets/8/4/3/5/1/1419133RD//ticket.jpg" xr:uid="{19539BB1-F126-FB40-9351-CD1C2D545606}"/>
    <hyperlink ref="O1156" r:id="rId895" display="http://turnertracker.com/data/extensions_data/tickets/8/f/2/8/a/1419134RD//ticket.jpg" xr:uid="{4732FF4A-33F0-0C42-BD2D-22687C3B6787}"/>
    <hyperlink ref="O1157" r:id="rId896" display="http://turnertracker.com/data/extensions_data/tickets/8/9/f/2/3/1419135RD//ticket.jpg" xr:uid="{F5694EDA-26D8-FF4E-98A3-39666CA5D175}"/>
    <hyperlink ref="O1158" r:id="rId897" display="http://turnertracker.com/data/extensions_data/tickets/3/b/3/b/a/1419136RD//ticket.jpg" xr:uid="{22306551-5F58-2149-B553-FAA3AC76C985}"/>
    <hyperlink ref="O1159" r:id="rId898" display="http://turnertracker.com/data/extensions_data/tickets/b/b/e/5/f/1419137RD//ticket.jpg" xr:uid="{DE4BDC4E-42FD-D74C-BD47-ACB2FF424BCC}"/>
    <hyperlink ref="O1160" r:id="rId899" display="http://turnertracker.com/data/extensions_data/tickets/c/2/5/1/e/1419138RD//ticket.jpg" xr:uid="{35A198C3-78B4-6C4C-B025-A32A44B45750}"/>
    <hyperlink ref="O1161" r:id="rId900" display="http://turnertracker.com/data/extensions_data/tickets/5/e/5/0/9/1419139RD//ticket.jpg" xr:uid="{33C4B93F-007D-8B48-AEE9-714F44453220}"/>
    <hyperlink ref="O1163" r:id="rId901" display="http://turnertracker.com/data/extensions_data/tickets/6/1/7/e/1/1419148RD//ticket.jpg" xr:uid="{9234BCD0-D91E-774B-AF0D-54709ED9383B}"/>
    <hyperlink ref="O1164" r:id="rId902" display="http://turnertracker.com/data/extensions_data/tickets/7/8/e/1/1/1419150RD//ticket.jpg" xr:uid="{8C3255FA-316F-074D-8B79-1CE6A94BBF5D}"/>
    <hyperlink ref="O1165" r:id="rId903" display="http://turnertracker.com/data/extensions_data/tickets/4/a/6/f/3/1419152RD//ticket.jpg" xr:uid="{C998BACF-CC57-F349-A4EB-CAB7E72EFA34}"/>
    <hyperlink ref="O1168" r:id="rId904" display="http://turnertracker.com/data/extensions_data/tickets/9/3/1/1/0/1436046RD//ticket.jpg" xr:uid="{26DFC05D-DAD0-D240-B034-D3F6A1798F9A}"/>
    <hyperlink ref="O1170" r:id="rId905" display="http://turnertracker.com/data/extensions_data/tickets/7/5/c/3/b/1436048RD//ticket.jpg" xr:uid="{8BE5E7C9-0CB1-0A40-AE99-B605DAAB1364}"/>
    <hyperlink ref="O1172" r:id="rId906" display="http://turnertracker.com/data/extensions_data/tickets/d/b/0/7/a/1436050RD//ticket.jpg" xr:uid="{4D08706D-2BC9-FE42-9498-390092FB4B84}"/>
    <hyperlink ref="O1173" r:id="rId907" display="http://turnertracker.com/data/extensions_data/tickets/d/a/b/9/c/1436051RD//ticket.jpg" xr:uid="{C56253AB-C13C-EE49-8B66-35A5AE772695}"/>
    <hyperlink ref="O1174" r:id="rId908" display="http://turnertracker.com/data/extensions_data/tickets/3/c/3/e/1/1436052RD//ticket.jpg" xr:uid="{BBB924C7-70F5-6A4C-A512-AFE19777B7A1}"/>
    <hyperlink ref="O1177" r:id="rId909" display="http://turnertracker.com/data/extensions_data/tickets/9/b/c/a/7/1436055RD//ticket.jpg" xr:uid="{CAE34162-8220-C14F-8635-7F9FA4A10429}"/>
    <hyperlink ref="O1178" r:id="rId910" display="http://turnertracker.com/data/extensions_data/tickets/9/b/d/e/6/1436056RD//ticket.jpg" xr:uid="{12ADEF62-9833-4E4A-A877-602BCB126A6B}"/>
    <hyperlink ref="O1179" r:id="rId911" display="http://turnertracker.com/data/extensions_data/tickets/4/3/3/a/9/1436057RD//ticket.jpg" xr:uid="{DC7B3CC4-E174-B041-86B7-47EAD00425C0}"/>
    <hyperlink ref="O1180" r:id="rId912" display="http://turnertracker.com/data/extensions_data/tickets/c/e/d/4/e/1436058RD//ticket.jpg" xr:uid="{6836CA84-35FE-3447-B1E6-1AA90C3EE680}"/>
    <hyperlink ref="O1181" r:id="rId913" display="http://turnertracker.com/data/extensions_data/tickets/e/d/4/8/b/1436059RD//ticket.jpg" xr:uid="{37869213-E755-9041-ABC1-2A26FC88B775}"/>
    <hyperlink ref="O1182" r:id="rId914" display="http://turnertracker.com/data/extensions_data/tickets/5/7/e/a/f/1436060RD//ticket.jpg" xr:uid="{3FF54556-6B71-FC47-83C5-FD78D899D759}"/>
    <hyperlink ref="O1183" r:id="rId915" display="http://turnertracker.com/data/extensions_data/tickets/b/9/8/8/6/1436061RD//ticket.jpg" xr:uid="{D47480E3-785D-F248-8F0F-CFE27452B76C}"/>
    <hyperlink ref="O1184" r:id="rId916" display="http://turnertracker.com/data/extensions_data/tickets/b/d/d/4/3/1436062RD//ticket.jpg" xr:uid="{D5057017-0891-1F4D-9E7D-412C71174496}"/>
    <hyperlink ref="O1185" r:id="rId917" display="http://turnertracker.com/data/extensions_data/tickets/2/7/c/d/f/1436063RD//ticket.jpg" xr:uid="{166A61B9-E423-F947-840E-B1FEAB696D76}"/>
    <hyperlink ref="O1188" r:id="rId918" display="http://turnertracker.com/data/extensions_data/tickets/f/3/2/2/b/1458030RD//ticket.jpg" xr:uid="{483A54A2-B3FA-E046-B53E-A6CD1D88B0E8}"/>
    <hyperlink ref="O1192" r:id="rId919" display="http://turnertracker.com/data/extensions_data/tickets/e/e/9/0/7/1458034RD//ticket.jpg" xr:uid="{CA0CE4C9-C533-6B46-8F74-497C15B5BFE8}"/>
    <hyperlink ref="O1193" r:id="rId920" display="http://turnertracker.com/data/extensions_data/tickets/d/2/f/2/9/1458035RD//ticket.jpg" xr:uid="{8974FFA5-7F3F-0C48-9172-56ECB392A59D}"/>
    <hyperlink ref="O1194" r:id="rId921" display="http://turnertracker.com/data/extensions_data/tickets/6/5/4/7/3/1458036RD//ticket.jpg" xr:uid="{56A0A9E6-61FE-214A-83CD-887E78496D0E}"/>
    <hyperlink ref="O1195" r:id="rId922" display="http://turnertracker.com/data/extensions_data/tickets/b/2/0/a/f/1458037RD//ticket.jpg" xr:uid="{9E6D7854-AE52-1F40-A70A-9449D9759665}"/>
    <hyperlink ref="O1196" r:id="rId923" display="http://turnertracker.com/data/extensions_data/tickets/5/2/7/b/b/1458038RD//ticket.jpg" xr:uid="{688236CD-EDFE-5E44-88FC-33EBB9B5B66C}"/>
    <hyperlink ref="O1197" r:id="rId924" display="http://turnertracker.com/data/extensions_data/tickets/8/2/9/b/e/1458039RD//ticket.jpg" xr:uid="{B3334E8F-C5D0-8742-86CC-CBCEE1354E86}"/>
    <hyperlink ref="O1198" r:id="rId925" display="http://turnertracker.com/data/extensions_data/tickets/e/7/5/3/6/1458040RD//ticket.jpg" xr:uid="{A7B419E0-40AB-264B-B644-FF40765F1773}"/>
    <hyperlink ref="O1199" r:id="rId926" display="http://turnertracker.com/data/extensions_data/tickets/b/5/7/5/5/1475434RD//ticket.jpg" xr:uid="{8CF4315D-3D5C-9F43-B692-4AD71112C813}"/>
    <hyperlink ref="O1200" r:id="rId927" display="http://turnertracker.com/data/extensions_data/tickets/8/8/d/d/4/1475435RD//ticket.jpg" xr:uid="{EE665D32-B1C7-824D-9594-566C6D384682}"/>
    <hyperlink ref="O1201" r:id="rId928" display="http://turnertracker.com/data/extensions_data/tickets/4/b/2/f/e/1475443RD//ticket.jpg" xr:uid="{56E6A5D4-ADBD-7148-B971-719624DDB10D}"/>
    <hyperlink ref="O1202" r:id="rId929" display="http://turnertracker.com/data/extensions_data/tickets/5/3/1/6/2/1475450RD//ticket.jpg" xr:uid="{A47878E7-DA7B-894E-B1C2-290955B87FEF}"/>
    <hyperlink ref="O1203" r:id="rId930" display="http://turnertracker.com/data/extensions_data/tickets/6/3/2/c/f/1475453RD//ticket.jpg" xr:uid="{4AD3C6EA-1CF2-1240-879B-20522C5045D7}"/>
    <hyperlink ref="O1204" r:id="rId931" display="http://turnertracker.com/data/extensions_data/tickets/9/1/8/5/2/1475462RD//ticket.jpg" xr:uid="{14782E74-86AF-F941-B4E5-0355A9706C97}"/>
    <hyperlink ref="O1205" r:id="rId932" display="http://turnertracker.com/data/extensions_data/tickets/2/c/d/6/8/1475465RD//ticket.jpg" xr:uid="{C91D4032-E3DC-2742-AEB0-8266B4A264C8}"/>
    <hyperlink ref="O1206" r:id="rId933" display="http://turnertracker.com/data/extensions_data/tickets/6/c/e/9/f/1475467RD//ticket.jpg" xr:uid="{5827AF73-5AC9-6944-9CC6-57B778D1F886}"/>
    <hyperlink ref="O1207" r:id="rId934" display="http://turnertracker.com/data/extensions_data/tickets/5/0/2/1/8/1475473RD//ticket.jpg" xr:uid="{156B2A96-0115-0C49-8C30-D4CC437C3E29}"/>
    <hyperlink ref="O1208" r:id="rId935" display="http://turnertracker.com/data/extensions_data/tickets/3/1/a/0/9/1475476RD//ticket.jpg" xr:uid="{9BA9E8B9-E87E-E54A-ACB4-5212FAE32F4A}"/>
    <hyperlink ref="O1209" r:id="rId936" display="http://turnertracker.com/data/extensions_data/tickets/0/0/0/0/c/1475478RD//ticket.jpg" xr:uid="{0D71AEFA-27B2-224B-B760-CCD8DE034D38}"/>
    <hyperlink ref="O1210" r:id="rId937" display="http://turnertracker.com/data/extensions_data/tickets/4/0/9/0/0/1475488RD//ticket.jpg" xr:uid="{67845F66-EE16-7C49-8157-A99CAA8A2F95}"/>
    <hyperlink ref="O1211" r:id="rId938" display="http://turnertracker.com/data/extensions_data/tickets/7/3/1/0/8/1489695RD//ticket.jpg" xr:uid="{C53FAADF-4853-0040-A1CA-E2BEDA7B40A1}"/>
    <hyperlink ref="O1214" r:id="rId939" display="http://turnertracker.com/data/extensions_data/tickets/2/e/7/7/c/1489698RD//ticket.jpg" xr:uid="{764D7BFA-10AF-FD4B-B0B0-D46D3F8045CB}"/>
    <hyperlink ref="O1215" r:id="rId940" display="http://turnertracker.com/data/extensions_data/tickets/f/f/b/0/8/1489699RD//ticket.jpg" xr:uid="{8B93335E-4CA4-334A-9F77-2734B1B05631}"/>
    <hyperlink ref="O1216" r:id="rId941" display="http://turnertracker.com/data/extensions_data/tickets/3/1/f/3/c/1489700RD//ticket.jpg" xr:uid="{1C1A1A19-C41F-3348-BC60-150581733263}"/>
    <hyperlink ref="O1217" r:id="rId942" display="http://turnertracker.com/data/extensions_data/tickets/9/3/f/c/5/1489701RD//ticket.jpg" xr:uid="{F549EFEB-55CE-7449-8CDC-A18F43FAF9F9}"/>
    <hyperlink ref="O39" r:id="rId943" display="http://turnertracker.com/data/extensions_data/tickets/a/3/1/f/d/935843RD//ticket.jpg" xr:uid="{B667DC40-383A-7946-B00C-8AE0F3F72CE8}"/>
    <hyperlink ref="O201" r:id="rId944" display="http://turnertracker.com/data/extensions_data/tickets/5/6/8/a/1/991795RD//ticket.jpg" xr:uid="{CBB33FA9-FB15-2849-8B0D-1A37D01C4D2B}"/>
    <hyperlink ref="O203" r:id="rId945" display="http://turnertracker.com/data/extensions_data/tickets/7/2/6/d/2/1022957RD//ticket.jpg" xr:uid="{FDD362D2-76FE-E94D-878C-EE0F8602EFD9}"/>
    <hyperlink ref="O204" r:id="rId946" display="http://turnertracker.com/data/extensions_data/tickets/2/5/4/1/7/1022958RD//ticket.jpg" xr:uid="{D2D7D507-92D4-9649-9F18-4ED3A6020E0E}"/>
    <hyperlink ref="O205" r:id="rId947" display="http://turnertracker.com/data/extensions_data/tickets/6/b/9/1/b/1022963RD//ticket.jpg" xr:uid="{72F161DD-5822-4C41-B6F8-9C3D3684ABDB}"/>
    <hyperlink ref="O207" r:id="rId948" display="http://turnertracker.com/data/extensions_data/tickets/2/a/b/0/b/1022965RD//ticket.jpg" xr:uid="{820BF175-68E8-264A-9AA2-22E08D45255C}"/>
    <hyperlink ref="O208" r:id="rId949" display="http://turnertracker.com/data/extensions_data/tickets/d/f/9/b/9/1022967RD//ticket.jpg" xr:uid="{A0C740E4-A32B-B14B-8437-F13E5D59705A}"/>
    <hyperlink ref="O209" r:id="rId950" display="http://turnertracker.com/data/extensions_data/tickets/a/7/9/5/0/1022969RD//ticket.jpg" xr:uid="{B6F774A3-C6D0-0040-8A4A-C6914DC1B5D4}"/>
    <hyperlink ref="O211" r:id="rId951" display="http://turnertracker.com/data/extensions_data/tickets/0/e/9/0/3/1022971RD//ticket.jpg" xr:uid="{20D5C47A-AF40-2744-9CEA-496D93A5395F}"/>
    <hyperlink ref="O212" r:id="rId952" display="http://turnertracker.com/data/extensions_data/tickets/d/8/3/a/e/1022972RD//ticket.jpg" xr:uid="{63E11692-85BC-AC49-B3BB-00E28BD3F55F}"/>
    <hyperlink ref="O214" r:id="rId953" display="http://turnertracker.com/data/extensions_data/tickets/f/3/8/1/7/1022973RD//ticket.jpg" xr:uid="{BDF696D4-63E0-7940-AEAC-67E039B98F2F}"/>
    <hyperlink ref="O215" r:id="rId954" display="http://turnertracker.com/data/extensions_data/tickets/9/2/1/5/c/1022974RD//ticket.jpg" xr:uid="{A34B6D4F-9E69-784C-A460-61386DC1AFFF}"/>
    <hyperlink ref="O217" r:id="rId955" display="http://turnertracker.com/data/extensions_data/tickets/3/7/a/8/6/1022975RD//ticket.jpg" xr:uid="{650D22FE-8545-8448-BA79-F58759E0F7E8}"/>
    <hyperlink ref="O219" r:id="rId956" display="http://turnertracker.com/data/extensions_data/tickets/0/5/5/a/1/1046188RD//ticket.jpg" xr:uid="{2F8E63F8-A57C-0F4B-A7D2-9DAFAB9750BC}"/>
    <hyperlink ref="O220" r:id="rId957" display="http://turnertracker.com/data/extensions_data/tickets/f/5/4/5/3/1046189RD//ticket.jpg" xr:uid="{B0136F94-F447-184D-A5FE-F795723EACD3}"/>
    <hyperlink ref="O221" r:id="rId958" display="http://turnertracker.com/data/extensions_data/tickets/a/8/0/8/f/1046190RD//ticket.jpg" xr:uid="{D0A65239-6F24-8A43-BA29-30BA76915CE9}"/>
    <hyperlink ref="O227" r:id="rId959" display="http://turnertracker.com/data/extensions_data/tickets/c/e/3/5/0/1059100RD//ticket.jpg" xr:uid="{2993ABAA-C18C-F24D-BE33-BD92A93045EA}"/>
    <hyperlink ref="O228" r:id="rId960" display="http://turnertracker.com/data/extensions_data/tickets/3/b/6/7/6/1059101RD//ticket.jpg" xr:uid="{A2DEC590-7276-9141-B794-B51DCC4325BB}"/>
    <hyperlink ref="O229" r:id="rId961" display="http://turnertracker.com/data/extensions_data/tickets/6/6/a/c/5/1059102RD//ticket.jpg" xr:uid="{E42BE7C7-0097-C547-9DEC-4711224E0CA3}"/>
    <hyperlink ref="O231" r:id="rId962" display="http://turnertracker.com/data/extensions_data/tickets/0/b/a/f/3/1059103RD//ticket.jpg" xr:uid="{7140D3A0-5EA9-3E43-BDA4-D5FE1F9A5096}"/>
    <hyperlink ref="O230" r:id="rId963" display="http://turnertracker.com/data/extensions_data/tickets/7/4/1/d/2/1059104RD//ticket.jpg" xr:uid="{B0A2A297-A772-144F-9C97-0A8CCCAB7D3E}"/>
    <hyperlink ref="O232" r:id="rId964" display="http://turnertracker.com/data/extensions_data/tickets/7/b/9/f/f/1059105RD//ticket.jpg" xr:uid="{DB79BD4D-745D-E543-8BB2-5CD4E00CF972}"/>
    <hyperlink ref="O233" r:id="rId965" display="http://turnertracker.com/data/extensions_data/tickets/b/2/a/6/3/1059106RD//ticket.jpg" xr:uid="{61553002-FAD3-D44E-AEE2-FCAB08E6C766}"/>
    <hyperlink ref="O236" r:id="rId966" display="http://turnertracker.com/data/extensions_data/tickets/7/a/f/e/4/1059108RD//ticket.jpg" xr:uid="{574D7D8E-CAA2-7249-9B45-73E6C48A844B}"/>
    <hyperlink ref="O239" r:id="rId967" display="http://turnertracker.com/data/extensions_data/tickets/0/d/3/6/e/1059110RD//ticket.jpg" xr:uid="{58BE16C8-9F26-4449-AEA0-35CC295BB565}"/>
    <hyperlink ref="O246" r:id="rId968" display="http://turnertracker.com/data/extensions_data/tickets/3/5/a/f/d/1059116RD//ticket.jpg" xr:uid="{A3CD434D-8246-2241-87E8-FB36539D9B53}"/>
    <hyperlink ref="O257" r:id="rId969" display="http://turnertracker.com/data/extensions_data/tickets/4/3/b/5/f/1068850RD//ticket.jpg" xr:uid="{3883F320-C758-1946-B5EA-8F647AC281D6}"/>
    <hyperlink ref="O260" r:id="rId970" display="http://turnertracker.com/data/extensions_data/tickets/e/f/b/e/0/1068851RD//ticket.jpg" xr:uid="{A72A2C7B-7EE8-6C44-9E7E-FABCDDF2F607}"/>
    <hyperlink ref="O261" r:id="rId971" display="http://turnertracker.com/data/extensions_data/tickets/2/0/6/5/3/1068853RD//ticket.jpg" xr:uid="{F3FDFCF2-C88D-6445-8D78-9E7FE41C0990}"/>
    <hyperlink ref="O264" r:id="rId972" display="http://turnertracker.com/data/extensions_data/tickets/4/5/c/f/d/1068854RD//ticket.jpg" xr:uid="{5D5F75E7-A93A-3F40-8FCB-C3EE9736E97D}"/>
    <hyperlink ref="O265" r:id="rId973" display="http://turnertracker.com/data/extensions_data/tickets/2/1/b/5/6/1068856RD//ticket.jpg" xr:uid="{7A827729-F9A3-9C49-9D7B-5ECC78B76184}"/>
    <hyperlink ref="O268" r:id="rId974" display="http://turnertracker.com/data/extensions_data/tickets/4/c/7/9/3/1068858RD//ticket.jpg" xr:uid="{A8363B3C-DEB1-F143-8980-8587021330F7}"/>
    <hyperlink ref="O271" r:id="rId975" display="http://turnertracker.com/data/extensions_data/tickets/e/a/d/9/e/1076878RD//ticket.jpg" xr:uid="{45042FBD-43BB-DF47-AAE6-1FF7F3438C4A}"/>
    <hyperlink ref="O269" r:id="rId976" display="http://turnertracker.com/data/extensions_data/tickets/e/0/f/c/4/1076880RD//ticket.jpg" xr:uid="{FD52CFF5-CD81-D64F-A003-7FDD650804CB}"/>
    <hyperlink ref="O275" r:id="rId977" display="http://turnertracker.com/data/extensions_data/tickets/4/4/6/8/0/1076885RD//ticket.jpg" xr:uid="{CE2395E0-F273-E84C-977D-9E6B3F07CF55}"/>
    <hyperlink ref="O284" r:id="rId978" display="http://turnertracker.com/data/extensions_data/tickets/4/f/7/b/f/1089146RD//ticket.jpg" xr:uid="{0FEE3B78-A078-A446-AA6B-C1137011DAB1}"/>
    <hyperlink ref="O304" r:id="rId979" display="http://turnertracker.com/data/extensions_data/tickets/8/a/2/4/4/1089151RD//ticket.jpg" xr:uid="{E7C7E72C-D8F9-EE43-A5E4-B3E941C0DB9F}"/>
    <hyperlink ref="O307" r:id="rId980" display="http://turnertracker.com/data/extensions_data/tickets/0/b/2/f/7/1089152RD//ticket.jpg" xr:uid="{D59AC834-FAA0-D84C-A477-0AA2C531B8A9}"/>
    <hyperlink ref="O312" r:id="rId981" display="http://turnertracker.com/data/extensions_data/tickets/0/d/7/8/9/1089154RD//ticket.jpg" xr:uid="{F0C9D495-2D7A-1E4C-9E5F-0C5B859E084E}"/>
    <hyperlink ref="O315" r:id="rId982" display="http://turnertracker.com/data/extensions_data/tickets/5/a/7/7/1/1092504RD//ticket.jpg" xr:uid="{6861BA5F-17F9-3B4A-B0A5-E2F0D291E6DF}"/>
    <hyperlink ref="O318" r:id="rId983" display="http://turnertracker.com/data/extensions_data/tickets/e/f/0/2/8/1092505RD//ticket.jpg" xr:uid="{2BC4A90A-6DC6-9844-B6E0-FA574EE3BBB0}"/>
    <hyperlink ref="O321" r:id="rId984" display="http://turnertracker.com/data/extensions_data/tickets/0/7/d/0/2/1092509RD//ticket.jpg" xr:uid="{7FF15A28-7B06-0E4F-82BA-8EBBD2580638}"/>
    <hyperlink ref="O326" r:id="rId985" display="http://turnertracker.com/data/extensions_data/tickets/a/6/5/b/6/1107605RD//ticket.jpg" xr:uid="{9BF5B0FA-41C8-414A-9E38-F9665F071169}"/>
    <hyperlink ref="O328" r:id="rId986" display="http://turnertracker.com/data/extensions_data/tickets/0/4/2/6/4/1107614RD//ticket.jpg" xr:uid="{D80367BB-1CD3-B544-8B77-854A45D48212}"/>
    <hyperlink ref="O329" r:id="rId987" display="http://turnertracker.com/data/extensions_data/tickets/5/2/9/c/c/1107615RD//ticket.jpg" xr:uid="{893BFFB3-573F-F141-BB42-5320C9CC7F3D}"/>
    <hyperlink ref="O331" r:id="rId988" display="http://turnertracker.com/data/extensions_data/tickets/2/e/c/e/9/1107617RD//ticket.jpg" xr:uid="{A14D5430-37B4-A145-81D9-3970582E6C1E}"/>
    <hyperlink ref="O335" r:id="rId989" display="http://turnertracker.com/data/extensions_data/tickets/d/c/f/9/3/1107620RD//ticket.jpg" xr:uid="{E9C0CBCE-D4E9-654F-A56D-452529FACC48}"/>
    <hyperlink ref="O336" r:id="rId990" display="http://turnertracker.com/data/extensions_data/tickets/f/b/1/9/9/1107622RD//ticket.jpg" xr:uid="{D78D5944-EC0B-3545-BC95-160A98929BD3}"/>
    <hyperlink ref="O337" r:id="rId991" display="http://turnertracker.com/data/extensions_data/tickets/9/6/e/7/d/1107623RD//ticket.jpg" xr:uid="{561F4F7E-ED26-BE42-8ECC-5ADF40932177}"/>
    <hyperlink ref="O339" r:id="rId992" display="http://turnertracker.com/data/extensions_data/tickets/0/2/3/6/5/1107626RD//ticket.jpg" xr:uid="{E2465B25-09F5-3041-8719-74D211120B63}"/>
    <hyperlink ref="O340" r:id="rId993" display="http://turnertracker.com/data/extensions_data/tickets/b/d/e/7/9/1107629RD//ticket.jpg" xr:uid="{F6197562-6B89-3A47-BE8F-1DF58DF1C36D}"/>
    <hyperlink ref="O345" r:id="rId994" display="http://turnertracker.com/data/extensions_data/tickets/b/a/c/e/1/1107635RD//ticket.jpg" xr:uid="{62D12B33-D40E-F143-B91F-9FECDB4B1380}"/>
    <hyperlink ref="O349" r:id="rId995" display="http://turnertracker.com/data/extensions_data/tickets/3/9/a/2/7/1120143RD//ticket.jpg" xr:uid="{9B0FC927-6922-1E42-B447-BA1E2948DF71}"/>
    <hyperlink ref="O354" r:id="rId996" display="http://turnertracker.com/data/extensions_data/tickets/6/b/0/1/b/1120146RD//ticket.jpg" xr:uid="{3F3DC745-611D-E043-826B-528AEFCB8BCC}"/>
    <hyperlink ref="O355" r:id="rId997" display="http://turnertracker.com/data/extensions_data/tickets/d/3/5/e/f/1120147RD//ticket.jpg" xr:uid="{01BE4AFF-6F21-FC41-8757-7314F100EA32}"/>
    <hyperlink ref="O361" r:id="rId998" display="http://turnertracker.com/data/extensions_data/tickets/e/b/e/3/d/1130021RD//ticket.jpg" xr:uid="{608BD528-096F-2747-B5F8-946AE3E8895D}"/>
    <hyperlink ref="O364" r:id="rId999" display="http://turnertracker.com/data/extensions_data/tickets/e/2/2/0/3/1130031RD//ticket.jpg" xr:uid="{48E110C7-0AB4-4C4E-AB80-7E6212CC5491}"/>
    <hyperlink ref="O366" r:id="rId1000" display="http://turnertracker.com/data/extensions_data/tickets/2/c/0/a/1/1130036RD//ticket.jpg" xr:uid="{2BF15753-B84D-9740-84CF-A60039E8927C}"/>
    <hyperlink ref="O367" r:id="rId1001" display="http://turnertracker.com/data/extensions_data/tickets/4/5/e/1/8/1143062RD//ticket.jpg" xr:uid="{453417D8-FBE7-0044-95D3-A6E0141C32B7}"/>
    <hyperlink ref="O368" r:id="rId1002" display="http://turnertracker.com/data/extensions_data/tickets/7/c/9/f/3/1143063RD//ticket.jpg" xr:uid="{EAAE0C90-8ABB-E24C-A79A-2ED66FA6DB9F}"/>
    <hyperlink ref="O369" r:id="rId1003" display="http://turnertracker.com/data/extensions_data/tickets/d/0/8/b/c/1143064RD//ticket.jpg" xr:uid="{B1BC6B0C-B8BB-9346-9CF5-CEC2717D6F13}"/>
    <hyperlink ref="O371" r:id="rId1004" display="http://turnertracker.com/data/extensions_data/tickets/8/d/c/2/b/1143065RD//ticket.jpg" xr:uid="{198F3974-367E-F548-B63C-90ABCD5FD9ED}"/>
    <hyperlink ref="O375" r:id="rId1005" display="http://turnertracker.com/data/extensions_data/tickets/6/1/9/e/9/1143069RD//ticket.jpg" xr:uid="{E4E89F5C-B640-C74B-8786-7D7F36C1E671}"/>
    <hyperlink ref="O380" r:id="rId1006" display="http://turnertracker.com/data/extensions_data/tickets/1/8/a/1/9/1152820RD//ticket.jpg" xr:uid="{E2A1F1BF-B97B-894D-A8EF-5CC8F4520C61}"/>
    <hyperlink ref="O384" r:id="rId1007" display="http://turnertracker.com/data/extensions_data/tickets/1/a/1/e/5/1152822RD//ticket.jpg" xr:uid="{F418E53C-067B-4546-8D33-4D7ABD0D5DE4}"/>
    <hyperlink ref="O387" r:id="rId1008" display="http://turnertracker.com/data/extensions_data/tickets/2/3/5/0/7/1152827RD//ticket.jpg" xr:uid="{74E987B2-FE72-EE42-8BA1-3EA1E57EE786}"/>
    <hyperlink ref="O392" r:id="rId1009" display="http://turnertracker.com/data/extensions_data/tickets/8/4/d/b/8/1152832RD//ticket.jpg" xr:uid="{13AE9A7D-C68E-2E44-91A1-E5D3AE53E233}"/>
    <hyperlink ref="O395" r:id="rId1010" display="http://turnertracker.com/data/extensions_data/tickets/b/c/7/9/b/1152837RD//ticket.jpg" xr:uid="{143BC29E-0DC7-624F-AF97-CEB8E55A8A74}"/>
    <hyperlink ref="O401" r:id="rId1011" display="http://turnertracker.com/data/extensions_data/tickets/0/7/4/0/5/1154740RD//ticket.jpg" xr:uid="{8D98AD66-128B-9142-8257-59D70AC8BAE9}"/>
    <hyperlink ref="O402" r:id="rId1012" display="http://turnertracker.com/data/extensions_data/tickets/8/4/8/d/a/1165872RD//ticket.jpg" xr:uid="{9553E5D6-A708-1141-8040-B9D376BD470C}"/>
    <hyperlink ref="O404" r:id="rId1013" display="http://turnertracker.com/data/extensions_data/tickets/0/e/2/5/8/1165874RD//ticket.jpg" xr:uid="{38511C74-3F4B-4846-BBDC-4E18C207A353}"/>
    <hyperlink ref="O405" r:id="rId1014" display="http://turnertracker.com/data/extensions_data/tickets/2/a/5/0/3/1165875RD//ticket.jpg" xr:uid="{C9E09908-AF37-324B-93D8-CE938DE05780}"/>
    <hyperlink ref="O407" r:id="rId1015" display="http://turnertracker.com/data/extensions_data/tickets/a/0/8/0/2/1165877RD//ticket.jpg" xr:uid="{A8481B1E-C5EE-7349-8EDB-37F4714CA315}"/>
    <hyperlink ref="O408" r:id="rId1016" display="http://turnertracker.com/data/extensions_data/tickets/5/0/c/9/a/1165878RD//ticket.jpg" xr:uid="{21D60A38-F33C-5049-8925-1D60DDF5BE47}"/>
    <hyperlink ref="O411" r:id="rId1017" display="http://turnertracker.com/data/extensions_data/tickets/d/e/6/b/8/1165879RD//ticket.jpg" xr:uid="{E10755FB-DCB3-0441-A657-1B0348D6093D}"/>
    <hyperlink ref="O412" r:id="rId1018" display="http://turnertracker.com/data/extensions_data/tickets/f/1/b/d/5/1165886RD//ticket.jpg" xr:uid="{D8331C55-63E2-1545-929E-34C9AFD2A695}"/>
    <hyperlink ref="O417" r:id="rId1019" display="http://turnertracker.com/data/extensions_data/tickets/c/c/3/3/4/1165887RD//ticket.jpg" xr:uid="{E1B2945C-E2BC-374E-A22C-A40E42AF697F}"/>
    <hyperlink ref="O418" r:id="rId1020" display="http://turnertracker.com/data/extensions_data/tickets/8/2/6/9/a/1165888RD//ticket.jpg" xr:uid="{07C4446C-CC35-0A45-A86B-C73E9DE873CB}"/>
    <hyperlink ref="O419" r:id="rId1021" display="http://turnertracker.com/data/extensions_data/tickets/3/7/4/2/6/1165889RD//ticket.jpg" xr:uid="{970E504B-8DB4-484C-BFAE-88EEC912A030}"/>
    <hyperlink ref="O422" r:id="rId1022" display="http://turnertracker.com/data/extensions_data/tickets/c/2/d/0/a/1165926RD//ticket.jpg" xr:uid="{9C75E0C5-37BC-CA40-8A4E-CB3B01A3808B}"/>
    <hyperlink ref="O424" r:id="rId1023" display="http://turnertracker.com/data/extensions_data/tickets/3/4/0/d/f/1165927RD//ticket.jpg" xr:uid="{231F4FDC-720B-0B4B-BCCF-9999704F281A}"/>
    <hyperlink ref="O426" r:id="rId1024" display="http://turnertracker.com/data/extensions_data/tickets/d/2/2/3/1/1165932RD//ticket.jpg" xr:uid="{8A3033F8-E2FD-AF40-9CC5-73626111A265}"/>
    <hyperlink ref="O430" r:id="rId1025" display="http://turnertracker.com/data/extensions_data/tickets/f/7/b/2/7/1182623RD//ticket.jpg" xr:uid="{2C5E5CCC-987E-E64E-922A-5766B813D9B6}"/>
    <hyperlink ref="O434" r:id="rId1026" display="http://turnertracker.com/data/extensions_data/tickets/b/2/d/7/3/1182625RD//ticket.jpg" xr:uid="{737A3561-16DC-744E-83C8-3EA24380A39F}"/>
    <hyperlink ref="O435" r:id="rId1027" display="http://turnertracker.com/data/extensions_data/tickets/7/2/d/0/f/1182627RD//ticket.jpg" xr:uid="{285623A5-FDE3-9446-8D98-7637998B1F64}"/>
    <hyperlink ref="O445" r:id="rId1028" display="http://turnertracker.com/data/extensions_data/tickets/f/0/e/c/0/1182642RD//ticket.jpg" xr:uid="{ABBA7375-6B48-3D4E-85FC-C095D4688863}"/>
    <hyperlink ref="O446" r:id="rId1029" display="http://turnertracker.com/data/extensions_data/tickets/8/0/7/6/8/1182643RD//ticket.jpg" xr:uid="{8DE089FB-EEA5-8449-88FD-F96459144461}"/>
    <hyperlink ref="O450" r:id="rId1030" display="http://turnertracker.com/data/extensions_data/tickets/b/7/0/e/e/1182644RD//ticket.jpg" xr:uid="{AB55B918-F38F-5545-B69C-68B5B27669D2}"/>
    <hyperlink ref="O456" r:id="rId1031" display="http://turnertracker.com/data/extensions_data/tickets/9/6/d/4/c/1182660RD//ticket.jpg" xr:uid="{308C3B3A-630E-D148-9C04-03E573660C7B}"/>
    <hyperlink ref="O459" r:id="rId1032" display="http://turnertracker.com/data/extensions_data/tickets/1/1/9/6/4/1182662RD//ticket.jpg" xr:uid="{5B2C9492-1E1B-7E4D-A6C2-BB905CF7F727}"/>
    <hyperlink ref="O465" r:id="rId1033" display="http://turnertracker.com/data/extensions_data/tickets/4/5/d/c/a/1182663RD//ticket.jpg" xr:uid="{BED1240E-7CEA-5F4B-B6A2-7B64AAE8EFD5}"/>
    <hyperlink ref="O472" r:id="rId1034" display="http://turnertracker.com/data/extensions_data/tickets/1/f/3/b/2/1182674RD//ticket.jpg" xr:uid="{A89AE094-451B-5D4D-9532-0AAF3074FF19}"/>
    <hyperlink ref="O479" r:id="rId1035" display="http://turnertracker.com/data/extensions_data/tickets/e/3/e/9/2/1182676RD//ticket.jpg" xr:uid="{6F79EC6D-B238-7147-905F-21BB3C73D9D3}"/>
    <hyperlink ref="O480" r:id="rId1036" display="http://turnertracker.com/data/extensions_data/tickets/0/e/1/9/7/1182753RD//ticket.jpg" xr:uid="{3233010D-7336-2749-A987-56F324B5AECD}"/>
    <hyperlink ref="O484" r:id="rId1037" display="http://turnertracker.com/data/extensions_data/tickets/3/9/0/0/8/1182754RD//ticket.jpg" xr:uid="{AB51DCC0-A1DB-A943-A60C-E6DEF3C19159}"/>
    <hyperlink ref="O489" r:id="rId1038" display="http://turnertracker.com/data/extensions_data/tickets/b/e/a/4/2/1182756RD//ticket.jpg" xr:uid="{3AAF22DF-1B2A-414D-B657-58073C4AB0B1}"/>
    <hyperlink ref="O492" r:id="rId1039" display="http://turnertracker.com/data/extensions_data/tickets/4/8/5/8/f/1182762RD//ticket.jpg" xr:uid="{B23F5711-1E01-1B49-8A5E-334ACFC93E8F}"/>
    <hyperlink ref="O493" r:id="rId1040" display="http://turnertracker.com/data/extensions_data/tickets/0/f/4/6/4/1182763RD//ticket.jpg" xr:uid="{09B4B29C-423F-E74C-B4B4-2A8D33E9FA1C}"/>
    <hyperlink ref="O498" r:id="rId1041" display="http://turnertracker.com/data/extensions_data/tickets/b/5/5/1/a/1182775RD//ticket.jpg" xr:uid="{29AFDAED-249D-4E4B-85AD-E59BAE8AE69F}"/>
    <hyperlink ref="O501" r:id="rId1042" display="http://turnertracker.com/data/extensions_data/tickets/d/b/f/5/4/1182776RD//ticket.jpg" xr:uid="{41123368-CDA0-F147-8C41-6C5391E76E57}"/>
    <hyperlink ref="O503" r:id="rId1043" display="http://turnertracker.com/data/extensions_data/tickets/c/1/0/e/b/1182778RD//ticket.jpg" xr:uid="{9D5A54E5-A2EE-6E45-8CCC-DB2DA838E205}"/>
    <hyperlink ref="O504" r:id="rId1044" display="http://turnertracker.com/data/extensions_data/tickets/c/b/b/b/4/1182781RD//ticket.jpg" xr:uid="{175F2B60-CB2D-5E4E-B6AA-55528C629C65}"/>
    <hyperlink ref="O505" r:id="rId1045" display="http://turnertracker.com/data/extensions_data/tickets/9/9/8/1/a/1182784RD//ticket.jpg" xr:uid="{DB0B7836-DD10-5842-BC5F-8B4A343BCA8B}"/>
    <hyperlink ref="O509" r:id="rId1046" display="http://turnertracker.com/data/extensions_data/tickets/1/6/e/2/5/1182789RD//ticket.jpg" xr:uid="{6357E8D1-364C-934C-9260-AD15D4FC8B7E}"/>
    <hyperlink ref="O512" r:id="rId1047" display="http://turnertracker.com/data/extensions_data/tickets/e/1/e/0/f/1182794RD//ticket.jpg" xr:uid="{CF1AA3AF-67FB-A142-A1F1-CD27EF36E80D}"/>
    <hyperlink ref="O520" r:id="rId1048" display="http://turnertracker.com/data/extensions_data/tickets/e/4/a/7/3/1188426RD//ticket.jpg" xr:uid="{A39B73C3-DC1E-F74F-B2C1-FC0BC67FAE61}"/>
    <hyperlink ref="O515" r:id="rId1049" display="http://turnertracker.com/data/extensions_data/tickets/f/5/9/4/3/1188431RD//ticket.jpg" xr:uid="{A66A2491-A3C0-BE42-86E3-3E0C88B43D64}"/>
    <hyperlink ref="O516" r:id="rId1050" display="http://turnertracker.com/data/extensions_data/tickets/e/3/5/0/7/1193658RD//ticket.jpg" xr:uid="{6FC93F0E-40B5-BD4A-B9C6-24157531DC16}"/>
    <hyperlink ref="O517" r:id="rId1051" display="http://turnertracker.com/data/extensions_data/tickets/1/1/7/6/8/1193660RD//ticket.jpg" xr:uid="{20BE7637-C23D-1B4D-9A42-A58A128B588D}"/>
    <hyperlink ref="O524" r:id="rId1052" display="http://turnertracker.com/data/extensions_data/tickets/c/a/d/5/e/1193668RD//ticket.jpg" xr:uid="{E4D0181D-3108-AE4E-9865-AAA5185F4894}"/>
    <hyperlink ref="O527" r:id="rId1053" display="http://turnertracker.com/data/extensions_data/tickets/7/1/c/1/6/1193677RD//ticket.jpg" xr:uid="{64FB0C90-9A6A-2342-8B05-024FA29AF554}"/>
    <hyperlink ref="O537" r:id="rId1054" display="http://turnertracker.com/data/extensions_data/tickets/9/f/5/b/7/1193695RD//ticket.jpg" xr:uid="{A667BD28-EA6E-AA47-8A72-8B27DD470E41}"/>
    <hyperlink ref="O539" r:id="rId1055" display="http://turnertracker.com/data/extensions_data/tickets/2/0/7/3/6/1193707RD//ticket.jpg" xr:uid="{085EAC78-72CE-434B-8423-4039E6DA61FC}"/>
    <hyperlink ref="O551" r:id="rId1056" display="http://turnertracker.com/data/extensions_data/tickets/8/d/4/3/e/1193735RD//ticket.jpg" xr:uid="{09B5DE46-F6C7-D249-9A27-AB72D460FBBE}"/>
    <hyperlink ref="O560" r:id="rId1057" display="http://turnertracker.com/data/extensions_data/tickets/f/7/4/5/e/1205028RD//ticket.jpg" xr:uid="{42DDD167-45F1-DA41-8680-71D920618F5E}"/>
    <hyperlink ref="O561" r:id="rId1058" display="http://turnertracker.com/data/extensions_data/tickets/9/9/b/f/9/1205029RD//ticket.jpg" xr:uid="{6CBFA4D7-7654-094A-9EDA-E2447CB1BA51}"/>
    <hyperlink ref="O562" r:id="rId1059" display="http://turnertracker.com/data/extensions_data/tickets/b/2/f/8/7/1205031RD//ticket.jpg" xr:uid="{C869D12E-A0A3-394A-ADD9-97E4767A1213}"/>
    <hyperlink ref="O566" r:id="rId1060" display="http://turnertracker.com/data/extensions_data/tickets/9/a/c/d/e/1205039RD//ticket.jpg" xr:uid="{2DE3060A-9D3E-1F4B-92A1-7993A51B9792}"/>
    <hyperlink ref="O583" r:id="rId1061" display="http://turnertracker.com/data/extensions_data/tickets/f/5/8/b/1/1218814RD//ticket.jpg" xr:uid="{7A5BBA70-4237-8349-B8BF-276CFD703DE5}"/>
    <hyperlink ref="O590" r:id="rId1062" display="http://turnertracker.com/data/extensions_data/tickets/7/8/7/e/a/1218846RD//ticket.jpg" xr:uid="{B5B848E2-D362-3340-BF8C-FBCE9710F413}"/>
    <hyperlink ref="O602" r:id="rId1063" display="http://turnertracker.com/data/extensions_data/tickets/6/f/8/a/9/1219061RD//ticket.jpg" xr:uid="{BD3A0421-F180-8745-9450-739386B28B65}"/>
    <hyperlink ref="O603" r:id="rId1064" display="http://turnertracker.com/data/extensions_data/tickets/b/6/c/3/1/1219062RD//ticket.jpg" xr:uid="{AEF6237C-F067-724B-8265-BDEDE98C999F}"/>
    <hyperlink ref="O605" r:id="rId1065" display="http://turnertracker.com/data/extensions_data/tickets/c/7/a/3/6/1219064RD//ticket.jpg" xr:uid="{C9AC8DC1-419D-B146-A967-75AAD25763A1}"/>
    <hyperlink ref="O628" r:id="rId1066" display="http://turnertracker.com/data/extensions_data/tickets/0/9/4/f/0/1232878RD//ticket.jpg" xr:uid="{12AB6CAE-CB2E-E340-A8D0-FDFBA59D4653}"/>
    <hyperlink ref="O630" r:id="rId1067" display="http://turnertracker.com/data/extensions_data/tickets/7/b/8/d/2/1232881RD//ticket.jpg" xr:uid="{FB3D0B75-04AF-6D4D-B1C1-FD63C526820C}"/>
    <hyperlink ref="O639" r:id="rId1068" display="http://turnertracker.com/data/extensions_data/tickets/a/4/e/f/e/1233051RD//ticket.jpg" xr:uid="{C8FF9BD5-509B-3040-9467-10F0B11B7638}"/>
    <hyperlink ref="O641" r:id="rId1069" display="http://turnertracker.com/data/extensions_data/tickets/b/f/b/7/5/1233052RD//ticket.jpg" xr:uid="{A4DA78DA-6E9E-804E-8A54-91A3F1E69DC3}"/>
    <hyperlink ref="O647" r:id="rId1070" display="http://turnertracker.com/data/extensions_data/tickets/0/0/f/7/2/1233067RD//ticket.jpg" xr:uid="{34C65B9D-1CC0-AF4A-BD4A-2419B21F78B8}"/>
    <hyperlink ref="O653" r:id="rId1071" display="http://turnertracker.com/data/extensions_data/tickets/6/3/3/d/5/1233079RD//ticket.jpg" xr:uid="{490E7FDB-E326-824D-BA10-C08110C98EFD}"/>
    <hyperlink ref="O658" r:id="rId1072" display="http://turnertracker.com/data/extensions_data/tickets/d/2/6/1/d/1246458RD//ticket.jpg" xr:uid="{8FB7999E-8E49-124E-AA2A-77F1B3213ED2}"/>
    <hyperlink ref="O659" r:id="rId1073" display="http://turnertracker.com/data/extensions_data/tickets/3/3/e/6/c/1246463RD//ticket.jpg" xr:uid="{57C52999-5C79-584E-A8FC-AF553630C9A8}"/>
    <hyperlink ref="O663" r:id="rId1074" display="http://turnertracker.com/data/extensions_data/tickets/d/1/4/d/4/1246486RD//ticket.jpg" xr:uid="{F157E16C-F41C-DF49-BCB3-BF8EEF58F70A}"/>
    <hyperlink ref="O664" r:id="rId1075" display="http://turnertracker.com/data/extensions_data/tickets/7/d/7/9/a/1246498RD//ticket.jpg" xr:uid="{0FDAFB8D-AD22-9446-89B2-96AB9B261FC1}"/>
    <hyperlink ref="O665" r:id="rId1076" display="http://turnertracker.com/data/extensions_data/tickets/c/d/e/7/5/1246509RD//ticket.jpg" xr:uid="{CFFBE89B-F940-AC4B-8C7B-3B64F0D1535C}"/>
    <hyperlink ref="O679" r:id="rId1077" display="http://turnertracker.com/data/extensions_data/tickets/4/9/8/7/0/1246637RD//ticket.jpg" xr:uid="{D324F275-F8BE-AE4B-A019-D85C11655698}"/>
    <hyperlink ref="O682" r:id="rId1078" display="http://turnertracker.com/data/extensions_data/tickets/2/6/a/c/6/1246648RD//ticket.jpg" xr:uid="{0CBFD140-9008-5649-8434-A15B2C92BB3D}"/>
    <hyperlink ref="O683" r:id="rId1079" display="http://turnertracker.com/data/extensions_data/tickets/9/e/b/0/3/1246649RD//ticket.jpg" xr:uid="{FF688AAE-A815-E149-9A65-87C212CC9C42}"/>
    <hyperlink ref="O684" r:id="rId1080" display="http://turnertracker.com/data/extensions_data/tickets/d/f/4/9/7/1246650RD//ticket.jpg" xr:uid="{36EEDE00-4847-8B43-9A1F-E641256F7CB3}"/>
    <hyperlink ref="O687" r:id="rId1081" display="http://turnertracker.com/data/extensions_data/tickets/9/e/b/e/1/1246666RD//ticket.jpg" xr:uid="{1DBBF0C4-DB2C-1E4A-8F5B-3691E118824A}"/>
    <hyperlink ref="O690" r:id="rId1082" display="http://turnertracker.com/data/extensions_data/tickets/7/4/9/c/6/1246668RD//ticket.jpg" xr:uid="{42E3D229-1B21-BD49-922D-72E652C17B0A}"/>
    <hyperlink ref="O692" r:id="rId1083" display="http://turnertracker.com/data/extensions_data/tickets/c/b/3/2/f/1246765RD//ticket.jpg" xr:uid="{BA7DFA5C-271E-9148-ACEB-6C6738858ECE}"/>
    <hyperlink ref="O696" r:id="rId1084" display="http://turnertracker.com/data/extensions_data/tickets/2/4/2/9/f/1246770RD//ticket.jpg" xr:uid="{2A29B03B-44E0-BA45-9BBC-B51A1DF8A765}"/>
    <hyperlink ref="O700" r:id="rId1085" display="http://turnertracker.com/data/extensions_data/tickets/4/2/0/f/4/1246772RD//ticket.jpg" xr:uid="{FFCE4D90-B58E-8447-9E3D-605D3EC66280}"/>
    <hyperlink ref="O701" r:id="rId1086" display="http://turnertracker.com/data/extensions_data/tickets/1/1/c/2/6/1246774RD//ticket.jpg" xr:uid="{D4640326-9D65-EF49-896C-F5DAAF3B32B2}"/>
    <hyperlink ref="O703" r:id="rId1087" display="http://turnertracker.com/data/extensions_data/tickets/c/3/d/a/5/1261574RD//ticket.jpg" xr:uid="{2B83BD18-2DD7-3A48-9304-27D88313452E}"/>
    <hyperlink ref="O708" r:id="rId1088" display="http://turnertracker.com/data/extensions_data/tickets/4/5/b/5/3/1261575RD//ticket.jpg" xr:uid="{81C046D2-91C3-CF43-A72A-ADB7973D6A9A}"/>
    <hyperlink ref="O710" r:id="rId1089" display="http://turnertracker.com/data/extensions_data/tickets/6/2/f/1/5/1261577RD//ticket.jpg" xr:uid="{60298955-C7FF-DA4E-B845-EE2294960152}"/>
    <hyperlink ref="O714" r:id="rId1090" display="http://turnertracker.com/data/extensions_data/tickets/a/9/6/7/5/1261581RD//ticket.jpg" xr:uid="{FC51F5EC-5916-8745-9A7E-A2F2537D10E4}"/>
    <hyperlink ref="O726" r:id="rId1091" display="http://turnertracker.com/data/extensions_data/tickets/a/2/2/1/9/1261667RD//ticket.jpg" xr:uid="{E9D412B6-7614-C84F-B526-46BBCF9991C2}"/>
    <hyperlink ref="O727" r:id="rId1092" display="http://turnertracker.com/data/extensions_data/tickets/d/d/1/a/c/1261668RD//ticket.jpg" xr:uid="{02051922-E1EE-A04A-8E47-09B56E4288DA}"/>
    <hyperlink ref="O729" r:id="rId1093" display="http://turnertracker.com/data/extensions_data/tickets/b/3/9/7/a/1261672RD//ticket.jpg" xr:uid="{BC9E632A-C3C4-A743-9CE1-4E716F3A8822}"/>
    <hyperlink ref="O737" r:id="rId1094" display="http://turnertracker.com/data/extensions_data/tickets/3/b/9/7/e/1261698RD//ticket.jpg" xr:uid="{3AA2C7C4-B0CA-DB4E-ACCB-77D9C1D8007B}"/>
    <hyperlink ref="O740" r:id="rId1095" display="http://turnertracker.com/data/extensions_data/tickets/0/c/3/5/e/1261719RD//ticket.jpg" xr:uid="{E74CB41B-E728-C344-A126-CD869CAE64AC}"/>
    <hyperlink ref="O743" r:id="rId1096" display="http://turnertracker.com/data/extensions_data/tickets/0/1/e/d/6/1261741RD//ticket.jpg" xr:uid="{2B642CE4-F144-0B44-B575-BA577D33CB63}"/>
    <hyperlink ref="O745" r:id="rId1097" display="http://turnertracker.com/data/extensions_data/tickets/3/7/c/7/4/1261744RD//ticket.jpg" xr:uid="{5EF92C5A-180E-E446-AD4B-4E47A710A155}"/>
    <hyperlink ref="O748" r:id="rId1098" display="http://turnertracker.com/data/extensions_data/tickets/5/2/6/9/5/1261755RD//ticket.jpg" xr:uid="{E18685C8-5943-DE41-8803-341F45A7096B}"/>
    <hyperlink ref="O753" r:id="rId1099" display="http://turnertracker.com/data/extensions_data/tickets/b/5/6/d/8/1273850RD//ticket.jpg" xr:uid="{6CC2B5D5-E768-DC4A-99E4-5310C867AB6C}"/>
    <hyperlink ref="O754" r:id="rId1100" display="http://turnertracker.com/data/extensions_data/tickets/7/0/3/2/d/1273863RD//ticket.jpg" xr:uid="{3D512827-71B3-2647-A347-9CBDDCCC1C7C}"/>
    <hyperlink ref="O761" r:id="rId1101" display="http://turnertracker.com/data/extensions_data/tickets/e/5/8/5/7/1273870RD//ticket.jpg" xr:uid="{6C288E77-08D3-5C4E-8132-498E9FB209A4}"/>
    <hyperlink ref="O762" r:id="rId1102" display="http://turnertracker.com/data/extensions_data/tickets/5/d/d/2/1/1273874RD//ticket.jpg" xr:uid="{1B2E899A-DBFA-E241-ADC3-973396A92442}"/>
    <hyperlink ref="O766" r:id="rId1103" display="http://turnertracker.com/data/extensions_data/tickets/2/1/8/0/f/1273876RD//ticket.jpg" xr:uid="{03E7F818-CB6B-5A4C-91AC-0E7232AF4DA4}"/>
    <hyperlink ref="O768" r:id="rId1104" display="http://turnertracker.com/data/extensions_data/tickets/0/d/b/f/a/1273879RD//ticket.jpg" xr:uid="{BEADBDD6-2BD0-864E-9E9F-CD548AACF9A6}"/>
    <hyperlink ref="O771" r:id="rId1105" display="http://turnertracker.com/data/extensions_data/tickets/c/9/0/a/b/1274108RD//ticket.jpg" xr:uid="{A654F4A1-3433-2645-92B8-2282F50B8288}"/>
    <hyperlink ref="O776" r:id="rId1106" display="http://turnertracker.com/data/extensions_data/tickets/8/0/3/8/0/1274110RD//ticket.jpg" xr:uid="{0F56A926-E8A4-534B-B3EC-BD0F4ECAA8E0}"/>
    <hyperlink ref="O774" r:id="rId1107" display="http://turnertracker.com/data/extensions_data/tickets/7/e/b/2/a/1274111RD//ticket.jpg" xr:uid="{AA28C083-9867-5942-8C71-43025EDAF4B8}"/>
    <hyperlink ref="O778" r:id="rId1108" display="http://turnertracker.com/data/extensions_data/tickets/e/8/4/0/0/1274145RD//ticket.jpg" xr:uid="{9817AF49-E453-1149-8480-8BF0B50C5675}"/>
    <hyperlink ref="O779" r:id="rId1109" display="http://turnertracker.com/data/extensions_data/tickets/2/4/8/9/8/1274146RD//ticket.jpg" xr:uid="{4A16EF48-8F0E-3447-8E6D-AE3BF7EC8125}"/>
    <hyperlink ref="O782" r:id="rId1110" display="http://turnertracker.com/data/extensions_data/tickets/6/6/b/3/e/1274171RD//ticket.jpg" xr:uid="{91D55C9A-E1F5-024D-A043-DE5852EC8376}"/>
    <hyperlink ref="O784" r:id="rId1111" display="http://turnertracker.com/data/extensions_data/tickets/6/a/5/d/e/1274177RD//ticket.jpg" xr:uid="{82F3E489-D171-284B-9FFA-F5222938DDA1}"/>
    <hyperlink ref="O785" r:id="rId1112" display="http://turnertracker.com/data/extensions_data/tickets/3/e/b/b/4/1274181RD//ticket.jpg" xr:uid="{0AEAB4AC-9C00-6F47-9E3C-41274862E541}"/>
    <hyperlink ref="O790" r:id="rId1113" display="http://turnertracker.com/data/extensions_data/tickets/8/d/e/b/8/1274204RD//ticket.jpg" xr:uid="{5C5A71A5-12F4-1D49-A28E-080333D003E8}"/>
    <hyperlink ref="O794" r:id="rId1114" display="http://turnertracker.com/data/extensions_data/tickets/8/3/7/f/c/1274209RD//ticket.jpg" xr:uid="{072C5290-C36C-9F43-91CF-998448353E89}"/>
    <hyperlink ref="O798" r:id="rId1115" display="http://turnertracker.com/data/extensions_data/tickets/6/b/9/2/f/1274219RD//ticket.jpg" xr:uid="{CB850E6B-F550-3746-A0AE-F0B550AD102E}"/>
    <hyperlink ref="O801" r:id="rId1116" display="http://turnertracker.com/data/extensions_data/tickets/8/2/7/d/c/1274235RD//ticket.jpg" xr:uid="{631495A8-B6D0-2942-B438-895257413C5C}"/>
    <hyperlink ref="O805" r:id="rId1117" display="http://turnertracker.com/data/extensions_data/tickets/4/5/9/b/1/1293403RD//ticket.jpg" xr:uid="{5964C35B-5F9F-8B4C-BF3C-666C964666CD}"/>
    <hyperlink ref="O810" r:id="rId1118" display="http://turnertracker.com/data/extensions_data/tickets/9/4/c/b/c/1293408RD//ticket.jpg" xr:uid="{6C8889C3-7444-854F-99FF-9071EE6BB405}"/>
    <hyperlink ref="O816" r:id="rId1119" display="http://turnertracker.com/data/extensions_data/tickets/0/b/9/4/6/1293422RD//ticket.jpg" xr:uid="{52DD9AE3-697B-BF4D-A504-73137E923B5F}"/>
    <hyperlink ref="O819" r:id="rId1120" display="http://turnertracker.com/data/extensions_data/tickets/2/3/7/3/9/1293426RD//ticket.jpg" xr:uid="{1DC52A74-139B-0044-B903-8ACE66F47176}"/>
    <hyperlink ref="O828" r:id="rId1121" display="http://turnertracker.com/data/extensions_data/tickets/7/6/3/c/0/1293437RD//ticket.jpg" xr:uid="{49569C0E-DBA6-8543-B162-4D0EF1017E5F}"/>
    <hyperlink ref="O832" r:id="rId1122" display="http://turnertracker.com/data/extensions_data/tickets/a/c/c/a/5/1293451RD//ticket.jpg" xr:uid="{5F1DC3A4-28B6-0C44-99B5-4A16AC8A8481}"/>
    <hyperlink ref="O835" r:id="rId1123" display="http://turnertracker.com/data/extensions_data/tickets/7/4/0/0/b/1293456RD//ticket.jpg" xr:uid="{E6743487-58A5-6D46-B4AB-97E967F8FB3A}"/>
    <hyperlink ref="O840" r:id="rId1124" display="http://turnertracker.com/data/extensions_data/tickets/d/8/7/c/a/1293457RD//ticket.jpg" xr:uid="{4283A32E-5040-7C4E-8120-F0104BFE9BB8}"/>
    <hyperlink ref="O843" r:id="rId1125" display="http://turnertracker.com/data/extensions_data/tickets/7/c/9/8/3/1293465RD//ticket.jpg" xr:uid="{2B44475D-0294-CF46-BEED-57C920E26CFB}"/>
    <hyperlink ref="O847" r:id="rId1126" display="http://turnertracker.com/data/extensions_data/tickets/2/3/a/5/2/1293473RD//ticket.jpg" xr:uid="{F1DAEE66-78BF-B84F-BF56-22267FCE4DA6}"/>
    <hyperlink ref="O852" r:id="rId1127" display="http://turnertracker.com/data/extensions_data/tickets/7/1/9/8/b/1293483RD//ticket.jpg" xr:uid="{641BE86F-3CC7-7646-A7F3-3D83521EDC73}"/>
    <hyperlink ref="O853" r:id="rId1128" display="http://turnertracker.com/data/extensions_data/tickets/d/0/0/4/9/1293486RD//ticket.jpg" xr:uid="{22E7DD64-7DF9-D543-B4FE-32D85A05EE2D}"/>
    <hyperlink ref="O855" r:id="rId1129" display="http://turnertracker.com/data/extensions_data/tickets/d/6/7/d/f/1293488RD//ticket.jpg" xr:uid="{83F9D181-BD7A-7F47-8D2E-2C0F88D2FE95}"/>
    <hyperlink ref="O859" r:id="rId1130" display="http://turnertracker.com/data/extensions_data/tickets/8/2/3/9/d/1308178RD//ticket.jpg" xr:uid="{645D223C-7089-DA4E-A7AA-512FF42462DD}"/>
    <hyperlink ref="O865" r:id="rId1131" display="http://turnertracker.com/data/extensions_data/tickets/e/4/d/3/6/1308183RD//ticket.jpg" xr:uid="{64671DDE-82E0-7041-BBDF-DEC401F9739E}"/>
    <hyperlink ref="O867" r:id="rId1132" display="http://turnertracker.com/data/extensions_data/tickets/9/3/d/0/6/1308185RD//ticket.jpg" xr:uid="{31925AB1-2D71-1849-8B91-EE248538B749}"/>
    <hyperlink ref="O870" r:id="rId1133" display="http://turnertracker.com/data/extensions_data/tickets/8/5/0/0/4/1308188RD//ticket.jpg" xr:uid="{839CA356-DE24-7D46-8F4F-ADDB7395E956}"/>
    <hyperlink ref="O872" r:id="rId1134" display="http://turnertracker.com/data/extensions_data/tickets/f/e/a/e/5/1308190RD//ticket.jpg" xr:uid="{4A073396-0EB4-4B42-A304-922BE2BF9D0C}"/>
    <hyperlink ref="O877" r:id="rId1135" display="http://turnertracker.com/data/extensions_data/tickets/6/7/0/a/8/1308194RD//ticket.jpg" xr:uid="{C0B60367-AA67-E241-A6B8-883B13586C1F}"/>
    <hyperlink ref="O883" r:id="rId1136" display="http://turnertracker.com/data/extensions_data/tickets/a/5/f/f/4/1308199RD//ticket.jpg" xr:uid="{D98D73BC-BDDF-3B4F-90B1-6A3AA0F6DB45}"/>
    <hyperlink ref="O885" r:id="rId1137" display="http://turnertracker.com/data/extensions_data/tickets/3/c/e/8/a/1308203RD//ticket.jpg" xr:uid="{E76CFE3E-B358-F44E-942E-5D9BE428ECE5}"/>
    <hyperlink ref="O887" r:id="rId1138" display="http://turnertracker.com/data/extensions_data/tickets/0/4/0/a/1/1308204RD//ticket.jpg" xr:uid="{7DF52086-C1A8-A54A-938A-9881302479AB}"/>
    <hyperlink ref="O897" r:id="rId1139" display="http://turnertracker.com/data/extensions_data/tickets/b/e/6/6/c/1308225RD//ticket.jpg" xr:uid="{F9FDAB0A-66EC-DA46-BEAA-3F841ABFD4CD}"/>
    <hyperlink ref="O907" r:id="rId1140" display="http://turnertracker.com/data/extensions_data/tickets/9/e/5/1/c/1322851RD//ticket.jpg" xr:uid="{235C1E35-3AB7-3147-80E4-AEBA249B8696}"/>
    <hyperlink ref="O938" r:id="rId1141" display="http://turnertracker.com/data/extensions_data/tickets/0/5/6/d/d/1337842RD//ticket.jpg" xr:uid="{A63D2E33-13F1-AB4D-9A50-F809C7CC2072}"/>
    <hyperlink ref="O942" r:id="rId1142" display="http://turnertracker.com/data/extensions_data/tickets/1/0/e/1/6/1337845RD//ticket.jpg" xr:uid="{719F5289-3021-F549-9457-A41A956ACA2B}"/>
    <hyperlink ref="O983" r:id="rId1143" display="http://turnertracker.com/data/extensions_data/tickets/4/c/b/a/5/1356455RD//ticket.jpg" xr:uid="{548C7800-3C59-4245-B2A2-5C49C04E441E}"/>
    <hyperlink ref="O988" r:id="rId1144" display="http://turnertracker.com/data/extensions_data/tickets/a/7/a/7/4/1356462RD//ticket.jpg" xr:uid="{C3207D03-F3D2-0944-BAB2-1BB0B4585CAF}"/>
    <hyperlink ref="O1001" r:id="rId1145" display="http://turnertracker.com/data/extensions_data/tickets/a/0/e/c/9/1356470RD//ticket.jpg" xr:uid="{E7F9A553-AD51-F548-9DDE-1FA8911975D5}"/>
    <hyperlink ref="O1002" r:id="rId1146" display="http://turnertracker.com/data/extensions_data/tickets/3/9/8/7/d/1356471RD//ticket.jpg" xr:uid="{8EA330B5-0035-EF49-A1D4-56865778BA38}"/>
    <hyperlink ref="O1011" r:id="rId1147" display="http://turnertracker.com/data/extensions_data/tickets/6/9/0/f/0/1371216RD//ticket.jpg" xr:uid="{9BEC8474-39BA-CB4E-AB23-F940C30891A5}"/>
    <hyperlink ref="O1013" r:id="rId1148" display="http://turnertracker.com/data/extensions_data/tickets/9/3/c/4/7/1371275RD//ticket.jpg" xr:uid="{43160EAC-2D93-904A-942A-2F3351142BCA}"/>
    <hyperlink ref="O1018" r:id="rId1149" display="http://turnertracker.com/data/extensions_data/tickets/1/6/3/6/0/1371282RD//ticket.jpg" xr:uid="{F53741BC-6AB2-B546-992D-D1D1A589B32C}"/>
    <hyperlink ref="O1020" r:id="rId1150" display="http://turnertracker.com/data/extensions_data/tickets/c/f/6/a/1/1371283RD//ticket.jpg" xr:uid="{32D04020-A9BB-AF4D-AD78-B58BC67CA1DC}"/>
    <hyperlink ref="O1024" r:id="rId1151" display="http://turnertracker.com/data/extensions_data/tickets/3/d/6/3/4/1371287RD//ticket.jpg" xr:uid="{DFD3555D-2E10-834E-8EA7-B62722D17212}"/>
    <hyperlink ref="O1025" r:id="rId1152" display="http://turnertracker.com/data/extensions_data/tickets/3/3/a/f/0/1371289RD//ticket.jpg" xr:uid="{54D94E50-57B0-2741-AD59-063F15A27549}"/>
    <hyperlink ref="O1030" r:id="rId1153" display="http://turnertracker.com/data/extensions_data/tickets/c/5/e/d/7/1371295RD//ticket.jpg" xr:uid="{AFE533F1-DFC4-0B48-BF33-809A448B770A}"/>
    <hyperlink ref="O1031" r:id="rId1154" display="http://turnertracker.com/data/extensions_data/tickets/7/3/8/9/0/1371296RD//ticket.jpg" xr:uid="{3B642B96-67D2-694C-ADB6-B30C04736EE7}"/>
    <hyperlink ref="O1032" r:id="rId1155" display="http://turnertracker.com/data/extensions_data/tickets/6/5/5/5/8/1371297RD//ticket.jpg" xr:uid="{DCDED8AB-246C-8541-8D16-ACCB26923B79}"/>
    <hyperlink ref="O1034" r:id="rId1156" display="http://turnertracker.com/data/extensions_data/tickets/0/4/9/3/3/1384116RD//ticket.jpg" xr:uid="{406BC5AE-BDCF-D94A-A3F6-BEA3F4BCD033}"/>
    <hyperlink ref="O1036" r:id="rId1157" display="http://turnertracker.com/data/extensions_data/tickets/d/a/4/0/0/1384119RD//ticket.jpg" xr:uid="{F571F159-B108-464E-BE63-0543A8A78708}"/>
    <hyperlink ref="O1038" r:id="rId1158" display="http://turnertracker.com/data/extensions_data/tickets/4/5/9/6/c/1384120RD//ticket.jpg" xr:uid="{BE69C254-BFED-E441-B9E5-DAF7D227FFAD}"/>
    <hyperlink ref="O1039" r:id="rId1159" display="http://turnertracker.com/data/extensions_data/tickets/d/9/5/1/e/1384121RD//ticket.jpg" xr:uid="{F694BFEF-FB25-DC45-8E69-2A6F10F6C14E}"/>
    <hyperlink ref="O1040" r:id="rId1160" display="http://turnertracker.com/data/extensions_data/tickets/6/0/9/2/b/1384122RD//ticket.jpg" xr:uid="{ECD1A768-E5D5-714F-8E82-0B04DDA6B08D}"/>
    <hyperlink ref="O1041" r:id="rId1161" display="http://turnertracker.com/data/extensions_data/tickets/5/1/1/4/d/1384123RD//ticket.jpg" xr:uid="{BDE03B4C-FACA-7448-9A6E-58788EA317EE}"/>
    <hyperlink ref="O1043" r:id="rId1162" display="http://turnertracker.com/data/extensions_data/tickets/1/4/1/f/4/1384124RD//ticket.jpg" xr:uid="{F8E5FE0C-AF27-0643-ADD4-2BD2A534571D}"/>
    <hyperlink ref="O1047" r:id="rId1163" display="http://turnertracker.com/data/extensions_data/tickets/b/3/6/6/4/1384126RD//ticket.jpg" xr:uid="{172587EF-A5B8-CE44-81E2-17191F9FF4A5}"/>
    <hyperlink ref="O1045" r:id="rId1164" display="http://turnertracker.com/data/extensions_data/tickets/4/3/4/5/e/1384128RD//ticket.jpg" xr:uid="{F6FDEAF4-7F34-4444-B6E5-D0A1B9CD89D1}"/>
    <hyperlink ref="O1048" r:id="rId1165" display="http://turnertracker.com/data/extensions_data/tickets/0/0/c/c/9/1384129RD//ticket.jpg" xr:uid="{B5F415DC-B2C5-8A47-899E-F64B32D77AC6}"/>
    <hyperlink ref="O1049" r:id="rId1166" display="http://turnertracker.com/data/extensions_data/tickets/e/1/5/e/d/1384130RD//ticket.jpg" xr:uid="{3EAF7808-7308-B844-9BB3-786C0BAB834D}"/>
    <hyperlink ref="O1053" r:id="rId1167" display="http://turnertracker.com/data/extensions_data/tickets/7/2/6/8/c/1384131RD//ticket.jpg" xr:uid="{9EDCA092-EBD9-3B4C-901B-476B4DEC303E}"/>
    <hyperlink ref="O1054" r:id="rId1168" display="http://turnertracker.com/data/extensions_data/tickets/1/2/1/6/4/1384132RD//ticket.jpg" xr:uid="{C226E128-FA05-EC4F-A398-BB651D04EF11}"/>
    <hyperlink ref="O1059" r:id="rId1169" display="http://turnertracker.com/data/extensions_data/tickets/e/6/8/8/5/1384134RD//ticket.jpg" xr:uid="{88B3AD50-003C-CD47-96AE-B22EA36BB193}"/>
    <hyperlink ref="O1061" r:id="rId1170" display="http://turnertracker.com/data/extensions_data/tickets/f/c/0/7/2/1384136RD//ticket.jpg" xr:uid="{092D964D-E021-5C49-B141-AFBC090480BE}"/>
    <hyperlink ref="O1064" r:id="rId1171" display="http://turnertracker.com/data/extensions_data/tickets/d/b/2/e/7/1384139RD//ticket.jpg" xr:uid="{DE6F5FDC-D80C-574E-9B4C-68E7FDD873F5}"/>
    <hyperlink ref="O1066" r:id="rId1172" display="http://turnertracker.com/data/extensions_data/tickets/c/4/5/c/f/1384142RD//ticket.jpg" xr:uid="{29E5F985-E049-EF45-A290-BEB346388FA8}"/>
    <hyperlink ref="O1072" r:id="rId1173" display="http://turnertracker.com/data/extensions_data/tickets/1/3/6/d/e/1384146RD//ticket.jpg" xr:uid="{AAD5002F-E634-0748-A6D6-547683F2D9F7}"/>
    <hyperlink ref="O1080" r:id="rId1174" display="http://turnertracker.com/data/extensions_data/tickets/3/8/6/e/2/1384153RD//ticket.jpg" xr:uid="{7AB96842-9B6C-824F-9FFA-579E268F01CF}"/>
    <hyperlink ref="O1084" r:id="rId1175" display="http://turnertracker.com/data/extensions_data/tickets/d/d/2/9/6/1384158RD//ticket.jpg" xr:uid="{2016E74E-448A-ED44-A0CC-C03DEFEB04F7}"/>
    <hyperlink ref="O1086" r:id="rId1176" display="http://turnertracker.com/data/extensions_data/tickets/d/1/d/4/4/1401118RD//ticket.jpg" xr:uid="{15FA039F-8833-2544-8BD0-4DEB13213A05}"/>
    <hyperlink ref="O1088" r:id="rId1177" display="http://turnertracker.com/data/extensions_data/tickets/2/4/0/8/3/1401120RD//ticket.jpg" xr:uid="{4107B431-E362-C243-851D-EB407DD85215}"/>
    <hyperlink ref="O1112" r:id="rId1178" display="http://turnertracker.com/data/extensions_data/tickets/d/f/0/b/5/1401142RD//ticket.jpg" xr:uid="{2521AC2C-8554-174B-BB66-C444FD12DC9A}"/>
    <hyperlink ref="O1119" r:id="rId1179" display="http://turnertracker.com/data/extensions_data/tickets/8/b/8/4/a/1401224RD//ticket.jpg" xr:uid="{87BC12FB-DF6F-F843-A4E4-85DAFEB526C5}"/>
    <hyperlink ref="O1127" r:id="rId1180" display="http://turnertracker.com/data/extensions_data/tickets/9/9/b/7/e/1401271RD//ticket.jpg" xr:uid="{AD9506C0-8489-2841-BB3D-B30BDB60085A}"/>
    <hyperlink ref="O1138" r:id="rId1181" display="http://turnertracker.com/data/extensions_data/tickets/5/2/d/7/5/1401287RD//ticket.jpg" xr:uid="{D5962E00-9667-6D45-8308-D5E94A043D94}"/>
    <hyperlink ref="O1139" r:id="rId1182" display="http://turnertracker.com/data/extensions_data/tickets/b/d/0/b/8/1419117RD//ticket.jpg" xr:uid="{9301ABF7-F645-D849-9B9B-AE8B8161FDC6}"/>
    <hyperlink ref="O1140" r:id="rId1183" display="http://turnertracker.com/data/extensions_data/tickets/a/f/e/a/8/1419118RD//ticket.jpg" xr:uid="{39D59A29-15E9-1E44-AA76-FF6B23C91B75}"/>
    <hyperlink ref="O1147" r:id="rId1184" display="http://turnertracker.com/data/extensions_data/tickets/3/9/6/2/8/1419125RD//ticket.jpg" xr:uid="{4858D8C7-3DB2-744C-B6F4-C0665B1B5BD4}"/>
    <hyperlink ref="O1150" r:id="rId1185" display="http://turnertracker.com/data/extensions_data/tickets/b/7/4/e/8/1419128RD//ticket.jpg" xr:uid="{E980160D-E8B3-8D4A-A8A1-FEC12BCB3E6D}"/>
    <hyperlink ref="O1152" r:id="rId1186" display="http://turnertracker.com/data/extensions_data/tickets/e/1/f/6/0/1419129RD//ticket.jpg" xr:uid="{513704ED-37B8-D14E-91FE-4B75FCA00AED}"/>
    <hyperlink ref="O1153" r:id="rId1187" display="http://turnertracker.com/data/extensions_data/tickets/a/7/3/2/4/1419131RD//ticket.jpg" xr:uid="{F39C5166-878B-3E42-94B4-4CDFFE0761C8}"/>
    <hyperlink ref="O1169" r:id="rId1188" display="http://turnertracker.com/data/extensions_data/tickets/f/c/d/5/f/1436047RD//ticket.jpg" xr:uid="{D9B6A53D-DE5D-694F-ABD4-08C3C56DEB84}"/>
    <hyperlink ref="O1175" r:id="rId1189" display="http://turnertracker.com/data/extensions_data/tickets/d/4/b/b/0/1436053RD//ticket.jpg" xr:uid="{18EEA7F6-D38A-8D46-8088-77A119BDE21F}"/>
    <hyperlink ref="O1186" r:id="rId1190" display="http://turnertracker.com/data/extensions_data/tickets/0/c/5/3/c/1436064RD//ticket.jpg" xr:uid="{6C738C48-2BE8-8B46-972A-EE09BE8F1F8C}"/>
    <hyperlink ref="O1189" r:id="rId1191" display="http://turnertracker.com/data/extensions_data/tickets/5/6/a/6/d/1458031RD//ticket.jpg" xr:uid="{8E2870F2-4E75-6D42-87BB-AA39FD13C2C6}"/>
    <hyperlink ref="O1190" r:id="rId1192" display="http://turnertracker.com/data/extensions_data/tickets/1/0/d/8/2/1458032RD//ticket.jpg" xr:uid="{DDDBEBA1-3323-464D-8739-EA14DA47F49A}"/>
    <hyperlink ref="O1191" r:id="rId1193" display="http://turnertracker.com/data/extensions_data/tickets/f/f/e/0/d/1458033RD//ticket.jpg" xr:uid="{6754B6BA-75F7-CD41-A92D-29C361E64253}"/>
    <hyperlink ref="O1212" r:id="rId1194" display="http://turnertracker.com/data/extensions_data/tickets/8/b/5/9/9/1489696RD//ticket.jpg" xr:uid="{C1C29FEE-5802-4645-BA62-DF2B367F191A}"/>
    <hyperlink ref="O1213" r:id="rId1195" display="http://turnertracker.com/data/extensions_data/tickets/2/4/7/c/f/1489697RD//ticket.jpg" xr:uid="{90C8F7FE-A129-874A-9E34-06AE27E5EA4D}"/>
    <hyperlink ref="O557" r:id="rId1196" display="http://turnertracker.com/data/extensions_data/tickets/3/5/1/9/1/1207230RD//ticket.jpg" xr:uid="{CC1F7AAA-1DDC-6E40-9677-9D4206E0A783}"/>
    <hyperlink ref="O580" r:id="rId1197" display="http://turnertracker.com/data/extensions_data/tickets/3/8/e/3/6/1213116RD//ticket.jpg" xr:uid="{C80D28CF-7D2E-3A49-9F12-BB86571679D2}"/>
    <hyperlink ref="O381" r:id="rId1198" display="http://turnertracker.com/data/extensions_data/tickets/a/6/6/6/0/1152821RD//ticket.jpg" xr:uid="{D508CA04-6296-9546-B40D-42763B13CA70}"/>
    <hyperlink ref="O393" r:id="rId1199" display="http://turnertracker.com/data/extensions_data/tickets/0/b/5/c/c/1152835RD//ticket.jpg" xr:uid="{C02008B3-408C-7841-B132-651B383AAE44}"/>
    <hyperlink ref="O973" r:id="rId1200" display="http://turnertracker.com/data/extensions_data/tickets/3/c/2/e/9/1356446RD//ticket.jpg" xr:uid="{30C332EC-37F7-8F48-A0CC-6B42D689F782}"/>
    <hyperlink ref="O974" r:id="rId1201" display="http://turnertracker.com/data/extensions_data/tickets/4/5/4/2/a/1356447RD//ticket.jpg" xr:uid="{951D7A5C-87C9-5844-BE9C-3E341568F534}"/>
    <hyperlink ref="O981" r:id="rId1202" display="http://turnertracker.com/data/extensions_data/tickets/1/b/3/3/0/1356454RD//ticket.jpg" xr:uid="{D670FFBF-BE65-784A-84A5-7322718DEE3C}"/>
    <hyperlink ref="O413" r:id="rId1203" display="http://turnertracker.com/data/extensions_data/tickets/d/7/2/d/d/1165882RD//ticket.jpg" xr:uid="{7C153203-7EF6-7046-9B7B-713C6EF863F9}"/>
    <hyperlink ref="O414" r:id="rId1204" display="http://turnertracker.com/data/extensions_data/tickets/6/1/3/7/1/1165885RD//ticket.jpg" xr:uid="{B664157A-1D5A-D44D-A833-A17876825D2C}"/>
    <hyperlink ref="O429" r:id="rId1205" display="http://turnertracker.com/data/extensions_data/tickets/c/d/8/0/1/1165937RD//ticket.jpg" xr:uid="{CFFA7FF3-523E-CD44-8D69-76B769B351A8}"/>
    <hyperlink ref="O941" r:id="rId1206" display="http://turnertracker.com/data/extensions_data/tickets/c/3/4/a/c/1325241RD//ticket.jpg" xr:uid="{09643841-5946-8340-BF80-ED1172F636B8}"/>
    <hyperlink ref="O954" r:id="rId1207" display="http://turnertracker.com/data/extensions_data/tickets/8/e/b/c/8/1329905RD//ticket.jpg" xr:uid="{A0E3C1F9-9AC9-7543-993A-76E0B652B95A}"/>
  </hyperlinks>
  <pageMargins left="0.7" right="0.7" top="0.75" bottom="0.75" header="0.3" footer="0.3"/>
  <pageSetup orientation="portrait"/>
  <headerFooter alignWithMargins="0"/>
  <legacyDrawing r:id="rId1208"/>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0DE1D-B36B-FB42-BF3A-E339B1A22279}">
  <dimension ref="A1:CS1213"/>
  <sheetViews>
    <sheetView workbookViewId="0">
      <selection activeCell="A40" sqref="A40"/>
    </sheetView>
  </sheetViews>
  <sheetFormatPr baseColWidth="10" defaultRowHeight="15" x14ac:dyDescent="0.2"/>
  <cols>
    <col min="1" max="1" width="27.5" bestFit="1" customWidth="1"/>
    <col min="2" max="2" width="16.33203125" bestFit="1" customWidth="1"/>
    <col min="3" max="3" width="16" bestFit="1" customWidth="1"/>
    <col min="4" max="4" width="12.6640625" bestFit="1" customWidth="1"/>
    <col min="5" max="5" width="41.83203125" bestFit="1" customWidth="1"/>
    <col min="6" max="6" width="24.6640625" bestFit="1" customWidth="1"/>
    <col min="7" max="8" width="25.33203125" bestFit="1" customWidth="1"/>
    <col min="9" max="9" width="34.83203125" bestFit="1" customWidth="1"/>
    <col min="10" max="10" width="55.1640625" bestFit="1" customWidth="1"/>
    <col min="11" max="11" width="18" bestFit="1" customWidth="1"/>
    <col min="12" max="12" width="21.1640625" bestFit="1" customWidth="1"/>
    <col min="13" max="13" width="14" bestFit="1" customWidth="1"/>
    <col min="14" max="14" width="18.33203125" bestFit="1" customWidth="1"/>
    <col min="15" max="15" width="14.83203125" bestFit="1" customWidth="1"/>
    <col min="16" max="16" width="11.1640625" bestFit="1" customWidth="1"/>
    <col min="17" max="17" width="16.33203125" bestFit="1" customWidth="1"/>
    <col min="18" max="18" width="15.83203125" bestFit="1" customWidth="1"/>
    <col min="19" max="19" width="14.1640625" bestFit="1" customWidth="1"/>
    <col min="20" max="21" width="15.5" bestFit="1" customWidth="1"/>
    <col min="22" max="22" width="16.33203125" bestFit="1" customWidth="1"/>
    <col min="23" max="24" width="17.6640625" bestFit="1" customWidth="1"/>
    <col min="25" max="25" width="14.5" bestFit="1" customWidth="1"/>
    <col min="26" max="26" width="25.1640625" bestFit="1" customWidth="1"/>
    <col min="27" max="27" width="27.5" bestFit="1" customWidth="1"/>
    <col min="28" max="28" width="25.6640625" bestFit="1" customWidth="1"/>
    <col min="29" max="29" width="11" bestFit="1" customWidth="1"/>
    <col min="30" max="30" width="26.83203125" bestFit="1" customWidth="1"/>
    <col min="31" max="31" width="23.5" bestFit="1" customWidth="1"/>
    <col min="32" max="32" width="11" bestFit="1" customWidth="1"/>
    <col min="33" max="33" width="18" bestFit="1" customWidth="1"/>
    <col min="34" max="34" width="32.33203125" bestFit="1" customWidth="1"/>
    <col min="35" max="35" width="13.83203125" bestFit="1" customWidth="1"/>
    <col min="36" max="36" width="22.83203125" bestFit="1" customWidth="1"/>
    <col min="37" max="37" width="27" bestFit="1" customWidth="1"/>
    <col min="38" max="38" width="16.5" bestFit="1" customWidth="1"/>
    <col min="39" max="39" width="29.83203125" bestFit="1" customWidth="1"/>
    <col min="40" max="40" width="17" bestFit="1" customWidth="1"/>
    <col min="41" max="41" width="12.83203125" bestFit="1" customWidth="1"/>
    <col min="42" max="42" width="11" bestFit="1" customWidth="1"/>
    <col min="43" max="43" width="23.33203125" bestFit="1" customWidth="1"/>
    <col min="44" max="44" width="14.5" bestFit="1" customWidth="1"/>
    <col min="45" max="45" width="24.33203125" bestFit="1" customWidth="1"/>
    <col min="46" max="46" width="14.5" bestFit="1" customWidth="1"/>
    <col min="47" max="47" width="11" bestFit="1" customWidth="1"/>
    <col min="48" max="48" width="24" bestFit="1" customWidth="1"/>
    <col min="49" max="49" width="22.33203125" bestFit="1" customWidth="1"/>
    <col min="50" max="50" width="30.1640625" bestFit="1" customWidth="1"/>
    <col min="51" max="51" width="20.33203125" bestFit="1" customWidth="1"/>
    <col min="52" max="52" width="18" bestFit="1" customWidth="1"/>
    <col min="53" max="53" width="11" bestFit="1" customWidth="1"/>
    <col min="54" max="54" width="15.6640625" bestFit="1" customWidth="1"/>
    <col min="55" max="55" width="11" bestFit="1" customWidth="1"/>
    <col min="56" max="56" width="23.33203125" bestFit="1" customWidth="1"/>
    <col min="57" max="57" width="13.83203125" bestFit="1" customWidth="1"/>
    <col min="58" max="58" width="32.6640625" bestFit="1" customWidth="1"/>
    <col min="59" max="59" width="14.6640625" bestFit="1" customWidth="1"/>
    <col min="60" max="60" width="15.5" bestFit="1" customWidth="1"/>
    <col min="61" max="61" width="13.83203125" bestFit="1" customWidth="1"/>
    <col min="62" max="63" width="15.1640625" bestFit="1" customWidth="1"/>
    <col min="64" max="64" width="16" bestFit="1" customWidth="1"/>
    <col min="65" max="66" width="17.33203125" bestFit="1" customWidth="1"/>
    <col min="67" max="67" width="14.1640625" bestFit="1" customWidth="1"/>
    <col min="68" max="68" width="18.83203125" bestFit="1" customWidth="1"/>
    <col min="69" max="69" width="14.5" bestFit="1" customWidth="1"/>
    <col min="70" max="70" width="30.1640625" bestFit="1" customWidth="1"/>
    <col min="71" max="71" width="15.6640625" bestFit="1" customWidth="1"/>
    <col min="72" max="72" width="14" bestFit="1" customWidth="1"/>
    <col min="73" max="74" width="15.33203125" bestFit="1" customWidth="1"/>
    <col min="75" max="75" width="16.1640625" bestFit="1" customWidth="1"/>
    <col min="76" max="77" width="17.5" bestFit="1" customWidth="1"/>
    <col min="78" max="78" width="14.33203125" bestFit="1" customWidth="1"/>
    <col min="79" max="79" width="11.5" bestFit="1" customWidth="1"/>
    <col min="80" max="80" width="35.1640625" bestFit="1" customWidth="1"/>
    <col min="81" max="81" width="31.83203125" bestFit="1" customWidth="1"/>
    <col min="82" max="82" width="19.6640625" bestFit="1" customWidth="1"/>
    <col min="83" max="83" width="18.1640625" bestFit="1" customWidth="1"/>
    <col min="84" max="84" width="28" bestFit="1" customWidth="1"/>
    <col min="85" max="85" width="29.5" bestFit="1" customWidth="1"/>
    <col min="86" max="86" width="32.1640625" bestFit="1" customWidth="1"/>
    <col min="87" max="87" width="30" bestFit="1" customWidth="1"/>
    <col min="88" max="88" width="41.83203125" bestFit="1" customWidth="1"/>
    <col min="89" max="89" width="22.6640625" bestFit="1" customWidth="1"/>
    <col min="90" max="90" width="25.33203125" bestFit="1" customWidth="1"/>
    <col min="91" max="91" width="16.83203125" bestFit="1" customWidth="1"/>
    <col min="92" max="92" width="14.5" bestFit="1" customWidth="1"/>
    <col min="93" max="93" width="15.6640625" bestFit="1" customWidth="1"/>
    <col min="94" max="94" width="15.83203125" bestFit="1" customWidth="1"/>
    <col min="95" max="95" width="14.5" bestFit="1" customWidth="1"/>
    <col min="96" max="96" width="14" bestFit="1" customWidth="1"/>
    <col min="97" max="97" width="17.33203125" bestFit="1" customWidth="1"/>
  </cols>
  <sheetData>
    <row r="1" spans="1:97" x14ac:dyDescent="0.2">
      <c r="A1" s="13" t="s">
        <v>1005</v>
      </c>
    </row>
    <row r="3" spans="1:97" x14ac:dyDescent="0.2">
      <c r="A3" t="s">
        <v>15</v>
      </c>
      <c r="B3" t="s">
        <v>16</v>
      </c>
      <c r="C3" t="s">
        <v>17</v>
      </c>
      <c r="D3" t="s">
        <v>18</v>
      </c>
      <c r="E3" t="s">
        <v>19</v>
      </c>
      <c r="F3" t="s">
        <v>20</v>
      </c>
      <c r="G3" t="s">
        <v>21</v>
      </c>
      <c r="H3" t="s">
        <v>22</v>
      </c>
      <c r="I3" t="s">
        <v>23</v>
      </c>
      <c r="J3" t="s">
        <v>24</v>
      </c>
      <c r="K3" t="s">
        <v>25</v>
      </c>
      <c r="L3" t="s">
        <v>26</v>
      </c>
      <c r="M3" t="s">
        <v>923</v>
      </c>
      <c r="N3" t="s">
        <v>27</v>
      </c>
      <c r="O3" t="s">
        <v>28</v>
      </c>
      <c r="P3" t="s">
        <v>29</v>
      </c>
      <c r="Q3" t="s">
        <v>30</v>
      </c>
      <c r="R3" t="s">
        <v>31</v>
      </c>
      <c r="S3" t="s">
        <v>32</v>
      </c>
      <c r="T3" t="s">
        <v>33</v>
      </c>
      <c r="U3" t="s">
        <v>34</v>
      </c>
      <c r="V3" t="s">
        <v>35</v>
      </c>
      <c r="W3" t="s">
        <v>36</v>
      </c>
      <c r="X3" t="s">
        <v>37</v>
      </c>
      <c r="Y3" t="s">
        <v>38</v>
      </c>
      <c r="Z3" t="s">
        <v>39</v>
      </c>
      <c r="AA3" t="s">
        <v>40</v>
      </c>
      <c r="AB3" t="s">
        <v>41</v>
      </c>
      <c r="AC3" t="s">
        <v>42</v>
      </c>
      <c r="AD3" t="s">
        <v>43</v>
      </c>
      <c r="AE3" t="s">
        <v>44</v>
      </c>
      <c r="AF3" t="s">
        <v>45</v>
      </c>
      <c r="AG3" t="s">
        <v>46</v>
      </c>
      <c r="AH3" t="s">
        <v>47</v>
      </c>
      <c r="AI3" t="s">
        <v>48</v>
      </c>
      <c r="AJ3" t="s">
        <v>49</v>
      </c>
      <c r="AK3" t="s">
        <v>50</v>
      </c>
      <c r="AL3" t="s">
        <v>51</v>
      </c>
      <c r="AM3" t="s">
        <v>52</v>
      </c>
      <c r="AN3" t="s">
        <v>53</v>
      </c>
      <c r="AO3" t="s">
        <v>54</v>
      </c>
      <c r="AP3" t="s">
        <v>55</v>
      </c>
      <c r="AQ3" t="s">
        <v>56</v>
      </c>
      <c r="AR3" t="s">
        <v>57</v>
      </c>
      <c r="AS3" t="s">
        <v>58</v>
      </c>
      <c r="AT3" t="s">
        <v>59</v>
      </c>
      <c r="AU3" t="s">
        <v>60</v>
      </c>
      <c r="AV3" t="s">
        <v>61</v>
      </c>
      <c r="AW3" t="s">
        <v>62</v>
      </c>
      <c r="AX3" t="s">
        <v>63</v>
      </c>
      <c r="AY3" t="s">
        <v>64</v>
      </c>
      <c r="AZ3" t="s">
        <v>65</v>
      </c>
      <c r="BA3" t="s">
        <v>66</v>
      </c>
      <c r="BB3" t="s">
        <v>67</v>
      </c>
      <c r="BC3" t="s">
        <v>68</v>
      </c>
      <c r="BD3" t="s">
        <v>69</v>
      </c>
      <c r="BE3" t="s">
        <v>70</v>
      </c>
      <c r="BF3" t="s">
        <v>71</v>
      </c>
      <c r="BG3" t="s">
        <v>72</v>
      </c>
      <c r="BH3" t="s">
        <v>73</v>
      </c>
      <c r="BI3" t="s">
        <v>74</v>
      </c>
      <c r="BJ3" t="s">
        <v>75</v>
      </c>
      <c r="BK3" t="s">
        <v>76</v>
      </c>
      <c r="BL3" t="s">
        <v>77</v>
      </c>
      <c r="BM3" t="s">
        <v>78</v>
      </c>
      <c r="BN3" t="s">
        <v>79</v>
      </c>
      <c r="BO3" t="s">
        <v>80</v>
      </c>
      <c r="BP3" t="s">
        <v>81</v>
      </c>
      <c r="BQ3" t="s">
        <v>82</v>
      </c>
      <c r="BR3" t="s">
        <v>83</v>
      </c>
      <c r="BS3" t="s">
        <v>84</v>
      </c>
      <c r="BT3" t="s">
        <v>85</v>
      </c>
      <c r="BU3" t="s">
        <v>86</v>
      </c>
      <c r="BV3" t="s">
        <v>87</v>
      </c>
      <c r="BW3" t="s">
        <v>88</v>
      </c>
      <c r="BX3" t="s">
        <v>89</v>
      </c>
      <c r="BY3" t="s">
        <v>90</v>
      </c>
      <c r="BZ3" t="s">
        <v>91</v>
      </c>
      <c r="CA3" t="s">
        <v>92</v>
      </c>
      <c r="CB3" t="s">
        <v>93</v>
      </c>
      <c r="CC3" t="s">
        <v>94</v>
      </c>
      <c r="CD3" t="s">
        <v>95</v>
      </c>
      <c r="CE3" t="s">
        <v>96</v>
      </c>
      <c r="CF3" t="s">
        <v>97</v>
      </c>
      <c r="CG3" t="s">
        <v>98</v>
      </c>
      <c r="CH3" t="s">
        <v>99</v>
      </c>
      <c r="CI3" t="s">
        <v>100</v>
      </c>
      <c r="CJ3" t="s">
        <v>101</v>
      </c>
      <c r="CK3" t="s">
        <v>102</v>
      </c>
      <c r="CL3" t="s">
        <v>103</v>
      </c>
      <c r="CM3" t="s">
        <v>104</v>
      </c>
      <c r="CN3" t="s">
        <v>105</v>
      </c>
      <c r="CO3" t="s">
        <v>106</v>
      </c>
      <c r="CP3" t="s">
        <v>107</v>
      </c>
      <c r="CQ3" t="s">
        <v>108</v>
      </c>
      <c r="CR3" t="s">
        <v>109</v>
      </c>
      <c r="CS3" t="s">
        <v>110</v>
      </c>
    </row>
    <row r="4" spans="1:97" x14ac:dyDescent="0.2">
      <c r="A4" t="s">
        <v>115</v>
      </c>
      <c r="B4" t="s">
        <v>116</v>
      </c>
      <c r="C4">
        <v>210784</v>
      </c>
      <c r="E4" t="s">
        <v>117</v>
      </c>
      <c r="F4">
        <v>368</v>
      </c>
      <c r="G4" t="s">
        <v>176</v>
      </c>
      <c r="H4" t="s">
        <v>177</v>
      </c>
      <c r="I4" t="s">
        <v>178</v>
      </c>
      <c r="J4" t="s">
        <v>179</v>
      </c>
      <c r="L4" t="s">
        <v>180</v>
      </c>
      <c r="M4" s="8">
        <v>44866</v>
      </c>
      <c r="N4">
        <v>7140424</v>
      </c>
      <c r="O4" t="s">
        <v>123</v>
      </c>
      <c r="P4" t="s">
        <v>124</v>
      </c>
      <c r="Q4">
        <v>13.53</v>
      </c>
      <c r="R4" t="s">
        <v>125</v>
      </c>
      <c r="S4" t="s">
        <v>126</v>
      </c>
      <c r="T4" t="s">
        <v>125</v>
      </c>
      <c r="U4" t="s">
        <v>126</v>
      </c>
      <c r="W4">
        <v>13.53</v>
      </c>
      <c r="Y4">
        <v>13.53</v>
      </c>
      <c r="AC4">
        <v>13.53</v>
      </c>
      <c r="BH4" t="s">
        <v>126</v>
      </c>
      <c r="BI4" t="s">
        <v>126</v>
      </c>
      <c r="BJ4" t="s">
        <v>126</v>
      </c>
      <c r="BK4" t="s">
        <v>126</v>
      </c>
      <c r="BS4" t="s">
        <v>126</v>
      </c>
      <c r="BT4" t="s">
        <v>126</v>
      </c>
      <c r="BU4" t="s">
        <v>126</v>
      </c>
      <c r="BV4" t="s">
        <v>126</v>
      </c>
      <c r="CN4" t="s">
        <v>181</v>
      </c>
      <c r="CP4" t="s">
        <v>182</v>
      </c>
      <c r="CQ4" t="s">
        <v>181</v>
      </c>
    </row>
    <row r="5" spans="1:97" x14ac:dyDescent="0.2">
      <c r="A5" t="s">
        <v>115</v>
      </c>
      <c r="B5" t="s">
        <v>116</v>
      </c>
      <c r="C5">
        <v>210784</v>
      </c>
      <c r="E5" t="s">
        <v>117</v>
      </c>
      <c r="F5">
        <v>368</v>
      </c>
      <c r="G5" t="s">
        <v>176</v>
      </c>
      <c r="H5" t="s">
        <v>177</v>
      </c>
      <c r="I5" t="s">
        <v>178</v>
      </c>
      <c r="J5" t="s">
        <v>179</v>
      </c>
      <c r="L5" t="s">
        <v>183</v>
      </c>
      <c r="M5" s="8">
        <v>44866</v>
      </c>
      <c r="N5">
        <v>7140492</v>
      </c>
      <c r="O5" t="s">
        <v>123</v>
      </c>
      <c r="P5" t="s">
        <v>124</v>
      </c>
      <c r="Q5">
        <v>13.98</v>
      </c>
      <c r="R5" t="s">
        <v>125</v>
      </c>
      <c r="S5" t="s">
        <v>126</v>
      </c>
      <c r="T5" t="s">
        <v>125</v>
      </c>
      <c r="U5" t="s">
        <v>126</v>
      </c>
      <c r="W5">
        <v>13.98</v>
      </c>
      <c r="Y5">
        <v>13.98</v>
      </c>
      <c r="AC5">
        <v>13.98</v>
      </c>
      <c r="BH5" t="s">
        <v>126</v>
      </c>
      <c r="BI5" t="s">
        <v>126</v>
      </c>
      <c r="BJ5" t="s">
        <v>126</v>
      </c>
      <c r="BK5" t="s">
        <v>126</v>
      </c>
      <c r="BS5" t="s">
        <v>126</v>
      </c>
      <c r="BT5" t="s">
        <v>126</v>
      </c>
      <c r="BU5" t="s">
        <v>126</v>
      </c>
      <c r="BV5" t="s">
        <v>126</v>
      </c>
      <c r="CN5" t="s">
        <v>181</v>
      </c>
      <c r="CP5" t="s">
        <v>182</v>
      </c>
      <c r="CQ5" t="s">
        <v>181</v>
      </c>
    </row>
    <row r="6" spans="1:97" x14ac:dyDescent="0.2">
      <c r="A6" t="s">
        <v>115</v>
      </c>
      <c r="B6" t="s">
        <v>116</v>
      </c>
      <c r="C6">
        <v>210784</v>
      </c>
      <c r="E6" t="s">
        <v>117</v>
      </c>
      <c r="F6">
        <v>368</v>
      </c>
      <c r="G6" t="s">
        <v>176</v>
      </c>
      <c r="H6" t="s">
        <v>177</v>
      </c>
      <c r="I6" t="s">
        <v>178</v>
      </c>
      <c r="J6" t="s">
        <v>179</v>
      </c>
      <c r="L6" t="s">
        <v>183</v>
      </c>
      <c r="M6" s="8">
        <v>44866</v>
      </c>
      <c r="N6">
        <v>7140546</v>
      </c>
      <c r="O6" t="s">
        <v>123</v>
      </c>
      <c r="P6" t="s">
        <v>124</v>
      </c>
      <c r="Q6">
        <v>14.01</v>
      </c>
      <c r="R6" t="s">
        <v>125</v>
      </c>
      <c r="S6" t="s">
        <v>126</v>
      </c>
      <c r="T6" t="s">
        <v>125</v>
      </c>
      <c r="U6" t="s">
        <v>126</v>
      </c>
      <c r="W6">
        <v>14.01</v>
      </c>
      <c r="Y6">
        <v>14.01</v>
      </c>
      <c r="AC6">
        <v>14.01</v>
      </c>
      <c r="BH6" t="s">
        <v>126</v>
      </c>
      <c r="BI6" t="s">
        <v>126</v>
      </c>
      <c r="BJ6" t="s">
        <v>126</v>
      </c>
      <c r="BK6" t="s">
        <v>126</v>
      </c>
      <c r="BS6" t="s">
        <v>126</v>
      </c>
      <c r="BT6" t="s">
        <v>126</v>
      </c>
      <c r="BU6" t="s">
        <v>126</v>
      </c>
      <c r="BV6" t="s">
        <v>126</v>
      </c>
      <c r="CN6" t="s">
        <v>181</v>
      </c>
      <c r="CP6" t="s">
        <v>182</v>
      </c>
      <c r="CQ6" t="s">
        <v>181</v>
      </c>
    </row>
    <row r="7" spans="1:97" x14ac:dyDescent="0.2">
      <c r="A7" t="s">
        <v>115</v>
      </c>
      <c r="B7" t="s">
        <v>116</v>
      </c>
      <c r="C7">
        <v>210784</v>
      </c>
      <c r="E7" t="s">
        <v>117</v>
      </c>
      <c r="F7">
        <v>368</v>
      </c>
      <c r="G7" t="s">
        <v>176</v>
      </c>
      <c r="H7" t="s">
        <v>177</v>
      </c>
      <c r="I7" t="s">
        <v>178</v>
      </c>
      <c r="J7" t="s">
        <v>179</v>
      </c>
      <c r="L7" t="s">
        <v>184</v>
      </c>
      <c r="M7" s="8">
        <v>44866</v>
      </c>
      <c r="N7">
        <v>7140757</v>
      </c>
      <c r="O7" t="s">
        <v>123</v>
      </c>
      <c r="P7" t="s">
        <v>124</v>
      </c>
      <c r="Q7">
        <v>13.76</v>
      </c>
      <c r="R7" t="s">
        <v>125</v>
      </c>
      <c r="S7" t="s">
        <v>126</v>
      </c>
      <c r="T7" t="s">
        <v>125</v>
      </c>
      <c r="U7" t="s">
        <v>126</v>
      </c>
      <c r="W7">
        <v>13.76</v>
      </c>
      <c r="Y7">
        <v>13.76</v>
      </c>
      <c r="AC7">
        <v>13.76</v>
      </c>
      <c r="BH7" t="s">
        <v>126</v>
      </c>
      <c r="BI7" t="s">
        <v>126</v>
      </c>
      <c r="BJ7" t="s">
        <v>126</v>
      </c>
      <c r="BK7" t="s">
        <v>126</v>
      </c>
      <c r="BS7" t="s">
        <v>126</v>
      </c>
      <c r="BT7" t="s">
        <v>126</v>
      </c>
      <c r="BU7" t="s">
        <v>126</v>
      </c>
      <c r="BV7" t="s">
        <v>126</v>
      </c>
      <c r="CN7" t="s">
        <v>181</v>
      </c>
      <c r="CP7" t="s">
        <v>182</v>
      </c>
      <c r="CQ7" t="s">
        <v>181</v>
      </c>
    </row>
    <row r="8" spans="1:97" x14ac:dyDescent="0.2">
      <c r="A8" t="s">
        <v>115</v>
      </c>
      <c r="B8" t="s">
        <v>116</v>
      </c>
      <c r="C8">
        <v>210784</v>
      </c>
      <c r="E8" t="s">
        <v>117</v>
      </c>
      <c r="F8">
        <v>368</v>
      </c>
      <c r="G8" t="s">
        <v>176</v>
      </c>
      <c r="H8" t="s">
        <v>177</v>
      </c>
      <c r="I8" t="s">
        <v>178</v>
      </c>
      <c r="J8" t="s">
        <v>179</v>
      </c>
      <c r="L8" t="s">
        <v>184</v>
      </c>
      <c r="M8" s="8">
        <v>44866</v>
      </c>
      <c r="N8">
        <v>7140808</v>
      </c>
      <c r="O8" t="s">
        <v>123</v>
      </c>
      <c r="P8" t="s">
        <v>124</v>
      </c>
      <c r="Q8">
        <v>17.420000000000002</v>
      </c>
      <c r="R8" t="s">
        <v>125</v>
      </c>
      <c r="S8" t="s">
        <v>126</v>
      </c>
      <c r="T8" t="s">
        <v>125</v>
      </c>
      <c r="U8" t="s">
        <v>126</v>
      </c>
      <c r="W8">
        <v>17.420000000000002</v>
      </c>
      <c r="Y8">
        <v>17.420000000000002</v>
      </c>
      <c r="AC8">
        <v>17.420000000000002</v>
      </c>
      <c r="BH8" t="s">
        <v>126</v>
      </c>
      <c r="BI8" t="s">
        <v>126</v>
      </c>
      <c r="BJ8" t="s">
        <v>126</v>
      </c>
      <c r="BK8" t="s">
        <v>126</v>
      </c>
      <c r="BS8" t="s">
        <v>126</v>
      </c>
      <c r="BT8" t="s">
        <v>126</v>
      </c>
      <c r="BU8" t="s">
        <v>126</v>
      </c>
      <c r="BV8" t="s">
        <v>126</v>
      </c>
      <c r="CN8" t="s">
        <v>181</v>
      </c>
      <c r="CP8" t="s">
        <v>182</v>
      </c>
      <c r="CQ8" t="s">
        <v>181</v>
      </c>
    </row>
    <row r="9" spans="1:97" x14ac:dyDescent="0.2">
      <c r="A9" t="s">
        <v>115</v>
      </c>
      <c r="B9" t="s">
        <v>116</v>
      </c>
      <c r="C9">
        <v>210784</v>
      </c>
      <c r="E9" t="s">
        <v>117</v>
      </c>
      <c r="F9">
        <v>368</v>
      </c>
      <c r="G9" t="s">
        <v>176</v>
      </c>
      <c r="H9" t="s">
        <v>177</v>
      </c>
      <c r="I9" t="s">
        <v>178</v>
      </c>
      <c r="J9" t="s">
        <v>179</v>
      </c>
      <c r="L9" t="s">
        <v>185</v>
      </c>
      <c r="M9" s="8">
        <v>44866</v>
      </c>
      <c r="N9">
        <v>7142674</v>
      </c>
      <c r="O9" t="s">
        <v>123</v>
      </c>
      <c r="P9" t="s">
        <v>124</v>
      </c>
      <c r="Q9">
        <v>22.18</v>
      </c>
      <c r="R9" t="s">
        <v>125</v>
      </c>
      <c r="S9" t="s">
        <v>126</v>
      </c>
      <c r="T9" t="s">
        <v>125</v>
      </c>
      <c r="U9" t="s">
        <v>126</v>
      </c>
      <c r="W9">
        <v>22.18</v>
      </c>
      <c r="Y9">
        <v>22.18</v>
      </c>
      <c r="AC9">
        <v>22.18</v>
      </c>
      <c r="BH9" t="s">
        <v>126</v>
      </c>
      <c r="BI9" t="s">
        <v>126</v>
      </c>
      <c r="BJ9" t="s">
        <v>126</v>
      </c>
      <c r="BK9" t="s">
        <v>126</v>
      </c>
      <c r="BS9" t="s">
        <v>126</v>
      </c>
      <c r="BT9" t="s">
        <v>126</v>
      </c>
      <c r="BU9" t="s">
        <v>126</v>
      </c>
      <c r="BV9" t="s">
        <v>126</v>
      </c>
      <c r="CN9" t="s">
        <v>181</v>
      </c>
      <c r="CP9" t="s">
        <v>182</v>
      </c>
      <c r="CQ9" t="s">
        <v>181</v>
      </c>
    </row>
    <row r="10" spans="1:97" x14ac:dyDescent="0.2">
      <c r="A10" t="s">
        <v>115</v>
      </c>
      <c r="B10" t="s">
        <v>116</v>
      </c>
      <c r="C10">
        <v>210784</v>
      </c>
      <c r="E10" t="s">
        <v>117</v>
      </c>
      <c r="F10">
        <v>368</v>
      </c>
      <c r="G10" t="s">
        <v>176</v>
      </c>
      <c r="H10" t="s">
        <v>177</v>
      </c>
      <c r="I10" t="s">
        <v>178</v>
      </c>
      <c r="J10" t="s">
        <v>179</v>
      </c>
      <c r="L10" t="s">
        <v>185</v>
      </c>
      <c r="M10" s="8">
        <v>44866</v>
      </c>
      <c r="N10">
        <v>7142683</v>
      </c>
      <c r="O10" t="s">
        <v>123</v>
      </c>
      <c r="P10" t="s">
        <v>124</v>
      </c>
      <c r="Q10">
        <v>18.12</v>
      </c>
      <c r="R10" t="s">
        <v>125</v>
      </c>
      <c r="S10" t="s">
        <v>126</v>
      </c>
      <c r="T10" t="s">
        <v>125</v>
      </c>
      <c r="U10" t="s">
        <v>126</v>
      </c>
      <c r="W10">
        <v>18.12</v>
      </c>
      <c r="Y10">
        <v>18.12</v>
      </c>
      <c r="AC10">
        <v>18.12</v>
      </c>
      <c r="BH10" t="s">
        <v>126</v>
      </c>
      <c r="BI10" t="s">
        <v>126</v>
      </c>
      <c r="BJ10" t="s">
        <v>126</v>
      </c>
      <c r="BK10" t="s">
        <v>126</v>
      </c>
      <c r="BS10" t="s">
        <v>126</v>
      </c>
      <c r="BT10" t="s">
        <v>126</v>
      </c>
      <c r="BU10" t="s">
        <v>126</v>
      </c>
      <c r="BV10" t="s">
        <v>126</v>
      </c>
      <c r="CN10" t="s">
        <v>181</v>
      </c>
      <c r="CP10" t="s">
        <v>182</v>
      </c>
      <c r="CQ10" t="s">
        <v>181</v>
      </c>
    </row>
    <row r="11" spans="1:97" x14ac:dyDescent="0.2">
      <c r="A11" t="s">
        <v>115</v>
      </c>
      <c r="B11" t="s">
        <v>116</v>
      </c>
      <c r="C11">
        <v>210784</v>
      </c>
      <c r="E11" t="s">
        <v>117</v>
      </c>
      <c r="F11">
        <v>368</v>
      </c>
      <c r="G11" t="s">
        <v>176</v>
      </c>
      <c r="H11" t="s">
        <v>177</v>
      </c>
      <c r="I11" t="s">
        <v>178</v>
      </c>
      <c r="J11" t="s">
        <v>179</v>
      </c>
      <c r="L11" t="s">
        <v>185</v>
      </c>
      <c r="M11" s="8">
        <v>44866</v>
      </c>
      <c r="N11">
        <v>7142720</v>
      </c>
      <c r="O11" t="s">
        <v>123</v>
      </c>
      <c r="P11" t="s">
        <v>124</v>
      </c>
      <c r="Q11">
        <v>23.07</v>
      </c>
      <c r="R11" t="s">
        <v>125</v>
      </c>
      <c r="S11" t="s">
        <v>126</v>
      </c>
      <c r="T11" t="s">
        <v>125</v>
      </c>
      <c r="U11" t="s">
        <v>126</v>
      </c>
      <c r="W11">
        <v>23.07</v>
      </c>
      <c r="Y11">
        <v>23.07</v>
      </c>
      <c r="AC11">
        <v>23.07</v>
      </c>
      <c r="BH11" t="s">
        <v>126</v>
      </c>
      <c r="BI11" t="s">
        <v>126</v>
      </c>
      <c r="BJ11" t="s">
        <v>126</v>
      </c>
      <c r="BK11" t="s">
        <v>126</v>
      </c>
      <c r="BS11" t="s">
        <v>126</v>
      </c>
      <c r="BT11" t="s">
        <v>126</v>
      </c>
      <c r="BU11" t="s">
        <v>126</v>
      </c>
      <c r="BV11" t="s">
        <v>126</v>
      </c>
      <c r="CN11" t="s">
        <v>181</v>
      </c>
      <c r="CP11" t="s">
        <v>182</v>
      </c>
      <c r="CQ11" t="s">
        <v>181</v>
      </c>
    </row>
    <row r="12" spans="1:97" x14ac:dyDescent="0.2">
      <c r="A12" t="s">
        <v>115</v>
      </c>
      <c r="B12" t="s">
        <v>116</v>
      </c>
      <c r="C12">
        <v>210784</v>
      </c>
      <c r="E12" t="s">
        <v>117</v>
      </c>
      <c r="F12">
        <v>368</v>
      </c>
      <c r="G12" t="s">
        <v>176</v>
      </c>
      <c r="H12" t="s">
        <v>177</v>
      </c>
      <c r="I12" t="s">
        <v>178</v>
      </c>
      <c r="J12" t="s">
        <v>179</v>
      </c>
      <c r="L12" t="s">
        <v>185</v>
      </c>
      <c r="M12" s="8">
        <v>44866</v>
      </c>
      <c r="N12">
        <v>7142734</v>
      </c>
      <c r="O12" t="s">
        <v>123</v>
      </c>
      <c r="P12" t="s">
        <v>124</v>
      </c>
      <c r="Q12">
        <v>21.46</v>
      </c>
      <c r="R12" t="s">
        <v>125</v>
      </c>
      <c r="S12" t="s">
        <v>126</v>
      </c>
      <c r="T12" t="s">
        <v>125</v>
      </c>
      <c r="U12" t="s">
        <v>126</v>
      </c>
      <c r="W12">
        <v>21.46</v>
      </c>
      <c r="Y12">
        <v>21.46</v>
      </c>
      <c r="AC12">
        <v>21.46</v>
      </c>
      <c r="BH12" t="s">
        <v>126</v>
      </c>
      <c r="BI12" t="s">
        <v>126</v>
      </c>
      <c r="BJ12" t="s">
        <v>126</v>
      </c>
      <c r="BK12" t="s">
        <v>126</v>
      </c>
      <c r="BS12" t="s">
        <v>126</v>
      </c>
      <c r="BT12" t="s">
        <v>126</v>
      </c>
      <c r="BU12" t="s">
        <v>126</v>
      </c>
      <c r="BV12" t="s">
        <v>126</v>
      </c>
      <c r="CN12" t="s">
        <v>181</v>
      </c>
      <c r="CP12" t="s">
        <v>182</v>
      </c>
      <c r="CQ12" t="s">
        <v>181</v>
      </c>
    </row>
    <row r="13" spans="1:97" x14ac:dyDescent="0.2">
      <c r="A13" t="s">
        <v>115</v>
      </c>
      <c r="B13" t="s">
        <v>116</v>
      </c>
      <c r="C13">
        <v>210784</v>
      </c>
      <c r="E13" t="s">
        <v>117</v>
      </c>
      <c r="F13">
        <v>368</v>
      </c>
      <c r="G13" t="s">
        <v>176</v>
      </c>
      <c r="H13" t="s">
        <v>177</v>
      </c>
      <c r="I13" t="s">
        <v>178</v>
      </c>
      <c r="J13" t="s">
        <v>179</v>
      </c>
      <c r="L13" t="s">
        <v>185</v>
      </c>
      <c r="M13" s="8">
        <v>44866</v>
      </c>
      <c r="N13">
        <v>7142766</v>
      </c>
      <c r="O13" t="s">
        <v>123</v>
      </c>
      <c r="P13" t="s">
        <v>124</v>
      </c>
      <c r="Q13">
        <v>12.89</v>
      </c>
      <c r="R13" t="s">
        <v>125</v>
      </c>
      <c r="S13" t="s">
        <v>126</v>
      </c>
      <c r="T13" t="s">
        <v>125</v>
      </c>
      <c r="U13" t="s">
        <v>126</v>
      </c>
      <c r="W13">
        <v>12.89</v>
      </c>
      <c r="Y13">
        <v>12.89</v>
      </c>
      <c r="AC13">
        <v>12.89</v>
      </c>
      <c r="BH13" t="s">
        <v>126</v>
      </c>
      <c r="BI13" t="s">
        <v>126</v>
      </c>
      <c r="BJ13" t="s">
        <v>126</v>
      </c>
      <c r="BK13" t="s">
        <v>126</v>
      </c>
      <c r="BS13" t="s">
        <v>126</v>
      </c>
      <c r="BT13" t="s">
        <v>126</v>
      </c>
      <c r="BU13" t="s">
        <v>126</v>
      </c>
      <c r="BV13" t="s">
        <v>126</v>
      </c>
      <c r="CN13" t="s">
        <v>181</v>
      </c>
      <c r="CP13" t="s">
        <v>182</v>
      </c>
      <c r="CQ13" t="s">
        <v>181</v>
      </c>
    </row>
    <row r="14" spans="1:97" x14ac:dyDescent="0.2">
      <c r="A14" t="s">
        <v>115</v>
      </c>
      <c r="B14" t="s">
        <v>116</v>
      </c>
      <c r="C14">
        <v>210784</v>
      </c>
      <c r="E14" t="s">
        <v>117</v>
      </c>
      <c r="F14">
        <v>368</v>
      </c>
      <c r="G14" t="s">
        <v>176</v>
      </c>
      <c r="H14" t="s">
        <v>177</v>
      </c>
      <c r="I14" t="s">
        <v>178</v>
      </c>
      <c r="J14" t="s">
        <v>179</v>
      </c>
      <c r="L14" t="s">
        <v>185</v>
      </c>
      <c r="M14" s="8">
        <v>44866</v>
      </c>
      <c r="N14">
        <v>7142770</v>
      </c>
      <c r="O14" t="s">
        <v>123</v>
      </c>
      <c r="P14" t="s">
        <v>124</v>
      </c>
      <c r="Q14">
        <v>19.48</v>
      </c>
      <c r="R14" t="s">
        <v>125</v>
      </c>
      <c r="S14" t="s">
        <v>126</v>
      </c>
      <c r="T14" t="s">
        <v>125</v>
      </c>
      <c r="U14" t="s">
        <v>126</v>
      </c>
      <c r="W14">
        <v>19.48</v>
      </c>
      <c r="Y14">
        <v>19.48</v>
      </c>
      <c r="AC14">
        <v>19.48</v>
      </c>
      <c r="BH14" t="s">
        <v>126</v>
      </c>
      <c r="BI14" t="s">
        <v>126</v>
      </c>
      <c r="BJ14" t="s">
        <v>126</v>
      </c>
      <c r="BK14" t="s">
        <v>126</v>
      </c>
      <c r="BS14" t="s">
        <v>126</v>
      </c>
      <c r="BT14" t="s">
        <v>126</v>
      </c>
      <c r="BU14" t="s">
        <v>126</v>
      </c>
      <c r="BV14" t="s">
        <v>126</v>
      </c>
      <c r="CN14" t="s">
        <v>181</v>
      </c>
      <c r="CP14" t="s">
        <v>182</v>
      </c>
      <c r="CQ14" t="s">
        <v>181</v>
      </c>
    </row>
    <row r="15" spans="1:97" x14ac:dyDescent="0.2">
      <c r="A15" t="s">
        <v>115</v>
      </c>
      <c r="B15" t="s">
        <v>116</v>
      </c>
      <c r="C15">
        <v>210784</v>
      </c>
      <c r="E15" t="s">
        <v>117</v>
      </c>
      <c r="F15">
        <v>368</v>
      </c>
      <c r="G15" t="s">
        <v>176</v>
      </c>
      <c r="H15" t="s">
        <v>177</v>
      </c>
      <c r="I15" t="s">
        <v>178</v>
      </c>
      <c r="J15" t="s">
        <v>179</v>
      </c>
      <c r="L15" t="s">
        <v>185</v>
      </c>
      <c r="M15" s="8">
        <v>44866</v>
      </c>
      <c r="N15">
        <v>7142802</v>
      </c>
      <c r="O15" t="s">
        <v>123</v>
      </c>
      <c r="P15" t="s">
        <v>124</v>
      </c>
      <c r="Q15">
        <v>20.43</v>
      </c>
      <c r="R15" t="s">
        <v>125</v>
      </c>
      <c r="S15" t="s">
        <v>126</v>
      </c>
      <c r="T15" t="s">
        <v>125</v>
      </c>
      <c r="U15" t="s">
        <v>126</v>
      </c>
      <c r="W15">
        <v>20.43</v>
      </c>
      <c r="Y15">
        <v>20.43</v>
      </c>
      <c r="AC15">
        <v>20.43</v>
      </c>
      <c r="BH15" t="s">
        <v>126</v>
      </c>
      <c r="BI15" t="s">
        <v>126</v>
      </c>
      <c r="BJ15" t="s">
        <v>126</v>
      </c>
      <c r="BK15" t="s">
        <v>126</v>
      </c>
      <c r="BS15" t="s">
        <v>126</v>
      </c>
      <c r="BT15" t="s">
        <v>126</v>
      </c>
      <c r="BU15" t="s">
        <v>126</v>
      </c>
      <c r="BV15" t="s">
        <v>126</v>
      </c>
      <c r="CN15" t="s">
        <v>181</v>
      </c>
      <c r="CP15" t="s">
        <v>182</v>
      </c>
      <c r="CQ15" t="s">
        <v>181</v>
      </c>
    </row>
    <row r="16" spans="1:97" x14ac:dyDescent="0.2">
      <c r="A16" t="s">
        <v>115</v>
      </c>
      <c r="B16" t="s">
        <v>116</v>
      </c>
      <c r="C16">
        <v>210784</v>
      </c>
      <c r="E16" t="s">
        <v>117</v>
      </c>
      <c r="F16">
        <v>368</v>
      </c>
      <c r="G16" t="s">
        <v>176</v>
      </c>
      <c r="H16" t="s">
        <v>177</v>
      </c>
      <c r="I16" t="s">
        <v>178</v>
      </c>
      <c r="J16" t="s">
        <v>179</v>
      </c>
      <c r="L16" t="s">
        <v>185</v>
      </c>
      <c r="M16" s="8">
        <v>44866</v>
      </c>
      <c r="N16">
        <v>7142809</v>
      </c>
      <c r="O16" t="s">
        <v>123</v>
      </c>
      <c r="P16" t="s">
        <v>124</v>
      </c>
      <c r="Q16">
        <v>18.89</v>
      </c>
      <c r="R16" t="s">
        <v>125</v>
      </c>
      <c r="S16" t="s">
        <v>126</v>
      </c>
      <c r="T16" t="s">
        <v>125</v>
      </c>
      <c r="U16" t="s">
        <v>126</v>
      </c>
      <c r="W16">
        <v>18.89</v>
      </c>
      <c r="Y16">
        <v>18.89</v>
      </c>
      <c r="AC16">
        <v>18.89</v>
      </c>
      <c r="BH16" t="s">
        <v>126</v>
      </c>
      <c r="BI16" t="s">
        <v>126</v>
      </c>
      <c r="BJ16" t="s">
        <v>126</v>
      </c>
      <c r="BK16" t="s">
        <v>126</v>
      </c>
      <c r="BS16" t="s">
        <v>126</v>
      </c>
      <c r="BT16" t="s">
        <v>126</v>
      </c>
      <c r="BU16" t="s">
        <v>126</v>
      </c>
      <c r="BV16" t="s">
        <v>126</v>
      </c>
      <c r="CN16" t="s">
        <v>181</v>
      </c>
      <c r="CP16" t="s">
        <v>182</v>
      </c>
      <c r="CQ16" t="s">
        <v>181</v>
      </c>
    </row>
    <row r="17" spans="1:95" x14ac:dyDescent="0.2">
      <c r="A17" t="s">
        <v>115</v>
      </c>
      <c r="B17" t="s">
        <v>116</v>
      </c>
      <c r="C17">
        <v>210784</v>
      </c>
      <c r="E17" t="s">
        <v>117</v>
      </c>
      <c r="F17">
        <v>368</v>
      </c>
      <c r="G17" t="s">
        <v>176</v>
      </c>
      <c r="H17" t="s">
        <v>177</v>
      </c>
      <c r="I17" t="s">
        <v>178</v>
      </c>
      <c r="J17" t="s">
        <v>179</v>
      </c>
      <c r="L17" t="s">
        <v>186</v>
      </c>
      <c r="M17" s="8">
        <v>44866</v>
      </c>
      <c r="N17">
        <v>7142874</v>
      </c>
      <c r="O17" t="s">
        <v>123</v>
      </c>
      <c r="P17" t="s">
        <v>124</v>
      </c>
      <c r="Q17">
        <v>22.62</v>
      </c>
      <c r="R17" t="s">
        <v>125</v>
      </c>
      <c r="S17" t="s">
        <v>126</v>
      </c>
      <c r="T17" t="s">
        <v>125</v>
      </c>
      <c r="U17" t="s">
        <v>126</v>
      </c>
      <c r="W17">
        <v>22.62</v>
      </c>
      <c r="Y17">
        <v>22.62</v>
      </c>
      <c r="AC17">
        <v>22.62</v>
      </c>
      <c r="BH17" t="s">
        <v>126</v>
      </c>
      <c r="BI17" t="s">
        <v>126</v>
      </c>
      <c r="BJ17" t="s">
        <v>126</v>
      </c>
      <c r="BK17" t="s">
        <v>126</v>
      </c>
      <c r="BS17" t="s">
        <v>126</v>
      </c>
      <c r="BT17" t="s">
        <v>126</v>
      </c>
      <c r="BU17" t="s">
        <v>126</v>
      </c>
      <c r="BV17" t="s">
        <v>126</v>
      </c>
      <c r="CN17" t="s">
        <v>181</v>
      </c>
      <c r="CP17" t="s">
        <v>182</v>
      </c>
      <c r="CQ17" t="s">
        <v>181</v>
      </c>
    </row>
    <row r="18" spans="1:95" x14ac:dyDescent="0.2">
      <c r="A18" t="s">
        <v>115</v>
      </c>
      <c r="B18" t="s">
        <v>116</v>
      </c>
      <c r="C18">
        <v>210784</v>
      </c>
      <c r="E18" t="s">
        <v>117</v>
      </c>
      <c r="F18">
        <v>368</v>
      </c>
      <c r="G18" t="s">
        <v>176</v>
      </c>
      <c r="H18" t="s">
        <v>177</v>
      </c>
      <c r="I18" t="s">
        <v>178</v>
      </c>
      <c r="J18" t="s">
        <v>179</v>
      </c>
      <c r="L18" t="s">
        <v>186</v>
      </c>
      <c r="M18" s="8">
        <v>44866</v>
      </c>
      <c r="N18">
        <v>7142883</v>
      </c>
      <c r="O18" t="s">
        <v>123</v>
      </c>
      <c r="P18" t="s">
        <v>124</v>
      </c>
      <c r="Q18">
        <v>20.94</v>
      </c>
      <c r="R18" t="s">
        <v>125</v>
      </c>
      <c r="S18" t="s">
        <v>126</v>
      </c>
      <c r="T18" t="s">
        <v>125</v>
      </c>
      <c r="U18" t="s">
        <v>126</v>
      </c>
      <c r="W18">
        <v>20.94</v>
      </c>
      <c r="Y18">
        <v>20.94</v>
      </c>
      <c r="AC18">
        <v>20.94</v>
      </c>
      <c r="BH18" t="s">
        <v>126</v>
      </c>
      <c r="BI18" t="s">
        <v>126</v>
      </c>
      <c r="BJ18" t="s">
        <v>126</v>
      </c>
      <c r="BK18" t="s">
        <v>126</v>
      </c>
      <c r="BS18" t="s">
        <v>126</v>
      </c>
      <c r="BT18" t="s">
        <v>126</v>
      </c>
      <c r="BU18" t="s">
        <v>126</v>
      </c>
      <c r="BV18" t="s">
        <v>126</v>
      </c>
      <c r="CN18" t="s">
        <v>181</v>
      </c>
      <c r="CP18" t="s">
        <v>182</v>
      </c>
      <c r="CQ18" t="s">
        <v>181</v>
      </c>
    </row>
    <row r="19" spans="1:95" x14ac:dyDescent="0.2">
      <c r="A19" t="s">
        <v>115</v>
      </c>
      <c r="B19" t="s">
        <v>116</v>
      </c>
      <c r="C19">
        <v>210784</v>
      </c>
      <c r="E19" t="s">
        <v>117</v>
      </c>
      <c r="F19">
        <v>368</v>
      </c>
      <c r="G19" t="s">
        <v>176</v>
      </c>
      <c r="H19" t="s">
        <v>177</v>
      </c>
      <c r="I19" t="s">
        <v>178</v>
      </c>
      <c r="J19" t="s">
        <v>179</v>
      </c>
      <c r="L19" t="s">
        <v>186</v>
      </c>
      <c r="M19" s="8">
        <v>44866</v>
      </c>
      <c r="N19">
        <v>7142943</v>
      </c>
      <c r="O19" t="s">
        <v>123</v>
      </c>
      <c r="P19" t="s">
        <v>124</v>
      </c>
      <c r="Q19">
        <v>22.54</v>
      </c>
      <c r="R19" t="s">
        <v>125</v>
      </c>
      <c r="S19" t="s">
        <v>126</v>
      </c>
      <c r="T19" t="s">
        <v>125</v>
      </c>
      <c r="U19" t="s">
        <v>126</v>
      </c>
      <c r="W19">
        <v>22.54</v>
      </c>
      <c r="Y19">
        <v>22.54</v>
      </c>
      <c r="AC19">
        <v>22.54</v>
      </c>
      <c r="BH19" t="s">
        <v>126</v>
      </c>
      <c r="BI19" t="s">
        <v>126</v>
      </c>
      <c r="BJ19" t="s">
        <v>126</v>
      </c>
      <c r="BK19" t="s">
        <v>126</v>
      </c>
      <c r="BS19" t="s">
        <v>126</v>
      </c>
      <c r="BT19" t="s">
        <v>126</v>
      </c>
      <c r="BU19" t="s">
        <v>126</v>
      </c>
      <c r="BV19" t="s">
        <v>126</v>
      </c>
      <c r="CN19" t="s">
        <v>181</v>
      </c>
      <c r="CP19" t="s">
        <v>182</v>
      </c>
      <c r="CQ19" t="s">
        <v>181</v>
      </c>
    </row>
    <row r="20" spans="1:95" x14ac:dyDescent="0.2">
      <c r="A20" t="s">
        <v>115</v>
      </c>
      <c r="B20" t="s">
        <v>116</v>
      </c>
      <c r="C20">
        <v>210784</v>
      </c>
      <c r="E20" t="s">
        <v>117</v>
      </c>
      <c r="F20">
        <v>368</v>
      </c>
      <c r="G20" t="s">
        <v>176</v>
      </c>
      <c r="H20" t="s">
        <v>177</v>
      </c>
      <c r="I20" t="s">
        <v>178</v>
      </c>
      <c r="J20" t="s">
        <v>179</v>
      </c>
      <c r="L20" t="s">
        <v>186</v>
      </c>
      <c r="M20" s="8">
        <v>44866</v>
      </c>
      <c r="N20">
        <v>7142948</v>
      </c>
      <c r="O20" t="s">
        <v>123</v>
      </c>
      <c r="P20" t="s">
        <v>124</v>
      </c>
      <c r="Q20">
        <v>22.03</v>
      </c>
      <c r="R20" t="s">
        <v>125</v>
      </c>
      <c r="S20" t="s">
        <v>126</v>
      </c>
      <c r="T20" t="s">
        <v>125</v>
      </c>
      <c r="U20" t="s">
        <v>126</v>
      </c>
      <c r="W20">
        <v>22.03</v>
      </c>
      <c r="Y20">
        <v>22.03</v>
      </c>
      <c r="AC20">
        <v>22.03</v>
      </c>
      <c r="BH20" t="s">
        <v>126</v>
      </c>
      <c r="BI20" t="s">
        <v>126</v>
      </c>
      <c r="BJ20" t="s">
        <v>126</v>
      </c>
      <c r="BK20" t="s">
        <v>126</v>
      </c>
      <c r="BS20" t="s">
        <v>126</v>
      </c>
      <c r="BT20" t="s">
        <v>126</v>
      </c>
      <c r="BU20" t="s">
        <v>126</v>
      </c>
      <c r="BV20" t="s">
        <v>126</v>
      </c>
      <c r="CN20" t="s">
        <v>181</v>
      </c>
      <c r="CP20" t="s">
        <v>182</v>
      </c>
      <c r="CQ20" t="s">
        <v>181</v>
      </c>
    </row>
    <row r="21" spans="1:95" x14ac:dyDescent="0.2">
      <c r="A21" t="s">
        <v>115</v>
      </c>
      <c r="B21" t="s">
        <v>116</v>
      </c>
      <c r="C21">
        <v>210784</v>
      </c>
      <c r="E21" t="s">
        <v>117</v>
      </c>
      <c r="F21">
        <v>368</v>
      </c>
      <c r="G21" t="s">
        <v>176</v>
      </c>
      <c r="H21" t="s">
        <v>177</v>
      </c>
      <c r="I21" t="s">
        <v>178</v>
      </c>
      <c r="J21" t="s">
        <v>179</v>
      </c>
      <c r="L21" t="s">
        <v>186</v>
      </c>
      <c r="M21" s="8">
        <v>44866</v>
      </c>
      <c r="N21">
        <v>7143011</v>
      </c>
      <c r="O21" t="s">
        <v>123</v>
      </c>
      <c r="P21" t="s">
        <v>124</v>
      </c>
      <c r="Q21">
        <v>22.74</v>
      </c>
      <c r="R21" t="s">
        <v>125</v>
      </c>
      <c r="S21" t="s">
        <v>126</v>
      </c>
      <c r="T21" t="s">
        <v>125</v>
      </c>
      <c r="U21" t="s">
        <v>126</v>
      </c>
      <c r="W21">
        <v>22.74</v>
      </c>
      <c r="Y21">
        <v>22.74</v>
      </c>
      <c r="AC21">
        <v>22.74</v>
      </c>
      <c r="BH21" t="s">
        <v>126</v>
      </c>
      <c r="BI21" t="s">
        <v>126</v>
      </c>
      <c r="BJ21" t="s">
        <v>126</v>
      </c>
      <c r="BK21" t="s">
        <v>126</v>
      </c>
      <c r="BS21" t="s">
        <v>126</v>
      </c>
      <c r="BT21" t="s">
        <v>126</v>
      </c>
      <c r="BU21" t="s">
        <v>126</v>
      </c>
      <c r="BV21" t="s">
        <v>126</v>
      </c>
      <c r="CN21" t="s">
        <v>181</v>
      </c>
      <c r="CP21" t="s">
        <v>182</v>
      </c>
      <c r="CQ21" t="s">
        <v>181</v>
      </c>
    </row>
    <row r="22" spans="1:95" x14ac:dyDescent="0.2">
      <c r="A22" t="s">
        <v>115</v>
      </c>
      <c r="B22" t="s">
        <v>116</v>
      </c>
      <c r="C22">
        <v>210784</v>
      </c>
      <c r="E22" t="s">
        <v>117</v>
      </c>
      <c r="F22">
        <v>368</v>
      </c>
      <c r="G22" t="s">
        <v>176</v>
      </c>
      <c r="H22" t="s">
        <v>177</v>
      </c>
      <c r="I22" t="s">
        <v>178</v>
      </c>
      <c r="J22" t="s">
        <v>179</v>
      </c>
      <c r="L22" t="s">
        <v>186</v>
      </c>
      <c r="M22" s="8">
        <v>44866</v>
      </c>
      <c r="N22">
        <v>7143039</v>
      </c>
      <c r="O22" t="s">
        <v>123</v>
      </c>
      <c r="P22" t="s">
        <v>124</v>
      </c>
      <c r="Q22">
        <v>20.309999999999999</v>
      </c>
      <c r="R22" t="s">
        <v>125</v>
      </c>
      <c r="S22" t="s">
        <v>126</v>
      </c>
      <c r="T22" t="s">
        <v>125</v>
      </c>
      <c r="U22" t="s">
        <v>126</v>
      </c>
      <c r="W22">
        <v>20.309999999999999</v>
      </c>
      <c r="Y22">
        <v>20.309999999999999</v>
      </c>
      <c r="AC22">
        <v>20.309999999999999</v>
      </c>
      <c r="BH22" t="s">
        <v>126</v>
      </c>
      <c r="BI22" t="s">
        <v>126</v>
      </c>
      <c r="BJ22" t="s">
        <v>126</v>
      </c>
      <c r="BK22" t="s">
        <v>126</v>
      </c>
      <c r="BS22" t="s">
        <v>126</v>
      </c>
      <c r="BT22" t="s">
        <v>126</v>
      </c>
      <c r="BU22" t="s">
        <v>126</v>
      </c>
      <c r="BV22" t="s">
        <v>126</v>
      </c>
      <c r="CN22" t="s">
        <v>181</v>
      </c>
      <c r="CP22" t="s">
        <v>182</v>
      </c>
      <c r="CQ22" t="s">
        <v>181</v>
      </c>
    </row>
    <row r="23" spans="1:95" x14ac:dyDescent="0.2">
      <c r="A23" t="s">
        <v>115</v>
      </c>
      <c r="B23" t="s">
        <v>116</v>
      </c>
      <c r="C23">
        <v>210784</v>
      </c>
      <c r="E23" t="s">
        <v>117</v>
      </c>
      <c r="F23">
        <v>368</v>
      </c>
      <c r="G23" t="s">
        <v>176</v>
      </c>
      <c r="H23" t="s">
        <v>177</v>
      </c>
      <c r="I23" t="s">
        <v>178</v>
      </c>
      <c r="J23" t="s">
        <v>179</v>
      </c>
      <c r="L23" t="s">
        <v>186</v>
      </c>
      <c r="M23" s="8">
        <v>44866</v>
      </c>
      <c r="N23">
        <v>7143063</v>
      </c>
      <c r="O23" t="s">
        <v>123</v>
      </c>
      <c r="P23" t="s">
        <v>124</v>
      </c>
      <c r="Q23">
        <v>23.27</v>
      </c>
      <c r="R23" t="s">
        <v>125</v>
      </c>
      <c r="S23" t="s">
        <v>126</v>
      </c>
      <c r="T23" t="s">
        <v>125</v>
      </c>
      <c r="U23" t="s">
        <v>126</v>
      </c>
      <c r="W23">
        <v>23.27</v>
      </c>
      <c r="Y23">
        <v>23.27</v>
      </c>
      <c r="AC23">
        <v>23.27</v>
      </c>
      <c r="BH23" t="s">
        <v>126</v>
      </c>
      <c r="BI23" t="s">
        <v>126</v>
      </c>
      <c r="BJ23" t="s">
        <v>126</v>
      </c>
      <c r="BK23" t="s">
        <v>126</v>
      </c>
      <c r="BS23" t="s">
        <v>126</v>
      </c>
      <c r="BT23" t="s">
        <v>126</v>
      </c>
      <c r="BU23" t="s">
        <v>126</v>
      </c>
      <c r="BV23" t="s">
        <v>126</v>
      </c>
      <c r="CN23" t="s">
        <v>181</v>
      </c>
      <c r="CP23" t="s">
        <v>182</v>
      </c>
      <c r="CQ23" t="s">
        <v>181</v>
      </c>
    </row>
    <row r="24" spans="1:95" x14ac:dyDescent="0.2">
      <c r="A24" t="s">
        <v>115</v>
      </c>
      <c r="B24" t="s">
        <v>116</v>
      </c>
      <c r="C24">
        <v>210784</v>
      </c>
      <c r="E24" t="s">
        <v>117</v>
      </c>
      <c r="F24">
        <v>368</v>
      </c>
      <c r="G24" t="s">
        <v>176</v>
      </c>
      <c r="H24" t="s">
        <v>177</v>
      </c>
      <c r="I24" t="s">
        <v>178</v>
      </c>
      <c r="J24" t="s">
        <v>179</v>
      </c>
      <c r="L24" t="s">
        <v>186</v>
      </c>
      <c r="M24" s="8">
        <v>44866</v>
      </c>
      <c r="N24">
        <v>7143071</v>
      </c>
      <c r="O24" t="s">
        <v>123</v>
      </c>
      <c r="P24" t="s">
        <v>124</v>
      </c>
      <c r="Q24">
        <v>19.760000000000002</v>
      </c>
      <c r="R24" t="s">
        <v>125</v>
      </c>
      <c r="S24" t="s">
        <v>126</v>
      </c>
      <c r="T24" t="s">
        <v>125</v>
      </c>
      <c r="U24" t="s">
        <v>126</v>
      </c>
      <c r="W24">
        <v>19.760000000000002</v>
      </c>
      <c r="Y24">
        <v>19.760000000000002</v>
      </c>
      <c r="AC24">
        <v>19.760000000000002</v>
      </c>
      <c r="BH24" t="s">
        <v>126</v>
      </c>
      <c r="BI24" t="s">
        <v>126</v>
      </c>
      <c r="BJ24" t="s">
        <v>126</v>
      </c>
      <c r="BK24" t="s">
        <v>126</v>
      </c>
      <c r="BS24" t="s">
        <v>126</v>
      </c>
      <c r="BT24" t="s">
        <v>126</v>
      </c>
      <c r="BU24" t="s">
        <v>126</v>
      </c>
      <c r="BV24" t="s">
        <v>126</v>
      </c>
      <c r="CN24" t="s">
        <v>181</v>
      </c>
      <c r="CP24" t="s">
        <v>182</v>
      </c>
      <c r="CQ24" t="s">
        <v>181</v>
      </c>
    </row>
    <row r="25" spans="1:95" x14ac:dyDescent="0.2">
      <c r="A25" t="s">
        <v>115</v>
      </c>
      <c r="B25" t="s">
        <v>116</v>
      </c>
      <c r="C25">
        <v>210784</v>
      </c>
      <c r="E25" t="s">
        <v>117</v>
      </c>
      <c r="F25">
        <v>368</v>
      </c>
      <c r="G25" t="s">
        <v>176</v>
      </c>
      <c r="H25" t="s">
        <v>177</v>
      </c>
      <c r="I25" t="s">
        <v>178</v>
      </c>
      <c r="J25" t="s">
        <v>179</v>
      </c>
      <c r="L25" t="s">
        <v>187</v>
      </c>
      <c r="M25" s="8">
        <v>44866</v>
      </c>
      <c r="N25">
        <v>7143140</v>
      </c>
      <c r="O25" t="s">
        <v>123</v>
      </c>
      <c r="P25" t="s">
        <v>124</v>
      </c>
      <c r="Q25">
        <v>21.81</v>
      </c>
      <c r="R25" t="s">
        <v>125</v>
      </c>
      <c r="S25" t="s">
        <v>126</v>
      </c>
      <c r="T25" t="s">
        <v>125</v>
      </c>
      <c r="U25" t="s">
        <v>126</v>
      </c>
      <c r="W25">
        <v>21.81</v>
      </c>
      <c r="Y25">
        <v>21.81</v>
      </c>
      <c r="AC25">
        <v>21.81</v>
      </c>
      <c r="BH25" t="s">
        <v>126</v>
      </c>
      <c r="BI25" t="s">
        <v>126</v>
      </c>
      <c r="BJ25" t="s">
        <v>126</v>
      </c>
      <c r="BK25" t="s">
        <v>126</v>
      </c>
      <c r="BS25" t="s">
        <v>126</v>
      </c>
      <c r="BT25" t="s">
        <v>126</v>
      </c>
      <c r="BU25" t="s">
        <v>126</v>
      </c>
      <c r="BV25" t="s">
        <v>126</v>
      </c>
      <c r="CN25" t="s">
        <v>181</v>
      </c>
      <c r="CP25" t="s">
        <v>182</v>
      </c>
      <c r="CQ25" t="s">
        <v>181</v>
      </c>
    </row>
    <row r="26" spans="1:95" x14ac:dyDescent="0.2">
      <c r="A26" t="s">
        <v>115</v>
      </c>
      <c r="B26" t="s">
        <v>116</v>
      </c>
      <c r="C26">
        <v>210784</v>
      </c>
      <c r="E26" t="s">
        <v>117</v>
      </c>
      <c r="F26">
        <v>368</v>
      </c>
      <c r="G26" t="s">
        <v>176</v>
      </c>
      <c r="H26" t="s">
        <v>177</v>
      </c>
      <c r="I26" t="s">
        <v>178</v>
      </c>
      <c r="J26" t="s">
        <v>179</v>
      </c>
      <c r="L26" t="s">
        <v>187</v>
      </c>
      <c r="M26" s="8">
        <v>44866</v>
      </c>
      <c r="N26">
        <v>7143142</v>
      </c>
      <c r="O26" t="s">
        <v>123</v>
      </c>
      <c r="P26" t="s">
        <v>124</v>
      </c>
      <c r="Q26">
        <v>20.63</v>
      </c>
      <c r="R26" t="s">
        <v>125</v>
      </c>
      <c r="S26" t="s">
        <v>126</v>
      </c>
      <c r="T26" t="s">
        <v>125</v>
      </c>
      <c r="U26" t="s">
        <v>126</v>
      </c>
      <c r="W26">
        <v>20.63</v>
      </c>
      <c r="Y26">
        <v>20.63</v>
      </c>
      <c r="AC26">
        <v>20.63</v>
      </c>
      <c r="BH26" t="s">
        <v>126</v>
      </c>
      <c r="BI26" t="s">
        <v>126</v>
      </c>
      <c r="BJ26" t="s">
        <v>126</v>
      </c>
      <c r="BK26" t="s">
        <v>126</v>
      </c>
      <c r="BS26" t="s">
        <v>126</v>
      </c>
      <c r="BT26" t="s">
        <v>126</v>
      </c>
      <c r="BU26" t="s">
        <v>126</v>
      </c>
      <c r="BV26" t="s">
        <v>126</v>
      </c>
      <c r="CN26" t="s">
        <v>181</v>
      </c>
      <c r="CP26" t="s">
        <v>182</v>
      </c>
      <c r="CQ26" t="s">
        <v>181</v>
      </c>
    </row>
    <row r="27" spans="1:95" x14ac:dyDescent="0.2">
      <c r="A27" t="s">
        <v>115</v>
      </c>
      <c r="B27" t="s">
        <v>116</v>
      </c>
      <c r="C27">
        <v>210784</v>
      </c>
      <c r="E27" t="s">
        <v>117</v>
      </c>
      <c r="F27">
        <v>368</v>
      </c>
      <c r="G27" t="s">
        <v>176</v>
      </c>
      <c r="H27" t="s">
        <v>177</v>
      </c>
      <c r="I27" t="s">
        <v>178</v>
      </c>
      <c r="J27" t="s">
        <v>179</v>
      </c>
      <c r="L27" t="s">
        <v>187</v>
      </c>
      <c r="M27" s="8">
        <v>44866</v>
      </c>
      <c r="N27">
        <v>7143175</v>
      </c>
      <c r="O27" t="s">
        <v>123</v>
      </c>
      <c r="P27" t="s">
        <v>124</v>
      </c>
      <c r="Q27">
        <v>20.6</v>
      </c>
      <c r="R27" t="s">
        <v>125</v>
      </c>
      <c r="S27" t="s">
        <v>126</v>
      </c>
      <c r="T27" t="s">
        <v>125</v>
      </c>
      <c r="U27" t="s">
        <v>126</v>
      </c>
      <c r="W27">
        <v>20.6</v>
      </c>
      <c r="Y27">
        <v>20.6</v>
      </c>
      <c r="AC27">
        <v>20.6</v>
      </c>
      <c r="BH27" t="s">
        <v>126</v>
      </c>
      <c r="BI27" t="s">
        <v>126</v>
      </c>
      <c r="BJ27" t="s">
        <v>126</v>
      </c>
      <c r="BK27" t="s">
        <v>126</v>
      </c>
      <c r="BS27" t="s">
        <v>126</v>
      </c>
      <c r="BT27" t="s">
        <v>126</v>
      </c>
      <c r="BU27" t="s">
        <v>126</v>
      </c>
      <c r="BV27" t="s">
        <v>126</v>
      </c>
      <c r="CN27" t="s">
        <v>181</v>
      </c>
      <c r="CP27" t="s">
        <v>182</v>
      </c>
      <c r="CQ27" t="s">
        <v>181</v>
      </c>
    </row>
    <row r="28" spans="1:95" x14ac:dyDescent="0.2">
      <c r="A28" t="s">
        <v>115</v>
      </c>
      <c r="B28" t="s">
        <v>116</v>
      </c>
      <c r="C28">
        <v>210784</v>
      </c>
      <c r="E28" t="s">
        <v>117</v>
      </c>
      <c r="F28">
        <v>368</v>
      </c>
      <c r="G28" t="s">
        <v>176</v>
      </c>
      <c r="H28" t="s">
        <v>177</v>
      </c>
      <c r="I28" t="s">
        <v>178</v>
      </c>
      <c r="J28" t="s">
        <v>179</v>
      </c>
      <c r="L28" t="s">
        <v>187</v>
      </c>
      <c r="M28" s="8">
        <v>44866</v>
      </c>
      <c r="N28">
        <v>7143180</v>
      </c>
      <c r="O28" t="s">
        <v>123</v>
      </c>
      <c r="P28" t="s">
        <v>124</v>
      </c>
      <c r="Q28">
        <v>21.11</v>
      </c>
      <c r="R28" t="s">
        <v>125</v>
      </c>
      <c r="S28" t="s">
        <v>126</v>
      </c>
      <c r="T28" t="s">
        <v>125</v>
      </c>
      <c r="U28" t="s">
        <v>126</v>
      </c>
      <c r="W28">
        <v>21.11</v>
      </c>
      <c r="Y28">
        <v>21.11</v>
      </c>
      <c r="AC28">
        <v>21.11</v>
      </c>
      <c r="BH28" t="s">
        <v>126</v>
      </c>
      <c r="BI28" t="s">
        <v>126</v>
      </c>
      <c r="BJ28" t="s">
        <v>126</v>
      </c>
      <c r="BK28" t="s">
        <v>126</v>
      </c>
      <c r="BS28" t="s">
        <v>126</v>
      </c>
      <c r="BT28" t="s">
        <v>126</v>
      </c>
      <c r="BU28" t="s">
        <v>126</v>
      </c>
      <c r="BV28" t="s">
        <v>126</v>
      </c>
      <c r="CN28" t="s">
        <v>181</v>
      </c>
      <c r="CP28" t="s">
        <v>182</v>
      </c>
      <c r="CQ28" t="s">
        <v>181</v>
      </c>
    </row>
    <row r="29" spans="1:95" x14ac:dyDescent="0.2">
      <c r="A29" t="s">
        <v>115</v>
      </c>
      <c r="B29" t="s">
        <v>116</v>
      </c>
      <c r="C29">
        <v>210784</v>
      </c>
      <c r="E29" t="s">
        <v>117</v>
      </c>
      <c r="F29">
        <v>368</v>
      </c>
      <c r="G29" t="s">
        <v>176</v>
      </c>
      <c r="H29" t="s">
        <v>177</v>
      </c>
      <c r="I29" t="s">
        <v>178</v>
      </c>
      <c r="J29" t="s">
        <v>179</v>
      </c>
      <c r="L29" t="s">
        <v>187</v>
      </c>
      <c r="M29" s="8">
        <v>44866</v>
      </c>
      <c r="N29">
        <v>7143210</v>
      </c>
      <c r="O29" t="s">
        <v>123</v>
      </c>
      <c r="P29" t="s">
        <v>124</v>
      </c>
      <c r="Q29">
        <v>23.57</v>
      </c>
      <c r="R29" t="s">
        <v>125</v>
      </c>
      <c r="S29" t="s">
        <v>126</v>
      </c>
      <c r="T29" t="s">
        <v>125</v>
      </c>
      <c r="U29" t="s">
        <v>126</v>
      </c>
      <c r="W29">
        <v>23.57</v>
      </c>
      <c r="Y29">
        <v>23.57</v>
      </c>
      <c r="AC29">
        <v>23.57</v>
      </c>
      <c r="BH29" t="s">
        <v>126</v>
      </c>
      <c r="BI29" t="s">
        <v>126</v>
      </c>
      <c r="BJ29" t="s">
        <v>126</v>
      </c>
      <c r="BK29" t="s">
        <v>126</v>
      </c>
      <c r="BS29" t="s">
        <v>126</v>
      </c>
      <c r="BT29" t="s">
        <v>126</v>
      </c>
      <c r="BU29" t="s">
        <v>126</v>
      </c>
      <c r="BV29" t="s">
        <v>126</v>
      </c>
      <c r="CN29" t="s">
        <v>181</v>
      </c>
      <c r="CP29" t="s">
        <v>182</v>
      </c>
      <c r="CQ29" t="s">
        <v>181</v>
      </c>
    </row>
    <row r="30" spans="1:95" x14ac:dyDescent="0.2">
      <c r="A30" t="s">
        <v>115</v>
      </c>
      <c r="B30" t="s">
        <v>116</v>
      </c>
      <c r="C30">
        <v>210784</v>
      </c>
      <c r="E30" t="s">
        <v>117</v>
      </c>
      <c r="F30">
        <v>368</v>
      </c>
      <c r="G30" t="s">
        <v>176</v>
      </c>
      <c r="H30" t="s">
        <v>177</v>
      </c>
      <c r="I30" t="s">
        <v>492</v>
      </c>
      <c r="J30" t="s">
        <v>493</v>
      </c>
      <c r="L30" t="s">
        <v>506</v>
      </c>
      <c r="M30" s="8">
        <v>44866</v>
      </c>
      <c r="N30" t="s">
        <v>507</v>
      </c>
      <c r="O30" t="s">
        <v>123</v>
      </c>
      <c r="P30" t="s">
        <v>124</v>
      </c>
      <c r="Q30">
        <v>3.52</v>
      </c>
      <c r="R30" t="s">
        <v>125</v>
      </c>
      <c r="S30" t="s">
        <v>126</v>
      </c>
      <c r="T30" t="s">
        <v>125</v>
      </c>
      <c r="U30" t="s">
        <v>126</v>
      </c>
      <c r="W30">
        <v>3.52</v>
      </c>
      <c r="Y30">
        <v>3.52</v>
      </c>
      <c r="AF30">
        <v>3.52</v>
      </c>
      <c r="BH30" t="s">
        <v>126</v>
      </c>
      <c r="BI30" t="s">
        <v>126</v>
      </c>
      <c r="BJ30" t="s">
        <v>126</v>
      </c>
      <c r="BK30" t="s">
        <v>126</v>
      </c>
      <c r="BS30" t="s">
        <v>126</v>
      </c>
      <c r="BT30" t="s">
        <v>126</v>
      </c>
      <c r="BU30" t="s">
        <v>126</v>
      </c>
      <c r="BV30" t="s">
        <v>126</v>
      </c>
      <c r="CN30" t="s">
        <v>181</v>
      </c>
      <c r="CP30" t="s">
        <v>182</v>
      </c>
      <c r="CQ30" t="s">
        <v>181</v>
      </c>
    </row>
    <row r="31" spans="1:95" x14ac:dyDescent="0.2">
      <c r="A31" t="s">
        <v>115</v>
      </c>
      <c r="B31" t="s">
        <v>116</v>
      </c>
      <c r="C31">
        <v>210784</v>
      </c>
      <c r="E31" t="s">
        <v>117</v>
      </c>
      <c r="F31">
        <v>368</v>
      </c>
      <c r="G31" t="s">
        <v>528</v>
      </c>
      <c r="H31" t="s">
        <v>529</v>
      </c>
      <c r="I31" t="s">
        <v>530</v>
      </c>
      <c r="J31" t="s">
        <v>205</v>
      </c>
      <c r="L31" t="s">
        <v>536</v>
      </c>
      <c r="M31" s="8">
        <v>44866</v>
      </c>
      <c r="N31">
        <v>82097</v>
      </c>
      <c r="O31" t="s">
        <v>123</v>
      </c>
      <c r="P31" t="s">
        <v>124</v>
      </c>
      <c r="Q31">
        <v>1.08</v>
      </c>
      <c r="R31" t="s">
        <v>537</v>
      </c>
      <c r="S31" t="s">
        <v>126</v>
      </c>
      <c r="T31" t="s">
        <v>537</v>
      </c>
      <c r="U31" t="s">
        <v>538</v>
      </c>
      <c r="W31">
        <v>0.33</v>
      </c>
      <c r="X31">
        <v>0.75</v>
      </c>
      <c r="Y31">
        <v>1.08</v>
      </c>
      <c r="Z31">
        <v>0.41</v>
      </c>
      <c r="AG31">
        <v>0.33</v>
      </c>
      <c r="AI31">
        <v>0.34</v>
      </c>
      <c r="BH31" t="s">
        <v>126</v>
      </c>
      <c r="BI31" t="s">
        <v>126</v>
      </c>
      <c r="BJ31" t="s">
        <v>126</v>
      </c>
      <c r="BK31" t="s">
        <v>126</v>
      </c>
      <c r="BS31" t="s">
        <v>126</v>
      </c>
      <c r="BT31" t="s">
        <v>126</v>
      </c>
      <c r="BU31" t="s">
        <v>126</v>
      </c>
      <c r="BV31" t="s">
        <v>126</v>
      </c>
      <c r="CN31" t="s">
        <v>534</v>
      </c>
      <c r="CP31" t="s">
        <v>535</v>
      </c>
      <c r="CQ31" t="s">
        <v>534</v>
      </c>
    </row>
    <row r="32" spans="1:95" x14ac:dyDescent="0.2">
      <c r="A32" t="s">
        <v>115</v>
      </c>
      <c r="B32" t="s">
        <v>116</v>
      </c>
      <c r="C32">
        <v>210784</v>
      </c>
      <c r="E32" t="s">
        <v>117</v>
      </c>
      <c r="F32">
        <v>368</v>
      </c>
      <c r="G32" t="s">
        <v>176</v>
      </c>
      <c r="H32" t="s">
        <v>177</v>
      </c>
      <c r="I32" t="s">
        <v>492</v>
      </c>
      <c r="J32" t="s">
        <v>493</v>
      </c>
      <c r="L32" t="s">
        <v>508</v>
      </c>
      <c r="M32" s="8">
        <v>44896</v>
      </c>
      <c r="N32" t="s">
        <v>509</v>
      </c>
      <c r="O32" t="s">
        <v>123</v>
      </c>
      <c r="P32" t="s">
        <v>124</v>
      </c>
      <c r="Q32">
        <v>8.92</v>
      </c>
      <c r="R32" t="s">
        <v>125</v>
      </c>
      <c r="S32" t="s">
        <v>126</v>
      </c>
      <c r="T32" t="s">
        <v>125</v>
      </c>
      <c r="U32" t="s">
        <v>126</v>
      </c>
      <c r="W32">
        <v>8.92</v>
      </c>
      <c r="Y32">
        <v>8.92</v>
      </c>
      <c r="AF32">
        <v>8.92</v>
      </c>
      <c r="BH32" t="s">
        <v>126</v>
      </c>
      <c r="BI32" t="s">
        <v>126</v>
      </c>
      <c r="BJ32" t="s">
        <v>126</v>
      </c>
      <c r="BK32" t="s">
        <v>126</v>
      </c>
      <c r="BS32" t="s">
        <v>126</v>
      </c>
      <c r="BT32" t="s">
        <v>126</v>
      </c>
      <c r="BU32" t="s">
        <v>126</v>
      </c>
      <c r="BV32" t="s">
        <v>126</v>
      </c>
      <c r="CN32" t="s">
        <v>181</v>
      </c>
      <c r="CP32" t="s">
        <v>182</v>
      </c>
      <c r="CQ32" t="s">
        <v>181</v>
      </c>
    </row>
    <row r="33" spans="1:95" x14ac:dyDescent="0.2">
      <c r="A33" t="s">
        <v>115</v>
      </c>
      <c r="B33" t="s">
        <v>116</v>
      </c>
      <c r="C33">
        <v>210784</v>
      </c>
      <c r="E33" t="s">
        <v>117</v>
      </c>
      <c r="F33">
        <v>368</v>
      </c>
      <c r="G33" t="s">
        <v>528</v>
      </c>
      <c r="H33" t="s">
        <v>529</v>
      </c>
      <c r="I33" t="s">
        <v>530</v>
      </c>
      <c r="J33" t="s">
        <v>205</v>
      </c>
      <c r="L33" t="s">
        <v>531</v>
      </c>
      <c r="M33" s="8">
        <v>44896</v>
      </c>
      <c r="N33">
        <v>82815</v>
      </c>
      <c r="O33" t="s">
        <v>123</v>
      </c>
      <c r="P33" t="s">
        <v>124</v>
      </c>
      <c r="Q33">
        <v>0.88480000000000003</v>
      </c>
      <c r="R33" t="s">
        <v>532</v>
      </c>
      <c r="S33" t="s">
        <v>126</v>
      </c>
      <c r="T33" t="s">
        <v>532</v>
      </c>
      <c r="U33" t="s">
        <v>533</v>
      </c>
      <c r="W33">
        <v>0.28000000000000003</v>
      </c>
      <c r="X33">
        <v>0.6048</v>
      </c>
      <c r="Y33">
        <v>0.88480000000000003</v>
      </c>
      <c r="Z33">
        <v>0.33479999999999999</v>
      </c>
      <c r="AG33">
        <v>0.28000000000000003</v>
      </c>
      <c r="AI33">
        <v>0.27</v>
      </c>
      <c r="BH33" t="s">
        <v>126</v>
      </c>
      <c r="BI33" t="s">
        <v>126</v>
      </c>
      <c r="BJ33" t="s">
        <v>126</v>
      </c>
      <c r="BK33" t="s">
        <v>126</v>
      </c>
      <c r="BS33" t="s">
        <v>126</v>
      </c>
      <c r="BT33" t="s">
        <v>126</v>
      </c>
      <c r="BU33" t="s">
        <v>126</v>
      </c>
      <c r="BV33" t="s">
        <v>126</v>
      </c>
      <c r="CN33" t="s">
        <v>534</v>
      </c>
      <c r="CP33" t="s">
        <v>535</v>
      </c>
      <c r="CQ33" t="s">
        <v>534</v>
      </c>
    </row>
    <row r="34" spans="1:95" x14ac:dyDescent="0.2">
      <c r="A34" t="s">
        <v>115</v>
      </c>
      <c r="B34" t="s">
        <v>116</v>
      </c>
      <c r="C34">
        <v>210784</v>
      </c>
      <c r="E34" t="s">
        <v>117</v>
      </c>
      <c r="F34">
        <v>368</v>
      </c>
      <c r="G34" t="s">
        <v>528</v>
      </c>
      <c r="H34" t="s">
        <v>529</v>
      </c>
      <c r="I34" t="s">
        <v>530</v>
      </c>
      <c r="J34" t="s">
        <v>205</v>
      </c>
      <c r="L34" t="s">
        <v>835</v>
      </c>
      <c r="M34" s="8">
        <v>44896</v>
      </c>
      <c r="N34">
        <v>82137</v>
      </c>
      <c r="O34" t="s">
        <v>123</v>
      </c>
      <c r="P34" t="s">
        <v>124</v>
      </c>
      <c r="Q34">
        <v>1.31</v>
      </c>
      <c r="R34" t="s">
        <v>125</v>
      </c>
      <c r="S34" t="s">
        <v>126</v>
      </c>
      <c r="T34" t="s">
        <v>125</v>
      </c>
      <c r="U34" t="s">
        <v>126</v>
      </c>
      <c r="W34">
        <v>1.31</v>
      </c>
      <c r="Y34">
        <v>1.31</v>
      </c>
      <c r="BE34">
        <v>1.31</v>
      </c>
      <c r="BH34" t="s">
        <v>126</v>
      </c>
      <c r="BI34" t="s">
        <v>126</v>
      </c>
      <c r="BJ34" t="s">
        <v>126</v>
      </c>
      <c r="BK34" t="s">
        <v>126</v>
      </c>
      <c r="BS34" t="s">
        <v>126</v>
      </c>
      <c r="BT34" t="s">
        <v>126</v>
      </c>
      <c r="BU34" t="s">
        <v>126</v>
      </c>
      <c r="BV34" t="s">
        <v>126</v>
      </c>
      <c r="CN34" t="s">
        <v>534</v>
      </c>
      <c r="CP34" t="s">
        <v>535</v>
      </c>
      <c r="CQ34" t="s">
        <v>534</v>
      </c>
    </row>
    <row r="35" spans="1:95" x14ac:dyDescent="0.2">
      <c r="A35" t="s">
        <v>115</v>
      </c>
      <c r="B35" t="s">
        <v>116</v>
      </c>
      <c r="C35">
        <v>210784</v>
      </c>
      <c r="E35" t="s">
        <v>117</v>
      </c>
      <c r="F35">
        <v>368</v>
      </c>
      <c r="G35" t="s">
        <v>176</v>
      </c>
      <c r="H35" t="s">
        <v>177</v>
      </c>
      <c r="I35" t="s">
        <v>178</v>
      </c>
      <c r="J35" t="s">
        <v>179</v>
      </c>
      <c r="L35" t="s">
        <v>188</v>
      </c>
      <c r="M35" s="8">
        <v>45017</v>
      </c>
      <c r="N35">
        <v>7159481</v>
      </c>
      <c r="O35" t="s">
        <v>123</v>
      </c>
      <c r="P35" t="s">
        <v>124</v>
      </c>
      <c r="Q35">
        <v>13.37</v>
      </c>
      <c r="R35" t="s">
        <v>125</v>
      </c>
      <c r="S35" t="s">
        <v>126</v>
      </c>
      <c r="T35" t="s">
        <v>125</v>
      </c>
      <c r="U35" t="s">
        <v>126</v>
      </c>
      <c r="W35">
        <v>13.37</v>
      </c>
      <c r="Y35">
        <v>13.37</v>
      </c>
      <c r="AC35">
        <v>13.37</v>
      </c>
      <c r="BH35" t="s">
        <v>126</v>
      </c>
      <c r="BI35" t="s">
        <v>126</v>
      </c>
      <c r="BJ35" t="s">
        <v>126</v>
      </c>
      <c r="BK35" t="s">
        <v>126</v>
      </c>
      <c r="BS35" t="s">
        <v>126</v>
      </c>
      <c r="BT35" t="s">
        <v>126</v>
      </c>
      <c r="BU35" t="s">
        <v>126</v>
      </c>
      <c r="BV35" t="s">
        <v>126</v>
      </c>
      <c r="CN35" t="s">
        <v>181</v>
      </c>
      <c r="CP35" t="s">
        <v>189</v>
      </c>
      <c r="CQ35" t="s">
        <v>181</v>
      </c>
    </row>
    <row r="36" spans="1:95" x14ac:dyDescent="0.2">
      <c r="A36" t="s">
        <v>115</v>
      </c>
      <c r="B36" t="s">
        <v>116</v>
      </c>
      <c r="C36">
        <v>210784</v>
      </c>
      <c r="E36" t="s">
        <v>117</v>
      </c>
      <c r="F36">
        <v>368</v>
      </c>
      <c r="G36" t="s">
        <v>176</v>
      </c>
      <c r="H36" t="s">
        <v>177</v>
      </c>
      <c r="I36" t="s">
        <v>178</v>
      </c>
      <c r="J36" t="s">
        <v>179</v>
      </c>
      <c r="L36" t="s">
        <v>188</v>
      </c>
      <c r="M36" s="8">
        <v>45017</v>
      </c>
      <c r="N36">
        <v>7159445</v>
      </c>
      <c r="O36" t="s">
        <v>123</v>
      </c>
      <c r="P36" t="s">
        <v>124</v>
      </c>
      <c r="Q36">
        <v>21.53</v>
      </c>
      <c r="R36" t="s">
        <v>125</v>
      </c>
      <c r="S36" t="s">
        <v>126</v>
      </c>
      <c r="T36" t="s">
        <v>125</v>
      </c>
      <c r="U36" t="s">
        <v>126</v>
      </c>
      <c r="W36">
        <v>21.53</v>
      </c>
      <c r="Y36">
        <v>21.53</v>
      </c>
      <c r="AC36">
        <v>21.53</v>
      </c>
      <c r="BH36" t="s">
        <v>126</v>
      </c>
      <c r="BI36" t="s">
        <v>126</v>
      </c>
      <c r="BJ36" t="s">
        <v>126</v>
      </c>
      <c r="BK36" t="s">
        <v>126</v>
      </c>
      <c r="BS36" t="s">
        <v>126</v>
      </c>
      <c r="BT36" t="s">
        <v>126</v>
      </c>
      <c r="BU36" t="s">
        <v>126</v>
      </c>
      <c r="BV36" t="s">
        <v>126</v>
      </c>
      <c r="CN36" t="s">
        <v>181</v>
      </c>
      <c r="CP36" t="s">
        <v>189</v>
      </c>
      <c r="CQ36" t="s">
        <v>181</v>
      </c>
    </row>
    <row r="37" spans="1:95" x14ac:dyDescent="0.2">
      <c r="A37" t="s">
        <v>115</v>
      </c>
      <c r="B37" t="s">
        <v>116</v>
      </c>
      <c r="C37">
        <v>210784</v>
      </c>
      <c r="E37" t="s">
        <v>117</v>
      </c>
      <c r="F37">
        <v>368</v>
      </c>
      <c r="G37" t="s">
        <v>176</v>
      </c>
      <c r="H37" t="s">
        <v>177</v>
      </c>
      <c r="I37" t="s">
        <v>178</v>
      </c>
      <c r="J37" t="s">
        <v>179</v>
      </c>
      <c r="L37" t="s">
        <v>188</v>
      </c>
      <c r="M37" s="8">
        <v>45017</v>
      </c>
      <c r="N37">
        <v>7159451</v>
      </c>
      <c r="O37" t="s">
        <v>123</v>
      </c>
      <c r="P37" t="s">
        <v>124</v>
      </c>
      <c r="Q37">
        <v>22.82</v>
      </c>
      <c r="R37" t="s">
        <v>125</v>
      </c>
      <c r="S37" t="s">
        <v>126</v>
      </c>
      <c r="T37" t="s">
        <v>125</v>
      </c>
      <c r="U37" t="s">
        <v>126</v>
      </c>
      <c r="W37">
        <v>22.82</v>
      </c>
      <c r="Y37">
        <v>22.82</v>
      </c>
      <c r="AC37">
        <v>22.82</v>
      </c>
      <c r="BH37" t="s">
        <v>126</v>
      </c>
      <c r="BI37" t="s">
        <v>126</v>
      </c>
      <c r="BJ37" t="s">
        <v>126</v>
      </c>
      <c r="BK37" t="s">
        <v>126</v>
      </c>
      <c r="BS37" t="s">
        <v>126</v>
      </c>
      <c r="BT37" t="s">
        <v>126</v>
      </c>
      <c r="BU37" t="s">
        <v>126</v>
      </c>
      <c r="BV37" t="s">
        <v>126</v>
      </c>
      <c r="CN37" t="s">
        <v>181</v>
      </c>
      <c r="CP37" t="s">
        <v>189</v>
      </c>
      <c r="CQ37" t="s">
        <v>181</v>
      </c>
    </row>
    <row r="38" spans="1:95" x14ac:dyDescent="0.2">
      <c r="A38" t="s">
        <v>115</v>
      </c>
      <c r="B38" t="s">
        <v>116</v>
      </c>
      <c r="C38">
        <v>210784</v>
      </c>
      <c r="E38" t="s">
        <v>117</v>
      </c>
      <c r="F38">
        <v>368</v>
      </c>
      <c r="G38" t="s">
        <v>176</v>
      </c>
      <c r="H38" t="s">
        <v>177</v>
      </c>
      <c r="I38" t="s">
        <v>178</v>
      </c>
      <c r="J38" t="s">
        <v>179</v>
      </c>
      <c r="L38" t="s">
        <v>188</v>
      </c>
      <c r="M38" s="8">
        <v>45017</v>
      </c>
      <c r="N38">
        <v>7159462</v>
      </c>
      <c r="O38" t="s">
        <v>123</v>
      </c>
      <c r="P38" t="s">
        <v>124</v>
      </c>
      <c r="Q38">
        <v>14.22</v>
      </c>
      <c r="R38" t="s">
        <v>125</v>
      </c>
      <c r="S38" t="s">
        <v>126</v>
      </c>
      <c r="T38" t="s">
        <v>125</v>
      </c>
      <c r="U38" t="s">
        <v>126</v>
      </c>
      <c r="W38">
        <v>14.22</v>
      </c>
      <c r="Y38">
        <v>14.22</v>
      </c>
      <c r="AC38">
        <v>14.22</v>
      </c>
      <c r="BH38" t="s">
        <v>126</v>
      </c>
      <c r="BI38" t="s">
        <v>126</v>
      </c>
      <c r="BJ38" t="s">
        <v>126</v>
      </c>
      <c r="BK38" t="s">
        <v>126</v>
      </c>
      <c r="BS38" t="s">
        <v>126</v>
      </c>
      <c r="BT38" t="s">
        <v>126</v>
      </c>
      <c r="BU38" t="s">
        <v>126</v>
      </c>
      <c r="BV38" t="s">
        <v>126</v>
      </c>
      <c r="CN38" t="s">
        <v>181</v>
      </c>
      <c r="CP38" t="s">
        <v>189</v>
      </c>
      <c r="CQ38" t="s">
        <v>181</v>
      </c>
    </row>
    <row r="39" spans="1:95" x14ac:dyDescent="0.2">
      <c r="A39" t="s">
        <v>115</v>
      </c>
      <c r="B39" t="s">
        <v>116</v>
      </c>
      <c r="C39">
        <v>210784</v>
      </c>
      <c r="E39" t="s">
        <v>117</v>
      </c>
      <c r="F39">
        <v>368</v>
      </c>
      <c r="G39" t="s">
        <v>176</v>
      </c>
      <c r="H39" t="s">
        <v>177</v>
      </c>
      <c r="I39" t="s">
        <v>546</v>
      </c>
      <c r="J39" t="s">
        <v>547</v>
      </c>
      <c r="L39" t="s">
        <v>548</v>
      </c>
      <c r="M39" s="8">
        <v>45017</v>
      </c>
      <c r="N39">
        <v>40293</v>
      </c>
      <c r="O39" t="s">
        <v>123</v>
      </c>
      <c r="P39" t="s">
        <v>124</v>
      </c>
      <c r="Q39">
        <v>5.9</v>
      </c>
      <c r="R39" t="s">
        <v>549</v>
      </c>
      <c r="S39" t="s">
        <v>126</v>
      </c>
      <c r="T39" t="s">
        <v>549</v>
      </c>
      <c r="U39" t="s">
        <v>550</v>
      </c>
      <c r="W39">
        <v>4.1890000000000001</v>
      </c>
      <c r="X39">
        <v>1.7110000000000001</v>
      </c>
      <c r="Y39">
        <v>5.9</v>
      </c>
      <c r="AY39">
        <v>4.1890000000000001</v>
      </c>
      <c r="BD39">
        <v>1.7110000000000001</v>
      </c>
      <c r="BH39" t="s">
        <v>126</v>
      </c>
      <c r="BI39" t="s">
        <v>126</v>
      </c>
      <c r="BJ39" t="s">
        <v>126</v>
      </c>
      <c r="BK39" t="s">
        <v>126</v>
      </c>
      <c r="BS39" t="s">
        <v>126</v>
      </c>
      <c r="BT39" t="s">
        <v>126</v>
      </c>
      <c r="BU39" t="s">
        <v>126</v>
      </c>
      <c r="BV39" t="s">
        <v>126</v>
      </c>
      <c r="CN39" t="s">
        <v>181</v>
      </c>
      <c r="CP39" t="s">
        <v>189</v>
      </c>
      <c r="CQ39" t="s">
        <v>181</v>
      </c>
    </row>
    <row r="40" spans="1:95" x14ac:dyDescent="0.2">
      <c r="A40" t="s">
        <v>115</v>
      </c>
      <c r="B40" t="s">
        <v>116</v>
      </c>
      <c r="C40">
        <v>210784</v>
      </c>
      <c r="E40" t="s">
        <v>117</v>
      </c>
      <c r="F40">
        <v>368</v>
      </c>
      <c r="G40" t="s">
        <v>176</v>
      </c>
      <c r="H40" t="s">
        <v>177</v>
      </c>
      <c r="I40" t="s">
        <v>546</v>
      </c>
      <c r="J40" t="s">
        <v>547</v>
      </c>
      <c r="L40" t="s">
        <v>551</v>
      </c>
      <c r="M40" s="8">
        <v>45017</v>
      </c>
      <c r="N40">
        <v>39843</v>
      </c>
      <c r="O40" t="s">
        <v>123</v>
      </c>
      <c r="P40" t="s">
        <v>124</v>
      </c>
      <c r="Q40">
        <v>10.050000000000001</v>
      </c>
      <c r="R40" t="s">
        <v>549</v>
      </c>
      <c r="S40" t="s">
        <v>126</v>
      </c>
      <c r="T40" t="s">
        <v>549</v>
      </c>
      <c r="U40" t="s">
        <v>550</v>
      </c>
      <c r="W40">
        <v>7.1355000000000004</v>
      </c>
      <c r="X40">
        <v>2.9144999999999999</v>
      </c>
      <c r="Y40">
        <v>10.050000000000001</v>
      </c>
      <c r="AY40">
        <v>7.1355000000000004</v>
      </c>
      <c r="BD40">
        <v>2.9144999999999999</v>
      </c>
      <c r="BH40" t="s">
        <v>126</v>
      </c>
      <c r="BI40" t="s">
        <v>126</v>
      </c>
      <c r="BJ40" t="s">
        <v>126</v>
      </c>
      <c r="BK40" t="s">
        <v>126</v>
      </c>
      <c r="BS40" t="s">
        <v>126</v>
      </c>
      <c r="BT40" t="s">
        <v>126</v>
      </c>
      <c r="BU40" t="s">
        <v>126</v>
      </c>
      <c r="BV40" t="s">
        <v>126</v>
      </c>
      <c r="CN40" t="s">
        <v>181</v>
      </c>
      <c r="CP40" t="s">
        <v>189</v>
      </c>
      <c r="CQ40" t="s">
        <v>181</v>
      </c>
    </row>
    <row r="41" spans="1:95" x14ac:dyDescent="0.2">
      <c r="A41" t="s">
        <v>115</v>
      </c>
      <c r="B41" t="s">
        <v>116</v>
      </c>
      <c r="C41">
        <v>210784</v>
      </c>
      <c r="E41" t="s">
        <v>117</v>
      </c>
      <c r="F41">
        <v>368</v>
      </c>
      <c r="G41" t="s">
        <v>176</v>
      </c>
      <c r="H41" t="s">
        <v>177</v>
      </c>
      <c r="I41" t="s">
        <v>178</v>
      </c>
      <c r="J41" t="s">
        <v>179</v>
      </c>
      <c r="L41" t="s">
        <v>190</v>
      </c>
      <c r="M41" s="8">
        <v>45047</v>
      </c>
      <c r="N41">
        <v>7163221</v>
      </c>
      <c r="O41" t="s">
        <v>123</v>
      </c>
      <c r="P41" t="s">
        <v>124</v>
      </c>
      <c r="Q41">
        <v>19.28</v>
      </c>
      <c r="R41" t="s">
        <v>125</v>
      </c>
      <c r="S41" t="s">
        <v>126</v>
      </c>
      <c r="T41" t="s">
        <v>125</v>
      </c>
      <c r="U41" t="s">
        <v>126</v>
      </c>
      <c r="W41">
        <v>19.28</v>
      </c>
      <c r="Y41">
        <v>19.28</v>
      </c>
      <c r="AC41">
        <v>19.28</v>
      </c>
      <c r="BH41" t="s">
        <v>126</v>
      </c>
      <c r="BI41" t="s">
        <v>126</v>
      </c>
      <c r="BJ41" t="s">
        <v>126</v>
      </c>
      <c r="BK41" t="s">
        <v>126</v>
      </c>
      <c r="BS41" t="s">
        <v>126</v>
      </c>
      <c r="BT41" t="s">
        <v>126</v>
      </c>
      <c r="BU41" t="s">
        <v>126</v>
      </c>
      <c r="BV41" t="s">
        <v>126</v>
      </c>
      <c r="CN41" t="s">
        <v>181</v>
      </c>
      <c r="CP41" t="s">
        <v>189</v>
      </c>
      <c r="CQ41" t="s">
        <v>181</v>
      </c>
    </row>
    <row r="42" spans="1:95" x14ac:dyDescent="0.2">
      <c r="A42" t="s">
        <v>115</v>
      </c>
      <c r="B42" t="s">
        <v>116</v>
      </c>
      <c r="C42">
        <v>210784</v>
      </c>
      <c r="E42" t="s">
        <v>117</v>
      </c>
      <c r="F42">
        <v>368</v>
      </c>
      <c r="G42" t="s">
        <v>176</v>
      </c>
      <c r="H42" t="s">
        <v>177</v>
      </c>
      <c r="I42" t="s">
        <v>178</v>
      </c>
      <c r="J42" t="s">
        <v>179</v>
      </c>
      <c r="L42" t="s">
        <v>191</v>
      </c>
      <c r="M42" s="8">
        <v>45047</v>
      </c>
      <c r="N42">
        <v>7164757</v>
      </c>
      <c r="O42" t="s">
        <v>123</v>
      </c>
      <c r="P42" t="s">
        <v>124</v>
      </c>
      <c r="Q42">
        <v>18.690000000000001</v>
      </c>
      <c r="R42" t="s">
        <v>125</v>
      </c>
      <c r="S42" t="s">
        <v>126</v>
      </c>
      <c r="T42" t="s">
        <v>125</v>
      </c>
      <c r="U42" t="s">
        <v>126</v>
      </c>
      <c r="W42">
        <v>18.690000000000001</v>
      </c>
      <c r="Y42">
        <v>18.690000000000001</v>
      </c>
      <c r="AC42">
        <v>18.690000000000001</v>
      </c>
      <c r="BH42" t="s">
        <v>126</v>
      </c>
      <c r="BI42" t="s">
        <v>126</v>
      </c>
      <c r="BJ42" t="s">
        <v>126</v>
      </c>
      <c r="BK42" t="s">
        <v>126</v>
      </c>
      <c r="BS42" t="s">
        <v>126</v>
      </c>
      <c r="BT42" t="s">
        <v>126</v>
      </c>
      <c r="BU42" t="s">
        <v>126</v>
      </c>
      <c r="BV42" t="s">
        <v>126</v>
      </c>
      <c r="CN42" t="s">
        <v>181</v>
      </c>
      <c r="CP42" t="s">
        <v>189</v>
      </c>
      <c r="CQ42" t="s">
        <v>181</v>
      </c>
    </row>
    <row r="43" spans="1:95" x14ac:dyDescent="0.2">
      <c r="A43" t="s">
        <v>115</v>
      </c>
      <c r="B43" t="s">
        <v>116</v>
      </c>
      <c r="C43">
        <v>210784</v>
      </c>
      <c r="E43" t="s">
        <v>117</v>
      </c>
      <c r="F43">
        <v>368</v>
      </c>
      <c r="G43" t="s">
        <v>176</v>
      </c>
      <c r="H43" t="s">
        <v>177</v>
      </c>
      <c r="I43" t="s">
        <v>178</v>
      </c>
      <c r="J43" t="s">
        <v>179</v>
      </c>
      <c r="L43" t="s">
        <v>191</v>
      </c>
      <c r="M43" s="8">
        <v>45047</v>
      </c>
      <c r="N43">
        <v>7164758</v>
      </c>
      <c r="O43" t="s">
        <v>123</v>
      </c>
      <c r="P43" t="s">
        <v>124</v>
      </c>
      <c r="Q43">
        <v>19.13</v>
      </c>
      <c r="R43" t="s">
        <v>125</v>
      </c>
      <c r="S43" t="s">
        <v>126</v>
      </c>
      <c r="T43" t="s">
        <v>125</v>
      </c>
      <c r="U43" t="s">
        <v>126</v>
      </c>
      <c r="W43">
        <v>19.13</v>
      </c>
      <c r="Y43">
        <v>19.13</v>
      </c>
      <c r="AC43">
        <v>19.13</v>
      </c>
      <c r="BH43" t="s">
        <v>126</v>
      </c>
      <c r="BI43" t="s">
        <v>126</v>
      </c>
      <c r="BJ43" t="s">
        <v>126</v>
      </c>
      <c r="BK43" t="s">
        <v>126</v>
      </c>
      <c r="BS43" t="s">
        <v>126</v>
      </c>
      <c r="BT43" t="s">
        <v>126</v>
      </c>
      <c r="BU43" t="s">
        <v>126</v>
      </c>
      <c r="BV43" t="s">
        <v>126</v>
      </c>
      <c r="CN43" t="s">
        <v>181</v>
      </c>
      <c r="CP43" t="s">
        <v>189</v>
      </c>
      <c r="CQ43" t="s">
        <v>181</v>
      </c>
    </row>
    <row r="44" spans="1:95" x14ac:dyDescent="0.2">
      <c r="A44" t="s">
        <v>115</v>
      </c>
      <c r="B44" t="s">
        <v>116</v>
      </c>
      <c r="C44">
        <v>210784</v>
      </c>
      <c r="E44" t="s">
        <v>117</v>
      </c>
      <c r="F44">
        <v>368</v>
      </c>
      <c r="G44" t="s">
        <v>176</v>
      </c>
      <c r="H44" t="s">
        <v>177</v>
      </c>
      <c r="I44" t="s">
        <v>178</v>
      </c>
      <c r="J44" t="s">
        <v>179</v>
      </c>
      <c r="L44" t="s">
        <v>191</v>
      </c>
      <c r="M44" s="8">
        <v>45047</v>
      </c>
      <c r="N44">
        <v>7164762</v>
      </c>
      <c r="O44" t="s">
        <v>123</v>
      </c>
      <c r="P44" t="s">
        <v>124</v>
      </c>
      <c r="Q44">
        <v>21.84</v>
      </c>
      <c r="R44" t="s">
        <v>125</v>
      </c>
      <c r="S44" t="s">
        <v>126</v>
      </c>
      <c r="T44" t="s">
        <v>125</v>
      </c>
      <c r="U44" t="s">
        <v>126</v>
      </c>
      <c r="W44">
        <v>21.84</v>
      </c>
      <c r="Y44">
        <v>21.84</v>
      </c>
      <c r="AC44">
        <v>21.84</v>
      </c>
      <c r="BH44" t="s">
        <v>126</v>
      </c>
      <c r="BI44" t="s">
        <v>126</v>
      </c>
      <c r="BJ44" t="s">
        <v>126</v>
      </c>
      <c r="BK44" t="s">
        <v>126</v>
      </c>
      <c r="BS44" t="s">
        <v>126</v>
      </c>
      <c r="BT44" t="s">
        <v>126</v>
      </c>
      <c r="BU44" t="s">
        <v>126</v>
      </c>
      <c r="BV44" t="s">
        <v>126</v>
      </c>
      <c r="CN44" t="s">
        <v>181</v>
      </c>
      <c r="CP44" t="s">
        <v>189</v>
      </c>
      <c r="CQ44" t="s">
        <v>181</v>
      </c>
    </row>
    <row r="45" spans="1:95" x14ac:dyDescent="0.2">
      <c r="A45" t="s">
        <v>115</v>
      </c>
      <c r="B45" t="s">
        <v>116</v>
      </c>
      <c r="C45">
        <v>210784</v>
      </c>
      <c r="E45" t="s">
        <v>117</v>
      </c>
      <c r="F45">
        <v>368</v>
      </c>
      <c r="G45" t="s">
        <v>176</v>
      </c>
      <c r="H45" t="s">
        <v>177</v>
      </c>
      <c r="I45" t="s">
        <v>178</v>
      </c>
      <c r="J45" t="s">
        <v>179</v>
      </c>
      <c r="L45" t="s">
        <v>191</v>
      </c>
      <c r="M45" s="8">
        <v>45047</v>
      </c>
      <c r="N45">
        <v>7164786</v>
      </c>
      <c r="O45" t="s">
        <v>123</v>
      </c>
      <c r="P45" t="s">
        <v>124</v>
      </c>
      <c r="Q45">
        <v>22.75</v>
      </c>
      <c r="R45" t="s">
        <v>125</v>
      </c>
      <c r="S45" t="s">
        <v>126</v>
      </c>
      <c r="T45" t="s">
        <v>125</v>
      </c>
      <c r="U45" t="s">
        <v>126</v>
      </c>
      <c r="W45">
        <v>22.75</v>
      </c>
      <c r="Y45">
        <v>22.75</v>
      </c>
      <c r="AC45">
        <v>22.75</v>
      </c>
      <c r="BH45" t="s">
        <v>126</v>
      </c>
      <c r="BI45" t="s">
        <v>126</v>
      </c>
      <c r="BJ45" t="s">
        <v>126</v>
      </c>
      <c r="BK45" t="s">
        <v>126</v>
      </c>
      <c r="BS45" t="s">
        <v>126</v>
      </c>
      <c r="BT45" t="s">
        <v>126</v>
      </c>
      <c r="BU45" t="s">
        <v>126</v>
      </c>
      <c r="BV45" t="s">
        <v>126</v>
      </c>
      <c r="CN45" t="s">
        <v>181</v>
      </c>
      <c r="CP45" t="s">
        <v>189</v>
      </c>
      <c r="CQ45" t="s">
        <v>181</v>
      </c>
    </row>
    <row r="46" spans="1:95" x14ac:dyDescent="0.2">
      <c r="A46" t="s">
        <v>115</v>
      </c>
      <c r="B46" t="s">
        <v>116</v>
      </c>
      <c r="C46">
        <v>210784</v>
      </c>
      <c r="E46" t="s">
        <v>117</v>
      </c>
      <c r="F46">
        <v>368</v>
      </c>
      <c r="G46" t="s">
        <v>176</v>
      </c>
      <c r="H46" t="s">
        <v>177</v>
      </c>
      <c r="I46" t="s">
        <v>178</v>
      </c>
      <c r="J46" t="s">
        <v>179</v>
      </c>
      <c r="L46" t="s">
        <v>191</v>
      </c>
      <c r="M46" s="8">
        <v>45047</v>
      </c>
      <c r="N46">
        <v>7164787</v>
      </c>
      <c r="O46" t="s">
        <v>123</v>
      </c>
      <c r="P46" t="s">
        <v>124</v>
      </c>
      <c r="Q46">
        <v>23.16</v>
      </c>
      <c r="R46" t="s">
        <v>125</v>
      </c>
      <c r="S46" t="s">
        <v>126</v>
      </c>
      <c r="T46" t="s">
        <v>125</v>
      </c>
      <c r="U46" t="s">
        <v>126</v>
      </c>
      <c r="W46">
        <v>23.16</v>
      </c>
      <c r="Y46">
        <v>23.16</v>
      </c>
      <c r="AC46">
        <v>23.16</v>
      </c>
      <c r="BH46" t="s">
        <v>126</v>
      </c>
      <c r="BI46" t="s">
        <v>126</v>
      </c>
      <c r="BJ46" t="s">
        <v>126</v>
      </c>
      <c r="BK46" t="s">
        <v>126</v>
      </c>
      <c r="BS46" t="s">
        <v>126</v>
      </c>
      <c r="BT46" t="s">
        <v>126</v>
      </c>
      <c r="BU46" t="s">
        <v>126</v>
      </c>
      <c r="BV46" t="s">
        <v>126</v>
      </c>
      <c r="CN46" t="s">
        <v>181</v>
      </c>
      <c r="CP46" t="s">
        <v>189</v>
      </c>
      <c r="CQ46" t="s">
        <v>181</v>
      </c>
    </row>
    <row r="47" spans="1:95" x14ac:dyDescent="0.2">
      <c r="A47" t="s">
        <v>115</v>
      </c>
      <c r="B47" t="s">
        <v>116</v>
      </c>
      <c r="C47">
        <v>210784</v>
      </c>
      <c r="E47" t="s">
        <v>117</v>
      </c>
      <c r="F47">
        <v>368</v>
      </c>
      <c r="G47" t="s">
        <v>176</v>
      </c>
      <c r="H47" t="s">
        <v>177</v>
      </c>
      <c r="I47" t="s">
        <v>178</v>
      </c>
      <c r="J47" t="s">
        <v>179</v>
      </c>
      <c r="L47" t="s">
        <v>191</v>
      </c>
      <c r="M47" s="8">
        <v>45047</v>
      </c>
      <c r="N47">
        <v>7164789</v>
      </c>
      <c r="O47" t="s">
        <v>123</v>
      </c>
      <c r="P47" t="s">
        <v>124</v>
      </c>
      <c r="Q47">
        <v>22.2</v>
      </c>
      <c r="R47" t="s">
        <v>125</v>
      </c>
      <c r="S47" t="s">
        <v>126</v>
      </c>
      <c r="T47" t="s">
        <v>125</v>
      </c>
      <c r="U47" t="s">
        <v>126</v>
      </c>
      <c r="W47">
        <v>22.2</v>
      </c>
      <c r="Y47">
        <v>22.2</v>
      </c>
      <c r="AC47">
        <v>22.2</v>
      </c>
      <c r="BH47" t="s">
        <v>126</v>
      </c>
      <c r="BI47" t="s">
        <v>126</v>
      </c>
      <c r="BJ47" t="s">
        <v>126</v>
      </c>
      <c r="BK47" t="s">
        <v>126</v>
      </c>
      <c r="BS47" t="s">
        <v>126</v>
      </c>
      <c r="BT47" t="s">
        <v>126</v>
      </c>
      <c r="BU47" t="s">
        <v>126</v>
      </c>
      <c r="BV47" t="s">
        <v>126</v>
      </c>
      <c r="CN47" t="s">
        <v>181</v>
      </c>
      <c r="CP47" t="s">
        <v>189</v>
      </c>
      <c r="CQ47" t="s">
        <v>181</v>
      </c>
    </row>
    <row r="48" spans="1:95" x14ac:dyDescent="0.2">
      <c r="A48" t="s">
        <v>115</v>
      </c>
      <c r="B48" t="s">
        <v>116</v>
      </c>
      <c r="C48">
        <v>210784</v>
      </c>
      <c r="E48" t="s">
        <v>117</v>
      </c>
      <c r="F48">
        <v>368</v>
      </c>
      <c r="G48" t="s">
        <v>176</v>
      </c>
      <c r="H48" t="s">
        <v>177</v>
      </c>
      <c r="I48" t="s">
        <v>178</v>
      </c>
      <c r="J48" t="s">
        <v>179</v>
      </c>
      <c r="L48" t="s">
        <v>191</v>
      </c>
      <c r="M48" s="8">
        <v>45047</v>
      </c>
      <c r="N48">
        <v>7164814</v>
      </c>
      <c r="O48" t="s">
        <v>123</v>
      </c>
      <c r="P48" t="s">
        <v>124</v>
      </c>
      <c r="Q48">
        <v>21.12</v>
      </c>
      <c r="R48" t="s">
        <v>125</v>
      </c>
      <c r="S48" t="s">
        <v>126</v>
      </c>
      <c r="T48" t="s">
        <v>125</v>
      </c>
      <c r="U48" t="s">
        <v>126</v>
      </c>
      <c r="W48">
        <v>21.12</v>
      </c>
      <c r="Y48">
        <v>21.12</v>
      </c>
      <c r="AC48">
        <v>21.12</v>
      </c>
      <c r="BH48" t="s">
        <v>126</v>
      </c>
      <c r="BI48" t="s">
        <v>126</v>
      </c>
      <c r="BJ48" t="s">
        <v>126</v>
      </c>
      <c r="BK48" t="s">
        <v>126</v>
      </c>
      <c r="BS48" t="s">
        <v>126</v>
      </c>
      <c r="BT48" t="s">
        <v>126</v>
      </c>
      <c r="BU48" t="s">
        <v>126</v>
      </c>
      <c r="BV48" t="s">
        <v>126</v>
      </c>
      <c r="CN48" t="s">
        <v>181</v>
      </c>
      <c r="CP48" t="s">
        <v>189</v>
      </c>
      <c r="CQ48" t="s">
        <v>181</v>
      </c>
    </row>
    <row r="49" spans="1:95" x14ac:dyDescent="0.2">
      <c r="A49" t="s">
        <v>115</v>
      </c>
      <c r="B49" t="s">
        <v>116</v>
      </c>
      <c r="C49">
        <v>210784</v>
      </c>
      <c r="E49" t="s">
        <v>117</v>
      </c>
      <c r="F49">
        <v>368</v>
      </c>
      <c r="G49" t="s">
        <v>176</v>
      </c>
      <c r="H49" t="s">
        <v>177</v>
      </c>
      <c r="I49" t="s">
        <v>178</v>
      </c>
      <c r="J49" t="s">
        <v>179</v>
      </c>
      <c r="L49" t="s">
        <v>191</v>
      </c>
      <c r="M49" s="8">
        <v>45047</v>
      </c>
      <c r="N49">
        <v>7164816</v>
      </c>
      <c r="O49" t="s">
        <v>123</v>
      </c>
      <c r="P49" t="s">
        <v>124</v>
      </c>
      <c r="Q49">
        <v>22.65</v>
      </c>
      <c r="R49" t="s">
        <v>125</v>
      </c>
      <c r="S49" t="s">
        <v>126</v>
      </c>
      <c r="T49" t="s">
        <v>125</v>
      </c>
      <c r="U49" t="s">
        <v>126</v>
      </c>
      <c r="W49">
        <v>22.65</v>
      </c>
      <c r="Y49">
        <v>22.65</v>
      </c>
      <c r="AC49">
        <v>22.65</v>
      </c>
      <c r="BH49" t="s">
        <v>126</v>
      </c>
      <c r="BI49" t="s">
        <v>126</v>
      </c>
      <c r="BJ49" t="s">
        <v>126</v>
      </c>
      <c r="BK49" t="s">
        <v>126</v>
      </c>
      <c r="BS49" t="s">
        <v>126</v>
      </c>
      <c r="BT49" t="s">
        <v>126</v>
      </c>
      <c r="BU49" t="s">
        <v>126</v>
      </c>
      <c r="BV49" t="s">
        <v>126</v>
      </c>
      <c r="CN49" t="s">
        <v>181</v>
      </c>
      <c r="CP49" t="s">
        <v>189</v>
      </c>
      <c r="CQ49" t="s">
        <v>181</v>
      </c>
    </row>
    <row r="50" spans="1:95" x14ac:dyDescent="0.2">
      <c r="A50" t="s">
        <v>115</v>
      </c>
      <c r="B50" t="s">
        <v>116</v>
      </c>
      <c r="C50">
        <v>210784</v>
      </c>
      <c r="E50" t="s">
        <v>117</v>
      </c>
      <c r="F50">
        <v>368</v>
      </c>
      <c r="G50" t="s">
        <v>176</v>
      </c>
      <c r="H50" t="s">
        <v>177</v>
      </c>
      <c r="I50" t="s">
        <v>178</v>
      </c>
      <c r="J50" t="s">
        <v>179</v>
      </c>
      <c r="L50" t="s">
        <v>191</v>
      </c>
      <c r="M50" s="8">
        <v>45047</v>
      </c>
      <c r="N50">
        <v>7164818</v>
      </c>
      <c r="O50" t="s">
        <v>123</v>
      </c>
      <c r="P50" t="s">
        <v>124</v>
      </c>
      <c r="Q50">
        <v>16.88</v>
      </c>
      <c r="R50" t="s">
        <v>125</v>
      </c>
      <c r="S50" t="s">
        <v>126</v>
      </c>
      <c r="T50" t="s">
        <v>125</v>
      </c>
      <c r="U50" t="s">
        <v>126</v>
      </c>
      <c r="W50">
        <v>16.88</v>
      </c>
      <c r="Y50">
        <v>16.88</v>
      </c>
      <c r="AC50">
        <v>16.88</v>
      </c>
      <c r="BH50" t="s">
        <v>126</v>
      </c>
      <c r="BI50" t="s">
        <v>126</v>
      </c>
      <c r="BJ50" t="s">
        <v>126</v>
      </c>
      <c r="BK50" t="s">
        <v>126</v>
      </c>
      <c r="BS50" t="s">
        <v>126</v>
      </c>
      <c r="BT50" t="s">
        <v>126</v>
      </c>
      <c r="BU50" t="s">
        <v>126</v>
      </c>
      <c r="BV50" t="s">
        <v>126</v>
      </c>
      <c r="CN50" t="s">
        <v>181</v>
      </c>
      <c r="CP50" t="s">
        <v>189</v>
      </c>
      <c r="CQ50" t="s">
        <v>181</v>
      </c>
    </row>
    <row r="51" spans="1:95" x14ac:dyDescent="0.2">
      <c r="A51" t="s">
        <v>115</v>
      </c>
      <c r="B51" t="s">
        <v>116</v>
      </c>
      <c r="C51">
        <v>210784</v>
      </c>
      <c r="E51" t="s">
        <v>117</v>
      </c>
      <c r="F51">
        <v>368</v>
      </c>
      <c r="G51" t="s">
        <v>176</v>
      </c>
      <c r="H51" t="s">
        <v>177</v>
      </c>
      <c r="I51" t="s">
        <v>178</v>
      </c>
      <c r="J51" t="s">
        <v>179</v>
      </c>
      <c r="L51" t="s">
        <v>191</v>
      </c>
      <c r="M51" s="8">
        <v>45047</v>
      </c>
      <c r="N51">
        <v>7164863</v>
      </c>
      <c r="O51" t="s">
        <v>123</v>
      </c>
      <c r="P51" t="s">
        <v>124</v>
      </c>
      <c r="Q51">
        <v>18.21</v>
      </c>
      <c r="R51" t="s">
        <v>125</v>
      </c>
      <c r="S51" t="s">
        <v>126</v>
      </c>
      <c r="T51" t="s">
        <v>125</v>
      </c>
      <c r="U51" t="s">
        <v>126</v>
      </c>
      <c r="W51">
        <v>18.21</v>
      </c>
      <c r="Y51">
        <v>18.21</v>
      </c>
      <c r="AC51">
        <v>18.21</v>
      </c>
      <c r="BH51" t="s">
        <v>126</v>
      </c>
      <c r="BI51" t="s">
        <v>126</v>
      </c>
      <c r="BJ51" t="s">
        <v>126</v>
      </c>
      <c r="BK51" t="s">
        <v>126</v>
      </c>
      <c r="BS51" t="s">
        <v>126</v>
      </c>
      <c r="BT51" t="s">
        <v>126</v>
      </c>
      <c r="BU51" t="s">
        <v>126</v>
      </c>
      <c r="BV51" t="s">
        <v>126</v>
      </c>
      <c r="CN51" t="s">
        <v>181</v>
      </c>
      <c r="CP51" t="s">
        <v>189</v>
      </c>
      <c r="CQ51" t="s">
        <v>181</v>
      </c>
    </row>
    <row r="52" spans="1:95" x14ac:dyDescent="0.2">
      <c r="A52" t="s">
        <v>115</v>
      </c>
      <c r="B52" t="s">
        <v>116</v>
      </c>
      <c r="C52">
        <v>210784</v>
      </c>
      <c r="E52" t="s">
        <v>117</v>
      </c>
      <c r="F52">
        <v>368</v>
      </c>
      <c r="G52" t="s">
        <v>176</v>
      </c>
      <c r="H52" t="s">
        <v>177</v>
      </c>
      <c r="I52" t="s">
        <v>178</v>
      </c>
      <c r="J52" t="s">
        <v>179</v>
      </c>
      <c r="L52" t="s">
        <v>191</v>
      </c>
      <c r="M52" s="8">
        <v>45047</v>
      </c>
      <c r="N52">
        <v>7164864</v>
      </c>
      <c r="O52" t="s">
        <v>123</v>
      </c>
      <c r="P52" t="s">
        <v>124</v>
      </c>
      <c r="Q52">
        <v>20.149999999999999</v>
      </c>
      <c r="R52" t="s">
        <v>125</v>
      </c>
      <c r="S52" t="s">
        <v>126</v>
      </c>
      <c r="T52" t="s">
        <v>125</v>
      </c>
      <c r="U52" t="s">
        <v>126</v>
      </c>
      <c r="W52">
        <v>20.149999999999999</v>
      </c>
      <c r="Y52">
        <v>20.149999999999999</v>
      </c>
      <c r="AC52">
        <v>20.149999999999999</v>
      </c>
      <c r="BH52" t="s">
        <v>126</v>
      </c>
      <c r="BI52" t="s">
        <v>126</v>
      </c>
      <c r="BJ52" t="s">
        <v>126</v>
      </c>
      <c r="BK52" t="s">
        <v>126</v>
      </c>
      <c r="BS52" t="s">
        <v>126</v>
      </c>
      <c r="BT52" t="s">
        <v>126</v>
      </c>
      <c r="BU52" t="s">
        <v>126</v>
      </c>
      <c r="BV52" t="s">
        <v>126</v>
      </c>
      <c r="CN52" t="s">
        <v>181</v>
      </c>
      <c r="CP52" t="s">
        <v>189</v>
      </c>
      <c r="CQ52" t="s">
        <v>181</v>
      </c>
    </row>
    <row r="53" spans="1:95" x14ac:dyDescent="0.2">
      <c r="A53" t="s">
        <v>115</v>
      </c>
      <c r="B53" t="s">
        <v>116</v>
      </c>
      <c r="C53">
        <v>210784</v>
      </c>
      <c r="E53" t="s">
        <v>117</v>
      </c>
      <c r="F53">
        <v>368</v>
      </c>
      <c r="G53" t="s">
        <v>176</v>
      </c>
      <c r="H53" t="s">
        <v>177</v>
      </c>
      <c r="I53" t="s">
        <v>178</v>
      </c>
      <c r="J53" t="s">
        <v>179</v>
      </c>
      <c r="L53" t="s">
        <v>191</v>
      </c>
      <c r="M53" s="8">
        <v>45047</v>
      </c>
      <c r="N53">
        <v>7164865</v>
      </c>
      <c r="O53" t="s">
        <v>123</v>
      </c>
      <c r="P53" t="s">
        <v>124</v>
      </c>
      <c r="Q53">
        <v>21.11</v>
      </c>
      <c r="R53" t="s">
        <v>125</v>
      </c>
      <c r="S53" t="s">
        <v>126</v>
      </c>
      <c r="T53" t="s">
        <v>125</v>
      </c>
      <c r="U53" t="s">
        <v>126</v>
      </c>
      <c r="W53">
        <v>21.11</v>
      </c>
      <c r="Y53">
        <v>21.11</v>
      </c>
      <c r="AC53">
        <v>21.11</v>
      </c>
      <c r="BH53" t="s">
        <v>126</v>
      </c>
      <c r="BI53" t="s">
        <v>126</v>
      </c>
      <c r="BJ53" t="s">
        <v>126</v>
      </c>
      <c r="BK53" t="s">
        <v>126</v>
      </c>
      <c r="BS53" t="s">
        <v>126</v>
      </c>
      <c r="BT53" t="s">
        <v>126</v>
      </c>
      <c r="BU53" t="s">
        <v>126</v>
      </c>
      <c r="BV53" t="s">
        <v>126</v>
      </c>
      <c r="CN53" t="s">
        <v>181</v>
      </c>
      <c r="CP53" t="s">
        <v>189</v>
      </c>
      <c r="CQ53" t="s">
        <v>181</v>
      </c>
    </row>
    <row r="54" spans="1:95" x14ac:dyDescent="0.2">
      <c r="A54" t="s">
        <v>115</v>
      </c>
      <c r="B54" t="s">
        <v>116</v>
      </c>
      <c r="C54">
        <v>210784</v>
      </c>
      <c r="E54" t="s">
        <v>117</v>
      </c>
      <c r="F54">
        <v>368</v>
      </c>
      <c r="G54" t="s">
        <v>176</v>
      </c>
      <c r="H54" t="s">
        <v>177</v>
      </c>
      <c r="I54" t="s">
        <v>178</v>
      </c>
      <c r="J54" t="s">
        <v>179</v>
      </c>
      <c r="L54" t="s">
        <v>191</v>
      </c>
      <c r="M54" s="8">
        <v>45047</v>
      </c>
      <c r="N54">
        <v>7164873</v>
      </c>
      <c r="O54" t="s">
        <v>123</v>
      </c>
      <c r="P54" t="s">
        <v>124</v>
      </c>
      <c r="Q54">
        <v>26.15</v>
      </c>
      <c r="R54" t="s">
        <v>125</v>
      </c>
      <c r="S54" t="s">
        <v>126</v>
      </c>
      <c r="T54" t="s">
        <v>125</v>
      </c>
      <c r="U54" t="s">
        <v>126</v>
      </c>
      <c r="W54">
        <v>26.15</v>
      </c>
      <c r="Y54">
        <v>26.15</v>
      </c>
      <c r="AC54">
        <v>26.15</v>
      </c>
      <c r="BH54" t="s">
        <v>126</v>
      </c>
      <c r="BI54" t="s">
        <v>126</v>
      </c>
      <c r="BJ54" t="s">
        <v>126</v>
      </c>
      <c r="BK54" t="s">
        <v>126</v>
      </c>
      <c r="BS54" t="s">
        <v>126</v>
      </c>
      <c r="BT54" t="s">
        <v>126</v>
      </c>
      <c r="BU54" t="s">
        <v>126</v>
      </c>
      <c r="BV54" t="s">
        <v>126</v>
      </c>
      <c r="CN54" t="s">
        <v>181</v>
      </c>
      <c r="CP54" t="s">
        <v>189</v>
      </c>
      <c r="CQ54" t="s">
        <v>181</v>
      </c>
    </row>
    <row r="55" spans="1:95" x14ac:dyDescent="0.2">
      <c r="A55" t="s">
        <v>115</v>
      </c>
      <c r="B55" t="s">
        <v>116</v>
      </c>
      <c r="C55">
        <v>210784</v>
      </c>
      <c r="E55" t="s">
        <v>117</v>
      </c>
      <c r="F55">
        <v>368</v>
      </c>
      <c r="G55" t="s">
        <v>176</v>
      </c>
      <c r="H55" t="s">
        <v>177</v>
      </c>
      <c r="I55" t="s">
        <v>178</v>
      </c>
      <c r="J55" t="s">
        <v>179</v>
      </c>
      <c r="L55" t="s">
        <v>191</v>
      </c>
      <c r="M55" s="8">
        <v>45047</v>
      </c>
      <c r="N55">
        <v>7164874</v>
      </c>
      <c r="O55" t="s">
        <v>123</v>
      </c>
      <c r="P55" t="s">
        <v>124</v>
      </c>
      <c r="Q55">
        <v>21.1</v>
      </c>
      <c r="R55" t="s">
        <v>125</v>
      </c>
      <c r="S55" t="s">
        <v>126</v>
      </c>
      <c r="T55" t="s">
        <v>125</v>
      </c>
      <c r="U55" t="s">
        <v>126</v>
      </c>
      <c r="W55">
        <v>21.1</v>
      </c>
      <c r="Y55">
        <v>21.1</v>
      </c>
      <c r="AC55">
        <v>21.1</v>
      </c>
      <c r="BH55" t="s">
        <v>126</v>
      </c>
      <c r="BI55" t="s">
        <v>126</v>
      </c>
      <c r="BJ55" t="s">
        <v>126</v>
      </c>
      <c r="BK55" t="s">
        <v>126</v>
      </c>
      <c r="BS55" t="s">
        <v>126</v>
      </c>
      <c r="BT55" t="s">
        <v>126</v>
      </c>
      <c r="BU55" t="s">
        <v>126</v>
      </c>
      <c r="BV55" t="s">
        <v>126</v>
      </c>
      <c r="CN55" t="s">
        <v>181</v>
      </c>
      <c r="CP55" t="s">
        <v>189</v>
      </c>
      <c r="CQ55" t="s">
        <v>181</v>
      </c>
    </row>
    <row r="56" spans="1:95" x14ac:dyDescent="0.2">
      <c r="A56" t="s">
        <v>115</v>
      </c>
      <c r="B56" t="s">
        <v>116</v>
      </c>
      <c r="C56">
        <v>210784</v>
      </c>
      <c r="E56" t="s">
        <v>117</v>
      </c>
      <c r="F56">
        <v>368</v>
      </c>
      <c r="G56" t="s">
        <v>176</v>
      </c>
      <c r="H56" t="s">
        <v>177</v>
      </c>
      <c r="I56" t="s">
        <v>178</v>
      </c>
      <c r="J56" t="s">
        <v>179</v>
      </c>
      <c r="L56" t="s">
        <v>191</v>
      </c>
      <c r="M56" s="8">
        <v>45047</v>
      </c>
      <c r="N56">
        <v>7164878</v>
      </c>
      <c r="O56" t="s">
        <v>123</v>
      </c>
      <c r="P56" t="s">
        <v>124</v>
      </c>
      <c r="Q56">
        <v>22.61</v>
      </c>
      <c r="R56" t="s">
        <v>125</v>
      </c>
      <c r="S56" t="s">
        <v>126</v>
      </c>
      <c r="T56" t="s">
        <v>125</v>
      </c>
      <c r="U56" t="s">
        <v>126</v>
      </c>
      <c r="W56">
        <v>22.61</v>
      </c>
      <c r="Y56">
        <v>22.61</v>
      </c>
      <c r="AC56">
        <v>22.61</v>
      </c>
      <c r="BH56" t="s">
        <v>126</v>
      </c>
      <c r="BI56" t="s">
        <v>126</v>
      </c>
      <c r="BJ56" t="s">
        <v>126</v>
      </c>
      <c r="BK56" t="s">
        <v>126</v>
      </c>
      <c r="BS56" t="s">
        <v>126</v>
      </c>
      <c r="BT56" t="s">
        <v>126</v>
      </c>
      <c r="BU56" t="s">
        <v>126</v>
      </c>
      <c r="BV56" t="s">
        <v>126</v>
      </c>
      <c r="CN56" t="s">
        <v>181</v>
      </c>
      <c r="CP56" t="s">
        <v>189</v>
      </c>
      <c r="CQ56" t="s">
        <v>181</v>
      </c>
    </row>
    <row r="57" spans="1:95" x14ac:dyDescent="0.2">
      <c r="A57" t="s">
        <v>115</v>
      </c>
      <c r="B57" t="s">
        <v>116</v>
      </c>
      <c r="C57">
        <v>210784</v>
      </c>
      <c r="E57" t="s">
        <v>117</v>
      </c>
      <c r="F57">
        <v>368</v>
      </c>
      <c r="G57" t="s">
        <v>176</v>
      </c>
      <c r="H57" t="s">
        <v>177</v>
      </c>
      <c r="I57" t="s">
        <v>178</v>
      </c>
      <c r="J57" t="s">
        <v>179</v>
      </c>
      <c r="L57" t="s">
        <v>191</v>
      </c>
      <c r="M57" s="8">
        <v>45047</v>
      </c>
      <c r="N57">
        <v>7164898</v>
      </c>
      <c r="O57" t="s">
        <v>123</v>
      </c>
      <c r="P57" t="s">
        <v>124</v>
      </c>
      <c r="Q57">
        <v>22.05</v>
      </c>
      <c r="R57" t="s">
        <v>125</v>
      </c>
      <c r="S57" t="s">
        <v>126</v>
      </c>
      <c r="T57" t="s">
        <v>125</v>
      </c>
      <c r="U57" t="s">
        <v>126</v>
      </c>
      <c r="W57">
        <v>22.05</v>
      </c>
      <c r="Y57">
        <v>22.05</v>
      </c>
      <c r="AC57">
        <v>22.05</v>
      </c>
      <c r="BH57" t="s">
        <v>126</v>
      </c>
      <c r="BI57" t="s">
        <v>126</v>
      </c>
      <c r="BJ57" t="s">
        <v>126</v>
      </c>
      <c r="BK57" t="s">
        <v>126</v>
      </c>
      <c r="BS57" t="s">
        <v>126</v>
      </c>
      <c r="BT57" t="s">
        <v>126</v>
      </c>
      <c r="BU57" t="s">
        <v>126</v>
      </c>
      <c r="BV57" t="s">
        <v>126</v>
      </c>
      <c r="CN57" t="s">
        <v>181</v>
      </c>
      <c r="CP57" t="s">
        <v>189</v>
      </c>
      <c r="CQ57" t="s">
        <v>181</v>
      </c>
    </row>
    <row r="58" spans="1:95" x14ac:dyDescent="0.2">
      <c r="A58" t="s">
        <v>115</v>
      </c>
      <c r="B58" t="s">
        <v>116</v>
      </c>
      <c r="C58">
        <v>210784</v>
      </c>
      <c r="E58" t="s">
        <v>117</v>
      </c>
      <c r="F58">
        <v>368</v>
      </c>
      <c r="G58" t="s">
        <v>176</v>
      </c>
      <c r="H58" t="s">
        <v>177</v>
      </c>
      <c r="I58" t="s">
        <v>178</v>
      </c>
      <c r="J58" t="s">
        <v>179</v>
      </c>
      <c r="L58" t="s">
        <v>191</v>
      </c>
      <c r="M58" s="8">
        <v>45047</v>
      </c>
      <c r="N58">
        <v>7164902</v>
      </c>
      <c r="O58" t="s">
        <v>123</v>
      </c>
      <c r="P58" t="s">
        <v>124</v>
      </c>
      <c r="Q58">
        <v>24.43</v>
      </c>
      <c r="R58" t="s">
        <v>125</v>
      </c>
      <c r="S58" t="s">
        <v>126</v>
      </c>
      <c r="T58" t="s">
        <v>125</v>
      </c>
      <c r="U58" t="s">
        <v>126</v>
      </c>
      <c r="W58">
        <v>24.43</v>
      </c>
      <c r="Y58">
        <v>24.43</v>
      </c>
      <c r="AC58">
        <v>24.43</v>
      </c>
      <c r="BH58" t="s">
        <v>126</v>
      </c>
      <c r="BI58" t="s">
        <v>126</v>
      </c>
      <c r="BJ58" t="s">
        <v>126</v>
      </c>
      <c r="BK58" t="s">
        <v>126</v>
      </c>
      <c r="BS58" t="s">
        <v>126</v>
      </c>
      <c r="BT58" t="s">
        <v>126</v>
      </c>
      <c r="BU58" t="s">
        <v>126</v>
      </c>
      <c r="BV58" t="s">
        <v>126</v>
      </c>
      <c r="CN58" t="s">
        <v>181</v>
      </c>
      <c r="CP58" t="s">
        <v>189</v>
      </c>
      <c r="CQ58" t="s">
        <v>181</v>
      </c>
    </row>
    <row r="59" spans="1:95" x14ac:dyDescent="0.2">
      <c r="A59" t="s">
        <v>115</v>
      </c>
      <c r="B59" t="s">
        <v>116</v>
      </c>
      <c r="C59">
        <v>210784</v>
      </c>
      <c r="E59" t="s">
        <v>117</v>
      </c>
      <c r="F59">
        <v>368</v>
      </c>
      <c r="G59" t="s">
        <v>176</v>
      </c>
      <c r="H59" t="s">
        <v>177</v>
      </c>
      <c r="I59" t="s">
        <v>178</v>
      </c>
      <c r="J59" t="s">
        <v>179</v>
      </c>
      <c r="L59" t="s">
        <v>191</v>
      </c>
      <c r="M59" s="8">
        <v>45047</v>
      </c>
      <c r="N59">
        <v>7164909</v>
      </c>
      <c r="O59" t="s">
        <v>123</v>
      </c>
      <c r="P59" t="s">
        <v>124</v>
      </c>
      <c r="Q59">
        <v>24.16</v>
      </c>
      <c r="R59" t="s">
        <v>125</v>
      </c>
      <c r="S59" t="s">
        <v>126</v>
      </c>
      <c r="T59" t="s">
        <v>125</v>
      </c>
      <c r="U59" t="s">
        <v>126</v>
      </c>
      <c r="W59">
        <v>24.16</v>
      </c>
      <c r="Y59">
        <v>24.16</v>
      </c>
      <c r="AC59">
        <v>24.16</v>
      </c>
      <c r="BH59" t="s">
        <v>126</v>
      </c>
      <c r="BI59" t="s">
        <v>126</v>
      </c>
      <c r="BJ59" t="s">
        <v>126</v>
      </c>
      <c r="BK59" t="s">
        <v>126</v>
      </c>
      <c r="BS59" t="s">
        <v>126</v>
      </c>
      <c r="BT59" t="s">
        <v>126</v>
      </c>
      <c r="BU59" t="s">
        <v>126</v>
      </c>
      <c r="BV59" t="s">
        <v>126</v>
      </c>
      <c r="CN59" t="s">
        <v>181</v>
      </c>
      <c r="CP59" t="s">
        <v>189</v>
      </c>
      <c r="CQ59" t="s">
        <v>181</v>
      </c>
    </row>
    <row r="60" spans="1:95" x14ac:dyDescent="0.2">
      <c r="A60" t="s">
        <v>115</v>
      </c>
      <c r="B60" t="s">
        <v>116</v>
      </c>
      <c r="C60">
        <v>210784</v>
      </c>
      <c r="E60" t="s">
        <v>117</v>
      </c>
      <c r="F60">
        <v>368</v>
      </c>
      <c r="G60" t="s">
        <v>176</v>
      </c>
      <c r="H60" t="s">
        <v>177</v>
      </c>
      <c r="I60" t="s">
        <v>178</v>
      </c>
      <c r="J60" t="s">
        <v>179</v>
      </c>
      <c r="L60" t="s">
        <v>191</v>
      </c>
      <c r="M60" s="8">
        <v>45047</v>
      </c>
      <c r="N60">
        <v>7164904</v>
      </c>
      <c r="O60" t="s">
        <v>123</v>
      </c>
      <c r="P60" t="s">
        <v>124</v>
      </c>
      <c r="Q60">
        <v>25.6</v>
      </c>
      <c r="R60" t="s">
        <v>125</v>
      </c>
      <c r="S60" t="s">
        <v>126</v>
      </c>
      <c r="T60" t="s">
        <v>125</v>
      </c>
      <c r="U60" t="s">
        <v>126</v>
      </c>
      <c r="W60">
        <v>25.6</v>
      </c>
      <c r="Y60">
        <v>25.6</v>
      </c>
      <c r="AC60">
        <v>25.6</v>
      </c>
      <c r="BH60" t="s">
        <v>126</v>
      </c>
      <c r="BI60" t="s">
        <v>126</v>
      </c>
      <c r="BJ60" t="s">
        <v>126</v>
      </c>
      <c r="BK60" t="s">
        <v>126</v>
      </c>
      <c r="BS60" t="s">
        <v>126</v>
      </c>
      <c r="BT60" t="s">
        <v>126</v>
      </c>
      <c r="BU60" t="s">
        <v>126</v>
      </c>
      <c r="BV60" t="s">
        <v>126</v>
      </c>
      <c r="CN60" t="s">
        <v>181</v>
      </c>
      <c r="CP60" t="s">
        <v>189</v>
      </c>
      <c r="CQ60" t="s">
        <v>181</v>
      </c>
    </row>
    <row r="61" spans="1:95" x14ac:dyDescent="0.2">
      <c r="A61" t="s">
        <v>115</v>
      </c>
      <c r="B61" t="s">
        <v>116</v>
      </c>
      <c r="C61">
        <v>210784</v>
      </c>
      <c r="E61" t="s">
        <v>117</v>
      </c>
      <c r="F61">
        <v>368</v>
      </c>
      <c r="G61" t="s">
        <v>176</v>
      </c>
      <c r="H61" t="s">
        <v>177</v>
      </c>
      <c r="I61" t="s">
        <v>178</v>
      </c>
      <c r="J61" t="s">
        <v>179</v>
      </c>
      <c r="L61" t="s">
        <v>191</v>
      </c>
      <c r="M61" s="8">
        <v>45047</v>
      </c>
      <c r="N61">
        <v>7164910</v>
      </c>
      <c r="O61" t="s">
        <v>123</v>
      </c>
      <c r="P61" t="s">
        <v>124</v>
      </c>
      <c r="Q61">
        <v>22.85</v>
      </c>
      <c r="R61" t="s">
        <v>125</v>
      </c>
      <c r="S61" t="s">
        <v>126</v>
      </c>
      <c r="T61" t="s">
        <v>125</v>
      </c>
      <c r="U61" t="s">
        <v>126</v>
      </c>
      <c r="W61">
        <v>22.85</v>
      </c>
      <c r="Y61">
        <v>22.85</v>
      </c>
      <c r="AC61">
        <v>22.85</v>
      </c>
      <c r="BH61" t="s">
        <v>126</v>
      </c>
      <c r="BI61" t="s">
        <v>126</v>
      </c>
      <c r="BJ61" t="s">
        <v>126</v>
      </c>
      <c r="BK61" t="s">
        <v>126</v>
      </c>
      <c r="BS61" t="s">
        <v>126</v>
      </c>
      <c r="BT61" t="s">
        <v>126</v>
      </c>
      <c r="BU61" t="s">
        <v>126</v>
      </c>
      <c r="BV61" t="s">
        <v>126</v>
      </c>
      <c r="CN61" t="s">
        <v>181</v>
      </c>
      <c r="CP61" t="s">
        <v>189</v>
      </c>
      <c r="CQ61" t="s">
        <v>181</v>
      </c>
    </row>
    <row r="62" spans="1:95" x14ac:dyDescent="0.2">
      <c r="A62" t="s">
        <v>115</v>
      </c>
      <c r="B62" t="s">
        <v>116</v>
      </c>
      <c r="C62">
        <v>210784</v>
      </c>
      <c r="E62" t="s">
        <v>117</v>
      </c>
      <c r="F62">
        <v>368</v>
      </c>
      <c r="G62" t="s">
        <v>176</v>
      </c>
      <c r="H62" t="s">
        <v>177</v>
      </c>
      <c r="I62" t="s">
        <v>178</v>
      </c>
      <c r="J62" t="s">
        <v>179</v>
      </c>
      <c r="L62" t="s">
        <v>191</v>
      </c>
      <c r="M62" s="8">
        <v>45047</v>
      </c>
      <c r="N62">
        <v>7164912</v>
      </c>
      <c r="O62" t="s">
        <v>123</v>
      </c>
      <c r="P62" t="s">
        <v>124</v>
      </c>
      <c r="Q62">
        <v>4.57</v>
      </c>
      <c r="R62" t="s">
        <v>125</v>
      </c>
      <c r="S62" t="s">
        <v>126</v>
      </c>
      <c r="T62" t="s">
        <v>125</v>
      </c>
      <c r="U62" t="s">
        <v>126</v>
      </c>
      <c r="W62">
        <v>4.57</v>
      </c>
      <c r="Y62">
        <v>4.57</v>
      </c>
      <c r="AC62">
        <v>4.57</v>
      </c>
      <c r="BH62" t="s">
        <v>126</v>
      </c>
      <c r="BI62" t="s">
        <v>126</v>
      </c>
      <c r="BJ62" t="s">
        <v>126</v>
      </c>
      <c r="BK62" t="s">
        <v>126</v>
      </c>
      <c r="BS62" t="s">
        <v>126</v>
      </c>
      <c r="BT62" t="s">
        <v>126</v>
      </c>
      <c r="BU62" t="s">
        <v>126</v>
      </c>
      <c r="BV62" t="s">
        <v>126</v>
      </c>
      <c r="CN62" t="s">
        <v>181</v>
      </c>
      <c r="CP62" t="s">
        <v>189</v>
      </c>
      <c r="CQ62" t="s">
        <v>181</v>
      </c>
    </row>
    <row r="63" spans="1:95" x14ac:dyDescent="0.2">
      <c r="A63" t="s">
        <v>115</v>
      </c>
      <c r="B63" t="s">
        <v>116</v>
      </c>
      <c r="C63">
        <v>210784</v>
      </c>
      <c r="E63" t="s">
        <v>117</v>
      </c>
      <c r="F63">
        <v>368</v>
      </c>
      <c r="G63" t="s">
        <v>176</v>
      </c>
      <c r="H63" t="s">
        <v>177</v>
      </c>
      <c r="I63" t="s">
        <v>178</v>
      </c>
      <c r="J63" t="s">
        <v>179</v>
      </c>
      <c r="L63" t="s">
        <v>192</v>
      </c>
      <c r="M63" s="8">
        <v>45047</v>
      </c>
      <c r="N63">
        <v>7165033</v>
      </c>
      <c r="O63" t="s">
        <v>123</v>
      </c>
      <c r="P63" t="s">
        <v>124</v>
      </c>
      <c r="Q63">
        <v>21.83</v>
      </c>
      <c r="R63" t="s">
        <v>125</v>
      </c>
      <c r="S63" t="s">
        <v>126</v>
      </c>
      <c r="T63" t="s">
        <v>125</v>
      </c>
      <c r="U63" t="s">
        <v>126</v>
      </c>
      <c r="W63">
        <v>21.83</v>
      </c>
      <c r="Y63">
        <v>21.83</v>
      </c>
      <c r="AC63">
        <v>21.83</v>
      </c>
      <c r="BH63" t="s">
        <v>126</v>
      </c>
      <c r="BI63" t="s">
        <v>126</v>
      </c>
      <c r="BJ63" t="s">
        <v>126</v>
      </c>
      <c r="BK63" t="s">
        <v>126</v>
      </c>
      <c r="BS63" t="s">
        <v>126</v>
      </c>
      <c r="BT63" t="s">
        <v>126</v>
      </c>
      <c r="BU63" t="s">
        <v>126</v>
      </c>
      <c r="BV63" t="s">
        <v>126</v>
      </c>
      <c r="CN63" t="s">
        <v>181</v>
      </c>
      <c r="CP63" t="s">
        <v>189</v>
      </c>
      <c r="CQ63" t="s">
        <v>181</v>
      </c>
    </row>
    <row r="64" spans="1:95" x14ac:dyDescent="0.2">
      <c r="A64" t="s">
        <v>115</v>
      </c>
      <c r="B64" t="s">
        <v>116</v>
      </c>
      <c r="C64">
        <v>210784</v>
      </c>
      <c r="E64" t="s">
        <v>117</v>
      </c>
      <c r="F64">
        <v>368</v>
      </c>
      <c r="G64" t="s">
        <v>176</v>
      </c>
      <c r="H64" t="s">
        <v>177</v>
      </c>
      <c r="I64" t="s">
        <v>178</v>
      </c>
      <c r="J64" t="s">
        <v>179</v>
      </c>
      <c r="L64" t="s">
        <v>192</v>
      </c>
      <c r="M64" s="8">
        <v>45047</v>
      </c>
      <c r="N64">
        <v>7165035</v>
      </c>
      <c r="O64" t="s">
        <v>123</v>
      </c>
      <c r="P64" t="s">
        <v>124</v>
      </c>
      <c r="Q64">
        <v>20.84</v>
      </c>
      <c r="R64" t="s">
        <v>125</v>
      </c>
      <c r="S64" t="s">
        <v>126</v>
      </c>
      <c r="T64" t="s">
        <v>125</v>
      </c>
      <c r="U64" t="s">
        <v>126</v>
      </c>
      <c r="W64">
        <v>20.84</v>
      </c>
      <c r="Y64">
        <v>20.84</v>
      </c>
      <c r="AC64">
        <v>20.84</v>
      </c>
      <c r="BH64" t="s">
        <v>126</v>
      </c>
      <c r="BI64" t="s">
        <v>126</v>
      </c>
      <c r="BJ64" t="s">
        <v>126</v>
      </c>
      <c r="BK64" t="s">
        <v>126</v>
      </c>
      <c r="BS64" t="s">
        <v>126</v>
      </c>
      <c r="BT64" t="s">
        <v>126</v>
      </c>
      <c r="BU64" t="s">
        <v>126</v>
      </c>
      <c r="BV64" t="s">
        <v>126</v>
      </c>
      <c r="CN64" t="s">
        <v>181</v>
      </c>
      <c r="CP64" t="s">
        <v>189</v>
      </c>
      <c r="CQ64" t="s">
        <v>181</v>
      </c>
    </row>
    <row r="65" spans="1:95" x14ac:dyDescent="0.2">
      <c r="A65" t="s">
        <v>115</v>
      </c>
      <c r="B65" t="s">
        <v>116</v>
      </c>
      <c r="C65">
        <v>210784</v>
      </c>
      <c r="E65" t="s">
        <v>117</v>
      </c>
      <c r="F65">
        <v>368</v>
      </c>
      <c r="G65" t="s">
        <v>176</v>
      </c>
      <c r="H65" t="s">
        <v>177</v>
      </c>
      <c r="I65" t="s">
        <v>178</v>
      </c>
      <c r="J65" t="s">
        <v>179</v>
      </c>
      <c r="L65" t="s">
        <v>192</v>
      </c>
      <c r="M65" s="8">
        <v>45047</v>
      </c>
      <c r="N65">
        <v>7165038</v>
      </c>
      <c r="O65" t="s">
        <v>123</v>
      </c>
      <c r="P65" t="s">
        <v>124</v>
      </c>
      <c r="Q65">
        <v>21.66</v>
      </c>
      <c r="R65" t="s">
        <v>125</v>
      </c>
      <c r="S65" t="s">
        <v>126</v>
      </c>
      <c r="T65" t="s">
        <v>125</v>
      </c>
      <c r="U65" t="s">
        <v>126</v>
      </c>
      <c r="W65">
        <v>21.66</v>
      </c>
      <c r="Y65">
        <v>21.66</v>
      </c>
      <c r="AC65">
        <v>21.66</v>
      </c>
      <c r="BH65" t="s">
        <v>126</v>
      </c>
      <c r="BI65" t="s">
        <v>126</v>
      </c>
      <c r="BJ65" t="s">
        <v>126</v>
      </c>
      <c r="BK65" t="s">
        <v>126</v>
      </c>
      <c r="BS65" t="s">
        <v>126</v>
      </c>
      <c r="BT65" t="s">
        <v>126</v>
      </c>
      <c r="BU65" t="s">
        <v>126</v>
      </c>
      <c r="BV65" t="s">
        <v>126</v>
      </c>
      <c r="CN65" t="s">
        <v>181</v>
      </c>
      <c r="CP65" t="s">
        <v>189</v>
      </c>
      <c r="CQ65" t="s">
        <v>181</v>
      </c>
    </row>
    <row r="66" spans="1:95" x14ac:dyDescent="0.2">
      <c r="A66" t="s">
        <v>115</v>
      </c>
      <c r="B66" t="s">
        <v>116</v>
      </c>
      <c r="C66">
        <v>210784</v>
      </c>
      <c r="E66" t="s">
        <v>117</v>
      </c>
      <c r="F66">
        <v>368</v>
      </c>
      <c r="G66" t="s">
        <v>176</v>
      </c>
      <c r="H66" t="s">
        <v>177</v>
      </c>
      <c r="I66" t="s">
        <v>178</v>
      </c>
      <c r="J66" t="s">
        <v>179</v>
      </c>
      <c r="L66" t="s">
        <v>192</v>
      </c>
      <c r="M66" s="8">
        <v>45047</v>
      </c>
      <c r="N66">
        <v>7165041</v>
      </c>
      <c r="O66" t="s">
        <v>123</v>
      </c>
      <c r="P66" t="s">
        <v>124</v>
      </c>
      <c r="Q66">
        <v>19.04</v>
      </c>
      <c r="R66" t="s">
        <v>125</v>
      </c>
      <c r="S66" t="s">
        <v>126</v>
      </c>
      <c r="T66" t="s">
        <v>125</v>
      </c>
      <c r="U66" t="s">
        <v>126</v>
      </c>
      <c r="W66">
        <v>19.04</v>
      </c>
      <c r="Y66">
        <v>19.04</v>
      </c>
      <c r="AC66">
        <v>19.04</v>
      </c>
      <c r="BH66" t="s">
        <v>126</v>
      </c>
      <c r="BI66" t="s">
        <v>126</v>
      </c>
      <c r="BJ66" t="s">
        <v>126</v>
      </c>
      <c r="BK66" t="s">
        <v>126</v>
      </c>
      <c r="BS66" t="s">
        <v>126</v>
      </c>
      <c r="BT66" t="s">
        <v>126</v>
      </c>
      <c r="BU66" t="s">
        <v>126</v>
      </c>
      <c r="BV66" t="s">
        <v>126</v>
      </c>
      <c r="CN66" t="s">
        <v>181</v>
      </c>
      <c r="CP66" t="s">
        <v>189</v>
      </c>
      <c r="CQ66" t="s">
        <v>181</v>
      </c>
    </row>
    <row r="67" spans="1:95" x14ac:dyDescent="0.2">
      <c r="A67" t="s">
        <v>115</v>
      </c>
      <c r="B67" t="s">
        <v>116</v>
      </c>
      <c r="C67">
        <v>210784</v>
      </c>
      <c r="E67" t="s">
        <v>117</v>
      </c>
      <c r="F67">
        <v>368</v>
      </c>
      <c r="G67" t="s">
        <v>176</v>
      </c>
      <c r="H67" t="s">
        <v>177</v>
      </c>
      <c r="I67" t="s">
        <v>178</v>
      </c>
      <c r="J67" t="s">
        <v>179</v>
      </c>
      <c r="L67" t="s">
        <v>192</v>
      </c>
      <c r="M67" s="8">
        <v>45047</v>
      </c>
      <c r="N67">
        <v>7165069</v>
      </c>
      <c r="O67" t="s">
        <v>123</v>
      </c>
      <c r="P67" t="s">
        <v>124</v>
      </c>
      <c r="Q67">
        <v>21.31</v>
      </c>
      <c r="R67" t="s">
        <v>125</v>
      </c>
      <c r="S67" t="s">
        <v>126</v>
      </c>
      <c r="T67" t="s">
        <v>125</v>
      </c>
      <c r="U67" t="s">
        <v>126</v>
      </c>
      <c r="W67">
        <v>21.31</v>
      </c>
      <c r="Y67">
        <v>21.31</v>
      </c>
      <c r="AC67">
        <v>21.31</v>
      </c>
      <c r="BH67" t="s">
        <v>126</v>
      </c>
      <c r="BI67" t="s">
        <v>126</v>
      </c>
      <c r="BJ67" t="s">
        <v>126</v>
      </c>
      <c r="BK67" t="s">
        <v>126</v>
      </c>
      <c r="BS67" t="s">
        <v>126</v>
      </c>
      <c r="BT67" t="s">
        <v>126</v>
      </c>
      <c r="BU67" t="s">
        <v>126</v>
      </c>
      <c r="BV67" t="s">
        <v>126</v>
      </c>
      <c r="CN67" t="s">
        <v>181</v>
      </c>
      <c r="CP67" t="s">
        <v>189</v>
      </c>
      <c r="CQ67" t="s">
        <v>181</v>
      </c>
    </row>
    <row r="68" spans="1:95" x14ac:dyDescent="0.2">
      <c r="A68" t="s">
        <v>115</v>
      </c>
      <c r="B68" t="s">
        <v>116</v>
      </c>
      <c r="C68">
        <v>210784</v>
      </c>
      <c r="E68" t="s">
        <v>117</v>
      </c>
      <c r="F68">
        <v>368</v>
      </c>
      <c r="G68" t="s">
        <v>176</v>
      </c>
      <c r="H68" t="s">
        <v>177</v>
      </c>
      <c r="I68" t="s">
        <v>178</v>
      </c>
      <c r="J68" t="s">
        <v>179</v>
      </c>
      <c r="L68" t="s">
        <v>192</v>
      </c>
      <c r="M68" s="8">
        <v>45047</v>
      </c>
      <c r="N68">
        <v>7165070</v>
      </c>
      <c r="O68" t="s">
        <v>123</v>
      </c>
      <c r="P68" t="s">
        <v>124</v>
      </c>
      <c r="Q68">
        <v>20.51</v>
      </c>
      <c r="R68" t="s">
        <v>125</v>
      </c>
      <c r="S68" t="s">
        <v>126</v>
      </c>
      <c r="T68" t="s">
        <v>125</v>
      </c>
      <c r="U68" t="s">
        <v>126</v>
      </c>
      <c r="W68">
        <v>20.51</v>
      </c>
      <c r="Y68">
        <v>20.51</v>
      </c>
      <c r="AC68">
        <v>20.51</v>
      </c>
      <c r="BH68" t="s">
        <v>126</v>
      </c>
      <c r="BI68" t="s">
        <v>126</v>
      </c>
      <c r="BJ68" t="s">
        <v>126</v>
      </c>
      <c r="BK68" t="s">
        <v>126</v>
      </c>
      <c r="BS68" t="s">
        <v>126</v>
      </c>
      <c r="BT68" t="s">
        <v>126</v>
      </c>
      <c r="BU68" t="s">
        <v>126</v>
      </c>
      <c r="BV68" t="s">
        <v>126</v>
      </c>
      <c r="CN68" t="s">
        <v>181</v>
      </c>
      <c r="CP68" t="s">
        <v>189</v>
      </c>
      <c r="CQ68" t="s">
        <v>181</v>
      </c>
    </row>
    <row r="69" spans="1:95" x14ac:dyDescent="0.2">
      <c r="A69" t="s">
        <v>115</v>
      </c>
      <c r="B69" t="s">
        <v>116</v>
      </c>
      <c r="C69">
        <v>210784</v>
      </c>
      <c r="E69" t="s">
        <v>117</v>
      </c>
      <c r="F69">
        <v>368</v>
      </c>
      <c r="G69" t="s">
        <v>176</v>
      </c>
      <c r="H69" t="s">
        <v>177</v>
      </c>
      <c r="I69" t="s">
        <v>178</v>
      </c>
      <c r="J69" t="s">
        <v>179</v>
      </c>
      <c r="L69" t="s">
        <v>192</v>
      </c>
      <c r="M69" s="8">
        <v>45047</v>
      </c>
      <c r="N69">
        <v>7165074</v>
      </c>
      <c r="O69" t="s">
        <v>123</v>
      </c>
      <c r="P69" t="s">
        <v>124</v>
      </c>
      <c r="Q69">
        <v>20.14</v>
      </c>
      <c r="R69" t="s">
        <v>125</v>
      </c>
      <c r="S69" t="s">
        <v>126</v>
      </c>
      <c r="T69" t="s">
        <v>125</v>
      </c>
      <c r="U69" t="s">
        <v>126</v>
      </c>
      <c r="W69">
        <v>20.14</v>
      </c>
      <c r="Y69">
        <v>20.14</v>
      </c>
      <c r="AC69">
        <v>20.14</v>
      </c>
      <c r="BH69" t="s">
        <v>126</v>
      </c>
      <c r="BI69" t="s">
        <v>126</v>
      </c>
      <c r="BJ69" t="s">
        <v>126</v>
      </c>
      <c r="BK69" t="s">
        <v>126</v>
      </c>
      <c r="BS69" t="s">
        <v>126</v>
      </c>
      <c r="BT69" t="s">
        <v>126</v>
      </c>
      <c r="BU69" t="s">
        <v>126</v>
      </c>
      <c r="BV69" t="s">
        <v>126</v>
      </c>
      <c r="CN69" t="s">
        <v>181</v>
      </c>
      <c r="CP69" t="s">
        <v>189</v>
      </c>
      <c r="CQ69" t="s">
        <v>181</v>
      </c>
    </row>
    <row r="70" spans="1:95" x14ac:dyDescent="0.2">
      <c r="A70" t="s">
        <v>115</v>
      </c>
      <c r="B70" t="s">
        <v>116</v>
      </c>
      <c r="C70">
        <v>210784</v>
      </c>
      <c r="E70" t="s">
        <v>117</v>
      </c>
      <c r="F70">
        <v>368</v>
      </c>
      <c r="G70" t="s">
        <v>176</v>
      </c>
      <c r="H70" t="s">
        <v>177</v>
      </c>
      <c r="I70" t="s">
        <v>178</v>
      </c>
      <c r="J70" t="s">
        <v>179</v>
      </c>
      <c r="L70" t="s">
        <v>192</v>
      </c>
      <c r="M70" s="8">
        <v>45047</v>
      </c>
      <c r="N70">
        <v>7165075</v>
      </c>
      <c r="O70" t="s">
        <v>123</v>
      </c>
      <c r="P70" t="s">
        <v>124</v>
      </c>
      <c r="Q70">
        <v>22.93</v>
      </c>
      <c r="R70" t="s">
        <v>125</v>
      </c>
      <c r="S70" t="s">
        <v>126</v>
      </c>
      <c r="T70" t="s">
        <v>125</v>
      </c>
      <c r="U70" t="s">
        <v>126</v>
      </c>
      <c r="W70">
        <v>22.93</v>
      </c>
      <c r="Y70">
        <v>22.93</v>
      </c>
      <c r="AC70">
        <v>22.93</v>
      </c>
      <c r="BH70" t="s">
        <v>126</v>
      </c>
      <c r="BI70" t="s">
        <v>126</v>
      </c>
      <c r="BJ70" t="s">
        <v>126</v>
      </c>
      <c r="BK70" t="s">
        <v>126</v>
      </c>
      <c r="BS70" t="s">
        <v>126</v>
      </c>
      <c r="BT70" t="s">
        <v>126</v>
      </c>
      <c r="BU70" t="s">
        <v>126</v>
      </c>
      <c r="BV70" t="s">
        <v>126</v>
      </c>
      <c r="CN70" t="s">
        <v>181</v>
      </c>
      <c r="CP70" t="s">
        <v>189</v>
      </c>
      <c r="CQ70" t="s">
        <v>181</v>
      </c>
    </row>
    <row r="71" spans="1:95" x14ac:dyDescent="0.2">
      <c r="A71" t="s">
        <v>115</v>
      </c>
      <c r="B71" t="s">
        <v>116</v>
      </c>
      <c r="C71">
        <v>210784</v>
      </c>
      <c r="E71" t="s">
        <v>117</v>
      </c>
      <c r="F71">
        <v>368</v>
      </c>
      <c r="G71" t="s">
        <v>176</v>
      </c>
      <c r="H71" t="s">
        <v>177</v>
      </c>
      <c r="I71" t="s">
        <v>178</v>
      </c>
      <c r="J71" t="s">
        <v>179</v>
      </c>
      <c r="L71" t="s">
        <v>192</v>
      </c>
      <c r="M71" s="8">
        <v>45047</v>
      </c>
      <c r="N71">
        <v>7165076</v>
      </c>
      <c r="O71" t="s">
        <v>123</v>
      </c>
      <c r="P71" t="s">
        <v>124</v>
      </c>
      <c r="Q71">
        <v>17.25</v>
      </c>
      <c r="R71" t="s">
        <v>125</v>
      </c>
      <c r="S71" t="s">
        <v>126</v>
      </c>
      <c r="T71" t="s">
        <v>125</v>
      </c>
      <c r="U71" t="s">
        <v>126</v>
      </c>
      <c r="W71">
        <v>17.25</v>
      </c>
      <c r="Y71">
        <v>17.25</v>
      </c>
      <c r="AC71">
        <v>17.25</v>
      </c>
      <c r="BH71" t="s">
        <v>126</v>
      </c>
      <c r="BI71" t="s">
        <v>126</v>
      </c>
      <c r="BJ71" t="s">
        <v>126</v>
      </c>
      <c r="BK71" t="s">
        <v>126</v>
      </c>
      <c r="BS71" t="s">
        <v>126</v>
      </c>
      <c r="BT71" t="s">
        <v>126</v>
      </c>
      <c r="BU71" t="s">
        <v>126</v>
      </c>
      <c r="BV71" t="s">
        <v>126</v>
      </c>
      <c r="CN71" t="s">
        <v>181</v>
      </c>
      <c r="CP71" t="s">
        <v>189</v>
      </c>
      <c r="CQ71" t="s">
        <v>181</v>
      </c>
    </row>
    <row r="72" spans="1:95" x14ac:dyDescent="0.2">
      <c r="A72" t="s">
        <v>115</v>
      </c>
      <c r="B72" t="s">
        <v>116</v>
      </c>
      <c r="C72">
        <v>210784</v>
      </c>
      <c r="E72" t="s">
        <v>117</v>
      </c>
      <c r="F72">
        <v>368</v>
      </c>
      <c r="G72" t="s">
        <v>176</v>
      </c>
      <c r="H72" t="s">
        <v>177</v>
      </c>
      <c r="I72" t="s">
        <v>178</v>
      </c>
      <c r="J72" t="s">
        <v>179</v>
      </c>
      <c r="L72" t="s">
        <v>192</v>
      </c>
      <c r="M72" s="8">
        <v>45047</v>
      </c>
      <c r="N72">
        <v>7165090</v>
      </c>
      <c r="O72" t="s">
        <v>123</v>
      </c>
      <c r="P72" t="s">
        <v>124</v>
      </c>
      <c r="Q72">
        <v>24.27</v>
      </c>
      <c r="R72" t="s">
        <v>125</v>
      </c>
      <c r="S72" t="s">
        <v>126</v>
      </c>
      <c r="T72" t="s">
        <v>125</v>
      </c>
      <c r="U72" t="s">
        <v>126</v>
      </c>
      <c r="W72">
        <v>24.27</v>
      </c>
      <c r="Y72">
        <v>24.27</v>
      </c>
      <c r="AC72">
        <v>24.27</v>
      </c>
      <c r="BH72" t="s">
        <v>126</v>
      </c>
      <c r="BI72" t="s">
        <v>126</v>
      </c>
      <c r="BJ72" t="s">
        <v>126</v>
      </c>
      <c r="BK72" t="s">
        <v>126</v>
      </c>
      <c r="BS72" t="s">
        <v>126</v>
      </c>
      <c r="BT72" t="s">
        <v>126</v>
      </c>
      <c r="BU72" t="s">
        <v>126</v>
      </c>
      <c r="BV72" t="s">
        <v>126</v>
      </c>
      <c r="CN72" t="s">
        <v>181</v>
      </c>
      <c r="CP72" t="s">
        <v>189</v>
      </c>
      <c r="CQ72" t="s">
        <v>181</v>
      </c>
    </row>
    <row r="73" spans="1:95" x14ac:dyDescent="0.2">
      <c r="A73" t="s">
        <v>115</v>
      </c>
      <c r="B73" t="s">
        <v>116</v>
      </c>
      <c r="C73">
        <v>210784</v>
      </c>
      <c r="E73" t="s">
        <v>117</v>
      </c>
      <c r="F73">
        <v>368</v>
      </c>
      <c r="G73" t="s">
        <v>176</v>
      </c>
      <c r="H73" t="s">
        <v>177</v>
      </c>
      <c r="I73" t="s">
        <v>178</v>
      </c>
      <c r="J73" t="s">
        <v>179</v>
      </c>
      <c r="L73" t="s">
        <v>192</v>
      </c>
      <c r="M73" s="8">
        <v>45047</v>
      </c>
      <c r="N73">
        <v>7165110</v>
      </c>
      <c r="O73" t="s">
        <v>123</v>
      </c>
      <c r="P73" t="s">
        <v>124</v>
      </c>
      <c r="Q73">
        <v>23.81</v>
      </c>
      <c r="R73" t="s">
        <v>125</v>
      </c>
      <c r="S73" t="s">
        <v>126</v>
      </c>
      <c r="T73" t="s">
        <v>125</v>
      </c>
      <c r="U73" t="s">
        <v>126</v>
      </c>
      <c r="W73">
        <v>23.81</v>
      </c>
      <c r="Y73">
        <v>23.81</v>
      </c>
      <c r="AC73">
        <v>23.81</v>
      </c>
      <c r="BH73" t="s">
        <v>126</v>
      </c>
      <c r="BI73" t="s">
        <v>126</v>
      </c>
      <c r="BJ73" t="s">
        <v>126</v>
      </c>
      <c r="BK73" t="s">
        <v>126</v>
      </c>
      <c r="BS73" t="s">
        <v>126</v>
      </c>
      <c r="BT73" t="s">
        <v>126</v>
      </c>
      <c r="BU73" t="s">
        <v>126</v>
      </c>
      <c r="BV73" t="s">
        <v>126</v>
      </c>
      <c r="CN73" t="s">
        <v>181</v>
      </c>
      <c r="CP73" t="s">
        <v>189</v>
      </c>
      <c r="CQ73" t="s">
        <v>181</v>
      </c>
    </row>
    <row r="74" spans="1:95" x14ac:dyDescent="0.2">
      <c r="A74" t="s">
        <v>115</v>
      </c>
      <c r="B74" t="s">
        <v>116</v>
      </c>
      <c r="C74">
        <v>210784</v>
      </c>
      <c r="E74" t="s">
        <v>117</v>
      </c>
      <c r="F74">
        <v>368</v>
      </c>
      <c r="G74" t="s">
        <v>176</v>
      </c>
      <c r="H74" t="s">
        <v>177</v>
      </c>
      <c r="I74" t="s">
        <v>178</v>
      </c>
      <c r="J74" t="s">
        <v>179</v>
      </c>
      <c r="L74" t="s">
        <v>192</v>
      </c>
      <c r="M74" s="8">
        <v>45047</v>
      </c>
      <c r="N74">
        <v>7165111</v>
      </c>
      <c r="O74" t="s">
        <v>123</v>
      </c>
      <c r="P74" t="s">
        <v>124</v>
      </c>
      <c r="Q74">
        <v>19.68</v>
      </c>
      <c r="R74" t="s">
        <v>125</v>
      </c>
      <c r="S74" t="s">
        <v>126</v>
      </c>
      <c r="T74" t="s">
        <v>125</v>
      </c>
      <c r="U74" t="s">
        <v>126</v>
      </c>
      <c r="W74">
        <v>19.68</v>
      </c>
      <c r="Y74">
        <v>19.68</v>
      </c>
      <c r="AC74">
        <v>19.68</v>
      </c>
      <c r="BH74" t="s">
        <v>126</v>
      </c>
      <c r="BI74" t="s">
        <v>126</v>
      </c>
      <c r="BJ74" t="s">
        <v>126</v>
      </c>
      <c r="BK74" t="s">
        <v>126</v>
      </c>
      <c r="BS74" t="s">
        <v>126</v>
      </c>
      <c r="BT74" t="s">
        <v>126</v>
      </c>
      <c r="BU74" t="s">
        <v>126</v>
      </c>
      <c r="BV74" t="s">
        <v>126</v>
      </c>
      <c r="CN74" t="s">
        <v>181</v>
      </c>
      <c r="CP74" t="s">
        <v>189</v>
      </c>
      <c r="CQ74" t="s">
        <v>181</v>
      </c>
    </row>
    <row r="75" spans="1:95" x14ac:dyDescent="0.2">
      <c r="A75" t="s">
        <v>115</v>
      </c>
      <c r="B75" t="s">
        <v>116</v>
      </c>
      <c r="C75">
        <v>210784</v>
      </c>
      <c r="E75" t="s">
        <v>117</v>
      </c>
      <c r="F75">
        <v>368</v>
      </c>
      <c r="G75" t="s">
        <v>176</v>
      </c>
      <c r="H75" t="s">
        <v>177</v>
      </c>
      <c r="I75" t="s">
        <v>178</v>
      </c>
      <c r="J75" t="s">
        <v>179</v>
      </c>
      <c r="L75" t="s">
        <v>192</v>
      </c>
      <c r="M75" s="8">
        <v>45047</v>
      </c>
      <c r="N75">
        <v>7165114</v>
      </c>
      <c r="O75" t="s">
        <v>123</v>
      </c>
      <c r="P75" t="s">
        <v>124</v>
      </c>
      <c r="Q75">
        <v>18.899999999999999</v>
      </c>
      <c r="R75" t="s">
        <v>125</v>
      </c>
      <c r="S75" t="s">
        <v>126</v>
      </c>
      <c r="T75" t="s">
        <v>125</v>
      </c>
      <c r="U75" t="s">
        <v>126</v>
      </c>
      <c r="W75">
        <v>18.899999999999999</v>
      </c>
      <c r="Y75">
        <v>18.899999999999999</v>
      </c>
      <c r="AC75">
        <v>18.899999999999999</v>
      </c>
      <c r="BH75" t="s">
        <v>126</v>
      </c>
      <c r="BI75" t="s">
        <v>126</v>
      </c>
      <c r="BJ75" t="s">
        <v>126</v>
      </c>
      <c r="BK75" t="s">
        <v>126</v>
      </c>
      <c r="BS75" t="s">
        <v>126</v>
      </c>
      <c r="BT75" t="s">
        <v>126</v>
      </c>
      <c r="BU75" t="s">
        <v>126</v>
      </c>
      <c r="BV75" t="s">
        <v>126</v>
      </c>
      <c r="CN75" t="s">
        <v>181</v>
      </c>
      <c r="CP75" t="s">
        <v>189</v>
      </c>
      <c r="CQ75" t="s">
        <v>181</v>
      </c>
    </row>
    <row r="76" spans="1:95" x14ac:dyDescent="0.2">
      <c r="A76" t="s">
        <v>115</v>
      </c>
      <c r="B76" t="s">
        <v>116</v>
      </c>
      <c r="C76">
        <v>210784</v>
      </c>
      <c r="E76" t="s">
        <v>117</v>
      </c>
      <c r="F76">
        <v>368</v>
      </c>
      <c r="G76" t="s">
        <v>176</v>
      </c>
      <c r="H76" t="s">
        <v>177</v>
      </c>
      <c r="I76" t="s">
        <v>178</v>
      </c>
      <c r="J76" t="s">
        <v>179</v>
      </c>
      <c r="L76" t="s">
        <v>192</v>
      </c>
      <c r="M76" s="8">
        <v>45047</v>
      </c>
      <c r="N76">
        <v>7165115</v>
      </c>
      <c r="O76" t="s">
        <v>123</v>
      </c>
      <c r="P76" t="s">
        <v>124</v>
      </c>
      <c r="Q76">
        <v>19.309999999999999</v>
      </c>
      <c r="R76" t="s">
        <v>125</v>
      </c>
      <c r="S76" t="s">
        <v>126</v>
      </c>
      <c r="T76" t="s">
        <v>125</v>
      </c>
      <c r="U76" t="s">
        <v>126</v>
      </c>
      <c r="W76">
        <v>19.309999999999999</v>
      </c>
      <c r="Y76">
        <v>19.309999999999999</v>
      </c>
      <c r="AC76">
        <v>19.309999999999999</v>
      </c>
      <c r="BH76" t="s">
        <v>126</v>
      </c>
      <c r="BI76" t="s">
        <v>126</v>
      </c>
      <c r="BJ76" t="s">
        <v>126</v>
      </c>
      <c r="BK76" t="s">
        <v>126</v>
      </c>
      <c r="BS76" t="s">
        <v>126</v>
      </c>
      <c r="BT76" t="s">
        <v>126</v>
      </c>
      <c r="BU76" t="s">
        <v>126</v>
      </c>
      <c r="BV76" t="s">
        <v>126</v>
      </c>
      <c r="CN76" t="s">
        <v>181</v>
      </c>
      <c r="CP76" t="s">
        <v>189</v>
      </c>
      <c r="CQ76" t="s">
        <v>181</v>
      </c>
    </row>
    <row r="77" spans="1:95" x14ac:dyDescent="0.2">
      <c r="A77" t="s">
        <v>115</v>
      </c>
      <c r="B77" t="s">
        <v>116</v>
      </c>
      <c r="C77">
        <v>210784</v>
      </c>
      <c r="E77" t="s">
        <v>117</v>
      </c>
      <c r="F77">
        <v>368</v>
      </c>
      <c r="G77" t="s">
        <v>176</v>
      </c>
      <c r="H77" t="s">
        <v>177</v>
      </c>
      <c r="I77" t="s">
        <v>178</v>
      </c>
      <c r="J77" t="s">
        <v>179</v>
      </c>
      <c r="L77" t="s">
        <v>192</v>
      </c>
      <c r="M77" s="8">
        <v>45047</v>
      </c>
      <c r="N77">
        <v>7165118</v>
      </c>
      <c r="O77" t="s">
        <v>123</v>
      </c>
      <c r="P77" t="s">
        <v>124</v>
      </c>
      <c r="Q77">
        <v>21.95</v>
      </c>
      <c r="R77" t="s">
        <v>125</v>
      </c>
      <c r="S77" t="s">
        <v>126</v>
      </c>
      <c r="T77" t="s">
        <v>125</v>
      </c>
      <c r="U77" t="s">
        <v>126</v>
      </c>
      <c r="W77">
        <v>21.95</v>
      </c>
      <c r="Y77">
        <v>21.95</v>
      </c>
      <c r="AC77">
        <v>21.95</v>
      </c>
      <c r="BH77" t="s">
        <v>126</v>
      </c>
      <c r="BI77" t="s">
        <v>126</v>
      </c>
      <c r="BJ77" t="s">
        <v>126</v>
      </c>
      <c r="BK77" t="s">
        <v>126</v>
      </c>
      <c r="BS77" t="s">
        <v>126</v>
      </c>
      <c r="BT77" t="s">
        <v>126</v>
      </c>
      <c r="BU77" t="s">
        <v>126</v>
      </c>
      <c r="BV77" t="s">
        <v>126</v>
      </c>
      <c r="CN77" t="s">
        <v>181</v>
      </c>
      <c r="CP77" t="s">
        <v>189</v>
      </c>
      <c r="CQ77" t="s">
        <v>181</v>
      </c>
    </row>
    <row r="78" spans="1:95" x14ac:dyDescent="0.2">
      <c r="A78" t="s">
        <v>115</v>
      </c>
      <c r="B78" t="s">
        <v>116</v>
      </c>
      <c r="C78">
        <v>210784</v>
      </c>
      <c r="E78" t="s">
        <v>117</v>
      </c>
      <c r="F78">
        <v>368</v>
      </c>
      <c r="G78" t="s">
        <v>176</v>
      </c>
      <c r="H78" t="s">
        <v>177</v>
      </c>
      <c r="I78" t="s">
        <v>178</v>
      </c>
      <c r="J78" t="s">
        <v>179</v>
      </c>
      <c r="L78" t="s">
        <v>192</v>
      </c>
      <c r="M78" s="8">
        <v>45047</v>
      </c>
      <c r="N78">
        <v>7165122</v>
      </c>
      <c r="O78" t="s">
        <v>123</v>
      </c>
      <c r="P78" t="s">
        <v>124</v>
      </c>
      <c r="Q78">
        <v>22.62</v>
      </c>
      <c r="R78" t="s">
        <v>125</v>
      </c>
      <c r="S78" t="s">
        <v>126</v>
      </c>
      <c r="T78" t="s">
        <v>125</v>
      </c>
      <c r="U78" t="s">
        <v>126</v>
      </c>
      <c r="W78">
        <v>22.62</v>
      </c>
      <c r="Y78">
        <v>22.62</v>
      </c>
      <c r="AC78">
        <v>22.62</v>
      </c>
      <c r="BH78" t="s">
        <v>126</v>
      </c>
      <c r="BI78" t="s">
        <v>126</v>
      </c>
      <c r="BJ78" t="s">
        <v>126</v>
      </c>
      <c r="BK78" t="s">
        <v>126</v>
      </c>
      <c r="BS78" t="s">
        <v>126</v>
      </c>
      <c r="BT78" t="s">
        <v>126</v>
      </c>
      <c r="BU78" t="s">
        <v>126</v>
      </c>
      <c r="BV78" t="s">
        <v>126</v>
      </c>
      <c r="CN78" t="s">
        <v>181</v>
      </c>
      <c r="CP78" t="s">
        <v>189</v>
      </c>
      <c r="CQ78" t="s">
        <v>181</v>
      </c>
    </row>
    <row r="79" spans="1:95" x14ac:dyDescent="0.2">
      <c r="A79" t="s">
        <v>115</v>
      </c>
      <c r="B79" t="s">
        <v>116</v>
      </c>
      <c r="C79">
        <v>210784</v>
      </c>
      <c r="E79" t="s">
        <v>117</v>
      </c>
      <c r="F79">
        <v>368</v>
      </c>
      <c r="G79" t="s">
        <v>176</v>
      </c>
      <c r="H79" t="s">
        <v>177</v>
      </c>
      <c r="I79" t="s">
        <v>178</v>
      </c>
      <c r="J79" t="s">
        <v>179</v>
      </c>
      <c r="L79" t="s">
        <v>192</v>
      </c>
      <c r="M79" s="8">
        <v>45047</v>
      </c>
      <c r="N79">
        <v>7165146</v>
      </c>
      <c r="O79" t="s">
        <v>123</v>
      </c>
      <c r="P79" t="s">
        <v>124</v>
      </c>
      <c r="Q79">
        <v>22.43</v>
      </c>
      <c r="R79" t="s">
        <v>125</v>
      </c>
      <c r="S79" t="s">
        <v>126</v>
      </c>
      <c r="T79" t="s">
        <v>125</v>
      </c>
      <c r="U79" t="s">
        <v>126</v>
      </c>
      <c r="W79">
        <v>22.43</v>
      </c>
      <c r="Y79">
        <v>22.43</v>
      </c>
      <c r="AC79">
        <v>22.43</v>
      </c>
      <c r="BH79" t="s">
        <v>126</v>
      </c>
      <c r="BI79" t="s">
        <v>126</v>
      </c>
      <c r="BJ79" t="s">
        <v>126</v>
      </c>
      <c r="BK79" t="s">
        <v>126</v>
      </c>
      <c r="BS79" t="s">
        <v>126</v>
      </c>
      <c r="BT79" t="s">
        <v>126</v>
      </c>
      <c r="BU79" t="s">
        <v>126</v>
      </c>
      <c r="BV79" t="s">
        <v>126</v>
      </c>
      <c r="CN79" t="s">
        <v>181</v>
      </c>
      <c r="CP79" t="s">
        <v>189</v>
      </c>
      <c r="CQ79" t="s">
        <v>181</v>
      </c>
    </row>
    <row r="80" spans="1:95" x14ac:dyDescent="0.2">
      <c r="A80" t="s">
        <v>115</v>
      </c>
      <c r="B80" t="s">
        <v>116</v>
      </c>
      <c r="C80">
        <v>210784</v>
      </c>
      <c r="E80" t="s">
        <v>117</v>
      </c>
      <c r="F80">
        <v>368</v>
      </c>
      <c r="G80" t="s">
        <v>176</v>
      </c>
      <c r="H80" t="s">
        <v>177</v>
      </c>
      <c r="I80" t="s">
        <v>178</v>
      </c>
      <c r="J80" t="s">
        <v>179</v>
      </c>
      <c r="L80" t="s">
        <v>192</v>
      </c>
      <c r="M80" s="8">
        <v>45047</v>
      </c>
      <c r="N80">
        <v>7165147</v>
      </c>
      <c r="O80" t="s">
        <v>123</v>
      </c>
      <c r="P80" t="s">
        <v>124</v>
      </c>
      <c r="Q80">
        <v>24.39</v>
      </c>
      <c r="R80" t="s">
        <v>125</v>
      </c>
      <c r="S80" t="s">
        <v>126</v>
      </c>
      <c r="T80" t="s">
        <v>125</v>
      </c>
      <c r="U80" t="s">
        <v>126</v>
      </c>
      <c r="W80">
        <v>24.39</v>
      </c>
      <c r="Y80">
        <v>24.39</v>
      </c>
      <c r="AC80">
        <v>24.39</v>
      </c>
      <c r="BH80" t="s">
        <v>126</v>
      </c>
      <c r="BI80" t="s">
        <v>126</v>
      </c>
      <c r="BJ80" t="s">
        <v>126</v>
      </c>
      <c r="BK80" t="s">
        <v>126</v>
      </c>
      <c r="BS80" t="s">
        <v>126</v>
      </c>
      <c r="BT80" t="s">
        <v>126</v>
      </c>
      <c r="BU80" t="s">
        <v>126</v>
      </c>
      <c r="BV80" t="s">
        <v>126</v>
      </c>
      <c r="CN80" t="s">
        <v>181</v>
      </c>
      <c r="CP80" t="s">
        <v>189</v>
      </c>
      <c r="CQ80" t="s">
        <v>181</v>
      </c>
    </row>
    <row r="81" spans="1:95" x14ac:dyDescent="0.2">
      <c r="A81" t="s">
        <v>115</v>
      </c>
      <c r="B81" t="s">
        <v>116</v>
      </c>
      <c r="C81">
        <v>210784</v>
      </c>
      <c r="E81" t="s">
        <v>117</v>
      </c>
      <c r="F81">
        <v>368</v>
      </c>
      <c r="G81" t="s">
        <v>176</v>
      </c>
      <c r="H81" t="s">
        <v>177</v>
      </c>
      <c r="I81" t="s">
        <v>178</v>
      </c>
      <c r="J81" t="s">
        <v>179</v>
      </c>
      <c r="L81" t="s">
        <v>192</v>
      </c>
      <c r="M81" s="8">
        <v>45047</v>
      </c>
      <c r="N81">
        <v>7165158</v>
      </c>
      <c r="O81" t="s">
        <v>123</v>
      </c>
      <c r="P81" t="s">
        <v>124</v>
      </c>
      <c r="Q81">
        <v>24.87</v>
      </c>
      <c r="R81" t="s">
        <v>125</v>
      </c>
      <c r="S81" t="s">
        <v>126</v>
      </c>
      <c r="T81" t="s">
        <v>125</v>
      </c>
      <c r="U81" t="s">
        <v>126</v>
      </c>
      <c r="W81">
        <v>24.87</v>
      </c>
      <c r="Y81">
        <v>24.87</v>
      </c>
      <c r="AC81">
        <v>24.87</v>
      </c>
      <c r="BH81" t="s">
        <v>126</v>
      </c>
      <c r="BI81" t="s">
        <v>126</v>
      </c>
      <c r="BJ81" t="s">
        <v>126</v>
      </c>
      <c r="BK81" t="s">
        <v>126</v>
      </c>
      <c r="BS81" t="s">
        <v>126</v>
      </c>
      <c r="BT81" t="s">
        <v>126</v>
      </c>
      <c r="BU81" t="s">
        <v>126</v>
      </c>
      <c r="BV81" t="s">
        <v>126</v>
      </c>
      <c r="CN81" t="s">
        <v>181</v>
      </c>
      <c r="CP81" t="s">
        <v>189</v>
      </c>
      <c r="CQ81" t="s">
        <v>181</v>
      </c>
    </row>
    <row r="82" spans="1:95" x14ac:dyDescent="0.2">
      <c r="A82" t="s">
        <v>115</v>
      </c>
      <c r="B82" t="s">
        <v>116</v>
      </c>
      <c r="C82">
        <v>210784</v>
      </c>
      <c r="E82" t="s">
        <v>117</v>
      </c>
      <c r="F82">
        <v>368</v>
      </c>
      <c r="G82" t="s">
        <v>176</v>
      </c>
      <c r="H82" t="s">
        <v>177</v>
      </c>
      <c r="I82" t="s">
        <v>178</v>
      </c>
      <c r="J82" t="s">
        <v>179</v>
      </c>
      <c r="L82" t="s">
        <v>193</v>
      </c>
      <c r="M82" s="8">
        <v>45047</v>
      </c>
      <c r="N82">
        <v>7165261</v>
      </c>
      <c r="O82" t="s">
        <v>123</v>
      </c>
      <c r="P82" t="s">
        <v>124</v>
      </c>
      <c r="Q82">
        <v>21.87</v>
      </c>
      <c r="R82" t="s">
        <v>125</v>
      </c>
      <c r="S82" t="s">
        <v>126</v>
      </c>
      <c r="T82" t="s">
        <v>125</v>
      </c>
      <c r="U82" t="s">
        <v>126</v>
      </c>
      <c r="W82">
        <v>21.87</v>
      </c>
      <c r="Y82">
        <v>21.87</v>
      </c>
      <c r="AC82">
        <v>21.87</v>
      </c>
      <c r="BH82" t="s">
        <v>126</v>
      </c>
      <c r="BI82" t="s">
        <v>126</v>
      </c>
      <c r="BJ82" t="s">
        <v>126</v>
      </c>
      <c r="BK82" t="s">
        <v>126</v>
      </c>
      <c r="BS82" t="s">
        <v>126</v>
      </c>
      <c r="BT82" t="s">
        <v>126</v>
      </c>
      <c r="BU82" t="s">
        <v>126</v>
      </c>
      <c r="BV82" t="s">
        <v>126</v>
      </c>
      <c r="CN82" t="s">
        <v>181</v>
      </c>
      <c r="CP82" t="s">
        <v>189</v>
      </c>
      <c r="CQ82" t="s">
        <v>181</v>
      </c>
    </row>
    <row r="83" spans="1:95" x14ac:dyDescent="0.2">
      <c r="A83" t="s">
        <v>115</v>
      </c>
      <c r="B83" t="s">
        <v>116</v>
      </c>
      <c r="C83">
        <v>210784</v>
      </c>
      <c r="E83" t="s">
        <v>117</v>
      </c>
      <c r="F83">
        <v>368</v>
      </c>
      <c r="G83" t="s">
        <v>176</v>
      </c>
      <c r="H83" t="s">
        <v>177</v>
      </c>
      <c r="I83" t="s">
        <v>178</v>
      </c>
      <c r="J83" t="s">
        <v>179</v>
      </c>
      <c r="L83" t="s">
        <v>193</v>
      </c>
      <c r="M83" s="8">
        <v>45047</v>
      </c>
      <c r="N83">
        <v>7165287</v>
      </c>
      <c r="O83" t="s">
        <v>123</v>
      </c>
      <c r="P83" t="s">
        <v>124</v>
      </c>
      <c r="Q83">
        <v>24.97</v>
      </c>
      <c r="R83" t="s">
        <v>125</v>
      </c>
      <c r="S83" t="s">
        <v>126</v>
      </c>
      <c r="T83" t="s">
        <v>125</v>
      </c>
      <c r="U83" t="s">
        <v>126</v>
      </c>
      <c r="W83">
        <v>24.97</v>
      </c>
      <c r="Y83">
        <v>24.97</v>
      </c>
      <c r="AC83">
        <v>24.97</v>
      </c>
      <c r="BH83" t="s">
        <v>126</v>
      </c>
      <c r="BI83" t="s">
        <v>126</v>
      </c>
      <c r="BJ83" t="s">
        <v>126</v>
      </c>
      <c r="BK83" t="s">
        <v>126</v>
      </c>
      <c r="BS83" t="s">
        <v>126</v>
      </c>
      <c r="BT83" t="s">
        <v>126</v>
      </c>
      <c r="BU83" t="s">
        <v>126</v>
      </c>
      <c r="BV83" t="s">
        <v>126</v>
      </c>
      <c r="CN83" t="s">
        <v>181</v>
      </c>
      <c r="CP83" t="s">
        <v>189</v>
      </c>
      <c r="CQ83" t="s">
        <v>181</v>
      </c>
    </row>
    <row r="84" spans="1:95" x14ac:dyDescent="0.2">
      <c r="A84" t="s">
        <v>115</v>
      </c>
      <c r="B84" t="s">
        <v>116</v>
      </c>
      <c r="C84">
        <v>210784</v>
      </c>
      <c r="E84" t="s">
        <v>117</v>
      </c>
      <c r="F84">
        <v>368</v>
      </c>
      <c r="G84" t="s">
        <v>176</v>
      </c>
      <c r="H84" t="s">
        <v>177</v>
      </c>
      <c r="I84" t="s">
        <v>178</v>
      </c>
      <c r="J84" t="s">
        <v>179</v>
      </c>
      <c r="L84" t="s">
        <v>193</v>
      </c>
      <c r="M84" s="8">
        <v>45047</v>
      </c>
      <c r="N84">
        <v>7165292</v>
      </c>
      <c r="O84" t="s">
        <v>123</v>
      </c>
      <c r="P84" t="s">
        <v>124</v>
      </c>
      <c r="Q84">
        <v>24.81</v>
      </c>
      <c r="R84" t="s">
        <v>125</v>
      </c>
      <c r="S84" t="s">
        <v>126</v>
      </c>
      <c r="T84" t="s">
        <v>125</v>
      </c>
      <c r="U84" t="s">
        <v>126</v>
      </c>
      <c r="W84">
        <v>24.81</v>
      </c>
      <c r="Y84">
        <v>24.81</v>
      </c>
      <c r="AC84">
        <v>24.81</v>
      </c>
      <c r="BH84" t="s">
        <v>126</v>
      </c>
      <c r="BI84" t="s">
        <v>126</v>
      </c>
      <c r="BJ84" t="s">
        <v>126</v>
      </c>
      <c r="BK84" t="s">
        <v>126</v>
      </c>
      <c r="BS84" t="s">
        <v>126</v>
      </c>
      <c r="BT84" t="s">
        <v>126</v>
      </c>
      <c r="BU84" t="s">
        <v>126</v>
      </c>
      <c r="BV84" t="s">
        <v>126</v>
      </c>
      <c r="CN84" t="s">
        <v>181</v>
      </c>
      <c r="CP84" t="s">
        <v>189</v>
      </c>
      <c r="CQ84" t="s">
        <v>181</v>
      </c>
    </row>
    <row r="85" spans="1:95" x14ac:dyDescent="0.2">
      <c r="A85" t="s">
        <v>115</v>
      </c>
      <c r="B85" t="s">
        <v>116</v>
      </c>
      <c r="C85">
        <v>210784</v>
      </c>
      <c r="E85" t="s">
        <v>117</v>
      </c>
      <c r="F85">
        <v>368</v>
      </c>
      <c r="G85" t="s">
        <v>176</v>
      </c>
      <c r="H85" t="s">
        <v>177</v>
      </c>
      <c r="I85" t="s">
        <v>178</v>
      </c>
      <c r="J85" t="s">
        <v>179</v>
      </c>
      <c r="L85" t="s">
        <v>193</v>
      </c>
      <c r="M85" s="8">
        <v>45047</v>
      </c>
      <c r="N85">
        <v>7165294</v>
      </c>
      <c r="O85" t="s">
        <v>123</v>
      </c>
      <c r="P85" t="s">
        <v>124</v>
      </c>
      <c r="Q85">
        <v>27.77</v>
      </c>
      <c r="R85" t="s">
        <v>125</v>
      </c>
      <c r="S85" t="s">
        <v>126</v>
      </c>
      <c r="T85" t="s">
        <v>125</v>
      </c>
      <c r="U85" t="s">
        <v>126</v>
      </c>
      <c r="W85">
        <v>27.77</v>
      </c>
      <c r="Y85">
        <v>27.77</v>
      </c>
      <c r="AC85">
        <v>27.77</v>
      </c>
      <c r="BH85" t="s">
        <v>126</v>
      </c>
      <c r="BI85" t="s">
        <v>126</v>
      </c>
      <c r="BJ85" t="s">
        <v>126</v>
      </c>
      <c r="BK85" t="s">
        <v>126</v>
      </c>
      <c r="BS85" t="s">
        <v>126</v>
      </c>
      <c r="BT85" t="s">
        <v>126</v>
      </c>
      <c r="BU85" t="s">
        <v>126</v>
      </c>
      <c r="BV85" t="s">
        <v>126</v>
      </c>
      <c r="CN85" t="s">
        <v>181</v>
      </c>
      <c r="CP85" t="s">
        <v>189</v>
      </c>
      <c r="CQ85" t="s">
        <v>181</v>
      </c>
    </row>
    <row r="86" spans="1:95" x14ac:dyDescent="0.2">
      <c r="A86" t="s">
        <v>115</v>
      </c>
      <c r="B86" t="s">
        <v>116</v>
      </c>
      <c r="C86">
        <v>210784</v>
      </c>
      <c r="E86" t="s">
        <v>117</v>
      </c>
      <c r="F86">
        <v>368</v>
      </c>
      <c r="G86" t="s">
        <v>176</v>
      </c>
      <c r="H86" t="s">
        <v>177</v>
      </c>
      <c r="I86" t="s">
        <v>178</v>
      </c>
      <c r="J86" t="s">
        <v>179</v>
      </c>
      <c r="L86" t="s">
        <v>193</v>
      </c>
      <c r="M86" s="8">
        <v>45047</v>
      </c>
      <c r="N86">
        <v>7165295</v>
      </c>
      <c r="O86" t="s">
        <v>123</v>
      </c>
      <c r="P86" t="s">
        <v>124</v>
      </c>
      <c r="Q86">
        <v>24.34</v>
      </c>
      <c r="R86" t="s">
        <v>125</v>
      </c>
      <c r="S86" t="s">
        <v>126</v>
      </c>
      <c r="T86" t="s">
        <v>125</v>
      </c>
      <c r="U86" t="s">
        <v>126</v>
      </c>
      <c r="W86">
        <v>24.34</v>
      </c>
      <c r="Y86">
        <v>24.34</v>
      </c>
      <c r="AC86">
        <v>24.34</v>
      </c>
      <c r="BH86" t="s">
        <v>126</v>
      </c>
      <c r="BI86" t="s">
        <v>126</v>
      </c>
      <c r="BJ86" t="s">
        <v>126</v>
      </c>
      <c r="BK86" t="s">
        <v>126</v>
      </c>
      <c r="BS86" t="s">
        <v>126</v>
      </c>
      <c r="BT86" t="s">
        <v>126</v>
      </c>
      <c r="BU86" t="s">
        <v>126</v>
      </c>
      <c r="BV86" t="s">
        <v>126</v>
      </c>
      <c r="CN86" t="s">
        <v>181</v>
      </c>
      <c r="CP86" t="s">
        <v>189</v>
      </c>
      <c r="CQ86" t="s">
        <v>181</v>
      </c>
    </row>
    <row r="87" spans="1:95" x14ac:dyDescent="0.2">
      <c r="A87" t="s">
        <v>115</v>
      </c>
      <c r="B87" t="s">
        <v>116</v>
      </c>
      <c r="C87">
        <v>210784</v>
      </c>
      <c r="E87" t="s">
        <v>117</v>
      </c>
      <c r="F87">
        <v>368</v>
      </c>
      <c r="G87" t="s">
        <v>176</v>
      </c>
      <c r="H87" t="s">
        <v>177</v>
      </c>
      <c r="I87" t="s">
        <v>178</v>
      </c>
      <c r="J87" t="s">
        <v>179</v>
      </c>
      <c r="L87" t="s">
        <v>193</v>
      </c>
      <c r="M87" s="8">
        <v>45047</v>
      </c>
      <c r="N87">
        <v>7165301</v>
      </c>
      <c r="O87" t="s">
        <v>123</v>
      </c>
      <c r="P87" t="s">
        <v>124</v>
      </c>
      <c r="Q87">
        <v>22.61</v>
      </c>
      <c r="R87" t="s">
        <v>125</v>
      </c>
      <c r="S87" t="s">
        <v>126</v>
      </c>
      <c r="T87" t="s">
        <v>125</v>
      </c>
      <c r="U87" t="s">
        <v>126</v>
      </c>
      <c r="W87">
        <v>22.61</v>
      </c>
      <c r="Y87">
        <v>22.61</v>
      </c>
      <c r="AC87">
        <v>22.61</v>
      </c>
      <c r="BH87" t="s">
        <v>126</v>
      </c>
      <c r="BI87" t="s">
        <v>126</v>
      </c>
      <c r="BJ87" t="s">
        <v>126</v>
      </c>
      <c r="BK87" t="s">
        <v>126</v>
      </c>
      <c r="BS87" t="s">
        <v>126</v>
      </c>
      <c r="BT87" t="s">
        <v>126</v>
      </c>
      <c r="BU87" t="s">
        <v>126</v>
      </c>
      <c r="BV87" t="s">
        <v>126</v>
      </c>
      <c r="CN87" t="s">
        <v>181</v>
      </c>
      <c r="CP87" t="s">
        <v>189</v>
      </c>
      <c r="CQ87" t="s">
        <v>181</v>
      </c>
    </row>
    <row r="88" spans="1:95" x14ac:dyDescent="0.2">
      <c r="A88" t="s">
        <v>115</v>
      </c>
      <c r="B88" t="s">
        <v>116</v>
      </c>
      <c r="C88">
        <v>210784</v>
      </c>
      <c r="E88" t="s">
        <v>117</v>
      </c>
      <c r="F88">
        <v>368</v>
      </c>
      <c r="G88" t="s">
        <v>176</v>
      </c>
      <c r="H88" t="s">
        <v>177</v>
      </c>
      <c r="I88" t="s">
        <v>178</v>
      </c>
      <c r="J88" t="s">
        <v>179</v>
      </c>
      <c r="L88" t="s">
        <v>193</v>
      </c>
      <c r="M88" s="8">
        <v>45047</v>
      </c>
      <c r="N88">
        <v>7165305</v>
      </c>
      <c r="O88" t="s">
        <v>123</v>
      </c>
      <c r="P88" t="s">
        <v>124</v>
      </c>
      <c r="Q88">
        <v>22.86</v>
      </c>
      <c r="R88" t="s">
        <v>125</v>
      </c>
      <c r="S88" t="s">
        <v>126</v>
      </c>
      <c r="T88" t="s">
        <v>125</v>
      </c>
      <c r="U88" t="s">
        <v>126</v>
      </c>
      <c r="W88">
        <v>22.86</v>
      </c>
      <c r="Y88">
        <v>22.86</v>
      </c>
      <c r="AC88">
        <v>22.86</v>
      </c>
      <c r="BH88" t="s">
        <v>126</v>
      </c>
      <c r="BI88" t="s">
        <v>126</v>
      </c>
      <c r="BJ88" t="s">
        <v>126</v>
      </c>
      <c r="BK88" t="s">
        <v>126</v>
      </c>
      <c r="BS88" t="s">
        <v>126</v>
      </c>
      <c r="BT88" t="s">
        <v>126</v>
      </c>
      <c r="BU88" t="s">
        <v>126</v>
      </c>
      <c r="BV88" t="s">
        <v>126</v>
      </c>
      <c r="CN88" t="s">
        <v>181</v>
      </c>
      <c r="CP88" t="s">
        <v>189</v>
      </c>
      <c r="CQ88" t="s">
        <v>181</v>
      </c>
    </row>
    <row r="89" spans="1:95" x14ac:dyDescent="0.2">
      <c r="A89" t="s">
        <v>115</v>
      </c>
      <c r="B89" t="s">
        <v>116</v>
      </c>
      <c r="C89">
        <v>210784</v>
      </c>
      <c r="E89" t="s">
        <v>117</v>
      </c>
      <c r="F89">
        <v>368</v>
      </c>
      <c r="G89" t="s">
        <v>176</v>
      </c>
      <c r="H89" t="s">
        <v>177</v>
      </c>
      <c r="I89" t="s">
        <v>178</v>
      </c>
      <c r="J89" t="s">
        <v>179</v>
      </c>
      <c r="L89" t="s">
        <v>193</v>
      </c>
      <c r="M89" s="8">
        <v>45047</v>
      </c>
      <c r="N89">
        <v>7165309</v>
      </c>
      <c r="O89" t="s">
        <v>123</v>
      </c>
      <c r="P89" t="s">
        <v>124</v>
      </c>
      <c r="Q89">
        <v>19.7</v>
      </c>
      <c r="R89" t="s">
        <v>125</v>
      </c>
      <c r="S89" t="s">
        <v>126</v>
      </c>
      <c r="T89" t="s">
        <v>125</v>
      </c>
      <c r="U89" t="s">
        <v>126</v>
      </c>
      <c r="W89">
        <v>19.7</v>
      </c>
      <c r="Y89">
        <v>19.7</v>
      </c>
      <c r="AC89">
        <v>19.7</v>
      </c>
      <c r="BH89" t="s">
        <v>126</v>
      </c>
      <c r="BI89" t="s">
        <v>126</v>
      </c>
      <c r="BJ89" t="s">
        <v>126</v>
      </c>
      <c r="BK89" t="s">
        <v>126</v>
      </c>
      <c r="BS89" t="s">
        <v>126</v>
      </c>
      <c r="BT89" t="s">
        <v>126</v>
      </c>
      <c r="BU89" t="s">
        <v>126</v>
      </c>
      <c r="BV89" t="s">
        <v>126</v>
      </c>
      <c r="CN89" t="s">
        <v>181</v>
      </c>
      <c r="CP89" t="s">
        <v>189</v>
      </c>
      <c r="CQ89" t="s">
        <v>181</v>
      </c>
    </row>
    <row r="90" spans="1:95" x14ac:dyDescent="0.2">
      <c r="A90" t="s">
        <v>115</v>
      </c>
      <c r="B90" t="s">
        <v>116</v>
      </c>
      <c r="C90">
        <v>210784</v>
      </c>
      <c r="E90" t="s">
        <v>117</v>
      </c>
      <c r="F90">
        <v>368</v>
      </c>
      <c r="G90" t="s">
        <v>176</v>
      </c>
      <c r="H90" t="s">
        <v>177</v>
      </c>
      <c r="I90" t="s">
        <v>178</v>
      </c>
      <c r="J90" t="s">
        <v>179</v>
      </c>
      <c r="L90" t="s">
        <v>193</v>
      </c>
      <c r="M90" s="8">
        <v>45047</v>
      </c>
      <c r="N90">
        <v>7165312</v>
      </c>
      <c r="O90" t="s">
        <v>123</v>
      </c>
      <c r="P90" t="s">
        <v>124</v>
      </c>
      <c r="Q90">
        <v>21.17</v>
      </c>
      <c r="R90" t="s">
        <v>125</v>
      </c>
      <c r="S90" t="s">
        <v>126</v>
      </c>
      <c r="T90" t="s">
        <v>125</v>
      </c>
      <c r="U90" t="s">
        <v>126</v>
      </c>
      <c r="W90">
        <v>21.17</v>
      </c>
      <c r="Y90">
        <v>21.17</v>
      </c>
      <c r="AC90">
        <v>21.17</v>
      </c>
      <c r="BH90" t="s">
        <v>126</v>
      </c>
      <c r="BI90" t="s">
        <v>126</v>
      </c>
      <c r="BJ90" t="s">
        <v>126</v>
      </c>
      <c r="BK90" t="s">
        <v>126</v>
      </c>
      <c r="BS90" t="s">
        <v>126</v>
      </c>
      <c r="BT90" t="s">
        <v>126</v>
      </c>
      <c r="BU90" t="s">
        <v>126</v>
      </c>
      <c r="BV90" t="s">
        <v>126</v>
      </c>
      <c r="CN90" t="s">
        <v>181</v>
      </c>
      <c r="CP90" t="s">
        <v>189</v>
      </c>
      <c r="CQ90" t="s">
        <v>181</v>
      </c>
    </row>
    <row r="91" spans="1:95" x14ac:dyDescent="0.2">
      <c r="A91" t="s">
        <v>115</v>
      </c>
      <c r="B91" t="s">
        <v>116</v>
      </c>
      <c r="C91">
        <v>210784</v>
      </c>
      <c r="E91" t="s">
        <v>117</v>
      </c>
      <c r="F91">
        <v>368</v>
      </c>
      <c r="G91" t="s">
        <v>176</v>
      </c>
      <c r="H91" t="s">
        <v>177</v>
      </c>
      <c r="I91" t="s">
        <v>178</v>
      </c>
      <c r="J91" t="s">
        <v>179</v>
      </c>
      <c r="L91" t="s">
        <v>193</v>
      </c>
      <c r="M91" s="8">
        <v>45047</v>
      </c>
      <c r="N91">
        <v>7165313</v>
      </c>
      <c r="O91" t="s">
        <v>123</v>
      </c>
      <c r="P91" t="s">
        <v>124</v>
      </c>
      <c r="Q91">
        <v>22.15</v>
      </c>
      <c r="R91" t="s">
        <v>125</v>
      </c>
      <c r="S91" t="s">
        <v>126</v>
      </c>
      <c r="T91" t="s">
        <v>125</v>
      </c>
      <c r="U91" t="s">
        <v>126</v>
      </c>
      <c r="W91">
        <v>22.15</v>
      </c>
      <c r="Y91">
        <v>22.15</v>
      </c>
      <c r="AC91">
        <v>22.15</v>
      </c>
      <c r="BH91" t="s">
        <v>126</v>
      </c>
      <c r="BI91" t="s">
        <v>126</v>
      </c>
      <c r="BJ91" t="s">
        <v>126</v>
      </c>
      <c r="BK91" t="s">
        <v>126</v>
      </c>
      <c r="BS91" t="s">
        <v>126</v>
      </c>
      <c r="BT91" t="s">
        <v>126</v>
      </c>
      <c r="BU91" t="s">
        <v>126</v>
      </c>
      <c r="BV91" t="s">
        <v>126</v>
      </c>
      <c r="CN91" t="s">
        <v>181</v>
      </c>
      <c r="CP91" t="s">
        <v>189</v>
      </c>
      <c r="CQ91" t="s">
        <v>181</v>
      </c>
    </row>
    <row r="92" spans="1:95" x14ac:dyDescent="0.2">
      <c r="A92" t="s">
        <v>115</v>
      </c>
      <c r="B92" t="s">
        <v>116</v>
      </c>
      <c r="C92">
        <v>210784</v>
      </c>
      <c r="E92" t="s">
        <v>117</v>
      </c>
      <c r="F92">
        <v>368</v>
      </c>
      <c r="G92" t="s">
        <v>176</v>
      </c>
      <c r="H92" t="s">
        <v>177</v>
      </c>
      <c r="I92" t="s">
        <v>178</v>
      </c>
      <c r="J92" t="s">
        <v>179</v>
      </c>
      <c r="L92" t="s">
        <v>193</v>
      </c>
      <c r="M92" s="8">
        <v>45047</v>
      </c>
      <c r="N92">
        <v>7165317</v>
      </c>
      <c r="O92" t="s">
        <v>123</v>
      </c>
      <c r="P92" t="s">
        <v>124</v>
      </c>
      <c r="Q92">
        <v>22</v>
      </c>
      <c r="R92" t="s">
        <v>125</v>
      </c>
      <c r="S92" t="s">
        <v>126</v>
      </c>
      <c r="T92" t="s">
        <v>125</v>
      </c>
      <c r="U92" t="s">
        <v>126</v>
      </c>
      <c r="W92">
        <v>22</v>
      </c>
      <c r="Y92">
        <v>22</v>
      </c>
      <c r="AC92">
        <v>22</v>
      </c>
      <c r="BH92" t="s">
        <v>126</v>
      </c>
      <c r="BI92" t="s">
        <v>126</v>
      </c>
      <c r="BJ92" t="s">
        <v>126</v>
      </c>
      <c r="BK92" t="s">
        <v>126</v>
      </c>
      <c r="BS92" t="s">
        <v>126</v>
      </c>
      <c r="BT92" t="s">
        <v>126</v>
      </c>
      <c r="BU92" t="s">
        <v>126</v>
      </c>
      <c r="BV92" t="s">
        <v>126</v>
      </c>
      <c r="CN92" t="s">
        <v>181</v>
      </c>
      <c r="CP92" t="s">
        <v>189</v>
      </c>
      <c r="CQ92" t="s">
        <v>181</v>
      </c>
    </row>
    <row r="93" spans="1:95" x14ac:dyDescent="0.2">
      <c r="A93" t="s">
        <v>115</v>
      </c>
      <c r="B93" t="s">
        <v>116</v>
      </c>
      <c r="C93">
        <v>210784</v>
      </c>
      <c r="E93" t="s">
        <v>117</v>
      </c>
      <c r="F93">
        <v>368</v>
      </c>
      <c r="G93" t="s">
        <v>176</v>
      </c>
      <c r="H93" t="s">
        <v>177</v>
      </c>
      <c r="I93" t="s">
        <v>178</v>
      </c>
      <c r="J93" t="s">
        <v>179</v>
      </c>
      <c r="L93" t="s">
        <v>193</v>
      </c>
      <c r="M93" s="8">
        <v>45047</v>
      </c>
      <c r="N93">
        <v>7165326</v>
      </c>
      <c r="O93" t="s">
        <v>123</v>
      </c>
      <c r="P93" t="s">
        <v>124</v>
      </c>
      <c r="Q93">
        <v>24.37</v>
      </c>
      <c r="R93" t="s">
        <v>125</v>
      </c>
      <c r="S93" t="s">
        <v>126</v>
      </c>
      <c r="T93" t="s">
        <v>125</v>
      </c>
      <c r="U93" t="s">
        <v>126</v>
      </c>
      <c r="W93">
        <v>24.37</v>
      </c>
      <c r="Y93">
        <v>24.37</v>
      </c>
      <c r="AC93">
        <v>24.37</v>
      </c>
      <c r="BH93" t="s">
        <v>126</v>
      </c>
      <c r="BI93" t="s">
        <v>126</v>
      </c>
      <c r="BJ93" t="s">
        <v>126</v>
      </c>
      <c r="BK93" t="s">
        <v>126</v>
      </c>
      <c r="BS93" t="s">
        <v>126</v>
      </c>
      <c r="BT93" t="s">
        <v>126</v>
      </c>
      <c r="BU93" t="s">
        <v>126</v>
      </c>
      <c r="BV93" t="s">
        <v>126</v>
      </c>
      <c r="CN93" t="s">
        <v>181</v>
      </c>
      <c r="CP93" t="s">
        <v>189</v>
      </c>
      <c r="CQ93" t="s">
        <v>181</v>
      </c>
    </row>
    <row r="94" spans="1:95" x14ac:dyDescent="0.2">
      <c r="A94" t="s">
        <v>115</v>
      </c>
      <c r="B94" t="s">
        <v>116</v>
      </c>
      <c r="C94">
        <v>210784</v>
      </c>
      <c r="E94" t="s">
        <v>117</v>
      </c>
      <c r="F94">
        <v>368</v>
      </c>
      <c r="G94" t="s">
        <v>176</v>
      </c>
      <c r="H94" t="s">
        <v>177</v>
      </c>
      <c r="I94" t="s">
        <v>178</v>
      </c>
      <c r="J94" t="s">
        <v>179</v>
      </c>
      <c r="L94" t="s">
        <v>193</v>
      </c>
      <c r="M94" s="8">
        <v>45047</v>
      </c>
      <c r="N94">
        <v>7165335</v>
      </c>
      <c r="O94" t="s">
        <v>123</v>
      </c>
      <c r="P94" t="s">
        <v>124</v>
      </c>
      <c r="Q94">
        <v>24.1</v>
      </c>
      <c r="R94" t="s">
        <v>125</v>
      </c>
      <c r="S94" t="s">
        <v>126</v>
      </c>
      <c r="T94" t="s">
        <v>125</v>
      </c>
      <c r="U94" t="s">
        <v>126</v>
      </c>
      <c r="W94">
        <v>24.1</v>
      </c>
      <c r="Y94">
        <v>24.1</v>
      </c>
      <c r="AC94">
        <v>24.1</v>
      </c>
      <c r="BH94" t="s">
        <v>126</v>
      </c>
      <c r="BI94" t="s">
        <v>126</v>
      </c>
      <c r="BJ94" t="s">
        <v>126</v>
      </c>
      <c r="BK94" t="s">
        <v>126</v>
      </c>
      <c r="BS94" t="s">
        <v>126</v>
      </c>
      <c r="BT94" t="s">
        <v>126</v>
      </c>
      <c r="BU94" t="s">
        <v>126</v>
      </c>
      <c r="BV94" t="s">
        <v>126</v>
      </c>
      <c r="CN94" t="s">
        <v>181</v>
      </c>
      <c r="CP94" t="s">
        <v>189</v>
      </c>
      <c r="CQ94" t="s">
        <v>181</v>
      </c>
    </row>
    <row r="95" spans="1:95" x14ac:dyDescent="0.2">
      <c r="A95" t="s">
        <v>115</v>
      </c>
      <c r="B95" t="s">
        <v>116</v>
      </c>
      <c r="C95">
        <v>210784</v>
      </c>
      <c r="E95" t="s">
        <v>117</v>
      </c>
      <c r="F95">
        <v>368</v>
      </c>
      <c r="G95" t="s">
        <v>176</v>
      </c>
      <c r="H95" t="s">
        <v>177</v>
      </c>
      <c r="I95" t="s">
        <v>178</v>
      </c>
      <c r="J95" t="s">
        <v>179</v>
      </c>
      <c r="L95" t="s">
        <v>193</v>
      </c>
      <c r="M95" s="8">
        <v>45047</v>
      </c>
      <c r="N95">
        <v>7165344</v>
      </c>
      <c r="O95" t="s">
        <v>123</v>
      </c>
      <c r="P95" t="s">
        <v>124</v>
      </c>
      <c r="Q95">
        <v>23.66</v>
      </c>
      <c r="R95" t="s">
        <v>125</v>
      </c>
      <c r="S95" t="s">
        <v>126</v>
      </c>
      <c r="T95" t="s">
        <v>125</v>
      </c>
      <c r="U95" t="s">
        <v>126</v>
      </c>
      <c r="W95">
        <v>23.66</v>
      </c>
      <c r="Y95">
        <v>23.66</v>
      </c>
      <c r="AC95">
        <v>23.66</v>
      </c>
      <c r="BH95" t="s">
        <v>126</v>
      </c>
      <c r="BI95" t="s">
        <v>126</v>
      </c>
      <c r="BJ95" t="s">
        <v>126</v>
      </c>
      <c r="BK95" t="s">
        <v>126</v>
      </c>
      <c r="BS95" t="s">
        <v>126</v>
      </c>
      <c r="BT95" t="s">
        <v>126</v>
      </c>
      <c r="BU95" t="s">
        <v>126</v>
      </c>
      <c r="BV95" t="s">
        <v>126</v>
      </c>
      <c r="CN95" t="s">
        <v>181</v>
      </c>
      <c r="CP95" t="s">
        <v>189</v>
      </c>
      <c r="CQ95" t="s">
        <v>181</v>
      </c>
    </row>
    <row r="96" spans="1:95" x14ac:dyDescent="0.2">
      <c r="A96" t="s">
        <v>115</v>
      </c>
      <c r="B96" t="s">
        <v>116</v>
      </c>
      <c r="C96">
        <v>210784</v>
      </c>
      <c r="E96" t="s">
        <v>117</v>
      </c>
      <c r="F96">
        <v>368</v>
      </c>
      <c r="G96" t="s">
        <v>176</v>
      </c>
      <c r="H96" t="s">
        <v>177</v>
      </c>
      <c r="I96" t="s">
        <v>178</v>
      </c>
      <c r="J96" t="s">
        <v>179</v>
      </c>
      <c r="L96" t="s">
        <v>193</v>
      </c>
      <c r="M96" s="8">
        <v>45047</v>
      </c>
      <c r="N96">
        <v>7165349</v>
      </c>
      <c r="O96" t="s">
        <v>123</v>
      </c>
      <c r="P96" t="s">
        <v>124</v>
      </c>
      <c r="Q96">
        <v>15.92</v>
      </c>
      <c r="R96" t="s">
        <v>125</v>
      </c>
      <c r="S96" t="s">
        <v>126</v>
      </c>
      <c r="T96" t="s">
        <v>125</v>
      </c>
      <c r="U96" t="s">
        <v>126</v>
      </c>
      <c r="W96">
        <v>15.92</v>
      </c>
      <c r="Y96">
        <v>15.92</v>
      </c>
      <c r="AC96">
        <v>15.92</v>
      </c>
      <c r="BH96" t="s">
        <v>126</v>
      </c>
      <c r="BI96" t="s">
        <v>126</v>
      </c>
      <c r="BJ96" t="s">
        <v>126</v>
      </c>
      <c r="BK96" t="s">
        <v>126</v>
      </c>
      <c r="BS96" t="s">
        <v>126</v>
      </c>
      <c r="BT96" t="s">
        <v>126</v>
      </c>
      <c r="BU96" t="s">
        <v>126</v>
      </c>
      <c r="BV96" t="s">
        <v>126</v>
      </c>
      <c r="CN96" t="s">
        <v>181</v>
      </c>
      <c r="CP96" t="s">
        <v>189</v>
      </c>
      <c r="CQ96" t="s">
        <v>181</v>
      </c>
    </row>
    <row r="97" spans="1:95" x14ac:dyDescent="0.2">
      <c r="A97" t="s">
        <v>115</v>
      </c>
      <c r="B97" t="s">
        <v>116</v>
      </c>
      <c r="C97">
        <v>210784</v>
      </c>
      <c r="E97" t="s">
        <v>117</v>
      </c>
      <c r="F97">
        <v>368</v>
      </c>
      <c r="G97" t="s">
        <v>176</v>
      </c>
      <c r="H97" t="s">
        <v>177</v>
      </c>
      <c r="I97" t="s">
        <v>178</v>
      </c>
      <c r="J97" t="s">
        <v>179</v>
      </c>
      <c r="L97" t="s">
        <v>193</v>
      </c>
      <c r="M97" s="8">
        <v>45047</v>
      </c>
      <c r="N97">
        <v>7165350</v>
      </c>
      <c r="O97" t="s">
        <v>123</v>
      </c>
      <c r="P97" t="s">
        <v>124</v>
      </c>
      <c r="Q97">
        <v>22.72</v>
      </c>
      <c r="R97" t="s">
        <v>125</v>
      </c>
      <c r="S97" t="s">
        <v>126</v>
      </c>
      <c r="T97" t="s">
        <v>125</v>
      </c>
      <c r="U97" t="s">
        <v>126</v>
      </c>
      <c r="W97">
        <v>22.72</v>
      </c>
      <c r="Y97">
        <v>22.72</v>
      </c>
      <c r="AC97">
        <v>22.72</v>
      </c>
      <c r="BH97" t="s">
        <v>126</v>
      </c>
      <c r="BI97" t="s">
        <v>126</v>
      </c>
      <c r="BJ97" t="s">
        <v>126</v>
      </c>
      <c r="BK97" t="s">
        <v>126</v>
      </c>
      <c r="BS97" t="s">
        <v>126</v>
      </c>
      <c r="BT97" t="s">
        <v>126</v>
      </c>
      <c r="BU97" t="s">
        <v>126</v>
      </c>
      <c r="BV97" t="s">
        <v>126</v>
      </c>
      <c r="CN97" t="s">
        <v>181</v>
      </c>
      <c r="CP97" t="s">
        <v>189</v>
      </c>
      <c r="CQ97" t="s">
        <v>181</v>
      </c>
    </row>
    <row r="98" spans="1:95" x14ac:dyDescent="0.2">
      <c r="A98" t="s">
        <v>115</v>
      </c>
      <c r="B98" t="s">
        <v>116</v>
      </c>
      <c r="C98">
        <v>210784</v>
      </c>
      <c r="E98" t="s">
        <v>117</v>
      </c>
      <c r="F98">
        <v>368</v>
      </c>
      <c r="G98" t="s">
        <v>176</v>
      </c>
      <c r="H98" t="s">
        <v>177</v>
      </c>
      <c r="I98" t="s">
        <v>178</v>
      </c>
      <c r="J98" t="s">
        <v>179</v>
      </c>
      <c r="L98" t="s">
        <v>193</v>
      </c>
      <c r="M98" s="8">
        <v>45047</v>
      </c>
      <c r="N98">
        <v>7165351</v>
      </c>
      <c r="O98" t="s">
        <v>123</v>
      </c>
      <c r="P98" t="s">
        <v>124</v>
      </c>
      <c r="Q98">
        <v>23.15</v>
      </c>
      <c r="R98" t="s">
        <v>125</v>
      </c>
      <c r="S98" t="s">
        <v>126</v>
      </c>
      <c r="T98" t="s">
        <v>125</v>
      </c>
      <c r="U98" t="s">
        <v>126</v>
      </c>
      <c r="W98">
        <v>23.15</v>
      </c>
      <c r="Y98">
        <v>23.15</v>
      </c>
      <c r="AC98">
        <v>23.15</v>
      </c>
      <c r="BH98" t="s">
        <v>126</v>
      </c>
      <c r="BI98" t="s">
        <v>126</v>
      </c>
      <c r="BJ98" t="s">
        <v>126</v>
      </c>
      <c r="BK98" t="s">
        <v>126</v>
      </c>
      <c r="BS98" t="s">
        <v>126</v>
      </c>
      <c r="BT98" t="s">
        <v>126</v>
      </c>
      <c r="BU98" t="s">
        <v>126</v>
      </c>
      <c r="BV98" t="s">
        <v>126</v>
      </c>
      <c r="CN98" t="s">
        <v>181</v>
      </c>
      <c r="CP98" t="s">
        <v>189</v>
      </c>
      <c r="CQ98" t="s">
        <v>181</v>
      </c>
    </row>
    <row r="99" spans="1:95" x14ac:dyDescent="0.2">
      <c r="A99" t="s">
        <v>115</v>
      </c>
      <c r="B99" t="s">
        <v>116</v>
      </c>
      <c r="C99">
        <v>210784</v>
      </c>
      <c r="E99" t="s">
        <v>117</v>
      </c>
      <c r="F99">
        <v>368</v>
      </c>
      <c r="G99" t="s">
        <v>176</v>
      </c>
      <c r="H99" t="s">
        <v>177</v>
      </c>
      <c r="I99" t="s">
        <v>178</v>
      </c>
      <c r="J99" t="s">
        <v>179</v>
      </c>
      <c r="L99" t="s">
        <v>193</v>
      </c>
      <c r="M99" s="8">
        <v>45047</v>
      </c>
      <c r="N99">
        <v>7165352</v>
      </c>
      <c r="O99" t="s">
        <v>123</v>
      </c>
      <c r="P99" t="s">
        <v>124</v>
      </c>
      <c r="Q99">
        <v>19.45</v>
      </c>
      <c r="R99" t="s">
        <v>125</v>
      </c>
      <c r="S99" t="s">
        <v>126</v>
      </c>
      <c r="T99" t="s">
        <v>125</v>
      </c>
      <c r="U99" t="s">
        <v>126</v>
      </c>
      <c r="W99">
        <v>19.45</v>
      </c>
      <c r="Y99">
        <v>19.45</v>
      </c>
      <c r="AC99">
        <v>19.45</v>
      </c>
      <c r="BH99" t="s">
        <v>126</v>
      </c>
      <c r="BI99" t="s">
        <v>126</v>
      </c>
      <c r="BJ99" t="s">
        <v>126</v>
      </c>
      <c r="BK99" t="s">
        <v>126</v>
      </c>
      <c r="BS99" t="s">
        <v>126</v>
      </c>
      <c r="BT99" t="s">
        <v>126</v>
      </c>
      <c r="BU99" t="s">
        <v>126</v>
      </c>
      <c r="BV99" t="s">
        <v>126</v>
      </c>
      <c r="CN99" t="s">
        <v>181</v>
      </c>
      <c r="CP99" t="s">
        <v>189</v>
      </c>
      <c r="CQ99" t="s">
        <v>181</v>
      </c>
    </row>
    <row r="100" spans="1:95" x14ac:dyDescent="0.2">
      <c r="A100" t="s">
        <v>115</v>
      </c>
      <c r="B100" t="s">
        <v>116</v>
      </c>
      <c r="C100">
        <v>210784</v>
      </c>
      <c r="E100" t="s">
        <v>117</v>
      </c>
      <c r="F100">
        <v>368</v>
      </c>
      <c r="G100" t="s">
        <v>176</v>
      </c>
      <c r="H100" t="s">
        <v>177</v>
      </c>
      <c r="I100" t="s">
        <v>178</v>
      </c>
      <c r="J100" t="s">
        <v>179</v>
      </c>
      <c r="L100" t="s">
        <v>193</v>
      </c>
      <c r="M100" s="8">
        <v>45047</v>
      </c>
      <c r="N100">
        <v>7165358</v>
      </c>
      <c r="O100" t="s">
        <v>123</v>
      </c>
      <c r="P100" t="s">
        <v>124</v>
      </c>
      <c r="Q100">
        <v>22.35</v>
      </c>
      <c r="R100" t="s">
        <v>125</v>
      </c>
      <c r="S100" t="s">
        <v>126</v>
      </c>
      <c r="T100" t="s">
        <v>125</v>
      </c>
      <c r="U100" t="s">
        <v>126</v>
      </c>
      <c r="W100">
        <v>22.35</v>
      </c>
      <c r="Y100">
        <v>22.35</v>
      </c>
      <c r="AC100">
        <v>22.35</v>
      </c>
      <c r="BH100" t="s">
        <v>126</v>
      </c>
      <c r="BI100" t="s">
        <v>126</v>
      </c>
      <c r="BJ100" t="s">
        <v>126</v>
      </c>
      <c r="BK100" t="s">
        <v>126</v>
      </c>
      <c r="BS100" t="s">
        <v>126</v>
      </c>
      <c r="BT100" t="s">
        <v>126</v>
      </c>
      <c r="BU100" t="s">
        <v>126</v>
      </c>
      <c r="BV100" t="s">
        <v>126</v>
      </c>
      <c r="CN100" t="s">
        <v>181</v>
      </c>
      <c r="CP100" t="s">
        <v>189</v>
      </c>
      <c r="CQ100" t="s">
        <v>181</v>
      </c>
    </row>
    <row r="101" spans="1:95" x14ac:dyDescent="0.2">
      <c r="A101" t="s">
        <v>115</v>
      </c>
      <c r="B101" t="s">
        <v>116</v>
      </c>
      <c r="C101">
        <v>210784</v>
      </c>
      <c r="E101" t="s">
        <v>117</v>
      </c>
      <c r="F101">
        <v>368</v>
      </c>
      <c r="G101" t="s">
        <v>176</v>
      </c>
      <c r="H101" t="s">
        <v>177</v>
      </c>
      <c r="I101" t="s">
        <v>178</v>
      </c>
      <c r="J101" t="s">
        <v>179</v>
      </c>
      <c r="L101" t="s">
        <v>193</v>
      </c>
      <c r="M101" s="8">
        <v>45047</v>
      </c>
      <c r="N101">
        <v>7165361</v>
      </c>
      <c r="O101" t="s">
        <v>123</v>
      </c>
      <c r="P101" t="s">
        <v>124</v>
      </c>
      <c r="Q101">
        <v>22.75</v>
      </c>
      <c r="R101" t="s">
        <v>125</v>
      </c>
      <c r="S101" t="s">
        <v>126</v>
      </c>
      <c r="T101" t="s">
        <v>125</v>
      </c>
      <c r="U101" t="s">
        <v>126</v>
      </c>
      <c r="W101">
        <v>22.75</v>
      </c>
      <c r="Y101">
        <v>22.75</v>
      </c>
      <c r="AC101">
        <v>22.75</v>
      </c>
      <c r="BH101" t="s">
        <v>126</v>
      </c>
      <c r="BI101" t="s">
        <v>126</v>
      </c>
      <c r="BJ101" t="s">
        <v>126</v>
      </c>
      <c r="BK101" t="s">
        <v>126</v>
      </c>
      <c r="BS101" t="s">
        <v>126</v>
      </c>
      <c r="BT101" t="s">
        <v>126</v>
      </c>
      <c r="BU101" t="s">
        <v>126</v>
      </c>
      <c r="BV101" t="s">
        <v>126</v>
      </c>
      <c r="CN101" t="s">
        <v>181</v>
      </c>
      <c r="CP101" t="s">
        <v>189</v>
      </c>
      <c r="CQ101" t="s">
        <v>181</v>
      </c>
    </row>
    <row r="102" spans="1:95" x14ac:dyDescent="0.2">
      <c r="A102" t="s">
        <v>115</v>
      </c>
      <c r="B102" t="s">
        <v>116</v>
      </c>
      <c r="C102">
        <v>210784</v>
      </c>
      <c r="E102" t="s">
        <v>117</v>
      </c>
      <c r="F102">
        <v>368</v>
      </c>
      <c r="G102" t="s">
        <v>176</v>
      </c>
      <c r="H102" t="s">
        <v>177</v>
      </c>
      <c r="I102" t="s">
        <v>178</v>
      </c>
      <c r="J102" t="s">
        <v>179</v>
      </c>
      <c r="L102" t="s">
        <v>193</v>
      </c>
      <c r="M102" s="8">
        <v>45047</v>
      </c>
      <c r="N102">
        <v>7165369</v>
      </c>
      <c r="O102" t="s">
        <v>123</v>
      </c>
      <c r="P102" t="s">
        <v>124</v>
      </c>
      <c r="Q102">
        <v>21.11</v>
      </c>
      <c r="R102" t="s">
        <v>125</v>
      </c>
      <c r="S102" t="s">
        <v>126</v>
      </c>
      <c r="T102" t="s">
        <v>125</v>
      </c>
      <c r="U102" t="s">
        <v>126</v>
      </c>
      <c r="W102">
        <v>21.11</v>
      </c>
      <c r="Y102">
        <v>21.11</v>
      </c>
      <c r="AC102">
        <v>21.11</v>
      </c>
      <c r="BH102" t="s">
        <v>126</v>
      </c>
      <c r="BI102" t="s">
        <v>126</v>
      </c>
      <c r="BJ102" t="s">
        <v>126</v>
      </c>
      <c r="BK102" t="s">
        <v>126</v>
      </c>
      <c r="BS102" t="s">
        <v>126</v>
      </c>
      <c r="BT102" t="s">
        <v>126</v>
      </c>
      <c r="BU102" t="s">
        <v>126</v>
      </c>
      <c r="BV102" t="s">
        <v>126</v>
      </c>
      <c r="CN102" t="s">
        <v>181</v>
      </c>
      <c r="CP102" t="s">
        <v>189</v>
      </c>
      <c r="CQ102" t="s">
        <v>181</v>
      </c>
    </row>
    <row r="103" spans="1:95" x14ac:dyDescent="0.2">
      <c r="A103" t="s">
        <v>115</v>
      </c>
      <c r="B103" t="s">
        <v>116</v>
      </c>
      <c r="C103">
        <v>210784</v>
      </c>
      <c r="E103" t="s">
        <v>117</v>
      </c>
      <c r="F103">
        <v>368</v>
      </c>
      <c r="G103" t="s">
        <v>176</v>
      </c>
      <c r="H103" t="s">
        <v>177</v>
      </c>
      <c r="I103" t="s">
        <v>178</v>
      </c>
      <c r="J103" t="s">
        <v>179</v>
      </c>
      <c r="L103" t="s">
        <v>193</v>
      </c>
      <c r="M103" s="8">
        <v>45047</v>
      </c>
      <c r="N103">
        <v>7165370</v>
      </c>
      <c r="O103" t="s">
        <v>123</v>
      </c>
      <c r="P103" t="s">
        <v>124</v>
      </c>
      <c r="Q103">
        <v>22.95</v>
      </c>
      <c r="R103" t="s">
        <v>125</v>
      </c>
      <c r="S103" t="s">
        <v>126</v>
      </c>
      <c r="T103" t="s">
        <v>125</v>
      </c>
      <c r="U103" t="s">
        <v>126</v>
      </c>
      <c r="W103">
        <v>22.95</v>
      </c>
      <c r="Y103">
        <v>22.95</v>
      </c>
      <c r="AC103">
        <v>22.95</v>
      </c>
      <c r="BH103" t="s">
        <v>126</v>
      </c>
      <c r="BI103" t="s">
        <v>126</v>
      </c>
      <c r="BJ103" t="s">
        <v>126</v>
      </c>
      <c r="BK103" t="s">
        <v>126</v>
      </c>
      <c r="BS103" t="s">
        <v>126</v>
      </c>
      <c r="BT103" t="s">
        <v>126</v>
      </c>
      <c r="BU103" t="s">
        <v>126</v>
      </c>
      <c r="BV103" t="s">
        <v>126</v>
      </c>
      <c r="CN103" t="s">
        <v>181</v>
      </c>
      <c r="CP103" t="s">
        <v>189</v>
      </c>
      <c r="CQ103" t="s">
        <v>181</v>
      </c>
    </row>
    <row r="104" spans="1:95" x14ac:dyDescent="0.2">
      <c r="A104" t="s">
        <v>115</v>
      </c>
      <c r="B104" t="s">
        <v>116</v>
      </c>
      <c r="C104">
        <v>210784</v>
      </c>
      <c r="E104" t="s">
        <v>117</v>
      </c>
      <c r="F104">
        <v>368</v>
      </c>
      <c r="G104" t="s">
        <v>176</v>
      </c>
      <c r="H104" t="s">
        <v>177</v>
      </c>
      <c r="I104" t="s">
        <v>178</v>
      </c>
      <c r="J104" t="s">
        <v>179</v>
      </c>
      <c r="L104" t="s">
        <v>194</v>
      </c>
      <c r="M104" s="8">
        <v>45047</v>
      </c>
      <c r="N104">
        <v>7165493</v>
      </c>
      <c r="O104" t="s">
        <v>123</v>
      </c>
      <c r="P104" t="s">
        <v>124</v>
      </c>
      <c r="Q104">
        <v>23.31</v>
      </c>
      <c r="R104" t="s">
        <v>125</v>
      </c>
      <c r="S104" t="s">
        <v>126</v>
      </c>
      <c r="T104" t="s">
        <v>125</v>
      </c>
      <c r="U104" t="s">
        <v>126</v>
      </c>
      <c r="W104">
        <v>23.31</v>
      </c>
      <c r="Y104">
        <v>23.31</v>
      </c>
      <c r="AC104">
        <v>23.31</v>
      </c>
      <c r="BH104" t="s">
        <v>126</v>
      </c>
      <c r="BI104" t="s">
        <v>126</v>
      </c>
      <c r="BJ104" t="s">
        <v>126</v>
      </c>
      <c r="BK104" t="s">
        <v>126</v>
      </c>
      <c r="BS104" t="s">
        <v>126</v>
      </c>
      <c r="BT104" t="s">
        <v>126</v>
      </c>
      <c r="BU104" t="s">
        <v>126</v>
      </c>
      <c r="BV104" t="s">
        <v>126</v>
      </c>
      <c r="CN104" t="s">
        <v>181</v>
      </c>
      <c r="CP104" t="s">
        <v>189</v>
      </c>
      <c r="CQ104" t="s">
        <v>181</v>
      </c>
    </row>
    <row r="105" spans="1:95" x14ac:dyDescent="0.2">
      <c r="A105" t="s">
        <v>115</v>
      </c>
      <c r="B105" t="s">
        <v>116</v>
      </c>
      <c r="C105">
        <v>210784</v>
      </c>
      <c r="E105" t="s">
        <v>117</v>
      </c>
      <c r="F105">
        <v>368</v>
      </c>
      <c r="G105" t="s">
        <v>176</v>
      </c>
      <c r="H105" t="s">
        <v>177</v>
      </c>
      <c r="I105" t="s">
        <v>178</v>
      </c>
      <c r="J105" t="s">
        <v>179</v>
      </c>
      <c r="L105" t="s">
        <v>194</v>
      </c>
      <c r="M105" s="8">
        <v>45047</v>
      </c>
      <c r="N105">
        <v>7165494</v>
      </c>
      <c r="O105" t="s">
        <v>123</v>
      </c>
      <c r="P105" t="s">
        <v>124</v>
      </c>
      <c r="Q105">
        <v>22.17</v>
      </c>
      <c r="R105" t="s">
        <v>125</v>
      </c>
      <c r="S105" t="s">
        <v>126</v>
      </c>
      <c r="T105" t="s">
        <v>125</v>
      </c>
      <c r="U105" t="s">
        <v>126</v>
      </c>
      <c r="W105">
        <v>22.17</v>
      </c>
      <c r="Y105">
        <v>22.17</v>
      </c>
      <c r="AC105">
        <v>22.17</v>
      </c>
      <c r="BH105" t="s">
        <v>126</v>
      </c>
      <c r="BI105" t="s">
        <v>126</v>
      </c>
      <c r="BJ105" t="s">
        <v>126</v>
      </c>
      <c r="BK105" t="s">
        <v>126</v>
      </c>
      <c r="BS105" t="s">
        <v>126</v>
      </c>
      <c r="BT105" t="s">
        <v>126</v>
      </c>
      <c r="BU105" t="s">
        <v>126</v>
      </c>
      <c r="BV105" t="s">
        <v>126</v>
      </c>
      <c r="CN105" t="s">
        <v>181</v>
      </c>
      <c r="CP105" t="s">
        <v>189</v>
      </c>
      <c r="CQ105" t="s">
        <v>181</v>
      </c>
    </row>
    <row r="106" spans="1:95" x14ac:dyDescent="0.2">
      <c r="A106" t="s">
        <v>115</v>
      </c>
      <c r="B106" t="s">
        <v>116</v>
      </c>
      <c r="C106">
        <v>210784</v>
      </c>
      <c r="E106" t="s">
        <v>117</v>
      </c>
      <c r="F106">
        <v>368</v>
      </c>
      <c r="G106" t="s">
        <v>176</v>
      </c>
      <c r="H106" t="s">
        <v>177</v>
      </c>
      <c r="I106" t="s">
        <v>178</v>
      </c>
      <c r="J106" t="s">
        <v>179</v>
      </c>
      <c r="L106" t="s">
        <v>194</v>
      </c>
      <c r="M106" s="8">
        <v>45047</v>
      </c>
      <c r="N106">
        <v>7165501</v>
      </c>
      <c r="O106" t="s">
        <v>123</v>
      </c>
      <c r="P106" t="s">
        <v>124</v>
      </c>
      <c r="Q106">
        <v>25.6</v>
      </c>
      <c r="R106" t="s">
        <v>125</v>
      </c>
      <c r="S106" t="s">
        <v>126</v>
      </c>
      <c r="T106" t="s">
        <v>125</v>
      </c>
      <c r="U106" t="s">
        <v>126</v>
      </c>
      <c r="W106">
        <v>25.6</v>
      </c>
      <c r="Y106">
        <v>25.6</v>
      </c>
      <c r="AC106">
        <v>25.6</v>
      </c>
      <c r="BH106" t="s">
        <v>126</v>
      </c>
      <c r="BI106" t="s">
        <v>126</v>
      </c>
      <c r="BJ106" t="s">
        <v>126</v>
      </c>
      <c r="BK106" t="s">
        <v>126</v>
      </c>
      <c r="BS106" t="s">
        <v>126</v>
      </c>
      <c r="BT106" t="s">
        <v>126</v>
      </c>
      <c r="BU106" t="s">
        <v>126</v>
      </c>
      <c r="BV106" t="s">
        <v>126</v>
      </c>
      <c r="CN106" t="s">
        <v>181</v>
      </c>
      <c r="CP106" t="s">
        <v>189</v>
      </c>
      <c r="CQ106" t="s">
        <v>181</v>
      </c>
    </row>
    <row r="107" spans="1:95" x14ac:dyDescent="0.2">
      <c r="A107" t="s">
        <v>115</v>
      </c>
      <c r="B107" t="s">
        <v>116</v>
      </c>
      <c r="C107">
        <v>210784</v>
      </c>
      <c r="E107" t="s">
        <v>117</v>
      </c>
      <c r="F107">
        <v>368</v>
      </c>
      <c r="G107" t="s">
        <v>176</v>
      </c>
      <c r="H107" t="s">
        <v>177</v>
      </c>
      <c r="I107" t="s">
        <v>178</v>
      </c>
      <c r="J107" t="s">
        <v>179</v>
      </c>
      <c r="L107" t="s">
        <v>194</v>
      </c>
      <c r="M107" s="8">
        <v>45047</v>
      </c>
      <c r="N107">
        <v>7165507</v>
      </c>
      <c r="O107" t="s">
        <v>123</v>
      </c>
      <c r="P107" t="s">
        <v>124</v>
      </c>
      <c r="Q107">
        <v>23.02</v>
      </c>
      <c r="R107" t="s">
        <v>125</v>
      </c>
      <c r="S107" t="s">
        <v>126</v>
      </c>
      <c r="T107" t="s">
        <v>125</v>
      </c>
      <c r="U107" t="s">
        <v>126</v>
      </c>
      <c r="W107">
        <v>23.02</v>
      </c>
      <c r="Y107">
        <v>23.02</v>
      </c>
      <c r="AC107">
        <v>23.02</v>
      </c>
      <c r="BH107" t="s">
        <v>126</v>
      </c>
      <c r="BI107" t="s">
        <v>126</v>
      </c>
      <c r="BJ107" t="s">
        <v>126</v>
      </c>
      <c r="BK107" t="s">
        <v>126</v>
      </c>
      <c r="BS107" t="s">
        <v>126</v>
      </c>
      <c r="BT107" t="s">
        <v>126</v>
      </c>
      <c r="BU107" t="s">
        <v>126</v>
      </c>
      <c r="BV107" t="s">
        <v>126</v>
      </c>
      <c r="CN107" t="s">
        <v>181</v>
      </c>
      <c r="CP107" t="s">
        <v>189</v>
      </c>
      <c r="CQ107" t="s">
        <v>181</v>
      </c>
    </row>
    <row r="108" spans="1:95" x14ac:dyDescent="0.2">
      <c r="A108" t="s">
        <v>115</v>
      </c>
      <c r="B108" t="s">
        <v>116</v>
      </c>
      <c r="C108">
        <v>210784</v>
      </c>
      <c r="E108" t="s">
        <v>117</v>
      </c>
      <c r="F108">
        <v>368</v>
      </c>
      <c r="G108" t="s">
        <v>176</v>
      </c>
      <c r="H108" t="s">
        <v>177</v>
      </c>
      <c r="I108" t="s">
        <v>178</v>
      </c>
      <c r="J108" t="s">
        <v>179</v>
      </c>
      <c r="L108" t="s">
        <v>195</v>
      </c>
      <c r="M108" s="8">
        <v>45047</v>
      </c>
      <c r="N108">
        <v>7166347</v>
      </c>
      <c r="O108" t="s">
        <v>123</v>
      </c>
      <c r="P108" t="s">
        <v>124</v>
      </c>
      <c r="Q108">
        <v>21.21</v>
      </c>
      <c r="R108" t="s">
        <v>125</v>
      </c>
      <c r="S108" t="s">
        <v>126</v>
      </c>
      <c r="T108" t="s">
        <v>125</v>
      </c>
      <c r="U108" t="s">
        <v>126</v>
      </c>
      <c r="W108">
        <v>21.21</v>
      </c>
      <c r="Y108">
        <v>21.21</v>
      </c>
      <c r="AC108">
        <v>21.21</v>
      </c>
      <c r="BH108" t="s">
        <v>126</v>
      </c>
      <c r="BI108" t="s">
        <v>126</v>
      </c>
      <c r="BJ108" t="s">
        <v>126</v>
      </c>
      <c r="BK108" t="s">
        <v>126</v>
      </c>
      <c r="BS108" t="s">
        <v>126</v>
      </c>
      <c r="BT108" t="s">
        <v>126</v>
      </c>
      <c r="BU108" t="s">
        <v>126</v>
      </c>
      <c r="BV108" t="s">
        <v>126</v>
      </c>
      <c r="CN108" t="s">
        <v>181</v>
      </c>
      <c r="CP108" t="s">
        <v>189</v>
      </c>
      <c r="CQ108" t="s">
        <v>181</v>
      </c>
    </row>
    <row r="109" spans="1:95" x14ac:dyDescent="0.2">
      <c r="A109" t="s">
        <v>115</v>
      </c>
      <c r="B109" t="s">
        <v>116</v>
      </c>
      <c r="C109">
        <v>210784</v>
      </c>
      <c r="E109" t="s">
        <v>117</v>
      </c>
      <c r="F109">
        <v>368</v>
      </c>
      <c r="G109" t="s">
        <v>176</v>
      </c>
      <c r="H109" t="s">
        <v>177</v>
      </c>
      <c r="I109" t="s">
        <v>178</v>
      </c>
      <c r="J109" t="s">
        <v>179</v>
      </c>
      <c r="L109" t="s">
        <v>195</v>
      </c>
      <c r="M109" s="8">
        <v>45047</v>
      </c>
      <c r="N109">
        <v>7166349</v>
      </c>
      <c r="O109" t="s">
        <v>123</v>
      </c>
      <c r="P109" t="s">
        <v>124</v>
      </c>
      <c r="Q109">
        <v>18.87</v>
      </c>
      <c r="R109" t="s">
        <v>125</v>
      </c>
      <c r="S109" t="s">
        <v>126</v>
      </c>
      <c r="T109" t="s">
        <v>125</v>
      </c>
      <c r="U109" t="s">
        <v>126</v>
      </c>
      <c r="W109">
        <v>18.87</v>
      </c>
      <c r="Y109">
        <v>18.87</v>
      </c>
      <c r="AC109">
        <v>18.87</v>
      </c>
      <c r="BH109" t="s">
        <v>126</v>
      </c>
      <c r="BI109" t="s">
        <v>126</v>
      </c>
      <c r="BJ109" t="s">
        <v>126</v>
      </c>
      <c r="BK109" t="s">
        <v>126</v>
      </c>
      <c r="BS109" t="s">
        <v>126</v>
      </c>
      <c r="BT109" t="s">
        <v>126</v>
      </c>
      <c r="BU109" t="s">
        <v>126</v>
      </c>
      <c r="BV109" t="s">
        <v>126</v>
      </c>
      <c r="CN109" t="s">
        <v>181</v>
      </c>
      <c r="CP109" t="s">
        <v>189</v>
      </c>
      <c r="CQ109" t="s">
        <v>181</v>
      </c>
    </row>
    <row r="110" spans="1:95" x14ac:dyDescent="0.2">
      <c r="A110" t="s">
        <v>115</v>
      </c>
      <c r="B110" t="s">
        <v>116</v>
      </c>
      <c r="C110">
        <v>210784</v>
      </c>
      <c r="E110" t="s">
        <v>117</v>
      </c>
      <c r="F110">
        <v>368</v>
      </c>
      <c r="G110" t="s">
        <v>176</v>
      </c>
      <c r="H110" t="s">
        <v>177</v>
      </c>
      <c r="I110" t="s">
        <v>492</v>
      </c>
      <c r="J110" t="s">
        <v>493</v>
      </c>
      <c r="L110" t="s">
        <v>494</v>
      </c>
      <c r="M110" s="8">
        <v>45047</v>
      </c>
      <c r="N110" t="s">
        <v>495</v>
      </c>
      <c r="O110" t="s">
        <v>123</v>
      </c>
      <c r="P110" t="s">
        <v>124</v>
      </c>
      <c r="Q110">
        <v>3.29</v>
      </c>
      <c r="R110" t="s">
        <v>125</v>
      </c>
      <c r="S110" t="s">
        <v>126</v>
      </c>
      <c r="T110" t="s">
        <v>125</v>
      </c>
      <c r="U110" t="s">
        <v>126</v>
      </c>
      <c r="W110">
        <v>3.29</v>
      </c>
      <c r="Y110">
        <v>3.29</v>
      </c>
      <c r="AF110">
        <v>3.29</v>
      </c>
      <c r="BH110" t="s">
        <v>126</v>
      </c>
      <c r="BI110" t="s">
        <v>126</v>
      </c>
      <c r="BJ110" t="s">
        <v>126</v>
      </c>
      <c r="BK110" t="s">
        <v>126</v>
      </c>
      <c r="BS110" t="s">
        <v>126</v>
      </c>
      <c r="BT110" t="s">
        <v>126</v>
      </c>
      <c r="BU110" t="s">
        <v>126</v>
      </c>
      <c r="BV110" t="s">
        <v>126</v>
      </c>
      <c r="CN110" t="s">
        <v>181</v>
      </c>
      <c r="CP110" t="s">
        <v>182</v>
      </c>
      <c r="CQ110" t="s">
        <v>181</v>
      </c>
    </row>
    <row r="111" spans="1:95" x14ac:dyDescent="0.2">
      <c r="A111" t="s">
        <v>115</v>
      </c>
      <c r="B111" t="s">
        <v>116</v>
      </c>
      <c r="C111">
        <v>210784</v>
      </c>
      <c r="E111" t="s">
        <v>117</v>
      </c>
      <c r="F111">
        <v>368</v>
      </c>
      <c r="G111" t="s">
        <v>176</v>
      </c>
      <c r="H111" t="s">
        <v>177</v>
      </c>
      <c r="I111" t="s">
        <v>492</v>
      </c>
      <c r="J111" t="s">
        <v>493</v>
      </c>
      <c r="L111" t="s">
        <v>496</v>
      </c>
      <c r="M111" s="8">
        <v>45047</v>
      </c>
      <c r="N111" t="s">
        <v>497</v>
      </c>
      <c r="O111" t="s">
        <v>123</v>
      </c>
      <c r="P111" t="s">
        <v>124</v>
      </c>
      <c r="Q111">
        <v>4.68</v>
      </c>
      <c r="R111" t="s">
        <v>125</v>
      </c>
      <c r="S111" t="s">
        <v>126</v>
      </c>
      <c r="T111" t="s">
        <v>125</v>
      </c>
      <c r="U111" t="s">
        <v>126</v>
      </c>
      <c r="W111">
        <v>4.68</v>
      </c>
      <c r="Y111">
        <v>4.68</v>
      </c>
      <c r="AF111">
        <v>4.68</v>
      </c>
      <c r="BH111" t="s">
        <v>126</v>
      </c>
      <c r="BI111" t="s">
        <v>126</v>
      </c>
      <c r="BJ111" t="s">
        <v>126</v>
      </c>
      <c r="BK111" t="s">
        <v>126</v>
      </c>
      <c r="BS111" t="s">
        <v>126</v>
      </c>
      <c r="BT111" t="s">
        <v>126</v>
      </c>
      <c r="BU111" t="s">
        <v>126</v>
      </c>
      <c r="BV111" t="s">
        <v>126</v>
      </c>
      <c r="CN111" t="s">
        <v>181</v>
      </c>
      <c r="CP111" t="s">
        <v>182</v>
      </c>
      <c r="CQ111" t="s">
        <v>181</v>
      </c>
    </row>
    <row r="112" spans="1:95" x14ac:dyDescent="0.2">
      <c r="A112" t="s">
        <v>115</v>
      </c>
      <c r="B112" t="s">
        <v>116</v>
      </c>
      <c r="C112">
        <v>210784</v>
      </c>
      <c r="E112" t="s">
        <v>117</v>
      </c>
      <c r="F112">
        <v>368</v>
      </c>
      <c r="G112" t="s">
        <v>176</v>
      </c>
      <c r="H112" t="s">
        <v>177</v>
      </c>
      <c r="I112" t="s">
        <v>492</v>
      </c>
      <c r="J112" t="s">
        <v>493</v>
      </c>
      <c r="L112" t="s">
        <v>192</v>
      </c>
      <c r="M112" s="8">
        <v>45047</v>
      </c>
      <c r="N112" t="s">
        <v>498</v>
      </c>
      <c r="O112" t="s">
        <v>123</v>
      </c>
      <c r="P112" t="s">
        <v>124</v>
      </c>
      <c r="Q112">
        <v>3.77</v>
      </c>
      <c r="R112" t="s">
        <v>125</v>
      </c>
      <c r="S112" t="s">
        <v>126</v>
      </c>
      <c r="T112" t="s">
        <v>125</v>
      </c>
      <c r="U112" t="s">
        <v>126</v>
      </c>
      <c r="W112">
        <v>3.77</v>
      </c>
      <c r="Y112">
        <v>3.77</v>
      </c>
      <c r="AF112">
        <v>3.77</v>
      </c>
      <c r="BH112" t="s">
        <v>126</v>
      </c>
      <c r="BI112" t="s">
        <v>126</v>
      </c>
      <c r="BJ112" t="s">
        <v>126</v>
      </c>
      <c r="BK112" t="s">
        <v>126</v>
      </c>
      <c r="BS112" t="s">
        <v>126</v>
      </c>
      <c r="BT112" t="s">
        <v>126</v>
      </c>
      <c r="BU112" t="s">
        <v>126</v>
      </c>
      <c r="BV112" t="s">
        <v>126</v>
      </c>
      <c r="CN112" t="s">
        <v>181</v>
      </c>
      <c r="CP112" t="s">
        <v>182</v>
      </c>
      <c r="CQ112" t="s">
        <v>181</v>
      </c>
    </row>
    <row r="113" spans="1:95" x14ac:dyDescent="0.2">
      <c r="A113" t="s">
        <v>115</v>
      </c>
      <c r="B113" t="s">
        <v>116</v>
      </c>
      <c r="C113">
        <v>210784</v>
      </c>
      <c r="E113" t="s">
        <v>117</v>
      </c>
      <c r="F113">
        <v>368</v>
      </c>
      <c r="G113" t="s">
        <v>176</v>
      </c>
      <c r="H113" t="s">
        <v>177</v>
      </c>
      <c r="I113" t="s">
        <v>492</v>
      </c>
      <c r="J113" t="s">
        <v>493</v>
      </c>
      <c r="L113" t="s">
        <v>193</v>
      </c>
      <c r="M113" s="8">
        <v>45047</v>
      </c>
      <c r="N113" t="s">
        <v>499</v>
      </c>
      <c r="O113" t="s">
        <v>123</v>
      </c>
      <c r="P113" t="s">
        <v>124</v>
      </c>
      <c r="Q113">
        <v>2.97</v>
      </c>
      <c r="R113" t="s">
        <v>125</v>
      </c>
      <c r="S113" t="s">
        <v>126</v>
      </c>
      <c r="T113" t="s">
        <v>125</v>
      </c>
      <c r="U113" t="s">
        <v>126</v>
      </c>
      <c r="W113">
        <v>2.97</v>
      </c>
      <c r="Y113">
        <v>2.97</v>
      </c>
      <c r="AF113">
        <v>2.97</v>
      </c>
      <c r="BH113" t="s">
        <v>126</v>
      </c>
      <c r="BI113" t="s">
        <v>126</v>
      </c>
      <c r="BJ113" t="s">
        <v>126</v>
      </c>
      <c r="BK113" t="s">
        <v>126</v>
      </c>
      <c r="BS113" t="s">
        <v>126</v>
      </c>
      <c r="BT113" t="s">
        <v>126</v>
      </c>
      <c r="BU113" t="s">
        <v>126</v>
      </c>
      <c r="BV113" t="s">
        <v>126</v>
      </c>
      <c r="CN113" t="s">
        <v>181</v>
      </c>
      <c r="CP113" t="s">
        <v>182</v>
      </c>
      <c r="CQ113" t="s">
        <v>181</v>
      </c>
    </row>
    <row r="114" spans="1:95" x14ac:dyDescent="0.2">
      <c r="A114" t="s">
        <v>115</v>
      </c>
      <c r="B114" t="s">
        <v>116</v>
      </c>
      <c r="C114">
        <v>210784</v>
      </c>
      <c r="E114" t="s">
        <v>117</v>
      </c>
      <c r="F114">
        <v>368</v>
      </c>
      <c r="G114" t="s">
        <v>176</v>
      </c>
      <c r="H114" t="s">
        <v>177</v>
      </c>
      <c r="I114" t="s">
        <v>546</v>
      </c>
      <c r="J114" t="s">
        <v>547</v>
      </c>
      <c r="L114" t="s">
        <v>552</v>
      </c>
      <c r="M114" s="8">
        <v>45047</v>
      </c>
      <c r="N114">
        <v>39430</v>
      </c>
      <c r="O114" t="s">
        <v>123</v>
      </c>
      <c r="P114" t="s">
        <v>124</v>
      </c>
      <c r="Q114">
        <v>6.35</v>
      </c>
      <c r="R114" t="s">
        <v>549</v>
      </c>
      <c r="S114" t="s">
        <v>126</v>
      </c>
      <c r="T114" t="s">
        <v>549</v>
      </c>
      <c r="U114" t="s">
        <v>550</v>
      </c>
      <c r="W114">
        <v>4.5084999999999997</v>
      </c>
      <c r="X114">
        <v>1.8414999999999999</v>
      </c>
      <c r="Y114">
        <v>6.35</v>
      </c>
      <c r="AY114">
        <v>4.5084999999999997</v>
      </c>
      <c r="BD114">
        <v>1.8414999999999999</v>
      </c>
      <c r="BH114" t="s">
        <v>126</v>
      </c>
      <c r="BI114" t="s">
        <v>126</v>
      </c>
      <c r="BJ114" t="s">
        <v>126</v>
      </c>
      <c r="BK114" t="s">
        <v>126</v>
      </c>
      <c r="BS114" t="s">
        <v>126</v>
      </c>
      <c r="BT114" t="s">
        <v>126</v>
      </c>
      <c r="BU114" t="s">
        <v>126</v>
      </c>
      <c r="BV114" t="s">
        <v>126</v>
      </c>
      <c r="CN114" t="s">
        <v>181</v>
      </c>
      <c r="CP114" t="s">
        <v>189</v>
      </c>
      <c r="CQ114" t="s">
        <v>181</v>
      </c>
    </row>
    <row r="115" spans="1:95" x14ac:dyDescent="0.2">
      <c r="A115" t="s">
        <v>115</v>
      </c>
      <c r="B115" t="s">
        <v>116</v>
      </c>
      <c r="C115">
        <v>210784</v>
      </c>
      <c r="E115" t="s">
        <v>117</v>
      </c>
      <c r="F115">
        <v>368</v>
      </c>
      <c r="G115" t="s">
        <v>176</v>
      </c>
      <c r="H115" t="s">
        <v>177</v>
      </c>
      <c r="I115" t="s">
        <v>546</v>
      </c>
      <c r="J115" t="s">
        <v>547</v>
      </c>
      <c r="L115" t="s">
        <v>191</v>
      </c>
      <c r="M115" s="8">
        <v>45047</v>
      </c>
      <c r="N115">
        <v>40542</v>
      </c>
      <c r="O115" t="s">
        <v>123</v>
      </c>
      <c r="P115" t="s">
        <v>124</v>
      </c>
      <c r="Q115">
        <v>3.8</v>
      </c>
      <c r="R115" t="s">
        <v>549</v>
      </c>
      <c r="S115" t="s">
        <v>126</v>
      </c>
      <c r="T115" t="s">
        <v>549</v>
      </c>
      <c r="U115" t="s">
        <v>550</v>
      </c>
      <c r="W115">
        <v>2.698</v>
      </c>
      <c r="X115">
        <v>1.1020000000000001</v>
      </c>
      <c r="Y115">
        <v>3.8</v>
      </c>
      <c r="AY115">
        <v>2.698</v>
      </c>
      <c r="BD115">
        <v>1.1020000000000001</v>
      </c>
      <c r="BH115" t="s">
        <v>126</v>
      </c>
      <c r="BI115" t="s">
        <v>126</v>
      </c>
      <c r="BJ115" t="s">
        <v>126</v>
      </c>
      <c r="BK115" t="s">
        <v>126</v>
      </c>
      <c r="BS115" t="s">
        <v>126</v>
      </c>
      <c r="BT115" t="s">
        <v>126</v>
      </c>
      <c r="BU115" t="s">
        <v>126</v>
      </c>
      <c r="BV115" t="s">
        <v>126</v>
      </c>
      <c r="CN115" t="s">
        <v>181</v>
      </c>
      <c r="CP115" t="s">
        <v>189</v>
      </c>
      <c r="CQ115" t="s">
        <v>181</v>
      </c>
    </row>
    <row r="116" spans="1:95" x14ac:dyDescent="0.2">
      <c r="A116" t="s">
        <v>115</v>
      </c>
      <c r="B116" t="s">
        <v>116</v>
      </c>
      <c r="C116">
        <v>210784</v>
      </c>
      <c r="E116" t="s">
        <v>117</v>
      </c>
      <c r="F116">
        <v>368</v>
      </c>
      <c r="G116" t="s">
        <v>176</v>
      </c>
      <c r="H116" t="s">
        <v>177</v>
      </c>
      <c r="I116" t="s">
        <v>178</v>
      </c>
      <c r="J116" t="s">
        <v>179</v>
      </c>
      <c r="L116" t="s">
        <v>196</v>
      </c>
      <c r="M116" s="8">
        <v>45078</v>
      </c>
      <c r="N116">
        <v>7166430</v>
      </c>
      <c r="O116" t="s">
        <v>123</v>
      </c>
      <c r="P116" t="s">
        <v>124</v>
      </c>
      <c r="Q116">
        <v>14.33</v>
      </c>
      <c r="R116" t="s">
        <v>125</v>
      </c>
      <c r="S116" t="s">
        <v>126</v>
      </c>
      <c r="T116" t="s">
        <v>125</v>
      </c>
      <c r="U116" t="s">
        <v>126</v>
      </c>
      <c r="W116">
        <v>14.33</v>
      </c>
      <c r="Y116">
        <v>14.33</v>
      </c>
      <c r="AC116">
        <v>14.33</v>
      </c>
      <c r="BH116" t="s">
        <v>126</v>
      </c>
      <c r="BI116" t="s">
        <v>126</v>
      </c>
      <c r="BJ116" t="s">
        <v>126</v>
      </c>
      <c r="BK116" t="s">
        <v>126</v>
      </c>
      <c r="BS116" t="s">
        <v>126</v>
      </c>
      <c r="BT116" t="s">
        <v>126</v>
      </c>
      <c r="BU116" t="s">
        <v>126</v>
      </c>
      <c r="BV116" t="s">
        <v>126</v>
      </c>
      <c r="CN116" t="s">
        <v>181</v>
      </c>
      <c r="CP116" t="s">
        <v>189</v>
      </c>
      <c r="CQ116" t="s">
        <v>181</v>
      </c>
    </row>
    <row r="117" spans="1:95" x14ac:dyDescent="0.2">
      <c r="A117" t="s">
        <v>115</v>
      </c>
      <c r="B117" t="s">
        <v>116</v>
      </c>
      <c r="C117">
        <v>210784</v>
      </c>
      <c r="E117" t="s">
        <v>117</v>
      </c>
      <c r="F117">
        <v>368</v>
      </c>
      <c r="G117" t="s">
        <v>176</v>
      </c>
      <c r="H117" t="s">
        <v>177</v>
      </c>
      <c r="I117" t="s">
        <v>178</v>
      </c>
      <c r="J117" t="s">
        <v>179</v>
      </c>
      <c r="L117" t="s">
        <v>196</v>
      </c>
      <c r="M117" s="8">
        <v>45078</v>
      </c>
      <c r="N117">
        <v>7166440</v>
      </c>
      <c r="O117" t="s">
        <v>123</v>
      </c>
      <c r="P117" t="s">
        <v>124</v>
      </c>
      <c r="Q117">
        <v>15.42</v>
      </c>
      <c r="R117" t="s">
        <v>125</v>
      </c>
      <c r="S117" t="s">
        <v>126</v>
      </c>
      <c r="T117" t="s">
        <v>125</v>
      </c>
      <c r="U117" t="s">
        <v>126</v>
      </c>
      <c r="W117">
        <v>15.42</v>
      </c>
      <c r="Y117">
        <v>15.42</v>
      </c>
      <c r="AC117">
        <v>15.42</v>
      </c>
      <c r="BH117" t="s">
        <v>126</v>
      </c>
      <c r="BI117" t="s">
        <v>126</v>
      </c>
      <c r="BJ117" t="s">
        <v>126</v>
      </c>
      <c r="BK117" t="s">
        <v>126</v>
      </c>
      <c r="BS117" t="s">
        <v>126</v>
      </c>
      <c r="BT117" t="s">
        <v>126</v>
      </c>
      <c r="BU117" t="s">
        <v>126</v>
      </c>
      <c r="BV117" t="s">
        <v>126</v>
      </c>
      <c r="CN117" t="s">
        <v>181</v>
      </c>
      <c r="CP117" t="s">
        <v>189</v>
      </c>
      <c r="CQ117" t="s">
        <v>181</v>
      </c>
    </row>
    <row r="118" spans="1:95" x14ac:dyDescent="0.2">
      <c r="A118" t="s">
        <v>115</v>
      </c>
      <c r="B118" t="s">
        <v>116</v>
      </c>
      <c r="C118">
        <v>210784</v>
      </c>
      <c r="E118" t="s">
        <v>117</v>
      </c>
      <c r="F118">
        <v>368</v>
      </c>
      <c r="G118" t="s">
        <v>176</v>
      </c>
      <c r="H118" t="s">
        <v>177</v>
      </c>
      <c r="I118" t="s">
        <v>178</v>
      </c>
      <c r="J118" t="s">
        <v>179</v>
      </c>
      <c r="L118" t="s">
        <v>196</v>
      </c>
      <c r="M118" s="8">
        <v>45078</v>
      </c>
      <c r="N118">
        <v>7166450</v>
      </c>
      <c r="O118" t="s">
        <v>123</v>
      </c>
      <c r="P118" t="s">
        <v>124</v>
      </c>
      <c r="Q118">
        <v>17.82</v>
      </c>
      <c r="R118" t="s">
        <v>125</v>
      </c>
      <c r="S118" t="s">
        <v>126</v>
      </c>
      <c r="T118" t="s">
        <v>125</v>
      </c>
      <c r="U118" t="s">
        <v>126</v>
      </c>
      <c r="W118">
        <v>17.82</v>
      </c>
      <c r="Y118">
        <v>17.82</v>
      </c>
      <c r="AC118">
        <v>17.82</v>
      </c>
      <c r="BH118" t="s">
        <v>126</v>
      </c>
      <c r="BI118" t="s">
        <v>126</v>
      </c>
      <c r="BJ118" t="s">
        <v>126</v>
      </c>
      <c r="BK118" t="s">
        <v>126</v>
      </c>
      <c r="BS118" t="s">
        <v>126</v>
      </c>
      <c r="BT118" t="s">
        <v>126</v>
      </c>
      <c r="BU118" t="s">
        <v>126</v>
      </c>
      <c r="BV118" t="s">
        <v>126</v>
      </c>
      <c r="CN118" t="s">
        <v>181</v>
      </c>
      <c r="CP118" t="s">
        <v>189</v>
      </c>
      <c r="CQ118" t="s">
        <v>181</v>
      </c>
    </row>
    <row r="119" spans="1:95" x14ac:dyDescent="0.2">
      <c r="A119" t="s">
        <v>115</v>
      </c>
      <c r="B119" t="s">
        <v>116</v>
      </c>
      <c r="C119">
        <v>210784</v>
      </c>
      <c r="E119" t="s">
        <v>117</v>
      </c>
      <c r="F119">
        <v>368</v>
      </c>
      <c r="G119" t="s">
        <v>176</v>
      </c>
      <c r="H119" t="s">
        <v>177</v>
      </c>
      <c r="I119" t="s">
        <v>178</v>
      </c>
      <c r="J119" t="s">
        <v>179</v>
      </c>
      <c r="L119" t="s">
        <v>196</v>
      </c>
      <c r="M119" s="8">
        <v>45078</v>
      </c>
      <c r="N119">
        <v>7166517</v>
      </c>
      <c r="O119" t="s">
        <v>123</v>
      </c>
      <c r="P119" t="s">
        <v>124</v>
      </c>
      <c r="Q119">
        <v>21.57</v>
      </c>
      <c r="R119" t="s">
        <v>125</v>
      </c>
      <c r="S119" t="s">
        <v>126</v>
      </c>
      <c r="T119" t="s">
        <v>125</v>
      </c>
      <c r="U119" t="s">
        <v>126</v>
      </c>
      <c r="W119">
        <v>21.57</v>
      </c>
      <c r="Y119">
        <v>21.57</v>
      </c>
      <c r="AC119">
        <v>21.57</v>
      </c>
      <c r="BH119" t="s">
        <v>126</v>
      </c>
      <c r="BI119" t="s">
        <v>126</v>
      </c>
      <c r="BJ119" t="s">
        <v>126</v>
      </c>
      <c r="BK119" t="s">
        <v>126</v>
      </c>
      <c r="BS119" t="s">
        <v>126</v>
      </c>
      <c r="BT119" t="s">
        <v>126</v>
      </c>
      <c r="BU119" t="s">
        <v>126</v>
      </c>
      <c r="BV119" t="s">
        <v>126</v>
      </c>
      <c r="CN119" t="s">
        <v>181</v>
      </c>
      <c r="CP119" t="s">
        <v>189</v>
      </c>
      <c r="CQ119" t="s">
        <v>181</v>
      </c>
    </row>
    <row r="120" spans="1:95" x14ac:dyDescent="0.2">
      <c r="A120" t="s">
        <v>115</v>
      </c>
      <c r="B120" t="s">
        <v>116</v>
      </c>
      <c r="C120">
        <v>210784</v>
      </c>
      <c r="E120" t="s">
        <v>117</v>
      </c>
      <c r="F120">
        <v>368</v>
      </c>
      <c r="G120" t="s">
        <v>176</v>
      </c>
      <c r="H120" t="s">
        <v>177</v>
      </c>
      <c r="I120" t="s">
        <v>178</v>
      </c>
      <c r="J120" t="s">
        <v>179</v>
      </c>
      <c r="L120" t="s">
        <v>196</v>
      </c>
      <c r="M120" s="8">
        <v>45078</v>
      </c>
      <c r="N120">
        <v>7166520</v>
      </c>
      <c r="O120" t="s">
        <v>123</v>
      </c>
      <c r="P120" t="s">
        <v>124</v>
      </c>
      <c r="Q120">
        <v>18.46</v>
      </c>
      <c r="R120" t="s">
        <v>125</v>
      </c>
      <c r="S120" t="s">
        <v>126</v>
      </c>
      <c r="T120" t="s">
        <v>125</v>
      </c>
      <c r="U120" t="s">
        <v>126</v>
      </c>
      <c r="W120">
        <v>18.46</v>
      </c>
      <c r="Y120">
        <v>18.46</v>
      </c>
      <c r="AC120">
        <v>18.46</v>
      </c>
      <c r="BH120" t="s">
        <v>126</v>
      </c>
      <c r="BI120" t="s">
        <v>126</v>
      </c>
      <c r="BJ120" t="s">
        <v>126</v>
      </c>
      <c r="BK120" t="s">
        <v>126</v>
      </c>
      <c r="BS120" t="s">
        <v>126</v>
      </c>
      <c r="BT120" t="s">
        <v>126</v>
      </c>
      <c r="BU120" t="s">
        <v>126</v>
      </c>
      <c r="BV120" t="s">
        <v>126</v>
      </c>
      <c r="CN120" t="s">
        <v>181</v>
      </c>
      <c r="CP120" t="s">
        <v>189</v>
      </c>
      <c r="CQ120" t="s">
        <v>181</v>
      </c>
    </row>
    <row r="121" spans="1:95" x14ac:dyDescent="0.2">
      <c r="A121" t="s">
        <v>115</v>
      </c>
      <c r="B121" t="s">
        <v>116</v>
      </c>
      <c r="C121">
        <v>210784</v>
      </c>
      <c r="E121" t="s">
        <v>117</v>
      </c>
      <c r="F121">
        <v>368</v>
      </c>
      <c r="G121" t="s">
        <v>176</v>
      </c>
      <c r="H121" t="s">
        <v>177</v>
      </c>
      <c r="I121" t="s">
        <v>178</v>
      </c>
      <c r="J121" t="s">
        <v>179</v>
      </c>
      <c r="L121" t="s">
        <v>196</v>
      </c>
      <c r="M121" s="8">
        <v>45078</v>
      </c>
      <c r="N121">
        <v>7166534</v>
      </c>
      <c r="O121" t="s">
        <v>123</v>
      </c>
      <c r="P121" t="s">
        <v>124</v>
      </c>
      <c r="Q121">
        <v>17.68</v>
      </c>
      <c r="R121" t="s">
        <v>125</v>
      </c>
      <c r="S121" t="s">
        <v>126</v>
      </c>
      <c r="T121" t="s">
        <v>125</v>
      </c>
      <c r="U121" t="s">
        <v>126</v>
      </c>
      <c r="W121">
        <v>17.68</v>
      </c>
      <c r="Y121">
        <v>17.68</v>
      </c>
      <c r="AC121">
        <v>17.68</v>
      </c>
      <c r="BH121" t="s">
        <v>126</v>
      </c>
      <c r="BI121" t="s">
        <v>126</v>
      </c>
      <c r="BJ121" t="s">
        <v>126</v>
      </c>
      <c r="BK121" t="s">
        <v>126</v>
      </c>
      <c r="BS121" t="s">
        <v>126</v>
      </c>
      <c r="BT121" t="s">
        <v>126</v>
      </c>
      <c r="BU121" t="s">
        <v>126</v>
      </c>
      <c r="BV121" t="s">
        <v>126</v>
      </c>
      <c r="CN121" t="s">
        <v>181</v>
      </c>
      <c r="CP121" t="s">
        <v>189</v>
      </c>
      <c r="CQ121" t="s">
        <v>181</v>
      </c>
    </row>
    <row r="122" spans="1:95" x14ac:dyDescent="0.2">
      <c r="A122" t="s">
        <v>115</v>
      </c>
      <c r="B122" t="s">
        <v>116</v>
      </c>
      <c r="C122">
        <v>210784</v>
      </c>
      <c r="E122" t="s">
        <v>117</v>
      </c>
      <c r="F122">
        <v>368</v>
      </c>
      <c r="G122" t="s">
        <v>176</v>
      </c>
      <c r="H122" t="s">
        <v>177</v>
      </c>
      <c r="I122" t="s">
        <v>178</v>
      </c>
      <c r="J122" t="s">
        <v>179</v>
      </c>
      <c r="L122" t="s">
        <v>196</v>
      </c>
      <c r="M122" s="8">
        <v>45078</v>
      </c>
      <c r="N122">
        <v>7166555</v>
      </c>
      <c r="O122" t="s">
        <v>123</v>
      </c>
      <c r="P122" t="s">
        <v>124</v>
      </c>
      <c r="Q122">
        <v>18.39</v>
      </c>
      <c r="R122" t="s">
        <v>125</v>
      </c>
      <c r="S122" t="s">
        <v>126</v>
      </c>
      <c r="T122" t="s">
        <v>125</v>
      </c>
      <c r="U122" t="s">
        <v>126</v>
      </c>
      <c r="W122">
        <v>18.39</v>
      </c>
      <c r="Y122">
        <v>18.39</v>
      </c>
      <c r="AC122">
        <v>18.39</v>
      </c>
      <c r="BH122" t="s">
        <v>126</v>
      </c>
      <c r="BI122" t="s">
        <v>126</v>
      </c>
      <c r="BJ122" t="s">
        <v>126</v>
      </c>
      <c r="BK122" t="s">
        <v>126</v>
      </c>
      <c r="BS122" t="s">
        <v>126</v>
      </c>
      <c r="BT122" t="s">
        <v>126</v>
      </c>
      <c r="BU122" t="s">
        <v>126</v>
      </c>
      <c r="BV122" t="s">
        <v>126</v>
      </c>
      <c r="CN122" t="s">
        <v>181</v>
      </c>
      <c r="CP122" t="s">
        <v>189</v>
      </c>
      <c r="CQ122" t="s">
        <v>181</v>
      </c>
    </row>
    <row r="123" spans="1:95" x14ac:dyDescent="0.2">
      <c r="A123" t="s">
        <v>115</v>
      </c>
      <c r="B123" t="s">
        <v>116</v>
      </c>
      <c r="C123">
        <v>210784</v>
      </c>
      <c r="E123" t="s">
        <v>117</v>
      </c>
      <c r="F123">
        <v>368</v>
      </c>
      <c r="G123" t="s">
        <v>176</v>
      </c>
      <c r="H123" t="s">
        <v>177</v>
      </c>
      <c r="I123" t="s">
        <v>178</v>
      </c>
      <c r="J123" t="s">
        <v>179</v>
      </c>
      <c r="L123" t="s">
        <v>196</v>
      </c>
      <c r="M123" s="8">
        <v>45078</v>
      </c>
      <c r="N123">
        <v>7166574</v>
      </c>
      <c r="O123" t="s">
        <v>123</v>
      </c>
      <c r="P123" t="s">
        <v>124</v>
      </c>
      <c r="Q123">
        <v>16.63</v>
      </c>
      <c r="R123" t="s">
        <v>125</v>
      </c>
      <c r="S123" t="s">
        <v>126</v>
      </c>
      <c r="T123" t="s">
        <v>125</v>
      </c>
      <c r="U123" t="s">
        <v>126</v>
      </c>
      <c r="W123">
        <v>16.63</v>
      </c>
      <c r="Y123">
        <v>16.63</v>
      </c>
      <c r="AC123">
        <v>16.63</v>
      </c>
      <c r="BH123" t="s">
        <v>126</v>
      </c>
      <c r="BI123" t="s">
        <v>126</v>
      </c>
      <c r="BJ123" t="s">
        <v>126</v>
      </c>
      <c r="BK123" t="s">
        <v>126</v>
      </c>
      <c r="BS123" t="s">
        <v>126</v>
      </c>
      <c r="BT123" t="s">
        <v>126</v>
      </c>
      <c r="BU123" t="s">
        <v>126</v>
      </c>
      <c r="BV123" t="s">
        <v>126</v>
      </c>
      <c r="CN123" t="s">
        <v>181</v>
      </c>
      <c r="CP123" t="s">
        <v>189</v>
      </c>
      <c r="CQ123" t="s">
        <v>181</v>
      </c>
    </row>
    <row r="124" spans="1:95" x14ac:dyDescent="0.2">
      <c r="A124" t="s">
        <v>115</v>
      </c>
      <c r="B124" t="s">
        <v>116</v>
      </c>
      <c r="C124">
        <v>210784</v>
      </c>
      <c r="E124" t="s">
        <v>117</v>
      </c>
      <c r="F124">
        <v>368</v>
      </c>
      <c r="G124" t="s">
        <v>176</v>
      </c>
      <c r="H124" t="s">
        <v>177</v>
      </c>
      <c r="I124" t="s">
        <v>178</v>
      </c>
      <c r="J124" t="s">
        <v>179</v>
      </c>
      <c r="L124" t="s">
        <v>196</v>
      </c>
      <c r="M124" s="8">
        <v>45078</v>
      </c>
      <c r="N124">
        <v>7166576</v>
      </c>
      <c r="O124" t="s">
        <v>123</v>
      </c>
      <c r="P124" t="s">
        <v>124</v>
      </c>
      <c r="Q124">
        <v>18.690000000000001</v>
      </c>
      <c r="R124" t="s">
        <v>125</v>
      </c>
      <c r="S124" t="s">
        <v>126</v>
      </c>
      <c r="T124" t="s">
        <v>125</v>
      </c>
      <c r="U124" t="s">
        <v>126</v>
      </c>
      <c r="W124">
        <v>18.690000000000001</v>
      </c>
      <c r="Y124">
        <v>18.690000000000001</v>
      </c>
      <c r="AC124">
        <v>18.690000000000001</v>
      </c>
      <c r="BH124" t="s">
        <v>126</v>
      </c>
      <c r="BI124" t="s">
        <v>126</v>
      </c>
      <c r="BJ124" t="s">
        <v>126</v>
      </c>
      <c r="BK124" t="s">
        <v>126</v>
      </c>
      <c r="BS124" t="s">
        <v>126</v>
      </c>
      <c r="BT124" t="s">
        <v>126</v>
      </c>
      <c r="BU124" t="s">
        <v>126</v>
      </c>
      <c r="BV124" t="s">
        <v>126</v>
      </c>
      <c r="CN124" t="s">
        <v>181</v>
      </c>
      <c r="CP124" t="s">
        <v>189</v>
      </c>
      <c r="CQ124" t="s">
        <v>181</v>
      </c>
    </row>
    <row r="125" spans="1:95" x14ac:dyDescent="0.2">
      <c r="A125" t="s">
        <v>115</v>
      </c>
      <c r="B125" t="s">
        <v>116</v>
      </c>
      <c r="C125">
        <v>210784</v>
      </c>
      <c r="E125" t="s">
        <v>117</v>
      </c>
      <c r="F125">
        <v>368</v>
      </c>
      <c r="G125" t="s">
        <v>176</v>
      </c>
      <c r="H125" t="s">
        <v>177</v>
      </c>
      <c r="I125" t="s">
        <v>178</v>
      </c>
      <c r="J125" t="s">
        <v>179</v>
      </c>
      <c r="L125" t="s">
        <v>197</v>
      </c>
      <c r="M125" s="8">
        <v>45078</v>
      </c>
      <c r="N125">
        <v>7169038</v>
      </c>
      <c r="O125" t="s">
        <v>123</v>
      </c>
      <c r="P125" t="s">
        <v>124</v>
      </c>
      <c r="Q125">
        <v>23.45</v>
      </c>
      <c r="R125" t="s">
        <v>125</v>
      </c>
      <c r="S125" t="s">
        <v>126</v>
      </c>
      <c r="T125" t="s">
        <v>125</v>
      </c>
      <c r="U125" t="s">
        <v>126</v>
      </c>
      <c r="W125">
        <v>23.45</v>
      </c>
      <c r="Y125">
        <v>23.45</v>
      </c>
      <c r="AC125">
        <v>23.45</v>
      </c>
      <c r="BH125" t="s">
        <v>126</v>
      </c>
      <c r="BI125" t="s">
        <v>126</v>
      </c>
      <c r="BJ125" t="s">
        <v>126</v>
      </c>
      <c r="BK125" t="s">
        <v>126</v>
      </c>
      <c r="BS125" t="s">
        <v>126</v>
      </c>
      <c r="BT125" t="s">
        <v>126</v>
      </c>
      <c r="BU125" t="s">
        <v>126</v>
      </c>
      <c r="BV125" t="s">
        <v>126</v>
      </c>
      <c r="CN125" t="s">
        <v>181</v>
      </c>
      <c r="CP125" t="s">
        <v>189</v>
      </c>
      <c r="CQ125" t="s">
        <v>181</v>
      </c>
    </row>
    <row r="126" spans="1:95" x14ac:dyDescent="0.2">
      <c r="A126" t="s">
        <v>115</v>
      </c>
      <c r="B126" t="s">
        <v>116</v>
      </c>
      <c r="C126">
        <v>210784</v>
      </c>
      <c r="E126" t="s">
        <v>117</v>
      </c>
      <c r="F126">
        <v>368</v>
      </c>
      <c r="G126" t="s">
        <v>176</v>
      </c>
      <c r="H126" t="s">
        <v>177</v>
      </c>
      <c r="I126" t="s">
        <v>178</v>
      </c>
      <c r="J126" t="s">
        <v>179</v>
      </c>
      <c r="L126" t="s">
        <v>197</v>
      </c>
      <c r="M126" s="8">
        <v>45078</v>
      </c>
      <c r="N126">
        <v>7169074</v>
      </c>
      <c r="O126" t="s">
        <v>123</v>
      </c>
      <c r="P126" t="s">
        <v>124</v>
      </c>
      <c r="Q126">
        <v>26.07</v>
      </c>
      <c r="R126" t="s">
        <v>125</v>
      </c>
      <c r="S126" t="s">
        <v>126</v>
      </c>
      <c r="T126" t="s">
        <v>125</v>
      </c>
      <c r="U126" t="s">
        <v>126</v>
      </c>
      <c r="W126">
        <v>26.07</v>
      </c>
      <c r="Y126">
        <v>26.07</v>
      </c>
      <c r="AC126">
        <v>26.07</v>
      </c>
      <c r="BH126" t="s">
        <v>126</v>
      </c>
      <c r="BI126" t="s">
        <v>126</v>
      </c>
      <c r="BJ126" t="s">
        <v>126</v>
      </c>
      <c r="BK126" t="s">
        <v>126</v>
      </c>
      <c r="BS126" t="s">
        <v>126</v>
      </c>
      <c r="BT126" t="s">
        <v>126</v>
      </c>
      <c r="BU126" t="s">
        <v>126</v>
      </c>
      <c r="BV126" t="s">
        <v>126</v>
      </c>
      <c r="CN126" t="s">
        <v>181</v>
      </c>
      <c r="CP126" t="s">
        <v>189</v>
      </c>
      <c r="CQ126" t="s">
        <v>181</v>
      </c>
    </row>
    <row r="127" spans="1:95" x14ac:dyDescent="0.2">
      <c r="A127" t="s">
        <v>115</v>
      </c>
      <c r="B127" t="s">
        <v>116</v>
      </c>
      <c r="C127">
        <v>210784</v>
      </c>
      <c r="E127" t="s">
        <v>117</v>
      </c>
      <c r="F127">
        <v>368</v>
      </c>
      <c r="G127" t="s">
        <v>176</v>
      </c>
      <c r="H127" t="s">
        <v>177</v>
      </c>
      <c r="I127" t="s">
        <v>178</v>
      </c>
      <c r="J127" t="s">
        <v>179</v>
      </c>
      <c r="L127" t="s">
        <v>198</v>
      </c>
      <c r="M127" s="8">
        <v>45078</v>
      </c>
      <c r="N127">
        <v>7169135</v>
      </c>
      <c r="O127" t="s">
        <v>123</v>
      </c>
      <c r="P127" t="s">
        <v>124</v>
      </c>
      <c r="Q127">
        <v>20.18</v>
      </c>
      <c r="R127" t="s">
        <v>125</v>
      </c>
      <c r="S127" t="s">
        <v>126</v>
      </c>
      <c r="T127" t="s">
        <v>125</v>
      </c>
      <c r="U127" t="s">
        <v>126</v>
      </c>
      <c r="W127">
        <v>20.18</v>
      </c>
      <c r="Y127">
        <v>20.18</v>
      </c>
      <c r="AC127">
        <v>20.18</v>
      </c>
      <c r="BH127" t="s">
        <v>126</v>
      </c>
      <c r="BI127" t="s">
        <v>126</v>
      </c>
      <c r="BJ127" t="s">
        <v>126</v>
      </c>
      <c r="BK127" t="s">
        <v>126</v>
      </c>
      <c r="BS127" t="s">
        <v>126</v>
      </c>
      <c r="BT127" t="s">
        <v>126</v>
      </c>
      <c r="BU127" t="s">
        <v>126</v>
      </c>
      <c r="BV127" t="s">
        <v>126</v>
      </c>
      <c r="CN127" t="s">
        <v>181</v>
      </c>
      <c r="CP127" t="s">
        <v>189</v>
      </c>
      <c r="CQ127" t="s">
        <v>181</v>
      </c>
    </row>
    <row r="128" spans="1:95" x14ac:dyDescent="0.2">
      <c r="A128" t="s">
        <v>115</v>
      </c>
      <c r="B128" t="s">
        <v>116</v>
      </c>
      <c r="C128">
        <v>210784</v>
      </c>
      <c r="E128" t="s">
        <v>117</v>
      </c>
      <c r="F128">
        <v>368</v>
      </c>
      <c r="G128" t="s">
        <v>176</v>
      </c>
      <c r="H128" t="s">
        <v>177</v>
      </c>
      <c r="I128" t="s">
        <v>178</v>
      </c>
      <c r="J128" t="s">
        <v>179</v>
      </c>
      <c r="L128" t="s">
        <v>198</v>
      </c>
      <c r="M128" s="8">
        <v>45078</v>
      </c>
      <c r="N128">
        <v>7169137</v>
      </c>
      <c r="O128" t="s">
        <v>123</v>
      </c>
      <c r="P128" t="s">
        <v>124</v>
      </c>
      <c r="Q128">
        <v>20.88</v>
      </c>
      <c r="R128" t="s">
        <v>125</v>
      </c>
      <c r="S128" t="s">
        <v>126</v>
      </c>
      <c r="T128" t="s">
        <v>125</v>
      </c>
      <c r="U128" t="s">
        <v>126</v>
      </c>
      <c r="W128">
        <v>20.88</v>
      </c>
      <c r="Y128">
        <v>20.88</v>
      </c>
      <c r="AC128">
        <v>20.88</v>
      </c>
      <c r="BH128" t="s">
        <v>126</v>
      </c>
      <c r="BI128" t="s">
        <v>126</v>
      </c>
      <c r="BJ128" t="s">
        <v>126</v>
      </c>
      <c r="BK128" t="s">
        <v>126</v>
      </c>
      <c r="BS128" t="s">
        <v>126</v>
      </c>
      <c r="BT128" t="s">
        <v>126</v>
      </c>
      <c r="BU128" t="s">
        <v>126</v>
      </c>
      <c r="BV128" t="s">
        <v>126</v>
      </c>
      <c r="CN128" t="s">
        <v>181</v>
      </c>
      <c r="CP128" t="s">
        <v>189</v>
      </c>
      <c r="CQ128" t="s">
        <v>181</v>
      </c>
    </row>
    <row r="129" spans="1:95" x14ac:dyDescent="0.2">
      <c r="A129" t="s">
        <v>115</v>
      </c>
      <c r="B129" t="s">
        <v>116</v>
      </c>
      <c r="C129">
        <v>210784</v>
      </c>
      <c r="E129" t="s">
        <v>117</v>
      </c>
      <c r="F129">
        <v>368</v>
      </c>
      <c r="G129" t="s">
        <v>176</v>
      </c>
      <c r="H129" t="s">
        <v>177</v>
      </c>
      <c r="I129" t="s">
        <v>178</v>
      </c>
      <c r="J129" t="s">
        <v>179</v>
      </c>
      <c r="L129" t="s">
        <v>198</v>
      </c>
      <c r="M129" s="8">
        <v>45078</v>
      </c>
      <c r="N129">
        <v>7169213</v>
      </c>
      <c r="O129" t="s">
        <v>123</v>
      </c>
      <c r="P129" t="s">
        <v>124</v>
      </c>
      <c r="Q129">
        <v>23.81</v>
      </c>
      <c r="R129" t="s">
        <v>125</v>
      </c>
      <c r="S129" t="s">
        <v>126</v>
      </c>
      <c r="T129" t="s">
        <v>125</v>
      </c>
      <c r="U129" t="s">
        <v>126</v>
      </c>
      <c r="W129">
        <v>23.81</v>
      </c>
      <c r="Y129">
        <v>23.81</v>
      </c>
      <c r="AC129">
        <v>23.81</v>
      </c>
      <c r="BH129" t="s">
        <v>126</v>
      </c>
      <c r="BI129" t="s">
        <v>126</v>
      </c>
      <c r="BJ129" t="s">
        <v>126</v>
      </c>
      <c r="BK129" t="s">
        <v>126</v>
      </c>
      <c r="BS129" t="s">
        <v>126</v>
      </c>
      <c r="BT129" t="s">
        <v>126</v>
      </c>
      <c r="BU129" t="s">
        <v>126</v>
      </c>
      <c r="BV129" t="s">
        <v>126</v>
      </c>
      <c r="CN129" t="s">
        <v>181</v>
      </c>
      <c r="CP129" t="s">
        <v>189</v>
      </c>
      <c r="CQ129" t="s">
        <v>181</v>
      </c>
    </row>
    <row r="130" spans="1:95" x14ac:dyDescent="0.2">
      <c r="A130" t="s">
        <v>115</v>
      </c>
      <c r="B130" t="s">
        <v>116</v>
      </c>
      <c r="C130">
        <v>210784</v>
      </c>
      <c r="E130" t="s">
        <v>117</v>
      </c>
      <c r="F130">
        <v>368</v>
      </c>
      <c r="G130" t="s">
        <v>176</v>
      </c>
      <c r="H130" t="s">
        <v>177</v>
      </c>
      <c r="I130" t="s">
        <v>178</v>
      </c>
      <c r="J130" t="s">
        <v>179</v>
      </c>
      <c r="L130" t="s">
        <v>198</v>
      </c>
      <c r="M130" s="8">
        <v>45078</v>
      </c>
      <c r="N130">
        <v>7169217</v>
      </c>
      <c r="O130" t="s">
        <v>123</v>
      </c>
      <c r="P130" t="s">
        <v>124</v>
      </c>
      <c r="Q130">
        <v>19.41</v>
      </c>
      <c r="R130" t="s">
        <v>125</v>
      </c>
      <c r="S130" t="s">
        <v>126</v>
      </c>
      <c r="T130" t="s">
        <v>125</v>
      </c>
      <c r="U130" t="s">
        <v>126</v>
      </c>
      <c r="W130">
        <v>19.41</v>
      </c>
      <c r="Y130">
        <v>19.41</v>
      </c>
      <c r="AC130">
        <v>19.41</v>
      </c>
      <c r="BH130" t="s">
        <v>126</v>
      </c>
      <c r="BI130" t="s">
        <v>126</v>
      </c>
      <c r="BJ130" t="s">
        <v>126</v>
      </c>
      <c r="BK130" t="s">
        <v>126</v>
      </c>
      <c r="BS130" t="s">
        <v>126</v>
      </c>
      <c r="BT130" t="s">
        <v>126</v>
      </c>
      <c r="BU130" t="s">
        <v>126</v>
      </c>
      <c r="BV130" t="s">
        <v>126</v>
      </c>
      <c r="CN130" t="s">
        <v>181</v>
      </c>
      <c r="CP130" t="s">
        <v>189</v>
      </c>
      <c r="CQ130" t="s">
        <v>181</v>
      </c>
    </row>
    <row r="131" spans="1:95" x14ac:dyDescent="0.2">
      <c r="A131" t="s">
        <v>115</v>
      </c>
      <c r="B131" t="s">
        <v>116</v>
      </c>
      <c r="C131">
        <v>210784</v>
      </c>
      <c r="E131" t="s">
        <v>117</v>
      </c>
      <c r="F131">
        <v>368</v>
      </c>
      <c r="G131" t="s">
        <v>176</v>
      </c>
      <c r="H131" t="s">
        <v>177</v>
      </c>
      <c r="I131" t="s">
        <v>178</v>
      </c>
      <c r="J131" t="s">
        <v>179</v>
      </c>
      <c r="L131" t="s">
        <v>198</v>
      </c>
      <c r="M131" s="8">
        <v>45078</v>
      </c>
      <c r="N131">
        <v>7169281</v>
      </c>
      <c r="O131" t="s">
        <v>123</v>
      </c>
      <c r="P131" t="s">
        <v>124</v>
      </c>
      <c r="Q131">
        <v>19.079999999999998</v>
      </c>
      <c r="R131" t="s">
        <v>125</v>
      </c>
      <c r="S131" t="s">
        <v>126</v>
      </c>
      <c r="T131" t="s">
        <v>125</v>
      </c>
      <c r="U131" t="s">
        <v>126</v>
      </c>
      <c r="W131">
        <v>19.079999999999998</v>
      </c>
      <c r="Y131">
        <v>19.079999999999998</v>
      </c>
      <c r="AC131">
        <v>19.079999999999998</v>
      </c>
      <c r="BH131" t="s">
        <v>126</v>
      </c>
      <c r="BI131" t="s">
        <v>126</v>
      </c>
      <c r="BJ131" t="s">
        <v>126</v>
      </c>
      <c r="BK131" t="s">
        <v>126</v>
      </c>
      <c r="BS131" t="s">
        <v>126</v>
      </c>
      <c r="BT131" t="s">
        <v>126</v>
      </c>
      <c r="BU131" t="s">
        <v>126</v>
      </c>
      <c r="BV131" t="s">
        <v>126</v>
      </c>
      <c r="CN131" t="s">
        <v>181</v>
      </c>
      <c r="CP131" t="s">
        <v>189</v>
      </c>
      <c r="CQ131" t="s">
        <v>181</v>
      </c>
    </row>
    <row r="132" spans="1:95" x14ac:dyDescent="0.2">
      <c r="A132" t="s">
        <v>115</v>
      </c>
      <c r="B132" t="s">
        <v>116</v>
      </c>
      <c r="C132">
        <v>210784</v>
      </c>
      <c r="E132" t="s">
        <v>117</v>
      </c>
      <c r="F132">
        <v>368</v>
      </c>
      <c r="G132" t="s">
        <v>176</v>
      </c>
      <c r="H132" t="s">
        <v>177</v>
      </c>
      <c r="I132" t="s">
        <v>178</v>
      </c>
      <c r="J132" t="s">
        <v>179</v>
      </c>
      <c r="L132" t="s">
        <v>199</v>
      </c>
      <c r="M132" s="8">
        <v>45078</v>
      </c>
      <c r="N132">
        <v>7170189</v>
      </c>
      <c r="O132" t="s">
        <v>123</v>
      </c>
      <c r="P132" t="s">
        <v>124</v>
      </c>
      <c r="Q132">
        <v>41.73</v>
      </c>
      <c r="R132" t="s">
        <v>125</v>
      </c>
      <c r="S132" t="s">
        <v>126</v>
      </c>
      <c r="T132" t="s">
        <v>125</v>
      </c>
      <c r="U132" t="s">
        <v>126</v>
      </c>
      <c r="W132">
        <v>41.73</v>
      </c>
      <c r="Y132">
        <v>41.73</v>
      </c>
      <c r="AC132">
        <v>41.73</v>
      </c>
      <c r="BH132" t="s">
        <v>126</v>
      </c>
      <c r="BI132" t="s">
        <v>126</v>
      </c>
      <c r="BJ132" t="s">
        <v>126</v>
      </c>
      <c r="BK132" t="s">
        <v>126</v>
      </c>
      <c r="BS132" t="s">
        <v>126</v>
      </c>
      <c r="BT132" t="s">
        <v>126</v>
      </c>
      <c r="BU132" t="s">
        <v>126</v>
      </c>
      <c r="BV132" t="s">
        <v>126</v>
      </c>
      <c r="CN132" t="s">
        <v>181</v>
      </c>
      <c r="CP132" t="s">
        <v>189</v>
      </c>
      <c r="CQ132" t="s">
        <v>181</v>
      </c>
    </row>
    <row r="133" spans="1:95" x14ac:dyDescent="0.2">
      <c r="A133" t="s">
        <v>115</v>
      </c>
      <c r="B133" t="s">
        <v>116</v>
      </c>
      <c r="C133">
        <v>210784</v>
      </c>
      <c r="E133" t="s">
        <v>117</v>
      </c>
      <c r="F133">
        <v>368</v>
      </c>
      <c r="G133" t="s">
        <v>176</v>
      </c>
      <c r="H133" t="s">
        <v>177</v>
      </c>
      <c r="I133" t="s">
        <v>178</v>
      </c>
      <c r="J133" t="s">
        <v>179</v>
      </c>
      <c r="L133" t="s">
        <v>199</v>
      </c>
      <c r="M133" s="8">
        <v>45078</v>
      </c>
      <c r="N133">
        <v>7170252</v>
      </c>
      <c r="O133" t="s">
        <v>123</v>
      </c>
      <c r="P133" t="s">
        <v>124</v>
      </c>
      <c r="Q133">
        <v>34.6</v>
      </c>
      <c r="R133" t="s">
        <v>125</v>
      </c>
      <c r="S133" t="s">
        <v>126</v>
      </c>
      <c r="T133" t="s">
        <v>125</v>
      </c>
      <c r="U133" t="s">
        <v>126</v>
      </c>
      <c r="W133">
        <v>34.6</v>
      </c>
      <c r="Y133">
        <v>34.6</v>
      </c>
      <c r="AC133">
        <v>34.6</v>
      </c>
      <c r="BH133" t="s">
        <v>126</v>
      </c>
      <c r="BI133" t="s">
        <v>126</v>
      </c>
      <c r="BJ133" t="s">
        <v>126</v>
      </c>
      <c r="BK133" t="s">
        <v>126</v>
      </c>
      <c r="BS133" t="s">
        <v>126</v>
      </c>
      <c r="BT133" t="s">
        <v>126</v>
      </c>
      <c r="BU133" t="s">
        <v>126</v>
      </c>
      <c r="BV133" t="s">
        <v>126</v>
      </c>
      <c r="CN133" t="s">
        <v>181</v>
      </c>
      <c r="CP133" t="s">
        <v>189</v>
      </c>
      <c r="CQ133" t="s">
        <v>181</v>
      </c>
    </row>
    <row r="134" spans="1:95" x14ac:dyDescent="0.2">
      <c r="A134" t="s">
        <v>115</v>
      </c>
      <c r="B134" t="s">
        <v>116</v>
      </c>
      <c r="C134">
        <v>210784</v>
      </c>
      <c r="E134" t="s">
        <v>117</v>
      </c>
      <c r="F134">
        <v>368</v>
      </c>
      <c r="G134" t="s">
        <v>176</v>
      </c>
      <c r="H134" t="s">
        <v>177</v>
      </c>
      <c r="I134" t="s">
        <v>178</v>
      </c>
      <c r="J134" t="s">
        <v>179</v>
      </c>
      <c r="L134" t="s">
        <v>199</v>
      </c>
      <c r="M134" s="8">
        <v>45078</v>
      </c>
      <c r="N134">
        <v>7170259</v>
      </c>
      <c r="O134" t="s">
        <v>123</v>
      </c>
      <c r="P134" t="s">
        <v>124</v>
      </c>
      <c r="Q134">
        <v>18.920000000000002</v>
      </c>
      <c r="R134" t="s">
        <v>125</v>
      </c>
      <c r="S134" t="s">
        <v>126</v>
      </c>
      <c r="T134" t="s">
        <v>125</v>
      </c>
      <c r="U134" t="s">
        <v>126</v>
      </c>
      <c r="W134">
        <v>18.920000000000002</v>
      </c>
      <c r="Y134">
        <v>18.920000000000002</v>
      </c>
      <c r="AC134">
        <v>18.920000000000002</v>
      </c>
      <c r="BH134" t="s">
        <v>126</v>
      </c>
      <c r="BI134" t="s">
        <v>126</v>
      </c>
      <c r="BJ134" t="s">
        <v>126</v>
      </c>
      <c r="BK134" t="s">
        <v>126</v>
      </c>
      <c r="BS134" t="s">
        <v>126</v>
      </c>
      <c r="BT134" t="s">
        <v>126</v>
      </c>
      <c r="BU134" t="s">
        <v>126</v>
      </c>
      <c r="BV134" t="s">
        <v>126</v>
      </c>
      <c r="CN134" t="s">
        <v>181</v>
      </c>
      <c r="CP134" t="s">
        <v>189</v>
      </c>
      <c r="CQ134" t="s">
        <v>181</v>
      </c>
    </row>
    <row r="135" spans="1:95" x14ac:dyDescent="0.2">
      <c r="A135" t="s">
        <v>115</v>
      </c>
      <c r="B135" t="s">
        <v>116</v>
      </c>
      <c r="C135">
        <v>210784</v>
      </c>
      <c r="E135" t="s">
        <v>117</v>
      </c>
      <c r="F135">
        <v>368</v>
      </c>
      <c r="G135" t="s">
        <v>176</v>
      </c>
      <c r="H135" t="s">
        <v>177</v>
      </c>
      <c r="I135" t="s">
        <v>178</v>
      </c>
      <c r="J135" t="s">
        <v>179</v>
      </c>
      <c r="L135" t="s">
        <v>199</v>
      </c>
      <c r="M135" s="8">
        <v>45078</v>
      </c>
      <c r="N135">
        <v>7170297</v>
      </c>
      <c r="O135" t="s">
        <v>123</v>
      </c>
      <c r="P135" t="s">
        <v>124</v>
      </c>
      <c r="Q135">
        <v>23.36</v>
      </c>
      <c r="R135" t="s">
        <v>125</v>
      </c>
      <c r="S135" t="s">
        <v>126</v>
      </c>
      <c r="T135" t="s">
        <v>125</v>
      </c>
      <c r="U135" t="s">
        <v>126</v>
      </c>
      <c r="W135">
        <v>23.36</v>
      </c>
      <c r="Y135">
        <v>23.36</v>
      </c>
      <c r="AC135">
        <v>23.36</v>
      </c>
      <c r="BH135" t="s">
        <v>126</v>
      </c>
      <c r="BI135" t="s">
        <v>126</v>
      </c>
      <c r="BJ135" t="s">
        <v>126</v>
      </c>
      <c r="BK135" t="s">
        <v>126</v>
      </c>
      <c r="BS135" t="s">
        <v>126</v>
      </c>
      <c r="BT135" t="s">
        <v>126</v>
      </c>
      <c r="BU135" t="s">
        <v>126</v>
      </c>
      <c r="BV135" t="s">
        <v>126</v>
      </c>
      <c r="CN135" t="s">
        <v>181</v>
      </c>
      <c r="CP135" t="s">
        <v>189</v>
      </c>
      <c r="CQ135" t="s">
        <v>181</v>
      </c>
    </row>
    <row r="136" spans="1:95" x14ac:dyDescent="0.2">
      <c r="A136" t="s">
        <v>115</v>
      </c>
      <c r="B136" t="s">
        <v>116</v>
      </c>
      <c r="C136">
        <v>210784</v>
      </c>
      <c r="E136" t="s">
        <v>117</v>
      </c>
      <c r="F136">
        <v>368</v>
      </c>
      <c r="G136" t="s">
        <v>176</v>
      </c>
      <c r="H136" t="s">
        <v>177</v>
      </c>
      <c r="I136" t="s">
        <v>178</v>
      </c>
      <c r="J136" t="s">
        <v>179</v>
      </c>
      <c r="L136" t="s">
        <v>199</v>
      </c>
      <c r="M136" s="8">
        <v>45078</v>
      </c>
      <c r="N136">
        <v>7170310</v>
      </c>
      <c r="O136" t="s">
        <v>123</v>
      </c>
      <c r="P136" t="s">
        <v>124</v>
      </c>
      <c r="Q136">
        <v>38.03</v>
      </c>
      <c r="R136" t="s">
        <v>125</v>
      </c>
      <c r="S136" t="s">
        <v>126</v>
      </c>
      <c r="T136" t="s">
        <v>125</v>
      </c>
      <c r="U136" t="s">
        <v>126</v>
      </c>
      <c r="W136">
        <v>38.03</v>
      </c>
      <c r="Y136">
        <v>38.03</v>
      </c>
      <c r="AC136">
        <v>38.03</v>
      </c>
      <c r="BH136" t="s">
        <v>126</v>
      </c>
      <c r="BI136" t="s">
        <v>126</v>
      </c>
      <c r="BJ136" t="s">
        <v>126</v>
      </c>
      <c r="BK136" t="s">
        <v>126</v>
      </c>
      <c r="BS136" t="s">
        <v>126</v>
      </c>
      <c r="BT136" t="s">
        <v>126</v>
      </c>
      <c r="BU136" t="s">
        <v>126</v>
      </c>
      <c r="BV136" t="s">
        <v>126</v>
      </c>
      <c r="CN136" t="s">
        <v>181</v>
      </c>
      <c r="CP136" t="s">
        <v>189</v>
      </c>
      <c r="CQ136" t="s">
        <v>181</v>
      </c>
    </row>
    <row r="137" spans="1:95" x14ac:dyDescent="0.2">
      <c r="A137" t="s">
        <v>115</v>
      </c>
      <c r="B137" t="s">
        <v>116</v>
      </c>
      <c r="C137">
        <v>210784</v>
      </c>
      <c r="E137" t="s">
        <v>117</v>
      </c>
      <c r="F137">
        <v>368</v>
      </c>
      <c r="G137" t="s">
        <v>176</v>
      </c>
      <c r="H137" t="s">
        <v>177</v>
      </c>
      <c r="I137" t="s">
        <v>178</v>
      </c>
      <c r="J137" t="s">
        <v>179</v>
      </c>
      <c r="L137" t="s">
        <v>199</v>
      </c>
      <c r="M137" s="8">
        <v>45078</v>
      </c>
      <c r="N137">
        <v>7170315</v>
      </c>
      <c r="O137" t="s">
        <v>123</v>
      </c>
      <c r="P137" t="s">
        <v>124</v>
      </c>
      <c r="Q137">
        <v>19.29</v>
      </c>
      <c r="R137" t="s">
        <v>125</v>
      </c>
      <c r="S137" t="s">
        <v>126</v>
      </c>
      <c r="T137" t="s">
        <v>125</v>
      </c>
      <c r="U137" t="s">
        <v>126</v>
      </c>
      <c r="W137">
        <v>19.29</v>
      </c>
      <c r="Y137">
        <v>19.29</v>
      </c>
      <c r="AC137">
        <v>19.29</v>
      </c>
      <c r="BH137" t="s">
        <v>126</v>
      </c>
      <c r="BI137" t="s">
        <v>126</v>
      </c>
      <c r="BJ137" t="s">
        <v>126</v>
      </c>
      <c r="BK137" t="s">
        <v>126</v>
      </c>
      <c r="BS137" t="s">
        <v>126</v>
      </c>
      <c r="BT137" t="s">
        <v>126</v>
      </c>
      <c r="BU137" t="s">
        <v>126</v>
      </c>
      <c r="BV137" t="s">
        <v>126</v>
      </c>
      <c r="CN137" t="s">
        <v>181</v>
      </c>
      <c r="CP137" t="s">
        <v>189</v>
      </c>
      <c r="CQ137" t="s">
        <v>181</v>
      </c>
    </row>
    <row r="138" spans="1:95" x14ac:dyDescent="0.2">
      <c r="A138" t="s">
        <v>115</v>
      </c>
      <c r="B138" t="s">
        <v>116</v>
      </c>
      <c r="C138">
        <v>210784</v>
      </c>
      <c r="E138" t="s">
        <v>117</v>
      </c>
      <c r="F138">
        <v>368</v>
      </c>
      <c r="G138" t="s">
        <v>176</v>
      </c>
      <c r="H138" t="s">
        <v>177</v>
      </c>
      <c r="I138" t="s">
        <v>178</v>
      </c>
      <c r="J138" t="s">
        <v>179</v>
      </c>
      <c r="L138" t="s">
        <v>199</v>
      </c>
      <c r="M138" s="8">
        <v>45078</v>
      </c>
      <c r="N138">
        <v>7170344</v>
      </c>
      <c r="O138" t="s">
        <v>123</v>
      </c>
      <c r="P138" t="s">
        <v>124</v>
      </c>
      <c r="Q138">
        <v>38.61</v>
      </c>
      <c r="R138" t="s">
        <v>125</v>
      </c>
      <c r="S138" t="s">
        <v>126</v>
      </c>
      <c r="T138" t="s">
        <v>125</v>
      </c>
      <c r="U138" t="s">
        <v>126</v>
      </c>
      <c r="W138">
        <v>38.61</v>
      </c>
      <c r="Y138">
        <v>38.61</v>
      </c>
      <c r="AC138">
        <v>38.61</v>
      </c>
      <c r="BH138" t="s">
        <v>126</v>
      </c>
      <c r="BI138" t="s">
        <v>126</v>
      </c>
      <c r="BJ138" t="s">
        <v>126</v>
      </c>
      <c r="BK138" t="s">
        <v>126</v>
      </c>
      <c r="BS138" t="s">
        <v>126</v>
      </c>
      <c r="BT138" t="s">
        <v>126</v>
      </c>
      <c r="BU138" t="s">
        <v>126</v>
      </c>
      <c r="BV138" t="s">
        <v>126</v>
      </c>
      <c r="CN138" t="s">
        <v>181</v>
      </c>
      <c r="CP138" t="s">
        <v>189</v>
      </c>
      <c r="CQ138" t="s">
        <v>181</v>
      </c>
    </row>
    <row r="139" spans="1:95" x14ac:dyDescent="0.2">
      <c r="A139" t="s">
        <v>115</v>
      </c>
      <c r="B139" t="s">
        <v>116</v>
      </c>
      <c r="C139">
        <v>210784</v>
      </c>
      <c r="E139" t="s">
        <v>117</v>
      </c>
      <c r="F139">
        <v>368</v>
      </c>
      <c r="G139" t="s">
        <v>176</v>
      </c>
      <c r="H139" t="s">
        <v>177</v>
      </c>
      <c r="I139" t="s">
        <v>178</v>
      </c>
      <c r="J139" t="s">
        <v>179</v>
      </c>
      <c r="L139" t="s">
        <v>199</v>
      </c>
      <c r="M139" s="8">
        <v>45078</v>
      </c>
      <c r="N139">
        <v>7170353</v>
      </c>
      <c r="O139" t="s">
        <v>123</v>
      </c>
      <c r="P139" t="s">
        <v>124</v>
      </c>
      <c r="Q139">
        <v>24.57</v>
      </c>
      <c r="R139" t="s">
        <v>125</v>
      </c>
      <c r="S139" t="s">
        <v>126</v>
      </c>
      <c r="T139" t="s">
        <v>125</v>
      </c>
      <c r="U139" t="s">
        <v>126</v>
      </c>
      <c r="W139">
        <v>24.57</v>
      </c>
      <c r="Y139">
        <v>24.57</v>
      </c>
      <c r="AC139">
        <v>24.57</v>
      </c>
      <c r="BH139" t="s">
        <v>126</v>
      </c>
      <c r="BI139" t="s">
        <v>126</v>
      </c>
      <c r="BJ139" t="s">
        <v>126</v>
      </c>
      <c r="BK139" t="s">
        <v>126</v>
      </c>
      <c r="BS139" t="s">
        <v>126</v>
      </c>
      <c r="BT139" t="s">
        <v>126</v>
      </c>
      <c r="BU139" t="s">
        <v>126</v>
      </c>
      <c r="BV139" t="s">
        <v>126</v>
      </c>
      <c r="CN139" t="s">
        <v>181</v>
      </c>
      <c r="CP139" t="s">
        <v>189</v>
      </c>
      <c r="CQ139" t="s">
        <v>181</v>
      </c>
    </row>
    <row r="140" spans="1:95" x14ac:dyDescent="0.2">
      <c r="A140" t="s">
        <v>115</v>
      </c>
      <c r="B140" t="s">
        <v>116</v>
      </c>
      <c r="C140">
        <v>210784</v>
      </c>
      <c r="E140" t="s">
        <v>117</v>
      </c>
      <c r="F140">
        <v>368</v>
      </c>
      <c r="G140" t="s">
        <v>176</v>
      </c>
      <c r="H140" t="s">
        <v>177</v>
      </c>
      <c r="I140" t="s">
        <v>178</v>
      </c>
      <c r="J140" t="s">
        <v>179</v>
      </c>
      <c r="L140" t="s">
        <v>199</v>
      </c>
      <c r="M140" s="8">
        <v>45078</v>
      </c>
      <c r="N140">
        <v>7170359</v>
      </c>
      <c r="O140" t="s">
        <v>123</v>
      </c>
      <c r="P140" t="s">
        <v>124</v>
      </c>
      <c r="Q140">
        <v>26.43</v>
      </c>
      <c r="R140" t="s">
        <v>125</v>
      </c>
      <c r="S140" t="s">
        <v>126</v>
      </c>
      <c r="T140" t="s">
        <v>125</v>
      </c>
      <c r="U140" t="s">
        <v>126</v>
      </c>
      <c r="W140">
        <v>26.43</v>
      </c>
      <c r="Y140">
        <v>26.43</v>
      </c>
      <c r="AC140">
        <v>26.43</v>
      </c>
      <c r="BH140" t="s">
        <v>126</v>
      </c>
      <c r="BI140" t="s">
        <v>126</v>
      </c>
      <c r="BJ140" t="s">
        <v>126</v>
      </c>
      <c r="BK140" t="s">
        <v>126</v>
      </c>
      <c r="BS140" t="s">
        <v>126</v>
      </c>
      <c r="BT140" t="s">
        <v>126</v>
      </c>
      <c r="BU140" t="s">
        <v>126</v>
      </c>
      <c r="BV140" t="s">
        <v>126</v>
      </c>
      <c r="CN140" t="s">
        <v>181</v>
      </c>
      <c r="CP140" t="s">
        <v>189</v>
      </c>
      <c r="CQ140" t="s">
        <v>181</v>
      </c>
    </row>
    <row r="141" spans="1:95" x14ac:dyDescent="0.2">
      <c r="A141" t="s">
        <v>115</v>
      </c>
      <c r="B141" t="s">
        <v>116</v>
      </c>
      <c r="C141">
        <v>210784</v>
      </c>
      <c r="E141" t="s">
        <v>117</v>
      </c>
      <c r="F141">
        <v>368</v>
      </c>
      <c r="G141" t="s">
        <v>176</v>
      </c>
      <c r="H141" t="s">
        <v>177</v>
      </c>
      <c r="I141" t="s">
        <v>178</v>
      </c>
      <c r="J141" t="s">
        <v>179</v>
      </c>
      <c r="L141" t="s">
        <v>199</v>
      </c>
      <c r="M141" s="8">
        <v>45078</v>
      </c>
      <c r="N141">
        <v>7170363</v>
      </c>
      <c r="O141" t="s">
        <v>123</v>
      </c>
      <c r="P141" t="s">
        <v>124</v>
      </c>
      <c r="Q141">
        <v>42.12</v>
      </c>
      <c r="R141" t="s">
        <v>125</v>
      </c>
      <c r="S141" t="s">
        <v>126</v>
      </c>
      <c r="T141" t="s">
        <v>125</v>
      </c>
      <c r="U141" t="s">
        <v>126</v>
      </c>
      <c r="W141">
        <v>42.12</v>
      </c>
      <c r="Y141">
        <v>42.12</v>
      </c>
      <c r="AC141">
        <v>42.12</v>
      </c>
      <c r="BH141" t="s">
        <v>126</v>
      </c>
      <c r="BI141" t="s">
        <v>126</v>
      </c>
      <c r="BJ141" t="s">
        <v>126</v>
      </c>
      <c r="BK141" t="s">
        <v>126</v>
      </c>
      <c r="BS141" t="s">
        <v>126</v>
      </c>
      <c r="BT141" t="s">
        <v>126</v>
      </c>
      <c r="BU141" t="s">
        <v>126</v>
      </c>
      <c r="BV141" t="s">
        <v>126</v>
      </c>
      <c r="CN141" t="s">
        <v>181</v>
      </c>
      <c r="CP141" t="s">
        <v>189</v>
      </c>
      <c r="CQ141" t="s">
        <v>181</v>
      </c>
    </row>
    <row r="142" spans="1:95" x14ac:dyDescent="0.2">
      <c r="A142" t="s">
        <v>115</v>
      </c>
      <c r="B142" t="s">
        <v>116</v>
      </c>
      <c r="C142">
        <v>210784</v>
      </c>
      <c r="E142" t="s">
        <v>117</v>
      </c>
      <c r="F142">
        <v>368</v>
      </c>
      <c r="G142" t="s">
        <v>176</v>
      </c>
      <c r="H142" t="s">
        <v>177</v>
      </c>
      <c r="I142" t="s">
        <v>178</v>
      </c>
      <c r="J142" t="s">
        <v>179</v>
      </c>
      <c r="L142" t="s">
        <v>199</v>
      </c>
      <c r="M142" s="8">
        <v>45078</v>
      </c>
      <c r="N142">
        <v>7170367</v>
      </c>
      <c r="O142" t="s">
        <v>123</v>
      </c>
      <c r="P142" t="s">
        <v>124</v>
      </c>
      <c r="Q142">
        <v>25.3</v>
      </c>
      <c r="R142" t="s">
        <v>125</v>
      </c>
      <c r="S142" t="s">
        <v>126</v>
      </c>
      <c r="T142" t="s">
        <v>125</v>
      </c>
      <c r="U142" t="s">
        <v>126</v>
      </c>
      <c r="W142">
        <v>25.3</v>
      </c>
      <c r="Y142">
        <v>25.3</v>
      </c>
      <c r="AC142">
        <v>25.3</v>
      </c>
      <c r="BH142" t="s">
        <v>126</v>
      </c>
      <c r="BI142" t="s">
        <v>126</v>
      </c>
      <c r="BJ142" t="s">
        <v>126</v>
      </c>
      <c r="BK142" t="s">
        <v>126</v>
      </c>
      <c r="BS142" t="s">
        <v>126</v>
      </c>
      <c r="BT142" t="s">
        <v>126</v>
      </c>
      <c r="BU142" t="s">
        <v>126</v>
      </c>
      <c r="BV142" t="s">
        <v>126</v>
      </c>
      <c r="CN142" t="s">
        <v>181</v>
      </c>
      <c r="CP142" t="s">
        <v>189</v>
      </c>
      <c r="CQ142" t="s">
        <v>181</v>
      </c>
    </row>
    <row r="143" spans="1:95" x14ac:dyDescent="0.2">
      <c r="A143" t="s">
        <v>115</v>
      </c>
      <c r="B143" t="s">
        <v>116</v>
      </c>
      <c r="C143">
        <v>210784</v>
      </c>
      <c r="E143" t="s">
        <v>117</v>
      </c>
      <c r="F143">
        <v>368</v>
      </c>
      <c r="G143" t="s">
        <v>176</v>
      </c>
      <c r="H143" t="s">
        <v>177</v>
      </c>
      <c r="I143" t="s">
        <v>178</v>
      </c>
      <c r="J143" t="s">
        <v>179</v>
      </c>
      <c r="L143" t="s">
        <v>200</v>
      </c>
      <c r="M143" s="8">
        <v>45078</v>
      </c>
      <c r="N143">
        <v>7170593</v>
      </c>
      <c r="O143" t="s">
        <v>123</v>
      </c>
      <c r="P143" t="s">
        <v>124</v>
      </c>
      <c r="Q143">
        <v>20.57</v>
      </c>
      <c r="R143" t="s">
        <v>125</v>
      </c>
      <c r="S143" t="s">
        <v>126</v>
      </c>
      <c r="T143" t="s">
        <v>125</v>
      </c>
      <c r="U143" t="s">
        <v>126</v>
      </c>
      <c r="W143">
        <v>20.57</v>
      </c>
      <c r="Y143">
        <v>20.57</v>
      </c>
      <c r="AC143">
        <v>20.57</v>
      </c>
      <c r="BH143" t="s">
        <v>126</v>
      </c>
      <c r="BI143" t="s">
        <v>126</v>
      </c>
      <c r="BJ143" t="s">
        <v>126</v>
      </c>
      <c r="BK143" t="s">
        <v>126</v>
      </c>
      <c r="BS143" t="s">
        <v>126</v>
      </c>
      <c r="BT143" t="s">
        <v>126</v>
      </c>
      <c r="BU143" t="s">
        <v>126</v>
      </c>
      <c r="BV143" t="s">
        <v>126</v>
      </c>
      <c r="CN143" t="s">
        <v>181</v>
      </c>
      <c r="CP143" t="s">
        <v>189</v>
      </c>
      <c r="CQ143" t="s">
        <v>181</v>
      </c>
    </row>
    <row r="144" spans="1:95" x14ac:dyDescent="0.2">
      <c r="A144" t="s">
        <v>115</v>
      </c>
      <c r="B144" t="s">
        <v>116</v>
      </c>
      <c r="C144">
        <v>210784</v>
      </c>
      <c r="E144" t="s">
        <v>117</v>
      </c>
      <c r="F144">
        <v>368</v>
      </c>
      <c r="G144" t="s">
        <v>176</v>
      </c>
      <c r="H144" t="s">
        <v>177</v>
      </c>
      <c r="I144" t="s">
        <v>178</v>
      </c>
      <c r="J144" t="s">
        <v>179</v>
      </c>
      <c r="L144" t="s">
        <v>200</v>
      </c>
      <c r="M144" s="8">
        <v>45078</v>
      </c>
      <c r="N144">
        <v>7170594</v>
      </c>
      <c r="O144" t="s">
        <v>123</v>
      </c>
      <c r="P144" t="s">
        <v>124</v>
      </c>
      <c r="Q144">
        <v>19.239999999999998</v>
      </c>
      <c r="R144" t="s">
        <v>125</v>
      </c>
      <c r="S144" t="s">
        <v>126</v>
      </c>
      <c r="T144" t="s">
        <v>125</v>
      </c>
      <c r="U144" t="s">
        <v>126</v>
      </c>
      <c r="W144">
        <v>19.239999999999998</v>
      </c>
      <c r="Y144">
        <v>19.239999999999998</v>
      </c>
      <c r="AC144">
        <v>19.239999999999998</v>
      </c>
      <c r="BH144" t="s">
        <v>126</v>
      </c>
      <c r="BI144" t="s">
        <v>126</v>
      </c>
      <c r="BJ144" t="s">
        <v>126</v>
      </c>
      <c r="BK144" t="s">
        <v>126</v>
      </c>
      <c r="BS144" t="s">
        <v>126</v>
      </c>
      <c r="BT144" t="s">
        <v>126</v>
      </c>
      <c r="BU144" t="s">
        <v>126</v>
      </c>
      <c r="BV144" t="s">
        <v>126</v>
      </c>
      <c r="CN144" t="s">
        <v>181</v>
      </c>
      <c r="CP144" t="s">
        <v>189</v>
      </c>
      <c r="CQ144" t="s">
        <v>181</v>
      </c>
    </row>
    <row r="145" spans="1:95" x14ac:dyDescent="0.2">
      <c r="A145" t="s">
        <v>115</v>
      </c>
      <c r="B145" t="s">
        <v>116</v>
      </c>
      <c r="C145">
        <v>210784</v>
      </c>
      <c r="E145" t="s">
        <v>117</v>
      </c>
      <c r="F145">
        <v>368</v>
      </c>
      <c r="G145" t="s">
        <v>176</v>
      </c>
      <c r="H145" t="s">
        <v>177</v>
      </c>
      <c r="I145" t="s">
        <v>178</v>
      </c>
      <c r="J145" t="s">
        <v>179</v>
      </c>
      <c r="L145" t="s">
        <v>200</v>
      </c>
      <c r="M145" s="8">
        <v>45078</v>
      </c>
      <c r="N145">
        <v>717.59500000000003</v>
      </c>
      <c r="O145" t="s">
        <v>123</v>
      </c>
      <c r="P145" t="s">
        <v>124</v>
      </c>
      <c r="Q145">
        <v>23.77</v>
      </c>
      <c r="R145" t="s">
        <v>125</v>
      </c>
      <c r="S145" t="s">
        <v>126</v>
      </c>
      <c r="T145" t="s">
        <v>125</v>
      </c>
      <c r="U145" t="s">
        <v>126</v>
      </c>
      <c r="W145">
        <v>23.77</v>
      </c>
      <c r="Y145">
        <v>23.77</v>
      </c>
      <c r="AC145">
        <v>23.77</v>
      </c>
      <c r="BH145" t="s">
        <v>126</v>
      </c>
      <c r="BI145" t="s">
        <v>126</v>
      </c>
      <c r="BJ145" t="s">
        <v>126</v>
      </c>
      <c r="BK145" t="s">
        <v>126</v>
      </c>
      <c r="BS145" t="s">
        <v>126</v>
      </c>
      <c r="BT145" t="s">
        <v>126</v>
      </c>
      <c r="BU145" t="s">
        <v>126</v>
      </c>
      <c r="BV145" t="s">
        <v>126</v>
      </c>
      <c r="CN145" t="s">
        <v>181</v>
      </c>
      <c r="CP145" t="s">
        <v>189</v>
      </c>
      <c r="CQ145" t="s">
        <v>181</v>
      </c>
    </row>
    <row r="146" spans="1:95" x14ac:dyDescent="0.2">
      <c r="A146" t="s">
        <v>115</v>
      </c>
      <c r="B146" t="s">
        <v>116</v>
      </c>
      <c r="C146">
        <v>210784</v>
      </c>
      <c r="E146" t="s">
        <v>117</v>
      </c>
      <c r="F146">
        <v>368</v>
      </c>
      <c r="G146" t="s">
        <v>176</v>
      </c>
      <c r="H146" t="s">
        <v>177</v>
      </c>
      <c r="I146" t="s">
        <v>178</v>
      </c>
      <c r="J146" t="s">
        <v>179</v>
      </c>
      <c r="L146" t="s">
        <v>200</v>
      </c>
      <c r="M146" s="8">
        <v>45078</v>
      </c>
      <c r="N146">
        <v>7170599</v>
      </c>
      <c r="O146" t="s">
        <v>123</v>
      </c>
      <c r="P146" t="s">
        <v>124</v>
      </c>
      <c r="Q146">
        <v>20.83</v>
      </c>
      <c r="R146" t="s">
        <v>125</v>
      </c>
      <c r="S146" t="s">
        <v>126</v>
      </c>
      <c r="T146" t="s">
        <v>125</v>
      </c>
      <c r="U146" t="s">
        <v>126</v>
      </c>
      <c r="W146">
        <v>20.83</v>
      </c>
      <c r="Y146">
        <v>20.83</v>
      </c>
      <c r="AC146">
        <v>20.83</v>
      </c>
      <c r="BH146" t="s">
        <v>126</v>
      </c>
      <c r="BI146" t="s">
        <v>126</v>
      </c>
      <c r="BJ146" t="s">
        <v>126</v>
      </c>
      <c r="BK146" t="s">
        <v>126</v>
      </c>
      <c r="BS146" t="s">
        <v>126</v>
      </c>
      <c r="BT146" t="s">
        <v>126</v>
      </c>
      <c r="BU146" t="s">
        <v>126</v>
      </c>
      <c r="BV146" t="s">
        <v>126</v>
      </c>
      <c r="CN146" t="s">
        <v>181</v>
      </c>
      <c r="CP146" t="s">
        <v>189</v>
      </c>
      <c r="CQ146" t="s">
        <v>181</v>
      </c>
    </row>
    <row r="147" spans="1:95" x14ac:dyDescent="0.2">
      <c r="A147" t="s">
        <v>115</v>
      </c>
      <c r="B147" t="s">
        <v>116</v>
      </c>
      <c r="C147">
        <v>210784</v>
      </c>
      <c r="E147" t="s">
        <v>117</v>
      </c>
      <c r="F147">
        <v>368</v>
      </c>
      <c r="G147" t="s">
        <v>176</v>
      </c>
      <c r="H147" t="s">
        <v>177</v>
      </c>
      <c r="I147" t="s">
        <v>178</v>
      </c>
      <c r="J147" t="s">
        <v>179</v>
      </c>
      <c r="L147" t="s">
        <v>200</v>
      </c>
      <c r="M147" s="8">
        <v>45078</v>
      </c>
      <c r="N147">
        <v>7170603</v>
      </c>
      <c r="O147" t="s">
        <v>123</v>
      </c>
      <c r="P147" t="s">
        <v>124</v>
      </c>
      <c r="Q147">
        <v>22.08</v>
      </c>
      <c r="R147" t="s">
        <v>125</v>
      </c>
      <c r="S147" t="s">
        <v>126</v>
      </c>
      <c r="T147" t="s">
        <v>125</v>
      </c>
      <c r="U147" t="s">
        <v>126</v>
      </c>
      <c r="W147">
        <v>22.08</v>
      </c>
      <c r="Y147">
        <v>22.08</v>
      </c>
      <c r="AC147">
        <v>22.08</v>
      </c>
      <c r="BH147" t="s">
        <v>126</v>
      </c>
      <c r="BI147" t="s">
        <v>126</v>
      </c>
      <c r="BJ147" t="s">
        <v>126</v>
      </c>
      <c r="BK147" t="s">
        <v>126</v>
      </c>
      <c r="BS147" t="s">
        <v>126</v>
      </c>
      <c r="BT147" t="s">
        <v>126</v>
      </c>
      <c r="BU147" t="s">
        <v>126</v>
      </c>
      <c r="BV147" t="s">
        <v>126</v>
      </c>
      <c r="CN147" t="s">
        <v>181</v>
      </c>
      <c r="CP147" t="s">
        <v>189</v>
      </c>
      <c r="CQ147" t="s">
        <v>181</v>
      </c>
    </row>
    <row r="148" spans="1:95" x14ac:dyDescent="0.2">
      <c r="A148" t="s">
        <v>115</v>
      </c>
      <c r="B148" t="s">
        <v>116</v>
      </c>
      <c r="C148">
        <v>210784</v>
      </c>
      <c r="E148" t="s">
        <v>117</v>
      </c>
      <c r="F148">
        <v>368</v>
      </c>
      <c r="G148" t="s">
        <v>176</v>
      </c>
      <c r="H148" t="s">
        <v>177</v>
      </c>
      <c r="I148" t="s">
        <v>178</v>
      </c>
      <c r="J148" t="s">
        <v>179</v>
      </c>
      <c r="L148" t="s">
        <v>200</v>
      </c>
      <c r="M148" s="8">
        <v>45078</v>
      </c>
      <c r="N148">
        <v>7170604</v>
      </c>
      <c r="O148" t="s">
        <v>123</v>
      </c>
      <c r="P148" t="s">
        <v>124</v>
      </c>
      <c r="Q148">
        <v>19.309999999999999</v>
      </c>
      <c r="R148" t="s">
        <v>125</v>
      </c>
      <c r="S148" t="s">
        <v>126</v>
      </c>
      <c r="T148" t="s">
        <v>125</v>
      </c>
      <c r="U148" t="s">
        <v>126</v>
      </c>
      <c r="W148">
        <v>19.309999999999999</v>
      </c>
      <c r="Y148">
        <v>19.309999999999999</v>
      </c>
      <c r="AC148">
        <v>19.309999999999999</v>
      </c>
      <c r="BH148" t="s">
        <v>126</v>
      </c>
      <c r="BI148" t="s">
        <v>126</v>
      </c>
      <c r="BJ148" t="s">
        <v>126</v>
      </c>
      <c r="BK148" t="s">
        <v>126</v>
      </c>
      <c r="BS148" t="s">
        <v>126</v>
      </c>
      <c r="BT148" t="s">
        <v>126</v>
      </c>
      <c r="BU148" t="s">
        <v>126</v>
      </c>
      <c r="BV148" t="s">
        <v>126</v>
      </c>
      <c r="CN148" t="s">
        <v>181</v>
      </c>
      <c r="CP148" t="s">
        <v>189</v>
      </c>
      <c r="CQ148" t="s">
        <v>181</v>
      </c>
    </row>
    <row r="149" spans="1:95" x14ac:dyDescent="0.2">
      <c r="A149" t="s">
        <v>115</v>
      </c>
      <c r="B149" t="s">
        <v>116</v>
      </c>
      <c r="C149">
        <v>210784</v>
      </c>
      <c r="E149" t="s">
        <v>117</v>
      </c>
      <c r="F149">
        <v>368</v>
      </c>
      <c r="G149" t="s">
        <v>176</v>
      </c>
      <c r="H149" t="s">
        <v>177</v>
      </c>
      <c r="I149" t="s">
        <v>178</v>
      </c>
      <c r="J149" t="s">
        <v>179</v>
      </c>
      <c r="L149" t="s">
        <v>200</v>
      </c>
      <c r="M149" s="8">
        <v>45078</v>
      </c>
      <c r="N149">
        <v>7170606</v>
      </c>
      <c r="O149" t="s">
        <v>123</v>
      </c>
      <c r="P149" t="s">
        <v>124</v>
      </c>
      <c r="Q149">
        <v>20.440000000000001</v>
      </c>
      <c r="R149" t="s">
        <v>125</v>
      </c>
      <c r="S149" t="s">
        <v>126</v>
      </c>
      <c r="T149" t="s">
        <v>125</v>
      </c>
      <c r="U149" t="s">
        <v>126</v>
      </c>
      <c r="W149">
        <v>20.440000000000001</v>
      </c>
      <c r="Y149">
        <v>20.440000000000001</v>
      </c>
      <c r="AC149">
        <v>20.440000000000001</v>
      </c>
      <c r="BH149" t="s">
        <v>126</v>
      </c>
      <c r="BI149" t="s">
        <v>126</v>
      </c>
      <c r="BJ149" t="s">
        <v>126</v>
      </c>
      <c r="BK149" t="s">
        <v>126</v>
      </c>
      <c r="BS149" t="s">
        <v>126</v>
      </c>
      <c r="BT149" t="s">
        <v>126</v>
      </c>
      <c r="BU149" t="s">
        <v>126</v>
      </c>
      <c r="BV149" t="s">
        <v>126</v>
      </c>
      <c r="CN149" t="s">
        <v>181</v>
      </c>
      <c r="CP149" t="s">
        <v>189</v>
      </c>
      <c r="CQ149" t="s">
        <v>181</v>
      </c>
    </row>
    <row r="150" spans="1:95" x14ac:dyDescent="0.2">
      <c r="A150" t="s">
        <v>115</v>
      </c>
      <c r="B150" t="s">
        <v>116</v>
      </c>
      <c r="C150">
        <v>210784</v>
      </c>
      <c r="E150" t="s">
        <v>117</v>
      </c>
      <c r="F150">
        <v>368</v>
      </c>
      <c r="G150" t="s">
        <v>176</v>
      </c>
      <c r="H150" t="s">
        <v>177</v>
      </c>
      <c r="I150" t="s">
        <v>178</v>
      </c>
      <c r="J150" t="s">
        <v>179</v>
      </c>
      <c r="L150" t="s">
        <v>200</v>
      </c>
      <c r="M150" s="8">
        <v>45078</v>
      </c>
      <c r="N150">
        <v>7170607</v>
      </c>
      <c r="O150" t="s">
        <v>123</v>
      </c>
      <c r="P150" t="s">
        <v>124</v>
      </c>
      <c r="Q150">
        <v>20.53</v>
      </c>
      <c r="R150" t="s">
        <v>125</v>
      </c>
      <c r="S150" t="s">
        <v>126</v>
      </c>
      <c r="T150" t="s">
        <v>125</v>
      </c>
      <c r="U150" t="s">
        <v>126</v>
      </c>
      <c r="W150">
        <v>20.53</v>
      </c>
      <c r="Y150">
        <v>20.53</v>
      </c>
      <c r="AC150">
        <v>20.53</v>
      </c>
      <c r="BH150" t="s">
        <v>126</v>
      </c>
      <c r="BI150" t="s">
        <v>126</v>
      </c>
      <c r="BJ150" t="s">
        <v>126</v>
      </c>
      <c r="BK150" t="s">
        <v>126</v>
      </c>
      <c r="BS150" t="s">
        <v>126</v>
      </c>
      <c r="BT150" t="s">
        <v>126</v>
      </c>
      <c r="BU150" t="s">
        <v>126</v>
      </c>
      <c r="BV150" t="s">
        <v>126</v>
      </c>
      <c r="CN150" t="s">
        <v>181</v>
      </c>
      <c r="CP150" t="s">
        <v>189</v>
      </c>
      <c r="CQ150" t="s">
        <v>181</v>
      </c>
    </row>
    <row r="151" spans="1:95" x14ac:dyDescent="0.2">
      <c r="A151" t="s">
        <v>115</v>
      </c>
      <c r="B151" t="s">
        <v>116</v>
      </c>
      <c r="C151">
        <v>210784</v>
      </c>
      <c r="E151" t="s">
        <v>117</v>
      </c>
      <c r="F151">
        <v>368</v>
      </c>
      <c r="G151" t="s">
        <v>176</v>
      </c>
      <c r="H151" t="s">
        <v>177</v>
      </c>
      <c r="I151" t="s">
        <v>178</v>
      </c>
      <c r="J151" t="s">
        <v>179</v>
      </c>
      <c r="L151" t="s">
        <v>200</v>
      </c>
      <c r="M151" s="8">
        <v>45078</v>
      </c>
      <c r="N151">
        <v>7170608</v>
      </c>
      <c r="O151" t="s">
        <v>123</v>
      </c>
      <c r="P151" t="s">
        <v>124</v>
      </c>
      <c r="Q151">
        <v>20.43</v>
      </c>
      <c r="R151" t="s">
        <v>125</v>
      </c>
      <c r="S151" t="s">
        <v>126</v>
      </c>
      <c r="T151" t="s">
        <v>125</v>
      </c>
      <c r="U151" t="s">
        <v>126</v>
      </c>
      <c r="W151">
        <v>20.43</v>
      </c>
      <c r="Y151">
        <v>20.43</v>
      </c>
      <c r="AC151">
        <v>20.43</v>
      </c>
      <c r="BH151" t="s">
        <v>126</v>
      </c>
      <c r="BI151" t="s">
        <v>126</v>
      </c>
      <c r="BJ151" t="s">
        <v>126</v>
      </c>
      <c r="BK151" t="s">
        <v>126</v>
      </c>
      <c r="BS151" t="s">
        <v>126</v>
      </c>
      <c r="BT151" t="s">
        <v>126</v>
      </c>
      <c r="BU151" t="s">
        <v>126</v>
      </c>
      <c r="BV151" t="s">
        <v>126</v>
      </c>
      <c r="CN151" t="s">
        <v>181</v>
      </c>
      <c r="CP151" t="s">
        <v>189</v>
      </c>
      <c r="CQ151" t="s">
        <v>181</v>
      </c>
    </row>
    <row r="152" spans="1:95" x14ac:dyDescent="0.2">
      <c r="A152" t="s">
        <v>115</v>
      </c>
      <c r="B152" t="s">
        <v>116</v>
      </c>
      <c r="C152">
        <v>210784</v>
      </c>
      <c r="E152" t="s">
        <v>117</v>
      </c>
      <c r="F152">
        <v>368</v>
      </c>
      <c r="G152" t="s">
        <v>176</v>
      </c>
      <c r="H152" t="s">
        <v>177</v>
      </c>
      <c r="I152" t="s">
        <v>178</v>
      </c>
      <c r="J152" t="s">
        <v>179</v>
      </c>
      <c r="L152" t="s">
        <v>200</v>
      </c>
      <c r="M152" s="8">
        <v>45078</v>
      </c>
      <c r="N152">
        <v>7170610</v>
      </c>
      <c r="O152" t="s">
        <v>123</v>
      </c>
      <c r="P152" t="s">
        <v>124</v>
      </c>
      <c r="Q152">
        <v>18</v>
      </c>
      <c r="R152" t="s">
        <v>125</v>
      </c>
      <c r="S152" t="s">
        <v>126</v>
      </c>
      <c r="T152" t="s">
        <v>125</v>
      </c>
      <c r="U152" t="s">
        <v>126</v>
      </c>
      <c r="W152">
        <v>18</v>
      </c>
      <c r="Y152">
        <v>18</v>
      </c>
      <c r="AC152">
        <v>18</v>
      </c>
      <c r="BH152" t="s">
        <v>126</v>
      </c>
      <c r="BI152" t="s">
        <v>126</v>
      </c>
      <c r="BJ152" t="s">
        <v>126</v>
      </c>
      <c r="BK152" t="s">
        <v>126</v>
      </c>
      <c r="BS152" t="s">
        <v>126</v>
      </c>
      <c r="BT152" t="s">
        <v>126</v>
      </c>
      <c r="BU152" t="s">
        <v>126</v>
      </c>
      <c r="BV152" t="s">
        <v>126</v>
      </c>
      <c r="CN152" t="s">
        <v>181</v>
      </c>
      <c r="CP152" t="s">
        <v>189</v>
      </c>
      <c r="CQ152" t="s">
        <v>181</v>
      </c>
    </row>
    <row r="153" spans="1:95" x14ac:dyDescent="0.2">
      <c r="A153" t="s">
        <v>115</v>
      </c>
      <c r="B153" t="s">
        <v>116</v>
      </c>
      <c r="C153">
        <v>210784</v>
      </c>
      <c r="E153" t="s">
        <v>117</v>
      </c>
      <c r="F153">
        <v>368</v>
      </c>
      <c r="G153" t="s">
        <v>176</v>
      </c>
      <c r="H153" t="s">
        <v>177</v>
      </c>
      <c r="I153" t="s">
        <v>178</v>
      </c>
      <c r="J153" t="s">
        <v>179</v>
      </c>
      <c r="L153" t="s">
        <v>201</v>
      </c>
      <c r="M153" s="8">
        <v>45078</v>
      </c>
      <c r="N153">
        <v>7170828</v>
      </c>
      <c r="O153" t="s">
        <v>123</v>
      </c>
      <c r="P153" t="s">
        <v>124</v>
      </c>
      <c r="Q153">
        <v>21.14</v>
      </c>
      <c r="R153" t="s">
        <v>125</v>
      </c>
      <c r="S153" t="s">
        <v>126</v>
      </c>
      <c r="T153" t="s">
        <v>125</v>
      </c>
      <c r="U153" t="s">
        <v>126</v>
      </c>
      <c r="W153">
        <v>21.14</v>
      </c>
      <c r="Y153">
        <v>21.14</v>
      </c>
      <c r="AC153">
        <v>21.14</v>
      </c>
      <c r="BH153" t="s">
        <v>126</v>
      </c>
      <c r="BI153" t="s">
        <v>126</v>
      </c>
      <c r="BJ153" t="s">
        <v>126</v>
      </c>
      <c r="BK153" t="s">
        <v>126</v>
      </c>
      <c r="BS153" t="s">
        <v>126</v>
      </c>
      <c r="BT153" t="s">
        <v>126</v>
      </c>
      <c r="BU153" t="s">
        <v>126</v>
      </c>
      <c r="BV153" t="s">
        <v>126</v>
      </c>
      <c r="CN153" t="s">
        <v>181</v>
      </c>
      <c r="CP153" t="s">
        <v>189</v>
      </c>
      <c r="CQ153" t="s">
        <v>181</v>
      </c>
    </row>
    <row r="154" spans="1:95" x14ac:dyDescent="0.2">
      <c r="A154" t="s">
        <v>115</v>
      </c>
      <c r="B154" t="s">
        <v>116</v>
      </c>
      <c r="C154">
        <v>210784</v>
      </c>
      <c r="E154" t="s">
        <v>117</v>
      </c>
      <c r="F154">
        <v>368</v>
      </c>
      <c r="G154" t="s">
        <v>176</v>
      </c>
      <c r="H154" t="s">
        <v>177</v>
      </c>
      <c r="I154" t="s">
        <v>178</v>
      </c>
      <c r="J154" t="s">
        <v>179</v>
      </c>
      <c r="L154" t="s">
        <v>201</v>
      </c>
      <c r="M154" s="8">
        <v>45078</v>
      </c>
      <c r="N154">
        <v>7170835</v>
      </c>
      <c r="O154" t="s">
        <v>123</v>
      </c>
      <c r="P154" t="s">
        <v>124</v>
      </c>
      <c r="Q154">
        <v>18.440000000000001</v>
      </c>
      <c r="R154" t="s">
        <v>125</v>
      </c>
      <c r="S154" t="s">
        <v>126</v>
      </c>
      <c r="T154" t="s">
        <v>125</v>
      </c>
      <c r="U154" t="s">
        <v>126</v>
      </c>
      <c r="W154">
        <v>18.440000000000001</v>
      </c>
      <c r="Y154">
        <v>18.440000000000001</v>
      </c>
      <c r="AC154">
        <v>18.440000000000001</v>
      </c>
      <c r="BH154" t="s">
        <v>126</v>
      </c>
      <c r="BI154" t="s">
        <v>126</v>
      </c>
      <c r="BJ154" t="s">
        <v>126</v>
      </c>
      <c r="BK154" t="s">
        <v>126</v>
      </c>
      <c r="BS154" t="s">
        <v>126</v>
      </c>
      <c r="BT154" t="s">
        <v>126</v>
      </c>
      <c r="BU154" t="s">
        <v>126</v>
      </c>
      <c r="BV154" t="s">
        <v>126</v>
      </c>
      <c r="CN154" t="s">
        <v>181</v>
      </c>
      <c r="CP154" t="s">
        <v>189</v>
      </c>
      <c r="CQ154" t="s">
        <v>181</v>
      </c>
    </row>
    <row r="155" spans="1:95" x14ac:dyDescent="0.2">
      <c r="A155" t="s">
        <v>115</v>
      </c>
      <c r="B155" t="s">
        <v>116</v>
      </c>
      <c r="C155">
        <v>210784</v>
      </c>
      <c r="E155" t="s">
        <v>117</v>
      </c>
      <c r="F155">
        <v>368</v>
      </c>
      <c r="G155" t="s">
        <v>176</v>
      </c>
      <c r="H155" t="s">
        <v>177</v>
      </c>
      <c r="I155" t="s">
        <v>178</v>
      </c>
      <c r="J155" t="s">
        <v>179</v>
      </c>
      <c r="L155" t="s">
        <v>201</v>
      </c>
      <c r="M155" s="8">
        <v>45078</v>
      </c>
      <c r="N155">
        <v>7170840</v>
      </c>
      <c r="O155" t="s">
        <v>123</v>
      </c>
      <c r="P155" t="s">
        <v>124</v>
      </c>
      <c r="Q155">
        <v>16.21</v>
      </c>
      <c r="R155" t="s">
        <v>125</v>
      </c>
      <c r="S155" t="s">
        <v>126</v>
      </c>
      <c r="T155" t="s">
        <v>125</v>
      </c>
      <c r="U155" t="s">
        <v>126</v>
      </c>
      <c r="W155">
        <v>16.21</v>
      </c>
      <c r="Y155">
        <v>16.21</v>
      </c>
      <c r="AC155">
        <v>16.21</v>
      </c>
      <c r="BH155" t="s">
        <v>126</v>
      </c>
      <c r="BI155" t="s">
        <v>126</v>
      </c>
      <c r="BJ155" t="s">
        <v>126</v>
      </c>
      <c r="BK155" t="s">
        <v>126</v>
      </c>
      <c r="BS155" t="s">
        <v>126</v>
      </c>
      <c r="BT155" t="s">
        <v>126</v>
      </c>
      <c r="BU155" t="s">
        <v>126</v>
      </c>
      <c r="BV155" t="s">
        <v>126</v>
      </c>
      <c r="CN155" t="s">
        <v>181</v>
      </c>
      <c r="CP155" t="s">
        <v>189</v>
      </c>
      <c r="CQ155" t="s">
        <v>181</v>
      </c>
    </row>
    <row r="156" spans="1:95" x14ac:dyDescent="0.2">
      <c r="A156" t="s">
        <v>115</v>
      </c>
      <c r="B156" t="s">
        <v>116</v>
      </c>
      <c r="C156">
        <v>210784</v>
      </c>
      <c r="E156" t="s">
        <v>117</v>
      </c>
      <c r="F156">
        <v>368</v>
      </c>
      <c r="G156" t="s">
        <v>176</v>
      </c>
      <c r="H156" t="s">
        <v>177</v>
      </c>
      <c r="I156" t="s">
        <v>178</v>
      </c>
      <c r="J156" t="s">
        <v>179</v>
      </c>
      <c r="L156" t="s">
        <v>201</v>
      </c>
      <c r="M156" s="8">
        <v>45078</v>
      </c>
      <c r="N156">
        <v>7170843</v>
      </c>
      <c r="O156" t="s">
        <v>123</v>
      </c>
      <c r="P156" t="s">
        <v>124</v>
      </c>
      <c r="Q156">
        <v>19.170000000000002</v>
      </c>
      <c r="R156" t="s">
        <v>125</v>
      </c>
      <c r="S156" t="s">
        <v>126</v>
      </c>
      <c r="T156" t="s">
        <v>125</v>
      </c>
      <c r="U156" t="s">
        <v>126</v>
      </c>
      <c r="W156">
        <v>19.170000000000002</v>
      </c>
      <c r="Y156">
        <v>19.170000000000002</v>
      </c>
      <c r="AC156">
        <v>19.170000000000002</v>
      </c>
      <c r="BH156" t="s">
        <v>126</v>
      </c>
      <c r="BI156" t="s">
        <v>126</v>
      </c>
      <c r="BJ156" t="s">
        <v>126</v>
      </c>
      <c r="BK156" t="s">
        <v>126</v>
      </c>
      <c r="BS156" t="s">
        <v>126</v>
      </c>
      <c r="BT156" t="s">
        <v>126</v>
      </c>
      <c r="BU156" t="s">
        <v>126</v>
      </c>
      <c r="BV156" t="s">
        <v>126</v>
      </c>
      <c r="CN156" t="s">
        <v>181</v>
      </c>
      <c r="CP156" t="s">
        <v>189</v>
      </c>
      <c r="CQ156" t="s">
        <v>181</v>
      </c>
    </row>
    <row r="157" spans="1:95" x14ac:dyDescent="0.2">
      <c r="A157" t="s">
        <v>115</v>
      </c>
      <c r="B157" t="s">
        <v>116</v>
      </c>
      <c r="C157">
        <v>210784</v>
      </c>
      <c r="E157" t="s">
        <v>117</v>
      </c>
      <c r="F157">
        <v>368</v>
      </c>
      <c r="G157" t="s">
        <v>176</v>
      </c>
      <c r="H157" t="s">
        <v>177</v>
      </c>
      <c r="I157" t="s">
        <v>178</v>
      </c>
      <c r="J157" t="s">
        <v>179</v>
      </c>
      <c r="L157" t="s">
        <v>201</v>
      </c>
      <c r="M157" s="8">
        <v>45078</v>
      </c>
      <c r="N157">
        <v>7170846</v>
      </c>
      <c r="O157" t="s">
        <v>123</v>
      </c>
      <c r="P157" t="s">
        <v>124</v>
      </c>
      <c r="Q157">
        <v>17.45</v>
      </c>
      <c r="R157" t="s">
        <v>125</v>
      </c>
      <c r="S157" t="s">
        <v>126</v>
      </c>
      <c r="T157" t="s">
        <v>125</v>
      </c>
      <c r="U157" t="s">
        <v>126</v>
      </c>
      <c r="W157">
        <v>17.45</v>
      </c>
      <c r="Y157">
        <v>17.45</v>
      </c>
      <c r="AC157">
        <v>17.45</v>
      </c>
      <c r="BH157" t="s">
        <v>126</v>
      </c>
      <c r="BI157" t="s">
        <v>126</v>
      </c>
      <c r="BJ157" t="s">
        <v>126</v>
      </c>
      <c r="BK157" t="s">
        <v>126</v>
      </c>
      <c r="BS157" t="s">
        <v>126</v>
      </c>
      <c r="BT157" t="s">
        <v>126</v>
      </c>
      <c r="BU157" t="s">
        <v>126</v>
      </c>
      <c r="BV157" t="s">
        <v>126</v>
      </c>
      <c r="CN157" t="s">
        <v>181</v>
      </c>
      <c r="CP157" t="s">
        <v>189</v>
      </c>
      <c r="CQ157" t="s">
        <v>181</v>
      </c>
    </row>
    <row r="158" spans="1:95" x14ac:dyDescent="0.2">
      <c r="A158" t="s">
        <v>115</v>
      </c>
      <c r="B158" t="s">
        <v>116</v>
      </c>
      <c r="C158">
        <v>210784</v>
      </c>
      <c r="E158" t="s">
        <v>117</v>
      </c>
      <c r="F158">
        <v>368</v>
      </c>
      <c r="G158" t="s">
        <v>176</v>
      </c>
      <c r="H158" t="s">
        <v>177</v>
      </c>
      <c r="I158" t="s">
        <v>178</v>
      </c>
      <c r="J158" t="s">
        <v>179</v>
      </c>
      <c r="L158" t="s">
        <v>201</v>
      </c>
      <c r="M158" s="8">
        <v>45078</v>
      </c>
      <c r="N158">
        <v>7170853</v>
      </c>
      <c r="O158" t="s">
        <v>123</v>
      </c>
      <c r="P158" t="s">
        <v>124</v>
      </c>
      <c r="Q158">
        <v>21.92</v>
      </c>
      <c r="R158" t="s">
        <v>125</v>
      </c>
      <c r="S158" t="s">
        <v>126</v>
      </c>
      <c r="T158" t="s">
        <v>125</v>
      </c>
      <c r="U158" t="s">
        <v>126</v>
      </c>
      <c r="W158">
        <v>21.92</v>
      </c>
      <c r="Y158">
        <v>21.92</v>
      </c>
      <c r="AC158">
        <v>21.92</v>
      </c>
      <c r="BH158" t="s">
        <v>126</v>
      </c>
      <c r="BI158" t="s">
        <v>126</v>
      </c>
      <c r="BJ158" t="s">
        <v>126</v>
      </c>
      <c r="BK158" t="s">
        <v>126</v>
      </c>
      <c r="BS158" t="s">
        <v>126</v>
      </c>
      <c r="BT158" t="s">
        <v>126</v>
      </c>
      <c r="BU158" t="s">
        <v>126</v>
      </c>
      <c r="BV158" t="s">
        <v>126</v>
      </c>
      <c r="CN158" t="s">
        <v>181</v>
      </c>
      <c r="CP158" t="s">
        <v>189</v>
      </c>
      <c r="CQ158" t="s">
        <v>181</v>
      </c>
    </row>
    <row r="159" spans="1:95" x14ac:dyDescent="0.2">
      <c r="A159" t="s">
        <v>115</v>
      </c>
      <c r="B159" t="s">
        <v>116</v>
      </c>
      <c r="C159">
        <v>210784</v>
      </c>
      <c r="E159" t="s">
        <v>117</v>
      </c>
      <c r="F159">
        <v>368</v>
      </c>
      <c r="G159" t="s">
        <v>176</v>
      </c>
      <c r="H159" t="s">
        <v>177</v>
      </c>
      <c r="I159" t="s">
        <v>178</v>
      </c>
      <c r="J159" t="s">
        <v>179</v>
      </c>
      <c r="L159" t="s">
        <v>201</v>
      </c>
      <c r="M159" s="8">
        <v>45078</v>
      </c>
      <c r="N159">
        <v>7170854</v>
      </c>
      <c r="O159" t="s">
        <v>123</v>
      </c>
      <c r="P159" t="s">
        <v>124</v>
      </c>
      <c r="Q159">
        <v>18.100000000000001</v>
      </c>
      <c r="R159" t="s">
        <v>125</v>
      </c>
      <c r="S159" t="s">
        <v>126</v>
      </c>
      <c r="T159" t="s">
        <v>125</v>
      </c>
      <c r="U159" t="s">
        <v>126</v>
      </c>
      <c r="W159">
        <v>18.100000000000001</v>
      </c>
      <c r="Y159">
        <v>18.100000000000001</v>
      </c>
      <c r="AC159">
        <v>18.100000000000001</v>
      </c>
      <c r="BH159" t="s">
        <v>126</v>
      </c>
      <c r="BI159" t="s">
        <v>126</v>
      </c>
      <c r="BJ159" t="s">
        <v>126</v>
      </c>
      <c r="BK159" t="s">
        <v>126</v>
      </c>
      <c r="BS159" t="s">
        <v>126</v>
      </c>
      <c r="BT159" t="s">
        <v>126</v>
      </c>
      <c r="BU159" t="s">
        <v>126</v>
      </c>
      <c r="BV159" t="s">
        <v>126</v>
      </c>
      <c r="CN159" t="s">
        <v>181</v>
      </c>
      <c r="CP159" t="s">
        <v>189</v>
      </c>
      <c r="CQ159" t="s">
        <v>181</v>
      </c>
    </row>
    <row r="160" spans="1:95" x14ac:dyDescent="0.2">
      <c r="A160" t="s">
        <v>115</v>
      </c>
      <c r="B160" t="s">
        <v>116</v>
      </c>
      <c r="C160">
        <v>210784</v>
      </c>
      <c r="E160" t="s">
        <v>117</v>
      </c>
      <c r="F160">
        <v>368</v>
      </c>
      <c r="G160" t="s">
        <v>176</v>
      </c>
      <c r="H160" t="s">
        <v>177</v>
      </c>
      <c r="I160" t="s">
        <v>178</v>
      </c>
      <c r="J160" t="s">
        <v>179</v>
      </c>
      <c r="L160" t="s">
        <v>201</v>
      </c>
      <c r="M160" s="8">
        <v>45078</v>
      </c>
      <c r="N160">
        <v>7170858</v>
      </c>
      <c r="O160" t="s">
        <v>123</v>
      </c>
      <c r="P160" t="s">
        <v>124</v>
      </c>
      <c r="Q160">
        <v>38.619999999999997</v>
      </c>
      <c r="R160" t="s">
        <v>125</v>
      </c>
      <c r="S160" t="s">
        <v>126</v>
      </c>
      <c r="T160" t="s">
        <v>125</v>
      </c>
      <c r="U160" t="s">
        <v>126</v>
      </c>
      <c r="W160">
        <v>38.619999999999997</v>
      </c>
      <c r="Y160">
        <v>38.619999999999997</v>
      </c>
      <c r="AC160">
        <v>38.619999999999997</v>
      </c>
      <c r="BH160" t="s">
        <v>126</v>
      </c>
      <c r="BI160" t="s">
        <v>126</v>
      </c>
      <c r="BJ160" t="s">
        <v>126</v>
      </c>
      <c r="BK160" t="s">
        <v>126</v>
      </c>
      <c r="BS160" t="s">
        <v>126</v>
      </c>
      <c r="BT160" t="s">
        <v>126</v>
      </c>
      <c r="BU160" t="s">
        <v>126</v>
      </c>
      <c r="BV160" t="s">
        <v>126</v>
      </c>
      <c r="CN160" t="s">
        <v>181</v>
      </c>
      <c r="CP160" t="s">
        <v>189</v>
      </c>
      <c r="CQ160" t="s">
        <v>181</v>
      </c>
    </row>
    <row r="161" spans="1:95" x14ac:dyDescent="0.2">
      <c r="A161" t="s">
        <v>115</v>
      </c>
      <c r="B161" t="s">
        <v>116</v>
      </c>
      <c r="C161">
        <v>210784</v>
      </c>
      <c r="E161" t="s">
        <v>117</v>
      </c>
      <c r="F161">
        <v>368</v>
      </c>
      <c r="G161" t="s">
        <v>176</v>
      </c>
      <c r="H161" t="s">
        <v>177</v>
      </c>
      <c r="I161" t="s">
        <v>178</v>
      </c>
      <c r="J161" t="s">
        <v>179</v>
      </c>
      <c r="L161" t="s">
        <v>201</v>
      </c>
      <c r="M161" s="8">
        <v>45078</v>
      </c>
      <c r="N161">
        <v>7170859</v>
      </c>
      <c r="O161" t="s">
        <v>123</v>
      </c>
      <c r="P161" t="s">
        <v>124</v>
      </c>
      <c r="Q161">
        <v>21.49</v>
      </c>
      <c r="R161" t="s">
        <v>125</v>
      </c>
      <c r="S161" t="s">
        <v>126</v>
      </c>
      <c r="T161" t="s">
        <v>125</v>
      </c>
      <c r="U161" t="s">
        <v>126</v>
      </c>
      <c r="W161">
        <v>21.49</v>
      </c>
      <c r="Y161">
        <v>21.49</v>
      </c>
      <c r="AC161">
        <v>21.49</v>
      </c>
      <c r="BH161" t="s">
        <v>126</v>
      </c>
      <c r="BI161" t="s">
        <v>126</v>
      </c>
      <c r="BJ161" t="s">
        <v>126</v>
      </c>
      <c r="BK161" t="s">
        <v>126</v>
      </c>
      <c r="BS161" t="s">
        <v>126</v>
      </c>
      <c r="BT161" t="s">
        <v>126</v>
      </c>
      <c r="BU161" t="s">
        <v>126</v>
      </c>
      <c r="BV161" t="s">
        <v>126</v>
      </c>
      <c r="CN161" t="s">
        <v>181</v>
      </c>
      <c r="CP161" t="s">
        <v>189</v>
      </c>
      <c r="CQ161" t="s">
        <v>181</v>
      </c>
    </row>
    <row r="162" spans="1:95" x14ac:dyDescent="0.2">
      <c r="A162" t="s">
        <v>115</v>
      </c>
      <c r="B162" t="s">
        <v>116</v>
      </c>
      <c r="C162">
        <v>210784</v>
      </c>
      <c r="E162" t="s">
        <v>117</v>
      </c>
      <c r="F162">
        <v>368</v>
      </c>
      <c r="G162" t="s">
        <v>176</v>
      </c>
      <c r="H162" t="s">
        <v>177</v>
      </c>
      <c r="I162" t="s">
        <v>178</v>
      </c>
      <c r="J162" t="s">
        <v>179</v>
      </c>
      <c r="L162" t="s">
        <v>201</v>
      </c>
      <c r="M162" s="8">
        <v>45078</v>
      </c>
      <c r="N162">
        <v>7170863</v>
      </c>
      <c r="O162" t="s">
        <v>123</v>
      </c>
      <c r="P162" t="s">
        <v>124</v>
      </c>
      <c r="Q162">
        <v>20.73</v>
      </c>
      <c r="R162" t="s">
        <v>125</v>
      </c>
      <c r="S162" t="s">
        <v>126</v>
      </c>
      <c r="T162" t="s">
        <v>125</v>
      </c>
      <c r="U162" t="s">
        <v>126</v>
      </c>
      <c r="W162">
        <v>20.73</v>
      </c>
      <c r="Y162">
        <v>20.73</v>
      </c>
      <c r="AC162">
        <v>20.73</v>
      </c>
      <c r="BH162" t="s">
        <v>126</v>
      </c>
      <c r="BI162" t="s">
        <v>126</v>
      </c>
      <c r="BJ162" t="s">
        <v>126</v>
      </c>
      <c r="BK162" t="s">
        <v>126</v>
      </c>
      <c r="BS162" t="s">
        <v>126</v>
      </c>
      <c r="BT162" t="s">
        <v>126</v>
      </c>
      <c r="BU162" t="s">
        <v>126</v>
      </c>
      <c r="BV162" t="s">
        <v>126</v>
      </c>
      <c r="CN162" t="s">
        <v>181</v>
      </c>
      <c r="CP162" t="s">
        <v>189</v>
      </c>
      <c r="CQ162" t="s">
        <v>181</v>
      </c>
    </row>
    <row r="163" spans="1:95" x14ac:dyDescent="0.2">
      <c r="A163" t="s">
        <v>115</v>
      </c>
      <c r="B163" t="s">
        <v>116</v>
      </c>
      <c r="C163">
        <v>210784</v>
      </c>
      <c r="E163" t="s">
        <v>117</v>
      </c>
      <c r="F163">
        <v>368</v>
      </c>
      <c r="G163" t="s">
        <v>176</v>
      </c>
      <c r="H163" t="s">
        <v>177</v>
      </c>
      <c r="I163" t="s">
        <v>178</v>
      </c>
      <c r="J163" t="s">
        <v>179</v>
      </c>
      <c r="L163" t="s">
        <v>201</v>
      </c>
      <c r="M163" s="8">
        <v>45078</v>
      </c>
      <c r="N163">
        <v>7170864</v>
      </c>
      <c r="O163" t="s">
        <v>123</v>
      </c>
      <c r="P163" t="s">
        <v>124</v>
      </c>
      <c r="Q163">
        <v>19.93</v>
      </c>
      <c r="R163" t="s">
        <v>125</v>
      </c>
      <c r="S163" t="s">
        <v>126</v>
      </c>
      <c r="T163" t="s">
        <v>125</v>
      </c>
      <c r="U163" t="s">
        <v>126</v>
      </c>
      <c r="W163">
        <v>19.93</v>
      </c>
      <c r="Y163">
        <v>19.93</v>
      </c>
      <c r="AC163">
        <v>19.93</v>
      </c>
      <c r="BH163" t="s">
        <v>126</v>
      </c>
      <c r="BI163" t="s">
        <v>126</v>
      </c>
      <c r="BJ163" t="s">
        <v>126</v>
      </c>
      <c r="BK163" t="s">
        <v>126</v>
      </c>
      <c r="BS163" t="s">
        <v>126</v>
      </c>
      <c r="BT163" t="s">
        <v>126</v>
      </c>
      <c r="BU163" t="s">
        <v>126</v>
      </c>
      <c r="BV163" t="s">
        <v>126</v>
      </c>
      <c r="CN163" t="s">
        <v>181</v>
      </c>
      <c r="CP163" t="s">
        <v>189</v>
      </c>
      <c r="CQ163" t="s">
        <v>181</v>
      </c>
    </row>
    <row r="164" spans="1:95" x14ac:dyDescent="0.2">
      <c r="A164" t="s">
        <v>115</v>
      </c>
      <c r="B164" t="s">
        <v>116</v>
      </c>
      <c r="C164">
        <v>210784</v>
      </c>
      <c r="E164" t="s">
        <v>117</v>
      </c>
      <c r="F164">
        <v>368</v>
      </c>
      <c r="G164" t="s">
        <v>176</v>
      </c>
      <c r="H164" t="s">
        <v>177</v>
      </c>
      <c r="I164" t="s">
        <v>178</v>
      </c>
      <c r="J164" t="s">
        <v>179</v>
      </c>
      <c r="L164" t="s">
        <v>201</v>
      </c>
      <c r="M164" s="8">
        <v>45078</v>
      </c>
      <c r="N164">
        <v>7170866</v>
      </c>
      <c r="O164" t="s">
        <v>123</v>
      </c>
      <c r="P164" t="s">
        <v>124</v>
      </c>
      <c r="Q164">
        <v>20.420000000000002</v>
      </c>
      <c r="R164" t="s">
        <v>125</v>
      </c>
      <c r="S164" t="s">
        <v>126</v>
      </c>
      <c r="T164" t="s">
        <v>125</v>
      </c>
      <c r="U164" t="s">
        <v>126</v>
      </c>
      <c r="W164">
        <v>20.420000000000002</v>
      </c>
      <c r="Y164">
        <v>20.420000000000002</v>
      </c>
      <c r="AC164">
        <v>20.420000000000002</v>
      </c>
      <c r="BH164" t="s">
        <v>126</v>
      </c>
      <c r="BI164" t="s">
        <v>126</v>
      </c>
      <c r="BJ164" t="s">
        <v>126</v>
      </c>
      <c r="BK164" t="s">
        <v>126</v>
      </c>
      <c r="BS164" t="s">
        <v>126</v>
      </c>
      <c r="BT164" t="s">
        <v>126</v>
      </c>
      <c r="BU164" t="s">
        <v>126</v>
      </c>
      <c r="BV164" t="s">
        <v>126</v>
      </c>
      <c r="CN164" t="s">
        <v>181</v>
      </c>
      <c r="CP164" t="s">
        <v>189</v>
      </c>
      <c r="CQ164" t="s">
        <v>181</v>
      </c>
    </row>
    <row r="165" spans="1:95" x14ac:dyDescent="0.2">
      <c r="A165" t="s">
        <v>115</v>
      </c>
      <c r="B165" t="s">
        <v>116</v>
      </c>
      <c r="C165">
        <v>210784</v>
      </c>
      <c r="E165" t="s">
        <v>117</v>
      </c>
      <c r="F165">
        <v>368</v>
      </c>
      <c r="G165" t="s">
        <v>176</v>
      </c>
      <c r="H165" t="s">
        <v>177</v>
      </c>
      <c r="I165" t="s">
        <v>178</v>
      </c>
      <c r="J165" t="s">
        <v>179</v>
      </c>
      <c r="L165" t="s">
        <v>201</v>
      </c>
      <c r="M165" s="8">
        <v>45078</v>
      </c>
      <c r="N165">
        <v>7170872</v>
      </c>
      <c r="O165" t="s">
        <v>123</v>
      </c>
      <c r="P165" t="s">
        <v>124</v>
      </c>
      <c r="Q165">
        <v>20.36</v>
      </c>
      <c r="R165" t="s">
        <v>125</v>
      </c>
      <c r="S165" t="s">
        <v>126</v>
      </c>
      <c r="T165" t="s">
        <v>125</v>
      </c>
      <c r="U165" t="s">
        <v>126</v>
      </c>
      <c r="W165">
        <v>20.36</v>
      </c>
      <c r="Y165">
        <v>20.36</v>
      </c>
      <c r="AC165">
        <v>20.36</v>
      </c>
      <c r="BH165" t="s">
        <v>126</v>
      </c>
      <c r="BI165" t="s">
        <v>126</v>
      </c>
      <c r="BJ165" t="s">
        <v>126</v>
      </c>
      <c r="BK165" t="s">
        <v>126</v>
      </c>
      <c r="BS165" t="s">
        <v>126</v>
      </c>
      <c r="BT165" t="s">
        <v>126</v>
      </c>
      <c r="BU165" t="s">
        <v>126</v>
      </c>
      <c r="BV165" t="s">
        <v>126</v>
      </c>
      <c r="CN165" t="s">
        <v>181</v>
      </c>
      <c r="CP165" t="s">
        <v>189</v>
      </c>
      <c r="CQ165" t="s">
        <v>181</v>
      </c>
    </row>
    <row r="166" spans="1:95" x14ac:dyDescent="0.2">
      <c r="A166" t="s">
        <v>115</v>
      </c>
      <c r="B166" t="s">
        <v>116</v>
      </c>
      <c r="C166">
        <v>210784</v>
      </c>
      <c r="E166" t="s">
        <v>117</v>
      </c>
      <c r="F166">
        <v>368</v>
      </c>
      <c r="G166" t="s">
        <v>176</v>
      </c>
      <c r="H166" t="s">
        <v>177</v>
      </c>
      <c r="I166" t="s">
        <v>178</v>
      </c>
      <c r="J166" t="s">
        <v>179</v>
      </c>
      <c r="L166" t="s">
        <v>201</v>
      </c>
      <c r="M166" s="8">
        <v>45078</v>
      </c>
      <c r="N166">
        <v>7170884</v>
      </c>
      <c r="O166" t="s">
        <v>123</v>
      </c>
      <c r="P166" t="s">
        <v>124</v>
      </c>
      <c r="Q166">
        <v>18.91</v>
      </c>
      <c r="R166" t="s">
        <v>125</v>
      </c>
      <c r="S166" t="s">
        <v>126</v>
      </c>
      <c r="T166" t="s">
        <v>125</v>
      </c>
      <c r="U166" t="s">
        <v>126</v>
      </c>
      <c r="W166">
        <v>18.91</v>
      </c>
      <c r="Y166">
        <v>18.91</v>
      </c>
      <c r="AC166">
        <v>18.91</v>
      </c>
      <c r="BH166" t="s">
        <v>126</v>
      </c>
      <c r="BI166" t="s">
        <v>126</v>
      </c>
      <c r="BJ166" t="s">
        <v>126</v>
      </c>
      <c r="BK166" t="s">
        <v>126</v>
      </c>
      <c r="BS166" t="s">
        <v>126</v>
      </c>
      <c r="BT166" t="s">
        <v>126</v>
      </c>
      <c r="BU166" t="s">
        <v>126</v>
      </c>
      <c r="BV166" t="s">
        <v>126</v>
      </c>
      <c r="CN166" t="s">
        <v>181</v>
      </c>
      <c r="CP166" t="s">
        <v>189</v>
      </c>
      <c r="CQ166" t="s">
        <v>181</v>
      </c>
    </row>
    <row r="167" spans="1:95" x14ac:dyDescent="0.2">
      <c r="A167" t="s">
        <v>115</v>
      </c>
      <c r="B167" t="s">
        <v>116</v>
      </c>
      <c r="C167">
        <v>210784</v>
      </c>
      <c r="E167" t="s">
        <v>117</v>
      </c>
      <c r="F167">
        <v>368</v>
      </c>
      <c r="G167" t="s">
        <v>176</v>
      </c>
      <c r="H167" t="s">
        <v>177</v>
      </c>
      <c r="I167" t="s">
        <v>178</v>
      </c>
      <c r="J167" t="s">
        <v>179</v>
      </c>
      <c r="L167" t="s">
        <v>201</v>
      </c>
      <c r="M167" s="8">
        <v>45078</v>
      </c>
      <c r="N167">
        <v>7170885</v>
      </c>
      <c r="O167" t="s">
        <v>123</v>
      </c>
      <c r="P167" t="s">
        <v>124</v>
      </c>
      <c r="Q167">
        <v>19.239999999999998</v>
      </c>
      <c r="R167" t="s">
        <v>125</v>
      </c>
      <c r="S167" t="s">
        <v>126</v>
      </c>
      <c r="T167" t="s">
        <v>125</v>
      </c>
      <c r="U167" t="s">
        <v>126</v>
      </c>
      <c r="W167">
        <v>19.239999999999998</v>
      </c>
      <c r="Y167">
        <v>19.239999999999998</v>
      </c>
      <c r="AC167">
        <v>19.239999999999998</v>
      </c>
      <c r="BH167" t="s">
        <v>126</v>
      </c>
      <c r="BI167" t="s">
        <v>126</v>
      </c>
      <c r="BJ167" t="s">
        <v>126</v>
      </c>
      <c r="BK167" t="s">
        <v>126</v>
      </c>
      <c r="BS167" t="s">
        <v>126</v>
      </c>
      <c r="BT167" t="s">
        <v>126</v>
      </c>
      <c r="BU167" t="s">
        <v>126</v>
      </c>
      <c r="BV167" t="s">
        <v>126</v>
      </c>
      <c r="CN167" t="s">
        <v>181</v>
      </c>
      <c r="CP167" t="s">
        <v>189</v>
      </c>
      <c r="CQ167" t="s">
        <v>181</v>
      </c>
    </row>
    <row r="168" spans="1:95" x14ac:dyDescent="0.2">
      <c r="A168" t="s">
        <v>115</v>
      </c>
      <c r="B168" t="s">
        <v>116</v>
      </c>
      <c r="C168">
        <v>210784</v>
      </c>
      <c r="E168" t="s">
        <v>117</v>
      </c>
      <c r="F168">
        <v>368</v>
      </c>
      <c r="G168" t="s">
        <v>176</v>
      </c>
      <c r="H168" t="s">
        <v>177</v>
      </c>
      <c r="I168" t="s">
        <v>178</v>
      </c>
      <c r="J168" t="s">
        <v>179</v>
      </c>
      <c r="L168" t="s">
        <v>201</v>
      </c>
      <c r="M168" s="8">
        <v>45078</v>
      </c>
      <c r="N168">
        <v>7170890</v>
      </c>
      <c r="O168" t="s">
        <v>123</v>
      </c>
      <c r="P168" t="s">
        <v>124</v>
      </c>
      <c r="Q168">
        <v>18.75</v>
      </c>
      <c r="R168" t="s">
        <v>125</v>
      </c>
      <c r="S168" t="s">
        <v>126</v>
      </c>
      <c r="T168" t="s">
        <v>125</v>
      </c>
      <c r="U168" t="s">
        <v>126</v>
      </c>
      <c r="W168">
        <v>18.75</v>
      </c>
      <c r="Y168">
        <v>18.75</v>
      </c>
      <c r="AC168">
        <v>18.75</v>
      </c>
      <c r="BH168" t="s">
        <v>126</v>
      </c>
      <c r="BI168" t="s">
        <v>126</v>
      </c>
      <c r="BJ168" t="s">
        <v>126</v>
      </c>
      <c r="BK168" t="s">
        <v>126</v>
      </c>
      <c r="BS168" t="s">
        <v>126</v>
      </c>
      <c r="BT168" t="s">
        <v>126</v>
      </c>
      <c r="BU168" t="s">
        <v>126</v>
      </c>
      <c r="BV168" t="s">
        <v>126</v>
      </c>
      <c r="CN168" t="s">
        <v>181</v>
      </c>
      <c r="CP168" t="s">
        <v>189</v>
      </c>
      <c r="CQ168" t="s">
        <v>181</v>
      </c>
    </row>
    <row r="169" spans="1:95" x14ac:dyDescent="0.2">
      <c r="A169" t="s">
        <v>115</v>
      </c>
      <c r="B169" t="s">
        <v>116</v>
      </c>
      <c r="C169">
        <v>210784</v>
      </c>
      <c r="E169" t="s">
        <v>117</v>
      </c>
      <c r="F169">
        <v>368</v>
      </c>
      <c r="G169" t="s">
        <v>176</v>
      </c>
      <c r="H169" t="s">
        <v>177</v>
      </c>
      <c r="I169" t="s">
        <v>178</v>
      </c>
      <c r="J169" t="s">
        <v>179</v>
      </c>
      <c r="L169" t="s">
        <v>202</v>
      </c>
      <c r="M169" s="8">
        <v>45078</v>
      </c>
      <c r="N169">
        <v>7171018</v>
      </c>
      <c r="O169" t="s">
        <v>123</v>
      </c>
      <c r="P169" t="s">
        <v>124</v>
      </c>
      <c r="Q169">
        <v>20.78</v>
      </c>
      <c r="R169" t="s">
        <v>125</v>
      </c>
      <c r="S169" t="s">
        <v>126</v>
      </c>
      <c r="T169" t="s">
        <v>125</v>
      </c>
      <c r="U169" t="s">
        <v>126</v>
      </c>
      <c r="W169">
        <v>20.78</v>
      </c>
      <c r="Y169">
        <v>20.78</v>
      </c>
      <c r="AC169">
        <v>20.78</v>
      </c>
      <c r="BH169" t="s">
        <v>126</v>
      </c>
      <c r="BI169" t="s">
        <v>126</v>
      </c>
      <c r="BJ169" t="s">
        <v>126</v>
      </c>
      <c r="BK169" t="s">
        <v>126</v>
      </c>
      <c r="BS169" t="s">
        <v>126</v>
      </c>
      <c r="BT169" t="s">
        <v>126</v>
      </c>
      <c r="BU169" t="s">
        <v>126</v>
      </c>
      <c r="BV169" t="s">
        <v>126</v>
      </c>
      <c r="CN169" t="s">
        <v>181</v>
      </c>
      <c r="CP169" t="s">
        <v>189</v>
      </c>
      <c r="CQ169" t="s">
        <v>181</v>
      </c>
    </row>
    <row r="170" spans="1:95" x14ac:dyDescent="0.2">
      <c r="A170" t="s">
        <v>115</v>
      </c>
      <c r="B170" t="s">
        <v>116</v>
      </c>
      <c r="C170">
        <v>210784</v>
      </c>
      <c r="E170" t="s">
        <v>117</v>
      </c>
      <c r="F170">
        <v>368</v>
      </c>
      <c r="G170" t="s">
        <v>176</v>
      </c>
      <c r="H170" t="s">
        <v>177</v>
      </c>
      <c r="I170" t="s">
        <v>178</v>
      </c>
      <c r="J170" t="s">
        <v>179</v>
      </c>
      <c r="L170" t="s">
        <v>202</v>
      </c>
      <c r="M170" s="8">
        <v>45078</v>
      </c>
      <c r="N170">
        <v>7171020</v>
      </c>
      <c r="O170" t="s">
        <v>123</v>
      </c>
      <c r="P170" t="s">
        <v>124</v>
      </c>
      <c r="Q170">
        <v>19.760000000000002</v>
      </c>
      <c r="R170" t="s">
        <v>125</v>
      </c>
      <c r="S170" t="s">
        <v>126</v>
      </c>
      <c r="T170" t="s">
        <v>125</v>
      </c>
      <c r="U170" t="s">
        <v>126</v>
      </c>
      <c r="W170">
        <v>19.760000000000002</v>
      </c>
      <c r="Y170">
        <v>19.760000000000002</v>
      </c>
      <c r="AC170">
        <v>19.760000000000002</v>
      </c>
      <c r="BH170" t="s">
        <v>126</v>
      </c>
      <c r="BI170" t="s">
        <v>126</v>
      </c>
      <c r="BJ170" t="s">
        <v>126</v>
      </c>
      <c r="BK170" t="s">
        <v>126</v>
      </c>
      <c r="BS170" t="s">
        <v>126</v>
      </c>
      <c r="BT170" t="s">
        <v>126</v>
      </c>
      <c r="BU170" t="s">
        <v>126</v>
      </c>
      <c r="BV170" t="s">
        <v>126</v>
      </c>
      <c r="CN170" t="s">
        <v>181</v>
      </c>
      <c r="CP170" t="s">
        <v>189</v>
      </c>
      <c r="CQ170" t="s">
        <v>181</v>
      </c>
    </row>
    <row r="171" spans="1:95" x14ac:dyDescent="0.2">
      <c r="A171" t="s">
        <v>115</v>
      </c>
      <c r="B171" t="s">
        <v>116</v>
      </c>
      <c r="C171">
        <v>210784</v>
      </c>
      <c r="E171" t="s">
        <v>117</v>
      </c>
      <c r="F171">
        <v>368</v>
      </c>
      <c r="G171" t="s">
        <v>176</v>
      </c>
      <c r="H171" t="s">
        <v>177</v>
      </c>
      <c r="I171" t="s">
        <v>178</v>
      </c>
      <c r="J171" t="s">
        <v>179</v>
      </c>
      <c r="L171" t="s">
        <v>202</v>
      </c>
      <c r="M171" s="8">
        <v>45078</v>
      </c>
      <c r="N171">
        <v>7171021</v>
      </c>
      <c r="O171" t="s">
        <v>123</v>
      </c>
      <c r="P171" t="s">
        <v>124</v>
      </c>
      <c r="Q171">
        <v>34.020000000000003</v>
      </c>
      <c r="R171" t="s">
        <v>125</v>
      </c>
      <c r="S171" t="s">
        <v>126</v>
      </c>
      <c r="T171" t="s">
        <v>125</v>
      </c>
      <c r="U171" t="s">
        <v>126</v>
      </c>
      <c r="W171">
        <v>34.020000000000003</v>
      </c>
      <c r="Y171">
        <v>34.020000000000003</v>
      </c>
      <c r="AC171">
        <v>34.020000000000003</v>
      </c>
      <c r="BH171" t="s">
        <v>126</v>
      </c>
      <c r="BI171" t="s">
        <v>126</v>
      </c>
      <c r="BJ171" t="s">
        <v>126</v>
      </c>
      <c r="BK171" t="s">
        <v>126</v>
      </c>
      <c r="BS171" t="s">
        <v>126</v>
      </c>
      <c r="BT171" t="s">
        <v>126</v>
      </c>
      <c r="BU171" t="s">
        <v>126</v>
      </c>
      <c r="BV171" t="s">
        <v>126</v>
      </c>
      <c r="CN171" t="s">
        <v>181</v>
      </c>
      <c r="CP171" t="s">
        <v>189</v>
      </c>
      <c r="CQ171" t="s">
        <v>181</v>
      </c>
    </row>
    <row r="172" spans="1:95" x14ac:dyDescent="0.2">
      <c r="A172" t="s">
        <v>115</v>
      </c>
      <c r="B172" t="s">
        <v>116</v>
      </c>
      <c r="C172">
        <v>210784</v>
      </c>
      <c r="E172" t="s">
        <v>117</v>
      </c>
      <c r="F172">
        <v>368</v>
      </c>
      <c r="G172" t="s">
        <v>176</v>
      </c>
      <c r="H172" t="s">
        <v>177</v>
      </c>
      <c r="I172" t="s">
        <v>178</v>
      </c>
      <c r="J172" t="s">
        <v>179</v>
      </c>
      <c r="L172" t="s">
        <v>202</v>
      </c>
      <c r="M172" s="8">
        <v>45078</v>
      </c>
      <c r="N172">
        <v>7171030</v>
      </c>
      <c r="O172" t="s">
        <v>123</v>
      </c>
      <c r="P172" t="s">
        <v>124</v>
      </c>
      <c r="Q172">
        <v>22.9</v>
      </c>
      <c r="R172" t="s">
        <v>125</v>
      </c>
      <c r="S172" t="s">
        <v>126</v>
      </c>
      <c r="T172" t="s">
        <v>125</v>
      </c>
      <c r="U172" t="s">
        <v>126</v>
      </c>
      <c r="W172">
        <v>22.9</v>
      </c>
      <c r="Y172">
        <v>22.9</v>
      </c>
      <c r="AC172">
        <v>22.9</v>
      </c>
      <c r="BH172" t="s">
        <v>126</v>
      </c>
      <c r="BI172" t="s">
        <v>126</v>
      </c>
      <c r="BJ172" t="s">
        <v>126</v>
      </c>
      <c r="BK172" t="s">
        <v>126</v>
      </c>
      <c r="BS172" t="s">
        <v>126</v>
      </c>
      <c r="BT172" t="s">
        <v>126</v>
      </c>
      <c r="BU172" t="s">
        <v>126</v>
      </c>
      <c r="BV172" t="s">
        <v>126</v>
      </c>
      <c r="CN172" t="s">
        <v>181</v>
      </c>
      <c r="CP172" t="s">
        <v>189</v>
      </c>
      <c r="CQ172" t="s">
        <v>181</v>
      </c>
    </row>
    <row r="173" spans="1:95" x14ac:dyDescent="0.2">
      <c r="A173" t="s">
        <v>115</v>
      </c>
      <c r="B173" t="s">
        <v>116</v>
      </c>
      <c r="C173">
        <v>210784</v>
      </c>
      <c r="E173" t="s">
        <v>117</v>
      </c>
      <c r="F173">
        <v>368</v>
      </c>
      <c r="G173" t="s">
        <v>176</v>
      </c>
      <c r="H173" t="s">
        <v>177</v>
      </c>
      <c r="I173" t="s">
        <v>178</v>
      </c>
      <c r="J173" t="s">
        <v>179</v>
      </c>
      <c r="L173" t="s">
        <v>202</v>
      </c>
      <c r="M173" s="8">
        <v>45078</v>
      </c>
      <c r="N173">
        <v>7171033</v>
      </c>
      <c r="O173" t="s">
        <v>123</v>
      </c>
      <c r="P173" t="s">
        <v>124</v>
      </c>
      <c r="Q173">
        <v>21.31</v>
      </c>
      <c r="R173" t="s">
        <v>125</v>
      </c>
      <c r="S173" t="s">
        <v>126</v>
      </c>
      <c r="T173" t="s">
        <v>125</v>
      </c>
      <c r="U173" t="s">
        <v>126</v>
      </c>
      <c r="W173">
        <v>21.31</v>
      </c>
      <c r="Y173">
        <v>21.31</v>
      </c>
      <c r="AC173">
        <v>21.31</v>
      </c>
      <c r="BH173" t="s">
        <v>126</v>
      </c>
      <c r="BI173" t="s">
        <v>126</v>
      </c>
      <c r="BJ173" t="s">
        <v>126</v>
      </c>
      <c r="BK173" t="s">
        <v>126</v>
      </c>
      <c r="BS173" t="s">
        <v>126</v>
      </c>
      <c r="BT173" t="s">
        <v>126</v>
      </c>
      <c r="BU173" t="s">
        <v>126</v>
      </c>
      <c r="BV173" t="s">
        <v>126</v>
      </c>
      <c r="CN173" t="s">
        <v>181</v>
      </c>
      <c r="CP173" t="s">
        <v>189</v>
      </c>
      <c r="CQ173" t="s">
        <v>181</v>
      </c>
    </row>
    <row r="174" spans="1:95" x14ac:dyDescent="0.2">
      <c r="A174" t="s">
        <v>115</v>
      </c>
      <c r="B174" t="s">
        <v>116</v>
      </c>
      <c r="C174">
        <v>210784</v>
      </c>
      <c r="E174" t="s">
        <v>117</v>
      </c>
      <c r="F174">
        <v>368</v>
      </c>
      <c r="G174" t="s">
        <v>176</v>
      </c>
      <c r="H174" t="s">
        <v>177</v>
      </c>
      <c r="I174" t="s">
        <v>178</v>
      </c>
      <c r="J174" t="s">
        <v>179</v>
      </c>
      <c r="L174" t="s">
        <v>202</v>
      </c>
      <c r="M174" s="8">
        <v>45078</v>
      </c>
      <c r="N174">
        <v>7171036</v>
      </c>
      <c r="O174" t="s">
        <v>123</v>
      </c>
      <c r="P174" t="s">
        <v>124</v>
      </c>
      <c r="Q174">
        <v>19.66</v>
      </c>
      <c r="R174" t="s">
        <v>125</v>
      </c>
      <c r="S174" t="s">
        <v>126</v>
      </c>
      <c r="T174" t="s">
        <v>125</v>
      </c>
      <c r="U174" t="s">
        <v>126</v>
      </c>
      <c r="W174">
        <v>19.66</v>
      </c>
      <c r="Y174">
        <v>19.66</v>
      </c>
      <c r="AC174">
        <v>19.66</v>
      </c>
      <c r="BH174" t="s">
        <v>126</v>
      </c>
      <c r="BI174" t="s">
        <v>126</v>
      </c>
      <c r="BJ174" t="s">
        <v>126</v>
      </c>
      <c r="BK174" t="s">
        <v>126</v>
      </c>
      <c r="BS174" t="s">
        <v>126</v>
      </c>
      <c r="BT174" t="s">
        <v>126</v>
      </c>
      <c r="BU174" t="s">
        <v>126</v>
      </c>
      <c r="BV174" t="s">
        <v>126</v>
      </c>
      <c r="CN174" t="s">
        <v>181</v>
      </c>
      <c r="CP174" t="s">
        <v>189</v>
      </c>
      <c r="CQ174" t="s">
        <v>181</v>
      </c>
    </row>
    <row r="175" spans="1:95" x14ac:dyDescent="0.2">
      <c r="A175" t="s">
        <v>115</v>
      </c>
      <c r="B175" t="s">
        <v>116</v>
      </c>
      <c r="C175">
        <v>210784</v>
      </c>
      <c r="E175" t="s">
        <v>117</v>
      </c>
      <c r="F175">
        <v>368</v>
      </c>
      <c r="G175" t="s">
        <v>176</v>
      </c>
      <c r="H175" t="s">
        <v>177</v>
      </c>
      <c r="I175" t="s">
        <v>178</v>
      </c>
      <c r="J175" t="s">
        <v>179</v>
      </c>
      <c r="L175" t="s">
        <v>202</v>
      </c>
      <c r="M175" s="8">
        <v>45078</v>
      </c>
      <c r="N175">
        <v>7171037</v>
      </c>
      <c r="O175" t="s">
        <v>123</v>
      </c>
      <c r="P175" t="s">
        <v>124</v>
      </c>
      <c r="Q175">
        <v>20.63</v>
      </c>
      <c r="R175" t="s">
        <v>125</v>
      </c>
      <c r="S175" t="s">
        <v>126</v>
      </c>
      <c r="T175" t="s">
        <v>125</v>
      </c>
      <c r="U175" t="s">
        <v>126</v>
      </c>
      <c r="W175">
        <v>20.63</v>
      </c>
      <c r="Y175">
        <v>20.63</v>
      </c>
      <c r="AC175">
        <v>20.63</v>
      </c>
      <c r="BH175" t="s">
        <v>126</v>
      </c>
      <c r="BI175" t="s">
        <v>126</v>
      </c>
      <c r="BJ175" t="s">
        <v>126</v>
      </c>
      <c r="BK175" t="s">
        <v>126</v>
      </c>
      <c r="BS175" t="s">
        <v>126</v>
      </c>
      <c r="BT175" t="s">
        <v>126</v>
      </c>
      <c r="BU175" t="s">
        <v>126</v>
      </c>
      <c r="BV175" t="s">
        <v>126</v>
      </c>
      <c r="CN175" t="s">
        <v>181</v>
      </c>
      <c r="CP175" t="s">
        <v>189</v>
      </c>
      <c r="CQ175" t="s">
        <v>181</v>
      </c>
    </row>
    <row r="176" spans="1:95" x14ac:dyDescent="0.2">
      <c r="A176" t="s">
        <v>115</v>
      </c>
      <c r="B176" t="s">
        <v>116</v>
      </c>
      <c r="C176">
        <v>210784</v>
      </c>
      <c r="E176" t="s">
        <v>117</v>
      </c>
      <c r="F176">
        <v>368</v>
      </c>
      <c r="G176" t="s">
        <v>176</v>
      </c>
      <c r="H176" t="s">
        <v>177</v>
      </c>
      <c r="I176" t="s">
        <v>178</v>
      </c>
      <c r="J176" t="s">
        <v>179</v>
      </c>
      <c r="L176" t="s">
        <v>202</v>
      </c>
      <c r="M176" s="8">
        <v>45078</v>
      </c>
      <c r="N176">
        <v>7171038</v>
      </c>
      <c r="O176" t="s">
        <v>123</v>
      </c>
      <c r="P176" t="s">
        <v>124</v>
      </c>
      <c r="Q176">
        <v>21.49</v>
      </c>
      <c r="R176" t="s">
        <v>125</v>
      </c>
      <c r="S176" t="s">
        <v>126</v>
      </c>
      <c r="T176" t="s">
        <v>125</v>
      </c>
      <c r="U176" t="s">
        <v>126</v>
      </c>
      <c r="W176">
        <v>21.49</v>
      </c>
      <c r="Y176">
        <v>21.49</v>
      </c>
      <c r="AC176">
        <v>21.49</v>
      </c>
      <c r="BH176" t="s">
        <v>126</v>
      </c>
      <c r="BI176" t="s">
        <v>126</v>
      </c>
      <c r="BJ176" t="s">
        <v>126</v>
      </c>
      <c r="BK176" t="s">
        <v>126</v>
      </c>
      <c r="BS176" t="s">
        <v>126</v>
      </c>
      <c r="BT176" t="s">
        <v>126</v>
      </c>
      <c r="BU176" t="s">
        <v>126</v>
      </c>
      <c r="BV176" t="s">
        <v>126</v>
      </c>
      <c r="CN176" t="s">
        <v>181</v>
      </c>
      <c r="CP176" t="s">
        <v>189</v>
      </c>
      <c r="CQ176" t="s">
        <v>181</v>
      </c>
    </row>
    <row r="177" spans="1:95" x14ac:dyDescent="0.2">
      <c r="A177" t="s">
        <v>115</v>
      </c>
      <c r="B177" t="s">
        <v>116</v>
      </c>
      <c r="C177">
        <v>210784</v>
      </c>
      <c r="E177" t="s">
        <v>117</v>
      </c>
      <c r="F177">
        <v>368</v>
      </c>
      <c r="G177" t="s">
        <v>176</v>
      </c>
      <c r="H177" t="s">
        <v>177</v>
      </c>
      <c r="I177" t="s">
        <v>178</v>
      </c>
      <c r="J177" t="s">
        <v>179</v>
      </c>
      <c r="L177" t="s">
        <v>202</v>
      </c>
      <c r="M177" s="8">
        <v>45078</v>
      </c>
      <c r="N177">
        <v>7171044</v>
      </c>
      <c r="O177" t="s">
        <v>123</v>
      </c>
      <c r="P177" t="s">
        <v>124</v>
      </c>
      <c r="Q177">
        <v>23.19</v>
      </c>
      <c r="R177" t="s">
        <v>125</v>
      </c>
      <c r="S177" t="s">
        <v>126</v>
      </c>
      <c r="T177" t="s">
        <v>125</v>
      </c>
      <c r="U177" t="s">
        <v>126</v>
      </c>
      <c r="W177">
        <v>23.19</v>
      </c>
      <c r="Y177">
        <v>23.19</v>
      </c>
      <c r="AC177">
        <v>23.19</v>
      </c>
      <c r="BH177" t="s">
        <v>126</v>
      </c>
      <c r="BI177" t="s">
        <v>126</v>
      </c>
      <c r="BJ177" t="s">
        <v>126</v>
      </c>
      <c r="BK177" t="s">
        <v>126</v>
      </c>
      <c r="BS177" t="s">
        <v>126</v>
      </c>
      <c r="BT177" t="s">
        <v>126</v>
      </c>
      <c r="BU177" t="s">
        <v>126</v>
      </c>
      <c r="BV177" t="s">
        <v>126</v>
      </c>
      <c r="CN177" t="s">
        <v>181</v>
      </c>
      <c r="CP177" t="s">
        <v>189</v>
      </c>
      <c r="CQ177" t="s">
        <v>181</v>
      </c>
    </row>
    <row r="178" spans="1:95" x14ac:dyDescent="0.2">
      <c r="A178" t="s">
        <v>115</v>
      </c>
      <c r="B178" t="s">
        <v>116</v>
      </c>
      <c r="C178">
        <v>210784</v>
      </c>
      <c r="E178" t="s">
        <v>117</v>
      </c>
      <c r="F178">
        <v>368</v>
      </c>
      <c r="G178" t="s">
        <v>176</v>
      </c>
      <c r="H178" t="s">
        <v>177</v>
      </c>
      <c r="I178" t="s">
        <v>178</v>
      </c>
      <c r="J178" t="s">
        <v>179</v>
      </c>
      <c r="L178" t="s">
        <v>202</v>
      </c>
      <c r="M178" s="8">
        <v>45078</v>
      </c>
      <c r="N178">
        <v>7171048</v>
      </c>
      <c r="O178" t="s">
        <v>123</v>
      </c>
      <c r="P178" t="s">
        <v>124</v>
      </c>
      <c r="Q178">
        <v>25.81</v>
      </c>
      <c r="R178" t="s">
        <v>125</v>
      </c>
      <c r="S178" t="s">
        <v>126</v>
      </c>
      <c r="T178" t="s">
        <v>125</v>
      </c>
      <c r="U178" t="s">
        <v>126</v>
      </c>
      <c r="W178">
        <v>25.81</v>
      </c>
      <c r="Y178">
        <v>25.81</v>
      </c>
      <c r="AC178">
        <v>25.81</v>
      </c>
      <c r="BH178" t="s">
        <v>126</v>
      </c>
      <c r="BI178" t="s">
        <v>126</v>
      </c>
      <c r="BJ178" t="s">
        <v>126</v>
      </c>
      <c r="BK178" t="s">
        <v>126</v>
      </c>
      <c r="BS178" t="s">
        <v>126</v>
      </c>
      <c r="BT178" t="s">
        <v>126</v>
      </c>
      <c r="BU178" t="s">
        <v>126</v>
      </c>
      <c r="BV178" t="s">
        <v>126</v>
      </c>
      <c r="CN178" t="s">
        <v>181</v>
      </c>
      <c r="CP178" t="s">
        <v>189</v>
      </c>
      <c r="CQ178" t="s">
        <v>181</v>
      </c>
    </row>
    <row r="179" spans="1:95" x14ac:dyDescent="0.2">
      <c r="A179" t="s">
        <v>115</v>
      </c>
      <c r="B179" t="s">
        <v>116</v>
      </c>
      <c r="C179">
        <v>210784</v>
      </c>
      <c r="E179" t="s">
        <v>117</v>
      </c>
      <c r="F179">
        <v>368</v>
      </c>
      <c r="G179" t="s">
        <v>176</v>
      </c>
      <c r="H179" t="s">
        <v>177</v>
      </c>
      <c r="I179" t="s">
        <v>178</v>
      </c>
      <c r="J179" t="s">
        <v>179</v>
      </c>
      <c r="L179" t="s">
        <v>202</v>
      </c>
      <c r="M179" s="8">
        <v>45078</v>
      </c>
      <c r="N179">
        <v>7171056</v>
      </c>
      <c r="O179" t="s">
        <v>123</v>
      </c>
      <c r="P179" t="s">
        <v>124</v>
      </c>
      <c r="Q179">
        <v>17.39</v>
      </c>
      <c r="R179" t="s">
        <v>125</v>
      </c>
      <c r="S179" t="s">
        <v>126</v>
      </c>
      <c r="T179" t="s">
        <v>125</v>
      </c>
      <c r="U179" t="s">
        <v>126</v>
      </c>
      <c r="W179">
        <v>17.39</v>
      </c>
      <c r="Y179">
        <v>17.39</v>
      </c>
      <c r="AC179">
        <v>17.39</v>
      </c>
      <c r="BH179" t="s">
        <v>126</v>
      </c>
      <c r="BI179" t="s">
        <v>126</v>
      </c>
      <c r="BJ179" t="s">
        <v>126</v>
      </c>
      <c r="BK179" t="s">
        <v>126</v>
      </c>
      <c r="BS179" t="s">
        <v>126</v>
      </c>
      <c r="BT179" t="s">
        <v>126</v>
      </c>
      <c r="BU179" t="s">
        <v>126</v>
      </c>
      <c r="BV179" t="s">
        <v>126</v>
      </c>
      <c r="CN179" t="s">
        <v>181</v>
      </c>
      <c r="CP179" t="s">
        <v>189</v>
      </c>
      <c r="CQ179" t="s">
        <v>181</v>
      </c>
    </row>
    <row r="180" spans="1:95" x14ac:dyDescent="0.2">
      <c r="A180" t="s">
        <v>115</v>
      </c>
      <c r="B180" t="s">
        <v>116</v>
      </c>
      <c r="C180">
        <v>210784</v>
      </c>
      <c r="E180" t="s">
        <v>117</v>
      </c>
      <c r="F180">
        <v>368</v>
      </c>
      <c r="G180" t="s">
        <v>176</v>
      </c>
      <c r="H180" t="s">
        <v>177</v>
      </c>
      <c r="I180" t="s">
        <v>178</v>
      </c>
      <c r="J180" t="s">
        <v>179</v>
      </c>
      <c r="L180" t="s">
        <v>202</v>
      </c>
      <c r="M180" s="8">
        <v>45078</v>
      </c>
      <c r="N180">
        <v>7171057</v>
      </c>
      <c r="O180" t="s">
        <v>123</v>
      </c>
      <c r="P180" t="s">
        <v>124</v>
      </c>
      <c r="Q180">
        <v>22.15</v>
      </c>
      <c r="R180" t="s">
        <v>125</v>
      </c>
      <c r="S180" t="s">
        <v>126</v>
      </c>
      <c r="T180" t="s">
        <v>125</v>
      </c>
      <c r="U180" t="s">
        <v>126</v>
      </c>
      <c r="W180">
        <v>22.15</v>
      </c>
      <c r="Y180">
        <v>22.15</v>
      </c>
      <c r="AC180">
        <v>22.15</v>
      </c>
      <c r="BH180" t="s">
        <v>126</v>
      </c>
      <c r="BI180" t="s">
        <v>126</v>
      </c>
      <c r="BJ180" t="s">
        <v>126</v>
      </c>
      <c r="BK180" t="s">
        <v>126</v>
      </c>
      <c r="BS180" t="s">
        <v>126</v>
      </c>
      <c r="BT180" t="s">
        <v>126</v>
      </c>
      <c r="BU180" t="s">
        <v>126</v>
      </c>
      <c r="BV180" t="s">
        <v>126</v>
      </c>
      <c r="CN180" t="s">
        <v>181</v>
      </c>
      <c r="CP180" t="s">
        <v>189</v>
      </c>
      <c r="CQ180" t="s">
        <v>181</v>
      </c>
    </row>
    <row r="181" spans="1:95" x14ac:dyDescent="0.2">
      <c r="A181" t="s">
        <v>115</v>
      </c>
      <c r="B181" t="s">
        <v>116</v>
      </c>
      <c r="C181">
        <v>210784</v>
      </c>
      <c r="E181" t="s">
        <v>117</v>
      </c>
      <c r="F181">
        <v>368</v>
      </c>
      <c r="G181" t="s">
        <v>176</v>
      </c>
      <c r="H181" t="s">
        <v>177</v>
      </c>
      <c r="I181" t="s">
        <v>178</v>
      </c>
      <c r="J181" t="s">
        <v>179</v>
      </c>
      <c r="L181" t="s">
        <v>202</v>
      </c>
      <c r="M181" s="8">
        <v>45078</v>
      </c>
      <c r="N181">
        <v>7171077</v>
      </c>
      <c r="O181" t="s">
        <v>123</v>
      </c>
      <c r="P181" t="s">
        <v>124</v>
      </c>
      <c r="Q181">
        <v>21.5</v>
      </c>
      <c r="R181" t="s">
        <v>125</v>
      </c>
      <c r="S181" t="s">
        <v>126</v>
      </c>
      <c r="T181" t="s">
        <v>125</v>
      </c>
      <c r="U181" t="s">
        <v>126</v>
      </c>
      <c r="W181">
        <v>21.5</v>
      </c>
      <c r="Y181">
        <v>21.5</v>
      </c>
      <c r="AC181">
        <v>21.5</v>
      </c>
      <c r="BH181" t="s">
        <v>126</v>
      </c>
      <c r="BI181" t="s">
        <v>126</v>
      </c>
      <c r="BJ181" t="s">
        <v>126</v>
      </c>
      <c r="BK181" t="s">
        <v>126</v>
      </c>
      <c r="BS181" t="s">
        <v>126</v>
      </c>
      <c r="BT181" t="s">
        <v>126</v>
      </c>
      <c r="BU181" t="s">
        <v>126</v>
      </c>
      <c r="BV181" t="s">
        <v>126</v>
      </c>
      <c r="CN181" t="s">
        <v>181</v>
      </c>
      <c r="CP181" t="s">
        <v>189</v>
      </c>
      <c r="CQ181" t="s">
        <v>181</v>
      </c>
    </row>
    <row r="182" spans="1:95" x14ac:dyDescent="0.2">
      <c r="A182" t="s">
        <v>115</v>
      </c>
      <c r="B182" t="s">
        <v>116</v>
      </c>
      <c r="C182">
        <v>210784</v>
      </c>
      <c r="E182" t="s">
        <v>117</v>
      </c>
      <c r="F182">
        <v>368</v>
      </c>
      <c r="G182" t="s">
        <v>176</v>
      </c>
      <c r="H182" t="s">
        <v>177</v>
      </c>
      <c r="I182" t="s">
        <v>178</v>
      </c>
      <c r="J182" t="s">
        <v>179</v>
      </c>
      <c r="L182" t="s">
        <v>202</v>
      </c>
      <c r="M182" s="8">
        <v>45078</v>
      </c>
      <c r="N182">
        <v>7171103</v>
      </c>
      <c r="O182" t="s">
        <v>123</v>
      </c>
      <c r="P182" t="s">
        <v>124</v>
      </c>
      <c r="Q182">
        <v>20.89</v>
      </c>
      <c r="R182" t="s">
        <v>125</v>
      </c>
      <c r="S182" t="s">
        <v>126</v>
      </c>
      <c r="T182" t="s">
        <v>125</v>
      </c>
      <c r="U182" t="s">
        <v>126</v>
      </c>
      <c r="W182">
        <v>20.89</v>
      </c>
      <c r="Y182">
        <v>20.89</v>
      </c>
      <c r="AC182">
        <v>20.89</v>
      </c>
      <c r="BH182" t="s">
        <v>126</v>
      </c>
      <c r="BI182" t="s">
        <v>126</v>
      </c>
      <c r="BJ182" t="s">
        <v>126</v>
      </c>
      <c r="BK182" t="s">
        <v>126</v>
      </c>
      <c r="BS182" t="s">
        <v>126</v>
      </c>
      <c r="BT182" t="s">
        <v>126</v>
      </c>
      <c r="BU182" t="s">
        <v>126</v>
      </c>
      <c r="BV182" t="s">
        <v>126</v>
      </c>
      <c r="CN182" t="s">
        <v>181</v>
      </c>
      <c r="CP182" t="s">
        <v>189</v>
      </c>
      <c r="CQ182" t="s">
        <v>181</v>
      </c>
    </row>
    <row r="183" spans="1:95" x14ac:dyDescent="0.2">
      <c r="A183" t="s">
        <v>115</v>
      </c>
      <c r="B183" t="s">
        <v>116</v>
      </c>
      <c r="C183">
        <v>210784</v>
      </c>
      <c r="E183" t="s">
        <v>117</v>
      </c>
      <c r="F183">
        <v>368</v>
      </c>
      <c r="G183" t="s">
        <v>176</v>
      </c>
      <c r="H183" t="s">
        <v>177</v>
      </c>
      <c r="I183" t="s">
        <v>178</v>
      </c>
      <c r="J183" t="s">
        <v>179</v>
      </c>
      <c r="L183" t="s">
        <v>203</v>
      </c>
      <c r="M183" s="8">
        <v>45078</v>
      </c>
      <c r="N183">
        <v>7171438</v>
      </c>
      <c r="O183" t="s">
        <v>123</v>
      </c>
      <c r="P183" t="s">
        <v>124</v>
      </c>
      <c r="Q183">
        <v>19.2</v>
      </c>
      <c r="R183" t="s">
        <v>125</v>
      </c>
      <c r="S183" t="s">
        <v>126</v>
      </c>
      <c r="T183" t="s">
        <v>125</v>
      </c>
      <c r="U183" t="s">
        <v>126</v>
      </c>
      <c r="W183">
        <v>19.2</v>
      </c>
      <c r="Y183">
        <v>19.2</v>
      </c>
      <c r="AC183">
        <v>19.2</v>
      </c>
      <c r="BH183" t="s">
        <v>126</v>
      </c>
      <c r="BI183" t="s">
        <v>126</v>
      </c>
      <c r="BJ183" t="s">
        <v>126</v>
      </c>
      <c r="BK183" t="s">
        <v>126</v>
      </c>
      <c r="BS183" t="s">
        <v>126</v>
      </c>
      <c r="BT183" t="s">
        <v>126</v>
      </c>
      <c r="BU183" t="s">
        <v>126</v>
      </c>
      <c r="BV183" t="s">
        <v>126</v>
      </c>
      <c r="CN183" t="s">
        <v>181</v>
      </c>
      <c r="CP183" t="s">
        <v>189</v>
      </c>
      <c r="CQ183" t="s">
        <v>181</v>
      </c>
    </row>
    <row r="184" spans="1:95" x14ac:dyDescent="0.2">
      <c r="A184" t="s">
        <v>115</v>
      </c>
      <c r="B184" t="s">
        <v>116</v>
      </c>
      <c r="C184">
        <v>210784</v>
      </c>
      <c r="E184" t="s">
        <v>117</v>
      </c>
      <c r="F184">
        <v>368</v>
      </c>
      <c r="G184" t="s">
        <v>176</v>
      </c>
      <c r="H184" t="s">
        <v>177</v>
      </c>
      <c r="I184" t="s">
        <v>178</v>
      </c>
      <c r="J184" t="s">
        <v>179</v>
      </c>
      <c r="L184" t="s">
        <v>203</v>
      </c>
      <c r="M184" s="8">
        <v>45078</v>
      </c>
      <c r="N184">
        <v>7171493</v>
      </c>
      <c r="O184" t="s">
        <v>123</v>
      </c>
      <c r="P184" t="s">
        <v>124</v>
      </c>
      <c r="Q184">
        <v>15.41</v>
      </c>
      <c r="R184" t="s">
        <v>125</v>
      </c>
      <c r="S184" t="s">
        <v>126</v>
      </c>
      <c r="T184" t="s">
        <v>125</v>
      </c>
      <c r="U184" t="s">
        <v>126</v>
      </c>
      <c r="W184">
        <v>15.41</v>
      </c>
      <c r="Y184">
        <v>15.41</v>
      </c>
      <c r="AC184">
        <v>15.41</v>
      </c>
      <c r="BH184" t="s">
        <v>126</v>
      </c>
      <c r="BI184" t="s">
        <v>126</v>
      </c>
      <c r="BJ184" t="s">
        <v>126</v>
      </c>
      <c r="BK184" t="s">
        <v>126</v>
      </c>
      <c r="BS184" t="s">
        <v>126</v>
      </c>
      <c r="BT184" t="s">
        <v>126</v>
      </c>
      <c r="BU184" t="s">
        <v>126</v>
      </c>
      <c r="BV184" t="s">
        <v>126</v>
      </c>
      <c r="CN184" t="s">
        <v>181</v>
      </c>
      <c r="CP184" t="s">
        <v>189</v>
      </c>
      <c r="CQ184" t="s">
        <v>181</v>
      </c>
    </row>
    <row r="185" spans="1:95" x14ac:dyDescent="0.2">
      <c r="A185" t="s">
        <v>115</v>
      </c>
      <c r="B185" t="s">
        <v>116</v>
      </c>
      <c r="C185">
        <v>210784</v>
      </c>
      <c r="E185" t="s">
        <v>117</v>
      </c>
      <c r="F185">
        <v>368</v>
      </c>
      <c r="G185" t="s">
        <v>141</v>
      </c>
      <c r="H185" t="s">
        <v>142</v>
      </c>
      <c r="I185" t="s">
        <v>204</v>
      </c>
      <c r="J185" t="s">
        <v>205</v>
      </c>
      <c r="L185" t="s">
        <v>202</v>
      </c>
      <c r="M185" s="8">
        <v>45078</v>
      </c>
      <c r="N185">
        <v>89178</v>
      </c>
      <c r="O185" t="s">
        <v>123</v>
      </c>
      <c r="P185" t="s">
        <v>146</v>
      </c>
      <c r="Q185">
        <v>8.31</v>
      </c>
      <c r="R185" t="s">
        <v>125</v>
      </c>
      <c r="S185" t="s">
        <v>126</v>
      </c>
      <c r="T185" t="s">
        <v>125</v>
      </c>
      <c r="U185" t="s">
        <v>126</v>
      </c>
      <c r="W185">
        <v>8.31</v>
      </c>
      <c r="Y185">
        <v>8.31</v>
      </c>
      <c r="AC185">
        <v>8.31</v>
      </c>
      <c r="BH185" t="s">
        <v>126</v>
      </c>
      <c r="BI185" t="s">
        <v>126</v>
      </c>
      <c r="BJ185" t="s">
        <v>126</v>
      </c>
      <c r="BK185" t="s">
        <v>126</v>
      </c>
      <c r="BS185" t="s">
        <v>126</v>
      </c>
      <c r="BT185" t="s">
        <v>126</v>
      </c>
      <c r="BU185" t="s">
        <v>126</v>
      </c>
      <c r="BV185" t="s">
        <v>126</v>
      </c>
      <c r="CN185" t="s">
        <v>147</v>
      </c>
      <c r="CP185" t="s">
        <v>206</v>
      </c>
      <c r="CQ185" t="s">
        <v>147</v>
      </c>
    </row>
    <row r="186" spans="1:95" x14ac:dyDescent="0.2">
      <c r="A186" t="s">
        <v>115</v>
      </c>
      <c r="B186" t="s">
        <v>116</v>
      </c>
      <c r="C186">
        <v>210784</v>
      </c>
      <c r="E186" t="s">
        <v>117</v>
      </c>
      <c r="F186">
        <v>368</v>
      </c>
      <c r="G186" t="s">
        <v>176</v>
      </c>
      <c r="H186" t="s">
        <v>177</v>
      </c>
      <c r="I186" t="s">
        <v>492</v>
      </c>
      <c r="J186" t="s">
        <v>493</v>
      </c>
      <c r="L186" t="s">
        <v>196</v>
      </c>
      <c r="M186" s="8">
        <v>45078</v>
      </c>
      <c r="N186" t="s">
        <v>500</v>
      </c>
      <c r="O186" t="s">
        <v>123</v>
      </c>
      <c r="P186" t="s">
        <v>124</v>
      </c>
      <c r="Q186">
        <v>5.7</v>
      </c>
      <c r="R186" t="s">
        <v>125</v>
      </c>
      <c r="S186" t="s">
        <v>126</v>
      </c>
      <c r="T186" t="s">
        <v>125</v>
      </c>
      <c r="U186" t="s">
        <v>126</v>
      </c>
      <c r="W186">
        <v>5.7</v>
      </c>
      <c r="Y186">
        <v>5.7</v>
      </c>
      <c r="AF186">
        <v>5.7</v>
      </c>
      <c r="BH186" t="s">
        <v>126</v>
      </c>
      <c r="BI186" t="s">
        <v>126</v>
      </c>
      <c r="BJ186" t="s">
        <v>126</v>
      </c>
      <c r="BK186" t="s">
        <v>126</v>
      </c>
      <c r="BS186" t="s">
        <v>126</v>
      </c>
      <c r="BT186" t="s">
        <v>126</v>
      </c>
      <c r="BU186" t="s">
        <v>126</v>
      </c>
      <c r="BV186" t="s">
        <v>126</v>
      </c>
      <c r="CN186" t="s">
        <v>181</v>
      </c>
      <c r="CP186" t="s">
        <v>182</v>
      </c>
      <c r="CQ186" t="s">
        <v>181</v>
      </c>
    </row>
    <row r="187" spans="1:95" x14ac:dyDescent="0.2">
      <c r="A187" t="s">
        <v>115</v>
      </c>
      <c r="B187" t="s">
        <v>116</v>
      </c>
      <c r="C187">
        <v>210784</v>
      </c>
      <c r="E187" t="s">
        <v>117</v>
      </c>
      <c r="F187">
        <v>368</v>
      </c>
      <c r="G187" t="s">
        <v>176</v>
      </c>
      <c r="H187" t="s">
        <v>177</v>
      </c>
      <c r="I187" t="s">
        <v>492</v>
      </c>
      <c r="J187" t="s">
        <v>493</v>
      </c>
      <c r="L187" t="s">
        <v>501</v>
      </c>
      <c r="M187" s="8">
        <v>45078</v>
      </c>
      <c r="N187" t="s">
        <v>502</v>
      </c>
      <c r="O187" t="s">
        <v>123</v>
      </c>
      <c r="P187" t="s">
        <v>124</v>
      </c>
      <c r="Q187">
        <v>3.49</v>
      </c>
      <c r="R187" t="s">
        <v>125</v>
      </c>
      <c r="S187" t="s">
        <v>126</v>
      </c>
      <c r="T187" t="s">
        <v>125</v>
      </c>
      <c r="U187" t="s">
        <v>126</v>
      </c>
      <c r="W187">
        <v>3.49</v>
      </c>
      <c r="Y187">
        <v>3.49</v>
      </c>
      <c r="AF187">
        <v>3.49</v>
      </c>
      <c r="BH187" t="s">
        <v>126</v>
      </c>
      <c r="BI187" t="s">
        <v>126</v>
      </c>
      <c r="BJ187" t="s">
        <v>126</v>
      </c>
      <c r="BK187" t="s">
        <v>126</v>
      </c>
      <c r="BS187" t="s">
        <v>126</v>
      </c>
      <c r="BT187" t="s">
        <v>126</v>
      </c>
      <c r="BU187" t="s">
        <v>126</v>
      </c>
      <c r="BV187" t="s">
        <v>126</v>
      </c>
      <c r="CN187" t="s">
        <v>181</v>
      </c>
      <c r="CP187" t="s">
        <v>182</v>
      </c>
      <c r="CQ187" t="s">
        <v>181</v>
      </c>
    </row>
    <row r="188" spans="1:95" x14ac:dyDescent="0.2">
      <c r="A188" t="s">
        <v>115</v>
      </c>
      <c r="B188" t="s">
        <v>116</v>
      </c>
      <c r="C188">
        <v>210784</v>
      </c>
      <c r="E188" t="s">
        <v>117</v>
      </c>
      <c r="F188">
        <v>368</v>
      </c>
      <c r="G188" t="s">
        <v>176</v>
      </c>
      <c r="H188" t="s">
        <v>177</v>
      </c>
      <c r="I188" t="s">
        <v>492</v>
      </c>
      <c r="J188" t="s">
        <v>493</v>
      </c>
      <c r="L188" t="s">
        <v>503</v>
      </c>
      <c r="M188" s="8">
        <v>45078</v>
      </c>
      <c r="N188" t="s">
        <v>504</v>
      </c>
      <c r="O188" t="s">
        <v>123</v>
      </c>
      <c r="P188" t="s">
        <v>124</v>
      </c>
      <c r="Q188">
        <v>7.05</v>
      </c>
      <c r="R188" t="s">
        <v>125</v>
      </c>
      <c r="S188" t="s">
        <v>126</v>
      </c>
      <c r="T188" t="s">
        <v>125</v>
      </c>
      <c r="U188" t="s">
        <v>126</v>
      </c>
      <c r="W188">
        <v>7.05</v>
      </c>
      <c r="Y188">
        <v>7.05</v>
      </c>
      <c r="AF188">
        <v>7.05</v>
      </c>
      <c r="BH188" t="s">
        <v>126</v>
      </c>
      <c r="BI188" t="s">
        <v>126</v>
      </c>
      <c r="BJ188" t="s">
        <v>126</v>
      </c>
      <c r="BK188" t="s">
        <v>126</v>
      </c>
      <c r="BS188" t="s">
        <v>126</v>
      </c>
      <c r="BT188" t="s">
        <v>126</v>
      </c>
      <c r="BU188" t="s">
        <v>126</v>
      </c>
      <c r="BV188" t="s">
        <v>126</v>
      </c>
      <c r="CN188" t="s">
        <v>181</v>
      </c>
      <c r="CP188" t="s">
        <v>182</v>
      </c>
      <c r="CQ188" t="s">
        <v>181</v>
      </c>
    </row>
    <row r="189" spans="1:95" x14ac:dyDescent="0.2">
      <c r="A189" t="s">
        <v>115</v>
      </c>
      <c r="B189" t="s">
        <v>116</v>
      </c>
      <c r="C189">
        <v>210784</v>
      </c>
      <c r="E189" t="s">
        <v>117</v>
      </c>
      <c r="F189">
        <v>368</v>
      </c>
      <c r="G189" t="s">
        <v>176</v>
      </c>
      <c r="H189" t="s">
        <v>177</v>
      </c>
      <c r="I189" t="s">
        <v>492</v>
      </c>
      <c r="J189" t="s">
        <v>493</v>
      </c>
      <c r="L189" t="s">
        <v>201</v>
      </c>
      <c r="M189" s="8">
        <v>45078</v>
      </c>
      <c r="N189" t="s">
        <v>505</v>
      </c>
      <c r="O189" t="s">
        <v>123</v>
      </c>
      <c r="P189" t="s">
        <v>124</v>
      </c>
      <c r="Q189">
        <v>6.87</v>
      </c>
      <c r="R189" t="s">
        <v>125</v>
      </c>
      <c r="S189" t="s">
        <v>126</v>
      </c>
      <c r="T189" t="s">
        <v>125</v>
      </c>
      <c r="U189" t="s">
        <v>126</v>
      </c>
      <c r="W189">
        <v>6.87</v>
      </c>
      <c r="Y189">
        <v>6.87</v>
      </c>
      <c r="AF189">
        <v>6.87</v>
      </c>
      <c r="BH189" t="s">
        <v>126</v>
      </c>
      <c r="BI189" t="s">
        <v>126</v>
      </c>
      <c r="BJ189" t="s">
        <v>126</v>
      </c>
      <c r="BK189" t="s">
        <v>126</v>
      </c>
      <c r="BS189" t="s">
        <v>126</v>
      </c>
      <c r="BT189" t="s">
        <v>126</v>
      </c>
      <c r="BU189" t="s">
        <v>126</v>
      </c>
      <c r="BV189" t="s">
        <v>126</v>
      </c>
      <c r="CN189" t="s">
        <v>181</v>
      </c>
      <c r="CP189" t="s">
        <v>182</v>
      </c>
      <c r="CQ189" t="s">
        <v>181</v>
      </c>
    </row>
    <row r="190" spans="1:95" x14ac:dyDescent="0.2">
      <c r="A190" t="s">
        <v>115</v>
      </c>
      <c r="B190" t="s">
        <v>116</v>
      </c>
      <c r="C190">
        <v>210784</v>
      </c>
      <c r="E190" t="s">
        <v>117</v>
      </c>
      <c r="F190">
        <v>368</v>
      </c>
      <c r="G190" t="s">
        <v>141</v>
      </c>
      <c r="H190" t="s">
        <v>142</v>
      </c>
      <c r="I190" t="s">
        <v>279</v>
      </c>
      <c r="J190" t="s">
        <v>280</v>
      </c>
      <c r="L190" t="s">
        <v>539</v>
      </c>
      <c r="M190" s="8">
        <v>45078</v>
      </c>
      <c r="N190">
        <v>5267850</v>
      </c>
      <c r="O190" t="s">
        <v>123</v>
      </c>
      <c r="P190" t="s">
        <v>146</v>
      </c>
      <c r="Q190">
        <v>0.66</v>
      </c>
      <c r="R190" t="s">
        <v>540</v>
      </c>
      <c r="S190" t="s">
        <v>126</v>
      </c>
      <c r="T190" t="s">
        <v>540</v>
      </c>
      <c r="U190" t="s">
        <v>541</v>
      </c>
      <c r="W190">
        <v>0.2</v>
      </c>
      <c r="X190">
        <v>0.45999999999999996</v>
      </c>
      <c r="Y190">
        <v>0.66</v>
      </c>
      <c r="Z190">
        <v>0.25</v>
      </c>
      <c r="AG190">
        <v>0.2</v>
      </c>
      <c r="AI190">
        <v>0.21</v>
      </c>
      <c r="BH190" t="s">
        <v>126</v>
      </c>
      <c r="BI190" t="s">
        <v>126</v>
      </c>
      <c r="BJ190" t="s">
        <v>126</v>
      </c>
      <c r="BK190" t="s">
        <v>126</v>
      </c>
      <c r="BS190" t="s">
        <v>126</v>
      </c>
      <c r="BT190" t="s">
        <v>126</v>
      </c>
      <c r="BU190" t="s">
        <v>126</v>
      </c>
      <c r="BV190" t="s">
        <v>126</v>
      </c>
      <c r="CN190" t="s">
        <v>542</v>
      </c>
      <c r="CP190" t="s">
        <v>199</v>
      </c>
      <c r="CQ190" t="s">
        <v>542</v>
      </c>
    </row>
    <row r="191" spans="1:95" x14ac:dyDescent="0.2">
      <c r="A191" t="s">
        <v>115</v>
      </c>
      <c r="B191" t="s">
        <v>116</v>
      </c>
      <c r="C191">
        <v>210784</v>
      </c>
      <c r="E191" t="s">
        <v>117</v>
      </c>
      <c r="F191">
        <v>368</v>
      </c>
      <c r="G191" t="s">
        <v>141</v>
      </c>
      <c r="H191" t="s">
        <v>142</v>
      </c>
      <c r="I191" t="s">
        <v>279</v>
      </c>
      <c r="J191" t="s">
        <v>280</v>
      </c>
      <c r="L191" t="s">
        <v>543</v>
      </c>
      <c r="M191" s="8">
        <v>45078</v>
      </c>
      <c r="N191">
        <v>5278580</v>
      </c>
      <c r="O191" t="s">
        <v>123</v>
      </c>
      <c r="P191" t="s">
        <v>146</v>
      </c>
      <c r="Q191">
        <v>1.5299999999999998</v>
      </c>
      <c r="R191" t="s">
        <v>544</v>
      </c>
      <c r="S191" t="s">
        <v>126</v>
      </c>
      <c r="T191" t="s">
        <v>544</v>
      </c>
      <c r="U191" t="s">
        <v>545</v>
      </c>
      <c r="W191">
        <v>0.47</v>
      </c>
      <c r="X191">
        <v>1.06</v>
      </c>
      <c r="Y191">
        <v>1.5299999999999998</v>
      </c>
      <c r="Z191">
        <v>0.57999999999999996</v>
      </c>
      <c r="AG191">
        <v>0.47</v>
      </c>
      <c r="AI191">
        <v>0.48</v>
      </c>
      <c r="BH191" t="s">
        <v>126</v>
      </c>
      <c r="BI191" t="s">
        <v>126</v>
      </c>
      <c r="BJ191" t="s">
        <v>126</v>
      </c>
      <c r="BK191" t="s">
        <v>126</v>
      </c>
      <c r="BS191" t="s">
        <v>126</v>
      </c>
      <c r="BT191" t="s">
        <v>126</v>
      </c>
      <c r="BU191" t="s">
        <v>126</v>
      </c>
      <c r="BV191" t="s">
        <v>126</v>
      </c>
      <c r="CN191" t="s">
        <v>542</v>
      </c>
      <c r="CP191" t="s">
        <v>199</v>
      </c>
      <c r="CQ191" t="s">
        <v>542</v>
      </c>
    </row>
    <row r="192" spans="1:95" x14ac:dyDescent="0.2">
      <c r="A192" t="s">
        <v>115</v>
      </c>
      <c r="B192" t="s">
        <v>116</v>
      </c>
      <c r="C192">
        <v>210784</v>
      </c>
      <c r="E192" t="s">
        <v>117</v>
      </c>
      <c r="F192">
        <v>368</v>
      </c>
      <c r="G192" t="s">
        <v>141</v>
      </c>
      <c r="H192" t="s">
        <v>142</v>
      </c>
      <c r="I192" t="s">
        <v>279</v>
      </c>
      <c r="J192" t="s">
        <v>280</v>
      </c>
      <c r="L192" t="s">
        <v>200</v>
      </c>
      <c r="M192" s="8">
        <v>45078</v>
      </c>
      <c r="N192">
        <v>5279929</v>
      </c>
      <c r="O192" t="s">
        <v>123</v>
      </c>
      <c r="P192" t="s">
        <v>146</v>
      </c>
      <c r="Q192">
        <v>0.77</v>
      </c>
      <c r="R192" t="s">
        <v>554</v>
      </c>
      <c r="S192" t="s">
        <v>126</v>
      </c>
      <c r="T192" t="s">
        <v>554</v>
      </c>
      <c r="U192" t="s">
        <v>555</v>
      </c>
      <c r="W192">
        <v>0.24</v>
      </c>
      <c r="X192">
        <v>0.53</v>
      </c>
      <c r="Y192">
        <v>0.77</v>
      </c>
      <c r="Z192">
        <v>0.28999999999999998</v>
      </c>
      <c r="AG192">
        <v>0.24</v>
      </c>
      <c r="AI192">
        <v>0.24</v>
      </c>
      <c r="BH192" t="s">
        <v>126</v>
      </c>
      <c r="BI192" t="s">
        <v>126</v>
      </c>
      <c r="BJ192" t="s">
        <v>126</v>
      </c>
      <c r="BK192" t="s">
        <v>126</v>
      </c>
      <c r="BS192" t="s">
        <v>126</v>
      </c>
      <c r="BT192" t="s">
        <v>126</v>
      </c>
      <c r="BU192" t="s">
        <v>126</v>
      </c>
      <c r="BV192" t="s">
        <v>126</v>
      </c>
      <c r="CN192" t="s">
        <v>542</v>
      </c>
      <c r="CP192" t="s">
        <v>556</v>
      </c>
      <c r="CQ192" t="s">
        <v>542</v>
      </c>
    </row>
    <row r="193" spans="1:95" x14ac:dyDescent="0.2">
      <c r="A193" t="s">
        <v>115</v>
      </c>
      <c r="B193" t="s">
        <v>116</v>
      </c>
      <c r="C193">
        <v>210784</v>
      </c>
      <c r="E193" t="s">
        <v>117</v>
      </c>
      <c r="F193">
        <v>368</v>
      </c>
      <c r="G193" t="s">
        <v>141</v>
      </c>
      <c r="H193" t="s">
        <v>142</v>
      </c>
      <c r="I193" t="s">
        <v>204</v>
      </c>
      <c r="J193" t="s">
        <v>205</v>
      </c>
      <c r="L193" t="s">
        <v>207</v>
      </c>
      <c r="M193" s="8">
        <v>45108</v>
      </c>
      <c r="N193">
        <v>90256</v>
      </c>
      <c r="O193" t="s">
        <v>123</v>
      </c>
      <c r="P193" t="s">
        <v>146</v>
      </c>
      <c r="Q193">
        <v>7.11</v>
      </c>
      <c r="R193" t="s">
        <v>125</v>
      </c>
      <c r="S193" t="s">
        <v>126</v>
      </c>
      <c r="T193" t="s">
        <v>125</v>
      </c>
      <c r="U193" t="s">
        <v>126</v>
      </c>
      <c r="W193">
        <v>7.11</v>
      </c>
      <c r="Y193">
        <v>7.11</v>
      </c>
      <c r="AC193">
        <v>7.11</v>
      </c>
      <c r="BH193" t="s">
        <v>126</v>
      </c>
      <c r="BI193" t="s">
        <v>126</v>
      </c>
      <c r="BJ193" t="s">
        <v>126</v>
      </c>
      <c r="BK193" t="s">
        <v>126</v>
      </c>
      <c r="BS193" t="s">
        <v>126</v>
      </c>
      <c r="BT193" t="s">
        <v>126</v>
      </c>
      <c r="BU193" t="s">
        <v>126</v>
      </c>
      <c r="BV193" t="s">
        <v>126</v>
      </c>
      <c r="CN193" t="s">
        <v>147</v>
      </c>
      <c r="CP193" t="s">
        <v>206</v>
      </c>
      <c r="CQ193" t="s">
        <v>147</v>
      </c>
    </row>
    <row r="194" spans="1:95" x14ac:dyDescent="0.2">
      <c r="A194" t="s">
        <v>115</v>
      </c>
      <c r="B194" t="s">
        <v>116</v>
      </c>
      <c r="C194">
        <v>210784</v>
      </c>
      <c r="E194" t="s">
        <v>117</v>
      </c>
      <c r="F194">
        <v>368</v>
      </c>
      <c r="G194" t="s">
        <v>176</v>
      </c>
      <c r="H194" t="s">
        <v>177</v>
      </c>
      <c r="I194" t="s">
        <v>546</v>
      </c>
      <c r="J194" t="s">
        <v>547</v>
      </c>
      <c r="L194" t="s">
        <v>553</v>
      </c>
      <c r="M194" s="8">
        <v>45108</v>
      </c>
      <c r="N194">
        <v>42099</v>
      </c>
      <c r="O194" t="s">
        <v>123</v>
      </c>
      <c r="P194" t="s">
        <v>124</v>
      </c>
      <c r="Q194">
        <v>5.28</v>
      </c>
      <c r="R194" t="s">
        <v>550</v>
      </c>
      <c r="S194" t="s">
        <v>126</v>
      </c>
      <c r="T194" t="s">
        <v>550</v>
      </c>
      <c r="U194" t="s">
        <v>549</v>
      </c>
      <c r="W194">
        <v>1.5311999999999999</v>
      </c>
      <c r="X194">
        <v>3.7488000000000001</v>
      </c>
      <c r="Y194">
        <v>5.28</v>
      </c>
      <c r="AY194">
        <v>3.7488000000000001</v>
      </c>
      <c r="BD194">
        <v>1.5311999999999999</v>
      </c>
      <c r="BH194" t="s">
        <v>126</v>
      </c>
      <c r="BI194" t="s">
        <v>126</v>
      </c>
      <c r="BJ194" t="s">
        <v>126</v>
      </c>
      <c r="BK194" t="s">
        <v>126</v>
      </c>
      <c r="BS194" t="s">
        <v>126</v>
      </c>
      <c r="BT194" t="s">
        <v>126</v>
      </c>
      <c r="BU194" t="s">
        <v>126</v>
      </c>
      <c r="BV194" t="s">
        <v>126</v>
      </c>
      <c r="CN194" t="s">
        <v>181</v>
      </c>
      <c r="CP194" t="s">
        <v>189</v>
      </c>
      <c r="CQ194" t="s">
        <v>181</v>
      </c>
    </row>
    <row r="195" spans="1:95" x14ac:dyDescent="0.2">
      <c r="A195" t="s">
        <v>115</v>
      </c>
      <c r="B195" t="s">
        <v>116</v>
      </c>
      <c r="C195">
        <v>210784</v>
      </c>
      <c r="E195" t="s">
        <v>117</v>
      </c>
      <c r="F195">
        <v>368</v>
      </c>
      <c r="G195" t="s">
        <v>141</v>
      </c>
      <c r="H195" t="s">
        <v>142</v>
      </c>
      <c r="I195" t="s">
        <v>279</v>
      </c>
      <c r="J195" t="s">
        <v>280</v>
      </c>
      <c r="L195" t="s">
        <v>553</v>
      </c>
      <c r="M195" s="8">
        <v>45108</v>
      </c>
      <c r="N195">
        <v>5288699</v>
      </c>
      <c r="O195" t="s">
        <v>123</v>
      </c>
      <c r="P195" t="s">
        <v>146</v>
      </c>
      <c r="Q195">
        <v>3.61</v>
      </c>
      <c r="R195" t="s">
        <v>125</v>
      </c>
      <c r="S195" t="s">
        <v>126</v>
      </c>
      <c r="T195" t="s">
        <v>125</v>
      </c>
      <c r="U195" t="s">
        <v>126</v>
      </c>
      <c r="W195">
        <v>3.61</v>
      </c>
      <c r="Y195">
        <v>3.61</v>
      </c>
      <c r="BE195">
        <v>3.61</v>
      </c>
      <c r="BH195" t="s">
        <v>126</v>
      </c>
      <c r="BI195" t="s">
        <v>126</v>
      </c>
      <c r="BJ195" t="s">
        <v>126</v>
      </c>
      <c r="BK195" t="s">
        <v>126</v>
      </c>
      <c r="BS195" t="s">
        <v>126</v>
      </c>
      <c r="BT195" t="s">
        <v>126</v>
      </c>
      <c r="BU195" t="s">
        <v>126</v>
      </c>
      <c r="BV195" t="s">
        <v>126</v>
      </c>
      <c r="CN195" t="s">
        <v>542</v>
      </c>
      <c r="CP195" t="s">
        <v>836</v>
      </c>
      <c r="CQ195" t="s">
        <v>542</v>
      </c>
    </row>
    <row r="196" spans="1:95" x14ac:dyDescent="0.2">
      <c r="A196" t="s">
        <v>115</v>
      </c>
      <c r="B196" t="s">
        <v>116</v>
      </c>
      <c r="C196">
        <v>210784</v>
      </c>
      <c r="E196" t="s">
        <v>117</v>
      </c>
      <c r="F196">
        <v>368</v>
      </c>
      <c r="G196" t="s">
        <v>141</v>
      </c>
      <c r="H196" t="s">
        <v>142</v>
      </c>
      <c r="I196" t="s">
        <v>279</v>
      </c>
      <c r="J196" t="s">
        <v>280</v>
      </c>
      <c r="L196" t="s">
        <v>207</v>
      </c>
      <c r="M196" s="8">
        <v>45108</v>
      </c>
      <c r="N196">
        <v>5302161</v>
      </c>
      <c r="O196" t="s">
        <v>123</v>
      </c>
      <c r="P196" t="s">
        <v>146</v>
      </c>
      <c r="Q196">
        <v>4.3099999999999996</v>
      </c>
      <c r="R196" t="s">
        <v>125</v>
      </c>
      <c r="S196" t="s">
        <v>126</v>
      </c>
      <c r="T196" t="s">
        <v>125</v>
      </c>
      <c r="U196" t="s">
        <v>126</v>
      </c>
      <c r="W196">
        <v>4.3099999999999996</v>
      </c>
      <c r="Y196">
        <v>4.3099999999999996</v>
      </c>
      <c r="BE196">
        <v>4.3099999999999996</v>
      </c>
      <c r="BH196" t="s">
        <v>126</v>
      </c>
      <c r="BI196" t="s">
        <v>126</v>
      </c>
      <c r="BJ196" t="s">
        <v>126</v>
      </c>
      <c r="BK196" t="s">
        <v>126</v>
      </c>
      <c r="BS196" t="s">
        <v>126</v>
      </c>
      <c r="BT196" t="s">
        <v>126</v>
      </c>
      <c r="BU196" t="s">
        <v>126</v>
      </c>
      <c r="BV196" t="s">
        <v>126</v>
      </c>
      <c r="CN196" t="s">
        <v>147</v>
      </c>
      <c r="CP196" t="s">
        <v>556</v>
      </c>
      <c r="CQ196" t="s">
        <v>147</v>
      </c>
    </row>
    <row r="197" spans="1:95" x14ac:dyDescent="0.2">
      <c r="A197" t="s">
        <v>115</v>
      </c>
      <c r="B197" t="s">
        <v>116</v>
      </c>
      <c r="C197">
        <v>210784</v>
      </c>
      <c r="E197" t="s">
        <v>117</v>
      </c>
      <c r="F197">
        <v>368</v>
      </c>
      <c r="G197" t="s">
        <v>141</v>
      </c>
      <c r="H197" t="s">
        <v>142</v>
      </c>
      <c r="I197" t="s">
        <v>204</v>
      </c>
      <c r="J197" t="s">
        <v>205</v>
      </c>
      <c r="L197" t="s">
        <v>208</v>
      </c>
      <c r="M197" s="8">
        <v>45139</v>
      </c>
      <c r="N197">
        <v>90836</v>
      </c>
      <c r="O197" t="s">
        <v>123</v>
      </c>
      <c r="P197" t="s">
        <v>146</v>
      </c>
      <c r="Q197">
        <v>8.5299999999999994</v>
      </c>
      <c r="R197" t="s">
        <v>125</v>
      </c>
      <c r="S197" t="s">
        <v>126</v>
      </c>
      <c r="T197" t="s">
        <v>125</v>
      </c>
      <c r="U197" t="s">
        <v>126</v>
      </c>
      <c r="W197">
        <v>8.5299999999999994</v>
      </c>
      <c r="Y197">
        <v>8.5299999999999994</v>
      </c>
      <c r="AC197">
        <v>8.5299999999999994</v>
      </c>
      <c r="BH197" t="s">
        <v>126</v>
      </c>
      <c r="BI197" t="s">
        <v>126</v>
      </c>
      <c r="BJ197" t="s">
        <v>126</v>
      </c>
      <c r="BK197" t="s">
        <v>126</v>
      </c>
      <c r="BS197" t="s">
        <v>126</v>
      </c>
      <c r="BT197" t="s">
        <v>126</v>
      </c>
      <c r="BU197" t="s">
        <v>126</v>
      </c>
      <c r="BV197" t="s">
        <v>126</v>
      </c>
      <c r="CN197" t="s">
        <v>147</v>
      </c>
      <c r="CP197" t="s">
        <v>206</v>
      </c>
      <c r="CQ197" t="s">
        <v>147</v>
      </c>
    </row>
    <row r="198" spans="1:95" x14ac:dyDescent="0.2">
      <c r="A198" t="s">
        <v>115</v>
      </c>
      <c r="B198" t="s">
        <v>116</v>
      </c>
      <c r="C198">
        <v>210784</v>
      </c>
      <c r="E198" t="s">
        <v>117</v>
      </c>
      <c r="F198">
        <v>368</v>
      </c>
      <c r="G198" t="s">
        <v>141</v>
      </c>
      <c r="H198" t="s">
        <v>142</v>
      </c>
      <c r="I198" t="s">
        <v>204</v>
      </c>
      <c r="J198" t="s">
        <v>205</v>
      </c>
      <c r="L198" t="s">
        <v>209</v>
      </c>
      <c r="M198" s="8">
        <v>45139</v>
      </c>
      <c r="N198">
        <v>91497</v>
      </c>
      <c r="O198" t="s">
        <v>123</v>
      </c>
      <c r="P198" t="s">
        <v>146</v>
      </c>
      <c r="Q198">
        <v>8.84</v>
      </c>
      <c r="R198" t="s">
        <v>125</v>
      </c>
      <c r="S198" t="s">
        <v>126</v>
      </c>
      <c r="T198" t="s">
        <v>125</v>
      </c>
      <c r="U198" t="s">
        <v>126</v>
      </c>
      <c r="W198">
        <v>8.84</v>
      </c>
      <c r="Y198">
        <v>8.84</v>
      </c>
      <c r="AC198">
        <v>8.84</v>
      </c>
      <c r="BH198" t="s">
        <v>126</v>
      </c>
      <c r="BI198" t="s">
        <v>126</v>
      </c>
      <c r="BJ198" t="s">
        <v>126</v>
      </c>
      <c r="BK198" t="s">
        <v>126</v>
      </c>
      <c r="BS198" t="s">
        <v>126</v>
      </c>
      <c r="BT198" t="s">
        <v>126</v>
      </c>
      <c r="BU198" t="s">
        <v>126</v>
      </c>
      <c r="BV198" t="s">
        <v>126</v>
      </c>
      <c r="CN198" t="s">
        <v>147</v>
      </c>
      <c r="CP198" t="s">
        <v>206</v>
      </c>
      <c r="CQ198" t="s">
        <v>147</v>
      </c>
    </row>
    <row r="199" spans="1:95" x14ac:dyDescent="0.2">
      <c r="A199" t="s">
        <v>115</v>
      </c>
      <c r="B199" t="s">
        <v>116</v>
      </c>
      <c r="C199">
        <v>210784</v>
      </c>
      <c r="E199" t="s">
        <v>117</v>
      </c>
      <c r="F199">
        <v>368</v>
      </c>
      <c r="G199" t="s">
        <v>141</v>
      </c>
      <c r="H199" t="s">
        <v>142</v>
      </c>
      <c r="I199" t="s">
        <v>279</v>
      </c>
      <c r="J199" t="s">
        <v>280</v>
      </c>
      <c r="L199" t="s">
        <v>189</v>
      </c>
      <c r="M199" s="8">
        <v>45139</v>
      </c>
      <c r="N199">
        <v>5307622</v>
      </c>
      <c r="O199" t="s">
        <v>123</v>
      </c>
      <c r="P199" t="s">
        <v>146</v>
      </c>
      <c r="Q199">
        <v>4.01</v>
      </c>
      <c r="R199" t="s">
        <v>125</v>
      </c>
      <c r="S199" t="s">
        <v>126</v>
      </c>
      <c r="T199" t="s">
        <v>125</v>
      </c>
      <c r="U199" t="s">
        <v>126</v>
      </c>
      <c r="W199">
        <v>4.01</v>
      </c>
      <c r="Y199">
        <v>4.01</v>
      </c>
      <c r="BE199">
        <v>4.01</v>
      </c>
      <c r="BH199" t="s">
        <v>126</v>
      </c>
      <c r="BI199" t="s">
        <v>126</v>
      </c>
      <c r="BJ199" t="s">
        <v>126</v>
      </c>
      <c r="BK199" t="s">
        <v>126</v>
      </c>
      <c r="BS199" t="s">
        <v>126</v>
      </c>
      <c r="BT199" t="s">
        <v>126</v>
      </c>
      <c r="BU199" t="s">
        <v>126</v>
      </c>
      <c r="BV199" t="s">
        <v>126</v>
      </c>
      <c r="CN199" t="s">
        <v>147</v>
      </c>
      <c r="CP199" t="s">
        <v>556</v>
      </c>
      <c r="CQ199" t="s">
        <v>147</v>
      </c>
    </row>
    <row r="200" spans="1:95" x14ac:dyDescent="0.2">
      <c r="A200" t="s">
        <v>115</v>
      </c>
      <c r="B200" t="s">
        <v>116</v>
      </c>
      <c r="C200">
        <v>210784</v>
      </c>
      <c r="E200" t="s">
        <v>117</v>
      </c>
      <c r="F200">
        <v>368</v>
      </c>
      <c r="G200" t="s">
        <v>141</v>
      </c>
      <c r="H200" t="s">
        <v>142</v>
      </c>
      <c r="I200" t="s">
        <v>279</v>
      </c>
      <c r="J200" t="s">
        <v>280</v>
      </c>
      <c r="L200" t="s">
        <v>837</v>
      </c>
      <c r="M200" s="8">
        <v>45139</v>
      </c>
      <c r="N200">
        <v>5312631</v>
      </c>
      <c r="O200" t="s">
        <v>123</v>
      </c>
      <c r="P200" t="s">
        <v>146</v>
      </c>
      <c r="Q200">
        <v>4.04</v>
      </c>
      <c r="R200" t="s">
        <v>125</v>
      </c>
      <c r="S200" t="s">
        <v>126</v>
      </c>
      <c r="T200" t="s">
        <v>125</v>
      </c>
      <c r="U200" t="s">
        <v>126</v>
      </c>
      <c r="W200">
        <v>4.04</v>
      </c>
      <c r="Y200">
        <v>4.04</v>
      </c>
      <c r="BE200">
        <v>4.04</v>
      </c>
      <c r="BH200" t="s">
        <v>126</v>
      </c>
      <c r="BI200" t="s">
        <v>126</v>
      </c>
      <c r="BJ200" t="s">
        <v>126</v>
      </c>
      <c r="BK200" t="s">
        <v>126</v>
      </c>
      <c r="BS200" t="s">
        <v>126</v>
      </c>
      <c r="BT200" t="s">
        <v>126</v>
      </c>
      <c r="BU200" t="s">
        <v>126</v>
      </c>
      <c r="BV200" t="s">
        <v>126</v>
      </c>
      <c r="CN200" t="s">
        <v>147</v>
      </c>
      <c r="CP200" t="s">
        <v>556</v>
      </c>
      <c r="CQ200" t="s">
        <v>147</v>
      </c>
    </row>
    <row r="201" spans="1:95" x14ac:dyDescent="0.2">
      <c r="A201" t="s">
        <v>115</v>
      </c>
      <c r="B201" t="s">
        <v>116</v>
      </c>
      <c r="C201">
        <v>210784</v>
      </c>
      <c r="E201" t="s">
        <v>117</v>
      </c>
      <c r="F201">
        <v>368</v>
      </c>
      <c r="G201" t="s">
        <v>141</v>
      </c>
      <c r="H201" t="s">
        <v>142</v>
      </c>
      <c r="I201" t="s">
        <v>279</v>
      </c>
      <c r="J201" t="s">
        <v>280</v>
      </c>
      <c r="L201" t="s">
        <v>838</v>
      </c>
      <c r="M201" s="8">
        <v>45139</v>
      </c>
      <c r="N201">
        <v>5317934</v>
      </c>
      <c r="O201" t="s">
        <v>123</v>
      </c>
      <c r="P201" t="s">
        <v>146</v>
      </c>
      <c r="Q201">
        <v>4.3899999999999997</v>
      </c>
      <c r="R201" t="s">
        <v>125</v>
      </c>
      <c r="S201" t="s">
        <v>126</v>
      </c>
      <c r="T201" t="s">
        <v>125</v>
      </c>
      <c r="U201" t="s">
        <v>126</v>
      </c>
      <c r="W201">
        <v>4.3899999999999997</v>
      </c>
      <c r="Y201">
        <v>4.3899999999999997</v>
      </c>
      <c r="BE201">
        <v>4.3899999999999997</v>
      </c>
      <c r="BH201" t="s">
        <v>126</v>
      </c>
      <c r="BI201" t="s">
        <v>126</v>
      </c>
      <c r="BJ201" t="s">
        <v>126</v>
      </c>
      <c r="BK201" t="s">
        <v>126</v>
      </c>
      <c r="BS201" t="s">
        <v>126</v>
      </c>
      <c r="BT201" t="s">
        <v>126</v>
      </c>
      <c r="BU201" t="s">
        <v>126</v>
      </c>
      <c r="BV201" t="s">
        <v>126</v>
      </c>
      <c r="CN201" t="s">
        <v>147</v>
      </c>
      <c r="CP201" t="s">
        <v>556</v>
      </c>
      <c r="CQ201" t="s">
        <v>147</v>
      </c>
    </row>
    <row r="202" spans="1:95" x14ac:dyDescent="0.2">
      <c r="A202" t="s">
        <v>115</v>
      </c>
      <c r="B202" t="s">
        <v>116</v>
      </c>
      <c r="C202">
        <v>210784</v>
      </c>
      <c r="E202" t="s">
        <v>117</v>
      </c>
      <c r="F202">
        <v>368</v>
      </c>
      <c r="G202" t="s">
        <v>141</v>
      </c>
      <c r="H202" t="s">
        <v>142</v>
      </c>
      <c r="I202" t="s">
        <v>279</v>
      </c>
      <c r="J202" t="s">
        <v>280</v>
      </c>
      <c r="L202" t="s">
        <v>839</v>
      </c>
      <c r="M202" s="8">
        <v>45139</v>
      </c>
      <c r="N202">
        <v>5321900</v>
      </c>
      <c r="O202" t="s">
        <v>123</v>
      </c>
      <c r="P202" t="s">
        <v>146</v>
      </c>
      <c r="Q202">
        <v>3.82</v>
      </c>
      <c r="R202" t="s">
        <v>125</v>
      </c>
      <c r="S202" t="s">
        <v>126</v>
      </c>
      <c r="T202" t="s">
        <v>125</v>
      </c>
      <c r="U202" t="s">
        <v>126</v>
      </c>
      <c r="W202">
        <v>3.82</v>
      </c>
      <c r="Y202">
        <v>3.82</v>
      </c>
      <c r="BE202">
        <v>3.82</v>
      </c>
      <c r="BH202" t="s">
        <v>126</v>
      </c>
      <c r="BI202" t="s">
        <v>126</v>
      </c>
      <c r="BJ202" t="s">
        <v>126</v>
      </c>
      <c r="BK202" t="s">
        <v>126</v>
      </c>
      <c r="BS202" t="s">
        <v>126</v>
      </c>
      <c r="BT202" t="s">
        <v>126</v>
      </c>
      <c r="BU202" t="s">
        <v>126</v>
      </c>
      <c r="BV202" t="s">
        <v>126</v>
      </c>
      <c r="CN202" t="s">
        <v>147</v>
      </c>
      <c r="CP202" t="s">
        <v>556</v>
      </c>
      <c r="CQ202" t="s">
        <v>147</v>
      </c>
    </row>
    <row r="203" spans="1:95" x14ac:dyDescent="0.2">
      <c r="A203" t="s">
        <v>115</v>
      </c>
      <c r="B203" t="s">
        <v>116</v>
      </c>
      <c r="C203">
        <v>210784</v>
      </c>
      <c r="E203" t="s">
        <v>117</v>
      </c>
      <c r="F203">
        <v>368</v>
      </c>
      <c r="G203" t="s">
        <v>141</v>
      </c>
      <c r="H203" t="s">
        <v>142</v>
      </c>
      <c r="I203" t="s">
        <v>279</v>
      </c>
      <c r="J203" t="s">
        <v>280</v>
      </c>
      <c r="L203" t="s">
        <v>840</v>
      </c>
      <c r="M203" s="8">
        <v>45139</v>
      </c>
      <c r="N203">
        <v>5324791</v>
      </c>
      <c r="O203" t="s">
        <v>123</v>
      </c>
      <c r="P203" t="s">
        <v>146</v>
      </c>
      <c r="Q203">
        <v>3.14</v>
      </c>
      <c r="R203" t="s">
        <v>125</v>
      </c>
      <c r="S203" t="s">
        <v>126</v>
      </c>
      <c r="T203" t="s">
        <v>125</v>
      </c>
      <c r="U203" t="s">
        <v>126</v>
      </c>
      <c r="W203">
        <v>3.14</v>
      </c>
      <c r="Y203">
        <v>3.14</v>
      </c>
      <c r="BE203">
        <v>3.14</v>
      </c>
      <c r="BH203" t="s">
        <v>126</v>
      </c>
      <c r="BI203" t="s">
        <v>126</v>
      </c>
      <c r="BJ203" t="s">
        <v>126</v>
      </c>
      <c r="BK203" t="s">
        <v>126</v>
      </c>
      <c r="BS203" t="s">
        <v>126</v>
      </c>
      <c r="BT203" t="s">
        <v>126</v>
      </c>
      <c r="BU203" t="s">
        <v>126</v>
      </c>
      <c r="BV203" t="s">
        <v>126</v>
      </c>
      <c r="CN203" t="s">
        <v>147</v>
      </c>
      <c r="CP203" t="s">
        <v>556</v>
      </c>
      <c r="CQ203" t="s">
        <v>147</v>
      </c>
    </row>
    <row r="204" spans="1:95" x14ac:dyDescent="0.2">
      <c r="A204" t="s">
        <v>115</v>
      </c>
      <c r="B204" t="s">
        <v>116</v>
      </c>
      <c r="C204">
        <v>210784</v>
      </c>
      <c r="E204" t="s">
        <v>117</v>
      </c>
      <c r="F204">
        <v>368</v>
      </c>
      <c r="G204" t="s">
        <v>141</v>
      </c>
      <c r="H204" t="s">
        <v>142</v>
      </c>
      <c r="I204" t="s">
        <v>204</v>
      </c>
      <c r="J204" t="s">
        <v>205</v>
      </c>
      <c r="L204" t="s">
        <v>210</v>
      </c>
      <c r="M204" s="8">
        <v>45170</v>
      </c>
      <c r="N204">
        <v>91934</v>
      </c>
      <c r="O204" t="s">
        <v>123</v>
      </c>
      <c r="P204" t="s">
        <v>146</v>
      </c>
      <c r="Q204">
        <v>7.92</v>
      </c>
      <c r="R204" t="s">
        <v>125</v>
      </c>
      <c r="S204" t="s">
        <v>126</v>
      </c>
      <c r="T204" t="s">
        <v>125</v>
      </c>
      <c r="U204" t="s">
        <v>126</v>
      </c>
      <c r="W204">
        <v>7.92</v>
      </c>
      <c r="Y204">
        <v>7.92</v>
      </c>
      <c r="AC204">
        <v>7.92</v>
      </c>
      <c r="BH204" t="s">
        <v>126</v>
      </c>
      <c r="BI204" t="s">
        <v>126</v>
      </c>
      <c r="BJ204" t="s">
        <v>126</v>
      </c>
      <c r="BK204" t="s">
        <v>126</v>
      </c>
      <c r="BS204" t="s">
        <v>126</v>
      </c>
      <c r="BT204" t="s">
        <v>126</v>
      </c>
      <c r="BU204" t="s">
        <v>126</v>
      </c>
      <c r="BV204" t="s">
        <v>126</v>
      </c>
      <c r="CN204" t="s">
        <v>147</v>
      </c>
      <c r="CP204" t="s">
        <v>206</v>
      </c>
      <c r="CQ204" t="s">
        <v>147</v>
      </c>
    </row>
    <row r="205" spans="1:95" x14ac:dyDescent="0.2">
      <c r="A205" t="s">
        <v>115</v>
      </c>
      <c r="B205" t="s">
        <v>116</v>
      </c>
      <c r="C205">
        <v>210784</v>
      </c>
      <c r="E205" t="s">
        <v>117</v>
      </c>
      <c r="F205">
        <v>368</v>
      </c>
      <c r="G205" t="s">
        <v>141</v>
      </c>
      <c r="H205" t="s">
        <v>142</v>
      </c>
      <c r="I205" t="s">
        <v>204</v>
      </c>
      <c r="J205" t="s">
        <v>205</v>
      </c>
      <c r="L205" t="s">
        <v>211</v>
      </c>
      <c r="M205" s="8">
        <v>45170</v>
      </c>
      <c r="N205">
        <v>92512</v>
      </c>
      <c r="O205" t="s">
        <v>123</v>
      </c>
      <c r="P205" t="s">
        <v>146</v>
      </c>
      <c r="Q205">
        <v>9.8800000000000008</v>
      </c>
      <c r="R205" t="s">
        <v>125</v>
      </c>
      <c r="S205" t="s">
        <v>126</v>
      </c>
      <c r="T205" t="s">
        <v>125</v>
      </c>
      <c r="U205" t="s">
        <v>126</v>
      </c>
      <c r="W205">
        <v>9.8800000000000008</v>
      </c>
      <c r="Y205">
        <v>9.8800000000000008</v>
      </c>
      <c r="AC205">
        <v>9.8800000000000008</v>
      </c>
      <c r="BH205" t="s">
        <v>126</v>
      </c>
      <c r="BI205" t="s">
        <v>126</v>
      </c>
      <c r="BJ205" t="s">
        <v>126</v>
      </c>
      <c r="BK205" t="s">
        <v>126</v>
      </c>
      <c r="BS205" t="s">
        <v>126</v>
      </c>
      <c r="BT205" t="s">
        <v>126</v>
      </c>
      <c r="BU205" t="s">
        <v>126</v>
      </c>
      <c r="BV205" t="s">
        <v>126</v>
      </c>
      <c r="CN205" t="s">
        <v>147</v>
      </c>
      <c r="CP205" t="s">
        <v>206</v>
      </c>
      <c r="CQ205" t="s">
        <v>147</v>
      </c>
    </row>
    <row r="206" spans="1:95" x14ac:dyDescent="0.2">
      <c r="A206" t="s">
        <v>115</v>
      </c>
      <c r="B206" t="s">
        <v>116</v>
      </c>
      <c r="C206">
        <v>210784</v>
      </c>
      <c r="E206" t="s">
        <v>117</v>
      </c>
      <c r="F206">
        <v>368</v>
      </c>
      <c r="G206" t="s">
        <v>141</v>
      </c>
      <c r="H206" t="s">
        <v>142</v>
      </c>
      <c r="I206" t="s">
        <v>279</v>
      </c>
      <c r="J206" t="s">
        <v>280</v>
      </c>
      <c r="L206" t="s">
        <v>841</v>
      </c>
      <c r="M206" s="8">
        <v>45170</v>
      </c>
      <c r="N206">
        <v>5331804</v>
      </c>
      <c r="O206" t="s">
        <v>123</v>
      </c>
      <c r="P206" t="s">
        <v>146</v>
      </c>
      <c r="Q206">
        <v>3.53</v>
      </c>
      <c r="R206" t="s">
        <v>125</v>
      </c>
      <c r="S206" t="s">
        <v>126</v>
      </c>
      <c r="T206" t="s">
        <v>125</v>
      </c>
      <c r="U206" t="s">
        <v>126</v>
      </c>
      <c r="W206">
        <v>3.53</v>
      </c>
      <c r="Y206">
        <v>3.53</v>
      </c>
      <c r="BE206">
        <v>3.53</v>
      </c>
      <c r="BH206" t="s">
        <v>126</v>
      </c>
      <c r="BI206" t="s">
        <v>126</v>
      </c>
      <c r="BJ206" t="s">
        <v>126</v>
      </c>
      <c r="BK206" t="s">
        <v>126</v>
      </c>
      <c r="BS206" t="s">
        <v>126</v>
      </c>
      <c r="BT206" t="s">
        <v>126</v>
      </c>
      <c r="BU206" t="s">
        <v>126</v>
      </c>
      <c r="BV206" t="s">
        <v>126</v>
      </c>
      <c r="CN206" t="s">
        <v>147</v>
      </c>
      <c r="CP206" t="s">
        <v>556</v>
      </c>
      <c r="CQ206" t="s">
        <v>147</v>
      </c>
    </row>
    <row r="207" spans="1:95" x14ac:dyDescent="0.2">
      <c r="A207" t="s">
        <v>115</v>
      </c>
      <c r="B207" t="s">
        <v>116</v>
      </c>
      <c r="C207">
        <v>210784</v>
      </c>
      <c r="E207" t="s">
        <v>117</v>
      </c>
      <c r="F207">
        <v>368</v>
      </c>
      <c r="G207" t="s">
        <v>141</v>
      </c>
      <c r="H207" t="s">
        <v>142</v>
      </c>
      <c r="I207" t="s">
        <v>279</v>
      </c>
      <c r="J207" t="s">
        <v>280</v>
      </c>
      <c r="L207" t="s">
        <v>842</v>
      </c>
      <c r="M207" s="8">
        <v>45170</v>
      </c>
      <c r="N207">
        <v>5335115</v>
      </c>
      <c r="O207" t="s">
        <v>123</v>
      </c>
      <c r="P207" t="s">
        <v>146</v>
      </c>
      <c r="Q207">
        <v>3.1</v>
      </c>
      <c r="R207" t="s">
        <v>125</v>
      </c>
      <c r="S207" t="s">
        <v>126</v>
      </c>
      <c r="T207" t="s">
        <v>125</v>
      </c>
      <c r="U207" t="s">
        <v>126</v>
      </c>
      <c r="W207">
        <v>3.1</v>
      </c>
      <c r="Y207">
        <v>3.1</v>
      </c>
      <c r="BE207">
        <v>3.1</v>
      </c>
      <c r="BH207" t="s">
        <v>126</v>
      </c>
      <c r="BI207" t="s">
        <v>126</v>
      </c>
      <c r="BJ207" t="s">
        <v>126</v>
      </c>
      <c r="BK207" t="s">
        <v>126</v>
      </c>
      <c r="BS207" t="s">
        <v>126</v>
      </c>
      <c r="BT207" t="s">
        <v>126</v>
      </c>
      <c r="BU207" t="s">
        <v>126</v>
      </c>
      <c r="BV207" t="s">
        <v>126</v>
      </c>
      <c r="CN207" t="s">
        <v>147</v>
      </c>
      <c r="CP207" t="s">
        <v>556</v>
      </c>
      <c r="CQ207" t="s">
        <v>147</v>
      </c>
    </row>
    <row r="208" spans="1:95" x14ac:dyDescent="0.2">
      <c r="A208" t="s">
        <v>115</v>
      </c>
      <c r="B208" t="s">
        <v>116</v>
      </c>
      <c r="C208">
        <v>210784</v>
      </c>
      <c r="E208" t="s">
        <v>117</v>
      </c>
      <c r="F208">
        <v>368</v>
      </c>
      <c r="G208" t="s">
        <v>141</v>
      </c>
      <c r="H208" t="s">
        <v>142</v>
      </c>
      <c r="I208" t="s">
        <v>279</v>
      </c>
      <c r="J208" t="s">
        <v>280</v>
      </c>
      <c r="L208" t="s">
        <v>843</v>
      </c>
      <c r="M208" s="8">
        <v>45170</v>
      </c>
      <c r="N208">
        <v>5337769</v>
      </c>
      <c r="O208" t="s">
        <v>123</v>
      </c>
      <c r="P208" t="s">
        <v>146</v>
      </c>
      <c r="Q208">
        <v>2.66</v>
      </c>
      <c r="R208" t="s">
        <v>125</v>
      </c>
      <c r="S208" t="s">
        <v>126</v>
      </c>
      <c r="T208" t="s">
        <v>125</v>
      </c>
      <c r="U208" t="s">
        <v>126</v>
      </c>
      <c r="W208">
        <v>2.66</v>
      </c>
      <c r="Y208">
        <v>2.66</v>
      </c>
      <c r="BE208">
        <v>2.66</v>
      </c>
      <c r="BH208" t="s">
        <v>126</v>
      </c>
      <c r="BI208" t="s">
        <v>126</v>
      </c>
      <c r="BJ208" t="s">
        <v>126</v>
      </c>
      <c r="BK208" t="s">
        <v>126</v>
      </c>
      <c r="BS208" t="s">
        <v>126</v>
      </c>
      <c r="BT208" t="s">
        <v>126</v>
      </c>
      <c r="BU208" t="s">
        <v>126</v>
      </c>
      <c r="BV208" t="s">
        <v>126</v>
      </c>
      <c r="CN208" t="s">
        <v>147</v>
      </c>
      <c r="CP208" t="s">
        <v>556</v>
      </c>
      <c r="CQ208" t="s">
        <v>147</v>
      </c>
    </row>
    <row r="209" spans="1:95" x14ac:dyDescent="0.2">
      <c r="A209" t="s">
        <v>115</v>
      </c>
      <c r="B209" t="s">
        <v>116</v>
      </c>
      <c r="C209">
        <v>210784</v>
      </c>
      <c r="E209" t="s">
        <v>117</v>
      </c>
      <c r="F209">
        <v>368</v>
      </c>
      <c r="G209" t="s">
        <v>141</v>
      </c>
      <c r="H209" t="s">
        <v>142</v>
      </c>
      <c r="I209" t="s">
        <v>279</v>
      </c>
      <c r="J209" t="s">
        <v>280</v>
      </c>
      <c r="L209" t="s">
        <v>844</v>
      </c>
      <c r="M209" s="8">
        <v>45170</v>
      </c>
      <c r="N209">
        <v>5342159</v>
      </c>
      <c r="O209" t="s">
        <v>123</v>
      </c>
      <c r="P209" t="s">
        <v>146</v>
      </c>
      <c r="Q209">
        <v>3.46</v>
      </c>
      <c r="R209" t="s">
        <v>125</v>
      </c>
      <c r="S209" t="s">
        <v>126</v>
      </c>
      <c r="T209" t="s">
        <v>125</v>
      </c>
      <c r="U209" t="s">
        <v>126</v>
      </c>
      <c r="W209">
        <v>3.46</v>
      </c>
      <c r="Y209">
        <v>3.46</v>
      </c>
      <c r="BE209">
        <v>3.46</v>
      </c>
      <c r="BH209" t="s">
        <v>126</v>
      </c>
      <c r="BI209" t="s">
        <v>126</v>
      </c>
      <c r="BJ209" t="s">
        <v>126</v>
      </c>
      <c r="BK209" t="s">
        <v>126</v>
      </c>
      <c r="BS209" t="s">
        <v>126</v>
      </c>
      <c r="BT209" t="s">
        <v>126</v>
      </c>
      <c r="BU209" t="s">
        <v>126</v>
      </c>
      <c r="BV209" t="s">
        <v>126</v>
      </c>
      <c r="CN209" t="s">
        <v>147</v>
      </c>
      <c r="CP209" t="s">
        <v>556</v>
      </c>
      <c r="CQ209" t="s">
        <v>147</v>
      </c>
    </row>
    <row r="210" spans="1:95" x14ac:dyDescent="0.2">
      <c r="A210" t="s">
        <v>115</v>
      </c>
      <c r="B210" t="s">
        <v>116</v>
      </c>
      <c r="C210">
        <v>210784</v>
      </c>
      <c r="E210" t="s">
        <v>117</v>
      </c>
      <c r="F210">
        <v>368</v>
      </c>
      <c r="G210" t="s">
        <v>141</v>
      </c>
      <c r="H210" t="s">
        <v>142</v>
      </c>
      <c r="I210" t="s">
        <v>279</v>
      </c>
      <c r="J210" t="s">
        <v>280</v>
      </c>
      <c r="L210" t="s">
        <v>211</v>
      </c>
      <c r="M210" s="8">
        <v>45170</v>
      </c>
      <c r="N210">
        <v>5345896</v>
      </c>
      <c r="O210" t="s">
        <v>123</v>
      </c>
      <c r="P210" t="s">
        <v>146</v>
      </c>
      <c r="Q210">
        <v>3.39</v>
      </c>
      <c r="R210" t="s">
        <v>125</v>
      </c>
      <c r="S210" t="s">
        <v>126</v>
      </c>
      <c r="T210" t="s">
        <v>125</v>
      </c>
      <c r="U210" t="s">
        <v>126</v>
      </c>
      <c r="W210">
        <v>3.39</v>
      </c>
      <c r="Y210">
        <v>3.39</v>
      </c>
      <c r="BE210">
        <v>3.39</v>
      </c>
      <c r="BH210" t="s">
        <v>126</v>
      </c>
      <c r="BI210" t="s">
        <v>126</v>
      </c>
      <c r="BJ210" t="s">
        <v>126</v>
      </c>
      <c r="BK210" t="s">
        <v>126</v>
      </c>
      <c r="BS210" t="s">
        <v>126</v>
      </c>
      <c r="BT210" t="s">
        <v>126</v>
      </c>
      <c r="BU210" t="s">
        <v>126</v>
      </c>
      <c r="BV210" t="s">
        <v>126</v>
      </c>
      <c r="CN210" t="s">
        <v>147</v>
      </c>
      <c r="CP210" t="s">
        <v>556</v>
      </c>
      <c r="CQ210" t="s">
        <v>147</v>
      </c>
    </row>
    <row r="211" spans="1:95" x14ac:dyDescent="0.2">
      <c r="A211" t="s">
        <v>115</v>
      </c>
      <c r="B211" t="s">
        <v>116</v>
      </c>
      <c r="C211">
        <v>210784</v>
      </c>
      <c r="E211" t="s">
        <v>117</v>
      </c>
      <c r="F211">
        <v>368</v>
      </c>
      <c r="G211" t="s">
        <v>141</v>
      </c>
      <c r="H211" t="s">
        <v>142</v>
      </c>
      <c r="I211" t="s">
        <v>204</v>
      </c>
      <c r="J211" t="s">
        <v>205</v>
      </c>
      <c r="L211" t="s">
        <v>212</v>
      </c>
      <c r="M211" s="8">
        <v>45200</v>
      </c>
      <c r="N211">
        <v>92675</v>
      </c>
      <c r="O211" t="s">
        <v>123</v>
      </c>
      <c r="P211" t="s">
        <v>146</v>
      </c>
      <c r="Q211">
        <v>13.16</v>
      </c>
      <c r="R211" t="s">
        <v>125</v>
      </c>
      <c r="S211" t="s">
        <v>126</v>
      </c>
      <c r="T211" t="s">
        <v>125</v>
      </c>
      <c r="U211" t="s">
        <v>126</v>
      </c>
      <c r="W211">
        <v>13.16</v>
      </c>
      <c r="Y211">
        <v>13.16</v>
      </c>
      <c r="AC211">
        <v>13.16</v>
      </c>
      <c r="BH211" t="s">
        <v>126</v>
      </c>
      <c r="BI211" t="s">
        <v>126</v>
      </c>
      <c r="BJ211" t="s">
        <v>126</v>
      </c>
      <c r="BK211" t="s">
        <v>126</v>
      </c>
      <c r="BS211" t="s">
        <v>126</v>
      </c>
      <c r="BT211" t="s">
        <v>126</v>
      </c>
      <c r="BU211" t="s">
        <v>126</v>
      </c>
      <c r="BV211" t="s">
        <v>126</v>
      </c>
      <c r="CN211" t="s">
        <v>147</v>
      </c>
      <c r="CP211" t="s">
        <v>206</v>
      </c>
      <c r="CQ211" t="s">
        <v>147</v>
      </c>
    </row>
    <row r="212" spans="1:95" x14ac:dyDescent="0.2">
      <c r="A212" t="s">
        <v>115</v>
      </c>
      <c r="B212" t="s">
        <v>116</v>
      </c>
      <c r="C212">
        <v>210784</v>
      </c>
      <c r="E212" t="s">
        <v>117</v>
      </c>
      <c r="F212">
        <v>368</v>
      </c>
      <c r="G212" t="s">
        <v>141</v>
      </c>
      <c r="H212" t="s">
        <v>142</v>
      </c>
      <c r="I212" t="s">
        <v>204</v>
      </c>
      <c r="J212" t="s">
        <v>205</v>
      </c>
      <c r="L212" t="s">
        <v>213</v>
      </c>
      <c r="M212" s="8">
        <v>45200</v>
      </c>
      <c r="N212">
        <v>93334</v>
      </c>
      <c r="O212" t="s">
        <v>123</v>
      </c>
      <c r="P212" t="s">
        <v>146</v>
      </c>
      <c r="Q212">
        <v>9.44</v>
      </c>
      <c r="R212" t="s">
        <v>125</v>
      </c>
      <c r="S212" t="s">
        <v>126</v>
      </c>
      <c r="T212" t="s">
        <v>125</v>
      </c>
      <c r="U212" t="s">
        <v>126</v>
      </c>
      <c r="W212">
        <v>9.44</v>
      </c>
      <c r="Y212">
        <v>9.44</v>
      </c>
      <c r="AC212">
        <v>9.44</v>
      </c>
      <c r="BH212" t="s">
        <v>126</v>
      </c>
      <c r="BI212" t="s">
        <v>126</v>
      </c>
      <c r="BJ212" t="s">
        <v>126</v>
      </c>
      <c r="BK212" t="s">
        <v>126</v>
      </c>
      <c r="BS212" t="s">
        <v>126</v>
      </c>
      <c r="BT212" t="s">
        <v>126</v>
      </c>
      <c r="BU212" t="s">
        <v>126</v>
      </c>
      <c r="BV212" t="s">
        <v>126</v>
      </c>
      <c r="CN212" t="s">
        <v>147</v>
      </c>
      <c r="CP212" t="s">
        <v>206</v>
      </c>
      <c r="CQ212" t="s">
        <v>147</v>
      </c>
    </row>
    <row r="213" spans="1:95" x14ac:dyDescent="0.2">
      <c r="A213" t="s">
        <v>115</v>
      </c>
      <c r="B213" t="s">
        <v>116</v>
      </c>
      <c r="C213">
        <v>210784</v>
      </c>
      <c r="E213" t="s">
        <v>117</v>
      </c>
      <c r="F213">
        <v>368</v>
      </c>
      <c r="G213" t="s">
        <v>141</v>
      </c>
      <c r="H213" t="s">
        <v>142</v>
      </c>
      <c r="I213" t="s">
        <v>204</v>
      </c>
      <c r="J213" t="s">
        <v>205</v>
      </c>
      <c r="L213" t="s">
        <v>214</v>
      </c>
      <c r="M213" s="8">
        <v>45200</v>
      </c>
      <c r="N213">
        <v>93826</v>
      </c>
      <c r="O213" t="s">
        <v>123</v>
      </c>
      <c r="P213" t="s">
        <v>146</v>
      </c>
      <c r="Q213">
        <v>8.74</v>
      </c>
      <c r="R213" t="s">
        <v>125</v>
      </c>
      <c r="S213" t="s">
        <v>126</v>
      </c>
      <c r="T213" t="s">
        <v>125</v>
      </c>
      <c r="U213" t="s">
        <v>126</v>
      </c>
      <c r="W213">
        <v>8.74</v>
      </c>
      <c r="Y213">
        <v>8.74</v>
      </c>
      <c r="AC213">
        <v>8.74</v>
      </c>
      <c r="BH213" t="s">
        <v>126</v>
      </c>
      <c r="BI213" t="s">
        <v>126</v>
      </c>
      <c r="BJ213" t="s">
        <v>126</v>
      </c>
      <c r="BK213" t="s">
        <v>126</v>
      </c>
      <c r="BS213" t="s">
        <v>126</v>
      </c>
      <c r="BT213" t="s">
        <v>126</v>
      </c>
      <c r="BU213" t="s">
        <v>126</v>
      </c>
      <c r="BV213" t="s">
        <v>126</v>
      </c>
      <c r="CN213" t="s">
        <v>147</v>
      </c>
      <c r="CP213" t="s">
        <v>206</v>
      </c>
      <c r="CQ213" t="s">
        <v>147</v>
      </c>
    </row>
    <row r="214" spans="1:95" x14ac:dyDescent="0.2">
      <c r="A214" t="s">
        <v>115</v>
      </c>
      <c r="B214" t="s">
        <v>116</v>
      </c>
      <c r="C214">
        <v>210784</v>
      </c>
      <c r="E214" t="s">
        <v>117</v>
      </c>
      <c r="F214">
        <v>368</v>
      </c>
      <c r="G214" t="s">
        <v>176</v>
      </c>
      <c r="H214" t="s">
        <v>177</v>
      </c>
      <c r="I214" t="s">
        <v>311</v>
      </c>
      <c r="J214" t="s">
        <v>312</v>
      </c>
      <c r="L214" t="s">
        <v>313</v>
      </c>
      <c r="M214" s="8">
        <v>45200</v>
      </c>
      <c r="N214" t="s">
        <v>314</v>
      </c>
      <c r="O214" t="s">
        <v>123</v>
      </c>
      <c r="P214" t="s">
        <v>124</v>
      </c>
      <c r="Q214">
        <v>40575.9</v>
      </c>
      <c r="R214" t="s">
        <v>126</v>
      </c>
      <c r="S214" t="s">
        <v>126</v>
      </c>
      <c r="T214" t="s">
        <v>126</v>
      </c>
      <c r="U214" t="s">
        <v>126</v>
      </c>
      <c r="BH214" t="s">
        <v>125</v>
      </c>
      <c r="BI214" t="s">
        <v>126</v>
      </c>
      <c r="BJ214" t="s">
        <v>125</v>
      </c>
      <c r="BK214" t="s">
        <v>126</v>
      </c>
      <c r="BM214">
        <v>40575.9</v>
      </c>
      <c r="BO214">
        <v>40575.9</v>
      </c>
      <c r="BP214">
        <v>40575.9</v>
      </c>
      <c r="BS214" t="s">
        <v>126</v>
      </c>
      <c r="BT214" t="s">
        <v>126</v>
      </c>
      <c r="BU214" t="s">
        <v>126</v>
      </c>
      <c r="BV214" t="s">
        <v>126</v>
      </c>
      <c r="CN214" t="s">
        <v>181</v>
      </c>
      <c r="CP214" t="s">
        <v>213</v>
      </c>
      <c r="CQ214" t="s">
        <v>181</v>
      </c>
    </row>
    <row r="215" spans="1:95" x14ac:dyDescent="0.2">
      <c r="A215" t="s">
        <v>115</v>
      </c>
      <c r="B215" t="s">
        <v>116</v>
      </c>
      <c r="C215">
        <v>210784</v>
      </c>
      <c r="E215" t="s">
        <v>117</v>
      </c>
      <c r="F215">
        <v>368</v>
      </c>
      <c r="G215" t="s">
        <v>176</v>
      </c>
      <c r="H215" t="s">
        <v>177</v>
      </c>
      <c r="I215" t="s">
        <v>315</v>
      </c>
      <c r="J215" t="s">
        <v>316</v>
      </c>
      <c r="L215" t="s">
        <v>313</v>
      </c>
      <c r="M215" s="8">
        <v>45200</v>
      </c>
      <c r="N215" t="s">
        <v>314</v>
      </c>
      <c r="O215" t="s">
        <v>123</v>
      </c>
      <c r="P215" t="s">
        <v>124</v>
      </c>
      <c r="Q215">
        <v>12015.6</v>
      </c>
      <c r="R215" t="s">
        <v>126</v>
      </c>
      <c r="S215" t="s">
        <v>126</v>
      </c>
      <c r="T215" t="s">
        <v>126</v>
      </c>
      <c r="U215" t="s">
        <v>126</v>
      </c>
      <c r="BH215" t="s">
        <v>125</v>
      </c>
      <c r="BI215" t="s">
        <v>126</v>
      </c>
      <c r="BJ215" t="s">
        <v>125</v>
      </c>
      <c r="BK215" t="s">
        <v>126</v>
      </c>
      <c r="BM215">
        <v>12015.6</v>
      </c>
      <c r="BO215">
        <v>12015.6</v>
      </c>
      <c r="BP215">
        <v>12015.6</v>
      </c>
      <c r="BS215" t="s">
        <v>126</v>
      </c>
      <c r="BT215" t="s">
        <v>126</v>
      </c>
      <c r="BU215" t="s">
        <v>126</v>
      </c>
      <c r="BV215" t="s">
        <v>126</v>
      </c>
      <c r="CN215" t="s">
        <v>181</v>
      </c>
      <c r="CP215" t="s">
        <v>213</v>
      </c>
      <c r="CQ215" t="s">
        <v>181</v>
      </c>
    </row>
    <row r="216" spans="1:95" x14ac:dyDescent="0.2">
      <c r="A216" t="s">
        <v>115</v>
      </c>
      <c r="B216" t="s">
        <v>116</v>
      </c>
      <c r="C216">
        <v>210784</v>
      </c>
      <c r="E216" t="s">
        <v>117</v>
      </c>
      <c r="F216">
        <v>368</v>
      </c>
      <c r="G216" t="s">
        <v>176</v>
      </c>
      <c r="H216" t="s">
        <v>177</v>
      </c>
      <c r="I216" t="s">
        <v>317</v>
      </c>
      <c r="J216" t="s">
        <v>318</v>
      </c>
      <c r="L216" t="s">
        <v>313</v>
      </c>
      <c r="M216" s="8">
        <v>45200</v>
      </c>
      <c r="N216" t="s">
        <v>314</v>
      </c>
      <c r="O216" t="s">
        <v>123</v>
      </c>
      <c r="P216" t="s">
        <v>124</v>
      </c>
      <c r="Q216">
        <v>6593.7</v>
      </c>
      <c r="R216" t="s">
        <v>126</v>
      </c>
      <c r="S216" t="s">
        <v>126</v>
      </c>
      <c r="T216" t="s">
        <v>126</v>
      </c>
      <c r="U216" t="s">
        <v>126</v>
      </c>
      <c r="BH216" t="s">
        <v>125</v>
      </c>
      <c r="BI216" t="s">
        <v>126</v>
      </c>
      <c r="BJ216" t="s">
        <v>125</v>
      </c>
      <c r="BK216" t="s">
        <v>126</v>
      </c>
      <c r="BM216">
        <v>6593.7</v>
      </c>
      <c r="BO216">
        <v>6593.7</v>
      </c>
      <c r="BP216">
        <v>6593.7</v>
      </c>
      <c r="BS216" t="s">
        <v>126</v>
      </c>
      <c r="BT216" t="s">
        <v>126</v>
      </c>
      <c r="BU216" t="s">
        <v>126</v>
      </c>
      <c r="BV216" t="s">
        <v>126</v>
      </c>
      <c r="CN216" t="s">
        <v>181</v>
      </c>
      <c r="CP216" t="s">
        <v>213</v>
      </c>
      <c r="CQ216" t="s">
        <v>181</v>
      </c>
    </row>
    <row r="217" spans="1:95" x14ac:dyDescent="0.2">
      <c r="A217" t="s">
        <v>115</v>
      </c>
      <c r="B217" t="s">
        <v>116</v>
      </c>
      <c r="C217">
        <v>210784</v>
      </c>
      <c r="E217" t="s">
        <v>117</v>
      </c>
      <c r="F217">
        <v>368</v>
      </c>
      <c r="G217" t="s">
        <v>141</v>
      </c>
      <c r="H217" t="s">
        <v>142</v>
      </c>
      <c r="I217" t="s">
        <v>279</v>
      </c>
      <c r="J217" t="s">
        <v>280</v>
      </c>
      <c r="L217" t="s">
        <v>313</v>
      </c>
      <c r="M217" s="8">
        <v>45200</v>
      </c>
      <c r="N217">
        <v>5358330</v>
      </c>
      <c r="O217" t="s">
        <v>123</v>
      </c>
      <c r="P217" t="s">
        <v>146</v>
      </c>
      <c r="Q217">
        <v>3.93</v>
      </c>
      <c r="R217" t="s">
        <v>125</v>
      </c>
      <c r="S217" t="s">
        <v>126</v>
      </c>
      <c r="T217" t="s">
        <v>125</v>
      </c>
      <c r="U217" t="s">
        <v>126</v>
      </c>
      <c r="W217">
        <v>3.93</v>
      </c>
      <c r="Y217">
        <v>3.93</v>
      </c>
      <c r="AG217">
        <v>2.8056000000000001</v>
      </c>
      <c r="AY217">
        <v>1.1244000000000001</v>
      </c>
      <c r="BH217" t="s">
        <v>126</v>
      </c>
      <c r="BI217" t="s">
        <v>126</v>
      </c>
      <c r="BJ217" t="s">
        <v>126</v>
      </c>
      <c r="BK217" t="s">
        <v>126</v>
      </c>
      <c r="BS217" t="s">
        <v>126</v>
      </c>
      <c r="BT217" t="s">
        <v>126</v>
      </c>
      <c r="BU217" t="s">
        <v>126</v>
      </c>
      <c r="BV217" t="s">
        <v>126</v>
      </c>
      <c r="CN217" t="s">
        <v>147</v>
      </c>
      <c r="CP217" t="s">
        <v>557</v>
      </c>
      <c r="CQ217" t="s">
        <v>147</v>
      </c>
    </row>
    <row r="218" spans="1:95" x14ac:dyDescent="0.2">
      <c r="A218" t="s">
        <v>115</v>
      </c>
      <c r="B218" t="s">
        <v>116</v>
      </c>
      <c r="C218">
        <v>210784</v>
      </c>
      <c r="E218" t="s">
        <v>117</v>
      </c>
      <c r="F218">
        <v>368</v>
      </c>
      <c r="G218" t="s">
        <v>141</v>
      </c>
      <c r="H218" t="s">
        <v>142</v>
      </c>
      <c r="I218" t="s">
        <v>279</v>
      </c>
      <c r="J218" t="s">
        <v>280</v>
      </c>
      <c r="L218" t="s">
        <v>212</v>
      </c>
      <c r="M218" s="8">
        <v>45200</v>
      </c>
      <c r="N218">
        <v>5349320</v>
      </c>
      <c r="O218" t="s">
        <v>123</v>
      </c>
      <c r="P218" t="s">
        <v>146</v>
      </c>
      <c r="Q218">
        <v>2.86</v>
      </c>
      <c r="R218" t="s">
        <v>125</v>
      </c>
      <c r="S218" t="s">
        <v>126</v>
      </c>
      <c r="T218" t="s">
        <v>125</v>
      </c>
      <c r="U218" t="s">
        <v>126</v>
      </c>
      <c r="W218">
        <v>2.86</v>
      </c>
      <c r="Y218">
        <v>2.86</v>
      </c>
      <c r="BE218">
        <v>2.86</v>
      </c>
      <c r="BH218" t="s">
        <v>126</v>
      </c>
      <c r="BI218" t="s">
        <v>126</v>
      </c>
      <c r="BJ218" t="s">
        <v>126</v>
      </c>
      <c r="BK218" t="s">
        <v>126</v>
      </c>
      <c r="BS218" t="s">
        <v>126</v>
      </c>
      <c r="BT218" t="s">
        <v>126</v>
      </c>
      <c r="BU218" t="s">
        <v>126</v>
      </c>
      <c r="BV218" t="s">
        <v>126</v>
      </c>
      <c r="CN218" t="s">
        <v>147</v>
      </c>
      <c r="CP218" t="s">
        <v>557</v>
      </c>
      <c r="CQ218" t="s">
        <v>147</v>
      </c>
    </row>
    <row r="219" spans="1:95" x14ac:dyDescent="0.2">
      <c r="A219" t="s">
        <v>115</v>
      </c>
      <c r="B219" t="s">
        <v>116</v>
      </c>
      <c r="C219">
        <v>210784</v>
      </c>
      <c r="E219" t="s">
        <v>117</v>
      </c>
      <c r="F219">
        <v>368</v>
      </c>
      <c r="G219" t="s">
        <v>141</v>
      </c>
      <c r="H219" t="s">
        <v>142</v>
      </c>
      <c r="I219" t="s">
        <v>279</v>
      </c>
      <c r="J219" t="s">
        <v>280</v>
      </c>
      <c r="L219" t="s">
        <v>845</v>
      </c>
      <c r="M219" s="8">
        <v>45200</v>
      </c>
      <c r="N219">
        <v>5352192</v>
      </c>
      <c r="O219" t="s">
        <v>123</v>
      </c>
      <c r="P219" t="s">
        <v>146</v>
      </c>
      <c r="Q219">
        <v>3.05</v>
      </c>
      <c r="R219" t="s">
        <v>125</v>
      </c>
      <c r="S219" t="s">
        <v>126</v>
      </c>
      <c r="T219" t="s">
        <v>125</v>
      </c>
      <c r="U219" t="s">
        <v>126</v>
      </c>
      <c r="W219">
        <v>3.05</v>
      </c>
      <c r="Y219">
        <v>3.05</v>
      </c>
      <c r="BE219">
        <v>3.05</v>
      </c>
      <c r="BH219" t="s">
        <v>126</v>
      </c>
      <c r="BI219" t="s">
        <v>126</v>
      </c>
      <c r="BJ219" t="s">
        <v>126</v>
      </c>
      <c r="BK219" t="s">
        <v>126</v>
      </c>
      <c r="BS219" t="s">
        <v>126</v>
      </c>
      <c r="BT219" t="s">
        <v>126</v>
      </c>
      <c r="BU219" t="s">
        <v>126</v>
      </c>
      <c r="BV219" t="s">
        <v>126</v>
      </c>
      <c r="CN219" t="s">
        <v>147</v>
      </c>
      <c r="CP219" t="s">
        <v>557</v>
      </c>
      <c r="CQ219" t="s">
        <v>147</v>
      </c>
    </row>
    <row r="220" spans="1:95" x14ac:dyDescent="0.2">
      <c r="A220" t="s">
        <v>115</v>
      </c>
      <c r="B220" t="s">
        <v>116</v>
      </c>
      <c r="C220">
        <v>210784</v>
      </c>
      <c r="E220" t="s">
        <v>117</v>
      </c>
      <c r="F220">
        <v>368</v>
      </c>
      <c r="G220" t="s">
        <v>141</v>
      </c>
      <c r="H220" t="s">
        <v>142</v>
      </c>
      <c r="I220" t="s">
        <v>279</v>
      </c>
      <c r="J220" t="s">
        <v>280</v>
      </c>
      <c r="L220" t="s">
        <v>846</v>
      </c>
      <c r="M220" s="8">
        <v>45200</v>
      </c>
      <c r="N220">
        <v>5354344</v>
      </c>
      <c r="O220" t="s">
        <v>123</v>
      </c>
      <c r="P220" t="s">
        <v>146</v>
      </c>
      <c r="Q220">
        <v>3.37</v>
      </c>
      <c r="R220" t="s">
        <v>125</v>
      </c>
      <c r="S220" t="s">
        <v>126</v>
      </c>
      <c r="T220" t="s">
        <v>125</v>
      </c>
      <c r="U220" t="s">
        <v>126</v>
      </c>
      <c r="W220">
        <v>3.37</v>
      </c>
      <c r="Y220">
        <v>3.37</v>
      </c>
      <c r="BE220">
        <v>3.37</v>
      </c>
      <c r="BH220" t="s">
        <v>126</v>
      </c>
      <c r="BI220" t="s">
        <v>126</v>
      </c>
      <c r="BJ220" t="s">
        <v>126</v>
      </c>
      <c r="BK220" t="s">
        <v>126</v>
      </c>
      <c r="BS220" t="s">
        <v>126</v>
      </c>
      <c r="BT220" t="s">
        <v>126</v>
      </c>
      <c r="BU220" t="s">
        <v>126</v>
      </c>
      <c r="BV220" t="s">
        <v>126</v>
      </c>
      <c r="CN220" t="s">
        <v>147</v>
      </c>
      <c r="CP220" t="s">
        <v>557</v>
      </c>
      <c r="CQ220" t="s">
        <v>147</v>
      </c>
    </row>
    <row r="221" spans="1:95" x14ac:dyDescent="0.2">
      <c r="A221" t="s">
        <v>115</v>
      </c>
      <c r="B221" t="s">
        <v>116</v>
      </c>
      <c r="C221">
        <v>210784</v>
      </c>
      <c r="E221" t="s">
        <v>117</v>
      </c>
      <c r="F221">
        <v>368</v>
      </c>
      <c r="G221" t="s">
        <v>141</v>
      </c>
      <c r="H221" t="s">
        <v>142</v>
      </c>
      <c r="I221" t="s">
        <v>279</v>
      </c>
      <c r="J221" t="s">
        <v>280</v>
      </c>
      <c r="L221" t="s">
        <v>847</v>
      </c>
      <c r="M221" s="8">
        <v>45200</v>
      </c>
      <c r="N221">
        <v>5361249</v>
      </c>
      <c r="O221" t="s">
        <v>123</v>
      </c>
      <c r="P221" t="s">
        <v>146</v>
      </c>
      <c r="Q221">
        <v>3.51</v>
      </c>
      <c r="R221" t="s">
        <v>125</v>
      </c>
      <c r="S221" t="s">
        <v>126</v>
      </c>
      <c r="T221" t="s">
        <v>125</v>
      </c>
      <c r="U221" t="s">
        <v>126</v>
      </c>
      <c r="W221">
        <v>3.51</v>
      </c>
      <c r="Y221">
        <v>3.51</v>
      </c>
      <c r="BE221">
        <v>3.51</v>
      </c>
      <c r="BH221" t="s">
        <v>126</v>
      </c>
      <c r="BI221" t="s">
        <v>126</v>
      </c>
      <c r="BJ221" t="s">
        <v>126</v>
      </c>
      <c r="BK221" t="s">
        <v>126</v>
      </c>
      <c r="BS221" t="s">
        <v>126</v>
      </c>
      <c r="BT221" t="s">
        <v>126</v>
      </c>
      <c r="BU221" t="s">
        <v>126</v>
      </c>
      <c r="BV221" t="s">
        <v>126</v>
      </c>
      <c r="CN221" t="s">
        <v>147</v>
      </c>
      <c r="CP221" t="s">
        <v>220</v>
      </c>
      <c r="CQ221" t="s">
        <v>147</v>
      </c>
    </row>
    <row r="222" spans="1:95" x14ac:dyDescent="0.2">
      <c r="A222" t="s">
        <v>115</v>
      </c>
      <c r="B222" t="s">
        <v>116</v>
      </c>
      <c r="C222">
        <v>210784</v>
      </c>
      <c r="E222" t="s">
        <v>117</v>
      </c>
      <c r="F222">
        <v>368</v>
      </c>
      <c r="G222" t="s">
        <v>141</v>
      </c>
      <c r="H222" t="s">
        <v>142</v>
      </c>
      <c r="I222" t="s">
        <v>279</v>
      </c>
      <c r="J222" t="s">
        <v>280</v>
      </c>
      <c r="L222" t="s">
        <v>848</v>
      </c>
      <c r="M222" s="8">
        <v>45200</v>
      </c>
      <c r="N222">
        <v>5362709</v>
      </c>
      <c r="O222" t="s">
        <v>123</v>
      </c>
      <c r="P222" t="s">
        <v>146</v>
      </c>
      <c r="Q222">
        <v>4.34</v>
      </c>
      <c r="R222" t="s">
        <v>125</v>
      </c>
      <c r="S222" t="s">
        <v>126</v>
      </c>
      <c r="T222" t="s">
        <v>125</v>
      </c>
      <c r="U222" t="s">
        <v>126</v>
      </c>
      <c r="W222">
        <v>4.34</v>
      </c>
      <c r="Y222">
        <v>4.34</v>
      </c>
      <c r="BE222">
        <v>4.34</v>
      </c>
      <c r="BH222" t="s">
        <v>126</v>
      </c>
      <c r="BI222" t="s">
        <v>126</v>
      </c>
      <c r="BJ222" t="s">
        <v>126</v>
      </c>
      <c r="BK222" t="s">
        <v>126</v>
      </c>
      <c r="BS222" t="s">
        <v>126</v>
      </c>
      <c r="BT222" t="s">
        <v>126</v>
      </c>
      <c r="BU222" t="s">
        <v>126</v>
      </c>
      <c r="BV222" t="s">
        <v>126</v>
      </c>
      <c r="CN222" t="s">
        <v>147</v>
      </c>
      <c r="CP222" t="s">
        <v>220</v>
      </c>
      <c r="CQ222" t="s">
        <v>147</v>
      </c>
    </row>
    <row r="223" spans="1:95" x14ac:dyDescent="0.2">
      <c r="A223" t="s">
        <v>115</v>
      </c>
      <c r="B223" t="s">
        <v>116</v>
      </c>
      <c r="C223">
        <v>210784</v>
      </c>
      <c r="E223" t="s">
        <v>117</v>
      </c>
      <c r="F223">
        <v>368</v>
      </c>
      <c r="G223" t="s">
        <v>141</v>
      </c>
      <c r="H223" t="s">
        <v>142</v>
      </c>
      <c r="I223" t="s">
        <v>279</v>
      </c>
      <c r="J223" t="s">
        <v>280</v>
      </c>
      <c r="L223" t="s">
        <v>849</v>
      </c>
      <c r="M223" s="8">
        <v>45200</v>
      </c>
      <c r="N223">
        <v>5363736</v>
      </c>
      <c r="O223" t="s">
        <v>123</v>
      </c>
      <c r="P223" t="s">
        <v>146</v>
      </c>
      <c r="Q223">
        <v>4.7300000000000004</v>
      </c>
      <c r="R223" t="s">
        <v>125</v>
      </c>
      <c r="S223" t="s">
        <v>126</v>
      </c>
      <c r="T223" t="s">
        <v>125</v>
      </c>
      <c r="U223" t="s">
        <v>126</v>
      </c>
      <c r="W223">
        <v>4.7300000000000004</v>
      </c>
      <c r="Y223">
        <v>4.7300000000000004</v>
      </c>
      <c r="BE223">
        <v>4.7300000000000004</v>
      </c>
      <c r="BH223" t="s">
        <v>126</v>
      </c>
      <c r="BI223" t="s">
        <v>126</v>
      </c>
      <c r="BJ223" t="s">
        <v>126</v>
      </c>
      <c r="BK223" t="s">
        <v>126</v>
      </c>
      <c r="BS223" t="s">
        <v>126</v>
      </c>
      <c r="BT223" t="s">
        <v>126</v>
      </c>
      <c r="BU223" t="s">
        <v>126</v>
      </c>
      <c r="BV223" t="s">
        <v>126</v>
      </c>
      <c r="CN223" t="s">
        <v>147</v>
      </c>
      <c r="CP223" t="s">
        <v>220</v>
      </c>
      <c r="CQ223" t="s">
        <v>147</v>
      </c>
    </row>
    <row r="224" spans="1:95" x14ac:dyDescent="0.2">
      <c r="A224" t="s">
        <v>115</v>
      </c>
      <c r="B224" t="s">
        <v>116</v>
      </c>
      <c r="C224">
        <v>210784</v>
      </c>
      <c r="E224" t="s">
        <v>117</v>
      </c>
      <c r="F224">
        <v>368</v>
      </c>
      <c r="G224" t="s">
        <v>141</v>
      </c>
      <c r="H224" t="s">
        <v>142</v>
      </c>
      <c r="I224" t="s">
        <v>279</v>
      </c>
      <c r="J224" t="s">
        <v>280</v>
      </c>
      <c r="L224" t="s">
        <v>850</v>
      </c>
      <c r="M224" s="8">
        <v>45200</v>
      </c>
      <c r="N224">
        <v>5364344</v>
      </c>
      <c r="O224" t="s">
        <v>123</v>
      </c>
      <c r="P224" t="s">
        <v>146</v>
      </c>
      <c r="Q224">
        <v>3.83</v>
      </c>
      <c r="R224" t="s">
        <v>125</v>
      </c>
      <c r="S224" t="s">
        <v>126</v>
      </c>
      <c r="T224" t="s">
        <v>125</v>
      </c>
      <c r="U224" t="s">
        <v>126</v>
      </c>
      <c r="W224">
        <v>3.83</v>
      </c>
      <c r="Y224">
        <v>3.83</v>
      </c>
      <c r="BE224">
        <v>3.83</v>
      </c>
      <c r="BH224" t="s">
        <v>126</v>
      </c>
      <c r="BI224" t="s">
        <v>126</v>
      </c>
      <c r="BJ224" t="s">
        <v>126</v>
      </c>
      <c r="BK224" t="s">
        <v>126</v>
      </c>
      <c r="BS224" t="s">
        <v>126</v>
      </c>
      <c r="BT224" t="s">
        <v>126</v>
      </c>
      <c r="BU224" t="s">
        <v>126</v>
      </c>
      <c r="BV224" t="s">
        <v>126</v>
      </c>
      <c r="CN224" t="s">
        <v>147</v>
      </c>
      <c r="CP224" t="s">
        <v>220</v>
      </c>
      <c r="CQ224" t="s">
        <v>147</v>
      </c>
    </row>
    <row r="225" spans="1:95" x14ac:dyDescent="0.2">
      <c r="A225" t="s">
        <v>115</v>
      </c>
      <c r="B225" t="s">
        <v>116</v>
      </c>
      <c r="C225">
        <v>210784</v>
      </c>
      <c r="E225" t="s">
        <v>117</v>
      </c>
      <c r="F225">
        <v>368</v>
      </c>
      <c r="G225" t="s">
        <v>141</v>
      </c>
      <c r="H225" t="s">
        <v>142</v>
      </c>
      <c r="I225" t="s">
        <v>279</v>
      </c>
      <c r="J225" t="s">
        <v>280</v>
      </c>
      <c r="L225" t="s">
        <v>849</v>
      </c>
      <c r="M225" s="8">
        <v>45200</v>
      </c>
      <c r="N225">
        <v>5363685</v>
      </c>
      <c r="O225" t="s">
        <v>123</v>
      </c>
      <c r="P225" t="s">
        <v>146</v>
      </c>
      <c r="Q225">
        <v>2.4300000000000002</v>
      </c>
      <c r="R225" t="s">
        <v>125</v>
      </c>
      <c r="S225" t="s">
        <v>126</v>
      </c>
      <c r="T225" t="s">
        <v>125</v>
      </c>
      <c r="U225" t="s">
        <v>126</v>
      </c>
      <c r="W225">
        <v>2.4300000000000002</v>
      </c>
      <c r="Y225">
        <v>2.4300000000000002</v>
      </c>
      <c r="BE225">
        <v>2.4300000000000002</v>
      </c>
      <c r="BH225" t="s">
        <v>126</v>
      </c>
      <c r="BI225" t="s">
        <v>126</v>
      </c>
      <c r="BJ225" t="s">
        <v>126</v>
      </c>
      <c r="BK225" t="s">
        <v>126</v>
      </c>
      <c r="BS225" t="s">
        <v>126</v>
      </c>
      <c r="BT225" t="s">
        <v>126</v>
      </c>
      <c r="BU225" t="s">
        <v>126</v>
      </c>
      <c r="BV225" t="s">
        <v>126</v>
      </c>
      <c r="CN225" t="s">
        <v>147</v>
      </c>
      <c r="CP225" t="s">
        <v>220</v>
      </c>
      <c r="CQ225" t="s">
        <v>147</v>
      </c>
    </row>
    <row r="226" spans="1:95" x14ac:dyDescent="0.2">
      <c r="A226" t="s">
        <v>115</v>
      </c>
      <c r="B226" t="s">
        <v>116</v>
      </c>
      <c r="C226">
        <v>210784</v>
      </c>
      <c r="E226" t="s">
        <v>117</v>
      </c>
      <c r="F226">
        <v>368</v>
      </c>
      <c r="G226" t="s">
        <v>141</v>
      </c>
      <c r="H226" t="s">
        <v>142</v>
      </c>
      <c r="I226" t="s">
        <v>279</v>
      </c>
      <c r="J226" t="s">
        <v>280</v>
      </c>
      <c r="L226" t="s">
        <v>851</v>
      </c>
      <c r="M226" s="8">
        <v>45200</v>
      </c>
      <c r="N226">
        <v>5365090</v>
      </c>
      <c r="O226" t="s">
        <v>123</v>
      </c>
      <c r="P226" t="s">
        <v>146</v>
      </c>
      <c r="Q226">
        <v>0.93</v>
      </c>
      <c r="R226" t="s">
        <v>125</v>
      </c>
      <c r="S226" t="s">
        <v>126</v>
      </c>
      <c r="T226" t="s">
        <v>125</v>
      </c>
      <c r="U226" t="s">
        <v>126</v>
      </c>
      <c r="W226">
        <v>0.93</v>
      </c>
      <c r="Y226">
        <v>0.93</v>
      </c>
      <c r="BE226">
        <v>0.93</v>
      </c>
      <c r="BH226" t="s">
        <v>126</v>
      </c>
      <c r="BI226" t="s">
        <v>126</v>
      </c>
      <c r="BJ226" t="s">
        <v>126</v>
      </c>
      <c r="BK226" t="s">
        <v>126</v>
      </c>
      <c r="BS226" t="s">
        <v>126</v>
      </c>
      <c r="BT226" t="s">
        <v>126</v>
      </c>
      <c r="BU226" t="s">
        <v>126</v>
      </c>
      <c r="BV226" t="s">
        <v>126</v>
      </c>
      <c r="CN226" t="s">
        <v>147</v>
      </c>
      <c r="CP226" t="s">
        <v>220</v>
      </c>
      <c r="CQ226" t="s">
        <v>147</v>
      </c>
    </row>
    <row r="227" spans="1:95" x14ac:dyDescent="0.2">
      <c r="A227" t="s">
        <v>115</v>
      </c>
      <c r="B227" t="s">
        <v>116</v>
      </c>
      <c r="C227">
        <v>210784</v>
      </c>
      <c r="E227" t="s">
        <v>117</v>
      </c>
      <c r="F227">
        <v>368</v>
      </c>
      <c r="G227" t="s">
        <v>141</v>
      </c>
      <c r="H227" t="s">
        <v>142</v>
      </c>
      <c r="I227" t="s">
        <v>279</v>
      </c>
      <c r="J227" t="s">
        <v>280</v>
      </c>
      <c r="L227" t="s">
        <v>851</v>
      </c>
      <c r="M227" s="8">
        <v>45200</v>
      </c>
      <c r="N227">
        <v>5365222</v>
      </c>
      <c r="O227" t="s">
        <v>123</v>
      </c>
      <c r="P227" t="s">
        <v>146</v>
      </c>
      <c r="Q227">
        <v>3.45</v>
      </c>
      <c r="R227" t="s">
        <v>125</v>
      </c>
      <c r="S227" t="s">
        <v>126</v>
      </c>
      <c r="T227" t="s">
        <v>125</v>
      </c>
      <c r="U227" t="s">
        <v>126</v>
      </c>
      <c r="W227">
        <v>3.45</v>
      </c>
      <c r="Y227">
        <v>3.45</v>
      </c>
      <c r="BE227">
        <v>3.45</v>
      </c>
      <c r="BH227" t="s">
        <v>126</v>
      </c>
      <c r="BI227" t="s">
        <v>126</v>
      </c>
      <c r="BJ227" t="s">
        <v>126</v>
      </c>
      <c r="BK227" t="s">
        <v>126</v>
      </c>
      <c r="BS227" t="s">
        <v>126</v>
      </c>
      <c r="BT227" t="s">
        <v>126</v>
      </c>
      <c r="BU227" t="s">
        <v>126</v>
      </c>
      <c r="BV227" t="s">
        <v>126</v>
      </c>
      <c r="CN227" t="s">
        <v>147</v>
      </c>
      <c r="CP227" t="s">
        <v>220</v>
      </c>
      <c r="CQ227" t="s">
        <v>147</v>
      </c>
    </row>
    <row r="228" spans="1:95" x14ac:dyDescent="0.2">
      <c r="A228" t="s">
        <v>115</v>
      </c>
      <c r="B228" t="s">
        <v>116</v>
      </c>
      <c r="C228">
        <v>210784</v>
      </c>
      <c r="E228" t="s">
        <v>117</v>
      </c>
      <c r="F228">
        <v>368</v>
      </c>
      <c r="G228" t="s">
        <v>141</v>
      </c>
      <c r="H228" t="s">
        <v>142</v>
      </c>
      <c r="I228" t="s">
        <v>204</v>
      </c>
      <c r="J228" t="s">
        <v>205</v>
      </c>
      <c r="L228" t="s">
        <v>215</v>
      </c>
      <c r="M228" s="8">
        <v>45231</v>
      </c>
      <c r="N228">
        <v>94360</v>
      </c>
      <c r="O228" t="s">
        <v>123</v>
      </c>
      <c r="P228" t="s">
        <v>146</v>
      </c>
      <c r="Q228">
        <v>10.02</v>
      </c>
      <c r="R228" t="s">
        <v>125</v>
      </c>
      <c r="S228" t="s">
        <v>126</v>
      </c>
      <c r="T228" t="s">
        <v>125</v>
      </c>
      <c r="U228" t="s">
        <v>126</v>
      </c>
      <c r="W228">
        <v>10.02</v>
      </c>
      <c r="Y228">
        <v>10.02</v>
      </c>
      <c r="AC228">
        <v>10.02</v>
      </c>
      <c r="BH228" t="s">
        <v>126</v>
      </c>
      <c r="BI228" t="s">
        <v>126</v>
      </c>
      <c r="BJ228" t="s">
        <v>126</v>
      </c>
      <c r="BK228" t="s">
        <v>126</v>
      </c>
      <c r="BS228" t="s">
        <v>126</v>
      </c>
      <c r="BT228" t="s">
        <v>126</v>
      </c>
      <c r="BU228" t="s">
        <v>126</v>
      </c>
      <c r="BV228" t="s">
        <v>126</v>
      </c>
      <c r="CN228" t="s">
        <v>147</v>
      </c>
      <c r="CP228" t="s">
        <v>206</v>
      </c>
      <c r="CQ228" t="s">
        <v>147</v>
      </c>
    </row>
    <row r="229" spans="1:95" x14ac:dyDescent="0.2">
      <c r="A229" t="s">
        <v>115</v>
      </c>
      <c r="B229" t="s">
        <v>116</v>
      </c>
      <c r="C229">
        <v>210784</v>
      </c>
      <c r="E229" t="s">
        <v>117</v>
      </c>
      <c r="F229">
        <v>368</v>
      </c>
      <c r="G229" t="s">
        <v>141</v>
      </c>
      <c r="H229" t="s">
        <v>142</v>
      </c>
      <c r="I229" t="s">
        <v>204</v>
      </c>
      <c r="J229" t="s">
        <v>205</v>
      </c>
      <c r="L229" t="s">
        <v>216</v>
      </c>
      <c r="M229" s="8">
        <v>45231</v>
      </c>
      <c r="N229">
        <v>94843</v>
      </c>
      <c r="O229" t="s">
        <v>123</v>
      </c>
      <c r="P229" t="s">
        <v>146</v>
      </c>
      <c r="Q229">
        <v>6.3</v>
      </c>
      <c r="R229" t="s">
        <v>125</v>
      </c>
      <c r="S229" t="s">
        <v>126</v>
      </c>
      <c r="T229" t="s">
        <v>125</v>
      </c>
      <c r="U229" t="s">
        <v>126</v>
      </c>
      <c r="W229">
        <v>6.3</v>
      </c>
      <c r="Y229">
        <v>6.3</v>
      </c>
      <c r="AC229">
        <v>6.3</v>
      </c>
      <c r="BH229" t="s">
        <v>126</v>
      </c>
      <c r="BI229" t="s">
        <v>126</v>
      </c>
      <c r="BJ229" t="s">
        <v>126</v>
      </c>
      <c r="BK229" t="s">
        <v>126</v>
      </c>
      <c r="BS229" t="s">
        <v>126</v>
      </c>
      <c r="BT229" t="s">
        <v>126</v>
      </c>
      <c r="BU229" t="s">
        <v>126</v>
      </c>
      <c r="BV229" t="s">
        <v>126</v>
      </c>
      <c r="CN229" t="s">
        <v>147</v>
      </c>
      <c r="CP229" t="s">
        <v>206</v>
      </c>
      <c r="CQ229" t="s">
        <v>147</v>
      </c>
    </row>
    <row r="230" spans="1:95" x14ac:dyDescent="0.2">
      <c r="A230" t="s">
        <v>115</v>
      </c>
      <c r="B230" t="s">
        <v>116</v>
      </c>
      <c r="C230">
        <v>210784</v>
      </c>
      <c r="E230" t="s">
        <v>117</v>
      </c>
      <c r="F230">
        <v>368</v>
      </c>
      <c r="G230" t="s">
        <v>141</v>
      </c>
      <c r="H230" t="s">
        <v>142</v>
      </c>
      <c r="I230" t="s">
        <v>279</v>
      </c>
      <c r="J230" t="s">
        <v>280</v>
      </c>
      <c r="L230" t="s">
        <v>558</v>
      </c>
      <c r="M230" s="8">
        <v>45231</v>
      </c>
      <c r="N230">
        <v>5369002</v>
      </c>
      <c r="O230" t="s">
        <v>123</v>
      </c>
      <c r="P230" t="s">
        <v>146</v>
      </c>
      <c r="Q230">
        <v>1.5899999999999999</v>
      </c>
      <c r="R230" t="s">
        <v>559</v>
      </c>
      <c r="S230" t="s">
        <v>126</v>
      </c>
      <c r="T230" t="s">
        <v>559</v>
      </c>
      <c r="U230" t="s">
        <v>560</v>
      </c>
      <c r="W230">
        <v>0.49</v>
      </c>
      <c r="X230">
        <v>1.1000000000000001</v>
      </c>
      <c r="Y230">
        <v>1.5899999999999999</v>
      </c>
      <c r="Z230">
        <v>0.6</v>
      </c>
      <c r="AG230">
        <v>0.49</v>
      </c>
      <c r="AI230">
        <v>0.5</v>
      </c>
      <c r="BH230" t="s">
        <v>126</v>
      </c>
      <c r="BI230" t="s">
        <v>126</v>
      </c>
      <c r="BJ230" t="s">
        <v>126</v>
      </c>
      <c r="BK230" t="s">
        <v>126</v>
      </c>
      <c r="BS230" t="s">
        <v>126</v>
      </c>
      <c r="BT230" t="s">
        <v>126</v>
      </c>
      <c r="BU230" t="s">
        <v>126</v>
      </c>
      <c r="BV230" t="s">
        <v>126</v>
      </c>
      <c r="CN230" t="s">
        <v>147</v>
      </c>
      <c r="CP230" t="s">
        <v>220</v>
      </c>
      <c r="CQ230" t="s">
        <v>147</v>
      </c>
    </row>
    <row r="231" spans="1:95" x14ac:dyDescent="0.2">
      <c r="A231" t="s">
        <v>115</v>
      </c>
      <c r="B231" t="s">
        <v>116</v>
      </c>
      <c r="C231">
        <v>210784</v>
      </c>
      <c r="E231" t="s">
        <v>117</v>
      </c>
      <c r="F231">
        <v>368</v>
      </c>
      <c r="G231" t="s">
        <v>141</v>
      </c>
      <c r="H231" t="s">
        <v>142</v>
      </c>
      <c r="I231" t="s">
        <v>279</v>
      </c>
      <c r="J231" t="s">
        <v>280</v>
      </c>
      <c r="L231" t="s">
        <v>561</v>
      </c>
      <c r="M231" s="8">
        <v>45231</v>
      </c>
      <c r="N231">
        <v>5375602</v>
      </c>
      <c r="O231" t="s">
        <v>123</v>
      </c>
      <c r="P231" t="s">
        <v>146</v>
      </c>
      <c r="Q231">
        <v>1.7100000000000002</v>
      </c>
      <c r="R231" t="s">
        <v>562</v>
      </c>
      <c r="S231" t="s">
        <v>126</v>
      </c>
      <c r="T231" t="s">
        <v>562</v>
      </c>
      <c r="U231" t="s">
        <v>563</v>
      </c>
      <c r="W231">
        <v>0.53</v>
      </c>
      <c r="X231">
        <v>1.1800000000000002</v>
      </c>
      <c r="Y231">
        <v>1.7100000000000002</v>
      </c>
      <c r="Z231">
        <v>0.65</v>
      </c>
      <c r="AG231">
        <v>0.53</v>
      </c>
      <c r="AI231">
        <v>0.53</v>
      </c>
      <c r="BH231" t="s">
        <v>126</v>
      </c>
      <c r="BI231" t="s">
        <v>126</v>
      </c>
      <c r="BJ231" t="s">
        <v>126</v>
      </c>
      <c r="BK231" t="s">
        <v>126</v>
      </c>
      <c r="BS231" t="s">
        <v>126</v>
      </c>
      <c r="BT231" t="s">
        <v>126</v>
      </c>
      <c r="BU231" t="s">
        <v>126</v>
      </c>
      <c r="BV231" t="s">
        <v>126</v>
      </c>
      <c r="CN231" t="s">
        <v>147</v>
      </c>
      <c r="CP231" t="s">
        <v>220</v>
      </c>
      <c r="CQ231" t="s">
        <v>147</v>
      </c>
    </row>
    <row r="232" spans="1:95" x14ac:dyDescent="0.2">
      <c r="A232" t="s">
        <v>115</v>
      </c>
      <c r="B232" t="s">
        <v>116</v>
      </c>
      <c r="C232">
        <v>210784</v>
      </c>
      <c r="E232" t="s">
        <v>117</v>
      </c>
      <c r="F232">
        <v>368</v>
      </c>
      <c r="G232" t="s">
        <v>141</v>
      </c>
      <c r="H232" t="s">
        <v>142</v>
      </c>
      <c r="I232" t="s">
        <v>564</v>
      </c>
      <c r="J232" t="s">
        <v>565</v>
      </c>
      <c r="L232" t="s">
        <v>566</v>
      </c>
      <c r="M232" s="8">
        <v>45231</v>
      </c>
      <c r="N232">
        <v>20885342</v>
      </c>
      <c r="O232" t="s">
        <v>123</v>
      </c>
      <c r="P232" t="s">
        <v>146</v>
      </c>
      <c r="Q232">
        <v>3.37</v>
      </c>
      <c r="R232" t="s">
        <v>567</v>
      </c>
      <c r="S232" t="s">
        <v>126</v>
      </c>
      <c r="T232" t="s">
        <v>567</v>
      </c>
      <c r="U232" t="s">
        <v>568</v>
      </c>
      <c r="W232">
        <v>1.04</v>
      </c>
      <c r="X232">
        <v>2.33</v>
      </c>
      <c r="Y232">
        <v>3.37</v>
      </c>
      <c r="Z232">
        <v>1.28</v>
      </c>
      <c r="AG232">
        <v>1.04</v>
      </c>
      <c r="AI232">
        <v>1.05</v>
      </c>
      <c r="BH232" t="s">
        <v>126</v>
      </c>
      <c r="BI232" t="s">
        <v>126</v>
      </c>
      <c r="BJ232" t="s">
        <v>126</v>
      </c>
      <c r="BK232" t="s">
        <v>126</v>
      </c>
      <c r="BS232" t="s">
        <v>126</v>
      </c>
      <c r="BT232" t="s">
        <v>126</v>
      </c>
      <c r="BU232" t="s">
        <v>126</v>
      </c>
      <c r="BV232" t="s">
        <v>126</v>
      </c>
      <c r="CN232" t="s">
        <v>147</v>
      </c>
      <c r="CP232" t="s">
        <v>220</v>
      </c>
      <c r="CQ232" t="s">
        <v>147</v>
      </c>
    </row>
    <row r="233" spans="1:95" x14ac:dyDescent="0.2">
      <c r="A233" t="s">
        <v>115</v>
      </c>
      <c r="B233" t="s">
        <v>116</v>
      </c>
      <c r="C233">
        <v>210784</v>
      </c>
      <c r="E233" t="s">
        <v>117</v>
      </c>
      <c r="F233">
        <v>368</v>
      </c>
      <c r="G233" t="s">
        <v>141</v>
      </c>
      <c r="H233" t="s">
        <v>142</v>
      </c>
      <c r="I233" t="s">
        <v>279</v>
      </c>
      <c r="J233" t="s">
        <v>280</v>
      </c>
      <c r="L233" t="s">
        <v>566</v>
      </c>
      <c r="M233" s="8">
        <v>45231</v>
      </c>
      <c r="N233">
        <v>5378512</v>
      </c>
      <c r="O233" t="s">
        <v>123</v>
      </c>
      <c r="P233" t="s">
        <v>146</v>
      </c>
      <c r="Q233">
        <v>1.43</v>
      </c>
      <c r="R233" t="s">
        <v>569</v>
      </c>
      <c r="S233" t="s">
        <v>126</v>
      </c>
      <c r="T233" t="s">
        <v>569</v>
      </c>
      <c r="U233" t="s">
        <v>570</v>
      </c>
      <c r="W233">
        <v>0.44</v>
      </c>
      <c r="X233">
        <v>0.99</v>
      </c>
      <c r="Y233">
        <v>1.43</v>
      </c>
      <c r="Z233">
        <v>0.54</v>
      </c>
      <c r="AG233">
        <v>0.44</v>
      </c>
      <c r="AI233">
        <v>0.45</v>
      </c>
      <c r="BH233" t="s">
        <v>126</v>
      </c>
      <c r="BI233" t="s">
        <v>126</v>
      </c>
      <c r="BJ233" t="s">
        <v>126</v>
      </c>
      <c r="BK233" t="s">
        <v>126</v>
      </c>
      <c r="BS233" t="s">
        <v>126</v>
      </c>
      <c r="BT233" t="s">
        <v>126</v>
      </c>
      <c r="BU233" t="s">
        <v>126</v>
      </c>
      <c r="BV233" t="s">
        <v>126</v>
      </c>
      <c r="CN233" t="s">
        <v>147</v>
      </c>
      <c r="CP233" t="s">
        <v>220</v>
      </c>
      <c r="CQ233" t="s">
        <v>147</v>
      </c>
    </row>
    <row r="234" spans="1:95" x14ac:dyDescent="0.2">
      <c r="A234" t="s">
        <v>115</v>
      </c>
      <c r="B234" t="s">
        <v>116</v>
      </c>
      <c r="C234">
        <v>210784</v>
      </c>
      <c r="E234" t="s">
        <v>117</v>
      </c>
      <c r="F234">
        <v>368</v>
      </c>
      <c r="G234" t="s">
        <v>141</v>
      </c>
      <c r="H234" t="s">
        <v>142</v>
      </c>
      <c r="I234" t="s">
        <v>279</v>
      </c>
      <c r="J234" t="s">
        <v>280</v>
      </c>
      <c r="L234" t="s">
        <v>571</v>
      </c>
      <c r="M234" s="8">
        <v>45231</v>
      </c>
      <c r="N234">
        <v>5385024</v>
      </c>
      <c r="O234" t="s">
        <v>123</v>
      </c>
      <c r="P234" t="s">
        <v>146</v>
      </c>
      <c r="Q234">
        <v>2.2799999999999998</v>
      </c>
      <c r="R234" t="s">
        <v>572</v>
      </c>
      <c r="S234" t="s">
        <v>126</v>
      </c>
      <c r="T234" t="s">
        <v>572</v>
      </c>
      <c r="U234" t="s">
        <v>573</v>
      </c>
      <c r="W234">
        <v>0.7</v>
      </c>
      <c r="X234">
        <v>1.58</v>
      </c>
      <c r="Y234">
        <v>2.2799999999999998</v>
      </c>
      <c r="Z234">
        <v>0.87</v>
      </c>
      <c r="AG234">
        <v>0.7</v>
      </c>
      <c r="AI234">
        <v>0.71</v>
      </c>
      <c r="BH234" t="s">
        <v>126</v>
      </c>
      <c r="BI234" t="s">
        <v>126</v>
      </c>
      <c r="BJ234" t="s">
        <v>126</v>
      </c>
      <c r="BK234" t="s">
        <v>126</v>
      </c>
      <c r="BS234" t="s">
        <v>126</v>
      </c>
      <c r="BT234" t="s">
        <v>126</v>
      </c>
      <c r="BU234" t="s">
        <v>126</v>
      </c>
      <c r="BV234" t="s">
        <v>126</v>
      </c>
      <c r="CN234" t="s">
        <v>147</v>
      </c>
      <c r="CP234" t="s">
        <v>220</v>
      </c>
      <c r="CQ234" t="s">
        <v>147</v>
      </c>
    </row>
    <row r="235" spans="1:95" x14ac:dyDescent="0.2">
      <c r="A235" t="s">
        <v>115</v>
      </c>
      <c r="B235" t="s">
        <v>116</v>
      </c>
      <c r="C235">
        <v>210784</v>
      </c>
      <c r="E235" t="s">
        <v>117</v>
      </c>
      <c r="F235">
        <v>368</v>
      </c>
      <c r="G235" t="s">
        <v>141</v>
      </c>
      <c r="H235" t="s">
        <v>142</v>
      </c>
      <c r="I235" t="s">
        <v>279</v>
      </c>
      <c r="J235" t="s">
        <v>280</v>
      </c>
      <c r="L235" t="s">
        <v>571</v>
      </c>
      <c r="M235" s="8">
        <v>45231</v>
      </c>
      <c r="N235">
        <v>5385401</v>
      </c>
      <c r="O235" t="s">
        <v>123</v>
      </c>
      <c r="P235" t="s">
        <v>146</v>
      </c>
      <c r="Q235">
        <v>3.6100000000000003</v>
      </c>
      <c r="R235" t="s">
        <v>574</v>
      </c>
      <c r="S235" t="s">
        <v>126</v>
      </c>
      <c r="T235" t="s">
        <v>574</v>
      </c>
      <c r="U235" t="s">
        <v>575</v>
      </c>
      <c r="W235">
        <v>1.1100000000000001</v>
      </c>
      <c r="X235">
        <v>2.5</v>
      </c>
      <c r="Y235">
        <v>3.6100000000000003</v>
      </c>
      <c r="Z235">
        <v>1.38</v>
      </c>
      <c r="AG235">
        <v>1.1100000000000001</v>
      </c>
      <c r="AI235">
        <v>1.1200000000000001</v>
      </c>
      <c r="BH235" t="s">
        <v>126</v>
      </c>
      <c r="BI235" t="s">
        <v>126</v>
      </c>
      <c r="BJ235" t="s">
        <v>126</v>
      </c>
      <c r="BK235" t="s">
        <v>126</v>
      </c>
      <c r="BS235" t="s">
        <v>126</v>
      </c>
      <c r="BT235" t="s">
        <v>126</v>
      </c>
      <c r="BU235" t="s">
        <v>126</v>
      </c>
      <c r="BV235" t="s">
        <v>126</v>
      </c>
      <c r="CN235" t="s">
        <v>147</v>
      </c>
      <c r="CP235" t="s">
        <v>220</v>
      </c>
      <c r="CQ235" t="s">
        <v>147</v>
      </c>
    </row>
    <row r="236" spans="1:95" x14ac:dyDescent="0.2">
      <c r="A236" t="s">
        <v>115</v>
      </c>
      <c r="B236" t="s">
        <v>116</v>
      </c>
      <c r="C236">
        <v>210784</v>
      </c>
      <c r="E236" t="s">
        <v>117</v>
      </c>
      <c r="F236">
        <v>368</v>
      </c>
      <c r="G236" t="s">
        <v>141</v>
      </c>
      <c r="H236" t="s">
        <v>142</v>
      </c>
      <c r="I236" t="s">
        <v>279</v>
      </c>
      <c r="J236" t="s">
        <v>280</v>
      </c>
      <c r="L236" t="s">
        <v>852</v>
      </c>
      <c r="M236" s="8">
        <v>45231</v>
      </c>
      <c r="N236">
        <v>5372050</v>
      </c>
      <c r="O236" t="s">
        <v>123</v>
      </c>
      <c r="P236" t="s">
        <v>146</v>
      </c>
      <c r="Q236">
        <v>2.2799999999999998</v>
      </c>
      <c r="R236" t="s">
        <v>125</v>
      </c>
      <c r="S236" t="s">
        <v>126</v>
      </c>
      <c r="T236" t="s">
        <v>125</v>
      </c>
      <c r="U236" t="s">
        <v>126</v>
      </c>
      <c r="W236">
        <v>2.2799999999999998</v>
      </c>
      <c r="Y236">
        <v>2.2799999999999998</v>
      </c>
      <c r="BE236">
        <v>2.2799999999999998</v>
      </c>
      <c r="BH236" t="s">
        <v>126</v>
      </c>
      <c r="BI236" t="s">
        <v>126</v>
      </c>
      <c r="BJ236" t="s">
        <v>126</v>
      </c>
      <c r="BK236" t="s">
        <v>126</v>
      </c>
      <c r="BS236" t="s">
        <v>126</v>
      </c>
      <c r="BT236" t="s">
        <v>126</v>
      </c>
      <c r="BU236" t="s">
        <v>126</v>
      </c>
      <c r="BV236" t="s">
        <v>126</v>
      </c>
      <c r="CN236" t="s">
        <v>147</v>
      </c>
      <c r="CP236" t="s">
        <v>220</v>
      </c>
      <c r="CQ236" t="s">
        <v>147</v>
      </c>
    </row>
    <row r="237" spans="1:95" x14ac:dyDescent="0.2">
      <c r="A237" t="s">
        <v>115</v>
      </c>
      <c r="B237" t="s">
        <v>116</v>
      </c>
      <c r="C237">
        <v>210784</v>
      </c>
      <c r="E237" t="s">
        <v>117</v>
      </c>
      <c r="F237">
        <v>368</v>
      </c>
      <c r="G237" t="s">
        <v>141</v>
      </c>
      <c r="H237" t="s">
        <v>142</v>
      </c>
      <c r="I237" t="s">
        <v>279</v>
      </c>
      <c r="J237" t="s">
        <v>280</v>
      </c>
      <c r="L237" t="s">
        <v>561</v>
      </c>
      <c r="M237" s="8">
        <v>45231</v>
      </c>
      <c r="N237">
        <v>5375684</v>
      </c>
      <c r="O237" t="s">
        <v>123</v>
      </c>
      <c r="P237" t="s">
        <v>146</v>
      </c>
      <c r="Q237">
        <v>2.74</v>
      </c>
      <c r="R237" t="s">
        <v>125</v>
      </c>
      <c r="S237" t="s">
        <v>126</v>
      </c>
      <c r="T237" t="s">
        <v>125</v>
      </c>
      <c r="U237" t="s">
        <v>126</v>
      </c>
      <c r="W237">
        <v>2.74</v>
      </c>
      <c r="Y237">
        <v>2.74</v>
      </c>
      <c r="BE237">
        <v>2.74</v>
      </c>
      <c r="BH237" t="s">
        <v>126</v>
      </c>
      <c r="BI237" t="s">
        <v>126</v>
      </c>
      <c r="BJ237" t="s">
        <v>126</v>
      </c>
      <c r="BK237" t="s">
        <v>126</v>
      </c>
      <c r="BS237" t="s">
        <v>126</v>
      </c>
      <c r="BT237" t="s">
        <v>126</v>
      </c>
      <c r="BU237" t="s">
        <v>126</v>
      </c>
      <c r="BV237" t="s">
        <v>126</v>
      </c>
      <c r="CN237" t="s">
        <v>147</v>
      </c>
      <c r="CP237" t="s">
        <v>220</v>
      </c>
      <c r="CQ237" t="s">
        <v>147</v>
      </c>
    </row>
    <row r="238" spans="1:95" x14ac:dyDescent="0.2">
      <c r="A238" t="s">
        <v>115</v>
      </c>
      <c r="B238" t="s">
        <v>116</v>
      </c>
      <c r="C238">
        <v>210784</v>
      </c>
      <c r="E238" t="s">
        <v>117</v>
      </c>
      <c r="F238">
        <v>368</v>
      </c>
      <c r="G238" t="s">
        <v>141</v>
      </c>
      <c r="H238" t="s">
        <v>142</v>
      </c>
      <c r="I238" t="s">
        <v>204</v>
      </c>
      <c r="J238" t="s">
        <v>205</v>
      </c>
      <c r="L238" t="s">
        <v>217</v>
      </c>
      <c r="M238" s="8">
        <v>45261</v>
      </c>
      <c r="N238">
        <v>95488</v>
      </c>
      <c r="O238" t="s">
        <v>123</v>
      </c>
      <c r="P238" t="s">
        <v>146</v>
      </c>
      <c r="Q238">
        <v>6.6</v>
      </c>
      <c r="R238" t="s">
        <v>125</v>
      </c>
      <c r="S238" t="s">
        <v>126</v>
      </c>
      <c r="T238" t="s">
        <v>125</v>
      </c>
      <c r="U238" t="s">
        <v>126</v>
      </c>
      <c r="W238">
        <v>6.6</v>
      </c>
      <c r="Y238">
        <v>6.6</v>
      </c>
      <c r="AC238">
        <v>6.6</v>
      </c>
      <c r="BH238" t="s">
        <v>126</v>
      </c>
      <c r="BI238" t="s">
        <v>126</v>
      </c>
      <c r="BJ238" t="s">
        <v>126</v>
      </c>
      <c r="BK238" t="s">
        <v>126</v>
      </c>
      <c r="BS238" t="s">
        <v>126</v>
      </c>
      <c r="BT238" t="s">
        <v>126</v>
      </c>
      <c r="BU238" t="s">
        <v>126</v>
      </c>
      <c r="BV238" t="s">
        <v>126</v>
      </c>
      <c r="CN238" t="s">
        <v>147</v>
      </c>
      <c r="CP238" t="s">
        <v>206</v>
      </c>
      <c r="CQ238" t="s">
        <v>147</v>
      </c>
    </row>
    <row r="239" spans="1:95" x14ac:dyDescent="0.2">
      <c r="A239" t="s">
        <v>115</v>
      </c>
      <c r="B239" t="s">
        <v>116</v>
      </c>
      <c r="C239">
        <v>210784</v>
      </c>
      <c r="E239" t="s">
        <v>117</v>
      </c>
      <c r="F239">
        <v>368</v>
      </c>
      <c r="G239" t="s">
        <v>141</v>
      </c>
      <c r="H239" t="s">
        <v>142</v>
      </c>
      <c r="I239" t="s">
        <v>204</v>
      </c>
      <c r="J239" t="s">
        <v>205</v>
      </c>
      <c r="L239" t="s">
        <v>218</v>
      </c>
      <c r="M239" s="8">
        <v>45261</v>
      </c>
      <c r="N239">
        <v>95779</v>
      </c>
      <c r="O239" t="s">
        <v>123</v>
      </c>
      <c r="P239" t="s">
        <v>146</v>
      </c>
      <c r="Q239">
        <v>0.76</v>
      </c>
      <c r="R239" t="s">
        <v>125</v>
      </c>
      <c r="S239" t="s">
        <v>126</v>
      </c>
      <c r="T239" t="s">
        <v>125</v>
      </c>
      <c r="U239" t="s">
        <v>126</v>
      </c>
      <c r="W239">
        <v>0.76</v>
      </c>
      <c r="Y239">
        <v>0.76</v>
      </c>
      <c r="AC239">
        <v>0.76</v>
      </c>
      <c r="BH239" t="s">
        <v>126</v>
      </c>
      <c r="BI239" t="s">
        <v>126</v>
      </c>
      <c r="BJ239" t="s">
        <v>126</v>
      </c>
      <c r="BK239" t="s">
        <v>126</v>
      </c>
      <c r="BS239" t="s">
        <v>126</v>
      </c>
      <c r="BT239" t="s">
        <v>126</v>
      </c>
      <c r="BU239" t="s">
        <v>126</v>
      </c>
      <c r="BV239" t="s">
        <v>126</v>
      </c>
      <c r="CN239" t="s">
        <v>147</v>
      </c>
      <c r="CP239" t="s">
        <v>206</v>
      </c>
      <c r="CQ239" t="s">
        <v>147</v>
      </c>
    </row>
    <row r="240" spans="1:95" x14ac:dyDescent="0.2">
      <c r="A240" t="s">
        <v>115</v>
      </c>
      <c r="B240" t="s">
        <v>116</v>
      </c>
      <c r="C240">
        <v>210784</v>
      </c>
      <c r="E240" t="s">
        <v>117</v>
      </c>
      <c r="F240">
        <v>368</v>
      </c>
      <c r="G240" t="s">
        <v>141</v>
      </c>
      <c r="H240" t="s">
        <v>142</v>
      </c>
      <c r="I240" t="s">
        <v>204</v>
      </c>
      <c r="J240" t="s">
        <v>205</v>
      </c>
      <c r="L240" t="s">
        <v>219</v>
      </c>
      <c r="M240" s="8">
        <v>45261</v>
      </c>
      <c r="N240">
        <v>96160</v>
      </c>
      <c r="O240" t="s">
        <v>123</v>
      </c>
      <c r="P240" t="s">
        <v>146</v>
      </c>
      <c r="Q240">
        <v>4.88</v>
      </c>
      <c r="R240" t="s">
        <v>125</v>
      </c>
      <c r="S240" t="s">
        <v>126</v>
      </c>
      <c r="T240" t="s">
        <v>125</v>
      </c>
      <c r="U240" t="s">
        <v>126</v>
      </c>
      <c r="W240">
        <v>4.88</v>
      </c>
      <c r="Y240">
        <v>4.88</v>
      </c>
      <c r="AC240">
        <v>4.88</v>
      </c>
      <c r="BH240" t="s">
        <v>126</v>
      </c>
      <c r="BI240" t="s">
        <v>126</v>
      </c>
      <c r="BJ240" t="s">
        <v>126</v>
      </c>
      <c r="BK240" t="s">
        <v>126</v>
      </c>
      <c r="BS240" t="s">
        <v>126</v>
      </c>
      <c r="BT240" t="s">
        <v>126</v>
      </c>
      <c r="BU240" t="s">
        <v>126</v>
      </c>
      <c r="BV240" t="s">
        <v>126</v>
      </c>
      <c r="CN240" t="s">
        <v>147</v>
      </c>
      <c r="CP240" t="s">
        <v>206</v>
      </c>
      <c r="CQ240" t="s">
        <v>147</v>
      </c>
    </row>
    <row r="241" spans="1:95" x14ac:dyDescent="0.2">
      <c r="A241" t="s">
        <v>115</v>
      </c>
      <c r="B241" t="s">
        <v>116</v>
      </c>
      <c r="C241">
        <v>210784</v>
      </c>
      <c r="E241" t="s">
        <v>117</v>
      </c>
      <c r="F241">
        <v>368</v>
      </c>
      <c r="G241" t="s">
        <v>141</v>
      </c>
      <c r="H241" t="s">
        <v>142</v>
      </c>
      <c r="I241" t="s">
        <v>279</v>
      </c>
      <c r="J241" t="s">
        <v>280</v>
      </c>
      <c r="L241" t="s">
        <v>219</v>
      </c>
      <c r="M241" s="8">
        <v>45261</v>
      </c>
      <c r="N241">
        <v>5403953</v>
      </c>
      <c r="O241" t="s">
        <v>123</v>
      </c>
      <c r="P241" t="s">
        <v>146</v>
      </c>
      <c r="Q241">
        <v>1.8199999999999998</v>
      </c>
      <c r="R241" t="s">
        <v>569</v>
      </c>
      <c r="S241" t="s">
        <v>126</v>
      </c>
      <c r="T241" t="s">
        <v>569</v>
      </c>
      <c r="U241" t="s">
        <v>570</v>
      </c>
      <c r="W241">
        <v>0.56000000000000005</v>
      </c>
      <c r="X241">
        <v>1.2599999999999998</v>
      </c>
      <c r="Y241">
        <v>1.8199999999999998</v>
      </c>
      <c r="Z241">
        <v>0.69</v>
      </c>
      <c r="AG241">
        <v>0.56000000000000005</v>
      </c>
      <c r="AI241">
        <v>0.56999999999999995</v>
      </c>
      <c r="BH241" t="s">
        <v>126</v>
      </c>
      <c r="BI241" t="s">
        <v>126</v>
      </c>
      <c r="BJ241" t="s">
        <v>126</v>
      </c>
      <c r="BK241" t="s">
        <v>126</v>
      </c>
      <c r="BS241" t="s">
        <v>126</v>
      </c>
      <c r="BT241" t="s">
        <v>126</v>
      </c>
      <c r="BU241" t="s">
        <v>126</v>
      </c>
      <c r="BV241" t="s">
        <v>126</v>
      </c>
      <c r="CN241" t="s">
        <v>147</v>
      </c>
      <c r="CP241" t="s">
        <v>220</v>
      </c>
      <c r="CQ241" t="s">
        <v>147</v>
      </c>
    </row>
    <row r="242" spans="1:95" x14ac:dyDescent="0.2">
      <c r="A242" t="s">
        <v>115</v>
      </c>
      <c r="B242" t="s">
        <v>116</v>
      </c>
      <c r="C242">
        <v>210784</v>
      </c>
      <c r="E242" t="s">
        <v>117</v>
      </c>
      <c r="F242">
        <v>368</v>
      </c>
      <c r="G242" t="s">
        <v>141</v>
      </c>
      <c r="H242" t="s">
        <v>142</v>
      </c>
      <c r="I242" t="s">
        <v>279</v>
      </c>
      <c r="J242" t="s">
        <v>280</v>
      </c>
      <c r="L242" t="s">
        <v>218</v>
      </c>
      <c r="M242" s="8">
        <v>45261</v>
      </c>
      <c r="N242">
        <v>5397028</v>
      </c>
      <c r="O242" t="s">
        <v>123</v>
      </c>
      <c r="P242" t="s">
        <v>146</v>
      </c>
      <c r="Q242">
        <v>2.9200000000000004</v>
      </c>
      <c r="R242" t="s">
        <v>559</v>
      </c>
      <c r="S242" t="s">
        <v>126</v>
      </c>
      <c r="T242" t="s">
        <v>559</v>
      </c>
      <c r="U242" t="s">
        <v>560</v>
      </c>
      <c r="W242">
        <v>0.9</v>
      </c>
      <c r="X242">
        <v>2.02</v>
      </c>
      <c r="Y242">
        <v>2.9200000000000004</v>
      </c>
      <c r="Z242">
        <v>1.1100000000000001</v>
      </c>
      <c r="AG242">
        <v>0.9</v>
      </c>
      <c r="AI242">
        <v>0.91</v>
      </c>
      <c r="BH242" t="s">
        <v>126</v>
      </c>
      <c r="BI242" t="s">
        <v>126</v>
      </c>
      <c r="BJ242" t="s">
        <v>126</v>
      </c>
      <c r="BK242" t="s">
        <v>126</v>
      </c>
      <c r="BS242" t="s">
        <v>126</v>
      </c>
      <c r="BT242" t="s">
        <v>126</v>
      </c>
      <c r="BU242" t="s">
        <v>126</v>
      </c>
      <c r="BV242" t="s">
        <v>126</v>
      </c>
      <c r="CN242" t="s">
        <v>147</v>
      </c>
      <c r="CP242" t="s">
        <v>220</v>
      </c>
      <c r="CQ242" t="s">
        <v>147</v>
      </c>
    </row>
    <row r="243" spans="1:95" x14ac:dyDescent="0.2">
      <c r="A243" t="s">
        <v>115</v>
      </c>
      <c r="B243" t="s">
        <v>116</v>
      </c>
      <c r="C243">
        <v>210784</v>
      </c>
      <c r="E243" t="s">
        <v>117</v>
      </c>
      <c r="F243">
        <v>368</v>
      </c>
      <c r="G243" t="s">
        <v>141</v>
      </c>
      <c r="H243" t="s">
        <v>142</v>
      </c>
      <c r="I243" t="s">
        <v>279</v>
      </c>
      <c r="J243" t="s">
        <v>280</v>
      </c>
      <c r="L243" t="s">
        <v>853</v>
      </c>
      <c r="M243" s="8">
        <v>45261</v>
      </c>
      <c r="N243">
        <v>5396677</v>
      </c>
      <c r="O243" t="s">
        <v>123</v>
      </c>
      <c r="P243" t="s">
        <v>146</v>
      </c>
      <c r="Q243">
        <v>3.88</v>
      </c>
      <c r="R243" t="s">
        <v>125</v>
      </c>
      <c r="S243" t="s">
        <v>126</v>
      </c>
      <c r="T243" t="s">
        <v>125</v>
      </c>
      <c r="U243" t="s">
        <v>126</v>
      </c>
      <c r="W243">
        <v>3.88</v>
      </c>
      <c r="Y243">
        <v>3.88</v>
      </c>
      <c r="BE243">
        <v>3.88</v>
      </c>
      <c r="BH243" t="s">
        <v>126</v>
      </c>
      <c r="BI243" t="s">
        <v>126</v>
      </c>
      <c r="BJ243" t="s">
        <v>126</v>
      </c>
      <c r="BK243" t="s">
        <v>126</v>
      </c>
      <c r="BS243" t="s">
        <v>126</v>
      </c>
      <c r="BT243" t="s">
        <v>126</v>
      </c>
      <c r="BU243" t="s">
        <v>126</v>
      </c>
      <c r="BV243" t="s">
        <v>126</v>
      </c>
      <c r="CN243" t="s">
        <v>147</v>
      </c>
      <c r="CP243" t="s">
        <v>220</v>
      </c>
      <c r="CQ243" t="s">
        <v>147</v>
      </c>
    </row>
    <row r="244" spans="1:95" x14ac:dyDescent="0.2">
      <c r="A244" t="s">
        <v>115</v>
      </c>
      <c r="B244" t="s">
        <v>116</v>
      </c>
      <c r="C244">
        <v>210784</v>
      </c>
      <c r="E244" t="s">
        <v>117</v>
      </c>
      <c r="F244">
        <v>368</v>
      </c>
      <c r="G244" t="s">
        <v>141</v>
      </c>
      <c r="H244" t="s">
        <v>142</v>
      </c>
      <c r="I244" t="s">
        <v>204</v>
      </c>
      <c r="J244" t="s">
        <v>205</v>
      </c>
      <c r="L244" t="s">
        <v>220</v>
      </c>
      <c r="M244" s="8">
        <v>45292</v>
      </c>
      <c r="N244">
        <v>96287</v>
      </c>
      <c r="O244" t="s">
        <v>123</v>
      </c>
      <c r="P244" t="s">
        <v>146</v>
      </c>
      <c r="Q244">
        <v>2.4300000000000002</v>
      </c>
      <c r="R244" t="s">
        <v>125</v>
      </c>
      <c r="S244" t="s">
        <v>126</v>
      </c>
      <c r="T244" t="s">
        <v>125</v>
      </c>
      <c r="U244" t="s">
        <v>126</v>
      </c>
      <c r="W244">
        <v>2.4300000000000002</v>
      </c>
      <c r="Y244">
        <v>2.4300000000000002</v>
      </c>
      <c r="AC244">
        <v>2.4300000000000002</v>
      </c>
      <c r="BH244" t="s">
        <v>126</v>
      </c>
      <c r="BI244" t="s">
        <v>126</v>
      </c>
      <c r="BJ244" t="s">
        <v>126</v>
      </c>
      <c r="BK244" t="s">
        <v>126</v>
      </c>
      <c r="BS244" t="s">
        <v>126</v>
      </c>
      <c r="BT244" t="s">
        <v>126</v>
      </c>
      <c r="BU244" t="s">
        <v>126</v>
      </c>
      <c r="BV244" t="s">
        <v>126</v>
      </c>
      <c r="CN244" t="s">
        <v>147</v>
      </c>
      <c r="CP244" t="s">
        <v>206</v>
      </c>
      <c r="CQ244" t="s">
        <v>147</v>
      </c>
    </row>
    <row r="245" spans="1:95" x14ac:dyDescent="0.2">
      <c r="A245" t="s">
        <v>115</v>
      </c>
      <c r="B245" t="s">
        <v>116</v>
      </c>
      <c r="C245">
        <v>210784</v>
      </c>
      <c r="E245" t="s">
        <v>117</v>
      </c>
      <c r="F245">
        <v>368</v>
      </c>
      <c r="G245" t="s">
        <v>141</v>
      </c>
      <c r="H245" t="s">
        <v>142</v>
      </c>
      <c r="I245" t="s">
        <v>204</v>
      </c>
      <c r="J245" t="s">
        <v>205</v>
      </c>
      <c r="L245" t="s">
        <v>220</v>
      </c>
      <c r="M245" s="8">
        <v>45292</v>
      </c>
      <c r="N245">
        <v>96269</v>
      </c>
      <c r="O245" t="s">
        <v>123</v>
      </c>
      <c r="P245" t="s">
        <v>146</v>
      </c>
      <c r="Q245">
        <v>8.39</v>
      </c>
      <c r="R245" t="s">
        <v>125</v>
      </c>
      <c r="S245" t="s">
        <v>126</v>
      </c>
      <c r="T245" t="s">
        <v>125</v>
      </c>
      <c r="U245" t="s">
        <v>126</v>
      </c>
      <c r="W245">
        <v>8.39</v>
      </c>
      <c r="Y245">
        <v>8.39</v>
      </c>
      <c r="AC245">
        <v>8.39</v>
      </c>
      <c r="BH245" t="s">
        <v>126</v>
      </c>
      <c r="BI245" t="s">
        <v>126</v>
      </c>
      <c r="BJ245" t="s">
        <v>126</v>
      </c>
      <c r="BK245" t="s">
        <v>126</v>
      </c>
      <c r="BS245" t="s">
        <v>126</v>
      </c>
      <c r="BT245" t="s">
        <v>126</v>
      </c>
      <c r="BU245" t="s">
        <v>126</v>
      </c>
      <c r="BV245" t="s">
        <v>126</v>
      </c>
      <c r="CN245" t="s">
        <v>147</v>
      </c>
      <c r="CP245" t="s">
        <v>206</v>
      </c>
      <c r="CQ245" t="s">
        <v>147</v>
      </c>
    </row>
    <row r="246" spans="1:95" x14ac:dyDescent="0.2">
      <c r="A246" t="s">
        <v>115</v>
      </c>
      <c r="B246" t="s">
        <v>116</v>
      </c>
      <c r="C246">
        <v>210784</v>
      </c>
      <c r="E246" t="s">
        <v>117</v>
      </c>
      <c r="F246">
        <v>368</v>
      </c>
      <c r="G246" t="s">
        <v>141</v>
      </c>
      <c r="H246" t="s">
        <v>142</v>
      </c>
      <c r="I246" t="s">
        <v>204</v>
      </c>
      <c r="J246" t="s">
        <v>205</v>
      </c>
      <c r="L246" t="s">
        <v>221</v>
      </c>
      <c r="M246" s="8">
        <v>45292</v>
      </c>
      <c r="N246">
        <v>96523</v>
      </c>
      <c r="O246" t="s">
        <v>123</v>
      </c>
      <c r="P246" t="s">
        <v>146</v>
      </c>
      <c r="Q246">
        <v>8.8699999999999992</v>
      </c>
      <c r="R246" t="s">
        <v>125</v>
      </c>
      <c r="S246" t="s">
        <v>126</v>
      </c>
      <c r="T246" t="s">
        <v>125</v>
      </c>
      <c r="U246" t="s">
        <v>126</v>
      </c>
      <c r="W246">
        <v>8.8699999999999992</v>
      </c>
      <c r="Y246">
        <v>8.8699999999999992</v>
      </c>
      <c r="AC246">
        <v>8.8699999999999992</v>
      </c>
      <c r="BH246" t="s">
        <v>126</v>
      </c>
      <c r="BI246" t="s">
        <v>126</v>
      </c>
      <c r="BJ246" t="s">
        <v>126</v>
      </c>
      <c r="BK246" t="s">
        <v>126</v>
      </c>
      <c r="BS246" t="s">
        <v>126</v>
      </c>
      <c r="BT246" t="s">
        <v>126</v>
      </c>
      <c r="BU246" t="s">
        <v>126</v>
      </c>
      <c r="BV246" t="s">
        <v>126</v>
      </c>
      <c r="CN246" t="s">
        <v>147</v>
      </c>
      <c r="CP246" t="s">
        <v>206</v>
      </c>
      <c r="CQ246" t="s">
        <v>147</v>
      </c>
    </row>
    <row r="247" spans="1:95" x14ac:dyDescent="0.2">
      <c r="A247" t="s">
        <v>115</v>
      </c>
      <c r="B247" t="s">
        <v>116</v>
      </c>
      <c r="C247">
        <v>210784</v>
      </c>
      <c r="E247" t="s">
        <v>117</v>
      </c>
      <c r="F247">
        <v>368</v>
      </c>
      <c r="G247" t="s">
        <v>141</v>
      </c>
      <c r="H247" t="s">
        <v>142</v>
      </c>
      <c r="I247" t="s">
        <v>204</v>
      </c>
      <c r="J247" t="s">
        <v>205</v>
      </c>
      <c r="L247" t="s">
        <v>222</v>
      </c>
      <c r="M247" s="8">
        <v>45292</v>
      </c>
      <c r="N247">
        <v>96429</v>
      </c>
      <c r="O247" t="s">
        <v>123</v>
      </c>
      <c r="P247" t="s">
        <v>146</v>
      </c>
      <c r="Q247">
        <v>3.77</v>
      </c>
      <c r="R247" t="s">
        <v>125</v>
      </c>
      <c r="S247" t="s">
        <v>126</v>
      </c>
      <c r="T247" t="s">
        <v>125</v>
      </c>
      <c r="U247" t="s">
        <v>126</v>
      </c>
      <c r="W247">
        <v>3.77</v>
      </c>
      <c r="Y247">
        <v>3.77</v>
      </c>
      <c r="AC247">
        <v>3.77</v>
      </c>
      <c r="BH247" t="s">
        <v>126</v>
      </c>
      <c r="BI247" t="s">
        <v>126</v>
      </c>
      <c r="BJ247" t="s">
        <v>126</v>
      </c>
      <c r="BK247" t="s">
        <v>126</v>
      </c>
      <c r="BS247" t="s">
        <v>126</v>
      </c>
      <c r="BT247" t="s">
        <v>126</v>
      </c>
      <c r="BU247" t="s">
        <v>126</v>
      </c>
      <c r="BV247" t="s">
        <v>126</v>
      </c>
      <c r="CN247" t="s">
        <v>147</v>
      </c>
      <c r="CP247" t="s">
        <v>206</v>
      </c>
      <c r="CQ247" t="s">
        <v>147</v>
      </c>
    </row>
    <row r="248" spans="1:95" x14ac:dyDescent="0.2">
      <c r="A248" t="s">
        <v>115</v>
      </c>
      <c r="B248" t="s">
        <v>116</v>
      </c>
      <c r="C248">
        <v>210784</v>
      </c>
      <c r="E248" t="s">
        <v>117</v>
      </c>
      <c r="F248">
        <v>368</v>
      </c>
      <c r="G248" t="s">
        <v>141</v>
      </c>
      <c r="H248" t="s">
        <v>142</v>
      </c>
      <c r="I248" t="s">
        <v>204</v>
      </c>
      <c r="J248" t="s">
        <v>205</v>
      </c>
      <c r="L248" t="s">
        <v>223</v>
      </c>
      <c r="M248" s="8">
        <v>45292</v>
      </c>
      <c r="N248">
        <v>96611</v>
      </c>
      <c r="O248" t="s">
        <v>123</v>
      </c>
      <c r="P248" t="s">
        <v>146</v>
      </c>
      <c r="Q248">
        <v>8.59</v>
      </c>
      <c r="R248" t="s">
        <v>125</v>
      </c>
      <c r="S248" t="s">
        <v>126</v>
      </c>
      <c r="T248" t="s">
        <v>125</v>
      </c>
      <c r="U248" t="s">
        <v>126</v>
      </c>
      <c r="W248">
        <v>8.59</v>
      </c>
      <c r="Y248">
        <v>8.59</v>
      </c>
      <c r="AC248">
        <v>8.59</v>
      </c>
      <c r="BH248" t="s">
        <v>126</v>
      </c>
      <c r="BI248" t="s">
        <v>126</v>
      </c>
      <c r="BJ248" t="s">
        <v>126</v>
      </c>
      <c r="BK248" t="s">
        <v>126</v>
      </c>
      <c r="BS248" t="s">
        <v>126</v>
      </c>
      <c r="BT248" t="s">
        <v>126</v>
      </c>
      <c r="BU248" t="s">
        <v>126</v>
      </c>
      <c r="BV248" t="s">
        <v>126</v>
      </c>
      <c r="CN248" t="s">
        <v>147</v>
      </c>
      <c r="CP248" t="s">
        <v>206</v>
      </c>
      <c r="CQ248" t="s">
        <v>147</v>
      </c>
    </row>
    <row r="249" spans="1:95" x14ac:dyDescent="0.2">
      <c r="A249" t="s">
        <v>115</v>
      </c>
      <c r="B249" t="s">
        <v>116</v>
      </c>
      <c r="C249">
        <v>210784</v>
      </c>
      <c r="E249" t="s">
        <v>117</v>
      </c>
      <c r="F249">
        <v>368</v>
      </c>
      <c r="G249" t="s">
        <v>141</v>
      </c>
      <c r="H249" t="s">
        <v>142</v>
      </c>
      <c r="I249" t="s">
        <v>204</v>
      </c>
      <c r="J249" t="s">
        <v>205</v>
      </c>
      <c r="L249" t="s">
        <v>224</v>
      </c>
      <c r="M249" s="8">
        <v>45292</v>
      </c>
      <c r="N249">
        <v>96659</v>
      </c>
      <c r="O249" t="s">
        <v>123</v>
      </c>
      <c r="P249" t="s">
        <v>146</v>
      </c>
      <c r="Q249">
        <v>8</v>
      </c>
      <c r="R249" t="s">
        <v>125</v>
      </c>
      <c r="S249" t="s">
        <v>126</v>
      </c>
      <c r="T249" t="s">
        <v>125</v>
      </c>
      <c r="U249" t="s">
        <v>126</v>
      </c>
      <c r="W249">
        <v>8</v>
      </c>
      <c r="Y249">
        <v>8</v>
      </c>
      <c r="AC249">
        <v>8</v>
      </c>
      <c r="BH249" t="s">
        <v>126</v>
      </c>
      <c r="BI249" t="s">
        <v>126</v>
      </c>
      <c r="BJ249" t="s">
        <v>126</v>
      </c>
      <c r="BK249" t="s">
        <v>126</v>
      </c>
      <c r="BS249" t="s">
        <v>126</v>
      </c>
      <c r="BT249" t="s">
        <v>126</v>
      </c>
      <c r="BU249" t="s">
        <v>126</v>
      </c>
      <c r="BV249" t="s">
        <v>126</v>
      </c>
      <c r="CN249" t="s">
        <v>147</v>
      </c>
      <c r="CP249" t="s">
        <v>206</v>
      </c>
      <c r="CQ249" t="s">
        <v>147</v>
      </c>
    </row>
    <row r="250" spans="1:95" x14ac:dyDescent="0.2">
      <c r="A250" t="s">
        <v>115</v>
      </c>
      <c r="B250" t="s">
        <v>116</v>
      </c>
      <c r="C250">
        <v>210784</v>
      </c>
      <c r="E250" t="s">
        <v>117</v>
      </c>
      <c r="F250">
        <v>368</v>
      </c>
      <c r="G250" t="s">
        <v>141</v>
      </c>
      <c r="H250" t="s">
        <v>142</v>
      </c>
      <c r="I250" t="s">
        <v>204</v>
      </c>
      <c r="J250" t="s">
        <v>205</v>
      </c>
      <c r="L250" t="s">
        <v>225</v>
      </c>
      <c r="M250" s="8">
        <v>45292</v>
      </c>
      <c r="N250">
        <v>96983</v>
      </c>
      <c r="O250" t="s">
        <v>123</v>
      </c>
      <c r="P250" t="s">
        <v>146</v>
      </c>
      <c r="Q250">
        <v>7.66</v>
      </c>
      <c r="R250" t="s">
        <v>125</v>
      </c>
      <c r="S250" t="s">
        <v>126</v>
      </c>
      <c r="T250" t="s">
        <v>125</v>
      </c>
      <c r="U250" t="s">
        <v>126</v>
      </c>
      <c r="W250">
        <v>7.66</v>
      </c>
      <c r="Y250">
        <v>7.66</v>
      </c>
      <c r="AC250">
        <v>7.66</v>
      </c>
      <c r="BH250" t="s">
        <v>126</v>
      </c>
      <c r="BI250" t="s">
        <v>126</v>
      </c>
      <c r="BJ250" t="s">
        <v>126</v>
      </c>
      <c r="BK250" t="s">
        <v>126</v>
      </c>
      <c r="BS250" t="s">
        <v>126</v>
      </c>
      <c r="BT250" t="s">
        <v>126</v>
      </c>
      <c r="BU250" t="s">
        <v>126</v>
      </c>
      <c r="BV250" t="s">
        <v>126</v>
      </c>
      <c r="CN250" t="s">
        <v>147</v>
      </c>
      <c r="CP250" t="s">
        <v>206</v>
      </c>
      <c r="CQ250" t="s">
        <v>147</v>
      </c>
    </row>
    <row r="251" spans="1:95" x14ac:dyDescent="0.2">
      <c r="A251" t="s">
        <v>115</v>
      </c>
      <c r="B251" t="s">
        <v>116</v>
      </c>
      <c r="C251">
        <v>210784</v>
      </c>
      <c r="E251" t="s">
        <v>117</v>
      </c>
      <c r="F251">
        <v>368</v>
      </c>
      <c r="G251" t="s">
        <v>176</v>
      </c>
      <c r="H251" t="s">
        <v>177</v>
      </c>
      <c r="I251" t="s">
        <v>510</v>
      </c>
      <c r="J251" t="s">
        <v>511</v>
      </c>
      <c r="L251" t="s">
        <v>512</v>
      </c>
      <c r="M251" s="8">
        <v>45292</v>
      </c>
      <c r="N251">
        <v>342025</v>
      </c>
      <c r="O251" t="s">
        <v>123</v>
      </c>
      <c r="P251" t="s">
        <v>124</v>
      </c>
      <c r="Q251">
        <v>1.96</v>
      </c>
      <c r="R251" t="s">
        <v>125</v>
      </c>
      <c r="S251" t="s">
        <v>126</v>
      </c>
      <c r="T251" t="s">
        <v>125</v>
      </c>
      <c r="U251" t="s">
        <v>126</v>
      </c>
      <c r="W251">
        <v>1.96</v>
      </c>
      <c r="Y251">
        <v>1.96</v>
      </c>
      <c r="AF251">
        <v>1.96</v>
      </c>
      <c r="BH251" t="s">
        <v>126</v>
      </c>
      <c r="BI251" t="s">
        <v>126</v>
      </c>
      <c r="BJ251" t="s">
        <v>126</v>
      </c>
      <c r="BK251" t="s">
        <v>126</v>
      </c>
      <c r="BS251" t="s">
        <v>126</v>
      </c>
      <c r="BT251" t="s">
        <v>126</v>
      </c>
      <c r="BU251" t="s">
        <v>126</v>
      </c>
      <c r="BV251" t="s">
        <v>126</v>
      </c>
      <c r="CN251" t="s">
        <v>181</v>
      </c>
      <c r="CP251" t="s">
        <v>360</v>
      </c>
      <c r="CQ251" t="s">
        <v>181</v>
      </c>
    </row>
    <row r="252" spans="1:95" x14ac:dyDescent="0.2">
      <c r="A252" t="s">
        <v>115</v>
      </c>
      <c r="B252" t="s">
        <v>116</v>
      </c>
      <c r="C252">
        <v>210784</v>
      </c>
      <c r="E252" t="s">
        <v>117</v>
      </c>
      <c r="F252">
        <v>368</v>
      </c>
      <c r="G252" t="s">
        <v>141</v>
      </c>
      <c r="H252" t="s">
        <v>142</v>
      </c>
      <c r="I252" t="s">
        <v>284</v>
      </c>
      <c r="J252" t="s">
        <v>285</v>
      </c>
      <c r="L252" t="s">
        <v>222</v>
      </c>
      <c r="M252" s="8">
        <v>45292</v>
      </c>
      <c r="N252">
        <v>98576</v>
      </c>
      <c r="O252" t="s">
        <v>123</v>
      </c>
      <c r="P252" t="s">
        <v>146</v>
      </c>
      <c r="Q252">
        <v>6.06</v>
      </c>
      <c r="R252" t="s">
        <v>125</v>
      </c>
      <c r="S252" t="s">
        <v>126</v>
      </c>
      <c r="T252" t="s">
        <v>125</v>
      </c>
      <c r="U252" t="s">
        <v>126</v>
      </c>
      <c r="W252">
        <v>6.06</v>
      </c>
      <c r="Y252">
        <v>6.06</v>
      </c>
      <c r="AG252">
        <v>0.60599999999999998</v>
      </c>
      <c r="BE252">
        <v>5.4539999999999997</v>
      </c>
      <c r="BH252" t="s">
        <v>126</v>
      </c>
      <c r="BI252" t="s">
        <v>126</v>
      </c>
      <c r="BJ252" t="s">
        <v>126</v>
      </c>
      <c r="BK252" t="s">
        <v>126</v>
      </c>
      <c r="BS252" t="s">
        <v>126</v>
      </c>
      <c r="BT252" t="s">
        <v>126</v>
      </c>
      <c r="BU252" t="s">
        <v>126</v>
      </c>
      <c r="BV252" t="s">
        <v>126</v>
      </c>
      <c r="CN252" t="s">
        <v>147</v>
      </c>
      <c r="CP252" t="s">
        <v>576</v>
      </c>
      <c r="CQ252" t="s">
        <v>147</v>
      </c>
    </row>
    <row r="253" spans="1:95" x14ac:dyDescent="0.2">
      <c r="A253" t="s">
        <v>115</v>
      </c>
      <c r="B253" t="s">
        <v>116</v>
      </c>
      <c r="C253">
        <v>210784</v>
      </c>
      <c r="E253" t="s">
        <v>117</v>
      </c>
      <c r="F253">
        <v>368</v>
      </c>
      <c r="G253" t="s">
        <v>141</v>
      </c>
      <c r="H253" t="s">
        <v>142</v>
      </c>
      <c r="I253" t="s">
        <v>279</v>
      </c>
      <c r="J253" t="s">
        <v>280</v>
      </c>
      <c r="L253" t="s">
        <v>222</v>
      </c>
      <c r="M253" s="8">
        <v>45292</v>
      </c>
      <c r="N253">
        <v>5409006</v>
      </c>
      <c r="O253" t="s">
        <v>123</v>
      </c>
      <c r="P253" t="s">
        <v>146</v>
      </c>
      <c r="Q253">
        <v>2.36</v>
      </c>
      <c r="R253" t="s">
        <v>577</v>
      </c>
      <c r="S253" t="s">
        <v>126</v>
      </c>
      <c r="T253" t="s">
        <v>577</v>
      </c>
      <c r="U253" t="s">
        <v>578</v>
      </c>
      <c r="W253">
        <v>0.73</v>
      </c>
      <c r="X253">
        <v>1.63</v>
      </c>
      <c r="Y253">
        <v>2.36</v>
      </c>
      <c r="Z253">
        <v>0.9</v>
      </c>
      <c r="AG253">
        <v>0.73</v>
      </c>
      <c r="AI253">
        <v>0.73</v>
      </c>
      <c r="BH253" t="s">
        <v>126</v>
      </c>
      <c r="BI253" t="s">
        <v>126</v>
      </c>
      <c r="BJ253" t="s">
        <v>126</v>
      </c>
      <c r="BK253" t="s">
        <v>126</v>
      </c>
      <c r="BS253" t="s">
        <v>126</v>
      </c>
      <c r="BT253" t="s">
        <v>126</v>
      </c>
      <c r="BU253" t="s">
        <v>126</v>
      </c>
      <c r="BV253" t="s">
        <v>126</v>
      </c>
      <c r="CN253" t="s">
        <v>147</v>
      </c>
      <c r="CP253" t="s">
        <v>576</v>
      </c>
      <c r="CQ253" t="s">
        <v>147</v>
      </c>
    </row>
    <row r="254" spans="1:95" x14ac:dyDescent="0.2">
      <c r="A254" t="s">
        <v>115</v>
      </c>
      <c r="B254" t="s">
        <v>116</v>
      </c>
      <c r="C254">
        <v>210784</v>
      </c>
      <c r="E254" t="s">
        <v>117</v>
      </c>
      <c r="F254">
        <v>368</v>
      </c>
      <c r="G254" t="s">
        <v>141</v>
      </c>
      <c r="H254" t="s">
        <v>142</v>
      </c>
      <c r="I254" t="s">
        <v>279</v>
      </c>
      <c r="J254" t="s">
        <v>280</v>
      </c>
      <c r="L254" t="s">
        <v>579</v>
      </c>
      <c r="M254" s="8">
        <v>45292</v>
      </c>
      <c r="N254">
        <v>5415494</v>
      </c>
      <c r="O254" t="s">
        <v>123</v>
      </c>
      <c r="P254" t="s">
        <v>146</v>
      </c>
      <c r="Q254">
        <v>3.05</v>
      </c>
      <c r="R254" t="s">
        <v>559</v>
      </c>
      <c r="S254" t="s">
        <v>126</v>
      </c>
      <c r="T254" t="s">
        <v>559</v>
      </c>
      <c r="U254" t="s">
        <v>560</v>
      </c>
      <c r="W254">
        <v>0.94</v>
      </c>
      <c r="X254">
        <v>2.11</v>
      </c>
      <c r="Y254">
        <v>3.05</v>
      </c>
      <c r="Z254">
        <v>1.1599999999999999</v>
      </c>
      <c r="AG254">
        <v>0.94</v>
      </c>
      <c r="AI254">
        <v>0.95</v>
      </c>
      <c r="BH254" t="s">
        <v>126</v>
      </c>
      <c r="BI254" t="s">
        <v>126</v>
      </c>
      <c r="BJ254" t="s">
        <v>126</v>
      </c>
      <c r="BK254" t="s">
        <v>126</v>
      </c>
      <c r="BS254" t="s">
        <v>126</v>
      </c>
      <c r="BT254" t="s">
        <v>126</v>
      </c>
      <c r="BU254" t="s">
        <v>126</v>
      </c>
      <c r="BV254" t="s">
        <v>126</v>
      </c>
      <c r="CN254" t="s">
        <v>147</v>
      </c>
      <c r="CP254" t="s">
        <v>576</v>
      </c>
      <c r="CQ254" t="s">
        <v>147</v>
      </c>
    </row>
    <row r="255" spans="1:95" x14ac:dyDescent="0.2">
      <c r="A255" t="s">
        <v>115</v>
      </c>
      <c r="B255" t="s">
        <v>116</v>
      </c>
      <c r="C255">
        <v>210784</v>
      </c>
      <c r="E255" t="s">
        <v>117</v>
      </c>
      <c r="F255">
        <v>368</v>
      </c>
      <c r="G255" t="s">
        <v>141</v>
      </c>
      <c r="H255" t="s">
        <v>142</v>
      </c>
      <c r="I255" t="s">
        <v>279</v>
      </c>
      <c r="J255" t="s">
        <v>280</v>
      </c>
      <c r="L255" t="s">
        <v>580</v>
      </c>
      <c r="M255" s="8">
        <v>45292</v>
      </c>
      <c r="N255">
        <v>5418288</v>
      </c>
      <c r="O255" t="s">
        <v>123</v>
      </c>
      <c r="P255" t="s">
        <v>146</v>
      </c>
      <c r="Q255">
        <v>3.09</v>
      </c>
      <c r="R255" t="s">
        <v>581</v>
      </c>
      <c r="S255" t="s">
        <v>126</v>
      </c>
      <c r="T255" t="s">
        <v>581</v>
      </c>
      <c r="U255" t="s">
        <v>582</v>
      </c>
      <c r="W255">
        <v>0.95</v>
      </c>
      <c r="X255">
        <v>2.1399999999999997</v>
      </c>
      <c r="Y255">
        <v>3.09</v>
      </c>
      <c r="Z255">
        <v>1.18</v>
      </c>
      <c r="AG255">
        <v>0.95</v>
      </c>
      <c r="AI255">
        <v>0.96</v>
      </c>
      <c r="BH255" t="s">
        <v>126</v>
      </c>
      <c r="BI255" t="s">
        <v>126</v>
      </c>
      <c r="BJ255" t="s">
        <v>126</v>
      </c>
      <c r="BK255" t="s">
        <v>126</v>
      </c>
      <c r="BS255" t="s">
        <v>126</v>
      </c>
      <c r="BT255" t="s">
        <v>126</v>
      </c>
      <c r="BU255" t="s">
        <v>126</v>
      </c>
      <c r="BV255" t="s">
        <v>126</v>
      </c>
      <c r="CN255" t="s">
        <v>147</v>
      </c>
      <c r="CP255" t="s">
        <v>576</v>
      </c>
      <c r="CQ255" t="s">
        <v>147</v>
      </c>
    </row>
    <row r="256" spans="1:95" x14ac:dyDescent="0.2">
      <c r="A256" t="s">
        <v>115</v>
      </c>
      <c r="B256" t="s">
        <v>116</v>
      </c>
      <c r="C256">
        <v>210784</v>
      </c>
      <c r="E256" t="s">
        <v>117</v>
      </c>
      <c r="F256">
        <v>368</v>
      </c>
      <c r="G256" t="s">
        <v>141</v>
      </c>
      <c r="H256" t="s">
        <v>142</v>
      </c>
      <c r="I256" t="s">
        <v>279</v>
      </c>
      <c r="J256" t="s">
        <v>280</v>
      </c>
      <c r="L256" t="s">
        <v>206</v>
      </c>
      <c r="M256" s="8">
        <v>45292</v>
      </c>
      <c r="N256">
        <v>5422927</v>
      </c>
      <c r="O256" t="s">
        <v>123</v>
      </c>
      <c r="P256" t="s">
        <v>146</v>
      </c>
      <c r="Q256">
        <v>3.2800000000000002</v>
      </c>
      <c r="R256" t="s">
        <v>125</v>
      </c>
      <c r="S256" t="s">
        <v>126</v>
      </c>
      <c r="T256" t="s">
        <v>125</v>
      </c>
      <c r="U256" t="s">
        <v>126</v>
      </c>
      <c r="W256">
        <v>3.2800000000000002</v>
      </c>
      <c r="Y256">
        <v>3.2800000000000002</v>
      </c>
      <c r="AG256">
        <v>2.3416000000000001</v>
      </c>
      <c r="AY256">
        <v>0.93840000000000001</v>
      </c>
      <c r="BH256" t="s">
        <v>126</v>
      </c>
      <c r="BI256" t="s">
        <v>126</v>
      </c>
      <c r="BJ256" t="s">
        <v>126</v>
      </c>
      <c r="BK256" t="s">
        <v>126</v>
      </c>
      <c r="BS256" t="s">
        <v>126</v>
      </c>
      <c r="BT256" t="s">
        <v>126</v>
      </c>
      <c r="BU256" t="s">
        <v>126</v>
      </c>
      <c r="BV256" t="s">
        <v>126</v>
      </c>
      <c r="CN256" t="s">
        <v>147</v>
      </c>
      <c r="CP256" t="s">
        <v>227</v>
      </c>
      <c r="CQ256" t="s">
        <v>147</v>
      </c>
    </row>
    <row r="257" spans="1:95" x14ac:dyDescent="0.2">
      <c r="A257" t="s">
        <v>115</v>
      </c>
      <c r="B257" t="s">
        <v>116</v>
      </c>
      <c r="C257">
        <v>210784</v>
      </c>
      <c r="E257" t="s">
        <v>117</v>
      </c>
      <c r="F257">
        <v>368</v>
      </c>
      <c r="G257" t="s">
        <v>141</v>
      </c>
      <c r="H257" t="s">
        <v>142</v>
      </c>
      <c r="I257" t="s">
        <v>279</v>
      </c>
      <c r="J257" t="s">
        <v>280</v>
      </c>
      <c r="L257" t="s">
        <v>854</v>
      </c>
      <c r="M257" s="8">
        <v>45292</v>
      </c>
      <c r="N257">
        <v>5410968</v>
      </c>
      <c r="O257" t="s">
        <v>123</v>
      </c>
      <c r="P257" t="s">
        <v>146</v>
      </c>
      <c r="Q257">
        <v>1.52</v>
      </c>
      <c r="R257" t="s">
        <v>125</v>
      </c>
      <c r="S257" t="s">
        <v>126</v>
      </c>
      <c r="T257" t="s">
        <v>125</v>
      </c>
      <c r="U257" t="s">
        <v>126</v>
      </c>
      <c r="W257">
        <v>1.52</v>
      </c>
      <c r="Y257">
        <v>1.52</v>
      </c>
      <c r="BE257">
        <v>1.52</v>
      </c>
      <c r="BH257" t="s">
        <v>126</v>
      </c>
      <c r="BI257" t="s">
        <v>126</v>
      </c>
      <c r="BJ257" t="s">
        <v>126</v>
      </c>
      <c r="BK257" t="s">
        <v>126</v>
      </c>
      <c r="BS257" t="s">
        <v>126</v>
      </c>
      <c r="BT257" t="s">
        <v>126</v>
      </c>
      <c r="BU257" t="s">
        <v>126</v>
      </c>
      <c r="BV257" t="s">
        <v>126</v>
      </c>
      <c r="CN257" t="s">
        <v>147</v>
      </c>
      <c r="CP257" t="s">
        <v>576</v>
      </c>
      <c r="CQ257" t="s">
        <v>147</v>
      </c>
    </row>
    <row r="258" spans="1:95" x14ac:dyDescent="0.2">
      <c r="A258" t="s">
        <v>115</v>
      </c>
      <c r="B258" t="s">
        <v>116</v>
      </c>
      <c r="C258">
        <v>210784</v>
      </c>
      <c r="E258" t="s">
        <v>117</v>
      </c>
      <c r="F258">
        <v>368</v>
      </c>
      <c r="G258" t="s">
        <v>141</v>
      </c>
      <c r="H258" t="s">
        <v>142</v>
      </c>
      <c r="I258" t="s">
        <v>279</v>
      </c>
      <c r="J258" t="s">
        <v>280</v>
      </c>
      <c r="L258" t="s">
        <v>855</v>
      </c>
      <c r="M258" s="8">
        <v>45292</v>
      </c>
      <c r="N258">
        <v>5413482</v>
      </c>
      <c r="O258" t="s">
        <v>123</v>
      </c>
      <c r="P258" t="s">
        <v>146</v>
      </c>
      <c r="Q258">
        <v>4.72</v>
      </c>
      <c r="R258" t="s">
        <v>125</v>
      </c>
      <c r="S258" t="s">
        <v>126</v>
      </c>
      <c r="T258" t="s">
        <v>125</v>
      </c>
      <c r="U258" t="s">
        <v>126</v>
      </c>
      <c r="W258">
        <v>4.72</v>
      </c>
      <c r="Y258">
        <v>4.72</v>
      </c>
      <c r="BE258">
        <v>4.72</v>
      </c>
      <c r="BH258" t="s">
        <v>126</v>
      </c>
      <c r="BI258" t="s">
        <v>126</v>
      </c>
      <c r="BJ258" t="s">
        <v>126</v>
      </c>
      <c r="BK258" t="s">
        <v>126</v>
      </c>
      <c r="BS258" t="s">
        <v>126</v>
      </c>
      <c r="BT258" t="s">
        <v>126</v>
      </c>
      <c r="BU258" t="s">
        <v>126</v>
      </c>
      <c r="BV258" t="s">
        <v>126</v>
      </c>
      <c r="CN258" t="s">
        <v>147</v>
      </c>
      <c r="CP258" t="s">
        <v>576</v>
      </c>
      <c r="CQ258" t="s">
        <v>147</v>
      </c>
    </row>
    <row r="259" spans="1:95" x14ac:dyDescent="0.2">
      <c r="A259" t="s">
        <v>115</v>
      </c>
      <c r="B259" t="s">
        <v>116</v>
      </c>
      <c r="C259">
        <v>210784</v>
      </c>
      <c r="E259" t="s">
        <v>117</v>
      </c>
      <c r="F259">
        <v>368</v>
      </c>
      <c r="G259" t="s">
        <v>141</v>
      </c>
      <c r="H259" t="s">
        <v>142</v>
      </c>
      <c r="I259" t="s">
        <v>279</v>
      </c>
      <c r="J259" t="s">
        <v>280</v>
      </c>
      <c r="L259" t="s">
        <v>855</v>
      </c>
      <c r="M259" s="8">
        <v>45292</v>
      </c>
      <c r="N259">
        <v>5413378</v>
      </c>
      <c r="O259" t="s">
        <v>123</v>
      </c>
      <c r="P259" t="s">
        <v>146</v>
      </c>
      <c r="Q259">
        <v>2.29</v>
      </c>
      <c r="R259" t="s">
        <v>125</v>
      </c>
      <c r="S259" t="s">
        <v>126</v>
      </c>
      <c r="T259" t="s">
        <v>125</v>
      </c>
      <c r="U259" t="s">
        <v>126</v>
      </c>
      <c r="W259">
        <v>2.29</v>
      </c>
      <c r="Y259">
        <v>2.29</v>
      </c>
      <c r="BE259">
        <v>2.29</v>
      </c>
      <c r="BH259" t="s">
        <v>126</v>
      </c>
      <c r="BI259" t="s">
        <v>126</v>
      </c>
      <c r="BJ259" t="s">
        <v>126</v>
      </c>
      <c r="BK259" t="s">
        <v>126</v>
      </c>
      <c r="BS259" t="s">
        <v>126</v>
      </c>
      <c r="BT259" t="s">
        <v>126</v>
      </c>
      <c r="BU259" t="s">
        <v>126</v>
      </c>
      <c r="BV259" t="s">
        <v>126</v>
      </c>
      <c r="CN259" t="s">
        <v>147</v>
      </c>
      <c r="CP259" t="s">
        <v>576</v>
      </c>
      <c r="CQ259" t="s">
        <v>147</v>
      </c>
    </row>
    <row r="260" spans="1:95" x14ac:dyDescent="0.2">
      <c r="A260" t="s">
        <v>115</v>
      </c>
      <c r="B260" t="s">
        <v>116</v>
      </c>
      <c r="C260">
        <v>210784</v>
      </c>
      <c r="E260" t="s">
        <v>117</v>
      </c>
      <c r="F260">
        <v>368</v>
      </c>
      <c r="G260" t="s">
        <v>141</v>
      </c>
      <c r="H260" t="s">
        <v>142</v>
      </c>
      <c r="I260" t="s">
        <v>279</v>
      </c>
      <c r="J260" t="s">
        <v>280</v>
      </c>
      <c r="L260" t="s">
        <v>579</v>
      </c>
      <c r="M260" s="8">
        <v>45292</v>
      </c>
      <c r="N260">
        <v>5415388</v>
      </c>
      <c r="O260" t="s">
        <v>123</v>
      </c>
      <c r="P260" t="s">
        <v>146</v>
      </c>
      <c r="Q260">
        <v>6.93</v>
      </c>
      <c r="R260" t="s">
        <v>125</v>
      </c>
      <c r="S260" t="s">
        <v>126</v>
      </c>
      <c r="T260" t="s">
        <v>125</v>
      </c>
      <c r="U260" t="s">
        <v>126</v>
      </c>
      <c r="W260">
        <v>6.93</v>
      </c>
      <c r="Y260">
        <v>6.93</v>
      </c>
      <c r="BE260">
        <v>6.93</v>
      </c>
      <c r="BH260" t="s">
        <v>126</v>
      </c>
      <c r="BI260" t="s">
        <v>126</v>
      </c>
      <c r="BJ260" t="s">
        <v>126</v>
      </c>
      <c r="BK260" t="s">
        <v>126</v>
      </c>
      <c r="BS260" t="s">
        <v>126</v>
      </c>
      <c r="BT260" t="s">
        <v>126</v>
      </c>
      <c r="BU260" t="s">
        <v>126</v>
      </c>
      <c r="BV260" t="s">
        <v>126</v>
      </c>
      <c r="CN260" t="s">
        <v>147</v>
      </c>
      <c r="CP260" t="s">
        <v>576</v>
      </c>
      <c r="CQ260" t="s">
        <v>147</v>
      </c>
    </row>
    <row r="261" spans="1:95" x14ac:dyDescent="0.2">
      <c r="A261" t="s">
        <v>115</v>
      </c>
      <c r="B261" t="s">
        <v>116</v>
      </c>
      <c r="C261">
        <v>210784</v>
      </c>
      <c r="E261" t="s">
        <v>117</v>
      </c>
      <c r="F261">
        <v>368</v>
      </c>
      <c r="G261" t="s">
        <v>141</v>
      </c>
      <c r="H261" t="s">
        <v>142</v>
      </c>
      <c r="I261" t="s">
        <v>279</v>
      </c>
      <c r="J261" t="s">
        <v>280</v>
      </c>
      <c r="L261" t="s">
        <v>856</v>
      </c>
      <c r="M261" s="8">
        <v>45292</v>
      </c>
      <c r="N261">
        <v>5418042</v>
      </c>
      <c r="O261" t="s">
        <v>123</v>
      </c>
      <c r="P261" t="s">
        <v>146</v>
      </c>
      <c r="Q261">
        <v>4.04</v>
      </c>
      <c r="R261" t="s">
        <v>125</v>
      </c>
      <c r="S261" t="s">
        <v>126</v>
      </c>
      <c r="T261" t="s">
        <v>125</v>
      </c>
      <c r="U261" t="s">
        <v>126</v>
      </c>
      <c r="W261">
        <v>4.04</v>
      </c>
      <c r="Y261">
        <v>4.04</v>
      </c>
      <c r="BE261">
        <v>4.04</v>
      </c>
      <c r="BH261" t="s">
        <v>126</v>
      </c>
      <c r="BI261" t="s">
        <v>126</v>
      </c>
      <c r="BJ261" t="s">
        <v>126</v>
      </c>
      <c r="BK261" t="s">
        <v>126</v>
      </c>
      <c r="BS261" t="s">
        <v>126</v>
      </c>
      <c r="BT261" t="s">
        <v>126</v>
      </c>
      <c r="BU261" t="s">
        <v>126</v>
      </c>
      <c r="BV261" t="s">
        <v>126</v>
      </c>
      <c r="CN261" t="s">
        <v>147</v>
      </c>
      <c r="CP261" t="s">
        <v>576</v>
      </c>
      <c r="CQ261" t="s">
        <v>147</v>
      </c>
    </row>
    <row r="262" spans="1:95" x14ac:dyDescent="0.2">
      <c r="A262" t="s">
        <v>115</v>
      </c>
      <c r="B262" t="s">
        <v>116</v>
      </c>
      <c r="C262">
        <v>210784</v>
      </c>
      <c r="E262" t="s">
        <v>117</v>
      </c>
      <c r="F262">
        <v>368</v>
      </c>
      <c r="G262" t="s">
        <v>141</v>
      </c>
      <c r="H262" t="s">
        <v>142</v>
      </c>
      <c r="I262" t="s">
        <v>279</v>
      </c>
      <c r="J262" t="s">
        <v>280</v>
      </c>
      <c r="L262" t="s">
        <v>857</v>
      </c>
      <c r="M262" s="8">
        <v>45292</v>
      </c>
      <c r="N262">
        <v>5420399</v>
      </c>
      <c r="O262" t="s">
        <v>123</v>
      </c>
      <c r="P262" t="s">
        <v>146</v>
      </c>
      <c r="Q262">
        <v>1.9</v>
      </c>
      <c r="R262" t="s">
        <v>125</v>
      </c>
      <c r="S262" t="s">
        <v>126</v>
      </c>
      <c r="T262" t="s">
        <v>125</v>
      </c>
      <c r="U262" t="s">
        <v>126</v>
      </c>
      <c r="W262">
        <v>1.9</v>
      </c>
      <c r="Y262">
        <v>1.9</v>
      </c>
      <c r="BE262">
        <v>1.9</v>
      </c>
      <c r="BH262" t="s">
        <v>126</v>
      </c>
      <c r="BI262" t="s">
        <v>126</v>
      </c>
      <c r="BJ262" t="s">
        <v>126</v>
      </c>
      <c r="BK262" t="s">
        <v>126</v>
      </c>
      <c r="BS262" t="s">
        <v>126</v>
      </c>
      <c r="BT262" t="s">
        <v>126</v>
      </c>
      <c r="BU262" t="s">
        <v>126</v>
      </c>
      <c r="BV262" t="s">
        <v>126</v>
      </c>
      <c r="CN262" t="s">
        <v>147</v>
      </c>
      <c r="CP262" t="s">
        <v>576</v>
      </c>
      <c r="CQ262" t="s">
        <v>147</v>
      </c>
    </row>
    <row r="263" spans="1:95" x14ac:dyDescent="0.2">
      <c r="A263" t="s">
        <v>115</v>
      </c>
      <c r="B263" t="s">
        <v>116</v>
      </c>
      <c r="C263">
        <v>210784</v>
      </c>
      <c r="E263" t="s">
        <v>117</v>
      </c>
      <c r="F263">
        <v>368</v>
      </c>
      <c r="G263" t="s">
        <v>141</v>
      </c>
      <c r="H263" t="s">
        <v>142</v>
      </c>
      <c r="I263" t="s">
        <v>279</v>
      </c>
      <c r="J263" t="s">
        <v>280</v>
      </c>
      <c r="L263" t="s">
        <v>206</v>
      </c>
      <c r="M263" s="8">
        <v>45292</v>
      </c>
      <c r="N263">
        <v>5423049</v>
      </c>
      <c r="O263" t="s">
        <v>123</v>
      </c>
      <c r="P263" t="s">
        <v>146</v>
      </c>
      <c r="Q263">
        <v>3.57</v>
      </c>
      <c r="R263" t="s">
        <v>125</v>
      </c>
      <c r="S263" t="s">
        <v>126</v>
      </c>
      <c r="T263" t="s">
        <v>125</v>
      </c>
      <c r="U263" t="s">
        <v>126</v>
      </c>
      <c r="W263">
        <v>3.57</v>
      </c>
      <c r="Y263">
        <v>3.57</v>
      </c>
      <c r="BE263">
        <v>3.57</v>
      </c>
      <c r="BH263" t="s">
        <v>126</v>
      </c>
      <c r="BI263" t="s">
        <v>126</v>
      </c>
      <c r="BJ263" t="s">
        <v>126</v>
      </c>
      <c r="BK263" t="s">
        <v>126</v>
      </c>
      <c r="BS263" t="s">
        <v>126</v>
      </c>
      <c r="BT263" t="s">
        <v>126</v>
      </c>
      <c r="BU263" t="s">
        <v>126</v>
      </c>
      <c r="BV263" t="s">
        <v>126</v>
      </c>
      <c r="CN263" t="s">
        <v>147</v>
      </c>
      <c r="CP263" t="s">
        <v>227</v>
      </c>
      <c r="CQ263" t="s">
        <v>147</v>
      </c>
    </row>
    <row r="264" spans="1:95" x14ac:dyDescent="0.2">
      <c r="A264" t="s">
        <v>115</v>
      </c>
      <c r="B264" t="s">
        <v>116</v>
      </c>
      <c r="C264">
        <v>210784</v>
      </c>
      <c r="E264" t="s">
        <v>117</v>
      </c>
      <c r="F264">
        <v>368</v>
      </c>
      <c r="G264" t="s">
        <v>141</v>
      </c>
      <c r="H264" t="s">
        <v>142</v>
      </c>
      <c r="I264" t="s">
        <v>279</v>
      </c>
      <c r="J264" t="s">
        <v>280</v>
      </c>
      <c r="L264" t="s">
        <v>576</v>
      </c>
      <c r="M264" s="8">
        <v>45292</v>
      </c>
      <c r="N264">
        <v>5421879</v>
      </c>
      <c r="O264" t="s">
        <v>123</v>
      </c>
      <c r="P264" t="s">
        <v>146</v>
      </c>
      <c r="Q264">
        <v>4.38</v>
      </c>
      <c r="R264" t="s">
        <v>125</v>
      </c>
      <c r="S264" t="s">
        <v>126</v>
      </c>
      <c r="T264" t="s">
        <v>125</v>
      </c>
      <c r="U264" t="s">
        <v>126</v>
      </c>
      <c r="W264">
        <v>4.38</v>
      </c>
      <c r="Y264">
        <v>4.38</v>
      </c>
      <c r="BE264">
        <v>4.38</v>
      </c>
      <c r="BH264" t="s">
        <v>126</v>
      </c>
      <c r="BI264" t="s">
        <v>126</v>
      </c>
      <c r="BJ264" t="s">
        <v>126</v>
      </c>
      <c r="BK264" t="s">
        <v>126</v>
      </c>
      <c r="BS264" t="s">
        <v>126</v>
      </c>
      <c r="BT264" t="s">
        <v>126</v>
      </c>
      <c r="BU264" t="s">
        <v>126</v>
      </c>
      <c r="BV264" t="s">
        <v>126</v>
      </c>
      <c r="CN264" t="s">
        <v>147</v>
      </c>
      <c r="CP264" t="s">
        <v>227</v>
      </c>
      <c r="CQ264" t="s">
        <v>147</v>
      </c>
    </row>
    <row r="265" spans="1:95" x14ac:dyDescent="0.2">
      <c r="A265" t="s">
        <v>115</v>
      </c>
      <c r="B265" t="s">
        <v>116</v>
      </c>
      <c r="C265">
        <v>210784</v>
      </c>
      <c r="E265" t="s">
        <v>117</v>
      </c>
      <c r="F265">
        <v>368</v>
      </c>
      <c r="G265" t="s">
        <v>141</v>
      </c>
      <c r="H265" t="s">
        <v>142</v>
      </c>
      <c r="I265" t="s">
        <v>143</v>
      </c>
      <c r="J265" t="s">
        <v>144</v>
      </c>
      <c r="L265" t="s">
        <v>155</v>
      </c>
      <c r="M265" s="8">
        <v>45323</v>
      </c>
      <c r="N265">
        <v>2220</v>
      </c>
      <c r="O265" t="s">
        <v>123</v>
      </c>
      <c r="P265" t="s">
        <v>146</v>
      </c>
      <c r="Q265">
        <v>0.26</v>
      </c>
      <c r="R265" t="s">
        <v>125</v>
      </c>
      <c r="S265" t="s">
        <v>126</v>
      </c>
      <c r="T265" t="s">
        <v>125</v>
      </c>
      <c r="U265" t="s">
        <v>126</v>
      </c>
      <c r="W265">
        <v>0.26</v>
      </c>
      <c r="Y265">
        <v>0.26</v>
      </c>
      <c r="AB265">
        <v>0.26</v>
      </c>
      <c r="BH265" t="s">
        <v>126</v>
      </c>
      <c r="BI265" t="s">
        <v>126</v>
      </c>
      <c r="BJ265" t="s">
        <v>126</v>
      </c>
      <c r="BK265" t="s">
        <v>126</v>
      </c>
      <c r="BS265" t="s">
        <v>126</v>
      </c>
      <c r="BT265" t="s">
        <v>126</v>
      </c>
      <c r="BU265" t="s">
        <v>126</v>
      </c>
      <c r="BV265" t="s">
        <v>126</v>
      </c>
      <c r="CN265" t="s">
        <v>147</v>
      </c>
      <c r="CP265" t="s">
        <v>148</v>
      </c>
      <c r="CQ265" t="s">
        <v>147</v>
      </c>
    </row>
    <row r="266" spans="1:95" x14ac:dyDescent="0.2">
      <c r="A266" t="s">
        <v>115</v>
      </c>
      <c r="B266" t="s">
        <v>116</v>
      </c>
      <c r="C266">
        <v>210784</v>
      </c>
      <c r="E266" t="s">
        <v>117</v>
      </c>
      <c r="F266">
        <v>368</v>
      </c>
      <c r="G266" t="s">
        <v>141</v>
      </c>
      <c r="H266" t="s">
        <v>142</v>
      </c>
      <c r="I266" t="s">
        <v>143</v>
      </c>
      <c r="J266" t="s">
        <v>144</v>
      </c>
      <c r="L266" t="s">
        <v>156</v>
      </c>
      <c r="M266" s="8">
        <v>45323</v>
      </c>
      <c r="N266">
        <v>104947</v>
      </c>
      <c r="O266" t="s">
        <v>123</v>
      </c>
      <c r="P266" t="s">
        <v>146</v>
      </c>
      <c r="Q266">
        <v>0.36</v>
      </c>
      <c r="R266" t="s">
        <v>125</v>
      </c>
      <c r="S266" t="s">
        <v>126</v>
      </c>
      <c r="T266" t="s">
        <v>125</v>
      </c>
      <c r="U266" t="s">
        <v>126</v>
      </c>
      <c r="W266">
        <v>0.36</v>
      </c>
      <c r="Y266">
        <v>0.36</v>
      </c>
      <c r="AB266">
        <v>0.36</v>
      </c>
      <c r="BH266" t="s">
        <v>126</v>
      </c>
      <c r="BI266" t="s">
        <v>126</v>
      </c>
      <c r="BJ266" t="s">
        <v>126</v>
      </c>
      <c r="BK266" t="s">
        <v>126</v>
      </c>
      <c r="BS266" t="s">
        <v>126</v>
      </c>
      <c r="BT266" t="s">
        <v>126</v>
      </c>
      <c r="BU266" t="s">
        <v>126</v>
      </c>
      <c r="BV266" t="s">
        <v>126</v>
      </c>
      <c r="CN266" t="s">
        <v>147</v>
      </c>
      <c r="CP266" t="s">
        <v>148</v>
      </c>
      <c r="CQ266" t="s">
        <v>147</v>
      </c>
    </row>
    <row r="267" spans="1:95" x14ac:dyDescent="0.2">
      <c r="A267" t="s">
        <v>115</v>
      </c>
      <c r="B267" t="s">
        <v>116</v>
      </c>
      <c r="C267">
        <v>210784</v>
      </c>
      <c r="E267" t="s">
        <v>117</v>
      </c>
      <c r="F267">
        <v>368</v>
      </c>
      <c r="G267" t="s">
        <v>141</v>
      </c>
      <c r="H267" t="s">
        <v>142</v>
      </c>
      <c r="I267" t="s">
        <v>143</v>
      </c>
      <c r="J267" t="s">
        <v>144</v>
      </c>
      <c r="L267" t="s">
        <v>157</v>
      </c>
      <c r="M267" s="8">
        <v>45323</v>
      </c>
      <c r="N267">
        <v>104977</v>
      </c>
      <c r="O267" t="s">
        <v>123</v>
      </c>
      <c r="P267" t="s">
        <v>146</v>
      </c>
      <c r="Q267">
        <v>0.38</v>
      </c>
      <c r="R267" t="s">
        <v>125</v>
      </c>
      <c r="S267" t="s">
        <v>126</v>
      </c>
      <c r="T267" t="s">
        <v>125</v>
      </c>
      <c r="U267" t="s">
        <v>126</v>
      </c>
      <c r="W267">
        <v>0.38</v>
      </c>
      <c r="Y267">
        <v>0.38</v>
      </c>
      <c r="AB267">
        <v>0.38</v>
      </c>
      <c r="BH267" t="s">
        <v>126</v>
      </c>
      <c r="BI267" t="s">
        <v>126</v>
      </c>
      <c r="BJ267" t="s">
        <v>126</v>
      </c>
      <c r="BK267" t="s">
        <v>126</v>
      </c>
      <c r="BS267" t="s">
        <v>126</v>
      </c>
      <c r="BT267" t="s">
        <v>126</v>
      </c>
      <c r="BU267" t="s">
        <v>126</v>
      </c>
      <c r="BV267" t="s">
        <v>126</v>
      </c>
      <c r="CN267" t="s">
        <v>147</v>
      </c>
      <c r="CP267" t="s">
        <v>148</v>
      </c>
      <c r="CQ267" t="s">
        <v>147</v>
      </c>
    </row>
    <row r="268" spans="1:95" x14ac:dyDescent="0.2">
      <c r="A268" t="s">
        <v>115</v>
      </c>
      <c r="B268" t="s">
        <v>116</v>
      </c>
      <c r="C268">
        <v>210784</v>
      </c>
      <c r="E268" t="s">
        <v>117</v>
      </c>
      <c r="F268">
        <v>368</v>
      </c>
      <c r="G268" t="s">
        <v>141</v>
      </c>
      <c r="H268" t="s">
        <v>142</v>
      </c>
      <c r="I268" t="s">
        <v>143</v>
      </c>
      <c r="J268" t="s">
        <v>144</v>
      </c>
      <c r="L268" t="s">
        <v>158</v>
      </c>
      <c r="M268" s="8">
        <v>45323</v>
      </c>
      <c r="N268">
        <v>12347</v>
      </c>
      <c r="O268" t="s">
        <v>123</v>
      </c>
      <c r="P268" t="s">
        <v>146</v>
      </c>
      <c r="Q268">
        <v>0.25</v>
      </c>
      <c r="R268" t="s">
        <v>125</v>
      </c>
      <c r="S268" t="s">
        <v>126</v>
      </c>
      <c r="T268" t="s">
        <v>125</v>
      </c>
      <c r="U268" t="s">
        <v>126</v>
      </c>
      <c r="W268">
        <v>0.25</v>
      </c>
      <c r="Y268">
        <v>0.25</v>
      </c>
      <c r="AB268">
        <v>0.25</v>
      </c>
      <c r="BH268" t="s">
        <v>126</v>
      </c>
      <c r="BI268" t="s">
        <v>126</v>
      </c>
      <c r="BJ268" t="s">
        <v>126</v>
      </c>
      <c r="BK268" t="s">
        <v>126</v>
      </c>
      <c r="BS268" t="s">
        <v>126</v>
      </c>
      <c r="BT268" t="s">
        <v>126</v>
      </c>
      <c r="BU268" t="s">
        <v>126</v>
      </c>
      <c r="BV268" t="s">
        <v>126</v>
      </c>
      <c r="CN268" t="s">
        <v>147</v>
      </c>
      <c r="CP268" t="s">
        <v>148</v>
      </c>
      <c r="CQ268" t="s">
        <v>147</v>
      </c>
    </row>
    <row r="269" spans="1:95" x14ac:dyDescent="0.2">
      <c r="A269" t="s">
        <v>115</v>
      </c>
      <c r="B269" t="s">
        <v>116</v>
      </c>
      <c r="C269">
        <v>210784</v>
      </c>
      <c r="E269" t="s">
        <v>117</v>
      </c>
      <c r="F269">
        <v>368</v>
      </c>
      <c r="G269" t="s">
        <v>141</v>
      </c>
      <c r="H269" t="s">
        <v>142</v>
      </c>
      <c r="I269" t="s">
        <v>143</v>
      </c>
      <c r="J269" t="s">
        <v>144</v>
      </c>
      <c r="L269" t="s">
        <v>159</v>
      </c>
      <c r="M269" s="8">
        <v>45323</v>
      </c>
      <c r="N269">
        <v>2206</v>
      </c>
      <c r="O269" t="s">
        <v>123</v>
      </c>
      <c r="P269" t="s">
        <v>146</v>
      </c>
      <c r="Q269">
        <v>0.23</v>
      </c>
      <c r="R269" t="s">
        <v>125</v>
      </c>
      <c r="S269" t="s">
        <v>126</v>
      </c>
      <c r="T269" t="s">
        <v>125</v>
      </c>
      <c r="U269" t="s">
        <v>126</v>
      </c>
      <c r="W269">
        <v>0.23</v>
      </c>
      <c r="Y269">
        <v>0.23</v>
      </c>
      <c r="AB269">
        <v>0.23</v>
      </c>
      <c r="BH269" t="s">
        <v>126</v>
      </c>
      <c r="BI269" t="s">
        <v>126</v>
      </c>
      <c r="BJ269" t="s">
        <v>126</v>
      </c>
      <c r="BK269" t="s">
        <v>126</v>
      </c>
      <c r="BS269" t="s">
        <v>126</v>
      </c>
      <c r="BT269" t="s">
        <v>126</v>
      </c>
      <c r="BU269" t="s">
        <v>126</v>
      </c>
      <c r="BV269" t="s">
        <v>126</v>
      </c>
      <c r="CN269" t="s">
        <v>147</v>
      </c>
      <c r="CP269" t="s">
        <v>148</v>
      </c>
      <c r="CQ269" t="s">
        <v>147</v>
      </c>
    </row>
    <row r="270" spans="1:95" x14ac:dyDescent="0.2">
      <c r="A270" t="s">
        <v>115</v>
      </c>
      <c r="B270" t="s">
        <v>116</v>
      </c>
      <c r="C270">
        <v>210784</v>
      </c>
      <c r="E270" t="s">
        <v>117</v>
      </c>
      <c r="F270">
        <v>368</v>
      </c>
      <c r="G270" t="s">
        <v>141</v>
      </c>
      <c r="H270" t="s">
        <v>142</v>
      </c>
      <c r="I270" t="s">
        <v>143</v>
      </c>
      <c r="J270" t="s">
        <v>144</v>
      </c>
      <c r="L270" t="s">
        <v>160</v>
      </c>
      <c r="M270" s="8">
        <v>45323</v>
      </c>
      <c r="N270">
        <v>2138</v>
      </c>
      <c r="O270" t="s">
        <v>123</v>
      </c>
      <c r="P270" t="s">
        <v>146</v>
      </c>
      <c r="Q270">
        <v>0.21</v>
      </c>
      <c r="R270" t="s">
        <v>125</v>
      </c>
      <c r="S270" t="s">
        <v>126</v>
      </c>
      <c r="T270" t="s">
        <v>125</v>
      </c>
      <c r="U270" t="s">
        <v>126</v>
      </c>
      <c r="W270">
        <v>0.21</v>
      </c>
      <c r="Y270">
        <v>0.21</v>
      </c>
      <c r="AB270">
        <v>0.21</v>
      </c>
      <c r="BH270" t="s">
        <v>126</v>
      </c>
      <c r="BI270" t="s">
        <v>126</v>
      </c>
      <c r="BJ270" t="s">
        <v>126</v>
      </c>
      <c r="BK270" t="s">
        <v>126</v>
      </c>
      <c r="BS270" t="s">
        <v>126</v>
      </c>
      <c r="BT270" t="s">
        <v>126</v>
      </c>
      <c r="BU270" t="s">
        <v>126</v>
      </c>
      <c r="BV270" t="s">
        <v>126</v>
      </c>
      <c r="CN270" t="s">
        <v>147</v>
      </c>
      <c r="CP270" t="s">
        <v>148</v>
      </c>
      <c r="CQ270" t="s">
        <v>147</v>
      </c>
    </row>
    <row r="271" spans="1:95" x14ac:dyDescent="0.2">
      <c r="A271" t="s">
        <v>115</v>
      </c>
      <c r="B271" t="s">
        <v>116</v>
      </c>
      <c r="C271">
        <v>210784</v>
      </c>
      <c r="E271" t="s">
        <v>117</v>
      </c>
      <c r="F271">
        <v>368</v>
      </c>
      <c r="G271" t="s">
        <v>141</v>
      </c>
      <c r="H271" t="s">
        <v>142</v>
      </c>
      <c r="I271" t="s">
        <v>143</v>
      </c>
      <c r="J271" t="s">
        <v>144</v>
      </c>
      <c r="L271" t="s">
        <v>161</v>
      </c>
      <c r="M271" s="8">
        <v>45323</v>
      </c>
      <c r="N271">
        <v>2136</v>
      </c>
      <c r="O271" t="s">
        <v>123</v>
      </c>
      <c r="P271" t="s">
        <v>146</v>
      </c>
      <c r="Q271">
        <v>0.32</v>
      </c>
      <c r="R271" t="s">
        <v>125</v>
      </c>
      <c r="S271" t="s">
        <v>126</v>
      </c>
      <c r="T271" t="s">
        <v>125</v>
      </c>
      <c r="U271" t="s">
        <v>126</v>
      </c>
      <c r="W271">
        <v>0.32</v>
      </c>
      <c r="Y271">
        <v>0.32</v>
      </c>
      <c r="AB271">
        <v>0.32</v>
      </c>
      <c r="BH271" t="s">
        <v>126</v>
      </c>
      <c r="BI271" t="s">
        <v>126</v>
      </c>
      <c r="BJ271" t="s">
        <v>126</v>
      </c>
      <c r="BK271" t="s">
        <v>126</v>
      </c>
      <c r="BS271" t="s">
        <v>126</v>
      </c>
      <c r="BT271" t="s">
        <v>126</v>
      </c>
      <c r="BU271" t="s">
        <v>126</v>
      </c>
      <c r="BV271" t="s">
        <v>126</v>
      </c>
      <c r="CN271" t="s">
        <v>147</v>
      </c>
      <c r="CP271" t="s">
        <v>148</v>
      </c>
      <c r="CQ271" t="s">
        <v>147</v>
      </c>
    </row>
    <row r="272" spans="1:95" x14ac:dyDescent="0.2">
      <c r="A272" t="s">
        <v>115</v>
      </c>
      <c r="B272" t="s">
        <v>116</v>
      </c>
      <c r="C272">
        <v>210784</v>
      </c>
      <c r="E272" t="s">
        <v>117</v>
      </c>
      <c r="F272">
        <v>368</v>
      </c>
      <c r="G272" t="s">
        <v>141</v>
      </c>
      <c r="H272" t="s">
        <v>142</v>
      </c>
      <c r="I272" t="s">
        <v>143</v>
      </c>
      <c r="J272" t="s">
        <v>144</v>
      </c>
      <c r="L272" t="s">
        <v>162</v>
      </c>
      <c r="M272" s="8">
        <v>45323</v>
      </c>
      <c r="N272">
        <v>2134</v>
      </c>
      <c r="O272" t="s">
        <v>123</v>
      </c>
      <c r="P272" t="s">
        <v>146</v>
      </c>
      <c r="Q272">
        <v>0.21</v>
      </c>
      <c r="R272" t="s">
        <v>125</v>
      </c>
      <c r="S272" t="s">
        <v>126</v>
      </c>
      <c r="T272" t="s">
        <v>125</v>
      </c>
      <c r="U272" t="s">
        <v>126</v>
      </c>
      <c r="W272">
        <v>0.21</v>
      </c>
      <c r="Y272">
        <v>0.21</v>
      </c>
      <c r="AB272">
        <v>0.21</v>
      </c>
      <c r="BH272" t="s">
        <v>126</v>
      </c>
      <c r="BI272" t="s">
        <v>126</v>
      </c>
      <c r="BJ272" t="s">
        <v>126</v>
      </c>
      <c r="BK272" t="s">
        <v>126</v>
      </c>
      <c r="BS272" t="s">
        <v>126</v>
      </c>
      <c r="BT272" t="s">
        <v>126</v>
      </c>
      <c r="BU272" t="s">
        <v>126</v>
      </c>
      <c r="BV272" t="s">
        <v>126</v>
      </c>
      <c r="CN272" t="s">
        <v>147</v>
      </c>
      <c r="CP272" t="s">
        <v>148</v>
      </c>
      <c r="CQ272" t="s">
        <v>147</v>
      </c>
    </row>
    <row r="273" spans="1:95" x14ac:dyDescent="0.2">
      <c r="A273" t="s">
        <v>115</v>
      </c>
      <c r="B273" t="s">
        <v>116</v>
      </c>
      <c r="C273">
        <v>210784</v>
      </c>
      <c r="E273" t="s">
        <v>117</v>
      </c>
      <c r="F273">
        <v>368</v>
      </c>
      <c r="G273" t="s">
        <v>141</v>
      </c>
      <c r="H273" t="s">
        <v>142</v>
      </c>
      <c r="I273" t="s">
        <v>143</v>
      </c>
      <c r="J273" t="s">
        <v>144</v>
      </c>
      <c r="L273" t="s">
        <v>163</v>
      </c>
      <c r="M273" s="8">
        <v>45323</v>
      </c>
      <c r="N273">
        <v>2180</v>
      </c>
      <c r="O273" t="s">
        <v>123</v>
      </c>
      <c r="P273" t="s">
        <v>146</v>
      </c>
      <c r="Q273">
        <v>0.27</v>
      </c>
      <c r="R273" t="s">
        <v>125</v>
      </c>
      <c r="S273" t="s">
        <v>126</v>
      </c>
      <c r="T273" t="s">
        <v>125</v>
      </c>
      <c r="U273" t="s">
        <v>126</v>
      </c>
      <c r="W273">
        <v>0.27</v>
      </c>
      <c r="Y273">
        <v>0.27</v>
      </c>
      <c r="AB273">
        <v>0.27</v>
      </c>
      <c r="BH273" t="s">
        <v>126</v>
      </c>
      <c r="BI273" t="s">
        <v>126</v>
      </c>
      <c r="BJ273" t="s">
        <v>126</v>
      </c>
      <c r="BK273" t="s">
        <v>126</v>
      </c>
      <c r="BS273" t="s">
        <v>126</v>
      </c>
      <c r="BT273" t="s">
        <v>126</v>
      </c>
      <c r="BU273" t="s">
        <v>126</v>
      </c>
      <c r="BV273" t="s">
        <v>126</v>
      </c>
      <c r="CN273" t="s">
        <v>147</v>
      </c>
      <c r="CP273" t="s">
        <v>148</v>
      </c>
      <c r="CQ273" t="s">
        <v>147</v>
      </c>
    </row>
    <row r="274" spans="1:95" x14ac:dyDescent="0.2">
      <c r="A274" t="s">
        <v>115</v>
      </c>
      <c r="B274" t="s">
        <v>116</v>
      </c>
      <c r="C274">
        <v>210784</v>
      </c>
      <c r="E274" t="s">
        <v>117</v>
      </c>
      <c r="F274">
        <v>368</v>
      </c>
      <c r="G274" t="s">
        <v>141</v>
      </c>
      <c r="H274" t="s">
        <v>142</v>
      </c>
      <c r="I274" t="s">
        <v>143</v>
      </c>
      <c r="J274" t="s">
        <v>144</v>
      </c>
      <c r="L274" t="s">
        <v>164</v>
      </c>
      <c r="M274" s="8">
        <v>45323</v>
      </c>
      <c r="N274">
        <v>2161</v>
      </c>
      <c r="O274" t="s">
        <v>123</v>
      </c>
      <c r="P274" t="s">
        <v>146</v>
      </c>
      <c r="Q274">
        <v>0.2</v>
      </c>
      <c r="R274" t="s">
        <v>125</v>
      </c>
      <c r="S274" t="s">
        <v>126</v>
      </c>
      <c r="T274" t="s">
        <v>125</v>
      </c>
      <c r="U274" t="s">
        <v>126</v>
      </c>
      <c r="W274">
        <v>0.2</v>
      </c>
      <c r="Y274">
        <v>0.2</v>
      </c>
      <c r="AB274">
        <v>0.2</v>
      </c>
      <c r="BH274" t="s">
        <v>126</v>
      </c>
      <c r="BI274" t="s">
        <v>126</v>
      </c>
      <c r="BJ274" t="s">
        <v>126</v>
      </c>
      <c r="BK274" t="s">
        <v>126</v>
      </c>
      <c r="BS274" t="s">
        <v>126</v>
      </c>
      <c r="BT274" t="s">
        <v>126</v>
      </c>
      <c r="BU274" t="s">
        <v>126</v>
      </c>
      <c r="BV274" t="s">
        <v>126</v>
      </c>
      <c r="CN274" t="s">
        <v>147</v>
      </c>
      <c r="CP274" t="s">
        <v>148</v>
      </c>
      <c r="CQ274" t="s">
        <v>147</v>
      </c>
    </row>
    <row r="275" spans="1:95" x14ac:dyDescent="0.2">
      <c r="A275" t="s">
        <v>115</v>
      </c>
      <c r="B275" t="s">
        <v>116</v>
      </c>
      <c r="C275">
        <v>210784</v>
      </c>
      <c r="E275" t="s">
        <v>117</v>
      </c>
      <c r="F275">
        <v>368</v>
      </c>
      <c r="G275" t="s">
        <v>141</v>
      </c>
      <c r="H275" t="s">
        <v>142</v>
      </c>
      <c r="I275" t="s">
        <v>143</v>
      </c>
      <c r="J275" t="s">
        <v>144</v>
      </c>
      <c r="L275" t="s">
        <v>165</v>
      </c>
      <c r="M275" s="8">
        <v>45323</v>
      </c>
      <c r="N275">
        <v>2156</v>
      </c>
      <c r="O275" t="s">
        <v>123</v>
      </c>
      <c r="P275" t="s">
        <v>146</v>
      </c>
      <c r="Q275">
        <v>0.18</v>
      </c>
      <c r="R275" t="s">
        <v>125</v>
      </c>
      <c r="S275" t="s">
        <v>126</v>
      </c>
      <c r="T275" t="s">
        <v>125</v>
      </c>
      <c r="U275" t="s">
        <v>126</v>
      </c>
      <c r="W275">
        <v>0.18</v>
      </c>
      <c r="Y275">
        <v>0.18</v>
      </c>
      <c r="AB275">
        <v>0.18</v>
      </c>
      <c r="BH275" t="s">
        <v>126</v>
      </c>
      <c r="BI275" t="s">
        <v>126</v>
      </c>
      <c r="BJ275" t="s">
        <v>126</v>
      </c>
      <c r="BK275" t="s">
        <v>126</v>
      </c>
      <c r="BS275" t="s">
        <v>126</v>
      </c>
      <c r="BT275" t="s">
        <v>126</v>
      </c>
      <c r="BU275" t="s">
        <v>126</v>
      </c>
      <c r="BV275" t="s">
        <v>126</v>
      </c>
      <c r="CN275" t="s">
        <v>147</v>
      </c>
      <c r="CP275" t="s">
        <v>148</v>
      </c>
      <c r="CQ275" t="s">
        <v>147</v>
      </c>
    </row>
    <row r="276" spans="1:95" x14ac:dyDescent="0.2">
      <c r="A276" t="s">
        <v>115</v>
      </c>
      <c r="B276" t="s">
        <v>116</v>
      </c>
      <c r="C276">
        <v>210784</v>
      </c>
      <c r="E276" t="s">
        <v>117</v>
      </c>
      <c r="F276">
        <v>368</v>
      </c>
      <c r="G276" t="s">
        <v>141</v>
      </c>
      <c r="H276" t="s">
        <v>142</v>
      </c>
      <c r="I276" t="s">
        <v>143</v>
      </c>
      <c r="J276" t="s">
        <v>144</v>
      </c>
      <c r="L276" t="s">
        <v>166</v>
      </c>
      <c r="M276" s="8">
        <v>45323</v>
      </c>
      <c r="N276">
        <v>2132</v>
      </c>
      <c r="O276" t="s">
        <v>123</v>
      </c>
      <c r="P276" t="s">
        <v>146</v>
      </c>
      <c r="Q276">
        <v>0.23</v>
      </c>
      <c r="R276" t="s">
        <v>125</v>
      </c>
      <c r="S276" t="s">
        <v>126</v>
      </c>
      <c r="T276" t="s">
        <v>125</v>
      </c>
      <c r="U276" t="s">
        <v>126</v>
      </c>
      <c r="W276">
        <v>0.23</v>
      </c>
      <c r="Y276">
        <v>0.23</v>
      </c>
      <c r="AB276">
        <v>0.23</v>
      </c>
      <c r="BH276" t="s">
        <v>126</v>
      </c>
      <c r="BI276" t="s">
        <v>126</v>
      </c>
      <c r="BJ276" t="s">
        <v>126</v>
      </c>
      <c r="BK276" t="s">
        <v>126</v>
      </c>
      <c r="BS276" t="s">
        <v>126</v>
      </c>
      <c r="BT276" t="s">
        <v>126</v>
      </c>
      <c r="BU276" t="s">
        <v>126</v>
      </c>
      <c r="BV276" t="s">
        <v>126</v>
      </c>
      <c r="CN276" t="s">
        <v>147</v>
      </c>
      <c r="CP276" t="s">
        <v>148</v>
      </c>
      <c r="CQ276" t="s">
        <v>147</v>
      </c>
    </row>
    <row r="277" spans="1:95" x14ac:dyDescent="0.2">
      <c r="A277" t="s">
        <v>115</v>
      </c>
      <c r="B277" t="s">
        <v>116</v>
      </c>
      <c r="C277">
        <v>210784</v>
      </c>
      <c r="E277" t="s">
        <v>117</v>
      </c>
      <c r="F277">
        <v>368</v>
      </c>
      <c r="G277" t="s">
        <v>141</v>
      </c>
      <c r="H277" t="s">
        <v>142</v>
      </c>
      <c r="I277" t="s">
        <v>143</v>
      </c>
      <c r="J277" t="s">
        <v>144</v>
      </c>
      <c r="L277" t="s">
        <v>167</v>
      </c>
      <c r="M277" s="8">
        <v>45323</v>
      </c>
      <c r="N277">
        <v>2126</v>
      </c>
      <c r="O277" t="s">
        <v>123</v>
      </c>
      <c r="P277" t="s">
        <v>146</v>
      </c>
      <c r="Q277">
        <v>0.28000000000000003</v>
      </c>
      <c r="R277" t="s">
        <v>125</v>
      </c>
      <c r="S277" t="s">
        <v>126</v>
      </c>
      <c r="T277" t="s">
        <v>125</v>
      </c>
      <c r="U277" t="s">
        <v>126</v>
      </c>
      <c r="W277">
        <v>0.28000000000000003</v>
      </c>
      <c r="Y277">
        <v>0.28000000000000003</v>
      </c>
      <c r="AB277">
        <v>0.28000000000000003</v>
      </c>
      <c r="BH277" t="s">
        <v>126</v>
      </c>
      <c r="BI277" t="s">
        <v>126</v>
      </c>
      <c r="BJ277" t="s">
        <v>126</v>
      </c>
      <c r="BK277" t="s">
        <v>126</v>
      </c>
      <c r="BS277" t="s">
        <v>126</v>
      </c>
      <c r="BT277" t="s">
        <v>126</v>
      </c>
      <c r="BU277" t="s">
        <v>126</v>
      </c>
      <c r="BV277" t="s">
        <v>126</v>
      </c>
      <c r="CN277" t="s">
        <v>147</v>
      </c>
      <c r="CP277" t="s">
        <v>148</v>
      </c>
      <c r="CQ277" t="s">
        <v>147</v>
      </c>
    </row>
    <row r="278" spans="1:95" x14ac:dyDescent="0.2">
      <c r="A278" t="s">
        <v>115</v>
      </c>
      <c r="B278" t="s">
        <v>116</v>
      </c>
      <c r="C278">
        <v>210784</v>
      </c>
      <c r="E278" t="s">
        <v>117</v>
      </c>
      <c r="F278">
        <v>368</v>
      </c>
      <c r="G278" t="s">
        <v>141</v>
      </c>
      <c r="H278" t="s">
        <v>142</v>
      </c>
      <c r="I278" t="s">
        <v>204</v>
      </c>
      <c r="J278" t="s">
        <v>205</v>
      </c>
      <c r="L278" t="s">
        <v>226</v>
      </c>
      <c r="M278" s="8">
        <v>45323</v>
      </c>
      <c r="N278">
        <v>97667</v>
      </c>
      <c r="O278" t="s">
        <v>123</v>
      </c>
      <c r="P278" t="s">
        <v>146</v>
      </c>
      <c r="Q278">
        <v>11.38</v>
      </c>
      <c r="R278" t="s">
        <v>125</v>
      </c>
      <c r="S278" t="s">
        <v>126</v>
      </c>
      <c r="T278" t="s">
        <v>125</v>
      </c>
      <c r="U278" t="s">
        <v>126</v>
      </c>
      <c r="W278">
        <v>11.38</v>
      </c>
      <c r="Y278">
        <v>11.38</v>
      </c>
      <c r="AC278">
        <v>11.38</v>
      </c>
      <c r="BH278" t="s">
        <v>126</v>
      </c>
      <c r="BI278" t="s">
        <v>126</v>
      </c>
      <c r="BJ278" t="s">
        <v>126</v>
      </c>
      <c r="BK278" t="s">
        <v>126</v>
      </c>
      <c r="BS278" t="s">
        <v>126</v>
      </c>
      <c r="BT278" t="s">
        <v>126</v>
      </c>
      <c r="BU278" t="s">
        <v>126</v>
      </c>
      <c r="BV278" t="s">
        <v>126</v>
      </c>
      <c r="CN278" t="s">
        <v>147</v>
      </c>
      <c r="CP278" t="s">
        <v>227</v>
      </c>
      <c r="CQ278" t="s">
        <v>147</v>
      </c>
    </row>
    <row r="279" spans="1:95" x14ac:dyDescent="0.2">
      <c r="A279" t="s">
        <v>115</v>
      </c>
      <c r="B279" t="s">
        <v>116</v>
      </c>
      <c r="C279">
        <v>210784</v>
      </c>
      <c r="E279" t="s">
        <v>117</v>
      </c>
      <c r="F279">
        <v>368</v>
      </c>
      <c r="G279" t="s">
        <v>141</v>
      </c>
      <c r="H279" t="s">
        <v>142</v>
      </c>
      <c r="I279" t="s">
        <v>204</v>
      </c>
      <c r="J279" t="s">
        <v>205</v>
      </c>
      <c r="L279" t="s">
        <v>160</v>
      </c>
      <c r="M279" s="8">
        <v>45323</v>
      </c>
      <c r="N279">
        <v>98030</v>
      </c>
      <c r="O279" t="s">
        <v>123</v>
      </c>
      <c r="P279" t="s">
        <v>146</v>
      </c>
      <c r="Q279">
        <v>7.01</v>
      </c>
      <c r="R279" t="s">
        <v>125</v>
      </c>
      <c r="S279" t="s">
        <v>126</v>
      </c>
      <c r="T279" t="s">
        <v>125</v>
      </c>
      <c r="U279" t="s">
        <v>126</v>
      </c>
      <c r="W279">
        <v>7.01</v>
      </c>
      <c r="Y279">
        <v>7.01</v>
      </c>
      <c r="AC279">
        <v>7.01</v>
      </c>
      <c r="BH279" t="s">
        <v>126</v>
      </c>
      <c r="BI279" t="s">
        <v>126</v>
      </c>
      <c r="BJ279" t="s">
        <v>126</v>
      </c>
      <c r="BK279" t="s">
        <v>126</v>
      </c>
      <c r="BS279" t="s">
        <v>126</v>
      </c>
      <c r="BT279" t="s">
        <v>126</v>
      </c>
      <c r="BU279" t="s">
        <v>126</v>
      </c>
      <c r="BV279" t="s">
        <v>126</v>
      </c>
      <c r="CN279" t="s">
        <v>147</v>
      </c>
      <c r="CP279" t="s">
        <v>149</v>
      </c>
      <c r="CQ279" t="s">
        <v>147</v>
      </c>
    </row>
    <row r="280" spans="1:95" x14ac:dyDescent="0.2">
      <c r="A280" t="s">
        <v>115</v>
      </c>
      <c r="B280" t="s">
        <v>116</v>
      </c>
      <c r="C280">
        <v>210784</v>
      </c>
      <c r="E280" t="s">
        <v>117</v>
      </c>
      <c r="F280">
        <v>368</v>
      </c>
      <c r="G280" t="s">
        <v>141</v>
      </c>
      <c r="H280" t="s">
        <v>142</v>
      </c>
      <c r="I280" t="s">
        <v>204</v>
      </c>
      <c r="J280" t="s">
        <v>205</v>
      </c>
      <c r="L280" t="s">
        <v>158</v>
      </c>
      <c r="M280" s="8">
        <v>45323</v>
      </c>
      <c r="N280">
        <v>98481</v>
      </c>
      <c r="O280" t="s">
        <v>123</v>
      </c>
      <c r="P280" t="s">
        <v>146</v>
      </c>
      <c r="Q280">
        <v>8.56</v>
      </c>
      <c r="R280" t="s">
        <v>125</v>
      </c>
      <c r="S280" t="s">
        <v>126</v>
      </c>
      <c r="T280" t="s">
        <v>125</v>
      </c>
      <c r="U280" t="s">
        <v>126</v>
      </c>
      <c r="W280">
        <v>8.56</v>
      </c>
      <c r="Y280">
        <v>8.56</v>
      </c>
      <c r="AC280">
        <v>8.56</v>
      </c>
      <c r="BH280" t="s">
        <v>126</v>
      </c>
      <c r="BI280" t="s">
        <v>126</v>
      </c>
      <c r="BJ280" t="s">
        <v>126</v>
      </c>
      <c r="BK280" t="s">
        <v>126</v>
      </c>
      <c r="BS280" t="s">
        <v>126</v>
      </c>
      <c r="BT280" t="s">
        <v>126</v>
      </c>
      <c r="BU280" t="s">
        <v>126</v>
      </c>
      <c r="BV280" t="s">
        <v>126</v>
      </c>
      <c r="CN280" t="s">
        <v>147</v>
      </c>
      <c r="CP280" t="s">
        <v>149</v>
      </c>
      <c r="CQ280" t="s">
        <v>147</v>
      </c>
    </row>
    <row r="281" spans="1:95" x14ac:dyDescent="0.2">
      <c r="A281" t="s">
        <v>115</v>
      </c>
      <c r="B281" t="s">
        <v>116</v>
      </c>
      <c r="C281">
        <v>210784</v>
      </c>
      <c r="E281" t="s">
        <v>117</v>
      </c>
      <c r="F281">
        <v>368</v>
      </c>
      <c r="G281" t="s">
        <v>229</v>
      </c>
      <c r="H281" t="s">
        <v>230</v>
      </c>
      <c r="I281" t="s">
        <v>204</v>
      </c>
      <c r="J281" t="s">
        <v>205</v>
      </c>
      <c r="L281" t="s">
        <v>226</v>
      </c>
      <c r="M281" s="8">
        <v>45323</v>
      </c>
      <c r="N281">
        <v>97667</v>
      </c>
      <c r="O281" t="s">
        <v>123</v>
      </c>
      <c r="P281" t="s">
        <v>146</v>
      </c>
      <c r="Q281">
        <v>11.38</v>
      </c>
      <c r="R281" t="s">
        <v>125</v>
      </c>
      <c r="S281" t="s">
        <v>126</v>
      </c>
      <c r="T281" t="s">
        <v>125</v>
      </c>
      <c r="U281" t="s">
        <v>126</v>
      </c>
      <c r="W281">
        <v>11.38</v>
      </c>
      <c r="Y281">
        <v>11.38</v>
      </c>
      <c r="AC281">
        <v>11.38</v>
      </c>
      <c r="BH281" t="s">
        <v>126</v>
      </c>
      <c r="BI281" t="s">
        <v>126</v>
      </c>
      <c r="BJ281" t="s">
        <v>126</v>
      </c>
      <c r="BK281" t="s">
        <v>126</v>
      </c>
      <c r="BS281" t="s">
        <v>126</v>
      </c>
      <c r="BT281" t="s">
        <v>126</v>
      </c>
      <c r="BU281" t="s">
        <v>126</v>
      </c>
      <c r="BV281" t="s">
        <v>126</v>
      </c>
      <c r="CN281" t="s">
        <v>230</v>
      </c>
      <c r="CP281" t="s">
        <v>231</v>
      </c>
      <c r="CQ281" t="s">
        <v>230</v>
      </c>
    </row>
    <row r="282" spans="1:95" x14ac:dyDescent="0.2">
      <c r="A282" t="s">
        <v>115</v>
      </c>
      <c r="B282" t="s">
        <v>116</v>
      </c>
      <c r="C282">
        <v>210784</v>
      </c>
      <c r="E282" t="s">
        <v>117</v>
      </c>
      <c r="F282">
        <v>368</v>
      </c>
      <c r="G282" t="s">
        <v>229</v>
      </c>
      <c r="H282" t="s">
        <v>230</v>
      </c>
      <c r="I282" t="s">
        <v>204</v>
      </c>
      <c r="J282" t="s">
        <v>205</v>
      </c>
      <c r="L282" t="s">
        <v>160</v>
      </c>
      <c r="M282" s="8">
        <v>45323</v>
      </c>
      <c r="N282">
        <v>98030</v>
      </c>
      <c r="O282" t="s">
        <v>123</v>
      </c>
      <c r="P282" t="s">
        <v>146</v>
      </c>
      <c r="Q282">
        <v>7.01</v>
      </c>
      <c r="R282" t="s">
        <v>125</v>
      </c>
      <c r="S282" t="s">
        <v>126</v>
      </c>
      <c r="T282" t="s">
        <v>125</v>
      </c>
      <c r="U282" t="s">
        <v>126</v>
      </c>
      <c r="W282">
        <v>7.01</v>
      </c>
      <c r="Y282">
        <v>7.01</v>
      </c>
      <c r="AC282">
        <v>7.01</v>
      </c>
      <c r="BH282" t="s">
        <v>126</v>
      </c>
      <c r="BI282" t="s">
        <v>126</v>
      </c>
      <c r="BJ282" t="s">
        <v>126</v>
      </c>
      <c r="BK282" t="s">
        <v>126</v>
      </c>
      <c r="BS282" t="s">
        <v>126</v>
      </c>
      <c r="BT282" t="s">
        <v>126</v>
      </c>
      <c r="BU282" t="s">
        <v>126</v>
      </c>
      <c r="BV282" t="s">
        <v>126</v>
      </c>
      <c r="CN282" t="s">
        <v>230</v>
      </c>
      <c r="CP282" t="s">
        <v>231</v>
      </c>
      <c r="CQ282" t="s">
        <v>230</v>
      </c>
    </row>
    <row r="283" spans="1:95" x14ac:dyDescent="0.2">
      <c r="A283" t="s">
        <v>115</v>
      </c>
      <c r="B283" t="s">
        <v>116</v>
      </c>
      <c r="C283">
        <v>210784</v>
      </c>
      <c r="E283" t="s">
        <v>117</v>
      </c>
      <c r="F283">
        <v>368</v>
      </c>
      <c r="G283" t="s">
        <v>229</v>
      </c>
      <c r="H283" t="s">
        <v>230</v>
      </c>
      <c r="I283" t="s">
        <v>204</v>
      </c>
      <c r="J283" t="s">
        <v>205</v>
      </c>
      <c r="L283" t="s">
        <v>158</v>
      </c>
      <c r="M283" s="8">
        <v>45323</v>
      </c>
      <c r="N283">
        <v>98481</v>
      </c>
      <c r="O283" t="s">
        <v>123</v>
      </c>
      <c r="P283" t="s">
        <v>146</v>
      </c>
      <c r="Q283">
        <v>8.56</v>
      </c>
      <c r="R283" t="s">
        <v>125</v>
      </c>
      <c r="S283" t="s">
        <v>126</v>
      </c>
      <c r="T283" t="s">
        <v>125</v>
      </c>
      <c r="U283" t="s">
        <v>126</v>
      </c>
      <c r="W283">
        <v>8.56</v>
      </c>
      <c r="Y283">
        <v>8.56</v>
      </c>
      <c r="AC283">
        <v>8.56</v>
      </c>
      <c r="BH283" t="s">
        <v>126</v>
      </c>
      <c r="BI283" t="s">
        <v>126</v>
      </c>
      <c r="BJ283" t="s">
        <v>126</v>
      </c>
      <c r="BK283" t="s">
        <v>126</v>
      </c>
      <c r="BS283" t="s">
        <v>126</v>
      </c>
      <c r="BT283" t="s">
        <v>126</v>
      </c>
      <c r="BU283" t="s">
        <v>126</v>
      </c>
      <c r="BV283" t="s">
        <v>126</v>
      </c>
      <c r="CN283" t="s">
        <v>230</v>
      </c>
      <c r="CP283" t="s">
        <v>231</v>
      </c>
      <c r="CQ283" t="s">
        <v>230</v>
      </c>
    </row>
    <row r="284" spans="1:95" x14ac:dyDescent="0.2">
      <c r="A284" t="s">
        <v>115</v>
      </c>
      <c r="B284" t="s">
        <v>116</v>
      </c>
      <c r="C284">
        <v>210784</v>
      </c>
      <c r="E284" t="s">
        <v>117</v>
      </c>
      <c r="F284">
        <v>368</v>
      </c>
      <c r="G284" t="s">
        <v>176</v>
      </c>
      <c r="H284" t="s">
        <v>177</v>
      </c>
      <c r="I284" t="s">
        <v>510</v>
      </c>
      <c r="J284" t="s">
        <v>511</v>
      </c>
      <c r="L284" t="s">
        <v>513</v>
      </c>
      <c r="M284" s="8">
        <v>45323</v>
      </c>
      <c r="N284">
        <v>343260</v>
      </c>
      <c r="O284" t="s">
        <v>123</v>
      </c>
      <c r="P284" t="s">
        <v>124</v>
      </c>
      <c r="Q284">
        <v>1.87</v>
      </c>
      <c r="R284" t="s">
        <v>125</v>
      </c>
      <c r="S284" t="s">
        <v>126</v>
      </c>
      <c r="T284" t="s">
        <v>125</v>
      </c>
      <c r="U284" t="s">
        <v>126</v>
      </c>
      <c r="W284">
        <v>1.87</v>
      </c>
      <c r="Y284">
        <v>1.87</v>
      </c>
      <c r="AF284">
        <v>1.87</v>
      </c>
      <c r="BH284" t="s">
        <v>126</v>
      </c>
      <c r="BI284" t="s">
        <v>126</v>
      </c>
      <c r="BJ284" t="s">
        <v>126</v>
      </c>
      <c r="BK284" t="s">
        <v>126</v>
      </c>
      <c r="BS284" t="s">
        <v>126</v>
      </c>
      <c r="BT284" t="s">
        <v>126</v>
      </c>
      <c r="BU284" t="s">
        <v>126</v>
      </c>
      <c r="BV284" t="s">
        <v>126</v>
      </c>
      <c r="CN284" t="s">
        <v>181</v>
      </c>
      <c r="CP284" t="s">
        <v>360</v>
      </c>
      <c r="CQ284" t="s">
        <v>181</v>
      </c>
    </row>
    <row r="285" spans="1:95" x14ac:dyDescent="0.2">
      <c r="A285" t="s">
        <v>115</v>
      </c>
      <c r="B285" t="s">
        <v>116</v>
      </c>
      <c r="C285">
        <v>210784</v>
      </c>
      <c r="E285" t="s">
        <v>117</v>
      </c>
      <c r="F285">
        <v>368</v>
      </c>
      <c r="G285" t="s">
        <v>141</v>
      </c>
      <c r="H285" t="s">
        <v>142</v>
      </c>
      <c r="I285" t="s">
        <v>279</v>
      </c>
      <c r="J285" t="s">
        <v>280</v>
      </c>
      <c r="L285" t="s">
        <v>583</v>
      </c>
      <c r="M285" s="8">
        <v>45323</v>
      </c>
      <c r="N285">
        <v>5426317</v>
      </c>
      <c r="O285" t="s">
        <v>123</v>
      </c>
      <c r="P285" t="s">
        <v>146</v>
      </c>
      <c r="Q285">
        <v>2.14</v>
      </c>
      <c r="R285" t="s">
        <v>584</v>
      </c>
      <c r="S285" t="s">
        <v>126</v>
      </c>
      <c r="T285" t="s">
        <v>584</v>
      </c>
      <c r="U285" t="s">
        <v>585</v>
      </c>
      <c r="W285">
        <v>0.66</v>
      </c>
      <c r="X285">
        <v>1.48</v>
      </c>
      <c r="Y285">
        <v>2.14</v>
      </c>
      <c r="Z285">
        <v>0.81</v>
      </c>
      <c r="AG285">
        <v>0.66</v>
      </c>
      <c r="AI285">
        <v>0.67</v>
      </c>
      <c r="BH285" t="s">
        <v>126</v>
      </c>
      <c r="BI285" t="s">
        <v>126</v>
      </c>
      <c r="BJ285" t="s">
        <v>126</v>
      </c>
      <c r="BK285" t="s">
        <v>126</v>
      </c>
      <c r="BS285" t="s">
        <v>126</v>
      </c>
      <c r="BT285" t="s">
        <v>126</v>
      </c>
      <c r="BU285" t="s">
        <v>126</v>
      </c>
      <c r="BV285" t="s">
        <v>126</v>
      </c>
      <c r="CN285" t="s">
        <v>147</v>
      </c>
      <c r="CP285" t="s">
        <v>227</v>
      </c>
      <c r="CQ285" t="s">
        <v>147</v>
      </c>
    </row>
    <row r="286" spans="1:95" x14ac:dyDescent="0.2">
      <c r="A286" t="s">
        <v>115</v>
      </c>
      <c r="B286" t="s">
        <v>116</v>
      </c>
      <c r="C286">
        <v>210784</v>
      </c>
      <c r="E286" t="s">
        <v>117</v>
      </c>
      <c r="F286">
        <v>368</v>
      </c>
      <c r="G286" t="s">
        <v>141</v>
      </c>
      <c r="H286" t="s">
        <v>142</v>
      </c>
      <c r="I286" t="s">
        <v>279</v>
      </c>
      <c r="J286" t="s">
        <v>280</v>
      </c>
      <c r="L286" t="s">
        <v>165</v>
      </c>
      <c r="M286" s="8">
        <v>45323</v>
      </c>
      <c r="N286">
        <v>5430795</v>
      </c>
      <c r="O286" t="s">
        <v>123</v>
      </c>
      <c r="P286" t="s">
        <v>146</v>
      </c>
      <c r="Q286">
        <v>3.03</v>
      </c>
      <c r="R286" t="s">
        <v>586</v>
      </c>
      <c r="S286" t="s">
        <v>126</v>
      </c>
      <c r="T286" t="s">
        <v>586</v>
      </c>
      <c r="U286" t="s">
        <v>587</v>
      </c>
      <c r="W286">
        <v>0.93</v>
      </c>
      <c r="X286">
        <v>2.0999999999999996</v>
      </c>
      <c r="Y286">
        <v>3.03</v>
      </c>
      <c r="Z286">
        <v>1.1599999999999999</v>
      </c>
      <c r="AG286">
        <v>0.93</v>
      </c>
      <c r="AI286">
        <v>0.94</v>
      </c>
      <c r="BH286" t="s">
        <v>126</v>
      </c>
      <c r="BI286" t="s">
        <v>126</v>
      </c>
      <c r="BJ286" t="s">
        <v>126</v>
      </c>
      <c r="BK286" t="s">
        <v>126</v>
      </c>
      <c r="BS286" t="s">
        <v>126</v>
      </c>
      <c r="BT286" t="s">
        <v>126</v>
      </c>
      <c r="BU286" t="s">
        <v>126</v>
      </c>
      <c r="BV286" t="s">
        <v>126</v>
      </c>
      <c r="CN286" t="s">
        <v>147</v>
      </c>
      <c r="CP286" t="s">
        <v>227</v>
      </c>
      <c r="CQ286" t="s">
        <v>147</v>
      </c>
    </row>
    <row r="287" spans="1:95" x14ac:dyDescent="0.2">
      <c r="A287" t="s">
        <v>115</v>
      </c>
      <c r="B287" t="s">
        <v>116</v>
      </c>
      <c r="C287">
        <v>210784</v>
      </c>
      <c r="E287" t="s">
        <v>117</v>
      </c>
      <c r="F287">
        <v>368</v>
      </c>
      <c r="G287" t="s">
        <v>141</v>
      </c>
      <c r="H287" t="s">
        <v>142</v>
      </c>
      <c r="I287" t="s">
        <v>279</v>
      </c>
      <c r="J287" t="s">
        <v>280</v>
      </c>
      <c r="L287" t="s">
        <v>167</v>
      </c>
      <c r="M287" s="8">
        <v>45323</v>
      </c>
      <c r="N287">
        <v>5427316</v>
      </c>
      <c r="O287" t="s">
        <v>123</v>
      </c>
      <c r="P287" t="s">
        <v>146</v>
      </c>
      <c r="Q287">
        <v>3.81</v>
      </c>
      <c r="R287" t="s">
        <v>588</v>
      </c>
      <c r="S287" t="s">
        <v>126</v>
      </c>
      <c r="T287" t="s">
        <v>588</v>
      </c>
      <c r="U287" t="s">
        <v>589</v>
      </c>
      <c r="W287">
        <v>1.17</v>
      </c>
      <c r="X287">
        <v>2.6399999999999997</v>
      </c>
      <c r="Y287">
        <v>3.81</v>
      </c>
      <c r="Z287">
        <v>1.45</v>
      </c>
      <c r="AG287">
        <v>1.17</v>
      </c>
      <c r="AI287">
        <v>1.19</v>
      </c>
      <c r="BH287" t="s">
        <v>126</v>
      </c>
      <c r="BI287" t="s">
        <v>126</v>
      </c>
      <c r="BJ287" t="s">
        <v>126</v>
      </c>
      <c r="BK287" t="s">
        <v>126</v>
      </c>
      <c r="BS287" t="s">
        <v>126</v>
      </c>
      <c r="BT287" t="s">
        <v>126</v>
      </c>
      <c r="BU287" t="s">
        <v>126</v>
      </c>
      <c r="BV287" t="s">
        <v>126</v>
      </c>
      <c r="CN287" t="s">
        <v>147</v>
      </c>
      <c r="CP287" t="s">
        <v>227</v>
      </c>
      <c r="CQ287" t="s">
        <v>147</v>
      </c>
    </row>
    <row r="288" spans="1:95" x14ac:dyDescent="0.2">
      <c r="A288" t="s">
        <v>115</v>
      </c>
      <c r="B288" t="s">
        <v>116</v>
      </c>
      <c r="C288">
        <v>210784</v>
      </c>
      <c r="E288" t="s">
        <v>117</v>
      </c>
      <c r="F288">
        <v>368</v>
      </c>
      <c r="G288" t="s">
        <v>141</v>
      </c>
      <c r="H288" t="s">
        <v>142</v>
      </c>
      <c r="I288" t="s">
        <v>279</v>
      </c>
      <c r="J288" t="s">
        <v>280</v>
      </c>
      <c r="L288" t="s">
        <v>590</v>
      </c>
      <c r="M288" s="8">
        <v>45323</v>
      </c>
      <c r="N288">
        <v>5438121</v>
      </c>
      <c r="O288" t="s">
        <v>123</v>
      </c>
      <c r="P288" t="s">
        <v>146</v>
      </c>
      <c r="Q288">
        <v>2.2799999999999998</v>
      </c>
      <c r="R288" t="s">
        <v>572</v>
      </c>
      <c r="S288" t="s">
        <v>126</v>
      </c>
      <c r="T288" t="s">
        <v>572</v>
      </c>
      <c r="U288" t="s">
        <v>573</v>
      </c>
      <c r="W288">
        <v>0.7</v>
      </c>
      <c r="X288">
        <v>1.58</v>
      </c>
      <c r="Y288">
        <v>2.2799999999999998</v>
      </c>
      <c r="Z288">
        <v>0.87</v>
      </c>
      <c r="AG288">
        <v>0.7</v>
      </c>
      <c r="AI288">
        <v>0.71</v>
      </c>
      <c r="BH288" t="s">
        <v>126</v>
      </c>
      <c r="BI288" t="s">
        <v>126</v>
      </c>
      <c r="BJ288" t="s">
        <v>126</v>
      </c>
      <c r="BK288" t="s">
        <v>126</v>
      </c>
      <c r="BS288" t="s">
        <v>126</v>
      </c>
      <c r="BT288" t="s">
        <v>126</v>
      </c>
      <c r="BU288" t="s">
        <v>126</v>
      </c>
      <c r="BV288" t="s">
        <v>126</v>
      </c>
      <c r="CN288" t="s">
        <v>147</v>
      </c>
      <c r="CP288" t="s">
        <v>149</v>
      </c>
      <c r="CQ288" t="s">
        <v>147</v>
      </c>
    </row>
    <row r="289" spans="1:95" x14ac:dyDescent="0.2">
      <c r="A289" t="s">
        <v>115</v>
      </c>
      <c r="B289" t="s">
        <v>116</v>
      </c>
      <c r="C289">
        <v>210784</v>
      </c>
      <c r="E289" t="s">
        <v>117</v>
      </c>
      <c r="F289">
        <v>368</v>
      </c>
      <c r="G289" t="s">
        <v>141</v>
      </c>
      <c r="H289" t="s">
        <v>142</v>
      </c>
      <c r="I289" t="s">
        <v>279</v>
      </c>
      <c r="J289" t="s">
        <v>280</v>
      </c>
      <c r="L289" t="s">
        <v>156</v>
      </c>
      <c r="M289" s="8">
        <v>45323</v>
      </c>
      <c r="N289">
        <v>5441142</v>
      </c>
      <c r="O289" t="s">
        <v>123</v>
      </c>
      <c r="P289" t="s">
        <v>146</v>
      </c>
      <c r="Q289">
        <v>5.03</v>
      </c>
      <c r="R289" t="s">
        <v>559</v>
      </c>
      <c r="S289" t="s">
        <v>126</v>
      </c>
      <c r="T289" t="s">
        <v>559</v>
      </c>
      <c r="U289" t="s">
        <v>560</v>
      </c>
      <c r="W289">
        <v>1.55</v>
      </c>
      <c r="X289">
        <v>3.48</v>
      </c>
      <c r="Y289">
        <v>5.03</v>
      </c>
      <c r="Z289">
        <v>1.91</v>
      </c>
      <c r="AG289">
        <v>1.55</v>
      </c>
      <c r="AI289">
        <v>1.57</v>
      </c>
      <c r="BH289" t="s">
        <v>126</v>
      </c>
      <c r="BI289" t="s">
        <v>126</v>
      </c>
      <c r="BJ289" t="s">
        <v>126</v>
      </c>
      <c r="BK289" t="s">
        <v>126</v>
      </c>
      <c r="BS289" t="s">
        <v>126</v>
      </c>
      <c r="BT289" t="s">
        <v>126</v>
      </c>
      <c r="BU289" t="s">
        <v>126</v>
      </c>
      <c r="BV289" t="s">
        <v>126</v>
      </c>
      <c r="CN289" t="s">
        <v>147</v>
      </c>
      <c r="CP289" t="s">
        <v>149</v>
      </c>
      <c r="CQ289" t="s">
        <v>147</v>
      </c>
    </row>
    <row r="290" spans="1:95" x14ac:dyDescent="0.2">
      <c r="A290" t="s">
        <v>115</v>
      </c>
      <c r="B290" t="s">
        <v>116</v>
      </c>
      <c r="C290">
        <v>210784</v>
      </c>
      <c r="E290" t="s">
        <v>117</v>
      </c>
      <c r="F290">
        <v>368</v>
      </c>
      <c r="G290" t="s">
        <v>141</v>
      </c>
      <c r="H290" t="s">
        <v>142</v>
      </c>
      <c r="I290" t="s">
        <v>279</v>
      </c>
      <c r="J290" t="s">
        <v>280</v>
      </c>
      <c r="L290" t="s">
        <v>167</v>
      </c>
      <c r="M290" s="8">
        <v>45323</v>
      </c>
      <c r="N290">
        <v>5427444</v>
      </c>
      <c r="O290" t="s">
        <v>123</v>
      </c>
      <c r="P290" t="s">
        <v>146</v>
      </c>
      <c r="Q290">
        <v>4.17</v>
      </c>
      <c r="R290" t="s">
        <v>125</v>
      </c>
      <c r="S290" t="s">
        <v>126</v>
      </c>
      <c r="T290" t="s">
        <v>125</v>
      </c>
      <c r="U290" t="s">
        <v>126</v>
      </c>
      <c r="W290">
        <v>4.17</v>
      </c>
      <c r="Y290">
        <v>4.17</v>
      </c>
      <c r="BE290">
        <v>4.17</v>
      </c>
      <c r="BH290" t="s">
        <v>126</v>
      </c>
      <c r="BI290" t="s">
        <v>126</v>
      </c>
      <c r="BJ290" t="s">
        <v>126</v>
      </c>
      <c r="BK290" t="s">
        <v>126</v>
      </c>
      <c r="BS290" t="s">
        <v>126</v>
      </c>
      <c r="BT290" t="s">
        <v>126</v>
      </c>
      <c r="BU290" t="s">
        <v>126</v>
      </c>
      <c r="BV290" t="s">
        <v>126</v>
      </c>
      <c r="CN290" t="s">
        <v>147</v>
      </c>
      <c r="CP290" t="s">
        <v>227</v>
      </c>
      <c r="CQ290" t="s">
        <v>147</v>
      </c>
    </row>
    <row r="291" spans="1:95" x14ac:dyDescent="0.2">
      <c r="A291" t="s">
        <v>115</v>
      </c>
      <c r="B291" t="s">
        <v>116</v>
      </c>
      <c r="C291">
        <v>210784</v>
      </c>
      <c r="E291" t="s">
        <v>117</v>
      </c>
      <c r="F291">
        <v>368</v>
      </c>
      <c r="G291" t="s">
        <v>141</v>
      </c>
      <c r="H291" t="s">
        <v>142</v>
      </c>
      <c r="I291" t="s">
        <v>279</v>
      </c>
      <c r="J291" t="s">
        <v>280</v>
      </c>
      <c r="L291" t="s">
        <v>163</v>
      </c>
      <c r="M291" s="8">
        <v>45323</v>
      </c>
      <c r="N291">
        <v>5434315</v>
      </c>
      <c r="O291" t="s">
        <v>123</v>
      </c>
      <c r="P291" t="s">
        <v>146</v>
      </c>
      <c r="Q291">
        <v>1.96</v>
      </c>
      <c r="R291" t="s">
        <v>125</v>
      </c>
      <c r="S291" t="s">
        <v>126</v>
      </c>
      <c r="T291" t="s">
        <v>125</v>
      </c>
      <c r="U291" t="s">
        <v>126</v>
      </c>
      <c r="W291">
        <v>1.96</v>
      </c>
      <c r="Y291">
        <v>1.96</v>
      </c>
      <c r="BE291">
        <v>1.96</v>
      </c>
      <c r="BH291" t="s">
        <v>126</v>
      </c>
      <c r="BI291" t="s">
        <v>126</v>
      </c>
      <c r="BJ291" t="s">
        <v>126</v>
      </c>
      <c r="BK291" t="s">
        <v>126</v>
      </c>
      <c r="BS291" t="s">
        <v>126</v>
      </c>
      <c r="BT291" t="s">
        <v>126</v>
      </c>
      <c r="BU291" t="s">
        <v>126</v>
      </c>
      <c r="BV291" t="s">
        <v>126</v>
      </c>
      <c r="CN291" t="s">
        <v>147</v>
      </c>
      <c r="CP291" t="s">
        <v>149</v>
      </c>
      <c r="CQ291" t="s">
        <v>147</v>
      </c>
    </row>
    <row r="292" spans="1:95" x14ac:dyDescent="0.2">
      <c r="A292" t="s">
        <v>115</v>
      </c>
      <c r="B292" t="s">
        <v>116</v>
      </c>
      <c r="C292">
        <v>210784</v>
      </c>
      <c r="E292" t="s">
        <v>117</v>
      </c>
      <c r="F292">
        <v>368</v>
      </c>
      <c r="G292" t="s">
        <v>141</v>
      </c>
      <c r="H292" t="s">
        <v>142</v>
      </c>
      <c r="I292" t="s">
        <v>143</v>
      </c>
      <c r="J292" t="s">
        <v>144</v>
      </c>
      <c r="L292" t="s">
        <v>145</v>
      </c>
      <c r="M292" s="8">
        <v>45352</v>
      </c>
      <c r="N292">
        <v>2346</v>
      </c>
      <c r="O292" t="s">
        <v>123</v>
      </c>
      <c r="P292" t="s">
        <v>146</v>
      </c>
      <c r="Q292">
        <v>0.21</v>
      </c>
      <c r="R292" t="s">
        <v>125</v>
      </c>
      <c r="S292" t="s">
        <v>126</v>
      </c>
      <c r="T292" t="s">
        <v>125</v>
      </c>
      <c r="U292" t="s">
        <v>126</v>
      </c>
      <c r="W292">
        <v>0.21</v>
      </c>
      <c r="Y292">
        <v>0.21</v>
      </c>
      <c r="AB292">
        <v>0.21</v>
      </c>
      <c r="BH292" t="s">
        <v>126</v>
      </c>
      <c r="BI292" t="s">
        <v>126</v>
      </c>
      <c r="BJ292" t="s">
        <v>126</v>
      </c>
      <c r="BK292" t="s">
        <v>126</v>
      </c>
      <c r="BS292" t="s">
        <v>126</v>
      </c>
      <c r="BT292" t="s">
        <v>126</v>
      </c>
      <c r="BU292" t="s">
        <v>126</v>
      </c>
      <c r="BV292" t="s">
        <v>126</v>
      </c>
      <c r="CN292" t="s">
        <v>147</v>
      </c>
      <c r="CP292" t="s">
        <v>148</v>
      </c>
      <c r="CQ292" t="s">
        <v>147</v>
      </c>
    </row>
    <row r="293" spans="1:95" x14ac:dyDescent="0.2">
      <c r="A293" t="s">
        <v>115</v>
      </c>
      <c r="B293" t="s">
        <v>116</v>
      </c>
      <c r="C293">
        <v>210784</v>
      </c>
      <c r="E293" t="s">
        <v>117</v>
      </c>
      <c r="F293">
        <v>368</v>
      </c>
      <c r="G293" t="s">
        <v>141</v>
      </c>
      <c r="H293" t="s">
        <v>142</v>
      </c>
      <c r="I293" t="s">
        <v>143</v>
      </c>
      <c r="J293" t="s">
        <v>144</v>
      </c>
      <c r="L293" t="s">
        <v>149</v>
      </c>
      <c r="M293" s="8">
        <v>45352</v>
      </c>
      <c r="N293">
        <v>2316</v>
      </c>
      <c r="O293" t="s">
        <v>123</v>
      </c>
      <c r="P293" t="s">
        <v>146</v>
      </c>
      <c r="Q293">
        <v>0.31</v>
      </c>
      <c r="R293" t="s">
        <v>125</v>
      </c>
      <c r="S293" t="s">
        <v>126</v>
      </c>
      <c r="T293" t="s">
        <v>125</v>
      </c>
      <c r="U293" t="s">
        <v>126</v>
      </c>
      <c r="W293">
        <v>0.31</v>
      </c>
      <c r="Y293">
        <v>0.31</v>
      </c>
      <c r="AB293">
        <v>0.31</v>
      </c>
      <c r="BH293" t="s">
        <v>126</v>
      </c>
      <c r="BI293" t="s">
        <v>126</v>
      </c>
      <c r="BJ293" t="s">
        <v>126</v>
      </c>
      <c r="BK293" t="s">
        <v>126</v>
      </c>
      <c r="BS293" t="s">
        <v>126</v>
      </c>
      <c r="BT293" t="s">
        <v>126</v>
      </c>
      <c r="BU293" t="s">
        <v>126</v>
      </c>
      <c r="BV293" t="s">
        <v>126</v>
      </c>
      <c r="CN293" t="s">
        <v>147</v>
      </c>
      <c r="CP293" t="s">
        <v>148</v>
      </c>
      <c r="CQ293" t="s">
        <v>147</v>
      </c>
    </row>
    <row r="294" spans="1:95" x14ac:dyDescent="0.2">
      <c r="A294" t="s">
        <v>115</v>
      </c>
      <c r="B294" t="s">
        <v>116</v>
      </c>
      <c r="C294">
        <v>210784</v>
      </c>
      <c r="E294" t="s">
        <v>117</v>
      </c>
      <c r="F294">
        <v>368</v>
      </c>
      <c r="G294" t="s">
        <v>141</v>
      </c>
      <c r="H294" t="s">
        <v>142</v>
      </c>
      <c r="I294" t="s">
        <v>143</v>
      </c>
      <c r="J294" t="s">
        <v>144</v>
      </c>
      <c r="L294" t="s">
        <v>150</v>
      </c>
      <c r="M294" s="8">
        <v>45352</v>
      </c>
      <c r="N294">
        <v>105629</v>
      </c>
      <c r="O294" t="s">
        <v>123</v>
      </c>
      <c r="P294" t="s">
        <v>146</v>
      </c>
      <c r="Q294">
        <v>0.47</v>
      </c>
      <c r="R294" t="s">
        <v>125</v>
      </c>
      <c r="S294" t="s">
        <v>126</v>
      </c>
      <c r="T294" t="s">
        <v>125</v>
      </c>
      <c r="U294" t="s">
        <v>126</v>
      </c>
      <c r="W294">
        <v>0.47</v>
      </c>
      <c r="Y294">
        <v>0.47</v>
      </c>
      <c r="AB294">
        <v>0.47</v>
      </c>
      <c r="BH294" t="s">
        <v>126</v>
      </c>
      <c r="BI294" t="s">
        <v>126</v>
      </c>
      <c r="BJ294" t="s">
        <v>126</v>
      </c>
      <c r="BK294" t="s">
        <v>126</v>
      </c>
      <c r="BS294" t="s">
        <v>126</v>
      </c>
      <c r="BT294" t="s">
        <v>126</v>
      </c>
      <c r="BU294" t="s">
        <v>126</v>
      </c>
      <c r="BV294" t="s">
        <v>126</v>
      </c>
      <c r="CN294" t="s">
        <v>147</v>
      </c>
      <c r="CP294" t="s">
        <v>148</v>
      </c>
      <c r="CQ294" t="s">
        <v>147</v>
      </c>
    </row>
    <row r="295" spans="1:95" x14ac:dyDescent="0.2">
      <c r="A295" t="s">
        <v>115</v>
      </c>
      <c r="B295" t="s">
        <v>116</v>
      </c>
      <c r="C295">
        <v>210784</v>
      </c>
      <c r="E295" t="s">
        <v>117</v>
      </c>
      <c r="F295">
        <v>368</v>
      </c>
      <c r="G295" t="s">
        <v>141</v>
      </c>
      <c r="H295" t="s">
        <v>142</v>
      </c>
      <c r="I295" t="s">
        <v>143</v>
      </c>
      <c r="J295" t="s">
        <v>144</v>
      </c>
      <c r="L295" t="s">
        <v>151</v>
      </c>
      <c r="M295" s="8">
        <v>45352</v>
      </c>
      <c r="N295">
        <v>2314</v>
      </c>
      <c r="O295" t="s">
        <v>123</v>
      </c>
      <c r="P295" t="s">
        <v>146</v>
      </c>
      <c r="Q295">
        <v>0.12</v>
      </c>
      <c r="R295" t="s">
        <v>125</v>
      </c>
      <c r="S295" t="s">
        <v>126</v>
      </c>
      <c r="T295" t="s">
        <v>125</v>
      </c>
      <c r="U295" t="s">
        <v>126</v>
      </c>
      <c r="W295">
        <v>0.12</v>
      </c>
      <c r="Y295">
        <v>0.12</v>
      </c>
      <c r="AB295">
        <v>0.12</v>
      </c>
      <c r="BH295" t="s">
        <v>126</v>
      </c>
      <c r="BI295" t="s">
        <v>126</v>
      </c>
      <c r="BJ295" t="s">
        <v>126</v>
      </c>
      <c r="BK295" t="s">
        <v>126</v>
      </c>
      <c r="BS295" t="s">
        <v>126</v>
      </c>
      <c r="BT295" t="s">
        <v>126</v>
      </c>
      <c r="BU295" t="s">
        <v>126</v>
      </c>
      <c r="BV295" t="s">
        <v>126</v>
      </c>
      <c r="CN295" t="s">
        <v>147</v>
      </c>
      <c r="CP295" t="s">
        <v>148</v>
      </c>
      <c r="CQ295" t="s">
        <v>147</v>
      </c>
    </row>
    <row r="296" spans="1:95" x14ac:dyDescent="0.2">
      <c r="A296" t="s">
        <v>115</v>
      </c>
      <c r="B296" t="s">
        <v>116</v>
      </c>
      <c r="C296">
        <v>210784</v>
      </c>
      <c r="E296" t="s">
        <v>117</v>
      </c>
      <c r="F296">
        <v>368</v>
      </c>
      <c r="G296" t="s">
        <v>141</v>
      </c>
      <c r="H296" t="s">
        <v>142</v>
      </c>
      <c r="I296" t="s">
        <v>143</v>
      </c>
      <c r="J296" t="s">
        <v>144</v>
      </c>
      <c r="L296" t="s">
        <v>152</v>
      </c>
      <c r="M296" s="8">
        <v>45352</v>
      </c>
      <c r="N296">
        <v>2302</v>
      </c>
      <c r="O296" t="s">
        <v>123</v>
      </c>
      <c r="P296" t="s">
        <v>146</v>
      </c>
      <c r="Q296">
        <v>0.3</v>
      </c>
      <c r="R296" t="s">
        <v>125</v>
      </c>
      <c r="S296" t="s">
        <v>126</v>
      </c>
      <c r="T296" t="s">
        <v>125</v>
      </c>
      <c r="U296" t="s">
        <v>126</v>
      </c>
      <c r="W296">
        <v>0.3</v>
      </c>
      <c r="Y296">
        <v>0.3</v>
      </c>
      <c r="AB296">
        <v>0.3</v>
      </c>
      <c r="BH296" t="s">
        <v>126</v>
      </c>
      <c r="BI296" t="s">
        <v>126</v>
      </c>
      <c r="BJ296" t="s">
        <v>126</v>
      </c>
      <c r="BK296" t="s">
        <v>126</v>
      </c>
      <c r="BS296" t="s">
        <v>126</v>
      </c>
      <c r="BT296" t="s">
        <v>126</v>
      </c>
      <c r="BU296" t="s">
        <v>126</v>
      </c>
      <c r="BV296" t="s">
        <v>126</v>
      </c>
      <c r="CN296" t="s">
        <v>147</v>
      </c>
      <c r="CP296" t="s">
        <v>148</v>
      </c>
      <c r="CQ296" t="s">
        <v>147</v>
      </c>
    </row>
    <row r="297" spans="1:95" x14ac:dyDescent="0.2">
      <c r="A297" t="s">
        <v>115</v>
      </c>
      <c r="B297" t="s">
        <v>116</v>
      </c>
      <c r="C297">
        <v>210784</v>
      </c>
      <c r="E297" t="s">
        <v>117</v>
      </c>
      <c r="F297">
        <v>368</v>
      </c>
      <c r="G297" t="s">
        <v>141</v>
      </c>
      <c r="H297" t="s">
        <v>142</v>
      </c>
      <c r="I297" t="s">
        <v>143</v>
      </c>
      <c r="J297" t="s">
        <v>144</v>
      </c>
      <c r="L297" t="s">
        <v>153</v>
      </c>
      <c r="M297" s="8">
        <v>45352</v>
      </c>
      <c r="N297">
        <v>12600</v>
      </c>
      <c r="O297" t="s">
        <v>123</v>
      </c>
      <c r="P297" t="s">
        <v>146</v>
      </c>
      <c r="Q297">
        <v>0.19</v>
      </c>
      <c r="R297" t="s">
        <v>125</v>
      </c>
      <c r="S297" t="s">
        <v>126</v>
      </c>
      <c r="T297" t="s">
        <v>125</v>
      </c>
      <c r="U297" t="s">
        <v>126</v>
      </c>
      <c r="W297">
        <v>0.19</v>
      </c>
      <c r="Y297">
        <v>0.19</v>
      </c>
      <c r="AB297">
        <v>0.19</v>
      </c>
      <c r="BH297" t="s">
        <v>126</v>
      </c>
      <c r="BI297" t="s">
        <v>126</v>
      </c>
      <c r="BJ297" t="s">
        <v>126</v>
      </c>
      <c r="BK297" t="s">
        <v>126</v>
      </c>
      <c r="BS297" t="s">
        <v>126</v>
      </c>
      <c r="BT297" t="s">
        <v>126</v>
      </c>
      <c r="BU297" t="s">
        <v>126</v>
      </c>
      <c r="BV297" t="s">
        <v>126</v>
      </c>
      <c r="CN297" t="s">
        <v>147</v>
      </c>
      <c r="CP297" t="s">
        <v>148</v>
      </c>
      <c r="CQ297" t="s">
        <v>147</v>
      </c>
    </row>
    <row r="298" spans="1:95" x14ac:dyDescent="0.2">
      <c r="A298" t="s">
        <v>115</v>
      </c>
      <c r="B298" t="s">
        <v>116</v>
      </c>
      <c r="C298">
        <v>210784</v>
      </c>
      <c r="E298" t="s">
        <v>117</v>
      </c>
      <c r="F298">
        <v>368</v>
      </c>
      <c r="G298" t="s">
        <v>141</v>
      </c>
      <c r="H298" t="s">
        <v>142</v>
      </c>
      <c r="I298" t="s">
        <v>143</v>
      </c>
      <c r="J298" t="s">
        <v>144</v>
      </c>
      <c r="L298" t="s">
        <v>154</v>
      </c>
      <c r="M298" s="8">
        <v>45352</v>
      </c>
      <c r="N298">
        <v>12579</v>
      </c>
      <c r="O298" t="s">
        <v>123</v>
      </c>
      <c r="P298" t="s">
        <v>146</v>
      </c>
      <c r="Q298">
        <v>0.25</v>
      </c>
      <c r="R298" t="s">
        <v>125</v>
      </c>
      <c r="S298" t="s">
        <v>126</v>
      </c>
      <c r="T298" t="s">
        <v>125</v>
      </c>
      <c r="U298" t="s">
        <v>126</v>
      </c>
      <c r="W298">
        <v>0.25</v>
      </c>
      <c r="Y298">
        <v>0.25</v>
      </c>
      <c r="AB298">
        <v>0.25</v>
      </c>
      <c r="BH298" t="s">
        <v>126</v>
      </c>
      <c r="BI298" t="s">
        <v>126</v>
      </c>
      <c r="BJ298" t="s">
        <v>126</v>
      </c>
      <c r="BK298" t="s">
        <v>126</v>
      </c>
      <c r="BS298" t="s">
        <v>126</v>
      </c>
      <c r="BT298" t="s">
        <v>126</v>
      </c>
      <c r="BU298" t="s">
        <v>126</v>
      </c>
      <c r="BV298" t="s">
        <v>126</v>
      </c>
      <c r="CN298" t="s">
        <v>147</v>
      </c>
      <c r="CP298" t="s">
        <v>148</v>
      </c>
      <c r="CQ298" t="s">
        <v>147</v>
      </c>
    </row>
    <row r="299" spans="1:95" x14ac:dyDescent="0.2">
      <c r="A299" t="s">
        <v>115</v>
      </c>
      <c r="B299" t="s">
        <v>116</v>
      </c>
      <c r="C299">
        <v>210784</v>
      </c>
      <c r="E299" t="s">
        <v>117</v>
      </c>
      <c r="F299">
        <v>368</v>
      </c>
      <c r="G299" t="s">
        <v>141</v>
      </c>
      <c r="H299" t="s">
        <v>142</v>
      </c>
      <c r="I299" t="s">
        <v>204</v>
      </c>
      <c r="J299" t="s">
        <v>205</v>
      </c>
      <c r="L299" t="s">
        <v>154</v>
      </c>
      <c r="M299" s="8">
        <v>45352</v>
      </c>
      <c r="N299">
        <v>98811</v>
      </c>
      <c r="O299" t="s">
        <v>123</v>
      </c>
      <c r="P299" t="s">
        <v>146</v>
      </c>
      <c r="Q299">
        <v>7.18</v>
      </c>
      <c r="R299" t="s">
        <v>125</v>
      </c>
      <c r="S299" t="s">
        <v>126</v>
      </c>
      <c r="T299" t="s">
        <v>125</v>
      </c>
      <c r="U299" t="s">
        <v>126</v>
      </c>
      <c r="W299">
        <v>7.18</v>
      </c>
      <c r="Y299">
        <v>7.18</v>
      </c>
      <c r="AC299">
        <v>7.18</v>
      </c>
      <c r="BH299" t="s">
        <v>126</v>
      </c>
      <c r="BI299" t="s">
        <v>126</v>
      </c>
      <c r="BJ299" t="s">
        <v>126</v>
      </c>
      <c r="BK299" t="s">
        <v>126</v>
      </c>
      <c r="BS299" t="s">
        <v>126</v>
      </c>
      <c r="BT299" t="s">
        <v>126</v>
      </c>
      <c r="BU299" t="s">
        <v>126</v>
      </c>
      <c r="BV299" t="s">
        <v>126</v>
      </c>
      <c r="CN299" t="s">
        <v>147</v>
      </c>
      <c r="CP299" t="s">
        <v>149</v>
      </c>
      <c r="CQ299" t="s">
        <v>147</v>
      </c>
    </row>
    <row r="300" spans="1:95" x14ac:dyDescent="0.2">
      <c r="A300" t="s">
        <v>115</v>
      </c>
      <c r="B300" t="s">
        <v>116</v>
      </c>
      <c r="C300">
        <v>210784</v>
      </c>
      <c r="E300" t="s">
        <v>117</v>
      </c>
      <c r="F300">
        <v>368</v>
      </c>
      <c r="G300" t="s">
        <v>141</v>
      </c>
      <c r="H300" t="s">
        <v>142</v>
      </c>
      <c r="I300" t="s">
        <v>204</v>
      </c>
      <c r="J300" t="s">
        <v>205</v>
      </c>
      <c r="L300" t="s">
        <v>228</v>
      </c>
      <c r="M300" s="8">
        <v>45352</v>
      </c>
      <c r="N300">
        <v>99048</v>
      </c>
      <c r="O300" t="s">
        <v>123</v>
      </c>
      <c r="P300" t="s">
        <v>146</v>
      </c>
      <c r="Q300">
        <v>8.48</v>
      </c>
      <c r="R300" t="s">
        <v>125</v>
      </c>
      <c r="S300" t="s">
        <v>126</v>
      </c>
      <c r="T300" t="s">
        <v>125</v>
      </c>
      <c r="U300" t="s">
        <v>126</v>
      </c>
      <c r="W300">
        <v>8.48</v>
      </c>
      <c r="Y300">
        <v>8.48</v>
      </c>
      <c r="AC300">
        <v>8.48</v>
      </c>
      <c r="BH300" t="s">
        <v>126</v>
      </c>
      <c r="BI300" t="s">
        <v>126</v>
      </c>
      <c r="BJ300" t="s">
        <v>126</v>
      </c>
      <c r="BK300" t="s">
        <v>126</v>
      </c>
      <c r="BS300" t="s">
        <v>126</v>
      </c>
      <c r="BT300" t="s">
        <v>126</v>
      </c>
      <c r="BU300" t="s">
        <v>126</v>
      </c>
      <c r="BV300" t="s">
        <v>126</v>
      </c>
      <c r="CN300" t="s">
        <v>147</v>
      </c>
      <c r="CP300" t="s">
        <v>149</v>
      </c>
      <c r="CQ300" t="s">
        <v>147</v>
      </c>
    </row>
    <row r="301" spans="1:95" x14ac:dyDescent="0.2">
      <c r="A301" t="s">
        <v>115</v>
      </c>
      <c r="B301" t="s">
        <v>116</v>
      </c>
      <c r="C301">
        <v>210784</v>
      </c>
      <c r="E301" t="s">
        <v>117</v>
      </c>
      <c r="F301">
        <v>368</v>
      </c>
      <c r="G301" t="s">
        <v>229</v>
      </c>
      <c r="H301" t="s">
        <v>230</v>
      </c>
      <c r="I301" t="s">
        <v>204</v>
      </c>
      <c r="J301" t="s">
        <v>205</v>
      </c>
      <c r="L301" t="s">
        <v>154</v>
      </c>
      <c r="M301" s="8">
        <v>45352</v>
      </c>
      <c r="N301">
        <v>98811</v>
      </c>
      <c r="O301" t="s">
        <v>123</v>
      </c>
      <c r="P301" t="s">
        <v>146</v>
      </c>
      <c r="Q301">
        <v>7.18</v>
      </c>
      <c r="R301" t="s">
        <v>125</v>
      </c>
      <c r="S301" t="s">
        <v>126</v>
      </c>
      <c r="T301" t="s">
        <v>125</v>
      </c>
      <c r="U301" t="s">
        <v>126</v>
      </c>
      <c r="W301">
        <v>7.18</v>
      </c>
      <c r="Y301">
        <v>7.18</v>
      </c>
      <c r="AC301">
        <v>7.18</v>
      </c>
      <c r="BH301" t="s">
        <v>126</v>
      </c>
      <c r="BI301" t="s">
        <v>126</v>
      </c>
      <c r="BJ301" t="s">
        <v>126</v>
      </c>
      <c r="BK301" t="s">
        <v>126</v>
      </c>
      <c r="BS301" t="s">
        <v>126</v>
      </c>
      <c r="BT301" t="s">
        <v>126</v>
      </c>
      <c r="BU301" t="s">
        <v>126</v>
      </c>
      <c r="BV301" t="s">
        <v>126</v>
      </c>
      <c r="CN301" t="s">
        <v>230</v>
      </c>
      <c r="CP301" t="s">
        <v>231</v>
      </c>
      <c r="CQ301" t="s">
        <v>230</v>
      </c>
    </row>
    <row r="302" spans="1:95" x14ac:dyDescent="0.2">
      <c r="A302" t="s">
        <v>115</v>
      </c>
      <c r="B302" t="s">
        <v>116</v>
      </c>
      <c r="C302">
        <v>210784</v>
      </c>
      <c r="E302" t="s">
        <v>117</v>
      </c>
      <c r="F302">
        <v>368</v>
      </c>
      <c r="G302" t="s">
        <v>229</v>
      </c>
      <c r="H302" t="s">
        <v>230</v>
      </c>
      <c r="I302" t="s">
        <v>204</v>
      </c>
      <c r="J302" t="s">
        <v>205</v>
      </c>
      <c r="L302" t="s">
        <v>228</v>
      </c>
      <c r="M302" s="8">
        <v>45352</v>
      </c>
      <c r="N302">
        <v>99048</v>
      </c>
      <c r="O302" t="s">
        <v>123</v>
      </c>
      <c r="P302" t="s">
        <v>146</v>
      </c>
      <c r="Q302">
        <v>8.48</v>
      </c>
      <c r="R302" t="s">
        <v>125</v>
      </c>
      <c r="S302" t="s">
        <v>126</v>
      </c>
      <c r="T302" t="s">
        <v>125</v>
      </c>
      <c r="U302" t="s">
        <v>126</v>
      </c>
      <c r="W302">
        <v>8.48</v>
      </c>
      <c r="Y302">
        <v>8.48</v>
      </c>
      <c r="AC302">
        <v>8.48</v>
      </c>
      <c r="BH302" t="s">
        <v>126</v>
      </c>
      <c r="BI302" t="s">
        <v>126</v>
      </c>
      <c r="BJ302" t="s">
        <v>126</v>
      </c>
      <c r="BK302" t="s">
        <v>126</v>
      </c>
      <c r="BS302" t="s">
        <v>126</v>
      </c>
      <c r="BT302" t="s">
        <v>126</v>
      </c>
      <c r="BU302" t="s">
        <v>126</v>
      </c>
      <c r="BV302" t="s">
        <v>126</v>
      </c>
      <c r="CN302" t="s">
        <v>230</v>
      </c>
      <c r="CP302" t="s">
        <v>231</v>
      </c>
      <c r="CQ302" t="s">
        <v>230</v>
      </c>
    </row>
    <row r="303" spans="1:95" x14ac:dyDescent="0.2">
      <c r="A303" t="s">
        <v>115</v>
      </c>
      <c r="B303" t="s">
        <v>116</v>
      </c>
      <c r="C303">
        <v>210784</v>
      </c>
      <c r="E303" t="s">
        <v>117</v>
      </c>
      <c r="F303">
        <v>368</v>
      </c>
      <c r="G303" t="s">
        <v>229</v>
      </c>
      <c r="H303" t="s">
        <v>230</v>
      </c>
      <c r="I303" t="s">
        <v>204</v>
      </c>
      <c r="J303" t="s">
        <v>205</v>
      </c>
      <c r="L303" t="s">
        <v>232</v>
      </c>
      <c r="M303" s="8">
        <v>45352</v>
      </c>
      <c r="N303">
        <v>99405</v>
      </c>
      <c r="O303" t="s">
        <v>123</v>
      </c>
      <c r="P303" t="s">
        <v>146</v>
      </c>
      <c r="Q303">
        <v>10.36</v>
      </c>
      <c r="R303" t="s">
        <v>125</v>
      </c>
      <c r="S303" t="s">
        <v>126</v>
      </c>
      <c r="T303" t="s">
        <v>125</v>
      </c>
      <c r="U303" t="s">
        <v>126</v>
      </c>
      <c r="W303">
        <v>10.36</v>
      </c>
      <c r="Y303">
        <v>10.36</v>
      </c>
      <c r="AC303">
        <v>10.36</v>
      </c>
      <c r="BH303" t="s">
        <v>126</v>
      </c>
      <c r="BI303" t="s">
        <v>126</v>
      </c>
      <c r="BJ303" t="s">
        <v>126</v>
      </c>
      <c r="BK303" t="s">
        <v>126</v>
      </c>
      <c r="BS303" t="s">
        <v>126</v>
      </c>
      <c r="BT303" t="s">
        <v>126</v>
      </c>
      <c r="BU303" t="s">
        <v>126</v>
      </c>
      <c r="BV303" t="s">
        <v>126</v>
      </c>
      <c r="CN303" t="s">
        <v>230</v>
      </c>
      <c r="CP303" t="s">
        <v>231</v>
      </c>
      <c r="CQ303" t="s">
        <v>230</v>
      </c>
    </row>
    <row r="304" spans="1:95" x14ac:dyDescent="0.2">
      <c r="A304" t="s">
        <v>115</v>
      </c>
      <c r="B304" t="s">
        <v>116</v>
      </c>
      <c r="C304">
        <v>210784</v>
      </c>
      <c r="E304" t="s">
        <v>117</v>
      </c>
      <c r="F304">
        <v>368</v>
      </c>
      <c r="G304" t="s">
        <v>229</v>
      </c>
      <c r="H304" t="s">
        <v>230</v>
      </c>
      <c r="I304" t="s">
        <v>204</v>
      </c>
      <c r="J304" t="s">
        <v>205</v>
      </c>
      <c r="L304" t="s">
        <v>148</v>
      </c>
      <c r="M304" s="8">
        <v>45352</v>
      </c>
      <c r="N304">
        <v>99602</v>
      </c>
      <c r="O304" t="s">
        <v>123</v>
      </c>
      <c r="P304" t="s">
        <v>146</v>
      </c>
      <c r="Q304">
        <v>9.27</v>
      </c>
      <c r="R304" t="s">
        <v>125</v>
      </c>
      <c r="S304" t="s">
        <v>126</v>
      </c>
      <c r="T304" t="s">
        <v>125</v>
      </c>
      <c r="U304" t="s">
        <v>126</v>
      </c>
      <c r="W304">
        <v>9.27</v>
      </c>
      <c r="Y304">
        <v>9.27</v>
      </c>
      <c r="AC304">
        <v>9.27</v>
      </c>
      <c r="BH304" t="s">
        <v>126</v>
      </c>
      <c r="BI304" t="s">
        <v>126</v>
      </c>
      <c r="BJ304" t="s">
        <v>126</v>
      </c>
      <c r="BK304" t="s">
        <v>126</v>
      </c>
      <c r="BS304" t="s">
        <v>126</v>
      </c>
      <c r="BT304" t="s">
        <v>126</v>
      </c>
      <c r="BU304" t="s">
        <v>126</v>
      </c>
      <c r="BV304" t="s">
        <v>126</v>
      </c>
      <c r="CN304" t="s">
        <v>230</v>
      </c>
      <c r="CP304" t="s">
        <v>231</v>
      </c>
      <c r="CQ304" t="s">
        <v>230</v>
      </c>
    </row>
    <row r="305" spans="1:95" x14ac:dyDescent="0.2">
      <c r="A305" t="s">
        <v>115</v>
      </c>
      <c r="B305" t="s">
        <v>116</v>
      </c>
      <c r="C305">
        <v>210784</v>
      </c>
      <c r="E305" t="s">
        <v>117</v>
      </c>
      <c r="F305">
        <v>368</v>
      </c>
      <c r="G305" t="s">
        <v>229</v>
      </c>
      <c r="H305" t="s">
        <v>230</v>
      </c>
      <c r="I305" t="s">
        <v>204</v>
      </c>
      <c r="J305" t="s">
        <v>205</v>
      </c>
      <c r="L305" t="s">
        <v>233</v>
      </c>
      <c r="M305" s="8">
        <v>45352</v>
      </c>
      <c r="N305">
        <v>99831</v>
      </c>
      <c r="O305" t="s">
        <v>123</v>
      </c>
      <c r="P305" t="s">
        <v>146</v>
      </c>
      <c r="Q305">
        <v>5.92</v>
      </c>
      <c r="R305" t="s">
        <v>125</v>
      </c>
      <c r="S305" t="s">
        <v>126</v>
      </c>
      <c r="T305" t="s">
        <v>125</v>
      </c>
      <c r="U305" t="s">
        <v>126</v>
      </c>
      <c r="W305">
        <v>5.92</v>
      </c>
      <c r="Y305">
        <v>5.92</v>
      </c>
      <c r="AC305">
        <v>5.92</v>
      </c>
      <c r="BH305" t="s">
        <v>126</v>
      </c>
      <c r="BI305" t="s">
        <v>126</v>
      </c>
      <c r="BJ305" t="s">
        <v>126</v>
      </c>
      <c r="BK305" t="s">
        <v>126</v>
      </c>
      <c r="BS305" t="s">
        <v>126</v>
      </c>
      <c r="BT305" t="s">
        <v>126</v>
      </c>
      <c r="BU305" t="s">
        <v>126</v>
      </c>
      <c r="BV305" t="s">
        <v>126</v>
      </c>
      <c r="CN305" t="s">
        <v>230</v>
      </c>
      <c r="CP305" t="s">
        <v>231</v>
      </c>
      <c r="CQ305" t="s">
        <v>230</v>
      </c>
    </row>
    <row r="306" spans="1:95" x14ac:dyDescent="0.2">
      <c r="A306" t="s">
        <v>115</v>
      </c>
      <c r="B306" t="s">
        <v>116</v>
      </c>
      <c r="C306">
        <v>210784</v>
      </c>
      <c r="E306" t="s">
        <v>117</v>
      </c>
      <c r="F306">
        <v>368</v>
      </c>
      <c r="G306" t="s">
        <v>141</v>
      </c>
      <c r="H306" t="s">
        <v>142</v>
      </c>
      <c r="I306" t="s">
        <v>204</v>
      </c>
      <c r="J306" t="s">
        <v>205</v>
      </c>
      <c r="L306" t="s">
        <v>233</v>
      </c>
      <c r="M306" s="8">
        <v>45352</v>
      </c>
      <c r="N306">
        <v>99831</v>
      </c>
      <c r="O306" t="s">
        <v>123</v>
      </c>
      <c r="P306" t="s">
        <v>146</v>
      </c>
      <c r="Q306">
        <v>5.92</v>
      </c>
      <c r="R306" t="s">
        <v>125</v>
      </c>
      <c r="S306" t="s">
        <v>126</v>
      </c>
      <c r="T306" t="s">
        <v>125</v>
      </c>
      <c r="U306" t="s">
        <v>126</v>
      </c>
      <c r="W306">
        <v>5.92</v>
      </c>
      <c r="Y306">
        <v>5.92</v>
      </c>
      <c r="AC306">
        <v>5.92</v>
      </c>
      <c r="BH306" t="s">
        <v>126</v>
      </c>
      <c r="BI306" t="s">
        <v>126</v>
      </c>
      <c r="BJ306" t="s">
        <v>126</v>
      </c>
      <c r="BK306" t="s">
        <v>126</v>
      </c>
      <c r="BS306" t="s">
        <v>126</v>
      </c>
      <c r="BT306" t="s">
        <v>126</v>
      </c>
      <c r="BU306" t="s">
        <v>126</v>
      </c>
      <c r="BV306" t="s">
        <v>126</v>
      </c>
      <c r="CN306" t="s">
        <v>147</v>
      </c>
      <c r="CP306" t="s">
        <v>258</v>
      </c>
      <c r="CQ306" t="s">
        <v>147</v>
      </c>
    </row>
    <row r="307" spans="1:95" x14ac:dyDescent="0.2">
      <c r="A307" t="s">
        <v>115</v>
      </c>
      <c r="B307" t="s">
        <v>116</v>
      </c>
      <c r="C307">
        <v>210784</v>
      </c>
      <c r="E307" t="s">
        <v>117</v>
      </c>
      <c r="F307">
        <v>368</v>
      </c>
      <c r="G307" t="s">
        <v>141</v>
      </c>
      <c r="H307" t="s">
        <v>142</v>
      </c>
      <c r="I307" t="s">
        <v>204</v>
      </c>
      <c r="J307" t="s">
        <v>205</v>
      </c>
      <c r="L307" t="s">
        <v>148</v>
      </c>
      <c r="M307" s="8">
        <v>45352</v>
      </c>
      <c r="N307">
        <v>99586</v>
      </c>
      <c r="O307" t="s">
        <v>123</v>
      </c>
      <c r="P307" t="s">
        <v>146</v>
      </c>
      <c r="Q307">
        <v>4.7</v>
      </c>
      <c r="R307" t="s">
        <v>125</v>
      </c>
      <c r="S307" t="s">
        <v>126</v>
      </c>
      <c r="T307" t="s">
        <v>125</v>
      </c>
      <c r="U307" t="s">
        <v>126</v>
      </c>
      <c r="W307">
        <v>4.7</v>
      </c>
      <c r="Y307">
        <v>4.7</v>
      </c>
      <c r="AC307">
        <v>4.7</v>
      </c>
      <c r="BH307" t="s">
        <v>126</v>
      </c>
      <c r="BI307" t="s">
        <v>126</v>
      </c>
      <c r="BJ307" t="s">
        <v>126</v>
      </c>
      <c r="BK307" t="s">
        <v>126</v>
      </c>
      <c r="BS307" t="s">
        <v>126</v>
      </c>
      <c r="BT307" t="s">
        <v>126</v>
      </c>
      <c r="BU307" t="s">
        <v>126</v>
      </c>
      <c r="BV307" t="s">
        <v>126</v>
      </c>
      <c r="CN307" t="s">
        <v>147</v>
      </c>
      <c r="CP307" t="s">
        <v>258</v>
      </c>
      <c r="CQ307" t="s">
        <v>147</v>
      </c>
    </row>
    <row r="308" spans="1:95" x14ac:dyDescent="0.2">
      <c r="A308" t="s">
        <v>115</v>
      </c>
      <c r="B308" t="s">
        <v>116</v>
      </c>
      <c r="C308">
        <v>210784</v>
      </c>
      <c r="E308" t="s">
        <v>117</v>
      </c>
      <c r="F308">
        <v>368</v>
      </c>
      <c r="G308" t="s">
        <v>141</v>
      </c>
      <c r="H308" t="s">
        <v>142</v>
      </c>
      <c r="I308" t="s">
        <v>204</v>
      </c>
      <c r="J308" t="s">
        <v>205</v>
      </c>
      <c r="L308" t="s">
        <v>148</v>
      </c>
      <c r="M308" s="8">
        <v>45352</v>
      </c>
      <c r="N308">
        <v>99602</v>
      </c>
      <c r="O308" t="s">
        <v>123</v>
      </c>
      <c r="P308" t="s">
        <v>146</v>
      </c>
      <c r="Q308">
        <v>9.27</v>
      </c>
      <c r="R308" t="s">
        <v>125</v>
      </c>
      <c r="S308" t="s">
        <v>126</v>
      </c>
      <c r="T308" t="s">
        <v>125</v>
      </c>
      <c r="U308" t="s">
        <v>126</v>
      </c>
      <c r="W308">
        <v>9.27</v>
      </c>
      <c r="Y308">
        <v>9.27</v>
      </c>
      <c r="AC308">
        <v>9.27</v>
      </c>
      <c r="BH308" t="s">
        <v>126</v>
      </c>
      <c r="BI308" t="s">
        <v>126</v>
      </c>
      <c r="BJ308" t="s">
        <v>126</v>
      </c>
      <c r="BK308" t="s">
        <v>126</v>
      </c>
      <c r="BS308" t="s">
        <v>126</v>
      </c>
      <c r="BT308" t="s">
        <v>126</v>
      </c>
      <c r="BU308" t="s">
        <v>126</v>
      </c>
      <c r="BV308" t="s">
        <v>126</v>
      </c>
      <c r="CN308" t="s">
        <v>147</v>
      </c>
      <c r="CP308" t="s">
        <v>258</v>
      </c>
      <c r="CQ308" t="s">
        <v>147</v>
      </c>
    </row>
    <row r="309" spans="1:95" x14ac:dyDescent="0.2">
      <c r="A309" t="s">
        <v>115</v>
      </c>
      <c r="B309" t="s">
        <v>116</v>
      </c>
      <c r="C309">
        <v>210784</v>
      </c>
      <c r="E309" t="s">
        <v>117</v>
      </c>
      <c r="F309">
        <v>368</v>
      </c>
      <c r="G309" t="s">
        <v>141</v>
      </c>
      <c r="H309" t="s">
        <v>142</v>
      </c>
      <c r="I309" t="s">
        <v>204</v>
      </c>
      <c r="J309" t="s">
        <v>205</v>
      </c>
      <c r="L309" t="s">
        <v>232</v>
      </c>
      <c r="M309" s="8">
        <v>45352</v>
      </c>
      <c r="N309">
        <v>99405</v>
      </c>
      <c r="O309" t="s">
        <v>123</v>
      </c>
      <c r="P309" t="s">
        <v>146</v>
      </c>
      <c r="Q309">
        <v>10.36</v>
      </c>
      <c r="R309" t="s">
        <v>125</v>
      </c>
      <c r="S309" t="s">
        <v>126</v>
      </c>
      <c r="T309" t="s">
        <v>125</v>
      </c>
      <c r="U309" t="s">
        <v>126</v>
      </c>
      <c r="W309">
        <v>10.36</v>
      </c>
      <c r="Y309">
        <v>10.36</v>
      </c>
      <c r="AC309">
        <v>10.36</v>
      </c>
      <c r="BH309" t="s">
        <v>126</v>
      </c>
      <c r="BI309" t="s">
        <v>126</v>
      </c>
      <c r="BJ309" t="s">
        <v>126</v>
      </c>
      <c r="BK309" t="s">
        <v>126</v>
      </c>
      <c r="BS309" t="s">
        <v>126</v>
      </c>
      <c r="BT309" t="s">
        <v>126</v>
      </c>
      <c r="BU309" t="s">
        <v>126</v>
      </c>
      <c r="BV309" t="s">
        <v>126</v>
      </c>
      <c r="CN309" t="s">
        <v>147</v>
      </c>
      <c r="CP309" t="s">
        <v>258</v>
      </c>
      <c r="CQ309" t="s">
        <v>147</v>
      </c>
    </row>
    <row r="310" spans="1:95" x14ac:dyDescent="0.2">
      <c r="A310" t="s">
        <v>115</v>
      </c>
      <c r="B310" t="s">
        <v>116</v>
      </c>
      <c r="C310">
        <v>210784</v>
      </c>
      <c r="E310" t="s">
        <v>117</v>
      </c>
      <c r="F310">
        <v>368</v>
      </c>
      <c r="G310" t="s">
        <v>176</v>
      </c>
      <c r="H310" t="s">
        <v>177</v>
      </c>
      <c r="I310" t="s">
        <v>510</v>
      </c>
      <c r="J310" t="s">
        <v>511</v>
      </c>
      <c r="L310" t="s">
        <v>514</v>
      </c>
      <c r="M310" s="8">
        <v>45352</v>
      </c>
      <c r="N310">
        <v>345942</v>
      </c>
      <c r="O310" t="s">
        <v>123</v>
      </c>
      <c r="P310" t="s">
        <v>124</v>
      </c>
      <c r="Q310">
        <v>1.57</v>
      </c>
      <c r="R310" t="s">
        <v>125</v>
      </c>
      <c r="S310" t="s">
        <v>126</v>
      </c>
      <c r="T310" t="s">
        <v>125</v>
      </c>
      <c r="U310" t="s">
        <v>126</v>
      </c>
      <c r="W310">
        <v>1.57</v>
      </c>
      <c r="Y310">
        <v>1.57</v>
      </c>
      <c r="AF310">
        <v>1.57</v>
      </c>
      <c r="BH310" t="s">
        <v>126</v>
      </c>
      <c r="BI310" t="s">
        <v>126</v>
      </c>
      <c r="BJ310" t="s">
        <v>126</v>
      </c>
      <c r="BK310" t="s">
        <v>126</v>
      </c>
      <c r="BS310" t="s">
        <v>126</v>
      </c>
      <c r="BT310" t="s">
        <v>126</v>
      </c>
      <c r="BU310" t="s">
        <v>126</v>
      </c>
      <c r="BV310" t="s">
        <v>126</v>
      </c>
      <c r="CN310" t="s">
        <v>181</v>
      </c>
      <c r="CP310" t="s">
        <v>360</v>
      </c>
      <c r="CQ310" t="s">
        <v>181</v>
      </c>
    </row>
    <row r="311" spans="1:95" x14ac:dyDescent="0.2">
      <c r="A311" t="s">
        <v>115</v>
      </c>
      <c r="B311" t="s">
        <v>116</v>
      </c>
      <c r="C311">
        <v>210784</v>
      </c>
      <c r="E311" t="s">
        <v>117</v>
      </c>
      <c r="F311">
        <v>368</v>
      </c>
      <c r="G311" t="s">
        <v>141</v>
      </c>
      <c r="H311" t="s">
        <v>142</v>
      </c>
      <c r="I311" t="s">
        <v>279</v>
      </c>
      <c r="J311" t="s">
        <v>280</v>
      </c>
      <c r="L311" t="s">
        <v>591</v>
      </c>
      <c r="M311" s="8">
        <v>45352</v>
      </c>
      <c r="N311">
        <v>5443827</v>
      </c>
      <c r="O311" t="s">
        <v>123</v>
      </c>
      <c r="P311" t="s">
        <v>146</v>
      </c>
      <c r="Q311">
        <v>2.5</v>
      </c>
      <c r="R311" t="s">
        <v>592</v>
      </c>
      <c r="S311" t="s">
        <v>126</v>
      </c>
      <c r="T311" t="s">
        <v>592</v>
      </c>
      <c r="U311" t="s">
        <v>593</v>
      </c>
      <c r="W311">
        <v>0.77</v>
      </c>
      <c r="X311">
        <v>1.73</v>
      </c>
      <c r="Y311">
        <v>2.5</v>
      </c>
      <c r="Z311">
        <v>0.95</v>
      </c>
      <c r="AG311">
        <v>0.77</v>
      </c>
      <c r="AI311">
        <v>0.78</v>
      </c>
      <c r="BH311" t="s">
        <v>126</v>
      </c>
      <c r="BI311" t="s">
        <v>126</v>
      </c>
      <c r="BJ311" t="s">
        <v>126</v>
      </c>
      <c r="BK311" t="s">
        <v>126</v>
      </c>
      <c r="BS311" t="s">
        <v>126</v>
      </c>
      <c r="BT311" t="s">
        <v>126</v>
      </c>
      <c r="BU311" t="s">
        <v>126</v>
      </c>
      <c r="BV311" t="s">
        <v>126</v>
      </c>
      <c r="CN311" t="s">
        <v>147</v>
      </c>
      <c r="CP311" t="s">
        <v>149</v>
      </c>
      <c r="CQ311" t="s">
        <v>147</v>
      </c>
    </row>
    <row r="312" spans="1:95" x14ac:dyDescent="0.2">
      <c r="A312" t="s">
        <v>115</v>
      </c>
      <c r="B312" t="s">
        <v>116</v>
      </c>
      <c r="C312">
        <v>210784</v>
      </c>
      <c r="E312" t="s">
        <v>117</v>
      </c>
      <c r="F312">
        <v>368</v>
      </c>
      <c r="G312" t="s">
        <v>141</v>
      </c>
      <c r="H312" t="s">
        <v>142</v>
      </c>
      <c r="I312" t="s">
        <v>204</v>
      </c>
      <c r="J312" t="s">
        <v>205</v>
      </c>
      <c r="L312" t="s">
        <v>154</v>
      </c>
      <c r="M312" s="8">
        <v>45352</v>
      </c>
      <c r="N312">
        <v>88</v>
      </c>
      <c r="O312" t="s">
        <v>123</v>
      </c>
      <c r="P312" t="s">
        <v>146</v>
      </c>
      <c r="Q312">
        <v>2.82</v>
      </c>
      <c r="R312" t="s">
        <v>594</v>
      </c>
      <c r="S312" t="s">
        <v>126</v>
      </c>
      <c r="T312" t="s">
        <v>594</v>
      </c>
      <c r="U312" t="s">
        <v>595</v>
      </c>
      <c r="W312">
        <v>0.87</v>
      </c>
      <c r="X312">
        <v>1.9500000000000002</v>
      </c>
      <c r="Y312">
        <v>2.82</v>
      </c>
      <c r="Z312">
        <v>1.07</v>
      </c>
      <c r="AG312">
        <v>0.87</v>
      </c>
      <c r="AI312">
        <v>0.88</v>
      </c>
      <c r="BH312" t="s">
        <v>126</v>
      </c>
      <c r="BI312" t="s">
        <v>126</v>
      </c>
      <c r="BJ312" t="s">
        <v>126</v>
      </c>
      <c r="BK312" t="s">
        <v>126</v>
      </c>
      <c r="BS312" t="s">
        <v>126</v>
      </c>
      <c r="BT312" t="s">
        <v>126</v>
      </c>
      <c r="BU312" t="s">
        <v>126</v>
      </c>
      <c r="BV312" t="s">
        <v>126</v>
      </c>
      <c r="CN312" t="s">
        <v>147</v>
      </c>
      <c r="CP312" t="s">
        <v>149</v>
      </c>
      <c r="CQ312" t="s">
        <v>147</v>
      </c>
    </row>
    <row r="313" spans="1:95" x14ac:dyDescent="0.2">
      <c r="A313" t="s">
        <v>115</v>
      </c>
      <c r="B313" t="s">
        <v>116</v>
      </c>
      <c r="C313">
        <v>210784</v>
      </c>
      <c r="E313" t="s">
        <v>117</v>
      </c>
      <c r="F313">
        <v>368</v>
      </c>
      <c r="G313" t="s">
        <v>141</v>
      </c>
      <c r="H313" t="s">
        <v>142</v>
      </c>
      <c r="I313" t="s">
        <v>284</v>
      </c>
      <c r="J313" t="s">
        <v>285</v>
      </c>
      <c r="L313" t="s">
        <v>228</v>
      </c>
      <c r="M313" s="8">
        <v>45352</v>
      </c>
      <c r="N313">
        <v>101625</v>
      </c>
      <c r="O313" t="s">
        <v>123</v>
      </c>
      <c r="P313" t="s">
        <v>146</v>
      </c>
      <c r="Q313">
        <v>2.7800000000000002</v>
      </c>
      <c r="R313" t="s">
        <v>125</v>
      </c>
      <c r="S313" t="s">
        <v>126</v>
      </c>
      <c r="T313" t="s">
        <v>125</v>
      </c>
      <c r="U313" t="s">
        <v>126</v>
      </c>
      <c r="W313">
        <v>2.7800000000000002</v>
      </c>
      <c r="Y313">
        <v>2.7800000000000002</v>
      </c>
      <c r="AF313">
        <v>0.55600000000000005</v>
      </c>
      <c r="AG313">
        <v>0.83399999999999996</v>
      </c>
      <c r="BE313">
        <v>1.39</v>
      </c>
      <c r="BH313" t="s">
        <v>126</v>
      </c>
      <c r="BI313" t="s">
        <v>126</v>
      </c>
      <c r="BJ313" t="s">
        <v>126</v>
      </c>
      <c r="BK313" t="s">
        <v>126</v>
      </c>
      <c r="BS313" t="s">
        <v>126</v>
      </c>
      <c r="BT313" t="s">
        <v>126</v>
      </c>
      <c r="BU313" t="s">
        <v>126</v>
      </c>
      <c r="BV313" t="s">
        <v>126</v>
      </c>
      <c r="CN313" t="s">
        <v>147</v>
      </c>
      <c r="CP313" t="s">
        <v>149</v>
      </c>
      <c r="CQ313" t="s">
        <v>147</v>
      </c>
    </row>
    <row r="314" spans="1:95" x14ac:dyDescent="0.2">
      <c r="A314" t="s">
        <v>115</v>
      </c>
      <c r="B314" t="s">
        <v>116</v>
      </c>
      <c r="C314">
        <v>210784</v>
      </c>
      <c r="E314" t="s">
        <v>117</v>
      </c>
      <c r="F314">
        <v>368</v>
      </c>
      <c r="G314" t="s">
        <v>141</v>
      </c>
      <c r="H314" t="s">
        <v>142</v>
      </c>
      <c r="I314" t="s">
        <v>279</v>
      </c>
      <c r="J314" t="s">
        <v>280</v>
      </c>
      <c r="L314" t="s">
        <v>150</v>
      </c>
      <c r="M314" s="8">
        <v>45352</v>
      </c>
      <c r="N314">
        <v>5455133</v>
      </c>
      <c r="O314" t="s">
        <v>123</v>
      </c>
      <c r="P314" t="s">
        <v>146</v>
      </c>
      <c r="Q314">
        <v>3.49</v>
      </c>
      <c r="R314" t="s">
        <v>596</v>
      </c>
      <c r="S314" t="s">
        <v>126</v>
      </c>
      <c r="T314" t="s">
        <v>596</v>
      </c>
      <c r="U314" t="s">
        <v>597</v>
      </c>
      <c r="W314">
        <v>1.08</v>
      </c>
      <c r="X314">
        <v>2.41</v>
      </c>
      <c r="Y314">
        <v>3.49</v>
      </c>
      <c r="Z314">
        <v>1.32</v>
      </c>
      <c r="AG314">
        <v>1.08</v>
      </c>
      <c r="AI314">
        <v>1.0900000000000001</v>
      </c>
      <c r="BH314" t="s">
        <v>126</v>
      </c>
      <c r="BI314" t="s">
        <v>126</v>
      </c>
      <c r="BJ314" t="s">
        <v>126</v>
      </c>
      <c r="BK314" t="s">
        <v>126</v>
      </c>
      <c r="BS314" t="s">
        <v>126</v>
      </c>
      <c r="BT314" t="s">
        <v>126</v>
      </c>
      <c r="BU314" t="s">
        <v>126</v>
      </c>
      <c r="BV314" t="s">
        <v>126</v>
      </c>
      <c r="CN314" t="s">
        <v>147</v>
      </c>
      <c r="CP314" t="s">
        <v>148</v>
      </c>
      <c r="CQ314" t="s">
        <v>147</v>
      </c>
    </row>
    <row r="315" spans="1:95" x14ac:dyDescent="0.2">
      <c r="A315" t="s">
        <v>115</v>
      </c>
      <c r="B315" t="s">
        <v>116</v>
      </c>
      <c r="C315">
        <v>210784</v>
      </c>
      <c r="E315" t="s">
        <v>117</v>
      </c>
      <c r="F315">
        <v>368</v>
      </c>
      <c r="G315" t="s">
        <v>141</v>
      </c>
      <c r="H315" t="s">
        <v>142</v>
      </c>
      <c r="I315" t="s">
        <v>279</v>
      </c>
      <c r="J315" t="s">
        <v>280</v>
      </c>
      <c r="L315" t="s">
        <v>148</v>
      </c>
      <c r="M315" s="8">
        <v>45352</v>
      </c>
      <c r="N315">
        <v>5458262</v>
      </c>
      <c r="O315" t="s">
        <v>123</v>
      </c>
      <c r="P315" t="s">
        <v>146</v>
      </c>
      <c r="Q315">
        <v>2.59</v>
      </c>
      <c r="R315" t="s">
        <v>598</v>
      </c>
      <c r="S315" t="s">
        <v>126</v>
      </c>
      <c r="T315" t="s">
        <v>598</v>
      </c>
      <c r="U315" t="s">
        <v>599</v>
      </c>
      <c r="W315">
        <v>0.8</v>
      </c>
      <c r="X315">
        <v>1.79</v>
      </c>
      <c r="Y315">
        <v>2.59</v>
      </c>
      <c r="Z315">
        <v>0.98</v>
      </c>
      <c r="AG315">
        <v>0.8</v>
      </c>
      <c r="AI315">
        <v>0.81</v>
      </c>
      <c r="BH315" t="s">
        <v>126</v>
      </c>
      <c r="BI315" t="s">
        <v>126</v>
      </c>
      <c r="BJ315" t="s">
        <v>126</v>
      </c>
      <c r="BK315" t="s">
        <v>126</v>
      </c>
      <c r="BS315" t="s">
        <v>126</v>
      </c>
      <c r="BT315" t="s">
        <v>126</v>
      </c>
      <c r="BU315" t="s">
        <v>126</v>
      </c>
      <c r="BV315" t="s">
        <v>126</v>
      </c>
      <c r="CN315" t="s">
        <v>147</v>
      </c>
      <c r="CP315" t="s">
        <v>600</v>
      </c>
      <c r="CQ315" t="s">
        <v>147</v>
      </c>
    </row>
    <row r="316" spans="1:95" x14ac:dyDescent="0.2">
      <c r="A316" t="s">
        <v>115</v>
      </c>
      <c r="B316" t="s">
        <v>116</v>
      </c>
      <c r="C316">
        <v>210784</v>
      </c>
      <c r="E316" t="s">
        <v>117</v>
      </c>
      <c r="F316">
        <v>368</v>
      </c>
      <c r="G316" t="s">
        <v>141</v>
      </c>
      <c r="H316" t="s">
        <v>142</v>
      </c>
      <c r="I316" t="s">
        <v>279</v>
      </c>
      <c r="J316" t="s">
        <v>280</v>
      </c>
      <c r="L316" t="s">
        <v>601</v>
      </c>
      <c r="M316" s="8">
        <v>45352</v>
      </c>
      <c r="N316">
        <v>5459647</v>
      </c>
      <c r="O316" t="s">
        <v>123</v>
      </c>
      <c r="P316" t="s">
        <v>146</v>
      </c>
      <c r="Q316">
        <v>4.12</v>
      </c>
      <c r="R316" t="s">
        <v>602</v>
      </c>
      <c r="S316" t="s">
        <v>126</v>
      </c>
      <c r="T316" t="s">
        <v>602</v>
      </c>
      <c r="U316" t="s">
        <v>603</v>
      </c>
      <c r="W316">
        <v>1.27</v>
      </c>
      <c r="X316">
        <v>2.85</v>
      </c>
      <c r="Y316">
        <v>4.12</v>
      </c>
      <c r="Z316">
        <v>1.57</v>
      </c>
      <c r="AG316">
        <v>1.27</v>
      </c>
      <c r="AI316">
        <v>1.28</v>
      </c>
      <c r="BH316" t="s">
        <v>126</v>
      </c>
      <c r="BI316" t="s">
        <v>126</v>
      </c>
      <c r="BJ316" t="s">
        <v>126</v>
      </c>
      <c r="BK316" t="s">
        <v>126</v>
      </c>
      <c r="BS316" t="s">
        <v>126</v>
      </c>
      <c r="BT316" t="s">
        <v>126</v>
      </c>
      <c r="BU316" t="s">
        <v>126</v>
      </c>
      <c r="BV316" t="s">
        <v>126</v>
      </c>
      <c r="CN316" t="s">
        <v>147</v>
      </c>
      <c r="CP316" t="s">
        <v>600</v>
      </c>
      <c r="CQ316" t="s">
        <v>147</v>
      </c>
    </row>
    <row r="317" spans="1:95" x14ac:dyDescent="0.2">
      <c r="A317" t="s">
        <v>115</v>
      </c>
      <c r="B317" t="s">
        <v>116</v>
      </c>
      <c r="C317">
        <v>210784</v>
      </c>
      <c r="E317" t="s">
        <v>117</v>
      </c>
      <c r="F317">
        <v>368</v>
      </c>
      <c r="G317" t="s">
        <v>141</v>
      </c>
      <c r="H317" t="s">
        <v>142</v>
      </c>
      <c r="I317" t="s">
        <v>279</v>
      </c>
      <c r="J317" t="s">
        <v>280</v>
      </c>
      <c r="L317" t="s">
        <v>233</v>
      </c>
      <c r="M317" s="8">
        <v>45352</v>
      </c>
      <c r="N317">
        <v>5462110</v>
      </c>
      <c r="O317" t="s">
        <v>123</v>
      </c>
      <c r="P317" t="s">
        <v>146</v>
      </c>
      <c r="Q317">
        <v>2.8650000000000002</v>
      </c>
      <c r="R317" t="s">
        <v>544</v>
      </c>
      <c r="S317" t="s">
        <v>126</v>
      </c>
      <c r="T317" t="s">
        <v>544</v>
      </c>
      <c r="U317" t="s">
        <v>545</v>
      </c>
      <c r="W317">
        <v>0.88</v>
      </c>
      <c r="X317">
        <v>1.9849999999999999</v>
      </c>
      <c r="Y317">
        <v>2.8650000000000002</v>
      </c>
      <c r="Z317">
        <v>1.095</v>
      </c>
      <c r="AG317">
        <v>0.88</v>
      </c>
      <c r="AI317">
        <v>0.89</v>
      </c>
      <c r="BH317" t="s">
        <v>126</v>
      </c>
      <c r="BI317" t="s">
        <v>126</v>
      </c>
      <c r="BJ317" t="s">
        <v>126</v>
      </c>
      <c r="BK317" t="s">
        <v>126</v>
      </c>
      <c r="BS317" t="s">
        <v>126</v>
      </c>
      <c r="BT317" t="s">
        <v>126</v>
      </c>
      <c r="BU317" t="s">
        <v>126</v>
      </c>
      <c r="BV317" t="s">
        <v>126</v>
      </c>
      <c r="CN317" t="s">
        <v>147</v>
      </c>
      <c r="CP317" t="s">
        <v>600</v>
      </c>
      <c r="CQ317" t="s">
        <v>147</v>
      </c>
    </row>
    <row r="318" spans="1:95" x14ac:dyDescent="0.2">
      <c r="A318" t="s">
        <v>115</v>
      </c>
      <c r="B318" t="s">
        <v>116</v>
      </c>
      <c r="C318">
        <v>210784</v>
      </c>
      <c r="E318" t="s">
        <v>117</v>
      </c>
      <c r="F318">
        <v>368</v>
      </c>
      <c r="G318" t="s">
        <v>141</v>
      </c>
      <c r="H318" t="s">
        <v>142</v>
      </c>
      <c r="I318" t="s">
        <v>279</v>
      </c>
      <c r="J318" t="s">
        <v>280</v>
      </c>
      <c r="L318" t="s">
        <v>154</v>
      </c>
      <c r="M318" s="8">
        <v>45352</v>
      </c>
      <c r="N318">
        <v>5447683</v>
      </c>
      <c r="O318" t="s">
        <v>123</v>
      </c>
      <c r="P318" t="s">
        <v>146</v>
      </c>
      <c r="Q318">
        <v>4.49</v>
      </c>
      <c r="R318" t="s">
        <v>125</v>
      </c>
      <c r="S318" t="s">
        <v>126</v>
      </c>
      <c r="T318" t="s">
        <v>125</v>
      </c>
      <c r="U318" t="s">
        <v>126</v>
      </c>
      <c r="W318">
        <v>4.49</v>
      </c>
      <c r="Y318">
        <v>4.49</v>
      </c>
      <c r="BE318">
        <v>4.49</v>
      </c>
      <c r="BH318" t="s">
        <v>126</v>
      </c>
      <c r="BI318" t="s">
        <v>126</v>
      </c>
      <c r="BJ318" t="s">
        <v>126</v>
      </c>
      <c r="BK318" t="s">
        <v>126</v>
      </c>
      <c r="BS318" t="s">
        <v>126</v>
      </c>
      <c r="BT318" t="s">
        <v>126</v>
      </c>
      <c r="BU318" t="s">
        <v>126</v>
      </c>
      <c r="BV318" t="s">
        <v>126</v>
      </c>
      <c r="CN318" t="s">
        <v>147</v>
      </c>
      <c r="CP318" t="s">
        <v>149</v>
      </c>
      <c r="CQ318" t="s">
        <v>147</v>
      </c>
    </row>
    <row r="319" spans="1:95" x14ac:dyDescent="0.2">
      <c r="A319" t="s">
        <v>115</v>
      </c>
      <c r="B319" t="s">
        <v>116</v>
      </c>
      <c r="C319">
        <v>210784</v>
      </c>
      <c r="E319" t="s">
        <v>117</v>
      </c>
      <c r="F319">
        <v>368</v>
      </c>
      <c r="G319" t="s">
        <v>141</v>
      </c>
      <c r="H319" t="s">
        <v>142</v>
      </c>
      <c r="I319" t="s">
        <v>279</v>
      </c>
      <c r="J319" t="s">
        <v>280</v>
      </c>
      <c r="L319" t="s">
        <v>152</v>
      </c>
      <c r="M319" s="8">
        <v>45352</v>
      </c>
      <c r="N319">
        <v>5449654</v>
      </c>
      <c r="O319" t="s">
        <v>123</v>
      </c>
      <c r="P319" t="s">
        <v>146</v>
      </c>
      <c r="Q319">
        <v>4.46</v>
      </c>
      <c r="R319" t="s">
        <v>125</v>
      </c>
      <c r="S319" t="s">
        <v>126</v>
      </c>
      <c r="T319" t="s">
        <v>125</v>
      </c>
      <c r="U319" t="s">
        <v>126</v>
      </c>
      <c r="W319">
        <v>4.46</v>
      </c>
      <c r="Y319">
        <v>4.46</v>
      </c>
      <c r="BE319">
        <v>4.46</v>
      </c>
      <c r="BH319" t="s">
        <v>126</v>
      </c>
      <c r="BI319" t="s">
        <v>126</v>
      </c>
      <c r="BJ319" t="s">
        <v>126</v>
      </c>
      <c r="BK319" t="s">
        <v>126</v>
      </c>
      <c r="BS319" t="s">
        <v>126</v>
      </c>
      <c r="BT319" t="s">
        <v>126</v>
      </c>
      <c r="BU319" t="s">
        <v>126</v>
      </c>
      <c r="BV319" t="s">
        <v>126</v>
      </c>
      <c r="CN319" t="s">
        <v>147</v>
      </c>
      <c r="CP319" t="s">
        <v>149</v>
      </c>
      <c r="CQ319" t="s">
        <v>147</v>
      </c>
    </row>
    <row r="320" spans="1:95" x14ac:dyDescent="0.2">
      <c r="A320" t="s">
        <v>115</v>
      </c>
      <c r="B320" t="s">
        <v>116</v>
      </c>
      <c r="C320">
        <v>210784</v>
      </c>
      <c r="E320" t="s">
        <v>117</v>
      </c>
      <c r="F320">
        <v>368</v>
      </c>
      <c r="G320" t="s">
        <v>141</v>
      </c>
      <c r="H320" t="s">
        <v>142</v>
      </c>
      <c r="I320" t="s">
        <v>279</v>
      </c>
      <c r="J320" t="s">
        <v>280</v>
      </c>
      <c r="L320" t="s">
        <v>151</v>
      </c>
      <c r="M320" s="8">
        <v>45352</v>
      </c>
      <c r="N320">
        <v>5452127</v>
      </c>
      <c r="O320" t="s">
        <v>123</v>
      </c>
      <c r="P320" t="s">
        <v>146</v>
      </c>
      <c r="Q320">
        <v>5.36</v>
      </c>
      <c r="R320" t="s">
        <v>125</v>
      </c>
      <c r="S320" t="s">
        <v>126</v>
      </c>
      <c r="T320" t="s">
        <v>125</v>
      </c>
      <c r="U320" t="s">
        <v>126</v>
      </c>
      <c r="W320">
        <v>5.36</v>
      </c>
      <c r="Y320">
        <v>5.36</v>
      </c>
      <c r="BE320">
        <v>5.36</v>
      </c>
      <c r="BH320" t="s">
        <v>126</v>
      </c>
      <c r="BI320" t="s">
        <v>126</v>
      </c>
      <c r="BJ320" t="s">
        <v>126</v>
      </c>
      <c r="BK320" t="s">
        <v>126</v>
      </c>
      <c r="BS320" t="s">
        <v>126</v>
      </c>
      <c r="BT320" t="s">
        <v>126</v>
      </c>
      <c r="BU320" t="s">
        <v>126</v>
      </c>
      <c r="BV320" t="s">
        <v>126</v>
      </c>
      <c r="CN320" t="s">
        <v>147</v>
      </c>
      <c r="CP320" t="s">
        <v>149</v>
      </c>
      <c r="CQ320" t="s">
        <v>147</v>
      </c>
    </row>
    <row r="321" spans="1:95" x14ac:dyDescent="0.2">
      <c r="A321" t="s">
        <v>115</v>
      </c>
      <c r="B321" t="s">
        <v>116</v>
      </c>
      <c r="C321">
        <v>210784</v>
      </c>
      <c r="E321" t="s">
        <v>117</v>
      </c>
      <c r="F321">
        <v>368</v>
      </c>
      <c r="G321" t="s">
        <v>141</v>
      </c>
      <c r="H321" t="s">
        <v>142</v>
      </c>
      <c r="I321" t="s">
        <v>279</v>
      </c>
      <c r="J321" t="s">
        <v>280</v>
      </c>
      <c r="L321" t="s">
        <v>149</v>
      </c>
      <c r="M321" s="8">
        <v>45352</v>
      </c>
      <c r="N321">
        <v>5454057</v>
      </c>
      <c r="O321" t="s">
        <v>123</v>
      </c>
      <c r="P321" t="s">
        <v>146</v>
      </c>
      <c r="Q321">
        <v>3.31</v>
      </c>
      <c r="R321" t="s">
        <v>125</v>
      </c>
      <c r="S321" t="s">
        <v>126</v>
      </c>
      <c r="T321" t="s">
        <v>125</v>
      </c>
      <c r="U321" t="s">
        <v>126</v>
      </c>
      <c r="W321">
        <v>3.31</v>
      </c>
      <c r="Y321">
        <v>3.31</v>
      </c>
      <c r="BE321">
        <v>3.31</v>
      </c>
      <c r="BH321" t="s">
        <v>126</v>
      </c>
      <c r="BI321" t="s">
        <v>126</v>
      </c>
      <c r="BJ321" t="s">
        <v>126</v>
      </c>
      <c r="BK321" t="s">
        <v>126</v>
      </c>
      <c r="BS321" t="s">
        <v>126</v>
      </c>
      <c r="BT321" t="s">
        <v>126</v>
      </c>
      <c r="BU321" t="s">
        <v>126</v>
      </c>
      <c r="BV321" t="s">
        <v>126</v>
      </c>
      <c r="CN321" t="s">
        <v>147</v>
      </c>
      <c r="CP321" t="s">
        <v>148</v>
      </c>
      <c r="CQ321" t="s">
        <v>147</v>
      </c>
    </row>
    <row r="322" spans="1:95" x14ac:dyDescent="0.2">
      <c r="A322" t="s">
        <v>115</v>
      </c>
      <c r="B322" t="s">
        <v>116</v>
      </c>
      <c r="C322">
        <v>210784</v>
      </c>
      <c r="E322" t="s">
        <v>117</v>
      </c>
      <c r="F322">
        <v>368</v>
      </c>
      <c r="G322" t="s">
        <v>141</v>
      </c>
      <c r="H322" t="s">
        <v>142</v>
      </c>
      <c r="I322" t="s">
        <v>279</v>
      </c>
      <c r="J322" t="s">
        <v>280</v>
      </c>
      <c r="L322" t="s">
        <v>150</v>
      </c>
      <c r="M322" s="8">
        <v>45352</v>
      </c>
      <c r="N322">
        <v>5455113</v>
      </c>
      <c r="O322" t="s">
        <v>123</v>
      </c>
      <c r="P322" t="s">
        <v>146</v>
      </c>
      <c r="Q322">
        <v>3.56</v>
      </c>
      <c r="R322" t="s">
        <v>125</v>
      </c>
      <c r="S322" t="s">
        <v>126</v>
      </c>
      <c r="T322" t="s">
        <v>125</v>
      </c>
      <c r="U322" t="s">
        <v>126</v>
      </c>
      <c r="W322">
        <v>3.56</v>
      </c>
      <c r="Y322">
        <v>3.56</v>
      </c>
      <c r="BE322">
        <v>3.56</v>
      </c>
      <c r="BH322" t="s">
        <v>126</v>
      </c>
      <c r="BI322" t="s">
        <v>126</v>
      </c>
      <c r="BJ322" t="s">
        <v>126</v>
      </c>
      <c r="BK322" t="s">
        <v>126</v>
      </c>
      <c r="BS322" t="s">
        <v>126</v>
      </c>
      <c r="BT322" t="s">
        <v>126</v>
      </c>
      <c r="BU322" t="s">
        <v>126</v>
      </c>
      <c r="BV322" t="s">
        <v>126</v>
      </c>
      <c r="CN322" t="s">
        <v>147</v>
      </c>
      <c r="CP322" t="s">
        <v>148</v>
      </c>
      <c r="CQ322" t="s">
        <v>147</v>
      </c>
    </row>
    <row r="323" spans="1:95" x14ac:dyDescent="0.2">
      <c r="A323" t="s">
        <v>115</v>
      </c>
      <c r="B323" t="s">
        <v>116</v>
      </c>
      <c r="C323">
        <v>210784</v>
      </c>
      <c r="E323" t="s">
        <v>117</v>
      </c>
      <c r="F323">
        <v>368</v>
      </c>
      <c r="G323" t="s">
        <v>141</v>
      </c>
      <c r="H323" t="s">
        <v>142</v>
      </c>
      <c r="I323" t="s">
        <v>279</v>
      </c>
      <c r="J323" t="s">
        <v>280</v>
      </c>
      <c r="L323" t="s">
        <v>232</v>
      </c>
      <c r="M323" s="8">
        <v>45352</v>
      </c>
      <c r="N323">
        <v>5455972</v>
      </c>
      <c r="O323" t="s">
        <v>123</v>
      </c>
      <c r="P323" t="s">
        <v>146</v>
      </c>
      <c r="Q323">
        <v>2.36</v>
      </c>
      <c r="R323" t="s">
        <v>125</v>
      </c>
      <c r="S323" t="s">
        <v>126</v>
      </c>
      <c r="T323" t="s">
        <v>125</v>
      </c>
      <c r="U323" t="s">
        <v>126</v>
      </c>
      <c r="W323">
        <v>2.36</v>
      </c>
      <c r="Y323">
        <v>2.36</v>
      </c>
      <c r="BE323">
        <v>2.36</v>
      </c>
      <c r="BH323" t="s">
        <v>126</v>
      </c>
      <c r="BI323" t="s">
        <v>126</v>
      </c>
      <c r="BJ323" t="s">
        <v>126</v>
      </c>
      <c r="BK323" t="s">
        <v>126</v>
      </c>
      <c r="BS323" t="s">
        <v>126</v>
      </c>
      <c r="BT323" t="s">
        <v>126</v>
      </c>
      <c r="BU323" t="s">
        <v>126</v>
      </c>
      <c r="BV323" t="s">
        <v>126</v>
      </c>
      <c r="CN323" t="s">
        <v>147</v>
      </c>
      <c r="CP323" t="s">
        <v>148</v>
      </c>
      <c r="CQ323" t="s">
        <v>147</v>
      </c>
    </row>
    <row r="324" spans="1:95" x14ac:dyDescent="0.2">
      <c r="A324" t="s">
        <v>115</v>
      </c>
      <c r="B324" t="s">
        <v>116</v>
      </c>
      <c r="C324">
        <v>210784</v>
      </c>
      <c r="E324" t="s">
        <v>117</v>
      </c>
      <c r="F324">
        <v>368</v>
      </c>
      <c r="G324" t="s">
        <v>141</v>
      </c>
      <c r="H324" t="s">
        <v>142</v>
      </c>
      <c r="I324" t="s">
        <v>279</v>
      </c>
      <c r="J324" t="s">
        <v>280</v>
      </c>
      <c r="L324" t="s">
        <v>148</v>
      </c>
      <c r="M324" s="8">
        <v>45352</v>
      </c>
      <c r="N324">
        <v>5458514</v>
      </c>
      <c r="O324" t="s">
        <v>123</v>
      </c>
      <c r="P324" t="s">
        <v>146</v>
      </c>
      <c r="Q324">
        <v>4.2300000000000004</v>
      </c>
      <c r="R324" t="s">
        <v>125</v>
      </c>
      <c r="S324" t="s">
        <v>126</v>
      </c>
      <c r="T324" t="s">
        <v>125</v>
      </c>
      <c r="U324" t="s">
        <v>126</v>
      </c>
      <c r="W324">
        <v>4.2300000000000004</v>
      </c>
      <c r="Y324">
        <v>4.2300000000000004</v>
      </c>
      <c r="BE324">
        <v>4.2300000000000004</v>
      </c>
      <c r="BH324" t="s">
        <v>126</v>
      </c>
      <c r="BI324" t="s">
        <v>126</v>
      </c>
      <c r="BJ324" t="s">
        <v>126</v>
      </c>
      <c r="BK324" t="s">
        <v>126</v>
      </c>
      <c r="BS324" t="s">
        <v>126</v>
      </c>
      <c r="BT324" t="s">
        <v>126</v>
      </c>
      <c r="BU324" t="s">
        <v>126</v>
      </c>
      <c r="BV324" t="s">
        <v>126</v>
      </c>
      <c r="CN324" t="s">
        <v>147</v>
      </c>
      <c r="CP324" t="s">
        <v>600</v>
      </c>
      <c r="CQ324" t="s">
        <v>147</v>
      </c>
    </row>
    <row r="325" spans="1:95" x14ac:dyDescent="0.2">
      <c r="A325" t="s">
        <v>115</v>
      </c>
      <c r="B325" t="s">
        <v>116</v>
      </c>
      <c r="C325">
        <v>210784</v>
      </c>
      <c r="E325" t="s">
        <v>117</v>
      </c>
      <c r="F325">
        <v>368</v>
      </c>
      <c r="G325" t="s">
        <v>141</v>
      </c>
      <c r="H325" t="s">
        <v>142</v>
      </c>
      <c r="I325" t="s">
        <v>279</v>
      </c>
      <c r="J325" t="s">
        <v>280</v>
      </c>
      <c r="L325" t="s">
        <v>858</v>
      </c>
      <c r="M325" s="8">
        <v>45352</v>
      </c>
      <c r="N325">
        <v>5459935</v>
      </c>
      <c r="O325" t="s">
        <v>123</v>
      </c>
      <c r="P325" t="s">
        <v>146</v>
      </c>
      <c r="Q325">
        <v>2.7</v>
      </c>
      <c r="R325" t="s">
        <v>125</v>
      </c>
      <c r="S325" t="s">
        <v>126</v>
      </c>
      <c r="T325" t="s">
        <v>125</v>
      </c>
      <c r="U325" t="s">
        <v>126</v>
      </c>
      <c r="W325">
        <v>2.7</v>
      </c>
      <c r="Y325">
        <v>2.7</v>
      </c>
      <c r="BE325">
        <v>2.7</v>
      </c>
      <c r="BH325" t="s">
        <v>126</v>
      </c>
      <c r="BI325" t="s">
        <v>126</v>
      </c>
      <c r="BJ325" t="s">
        <v>126</v>
      </c>
      <c r="BK325" t="s">
        <v>126</v>
      </c>
      <c r="BS325" t="s">
        <v>126</v>
      </c>
      <c r="BT325" t="s">
        <v>126</v>
      </c>
      <c r="BU325" t="s">
        <v>126</v>
      </c>
      <c r="BV325" t="s">
        <v>126</v>
      </c>
      <c r="CN325" t="s">
        <v>147</v>
      </c>
      <c r="CP325" t="s">
        <v>600</v>
      </c>
      <c r="CQ325" t="s">
        <v>147</v>
      </c>
    </row>
    <row r="326" spans="1:95" x14ac:dyDescent="0.2">
      <c r="A326" t="s">
        <v>115</v>
      </c>
      <c r="B326" t="s">
        <v>116</v>
      </c>
      <c r="C326">
        <v>210784</v>
      </c>
      <c r="E326" t="s">
        <v>117</v>
      </c>
      <c r="F326">
        <v>368</v>
      </c>
      <c r="G326" t="s">
        <v>141</v>
      </c>
      <c r="H326" t="s">
        <v>142</v>
      </c>
      <c r="I326" t="s">
        <v>279</v>
      </c>
      <c r="J326" t="s">
        <v>280</v>
      </c>
      <c r="L326" t="s">
        <v>858</v>
      </c>
      <c r="M326" s="8">
        <v>45352</v>
      </c>
      <c r="N326">
        <v>5460334</v>
      </c>
      <c r="O326" t="s">
        <v>123</v>
      </c>
      <c r="P326" t="s">
        <v>146</v>
      </c>
      <c r="Q326">
        <v>1.92</v>
      </c>
      <c r="R326" t="s">
        <v>125</v>
      </c>
      <c r="S326" t="s">
        <v>126</v>
      </c>
      <c r="T326" t="s">
        <v>125</v>
      </c>
      <c r="U326" t="s">
        <v>126</v>
      </c>
      <c r="W326">
        <v>1.92</v>
      </c>
      <c r="Y326">
        <v>1.92</v>
      </c>
      <c r="BE326">
        <v>1.92</v>
      </c>
      <c r="BH326" t="s">
        <v>126</v>
      </c>
      <c r="BI326" t="s">
        <v>126</v>
      </c>
      <c r="BJ326" t="s">
        <v>126</v>
      </c>
      <c r="BK326" t="s">
        <v>126</v>
      </c>
      <c r="BS326" t="s">
        <v>126</v>
      </c>
      <c r="BT326" t="s">
        <v>126</v>
      </c>
      <c r="BU326" t="s">
        <v>126</v>
      </c>
      <c r="BV326" t="s">
        <v>126</v>
      </c>
      <c r="CN326" t="s">
        <v>147</v>
      </c>
      <c r="CP326" t="s">
        <v>600</v>
      </c>
      <c r="CQ326" t="s">
        <v>147</v>
      </c>
    </row>
    <row r="327" spans="1:95" x14ac:dyDescent="0.2">
      <c r="A327" t="s">
        <v>115</v>
      </c>
      <c r="B327" t="s">
        <v>116</v>
      </c>
      <c r="C327">
        <v>210784</v>
      </c>
      <c r="E327" t="s">
        <v>117</v>
      </c>
      <c r="F327">
        <v>368</v>
      </c>
      <c r="G327" t="s">
        <v>141</v>
      </c>
      <c r="H327" t="s">
        <v>142</v>
      </c>
      <c r="I327" t="s">
        <v>279</v>
      </c>
      <c r="J327" t="s">
        <v>280</v>
      </c>
      <c r="L327" t="s">
        <v>514</v>
      </c>
      <c r="M327" s="8">
        <v>45352</v>
      </c>
      <c r="N327">
        <v>5461198</v>
      </c>
      <c r="O327" t="s">
        <v>123</v>
      </c>
      <c r="P327" t="s">
        <v>146</v>
      </c>
      <c r="Q327">
        <v>4.0199999999999996</v>
      </c>
      <c r="R327" t="s">
        <v>125</v>
      </c>
      <c r="S327" t="s">
        <v>126</v>
      </c>
      <c r="T327" t="s">
        <v>125</v>
      </c>
      <c r="U327" t="s">
        <v>126</v>
      </c>
      <c r="W327">
        <v>4.0199999999999996</v>
      </c>
      <c r="Y327">
        <v>4.0199999999999996</v>
      </c>
      <c r="BE327">
        <v>4.0199999999999996</v>
      </c>
      <c r="BH327" t="s">
        <v>126</v>
      </c>
      <c r="BI327" t="s">
        <v>126</v>
      </c>
      <c r="BJ327" t="s">
        <v>126</v>
      </c>
      <c r="BK327" t="s">
        <v>126</v>
      </c>
      <c r="BS327" t="s">
        <v>126</v>
      </c>
      <c r="BT327" t="s">
        <v>126</v>
      </c>
      <c r="BU327" t="s">
        <v>126</v>
      </c>
      <c r="BV327" t="s">
        <v>126</v>
      </c>
      <c r="CN327" t="s">
        <v>147</v>
      </c>
      <c r="CP327" t="s">
        <v>600</v>
      </c>
      <c r="CQ327" t="s">
        <v>147</v>
      </c>
    </row>
    <row r="328" spans="1:95" x14ac:dyDescent="0.2">
      <c r="A328" t="s">
        <v>115</v>
      </c>
      <c r="B328" t="s">
        <v>116</v>
      </c>
      <c r="C328">
        <v>210784</v>
      </c>
      <c r="E328" t="s">
        <v>117</v>
      </c>
      <c r="F328">
        <v>368</v>
      </c>
      <c r="G328" t="s">
        <v>141</v>
      </c>
      <c r="H328" t="s">
        <v>142</v>
      </c>
      <c r="I328" t="s">
        <v>279</v>
      </c>
      <c r="J328" t="s">
        <v>280</v>
      </c>
      <c r="L328" t="s">
        <v>233</v>
      </c>
      <c r="M328" s="8">
        <v>45352</v>
      </c>
      <c r="N328">
        <v>5461932</v>
      </c>
      <c r="O328" t="s">
        <v>123</v>
      </c>
      <c r="P328" t="s">
        <v>146</v>
      </c>
      <c r="Q328">
        <v>3.39</v>
      </c>
      <c r="R328" t="s">
        <v>125</v>
      </c>
      <c r="S328" t="s">
        <v>126</v>
      </c>
      <c r="T328" t="s">
        <v>125</v>
      </c>
      <c r="U328" t="s">
        <v>126</v>
      </c>
      <c r="W328">
        <v>3.39</v>
      </c>
      <c r="Y328">
        <v>3.39</v>
      </c>
      <c r="BE328">
        <v>3.39</v>
      </c>
      <c r="BH328" t="s">
        <v>126</v>
      </c>
      <c r="BI328" t="s">
        <v>126</v>
      </c>
      <c r="BJ328" t="s">
        <v>126</v>
      </c>
      <c r="BK328" t="s">
        <v>126</v>
      </c>
      <c r="BS328" t="s">
        <v>126</v>
      </c>
      <c r="BT328" t="s">
        <v>126</v>
      </c>
      <c r="BU328" t="s">
        <v>126</v>
      </c>
      <c r="BV328" t="s">
        <v>126</v>
      </c>
      <c r="CN328" t="s">
        <v>147</v>
      </c>
      <c r="CP328" t="s">
        <v>600</v>
      </c>
      <c r="CQ328" t="s">
        <v>147</v>
      </c>
    </row>
    <row r="329" spans="1:95" x14ac:dyDescent="0.2">
      <c r="A329" t="s">
        <v>115</v>
      </c>
      <c r="B329" t="s">
        <v>116</v>
      </c>
      <c r="C329">
        <v>210784</v>
      </c>
      <c r="E329" t="s">
        <v>117</v>
      </c>
      <c r="F329">
        <v>368</v>
      </c>
      <c r="G329" t="s">
        <v>141</v>
      </c>
      <c r="H329" t="s">
        <v>142</v>
      </c>
      <c r="I329" t="s">
        <v>284</v>
      </c>
      <c r="J329" t="s">
        <v>285</v>
      </c>
      <c r="L329" t="s">
        <v>604</v>
      </c>
      <c r="M329" s="8">
        <v>45383</v>
      </c>
      <c r="N329">
        <v>102567</v>
      </c>
      <c r="O329" t="s">
        <v>123</v>
      </c>
      <c r="P329" t="s">
        <v>146</v>
      </c>
      <c r="Q329">
        <v>2.79</v>
      </c>
      <c r="R329" t="s">
        <v>559</v>
      </c>
      <c r="S329" t="s">
        <v>126</v>
      </c>
      <c r="T329" t="s">
        <v>559</v>
      </c>
      <c r="U329" t="s">
        <v>560</v>
      </c>
      <c r="W329">
        <v>0.86</v>
      </c>
      <c r="X329">
        <v>1.9300000000000002</v>
      </c>
      <c r="Y329">
        <v>2.79</v>
      </c>
      <c r="Z329">
        <v>1.06</v>
      </c>
      <c r="AG329">
        <v>0.86</v>
      </c>
      <c r="AI329">
        <v>0.87</v>
      </c>
      <c r="BH329" t="s">
        <v>126</v>
      </c>
      <c r="BI329" t="s">
        <v>126</v>
      </c>
      <c r="BJ329" t="s">
        <v>126</v>
      </c>
      <c r="BK329" t="s">
        <v>126</v>
      </c>
      <c r="BS329" t="s">
        <v>126</v>
      </c>
      <c r="BT329" t="s">
        <v>126</v>
      </c>
      <c r="BU329" t="s">
        <v>126</v>
      </c>
      <c r="BV329" t="s">
        <v>126</v>
      </c>
      <c r="CN329" t="s">
        <v>147</v>
      </c>
      <c r="CP329" t="s">
        <v>600</v>
      </c>
      <c r="CQ329" t="s">
        <v>147</v>
      </c>
    </row>
    <row r="330" spans="1:95" x14ac:dyDescent="0.2">
      <c r="A330" t="s">
        <v>115</v>
      </c>
      <c r="B330" t="s">
        <v>116</v>
      </c>
      <c r="C330">
        <v>210784</v>
      </c>
      <c r="E330" t="s">
        <v>117</v>
      </c>
      <c r="F330">
        <v>368</v>
      </c>
      <c r="G330" t="s">
        <v>141</v>
      </c>
      <c r="H330" t="s">
        <v>142</v>
      </c>
      <c r="I330" t="s">
        <v>279</v>
      </c>
      <c r="J330" t="s">
        <v>280</v>
      </c>
      <c r="L330" t="s">
        <v>605</v>
      </c>
      <c r="M330" s="8">
        <v>45383</v>
      </c>
      <c r="N330">
        <v>5466161</v>
      </c>
      <c r="O330" t="s">
        <v>123</v>
      </c>
      <c r="P330" t="s">
        <v>146</v>
      </c>
      <c r="Q330">
        <v>2.74</v>
      </c>
      <c r="R330" t="s">
        <v>606</v>
      </c>
      <c r="S330" t="s">
        <v>126</v>
      </c>
      <c r="T330" t="s">
        <v>606</v>
      </c>
      <c r="U330" t="s">
        <v>607</v>
      </c>
      <c r="W330">
        <v>0.84</v>
      </c>
      <c r="X330">
        <v>1.9</v>
      </c>
      <c r="Y330">
        <v>2.74</v>
      </c>
      <c r="Z330">
        <v>1.05</v>
      </c>
      <c r="AG330">
        <v>0.84</v>
      </c>
      <c r="AI330">
        <v>0.85</v>
      </c>
      <c r="BH330" t="s">
        <v>126</v>
      </c>
      <c r="BI330" t="s">
        <v>126</v>
      </c>
      <c r="BJ330" t="s">
        <v>126</v>
      </c>
      <c r="BK330" t="s">
        <v>126</v>
      </c>
      <c r="BS330" t="s">
        <v>126</v>
      </c>
      <c r="BT330" t="s">
        <v>126</v>
      </c>
      <c r="BU330" t="s">
        <v>126</v>
      </c>
      <c r="BV330" t="s">
        <v>126</v>
      </c>
      <c r="CN330" t="s">
        <v>147</v>
      </c>
      <c r="CP330" t="s">
        <v>600</v>
      </c>
      <c r="CQ330" t="s">
        <v>147</v>
      </c>
    </row>
    <row r="331" spans="1:95" x14ac:dyDescent="0.2">
      <c r="A331" t="s">
        <v>115</v>
      </c>
      <c r="B331" t="s">
        <v>116</v>
      </c>
      <c r="C331">
        <v>210784</v>
      </c>
      <c r="E331" t="s">
        <v>117</v>
      </c>
      <c r="F331">
        <v>368</v>
      </c>
      <c r="G331" t="s">
        <v>141</v>
      </c>
      <c r="H331" t="s">
        <v>142</v>
      </c>
      <c r="I331" t="s">
        <v>279</v>
      </c>
      <c r="J331" t="s">
        <v>280</v>
      </c>
      <c r="L331" t="s">
        <v>608</v>
      </c>
      <c r="M331" s="8">
        <v>45383</v>
      </c>
      <c r="N331">
        <v>5470365</v>
      </c>
      <c r="O331" t="s">
        <v>123</v>
      </c>
      <c r="P331" t="s">
        <v>146</v>
      </c>
      <c r="Q331">
        <v>3.12</v>
      </c>
      <c r="R331" t="s">
        <v>569</v>
      </c>
      <c r="S331" t="s">
        <v>126</v>
      </c>
      <c r="T331" t="s">
        <v>569</v>
      </c>
      <c r="U331" t="s">
        <v>570</v>
      </c>
      <c r="W331">
        <v>0.96</v>
      </c>
      <c r="X331">
        <v>2.16</v>
      </c>
      <c r="Y331">
        <v>3.12</v>
      </c>
      <c r="Z331">
        <v>1.19</v>
      </c>
      <c r="AG331">
        <v>0.96</v>
      </c>
      <c r="AI331">
        <v>0.97</v>
      </c>
      <c r="BH331" t="s">
        <v>126</v>
      </c>
      <c r="BI331" t="s">
        <v>126</v>
      </c>
      <c r="BJ331" t="s">
        <v>126</v>
      </c>
      <c r="BK331" t="s">
        <v>126</v>
      </c>
      <c r="BS331" t="s">
        <v>126</v>
      </c>
      <c r="BT331" t="s">
        <v>126</v>
      </c>
      <c r="BU331" t="s">
        <v>126</v>
      </c>
      <c r="BV331" t="s">
        <v>126</v>
      </c>
      <c r="CN331" t="s">
        <v>147</v>
      </c>
      <c r="CP331" t="s">
        <v>600</v>
      </c>
      <c r="CQ331" t="s">
        <v>147</v>
      </c>
    </row>
    <row r="332" spans="1:95" x14ac:dyDescent="0.2">
      <c r="A332" t="s">
        <v>115</v>
      </c>
      <c r="B332" t="s">
        <v>116</v>
      </c>
      <c r="C332">
        <v>210784</v>
      </c>
      <c r="E332" t="s">
        <v>117</v>
      </c>
      <c r="F332">
        <v>368</v>
      </c>
      <c r="G332" t="s">
        <v>141</v>
      </c>
      <c r="H332" t="s">
        <v>142</v>
      </c>
      <c r="I332" t="s">
        <v>279</v>
      </c>
      <c r="J332" t="s">
        <v>280</v>
      </c>
      <c r="L332" t="s">
        <v>609</v>
      </c>
      <c r="M332" s="8">
        <v>45383</v>
      </c>
      <c r="N332">
        <v>5470983</v>
      </c>
      <c r="O332" t="s">
        <v>123</v>
      </c>
      <c r="P332" t="s">
        <v>146</v>
      </c>
      <c r="Q332">
        <v>3.4400000000000004</v>
      </c>
      <c r="R332" t="s">
        <v>610</v>
      </c>
      <c r="S332" t="s">
        <v>126</v>
      </c>
      <c r="T332" t="s">
        <v>610</v>
      </c>
      <c r="U332" t="s">
        <v>611</v>
      </c>
      <c r="W332">
        <v>1.06</v>
      </c>
      <c r="X332">
        <v>2.38</v>
      </c>
      <c r="Y332">
        <v>3.4400000000000004</v>
      </c>
      <c r="Z332">
        <v>1.31</v>
      </c>
      <c r="AG332">
        <v>1.06</v>
      </c>
      <c r="AI332">
        <v>1.07</v>
      </c>
      <c r="BH332" t="s">
        <v>126</v>
      </c>
      <c r="BI332" t="s">
        <v>126</v>
      </c>
      <c r="BJ332" t="s">
        <v>126</v>
      </c>
      <c r="BK332" t="s">
        <v>126</v>
      </c>
      <c r="BS332" t="s">
        <v>126</v>
      </c>
      <c r="BT332" t="s">
        <v>126</v>
      </c>
      <c r="BU332" t="s">
        <v>126</v>
      </c>
      <c r="BV332" t="s">
        <v>126</v>
      </c>
      <c r="CN332" t="s">
        <v>147</v>
      </c>
      <c r="CP332" t="s">
        <v>600</v>
      </c>
      <c r="CQ332" t="s">
        <v>147</v>
      </c>
    </row>
    <row r="333" spans="1:95" x14ac:dyDescent="0.2">
      <c r="A333" t="s">
        <v>115</v>
      </c>
      <c r="B333" t="s">
        <v>116</v>
      </c>
      <c r="C333">
        <v>210784</v>
      </c>
      <c r="E333" t="s">
        <v>117</v>
      </c>
      <c r="F333">
        <v>368</v>
      </c>
      <c r="G333" t="s">
        <v>141</v>
      </c>
      <c r="H333" t="s">
        <v>142</v>
      </c>
      <c r="I333" t="s">
        <v>279</v>
      </c>
      <c r="J333" t="s">
        <v>280</v>
      </c>
      <c r="L333" t="s">
        <v>612</v>
      </c>
      <c r="M333" s="8">
        <v>45383</v>
      </c>
      <c r="N333">
        <v>5476990</v>
      </c>
      <c r="O333" t="s">
        <v>123</v>
      </c>
      <c r="P333" t="s">
        <v>146</v>
      </c>
      <c r="Q333">
        <v>2.84</v>
      </c>
      <c r="R333" t="s">
        <v>562</v>
      </c>
      <c r="S333" t="s">
        <v>126</v>
      </c>
      <c r="T333" t="s">
        <v>562</v>
      </c>
      <c r="U333" t="s">
        <v>563</v>
      </c>
      <c r="W333">
        <v>0.88</v>
      </c>
      <c r="X333">
        <v>1.96</v>
      </c>
      <c r="Y333">
        <v>2.84</v>
      </c>
      <c r="Z333">
        <v>1.08</v>
      </c>
      <c r="AG333">
        <v>0.88</v>
      </c>
      <c r="AI333">
        <v>0.88</v>
      </c>
      <c r="BH333" t="s">
        <v>126</v>
      </c>
      <c r="BI333" t="s">
        <v>126</v>
      </c>
      <c r="BJ333" t="s">
        <v>126</v>
      </c>
      <c r="BK333" t="s">
        <v>126</v>
      </c>
      <c r="BS333" t="s">
        <v>126</v>
      </c>
      <c r="BT333" t="s">
        <v>126</v>
      </c>
      <c r="BU333" t="s">
        <v>126</v>
      </c>
      <c r="BV333" t="s">
        <v>126</v>
      </c>
      <c r="CN333" t="s">
        <v>147</v>
      </c>
      <c r="CP333" t="s">
        <v>600</v>
      </c>
      <c r="CQ333" t="s">
        <v>147</v>
      </c>
    </row>
    <row r="334" spans="1:95" x14ac:dyDescent="0.2">
      <c r="A334" t="s">
        <v>115</v>
      </c>
      <c r="B334" t="s">
        <v>116</v>
      </c>
      <c r="C334">
        <v>210784</v>
      </c>
      <c r="E334" t="s">
        <v>117</v>
      </c>
      <c r="F334">
        <v>368</v>
      </c>
      <c r="G334" t="s">
        <v>141</v>
      </c>
      <c r="H334" t="s">
        <v>142</v>
      </c>
      <c r="I334" t="s">
        <v>279</v>
      </c>
      <c r="J334" t="s">
        <v>280</v>
      </c>
      <c r="L334" t="s">
        <v>859</v>
      </c>
      <c r="M334" s="8">
        <v>45383</v>
      </c>
      <c r="N334">
        <v>5463105</v>
      </c>
      <c r="O334" t="s">
        <v>123</v>
      </c>
      <c r="P334" t="s">
        <v>146</v>
      </c>
      <c r="Q334">
        <v>4.6500000000000004</v>
      </c>
      <c r="R334" t="s">
        <v>125</v>
      </c>
      <c r="S334" t="s">
        <v>126</v>
      </c>
      <c r="T334" t="s">
        <v>125</v>
      </c>
      <c r="U334" t="s">
        <v>126</v>
      </c>
      <c r="W334">
        <v>4.6500000000000004</v>
      </c>
      <c r="Y334">
        <v>4.6500000000000004</v>
      </c>
      <c r="BE334">
        <v>4.6500000000000004</v>
      </c>
      <c r="BH334" t="s">
        <v>126</v>
      </c>
      <c r="BI334" t="s">
        <v>126</v>
      </c>
      <c r="BJ334" t="s">
        <v>126</v>
      </c>
      <c r="BK334" t="s">
        <v>126</v>
      </c>
      <c r="BS334" t="s">
        <v>126</v>
      </c>
      <c r="BT334" t="s">
        <v>126</v>
      </c>
      <c r="BU334" t="s">
        <v>126</v>
      </c>
      <c r="BV334" t="s">
        <v>126</v>
      </c>
      <c r="CN334" t="s">
        <v>147</v>
      </c>
      <c r="CP334" t="s">
        <v>600</v>
      </c>
      <c r="CQ334" t="s">
        <v>147</v>
      </c>
    </row>
    <row r="335" spans="1:95" x14ac:dyDescent="0.2">
      <c r="A335" t="s">
        <v>115</v>
      </c>
      <c r="B335" t="s">
        <v>116</v>
      </c>
      <c r="C335">
        <v>210784</v>
      </c>
      <c r="E335" t="s">
        <v>117</v>
      </c>
      <c r="F335">
        <v>368</v>
      </c>
      <c r="G335" t="s">
        <v>141</v>
      </c>
      <c r="H335" t="s">
        <v>142</v>
      </c>
      <c r="I335" t="s">
        <v>279</v>
      </c>
      <c r="J335" t="s">
        <v>280</v>
      </c>
      <c r="L335" t="s">
        <v>860</v>
      </c>
      <c r="M335" s="8">
        <v>45383</v>
      </c>
      <c r="N335">
        <v>5463440</v>
      </c>
      <c r="O335" t="s">
        <v>123</v>
      </c>
      <c r="P335" t="s">
        <v>146</v>
      </c>
      <c r="Q335">
        <v>2.15</v>
      </c>
      <c r="R335" t="s">
        <v>125</v>
      </c>
      <c r="S335" t="s">
        <v>126</v>
      </c>
      <c r="T335" t="s">
        <v>125</v>
      </c>
      <c r="U335" t="s">
        <v>126</v>
      </c>
      <c r="W335">
        <v>2.15</v>
      </c>
      <c r="Y335">
        <v>2.15</v>
      </c>
      <c r="BE335">
        <v>2.15</v>
      </c>
      <c r="BH335" t="s">
        <v>126</v>
      </c>
      <c r="BI335" t="s">
        <v>126</v>
      </c>
      <c r="BJ335" t="s">
        <v>126</v>
      </c>
      <c r="BK335" t="s">
        <v>126</v>
      </c>
      <c r="BS335" t="s">
        <v>126</v>
      </c>
      <c r="BT335" t="s">
        <v>126</v>
      </c>
      <c r="BU335" t="s">
        <v>126</v>
      </c>
      <c r="BV335" t="s">
        <v>126</v>
      </c>
      <c r="CN335" t="s">
        <v>147</v>
      </c>
      <c r="CP335" t="s">
        <v>600</v>
      </c>
      <c r="CQ335" t="s">
        <v>147</v>
      </c>
    </row>
    <row r="336" spans="1:95" x14ac:dyDescent="0.2">
      <c r="A336" t="s">
        <v>115</v>
      </c>
      <c r="B336" t="s">
        <v>116</v>
      </c>
      <c r="C336">
        <v>210784</v>
      </c>
      <c r="E336" t="s">
        <v>117</v>
      </c>
      <c r="F336">
        <v>368</v>
      </c>
      <c r="G336" t="s">
        <v>141</v>
      </c>
      <c r="H336" t="s">
        <v>142</v>
      </c>
      <c r="I336" t="s">
        <v>279</v>
      </c>
      <c r="J336" t="s">
        <v>280</v>
      </c>
      <c r="L336" t="s">
        <v>604</v>
      </c>
      <c r="M336" s="8">
        <v>45383</v>
      </c>
      <c r="N336">
        <v>5464398</v>
      </c>
      <c r="O336" t="s">
        <v>123</v>
      </c>
      <c r="P336" t="s">
        <v>146</v>
      </c>
      <c r="Q336">
        <v>5.1100000000000003</v>
      </c>
      <c r="R336" t="s">
        <v>125</v>
      </c>
      <c r="S336" t="s">
        <v>126</v>
      </c>
      <c r="T336" t="s">
        <v>125</v>
      </c>
      <c r="U336" t="s">
        <v>126</v>
      </c>
      <c r="W336">
        <v>5.1100000000000003</v>
      </c>
      <c r="Y336">
        <v>5.1100000000000003</v>
      </c>
      <c r="BE336">
        <v>5.1100000000000003</v>
      </c>
      <c r="BH336" t="s">
        <v>126</v>
      </c>
      <c r="BI336" t="s">
        <v>126</v>
      </c>
      <c r="BJ336" t="s">
        <v>126</v>
      </c>
      <c r="BK336" t="s">
        <v>126</v>
      </c>
      <c r="BS336" t="s">
        <v>126</v>
      </c>
      <c r="BT336" t="s">
        <v>126</v>
      </c>
      <c r="BU336" t="s">
        <v>126</v>
      </c>
      <c r="BV336" t="s">
        <v>126</v>
      </c>
      <c r="CN336" t="s">
        <v>147</v>
      </c>
      <c r="CP336" t="s">
        <v>600</v>
      </c>
      <c r="CQ336" t="s">
        <v>147</v>
      </c>
    </row>
    <row r="337" spans="1:95" x14ac:dyDescent="0.2">
      <c r="A337" t="s">
        <v>115</v>
      </c>
      <c r="B337" t="s">
        <v>116</v>
      </c>
      <c r="C337">
        <v>210784</v>
      </c>
      <c r="E337" t="s">
        <v>117</v>
      </c>
      <c r="F337">
        <v>368</v>
      </c>
      <c r="G337" t="s">
        <v>141</v>
      </c>
      <c r="H337" t="s">
        <v>142</v>
      </c>
      <c r="I337" t="s">
        <v>279</v>
      </c>
      <c r="J337" t="s">
        <v>280</v>
      </c>
      <c r="L337" t="s">
        <v>861</v>
      </c>
      <c r="M337" s="8">
        <v>45383</v>
      </c>
      <c r="N337">
        <v>5464664</v>
      </c>
      <c r="O337" t="s">
        <v>123</v>
      </c>
      <c r="P337" t="s">
        <v>146</v>
      </c>
      <c r="Q337">
        <v>4.66</v>
      </c>
      <c r="R337" t="s">
        <v>125</v>
      </c>
      <c r="S337" t="s">
        <v>126</v>
      </c>
      <c r="T337" t="s">
        <v>125</v>
      </c>
      <c r="U337" t="s">
        <v>126</v>
      </c>
      <c r="W337">
        <v>4.66</v>
      </c>
      <c r="Y337">
        <v>4.66</v>
      </c>
      <c r="BE337">
        <v>4.66</v>
      </c>
      <c r="BH337" t="s">
        <v>126</v>
      </c>
      <c r="BI337" t="s">
        <v>126</v>
      </c>
      <c r="BJ337" t="s">
        <v>126</v>
      </c>
      <c r="BK337" t="s">
        <v>126</v>
      </c>
      <c r="BS337" t="s">
        <v>126</v>
      </c>
      <c r="BT337" t="s">
        <v>126</v>
      </c>
      <c r="BU337" t="s">
        <v>126</v>
      </c>
      <c r="BV337" t="s">
        <v>126</v>
      </c>
      <c r="CN337" t="s">
        <v>147</v>
      </c>
      <c r="CP337" t="s">
        <v>600</v>
      </c>
      <c r="CQ337" t="s">
        <v>147</v>
      </c>
    </row>
    <row r="338" spans="1:95" x14ac:dyDescent="0.2">
      <c r="A338" t="s">
        <v>115</v>
      </c>
      <c r="B338" t="s">
        <v>116</v>
      </c>
      <c r="C338">
        <v>210784</v>
      </c>
      <c r="E338" t="s">
        <v>117</v>
      </c>
      <c r="F338">
        <v>368</v>
      </c>
      <c r="G338" t="s">
        <v>141</v>
      </c>
      <c r="H338" t="s">
        <v>142</v>
      </c>
      <c r="I338" t="s">
        <v>279</v>
      </c>
      <c r="J338" t="s">
        <v>280</v>
      </c>
      <c r="L338" t="s">
        <v>612</v>
      </c>
      <c r="M338" s="8">
        <v>45383</v>
      </c>
      <c r="N338">
        <v>5476649</v>
      </c>
      <c r="O338" t="s">
        <v>123</v>
      </c>
      <c r="P338" t="s">
        <v>146</v>
      </c>
      <c r="Q338">
        <v>5.98</v>
      </c>
      <c r="R338" t="s">
        <v>125</v>
      </c>
      <c r="S338" t="s">
        <v>126</v>
      </c>
      <c r="T338" t="s">
        <v>125</v>
      </c>
      <c r="U338" t="s">
        <v>126</v>
      </c>
      <c r="W338">
        <v>5.98</v>
      </c>
      <c r="Y338">
        <v>5.98</v>
      </c>
      <c r="BE338">
        <v>5.98</v>
      </c>
      <c r="BH338" t="s">
        <v>126</v>
      </c>
      <c r="BI338" t="s">
        <v>126</v>
      </c>
      <c r="BJ338" t="s">
        <v>126</v>
      </c>
      <c r="BK338" t="s">
        <v>126</v>
      </c>
      <c r="BS338" t="s">
        <v>126</v>
      </c>
      <c r="BT338" t="s">
        <v>126</v>
      </c>
      <c r="BU338" t="s">
        <v>126</v>
      </c>
      <c r="BV338" t="s">
        <v>126</v>
      </c>
      <c r="CN338" t="s">
        <v>147</v>
      </c>
      <c r="CP338" t="s">
        <v>600</v>
      </c>
      <c r="CQ338" t="s">
        <v>147</v>
      </c>
    </row>
    <row r="339" spans="1:95" x14ac:dyDescent="0.2">
      <c r="A339" t="s">
        <v>115</v>
      </c>
      <c r="B339" t="s">
        <v>116</v>
      </c>
      <c r="C339">
        <v>210784</v>
      </c>
      <c r="E339" t="s">
        <v>117</v>
      </c>
      <c r="F339">
        <v>368</v>
      </c>
      <c r="G339" t="s">
        <v>141</v>
      </c>
      <c r="H339" t="s">
        <v>142</v>
      </c>
      <c r="I339" t="s">
        <v>143</v>
      </c>
      <c r="J339" t="s">
        <v>144</v>
      </c>
      <c r="L339" t="s">
        <v>168</v>
      </c>
      <c r="M339" s="8">
        <v>45413</v>
      </c>
      <c r="N339">
        <v>106903</v>
      </c>
      <c r="O339" t="s">
        <v>123</v>
      </c>
      <c r="P339" t="s">
        <v>146</v>
      </c>
      <c r="Q339">
        <v>0.28999999999999998</v>
      </c>
      <c r="R339" t="s">
        <v>125</v>
      </c>
      <c r="S339" t="s">
        <v>126</v>
      </c>
      <c r="T339" t="s">
        <v>125</v>
      </c>
      <c r="U339" t="s">
        <v>126</v>
      </c>
      <c r="W339">
        <v>0.28999999999999998</v>
      </c>
      <c r="Y339">
        <v>0.28999999999999998</v>
      </c>
      <c r="AB339">
        <v>0.28999999999999998</v>
      </c>
      <c r="BH339" t="s">
        <v>126</v>
      </c>
      <c r="BI339" t="s">
        <v>126</v>
      </c>
      <c r="BJ339" t="s">
        <v>126</v>
      </c>
      <c r="BK339" t="s">
        <v>126</v>
      </c>
      <c r="BS339" t="s">
        <v>126</v>
      </c>
      <c r="BT339" t="s">
        <v>126</v>
      </c>
      <c r="BU339" t="s">
        <v>126</v>
      </c>
      <c r="BV339" t="s">
        <v>126</v>
      </c>
      <c r="CN339" t="s">
        <v>147</v>
      </c>
      <c r="CP339" t="s">
        <v>169</v>
      </c>
      <c r="CQ339" t="s">
        <v>147</v>
      </c>
    </row>
    <row r="340" spans="1:95" x14ac:dyDescent="0.2">
      <c r="A340" t="s">
        <v>115</v>
      </c>
      <c r="B340" t="s">
        <v>116</v>
      </c>
      <c r="C340">
        <v>210784</v>
      </c>
      <c r="E340" t="s">
        <v>117</v>
      </c>
      <c r="F340">
        <v>368</v>
      </c>
      <c r="G340" t="s">
        <v>141</v>
      </c>
      <c r="H340" t="s">
        <v>142</v>
      </c>
      <c r="I340" t="s">
        <v>143</v>
      </c>
      <c r="J340" t="s">
        <v>144</v>
      </c>
      <c r="L340" t="s">
        <v>170</v>
      </c>
      <c r="M340" s="8">
        <v>45413</v>
      </c>
      <c r="N340">
        <v>106931</v>
      </c>
      <c r="O340" t="s">
        <v>123</v>
      </c>
      <c r="P340" t="s">
        <v>146</v>
      </c>
      <c r="Q340">
        <v>0.11</v>
      </c>
      <c r="R340" t="s">
        <v>125</v>
      </c>
      <c r="S340" t="s">
        <v>126</v>
      </c>
      <c r="T340" t="s">
        <v>125</v>
      </c>
      <c r="U340" t="s">
        <v>126</v>
      </c>
      <c r="W340">
        <v>0.11</v>
      </c>
      <c r="Y340">
        <v>0.11</v>
      </c>
      <c r="AB340">
        <v>0.11</v>
      </c>
      <c r="BH340" t="s">
        <v>126</v>
      </c>
      <c r="BI340" t="s">
        <v>126</v>
      </c>
      <c r="BJ340" t="s">
        <v>126</v>
      </c>
      <c r="BK340" t="s">
        <v>126</v>
      </c>
      <c r="BS340" t="s">
        <v>126</v>
      </c>
      <c r="BT340" t="s">
        <v>126</v>
      </c>
      <c r="BU340" t="s">
        <v>126</v>
      </c>
      <c r="BV340" t="s">
        <v>126</v>
      </c>
      <c r="CN340" t="s">
        <v>147</v>
      </c>
      <c r="CP340" t="s">
        <v>169</v>
      </c>
      <c r="CQ340" t="s">
        <v>147</v>
      </c>
    </row>
    <row r="341" spans="1:95" x14ac:dyDescent="0.2">
      <c r="A341" t="s">
        <v>115</v>
      </c>
      <c r="B341" t="s">
        <v>116</v>
      </c>
      <c r="C341">
        <v>210784</v>
      </c>
      <c r="E341" t="s">
        <v>117</v>
      </c>
      <c r="F341">
        <v>368</v>
      </c>
      <c r="G341" t="s">
        <v>141</v>
      </c>
      <c r="H341" t="s">
        <v>142</v>
      </c>
      <c r="I341" t="s">
        <v>143</v>
      </c>
      <c r="J341" t="s">
        <v>144</v>
      </c>
      <c r="L341" t="s">
        <v>171</v>
      </c>
      <c r="M341" s="8">
        <v>45413</v>
      </c>
      <c r="N341">
        <v>106967</v>
      </c>
      <c r="O341" t="s">
        <v>123</v>
      </c>
      <c r="P341" t="s">
        <v>146</v>
      </c>
      <c r="Q341">
        <v>0.23</v>
      </c>
      <c r="R341" t="s">
        <v>125</v>
      </c>
      <c r="S341" t="s">
        <v>126</v>
      </c>
      <c r="T341" t="s">
        <v>125</v>
      </c>
      <c r="U341" t="s">
        <v>126</v>
      </c>
      <c r="W341">
        <v>0.23</v>
      </c>
      <c r="Y341">
        <v>0.23</v>
      </c>
      <c r="AB341">
        <v>0.23</v>
      </c>
      <c r="BH341" t="s">
        <v>126</v>
      </c>
      <c r="BI341" t="s">
        <v>126</v>
      </c>
      <c r="BJ341" t="s">
        <v>126</v>
      </c>
      <c r="BK341" t="s">
        <v>126</v>
      </c>
      <c r="BS341" t="s">
        <v>126</v>
      </c>
      <c r="BT341" t="s">
        <v>126</v>
      </c>
      <c r="BU341" t="s">
        <v>126</v>
      </c>
      <c r="BV341" t="s">
        <v>126</v>
      </c>
      <c r="CN341" t="s">
        <v>147</v>
      </c>
      <c r="CP341" t="s">
        <v>169</v>
      </c>
      <c r="CQ341" t="s">
        <v>147</v>
      </c>
    </row>
    <row r="342" spans="1:95" x14ac:dyDescent="0.2">
      <c r="A342" t="s">
        <v>115</v>
      </c>
      <c r="B342" t="s">
        <v>116</v>
      </c>
      <c r="C342">
        <v>210784</v>
      </c>
      <c r="E342" t="s">
        <v>117</v>
      </c>
      <c r="F342">
        <v>368</v>
      </c>
      <c r="G342" t="s">
        <v>141</v>
      </c>
      <c r="H342" t="s">
        <v>142</v>
      </c>
      <c r="I342" t="s">
        <v>204</v>
      </c>
      <c r="J342" t="s">
        <v>205</v>
      </c>
      <c r="L342" t="s">
        <v>171</v>
      </c>
      <c r="M342" s="8">
        <v>45413</v>
      </c>
      <c r="N342">
        <v>101395</v>
      </c>
      <c r="O342" t="s">
        <v>123</v>
      </c>
      <c r="P342" t="s">
        <v>146</v>
      </c>
      <c r="Q342">
        <v>4.95</v>
      </c>
      <c r="R342" t="s">
        <v>125</v>
      </c>
      <c r="S342" t="s">
        <v>126</v>
      </c>
      <c r="T342" t="s">
        <v>125</v>
      </c>
      <c r="U342" t="s">
        <v>126</v>
      </c>
      <c r="W342">
        <v>4.95</v>
      </c>
      <c r="Y342">
        <v>4.95</v>
      </c>
      <c r="AC342">
        <v>4.95</v>
      </c>
      <c r="BH342" t="s">
        <v>126</v>
      </c>
      <c r="BI342" t="s">
        <v>126</v>
      </c>
      <c r="BJ342" t="s">
        <v>126</v>
      </c>
      <c r="BK342" t="s">
        <v>126</v>
      </c>
      <c r="BS342" t="s">
        <v>126</v>
      </c>
      <c r="BT342" t="s">
        <v>126</v>
      </c>
      <c r="BU342" t="s">
        <v>126</v>
      </c>
      <c r="BV342" t="s">
        <v>126</v>
      </c>
      <c r="CN342" t="s">
        <v>147</v>
      </c>
      <c r="CP342" t="s">
        <v>258</v>
      </c>
      <c r="CQ342" t="s">
        <v>147</v>
      </c>
    </row>
    <row r="343" spans="1:95" x14ac:dyDescent="0.2">
      <c r="A343" t="s">
        <v>115</v>
      </c>
      <c r="B343" t="s">
        <v>116</v>
      </c>
      <c r="C343">
        <v>210784</v>
      </c>
      <c r="E343" t="s">
        <v>117</v>
      </c>
      <c r="F343">
        <v>368</v>
      </c>
      <c r="G343" t="s">
        <v>141</v>
      </c>
      <c r="H343" t="s">
        <v>142</v>
      </c>
      <c r="I343" t="s">
        <v>279</v>
      </c>
      <c r="J343" t="s">
        <v>280</v>
      </c>
      <c r="L343" t="s">
        <v>170</v>
      </c>
      <c r="M343" s="8">
        <v>45413</v>
      </c>
      <c r="N343">
        <v>5483879</v>
      </c>
      <c r="O343" t="s">
        <v>123</v>
      </c>
      <c r="P343" t="s">
        <v>146</v>
      </c>
      <c r="Q343">
        <v>3.45</v>
      </c>
      <c r="R343" t="s">
        <v>544</v>
      </c>
      <c r="S343" t="s">
        <v>126</v>
      </c>
      <c r="T343" t="s">
        <v>544</v>
      </c>
      <c r="U343" t="s">
        <v>545</v>
      </c>
      <c r="W343">
        <v>1.06</v>
      </c>
      <c r="X343">
        <v>2.39</v>
      </c>
      <c r="Y343">
        <v>3.45</v>
      </c>
      <c r="Z343">
        <v>1.32</v>
      </c>
      <c r="AG343">
        <v>1.06</v>
      </c>
      <c r="AI343">
        <v>1.07</v>
      </c>
      <c r="BH343" t="s">
        <v>126</v>
      </c>
      <c r="BI343" t="s">
        <v>126</v>
      </c>
      <c r="BJ343" t="s">
        <v>126</v>
      </c>
      <c r="BK343" t="s">
        <v>126</v>
      </c>
      <c r="BS343" t="s">
        <v>126</v>
      </c>
      <c r="BT343" t="s">
        <v>126</v>
      </c>
      <c r="BU343" t="s">
        <v>126</v>
      </c>
      <c r="BV343" t="s">
        <v>126</v>
      </c>
      <c r="CN343" t="s">
        <v>147</v>
      </c>
      <c r="CP343" t="s">
        <v>169</v>
      </c>
      <c r="CQ343" t="s">
        <v>147</v>
      </c>
    </row>
    <row r="344" spans="1:95" x14ac:dyDescent="0.2">
      <c r="A344" t="s">
        <v>115</v>
      </c>
      <c r="B344" t="s">
        <v>116</v>
      </c>
      <c r="C344">
        <v>210784</v>
      </c>
      <c r="E344" t="s">
        <v>117</v>
      </c>
      <c r="F344">
        <v>368</v>
      </c>
      <c r="G344" t="s">
        <v>141</v>
      </c>
      <c r="H344" t="s">
        <v>142</v>
      </c>
      <c r="I344" t="s">
        <v>279</v>
      </c>
      <c r="J344" t="s">
        <v>280</v>
      </c>
      <c r="L344" t="s">
        <v>613</v>
      </c>
      <c r="M344" s="8">
        <v>45413</v>
      </c>
      <c r="N344">
        <v>5489114</v>
      </c>
      <c r="O344" t="s">
        <v>123</v>
      </c>
      <c r="P344" t="s">
        <v>146</v>
      </c>
      <c r="Q344">
        <v>3.8</v>
      </c>
      <c r="R344" t="s">
        <v>614</v>
      </c>
      <c r="S344" t="s">
        <v>126</v>
      </c>
      <c r="T344" t="s">
        <v>614</v>
      </c>
      <c r="U344" t="s">
        <v>615</v>
      </c>
      <c r="W344">
        <v>1.17</v>
      </c>
      <c r="X344">
        <v>2.63</v>
      </c>
      <c r="Y344">
        <v>3.8</v>
      </c>
      <c r="Z344">
        <v>1.45</v>
      </c>
      <c r="AG344">
        <v>1.17</v>
      </c>
      <c r="AI344">
        <v>1.18</v>
      </c>
      <c r="BH344" t="s">
        <v>126</v>
      </c>
      <c r="BI344" t="s">
        <v>126</v>
      </c>
      <c r="BJ344" t="s">
        <v>126</v>
      </c>
      <c r="BK344" t="s">
        <v>126</v>
      </c>
      <c r="BS344" t="s">
        <v>126</v>
      </c>
      <c r="BT344" t="s">
        <v>126</v>
      </c>
      <c r="BU344" t="s">
        <v>126</v>
      </c>
      <c r="BV344" t="s">
        <v>126</v>
      </c>
      <c r="CN344" t="s">
        <v>147</v>
      </c>
      <c r="CP344" t="s">
        <v>169</v>
      </c>
      <c r="CQ344" t="s">
        <v>147</v>
      </c>
    </row>
    <row r="345" spans="1:95" x14ac:dyDescent="0.2">
      <c r="A345" t="s">
        <v>115</v>
      </c>
      <c r="B345" t="s">
        <v>116</v>
      </c>
      <c r="C345">
        <v>210784</v>
      </c>
      <c r="E345" t="s">
        <v>117</v>
      </c>
      <c r="F345">
        <v>368</v>
      </c>
      <c r="G345" t="s">
        <v>141</v>
      </c>
      <c r="H345" t="s">
        <v>142</v>
      </c>
      <c r="I345" t="s">
        <v>279</v>
      </c>
      <c r="J345" t="s">
        <v>280</v>
      </c>
      <c r="L345" t="s">
        <v>616</v>
      </c>
      <c r="M345" s="8">
        <v>45413</v>
      </c>
      <c r="N345">
        <v>5494101</v>
      </c>
      <c r="O345" t="s">
        <v>123</v>
      </c>
      <c r="P345" t="s">
        <v>146</v>
      </c>
      <c r="Q345">
        <v>3.47</v>
      </c>
      <c r="R345" t="s">
        <v>584</v>
      </c>
      <c r="S345" t="s">
        <v>126</v>
      </c>
      <c r="T345" t="s">
        <v>584</v>
      </c>
      <c r="U345" t="s">
        <v>585</v>
      </c>
      <c r="W345">
        <v>1.07</v>
      </c>
      <c r="X345">
        <v>2.4000000000000004</v>
      </c>
      <c r="Y345">
        <v>3.47</v>
      </c>
      <c r="Z345">
        <v>1.32</v>
      </c>
      <c r="AG345">
        <v>1.07</v>
      </c>
      <c r="AI345">
        <v>1.08</v>
      </c>
      <c r="BH345" t="s">
        <v>126</v>
      </c>
      <c r="BI345" t="s">
        <v>126</v>
      </c>
      <c r="BJ345" t="s">
        <v>126</v>
      </c>
      <c r="BK345" t="s">
        <v>126</v>
      </c>
      <c r="BS345" t="s">
        <v>126</v>
      </c>
      <c r="BT345" t="s">
        <v>126</v>
      </c>
      <c r="BU345" t="s">
        <v>126</v>
      </c>
      <c r="BV345" t="s">
        <v>126</v>
      </c>
      <c r="CN345" t="s">
        <v>147</v>
      </c>
      <c r="CP345" t="s">
        <v>169</v>
      </c>
      <c r="CQ345" t="s">
        <v>147</v>
      </c>
    </row>
    <row r="346" spans="1:95" x14ac:dyDescent="0.2">
      <c r="A346" t="s">
        <v>115</v>
      </c>
      <c r="B346" t="s">
        <v>116</v>
      </c>
      <c r="C346">
        <v>210784</v>
      </c>
      <c r="E346" t="s">
        <v>117</v>
      </c>
      <c r="F346">
        <v>368</v>
      </c>
      <c r="G346" t="s">
        <v>141</v>
      </c>
      <c r="H346" t="s">
        <v>142</v>
      </c>
      <c r="I346" t="s">
        <v>279</v>
      </c>
      <c r="J346" t="s">
        <v>280</v>
      </c>
      <c r="L346" t="s">
        <v>617</v>
      </c>
      <c r="M346" s="8">
        <v>45413</v>
      </c>
      <c r="N346">
        <v>5501197</v>
      </c>
      <c r="O346" t="s">
        <v>123</v>
      </c>
      <c r="P346" t="s">
        <v>146</v>
      </c>
      <c r="Q346">
        <v>2.67</v>
      </c>
      <c r="R346" t="s">
        <v>588</v>
      </c>
      <c r="S346" t="s">
        <v>126</v>
      </c>
      <c r="T346" t="s">
        <v>588</v>
      </c>
      <c r="U346" t="s">
        <v>589</v>
      </c>
      <c r="W346">
        <v>0.82</v>
      </c>
      <c r="X346">
        <v>1.85</v>
      </c>
      <c r="Y346">
        <v>2.67</v>
      </c>
      <c r="Z346">
        <v>1.02</v>
      </c>
      <c r="AG346">
        <v>0.82</v>
      </c>
      <c r="AI346">
        <v>0.83</v>
      </c>
      <c r="BH346" t="s">
        <v>126</v>
      </c>
      <c r="BI346" t="s">
        <v>126</v>
      </c>
      <c r="BJ346" t="s">
        <v>126</v>
      </c>
      <c r="BK346" t="s">
        <v>126</v>
      </c>
      <c r="BS346" t="s">
        <v>126</v>
      </c>
      <c r="BT346" t="s">
        <v>126</v>
      </c>
      <c r="BU346" t="s">
        <v>126</v>
      </c>
      <c r="BV346" t="s">
        <v>126</v>
      </c>
      <c r="CN346" t="s">
        <v>147</v>
      </c>
      <c r="CP346" t="s">
        <v>169</v>
      </c>
      <c r="CQ346" t="s">
        <v>147</v>
      </c>
    </row>
    <row r="347" spans="1:95" x14ac:dyDescent="0.2">
      <c r="A347" t="s">
        <v>115</v>
      </c>
      <c r="B347" t="s">
        <v>116</v>
      </c>
      <c r="C347">
        <v>210784</v>
      </c>
      <c r="E347" t="s">
        <v>117</v>
      </c>
      <c r="F347">
        <v>368</v>
      </c>
      <c r="G347" t="s">
        <v>141</v>
      </c>
      <c r="H347" t="s">
        <v>142</v>
      </c>
      <c r="I347" t="s">
        <v>284</v>
      </c>
      <c r="J347" t="s">
        <v>285</v>
      </c>
      <c r="L347" t="s">
        <v>618</v>
      </c>
      <c r="M347" s="8">
        <v>45413</v>
      </c>
      <c r="N347">
        <v>105361</v>
      </c>
      <c r="O347" t="s">
        <v>123</v>
      </c>
      <c r="P347" t="s">
        <v>146</v>
      </c>
      <c r="Q347">
        <v>3.7</v>
      </c>
      <c r="R347" t="s">
        <v>125</v>
      </c>
      <c r="S347" t="s">
        <v>126</v>
      </c>
      <c r="T347" t="s">
        <v>125</v>
      </c>
      <c r="U347" t="s">
        <v>126</v>
      </c>
      <c r="W347">
        <v>3.7</v>
      </c>
      <c r="Y347">
        <v>3.7</v>
      </c>
      <c r="AG347">
        <v>0.37</v>
      </c>
      <c r="BE347">
        <v>3.33</v>
      </c>
      <c r="BH347" t="s">
        <v>126</v>
      </c>
      <c r="BI347" t="s">
        <v>126</v>
      </c>
      <c r="BJ347" t="s">
        <v>126</v>
      </c>
      <c r="BK347" t="s">
        <v>126</v>
      </c>
      <c r="BS347" t="s">
        <v>126</v>
      </c>
      <c r="BT347" t="s">
        <v>126</v>
      </c>
      <c r="BU347" t="s">
        <v>126</v>
      </c>
      <c r="BV347" t="s">
        <v>126</v>
      </c>
      <c r="CN347" t="s">
        <v>147</v>
      </c>
      <c r="CP347" t="s">
        <v>619</v>
      </c>
      <c r="CQ347" t="s">
        <v>147</v>
      </c>
    </row>
    <row r="348" spans="1:95" x14ac:dyDescent="0.2">
      <c r="A348" t="s">
        <v>115</v>
      </c>
      <c r="B348" t="s">
        <v>116</v>
      </c>
      <c r="C348">
        <v>210784</v>
      </c>
      <c r="E348" t="s">
        <v>117</v>
      </c>
      <c r="F348">
        <v>368</v>
      </c>
      <c r="G348" t="s">
        <v>141</v>
      </c>
      <c r="H348" t="s">
        <v>142</v>
      </c>
      <c r="I348" t="s">
        <v>279</v>
      </c>
      <c r="J348" t="s">
        <v>280</v>
      </c>
      <c r="L348" t="s">
        <v>170</v>
      </c>
      <c r="M348" s="8">
        <v>45413</v>
      </c>
      <c r="N348">
        <v>5483922</v>
      </c>
      <c r="O348" t="s">
        <v>123</v>
      </c>
      <c r="P348" t="s">
        <v>146</v>
      </c>
      <c r="Q348">
        <v>3.33</v>
      </c>
      <c r="R348" t="s">
        <v>125</v>
      </c>
      <c r="S348" t="s">
        <v>126</v>
      </c>
      <c r="T348" t="s">
        <v>125</v>
      </c>
      <c r="U348" t="s">
        <v>126</v>
      </c>
      <c r="W348">
        <v>3.33</v>
      </c>
      <c r="Y348">
        <v>3.33</v>
      </c>
      <c r="BE348">
        <v>3.33</v>
      </c>
      <c r="BH348" t="s">
        <v>126</v>
      </c>
      <c r="BI348" t="s">
        <v>126</v>
      </c>
      <c r="BJ348" t="s">
        <v>126</v>
      </c>
      <c r="BK348" t="s">
        <v>126</v>
      </c>
      <c r="BS348" t="s">
        <v>126</v>
      </c>
      <c r="BT348" t="s">
        <v>126</v>
      </c>
      <c r="BU348" t="s">
        <v>126</v>
      </c>
      <c r="BV348" t="s">
        <v>126</v>
      </c>
      <c r="CN348" t="s">
        <v>147</v>
      </c>
      <c r="CP348" t="s">
        <v>169</v>
      </c>
      <c r="CQ348" t="s">
        <v>147</v>
      </c>
    </row>
    <row r="349" spans="1:95" x14ac:dyDescent="0.2">
      <c r="A349" t="s">
        <v>115</v>
      </c>
      <c r="B349" t="s">
        <v>116</v>
      </c>
      <c r="C349">
        <v>210784</v>
      </c>
      <c r="E349" t="s">
        <v>117</v>
      </c>
      <c r="F349">
        <v>368</v>
      </c>
      <c r="G349" t="s">
        <v>141</v>
      </c>
      <c r="H349" t="s">
        <v>142</v>
      </c>
      <c r="I349" t="s">
        <v>279</v>
      </c>
      <c r="J349" t="s">
        <v>280</v>
      </c>
      <c r="L349" t="s">
        <v>862</v>
      </c>
      <c r="M349" s="8">
        <v>45413</v>
      </c>
      <c r="N349">
        <v>5495038</v>
      </c>
      <c r="O349" t="s">
        <v>123</v>
      </c>
      <c r="P349" t="s">
        <v>146</v>
      </c>
      <c r="Q349">
        <v>5.4</v>
      </c>
      <c r="R349" t="s">
        <v>125</v>
      </c>
      <c r="S349" t="s">
        <v>126</v>
      </c>
      <c r="T349" t="s">
        <v>125</v>
      </c>
      <c r="U349" t="s">
        <v>126</v>
      </c>
      <c r="W349">
        <v>5.4</v>
      </c>
      <c r="Y349">
        <v>5.4</v>
      </c>
      <c r="BE349">
        <v>5.4</v>
      </c>
      <c r="BH349" t="s">
        <v>126</v>
      </c>
      <c r="BI349" t="s">
        <v>126</v>
      </c>
      <c r="BJ349" t="s">
        <v>126</v>
      </c>
      <c r="BK349" t="s">
        <v>126</v>
      </c>
      <c r="BS349" t="s">
        <v>126</v>
      </c>
      <c r="BT349" t="s">
        <v>126</v>
      </c>
      <c r="BU349" t="s">
        <v>126</v>
      </c>
      <c r="BV349" t="s">
        <v>126</v>
      </c>
      <c r="CN349" t="s">
        <v>147</v>
      </c>
      <c r="CP349" t="s">
        <v>169</v>
      </c>
      <c r="CQ349" t="s">
        <v>147</v>
      </c>
    </row>
    <row r="350" spans="1:95" x14ac:dyDescent="0.2">
      <c r="A350" t="s">
        <v>115</v>
      </c>
      <c r="B350" t="s">
        <v>116</v>
      </c>
      <c r="C350">
        <v>210784</v>
      </c>
      <c r="E350" t="s">
        <v>117</v>
      </c>
      <c r="F350">
        <v>368</v>
      </c>
      <c r="G350" t="s">
        <v>141</v>
      </c>
      <c r="H350" t="s">
        <v>142</v>
      </c>
      <c r="I350" t="s">
        <v>279</v>
      </c>
      <c r="J350" t="s">
        <v>280</v>
      </c>
      <c r="L350" t="s">
        <v>862</v>
      </c>
      <c r="M350" s="8">
        <v>45413</v>
      </c>
      <c r="N350">
        <v>5494985</v>
      </c>
      <c r="O350" t="s">
        <v>123</v>
      </c>
      <c r="P350" t="s">
        <v>146</v>
      </c>
      <c r="Q350">
        <v>2.2799999999999998</v>
      </c>
      <c r="R350" t="s">
        <v>125</v>
      </c>
      <c r="S350" t="s">
        <v>126</v>
      </c>
      <c r="T350" t="s">
        <v>125</v>
      </c>
      <c r="U350" t="s">
        <v>126</v>
      </c>
      <c r="W350">
        <v>2.2799999999999998</v>
      </c>
      <c r="Y350">
        <v>2.2799999999999998</v>
      </c>
      <c r="BE350">
        <v>2.2799999999999998</v>
      </c>
      <c r="BH350" t="s">
        <v>126</v>
      </c>
      <c r="BI350" t="s">
        <v>126</v>
      </c>
      <c r="BJ350" t="s">
        <v>126</v>
      </c>
      <c r="BK350" t="s">
        <v>126</v>
      </c>
      <c r="BS350" t="s">
        <v>126</v>
      </c>
      <c r="BT350" t="s">
        <v>126</v>
      </c>
      <c r="BU350" t="s">
        <v>126</v>
      </c>
      <c r="BV350" t="s">
        <v>126</v>
      </c>
      <c r="CN350" t="s">
        <v>147</v>
      </c>
      <c r="CP350" t="s">
        <v>169</v>
      </c>
      <c r="CQ350" t="s">
        <v>147</v>
      </c>
    </row>
    <row r="351" spans="1:95" x14ac:dyDescent="0.2">
      <c r="A351" t="s">
        <v>115</v>
      </c>
      <c r="B351" t="s">
        <v>116</v>
      </c>
      <c r="C351">
        <v>210784</v>
      </c>
      <c r="E351" t="s">
        <v>117</v>
      </c>
      <c r="F351">
        <v>368</v>
      </c>
      <c r="G351" t="s">
        <v>229</v>
      </c>
      <c r="H351" t="s">
        <v>230</v>
      </c>
      <c r="I351" t="s">
        <v>204</v>
      </c>
      <c r="J351" t="s">
        <v>205</v>
      </c>
      <c r="L351" t="s">
        <v>169</v>
      </c>
      <c r="M351" s="8">
        <v>45444</v>
      </c>
      <c r="N351">
        <v>101395</v>
      </c>
      <c r="O351" t="s">
        <v>123</v>
      </c>
      <c r="P351" t="s">
        <v>146</v>
      </c>
      <c r="Q351">
        <v>4.95</v>
      </c>
      <c r="R351" t="s">
        <v>125</v>
      </c>
      <c r="S351" t="s">
        <v>126</v>
      </c>
      <c r="T351" t="s">
        <v>125</v>
      </c>
      <c r="U351" t="s">
        <v>126</v>
      </c>
      <c r="W351">
        <v>4.95</v>
      </c>
      <c r="Y351">
        <v>4.95</v>
      </c>
      <c r="AC351">
        <v>4.95</v>
      </c>
      <c r="BH351" t="s">
        <v>126</v>
      </c>
      <c r="BI351" t="s">
        <v>126</v>
      </c>
      <c r="BJ351" t="s">
        <v>126</v>
      </c>
      <c r="BK351" t="s">
        <v>126</v>
      </c>
      <c r="BS351" t="s">
        <v>126</v>
      </c>
      <c r="BT351" t="s">
        <v>126</v>
      </c>
      <c r="BU351" t="s">
        <v>126</v>
      </c>
      <c r="BV351" t="s">
        <v>126</v>
      </c>
      <c r="CN351" t="s">
        <v>230</v>
      </c>
      <c r="CP351" t="s">
        <v>234</v>
      </c>
      <c r="CQ351" t="s">
        <v>230</v>
      </c>
    </row>
    <row r="352" spans="1:95" x14ac:dyDescent="0.2">
      <c r="A352" t="s">
        <v>115</v>
      </c>
      <c r="B352" t="s">
        <v>116</v>
      </c>
      <c r="C352">
        <v>210784</v>
      </c>
      <c r="E352" t="s">
        <v>117</v>
      </c>
      <c r="F352">
        <v>368</v>
      </c>
      <c r="G352" t="s">
        <v>141</v>
      </c>
      <c r="H352" t="s">
        <v>142</v>
      </c>
      <c r="I352" t="s">
        <v>204</v>
      </c>
      <c r="J352" t="s">
        <v>205</v>
      </c>
      <c r="L352" t="s">
        <v>271</v>
      </c>
      <c r="M352" s="8">
        <v>45444</v>
      </c>
      <c r="N352">
        <v>103120</v>
      </c>
      <c r="O352" t="s">
        <v>123</v>
      </c>
      <c r="P352" t="s">
        <v>146</v>
      </c>
      <c r="Q352">
        <v>9.36</v>
      </c>
      <c r="R352" t="s">
        <v>125</v>
      </c>
      <c r="S352" t="s">
        <v>126</v>
      </c>
      <c r="T352" t="s">
        <v>125</v>
      </c>
      <c r="U352" t="s">
        <v>126</v>
      </c>
      <c r="W352">
        <v>9.36</v>
      </c>
      <c r="Y352">
        <v>9.36</v>
      </c>
      <c r="AC352">
        <v>9.36</v>
      </c>
      <c r="BH352" t="s">
        <v>126</v>
      </c>
      <c r="BI352" t="s">
        <v>126</v>
      </c>
      <c r="BJ352" t="s">
        <v>126</v>
      </c>
      <c r="BK352" t="s">
        <v>126</v>
      </c>
      <c r="BS352" t="s">
        <v>126</v>
      </c>
      <c r="BT352" t="s">
        <v>126</v>
      </c>
      <c r="BU352" t="s">
        <v>126</v>
      </c>
      <c r="BV352" t="s">
        <v>126</v>
      </c>
      <c r="CN352" t="s">
        <v>147</v>
      </c>
      <c r="CP352" t="s">
        <v>258</v>
      </c>
      <c r="CQ352" t="s">
        <v>147</v>
      </c>
    </row>
    <row r="353" spans="1:95" x14ac:dyDescent="0.2">
      <c r="A353" t="s">
        <v>115</v>
      </c>
      <c r="B353" t="s">
        <v>116</v>
      </c>
      <c r="C353">
        <v>210784</v>
      </c>
      <c r="E353" t="s">
        <v>117</v>
      </c>
      <c r="F353">
        <v>368</v>
      </c>
      <c r="G353" t="s">
        <v>141</v>
      </c>
      <c r="H353" t="s">
        <v>142</v>
      </c>
      <c r="I353" t="s">
        <v>279</v>
      </c>
      <c r="J353" t="s">
        <v>280</v>
      </c>
      <c r="L353" t="s">
        <v>271</v>
      </c>
      <c r="M353" s="8">
        <v>45444</v>
      </c>
      <c r="N353">
        <v>5507101</v>
      </c>
      <c r="O353" t="s">
        <v>123</v>
      </c>
      <c r="P353" t="s">
        <v>146</v>
      </c>
      <c r="Q353">
        <v>1.7400000000000002</v>
      </c>
      <c r="R353" t="s">
        <v>620</v>
      </c>
      <c r="S353" t="s">
        <v>126</v>
      </c>
      <c r="T353" t="s">
        <v>620</v>
      </c>
      <c r="U353" t="s">
        <v>621</v>
      </c>
      <c r="W353">
        <v>0.54</v>
      </c>
      <c r="X353">
        <v>1.2000000000000002</v>
      </c>
      <c r="Y353">
        <v>1.7400000000000002</v>
      </c>
      <c r="Z353">
        <v>0.66</v>
      </c>
      <c r="AG353">
        <v>0.54</v>
      </c>
      <c r="AI353">
        <v>0.54</v>
      </c>
      <c r="BH353" t="s">
        <v>126</v>
      </c>
      <c r="BI353" t="s">
        <v>126</v>
      </c>
      <c r="BJ353" t="s">
        <v>126</v>
      </c>
      <c r="BK353" t="s">
        <v>126</v>
      </c>
      <c r="BS353" t="s">
        <v>126</v>
      </c>
      <c r="BT353" t="s">
        <v>126</v>
      </c>
      <c r="BU353" t="s">
        <v>126</v>
      </c>
      <c r="BV353" t="s">
        <v>126</v>
      </c>
      <c r="CN353" t="s">
        <v>147</v>
      </c>
      <c r="CP353" t="s">
        <v>619</v>
      </c>
      <c r="CQ353" t="s">
        <v>147</v>
      </c>
    </row>
    <row r="354" spans="1:95" x14ac:dyDescent="0.2">
      <c r="A354" t="s">
        <v>115</v>
      </c>
      <c r="B354" t="s">
        <v>116</v>
      </c>
      <c r="C354">
        <v>210784</v>
      </c>
      <c r="E354" t="s">
        <v>117</v>
      </c>
      <c r="F354">
        <v>368</v>
      </c>
      <c r="G354" t="s">
        <v>141</v>
      </c>
      <c r="H354" t="s">
        <v>142</v>
      </c>
      <c r="I354" t="s">
        <v>279</v>
      </c>
      <c r="J354" t="s">
        <v>280</v>
      </c>
      <c r="L354" t="s">
        <v>622</v>
      </c>
      <c r="M354" s="8">
        <v>45444</v>
      </c>
      <c r="N354">
        <v>5511043</v>
      </c>
      <c r="O354" t="s">
        <v>123</v>
      </c>
      <c r="P354" t="s">
        <v>146</v>
      </c>
      <c r="Q354">
        <v>2.62</v>
      </c>
      <c r="R354" t="s">
        <v>623</v>
      </c>
      <c r="S354" t="s">
        <v>126</v>
      </c>
      <c r="T354" t="s">
        <v>623</v>
      </c>
      <c r="U354" t="s">
        <v>624</v>
      </c>
      <c r="W354">
        <v>0.81</v>
      </c>
      <c r="X354">
        <v>1.81</v>
      </c>
      <c r="Y354">
        <v>2.62</v>
      </c>
      <c r="Z354">
        <v>1</v>
      </c>
      <c r="AG354">
        <v>0.81</v>
      </c>
      <c r="AI354">
        <v>0.81</v>
      </c>
      <c r="BH354" t="s">
        <v>126</v>
      </c>
      <c r="BI354" t="s">
        <v>126</v>
      </c>
      <c r="BJ354" t="s">
        <v>126</v>
      </c>
      <c r="BK354" t="s">
        <v>126</v>
      </c>
      <c r="BS354" t="s">
        <v>126</v>
      </c>
      <c r="BT354" t="s">
        <v>126</v>
      </c>
      <c r="BU354" t="s">
        <v>126</v>
      </c>
      <c r="BV354" t="s">
        <v>126</v>
      </c>
      <c r="CN354" t="s">
        <v>147</v>
      </c>
      <c r="CP354" t="s">
        <v>619</v>
      </c>
      <c r="CQ354" t="s">
        <v>147</v>
      </c>
    </row>
    <row r="355" spans="1:95" x14ac:dyDescent="0.2">
      <c r="A355" t="s">
        <v>115</v>
      </c>
      <c r="B355" t="s">
        <v>116</v>
      </c>
      <c r="C355">
        <v>210784</v>
      </c>
      <c r="E355" t="s">
        <v>117</v>
      </c>
      <c r="F355">
        <v>368</v>
      </c>
      <c r="G355" t="s">
        <v>141</v>
      </c>
      <c r="H355" t="s">
        <v>142</v>
      </c>
      <c r="I355" t="s">
        <v>279</v>
      </c>
      <c r="J355" t="s">
        <v>280</v>
      </c>
      <c r="L355" t="s">
        <v>625</v>
      </c>
      <c r="M355" s="8">
        <v>45444</v>
      </c>
      <c r="N355">
        <v>5512534</v>
      </c>
      <c r="O355" t="s">
        <v>123</v>
      </c>
      <c r="P355" t="s">
        <v>146</v>
      </c>
      <c r="Q355">
        <v>2.9</v>
      </c>
      <c r="R355" t="s">
        <v>586</v>
      </c>
      <c r="S355" t="s">
        <v>126</v>
      </c>
      <c r="T355" t="s">
        <v>586</v>
      </c>
      <c r="U355" t="s">
        <v>587</v>
      </c>
      <c r="W355">
        <v>0.89</v>
      </c>
      <c r="X355">
        <v>2.0100000000000002</v>
      </c>
      <c r="Y355">
        <v>2.9</v>
      </c>
      <c r="Z355">
        <v>1.1100000000000001</v>
      </c>
      <c r="AG355">
        <v>0.89</v>
      </c>
      <c r="AI355">
        <v>0.9</v>
      </c>
      <c r="BH355" t="s">
        <v>126</v>
      </c>
      <c r="BI355" t="s">
        <v>126</v>
      </c>
      <c r="BJ355" t="s">
        <v>126</v>
      </c>
      <c r="BK355" t="s">
        <v>126</v>
      </c>
      <c r="BS355" t="s">
        <v>126</v>
      </c>
      <c r="BT355" t="s">
        <v>126</v>
      </c>
      <c r="BU355" t="s">
        <v>126</v>
      </c>
      <c r="BV355" t="s">
        <v>126</v>
      </c>
      <c r="CN355" t="s">
        <v>147</v>
      </c>
      <c r="CP355" t="s">
        <v>619</v>
      </c>
      <c r="CQ355" t="s">
        <v>147</v>
      </c>
    </row>
    <row r="356" spans="1:95" x14ac:dyDescent="0.2">
      <c r="A356" t="s">
        <v>115</v>
      </c>
      <c r="B356" t="s">
        <v>116</v>
      </c>
      <c r="C356">
        <v>210784</v>
      </c>
      <c r="E356" t="s">
        <v>117</v>
      </c>
      <c r="F356">
        <v>368</v>
      </c>
      <c r="G356" t="s">
        <v>141</v>
      </c>
      <c r="H356" t="s">
        <v>142</v>
      </c>
      <c r="I356" t="s">
        <v>279</v>
      </c>
      <c r="J356" t="s">
        <v>280</v>
      </c>
      <c r="L356" t="s">
        <v>626</v>
      </c>
      <c r="M356" s="8">
        <v>45444</v>
      </c>
      <c r="N356">
        <v>5518854</v>
      </c>
      <c r="O356" t="s">
        <v>123</v>
      </c>
      <c r="P356" t="s">
        <v>146</v>
      </c>
      <c r="Q356">
        <v>3.3200000000000003</v>
      </c>
      <c r="R356" t="s">
        <v>544</v>
      </c>
      <c r="S356" t="s">
        <v>126</v>
      </c>
      <c r="T356" t="s">
        <v>544</v>
      </c>
      <c r="U356" t="s">
        <v>545</v>
      </c>
      <c r="W356">
        <v>1.02</v>
      </c>
      <c r="X356">
        <v>2.2999999999999998</v>
      </c>
      <c r="Y356">
        <v>3.3200000000000003</v>
      </c>
      <c r="Z356">
        <v>1.27</v>
      </c>
      <c r="AG356">
        <v>1.02</v>
      </c>
      <c r="AI356">
        <v>1.03</v>
      </c>
      <c r="BH356" t="s">
        <v>126</v>
      </c>
      <c r="BI356" t="s">
        <v>126</v>
      </c>
      <c r="BJ356" t="s">
        <v>126</v>
      </c>
      <c r="BK356" t="s">
        <v>126</v>
      </c>
      <c r="BS356" t="s">
        <v>126</v>
      </c>
      <c r="BT356" t="s">
        <v>126</v>
      </c>
      <c r="BU356" t="s">
        <v>126</v>
      </c>
      <c r="BV356" t="s">
        <v>126</v>
      </c>
      <c r="CN356" t="s">
        <v>147</v>
      </c>
      <c r="CP356" t="s">
        <v>619</v>
      </c>
      <c r="CQ356" t="s">
        <v>147</v>
      </c>
    </row>
    <row r="357" spans="1:95" x14ac:dyDescent="0.2">
      <c r="A357" t="s">
        <v>115</v>
      </c>
      <c r="B357" t="s">
        <v>116</v>
      </c>
      <c r="C357">
        <v>210784</v>
      </c>
      <c r="E357" t="s">
        <v>117</v>
      </c>
      <c r="F357">
        <v>368</v>
      </c>
      <c r="G357" t="s">
        <v>141</v>
      </c>
      <c r="H357" t="s">
        <v>142</v>
      </c>
      <c r="I357" t="s">
        <v>279</v>
      </c>
      <c r="J357" t="s">
        <v>280</v>
      </c>
      <c r="L357" t="s">
        <v>271</v>
      </c>
      <c r="M357" s="8">
        <v>45444</v>
      </c>
      <c r="N357">
        <v>5507285</v>
      </c>
      <c r="O357" t="s">
        <v>123</v>
      </c>
      <c r="P357" t="s">
        <v>146</v>
      </c>
      <c r="Q357">
        <v>3.85</v>
      </c>
      <c r="R357" t="s">
        <v>125</v>
      </c>
      <c r="S357" t="s">
        <v>126</v>
      </c>
      <c r="T357" t="s">
        <v>125</v>
      </c>
      <c r="U357" t="s">
        <v>126</v>
      </c>
      <c r="W357">
        <v>3.85</v>
      </c>
      <c r="Y357">
        <v>3.85</v>
      </c>
      <c r="BE357">
        <v>3.85</v>
      </c>
      <c r="BH357" t="s">
        <v>126</v>
      </c>
      <c r="BI357" t="s">
        <v>126</v>
      </c>
      <c r="BJ357" t="s">
        <v>126</v>
      </c>
      <c r="BK357" t="s">
        <v>126</v>
      </c>
      <c r="BS357" t="s">
        <v>126</v>
      </c>
      <c r="BT357" t="s">
        <v>126</v>
      </c>
      <c r="BU357" t="s">
        <v>126</v>
      </c>
      <c r="BV357" t="s">
        <v>126</v>
      </c>
      <c r="CN357" t="s">
        <v>147</v>
      </c>
      <c r="CP357" t="s">
        <v>619</v>
      </c>
      <c r="CQ357" t="s">
        <v>147</v>
      </c>
    </row>
    <row r="358" spans="1:95" x14ac:dyDescent="0.2">
      <c r="A358" t="s">
        <v>115</v>
      </c>
      <c r="B358" t="s">
        <v>116</v>
      </c>
      <c r="C358">
        <v>210784</v>
      </c>
      <c r="E358" t="s">
        <v>117</v>
      </c>
      <c r="F358">
        <v>368</v>
      </c>
      <c r="G358" t="s">
        <v>141</v>
      </c>
      <c r="H358" t="s">
        <v>142</v>
      </c>
      <c r="I358" t="s">
        <v>279</v>
      </c>
      <c r="J358" t="s">
        <v>280</v>
      </c>
      <c r="L358" t="s">
        <v>863</v>
      </c>
      <c r="M358" s="8">
        <v>45444</v>
      </c>
      <c r="N358">
        <v>5515805</v>
      </c>
      <c r="O358" t="s">
        <v>123</v>
      </c>
      <c r="P358" t="s">
        <v>146</v>
      </c>
      <c r="Q358">
        <v>1.94</v>
      </c>
      <c r="R358" t="s">
        <v>125</v>
      </c>
      <c r="S358" t="s">
        <v>126</v>
      </c>
      <c r="T358" t="s">
        <v>125</v>
      </c>
      <c r="U358" t="s">
        <v>126</v>
      </c>
      <c r="W358">
        <v>1.94</v>
      </c>
      <c r="Y358">
        <v>1.94</v>
      </c>
      <c r="BE358">
        <v>1.94</v>
      </c>
      <c r="BH358" t="s">
        <v>126</v>
      </c>
      <c r="BI358" t="s">
        <v>126</v>
      </c>
      <c r="BJ358" t="s">
        <v>126</v>
      </c>
      <c r="BK358" t="s">
        <v>126</v>
      </c>
      <c r="BS358" t="s">
        <v>126</v>
      </c>
      <c r="BT358" t="s">
        <v>126</v>
      </c>
      <c r="BU358" t="s">
        <v>126</v>
      </c>
      <c r="BV358" t="s">
        <v>126</v>
      </c>
      <c r="CN358" t="s">
        <v>147</v>
      </c>
      <c r="CP358" t="s">
        <v>619</v>
      </c>
      <c r="CQ358" t="s">
        <v>147</v>
      </c>
    </row>
    <row r="359" spans="1:95" x14ac:dyDescent="0.2">
      <c r="A359" t="s">
        <v>115</v>
      </c>
      <c r="B359" t="s">
        <v>116</v>
      </c>
      <c r="C359">
        <v>210784</v>
      </c>
      <c r="E359" t="s">
        <v>117</v>
      </c>
      <c r="F359">
        <v>368</v>
      </c>
      <c r="G359" t="s">
        <v>141</v>
      </c>
      <c r="H359" t="s">
        <v>142</v>
      </c>
      <c r="I359" t="s">
        <v>279</v>
      </c>
      <c r="J359" t="s">
        <v>280</v>
      </c>
      <c r="L359" t="s">
        <v>626</v>
      </c>
      <c r="M359" s="8">
        <v>45444</v>
      </c>
      <c r="N359">
        <v>5519030</v>
      </c>
      <c r="O359" t="s">
        <v>123</v>
      </c>
      <c r="P359" t="s">
        <v>146</v>
      </c>
      <c r="Q359">
        <v>4.5599999999999996</v>
      </c>
      <c r="R359" t="s">
        <v>125</v>
      </c>
      <c r="S359" t="s">
        <v>126</v>
      </c>
      <c r="T359" t="s">
        <v>125</v>
      </c>
      <c r="U359" t="s">
        <v>126</v>
      </c>
      <c r="W359">
        <v>4.5599999999999996</v>
      </c>
      <c r="Y359">
        <v>4.5599999999999996</v>
      </c>
      <c r="BE359">
        <v>4.5599999999999996</v>
      </c>
      <c r="BH359" t="s">
        <v>126</v>
      </c>
      <c r="BI359" t="s">
        <v>126</v>
      </c>
      <c r="BJ359" t="s">
        <v>126</v>
      </c>
      <c r="BK359" t="s">
        <v>126</v>
      </c>
      <c r="BS359" t="s">
        <v>126</v>
      </c>
      <c r="BT359" t="s">
        <v>126</v>
      </c>
      <c r="BU359" t="s">
        <v>126</v>
      </c>
      <c r="BV359" t="s">
        <v>126</v>
      </c>
      <c r="CN359" t="s">
        <v>147</v>
      </c>
      <c r="CP359" t="s">
        <v>619</v>
      </c>
      <c r="CQ359" t="s">
        <v>147</v>
      </c>
    </row>
    <row r="360" spans="1:95" x14ac:dyDescent="0.2">
      <c r="A360" t="s">
        <v>115</v>
      </c>
      <c r="B360" t="s">
        <v>116</v>
      </c>
      <c r="C360">
        <v>210784</v>
      </c>
      <c r="E360" t="s">
        <v>117</v>
      </c>
      <c r="F360">
        <v>368</v>
      </c>
      <c r="G360" t="s">
        <v>141</v>
      </c>
      <c r="H360" t="s">
        <v>142</v>
      </c>
      <c r="I360" t="s">
        <v>279</v>
      </c>
      <c r="J360" t="s">
        <v>280</v>
      </c>
      <c r="L360" t="s">
        <v>864</v>
      </c>
      <c r="M360" s="8">
        <v>45444</v>
      </c>
      <c r="N360">
        <v>5522560</v>
      </c>
      <c r="O360" t="s">
        <v>123</v>
      </c>
      <c r="P360" t="s">
        <v>146</v>
      </c>
      <c r="Q360">
        <v>2.87</v>
      </c>
      <c r="R360" t="s">
        <v>125</v>
      </c>
      <c r="S360" t="s">
        <v>126</v>
      </c>
      <c r="T360" t="s">
        <v>125</v>
      </c>
      <c r="U360" t="s">
        <v>126</v>
      </c>
      <c r="W360">
        <v>2.87</v>
      </c>
      <c r="Y360">
        <v>2.87</v>
      </c>
      <c r="BE360">
        <v>2.87</v>
      </c>
      <c r="BH360" t="s">
        <v>126</v>
      </c>
      <c r="BI360" t="s">
        <v>126</v>
      </c>
      <c r="BJ360" t="s">
        <v>126</v>
      </c>
      <c r="BK360" t="s">
        <v>126</v>
      </c>
      <c r="BS360" t="s">
        <v>126</v>
      </c>
      <c r="BT360" t="s">
        <v>126</v>
      </c>
      <c r="BU360" t="s">
        <v>126</v>
      </c>
      <c r="BV360" t="s">
        <v>126</v>
      </c>
      <c r="CN360" t="s">
        <v>147</v>
      </c>
      <c r="CP360" t="s">
        <v>630</v>
      </c>
      <c r="CQ360" t="s">
        <v>147</v>
      </c>
    </row>
    <row r="361" spans="1:95" x14ac:dyDescent="0.2">
      <c r="A361" t="s">
        <v>115</v>
      </c>
      <c r="B361" t="s">
        <v>116</v>
      </c>
      <c r="C361">
        <v>210784</v>
      </c>
      <c r="E361" t="s">
        <v>117</v>
      </c>
      <c r="F361">
        <v>368</v>
      </c>
      <c r="G361" t="s">
        <v>229</v>
      </c>
      <c r="H361" t="s">
        <v>230</v>
      </c>
      <c r="I361" t="s">
        <v>204</v>
      </c>
      <c r="J361" t="s">
        <v>205</v>
      </c>
      <c r="L361" t="s">
        <v>235</v>
      </c>
      <c r="M361" s="8">
        <v>45474</v>
      </c>
      <c r="N361">
        <v>103120</v>
      </c>
      <c r="O361" t="s">
        <v>123</v>
      </c>
      <c r="P361" t="s">
        <v>146</v>
      </c>
      <c r="Q361">
        <v>9.36</v>
      </c>
      <c r="R361" t="s">
        <v>125</v>
      </c>
      <c r="S361" t="s">
        <v>126</v>
      </c>
      <c r="T361" t="s">
        <v>125</v>
      </c>
      <c r="U361" t="s">
        <v>126</v>
      </c>
      <c r="W361">
        <v>9.36</v>
      </c>
      <c r="Y361">
        <v>9.36</v>
      </c>
      <c r="AC361">
        <v>9.36</v>
      </c>
      <c r="BH361" t="s">
        <v>126</v>
      </c>
      <c r="BI361" t="s">
        <v>126</v>
      </c>
      <c r="BJ361" t="s">
        <v>126</v>
      </c>
      <c r="BK361" t="s">
        <v>126</v>
      </c>
      <c r="BS361" t="s">
        <v>126</v>
      </c>
      <c r="BT361" t="s">
        <v>126</v>
      </c>
      <c r="BU361" t="s">
        <v>126</v>
      </c>
      <c r="BV361" t="s">
        <v>126</v>
      </c>
      <c r="CN361" t="s">
        <v>230</v>
      </c>
      <c r="CP361" t="s">
        <v>234</v>
      </c>
      <c r="CQ361" t="s">
        <v>230</v>
      </c>
    </row>
    <row r="362" spans="1:95" x14ac:dyDescent="0.2">
      <c r="A362" t="s">
        <v>115</v>
      </c>
      <c r="B362" t="s">
        <v>116</v>
      </c>
      <c r="C362">
        <v>210784</v>
      </c>
      <c r="E362" t="s">
        <v>117</v>
      </c>
      <c r="F362">
        <v>368</v>
      </c>
      <c r="G362" t="s">
        <v>229</v>
      </c>
      <c r="H362" t="s">
        <v>230</v>
      </c>
      <c r="I362" t="s">
        <v>204</v>
      </c>
      <c r="J362" t="s">
        <v>205</v>
      </c>
      <c r="L362" t="s">
        <v>236</v>
      </c>
      <c r="M362" s="8">
        <v>45474</v>
      </c>
      <c r="N362">
        <v>105952</v>
      </c>
      <c r="O362" t="s">
        <v>123</v>
      </c>
      <c r="P362" t="s">
        <v>146</v>
      </c>
      <c r="Q362">
        <v>8.94</v>
      </c>
      <c r="R362" t="s">
        <v>125</v>
      </c>
      <c r="S362" t="s">
        <v>126</v>
      </c>
      <c r="T362" t="s">
        <v>125</v>
      </c>
      <c r="U362" t="s">
        <v>126</v>
      </c>
      <c r="W362">
        <v>8.94</v>
      </c>
      <c r="Y362">
        <v>8.94</v>
      </c>
      <c r="AC362">
        <v>8.94</v>
      </c>
      <c r="BH362" t="s">
        <v>126</v>
      </c>
      <c r="BI362" t="s">
        <v>126</v>
      </c>
      <c r="BJ362" t="s">
        <v>126</v>
      </c>
      <c r="BK362" t="s">
        <v>126</v>
      </c>
      <c r="BS362" t="s">
        <v>126</v>
      </c>
      <c r="BT362" t="s">
        <v>126</v>
      </c>
      <c r="BU362" t="s">
        <v>126</v>
      </c>
      <c r="BV362" t="s">
        <v>126</v>
      </c>
      <c r="CN362" t="s">
        <v>230</v>
      </c>
      <c r="CP362" t="s">
        <v>234</v>
      </c>
      <c r="CQ362" t="s">
        <v>230</v>
      </c>
    </row>
    <row r="363" spans="1:95" x14ac:dyDescent="0.2">
      <c r="A363" t="s">
        <v>115</v>
      </c>
      <c r="B363" t="s">
        <v>116</v>
      </c>
      <c r="C363">
        <v>210784</v>
      </c>
      <c r="E363" t="s">
        <v>117</v>
      </c>
      <c r="F363">
        <v>368</v>
      </c>
      <c r="G363" t="s">
        <v>141</v>
      </c>
      <c r="H363" t="s">
        <v>142</v>
      </c>
      <c r="I363" t="s">
        <v>204</v>
      </c>
      <c r="J363" t="s">
        <v>205</v>
      </c>
      <c r="L363" t="s">
        <v>236</v>
      </c>
      <c r="M363" s="8">
        <v>45474</v>
      </c>
      <c r="N363">
        <v>105952</v>
      </c>
      <c r="O363" t="s">
        <v>123</v>
      </c>
      <c r="P363" t="s">
        <v>146</v>
      </c>
      <c r="Q363">
        <v>8.94</v>
      </c>
      <c r="R363" t="s">
        <v>125</v>
      </c>
      <c r="S363" t="s">
        <v>126</v>
      </c>
      <c r="T363" t="s">
        <v>125</v>
      </c>
      <c r="U363" t="s">
        <v>126</v>
      </c>
      <c r="W363">
        <v>8.94</v>
      </c>
      <c r="Y363">
        <v>8.94</v>
      </c>
      <c r="AC363">
        <v>8.94</v>
      </c>
      <c r="BH363" t="s">
        <v>126</v>
      </c>
      <c r="BI363" t="s">
        <v>126</v>
      </c>
      <c r="BJ363" t="s">
        <v>126</v>
      </c>
      <c r="BK363" t="s">
        <v>126</v>
      </c>
      <c r="BS363" t="s">
        <v>126</v>
      </c>
      <c r="BT363" t="s">
        <v>126</v>
      </c>
      <c r="BU363" t="s">
        <v>126</v>
      </c>
      <c r="BV363" t="s">
        <v>126</v>
      </c>
      <c r="CN363" t="s">
        <v>147</v>
      </c>
      <c r="CP363" t="s">
        <v>258</v>
      </c>
      <c r="CQ363" t="s">
        <v>147</v>
      </c>
    </row>
    <row r="364" spans="1:95" x14ac:dyDescent="0.2">
      <c r="A364" t="s">
        <v>115</v>
      </c>
      <c r="B364" t="s">
        <v>116</v>
      </c>
      <c r="C364">
        <v>210784</v>
      </c>
      <c r="E364" t="s">
        <v>117</v>
      </c>
      <c r="F364">
        <v>368</v>
      </c>
      <c r="G364" t="s">
        <v>141</v>
      </c>
      <c r="H364" t="s">
        <v>142</v>
      </c>
      <c r="I364" t="s">
        <v>279</v>
      </c>
      <c r="J364" t="s">
        <v>280</v>
      </c>
      <c r="L364" t="s">
        <v>627</v>
      </c>
      <c r="M364" s="8">
        <v>45474</v>
      </c>
      <c r="N364">
        <v>5532321</v>
      </c>
      <c r="O364" t="s">
        <v>123</v>
      </c>
      <c r="P364" t="s">
        <v>146</v>
      </c>
      <c r="Q364">
        <v>3.2600000000000002</v>
      </c>
      <c r="R364" t="s">
        <v>628</v>
      </c>
      <c r="S364" t="s">
        <v>126</v>
      </c>
      <c r="T364" t="s">
        <v>628</v>
      </c>
      <c r="U364" t="s">
        <v>629</v>
      </c>
      <c r="W364">
        <v>1</v>
      </c>
      <c r="X364">
        <v>2.2599999999999998</v>
      </c>
      <c r="Y364">
        <v>3.2600000000000002</v>
      </c>
      <c r="Z364">
        <v>1.24</v>
      </c>
      <c r="AG364">
        <v>1</v>
      </c>
      <c r="AI364">
        <v>1.02</v>
      </c>
      <c r="BH364" t="s">
        <v>126</v>
      </c>
      <c r="BI364" t="s">
        <v>126</v>
      </c>
      <c r="BJ364" t="s">
        <v>126</v>
      </c>
      <c r="BK364" t="s">
        <v>126</v>
      </c>
      <c r="BS364" t="s">
        <v>126</v>
      </c>
      <c r="BT364" t="s">
        <v>126</v>
      </c>
      <c r="BU364" t="s">
        <v>126</v>
      </c>
      <c r="BV364" t="s">
        <v>126</v>
      </c>
      <c r="CN364" t="s">
        <v>147</v>
      </c>
      <c r="CP364" t="s">
        <v>630</v>
      </c>
      <c r="CQ364" t="s">
        <v>147</v>
      </c>
    </row>
    <row r="365" spans="1:95" x14ac:dyDescent="0.2">
      <c r="A365" t="s">
        <v>115</v>
      </c>
      <c r="B365" t="s">
        <v>116</v>
      </c>
      <c r="C365">
        <v>210784</v>
      </c>
      <c r="E365" t="s">
        <v>117</v>
      </c>
      <c r="F365">
        <v>368</v>
      </c>
      <c r="G365" t="s">
        <v>141</v>
      </c>
      <c r="H365" t="s">
        <v>142</v>
      </c>
      <c r="I365" t="s">
        <v>279</v>
      </c>
      <c r="J365" t="s">
        <v>280</v>
      </c>
      <c r="L365" t="s">
        <v>627</v>
      </c>
      <c r="M365" s="8">
        <v>45474</v>
      </c>
      <c r="N365">
        <v>5532250</v>
      </c>
      <c r="O365" t="s">
        <v>123</v>
      </c>
      <c r="P365" t="s">
        <v>146</v>
      </c>
      <c r="Q365">
        <v>3.62</v>
      </c>
      <c r="R365" t="s">
        <v>631</v>
      </c>
      <c r="S365" t="s">
        <v>126</v>
      </c>
      <c r="T365" t="s">
        <v>631</v>
      </c>
      <c r="U365" t="s">
        <v>632</v>
      </c>
      <c r="W365">
        <v>1.1200000000000001</v>
      </c>
      <c r="X365">
        <v>2.5</v>
      </c>
      <c r="Y365">
        <v>3.62</v>
      </c>
      <c r="Z365">
        <v>1.37</v>
      </c>
      <c r="AG365">
        <v>1.1200000000000001</v>
      </c>
      <c r="AI365">
        <v>1.1299999999999999</v>
      </c>
      <c r="BH365" t="s">
        <v>126</v>
      </c>
      <c r="BI365" t="s">
        <v>126</v>
      </c>
      <c r="BJ365" t="s">
        <v>126</v>
      </c>
      <c r="BK365" t="s">
        <v>126</v>
      </c>
      <c r="BS365" t="s">
        <v>126</v>
      </c>
      <c r="BT365" t="s">
        <v>126</v>
      </c>
      <c r="BU365" t="s">
        <v>126</v>
      </c>
      <c r="BV365" t="s">
        <v>126</v>
      </c>
      <c r="CN365" t="s">
        <v>147</v>
      </c>
      <c r="CP365" t="s">
        <v>630</v>
      </c>
      <c r="CQ365" t="s">
        <v>147</v>
      </c>
    </row>
    <row r="366" spans="1:95" x14ac:dyDescent="0.2">
      <c r="A366" t="s">
        <v>115</v>
      </c>
      <c r="B366" t="s">
        <v>116</v>
      </c>
      <c r="C366">
        <v>210784</v>
      </c>
      <c r="E366" t="s">
        <v>117</v>
      </c>
      <c r="F366">
        <v>368</v>
      </c>
      <c r="G366" t="s">
        <v>141</v>
      </c>
      <c r="H366" t="s">
        <v>142</v>
      </c>
      <c r="I366" t="s">
        <v>279</v>
      </c>
      <c r="J366" t="s">
        <v>280</v>
      </c>
      <c r="L366" t="s">
        <v>633</v>
      </c>
      <c r="M366" s="8">
        <v>45474</v>
      </c>
      <c r="N366">
        <v>5537900</v>
      </c>
      <c r="O366" t="s">
        <v>123</v>
      </c>
      <c r="P366" t="s">
        <v>146</v>
      </c>
      <c r="Q366">
        <v>2.96</v>
      </c>
      <c r="R366" t="s">
        <v>581</v>
      </c>
      <c r="S366" t="s">
        <v>126</v>
      </c>
      <c r="T366" t="s">
        <v>581</v>
      </c>
      <c r="U366" t="s">
        <v>582</v>
      </c>
      <c r="W366">
        <v>0.91</v>
      </c>
      <c r="X366">
        <v>2.0499999999999998</v>
      </c>
      <c r="Y366">
        <v>2.96</v>
      </c>
      <c r="Z366">
        <v>1.1299999999999999</v>
      </c>
      <c r="AG366">
        <v>0.91</v>
      </c>
      <c r="AI366">
        <v>0.92</v>
      </c>
      <c r="BH366" t="s">
        <v>126</v>
      </c>
      <c r="BI366" t="s">
        <v>126</v>
      </c>
      <c r="BJ366" t="s">
        <v>126</v>
      </c>
      <c r="BK366" t="s">
        <v>126</v>
      </c>
      <c r="BS366" t="s">
        <v>126</v>
      </c>
      <c r="BT366" t="s">
        <v>126</v>
      </c>
      <c r="BU366" t="s">
        <v>126</v>
      </c>
      <c r="BV366" t="s">
        <v>126</v>
      </c>
      <c r="CN366" t="s">
        <v>147</v>
      </c>
      <c r="CP366" t="s">
        <v>630</v>
      </c>
      <c r="CQ366" t="s">
        <v>147</v>
      </c>
    </row>
    <row r="367" spans="1:95" x14ac:dyDescent="0.2">
      <c r="A367" t="s">
        <v>115</v>
      </c>
      <c r="B367" t="s">
        <v>116</v>
      </c>
      <c r="C367">
        <v>210784</v>
      </c>
      <c r="E367" t="s">
        <v>117</v>
      </c>
      <c r="F367">
        <v>368</v>
      </c>
      <c r="G367" t="s">
        <v>141</v>
      </c>
      <c r="H367" t="s">
        <v>142</v>
      </c>
      <c r="I367" t="s">
        <v>279</v>
      </c>
      <c r="J367" t="s">
        <v>280</v>
      </c>
      <c r="L367" t="s">
        <v>865</v>
      </c>
      <c r="M367" s="8">
        <v>45474</v>
      </c>
      <c r="N367">
        <v>5524202</v>
      </c>
      <c r="O367" t="s">
        <v>123</v>
      </c>
      <c r="P367" t="s">
        <v>146</v>
      </c>
      <c r="Q367">
        <v>3.93</v>
      </c>
      <c r="R367" t="s">
        <v>125</v>
      </c>
      <c r="S367" t="s">
        <v>126</v>
      </c>
      <c r="T367" t="s">
        <v>125</v>
      </c>
      <c r="U367" t="s">
        <v>126</v>
      </c>
      <c r="W367">
        <v>3.93</v>
      </c>
      <c r="Y367">
        <v>3.93</v>
      </c>
      <c r="BE367">
        <v>3.93</v>
      </c>
      <c r="BH367" t="s">
        <v>126</v>
      </c>
      <c r="BI367" t="s">
        <v>126</v>
      </c>
      <c r="BJ367" t="s">
        <v>126</v>
      </c>
      <c r="BK367" t="s">
        <v>126</v>
      </c>
      <c r="BS367" t="s">
        <v>126</v>
      </c>
      <c r="BT367" t="s">
        <v>126</v>
      </c>
      <c r="BU367" t="s">
        <v>126</v>
      </c>
      <c r="BV367" t="s">
        <v>126</v>
      </c>
      <c r="CN367" t="s">
        <v>147</v>
      </c>
      <c r="CP367" t="s">
        <v>630</v>
      </c>
      <c r="CQ367" t="s">
        <v>147</v>
      </c>
    </row>
    <row r="368" spans="1:95" x14ac:dyDescent="0.2">
      <c r="A368" t="s">
        <v>115</v>
      </c>
      <c r="B368" t="s">
        <v>116</v>
      </c>
      <c r="C368">
        <v>210784</v>
      </c>
      <c r="E368" t="s">
        <v>117</v>
      </c>
      <c r="F368">
        <v>368</v>
      </c>
      <c r="G368" t="s">
        <v>141</v>
      </c>
      <c r="H368" t="s">
        <v>142</v>
      </c>
      <c r="I368" t="s">
        <v>279</v>
      </c>
      <c r="J368" t="s">
        <v>280</v>
      </c>
      <c r="L368" t="s">
        <v>866</v>
      </c>
      <c r="M368" s="8">
        <v>45474</v>
      </c>
      <c r="N368">
        <v>5524856</v>
      </c>
      <c r="O368" t="s">
        <v>123</v>
      </c>
      <c r="P368" t="s">
        <v>146</v>
      </c>
      <c r="Q368">
        <v>2.38</v>
      </c>
      <c r="R368" t="s">
        <v>125</v>
      </c>
      <c r="S368" t="s">
        <v>126</v>
      </c>
      <c r="T368" t="s">
        <v>125</v>
      </c>
      <c r="U368" t="s">
        <v>126</v>
      </c>
      <c r="W368">
        <v>2.38</v>
      </c>
      <c r="Y368">
        <v>2.38</v>
      </c>
      <c r="BE368">
        <v>2.38</v>
      </c>
      <c r="BH368" t="s">
        <v>126</v>
      </c>
      <c r="BI368" t="s">
        <v>126</v>
      </c>
      <c r="BJ368" t="s">
        <v>126</v>
      </c>
      <c r="BK368" t="s">
        <v>126</v>
      </c>
      <c r="BS368" t="s">
        <v>126</v>
      </c>
      <c r="BT368" t="s">
        <v>126</v>
      </c>
      <c r="BU368" t="s">
        <v>126</v>
      </c>
      <c r="BV368" t="s">
        <v>126</v>
      </c>
      <c r="CN368" t="s">
        <v>147</v>
      </c>
      <c r="CP368" t="s">
        <v>630</v>
      </c>
      <c r="CQ368" t="s">
        <v>147</v>
      </c>
    </row>
    <row r="369" spans="1:95" x14ac:dyDescent="0.2">
      <c r="A369" t="s">
        <v>115</v>
      </c>
      <c r="B369" t="s">
        <v>116</v>
      </c>
      <c r="C369">
        <v>210784</v>
      </c>
      <c r="E369" t="s">
        <v>117</v>
      </c>
      <c r="F369">
        <v>368</v>
      </c>
      <c r="G369" t="s">
        <v>141</v>
      </c>
      <c r="H369" t="s">
        <v>142</v>
      </c>
      <c r="I369" t="s">
        <v>279</v>
      </c>
      <c r="J369" t="s">
        <v>280</v>
      </c>
      <c r="L369" t="s">
        <v>867</v>
      </c>
      <c r="M369" s="8">
        <v>45474</v>
      </c>
      <c r="N369">
        <v>5528300</v>
      </c>
      <c r="O369" t="s">
        <v>123</v>
      </c>
      <c r="P369" t="s">
        <v>146</v>
      </c>
      <c r="Q369">
        <v>1.2</v>
      </c>
      <c r="R369" t="s">
        <v>125</v>
      </c>
      <c r="S369" t="s">
        <v>126</v>
      </c>
      <c r="T369" t="s">
        <v>125</v>
      </c>
      <c r="U369" t="s">
        <v>126</v>
      </c>
      <c r="W369">
        <v>1.2</v>
      </c>
      <c r="Y369">
        <v>1.2</v>
      </c>
      <c r="BE369">
        <v>1.2</v>
      </c>
      <c r="BH369" t="s">
        <v>126</v>
      </c>
      <c r="BI369" t="s">
        <v>126</v>
      </c>
      <c r="BJ369" t="s">
        <v>126</v>
      </c>
      <c r="BK369" t="s">
        <v>126</v>
      </c>
      <c r="BS369" t="s">
        <v>126</v>
      </c>
      <c r="BT369" t="s">
        <v>126</v>
      </c>
      <c r="BU369" t="s">
        <v>126</v>
      </c>
      <c r="BV369" t="s">
        <v>126</v>
      </c>
      <c r="CN369" t="s">
        <v>147</v>
      </c>
      <c r="CP369" t="s">
        <v>630</v>
      </c>
      <c r="CQ369" t="s">
        <v>147</v>
      </c>
    </row>
    <row r="370" spans="1:95" x14ac:dyDescent="0.2">
      <c r="A370" t="s">
        <v>115</v>
      </c>
      <c r="B370" t="s">
        <v>116</v>
      </c>
      <c r="C370">
        <v>210784</v>
      </c>
      <c r="E370" t="s">
        <v>117</v>
      </c>
      <c r="F370">
        <v>368</v>
      </c>
      <c r="G370" t="s">
        <v>141</v>
      </c>
      <c r="H370" t="s">
        <v>142</v>
      </c>
      <c r="I370" t="s">
        <v>279</v>
      </c>
      <c r="J370" t="s">
        <v>280</v>
      </c>
      <c r="L370" t="s">
        <v>868</v>
      </c>
      <c r="M370" s="8">
        <v>45474</v>
      </c>
      <c r="N370">
        <v>5538471</v>
      </c>
      <c r="O370" t="s">
        <v>123</v>
      </c>
      <c r="P370" t="s">
        <v>146</v>
      </c>
      <c r="Q370">
        <v>4.13</v>
      </c>
      <c r="R370" t="s">
        <v>125</v>
      </c>
      <c r="S370" t="s">
        <v>126</v>
      </c>
      <c r="T370" t="s">
        <v>125</v>
      </c>
      <c r="U370" t="s">
        <v>126</v>
      </c>
      <c r="W370">
        <v>4.13</v>
      </c>
      <c r="Y370">
        <v>4.13</v>
      </c>
      <c r="BE370">
        <v>4.13</v>
      </c>
      <c r="BH370" t="s">
        <v>126</v>
      </c>
      <c r="BI370" t="s">
        <v>126</v>
      </c>
      <c r="BJ370" t="s">
        <v>126</v>
      </c>
      <c r="BK370" t="s">
        <v>126</v>
      </c>
      <c r="BS370" t="s">
        <v>126</v>
      </c>
      <c r="BT370" t="s">
        <v>126</v>
      </c>
      <c r="BU370" t="s">
        <v>126</v>
      </c>
      <c r="BV370" t="s">
        <v>126</v>
      </c>
      <c r="CN370" t="s">
        <v>147</v>
      </c>
      <c r="CP370" t="s">
        <v>630</v>
      </c>
      <c r="CQ370" t="s">
        <v>147</v>
      </c>
    </row>
    <row r="371" spans="1:95" x14ac:dyDescent="0.2">
      <c r="A371" t="s">
        <v>115</v>
      </c>
      <c r="B371" t="s">
        <v>116</v>
      </c>
      <c r="C371">
        <v>210784</v>
      </c>
      <c r="E371" t="s">
        <v>117</v>
      </c>
      <c r="F371">
        <v>368</v>
      </c>
      <c r="G371" t="s">
        <v>229</v>
      </c>
      <c r="H371" t="s">
        <v>230</v>
      </c>
      <c r="I371" t="s">
        <v>204</v>
      </c>
      <c r="J371" t="s">
        <v>205</v>
      </c>
      <c r="L371" t="s">
        <v>237</v>
      </c>
      <c r="M371" s="8">
        <v>45505</v>
      </c>
      <c r="N371">
        <v>106894</v>
      </c>
      <c r="O371" t="s">
        <v>123</v>
      </c>
      <c r="P371" t="s">
        <v>146</v>
      </c>
      <c r="Q371">
        <v>8.36</v>
      </c>
      <c r="R371" t="s">
        <v>125</v>
      </c>
      <c r="S371" t="s">
        <v>126</v>
      </c>
      <c r="T371" t="s">
        <v>125</v>
      </c>
      <c r="U371" t="s">
        <v>126</v>
      </c>
      <c r="W371">
        <v>8.36</v>
      </c>
      <c r="Y371">
        <v>8.36</v>
      </c>
      <c r="AC371">
        <v>8.36</v>
      </c>
      <c r="BH371" t="s">
        <v>126</v>
      </c>
      <c r="BI371" t="s">
        <v>126</v>
      </c>
      <c r="BJ371" t="s">
        <v>126</v>
      </c>
      <c r="BK371" t="s">
        <v>126</v>
      </c>
      <c r="BS371" t="s">
        <v>126</v>
      </c>
      <c r="BT371" t="s">
        <v>126</v>
      </c>
      <c r="BU371" t="s">
        <v>126</v>
      </c>
      <c r="BV371" t="s">
        <v>126</v>
      </c>
      <c r="CN371" t="s">
        <v>230</v>
      </c>
      <c r="CP371" t="s">
        <v>234</v>
      </c>
      <c r="CQ371" t="s">
        <v>230</v>
      </c>
    </row>
    <row r="372" spans="1:95" x14ac:dyDescent="0.2">
      <c r="A372" t="s">
        <v>115</v>
      </c>
      <c r="B372" t="s">
        <v>116</v>
      </c>
      <c r="C372">
        <v>210784</v>
      </c>
      <c r="E372" t="s">
        <v>117</v>
      </c>
      <c r="F372">
        <v>368</v>
      </c>
      <c r="G372" t="s">
        <v>229</v>
      </c>
      <c r="H372" t="s">
        <v>230</v>
      </c>
      <c r="I372" t="s">
        <v>204</v>
      </c>
      <c r="J372" t="s">
        <v>205</v>
      </c>
      <c r="L372" t="s">
        <v>238</v>
      </c>
      <c r="M372" s="8">
        <v>45505</v>
      </c>
      <c r="N372">
        <v>107730</v>
      </c>
      <c r="O372" t="s">
        <v>123</v>
      </c>
      <c r="P372" t="s">
        <v>146</v>
      </c>
      <c r="Q372">
        <v>8.48</v>
      </c>
      <c r="R372" t="s">
        <v>125</v>
      </c>
      <c r="S372" t="s">
        <v>126</v>
      </c>
      <c r="T372" t="s">
        <v>125</v>
      </c>
      <c r="U372" t="s">
        <v>126</v>
      </c>
      <c r="W372">
        <v>8.48</v>
      </c>
      <c r="Y372">
        <v>8.48</v>
      </c>
      <c r="AC372">
        <v>8.48</v>
      </c>
      <c r="BH372" t="s">
        <v>126</v>
      </c>
      <c r="BI372" t="s">
        <v>126</v>
      </c>
      <c r="BJ372" t="s">
        <v>126</v>
      </c>
      <c r="BK372" t="s">
        <v>126</v>
      </c>
      <c r="BS372" t="s">
        <v>126</v>
      </c>
      <c r="BT372" t="s">
        <v>126</v>
      </c>
      <c r="BU372" t="s">
        <v>126</v>
      </c>
      <c r="BV372" t="s">
        <v>126</v>
      </c>
      <c r="CN372" t="s">
        <v>230</v>
      </c>
      <c r="CP372" t="s">
        <v>234</v>
      </c>
      <c r="CQ372" t="s">
        <v>230</v>
      </c>
    </row>
    <row r="373" spans="1:95" x14ac:dyDescent="0.2">
      <c r="A373" t="s">
        <v>115</v>
      </c>
      <c r="B373" t="s">
        <v>116</v>
      </c>
      <c r="C373">
        <v>210784</v>
      </c>
      <c r="E373" t="s">
        <v>117</v>
      </c>
      <c r="F373">
        <v>368</v>
      </c>
      <c r="G373" t="s">
        <v>141</v>
      </c>
      <c r="H373" t="s">
        <v>142</v>
      </c>
      <c r="I373" t="s">
        <v>204</v>
      </c>
      <c r="J373" t="s">
        <v>205</v>
      </c>
      <c r="L373" t="s">
        <v>269</v>
      </c>
      <c r="M373" s="8">
        <v>45505</v>
      </c>
      <c r="N373">
        <v>106518</v>
      </c>
      <c r="O373" t="s">
        <v>123</v>
      </c>
      <c r="P373" t="s">
        <v>146</v>
      </c>
      <c r="Q373">
        <v>8.4700000000000006</v>
      </c>
      <c r="R373" t="s">
        <v>125</v>
      </c>
      <c r="S373" t="s">
        <v>126</v>
      </c>
      <c r="T373" t="s">
        <v>125</v>
      </c>
      <c r="U373" t="s">
        <v>126</v>
      </c>
      <c r="W373">
        <v>8.4700000000000006</v>
      </c>
      <c r="Y373">
        <v>8.4700000000000006</v>
      </c>
      <c r="AC373">
        <v>8.4700000000000006</v>
      </c>
      <c r="BH373" t="s">
        <v>126</v>
      </c>
      <c r="BI373" t="s">
        <v>126</v>
      </c>
      <c r="BJ373" t="s">
        <v>126</v>
      </c>
      <c r="BK373" t="s">
        <v>126</v>
      </c>
      <c r="BS373" t="s">
        <v>126</v>
      </c>
      <c r="BT373" t="s">
        <v>126</v>
      </c>
      <c r="BU373" t="s">
        <v>126</v>
      </c>
      <c r="BV373" t="s">
        <v>126</v>
      </c>
      <c r="CN373" t="s">
        <v>147</v>
      </c>
      <c r="CP373" t="s">
        <v>258</v>
      </c>
      <c r="CQ373" t="s">
        <v>147</v>
      </c>
    </row>
    <row r="374" spans="1:95" x14ac:dyDescent="0.2">
      <c r="A374" t="s">
        <v>115</v>
      </c>
      <c r="B374" t="s">
        <v>116</v>
      </c>
      <c r="C374">
        <v>210784</v>
      </c>
      <c r="E374" t="s">
        <v>117</v>
      </c>
      <c r="F374">
        <v>368</v>
      </c>
      <c r="G374" t="s">
        <v>141</v>
      </c>
      <c r="H374" t="s">
        <v>142</v>
      </c>
      <c r="I374" t="s">
        <v>204</v>
      </c>
      <c r="J374" t="s">
        <v>205</v>
      </c>
      <c r="L374" t="s">
        <v>237</v>
      </c>
      <c r="M374" s="8">
        <v>45505</v>
      </c>
      <c r="N374">
        <v>106897</v>
      </c>
      <c r="O374" t="s">
        <v>123</v>
      </c>
      <c r="P374" t="s">
        <v>146</v>
      </c>
      <c r="Q374">
        <v>8.36</v>
      </c>
      <c r="R374" t="s">
        <v>125</v>
      </c>
      <c r="S374" t="s">
        <v>126</v>
      </c>
      <c r="T374" t="s">
        <v>125</v>
      </c>
      <c r="U374" t="s">
        <v>126</v>
      </c>
      <c r="W374">
        <v>8.36</v>
      </c>
      <c r="Y374">
        <v>8.36</v>
      </c>
      <c r="AC374">
        <v>8.36</v>
      </c>
      <c r="BH374" t="s">
        <v>126</v>
      </c>
      <c r="BI374" t="s">
        <v>126</v>
      </c>
      <c r="BJ374" t="s">
        <v>126</v>
      </c>
      <c r="BK374" t="s">
        <v>126</v>
      </c>
      <c r="BS374" t="s">
        <v>126</v>
      </c>
      <c r="BT374" t="s">
        <v>126</v>
      </c>
      <c r="BU374" t="s">
        <v>126</v>
      </c>
      <c r="BV374" t="s">
        <v>126</v>
      </c>
      <c r="CN374" t="s">
        <v>147</v>
      </c>
      <c r="CP374" t="s">
        <v>258</v>
      </c>
      <c r="CQ374" t="s">
        <v>147</v>
      </c>
    </row>
    <row r="375" spans="1:95" x14ac:dyDescent="0.2">
      <c r="A375" t="s">
        <v>115</v>
      </c>
      <c r="B375" t="s">
        <v>116</v>
      </c>
      <c r="C375">
        <v>210784</v>
      </c>
      <c r="E375" t="s">
        <v>117</v>
      </c>
      <c r="F375">
        <v>368</v>
      </c>
      <c r="G375" t="s">
        <v>141</v>
      </c>
      <c r="H375" t="s">
        <v>142</v>
      </c>
      <c r="I375" t="s">
        <v>259</v>
      </c>
      <c r="J375" t="s">
        <v>260</v>
      </c>
      <c r="L375" t="s">
        <v>270</v>
      </c>
      <c r="M375" s="8">
        <v>45505</v>
      </c>
      <c r="N375">
        <v>25781</v>
      </c>
      <c r="O375" t="s">
        <v>123</v>
      </c>
      <c r="P375" t="s">
        <v>146</v>
      </c>
      <c r="Q375">
        <v>8</v>
      </c>
      <c r="R375" t="s">
        <v>125</v>
      </c>
      <c r="S375" t="s">
        <v>126</v>
      </c>
      <c r="T375" t="s">
        <v>125</v>
      </c>
      <c r="U375" t="s">
        <v>126</v>
      </c>
      <c r="W375">
        <v>8</v>
      </c>
      <c r="Y375">
        <v>8</v>
      </c>
      <c r="AC375">
        <v>8</v>
      </c>
      <c r="BH375" t="s">
        <v>126</v>
      </c>
      <c r="BI375" t="s">
        <v>126</v>
      </c>
      <c r="BJ375" t="s">
        <v>126</v>
      </c>
      <c r="BK375" t="s">
        <v>126</v>
      </c>
      <c r="BS375" t="s">
        <v>126</v>
      </c>
      <c r="BT375" t="s">
        <v>126</v>
      </c>
      <c r="BU375" t="s">
        <v>126</v>
      </c>
      <c r="BV375" t="s">
        <v>126</v>
      </c>
      <c r="CN375" t="s">
        <v>147</v>
      </c>
      <c r="CP375" t="s">
        <v>258</v>
      </c>
      <c r="CQ375" t="s">
        <v>147</v>
      </c>
    </row>
    <row r="376" spans="1:95" x14ac:dyDescent="0.2">
      <c r="A376" t="s">
        <v>115</v>
      </c>
      <c r="B376" t="s">
        <v>116</v>
      </c>
      <c r="C376">
        <v>210784</v>
      </c>
      <c r="E376" t="s">
        <v>117</v>
      </c>
      <c r="F376">
        <v>368</v>
      </c>
      <c r="G376" t="s">
        <v>141</v>
      </c>
      <c r="H376" t="s">
        <v>142</v>
      </c>
      <c r="I376" t="s">
        <v>204</v>
      </c>
      <c r="J376" t="s">
        <v>205</v>
      </c>
      <c r="L376" t="s">
        <v>238</v>
      </c>
      <c r="M376" s="8">
        <v>45505</v>
      </c>
      <c r="N376">
        <v>107730</v>
      </c>
      <c r="O376" t="s">
        <v>123</v>
      </c>
      <c r="P376" t="s">
        <v>146</v>
      </c>
      <c r="Q376">
        <v>8.48</v>
      </c>
      <c r="R376" t="s">
        <v>125</v>
      </c>
      <c r="S376" t="s">
        <v>126</v>
      </c>
      <c r="T376" t="s">
        <v>125</v>
      </c>
      <c r="U376" t="s">
        <v>126</v>
      </c>
      <c r="W376">
        <v>8.48</v>
      </c>
      <c r="Y376">
        <v>8.48</v>
      </c>
      <c r="AC376">
        <v>8.48</v>
      </c>
      <c r="BH376" t="s">
        <v>126</v>
      </c>
      <c r="BI376" t="s">
        <v>126</v>
      </c>
      <c r="BJ376" t="s">
        <v>126</v>
      </c>
      <c r="BK376" t="s">
        <v>126</v>
      </c>
      <c r="BS376" t="s">
        <v>126</v>
      </c>
      <c r="BT376" t="s">
        <v>126</v>
      </c>
      <c r="BU376" t="s">
        <v>126</v>
      </c>
      <c r="BV376" t="s">
        <v>126</v>
      </c>
      <c r="CN376" t="s">
        <v>147</v>
      </c>
      <c r="CP376" t="s">
        <v>258</v>
      </c>
      <c r="CQ376" t="s">
        <v>147</v>
      </c>
    </row>
    <row r="377" spans="1:95" x14ac:dyDescent="0.2">
      <c r="A377" t="s">
        <v>115</v>
      </c>
      <c r="B377" t="s">
        <v>116</v>
      </c>
      <c r="C377">
        <v>210784</v>
      </c>
      <c r="E377" t="s">
        <v>117</v>
      </c>
      <c r="F377">
        <v>368</v>
      </c>
      <c r="G377" t="s">
        <v>141</v>
      </c>
      <c r="H377" t="s">
        <v>142</v>
      </c>
      <c r="I377" t="s">
        <v>279</v>
      </c>
      <c r="J377" t="s">
        <v>280</v>
      </c>
      <c r="L377" t="s">
        <v>634</v>
      </c>
      <c r="M377" s="8">
        <v>45505</v>
      </c>
      <c r="N377">
        <v>5547817</v>
      </c>
      <c r="O377" t="s">
        <v>123</v>
      </c>
      <c r="P377" t="s">
        <v>146</v>
      </c>
      <c r="Q377">
        <v>3.4</v>
      </c>
      <c r="R377" t="s">
        <v>635</v>
      </c>
      <c r="S377" t="s">
        <v>126</v>
      </c>
      <c r="T377" t="s">
        <v>635</v>
      </c>
      <c r="U377" t="s">
        <v>636</v>
      </c>
      <c r="W377">
        <v>1.05</v>
      </c>
      <c r="X377">
        <v>2.35</v>
      </c>
      <c r="Y377">
        <v>3.4</v>
      </c>
      <c r="Z377">
        <v>1.29</v>
      </c>
      <c r="AG377">
        <v>1.05</v>
      </c>
      <c r="AI377">
        <v>1.06</v>
      </c>
      <c r="BH377" t="s">
        <v>126</v>
      </c>
      <c r="BI377" t="s">
        <v>126</v>
      </c>
      <c r="BJ377" t="s">
        <v>126</v>
      </c>
      <c r="BK377" t="s">
        <v>126</v>
      </c>
      <c r="BS377" t="s">
        <v>126</v>
      </c>
      <c r="BT377" t="s">
        <v>126</v>
      </c>
      <c r="BU377" t="s">
        <v>126</v>
      </c>
      <c r="BV377" t="s">
        <v>126</v>
      </c>
      <c r="CN377" t="s">
        <v>147</v>
      </c>
      <c r="CP377" t="s">
        <v>238</v>
      </c>
      <c r="CQ377" t="s">
        <v>147</v>
      </c>
    </row>
    <row r="378" spans="1:95" x14ac:dyDescent="0.2">
      <c r="A378" t="s">
        <v>115</v>
      </c>
      <c r="B378" t="s">
        <v>116</v>
      </c>
      <c r="C378">
        <v>210784</v>
      </c>
      <c r="E378" t="s">
        <v>117</v>
      </c>
      <c r="F378">
        <v>368</v>
      </c>
      <c r="G378" t="s">
        <v>141</v>
      </c>
      <c r="H378" t="s">
        <v>142</v>
      </c>
      <c r="I378" t="s">
        <v>279</v>
      </c>
      <c r="J378" t="s">
        <v>280</v>
      </c>
      <c r="L378" t="s">
        <v>637</v>
      </c>
      <c r="M378" s="8">
        <v>45505</v>
      </c>
      <c r="N378">
        <v>5553320</v>
      </c>
      <c r="O378" t="s">
        <v>123</v>
      </c>
      <c r="P378" t="s">
        <v>146</v>
      </c>
      <c r="Q378">
        <v>0.73</v>
      </c>
      <c r="R378" t="s">
        <v>638</v>
      </c>
      <c r="S378" t="s">
        <v>126</v>
      </c>
      <c r="T378" t="s">
        <v>638</v>
      </c>
      <c r="U378" t="s">
        <v>639</v>
      </c>
      <c r="W378">
        <v>0.22</v>
      </c>
      <c r="X378">
        <v>0.51</v>
      </c>
      <c r="Y378">
        <v>0.73</v>
      </c>
      <c r="Z378">
        <v>0.28000000000000003</v>
      </c>
      <c r="AG378">
        <v>0.22</v>
      </c>
      <c r="AI378">
        <v>0.23</v>
      </c>
      <c r="BH378" t="s">
        <v>126</v>
      </c>
      <c r="BI378" t="s">
        <v>126</v>
      </c>
      <c r="BJ378" t="s">
        <v>126</v>
      </c>
      <c r="BK378" t="s">
        <v>126</v>
      </c>
      <c r="BS378" t="s">
        <v>126</v>
      </c>
      <c r="BT378" t="s">
        <v>126</v>
      </c>
      <c r="BU378" t="s">
        <v>126</v>
      </c>
      <c r="BV378" t="s">
        <v>126</v>
      </c>
      <c r="CN378" t="s">
        <v>147</v>
      </c>
      <c r="CP378" t="s">
        <v>238</v>
      </c>
      <c r="CQ378" t="s">
        <v>147</v>
      </c>
    </row>
    <row r="379" spans="1:95" x14ac:dyDescent="0.2">
      <c r="A379" t="s">
        <v>115</v>
      </c>
      <c r="B379" t="s">
        <v>116</v>
      </c>
      <c r="C379">
        <v>210784</v>
      </c>
      <c r="E379" t="s">
        <v>117</v>
      </c>
      <c r="F379">
        <v>368</v>
      </c>
      <c r="G379" t="s">
        <v>141</v>
      </c>
      <c r="H379" t="s">
        <v>142</v>
      </c>
      <c r="I379" t="s">
        <v>279</v>
      </c>
      <c r="J379" t="s">
        <v>280</v>
      </c>
      <c r="L379" t="s">
        <v>637</v>
      </c>
      <c r="M379" s="8">
        <v>45505</v>
      </c>
      <c r="N379">
        <v>5553250</v>
      </c>
      <c r="O379" t="s">
        <v>123</v>
      </c>
      <c r="P379" t="s">
        <v>146</v>
      </c>
      <c r="Q379">
        <v>4.17</v>
      </c>
      <c r="R379" t="s">
        <v>631</v>
      </c>
      <c r="S379" t="s">
        <v>126</v>
      </c>
      <c r="T379" t="s">
        <v>631</v>
      </c>
      <c r="U379" t="s">
        <v>632</v>
      </c>
      <c r="W379">
        <v>1.29</v>
      </c>
      <c r="X379">
        <v>2.88</v>
      </c>
      <c r="Y379">
        <v>4.17</v>
      </c>
      <c r="Z379">
        <v>1.58</v>
      </c>
      <c r="AG379">
        <v>1.29</v>
      </c>
      <c r="AI379">
        <v>1.3</v>
      </c>
      <c r="BH379" t="s">
        <v>126</v>
      </c>
      <c r="BI379" t="s">
        <v>126</v>
      </c>
      <c r="BJ379" t="s">
        <v>126</v>
      </c>
      <c r="BK379" t="s">
        <v>126</v>
      </c>
      <c r="BS379" t="s">
        <v>126</v>
      </c>
      <c r="BT379" t="s">
        <v>126</v>
      </c>
      <c r="BU379" t="s">
        <v>126</v>
      </c>
      <c r="BV379" t="s">
        <v>126</v>
      </c>
      <c r="CN379" t="s">
        <v>147</v>
      </c>
      <c r="CP379" t="s">
        <v>238</v>
      </c>
      <c r="CQ379" t="s">
        <v>147</v>
      </c>
    </row>
    <row r="380" spans="1:95" x14ac:dyDescent="0.2">
      <c r="A380" t="s">
        <v>115</v>
      </c>
      <c r="B380" t="s">
        <v>116</v>
      </c>
      <c r="C380">
        <v>210784</v>
      </c>
      <c r="E380" t="s">
        <v>117</v>
      </c>
      <c r="F380">
        <v>368</v>
      </c>
      <c r="G380" t="s">
        <v>141</v>
      </c>
      <c r="H380" t="s">
        <v>142</v>
      </c>
      <c r="I380" t="s">
        <v>284</v>
      </c>
      <c r="J380" t="s">
        <v>285</v>
      </c>
      <c r="L380" t="s">
        <v>640</v>
      </c>
      <c r="M380" s="8">
        <v>45505</v>
      </c>
      <c r="N380">
        <v>109045</v>
      </c>
      <c r="O380" t="s">
        <v>123</v>
      </c>
      <c r="P380" t="s">
        <v>146</v>
      </c>
      <c r="Q380">
        <v>1.3499999999999999</v>
      </c>
      <c r="R380" t="s">
        <v>641</v>
      </c>
      <c r="S380" t="s">
        <v>126</v>
      </c>
      <c r="T380" t="s">
        <v>641</v>
      </c>
      <c r="U380" t="s">
        <v>642</v>
      </c>
      <c r="W380">
        <v>0.42</v>
      </c>
      <c r="X380">
        <v>0.92999999999999994</v>
      </c>
      <c r="Y380">
        <v>1.3499999999999999</v>
      </c>
      <c r="Z380">
        <v>0.51</v>
      </c>
      <c r="AG380">
        <v>0.42</v>
      </c>
      <c r="AI380">
        <v>0.42</v>
      </c>
      <c r="BH380" t="s">
        <v>126</v>
      </c>
      <c r="BI380" t="s">
        <v>126</v>
      </c>
      <c r="BJ380" t="s">
        <v>126</v>
      </c>
      <c r="BK380" t="s">
        <v>126</v>
      </c>
      <c r="BS380" t="s">
        <v>126</v>
      </c>
      <c r="BT380" t="s">
        <v>126</v>
      </c>
      <c r="BU380" t="s">
        <v>126</v>
      </c>
      <c r="BV380" t="s">
        <v>126</v>
      </c>
      <c r="CN380" t="s">
        <v>147</v>
      </c>
      <c r="CP380" t="s">
        <v>238</v>
      </c>
      <c r="CQ380" t="s">
        <v>147</v>
      </c>
    </row>
    <row r="381" spans="1:95" x14ac:dyDescent="0.2">
      <c r="A381" t="s">
        <v>115</v>
      </c>
      <c r="B381" t="s">
        <v>116</v>
      </c>
      <c r="C381">
        <v>210784</v>
      </c>
      <c r="E381" t="s">
        <v>117</v>
      </c>
      <c r="F381">
        <v>368</v>
      </c>
      <c r="G381" t="s">
        <v>141</v>
      </c>
      <c r="H381" t="s">
        <v>142</v>
      </c>
      <c r="I381" t="s">
        <v>279</v>
      </c>
      <c r="J381" t="s">
        <v>280</v>
      </c>
      <c r="L381" t="s">
        <v>643</v>
      </c>
      <c r="M381" s="8">
        <v>45505</v>
      </c>
      <c r="N381">
        <v>5555743</v>
      </c>
      <c r="O381" t="s">
        <v>123</v>
      </c>
      <c r="P381" t="s">
        <v>146</v>
      </c>
      <c r="Q381">
        <v>3.3</v>
      </c>
      <c r="R381" t="s">
        <v>644</v>
      </c>
      <c r="S381" t="s">
        <v>126</v>
      </c>
      <c r="T381" t="s">
        <v>644</v>
      </c>
      <c r="U381" t="s">
        <v>645</v>
      </c>
      <c r="W381">
        <v>1.02</v>
      </c>
      <c r="X381">
        <v>2.2800000000000002</v>
      </c>
      <c r="Y381">
        <v>3.3</v>
      </c>
      <c r="Z381">
        <v>1.25</v>
      </c>
      <c r="AG381">
        <v>1.02</v>
      </c>
      <c r="AI381">
        <v>1.03</v>
      </c>
      <c r="BH381" t="s">
        <v>126</v>
      </c>
      <c r="BI381" t="s">
        <v>126</v>
      </c>
      <c r="BJ381" t="s">
        <v>126</v>
      </c>
      <c r="BK381" t="s">
        <v>126</v>
      </c>
      <c r="BS381" t="s">
        <v>126</v>
      </c>
      <c r="BT381" t="s">
        <v>126</v>
      </c>
      <c r="BU381" t="s">
        <v>126</v>
      </c>
      <c r="BV381" t="s">
        <v>126</v>
      </c>
      <c r="CN381" t="s">
        <v>147</v>
      </c>
      <c r="CP381" t="s">
        <v>238</v>
      </c>
      <c r="CQ381" t="s">
        <v>147</v>
      </c>
    </row>
    <row r="382" spans="1:95" x14ac:dyDescent="0.2">
      <c r="A382" t="s">
        <v>115</v>
      </c>
      <c r="B382" t="s">
        <v>116</v>
      </c>
      <c r="C382">
        <v>210784</v>
      </c>
      <c r="E382" t="s">
        <v>117</v>
      </c>
      <c r="F382">
        <v>368</v>
      </c>
      <c r="G382" t="s">
        <v>141</v>
      </c>
      <c r="H382" t="s">
        <v>142</v>
      </c>
      <c r="I382" t="s">
        <v>279</v>
      </c>
      <c r="J382" t="s">
        <v>280</v>
      </c>
      <c r="L382" t="s">
        <v>646</v>
      </c>
      <c r="M382" s="8">
        <v>45505</v>
      </c>
      <c r="N382">
        <v>5558915</v>
      </c>
      <c r="O382" t="s">
        <v>123</v>
      </c>
      <c r="P382" t="s">
        <v>146</v>
      </c>
      <c r="Q382">
        <v>1.44</v>
      </c>
      <c r="R382" t="s">
        <v>537</v>
      </c>
      <c r="S382" t="s">
        <v>126</v>
      </c>
      <c r="T382" t="s">
        <v>537</v>
      </c>
      <c r="U382" t="s">
        <v>538</v>
      </c>
      <c r="W382">
        <v>0.44</v>
      </c>
      <c r="X382">
        <v>1</v>
      </c>
      <c r="Y382">
        <v>1.44</v>
      </c>
      <c r="Z382">
        <v>0.55000000000000004</v>
      </c>
      <c r="AG382">
        <v>0.44</v>
      </c>
      <c r="AI382">
        <v>0.45</v>
      </c>
      <c r="BH382" t="s">
        <v>126</v>
      </c>
      <c r="BI382" t="s">
        <v>126</v>
      </c>
      <c r="BJ382" t="s">
        <v>126</v>
      </c>
      <c r="BK382" t="s">
        <v>126</v>
      </c>
      <c r="BS382" t="s">
        <v>126</v>
      </c>
      <c r="BT382" t="s">
        <v>126</v>
      </c>
      <c r="BU382" t="s">
        <v>126</v>
      </c>
      <c r="BV382" t="s">
        <v>126</v>
      </c>
      <c r="CN382" t="s">
        <v>147</v>
      </c>
      <c r="CP382" t="s">
        <v>238</v>
      </c>
      <c r="CQ382" t="s">
        <v>147</v>
      </c>
    </row>
    <row r="383" spans="1:95" x14ac:dyDescent="0.2">
      <c r="A383" t="s">
        <v>115</v>
      </c>
      <c r="B383" t="s">
        <v>116</v>
      </c>
      <c r="C383">
        <v>210784</v>
      </c>
      <c r="E383" t="s">
        <v>117</v>
      </c>
      <c r="F383">
        <v>368</v>
      </c>
      <c r="G383" t="s">
        <v>141</v>
      </c>
      <c r="H383" t="s">
        <v>142</v>
      </c>
      <c r="I383" t="s">
        <v>279</v>
      </c>
      <c r="J383" t="s">
        <v>280</v>
      </c>
      <c r="L383" t="s">
        <v>647</v>
      </c>
      <c r="M383" s="8">
        <v>45505</v>
      </c>
      <c r="N383">
        <v>5559685</v>
      </c>
      <c r="O383" t="s">
        <v>123</v>
      </c>
      <c r="P383" t="s">
        <v>146</v>
      </c>
      <c r="Q383">
        <v>1.0900000000000001</v>
      </c>
      <c r="R383" t="s">
        <v>648</v>
      </c>
      <c r="S383" t="s">
        <v>126</v>
      </c>
      <c r="T383" t="s">
        <v>648</v>
      </c>
      <c r="U383" t="s">
        <v>649</v>
      </c>
      <c r="W383">
        <v>0.34</v>
      </c>
      <c r="X383">
        <v>0.75</v>
      </c>
      <c r="Y383">
        <v>1.0900000000000001</v>
      </c>
      <c r="Z383">
        <v>0.41</v>
      </c>
      <c r="AG383">
        <v>0.34</v>
      </c>
      <c r="AI383">
        <v>0.34</v>
      </c>
      <c r="BH383" t="s">
        <v>126</v>
      </c>
      <c r="BI383" t="s">
        <v>126</v>
      </c>
      <c r="BJ383" t="s">
        <v>126</v>
      </c>
      <c r="BK383" t="s">
        <v>126</v>
      </c>
      <c r="BS383" t="s">
        <v>126</v>
      </c>
      <c r="BT383" t="s">
        <v>126</v>
      </c>
      <c r="BU383" t="s">
        <v>126</v>
      </c>
      <c r="BV383" t="s">
        <v>126</v>
      </c>
      <c r="CN383" t="s">
        <v>147</v>
      </c>
      <c r="CP383" t="s">
        <v>238</v>
      </c>
      <c r="CQ383" t="s">
        <v>147</v>
      </c>
    </row>
    <row r="384" spans="1:95" x14ac:dyDescent="0.2">
      <c r="A384" t="s">
        <v>115</v>
      </c>
      <c r="B384" t="s">
        <v>116</v>
      </c>
      <c r="C384">
        <v>210784</v>
      </c>
      <c r="E384" t="s">
        <v>117</v>
      </c>
      <c r="F384">
        <v>368</v>
      </c>
      <c r="G384" t="s">
        <v>141</v>
      </c>
      <c r="H384" t="s">
        <v>142</v>
      </c>
      <c r="I384" t="s">
        <v>279</v>
      </c>
      <c r="J384" t="s">
        <v>280</v>
      </c>
      <c r="L384" t="s">
        <v>650</v>
      </c>
      <c r="M384" s="8">
        <v>45505</v>
      </c>
      <c r="N384">
        <v>5561893</v>
      </c>
      <c r="O384" t="s">
        <v>123</v>
      </c>
      <c r="P384" t="s">
        <v>146</v>
      </c>
      <c r="Q384">
        <v>1.5799999999999998</v>
      </c>
      <c r="R384" t="s">
        <v>651</v>
      </c>
      <c r="S384" t="s">
        <v>126</v>
      </c>
      <c r="T384" t="s">
        <v>651</v>
      </c>
      <c r="U384" t="s">
        <v>652</v>
      </c>
      <c r="W384">
        <v>0.49</v>
      </c>
      <c r="X384">
        <v>1.0899999999999999</v>
      </c>
      <c r="Y384">
        <v>1.5799999999999998</v>
      </c>
      <c r="Z384">
        <v>0.6</v>
      </c>
      <c r="AG384">
        <v>0.49</v>
      </c>
      <c r="AI384">
        <v>0.49</v>
      </c>
      <c r="BH384" t="s">
        <v>126</v>
      </c>
      <c r="BI384" t="s">
        <v>126</v>
      </c>
      <c r="BJ384" t="s">
        <v>126</v>
      </c>
      <c r="BK384" t="s">
        <v>126</v>
      </c>
      <c r="BS384" t="s">
        <v>126</v>
      </c>
      <c r="BT384" t="s">
        <v>126</v>
      </c>
      <c r="BU384" t="s">
        <v>126</v>
      </c>
      <c r="BV384" t="s">
        <v>126</v>
      </c>
      <c r="CN384" t="s">
        <v>147</v>
      </c>
      <c r="CP384" t="s">
        <v>653</v>
      </c>
      <c r="CQ384" t="s">
        <v>147</v>
      </c>
    </row>
    <row r="385" spans="1:95" x14ac:dyDescent="0.2">
      <c r="A385" t="s">
        <v>115</v>
      </c>
      <c r="B385" t="s">
        <v>116</v>
      </c>
      <c r="C385">
        <v>210784</v>
      </c>
      <c r="E385" t="s">
        <v>117</v>
      </c>
      <c r="F385">
        <v>368</v>
      </c>
      <c r="G385" t="s">
        <v>141</v>
      </c>
      <c r="H385" t="s">
        <v>142</v>
      </c>
      <c r="I385" t="s">
        <v>279</v>
      </c>
      <c r="J385" t="s">
        <v>280</v>
      </c>
      <c r="L385" t="s">
        <v>650</v>
      </c>
      <c r="M385" s="8">
        <v>45505</v>
      </c>
      <c r="N385">
        <v>5561750</v>
      </c>
      <c r="O385" t="s">
        <v>123</v>
      </c>
      <c r="P385" t="s">
        <v>146</v>
      </c>
      <c r="Q385">
        <v>2.36</v>
      </c>
      <c r="R385" t="s">
        <v>577</v>
      </c>
      <c r="S385" t="s">
        <v>126</v>
      </c>
      <c r="T385" t="s">
        <v>577</v>
      </c>
      <c r="U385" t="s">
        <v>578</v>
      </c>
      <c r="W385">
        <v>0.73</v>
      </c>
      <c r="X385">
        <v>1.63</v>
      </c>
      <c r="Y385">
        <v>2.36</v>
      </c>
      <c r="Z385">
        <v>0.9</v>
      </c>
      <c r="AG385">
        <v>0.73</v>
      </c>
      <c r="AI385">
        <v>0.73</v>
      </c>
      <c r="BH385" t="s">
        <v>126</v>
      </c>
      <c r="BI385" t="s">
        <v>126</v>
      </c>
      <c r="BJ385" t="s">
        <v>126</v>
      </c>
      <c r="BK385" t="s">
        <v>126</v>
      </c>
      <c r="BS385" t="s">
        <v>126</v>
      </c>
      <c r="BT385" t="s">
        <v>126</v>
      </c>
      <c r="BU385" t="s">
        <v>126</v>
      </c>
      <c r="BV385" t="s">
        <v>126</v>
      </c>
      <c r="CN385" t="s">
        <v>147</v>
      </c>
      <c r="CP385" t="s">
        <v>653</v>
      </c>
      <c r="CQ385" t="s">
        <v>147</v>
      </c>
    </row>
    <row r="386" spans="1:95" x14ac:dyDescent="0.2">
      <c r="A386" t="s">
        <v>115</v>
      </c>
      <c r="B386" t="s">
        <v>116</v>
      </c>
      <c r="C386">
        <v>210784</v>
      </c>
      <c r="E386" t="s">
        <v>117</v>
      </c>
      <c r="F386">
        <v>368</v>
      </c>
      <c r="G386" t="s">
        <v>141</v>
      </c>
      <c r="H386" t="s">
        <v>142</v>
      </c>
      <c r="I386" t="s">
        <v>279</v>
      </c>
      <c r="J386" t="s">
        <v>280</v>
      </c>
      <c r="L386" t="s">
        <v>650</v>
      </c>
      <c r="M386" s="8">
        <v>45505</v>
      </c>
      <c r="N386">
        <v>5561844</v>
      </c>
      <c r="O386" t="s">
        <v>123</v>
      </c>
      <c r="P386" t="s">
        <v>146</v>
      </c>
      <c r="Q386">
        <v>2.06</v>
      </c>
      <c r="R386" t="s">
        <v>654</v>
      </c>
      <c r="S386" t="s">
        <v>126</v>
      </c>
      <c r="T386" t="s">
        <v>654</v>
      </c>
      <c r="U386" t="s">
        <v>655</v>
      </c>
      <c r="W386">
        <v>0.63</v>
      </c>
      <c r="X386">
        <v>1.4300000000000002</v>
      </c>
      <c r="Y386">
        <v>2.06</v>
      </c>
      <c r="Z386">
        <v>0.79</v>
      </c>
      <c r="AG386">
        <v>0.63</v>
      </c>
      <c r="AI386">
        <v>0.64</v>
      </c>
      <c r="BH386" t="s">
        <v>126</v>
      </c>
      <c r="BI386" t="s">
        <v>126</v>
      </c>
      <c r="BJ386" t="s">
        <v>126</v>
      </c>
      <c r="BK386" t="s">
        <v>126</v>
      </c>
      <c r="BS386" t="s">
        <v>126</v>
      </c>
      <c r="BT386" t="s">
        <v>126</v>
      </c>
      <c r="BU386" t="s">
        <v>126</v>
      </c>
      <c r="BV386" t="s">
        <v>126</v>
      </c>
      <c r="CN386" t="s">
        <v>147</v>
      </c>
      <c r="CP386" t="s">
        <v>653</v>
      </c>
      <c r="CQ386" t="s">
        <v>147</v>
      </c>
    </row>
    <row r="387" spans="1:95" x14ac:dyDescent="0.2">
      <c r="A387" t="s">
        <v>115</v>
      </c>
      <c r="B387" t="s">
        <v>116</v>
      </c>
      <c r="C387">
        <v>210784</v>
      </c>
      <c r="E387" t="s">
        <v>117</v>
      </c>
      <c r="F387">
        <v>368</v>
      </c>
      <c r="G387" t="s">
        <v>141</v>
      </c>
      <c r="H387" t="s">
        <v>142</v>
      </c>
      <c r="I387" t="s">
        <v>279</v>
      </c>
      <c r="J387" t="s">
        <v>280</v>
      </c>
      <c r="L387" t="s">
        <v>653</v>
      </c>
      <c r="M387" s="8">
        <v>45505</v>
      </c>
      <c r="N387">
        <v>5564235</v>
      </c>
      <c r="O387" t="s">
        <v>123</v>
      </c>
      <c r="P387" t="s">
        <v>146</v>
      </c>
      <c r="Q387">
        <v>1.1600000000000001</v>
      </c>
      <c r="R387" t="s">
        <v>620</v>
      </c>
      <c r="S387" t="s">
        <v>126</v>
      </c>
      <c r="T387" t="s">
        <v>620</v>
      </c>
      <c r="U387" t="s">
        <v>621</v>
      </c>
      <c r="W387">
        <v>0.36</v>
      </c>
      <c r="X387">
        <v>0.8</v>
      </c>
      <c r="Y387">
        <v>1.1600000000000001</v>
      </c>
      <c r="Z387">
        <v>0.44</v>
      </c>
      <c r="AG387">
        <v>0.36</v>
      </c>
      <c r="AI387">
        <v>0.36</v>
      </c>
      <c r="BH387" t="s">
        <v>126</v>
      </c>
      <c r="BI387" t="s">
        <v>126</v>
      </c>
      <c r="BJ387" t="s">
        <v>126</v>
      </c>
      <c r="BK387" t="s">
        <v>126</v>
      </c>
      <c r="BS387" t="s">
        <v>126</v>
      </c>
      <c r="BT387" t="s">
        <v>126</v>
      </c>
      <c r="BU387" t="s">
        <v>126</v>
      </c>
      <c r="BV387" t="s">
        <v>126</v>
      </c>
      <c r="CN387" t="s">
        <v>147</v>
      </c>
      <c r="CP387" t="s">
        <v>267</v>
      </c>
      <c r="CQ387" t="s">
        <v>147</v>
      </c>
    </row>
    <row r="388" spans="1:95" x14ac:dyDescent="0.2">
      <c r="A388" t="s">
        <v>115</v>
      </c>
      <c r="B388" t="s">
        <v>116</v>
      </c>
      <c r="C388">
        <v>210784</v>
      </c>
      <c r="E388" t="s">
        <v>117</v>
      </c>
      <c r="F388">
        <v>368</v>
      </c>
      <c r="G388" t="s">
        <v>141</v>
      </c>
      <c r="H388" t="s">
        <v>142</v>
      </c>
      <c r="I388" t="s">
        <v>279</v>
      </c>
      <c r="J388" t="s">
        <v>280</v>
      </c>
      <c r="L388" t="s">
        <v>634</v>
      </c>
      <c r="M388" s="8">
        <v>45505</v>
      </c>
      <c r="N388">
        <v>5547957</v>
      </c>
      <c r="O388" t="s">
        <v>123</v>
      </c>
      <c r="P388" t="s">
        <v>146</v>
      </c>
      <c r="Q388">
        <v>3.85</v>
      </c>
      <c r="R388" t="s">
        <v>125</v>
      </c>
      <c r="S388" t="s">
        <v>126</v>
      </c>
      <c r="T388" t="s">
        <v>125</v>
      </c>
      <c r="U388" t="s">
        <v>126</v>
      </c>
      <c r="W388">
        <v>3.85</v>
      </c>
      <c r="Y388">
        <v>3.85</v>
      </c>
      <c r="BE388">
        <v>3.85</v>
      </c>
      <c r="BH388" t="s">
        <v>126</v>
      </c>
      <c r="BI388" t="s">
        <v>126</v>
      </c>
      <c r="BJ388" t="s">
        <v>126</v>
      </c>
      <c r="BK388" t="s">
        <v>126</v>
      </c>
      <c r="BS388" t="s">
        <v>126</v>
      </c>
      <c r="BT388" t="s">
        <v>126</v>
      </c>
      <c r="BU388" t="s">
        <v>126</v>
      </c>
      <c r="BV388" t="s">
        <v>126</v>
      </c>
      <c r="CN388" t="s">
        <v>147</v>
      </c>
      <c r="CP388" t="s">
        <v>238</v>
      </c>
      <c r="CQ388" t="s">
        <v>147</v>
      </c>
    </row>
    <row r="389" spans="1:95" x14ac:dyDescent="0.2">
      <c r="A389" t="s">
        <v>115</v>
      </c>
      <c r="B389" t="s">
        <v>116</v>
      </c>
      <c r="C389">
        <v>210784</v>
      </c>
      <c r="E389" t="s">
        <v>117</v>
      </c>
      <c r="F389">
        <v>368</v>
      </c>
      <c r="G389" t="s">
        <v>141</v>
      </c>
      <c r="H389" t="s">
        <v>142</v>
      </c>
      <c r="I389" t="s">
        <v>279</v>
      </c>
      <c r="J389" t="s">
        <v>280</v>
      </c>
      <c r="L389" t="s">
        <v>237</v>
      </c>
      <c r="M389" s="8">
        <v>45505</v>
      </c>
      <c r="N389">
        <v>5551703</v>
      </c>
      <c r="O389" t="s">
        <v>123</v>
      </c>
      <c r="P389" t="s">
        <v>146</v>
      </c>
      <c r="Q389">
        <v>3.86</v>
      </c>
      <c r="R389" t="s">
        <v>125</v>
      </c>
      <c r="S389" t="s">
        <v>126</v>
      </c>
      <c r="T389" t="s">
        <v>125</v>
      </c>
      <c r="U389" t="s">
        <v>126</v>
      </c>
      <c r="W389">
        <v>3.86</v>
      </c>
      <c r="Y389">
        <v>3.86</v>
      </c>
      <c r="BE389">
        <v>3.86</v>
      </c>
      <c r="BH389" t="s">
        <v>126</v>
      </c>
      <c r="BI389" t="s">
        <v>126</v>
      </c>
      <c r="BJ389" t="s">
        <v>126</v>
      </c>
      <c r="BK389" t="s">
        <v>126</v>
      </c>
      <c r="BS389" t="s">
        <v>126</v>
      </c>
      <c r="BT389" t="s">
        <v>126</v>
      </c>
      <c r="BU389" t="s">
        <v>126</v>
      </c>
      <c r="BV389" t="s">
        <v>126</v>
      </c>
      <c r="CN389" t="s">
        <v>147</v>
      </c>
      <c r="CP389" t="s">
        <v>238</v>
      </c>
      <c r="CQ389" t="s">
        <v>147</v>
      </c>
    </row>
    <row r="390" spans="1:95" x14ac:dyDescent="0.2">
      <c r="A390" t="s">
        <v>115</v>
      </c>
      <c r="B390" t="s">
        <v>116</v>
      </c>
      <c r="C390">
        <v>210784</v>
      </c>
      <c r="E390" t="s">
        <v>117</v>
      </c>
      <c r="F390">
        <v>368</v>
      </c>
      <c r="G390" t="s">
        <v>141</v>
      </c>
      <c r="H390" t="s">
        <v>142</v>
      </c>
      <c r="I390" t="s">
        <v>279</v>
      </c>
      <c r="J390" t="s">
        <v>280</v>
      </c>
      <c r="L390" t="s">
        <v>869</v>
      </c>
      <c r="M390" s="8">
        <v>45505</v>
      </c>
      <c r="N390">
        <v>5554175</v>
      </c>
      <c r="O390" t="s">
        <v>123</v>
      </c>
      <c r="P390" t="s">
        <v>146</v>
      </c>
      <c r="Q390">
        <v>2.79</v>
      </c>
      <c r="R390" t="s">
        <v>125</v>
      </c>
      <c r="S390" t="s">
        <v>126</v>
      </c>
      <c r="T390" t="s">
        <v>125</v>
      </c>
      <c r="U390" t="s">
        <v>126</v>
      </c>
      <c r="W390">
        <v>2.79</v>
      </c>
      <c r="Y390">
        <v>2.79</v>
      </c>
      <c r="BE390">
        <v>2.79</v>
      </c>
      <c r="BH390" t="s">
        <v>126</v>
      </c>
      <c r="BI390" t="s">
        <v>126</v>
      </c>
      <c r="BJ390" t="s">
        <v>126</v>
      </c>
      <c r="BK390" t="s">
        <v>126</v>
      </c>
      <c r="BS390" t="s">
        <v>126</v>
      </c>
      <c r="BT390" t="s">
        <v>126</v>
      </c>
      <c r="BU390" t="s">
        <v>126</v>
      </c>
      <c r="BV390" t="s">
        <v>126</v>
      </c>
      <c r="CN390" t="s">
        <v>147</v>
      </c>
      <c r="CP390" t="s">
        <v>238</v>
      </c>
      <c r="CQ390" t="s">
        <v>147</v>
      </c>
    </row>
    <row r="391" spans="1:95" x14ac:dyDescent="0.2">
      <c r="A391" t="s">
        <v>115</v>
      </c>
      <c r="B391" t="s">
        <v>116</v>
      </c>
      <c r="C391">
        <v>210784</v>
      </c>
      <c r="E391" t="s">
        <v>117</v>
      </c>
      <c r="F391">
        <v>368</v>
      </c>
      <c r="G391" t="s">
        <v>141</v>
      </c>
      <c r="H391" t="s">
        <v>142</v>
      </c>
      <c r="I391" t="s">
        <v>279</v>
      </c>
      <c r="J391" t="s">
        <v>280</v>
      </c>
      <c r="L391" t="s">
        <v>646</v>
      </c>
      <c r="M391" s="8">
        <v>45505</v>
      </c>
      <c r="N391">
        <v>5558849</v>
      </c>
      <c r="O391" t="s">
        <v>123</v>
      </c>
      <c r="P391" t="s">
        <v>146</v>
      </c>
      <c r="Q391">
        <v>5.19</v>
      </c>
      <c r="R391" t="s">
        <v>125</v>
      </c>
      <c r="S391" t="s">
        <v>126</v>
      </c>
      <c r="T391" t="s">
        <v>125</v>
      </c>
      <c r="U391" t="s">
        <v>126</v>
      </c>
      <c r="W391">
        <v>5.19</v>
      </c>
      <c r="Y391">
        <v>5.19</v>
      </c>
      <c r="BE391">
        <v>5.19</v>
      </c>
      <c r="BH391" t="s">
        <v>126</v>
      </c>
      <c r="BI391" t="s">
        <v>126</v>
      </c>
      <c r="BJ391" t="s">
        <v>126</v>
      </c>
      <c r="BK391" t="s">
        <v>126</v>
      </c>
      <c r="BS391" t="s">
        <v>126</v>
      </c>
      <c r="BT391" t="s">
        <v>126</v>
      </c>
      <c r="BU391" t="s">
        <v>126</v>
      </c>
      <c r="BV391" t="s">
        <v>126</v>
      </c>
      <c r="CN391" t="s">
        <v>147</v>
      </c>
      <c r="CP391" t="s">
        <v>238</v>
      </c>
      <c r="CQ391" t="s">
        <v>147</v>
      </c>
    </row>
    <row r="392" spans="1:95" x14ac:dyDescent="0.2">
      <c r="A392" t="s">
        <v>115</v>
      </c>
      <c r="B392" t="s">
        <v>116</v>
      </c>
      <c r="C392">
        <v>210784</v>
      </c>
      <c r="E392" t="s">
        <v>117</v>
      </c>
      <c r="F392">
        <v>368</v>
      </c>
      <c r="G392" t="s">
        <v>141</v>
      </c>
      <c r="H392" t="s">
        <v>142</v>
      </c>
      <c r="I392" t="s">
        <v>279</v>
      </c>
      <c r="J392" t="s">
        <v>280</v>
      </c>
      <c r="L392" t="s">
        <v>647</v>
      </c>
      <c r="M392" s="8">
        <v>45505</v>
      </c>
      <c r="N392">
        <v>5559791</v>
      </c>
      <c r="O392" t="s">
        <v>123</v>
      </c>
      <c r="P392" t="s">
        <v>146</v>
      </c>
      <c r="Q392">
        <v>2.15</v>
      </c>
      <c r="R392" t="s">
        <v>125</v>
      </c>
      <c r="S392" t="s">
        <v>126</v>
      </c>
      <c r="T392" t="s">
        <v>125</v>
      </c>
      <c r="U392" t="s">
        <v>126</v>
      </c>
      <c r="W392">
        <v>2.15</v>
      </c>
      <c r="Y392">
        <v>2.15</v>
      </c>
      <c r="BE392">
        <v>2.15</v>
      </c>
      <c r="BH392" t="s">
        <v>126</v>
      </c>
      <c r="BI392" t="s">
        <v>126</v>
      </c>
      <c r="BJ392" t="s">
        <v>126</v>
      </c>
      <c r="BK392" t="s">
        <v>126</v>
      </c>
      <c r="BS392" t="s">
        <v>126</v>
      </c>
      <c r="BT392" t="s">
        <v>126</v>
      </c>
      <c r="BU392" t="s">
        <v>126</v>
      </c>
      <c r="BV392" t="s">
        <v>126</v>
      </c>
      <c r="CN392" t="s">
        <v>147</v>
      </c>
      <c r="CP392" t="s">
        <v>238</v>
      </c>
      <c r="CQ392" t="s">
        <v>147</v>
      </c>
    </row>
    <row r="393" spans="1:95" x14ac:dyDescent="0.2">
      <c r="A393" t="s">
        <v>115</v>
      </c>
      <c r="B393" t="s">
        <v>116</v>
      </c>
      <c r="C393">
        <v>210784</v>
      </c>
      <c r="E393" t="s">
        <v>117</v>
      </c>
      <c r="F393">
        <v>368</v>
      </c>
      <c r="G393" t="s">
        <v>141</v>
      </c>
      <c r="H393" t="s">
        <v>142</v>
      </c>
      <c r="I393" t="s">
        <v>279</v>
      </c>
      <c r="J393" t="s">
        <v>280</v>
      </c>
      <c r="L393" t="s">
        <v>650</v>
      </c>
      <c r="M393" s="8">
        <v>45505</v>
      </c>
      <c r="N393">
        <v>5561829</v>
      </c>
      <c r="O393" t="s">
        <v>123</v>
      </c>
      <c r="P393" t="s">
        <v>146</v>
      </c>
      <c r="Q393">
        <v>5.72</v>
      </c>
      <c r="R393" t="s">
        <v>125</v>
      </c>
      <c r="S393" t="s">
        <v>126</v>
      </c>
      <c r="T393" t="s">
        <v>125</v>
      </c>
      <c r="U393" t="s">
        <v>126</v>
      </c>
      <c r="W393">
        <v>5.72</v>
      </c>
      <c r="Y393">
        <v>5.72</v>
      </c>
      <c r="BE393">
        <v>5.72</v>
      </c>
      <c r="BH393" t="s">
        <v>126</v>
      </c>
      <c r="BI393" t="s">
        <v>126</v>
      </c>
      <c r="BJ393" t="s">
        <v>126</v>
      </c>
      <c r="BK393" t="s">
        <v>126</v>
      </c>
      <c r="BS393" t="s">
        <v>126</v>
      </c>
      <c r="BT393" t="s">
        <v>126</v>
      </c>
      <c r="BU393" t="s">
        <v>126</v>
      </c>
      <c r="BV393" t="s">
        <v>126</v>
      </c>
      <c r="CN393" t="s">
        <v>147</v>
      </c>
      <c r="CP393" t="s">
        <v>653</v>
      </c>
      <c r="CQ393" t="s">
        <v>147</v>
      </c>
    </row>
    <row r="394" spans="1:95" x14ac:dyDescent="0.2">
      <c r="A394" t="s">
        <v>115</v>
      </c>
      <c r="B394" t="s">
        <v>116</v>
      </c>
      <c r="C394">
        <v>210784</v>
      </c>
      <c r="E394" t="s">
        <v>117</v>
      </c>
      <c r="F394">
        <v>368</v>
      </c>
      <c r="G394" t="s">
        <v>141</v>
      </c>
      <c r="H394" t="s">
        <v>142</v>
      </c>
      <c r="I394" t="s">
        <v>279</v>
      </c>
      <c r="J394" t="s">
        <v>280</v>
      </c>
      <c r="L394" t="s">
        <v>870</v>
      </c>
      <c r="M394" s="8">
        <v>45505</v>
      </c>
      <c r="N394">
        <v>5563286</v>
      </c>
      <c r="O394" t="s">
        <v>123</v>
      </c>
      <c r="P394" t="s">
        <v>146</v>
      </c>
      <c r="Q394">
        <v>2.27</v>
      </c>
      <c r="R394" t="s">
        <v>125</v>
      </c>
      <c r="S394" t="s">
        <v>126</v>
      </c>
      <c r="T394" t="s">
        <v>125</v>
      </c>
      <c r="U394" t="s">
        <v>126</v>
      </c>
      <c r="W394">
        <v>2.27</v>
      </c>
      <c r="Y394">
        <v>2.27</v>
      </c>
      <c r="BE394">
        <v>2.27</v>
      </c>
      <c r="BH394" t="s">
        <v>126</v>
      </c>
      <c r="BI394" t="s">
        <v>126</v>
      </c>
      <c r="BJ394" t="s">
        <v>126</v>
      </c>
      <c r="BK394" t="s">
        <v>126</v>
      </c>
      <c r="BS394" t="s">
        <v>126</v>
      </c>
      <c r="BT394" t="s">
        <v>126</v>
      </c>
      <c r="BU394" t="s">
        <v>126</v>
      </c>
      <c r="BV394" t="s">
        <v>126</v>
      </c>
      <c r="CN394" t="s">
        <v>147</v>
      </c>
      <c r="CP394" t="s">
        <v>267</v>
      </c>
      <c r="CQ394" t="s">
        <v>147</v>
      </c>
    </row>
    <row r="395" spans="1:95" x14ac:dyDescent="0.2">
      <c r="A395" t="s">
        <v>115</v>
      </c>
      <c r="B395" t="s">
        <v>116</v>
      </c>
      <c r="C395">
        <v>210784</v>
      </c>
      <c r="E395" t="s">
        <v>117</v>
      </c>
      <c r="F395">
        <v>368</v>
      </c>
      <c r="G395" t="s">
        <v>141</v>
      </c>
      <c r="H395" t="s">
        <v>142</v>
      </c>
      <c r="I395" t="s">
        <v>279</v>
      </c>
      <c r="J395" t="s">
        <v>280</v>
      </c>
      <c r="L395" t="s">
        <v>919</v>
      </c>
      <c r="M395" s="8">
        <v>45505</v>
      </c>
      <c r="N395">
        <v>5550792</v>
      </c>
      <c r="O395" t="s">
        <v>123</v>
      </c>
      <c r="P395" t="s">
        <v>146</v>
      </c>
      <c r="Q395">
        <v>4.17</v>
      </c>
      <c r="R395" t="s">
        <v>125</v>
      </c>
      <c r="S395" t="s">
        <v>126</v>
      </c>
      <c r="T395" t="s">
        <v>125</v>
      </c>
      <c r="U395" t="s">
        <v>126</v>
      </c>
      <c r="W395">
        <v>4.17</v>
      </c>
      <c r="Y395">
        <v>4.17</v>
      </c>
      <c r="AE395">
        <v>4.17</v>
      </c>
      <c r="BH395" t="s">
        <v>126</v>
      </c>
      <c r="BI395" t="s">
        <v>126</v>
      </c>
      <c r="BJ395" t="s">
        <v>126</v>
      </c>
      <c r="BK395" t="s">
        <v>126</v>
      </c>
      <c r="BS395" t="s">
        <v>126</v>
      </c>
      <c r="BT395" t="s">
        <v>126</v>
      </c>
      <c r="BU395" t="s">
        <v>126</v>
      </c>
      <c r="BV395" t="s">
        <v>126</v>
      </c>
      <c r="CN395" t="s">
        <v>147</v>
      </c>
      <c r="CP395" t="s">
        <v>238</v>
      </c>
      <c r="CQ395" t="s">
        <v>147</v>
      </c>
    </row>
    <row r="396" spans="1:95" x14ac:dyDescent="0.2">
      <c r="A396" t="s">
        <v>115</v>
      </c>
      <c r="B396" t="s">
        <v>116</v>
      </c>
      <c r="C396">
        <v>210784</v>
      </c>
      <c r="E396" t="s">
        <v>117</v>
      </c>
      <c r="F396">
        <v>368</v>
      </c>
      <c r="G396" t="s">
        <v>141</v>
      </c>
      <c r="H396" t="s">
        <v>142</v>
      </c>
      <c r="I396" t="s">
        <v>279</v>
      </c>
      <c r="J396" t="s">
        <v>280</v>
      </c>
      <c r="L396" t="s">
        <v>646</v>
      </c>
      <c r="M396" s="8">
        <v>45505</v>
      </c>
      <c r="N396">
        <v>5558454</v>
      </c>
      <c r="O396" t="s">
        <v>123</v>
      </c>
      <c r="P396" t="s">
        <v>146</v>
      </c>
      <c r="Q396">
        <v>1.66</v>
      </c>
      <c r="R396" t="s">
        <v>125</v>
      </c>
      <c r="S396" t="s">
        <v>126</v>
      </c>
      <c r="T396" t="s">
        <v>125</v>
      </c>
      <c r="U396" t="s">
        <v>126</v>
      </c>
      <c r="W396">
        <v>1.66</v>
      </c>
      <c r="Y396">
        <v>1.66</v>
      </c>
      <c r="AE396">
        <v>1.66</v>
      </c>
      <c r="BH396" t="s">
        <v>126</v>
      </c>
      <c r="BI396" t="s">
        <v>126</v>
      </c>
      <c r="BJ396" t="s">
        <v>126</v>
      </c>
      <c r="BK396" t="s">
        <v>126</v>
      </c>
      <c r="BS396" t="s">
        <v>126</v>
      </c>
      <c r="BT396" t="s">
        <v>126</v>
      </c>
      <c r="BU396" t="s">
        <v>126</v>
      </c>
      <c r="BV396" t="s">
        <v>126</v>
      </c>
      <c r="CN396" t="s">
        <v>147</v>
      </c>
      <c r="CP396" t="s">
        <v>238</v>
      </c>
      <c r="CQ396" t="s">
        <v>147</v>
      </c>
    </row>
    <row r="397" spans="1:95" x14ac:dyDescent="0.2">
      <c r="A397" t="s">
        <v>115</v>
      </c>
      <c r="B397" t="s">
        <v>116</v>
      </c>
      <c r="C397">
        <v>210784</v>
      </c>
      <c r="E397" t="s">
        <v>117</v>
      </c>
      <c r="F397">
        <v>368</v>
      </c>
      <c r="G397" t="s">
        <v>229</v>
      </c>
      <c r="H397" t="s">
        <v>230</v>
      </c>
      <c r="I397" t="s">
        <v>204</v>
      </c>
      <c r="J397" t="s">
        <v>205</v>
      </c>
      <c r="L397" t="s">
        <v>239</v>
      </c>
      <c r="M397" s="8">
        <v>45536</v>
      </c>
      <c r="N397">
        <v>108449</v>
      </c>
      <c r="O397" t="s">
        <v>123</v>
      </c>
      <c r="P397" t="s">
        <v>146</v>
      </c>
      <c r="Q397">
        <v>11.37</v>
      </c>
      <c r="R397" t="s">
        <v>125</v>
      </c>
      <c r="S397" t="s">
        <v>126</v>
      </c>
      <c r="T397" t="s">
        <v>125</v>
      </c>
      <c r="U397" t="s">
        <v>126</v>
      </c>
      <c r="W397">
        <v>11.37</v>
      </c>
      <c r="Y397">
        <v>11.37</v>
      </c>
      <c r="AC397">
        <v>11.37</v>
      </c>
      <c r="BH397" t="s">
        <v>126</v>
      </c>
      <c r="BI397" t="s">
        <v>126</v>
      </c>
      <c r="BJ397" t="s">
        <v>126</v>
      </c>
      <c r="BK397" t="s">
        <v>126</v>
      </c>
      <c r="BS397" t="s">
        <v>126</v>
      </c>
      <c r="BT397" t="s">
        <v>126</v>
      </c>
      <c r="BU397" t="s">
        <v>126</v>
      </c>
      <c r="BV397" t="s">
        <v>126</v>
      </c>
      <c r="CN397" t="s">
        <v>230</v>
      </c>
      <c r="CP397" t="s">
        <v>234</v>
      </c>
      <c r="CQ397" t="s">
        <v>230</v>
      </c>
    </row>
    <row r="398" spans="1:95" x14ac:dyDescent="0.2">
      <c r="A398" t="s">
        <v>115</v>
      </c>
      <c r="B398" t="s">
        <v>116</v>
      </c>
      <c r="C398">
        <v>210784</v>
      </c>
      <c r="E398" t="s">
        <v>117</v>
      </c>
      <c r="F398">
        <v>368</v>
      </c>
      <c r="G398" t="s">
        <v>229</v>
      </c>
      <c r="H398" t="s">
        <v>230</v>
      </c>
      <c r="I398" t="s">
        <v>204</v>
      </c>
      <c r="J398" t="s">
        <v>205</v>
      </c>
      <c r="L398" t="s">
        <v>240</v>
      </c>
      <c r="M398" s="8">
        <v>45536</v>
      </c>
      <c r="N398">
        <v>108750</v>
      </c>
      <c r="O398" t="s">
        <v>123</v>
      </c>
      <c r="P398" t="s">
        <v>146</v>
      </c>
      <c r="Q398">
        <v>9.81</v>
      </c>
      <c r="R398" t="s">
        <v>125</v>
      </c>
      <c r="S398" t="s">
        <v>126</v>
      </c>
      <c r="T398" t="s">
        <v>125</v>
      </c>
      <c r="U398" t="s">
        <v>126</v>
      </c>
      <c r="W398">
        <v>9.81</v>
      </c>
      <c r="Y398">
        <v>9.81</v>
      </c>
      <c r="AC398">
        <v>9.81</v>
      </c>
      <c r="BH398" t="s">
        <v>126</v>
      </c>
      <c r="BI398" t="s">
        <v>126</v>
      </c>
      <c r="BJ398" t="s">
        <v>126</v>
      </c>
      <c r="BK398" t="s">
        <v>126</v>
      </c>
      <c r="BS398" t="s">
        <v>126</v>
      </c>
      <c r="BT398" t="s">
        <v>126</v>
      </c>
      <c r="BU398" t="s">
        <v>126</v>
      </c>
      <c r="BV398" t="s">
        <v>126</v>
      </c>
      <c r="CN398" t="s">
        <v>230</v>
      </c>
      <c r="CP398" t="s">
        <v>234</v>
      </c>
      <c r="CQ398" t="s">
        <v>230</v>
      </c>
    </row>
    <row r="399" spans="1:95" x14ac:dyDescent="0.2">
      <c r="A399" t="s">
        <v>115</v>
      </c>
      <c r="B399" t="s">
        <v>116</v>
      </c>
      <c r="C399">
        <v>210784</v>
      </c>
      <c r="E399" t="s">
        <v>117</v>
      </c>
      <c r="F399">
        <v>368</v>
      </c>
      <c r="G399" t="s">
        <v>141</v>
      </c>
      <c r="H399" t="s">
        <v>142</v>
      </c>
      <c r="I399" t="s">
        <v>204</v>
      </c>
      <c r="J399" t="s">
        <v>205</v>
      </c>
      <c r="L399" t="s">
        <v>239</v>
      </c>
      <c r="M399" s="8">
        <v>45536</v>
      </c>
      <c r="N399">
        <v>108449</v>
      </c>
      <c r="O399" t="s">
        <v>123</v>
      </c>
      <c r="P399" t="s">
        <v>146</v>
      </c>
      <c r="Q399">
        <v>11.37</v>
      </c>
      <c r="R399" t="s">
        <v>125</v>
      </c>
      <c r="S399" t="s">
        <v>126</v>
      </c>
      <c r="T399" t="s">
        <v>125</v>
      </c>
      <c r="U399" t="s">
        <v>126</v>
      </c>
      <c r="W399">
        <v>11.37</v>
      </c>
      <c r="Y399">
        <v>11.37</v>
      </c>
      <c r="AC399">
        <v>11.37</v>
      </c>
      <c r="BH399" t="s">
        <v>126</v>
      </c>
      <c r="BI399" t="s">
        <v>126</v>
      </c>
      <c r="BJ399" t="s">
        <v>126</v>
      </c>
      <c r="BK399" t="s">
        <v>126</v>
      </c>
      <c r="BS399" t="s">
        <v>126</v>
      </c>
      <c r="BT399" t="s">
        <v>126</v>
      </c>
      <c r="BU399" t="s">
        <v>126</v>
      </c>
      <c r="BV399" t="s">
        <v>126</v>
      </c>
      <c r="CN399" t="s">
        <v>147</v>
      </c>
      <c r="CP399" t="s">
        <v>258</v>
      </c>
      <c r="CQ399" t="s">
        <v>147</v>
      </c>
    </row>
    <row r="400" spans="1:95" x14ac:dyDescent="0.2">
      <c r="A400" t="s">
        <v>115</v>
      </c>
      <c r="B400" t="s">
        <v>116</v>
      </c>
      <c r="C400">
        <v>210784</v>
      </c>
      <c r="E400" t="s">
        <v>117</v>
      </c>
      <c r="F400">
        <v>368</v>
      </c>
      <c r="G400" t="s">
        <v>141</v>
      </c>
      <c r="H400" t="s">
        <v>142</v>
      </c>
      <c r="I400" t="s">
        <v>204</v>
      </c>
      <c r="J400" t="s">
        <v>205</v>
      </c>
      <c r="L400" t="s">
        <v>240</v>
      </c>
      <c r="M400" s="8">
        <v>45536</v>
      </c>
      <c r="N400">
        <v>108750</v>
      </c>
      <c r="O400" t="s">
        <v>123</v>
      </c>
      <c r="P400" t="s">
        <v>146</v>
      </c>
      <c r="Q400">
        <v>9.81</v>
      </c>
      <c r="R400" t="s">
        <v>125</v>
      </c>
      <c r="S400" t="s">
        <v>126</v>
      </c>
      <c r="T400" t="s">
        <v>125</v>
      </c>
      <c r="U400" t="s">
        <v>126</v>
      </c>
      <c r="W400">
        <v>9.81</v>
      </c>
      <c r="Y400">
        <v>9.81</v>
      </c>
      <c r="AC400">
        <v>9.81</v>
      </c>
      <c r="BH400" t="s">
        <v>126</v>
      </c>
      <c r="BI400" t="s">
        <v>126</v>
      </c>
      <c r="BJ400" t="s">
        <v>126</v>
      </c>
      <c r="BK400" t="s">
        <v>126</v>
      </c>
      <c r="BS400" t="s">
        <v>126</v>
      </c>
      <c r="BT400" t="s">
        <v>126</v>
      </c>
      <c r="BU400" t="s">
        <v>126</v>
      </c>
      <c r="BV400" t="s">
        <v>126</v>
      </c>
      <c r="CN400" t="s">
        <v>147</v>
      </c>
      <c r="CP400" t="s">
        <v>258</v>
      </c>
      <c r="CQ400" t="s">
        <v>147</v>
      </c>
    </row>
    <row r="401" spans="1:95" x14ac:dyDescent="0.2">
      <c r="A401" t="s">
        <v>115</v>
      </c>
      <c r="B401" t="s">
        <v>116</v>
      </c>
      <c r="C401">
        <v>210784</v>
      </c>
      <c r="E401" t="s">
        <v>117</v>
      </c>
      <c r="F401">
        <v>368</v>
      </c>
      <c r="G401" t="s">
        <v>141</v>
      </c>
      <c r="H401" t="s">
        <v>142</v>
      </c>
      <c r="I401" t="s">
        <v>204</v>
      </c>
      <c r="J401" t="s">
        <v>205</v>
      </c>
      <c r="L401" t="s">
        <v>265</v>
      </c>
      <c r="M401" s="8">
        <v>45536</v>
      </c>
      <c r="N401">
        <v>108916</v>
      </c>
      <c r="O401" t="s">
        <v>123</v>
      </c>
      <c r="P401" t="s">
        <v>146</v>
      </c>
      <c r="Q401">
        <v>9.07</v>
      </c>
      <c r="R401" t="s">
        <v>125</v>
      </c>
      <c r="S401" t="s">
        <v>126</v>
      </c>
      <c r="T401" t="s">
        <v>125</v>
      </c>
      <c r="U401" t="s">
        <v>126</v>
      </c>
      <c r="W401">
        <v>9.07</v>
      </c>
      <c r="Y401">
        <v>9.07</v>
      </c>
      <c r="AC401">
        <v>9.07</v>
      </c>
      <c r="BH401" t="s">
        <v>126</v>
      </c>
      <c r="BI401" t="s">
        <v>126</v>
      </c>
      <c r="BJ401" t="s">
        <v>126</v>
      </c>
      <c r="BK401" t="s">
        <v>126</v>
      </c>
      <c r="BS401" t="s">
        <v>126</v>
      </c>
      <c r="BT401" t="s">
        <v>126</v>
      </c>
      <c r="BU401" t="s">
        <v>126</v>
      </c>
      <c r="BV401" t="s">
        <v>126</v>
      </c>
      <c r="CN401" t="s">
        <v>147</v>
      </c>
      <c r="CP401" t="s">
        <v>258</v>
      </c>
      <c r="CQ401" t="s">
        <v>147</v>
      </c>
    </row>
    <row r="402" spans="1:95" x14ac:dyDescent="0.2">
      <c r="A402" t="s">
        <v>115</v>
      </c>
      <c r="B402" t="s">
        <v>116</v>
      </c>
      <c r="C402">
        <v>210784</v>
      </c>
      <c r="E402" t="s">
        <v>117</v>
      </c>
      <c r="F402">
        <v>368</v>
      </c>
      <c r="G402" t="s">
        <v>141</v>
      </c>
      <c r="H402" t="s">
        <v>142</v>
      </c>
      <c r="I402" t="s">
        <v>259</v>
      </c>
      <c r="J402" t="s">
        <v>260</v>
      </c>
      <c r="L402" t="s">
        <v>266</v>
      </c>
      <c r="M402" s="8">
        <v>45536</v>
      </c>
      <c r="N402">
        <v>26044</v>
      </c>
      <c r="O402" t="s">
        <v>123</v>
      </c>
      <c r="P402" t="s">
        <v>146</v>
      </c>
      <c r="Q402">
        <v>8</v>
      </c>
      <c r="R402" t="s">
        <v>125</v>
      </c>
      <c r="S402" t="s">
        <v>126</v>
      </c>
      <c r="T402" t="s">
        <v>125</v>
      </c>
      <c r="U402" t="s">
        <v>126</v>
      </c>
      <c r="W402">
        <v>8</v>
      </c>
      <c r="Y402">
        <v>8</v>
      </c>
      <c r="AC402">
        <v>8</v>
      </c>
      <c r="BH402" t="s">
        <v>126</v>
      </c>
      <c r="BI402" t="s">
        <v>126</v>
      </c>
      <c r="BJ402" t="s">
        <v>126</v>
      </c>
      <c r="BK402" t="s">
        <v>126</v>
      </c>
      <c r="BS402" t="s">
        <v>126</v>
      </c>
      <c r="BT402" t="s">
        <v>126</v>
      </c>
      <c r="BU402" t="s">
        <v>126</v>
      </c>
      <c r="BV402" t="s">
        <v>126</v>
      </c>
      <c r="CN402" t="s">
        <v>147</v>
      </c>
      <c r="CP402" t="s">
        <v>258</v>
      </c>
      <c r="CQ402" t="s">
        <v>147</v>
      </c>
    </row>
    <row r="403" spans="1:95" x14ac:dyDescent="0.2">
      <c r="A403" t="s">
        <v>115</v>
      </c>
      <c r="B403" t="s">
        <v>116</v>
      </c>
      <c r="C403">
        <v>210784</v>
      </c>
      <c r="E403" t="s">
        <v>117</v>
      </c>
      <c r="F403">
        <v>368</v>
      </c>
      <c r="G403" t="s">
        <v>141</v>
      </c>
      <c r="H403" t="s">
        <v>142</v>
      </c>
      <c r="I403" t="s">
        <v>204</v>
      </c>
      <c r="J403" t="s">
        <v>205</v>
      </c>
      <c r="L403" t="s">
        <v>267</v>
      </c>
      <c r="M403" s="8">
        <v>45536</v>
      </c>
      <c r="N403">
        <v>109529</v>
      </c>
      <c r="O403" t="s">
        <v>123</v>
      </c>
      <c r="P403" t="s">
        <v>146</v>
      </c>
      <c r="Q403">
        <v>5.8</v>
      </c>
      <c r="R403" t="s">
        <v>125</v>
      </c>
      <c r="S403" t="s">
        <v>126</v>
      </c>
      <c r="T403" t="s">
        <v>125</v>
      </c>
      <c r="U403" t="s">
        <v>126</v>
      </c>
      <c r="W403">
        <v>5.8</v>
      </c>
      <c r="Y403">
        <v>5.8</v>
      </c>
      <c r="AC403">
        <v>5.8</v>
      </c>
      <c r="BH403" t="s">
        <v>126</v>
      </c>
      <c r="BI403" t="s">
        <v>126</v>
      </c>
      <c r="BJ403" t="s">
        <v>126</v>
      </c>
      <c r="BK403" t="s">
        <v>126</v>
      </c>
      <c r="BS403" t="s">
        <v>126</v>
      </c>
      <c r="BT403" t="s">
        <v>126</v>
      </c>
      <c r="BU403" t="s">
        <v>126</v>
      </c>
      <c r="BV403" t="s">
        <v>126</v>
      </c>
      <c r="CN403" t="s">
        <v>147</v>
      </c>
      <c r="CP403" t="s">
        <v>258</v>
      </c>
      <c r="CQ403" t="s">
        <v>147</v>
      </c>
    </row>
    <row r="404" spans="1:95" x14ac:dyDescent="0.2">
      <c r="A404" t="s">
        <v>115</v>
      </c>
      <c r="B404" t="s">
        <v>116</v>
      </c>
      <c r="C404">
        <v>210784</v>
      </c>
      <c r="E404" t="s">
        <v>117</v>
      </c>
      <c r="F404">
        <v>368</v>
      </c>
      <c r="G404" t="s">
        <v>141</v>
      </c>
      <c r="H404" t="s">
        <v>142</v>
      </c>
      <c r="I404" t="s">
        <v>204</v>
      </c>
      <c r="J404" t="s">
        <v>205</v>
      </c>
      <c r="L404" t="s">
        <v>268</v>
      </c>
      <c r="M404" s="8">
        <v>45536</v>
      </c>
      <c r="N404">
        <v>109594</v>
      </c>
      <c r="O404" t="s">
        <v>123</v>
      </c>
      <c r="P404" t="s">
        <v>146</v>
      </c>
      <c r="Q404">
        <v>9.31</v>
      </c>
      <c r="R404" t="s">
        <v>125</v>
      </c>
      <c r="S404" t="s">
        <v>126</v>
      </c>
      <c r="T404" t="s">
        <v>125</v>
      </c>
      <c r="U404" t="s">
        <v>126</v>
      </c>
      <c r="W404">
        <v>9.31</v>
      </c>
      <c r="Y404">
        <v>9.31</v>
      </c>
      <c r="AC404">
        <v>9.31</v>
      </c>
      <c r="BH404" t="s">
        <v>126</v>
      </c>
      <c r="BI404" t="s">
        <v>126</v>
      </c>
      <c r="BJ404" t="s">
        <v>126</v>
      </c>
      <c r="BK404" t="s">
        <v>126</v>
      </c>
      <c r="BS404" t="s">
        <v>126</v>
      </c>
      <c r="BT404" t="s">
        <v>126</v>
      </c>
      <c r="BU404" t="s">
        <v>126</v>
      </c>
      <c r="BV404" t="s">
        <v>126</v>
      </c>
      <c r="CN404" t="s">
        <v>147</v>
      </c>
      <c r="CP404" t="s">
        <v>258</v>
      </c>
      <c r="CQ404" t="s">
        <v>147</v>
      </c>
    </row>
    <row r="405" spans="1:95" x14ac:dyDescent="0.2">
      <c r="A405" t="s">
        <v>115</v>
      </c>
      <c r="B405" t="s">
        <v>116</v>
      </c>
      <c r="C405">
        <v>210784</v>
      </c>
      <c r="E405" t="s">
        <v>117</v>
      </c>
      <c r="F405">
        <v>368</v>
      </c>
      <c r="G405" t="s">
        <v>141</v>
      </c>
      <c r="H405" t="s">
        <v>142</v>
      </c>
      <c r="I405" t="s">
        <v>279</v>
      </c>
      <c r="J405" t="s">
        <v>280</v>
      </c>
      <c r="L405" t="s">
        <v>319</v>
      </c>
      <c r="M405" s="8">
        <v>45536</v>
      </c>
      <c r="N405">
        <v>5567799</v>
      </c>
      <c r="O405" t="s">
        <v>123</v>
      </c>
      <c r="P405" t="s">
        <v>146</v>
      </c>
      <c r="Q405">
        <v>1.29</v>
      </c>
      <c r="R405" t="s">
        <v>125</v>
      </c>
      <c r="S405" t="s">
        <v>126</v>
      </c>
      <c r="T405" t="s">
        <v>125</v>
      </c>
      <c r="U405" t="s">
        <v>126</v>
      </c>
      <c r="W405">
        <v>1.29</v>
      </c>
      <c r="Y405">
        <v>1.29</v>
      </c>
      <c r="AS405">
        <v>1.29</v>
      </c>
      <c r="BH405" t="s">
        <v>126</v>
      </c>
      <c r="BI405" t="s">
        <v>126</v>
      </c>
      <c r="BJ405" t="s">
        <v>126</v>
      </c>
      <c r="BK405" t="s">
        <v>126</v>
      </c>
      <c r="BS405" t="s">
        <v>126</v>
      </c>
      <c r="BT405" t="s">
        <v>126</v>
      </c>
      <c r="BU405" t="s">
        <v>126</v>
      </c>
      <c r="BV405" t="s">
        <v>126</v>
      </c>
      <c r="CN405" t="s">
        <v>147</v>
      </c>
      <c r="CP405" t="s">
        <v>267</v>
      </c>
      <c r="CQ405" t="s">
        <v>147</v>
      </c>
    </row>
    <row r="406" spans="1:95" x14ac:dyDescent="0.2">
      <c r="A406" t="s">
        <v>115</v>
      </c>
      <c r="B406" t="s">
        <v>116</v>
      </c>
      <c r="C406">
        <v>210784</v>
      </c>
      <c r="E406" t="s">
        <v>117</v>
      </c>
      <c r="F406">
        <v>368</v>
      </c>
      <c r="G406" t="s">
        <v>141</v>
      </c>
      <c r="H406" t="s">
        <v>142</v>
      </c>
      <c r="I406" t="s">
        <v>279</v>
      </c>
      <c r="J406" t="s">
        <v>280</v>
      </c>
      <c r="L406" t="s">
        <v>265</v>
      </c>
      <c r="M406" s="8">
        <v>45536</v>
      </c>
      <c r="N406">
        <v>5575105</v>
      </c>
      <c r="O406" t="s">
        <v>123</v>
      </c>
      <c r="P406" t="s">
        <v>146</v>
      </c>
      <c r="Q406">
        <v>3.66</v>
      </c>
      <c r="R406" t="s">
        <v>125</v>
      </c>
      <c r="S406" t="s">
        <v>126</v>
      </c>
      <c r="T406" t="s">
        <v>125</v>
      </c>
      <c r="U406" t="s">
        <v>126</v>
      </c>
      <c r="W406">
        <v>3.66</v>
      </c>
      <c r="Y406">
        <v>3.66</v>
      </c>
      <c r="AS406">
        <v>3.66</v>
      </c>
      <c r="BH406" t="s">
        <v>126</v>
      </c>
      <c r="BI406" t="s">
        <v>126</v>
      </c>
      <c r="BJ406" t="s">
        <v>126</v>
      </c>
      <c r="BK406" t="s">
        <v>126</v>
      </c>
      <c r="BS406" t="s">
        <v>126</v>
      </c>
      <c r="BT406" t="s">
        <v>126</v>
      </c>
      <c r="BU406" t="s">
        <v>126</v>
      </c>
      <c r="BV406" t="s">
        <v>126</v>
      </c>
      <c r="CN406" t="s">
        <v>147</v>
      </c>
      <c r="CP406" t="s">
        <v>267</v>
      </c>
      <c r="CQ406" t="s">
        <v>147</v>
      </c>
    </row>
    <row r="407" spans="1:95" x14ac:dyDescent="0.2">
      <c r="A407" t="s">
        <v>115</v>
      </c>
      <c r="B407" t="s">
        <v>116</v>
      </c>
      <c r="C407">
        <v>210784</v>
      </c>
      <c r="E407" t="s">
        <v>117</v>
      </c>
      <c r="F407">
        <v>368</v>
      </c>
      <c r="G407" t="s">
        <v>141</v>
      </c>
      <c r="H407" t="s">
        <v>142</v>
      </c>
      <c r="I407" t="s">
        <v>279</v>
      </c>
      <c r="J407" t="s">
        <v>280</v>
      </c>
      <c r="L407" t="s">
        <v>320</v>
      </c>
      <c r="M407" s="8">
        <v>45536</v>
      </c>
      <c r="N407">
        <v>5576397</v>
      </c>
      <c r="O407" t="s">
        <v>123</v>
      </c>
      <c r="P407" t="s">
        <v>146</v>
      </c>
      <c r="Q407">
        <v>1.89</v>
      </c>
      <c r="R407" t="s">
        <v>125</v>
      </c>
      <c r="S407" t="s">
        <v>126</v>
      </c>
      <c r="T407" t="s">
        <v>125</v>
      </c>
      <c r="U407" t="s">
        <v>126</v>
      </c>
      <c r="W407">
        <v>1.89</v>
      </c>
      <c r="Y407">
        <v>1.89</v>
      </c>
      <c r="AS407">
        <v>1.89</v>
      </c>
      <c r="BH407" t="s">
        <v>126</v>
      </c>
      <c r="BI407" t="s">
        <v>126</v>
      </c>
      <c r="BJ407" t="s">
        <v>126</v>
      </c>
      <c r="BK407" t="s">
        <v>126</v>
      </c>
      <c r="BS407" t="s">
        <v>126</v>
      </c>
      <c r="BT407" t="s">
        <v>126</v>
      </c>
      <c r="BU407" t="s">
        <v>126</v>
      </c>
      <c r="BV407" t="s">
        <v>126</v>
      </c>
      <c r="CN407" t="s">
        <v>147</v>
      </c>
      <c r="CP407" t="s">
        <v>267</v>
      </c>
      <c r="CQ407" t="s">
        <v>147</v>
      </c>
    </row>
    <row r="408" spans="1:95" x14ac:dyDescent="0.2">
      <c r="A408" t="s">
        <v>115</v>
      </c>
      <c r="B408" t="s">
        <v>116</v>
      </c>
      <c r="C408">
        <v>210784</v>
      </c>
      <c r="E408" t="s">
        <v>117</v>
      </c>
      <c r="F408">
        <v>368</v>
      </c>
      <c r="G408" t="s">
        <v>141</v>
      </c>
      <c r="H408" t="s">
        <v>142</v>
      </c>
      <c r="I408" t="s">
        <v>279</v>
      </c>
      <c r="J408" t="s">
        <v>280</v>
      </c>
      <c r="L408" t="s">
        <v>234</v>
      </c>
      <c r="M408" s="8">
        <v>45536</v>
      </c>
      <c r="N408">
        <v>5578405</v>
      </c>
      <c r="O408" t="s">
        <v>123</v>
      </c>
      <c r="P408" t="s">
        <v>146</v>
      </c>
      <c r="Q408">
        <v>0.48</v>
      </c>
      <c r="R408" t="s">
        <v>125</v>
      </c>
      <c r="S408" t="s">
        <v>126</v>
      </c>
      <c r="T408" t="s">
        <v>125</v>
      </c>
      <c r="U408" t="s">
        <v>126</v>
      </c>
      <c r="W408">
        <v>0.48</v>
      </c>
      <c r="Y408">
        <v>0.48</v>
      </c>
      <c r="AS408">
        <v>0.48</v>
      </c>
      <c r="BH408" t="s">
        <v>126</v>
      </c>
      <c r="BI408" t="s">
        <v>126</v>
      </c>
      <c r="BJ408" t="s">
        <v>126</v>
      </c>
      <c r="BK408" t="s">
        <v>126</v>
      </c>
      <c r="BS408" t="s">
        <v>126</v>
      </c>
      <c r="BT408" t="s">
        <v>126</v>
      </c>
      <c r="BU408" t="s">
        <v>126</v>
      </c>
      <c r="BV408" t="s">
        <v>126</v>
      </c>
      <c r="CN408" t="s">
        <v>147</v>
      </c>
      <c r="CP408" t="s">
        <v>267</v>
      </c>
      <c r="CQ408" t="s">
        <v>147</v>
      </c>
    </row>
    <row r="409" spans="1:95" x14ac:dyDescent="0.2">
      <c r="A409" t="s">
        <v>115</v>
      </c>
      <c r="B409" t="s">
        <v>116</v>
      </c>
      <c r="C409">
        <v>210784</v>
      </c>
      <c r="E409" t="s">
        <v>117</v>
      </c>
      <c r="F409">
        <v>368</v>
      </c>
      <c r="G409" t="s">
        <v>141</v>
      </c>
      <c r="H409" t="s">
        <v>142</v>
      </c>
      <c r="I409" t="s">
        <v>279</v>
      </c>
      <c r="J409" t="s">
        <v>280</v>
      </c>
      <c r="L409" t="s">
        <v>321</v>
      </c>
      <c r="M409" s="8">
        <v>45536</v>
      </c>
      <c r="N409">
        <v>5580220</v>
      </c>
      <c r="O409" t="s">
        <v>123</v>
      </c>
      <c r="P409" t="s">
        <v>146</v>
      </c>
      <c r="Q409">
        <v>3.65</v>
      </c>
      <c r="R409" t="s">
        <v>125</v>
      </c>
      <c r="S409" t="s">
        <v>126</v>
      </c>
      <c r="T409" t="s">
        <v>125</v>
      </c>
      <c r="U409" t="s">
        <v>126</v>
      </c>
      <c r="W409">
        <v>3.65</v>
      </c>
      <c r="Y409">
        <v>3.65</v>
      </c>
      <c r="AS409">
        <v>3.65</v>
      </c>
      <c r="BH409" t="s">
        <v>126</v>
      </c>
      <c r="BI409" t="s">
        <v>126</v>
      </c>
      <c r="BJ409" t="s">
        <v>126</v>
      </c>
      <c r="BK409" t="s">
        <v>126</v>
      </c>
      <c r="BS409" t="s">
        <v>126</v>
      </c>
      <c r="BT409" t="s">
        <v>126</v>
      </c>
      <c r="BU409" t="s">
        <v>126</v>
      </c>
      <c r="BV409" t="s">
        <v>126</v>
      </c>
      <c r="CN409" t="s">
        <v>147</v>
      </c>
      <c r="CP409" t="s">
        <v>257</v>
      </c>
      <c r="CQ409" t="s">
        <v>147</v>
      </c>
    </row>
    <row r="410" spans="1:95" x14ac:dyDescent="0.2">
      <c r="A410" t="s">
        <v>115</v>
      </c>
      <c r="B410" t="s">
        <v>116</v>
      </c>
      <c r="C410">
        <v>210784</v>
      </c>
      <c r="E410" t="s">
        <v>117</v>
      </c>
      <c r="F410">
        <v>368</v>
      </c>
      <c r="G410" t="s">
        <v>141</v>
      </c>
      <c r="H410" t="s">
        <v>142</v>
      </c>
      <c r="I410" t="s">
        <v>279</v>
      </c>
      <c r="J410" t="s">
        <v>280</v>
      </c>
      <c r="L410" t="s">
        <v>268</v>
      </c>
      <c r="M410" s="8">
        <v>45536</v>
      </c>
      <c r="N410">
        <v>5582165</v>
      </c>
      <c r="O410" t="s">
        <v>123</v>
      </c>
      <c r="P410" t="s">
        <v>146</v>
      </c>
      <c r="Q410">
        <v>2.33</v>
      </c>
      <c r="R410" t="s">
        <v>125</v>
      </c>
      <c r="S410" t="s">
        <v>126</v>
      </c>
      <c r="T410" t="s">
        <v>125</v>
      </c>
      <c r="U410" t="s">
        <v>126</v>
      </c>
      <c r="W410">
        <v>2.33</v>
      </c>
      <c r="Y410">
        <v>2.33</v>
      </c>
      <c r="AS410">
        <v>2.33</v>
      </c>
      <c r="BH410" t="s">
        <v>126</v>
      </c>
      <c r="BI410" t="s">
        <v>126</v>
      </c>
      <c r="BJ410" t="s">
        <v>126</v>
      </c>
      <c r="BK410" t="s">
        <v>126</v>
      </c>
      <c r="BS410" t="s">
        <v>126</v>
      </c>
      <c r="BT410" t="s">
        <v>126</v>
      </c>
      <c r="BU410" t="s">
        <v>126</v>
      </c>
      <c r="BV410" t="s">
        <v>126</v>
      </c>
      <c r="CN410" t="s">
        <v>147</v>
      </c>
      <c r="CP410" t="s">
        <v>257</v>
      </c>
      <c r="CQ410" t="s">
        <v>147</v>
      </c>
    </row>
    <row r="411" spans="1:95" x14ac:dyDescent="0.2">
      <c r="A411" t="s">
        <v>115</v>
      </c>
      <c r="B411" t="s">
        <v>116</v>
      </c>
      <c r="C411">
        <v>210784</v>
      </c>
      <c r="E411" t="s">
        <v>117</v>
      </c>
      <c r="F411">
        <v>368</v>
      </c>
      <c r="G411" t="s">
        <v>141</v>
      </c>
      <c r="H411" t="s">
        <v>142</v>
      </c>
      <c r="I411" t="s">
        <v>279</v>
      </c>
      <c r="J411" t="s">
        <v>280</v>
      </c>
      <c r="L411" t="s">
        <v>322</v>
      </c>
      <c r="M411" s="8">
        <v>45536</v>
      </c>
      <c r="N411">
        <v>5582233</v>
      </c>
      <c r="O411" t="s">
        <v>123</v>
      </c>
      <c r="P411" t="s">
        <v>146</v>
      </c>
      <c r="Q411">
        <v>1.07</v>
      </c>
      <c r="R411" t="s">
        <v>125</v>
      </c>
      <c r="S411" t="s">
        <v>126</v>
      </c>
      <c r="T411" t="s">
        <v>125</v>
      </c>
      <c r="U411" t="s">
        <v>126</v>
      </c>
      <c r="W411">
        <v>1.07</v>
      </c>
      <c r="Y411">
        <v>1.07</v>
      </c>
      <c r="AS411">
        <v>1.07</v>
      </c>
      <c r="BH411" t="s">
        <v>126</v>
      </c>
      <c r="BI411" t="s">
        <v>126</v>
      </c>
      <c r="BJ411" t="s">
        <v>126</v>
      </c>
      <c r="BK411" t="s">
        <v>126</v>
      </c>
      <c r="BS411" t="s">
        <v>126</v>
      </c>
      <c r="BT411" t="s">
        <v>126</v>
      </c>
      <c r="BU411" t="s">
        <v>126</v>
      </c>
      <c r="BV411" t="s">
        <v>126</v>
      </c>
      <c r="CN411" t="s">
        <v>147</v>
      </c>
      <c r="CP411" t="s">
        <v>257</v>
      </c>
      <c r="CQ411" t="s">
        <v>147</v>
      </c>
    </row>
    <row r="412" spans="1:95" x14ac:dyDescent="0.2">
      <c r="A412" t="s">
        <v>115</v>
      </c>
      <c r="B412" t="s">
        <v>116</v>
      </c>
      <c r="C412">
        <v>210784</v>
      </c>
      <c r="E412" t="s">
        <v>117</v>
      </c>
      <c r="F412">
        <v>368</v>
      </c>
      <c r="G412" t="s">
        <v>141</v>
      </c>
      <c r="H412" t="s">
        <v>142</v>
      </c>
      <c r="I412" t="s">
        <v>279</v>
      </c>
      <c r="J412" t="s">
        <v>280</v>
      </c>
      <c r="L412" t="s">
        <v>656</v>
      </c>
      <c r="M412" s="8">
        <v>45536</v>
      </c>
      <c r="N412">
        <v>5577895</v>
      </c>
      <c r="O412" t="s">
        <v>123</v>
      </c>
      <c r="P412" t="s">
        <v>146</v>
      </c>
      <c r="Q412">
        <v>2.8600000000000003</v>
      </c>
      <c r="R412" t="s">
        <v>569</v>
      </c>
      <c r="S412" t="s">
        <v>126</v>
      </c>
      <c r="T412" t="s">
        <v>569</v>
      </c>
      <c r="U412" t="s">
        <v>570</v>
      </c>
      <c r="W412">
        <v>0.88</v>
      </c>
      <c r="X412">
        <v>1.98</v>
      </c>
      <c r="Y412">
        <v>2.8600000000000003</v>
      </c>
      <c r="Z412">
        <v>1.0900000000000001</v>
      </c>
      <c r="AG412">
        <v>0.88</v>
      </c>
      <c r="AI412">
        <v>0.89</v>
      </c>
      <c r="BH412" t="s">
        <v>126</v>
      </c>
      <c r="BI412" t="s">
        <v>126</v>
      </c>
      <c r="BJ412" t="s">
        <v>126</v>
      </c>
      <c r="BK412" t="s">
        <v>126</v>
      </c>
      <c r="BS412" t="s">
        <v>126</v>
      </c>
      <c r="BT412" t="s">
        <v>126</v>
      </c>
      <c r="BU412" t="s">
        <v>126</v>
      </c>
      <c r="BV412" t="s">
        <v>126</v>
      </c>
      <c r="CN412" t="s">
        <v>147</v>
      </c>
      <c r="CP412" t="s">
        <v>267</v>
      </c>
      <c r="CQ412" t="s">
        <v>147</v>
      </c>
    </row>
    <row r="413" spans="1:95" x14ac:dyDescent="0.2">
      <c r="A413" t="s">
        <v>115</v>
      </c>
      <c r="B413" t="s">
        <v>116</v>
      </c>
      <c r="C413">
        <v>210784</v>
      </c>
      <c r="E413" t="s">
        <v>117</v>
      </c>
      <c r="F413">
        <v>368</v>
      </c>
      <c r="G413" t="s">
        <v>141</v>
      </c>
      <c r="H413" t="s">
        <v>142</v>
      </c>
      <c r="I413" t="s">
        <v>279</v>
      </c>
      <c r="J413" t="s">
        <v>280</v>
      </c>
      <c r="L413" t="s">
        <v>267</v>
      </c>
      <c r="M413" s="8">
        <v>45536</v>
      </c>
      <c r="N413">
        <v>5580736</v>
      </c>
      <c r="O413" t="s">
        <v>123</v>
      </c>
      <c r="P413" t="s">
        <v>146</v>
      </c>
      <c r="Q413">
        <v>1.27</v>
      </c>
      <c r="R413" t="s">
        <v>588</v>
      </c>
      <c r="S413" t="s">
        <v>126</v>
      </c>
      <c r="T413" t="s">
        <v>588</v>
      </c>
      <c r="U413" t="s">
        <v>589</v>
      </c>
      <c r="W413">
        <v>0.39</v>
      </c>
      <c r="X413">
        <v>0.88</v>
      </c>
      <c r="Y413">
        <v>1.27</v>
      </c>
      <c r="Z413">
        <v>0.48</v>
      </c>
      <c r="AG413">
        <v>0.39</v>
      </c>
      <c r="AI413">
        <v>0.4</v>
      </c>
      <c r="BH413" t="s">
        <v>126</v>
      </c>
      <c r="BI413" t="s">
        <v>126</v>
      </c>
      <c r="BJ413" t="s">
        <v>126</v>
      </c>
      <c r="BK413" t="s">
        <v>126</v>
      </c>
      <c r="BS413" t="s">
        <v>126</v>
      </c>
      <c r="BT413" t="s">
        <v>126</v>
      </c>
      <c r="BU413" t="s">
        <v>126</v>
      </c>
      <c r="BV413" t="s">
        <v>126</v>
      </c>
      <c r="CN413" t="s">
        <v>147</v>
      </c>
      <c r="CP413" t="s">
        <v>257</v>
      </c>
      <c r="CQ413" t="s">
        <v>147</v>
      </c>
    </row>
    <row r="414" spans="1:95" x14ac:dyDescent="0.2">
      <c r="A414" t="s">
        <v>115</v>
      </c>
      <c r="B414" t="s">
        <v>116</v>
      </c>
      <c r="C414">
        <v>210784</v>
      </c>
      <c r="E414" t="s">
        <v>117</v>
      </c>
      <c r="F414">
        <v>368</v>
      </c>
      <c r="G414" t="s">
        <v>141</v>
      </c>
      <c r="H414" t="s">
        <v>142</v>
      </c>
      <c r="I414" t="s">
        <v>279</v>
      </c>
      <c r="J414" t="s">
        <v>280</v>
      </c>
      <c r="L414" t="s">
        <v>268</v>
      </c>
      <c r="M414" s="8">
        <v>45536</v>
      </c>
      <c r="N414">
        <v>5582109</v>
      </c>
      <c r="O414" t="s">
        <v>123</v>
      </c>
      <c r="P414" t="s">
        <v>146</v>
      </c>
      <c r="Q414">
        <v>3.2299999999999995</v>
      </c>
      <c r="R414" t="s">
        <v>657</v>
      </c>
      <c r="S414" t="s">
        <v>126</v>
      </c>
      <c r="T414" t="s">
        <v>657</v>
      </c>
      <c r="U414" t="s">
        <v>658</v>
      </c>
      <c r="W414">
        <v>1</v>
      </c>
      <c r="X414">
        <v>2.23</v>
      </c>
      <c r="Y414">
        <v>3.2299999999999995</v>
      </c>
      <c r="Z414">
        <v>1.22</v>
      </c>
      <c r="AG414">
        <v>1</v>
      </c>
      <c r="AI414">
        <v>1.01</v>
      </c>
      <c r="BH414" t="s">
        <v>126</v>
      </c>
      <c r="BI414" t="s">
        <v>126</v>
      </c>
      <c r="BJ414" t="s">
        <v>126</v>
      </c>
      <c r="BK414" t="s">
        <v>126</v>
      </c>
      <c r="BS414" t="s">
        <v>126</v>
      </c>
      <c r="BT414" t="s">
        <v>126</v>
      </c>
      <c r="BU414" t="s">
        <v>126</v>
      </c>
      <c r="BV414" t="s">
        <v>126</v>
      </c>
      <c r="CN414" t="s">
        <v>147</v>
      </c>
      <c r="CP414" t="s">
        <v>257</v>
      </c>
      <c r="CQ414" t="s">
        <v>147</v>
      </c>
    </row>
    <row r="415" spans="1:95" x14ac:dyDescent="0.2">
      <c r="A415" t="s">
        <v>115</v>
      </c>
      <c r="B415" t="s">
        <v>116</v>
      </c>
      <c r="C415">
        <v>210784</v>
      </c>
      <c r="E415" t="s">
        <v>117</v>
      </c>
      <c r="F415">
        <v>368</v>
      </c>
      <c r="G415" t="s">
        <v>141</v>
      </c>
      <c r="H415" t="s">
        <v>142</v>
      </c>
      <c r="I415" t="s">
        <v>279</v>
      </c>
      <c r="J415" t="s">
        <v>280</v>
      </c>
      <c r="L415" t="s">
        <v>871</v>
      </c>
      <c r="M415" s="8">
        <v>45536</v>
      </c>
      <c r="N415">
        <v>5566865</v>
      </c>
      <c r="O415" t="s">
        <v>123</v>
      </c>
      <c r="P415" t="s">
        <v>146</v>
      </c>
      <c r="Q415">
        <v>5.0599999999999996</v>
      </c>
      <c r="R415" t="s">
        <v>125</v>
      </c>
      <c r="S415" t="s">
        <v>126</v>
      </c>
      <c r="T415" t="s">
        <v>125</v>
      </c>
      <c r="U415" t="s">
        <v>126</v>
      </c>
      <c r="W415">
        <v>5.0599999999999996</v>
      </c>
      <c r="Y415">
        <v>5.0599999999999996</v>
      </c>
      <c r="BE415">
        <v>5.0599999999999996</v>
      </c>
      <c r="BH415" t="s">
        <v>126</v>
      </c>
      <c r="BI415" t="s">
        <v>126</v>
      </c>
      <c r="BJ415" t="s">
        <v>126</v>
      </c>
      <c r="BK415" t="s">
        <v>126</v>
      </c>
      <c r="BS415" t="s">
        <v>126</v>
      </c>
      <c r="BT415" t="s">
        <v>126</v>
      </c>
      <c r="BU415" t="s">
        <v>126</v>
      </c>
      <c r="BV415" t="s">
        <v>126</v>
      </c>
      <c r="CN415" t="s">
        <v>147</v>
      </c>
      <c r="CP415" t="s">
        <v>267</v>
      </c>
      <c r="CQ415" t="s">
        <v>147</v>
      </c>
    </row>
    <row r="416" spans="1:95" x14ac:dyDescent="0.2">
      <c r="A416" t="s">
        <v>115</v>
      </c>
      <c r="B416" t="s">
        <v>116</v>
      </c>
      <c r="C416">
        <v>210784</v>
      </c>
      <c r="E416" t="s">
        <v>117</v>
      </c>
      <c r="F416">
        <v>368</v>
      </c>
      <c r="G416" t="s">
        <v>141</v>
      </c>
      <c r="H416" t="s">
        <v>142</v>
      </c>
      <c r="I416" t="s">
        <v>279</v>
      </c>
      <c r="J416" t="s">
        <v>280</v>
      </c>
      <c r="L416" t="s">
        <v>871</v>
      </c>
      <c r="M416" s="8">
        <v>45536</v>
      </c>
      <c r="N416">
        <v>5566888</v>
      </c>
      <c r="O416" t="s">
        <v>123</v>
      </c>
      <c r="P416" t="s">
        <v>146</v>
      </c>
      <c r="Q416">
        <v>1.45</v>
      </c>
      <c r="R416" t="s">
        <v>125</v>
      </c>
      <c r="S416" t="s">
        <v>126</v>
      </c>
      <c r="T416" t="s">
        <v>125</v>
      </c>
      <c r="U416" t="s">
        <v>126</v>
      </c>
      <c r="W416">
        <v>1.45</v>
      </c>
      <c r="Y416">
        <v>1.45</v>
      </c>
      <c r="BE416">
        <v>1.45</v>
      </c>
      <c r="BH416" t="s">
        <v>126</v>
      </c>
      <c r="BI416" t="s">
        <v>126</v>
      </c>
      <c r="BJ416" t="s">
        <v>126</v>
      </c>
      <c r="BK416" t="s">
        <v>126</v>
      </c>
      <c r="BS416" t="s">
        <v>126</v>
      </c>
      <c r="BT416" t="s">
        <v>126</v>
      </c>
      <c r="BU416" t="s">
        <v>126</v>
      </c>
      <c r="BV416" t="s">
        <v>126</v>
      </c>
      <c r="CN416" t="s">
        <v>147</v>
      </c>
      <c r="CP416" t="s">
        <v>267</v>
      </c>
      <c r="CQ416" t="s">
        <v>147</v>
      </c>
    </row>
    <row r="417" spans="1:95" x14ac:dyDescent="0.2">
      <c r="A417" t="s">
        <v>115</v>
      </c>
      <c r="B417" t="s">
        <v>116</v>
      </c>
      <c r="C417">
        <v>210784</v>
      </c>
      <c r="E417" t="s">
        <v>117</v>
      </c>
      <c r="F417">
        <v>368</v>
      </c>
      <c r="G417" t="s">
        <v>141</v>
      </c>
      <c r="H417" t="s">
        <v>142</v>
      </c>
      <c r="I417" t="s">
        <v>279</v>
      </c>
      <c r="J417" t="s">
        <v>280</v>
      </c>
      <c r="L417" t="s">
        <v>872</v>
      </c>
      <c r="M417" s="8">
        <v>45536</v>
      </c>
      <c r="N417">
        <v>3.44</v>
      </c>
      <c r="O417" t="s">
        <v>123</v>
      </c>
      <c r="P417" t="s">
        <v>146</v>
      </c>
      <c r="Q417">
        <v>3.44</v>
      </c>
      <c r="R417" t="s">
        <v>125</v>
      </c>
      <c r="S417" t="s">
        <v>126</v>
      </c>
      <c r="T417" t="s">
        <v>125</v>
      </c>
      <c r="U417" t="s">
        <v>126</v>
      </c>
      <c r="W417">
        <v>3.44</v>
      </c>
      <c r="Y417">
        <v>3.44</v>
      </c>
      <c r="BE417">
        <v>3.44</v>
      </c>
      <c r="BH417" t="s">
        <v>126</v>
      </c>
      <c r="BI417" t="s">
        <v>126</v>
      </c>
      <c r="BJ417" t="s">
        <v>126</v>
      </c>
      <c r="BK417" t="s">
        <v>126</v>
      </c>
      <c r="BS417" t="s">
        <v>126</v>
      </c>
      <c r="BT417" t="s">
        <v>126</v>
      </c>
      <c r="BU417" t="s">
        <v>126</v>
      </c>
      <c r="BV417" t="s">
        <v>126</v>
      </c>
      <c r="CN417" t="s">
        <v>147</v>
      </c>
      <c r="CP417" t="s">
        <v>267</v>
      </c>
      <c r="CQ417" t="s">
        <v>147</v>
      </c>
    </row>
    <row r="418" spans="1:95" x14ac:dyDescent="0.2">
      <c r="A418" t="s">
        <v>115</v>
      </c>
      <c r="B418" t="s">
        <v>116</v>
      </c>
      <c r="C418">
        <v>210784</v>
      </c>
      <c r="E418" t="s">
        <v>117</v>
      </c>
      <c r="F418">
        <v>368</v>
      </c>
      <c r="G418" t="s">
        <v>141</v>
      </c>
      <c r="H418" t="s">
        <v>142</v>
      </c>
      <c r="I418" t="s">
        <v>279</v>
      </c>
      <c r="J418" t="s">
        <v>280</v>
      </c>
      <c r="L418" t="s">
        <v>872</v>
      </c>
      <c r="M418" s="8">
        <v>45536</v>
      </c>
      <c r="N418">
        <v>5568806</v>
      </c>
      <c r="O418" t="s">
        <v>123</v>
      </c>
      <c r="P418" t="s">
        <v>146</v>
      </c>
      <c r="Q418">
        <v>1.52</v>
      </c>
      <c r="R418" t="s">
        <v>125</v>
      </c>
      <c r="S418" t="s">
        <v>126</v>
      </c>
      <c r="T418" t="s">
        <v>125</v>
      </c>
      <c r="U418" t="s">
        <v>126</v>
      </c>
      <c r="W418">
        <v>1.52</v>
      </c>
      <c r="Y418">
        <v>1.52</v>
      </c>
      <c r="BE418">
        <v>1.52</v>
      </c>
      <c r="BH418" t="s">
        <v>126</v>
      </c>
      <c r="BI418" t="s">
        <v>126</v>
      </c>
      <c r="BJ418" t="s">
        <v>126</v>
      </c>
      <c r="BK418" t="s">
        <v>126</v>
      </c>
      <c r="BS418" t="s">
        <v>126</v>
      </c>
      <c r="BT418" t="s">
        <v>126</v>
      </c>
      <c r="BU418" t="s">
        <v>126</v>
      </c>
      <c r="BV418" t="s">
        <v>126</v>
      </c>
      <c r="CN418" t="s">
        <v>147</v>
      </c>
      <c r="CP418" t="s">
        <v>267</v>
      </c>
      <c r="CQ418" t="s">
        <v>147</v>
      </c>
    </row>
    <row r="419" spans="1:95" x14ac:dyDescent="0.2">
      <c r="A419" t="s">
        <v>115</v>
      </c>
      <c r="B419" t="s">
        <v>116</v>
      </c>
      <c r="C419">
        <v>210784</v>
      </c>
      <c r="E419" t="s">
        <v>117</v>
      </c>
      <c r="F419">
        <v>368</v>
      </c>
      <c r="G419" t="s">
        <v>141</v>
      </c>
      <c r="H419" t="s">
        <v>142</v>
      </c>
      <c r="I419" t="s">
        <v>279</v>
      </c>
      <c r="J419" t="s">
        <v>280</v>
      </c>
      <c r="L419" t="s">
        <v>873</v>
      </c>
      <c r="M419" s="8">
        <v>45536</v>
      </c>
      <c r="N419">
        <v>5571179</v>
      </c>
      <c r="O419" t="s">
        <v>123</v>
      </c>
      <c r="P419" t="s">
        <v>146</v>
      </c>
      <c r="Q419">
        <v>2.81</v>
      </c>
      <c r="R419" t="s">
        <v>125</v>
      </c>
      <c r="S419" t="s">
        <v>126</v>
      </c>
      <c r="T419" t="s">
        <v>125</v>
      </c>
      <c r="U419" t="s">
        <v>126</v>
      </c>
      <c r="W419">
        <v>2.81</v>
      </c>
      <c r="Y419">
        <v>2.81</v>
      </c>
      <c r="BE419">
        <v>2.81</v>
      </c>
      <c r="BH419" t="s">
        <v>126</v>
      </c>
      <c r="BI419" t="s">
        <v>126</v>
      </c>
      <c r="BJ419" t="s">
        <v>126</v>
      </c>
      <c r="BK419" t="s">
        <v>126</v>
      </c>
      <c r="BS419" t="s">
        <v>126</v>
      </c>
      <c r="BT419" t="s">
        <v>126</v>
      </c>
      <c r="BU419" t="s">
        <v>126</v>
      </c>
      <c r="BV419" t="s">
        <v>126</v>
      </c>
      <c r="CN419" t="s">
        <v>147</v>
      </c>
      <c r="CP419" t="s">
        <v>267</v>
      </c>
      <c r="CQ419" t="s">
        <v>147</v>
      </c>
    </row>
    <row r="420" spans="1:95" x14ac:dyDescent="0.2">
      <c r="A420" t="s">
        <v>115</v>
      </c>
      <c r="B420" t="s">
        <v>116</v>
      </c>
      <c r="C420">
        <v>210784</v>
      </c>
      <c r="E420" t="s">
        <v>117</v>
      </c>
      <c r="F420">
        <v>368</v>
      </c>
      <c r="G420" t="s">
        <v>141</v>
      </c>
      <c r="H420" t="s">
        <v>142</v>
      </c>
      <c r="I420" t="s">
        <v>279</v>
      </c>
      <c r="J420" t="s">
        <v>280</v>
      </c>
      <c r="L420" t="s">
        <v>873</v>
      </c>
      <c r="M420" s="8">
        <v>45536</v>
      </c>
      <c r="N420">
        <v>5570898</v>
      </c>
      <c r="O420" t="s">
        <v>123</v>
      </c>
      <c r="P420" t="s">
        <v>146</v>
      </c>
      <c r="Q420">
        <v>2.02</v>
      </c>
      <c r="R420" t="s">
        <v>125</v>
      </c>
      <c r="S420" t="s">
        <v>126</v>
      </c>
      <c r="T420" t="s">
        <v>125</v>
      </c>
      <c r="U420" t="s">
        <v>126</v>
      </c>
      <c r="W420">
        <v>2.02</v>
      </c>
      <c r="Y420">
        <v>2.02</v>
      </c>
      <c r="BE420">
        <v>2.02</v>
      </c>
      <c r="BH420" t="s">
        <v>126</v>
      </c>
      <c r="BI420" t="s">
        <v>126</v>
      </c>
      <c r="BJ420" t="s">
        <v>126</v>
      </c>
      <c r="BK420" t="s">
        <v>126</v>
      </c>
      <c r="BS420" t="s">
        <v>126</v>
      </c>
      <c r="BT420" t="s">
        <v>126</v>
      </c>
      <c r="BU420" t="s">
        <v>126</v>
      </c>
      <c r="BV420" t="s">
        <v>126</v>
      </c>
      <c r="CN420" t="s">
        <v>147</v>
      </c>
      <c r="CP420" t="s">
        <v>267</v>
      </c>
      <c r="CQ420" t="s">
        <v>147</v>
      </c>
    </row>
    <row r="421" spans="1:95" x14ac:dyDescent="0.2">
      <c r="A421" t="s">
        <v>115</v>
      </c>
      <c r="B421" t="s">
        <v>116</v>
      </c>
      <c r="C421">
        <v>210784</v>
      </c>
      <c r="E421" t="s">
        <v>117</v>
      </c>
      <c r="F421">
        <v>368</v>
      </c>
      <c r="G421" t="s">
        <v>141</v>
      </c>
      <c r="H421" t="s">
        <v>142</v>
      </c>
      <c r="I421" t="s">
        <v>279</v>
      </c>
      <c r="J421" t="s">
        <v>280</v>
      </c>
      <c r="L421" t="s">
        <v>240</v>
      </c>
      <c r="M421" s="8">
        <v>45536</v>
      </c>
      <c r="N421">
        <v>5573044</v>
      </c>
      <c r="O421" t="s">
        <v>123</v>
      </c>
      <c r="P421" t="s">
        <v>146</v>
      </c>
      <c r="Q421">
        <v>2.12</v>
      </c>
      <c r="R421" t="s">
        <v>125</v>
      </c>
      <c r="S421" t="s">
        <v>126</v>
      </c>
      <c r="T421" t="s">
        <v>125</v>
      </c>
      <c r="U421" t="s">
        <v>126</v>
      </c>
      <c r="W421">
        <v>2.12</v>
      </c>
      <c r="Y421">
        <v>2.12</v>
      </c>
      <c r="BE421">
        <v>2.12</v>
      </c>
      <c r="BH421" t="s">
        <v>126</v>
      </c>
      <c r="BI421" t="s">
        <v>126</v>
      </c>
      <c r="BJ421" t="s">
        <v>126</v>
      </c>
      <c r="BK421" t="s">
        <v>126</v>
      </c>
      <c r="BS421" t="s">
        <v>126</v>
      </c>
      <c r="BT421" t="s">
        <v>126</v>
      </c>
      <c r="BU421" t="s">
        <v>126</v>
      </c>
      <c r="BV421" t="s">
        <v>126</v>
      </c>
      <c r="CN421" t="s">
        <v>147</v>
      </c>
      <c r="CP421" t="s">
        <v>267</v>
      </c>
      <c r="CQ421" t="s">
        <v>147</v>
      </c>
    </row>
    <row r="422" spans="1:95" x14ac:dyDescent="0.2">
      <c r="A422" t="s">
        <v>115</v>
      </c>
      <c r="B422" t="s">
        <v>116</v>
      </c>
      <c r="C422">
        <v>210784</v>
      </c>
      <c r="E422" t="s">
        <v>117</v>
      </c>
      <c r="F422">
        <v>368</v>
      </c>
      <c r="G422" t="s">
        <v>141</v>
      </c>
      <c r="H422" t="s">
        <v>142</v>
      </c>
      <c r="I422" t="s">
        <v>279</v>
      </c>
      <c r="J422" t="s">
        <v>280</v>
      </c>
      <c r="L422" t="s">
        <v>874</v>
      </c>
      <c r="M422" s="8">
        <v>45536</v>
      </c>
      <c r="N422">
        <v>5573350</v>
      </c>
      <c r="O422" t="s">
        <v>123</v>
      </c>
      <c r="P422" t="s">
        <v>146</v>
      </c>
      <c r="Q422">
        <v>1.56</v>
      </c>
      <c r="R422" t="s">
        <v>125</v>
      </c>
      <c r="S422" t="s">
        <v>126</v>
      </c>
      <c r="T422" t="s">
        <v>125</v>
      </c>
      <c r="U422" t="s">
        <v>126</v>
      </c>
      <c r="W422">
        <v>1.56</v>
      </c>
      <c r="Y422">
        <v>1.56</v>
      </c>
      <c r="BE422">
        <v>1.56</v>
      </c>
      <c r="BH422" t="s">
        <v>126</v>
      </c>
      <c r="BI422" t="s">
        <v>126</v>
      </c>
      <c r="BJ422" t="s">
        <v>126</v>
      </c>
      <c r="BK422" t="s">
        <v>126</v>
      </c>
      <c r="BS422" t="s">
        <v>126</v>
      </c>
      <c r="BT422" t="s">
        <v>126</v>
      </c>
      <c r="BU422" t="s">
        <v>126</v>
      </c>
      <c r="BV422" t="s">
        <v>126</v>
      </c>
      <c r="CN422" t="s">
        <v>147</v>
      </c>
      <c r="CP422" t="s">
        <v>267</v>
      </c>
      <c r="CQ422" t="s">
        <v>147</v>
      </c>
    </row>
    <row r="423" spans="1:95" x14ac:dyDescent="0.2">
      <c r="A423" t="s">
        <v>115</v>
      </c>
      <c r="B423" t="s">
        <v>116</v>
      </c>
      <c r="C423">
        <v>210784</v>
      </c>
      <c r="E423" t="s">
        <v>117</v>
      </c>
      <c r="F423">
        <v>368</v>
      </c>
      <c r="G423" t="s">
        <v>141</v>
      </c>
      <c r="H423" t="s">
        <v>142</v>
      </c>
      <c r="I423" t="s">
        <v>279</v>
      </c>
      <c r="J423" t="s">
        <v>280</v>
      </c>
      <c r="L423" t="s">
        <v>875</v>
      </c>
      <c r="M423" s="8">
        <v>45536</v>
      </c>
      <c r="N423">
        <v>5573669</v>
      </c>
      <c r="O423" t="s">
        <v>123</v>
      </c>
      <c r="P423" t="s">
        <v>146</v>
      </c>
      <c r="Q423">
        <v>3.13</v>
      </c>
      <c r="R423" t="s">
        <v>125</v>
      </c>
      <c r="S423" t="s">
        <v>126</v>
      </c>
      <c r="T423" t="s">
        <v>125</v>
      </c>
      <c r="U423" t="s">
        <v>126</v>
      </c>
      <c r="W423">
        <v>3.13</v>
      </c>
      <c r="Y423">
        <v>3.13</v>
      </c>
      <c r="BE423">
        <v>3.13</v>
      </c>
      <c r="BH423" t="s">
        <v>126</v>
      </c>
      <c r="BI423" t="s">
        <v>126</v>
      </c>
      <c r="BJ423" t="s">
        <v>126</v>
      </c>
      <c r="BK423" t="s">
        <v>126</v>
      </c>
      <c r="BS423" t="s">
        <v>126</v>
      </c>
      <c r="BT423" t="s">
        <v>126</v>
      </c>
      <c r="BU423" t="s">
        <v>126</v>
      </c>
      <c r="BV423" t="s">
        <v>126</v>
      </c>
      <c r="CN423" t="s">
        <v>147</v>
      </c>
      <c r="CP423" t="s">
        <v>267</v>
      </c>
      <c r="CQ423" t="s">
        <v>147</v>
      </c>
    </row>
    <row r="424" spans="1:95" x14ac:dyDescent="0.2">
      <c r="A424" t="s">
        <v>115</v>
      </c>
      <c r="B424" t="s">
        <v>116</v>
      </c>
      <c r="C424">
        <v>210784</v>
      </c>
      <c r="E424" t="s">
        <v>117</v>
      </c>
      <c r="F424">
        <v>368</v>
      </c>
      <c r="G424" t="s">
        <v>141</v>
      </c>
      <c r="H424" t="s">
        <v>142</v>
      </c>
      <c r="I424" t="s">
        <v>279</v>
      </c>
      <c r="J424" t="s">
        <v>280</v>
      </c>
      <c r="L424" t="s">
        <v>265</v>
      </c>
      <c r="M424" s="8">
        <v>45536</v>
      </c>
      <c r="N424">
        <v>5575276</v>
      </c>
      <c r="O424" t="s">
        <v>123</v>
      </c>
      <c r="P424" t="s">
        <v>146</v>
      </c>
      <c r="Q424">
        <v>3.62</v>
      </c>
      <c r="R424" t="s">
        <v>125</v>
      </c>
      <c r="S424" t="s">
        <v>126</v>
      </c>
      <c r="T424" t="s">
        <v>125</v>
      </c>
      <c r="U424" t="s">
        <v>126</v>
      </c>
      <c r="W424">
        <v>3.62</v>
      </c>
      <c r="Y424">
        <v>3.62</v>
      </c>
      <c r="BE424">
        <v>3.62</v>
      </c>
      <c r="BH424" t="s">
        <v>126</v>
      </c>
      <c r="BI424" t="s">
        <v>126</v>
      </c>
      <c r="BJ424" t="s">
        <v>126</v>
      </c>
      <c r="BK424" t="s">
        <v>126</v>
      </c>
      <c r="BS424" t="s">
        <v>126</v>
      </c>
      <c r="BT424" t="s">
        <v>126</v>
      </c>
      <c r="BU424" t="s">
        <v>126</v>
      </c>
      <c r="BV424" t="s">
        <v>126</v>
      </c>
      <c r="CN424" t="s">
        <v>147</v>
      </c>
      <c r="CP424" t="s">
        <v>267</v>
      </c>
      <c r="CQ424" t="s">
        <v>147</v>
      </c>
    </row>
    <row r="425" spans="1:95" x14ac:dyDescent="0.2">
      <c r="A425" t="s">
        <v>115</v>
      </c>
      <c r="B425" t="s">
        <v>116</v>
      </c>
      <c r="C425">
        <v>210784</v>
      </c>
      <c r="E425" t="s">
        <v>117</v>
      </c>
      <c r="F425">
        <v>368</v>
      </c>
      <c r="G425" t="s">
        <v>141</v>
      </c>
      <c r="H425" t="s">
        <v>142</v>
      </c>
      <c r="I425" t="s">
        <v>279</v>
      </c>
      <c r="J425" t="s">
        <v>280</v>
      </c>
      <c r="L425" t="s">
        <v>266</v>
      </c>
      <c r="M425" s="8">
        <v>45536</v>
      </c>
      <c r="N425">
        <v>5576008</v>
      </c>
      <c r="O425" t="s">
        <v>123</v>
      </c>
      <c r="P425" t="s">
        <v>146</v>
      </c>
      <c r="Q425">
        <v>2.88</v>
      </c>
      <c r="R425" t="s">
        <v>125</v>
      </c>
      <c r="S425" t="s">
        <v>126</v>
      </c>
      <c r="T425" t="s">
        <v>125</v>
      </c>
      <c r="U425" t="s">
        <v>126</v>
      </c>
      <c r="W425">
        <v>2.88</v>
      </c>
      <c r="Y425">
        <v>2.88</v>
      </c>
      <c r="BE425">
        <v>2.88</v>
      </c>
      <c r="BH425" t="s">
        <v>126</v>
      </c>
      <c r="BI425" t="s">
        <v>126</v>
      </c>
      <c r="BJ425" t="s">
        <v>126</v>
      </c>
      <c r="BK425" t="s">
        <v>126</v>
      </c>
      <c r="BS425" t="s">
        <v>126</v>
      </c>
      <c r="BT425" t="s">
        <v>126</v>
      </c>
      <c r="BU425" t="s">
        <v>126</v>
      </c>
      <c r="BV425" t="s">
        <v>126</v>
      </c>
      <c r="CN425" t="s">
        <v>147</v>
      </c>
      <c r="CP425" t="s">
        <v>267</v>
      </c>
      <c r="CQ425" t="s">
        <v>147</v>
      </c>
    </row>
    <row r="426" spans="1:95" x14ac:dyDescent="0.2">
      <c r="A426" t="s">
        <v>115</v>
      </c>
      <c r="B426" t="s">
        <v>116</v>
      </c>
      <c r="C426">
        <v>210784</v>
      </c>
      <c r="E426" t="s">
        <v>117</v>
      </c>
      <c r="F426">
        <v>368</v>
      </c>
      <c r="G426" t="s">
        <v>141</v>
      </c>
      <c r="H426" t="s">
        <v>142</v>
      </c>
      <c r="I426" t="s">
        <v>279</v>
      </c>
      <c r="J426" t="s">
        <v>280</v>
      </c>
      <c r="L426" t="s">
        <v>320</v>
      </c>
      <c r="M426" s="8">
        <v>45536</v>
      </c>
      <c r="N426">
        <v>5576562</v>
      </c>
      <c r="O426" t="s">
        <v>123</v>
      </c>
      <c r="P426" t="s">
        <v>146</v>
      </c>
      <c r="Q426">
        <v>1.61</v>
      </c>
      <c r="R426" t="s">
        <v>125</v>
      </c>
      <c r="S426" t="s">
        <v>126</v>
      </c>
      <c r="T426" t="s">
        <v>125</v>
      </c>
      <c r="U426" t="s">
        <v>126</v>
      </c>
      <c r="W426">
        <v>1.61</v>
      </c>
      <c r="Y426">
        <v>1.61</v>
      </c>
      <c r="BE426">
        <v>1.61</v>
      </c>
      <c r="BH426" t="s">
        <v>126</v>
      </c>
      <c r="BI426" t="s">
        <v>126</v>
      </c>
      <c r="BJ426" t="s">
        <v>126</v>
      </c>
      <c r="BK426" t="s">
        <v>126</v>
      </c>
      <c r="BS426" t="s">
        <v>126</v>
      </c>
      <c r="BT426" t="s">
        <v>126</v>
      </c>
      <c r="BU426" t="s">
        <v>126</v>
      </c>
      <c r="BV426" t="s">
        <v>126</v>
      </c>
      <c r="CN426" t="s">
        <v>147</v>
      </c>
      <c r="CP426" t="s">
        <v>267</v>
      </c>
      <c r="CQ426" t="s">
        <v>147</v>
      </c>
    </row>
    <row r="427" spans="1:95" x14ac:dyDescent="0.2">
      <c r="A427" t="s">
        <v>115</v>
      </c>
      <c r="B427" t="s">
        <v>116</v>
      </c>
      <c r="C427">
        <v>210784</v>
      </c>
      <c r="E427" t="s">
        <v>117</v>
      </c>
      <c r="F427">
        <v>368</v>
      </c>
      <c r="G427" t="s">
        <v>141</v>
      </c>
      <c r="H427" t="s">
        <v>142</v>
      </c>
      <c r="I427" t="s">
        <v>279</v>
      </c>
      <c r="J427" t="s">
        <v>280</v>
      </c>
      <c r="L427" t="s">
        <v>876</v>
      </c>
      <c r="M427" s="8">
        <v>45536</v>
      </c>
      <c r="N427">
        <v>5579151</v>
      </c>
      <c r="O427" t="s">
        <v>123</v>
      </c>
      <c r="P427" t="s">
        <v>146</v>
      </c>
      <c r="Q427">
        <v>1.39</v>
      </c>
      <c r="R427" t="s">
        <v>125</v>
      </c>
      <c r="S427" t="s">
        <v>126</v>
      </c>
      <c r="T427" t="s">
        <v>125</v>
      </c>
      <c r="U427" t="s">
        <v>126</v>
      </c>
      <c r="W427">
        <v>1.39</v>
      </c>
      <c r="Y427">
        <v>1.39</v>
      </c>
      <c r="BE427">
        <v>1.39</v>
      </c>
      <c r="BH427" t="s">
        <v>126</v>
      </c>
      <c r="BI427" t="s">
        <v>126</v>
      </c>
      <c r="BJ427" t="s">
        <v>126</v>
      </c>
      <c r="BK427" t="s">
        <v>126</v>
      </c>
      <c r="BS427" t="s">
        <v>126</v>
      </c>
      <c r="BT427" t="s">
        <v>126</v>
      </c>
      <c r="BU427" t="s">
        <v>126</v>
      </c>
      <c r="BV427" t="s">
        <v>126</v>
      </c>
      <c r="CN427" t="s">
        <v>147</v>
      </c>
      <c r="CP427" t="s">
        <v>257</v>
      </c>
      <c r="CQ427" t="s">
        <v>147</v>
      </c>
    </row>
    <row r="428" spans="1:95" x14ac:dyDescent="0.2">
      <c r="A428" t="s">
        <v>115</v>
      </c>
      <c r="B428" t="s">
        <v>116</v>
      </c>
      <c r="C428">
        <v>210784</v>
      </c>
      <c r="E428" t="s">
        <v>117</v>
      </c>
      <c r="F428">
        <v>368</v>
      </c>
      <c r="G428" t="s">
        <v>141</v>
      </c>
      <c r="H428" t="s">
        <v>142</v>
      </c>
      <c r="I428" t="s">
        <v>279</v>
      </c>
      <c r="J428" t="s">
        <v>280</v>
      </c>
      <c r="L428" t="s">
        <v>267</v>
      </c>
      <c r="M428" s="8">
        <v>45536</v>
      </c>
      <c r="N428">
        <v>5580662</v>
      </c>
      <c r="O428" t="s">
        <v>123</v>
      </c>
      <c r="P428" t="s">
        <v>146</v>
      </c>
      <c r="Q428">
        <v>5.01</v>
      </c>
      <c r="R428" t="s">
        <v>125</v>
      </c>
      <c r="S428" t="s">
        <v>126</v>
      </c>
      <c r="T428" t="s">
        <v>125</v>
      </c>
      <c r="U428" t="s">
        <v>126</v>
      </c>
      <c r="W428">
        <v>5.01</v>
      </c>
      <c r="Y428">
        <v>5.01</v>
      </c>
      <c r="BE428">
        <v>5.01</v>
      </c>
      <c r="BH428" t="s">
        <v>126</v>
      </c>
      <c r="BI428" t="s">
        <v>126</v>
      </c>
      <c r="BJ428" t="s">
        <v>126</v>
      </c>
      <c r="BK428" t="s">
        <v>126</v>
      </c>
      <c r="BS428" t="s">
        <v>126</v>
      </c>
      <c r="BT428" t="s">
        <v>126</v>
      </c>
      <c r="BU428" t="s">
        <v>126</v>
      </c>
      <c r="BV428" t="s">
        <v>126</v>
      </c>
      <c r="CN428" t="s">
        <v>147</v>
      </c>
      <c r="CP428" t="s">
        <v>257</v>
      </c>
      <c r="CQ428" t="s">
        <v>147</v>
      </c>
    </row>
    <row r="429" spans="1:95" x14ac:dyDescent="0.2">
      <c r="A429" t="s">
        <v>115</v>
      </c>
      <c r="B429" t="s">
        <v>116</v>
      </c>
      <c r="C429">
        <v>210784</v>
      </c>
      <c r="E429" t="s">
        <v>117</v>
      </c>
      <c r="F429">
        <v>368</v>
      </c>
      <c r="G429" t="s">
        <v>141</v>
      </c>
      <c r="H429" t="s">
        <v>142</v>
      </c>
      <c r="I429" t="s">
        <v>279</v>
      </c>
      <c r="J429" t="s">
        <v>280</v>
      </c>
      <c r="L429" t="s">
        <v>267</v>
      </c>
      <c r="M429" s="8">
        <v>45536</v>
      </c>
      <c r="N429">
        <v>5581299</v>
      </c>
      <c r="O429" t="s">
        <v>123</v>
      </c>
      <c r="P429" t="s">
        <v>146</v>
      </c>
      <c r="Q429">
        <v>3.4</v>
      </c>
      <c r="R429" t="s">
        <v>125</v>
      </c>
      <c r="S429" t="s">
        <v>126</v>
      </c>
      <c r="T429" t="s">
        <v>125</v>
      </c>
      <c r="U429" t="s">
        <v>126</v>
      </c>
      <c r="W429">
        <v>3.4</v>
      </c>
      <c r="Y429">
        <v>3.4</v>
      </c>
      <c r="BE429">
        <v>3.4</v>
      </c>
      <c r="BH429" t="s">
        <v>126</v>
      </c>
      <c r="BI429" t="s">
        <v>126</v>
      </c>
      <c r="BJ429" t="s">
        <v>126</v>
      </c>
      <c r="BK429" t="s">
        <v>126</v>
      </c>
      <c r="BS429" t="s">
        <v>126</v>
      </c>
      <c r="BT429" t="s">
        <v>126</v>
      </c>
      <c r="BU429" t="s">
        <v>126</v>
      </c>
      <c r="BV429" t="s">
        <v>126</v>
      </c>
      <c r="CN429" t="s">
        <v>147</v>
      </c>
      <c r="CP429" t="s">
        <v>257</v>
      </c>
      <c r="CQ429" t="s">
        <v>147</v>
      </c>
    </row>
    <row r="430" spans="1:95" x14ac:dyDescent="0.2">
      <c r="A430" t="s">
        <v>115</v>
      </c>
      <c r="B430" t="s">
        <v>116</v>
      </c>
      <c r="C430">
        <v>210784</v>
      </c>
      <c r="E430" t="s">
        <v>117</v>
      </c>
      <c r="F430">
        <v>368</v>
      </c>
      <c r="G430" t="s">
        <v>141</v>
      </c>
      <c r="H430" t="s">
        <v>142</v>
      </c>
      <c r="I430" t="s">
        <v>279</v>
      </c>
      <c r="J430" t="s">
        <v>280</v>
      </c>
      <c r="L430" t="s">
        <v>873</v>
      </c>
      <c r="M430" s="8">
        <v>45536</v>
      </c>
      <c r="N430">
        <v>5571166</v>
      </c>
      <c r="O430" t="s">
        <v>123</v>
      </c>
      <c r="P430" t="s">
        <v>146</v>
      </c>
      <c r="Q430">
        <v>3.54</v>
      </c>
      <c r="R430" t="s">
        <v>125</v>
      </c>
      <c r="S430" t="s">
        <v>126</v>
      </c>
      <c r="T430" t="s">
        <v>125</v>
      </c>
      <c r="U430" t="s">
        <v>126</v>
      </c>
      <c r="W430">
        <v>3.54</v>
      </c>
      <c r="Y430">
        <v>3.54</v>
      </c>
      <c r="AG430">
        <v>3.54</v>
      </c>
      <c r="BH430" t="s">
        <v>126</v>
      </c>
      <c r="BI430" t="s">
        <v>126</v>
      </c>
      <c r="BJ430" t="s">
        <v>126</v>
      </c>
      <c r="BK430" t="s">
        <v>126</v>
      </c>
      <c r="BS430" t="s">
        <v>126</v>
      </c>
      <c r="BT430" t="s">
        <v>126</v>
      </c>
      <c r="BU430" t="s">
        <v>126</v>
      </c>
      <c r="BV430" t="s">
        <v>126</v>
      </c>
      <c r="CN430" t="s">
        <v>147</v>
      </c>
      <c r="CP430" t="s">
        <v>267</v>
      </c>
      <c r="CQ430" t="s">
        <v>147</v>
      </c>
    </row>
    <row r="431" spans="1:95" x14ac:dyDescent="0.2">
      <c r="A431" t="s">
        <v>115</v>
      </c>
      <c r="B431" t="s">
        <v>116</v>
      </c>
      <c r="C431">
        <v>210784</v>
      </c>
      <c r="E431" t="s">
        <v>117</v>
      </c>
      <c r="F431">
        <v>368</v>
      </c>
      <c r="G431" t="s">
        <v>141</v>
      </c>
      <c r="H431" t="s">
        <v>142</v>
      </c>
      <c r="I431" t="s">
        <v>279</v>
      </c>
      <c r="J431" t="s">
        <v>280</v>
      </c>
      <c r="L431" t="s">
        <v>873</v>
      </c>
      <c r="M431" s="8">
        <v>45536</v>
      </c>
      <c r="N431">
        <v>5570924</v>
      </c>
      <c r="O431" t="s">
        <v>123</v>
      </c>
      <c r="P431" t="s">
        <v>146</v>
      </c>
      <c r="Q431">
        <v>1.61</v>
      </c>
      <c r="R431" t="s">
        <v>125</v>
      </c>
      <c r="S431" t="s">
        <v>126</v>
      </c>
      <c r="T431" t="s">
        <v>125</v>
      </c>
      <c r="U431" t="s">
        <v>126</v>
      </c>
      <c r="W431">
        <v>1.61</v>
      </c>
      <c r="Y431">
        <v>1.61</v>
      </c>
      <c r="AG431">
        <v>1.61</v>
      </c>
      <c r="BH431" t="s">
        <v>126</v>
      </c>
      <c r="BI431" t="s">
        <v>126</v>
      </c>
      <c r="BJ431" t="s">
        <v>126</v>
      </c>
      <c r="BK431" t="s">
        <v>126</v>
      </c>
      <c r="BS431" t="s">
        <v>126</v>
      </c>
      <c r="BT431" t="s">
        <v>126</v>
      </c>
      <c r="BU431" t="s">
        <v>126</v>
      </c>
      <c r="BV431" t="s">
        <v>126</v>
      </c>
      <c r="CN431" t="s">
        <v>147</v>
      </c>
      <c r="CP431" t="s">
        <v>267</v>
      </c>
      <c r="CQ431" t="s">
        <v>147</v>
      </c>
    </row>
    <row r="432" spans="1:95" x14ac:dyDescent="0.2">
      <c r="A432" t="s">
        <v>115</v>
      </c>
      <c r="B432" t="s">
        <v>116</v>
      </c>
      <c r="C432">
        <v>210784</v>
      </c>
      <c r="E432" t="s">
        <v>117</v>
      </c>
      <c r="F432">
        <v>368</v>
      </c>
      <c r="G432" t="s">
        <v>141</v>
      </c>
      <c r="H432" t="s">
        <v>142</v>
      </c>
      <c r="I432" t="s">
        <v>279</v>
      </c>
      <c r="J432" t="s">
        <v>280</v>
      </c>
      <c r="L432" t="s">
        <v>234</v>
      </c>
      <c r="M432" s="8">
        <v>45536</v>
      </c>
      <c r="N432">
        <v>5578729</v>
      </c>
      <c r="O432" t="s">
        <v>123</v>
      </c>
      <c r="P432" t="s">
        <v>146</v>
      </c>
      <c r="Q432">
        <v>2.87</v>
      </c>
      <c r="R432" t="s">
        <v>125</v>
      </c>
      <c r="S432" t="s">
        <v>126</v>
      </c>
      <c r="T432" t="s">
        <v>125</v>
      </c>
      <c r="U432" t="s">
        <v>126</v>
      </c>
      <c r="W432">
        <v>2.87</v>
      </c>
      <c r="Y432">
        <v>2.87</v>
      </c>
      <c r="AG432">
        <v>2.87</v>
      </c>
      <c r="BH432" t="s">
        <v>126</v>
      </c>
      <c r="BI432" t="s">
        <v>126</v>
      </c>
      <c r="BJ432" t="s">
        <v>126</v>
      </c>
      <c r="BK432" t="s">
        <v>126</v>
      </c>
      <c r="BS432" t="s">
        <v>126</v>
      </c>
      <c r="BT432" t="s">
        <v>126</v>
      </c>
      <c r="BU432" t="s">
        <v>126</v>
      </c>
      <c r="BV432" t="s">
        <v>126</v>
      </c>
      <c r="CN432" t="s">
        <v>147</v>
      </c>
      <c r="CP432" t="s">
        <v>267</v>
      </c>
      <c r="CQ432" t="s">
        <v>147</v>
      </c>
    </row>
    <row r="433" spans="1:95" x14ac:dyDescent="0.2">
      <c r="A433" t="s">
        <v>115</v>
      </c>
      <c r="B433" t="s">
        <v>116</v>
      </c>
      <c r="C433">
        <v>210784</v>
      </c>
      <c r="E433" t="s">
        <v>117</v>
      </c>
      <c r="F433">
        <v>368</v>
      </c>
      <c r="G433" t="s">
        <v>229</v>
      </c>
      <c r="H433" t="s">
        <v>230</v>
      </c>
      <c r="I433" t="s">
        <v>204</v>
      </c>
      <c r="J433" t="s">
        <v>205</v>
      </c>
      <c r="L433" t="s">
        <v>241</v>
      </c>
      <c r="M433" s="8">
        <v>45566</v>
      </c>
      <c r="N433">
        <v>109739</v>
      </c>
      <c r="O433" t="s">
        <v>123</v>
      </c>
      <c r="P433" t="s">
        <v>146</v>
      </c>
      <c r="Q433">
        <v>5.96</v>
      </c>
      <c r="R433" t="s">
        <v>125</v>
      </c>
      <c r="S433" t="s">
        <v>126</v>
      </c>
      <c r="T433" t="s">
        <v>125</v>
      </c>
      <c r="U433" t="s">
        <v>126</v>
      </c>
      <c r="W433">
        <v>5.96</v>
      </c>
      <c r="Y433">
        <v>5.96</v>
      </c>
      <c r="AC433">
        <v>5.96</v>
      </c>
      <c r="BH433" t="s">
        <v>126</v>
      </c>
      <c r="BI433" t="s">
        <v>126</v>
      </c>
      <c r="BJ433" t="s">
        <v>126</v>
      </c>
      <c r="BK433" t="s">
        <v>126</v>
      </c>
      <c r="BS433" t="s">
        <v>126</v>
      </c>
      <c r="BT433" t="s">
        <v>126</v>
      </c>
      <c r="BU433" t="s">
        <v>126</v>
      </c>
      <c r="BV433" t="s">
        <v>126</v>
      </c>
      <c r="CN433" t="s">
        <v>230</v>
      </c>
      <c r="CP433" t="s">
        <v>242</v>
      </c>
      <c r="CQ433" t="s">
        <v>230</v>
      </c>
    </row>
    <row r="434" spans="1:95" x14ac:dyDescent="0.2">
      <c r="A434" t="s">
        <v>115</v>
      </c>
      <c r="B434" t="s">
        <v>116</v>
      </c>
      <c r="C434">
        <v>210784</v>
      </c>
      <c r="E434" t="s">
        <v>117</v>
      </c>
      <c r="F434">
        <v>368</v>
      </c>
      <c r="G434" t="s">
        <v>229</v>
      </c>
      <c r="H434" t="s">
        <v>230</v>
      </c>
      <c r="I434" t="s">
        <v>204</v>
      </c>
      <c r="J434" t="s">
        <v>205</v>
      </c>
      <c r="L434" t="s">
        <v>243</v>
      </c>
      <c r="M434" s="8">
        <v>45566</v>
      </c>
      <c r="N434">
        <v>109893</v>
      </c>
      <c r="O434" t="s">
        <v>123</v>
      </c>
      <c r="P434" t="s">
        <v>146</v>
      </c>
      <c r="Q434">
        <v>3.45</v>
      </c>
      <c r="R434" t="s">
        <v>125</v>
      </c>
      <c r="S434" t="s">
        <v>126</v>
      </c>
      <c r="T434" t="s">
        <v>125</v>
      </c>
      <c r="U434" t="s">
        <v>126</v>
      </c>
      <c r="W434">
        <v>3.45</v>
      </c>
      <c r="Y434">
        <v>3.45</v>
      </c>
      <c r="AC434">
        <v>3.45</v>
      </c>
      <c r="BH434" t="s">
        <v>126</v>
      </c>
      <c r="BI434" t="s">
        <v>126</v>
      </c>
      <c r="BJ434" t="s">
        <v>126</v>
      </c>
      <c r="BK434" t="s">
        <v>126</v>
      </c>
      <c r="BS434" t="s">
        <v>126</v>
      </c>
      <c r="BT434" t="s">
        <v>126</v>
      </c>
      <c r="BU434" t="s">
        <v>126</v>
      </c>
      <c r="BV434" t="s">
        <v>126</v>
      </c>
      <c r="CN434" t="s">
        <v>230</v>
      </c>
      <c r="CP434" t="s">
        <v>242</v>
      </c>
      <c r="CQ434" t="s">
        <v>230</v>
      </c>
    </row>
    <row r="435" spans="1:95" x14ac:dyDescent="0.2">
      <c r="A435" t="s">
        <v>115</v>
      </c>
      <c r="B435" t="s">
        <v>116</v>
      </c>
      <c r="C435">
        <v>210784</v>
      </c>
      <c r="E435" t="s">
        <v>117</v>
      </c>
      <c r="F435">
        <v>368</v>
      </c>
      <c r="G435" t="s">
        <v>229</v>
      </c>
      <c r="H435" t="s">
        <v>230</v>
      </c>
      <c r="I435" t="s">
        <v>204</v>
      </c>
      <c r="J435" t="s">
        <v>205</v>
      </c>
      <c r="L435" t="s">
        <v>244</v>
      </c>
      <c r="M435" s="8">
        <v>45566</v>
      </c>
      <c r="N435">
        <v>110020</v>
      </c>
      <c r="O435" t="s">
        <v>123</v>
      </c>
      <c r="P435" t="s">
        <v>146</v>
      </c>
      <c r="Q435">
        <v>10.35</v>
      </c>
      <c r="R435" t="s">
        <v>125</v>
      </c>
      <c r="S435" t="s">
        <v>126</v>
      </c>
      <c r="T435" t="s">
        <v>125</v>
      </c>
      <c r="U435" t="s">
        <v>126</v>
      </c>
      <c r="W435">
        <v>10.35</v>
      </c>
      <c r="Y435">
        <v>10.35</v>
      </c>
      <c r="AC435">
        <v>10.35</v>
      </c>
      <c r="BH435" t="s">
        <v>126</v>
      </c>
      <c r="BI435" t="s">
        <v>126</v>
      </c>
      <c r="BJ435" t="s">
        <v>126</v>
      </c>
      <c r="BK435" t="s">
        <v>126</v>
      </c>
      <c r="BS435" t="s">
        <v>126</v>
      </c>
      <c r="BT435" t="s">
        <v>126</v>
      </c>
      <c r="BU435" t="s">
        <v>126</v>
      </c>
      <c r="BV435" t="s">
        <v>126</v>
      </c>
      <c r="CN435" t="s">
        <v>230</v>
      </c>
      <c r="CP435" t="s">
        <v>242</v>
      </c>
      <c r="CQ435" t="s">
        <v>230</v>
      </c>
    </row>
    <row r="436" spans="1:95" x14ac:dyDescent="0.2">
      <c r="A436" t="s">
        <v>115</v>
      </c>
      <c r="B436" t="s">
        <v>116</v>
      </c>
      <c r="C436">
        <v>210784</v>
      </c>
      <c r="E436" t="s">
        <v>117</v>
      </c>
      <c r="F436">
        <v>368</v>
      </c>
      <c r="G436" t="s">
        <v>229</v>
      </c>
      <c r="H436" t="s">
        <v>230</v>
      </c>
      <c r="I436" t="s">
        <v>204</v>
      </c>
      <c r="J436" t="s">
        <v>205</v>
      </c>
      <c r="L436" t="s">
        <v>244</v>
      </c>
      <c r="M436" s="8">
        <v>45566</v>
      </c>
      <c r="N436">
        <v>110064</v>
      </c>
      <c r="O436" t="s">
        <v>123</v>
      </c>
      <c r="P436" t="s">
        <v>146</v>
      </c>
      <c r="Q436">
        <v>7.26</v>
      </c>
      <c r="R436" t="s">
        <v>125</v>
      </c>
      <c r="S436" t="s">
        <v>126</v>
      </c>
      <c r="T436" t="s">
        <v>125</v>
      </c>
      <c r="U436" t="s">
        <v>126</v>
      </c>
      <c r="W436">
        <v>7.26</v>
      </c>
      <c r="Y436">
        <v>7.26</v>
      </c>
      <c r="AC436">
        <v>7.26</v>
      </c>
      <c r="BH436" t="s">
        <v>126</v>
      </c>
      <c r="BI436" t="s">
        <v>126</v>
      </c>
      <c r="BJ436" t="s">
        <v>126</v>
      </c>
      <c r="BK436" t="s">
        <v>126</v>
      </c>
      <c r="BS436" t="s">
        <v>126</v>
      </c>
      <c r="BT436" t="s">
        <v>126</v>
      </c>
      <c r="BU436" t="s">
        <v>126</v>
      </c>
      <c r="BV436" t="s">
        <v>126</v>
      </c>
      <c r="CN436" t="s">
        <v>230</v>
      </c>
      <c r="CP436" t="s">
        <v>242</v>
      </c>
      <c r="CQ436" t="s">
        <v>230</v>
      </c>
    </row>
    <row r="437" spans="1:95" x14ac:dyDescent="0.2">
      <c r="A437" t="s">
        <v>115</v>
      </c>
      <c r="B437" t="s">
        <v>116</v>
      </c>
      <c r="C437">
        <v>210784</v>
      </c>
      <c r="E437" t="s">
        <v>117</v>
      </c>
      <c r="F437">
        <v>368</v>
      </c>
      <c r="G437" t="s">
        <v>229</v>
      </c>
      <c r="H437" t="s">
        <v>230</v>
      </c>
      <c r="I437" t="s">
        <v>204</v>
      </c>
      <c r="J437" t="s">
        <v>205</v>
      </c>
      <c r="L437" t="s">
        <v>245</v>
      </c>
      <c r="M437" s="8">
        <v>45566</v>
      </c>
      <c r="N437">
        <v>110175</v>
      </c>
      <c r="O437" t="s">
        <v>123</v>
      </c>
      <c r="P437" t="s">
        <v>146</v>
      </c>
      <c r="Q437">
        <v>9.43</v>
      </c>
      <c r="R437" t="s">
        <v>125</v>
      </c>
      <c r="S437" t="s">
        <v>126</v>
      </c>
      <c r="T437" t="s">
        <v>125</v>
      </c>
      <c r="U437" t="s">
        <v>126</v>
      </c>
      <c r="W437">
        <v>9.43</v>
      </c>
      <c r="Y437">
        <v>9.43</v>
      </c>
      <c r="AC437">
        <v>9.43</v>
      </c>
      <c r="BH437" t="s">
        <v>126</v>
      </c>
      <c r="BI437" t="s">
        <v>126</v>
      </c>
      <c r="BJ437" t="s">
        <v>126</v>
      </c>
      <c r="BK437" t="s">
        <v>126</v>
      </c>
      <c r="BS437" t="s">
        <v>126</v>
      </c>
      <c r="BT437" t="s">
        <v>126</v>
      </c>
      <c r="BU437" t="s">
        <v>126</v>
      </c>
      <c r="BV437" t="s">
        <v>126</v>
      </c>
      <c r="CN437" t="s">
        <v>230</v>
      </c>
      <c r="CP437" t="s">
        <v>242</v>
      </c>
      <c r="CQ437" t="s">
        <v>230</v>
      </c>
    </row>
    <row r="438" spans="1:95" x14ac:dyDescent="0.2">
      <c r="A438" t="s">
        <v>115</v>
      </c>
      <c r="B438" t="s">
        <v>116</v>
      </c>
      <c r="C438">
        <v>210784</v>
      </c>
      <c r="E438" t="s">
        <v>117</v>
      </c>
      <c r="F438">
        <v>368</v>
      </c>
      <c r="G438" t="s">
        <v>229</v>
      </c>
      <c r="H438" t="s">
        <v>230</v>
      </c>
      <c r="I438" t="s">
        <v>204</v>
      </c>
      <c r="J438" t="s">
        <v>205</v>
      </c>
      <c r="L438" t="s">
        <v>246</v>
      </c>
      <c r="M438" s="8">
        <v>45566</v>
      </c>
      <c r="N438">
        <v>110254</v>
      </c>
      <c r="O438" t="s">
        <v>123</v>
      </c>
      <c r="P438" t="s">
        <v>146</v>
      </c>
      <c r="Q438">
        <v>9</v>
      </c>
      <c r="R438" t="s">
        <v>125</v>
      </c>
      <c r="S438" t="s">
        <v>126</v>
      </c>
      <c r="T438" t="s">
        <v>125</v>
      </c>
      <c r="U438" t="s">
        <v>126</v>
      </c>
      <c r="W438">
        <v>9</v>
      </c>
      <c r="Y438">
        <v>9</v>
      </c>
      <c r="AC438">
        <v>9</v>
      </c>
      <c r="BH438" t="s">
        <v>126</v>
      </c>
      <c r="BI438" t="s">
        <v>126</v>
      </c>
      <c r="BJ438" t="s">
        <v>126</v>
      </c>
      <c r="BK438" t="s">
        <v>126</v>
      </c>
      <c r="BS438" t="s">
        <v>126</v>
      </c>
      <c r="BT438" t="s">
        <v>126</v>
      </c>
      <c r="BU438" t="s">
        <v>126</v>
      </c>
      <c r="BV438" t="s">
        <v>126</v>
      </c>
      <c r="CN438" t="s">
        <v>230</v>
      </c>
      <c r="CP438" t="s">
        <v>242</v>
      </c>
      <c r="CQ438" t="s">
        <v>230</v>
      </c>
    </row>
    <row r="439" spans="1:95" x14ac:dyDescent="0.2">
      <c r="A439" t="s">
        <v>115</v>
      </c>
      <c r="B439" t="s">
        <v>116</v>
      </c>
      <c r="C439">
        <v>210784</v>
      </c>
      <c r="E439" t="s">
        <v>117</v>
      </c>
      <c r="F439">
        <v>368</v>
      </c>
      <c r="G439" t="s">
        <v>229</v>
      </c>
      <c r="H439" t="s">
        <v>230</v>
      </c>
      <c r="I439" t="s">
        <v>204</v>
      </c>
      <c r="J439" t="s">
        <v>205</v>
      </c>
      <c r="L439" t="s">
        <v>246</v>
      </c>
      <c r="M439" s="8">
        <v>45566</v>
      </c>
      <c r="N439">
        <v>110208</v>
      </c>
      <c r="O439" t="s">
        <v>123</v>
      </c>
      <c r="P439" t="s">
        <v>146</v>
      </c>
      <c r="Q439">
        <v>10.45</v>
      </c>
      <c r="R439" t="s">
        <v>125</v>
      </c>
      <c r="S439" t="s">
        <v>126</v>
      </c>
      <c r="T439" t="s">
        <v>125</v>
      </c>
      <c r="U439" t="s">
        <v>126</v>
      </c>
      <c r="W439">
        <v>10.45</v>
      </c>
      <c r="Y439">
        <v>10.45</v>
      </c>
      <c r="AC439">
        <v>10.45</v>
      </c>
      <c r="BH439" t="s">
        <v>126</v>
      </c>
      <c r="BI439" t="s">
        <v>126</v>
      </c>
      <c r="BJ439" t="s">
        <v>126</v>
      </c>
      <c r="BK439" t="s">
        <v>126</v>
      </c>
      <c r="BS439" t="s">
        <v>126</v>
      </c>
      <c r="BT439" t="s">
        <v>126</v>
      </c>
      <c r="BU439" t="s">
        <v>126</v>
      </c>
      <c r="BV439" t="s">
        <v>126</v>
      </c>
      <c r="CN439" t="s">
        <v>230</v>
      </c>
      <c r="CP439" t="s">
        <v>242</v>
      </c>
      <c r="CQ439" t="s">
        <v>230</v>
      </c>
    </row>
    <row r="440" spans="1:95" x14ac:dyDescent="0.2">
      <c r="A440" t="s">
        <v>115</v>
      </c>
      <c r="B440" t="s">
        <v>116</v>
      </c>
      <c r="C440">
        <v>210784</v>
      </c>
      <c r="E440" t="s">
        <v>117</v>
      </c>
      <c r="F440">
        <v>368</v>
      </c>
      <c r="G440" t="s">
        <v>229</v>
      </c>
      <c r="H440" t="s">
        <v>230</v>
      </c>
      <c r="I440" t="s">
        <v>204</v>
      </c>
      <c r="J440" t="s">
        <v>205</v>
      </c>
      <c r="L440" t="s">
        <v>247</v>
      </c>
      <c r="M440" s="8">
        <v>45566</v>
      </c>
      <c r="N440">
        <v>110305</v>
      </c>
      <c r="O440" t="s">
        <v>123</v>
      </c>
      <c r="P440" t="s">
        <v>146</v>
      </c>
      <c r="Q440">
        <v>3.94</v>
      </c>
      <c r="R440" t="s">
        <v>125</v>
      </c>
      <c r="S440" t="s">
        <v>126</v>
      </c>
      <c r="T440" t="s">
        <v>125</v>
      </c>
      <c r="U440" t="s">
        <v>126</v>
      </c>
      <c r="W440">
        <v>3.94</v>
      </c>
      <c r="Y440">
        <v>3.94</v>
      </c>
      <c r="AC440">
        <v>3.94</v>
      </c>
      <c r="BH440" t="s">
        <v>126</v>
      </c>
      <c r="BI440" t="s">
        <v>126</v>
      </c>
      <c r="BJ440" t="s">
        <v>126</v>
      </c>
      <c r="BK440" t="s">
        <v>126</v>
      </c>
      <c r="BS440" t="s">
        <v>126</v>
      </c>
      <c r="BT440" t="s">
        <v>126</v>
      </c>
      <c r="BU440" t="s">
        <v>126</v>
      </c>
      <c r="BV440" t="s">
        <v>126</v>
      </c>
      <c r="CN440" t="s">
        <v>230</v>
      </c>
      <c r="CP440" t="s">
        <v>242</v>
      </c>
      <c r="CQ440" t="s">
        <v>230</v>
      </c>
    </row>
    <row r="441" spans="1:95" x14ac:dyDescent="0.2">
      <c r="A441" t="s">
        <v>115</v>
      </c>
      <c r="B441" t="s">
        <v>116</v>
      </c>
      <c r="C441">
        <v>210784</v>
      </c>
      <c r="E441" t="s">
        <v>117</v>
      </c>
      <c r="F441">
        <v>368</v>
      </c>
      <c r="G441" t="s">
        <v>229</v>
      </c>
      <c r="H441" t="s">
        <v>230</v>
      </c>
      <c r="I441" t="s">
        <v>204</v>
      </c>
      <c r="J441" t="s">
        <v>205</v>
      </c>
      <c r="L441" t="s">
        <v>248</v>
      </c>
      <c r="M441" s="8">
        <v>45566</v>
      </c>
      <c r="N441">
        <v>110395</v>
      </c>
      <c r="O441" t="s">
        <v>123</v>
      </c>
      <c r="P441" t="s">
        <v>146</v>
      </c>
      <c r="Q441">
        <v>2</v>
      </c>
      <c r="R441" t="s">
        <v>125</v>
      </c>
      <c r="S441" t="s">
        <v>126</v>
      </c>
      <c r="T441" t="s">
        <v>125</v>
      </c>
      <c r="U441" t="s">
        <v>126</v>
      </c>
      <c r="W441">
        <v>2</v>
      </c>
      <c r="Y441">
        <v>2</v>
      </c>
      <c r="AC441">
        <v>2</v>
      </c>
      <c r="BH441" t="s">
        <v>126</v>
      </c>
      <c r="BI441" t="s">
        <v>126</v>
      </c>
      <c r="BJ441" t="s">
        <v>126</v>
      </c>
      <c r="BK441" t="s">
        <v>126</v>
      </c>
      <c r="BS441" t="s">
        <v>126</v>
      </c>
      <c r="BT441" t="s">
        <v>126</v>
      </c>
      <c r="BU441" t="s">
        <v>126</v>
      </c>
      <c r="BV441" t="s">
        <v>126</v>
      </c>
      <c r="CN441" t="s">
        <v>230</v>
      </c>
      <c r="CP441" t="s">
        <v>242</v>
      </c>
      <c r="CQ441" t="s">
        <v>230</v>
      </c>
    </row>
    <row r="442" spans="1:95" x14ac:dyDescent="0.2">
      <c r="A442" t="s">
        <v>115</v>
      </c>
      <c r="B442" t="s">
        <v>116</v>
      </c>
      <c r="C442">
        <v>210784</v>
      </c>
      <c r="E442" t="s">
        <v>117</v>
      </c>
      <c r="F442">
        <v>368</v>
      </c>
      <c r="G442" t="s">
        <v>229</v>
      </c>
      <c r="H442" t="s">
        <v>230</v>
      </c>
      <c r="I442" t="s">
        <v>204</v>
      </c>
      <c r="J442" t="s">
        <v>205</v>
      </c>
      <c r="L442" t="s">
        <v>247</v>
      </c>
      <c r="M442" s="8">
        <v>45566</v>
      </c>
      <c r="N442">
        <v>110336</v>
      </c>
      <c r="O442" t="s">
        <v>123</v>
      </c>
      <c r="P442" t="s">
        <v>146</v>
      </c>
      <c r="Q442">
        <v>4.22</v>
      </c>
      <c r="R442" t="s">
        <v>125</v>
      </c>
      <c r="S442" t="s">
        <v>126</v>
      </c>
      <c r="T442" t="s">
        <v>125</v>
      </c>
      <c r="U442" t="s">
        <v>126</v>
      </c>
      <c r="W442">
        <v>4.22</v>
      </c>
      <c r="Y442">
        <v>4.22</v>
      </c>
      <c r="AC442">
        <v>4.22</v>
      </c>
      <c r="BH442" t="s">
        <v>126</v>
      </c>
      <c r="BI442" t="s">
        <v>126</v>
      </c>
      <c r="BJ442" t="s">
        <v>126</v>
      </c>
      <c r="BK442" t="s">
        <v>126</v>
      </c>
      <c r="BS442" t="s">
        <v>126</v>
      </c>
      <c r="BT442" t="s">
        <v>126</v>
      </c>
      <c r="BU442" t="s">
        <v>126</v>
      </c>
      <c r="BV442" t="s">
        <v>126</v>
      </c>
      <c r="CN442" t="s">
        <v>230</v>
      </c>
      <c r="CP442" t="s">
        <v>242</v>
      </c>
      <c r="CQ442" t="s">
        <v>230</v>
      </c>
    </row>
    <row r="443" spans="1:95" x14ac:dyDescent="0.2">
      <c r="A443" t="s">
        <v>115</v>
      </c>
      <c r="B443" t="s">
        <v>116</v>
      </c>
      <c r="C443">
        <v>210784</v>
      </c>
      <c r="E443" t="s">
        <v>117</v>
      </c>
      <c r="F443">
        <v>368</v>
      </c>
      <c r="G443" t="s">
        <v>229</v>
      </c>
      <c r="H443" t="s">
        <v>230</v>
      </c>
      <c r="I443" t="s">
        <v>204</v>
      </c>
      <c r="J443" t="s">
        <v>205</v>
      </c>
      <c r="L443" t="s">
        <v>248</v>
      </c>
      <c r="M443" s="8">
        <v>45566</v>
      </c>
      <c r="N443">
        <v>110409</v>
      </c>
      <c r="O443" t="s">
        <v>123</v>
      </c>
      <c r="P443" t="s">
        <v>146</v>
      </c>
      <c r="Q443">
        <v>6.89</v>
      </c>
      <c r="R443" t="s">
        <v>125</v>
      </c>
      <c r="S443" t="s">
        <v>126</v>
      </c>
      <c r="T443" t="s">
        <v>125</v>
      </c>
      <c r="U443" t="s">
        <v>126</v>
      </c>
      <c r="W443">
        <v>6.89</v>
      </c>
      <c r="Y443">
        <v>6.89</v>
      </c>
      <c r="AC443">
        <v>6.89</v>
      </c>
      <c r="BH443" t="s">
        <v>126</v>
      </c>
      <c r="BI443" t="s">
        <v>126</v>
      </c>
      <c r="BJ443" t="s">
        <v>126</v>
      </c>
      <c r="BK443" t="s">
        <v>126</v>
      </c>
      <c r="BS443" t="s">
        <v>126</v>
      </c>
      <c r="BT443" t="s">
        <v>126</v>
      </c>
      <c r="BU443" t="s">
        <v>126</v>
      </c>
      <c r="BV443" t="s">
        <v>126</v>
      </c>
      <c r="CN443" t="s">
        <v>230</v>
      </c>
      <c r="CP443" t="s">
        <v>242</v>
      </c>
      <c r="CQ443" t="s">
        <v>230</v>
      </c>
    </row>
    <row r="444" spans="1:95" x14ac:dyDescent="0.2">
      <c r="A444" t="s">
        <v>115</v>
      </c>
      <c r="B444" t="s">
        <v>116</v>
      </c>
      <c r="C444">
        <v>210784</v>
      </c>
      <c r="E444" t="s">
        <v>117</v>
      </c>
      <c r="F444">
        <v>368</v>
      </c>
      <c r="G444" t="s">
        <v>229</v>
      </c>
      <c r="H444" t="s">
        <v>230</v>
      </c>
      <c r="I444" t="s">
        <v>204</v>
      </c>
      <c r="J444" t="s">
        <v>205</v>
      </c>
      <c r="L444" t="s">
        <v>248</v>
      </c>
      <c r="M444" s="8">
        <v>45566</v>
      </c>
      <c r="N444">
        <v>110419</v>
      </c>
      <c r="O444" t="s">
        <v>123</v>
      </c>
      <c r="P444" t="s">
        <v>146</v>
      </c>
      <c r="Q444">
        <v>8.2799999999999994</v>
      </c>
      <c r="R444" t="s">
        <v>125</v>
      </c>
      <c r="S444" t="s">
        <v>126</v>
      </c>
      <c r="T444" t="s">
        <v>125</v>
      </c>
      <c r="U444" t="s">
        <v>126</v>
      </c>
      <c r="W444">
        <v>8.2799999999999994</v>
      </c>
      <c r="Y444">
        <v>8.2799999999999994</v>
      </c>
      <c r="AC444">
        <v>8.2799999999999994</v>
      </c>
      <c r="BH444" t="s">
        <v>126</v>
      </c>
      <c r="BI444" t="s">
        <v>126</v>
      </c>
      <c r="BJ444" t="s">
        <v>126</v>
      </c>
      <c r="BK444" t="s">
        <v>126</v>
      </c>
      <c r="BS444" t="s">
        <v>126</v>
      </c>
      <c r="BT444" t="s">
        <v>126</v>
      </c>
      <c r="BU444" t="s">
        <v>126</v>
      </c>
      <c r="BV444" t="s">
        <v>126</v>
      </c>
      <c r="CN444" t="s">
        <v>230</v>
      </c>
      <c r="CP444" t="s">
        <v>242</v>
      </c>
      <c r="CQ444" t="s">
        <v>230</v>
      </c>
    </row>
    <row r="445" spans="1:95" x14ac:dyDescent="0.2">
      <c r="A445" t="s">
        <v>115</v>
      </c>
      <c r="B445" t="s">
        <v>116</v>
      </c>
      <c r="C445">
        <v>210784</v>
      </c>
      <c r="E445" t="s">
        <v>117</v>
      </c>
      <c r="F445">
        <v>368</v>
      </c>
      <c r="G445" t="s">
        <v>229</v>
      </c>
      <c r="H445" t="s">
        <v>230</v>
      </c>
      <c r="I445" t="s">
        <v>204</v>
      </c>
      <c r="J445" t="s">
        <v>205</v>
      </c>
      <c r="L445" t="s">
        <v>249</v>
      </c>
      <c r="M445" s="8">
        <v>45566</v>
      </c>
      <c r="N445" t="s">
        <v>250</v>
      </c>
      <c r="O445" t="s">
        <v>123</v>
      </c>
      <c r="P445" t="s">
        <v>146</v>
      </c>
      <c r="Q445">
        <v>8.4</v>
      </c>
      <c r="R445" t="s">
        <v>125</v>
      </c>
      <c r="S445" t="s">
        <v>126</v>
      </c>
      <c r="T445" t="s">
        <v>125</v>
      </c>
      <c r="U445" t="s">
        <v>126</v>
      </c>
      <c r="W445">
        <v>8.4</v>
      </c>
      <c r="Y445">
        <v>8.4</v>
      </c>
      <c r="AC445">
        <v>8.4</v>
      </c>
      <c r="BH445" t="s">
        <v>126</v>
      </c>
      <c r="BI445" t="s">
        <v>126</v>
      </c>
      <c r="BJ445" t="s">
        <v>126</v>
      </c>
      <c r="BK445" t="s">
        <v>126</v>
      </c>
      <c r="BS445" t="s">
        <v>126</v>
      </c>
      <c r="BT445" t="s">
        <v>126</v>
      </c>
      <c r="BU445" t="s">
        <v>126</v>
      </c>
      <c r="BV445" t="s">
        <v>126</v>
      </c>
      <c r="CN445" t="s">
        <v>230</v>
      </c>
      <c r="CP445" t="s">
        <v>242</v>
      </c>
      <c r="CQ445" t="s">
        <v>230</v>
      </c>
    </row>
    <row r="446" spans="1:95" x14ac:dyDescent="0.2">
      <c r="A446" t="s">
        <v>115</v>
      </c>
      <c r="B446" t="s">
        <v>116</v>
      </c>
      <c r="C446">
        <v>210784</v>
      </c>
      <c r="E446" t="s">
        <v>117</v>
      </c>
      <c r="F446">
        <v>368</v>
      </c>
      <c r="G446" t="s">
        <v>229</v>
      </c>
      <c r="H446" t="s">
        <v>230</v>
      </c>
      <c r="I446" t="s">
        <v>204</v>
      </c>
      <c r="J446" t="s">
        <v>205</v>
      </c>
      <c r="L446" t="s">
        <v>249</v>
      </c>
      <c r="M446" s="8">
        <v>45566</v>
      </c>
      <c r="N446" t="s">
        <v>251</v>
      </c>
      <c r="O446" t="s">
        <v>123</v>
      </c>
      <c r="P446" t="s">
        <v>146</v>
      </c>
      <c r="Q446">
        <v>9.93</v>
      </c>
      <c r="R446" t="s">
        <v>125</v>
      </c>
      <c r="S446" t="s">
        <v>126</v>
      </c>
      <c r="T446" t="s">
        <v>125</v>
      </c>
      <c r="U446" t="s">
        <v>126</v>
      </c>
      <c r="W446">
        <v>9.93</v>
      </c>
      <c r="Y446">
        <v>9.93</v>
      </c>
      <c r="AC446">
        <v>9.93</v>
      </c>
      <c r="BH446" t="s">
        <v>126</v>
      </c>
      <c r="BI446" t="s">
        <v>126</v>
      </c>
      <c r="BJ446" t="s">
        <v>126</v>
      </c>
      <c r="BK446" t="s">
        <v>126</v>
      </c>
      <c r="BS446" t="s">
        <v>126</v>
      </c>
      <c r="BT446" t="s">
        <v>126</v>
      </c>
      <c r="BU446" t="s">
        <v>126</v>
      </c>
      <c r="BV446" t="s">
        <v>126</v>
      </c>
      <c r="CN446" t="s">
        <v>230</v>
      </c>
      <c r="CP446" t="s">
        <v>242</v>
      </c>
      <c r="CQ446" t="s">
        <v>230</v>
      </c>
    </row>
    <row r="447" spans="1:95" x14ac:dyDescent="0.2">
      <c r="A447" t="s">
        <v>115</v>
      </c>
      <c r="B447" t="s">
        <v>116</v>
      </c>
      <c r="C447">
        <v>210784</v>
      </c>
      <c r="E447" t="s">
        <v>117</v>
      </c>
      <c r="F447">
        <v>368</v>
      </c>
      <c r="G447" t="s">
        <v>229</v>
      </c>
      <c r="H447" t="s">
        <v>230</v>
      </c>
      <c r="I447" t="s">
        <v>204</v>
      </c>
      <c r="J447" t="s">
        <v>205</v>
      </c>
      <c r="L447" t="s">
        <v>252</v>
      </c>
      <c r="M447" s="8">
        <v>45566</v>
      </c>
      <c r="N447">
        <v>0</v>
      </c>
      <c r="O447" t="s">
        <v>123</v>
      </c>
      <c r="P447" t="s">
        <v>146</v>
      </c>
      <c r="Q447">
        <v>5.91</v>
      </c>
      <c r="R447" t="s">
        <v>125</v>
      </c>
      <c r="S447" t="s">
        <v>126</v>
      </c>
      <c r="T447" t="s">
        <v>125</v>
      </c>
      <c r="U447" t="s">
        <v>126</v>
      </c>
      <c r="W447">
        <v>5.91</v>
      </c>
      <c r="Y447">
        <v>5.91</v>
      </c>
      <c r="AC447">
        <v>5.91</v>
      </c>
      <c r="BH447" t="s">
        <v>126</v>
      </c>
      <c r="BI447" t="s">
        <v>126</v>
      </c>
      <c r="BJ447" t="s">
        <v>126</v>
      </c>
      <c r="BK447" t="s">
        <v>126</v>
      </c>
      <c r="BS447" t="s">
        <v>126</v>
      </c>
      <c r="BT447" t="s">
        <v>126</v>
      </c>
      <c r="BU447" t="s">
        <v>126</v>
      </c>
      <c r="BV447" t="s">
        <v>126</v>
      </c>
      <c r="CN447" t="s">
        <v>230</v>
      </c>
      <c r="CP447" t="s">
        <v>242</v>
      </c>
      <c r="CQ447" t="s">
        <v>230</v>
      </c>
    </row>
    <row r="448" spans="1:95" x14ac:dyDescent="0.2">
      <c r="A448" t="s">
        <v>115</v>
      </c>
      <c r="B448" t="s">
        <v>116</v>
      </c>
      <c r="C448">
        <v>210784</v>
      </c>
      <c r="E448" t="s">
        <v>117</v>
      </c>
      <c r="F448">
        <v>368</v>
      </c>
      <c r="G448" t="s">
        <v>229</v>
      </c>
      <c r="H448" t="s">
        <v>230</v>
      </c>
      <c r="I448" t="s">
        <v>204</v>
      </c>
      <c r="J448" t="s">
        <v>205</v>
      </c>
      <c r="L448" t="s">
        <v>253</v>
      </c>
      <c r="M448" s="8">
        <v>45566</v>
      </c>
      <c r="N448">
        <v>110580</v>
      </c>
      <c r="O448" t="s">
        <v>123</v>
      </c>
      <c r="P448" t="s">
        <v>146</v>
      </c>
      <c r="Q448">
        <v>8.26</v>
      </c>
      <c r="R448" t="s">
        <v>125</v>
      </c>
      <c r="S448" t="s">
        <v>126</v>
      </c>
      <c r="T448" t="s">
        <v>125</v>
      </c>
      <c r="U448" t="s">
        <v>126</v>
      </c>
      <c r="W448">
        <v>8.26</v>
      </c>
      <c r="Y448">
        <v>8.26</v>
      </c>
      <c r="AC448">
        <v>8.26</v>
      </c>
      <c r="BH448" t="s">
        <v>126</v>
      </c>
      <c r="BI448" t="s">
        <v>126</v>
      </c>
      <c r="BJ448" t="s">
        <v>126</v>
      </c>
      <c r="BK448" t="s">
        <v>126</v>
      </c>
      <c r="BS448" t="s">
        <v>126</v>
      </c>
      <c r="BT448" t="s">
        <v>126</v>
      </c>
      <c r="BU448" t="s">
        <v>126</v>
      </c>
      <c r="BV448" t="s">
        <v>126</v>
      </c>
      <c r="CN448" t="s">
        <v>230</v>
      </c>
      <c r="CP448" t="s">
        <v>242</v>
      </c>
      <c r="CQ448" t="s">
        <v>230</v>
      </c>
    </row>
    <row r="449" spans="1:95" x14ac:dyDescent="0.2">
      <c r="A449" t="s">
        <v>115</v>
      </c>
      <c r="B449" t="s">
        <v>116</v>
      </c>
      <c r="C449">
        <v>210784</v>
      </c>
      <c r="E449" t="s">
        <v>117</v>
      </c>
      <c r="F449">
        <v>368</v>
      </c>
      <c r="G449" t="s">
        <v>229</v>
      </c>
      <c r="H449" t="s">
        <v>230</v>
      </c>
      <c r="I449" t="s">
        <v>204</v>
      </c>
      <c r="J449" t="s">
        <v>205</v>
      </c>
      <c r="L449" t="s">
        <v>254</v>
      </c>
      <c r="M449" s="8">
        <v>45566</v>
      </c>
      <c r="N449">
        <v>110839</v>
      </c>
      <c r="O449" t="s">
        <v>123</v>
      </c>
      <c r="P449" t="s">
        <v>146</v>
      </c>
      <c r="Q449">
        <v>9.77</v>
      </c>
      <c r="R449" t="s">
        <v>125</v>
      </c>
      <c r="S449" t="s">
        <v>126</v>
      </c>
      <c r="T449" t="s">
        <v>125</v>
      </c>
      <c r="U449" t="s">
        <v>126</v>
      </c>
      <c r="W449">
        <v>9.77</v>
      </c>
      <c r="Y449">
        <v>9.77</v>
      </c>
      <c r="AC449">
        <v>9.77</v>
      </c>
      <c r="BH449" t="s">
        <v>126</v>
      </c>
      <c r="BI449" t="s">
        <v>126</v>
      </c>
      <c r="BJ449" t="s">
        <v>126</v>
      </c>
      <c r="BK449" t="s">
        <v>126</v>
      </c>
      <c r="BS449" t="s">
        <v>126</v>
      </c>
      <c r="BT449" t="s">
        <v>126</v>
      </c>
      <c r="BU449" t="s">
        <v>126</v>
      </c>
      <c r="BV449" t="s">
        <v>126</v>
      </c>
      <c r="CN449" t="s">
        <v>230</v>
      </c>
      <c r="CP449" t="s">
        <v>242</v>
      </c>
      <c r="CQ449" t="s">
        <v>230</v>
      </c>
    </row>
    <row r="450" spans="1:95" x14ac:dyDescent="0.2">
      <c r="A450" t="s">
        <v>115</v>
      </c>
      <c r="B450" t="s">
        <v>116</v>
      </c>
      <c r="C450">
        <v>210784</v>
      </c>
      <c r="E450" t="s">
        <v>117</v>
      </c>
      <c r="F450">
        <v>368</v>
      </c>
      <c r="G450" t="s">
        <v>229</v>
      </c>
      <c r="H450" t="s">
        <v>230</v>
      </c>
      <c r="I450" t="s">
        <v>204</v>
      </c>
      <c r="J450" t="s">
        <v>205</v>
      </c>
      <c r="L450" t="s">
        <v>255</v>
      </c>
      <c r="M450" s="8">
        <v>45566</v>
      </c>
      <c r="N450">
        <v>110988</v>
      </c>
      <c r="O450" t="s">
        <v>123</v>
      </c>
      <c r="P450" t="s">
        <v>146</v>
      </c>
      <c r="Q450">
        <v>8.59</v>
      </c>
      <c r="R450" t="s">
        <v>125</v>
      </c>
      <c r="S450" t="s">
        <v>126</v>
      </c>
      <c r="T450" t="s">
        <v>125</v>
      </c>
      <c r="U450" t="s">
        <v>126</v>
      </c>
      <c r="W450">
        <v>8.59</v>
      </c>
      <c r="Y450">
        <v>8.59</v>
      </c>
      <c r="AC450">
        <v>8.59</v>
      </c>
      <c r="BH450" t="s">
        <v>126</v>
      </c>
      <c r="BI450" t="s">
        <v>126</v>
      </c>
      <c r="BJ450" t="s">
        <v>126</v>
      </c>
      <c r="BK450" t="s">
        <v>126</v>
      </c>
      <c r="BS450" t="s">
        <v>126</v>
      </c>
      <c r="BT450" t="s">
        <v>126</v>
      </c>
      <c r="BU450" t="s">
        <v>126</v>
      </c>
      <c r="BV450" t="s">
        <v>126</v>
      </c>
      <c r="CN450" t="s">
        <v>230</v>
      </c>
      <c r="CP450" t="s">
        <v>242</v>
      </c>
      <c r="CQ450" t="s">
        <v>230</v>
      </c>
    </row>
    <row r="451" spans="1:95" x14ac:dyDescent="0.2">
      <c r="A451" t="s">
        <v>115</v>
      </c>
      <c r="B451" t="s">
        <v>116</v>
      </c>
      <c r="C451">
        <v>210784</v>
      </c>
      <c r="E451" t="s">
        <v>117</v>
      </c>
      <c r="F451">
        <v>368</v>
      </c>
      <c r="G451" t="s">
        <v>229</v>
      </c>
      <c r="H451" t="s">
        <v>230</v>
      </c>
      <c r="I451" t="s">
        <v>204</v>
      </c>
      <c r="J451" t="s">
        <v>205</v>
      </c>
      <c r="L451" t="s">
        <v>256</v>
      </c>
      <c r="M451" s="8">
        <v>45566</v>
      </c>
      <c r="N451">
        <v>111102</v>
      </c>
      <c r="O451" t="s">
        <v>123</v>
      </c>
      <c r="P451" t="s">
        <v>146</v>
      </c>
      <c r="Q451">
        <v>4.45</v>
      </c>
      <c r="R451" t="s">
        <v>125</v>
      </c>
      <c r="S451" t="s">
        <v>126</v>
      </c>
      <c r="T451" t="s">
        <v>125</v>
      </c>
      <c r="U451" t="s">
        <v>126</v>
      </c>
      <c r="W451">
        <v>4.45</v>
      </c>
      <c r="Y451">
        <v>4.45</v>
      </c>
      <c r="AC451">
        <v>4.45</v>
      </c>
      <c r="BH451" t="s">
        <v>126</v>
      </c>
      <c r="BI451" t="s">
        <v>126</v>
      </c>
      <c r="BJ451" t="s">
        <v>126</v>
      </c>
      <c r="BK451" t="s">
        <v>126</v>
      </c>
      <c r="BS451" t="s">
        <v>126</v>
      </c>
      <c r="BT451" t="s">
        <v>126</v>
      </c>
      <c r="BU451" t="s">
        <v>126</v>
      </c>
      <c r="BV451" t="s">
        <v>126</v>
      </c>
      <c r="CN451" t="s">
        <v>230</v>
      </c>
      <c r="CP451" t="s">
        <v>242</v>
      </c>
      <c r="CQ451" t="s">
        <v>230</v>
      </c>
    </row>
    <row r="452" spans="1:95" x14ac:dyDescent="0.2">
      <c r="A452" t="s">
        <v>115</v>
      </c>
      <c r="B452" t="s">
        <v>116</v>
      </c>
      <c r="C452">
        <v>210784</v>
      </c>
      <c r="E452" t="s">
        <v>117</v>
      </c>
      <c r="F452">
        <v>368</v>
      </c>
      <c r="G452" t="s">
        <v>229</v>
      </c>
      <c r="H452" t="s">
        <v>230</v>
      </c>
      <c r="I452" t="s">
        <v>204</v>
      </c>
      <c r="J452" t="s">
        <v>205</v>
      </c>
      <c r="L452" t="s">
        <v>257</v>
      </c>
      <c r="M452" s="8">
        <v>45566</v>
      </c>
      <c r="N452">
        <v>111412</v>
      </c>
      <c r="O452" t="s">
        <v>123</v>
      </c>
      <c r="P452" t="s">
        <v>146</v>
      </c>
      <c r="Q452">
        <v>11.84</v>
      </c>
      <c r="R452" t="s">
        <v>125</v>
      </c>
      <c r="S452" t="s">
        <v>126</v>
      </c>
      <c r="T452" t="s">
        <v>125</v>
      </c>
      <c r="U452" t="s">
        <v>126</v>
      </c>
      <c r="W452">
        <v>11.84</v>
      </c>
      <c r="Y452">
        <v>11.84</v>
      </c>
      <c r="AC452">
        <v>11.84</v>
      </c>
      <c r="BH452" t="s">
        <v>126</v>
      </c>
      <c r="BI452" t="s">
        <v>126</v>
      </c>
      <c r="BJ452" t="s">
        <v>126</v>
      </c>
      <c r="BK452" t="s">
        <v>126</v>
      </c>
      <c r="BS452" t="s">
        <v>126</v>
      </c>
      <c r="BT452" t="s">
        <v>126</v>
      </c>
      <c r="BU452" t="s">
        <v>126</v>
      </c>
      <c r="BV452" t="s">
        <v>126</v>
      </c>
      <c r="CN452" t="s">
        <v>230</v>
      </c>
      <c r="CP452" t="s">
        <v>242</v>
      </c>
      <c r="CQ452" t="s">
        <v>230</v>
      </c>
    </row>
    <row r="453" spans="1:95" x14ac:dyDescent="0.2">
      <c r="A453" t="s">
        <v>115</v>
      </c>
      <c r="B453" t="s">
        <v>116</v>
      </c>
      <c r="C453">
        <v>210784</v>
      </c>
      <c r="E453" t="s">
        <v>117</v>
      </c>
      <c r="F453">
        <v>368</v>
      </c>
      <c r="G453" t="s">
        <v>141</v>
      </c>
      <c r="H453" t="s">
        <v>142</v>
      </c>
      <c r="I453" t="s">
        <v>204</v>
      </c>
      <c r="J453" t="s">
        <v>205</v>
      </c>
      <c r="L453" t="s">
        <v>241</v>
      </c>
      <c r="M453" s="8">
        <v>45566</v>
      </c>
      <c r="N453">
        <v>109739</v>
      </c>
      <c r="O453" t="s">
        <v>123</v>
      </c>
      <c r="P453" t="s">
        <v>146</v>
      </c>
      <c r="Q453">
        <v>5.96</v>
      </c>
      <c r="R453" t="s">
        <v>125</v>
      </c>
      <c r="S453" t="s">
        <v>126</v>
      </c>
      <c r="T453" t="s">
        <v>125</v>
      </c>
      <c r="U453" t="s">
        <v>126</v>
      </c>
      <c r="W453">
        <v>5.96</v>
      </c>
      <c r="Y453">
        <v>5.96</v>
      </c>
      <c r="AC453">
        <v>5.96</v>
      </c>
      <c r="BH453" t="s">
        <v>126</v>
      </c>
      <c r="BI453" t="s">
        <v>126</v>
      </c>
      <c r="BJ453" t="s">
        <v>126</v>
      </c>
      <c r="BK453" t="s">
        <v>126</v>
      </c>
      <c r="BS453" t="s">
        <v>126</v>
      </c>
      <c r="BT453" t="s">
        <v>126</v>
      </c>
      <c r="BU453" t="s">
        <v>126</v>
      </c>
      <c r="BV453" t="s">
        <v>126</v>
      </c>
      <c r="CN453" t="s">
        <v>147</v>
      </c>
      <c r="CP453" t="s">
        <v>258</v>
      </c>
      <c r="CQ453" t="s">
        <v>147</v>
      </c>
    </row>
    <row r="454" spans="1:95" x14ac:dyDescent="0.2">
      <c r="A454" t="s">
        <v>115</v>
      </c>
      <c r="B454" t="s">
        <v>116</v>
      </c>
      <c r="C454">
        <v>210784</v>
      </c>
      <c r="E454" t="s">
        <v>117</v>
      </c>
      <c r="F454">
        <v>368</v>
      </c>
      <c r="G454" t="s">
        <v>141</v>
      </c>
      <c r="H454" t="s">
        <v>142</v>
      </c>
      <c r="I454" t="s">
        <v>259</v>
      </c>
      <c r="J454" t="s">
        <v>260</v>
      </c>
      <c r="L454" t="s">
        <v>261</v>
      </c>
      <c r="M454" s="8">
        <v>45566</v>
      </c>
      <c r="N454">
        <v>26526</v>
      </c>
      <c r="O454" t="s">
        <v>123</v>
      </c>
      <c r="P454" t="s">
        <v>146</v>
      </c>
      <c r="Q454">
        <v>8</v>
      </c>
      <c r="R454" t="s">
        <v>125</v>
      </c>
      <c r="S454" t="s">
        <v>126</v>
      </c>
      <c r="T454" t="s">
        <v>125</v>
      </c>
      <c r="U454" t="s">
        <v>126</v>
      </c>
      <c r="W454">
        <v>8</v>
      </c>
      <c r="Y454">
        <v>8</v>
      </c>
      <c r="AC454">
        <v>8</v>
      </c>
      <c r="BH454" t="s">
        <v>126</v>
      </c>
      <c r="BI454" t="s">
        <v>126</v>
      </c>
      <c r="BJ454" t="s">
        <v>126</v>
      </c>
      <c r="BK454" t="s">
        <v>126</v>
      </c>
      <c r="BS454" t="s">
        <v>126</v>
      </c>
      <c r="BT454" t="s">
        <v>126</v>
      </c>
      <c r="BU454" t="s">
        <v>126</v>
      </c>
      <c r="BV454" t="s">
        <v>126</v>
      </c>
      <c r="CN454" t="s">
        <v>147</v>
      </c>
      <c r="CP454" t="s">
        <v>258</v>
      </c>
      <c r="CQ454" t="s">
        <v>147</v>
      </c>
    </row>
    <row r="455" spans="1:95" x14ac:dyDescent="0.2">
      <c r="A455" t="s">
        <v>115</v>
      </c>
      <c r="B455" t="s">
        <v>116</v>
      </c>
      <c r="C455">
        <v>210784</v>
      </c>
      <c r="E455" t="s">
        <v>117</v>
      </c>
      <c r="F455">
        <v>368</v>
      </c>
      <c r="G455" t="s">
        <v>141</v>
      </c>
      <c r="H455" t="s">
        <v>142</v>
      </c>
      <c r="I455" t="s">
        <v>204</v>
      </c>
      <c r="J455" t="s">
        <v>205</v>
      </c>
      <c r="L455" t="s">
        <v>243</v>
      </c>
      <c r="M455" s="8">
        <v>45566</v>
      </c>
      <c r="N455">
        <v>109893</v>
      </c>
      <c r="O455" t="s">
        <v>123</v>
      </c>
      <c r="P455" t="s">
        <v>146</v>
      </c>
      <c r="Q455">
        <v>3.45</v>
      </c>
      <c r="R455" t="s">
        <v>125</v>
      </c>
      <c r="S455" t="s">
        <v>126</v>
      </c>
      <c r="T455" t="s">
        <v>125</v>
      </c>
      <c r="U455" t="s">
        <v>126</v>
      </c>
      <c r="W455">
        <v>3.45</v>
      </c>
      <c r="Y455">
        <v>3.45</v>
      </c>
      <c r="AC455">
        <v>3.45</v>
      </c>
      <c r="BH455" t="s">
        <v>126</v>
      </c>
      <c r="BI455" t="s">
        <v>126</v>
      </c>
      <c r="BJ455" t="s">
        <v>126</v>
      </c>
      <c r="BK455" t="s">
        <v>126</v>
      </c>
      <c r="BS455" t="s">
        <v>126</v>
      </c>
      <c r="BT455" t="s">
        <v>126</v>
      </c>
      <c r="BU455" t="s">
        <v>126</v>
      </c>
      <c r="BV455" t="s">
        <v>126</v>
      </c>
      <c r="CN455" t="s">
        <v>147</v>
      </c>
      <c r="CP455" t="s">
        <v>258</v>
      </c>
      <c r="CQ455" t="s">
        <v>147</v>
      </c>
    </row>
    <row r="456" spans="1:95" x14ac:dyDescent="0.2">
      <c r="A456" t="s">
        <v>115</v>
      </c>
      <c r="B456" t="s">
        <v>116</v>
      </c>
      <c r="C456">
        <v>210784</v>
      </c>
      <c r="E456" t="s">
        <v>117</v>
      </c>
      <c r="F456">
        <v>368</v>
      </c>
      <c r="G456" t="s">
        <v>141</v>
      </c>
      <c r="H456" t="s">
        <v>142</v>
      </c>
      <c r="I456" t="s">
        <v>204</v>
      </c>
      <c r="J456" t="s">
        <v>205</v>
      </c>
      <c r="L456" t="s">
        <v>244</v>
      </c>
      <c r="M456" s="8">
        <v>45566</v>
      </c>
      <c r="N456">
        <v>110020</v>
      </c>
      <c r="O456" t="s">
        <v>123</v>
      </c>
      <c r="P456" t="s">
        <v>146</v>
      </c>
      <c r="Q456">
        <v>10.35</v>
      </c>
      <c r="R456" t="s">
        <v>125</v>
      </c>
      <c r="S456" t="s">
        <v>126</v>
      </c>
      <c r="T456" t="s">
        <v>125</v>
      </c>
      <c r="U456" t="s">
        <v>126</v>
      </c>
      <c r="W456">
        <v>10.35</v>
      </c>
      <c r="Y456">
        <v>10.35</v>
      </c>
      <c r="AC456">
        <v>10.35</v>
      </c>
      <c r="BH456" t="s">
        <v>126</v>
      </c>
      <c r="BI456" t="s">
        <v>126</v>
      </c>
      <c r="BJ456" t="s">
        <v>126</v>
      </c>
      <c r="BK456" t="s">
        <v>126</v>
      </c>
      <c r="BS456" t="s">
        <v>126</v>
      </c>
      <c r="BT456" t="s">
        <v>126</v>
      </c>
      <c r="BU456" t="s">
        <v>126</v>
      </c>
      <c r="BV456" t="s">
        <v>126</v>
      </c>
      <c r="CN456" t="s">
        <v>147</v>
      </c>
      <c r="CP456" t="s">
        <v>258</v>
      </c>
      <c r="CQ456" t="s">
        <v>147</v>
      </c>
    </row>
    <row r="457" spans="1:95" x14ac:dyDescent="0.2">
      <c r="A457" t="s">
        <v>115</v>
      </c>
      <c r="B457" t="s">
        <v>116</v>
      </c>
      <c r="C457">
        <v>210784</v>
      </c>
      <c r="E457" t="s">
        <v>117</v>
      </c>
      <c r="F457">
        <v>368</v>
      </c>
      <c r="G457" t="s">
        <v>141</v>
      </c>
      <c r="H457" t="s">
        <v>142</v>
      </c>
      <c r="I457" t="s">
        <v>204</v>
      </c>
      <c r="J457" t="s">
        <v>205</v>
      </c>
      <c r="L457" t="s">
        <v>245</v>
      </c>
      <c r="M457" s="8">
        <v>45566</v>
      </c>
      <c r="N457">
        <v>110175</v>
      </c>
      <c r="O457" t="s">
        <v>123</v>
      </c>
      <c r="P457" t="s">
        <v>146</v>
      </c>
      <c r="Q457">
        <v>9.43</v>
      </c>
      <c r="R457" t="s">
        <v>125</v>
      </c>
      <c r="S457" t="s">
        <v>126</v>
      </c>
      <c r="T457" t="s">
        <v>125</v>
      </c>
      <c r="U457" t="s">
        <v>126</v>
      </c>
      <c r="W457">
        <v>9.43</v>
      </c>
      <c r="Y457">
        <v>9.43</v>
      </c>
      <c r="AC457">
        <v>9.43</v>
      </c>
      <c r="BH457" t="s">
        <v>126</v>
      </c>
      <c r="BI457" t="s">
        <v>126</v>
      </c>
      <c r="BJ457" t="s">
        <v>126</v>
      </c>
      <c r="BK457" t="s">
        <v>126</v>
      </c>
      <c r="BS457" t="s">
        <v>126</v>
      </c>
      <c r="BT457" t="s">
        <v>126</v>
      </c>
      <c r="BU457" t="s">
        <v>126</v>
      </c>
      <c r="BV457" t="s">
        <v>126</v>
      </c>
      <c r="CN457" t="s">
        <v>147</v>
      </c>
      <c r="CP457" t="s">
        <v>258</v>
      </c>
      <c r="CQ457" t="s">
        <v>147</v>
      </c>
    </row>
    <row r="458" spans="1:95" x14ac:dyDescent="0.2">
      <c r="A458" t="s">
        <v>115</v>
      </c>
      <c r="B458" t="s">
        <v>116</v>
      </c>
      <c r="C458">
        <v>210784</v>
      </c>
      <c r="E458" t="s">
        <v>117</v>
      </c>
      <c r="F458">
        <v>368</v>
      </c>
      <c r="G458" t="s">
        <v>141</v>
      </c>
      <c r="H458" t="s">
        <v>142</v>
      </c>
      <c r="I458" t="s">
        <v>204</v>
      </c>
      <c r="J458" t="s">
        <v>205</v>
      </c>
      <c r="L458" t="s">
        <v>246</v>
      </c>
      <c r="M458" s="8">
        <v>45566</v>
      </c>
      <c r="N458">
        <v>110254</v>
      </c>
      <c r="O458" t="s">
        <v>123</v>
      </c>
      <c r="P458" t="s">
        <v>146</v>
      </c>
      <c r="Q458">
        <v>9</v>
      </c>
      <c r="R458" t="s">
        <v>125</v>
      </c>
      <c r="S458" t="s">
        <v>126</v>
      </c>
      <c r="T458" t="s">
        <v>125</v>
      </c>
      <c r="U458" t="s">
        <v>126</v>
      </c>
      <c r="W458">
        <v>9</v>
      </c>
      <c r="Y458">
        <v>9</v>
      </c>
      <c r="AC458">
        <v>9</v>
      </c>
      <c r="BH458" t="s">
        <v>126</v>
      </c>
      <c r="BI458" t="s">
        <v>126</v>
      </c>
      <c r="BJ458" t="s">
        <v>126</v>
      </c>
      <c r="BK458" t="s">
        <v>126</v>
      </c>
      <c r="BS458" t="s">
        <v>126</v>
      </c>
      <c r="BT458" t="s">
        <v>126</v>
      </c>
      <c r="BU458" t="s">
        <v>126</v>
      </c>
      <c r="BV458" t="s">
        <v>126</v>
      </c>
      <c r="CN458" t="s">
        <v>147</v>
      </c>
      <c r="CP458" t="s">
        <v>258</v>
      </c>
      <c r="CQ458" t="s">
        <v>147</v>
      </c>
    </row>
    <row r="459" spans="1:95" x14ac:dyDescent="0.2">
      <c r="A459" t="s">
        <v>115</v>
      </c>
      <c r="B459" t="s">
        <v>116</v>
      </c>
      <c r="C459">
        <v>210784</v>
      </c>
      <c r="E459" t="s">
        <v>117</v>
      </c>
      <c r="F459">
        <v>368</v>
      </c>
      <c r="G459" t="s">
        <v>141</v>
      </c>
      <c r="H459" t="s">
        <v>142</v>
      </c>
      <c r="I459" t="s">
        <v>204</v>
      </c>
      <c r="J459" t="s">
        <v>205</v>
      </c>
      <c r="L459" t="s">
        <v>246</v>
      </c>
      <c r="M459" s="8">
        <v>45566</v>
      </c>
      <c r="N459">
        <v>110208</v>
      </c>
      <c r="O459" t="s">
        <v>123</v>
      </c>
      <c r="P459" t="s">
        <v>146</v>
      </c>
      <c r="Q459">
        <v>10.45</v>
      </c>
      <c r="R459" t="s">
        <v>125</v>
      </c>
      <c r="S459" t="s">
        <v>126</v>
      </c>
      <c r="T459" t="s">
        <v>125</v>
      </c>
      <c r="U459" t="s">
        <v>126</v>
      </c>
      <c r="W459">
        <v>10.45</v>
      </c>
      <c r="Y459">
        <v>10.45</v>
      </c>
      <c r="AC459">
        <v>10.45</v>
      </c>
      <c r="BH459" t="s">
        <v>126</v>
      </c>
      <c r="BI459" t="s">
        <v>126</v>
      </c>
      <c r="BJ459" t="s">
        <v>126</v>
      </c>
      <c r="BK459" t="s">
        <v>126</v>
      </c>
      <c r="BS459" t="s">
        <v>126</v>
      </c>
      <c r="BT459" t="s">
        <v>126</v>
      </c>
      <c r="BU459" t="s">
        <v>126</v>
      </c>
      <c r="BV459" t="s">
        <v>126</v>
      </c>
      <c r="CN459" t="s">
        <v>147</v>
      </c>
      <c r="CP459" t="s">
        <v>258</v>
      </c>
      <c r="CQ459" t="s">
        <v>147</v>
      </c>
    </row>
    <row r="460" spans="1:95" x14ac:dyDescent="0.2">
      <c r="A460" t="s">
        <v>115</v>
      </c>
      <c r="B460" t="s">
        <v>116</v>
      </c>
      <c r="C460">
        <v>210784</v>
      </c>
      <c r="E460" t="s">
        <v>117</v>
      </c>
      <c r="F460">
        <v>368</v>
      </c>
      <c r="G460" t="s">
        <v>141</v>
      </c>
      <c r="H460" t="s">
        <v>142</v>
      </c>
      <c r="I460" t="s">
        <v>204</v>
      </c>
      <c r="J460" t="s">
        <v>205</v>
      </c>
      <c r="L460" t="s">
        <v>247</v>
      </c>
      <c r="M460" s="8">
        <v>45566</v>
      </c>
      <c r="N460">
        <v>110305</v>
      </c>
      <c r="O460" t="s">
        <v>123</v>
      </c>
      <c r="P460" t="s">
        <v>146</v>
      </c>
      <c r="Q460">
        <v>3.94</v>
      </c>
      <c r="R460" t="s">
        <v>125</v>
      </c>
      <c r="S460" t="s">
        <v>126</v>
      </c>
      <c r="T460" t="s">
        <v>125</v>
      </c>
      <c r="U460" t="s">
        <v>126</v>
      </c>
      <c r="W460">
        <v>3.94</v>
      </c>
      <c r="Y460">
        <v>3.94</v>
      </c>
      <c r="AC460">
        <v>3.94</v>
      </c>
      <c r="BH460" t="s">
        <v>126</v>
      </c>
      <c r="BI460" t="s">
        <v>126</v>
      </c>
      <c r="BJ460" t="s">
        <v>126</v>
      </c>
      <c r="BK460" t="s">
        <v>126</v>
      </c>
      <c r="BS460" t="s">
        <v>126</v>
      </c>
      <c r="BT460" t="s">
        <v>126</v>
      </c>
      <c r="BU460" t="s">
        <v>126</v>
      </c>
      <c r="BV460" t="s">
        <v>126</v>
      </c>
      <c r="CN460" t="s">
        <v>147</v>
      </c>
      <c r="CP460" t="s">
        <v>258</v>
      </c>
      <c r="CQ460" t="s">
        <v>147</v>
      </c>
    </row>
    <row r="461" spans="1:95" x14ac:dyDescent="0.2">
      <c r="A461" t="s">
        <v>115</v>
      </c>
      <c r="B461" t="s">
        <v>116</v>
      </c>
      <c r="C461">
        <v>210784</v>
      </c>
      <c r="E461" t="s">
        <v>117</v>
      </c>
      <c r="F461">
        <v>368</v>
      </c>
      <c r="G461" t="s">
        <v>141</v>
      </c>
      <c r="H461" t="s">
        <v>142</v>
      </c>
      <c r="I461" t="s">
        <v>204</v>
      </c>
      <c r="J461" t="s">
        <v>205</v>
      </c>
      <c r="L461" t="s">
        <v>248</v>
      </c>
      <c r="M461" s="8">
        <v>45566</v>
      </c>
      <c r="N461">
        <v>110395</v>
      </c>
      <c r="O461" t="s">
        <v>123</v>
      </c>
      <c r="P461" t="s">
        <v>146</v>
      </c>
      <c r="Q461">
        <v>2</v>
      </c>
      <c r="R461" t="s">
        <v>125</v>
      </c>
      <c r="S461" t="s">
        <v>126</v>
      </c>
      <c r="T461" t="s">
        <v>125</v>
      </c>
      <c r="U461" t="s">
        <v>126</v>
      </c>
      <c r="W461">
        <v>2</v>
      </c>
      <c r="Y461">
        <v>2</v>
      </c>
      <c r="AC461">
        <v>2</v>
      </c>
      <c r="BH461" t="s">
        <v>126</v>
      </c>
      <c r="BI461" t="s">
        <v>126</v>
      </c>
      <c r="BJ461" t="s">
        <v>126</v>
      </c>
      <c r="BK461" t="s">
        <v>126</v>
      </c>
      <c r="BS461" t="s">
        <v>126</v>
      </c>
      <c r="BT461" t="s">
        <v>126</v>
      </c>
      <c r="BU461" t="s">
        <v>126</v>
      </c>
      <c r="BV461" t="s">
        <v>126</v>
      </c>
      <c r="CN461" t="s">
        <v>147</v>
      </c>
      <c r="CP461" t="s">
        <v>258</v>
      </c>
      <c r="CQ461" t="s">
        <v>147</v>
      </c>
    </row>
    <row r="462" spans="1:95" x14ac:dyDescent="0.2">
      <c r="A462" t="s">
        <v>115</v>
      </c>
      <c r="B462" t="s">
        <v>116</v>
      </c>
      <c r="C462">
        <v>210784</v>
      </c>
      <c r="E462" t="s">
        <v>117</v>
      </c>
      <c r="F462">
        <v>368</v>
      </c>
      <c r="G462" t="s">
        <v>141</v>
      </c>
      <c r="H462" t="s">
        <v>142</v>
      </c>
      <c r="I462" t="s">
        <v>204</v>
      </c>
      <c r="J462" t="s">
        <v>205</v>
      </c>
      <c r="L462" t="s">
        <v>247</v>
      </c>
      <c r="M462" s="8">
        <v>45566</v>
      </c>
      <c r="N462">
        <v>110336</v>
      </c>
      <c r="O462" t="s">
        <v>123</v>
      </c>
      <c r="P462" t="s">
        <v>146</v>
      </c>
      <c r="Q462">
        <v>4.22</v>
      </c>
      <c r="R462" t="s">
        <v>125</v>
      </c>
      <c r="S462" t="s">
        <v>126</v>
      </c>
      <c r="T462" t="s">
        <v>125</v>
      </c>
      <c r="U462" t="s">
        <v>126</v>
      </c>
      <c r="W462">
        <v>4.22</v>
      </c>
      <c r="Y462">
        <v>4.22</v>
      </c>
      <c r="AC462">
        <v>4.22</v>
      </c>
      <c r="BH462" t="s">
        <v>126</v>
      </c>
      <c r="BI462" t="s">
        <v>126</v>
      </c>
      <c r="BJ462" t="s">
        <v>126</v>
      </c>
      <c r="BK462" t="s">
        <v>126</v>
      </c>
      <c r="BS462" t="s">
        <v>126</v>
      </c>
      <c r="BT462" t="s">
        <v>126</v>
      </c>
      <c r="BU462" t="s">
        <v>126</v>
      </c>
      <c r="BV462" t="s">
        <v>126</v>
      </c>
      <c r="CN462" t="s">
        <v>147</v>
      </c>
      <c r="CP462" t="s">
        <v>258</v>
      </c>
      <c r="CQ462" t="s">
        <v>147</v>
      </c>
    </row>
    <row r="463" spans="1:95" x14ac:dyDescent="0.2">
      <c r="A463" t="s">
        <v>115</v>
      </c>
      <c r="B463" t="s">
        <v>116</v>
      </c>
      <c r="C463">
        <v>210784</v>
      </c>
      <c r="E463" t="s">
        <v>117</v>
      </c>
      <c r="F463">
        <v>368</v>
      </c>
      <c r="G463" t="s">
        <v>141</v>
      </c>
      <c r="H463" t="s">
        <v>142</v>
      </c>
      <c r="I463" t="s">
        <v>204</v>
      </c>
      <c r="J463" t="s">
        <v>205</v>
      </c>
      <c r="L463" t="s">
        <v>248</v>
      </c>
      <c r="M463" s="8">
        <v>45566</v>
      </c>
      <c r="N463">
        <v>110409</v>
      </c>
      <c r="O463" t="s">
        <v>123</v>
      </c>
      <c r="P463" t="s">
        <v>146</v>
      </c>
      <c r="Q463">
        <v>6.89</v>
      </c>
      <c r="R463" t="s">
        <v>125</v>
      </c>
      <c r="S463" t="s">
        <v>126</v>
      </c>
      <c r="T463" t="s">
        <v>125</v>
      </c>
      <c r="U463" t="s">
        <v>126</v>
      </c>
      <c r="W463">
        <v>6.89</v>
      </c>
      <c r="Y463">
        <v>6.89</v>
      </c>
      <c r="AC463">
        <v>6.89</v>
      </c>
      <c r="BH463" t="s">
        <v>126</v>
      </c>
      <c r="BI463" t="s">
        <v>126</v>
      </c>
      <c r="BJ463" t="s">
        <v>126</v>
      </c>
      <c r="BK463" t="s">
        <v>126</v>
      </c>
      <c r="BS463" t="s">
        <v>126</v>
      </c>
      <c r="BT463" t="s">
        <v>126</v>
      </c>
      <c r="BU463" t="s">
        <v>126</v>
      </c>
      <c r="BV463" t="s">
        <v>126</v>
      </c>
      <c r="CN463" t="s">
        <v>147</v>
      </c>
      <c r="CP463" t="s">
        <v>258</v>
      </c>
      <c r="CQ463" t="s">
        <v>147</v>
      </c>
    </row>
    <row r="464" spans="1:95" x14ac:dyDescent="0.2">
      <c r="A464" t="s">
        <v>115</v>
      </c>
      <c r="B464" t="s">
        <v>116</v>
      </c>
      <c r="C464">
        <v>210784</v>
      </c>
      <c r="E464" t="s">
        <v>117</v>
      </c>
      <c r="F464">
        <v>368</v>
      </c>
      <c r="G464" t="s">
        <v>141</v>
      </c>
      <c r="H464" t="s">
        <v>142</v>
      </c>
      <c r="I464" t="s">
        <v>204</v>
      </c>
      <c r="J464" t="s">
        <v>205</v>
      </c>
      <c r="L464" t="s">
        <v>248</v>
      </c>
      <c r="M464" s="8">
        <v>45566</v>
      </c>
      <c r="N464">
        <v>110419</v>
      </c>
      <c r="O464" t="s">
        <v>123</v>
      </c>
      <c r="P464" t="s">
        <v>146</v>
      </c>
      <c r="Q464">
        <v>8.2799999999999994</v>
      </c>
      <c r="R464" t="s">
        <v>125</v>
      </c>
      <c r="S464" t="s">
        <v>126</v>
      </c>
      <c r="T464" t="s">
        <v>125</v>
      </c>
      <c r="U464" t="s">
        <v>126</v>
      </c>
      <c r="W464">
        <v>8.2799999999999994</v>
      </c>
      <c r="Y464">
        <v>8.2799999999999994</v>
      </c>
      <c r="AC464">
        <v>8.2799999999999994</v>
      </c>
      <c r="BH464" t="s">
        <v>126</v>
      </c>
      <c r="BI464" t="s">
        <v>126</v>
      </c>
      <c r="BJ464" t="s">
        <v>126</v>
      </c>
      <c r="BK464" t="s">
        <v>126</v>
      </c>
      <c r="BS464" t="s">
        <v>126</v>
      </c>
      <c r="BT464" t="s">
        <v>126</v>
      </c>
      <c r="BU464" t="s">
        <v>126</v>
      </c>
      <c r="BV464" t="s">
        <v>126</v>
      </c>
      <c r="CN464" t="s">
        <v>147</v>
      </c>
      <c r="CP464" t="s">
        <v>258</v>
      </c>
      <c r="CQ464" t="s">
        <v>147</v>
      </c>
    </row>
    <row r="465" spans="1:95" x14ac:dyDescent="0.2">
      <c r="A465" t="s">
        <v>115</v>
      </c>
      <c r="B465" t="s">
        <v>116</v>
      </c>
      <c r="C465">
        <v>210784</v>
      </c>
      <c r="E465" t="s">
        <v>117</v>
      </c>
      <c r="F465">
        <v>368</v>
      </c>
      <c r="G465" t="s">
        <v>141</v>
      </c>
      <c r="H465" t="s">
        <v>142</v>
      </c>
      <c r="I465" t="s">
        <v>259</v>
      </c>
      <c r="J465" t="s">
        <v>260</v>
      </c>
      <c r="L465" t="s">
        <v>253</v>
      </c>
      <c r="M465" s="8">
        <v>45566</v>
      </c>
      <c r="N465">
        <v>26737</v>
      </c>
      <c r="O465" t="s">
        <v>123</v>
      </c>
      <c r="P465" t="s">
        <v>146</v>
      </c>
      <c r="Q465">
        <v>8</v>
      </c>
      <c r="R465" t="s">
        <v>125</v>
      </c>
      <c r="S465" t="s">
        <v>126</v>
      </c>
      <c r="T465" t="s">
        <v>125</v>
      </c>
      <c r="U465" t="s">
        <v>126</v>
      </c>
      <c r="W465">
        <v>8</v>
      </c>
      <c r="Y465">
        <v>8</v>
      </c>
      <c r="AC465">
        <v>8</v>
      </c>
      <c r="BH465" t="s">
        <v>126</v>
      </c>
      <c r="BI465" t="s">
        <v>126</v>
      </c>
      <c r="BJ465" t="s">
        <v>126</v>
      </c>
      <c r="BK465" t="s">
        <v>126</v>
      </c>
      <c r="BS465" t="s">
        <v>126</v>
      </c>
      <c r="BT465" t="s">
        <v>126</v>
      </c>
      <c r="BU465" t="s">
        <v>126</v>
      </c>
      <c r="BV465" t="s">
        <v>126</v>
      </c>
      <c r="CN465" t="s">
        <v>147</v>
      </c>
      <c r="CP465" t="s">
        <v>258</v>
      </c>
      <c r="CQ465" t="s">
        <v>147</v>
      </c>
    </row>
    <row r="466" spans="1:95" x14ac:dyDescent="0.2">
      <c r="A466" t="s">
        <v>115</v>
      </c>
      <c r="B466" t="s">
        <v>116</v>
      </c>
      <c r="C466">
        <v>210784</v>
      </c>
      <c r="E466" t="s">
        <v>117</v>
      </c>
      <c r="F466">
        <v>368</v>
      </c>
      <c r="G466" t="s">
        <v>141</v>
      </c>
      <c r="H466" t="s">
        <v>142</v>
      </c>
      <c r="I466" t="s">
        <v>204</v>
      </c>
      <c r="J466" t="s">
        <v>205</v>
      </c>
      <c r="L466" t="s">
        <v>253</v>
      </c>
      <c r="M466" s="8">
        <v>45566</v>
      </c>
      <c r="N466">
        <v>110580</v>
      </c>
      <c r="O466" t="s">
        <v>123</v>
      </c>
      <c r="P466" t="s">
        <v>146</v>
      </c>
      <c r="Q466">
        <v>8.26</v>
      </c>
      <c r="R466" t="s">
        <v>125</v>
      </c>
      <c r="S466" t="s">
        <v>126</v>
      </c>
      <c r="T466" t="s">
        <v>125</v>
      </c>
      <c r="U466" t="s">
        <v>126</v>
      </c>
      <c r="W466">
        <v>8.26</v>
      </c>
      <c r="Y466">
        <v>8.26</v>
      </c>
      <c r="AC466">
        <v>8.26</v>
      </c>
      <c r="BH466" t="s">
        <v>126</v>
      </c>
      <c r="BI466" t="s">
        <v>126</v>
      </c>
      <c r="BJ466" t="s">
        <v>126</v>
      </c>
      <c r="BK466" t="s">
        <v>126</v>
      </c>
      <c r="BS466" t="s">
        <v>126</v>
      </c>
      <c r="BT466" t="s">
        <v>126</v>
      </c>
      <c r="BU466" t="s">
        <v>126</v>
      </c>
      <c r="BV466" t="s">
        <v>126</v>
      </c>
      <c r="CN466" t="s">
        <v>147</v>
      </c>
      <c r="CP466" t="s">
        <v>258</v>
      </c>
      <c r="CQ466" t="s">
        <v>147</v>
      </c>
    </row>
    <row r="467" spans="1:95" x14ac:dyDescent="0.2">
      <c r="A467" t="s">
        <v>115</v>
      </c>
      <c r="B467" t="s">
        <v>116</v>
      </c>
      <c r="C467">
        <v>210784</v>
      </c>
      <c r="E467" t="s">
        <v>117</v>
      </c>
      <c r="F467">
        <v>368</v>
      </c>
      <c r="G467" t="s">
        <v>141</v>
      </c>
      <c r="H467" t="s">
        <v>142</v>
      </c>
      <c r="I467" t="s">
        <v>204</v>
      </c>
      <c r="J467" t="s">
        <v>205</v>
      </c>
      <c r="L467" t="s">
        <v>254</v>
      </c>
      <c r="M467" s="8">
        <v>45566</v>
      </c>
      <c r="N467">
        <v>110839</v>
      </c>
      <c r="O467" t="s">
        <v>123</v>
      </c>
      <c r="P467" t="s">
        <v>146</v>
      </c>
      <c r="Q467">
        <v>9.77</v>
      </c>
      <c r="R467" t="s">
        <v>125</v>
      </c>
      <c r="S467" t="s">
        <v>126</v>
      </c>
      <c r="T467" t="s">
        <v>125</v>
      </c>
      <c r="U467" t="s">
        <v>126</v>
      </c>
      <c r="W467">
        <v>9.77</v>
      </c>
      <c r="Y467">
        <v>9.77</v>
      </c>
      <c r="AC467">
        <v>9.77</v>
      </c>
      <c r="BH467" t="s">
        <v>126</v>
      </c>
      <c r="BI467" t="s">
        <v>126</v>
      </c>
      <c r="BJ467" t="s">
        <v>126</v>
      </c>
      <c r="BK467" t="s">
        <v>126</v>
      </c>
      <c r="BS467" t="s">
        <v>126</v>
      </c>
      <c r="BT467" t="s">
        <v>126</v>
      </c>
      <c r="BU467" t="s">
        <v>126</v>
      </c>
      <c r="BV467" t="s">
        <v>126</v>
      </c>
      <c r="CN467" t="s">
        <v>147</v>
      </c>
      <c r="CP467" t="s">
        <v>258</v>
      </c>
      <c r="CQ467" t="s">
        <v>147</v>
      </c>
    </row>
    <row r="468" spans="1:95" x14ac:dyDescent="0.2">
      <c r="A468" t="s">
        <v>115</v>
      </c>
      <c r="B468" t="s">
        <v>116</v>
      </c>
      <c r="C468">
        <v>210784</v>
      </c>
      <c r="E468" t="s">
        <v>117</v>
      </c>
      <c r="F468">
        <v>368</v>
      </c>
      <c r="G468" t="s">
        <v>141</v>
      </c>
      <c r="H468" t="s">
        <v>142</v>
      </c>
      <c r="I468" t="s">
        <v>204</v>
      </c>
      <c r="J468" t="s">
        <v>205</v>
      </c>
      <c r="L468" t="s">
        <v>255</v>
      </c>
      <c r="M468" s="8">
        <v>45566</v>
      </c>
      <c r="N468">
        <v>110988</v>
      </c>
      <c r="O468" t="s">
        <v>123</v>
      </c>
      <c r="P468" t="s">
        <v>146</v>
      </c>
      <c r="Q468">
        <v>8.59</v>
      </c>
      <c r="R468" t="s">
        <v>125</v>
      </c>
      <c r="S468" t="s">
        <v>126</v>
      </c>
      <c r="T468" t="s">
        <v>125</v>
      </c>
      <c r="U468" t="s">
        <v>126</v>
      </c>
      <c r="W468">
        <v>8.59</v>
      </c>
      <c r="Y468">
        <v>8.59</v>
      </c>
      <c r="AC468">
        <v>8.59</v>
      </c>
      <c r="BH468" t="s">
        <v>126</v>
      </c>
      <c r="BI468" t="s">
        <v>126</v>
      </c>
      <c r="BJ468" t="s">
        <v>126</v>
      </c>
      <c r="BK468" t="s">
        <v>126</v>
      </c>
      <c r="BS468" t="s">
        <v>126</v>
      </c>
      <c r="BT468" t="s">
        <v>126</v>
      </c>
      <c r="BU468" t="s">
        <v>126</v>
      </c>
      <c r="BV468" t="s">
        <v>126</v>
      </c>
      <c r="CN468" t="s">
        <v>147</v>
      </c>
      <c r="CP468" t="s">
        <v>258</v>
      </c>
      <c r="CQ468" t="s">
        <v>147</v>
      </c>
    </row>
    <row r="469" spans="1:95" x14ac:dyDescent="0.2">
      <c r="A469" t="s">
        <v>115</v>
      </c>
      <c r="B469" t="s">
        <v>116</v>
      </c>
      <c r="C469">
        <v>210784</v>
      </c>
      <c r="E469" t="s">
        <v>117</v>
      </c>
      <c r="F469">
        <v>368</v>
      </c>
      <c r="G469" t="s">
        <v>141</v>
      </c>
      <c r="H469" t="s">
        <v>142</v>
      </c>
      <c r="I469" t="s">
        <v>204</v>
      </c>
      <c r="J469" t="s">
        <v>205</v>
      </c>
      <c r="L469" t="s">
        <v>256</v>
      </c>
      <c r="M469" s="8">
        <v>45566</v>
      </c>
      <c r="N469">
        <v>111102</v>
      </c>
      <c r="O469" t="s">
        <v>123</v>
      </c>
      <c r="P469" t="s">
        <v>146</v>
      </c>
      <c r="Q469">
        <v>4.45</v>
      </c>
      <c r="R469" t="s">
        <v>125</v>
      </c>
      <c r="S469" t="s">
        <v>126</v>
      </c>
      <c r="T469" t="s">
        <v>125</v>
      </c>
      <c r="U469" t="s">
        <v>126</v>
      </c>
      <c r="W469">
        <v>4.45</v>
      </c>
      <c r="Y469">
        <v>4.45</v>
      </c>
      <c r="AC469">
        <v>4.45</v>
      </c>
      <c r="BH469" t="s">
        <v>126</v>
      </c>
      <c r="BI469" t="s">
        <v>126</v>
      </c>
      <c r="BJ469" t="s">
        <v>126</v>
      </c>
      <c r="BK469" t="s">
        <v>126</v>
      </c>
      <c r="BS469" t="s">
        <v>126</v>
      </c>
      <c r="BT469" t="s">
        <v>126</v>
      </c>
      <c r="BU469" t="s">
        <v>126</v>
      </c>
      <c r="BV469" t="s">
        <v>126</v>
      </c>
      <c r="CN469" t="s">
        <v>147</v>
      </c>
      <c r="CP469" t="s">
        <v>258</v>
      </c>
      <c r="CQ469" t="s">
        <v>147</v>
      </c>
    </row>
    <row r="470" spans="1:95" x14ac:dyDescent="0.2">
      <c r="A470" t="s">
        <v>115</v>
      </c>
      <c r="B470" t="s">
        <v>116</v>
      </c>
      <c r="C470">
        <v>210784</v>
      </c>
      <c r="E470" t="s">
        <v>117</v>
      </c>
      <c r="F470">
        <v>368</v>
      </c>
      <c r="G470" t="s">
        <v>141</v>
      </c>
      <c r="H470" t="s">
        <v>142</v>
      </c>
      <c r="I470" t="s">
        <v>204</v>
      </c>
      <c r="J470" t="s">
        <v>205</v>
      </c>
      <c r="L470" t="s">
        <v>257</v>
      </c>
      <c r="M470" s="8">
        <v>45566</v>
      </c>
      <c r="N470">
        <v>111412</v>
      </c>
      <c r="O470" t="s">
        <v>123</v>
      </c>
      <c r="P470" t="s">
        <v>146</v>
      </c>
      <c r="Q470">
        <v>11.84</v>
      </c>
      <c r="R470" t="s">
        <v>125</v>
      </c>
      <c r="S470" t="s">
        <v>126</v>
      </c>
      <c r="T470" t="s">
        <v>125</v>
      </c>
      <c r="U470" t="s">
        <v>126</v>
      </c>
      <c r="W470">
        <v>11.84</v>
      </c>
      <c r="Y470">
        <v>11.84</v>
      </c>
      <c r="AC470">
        <v>11.84</v>
      </c>
      <c r="BH470" t="s">
        <v>126</v>
      </c>
      <c r="BI470" t="s">
        <v>126</v>
      </c>
      <c r="BJ470" t="s">
        <v>126</v>
      </c>
      <c r="BK470" t="s">
        <v>126</v>
      </c>
      <c r="BS470" t="s">
        <v>126</v>
      </c>
      <c r="BT470" t="s">
        <v>126</v>
      </c>
      <c r="BU470" t="s">
        <v>126</v>
      </c>
      <c r="BV470" t="s">
        <v>126</v>
      </c>
      <c r="CN470" t="s">
        <v>147</v>
      </c>
      <c r="CP470" t="s">
        <v>258</v>
      </c>
      <c r="CQ470" t="s">
        <v>147</v>
      </c>
    </row>
    <row r="471" spans="1:95" x14ac:dyDescent="0.2">
      <c r="A471" t="s">
        <v>115</v>
      </c>
      <c r="B471" t="s">
        <v>116</v>
      </c>
      <c r="C471">
        <v>210784</v>
      </c>
      <c r="E471" t="s">
        <v>117</v>
      </c>
      <c r="F471">
        <v>368</v>
      </c>
      <c r="G471" t="s">
        <v>141</v>
      </c>
      <c r="H471" t="s">
        <v>142</v>
      </c>
      <c r="I471" t="s">
        <v>279</v>
      </c>
      <c r="J471" t="s">
        <v>280</v>
      </c>
      <c r="L471" t="s">
        <v>261</v>
      </c>
      <c r="M471" s="8">
        <v>45566</v>
      </c>
      <c r="N471">
        <v>5584416</v>
      </c>
      <c r="O471" t="s">
        <v>123</v>
      </c>
      <c r="P471" t="s">
        <v>146</v>
      </c>
      <c r="Q471">
        <v>1.4</v>
      </c>
      <c r="R471" t="s">
        <v>125</v>
      </c>
      <c r="S471" t="s">
        <v>126</v>
      </c>
      <c r="T471" t="s">
        <v>125</v>
      </c>
      <c r="U471" t="s">
        <v>126</v>
      </c>
      <c r="W471">
        <v>1.4</v>
      </c>
      <c r="Y471">
        <v>1.4</v>
      </c>
      <c r="AS471">
        <v>1.4</v>
      </c>
      <c r="BH471" t="s">
        <v>126</v>
      </c>
      <c r="BI471" t="s">
        <v>126</v>
      </c>
      <c r="BJ471" t="s">
        <v>126</v>
      </c>
      <c r="BK471" t="s">
        <v>126</v>
      </c>
      <c r="BS471" t="s">
        <v>126</v>
      </c>
      <c r="BT471" t="s">
        <v>126</v>
      </c>
      <c r="BU471" t="s">
        <v>126</v>
      </c>
      <c r="BV471" t="s">
        <v>126</v>
      </c>
      <c r="CN471" t="s">
        <v>147</v>
      </c>
      <c r="CP471" t="s">
        <v>257</v>
      </c>
      <c r="CQ471" t="s">
        <v>147</v>
      </c>
    </row>
    <row r="472" spans="1:95" x14ac:dyDescent="0.2">
      <c r="A472" t="s">
        <v>115</v>
      </c>
      <c r="B472" t="s">
        <v>116</v>
      </c>
      <c r="C472">
        <v>210784</v>
      </c>
      <c r="E472" t="s">
        <v>117</v>
      </c>
      <c r="F472">
        <v>368</v>
      </c>
      <c r="G472" t="s">
        <v>141</v>
      </c>
      <c r="H472" t="s">
        <v>142</v>
      </c>
      <c r="I472" t="s">
        <v>279</v>
      </c>
      <c r="J472" t="s">
        <v>280</v>
      </c>
      <c r="L472" t="s">
        <v>243</v>
      </c>
      <c r="M472" s="8">
        <v>45566</v>
      </c>
      <c r="N472">
        <v>5585748</v>
      </c>
      <c r="O472" t="s">
        <v>123</v>
      </c>
      <c r="P472" t="s">
        <v>146</v>
      </c>
      <c r="Q472">
        <v>1.07</v>
      </c>
      <c r="R472" t="s">
        <v>125</v>
      </c>
      <c r="S472" t="s">
        <v>126</v>
      </c>
      <c r="T472" t="s">
        <v>125</v>
      </c>
      <c r="U472" t="s">
        <v>126</v>
      </c>
      <c r="W472">
        <v>1.07</v>
      </c>
      <c r="Y472">
        <v>1.07</v>
      </c>
      <c r="AS472">
        <v>1.07</v>
      </c>
      <c r="BH472" t="s">
        <v>126</v>
      </c>
      <c r="BI472" t="s">
        <v>126</v>
      </c>
      <c r="BJ472" t="s">
        <v>126</v>
      </c>
      <c r="BK472" t="s">
        <v>126</v>
      </c>
      <c r="BS472" t="s">
        <v>126</v>
      </c>
      <c r="BT472" t="s">
        <v>126</v>
      </c>
      <c r="BU472" t="s">
        <v>126</v>
      </c>
      <c r="BV472" t="s">
        <v>126</v>
      </c>
      <c r="CN472" t="s">
        <v>147</v>
      </c>
      <c r="CP472" t="s">
        <v>257</v>
      </c>
      <c r="CQ472" t="s">
        <v>147</v>
      </c>
    </row>
    <row r="473" spans="1:95" x14ac:dyDescent="0.2">
      <c r="A473" t="s">
        <v>115</v>
      </c>
      <c r="B473" t="s">
        <v>116</v>
      </c>
      <c r="C473">
        <v>210784</v>
      </c>
      <c r="E473" t="s">
        <v>117</v>
      </c>
      <c r="F473">
        <v>368</v>
      </c>
      <c r="G473" t="s">
        <v>141</v>
      </c>
      <c r="H473" t="s">
        <v>142</v>
      </c>
      <c r="I473" t="s">
        <v>279</v>
      </c>
      <c r="J473" t="s">
        <v>280</v>
      </c>
      <c r="L473" t="s">
        <v>323</v>
      </c>
      <c r="M473" s="8">
        <v>45566</v>
      </c>
      <c r="N473">
        <v>5586913</v>
      </c>
      <c r="O473" t="s">
        <v>123</v>
      </c>
      <c r="P473" t="s">
        <v>146</v>
      </c>
      <c r="Q473">
        <v>3.79</v>
      </c>
      <c r="R473" t="s">
        <v>125</v>
      </c>
      <c r="S473" t="s">
        <v>126</v>
      </c>
      <c r="T473" t="s">
        <v>125</v>
      </c>
      <c r="U473" t="s">
        <v>126</v>
      </c>
      <c r="W473">
        <v>3.79</v>
      </c>
      <c r="Y473">
        <v>3.79</v>
      </c>
      <c r="AS473">
        <v>3.79</v>
      </c>
      <c r="BH473" t="s">
        <v>126</v>
      </c>
      <c r="BI473" t="s">
        <v>126</v>
      </c>
      <c r="BJ473" t="s">
        <v>126</v>
      </c>
      <c r="BK473" t="s">
        <v>126</v>
      </c>
      <c r="BS473" t="s">
        <v>126</v>
      </c>
      <c r="BT473" t="s">
        <v>126</v>
      </c>
      <c r="BU473" t="s">
        <v>126</v>
      </c>
      <c r="BV473" t="s">
        <v>126</v>
      </c>
      <c r="CN473" t="s">
        <v>147</v>
      </c>
      <c r="CP473" t="s">
        <v>257</v>
      </c>
      <c r="CQ473" t="s">
        <v>147</v>
      </c>
    </row>
    <row r="474" spans="1:95" x14ac:dyDescent="0.2">
      <c r="A474" t="s">
        <v>115</v>
      </c>
      <c r="B474" t="s">
        <v>116</v>
      </c>
      <c r="C474">
        <v>210784</v>
      </c>
      <c r="E474" t="s">
        <v>117</v>
      </c>
      <c r="F474">
        <v>368</v>
      </c>
      <c r="G474" t="s">
        <v>141</v>
      </c>
      <c r="H474" t="s">
        <v>142</v>
      </c>
      <c r="I474" t="s">
        <v>279</v>
      </c>
      <c r="J474" t="s">
        <v>280</v>
      </c>
      <c r="L474" t="s">
        <v>244</v>
      </c>
      <c r="M474" s="8">
        <v>45566</v>
      </c>
      <c r="N474">
        <v>5587309</v>
      </c>
      <c r="O474" t="s">
        <v>123</v>
      </c>
      <c r="P474" t="s">
        <v>146</v>
      </c>
      <c r="Q474">
        <v>1.08</v>
      </c>
      <c r="R474" t="s">
        <v>125</v>
      </c>
      <c r="S474" t="s">
        <v>126</v>
      </c>
      <c r="T474" t="s">
        <v>125</v>
      </c>
      <c r="U474" t="s">
        <v>126</v>
      </c>
      <c r="W474">
        <v>1.08</v>
      </c>
      <c r="Y474">
        <v>1.08</v>
      </c>
      <c r="AS474">
        <v>1.08</v>
      </c>
      <c r="BH474" t="s">
        <v>126</v>
      </c>
      <c r="BI474" t="s">
        <v>126</v>
      </c>
      <c r="BJ474" t="s">
        <v>126</v>
      </c>
      <c r="BK474" t="s">
        <v>126</v>
      </c>
      <c r="BS474" t="s">
        <v>126</v>
      </c>
      <c r="BT474" t="s">
        <v>126</v>
      </c>
      <c r="BU474" t="s">
        <v>126</v>
      </c>
      <c r="BV474" t="s">
        <v>126</v>
      </c>
      <c r="CN474" t="s">
        <v>147</v>
      </c>
      <c r="CP474" t="s">
        <v>257</v>
      </c>
      <c r="CQ474" t="s">
        <v>147</v>
      </c>
    </row>
    <row r="475" spans="1:95" x14ac:dyDescent="0.2">
      <c r="A475" t="s">
        <v>115</v>
      </c>
      <c r="B475" t="s">
        <v>116</v>
      </c>
      <c r="C475">
        <v>210784</v>
      </c>
      <c r="E475" t="s">
        <v>117</v>
      </c>
      <c r="F475">
        <v>368</v>
      </c>
      <c r="G475" t="s">
        <v>141</v>
      </c>
      <c r="H475" t="s">
        <v>142</v>
      </c>
      <c r="I475" t="s">
        <v>279</v>
      </c>
      <c r="J475" t="s">
        <v>280</v>
      </c>
      <c r="L475" t="s">
        <v>246</v>
      </c>
      <c r="M475" s="8">
        <v>45566</v>
      </c>
      <c r="N475">
        <v>5589358</v>
      </c>
      <c r="O475" t="s">
        <v>123</v>
      </c>
      <c r="P475" t="s">
        <v>146</v>
      </c>
      <c r="Q475">
        <v>1.19</v>
      </c>
      <c r="R475" t="s">
        <v>125</v>
      </c>
      <c r="S475" t="s">
        <v>126</v>
      </c>
      <c r="T475" t="s">
        <v>125</v>
      </c>
      <c r="U475" t="s">
        <v>126</v>
      </c>
      <c r="W475">
        <v>1.19</v>
      </c>
      <c r="Y475">
        <v>1.19</v>
      </c>
      <c r="AS475">
        <v>1.19</v>
      </c>
      <c r="BH475" t="s">
        <v>126</v>
      </c>
      <c r="BI475" t="s">
        <v>126</v>
      </c>
      <c r="BJ475" t="s">
        <v>126</v>
      </c>
      <c r="BK475" t="s">
        <v>126</v>
      </c>
      <c r="BS475" t="s">
        <v>126</v>
      </c>
      <c r="BT475" t="s">
        <v>126</v>
      </c>
      <c r="BU475" t="s">
        <v>126</v>
      </c>
      <c r="BV475" t="s">
        <v>126</v>
      </c>
      <c r="CN475" t="s">
        <v>147</v>
      </c>
      <c r="CP475" t="s">
        <v>257</v>
      </c>
      <c r="CQ475" t="s">
        <v>147</v>
      </c>
    </row>
    <row r="476" spans="1:95" x14ac:dyDescent="0.2">
      <c r="A476" t="s">
        <v>115</v>
      </c>
      <c r="B476" t="s">
        <v>116</v>
      </c>
      <c r="C476">
        <v>210784</v>
      </c>
      <c r="E476" t="s">
        <v>117</v>
      </c>
      <c r="F476">
        <v>368</v>
      </c>
      <c r="G476" t="s">
        <v>141</v>
      </c>
      <c r="H476" t="s">
        <v>142</v>
      </c>
      <c r="I476" t="s">
        <v>279</v>
      </c>
      <c r="J476" t="s">
        <v>280</v>
      </c>
      <c r="L476" t="s">
        <v>247</v>
      </c>
      <c r="M476" s="8">
        <v>45566</v>
      </c>
      <c r="N476">
        <v>5590031</v>
      </c>
      <c r="O476" t="s">
        <v>123</v>
      </c>
      <c r="P476" t="s">
        <v>146</v>
      </c>
      <c r="Q476">
        <v>1</v>
      </c>
      <c r="R476" t="s">
        <v>125</v>
      </c>
      <c r="S476" t="s">
        <v>126</v>
      </c>
      <c r="T476" t="s">
        <v>125</v>
      </c>
      <c r="U476" t="s">
        <v>126</v>
      </c>
      <c r="W476">
        <v>1</v>
      </c>
      <c r="Y476">
        <v>1</v>
      </c>
      <c r="AS476">
        <v>1</v>
      </c>
      <c r="BH476" t="s">
        <v>126</v>
      </c>
      <c r="BI476" t="s">
        <v>126</v>
      </c>
      <c r="BJ476" t="s">
        <v>126</v>
      </c>
      <c r="BK476" t="s">
        <v>126</v>
      </c>
      <c r="BS476" t="s">
        <v>126</v>
      </c>
      <c r="BT476" t="s">
        <v>126</v>
      </c>
      <c r="BU476" t="s">
        <v>126</v>
      </c>
      <c r="BV476" t="s">
        <v>126</v>
      </c>
      <c r="CN476" t="s">
        <v>147</v>
      </c>
      <c r="CP476" t="s">
        <v>257</v>
      </c>
      <c r="CQ476" t="s">
        <v>147</v>
      </c>
    </row>
    <row r="477" spans="1:95" x14ac:dyDescent="0.2">
      <c r="A477" t="s">
        <v>115</v>
      </c>
      <c r="B477" t="s">
        <v>116</v>
      </c>
      <c r="C477">
        <v>210784</v>
      </c>
      <c r="E477" t="s">
        <v>117</v>
      </c>
      <c r="F477">
        <v>368</v>
      </c>
      <c r="G477" t="s">
        <v>141</v>
      </c>
      <c r="H477" t="s">
        <v>142</v>
      </c>
      <c r="I477" t="s">
        <v>279</v>
      </c>
      <c r="J477" t="s">
        <v>280</v>
      </c>
      <c r="L477" t="s">
        <v>247</v>
      </c>
      <c r="M477" s="8">
        <v>45566</v>
      </c>
      <c r="N477">
        <v>5590272</v>
      </c>
      <c r="O477" t="s">
        <v>123</v>
      </c>
      <c r="P477" t="s">
        <v>146</v>
      </c>
      <c r="Q477">
        <v>2.72</v>
      </c>
      <c r="R477" t="s">
        <v>125</v>
      </c>
      <c r="S477" t="s">
        <v>126</v>
      </c>
      <c r="T477" t="s">
        <v>125</v>
      </c>
      <c r="U477" t="s">
        <v>126</v>
      </c>
      <c r="W477">
        <v>2.72</v>
      </c>
      <c r="Y477">
        <v>2.72</v>
      </c>
      <c r="AS477">
        <v>2.72</v>
      </c>
      <c r="BH477" t="s">
        <v>126</v>
      </c>
      <c r="BI477" t="s">
        <v>126</v>
      </c>
      <c r="BJ477" t="s">
        <v>126</v>
      </c>
      <c r="BK477" t="s">
        <v>126</v>
      </c>
      <c r="BS477" t="s">
        <v>126</v>
      </c>
      <c r="BT477" t="s">
        <v>126</v>
      </c>
      <c r="BU477" t="s">
        <v>126</v>
      </c>
      <c r="BV477" t="s">
        <v>126</v>
      </c>
      <c r="CN477" t="s">
        <v>147</v>
      </c>
      <c r="CP477" t="s">
        <v>257</v>
      </c>
      <c r="CQ477" t="s">
        <v>147</v>
      </c>
    </row>
    <row r="478" spans="1:95" x14ac:dyDescent="0.2">
      <c r="A478" t="s">
        <v>115</v>
      </c>
      <c r="B478" t="s">
        <v>116</v>
      </c>
      <c r="C478">
        <v>210784</v>
      </c>
      <c r="E478" t="s">
        <v>117</v>
      </c>
      <c r="F478">
        <v>368</v>
      </c>
      <c r="G478" t="s">
        <v>141</v>
      </c>
      <c r="H478" t="s">
        <v>142</v>
      </c>
      <c r="I478" t="s">
        <v>279</v>
      </c>
      <c r="J478" t="s">
        <v>280</v>
      </c>
      <c r="L478" t="s">
        <v>253</v>
      </c>
      <c r="M478" s="8">
        <v>45566</v>
      </c>
      <c r="N478">
        <v>5592861</v>
      </c>
      <c r="O478" t="s">
        <v>123</v>
      </c>
      <c r="P478" t="s">
        <v>146</v>
      </c>
      <c r="Q478">
        <v>1.84</v>
      </c>
      <c r="R478" t="s">
        <v>125</v>
      </c>
      <c r="S478" t="s">
        <v>126</v>
      </c>
      <c r="T478" t="s">
        <v>125</v>
      </c>
      <c r="U478" t="s">
        <v>126</v>
      </c>
      <c r="W478">
        <v>1.84</v>
      </c>
      <c r="Y478">
        <v>1.84</v>
      </c>
      <c r="AS478">
        <v>1.84</v>
      </c>
      <c r="BH478" t="s">
        <v>126</v>
      </c>
      <c r="BI478" t="s">
        <v>126</v>
      </c>
      <c r="BJ478" t="s">
        <v>126</v>
      </c>
      <c r="BK478" t="s">
        <v>126</v>
      </c>
      <c r="BS478" t="s">
        <v>126</v>
      </c>
      <c r="BT478" t="s">
        <v>126</v>
      </c>
      <c r="BU478" t="s">
        <v>126</v>
      </c>
      <c r="BV478" t="s">
        <v>126</v>
      </c>
      <c r="CN478" t="s">
        <v>147</v>
      </c>
      <c r="CP478" t="s">
        <v>257</v>
      </c>
      <c r="CQ478" t="s">
        <v>147</v>
      </c>
    </row>
    <row r="479" spans="1:95" x14ac:dyDescent="0.2">
      <c r="A479" t="s">
        <v>115</v>
      </c>
      <c r="B479" t="s">
        <v>116</v>
      </c>
      <c r="C479">
        <v>210784</v>
      </c>
      <c r="E479" t="s">
        <v>117</v>
      </c>
      <c r="F479">
        <v>368</v>
      </c>
      <c r="G479" t="s">
        <v>141</v>
      </c>
      <c r="H479" t="s">
        <v>142</v>
      </c>
      <c r="I479" t="s">
        <v>279</v>
      </c>
      <c r="J479" t="s">
        <v>280</v>
      </c>
      <c r="L479" t="s">
        <v>324</v>
      </c>
      <c r="M479" s="8">
        <v>45566</v>
      </c>
      <c r="N479">
        <v>5593869</v>
      </c>
      <c r="O479" t="s">
        <v>123</v>
      </c>
      <c r="P479" t="s">
        <v>146</v>
      </c>
      <c r="Q479">
        <v>1.84</v>
      </c>
      <c r="R479" t="s">
        <v>125</v>
      </c>
      <c r="S479" t="s">
        <v>126</v>
      </c>
      <c r="T479" t="s">
        <v>125</v>
      </c>
      <c r="U479" t="s">
        <v>126</v>
      </c>
      <c r="W479">
        <v>1.84</v>
      </c>
      <c r="Y479">
        <v>1.84</v>
      </c>
      <c r="AS479">
        <v>1.84</v>
      </c>
      <c r="BH479" t="s">
        <v>126</v>
      </c>
      <c r="BI479" t="s">
        <v>126</v>
      </c>
      <c r="BJ479" t="s">
        <v>126</v>
      </c>
      <c r="BK479" t="s">
        <v>126</v>
      </c>
      <c r="BS479" t="s">
        <v>126</v>
      </c>
      <c r="BT479" t="s">
        <v>126</v>
      </c>
      <c r="BU479" t="s">
        <v>126</v>
      </c>
      <c r="BV479" t="s">
        <v>126</v>
      </c>
      <c r="CN479" t="s">
        <v>147</v>
      </c>
      <c r="CP479" t="s">
        <v>257</v>
      </c>
      <c r="CQ479" t="s">
        <v>147</v>
      </c>
    </row>
    <row r="480" spans="1:95" x14ac:dyDescent="0.2">
      <c r="A480" t="s">
        <v>115</v>
      </c>
      <c r="B480" t="s">
        <v>116</v>
      </c>
      <c r="C480">
        <v>210784</v>
      </c>
      <c r="E480" t="s">
        <v>117</v>
      </c>
      <c r="F480">
        <v>368</v>
      </c>
      <c r="G480" t="s">
        <v>141</v>
      </c>
      <c r="H480" t="s">
        <v>142</v>
      </c>
      <c r="I480" t="s">
        <v>279</v>
      </c>
      <c r="J480" t="s">
        <v>280</v>
      </c>
      <c r="L480" t="s">
        <v>324</v>
      </c>
      <c r="M480" s="8">
        <v>45566</v>
      </c>
      <c r="N480">
        <v>5593704</v>
      </c>
      <c r="O480" t="s">
        <v>123</v>
      </c>
      <c r="P480" t="s">
        <v>146</v>
      </c>
      <c r="Q480">
        <v>3.18</v>
      </c>
      <c r="R480" t="s">
        <v>125</v>
      </c>
      <c r="S480" t="s">
        <v>126</v>
      </c>
      <c r="T480" t="s">
        <v>125</v>
      </c>
      <c r="U480" t="s">
        <v>126</v>
      </c>
      <c r="W480">
        <v>3.18</v>
      </c>
      <c r="Y480">
        <v>3.18</v>
      </c>
      <c r="AS480">
        <v>3.18</v>
      </c>
      <c r="BH480" t="s">
        <v>126</v>
      </c>
      <c r="BI480" t="s">
        <v>126</v>
      </c>
      <c r="BJ480" t="s">
        <v>126</v>
      </c>
      <c r="BK480" t="s">
        <v>126</v>
      </c>
      <c r="BS480" t="s">
        <v>126</v>
      </c>
      <c r="BT480" t="s">
        <v>126</v>
      </c>
      <c r="BU480" t="s">
        <v>126</v>
      </c>
      <c r="BV480" t="s">
        <v>126</v>
      </c>
      <c r="CN480" t="s">
        <v>147</v>
      </c>
      <c r="CP480" t="s">
        <v>257</v>
      </c>
      <c r="CQ480" t="s">
        <v>147</v>
      </c>
    </row>
    <row r="481" spans="1:95" x14ac:dyDescent="0.2">
      <c r="A481" t="s">
        <v>115</v>
      </c>
      <c r="B481" t="s">
        <v>116</v>
      </c>
      <c r="C481">
        <v>210784</v>
      </c>
      <c r="E481" t="s">
        <v>117</v>
      </c>
      <c r="F481">
        <v>368</v>
      </c>
      <c r="G481" t="s">
        <v>141</v>
      </c>
      <c r="H481" t="s">
        <v>142</v>
      </c>
      <c r="I481" t="s">
        <v>279</v>
      </c>
      <c r="J481" t="s">
        <v>280</v>
      </c>
      <c r="L481" t="s">
        <v>325</v>
      </c>
      <c r="M481" s="8">
        <v>45566</v>
      </c>
      <c r="N481">
        <v>5595873</v>
      </c>
      <c r="O481" t="s">
        <v>123</v>
      </c>
      <c r="P481" t="s">
        <v>146</v>
      </c>
      <c r="Q481">
        <v>1.31</v>
      </c>
      <c r="R481" t="s">
        <v>125</v>
      </c>
      <c r="S481" t="s">
        <v>126</v>
      </c>
      <c r="T481" t="s">
        <v>125</v>
      </c>
      <c r="U481" t="s">
        <v>126</v>
      </c>
      <c r="W481">
        <v>1.31</v>
      </c>
      <c r="Y481">
        <v>1.31</v>
      </c>
      <c r="AS481">
        <v>1.31</v>
      </c>
      <c r="BH481" t="s">
        <v>126</v>
      </c>
      <c r="BI481" t="s">
        <v>126</v>
      </c>
      <c r="BJ481" t="s">
        <v>126</v>
      </c>
      <c r="BK481" t="s">
        <v>126</v>
      </c>
      <c r="BS481" t="s">
        <v>126</v>
      </c>
      <c r="BT481" t="s">
        <v>126</v>
      </c>
      <c r="BU481" t="s">
        <v>126</v>
      </c>
      <c r="BV481" t="s">
        <v>126</v>
      </c>
      <c r="CN481" t="s">
        <v>147</v>
      </c>
      <c r="CP481" t="s">
        <v>257</v>
      </c>
      <c r="CQ481" t="s">
        <v>147</v>
      </c>
    </row>
    <row r="482" spans="1:95" x14ac:dyDescent="0.2">
      <c r="A482" t="s">
        <v>115</v>
      </c>
      <c r="B482" t="s">
        <v>116</v>
      </c>
      <c r="C482">
        <v>210784</v>
      </c>
      <c r="E482" t="s">
        <v>117</v>
      </c>
      <c r="F482">
        <v>368</v>
      </c>
      <c r="G482" t="s">
        <v>141</v>
      </c>
      <c r="H482" t="s">
        <v>142</v>
      </c>
      <c r="I482" t="s">
        <v>279</v>
      </c>
      <c r="J482" t="s">
        <v>280</v>
      </c>
      <c r="L482" t="s">
        <v>254</v>
      </c>
      <c r="M482" s="8">
        <v>45566</v>
      </c>
      <c r="N482">
        <v>5595025</v>
      </c>
      <c r="O482" t="s">
        <v>123</v>
      </c>
      <c r="P482" t="s">
        <v>146</v>
      </c>
      <c r="Q482">
        <v>1.81</v>
      </c>
      <c r="R482" t="s">
        <v>125</v>
      </c>
      <c r="S482" t="s">
        <v>126</v>
      </c>
      <c r="T482" t="s">
        <v>125</v>
      </c>
      <c r="U482" t="s">
        <v>126</v>
      </c>
      <c r="W482">
        <v>1.81</v>
      </c>
      <c r="Y482">
        <v>1.81</v>
      </c>
      <c r="AS482">
        <v>1.81</v>
      </c>
      <c r="BH482" t="s">
        <v>126</v>
      </c>
      <c r="BI482" t="s">
        <v>126</v>
      </c>
      <c r="BJ482" t="s">
        <v>126</v>
      </c>
      <c r="BK482" t="s">
        <v>126</v>
      </c>
      <c r="BS482" t="s">
        <v>126</v>
      </c>
      <c r="BT482" t="s">
        <v>126</v>
      </c>
      <c r="BU482" t="s">
        <v>126</v>
      </c>
      <c r="BV482" t="s">
        <v>126</v>
      </c>
      <c r="CN482" t="s">
        <v>147</v>
      </c>
      <c r="CP482" t="s">
        <v>257</v>
      </c>
      <c r="CQ482" t="s">
        <v>147</v>
      </c>
    </row>
    <row r="483" spans="1:95" x14ac:dyDescent="0.2">
      <c r="A483" t="s">
        <v>115</v>
      </c>
      <c r="B483" t="s">
        <v>116</v>
      </c>
      <c r="C483">
        <v>210784</v>
      </c>
      <c r="E483" t="s">
        <v>117</v>
      </c>
      <c r="F483">
        <v>368</v>
      </c>
      <c r="G483" t="s">
        <v>141</v>
      </c>
      <c r="H483" t="s">
        <v>142</v>
      </c>
      <c r="I483" t="s">
        <v>279</v>
      </c>
      <c r="J483" t="s">
        <v>280</v>
      </c>
      <c r="L483" t="s">
        <v>326</v>
      </c>
      <c r="M483" s="8">
        <v>45566</v>
      </c>
      <c r="N483">
        <v>5598517</v>
      </c>
      <c r="O483" t="s">
        <v>123</v>
      </c>
      <c r="P483" t="s">
        <v>146</v>
      </c>
      <c r="Q483">
        <v>3.29</v>
      </c>
      <c r="R483" t="s">
        <v>125</v>
      </c>
      <c r="S483" t="s">
        <v>126</v>
      </c>
      <c r="T483" t="s">
        <v>125</v>
      </c>
      <c r="U483" t="s">
        <v>126</v>
      </c>
      <c r="W483">
        <v>3.29</v>
      </c>
      <c r="Y483">
        <v>3.29</v>
      </c>
      <c r="AS483">
        <v>3.29</v>
      </c>
      <c r="BH483" t="s">
        <v>126</v>
      </c>
      <c r="BI483" t="s">
        <v>126</v>
      </c>
      <c r="BJ483" t="s">
        <v>126</v>
      </c>
      <c r="BK483" t="s">
        <v>126</v>
      </c>
      <c r="BS483" t="s">
        <v>126</v>
      </c>
      <c r="BT483" t="s">
        <v>126</v>
      </c>
      <c r="BU483" t="s">
        <v>126</v>
      </c>
      <c r="BV483" t="s">
        <v>126</v>
      </c>
      <c r="CN483" t="s">
        <v>147</v>
      </c>
      <c r="CP483" t="s">
        <v>257</v>
      </c>
      <c r="CQ483" t="s">
        <v>147</v>
      </c>
    </row>
    <row r="484" spans="1:95" x14ac:dyDescent="0.2">
      <c r="A484" t="s">
        <v>115</v>
      </c>
      <c r="B484" t="s">
        <v>116</v>
      </c>
      <c r="C484">
        <v>210784</v>
      </c>
      <c r="E484" t="s">
        <v>117</v>
      </c>
      <c r="F484">
        <v>368</v>
      </c>
      <c r="G484" t="s">
        <v>141</v>
      </c>
      <c r="H484" t="s">
        <v>142</v>
      </c>
      <c r="I484" t="s">
        <v>279</v>
      </c>
      <c r="J484" t="s">
        <v>280</v>
      </c>
      <c r="L484" t="s">
        <v>256</v>
      </c>
      <c r="M484" s="8">
        <v>45566</v>
      </c>
      <c r="N484">
        <v>5599223</v>
      </c>
      <c r="O484" t="s">
        <v>123</v>
      </c>
      <c r="P484" t="s">
        <v>146</v>
      </c>
      <c r="Q484">
        <v>2.0299999999999998</v>
      </c>
      <c r="R484" t="s">
        <v>125</v>
      </c>
      <c r="S484" t="s">
        <v>126</v>
      </c>
      <c r="T484" t="s">
        <v>125</v>
      </c>
      <c r="U484" t="s">
        <v>126</v>
      </c>
      <c r="W484">
        <v>2.0299999999999998</v>
      </c>
      <c r="Y484">
        <v>2.0299999999999998</v>
      </c>
      <c r="AS484">
        <v>2.0299999999999998</v>
      </c>
      <c r="BH484" t="s">
        <v>126</v>
      </c>
      <c r="BI484" t="s">
        <v>126</v>
      </c>
      <c r="BJ484" t="s">
        <v>126</v>
      </c>
      <c r="BK484" t="s">
        <v>126</v>
      </c>
      <c r="BS484" t="s">
        <v>126</v>
      </c>
      <c r="BT484" t="s">
        <v>126</v>
      </c>
      <c r="BU484" t="s">
        <v>126</v>
      </c>
      <c r="BV484" t="s">
        <v>126</v>
      </c>
      <c r="CN484" t="s">
        <v>147</v>
      </c>
      <c r="CP484" t="s">
        <v>257</v>
      </c>
      <c r="CQ484" t="s">
        <v>147</v>
      </c>
    </row>
    <row r="485" spans="1:95" x14ac:dyDescent="0.2">
      <c r="A485" t="s">
        <v>115</v>
      </c>
      <c r="B485" t="s">
        <v>116</v>
      </c>
      <c r="C485">
        <v>210784</v>
      </c>
      <c r="E485" t="s">
        <v>117</v>
      </c>
      <c r="F485">
        <v>368</v>
      </c>
      <c r="G485" t="s">
        <v>141</v>
      </c>
      <c r="H485" t="s">
        <v>142</v>
      </c>
      <c r="I485" t="s">
        <v>279</v>
      </c>
      <c r="J485" t="s">
        <v>280</v>
      </c>
      <c r="L485" t="s">
        <v>327</v>
      </c>
      <c r="M485" s="8">
        <v>45566</v>
      </c>
      <c r="N485">
        <v>5599426</v>
      </c>
      <c r="O485" t="s">
        <v>123</v>
      </c>
      <c r="P485" t="s">
        <v>146</v>
      </c>
      <c r="Q485">
        <v>1.8</v>
      </c>
      <c r="R485" t="s">
        <v>125</v>
      </c>
      <c r="S485" t="s">
        <v>126</v>
      </c>
      <c r="T485" t="s">
        <v>125</v>
      </c>
      <c r="U485" t="s">
        <v>126</v>
      </c>
      <c r="W485">
        <v>1.8</v>
      </c>
      <c r="Y485">
        <v>1.8</v>
      </c>
      <c r="AS485">
        <v>1.8</v>
      </c>
      <c r="BH485" t="s">
        <v>126</v>
      </c>
      <c r="BI485" t="s">
        <v>126</v>
      </c>
      <c r="BJ485" t="s">
        <v>126</v>
      </c>
      <c r="BK485" t="s">
        <v>126</v>
      </c>
      <c r="BS485" t="s">
        <v>126</v>
      </c>
      <c r="BT485" t="s">
        <v>126</v>
      </c>
      <c r="BU485" t="s">
        <v>126</v>
      </c>
      <c r="BV485" t="s">
        <v>126</v>
      </c>
      <c r="CN485" t="s">
        <v>147</v>
      </c>
      <c r="CP485" t="s">
        <v>257</v>
      </c>
      <c r="CQ485" t="s">
        <v>147</v>
      </c>
    </row>
    <row r="486" spans="1:95" x14ac:dyDescent="0.2">
      <c r="A486" t="s">
        <v>115</v>
      </c>
      <c r="B486" t="s">
        <v>116</v>
      </c>
      <c r="C486">
        <v>210784</v>
      </c>
      <c r="E486" t="s">
        <v>117</v>
      </c>
      <c r="F486">
        <v>368</v>
      </c>
      <c r="G486" t="s">
        <v>141</v>
      </c>
      <c r="H486" t="s">
        <v>142</v>
      </c>
      <c r="I486" t="s">
        <v>279</v>
      </c>
      <c r="J486" t="s">
        <v>280</v>
      </c>
      <c r="L486" t="s">
        <v>327</v>
      </c>
      <c r="M486" s="8">
        <v>45566</v>
      </c>
      <c r="N486">
        <v>5600113</v>
      </c>
      <c r="O486" t="s">
        <v>123</v>
      </c>
      <c r="P486" t="s">
        <v>146</v>
      </c>
      <c r="Q486">
        <v>2.4300000000000002</v>
      </c>
      <c r="R486" t="s">
        <v>125</v>
      </c>
      <c r="S486" t="s">
        <v>126</v>
      </c>
      <c r="T486" t="s">
        <v>125</v>
      </c>
      <c r="U486" t="s">
        <v>126</v>
      </c>
      <c r="W486">
        <v>2.4300000000000002</v>
      </c>
      <c r="Y486">
        <v>2.4300000000000002</v>
      </c>
      <c r="AS486">
        <v>2.4300000000000002</v>
      </c>
      <c r="BH486" t="s">
        <v>126</v>
      </c>
      <c r="BI486" t="s">
        <v>126</v>
      </c>
      <c r="BJ486" t="s">
        <v>126</v>
      </c>
      <c r="BK486" t="s">
        <v>126</v>
      </c>
      <c r="BS486" t="s">
        <v>126</v>
      </c>
      <c r="BT486" t="s">
        <v>126</v>
      </c>
      <c r="BU486" t="s">
        <v>126</v>
      </c>
      <c r="BV486" t="s">
        <v>126</v>
      </c>
      <c r="CN486" t="s">
        <v>147</v>
      </c>
      <c r="CP486" t="s">
        <v>257</v>
      </c>
      <c r="CQ486" t="s">
        <v>147</v>
      </c>
    </row>
    <row r="487" spans="1:95" x14ac:dyDescent="0.2">
      <c r="A487" t="s">
        <v>115</v>
      </c>
      <c r="B487" t="s">
        <v>116</v>
      </c>
      <c r="C487">
        <v>210784</v>
      </c>
      <c r="E487" t="s">
        <v>117</v>
      </c>
      <c r="F487">
        <v>368</v>
      </c>
      <c r="G487" t="s">
        <v>141</v>
      </c>
      <c r="H487" t="s">
        <v>142</v>
      </c>
      <c r="I487" t="s">
        <v>279</v>
      </c>
      <c r="J487" t="s">
        <v>280</v>
      </c>
      <c r="L487" t="s">
        <v>328</v>
      </c>
      <c r="M487" s="8">
        <v>45566</v>
      </c>
      <c r="N487">
        <v>5601723</v>
      </c>
      <c r="O487" t="s">
        <v>123</v>
      </c>
      <c r="P487" t="s">
        <v>146</v>
      </c>
      <c r="Q487">
        <v>2.57</v>
      </c>
      <c r="R487" t="s">
        <v>125</v>
      </c>
      <c r="S487" t="s">
        <v>126</v>
      </c>
      <c r="T487" t="s">
        <v>125</v>
      </c>
      <c r="U487" t="s">
        <v>126</v>
      </c>
      <c r="W487">
        <v>2.57</v>
      </c>
      <c r="Y487">
        <v>2.57</v>
      </c>
      <c r="AS487">
        <v>2.57</v>
      </c>
      <c r="BH487" t="s">
        <v>126</v>
      </c>
      <c r="BI487" t="s">
        <v>126</v>
      </c>
      <c r="BJ487" t="s">
        <v>126</v>
      </c>
      <c r="BK487" t="s">
        <v>126</v>
      </c>
      <c r="BS487" t="s">
        <v>126</v>
      </c>
      <c r="BT487" t="s">
        <v>126</v>
      </c>
      <c r="BU487" t="s">
        <v>126</v>
      </c>
      <c r="BV487" t="s">
        <v>126</v>
      </c>
      <c r="CN487" t="s">
        <v>147</v>
      </c>
      <c r="CP487" t="s">
        <v>329</v>
      </c>
      <c r="CQ487" t="s">
        <v>147</v>
      </c>
    </row>
    <row r="488" spans="1:95" x14ac:dyDescent="0.2">
      <c r="A488" t="s">
        <v>115</v>
      </c>
      <c r="B488" t="s">
        <v>116</v>
      </c>
      <c r="C488">
        <v>210784</v>
      </c>
      <c r="E488" t="s">
        <v>117</v>
      </c>
      <c r="F488">
        <v>368</v>
      </c>
      <c r="G488" t="s">
        <v>141</v>
      </c>
      <c r="H488" t="s">
        <v>142</v>
      </c>
      <c r="I488" t="s">
        <v>279</v>
      </c>
      <c r="J488" t="s">
        <v>280</v>
      </c>
      <c r="L488" t="s">
        <v>328</v>
      </c>
      <c r="M488" s="8">
        <v>45566</v>
      </c>
      <c r="N488">
        <v>5601545</v>
      </c>
      <c r="O488" t="s">
        <v>123</v>
      </c>
      <c r="P488" t="s">
        <v>146</v>
      </c>
      <c r="Q488">
        <v>2.75</v>
      </c>
      <c r="R488" t="s">
        <v>125</v>
      </c>
      <c r="S488" t="s">
        <v>126</v>
      </c>
      <c r="T488" t="s">
        <v>125</v>
      </c>
      <c r="U488" t="s">
        <v>126</v>
      </c>
      <c r="W488">
        <v>2.75</v>
      </c>
      <c r="Y488">
        <v>2.75</v>
      </c>
      <c r="AS488">
        <v>2.75</v>
      </c>
      <c r="BH488" t="s">
        <v>126</v>
      </c>
      <c r="BI488" t="s">
        <v>126</v>
      </c>
      <c r="BJ488" t="s">
        <v>126</v>
      </c>
      <c r="BK488" t="s">
        <v>126</v>
      </c>
      <c r="BS488" t="s">
        <v>126</v>
      </c>
      <c r="BT488" t="s">
        <v>126</v>
      </c>
      <c r="BU488" t="s">
        <v>126</v>
      </c>
      <c r="BV488" t="s">
        <v>126</v>
      </c>
      <c r="CN488" t="s">
        <v>147</v>
      </c>
      <c r="CP488" t="s">
        <v>329</v>
      </c>
      <c r="CQ488" t="s">
        <v>147</v>
      </c>
    </row>
    <row r="489" spans="1:95" x14ac:dyDescent="0.2">
      <c r="A489" t="s">
        <v>115</v>
      </c>
      <c r="B489" t="s">
        <v>116</v>
      </c>
      <c r="C489">
        <v>210784</v>
      </c>
      <c r="E489" t="s">
        <v>117</v>
      </c>
      <c r="F489">
        <v>368</v>
      </c>
      <c r="G489" t="s">
        <v>141</v>
      </c>
      <c r="H489" t="s">
        <v>142</v>
      </c>
      <c r="I489" t="s">
        <v>279</v>
      </c>
      <c r="J489" t="s">
        <v>280</v>
      </c>
      <c r="L489" t="s">
        <v>261</v>
      </c>
      <c r="M489" s="8">
        <v>45566</v>
      </c>
      <c r="N489">
        <v>5584613</v>
      </c>
      <c r="O489" t="s">
        <v>123</v>
      </c>
      <c r="P489" t="s">
        <v>146</v>
      </c>
      <c r="Q489">
        <v>1.43</v>
      </c>
      <c r="R489" t="s">
        <v>569</v>
      </c>
      <c r="S489" t="s">
        <v>126</v>
      </c>
      <c r="T489" t="s">
        <v>569</v>
      </c>
      <c r="U489" t="s">
        <v>570</v>
      </c>
      <c r="W489">
        <v>0.44</v>
      </c>
      <c r="X489">
        <v>0.99</v>
      </c>
      <c r="Y489">
        <v>1.43</v>
      </c>
      <c r="Z489">
        <v>0.54</v>
      </c>
      <c r="AG489">
        <v>0.44</v>
      </c>
      <c r="AI489">
        <v>0.45</v>
      </c>
      <c r="BH489" t="s">
        <v>126</v>
      </c>
      <c r="BI489" t="s">
        <v>126</v>
      </c>
      <c r="BJ489" t="s">
        <v>126</v>
      </c>
      <c r="BK489" t="s">
        <v>126</v>
      </c>
      <c r="BS489" t="s">
        <v>126</v>
      </c>
      <c r="BT489" t="s">
        <v>126</v>
      </c>
      <c r="BU489" t="s">
        <v>126</v>
      </c>
      <c r="BV489" t="s">
        <v>126</v>
      </c>
      <c r="CN489" t="s">
        <v>147</v>
      </c>
      <c r="CP489" t="s">
        <v>257</v>
      </c>
      <c r="CQ489" t="s">
        <v>147</v>
      </c>
    </row>
    <row r="490" spans="1:95" x14ac:dyDescent="0.2">
      <c r="A490" t="s">
        <v>115</v>
      </c>
      <c r="B490" t="s">
        <v>116</v>
      </c>
      <c r="C490">
        <v>210784</v>
      </c>
      <c r="E490" t="s">
        <v>117</v>
      </c>
      <c r="F490">
        <v>368</v>
      </c>
      <c r="G490" t="s">
        <v>141</v>
      </c>
      <c r="H490" t="s">
        <v>142</v>
      </c>
      <c r="I490" t="s">
        <v>279</v>
      </c>
      <c r="J490" t="s">
        <v>280</v>
      </c>
      <c r="L490" t="s">
        <v>261</v>
      </c>
      <c r="M490" s="8">
        <v>45566</v>
      </c>
      <c r="N490">
        <v>5584703</v>
      </c>
      <c r="O490" t="s">
        <v>123</v>
      </c>
      <c r="P490" t="s">
        <v>146</v>
      </c>
      <c r="Q490">
        <v>4.83</v>
      </c>
      <c r="R490" t="s">
        <v>125</v>
      </c>
      <c r="S490" t="s">
        <v>126</v>
      </c>
      <c r="T490" t="s">
        <v>125</v>
      </c>
      <c r="U490" t="s">
        <v>126</v>
      </c>
      <c r="W490">
        <v>4.83</v>
      </c>
      <c r="Y490">
        <v>4.83</v>
      </c>
      <c r="BE490">
        <v>4.83</v>
      </c>
      <c r="BH490" t="s">
        <v>126</v>
      </c>
      <c r="BI490" t="s">
        <v>126</v>
      </c>
      <c r="BJ490" t="s">
        <v>126</v>
      </c>
      <c r="BK490" t="s">
        <v>126</v>
      </c>
      <c r="BS490" t="s">
        <v>126</v>
      </c>
      <c r="BT490" t="s">
        <v>126</v>
      </c>
      <c r="BU490" t="s">
        <v>126</v>
      </c>
      <c r="BV490" t="s">
        <v>126</v>
      </c>
      <c r="CN490" t="s">
        <v>147</v>
      </c>
      <c r="CP490" t="s">
        <v>257</v>
      </c>
      <c r="CQ490" t="s">
        <v>147</v>
      </c>
    </row>
    <row r="491" spans="1:95" x14ac:dyDescent="0.2">
      <c r="A491" t="s">
        <v>115</v>
      </c>
      <c r="B491" t="s">
        <v>116</v>
      </c>
      <c r="C491">
        <v>210784</v>
      </c>
      <c r="E491" t="s">
        <v>117</v>
      </c>
      <c r="F491">
        <v>368</v>
      </c>
      <c r="G491" t="s">
        <v>141</v>
      </c>
      <c r="H491" t="s">
        <v>142</v>
      </c>
      <c r="I491" t="s">
        <v>279</v>
      </c>
      <c r="J491" t="s">
        <v>280</v>
      </c>
      <c r="L491" t="s">
        <v>261</v>
      </c>
      <c r="M491" s="8">
        <v>45566</v>
      </c>
      <c r="N491">
        <v>5584525</v>
      </c>
      <c r="O491" t="s">
        <v>123</v>
      </c>
      <c r="P491" t="s">
        <v>146</v>
      </c>
      <c r="Q491">
        <v>3.03</v>
      </c>
      <c r="R491" t="s">
        <v>125</v>
      </c>
      <c r="S491" t="s">
        <v>126</v>
      </c>
      <c r="T491" t="s">
        <v>125</v>
      </c>
      <c r="U491" t="s">
        <v>126</v>
      </c>
      <c r="W491">
        <v>3.03</v>
      </c>
      <c r="Y491">
        <v>3.03</v>
      </c>
      <c r="BE491">
        <v>3.03</v>
      </c>
      <c r="BH491" t="s">
        <v>126</v>
      </c>
      <c r="BI491" t="s">
        <v>126</v>
      </c>
      <c r="BJ491" t="s">
        <v>126</v>
      </c>
      <c r="BK491" t="s">
        <v>126</v>
      </c>
      <c r="BS491" t="s">
        <v>126</v>
      </c>
      <c r="BT491" t="s">
        <v>126</v>
      </c>
      <c r="BU491" t="s">
        <v>126</v>
      </c>
      <c r="BV491" t="s">
        <v>126</v>
      </c>
      <c r="CN491" t="s">
        <v>147</v>
      </c>
      <c r="CP491" t="s">
        <v>257</v>
      </c>
      <c r="CQ491" t="s">
        <v>147</v>
      </c>
    </row>
    <row r="492" spans="1:95" x14ac:dyDescent="0.2">
      <c r="A492" t="s">
        <v>115</v>
      </c>
      <c r="B492" t="s">
        <v>116</v>
      </c>
      <c r="C492">
        <v>210784</v>
      </c>
      <c r="E492" t="s">
        <v>117</v>
      </c>
      <c r="F492">
        <v>368</v>
      </c>
      <c r="G492" t="s">
        <v>141</v>
      </c>
      <c r="H492" t="s">
        <v>142</v>
      </c>
      <c r="I492" t="s">
        <v>279</v>
      </c>
      <c r="J492" t="s">
        <v>280</v>
      </c>
      <c r="L492" t="s">
        <v>243</v>
      </c>
      <c r="M492" s="8">
        <v>45566</v>
      </c>
      <c r="N492">
        <v>5585427</v>
      </c>
      <c r="O492" t="s">
        <v>123</v>
      </c>
      <c r="P492" t="s">
        <v>146</v>
      </c>
      <c r="Q492">
        <v>2.5</v>
      </c>
      <c r="R492" t="s">
        <v>125</v>
      </c>
      <c r="S492" t="s">
        <v>126</v>
      </c>
      <c r="T492" t="s">
        <v>125</v>
      </c>
      <c r="U492" t="s">
        <v>126</v>
      </c>
      <c r="W492">
        <v>2.5</v>
      </c>
      <c r="Y492">
        <v>2.5</v>
      </c>
      <c r="BE492">
        <v>2.5</v>
      </c>
      <c r="BH492" t="s">
        <v>126</v>
      </c>
      <c r="BI492" t="s">
        <v>126</v>
      </c>
      <c r="BJ492" t="s">
        <v>126</v>
      </c>
      <c r="BK492" t="s">
        <v>126</v>
      </c>
      <c r="BS492" t="s">
        <v>126</v>
      </c>
      <c r="BT492" t="s">
        <v>126</v>
      </c>
      <c r="BU492" t="s">
        <v>126</v>
      </c>
      <c r="BV492" t="s">
        <v>126</v>
      </c>
      <c r="CN492" t="s">
        <v>147</v>
      </c>
      <c r="CP492" t="s">
        <v>257</v>
      </c>
      <c r="CQ492" t="s">
        <v>147</v>
      </c>
    </row>
    <row r="493" spans="1:95" x14ac:dyDescent="0.2">
      <c r="A493" t="s">
        <v>115</v>
      </c>
      <c r="B493" t="s">
        <v>116</v>
      </c>
      <c r="C493">
        <v>210784</v>
      </c>
      <c r="E493" t="s">
        <v>117</v>
      </c>
      <c r="F493">
        <v>368</v>
      </c>
      <c r="G493" t="s">
        <v>141</v>
      </c>
      <c r="H493" t="s">
        <v>142</v>
      </c>
      <c r="I493" t="s">
        <v>279</v>
      </c>
      <c r="J493" t="s">
        <v>280</v>
      </c>
      <c r="L493" t="s">
        <v>244</v>
      </c>
      <c r="M493" s="8">
        <v>45566</v>
      </c>
      <c r="N493">
        <v>5587515</v>
      </c>
      <c r="O493" t="s">
        <v>123</v>
      </c>
      <c r="P493" t="s">
        <v>146</v>
      </c>
      <c r="Q493">
        <v>4.88</v>
      </c>
      <c r="R493" t="s">
        <v>125</v>
      </c>
      <c r="S493" t="s">
        <v>126</v>
      </c>
      <c r="T493" t="s">
        <v>125</v>
      </c>
      <c r="U493" t="s">
        <v>126</v>
      </c>
      <c r="W493">
        <v>4.88</v>
      </c>
      <c r="Y493">
        <v>4.88</v>
      </c>
      <c r="BE493">
        <v>4.88</v>
      </c>
      <c r="BH493" t="s">
        <v>126</v>
      </c>
      <c r="BI493" t="s">
        <v>126</v>
      </c>
      <c r="BJ493" t="s">
        <v>126</v>
      </c>
      <c r="BK493" t="s">
        <v>126</v>
      </c>
      <c r="BS493" t="s">
        <v>126</v>
      </c>
      <c r="BT493" t="s">
        <v>126</v>
      </c>
      <c r="BU493" t="s">
        <v>126</v>
      </c>
      <c r="BV493" t="s">
        <v>126</v>
      </c>
      <c r="CN493" t="s">
        <v>147</v>
      </c>
      <c r="CP493" t="s">
        <v>257</v>
      </c>
      <c r="CQ493" t="s">
        <v>147</v>
      </c>
    </row>
    <row r="494" spans="1:95" x14ac:dyDescent="0.2">
      <c r="A494" t="s">
        <v>115</v>
      </c>
      <c r="B494" t="s">
        <v>116</v>
      </c>
      <c r="C494">
        <v>210784</v>
      </c>
      <c r="E494" t="s">
        <v>117</v>
      </c>
      <c r="F494">
        <v>368</v>
      </c>
      <c r="G494" t="s">
        <v>141</v>
      </c>
      <c r="H494" t="s">
        <v>142</v>
      </c>
      <c r="I494" t="s">
        <v>279</v>
      </c>
      <c r="J494" t="s">
        <v>280</v>
      </c>
      <c r="L494" t="s">
        <v>245</v>
      </c>
      <c r="M494" s="8">
        <v>45566</v>
      </c>
      <c r="N494">
        <v>5588149</v>
      </c>
      <c r="O494" t="s">
        <v>123</v>
      </c>
      <c r="P494" t="s">
        <v>146</v>
      </c>
      <c r="Q494">
        <v>3.89</v>
      </c>
      <c r="R494" t="s">
        <v>125</v>
      </c>
      <c r="S494" t="s">
        <v>126</v>
      </c>
      <c r="T494" t="s">
        <v>125</v>
      </c>
      <c r="U494" t="s">
        <v>126</v>
      </c>
      <c r="W494">
        <v>3.89</v>
      </c>
      <c r="Y494">
        <v>3.89</v>
      </c>
      <c r="BE494">
        <v>3.89</v>
      </c>
      <c r="BH494" t="s">
        <v>126</v>
      </c>
      <c r="BI494" t="s">
        <v>126</v>
      </c>
      <c r="BJ494" t="s">
        <v>126</v>
      </c>
      <c r="BK494" t="s">
        <v>126</v>
      </c>
      <c r="BS494" t="s">
        <v>126</v>
      </c>
      <c r="BT494" t="s">
        <v>126</v>
      </c>
      <c r="BU494" t="s">
        <v>126</v>
      </c>
      <c r="BV494" t="s">
        <v>126</v>
      </c>
      <c r="CN494" t="s">
        <v>147</v>
      </c>
      <c r="CP494" t="s">
        <v>257</v>
      </c>
      <c r="CQ494" t="s">
        <v>147</v>
      </c>
    </row>
    <row r="495" spans="1:95" x14ac:dyDescent="0.2">
      <c r="A495" t="s">
        <v>115</v>
      </c>
      <c r="B495" t="s">
        <v>116</v>
      </c>
      <c r="C495">
        <v>210784</v>
      </c>
      <c r="E495" t="s">
        <v>117</v>
      </c>
      <c r="F495">
        <v>368</v>
      </c>
      <c r="G495" t="s">
        <v>141</v>
      </c>
      <c r="H495" t="s">
        <v>142</v>
      </c>
      <c r="I495" t="s">
        <v>279</v>
      </c>
      <c r="J495" t="s">
        <v>280</v>
      </c>
      <c r="L495" t="s">
        <v>246</v>
      </c>
      <c r="M495" s="8">
        <v>45566</v>
      </c>
      <c r="N495">
        <v>5589445</v>
      </c>
      <c r="O495" t="s">
        <v>123</v>
      </c>
      <c r="P495" t="s">
        <v>146</v>
      </c>
      <c r="Q495">
        <v>2.56</v>
      </c>
      <c r="R495" t="s">
        <v>125</v>
      </c>
      <c r="S495" t="s">
        <v>126</v>
      </c>
      <c r="T495" t="s">
        <v>125</v>
      </c>
      <c r="U495" t="s">
        <v>126</v>
      </c>
      <c r="W495">
        <v>2.56</v>
      </c>
      <c r="Y495">
        <v>2.56</v>
      </c>
      <c r="BE495">
        <v>2.56</v>
      </c>
      <c r="BH495" t="s">
        <v>126</v>
      </c>
      <c r="BI495" t="s">
        <v>126</v>
      </c>
      <c r="BJ495" t="s">
        <v>126</v>
      </c>
      <c r="BK495" t="s">
        <v>126</v>
      </c>
      <c r="BS495" t="s">
        <v>126</v>
      </c>
      <c r="BT495" t="s">
        <v>126</v>
      </c>
      <c r="BU495" t="s">
        <v>126</v>
      </c>
      <c r="BV495" t="s">
        <v>126</v>
      </c>
      <c r="CN495" t="s">
        <v>147</v>
      </c>
      <c r="CP495" t="s">
        <v>257</v>
      </c>
      <c r="CQ495" t="s">
        <v>147</v>
      </c>
    </row>
    <row r="496" spans="1:95" x14ac:dyDescent="0.2">
      <c r="A496" t="s">
        <v>115</v>
      </c>
      <c r="B496" t="s">
        <v>116</v>
      </c>
      <c r="C496">
        <v>210784</v>
      </c>
      <c r="E496" t="s">
        <v>117</v>
      </c>
      <c r="F496">
        <v>368</v>
      </c>
      <c r="G496" t="s">
        <v>141</v>
      </c>
      <c r="H496" t="s">
        <v>142</v>
      </c>
      <c r="I496" t="s">
        <v>279</v>
      </c>
      <c r="J496" t="s">
        <v>280</v>
      </c>
      <c r="L496" t="s">
        <v>247</v>
      </c>
      <c r="M496" s="8">
        <v>45566</v>
      </c>
      <c r="N496">
        <v>5590284</v>
      </c>
      <c r="O496" t="s">
        <v>123</v>
      </c>
      <c r="P496" t="s">
        <v>146</v>
      </c>
      <c r="Q496">
        <v>1.1599999999999999</v>
      </c>
      <c r="R496" t="s">
        <v>125</v>
      </c>
      <c r="S496" t="s">
        <v>126</v>
      </c>
      <c r="T496" t="s">
        <v>125</v>
      </c>
      <c r="U496" t="s">
        <v>126</v>
      </c>
      <c r="W496">
        <v>1.1599999999999999</v>
      </c>
      <c r="Y496">
        <v>1.1599999999999999</v>
      </c>
      <c r="BE496">
        <v>1.1599999999999999</v>
      </c>
      <c r="BH496" t="s">
        <v>126</v>
      </c>
      <c r="BI496" t="s">
        <v>126</v>
      </c>
      <c r="BJ496" t="s">
        <v>126</v>
      </c>
      <c r="BK496" t="s">
        <v>126</v>
      </c>
      <c r="BS496" t="s">
        <v>126</v>
      </c>
      <c r="BT496" t="s">
        <v>126</v>
      </c>
      <c r="BU496" t="s">
        <v>126</v>
      </c>
      <c r="BV496" t="s">
        <v>126</v>
      </c>
      <c r="CN496" t="s">
        <v>147</v>
      </c>
      <c r="CP496" t="s">
        <v>257</v>
      </c>
      <c r="CQ496" t="s">
        <v>147</v>
      </c>
    </row>
    <row r="497" spans="1:95" x14ac:dyDescent="0.2">
      <c r="A497" t="s">
        <v>115</v>
      </c>
      <c r="B497" t="s">
        <v>116</v>
      </c>
      <c r="C497">
        <v>210784</v>
      </c>
      <c r="E497" t="s">
        <v>117</v>
      </c>
      <c r="F497">
        <v>368</v>
      </c>
      <c r="G497" t="s">
        <v>141</v>
      </c>
      <c r="H497" t="s">
        <v>142</v>
      </c>
      <c r="I497" t="s">
        <v>877</v>
      </c>
      <c r="J497" t="s">
        <v>878</v>
      </c>
      <c r="L497" t="s">
        <v>248</v>
      </c>
      <c r="M497" s="8">
        <v>45566</v>
      </c>
      <c r="N497">
        <v>10818620</v>
      </c>
      <c r="O497" t="s">
        <v>123</v>
      </c>
      <c r="P497" t="s">
        <v>146</v>
      </c>
      <c r="Q497">
        <v>2.98</v>
      </c>
      <c r="R497" t="s">
        <v>125</v>
      </c>
      <c r="S497" t="s">
        <v>126</v>
      </c>
      <c r="T497" t="s">
        <v>125</v>
      </c>
      <c r="U497" t="s">
        <v>126</v>
      </c>
      <c r="W497">
        <v>2.98</v>
      </c>
      <c r="Y497">
        <v>2.98</v>
      </c>
      <c r="BE497">
        <v>2.98</v>
      </c>
      <c r="BH497" t="s">
        <v>126</v>
      </c>
      <c r="BI497" t="s">
        <v>126</v>
      </c>
      <c r="BJ497" t="s">
        <v>126</v>
      </c>
      <c r="BK497" t="s">
        <v>126</v>
      </c>
      <c r="BS497" t="s">
        <v>126</v>
      </c>
      <c r="BT497" t="s">
        <v>126</v>
      </c>
      <c r="BU497" t="s">
        <v>126</v>
      </c>
      <c r="BV497" t="s">
        <v>126</v>
      </c>
      <c r="CN497" t="s">
        <v>147</v>
      </c>
      <c r="CP497" t="s">
        <v>257</v>
      </c>
      <c r="CQ497" t="s">
        <v>147</v>
      </c>
    </row>
    <row r="498" spans="1:95" x14ac:dyDescent="0.2">
      <c r="A498" t="s">
        <v>115</v>
      </c>
      <c r="B498" t="s">
        <v>116</v>
      </c>
      <c r="C498">
        <v>210784</v>
      </c>
      <c r="E498" t="s">
        <v>117</v>
      </c>
      <c r="F498">
        <v>368</v>
      </c>
      <c r="G498" t="s">
        <v>141</v>
      </c>
      <c r="H498" t="s">
        <v>142</v>
      </c>
      <c r="I498" t="s">
        <v>279</v>
      </c>
      <c r="J498" t="s">
        <v>280</v>
      </c>
      <c r="L498" t="s">
        <v>248</v>
      </c>
      <c r="M498" s="8">
        <v>45566</v>
      </c>
      <c r="N498">
        <v>5591040</v>
      </c>
      <c r="O498" t="s">
        <v>123</v>
      </c>
      <c r="P498" t="s">
        <v>146</v>
      </c>
      <c r="Q498">
        <v>2.11</v>
      </c>
      <c r="R498" t="s">
        <v>125</v>
      </c>
      <c r="S498" t="s">
        <v>126</v>
      </c>
      <c r="T498" t="s">
        <v>125</v>
      </c>
      <c r="U498" t="s">
        <v>126</v>
      </c>
      <c r="W498">
        <v>2.11</v>
      </c>
      <c r="Y498">
        <v>2.11</v>
      </c>
      <c r="BE498">
        <v>2.11</v>
      </c>
      <c r="BH498" t="s">
        <v>126</v>
      </c>
      <c r="BI498" t="s">
        <v>126</v>
      </c>
      <c r="BJ498" t="s">
        <v>126</v>
      </c>
      <c r="BK498" t="s">
        <v>126</v>
      </c>
      <c r="BS498" t="s">
        <v>126</v>
      </c>
      <c r="BT498" t="s">
        <v>126</v>
      </c>
      <c r="BU498" t="s">
        <v>126</v>
      </c>
      <c r="BV498" t="s">
        <v>126</v>
      </c>
      <c r="CN498" t="s">
        <v>147</v>
      </c>
      <c r="CP498" t="s">
        <v>257</v>
      </c>
      <c r="CQ498" t="s">
        <v>147</v>
      </c>
    </row>
    <row r="499" spans="1:95" x14ac:dyDescent="0.2">
      <c r="A499" t="s">
        <v>115</v>
      </c>
      <c r="B499" t="s">
        <v>116</v>
      </c>
      <c r="C499">
        <v>210784</v>
      </c>
      <c r="E499" t="s">
        <v>117</v>
      </c>
      <c r="F499">
        <v>368</v>
      </c>
      <c r="G499" t="s">
        <v>141</v>
      </c>
      <c r="H499" t="s">
        <v>142</v>
      </c>
      <c r="I499" t="s">
        <v>279</v>
      </c>
      <c r="J499" t="s">
        <v>280</v>
      </c>
      <c r="L499" t="s">
        <v>252</v>
      </c>
      <c r="M499" s="8">
        <v>45566</v>
      </c>
      <c r="N499">
        <v>5591907</v>
      </c>
      <c r="O499" t="s">
        <v>123</v>
      </c>
      <c r="P499" t="s">
        <v>146</v>
      </c>
      <c r="Q499">
        <v>1.61</v>
      </c>
      <c r="R499" t="s">
        <v>125</v>
      </c>
      <c r="S499" t="s">
        <v>126</v>
      </c>
      <c r="T499" t="s">
        <v>125</v>
      </c>
      <c r="U499" t="s">
        <v>126</v>
      </c>
      <c r="W499">
        <v>1.61</v>
      </c>
      <c r="Y499">
        <v>1.61</v>
      </c>
      <c r="BE499">
        <v>1.61</v>
      </c>
      <c r="BH499" t="s">
        <v>126</v>
      </c>
      <c r="BI499" t="s">
        <v>126</v>
      </c>
      <c r="BJ499" t="s">
        <v>126</v>
      </c>
      <c r="BK499" t="s">
        <v>126</v>
      </c>
      <c r="BS499" t="s">
        <v>126</v>
      </c>
      <c r="BT499" t="s">
        <v>126</v>
      </c>
      <c r="BU499" t="s">
        <v>126</v>
      </c>
      <c r="BV499" t="s">
        <v>126</v>
      </c>
      <c r="CN499" t="s">
        <v>147</v>
      </c>
      <c r="CP499" t="s">
        <v>257</v>
      </c>
      <c r="CQ499" t="s">
        <v>147</v>
      </c>
    </row>
    <row r="500" spans="1:95" x14ac:dyDescent="0.2">
      <c r="A500" t="s">
        <v>115</v>
      </c>
      <c r="B500" t="s">
        <v>116</v>
      </c>
      <c r="C500">
        <v>210784</v>
      </c>
      <c r="E500" t="s">
        <v>117</v>
      </c>
      <c r="F500">
        <v>368</v>
      </c>
      <c r="G500" t="s">
        <v>141</v>
      </c>
      <c r="H500" t="s">
        <v>142</v>
      </c>
      <c r="I500" t="s">
        <v>279</v>
      </c>
      <c r="J500" t="s">
        <v>280</v>
      </c>
      <c r="L500" t="s">
        <v>253</v>
      </c>
      <c r="M500" s="8">
        <v>45566</v>
      </c>
      <c r="N500">
        <v>5592612</v>
      </c>
      <c r="O500" t="s">
        <v>123</v>
      </c>
      <c r="P500" t="s">
        <v>146</v>
      </c>
      <c r="Q500">
        <v>2.39</v>
      </c>
      <c r="R500" t="s">
        <v>125</v>
      </c>
      <c r="S500" t="s">
        <v>126</v>
      </c>
      <c r="T500" t="s">
        <v>125</v>
      </c>
      <c r="U500" t="s">
        <v>126</v>
      </c>
      <c r="W500">
        <v>2.39</v>
      </c>
      <c r="Y500">
        <v>2.39</v>
      </c>
      <c r="BE500">
        <v>2.39</v>
      </c>
      <c r="BH500" t="s">
        <v>126</v>
      </c>
      <c r="BI500" t="s">
        <v>126</v>
      </c>
      <c r="BJ500" t="s">
        <v>126</v>
      </c>
      <c r="BK500" t="s">
        <v>126</v>
      </c>
      <c r="BS500" t="s">
        <v>126</v>
      </c>
      <c r="BT500" t="s">
        <v>126</v>
      </c>
      <c r="BU500" t="s">
        <v>126</v>
      </c>
      <c r="BV500" t="s">
        <v>126</v>
      </c>
      <c r="CN500" t="s">
        <v>147</v>
      </c>
      <c r="CP500" t="s">
        <v>257</v>
      </c>
      <c r="CQ500" t="s">
        <v>147</v>
      </c>
    </row>
    <row r="501" spans="1:95" x14ac:dyDescent="0.2">
      <c r="A501" t="s">
        <v>115</v>
      </c>
      <c r="B501" t="s">
        <v>116</v>
      </c>
      <c r="C501">
        <v>210784</v>
      </c>
      <c r="E501" t="s">
        <v>117</v>
      </c>
      <c r="F501">
        <v>368</v>
      </c>
      <c r="G501" t="s">
        <v>141</v>
      </c>
      <c r="H501" t="s">
        <v>142</v>
      </c>
      <c r="I501" t="s">
        <v>279</v>
      </c>
      <c r="J501" t="s">
        <v>280</v>
      </c>
      <c r="L501" t="s">
        <v>324</v>
      </c>
      <c r="M501" s="8">
        <v>45566</v>
      </c>
      <c r="N501">
        <v>5593577</v>
      </c>
      <c r="O501" t="s">
        <v>123</v>
      </c>
      <c r="P501" t="s">
        <v>146</v>
      </c>
      <c r="Q501">
        <v>3.58</v>
      </c>
      <c r="R501" t="s">
        <v>125</v>
      </c>
      <c r="S501" t="s">
        <v>126</v>
      </c>
      <c r="T501" t="s">
        <v>125</v>
      </c>
      <c r="U501" t="s">
        <v>126</v>
      </c>
      <c r="W501">
        <v>3.58</v>
      </c>
      <c r="Y501">
        <v>3.58</v>
      </c>
      <c r="BE501">
        <v>3.58</v>
      </c>
      <c r="BH501" t="s">
        <v>126</v>
      </c>
      <c r="BI501" t="s">
        <v>126</v>
      </c>
      <c r="BJ501" t="s">
        <v>126</v>
      </c>
      <c r="BK501" t="s">
        <v>126</v>
      </c>
      <c r="BS501" t="s">
        <v>126</v>
      </c>
      <c r="BT501" t="s">
        <v>126</v>
      </c>
      <c r="BU501" t="s">
        <v>126</v>
      </c>
      <c r="BV501" t="s">
        <v>126</v>
      </c>
      <c r="CN501" t="s">
        <v>147</v>
      </c>
      <c r="CP501" t="s">
        <v>257</v>
      </c>
      <c r="CQ501" t="s">
        <v>147</v>
      </c>
    </row>
    <row r="502" spans="1:95" x14ac:dyDescent="0.2">
      <c r="A502" t="s">
        <v>115</v>
      </c>
      <c r="B502" t="s">
        <v>116</v>
      </c>
      <c r="C502">
        <v>210784</v>
      </c>
      <c r="E502" t="s">
        <v>117</v>
      </c>
      <c r="F502">
        <v>368</v>
      </c>
      <c r="G502" t="s">
        <v>141</v>
      </c>
      <c r="H502" t="s">
        <v>142</v>
      </c>
      <c r="I502" t="s">
        <v>279</v>
      </c>
      <c r="J502" t="s">
        <v>280</v>
      </c>
      <c r="L502" t="s">
        <v>879</v>
      </c>
      <c r="M502" s="8">
        <v>45566</v>
      </c>
      <c r="N502">
        <v>5594605</v>
      </c>
      <c r="O502" t="s">
        <v>123</v>
      </c>
      <c r="P502" t="s">
        <v>146</v>
      </c>
      <c r="Q502">
        <v>2.19</v>
      </c>
      <c r="R502" t="s">
        <v>125</v>
      </c>
      <c r="S502" t="s">
        <v>126</v>
      </c>
      <c r="T502" t="s">
        <v>125</v>
      </c>
      <c r="U502" t="s">
        <v>126</v>
      </c>
      <c r="W502">
        <v>2.19</v>
      </c>
      <c r="Y502">
        <v>2.19</v>
      </c>
      <c r="BE502">
        <v>2.19</v>
      </c>
      <c r="BH502" t="s">
        <v>126</v>
      </c>
      <c r="BI502" t="s">
        <v>126</v>
      </c>
      <c r="BJ502" t="s">
        <v>126</v>
      </c>
      <c r="BK502" t="s">
        <v>126</v>
      </c>
      <c r="BS502" t="s">
        <v>126</v>
      </c>
      <c r="BT502" t="s">
        <v>126</v>
      </c>
      <c r="BU502" t="s">
        <v>126</v>
      </c>
      <c r="BV502" t="s">
        <v>126</v>
      </c>
      <c r="CN502" t="s">
        <v>147</v>
      </c>
      <c r="CP502" t="s">
        <v>257</v>
      </c>
      <c r="CQ502" t="s">
        <v>147</v>
      </c>
    </row>
    <row r="503" spans="1:95" x14ac:dyDescent="0.2">
      <c r="A503" t="s">
        <v>115</v>
      </c>
      <c r="B503" t="s">
        <v>116</v>
      </c>
      <c r="C503">
        <v>210784</v>
      </c>
      <c r="E503" t="s">
        <v>117</v>
      </c>
      <c r="F503">
        <v>368</v>
      </c>
      <c r="G503" t="s">
        <v>141</v>
      </c>
      <c r="H503" t="s">
        <v>142</v>
      </c>
      <c r="I503" t="s">
        <v>279</v>
      </c>
      <c r="J503" t="s">
        <v>280</v>
      </c>
      <c r="L503" t="s">
        <v>880</v>
      </c>
      <c r="M503" s="8">
        <v>45566</v>
      </c>
      <c r="N503">
        <v>5596739</v>
      </c>
      <c r="O503" t="s">
        <v>123</v>
      </c>
      <c r="P503" t="s">
        <v>146</v>
      </c>
      <c r="Q503">
        <v>4.5</v>
      </c>
      <c r="R503" t="s">
        <v>125</v>
      </c>
      <c r="S503" t="s">
        <v>126</v>
      </c>
      <c r="T503" t="s">
        <v>125</v>
      </c>
      <c r="U503" t="s">
        <v>126</v>
      </c>
      <c r="W503">
        <v>4.5</v>
      </c>
      <c r="Y503">
        <v>4.5</v>
      </c>
      <c r="BE503">
        <v>4.5</v>
      </c>
      <c r="BH503" t="s">
        <v>126</v>
      </c>
      <c r="BI503" t="s">
        <v>126</v>
      </c>
      <c r="BJ503" t="s">
        <v>126</v>
      </c>
      <c r="BK503" t="s">
        <v>126</v>
      </c>
      <c r="BS503" t="s">
        <v>126</v>
      </c>
      <c r="BT503" t="s">
        <v>126</v>
      </c>
      <c r="BU503" t="s">
        <v>126</v>
      </c>
      <c r="BV503" t="s">
        <v>126</v>
      </c>
      <c r="CN503" t="s">
        <v>147</v>
      </c>
      <c r="CP503" t="s">
        <v>257</v>
      </c>
      <c r="CQ503" t="s">
        <v>147</v>
      </c>
    </row>
    <row r="504" spans="1:95" x14ac:dyDescent="0.2">
      <c r="A504" t="s">
        <v>115</v>
      </c>
      <c r="B504" t="s">
        <v>116</v>
      </c>
      <c r="C504">
        <v>210784</v>
      </c>
      <c r="E504" t="s">
        <v>117</v>
      </c>
      <c r="F504">
        <v>368</v>
      </c>
      <c r="G504" t="s">
        <v>141</v>
      </c>
      <c r="H504" t="s">
        <v>142</v>
      </c>
      <c r="I504" t="s">
        <v>279</v>
      </c>
      <c r="J504" t="s">
        <v>280</v>
      </c>
      <c r="L504" t="s">
        <v>255</v>
      </c>
      <c r="M504" s="8">
        <v>45566</v>
      </c>
      <c r="N504">
        <v>5597449</v>
      </c>
      <c r="O504" t="s">
        <v>123</v>
      </c>
      <c r="P504" t="s">
        <v>146</v>
      </c>
      <c r="Q504">
        <v>1.96</v>
      </c>
      <c r="R504" t="s">
        <v>125</v>
      </c>
      <c r="S504" t="s">
        <v>126</v>
      </c>
      <c r="T504" t="s">
        <v>125</v>
      </c>
      <c r="U504" t="s">
        <v>126</v>
      </c>
      <c r="W504">
        <v>1.96</v>
      </c>
      <c r="Y504">
        <v>1.96</v>
      </c>
      <c r="BE504">
        <v>1.96</v>
      </c>
      <c r="BH504" t="s">
        <v>126</v>
      </c>
      <c r="BI504" t="s">
        <v>126</v>
      </c>
      <c r="BJ504" t="s">
        <v>126</v>
      </c>
      <c r="BK504" t="s">
        <v>126</v>
      </c>
      <c r="BS504" t="s">
        <v>126</v>
      </c>
      <c r="BT504" t="s">
        <v>126</v>
      </c>
      <c r="BU504" t="s">
        <v>126</v>
      </c>
      <c r="BV504" t="s">
        <v>126</v>
      </c>
      <c r="CN504" t="s">
        <v>147</v>
      </c>
      <c r="CP504" t="s">
        <v>257</v>
      </c>
      <c r="CQ504" t="s">
        <v>147</v>
      </c>
    </row>
    <row r="505" spans="1:95" x14ac:dyDescent="0.2">
      <c r="A505" t="s">
        <v>115</v>
      </c>
      <c r="B505" t="s">
        <v>116</v>
      </c>
      <c r="C505">
        <v>210784</v>
      </c>
      <c r="E505" t="s">
        <v>117</v>
      </c>
      <c r="F505">
        <v>368</v>
      </c>
      <c r="G505" t="s">
        <v>141</v>
      </c>
      <c r="H505" t="s">
        <v>142</v>
      </c>
      <c r="I505" t="s">
        <v>279</v>
      </c>
      <c r="J505" t="s">
        <v>280</v>
      </c>
      <c r="L505" t="s">
        <v>326</v>
      </c>
      <c r="M505" s="8">
        <v>45566</v>
      </c>
      <c r="N505">
        <v>5598443</v>
      </c>
      <c r="O505" t="s">
        <v>123</v>
      </c>
      <c r="P505" t="s">
        <v>146</v>
      </c>
      <c r="Q505">
        <v>1.44</v>
      </c>
      <c r="R505" t="s">
        <v>125</v>
      </c>
      <c r="S505" t="s">
        <v>126</v>
      </c>
      <c r="T505" t="s">
        <v>125</v>
      </c>
      <c r="U505" t="s">
        <v>126</v>
      </c>
      <c r="W505">
        <v>1.44</v>
      </c>
      <c r="Y505">
        <v>1.44</v>
      </c>
      <c r="BE505">
        <v>1.44</v>
      </c>
      <c r="BH505" t="s">
        <v>126</v>
      </c>
      <c r="BI505" t="s">
        <v>126</v>
      </c>
      <c r="BJ505" t="s">
        <v>126</v>
      </c>
      <c r="BK505" t="s">
        <v>126</v>
      </c>
      <c r="BS505" t="s">
        <v>126</v>
      </c>
      <c r="BT505" t="s">
        <v>126</v>
      </c>
      <c r="BU505" t="s">
        <v>126</v>
      </c>
      <c r="BV505" t="s">
        <v>126</v>
      </c>
      <c r="CN505" t="s">
        <v>147</v>
      </c>
      <c r="CP505" t="s">
        <v>257</v>
      </c>
      <c r="CQ505" t="s">
        <v>147</v>
      </c>
    </row>
    <row r="506" spans="1:95" x14ac:dyDescent="0.2">
      <c r="A506" t="s">
        <v>115</v>
      </c>
      <c r="B506" t="s">
        <v>116</v>
      </c>
      <c r="C506">
        <v>210784</v>
      </c>
      <c r="E506" t="s">
        <v>117</v>
      </c>
      <c r="F506">
        <v>368</v>
      </c>
      <c r="G506" t="s">
        <v>141</v>
      </c>
      <c r="H506" t="s">
        <v>142</v>
      </c>
      <c r="I506" t="s">
        <v>279</v>
      </c>
      <c r="J506" t="s">
        <v>280</v>
      </c>
      <c r="L506" t="s">
        <v>326</v>
      </c>
      <c r="M506" s="8">
        <v>45566</v>
      </c>
      <c r="N506">
        <v>5598324</v>
      </c>
      <c r="O506" t="s">
        <v>123</v>
      </c>
      <c r="P506" t="s">
        <v>146</v>
      </c>
      <c r="Q506">
        <v>3.93</v>
      </c>
      <c r="R506" t="s">
        <v>125</v>
      </c>
      <c r="S506" t="s">
        <v>126</v>
      </c>
      <c r="T506" t="s">
        <v>125</v>
      </c>
      <c r="U506" t="s">
        <v>126</v>
      </c>
      <c r="W506">
        <v>3.93</v>
      </c>
      <c r="Y506">
        <v>3.93</v>
      </c>
      <c r="BE506">
        <v>3.93</v>
      </c>
      <c r="BH506" t="s">
        <v>126</v>
      </c>
      <c r="BI506" t="s">
        <v>126</v>
      </c>
      <c r="BJ506" t="s">
        <v>126</v>
      </c>
      <c r="BK506" t="s">
        <v>126</v>
      </c>
      <c r="BS506" t="s">
        <v>126</v>
      </c>
      <c r="BT506" t="s">
        <v>126</v>
      </c>
      <c r="BU506" t="s">
        <v>126</v>
      </c>
      <c r="BV506" t="s">
        <v>126</v>
      </c>
      <c r="CN506" t="s">
        <v>147</v>
      </c>
      <c r="CP506" t="s">
        <v>257</v>
      </c>
      <c r="CQ506" t="s">
        <v>147</v>
      </c>
    </row>
    <row r="507" spans="1:95" x14ac:dyDescent="0.2">
      <c r="A507" t="s">
        <v>115</v>
      </c>
      <c r="B507" t="s">
        <v>116</v>
      </c>
      <c r="C507">
        <v>210784</v>
      </c>
      <c r="E507" t="s">
        <v>117</v>
      </c>
      <c r="F507">
        <v>368</v>
      </c>
      <c r="G507" t="s">
        <v>141</v>
      </c>
      <c r="H507" t="s">
        <v>142</v>
      </c>
      <c r="I507" t="s">
        <v>279</v>
      </c>
      <c r="J507" t="s">
        <v>280</v>
      </c>
      <c r="L507" t="s">
        <v>326</v>
      </c>
      <c r="M507" s="8">
        <v>45566</v>
      </c>
      <c r="N507">
        <v>5598310</v>
      </c>
      <c r="O507" t="s">
        <v>123</v>
      </c>
      <c r="P507" t="s">
        <v>146</v>
      </c>
      <c r="Q507">
        <v>2.3199999999999998</v>
      </c>
      <c r="R507" t="s">
        <v>125</v>
      </c>
      <c r="S507" t="s">
        <v>126</v>
      </c>
      <c r="T507" t="s">
        <v>125</v>
      </c>
      <c r="U507" t="s">
        <v>126</v>
      </c>
      <c r="W507">
        <v>2.3199999999999998</v>
      </c>
      <c r="Y507">
        <v>2.3199999999999998</v>
      </c>
      <c r="BE507">
        <v>2.3199999999999998</v>
      </c>
      <c r="BH507" t="s">
        <v>126</v>
      </c>
      <c r="BI507" t="s">
        <v>126</v>
      </c>
      <c r="BJ507" t="s">
        <v>126</v>
      </c>
      <c r="BK507" t="s">
        <v>126</v>
      </c>
      <c r="BS507" t="s">
        <v>126</v>
      </c>
      <c r="BT507" t="s">
        <v>126</v>
      </c>
      <c r="BU507" t="s">
        <v>126</v>
      </c>
      <c r="BV507" t="s">
        <v>126</v>
      </c>
      <c r="CN507" t="s">
        <v>147</v>
      </c>
      <c r="CP507" t="s">
        <v>257</v>
      </c>
      <c r="CQ507" t="s">
        <v>147</v>
      </c>
    </row>
    <row r="508" spans="1:95" x14ac:dyDescent="0.2">
      <c r="A508" t="s">
        <v>115</v>
      </c>
      <c r="B508" t="s">
        <v>116</v>
      </c>
      <c r="C508">
        <v>210784</v>
      </c>
      <c r="E508" t="s">
        <v>117</v>
      </c>
      <c r="F508">
        <v>368</v>
      </c>
      <c r="G508" t="s">
        <v>141</v>
      </c>
      <c r="H508" t="s">
        <v>142</v>
      </c>
      <c r="I508" t="s">
        <v>279</v>
      </c>
      <c r="J508" t="s">
        <v>280</v>
      </c>
      <c r="L508" t="s">
        <v>256</v>
      </c>
      <c r="M508" s="8">
        <v>45566</v>
      </c>
      <c r="N508">
        <v>5599116</v>
      </c>
      <c r="O508" t="s">
        <v>123</v>
      </c>
      <c r="P508" t="s">
        <v>146</v>
      </c>
      <c r="Q508">
        <v>0.64</v>
      </c>
      <c r="R508" t="s">
        <v>125</v>
      </c>
      <c r="S508" t="s">
        <v>126</v>
      </c>
      <c r="T508" t="s">
        <v>125</v>
      </c>
      <c r="U508" t="s">
        <v>126</v>
      </c>
      <c r="W508">
        <v>0.64</v>
      </c>
      <c r="Y508">
        <v>0.64</v>
      </c>
      <c r="BE508">
        <v>0.64</v>
      </c>
      <c r="BH508" t="s">
        <v>126</v>
      </c>
      <c r="BI508" t="s">
        <v>126</v>
      </c>
      <c r="BJ508" t="s">
        <v>126</v>
      </c>
      <c r="BK508" t="s">
        <v>126</v>
      </c>
      <c r="BS508" t="s">
        <v>126</v>
      </c>
      <c r="BT508" t="s">
        <v>126</v>
      </c>
      <c r="BU508" t="s">
        <v>126</v>
      </c>
      <c r="BV508" t="s">
        <v>126</v>
      </c>
      <c r="CN508" t="s">
        <v>147</v>
      </c>
      <c r="CP508" t="s">
        <v>257</v>
      </c>
      <c r="CQ508" t="s">
        <v>147</v>
      </c>
    </row>
    <row r="509" spans="1:95" x14ac:dyDescent="0.2">
      <c r="A509" t="s">
        <v>115</v>
      </c>
      <c r="B509" t="s">
        <v>116</v>
      </c>
      <c r="C509">
        <v>210784</v>
      </c>
      <c r="E509" t="s">
        <v>117</v>
      </c>
      <c r="F509">
        <v>368</v>
      </c>
      <c r="G509" t="s">
        <v>141</v>
      </c>
      <c r="H509" t="s">
        <v>142</v>
      </c>
      <c r="I509" t="s">
        <v>279</v>
      </c>
      <c r="J509" t="s">
        <v>280</v>
      </c>
      <c r="L509" t="s">
        <v>327</v>
      </c>
      <c r="M509" s="8">
        <v>45566</v>
      </c>
      <c r="N509">
        <v>5599969</v>
      </c>
      <c r="O509" t="s">
        <v>123</v>
      </c>
      <c r="P509" t="s">
        <v>146</v>
      </c>
      <c r="Q509">
        <v>0.82</v>
      </c>
      <c r="R509" t="s">
        <v>125</v>
      </c>
      <c r="S509" t="s">
        <v>126</v>
      </c>
      <c r="T509" t="s">
        <v>125</v>
      </c>
      <c r="U509" t="s">
        <v>126</v>
      </c>
      <c r="W509">
        <v>0.82</v>
      </c>
      <c r="Y509">
        <v>0.82</v>
      </c>
      <c r="BE509">
        <v>0.82</v>
      </c>
      <c r="BH509" t="s">
        <v>126</v>
      </c>
      <c r="BI509" t="s">
        <v>126</v>
      </c>
      <c r="BJ509" t="s">
        <v>126</v>
      </c>
      <c r="BK509" t="s">
        <v>126</v>
      </c>
      <c r="BS509" t="s">
        <v>126</v>
      </c>
      <c r="BT509" t="s">
        <v>126</v>
      </c>
      <c r="BU509" t="s">
        <v>126</v>
      </c>
      <c r="BV509" t="s">
        <v>126</v>
      </c>
      <c r="CN509" t="s">
        <v>147</v>
      </c>
      <c r="CP509" t="s">
        <v>257</v>
      </c>
      <c r="CQ509" t="s">
        <v>147</v>
      </c>
    </row>
    <row r="510" spans="1:95" x14ac:dyDescent="0.2">
      <c r="A510" t="s">
        <v>115</v>
      </c>
      <c r="B510" t="s">
        <v>116</v>
      </c>
      <c r="C510">
        <v>210784</v>
      </c>
      <c r="E510" t="s">
        <v>117</v>
      </c>
      <c r="F510">
        <v>368</v>
      </c>
      <c r="G510" t="s">
        <v>881</v>
      </c>
      <c r="H510" t="s">
        <v>882</v>
      </c>
      <c r="I510" t="s">
        <v>883</v>
      </c>
      <c r="J510" t="s">
        <v>884</v>
      </c>
      <c r="L510" t="s">
        <v>257</v>
      </c>
      <c r="M510" s="8">
        <v>45566</v>
      </c>
      <c r="N510">
        <v>2062750</v>
      </c>
      <c r="O510" t="s">
        <v>123</v>
      </c>
      <c r="P510" t="s">
        <v>146</v>
      </c>
      <c r="Q510">
        <v>1.95</v>
      </c>
      <c r="R510" t="s">
        <v>125</v>
      </c>
      <c r="S510" t="s">
        <v>126</v>
      </c>
      <c r="T510" t="s">
        <v>125</v>
      </c>
      <c r="U510" t="s">
        <v>126</v>
      </c>
      <c r="W510">
        <v>1.95</v>
      </c>
      <c r="Y510">
        <v>1.95</v>
      </c>
      <c r="BE510">
        <v>1.95</v>
      </c>
      <c r="BH510" t="s">
        <v>126</v>
      </c>
      <c r="BI510" t="s">
        <v>126</v>
      </c>
      <c r="BJ510" t="s">
        <v>126</v>
      </c>
      <c r="BK510" t="s">
        <v>126</v>
      </c>
      <c r="BS510" t="s">
        <v>126</v>
      </c>
      <c r="BT510" t="s">
        <v>126</v>
      </c>
      <c r="BU510" t="s">
        <v>126</v>
      </c>
      <c r="BV510" t="s">
        <v>126</v>
      </c>
      <c r="CN510" t="s">
        <v>882</v>
      </c>
      <c r="CP510" t="s">
        <v>333</v>
      </c>
      <c r="CQ510" t="s">
        <v>882</v>
      </c>
    </row>
    <row r="511" spans="1:95" x14ac:dyDescent="0.2">
      <c r="A511" t="s">
        <v>115</v>
      </c>
      <c r="B511" t="s">
        <v>116</v>
      </c>
      <c r="C511">
        <v>210784</v>
      </c>
      <c r="E511" t="s">
        <v>117</v>
      </c>
      <c r="F511">
        <v>368</v>
      </c>
      <c r="G511" t="s">
        <v>881</v>
      </c>
      <c r="H511" t="s">
        <v>882</v>
      </c>
      <c r="I511" t="s">
        <v>883</v>
      </c>
      <c r="J511" t="s">
        <v>884</v>
      </c>
      <c r="L511" t="s">
        <v>328</v>
      </c>
      <c r="M511" s="8">
        <v>45566</v>
      </c>
      <c r="N511">
        <v>2062361</v>
      </c>
      <c r="O511" t="s">
        <v>123</v>
      </c>
      <c r="P511" t="s">
        <v>146</v>
      </c>
      <c r="Q511">
        <v>2.06</v>
      </c>
      <c r="R511" t="s">
        <v>125</v>
      </c>
      <c r="S511" t="s">
        <v>126</v>
      </c>
      <c r="T511" t="s">
        <v>125</v>
      </c>
      <c r="U511" t="s">
        <v>126</v>
      </c>
      <c r="W511">
        <v>2.06</v>
      </c>
      <c r="Y511">
        <v>2.06</v>
      </c>
      <c r="BE511">
        <v>2.06</v>
      </c>
      <c r="BH511" t="s">
        <v>126</v>
      </c>
      <c r="BI511" t="s">
        <v>126</v>
      </c>
      <c r="BJ511" t="s">
        <v>126</v>
      </c>
      <c r="BK511" t="s">
        <v>126</v>
      </c>
      <c r="BS511" t="s">
        <v>126</v>
      </c>
      <c r="BT511" t="s">
        <v>126</v>
      </c>
      <c r="BU511" t="s">
        <v>126</v>
      </c>
      <c r="BV511" t="s">
        <v>126</v>
      </c>
      <c r="CN511" t="s">
        <v>882</v>
      </c>
      <c r="CP511" t="s">
        <v>333</v>
      </c>
      <c r="CQ511" t="s">
        <v>882</v>
      </c>
    </row>
    <row r="512" spans="1:95" x14ac:dyDescent="0.2">
      <c r="A512" t="s">
        <v>115</v>
      </c>
      <c r="B512" t="s">
        <v>116</v>
      </c>
      <c r="C512">
        <v>210784</v>
      </c>
      <c r="E512" t="s">
        <v>117</v>
      </c>
      <c r="F512">
        <v>368</v>
      </c>
      <c r="G512" t="s">
        <v>141</v>
      </c>
      <c r="H512" t="s">
        <v>142</v>
      </c>
      <c r="I512" t="s">
        <v>279</v>
      </c>
      <c r="J512" t="s">
        <v>280</v>
      </c>
      <c r="L512" t="s">
        <v>328</v>
      </c>
      <c r="M512" s="8">
        <v>45566</v>
      </c>
      <c r="N512">
        <v>5601710</v>
      </c>
      <c r="O512" t="s">
        <v>123</v>
      </c>
      <c r="P512" t="s">
        <v>146</v>
      </c>
      <c r="Q512">
        <v>0.14000000000000001</v>
      </c>
      <c r="R512" t="s">
        <v>125</v>
      </c>
      <c r="S512" t="s">
        <v>126</v>
      </c>
      <c r="T512" t="s">
        <v>125</v>
      </c>
      <c r="U512" t="s">
        <v>126</v>
      </c>
      <c r="W512">
        <v>0.14000000000000001</v>
      </c>
      <c r="Y512">
        <v>0.14000000000000001</v>
      </c>
      <c r="BE512">
        <v>0.14000000000000001</v>
      </c>
      <c r="BH512" t="s">
        <v>126</v>
      </c>
      <c r="BI512" t="s">
        <v>126</v>
      </c>
      <c r="BJ512" t="s">
        <v>126</v>
      </c>
      <c r="BK512" t="s">
        <v>126</v>
      </c>
      <c r="BS512" t="s">
        <v>126</v>
      </c>
      <c r="BT512" t="s">
        <v>126</v>
      </c>
      <c r="BU512" t="s">
        <v>126</v>
      </c>
      <c r="BV512" t="s">
        <v>126</v>
      </c>
      <c r="CN512" t="s">
        <v>147</v>
      </c>
      <c r="CP512" t="s">
        <v>329</v>
      </c>
      <c r="CQ512" t="s">
        <v>147</v>
      </c>
    </row>
    <row r="513" spans="1:95" x14ac:dyDescent="0.2">
      <c r="A513" t="s">
        <v>115</v>
      </c>
      <c r="B513" t="s">
        <v>116</v>
      </c>
      <c r="C513">
        <v>210784</v>
      </c>
      <c r="E513" t="s">
        <v>117</v>
      </c>
      <c r="F513">
        <v>368</v>
      </c>
      <c r="G513" t="s">
        <v>141</v>
      </c>
      <c r="H513" t="s">
        <v>142</v>
      </c>
      <c r="I513" t="s">
        <v>279</v>
      </c>
      <c r="J513" t="s">
        <v>280</v>
      </c>
      <c r="L513" t="s">
        <v>328</v>
      </c>
      <c r="M513" s="8">
        <v>45566</v>
      </c>
      <c r="N513">
        <v>5601547</v>
      </c>
      <c r="O513" t="s">
        <v>123</v>
      </c>
      <c r="P513" t="s">
        <v>146</v>
      </c>
      <c r="Q513">
        <v>1.96</v>
      </c>
      <c r="R513" t="s">
        <v>125</v>
      </c>
      <c r="S513" t="s">
        <v>126</v>
      </c>
      <c r="T513" t="s">
        <v>125</v>
      </c>
      <c r="U513" t="s">
        <v>126</v>
      </c>
      <c r="W513">
        <v>1.96</v>
      </c>
      <c r="Y513">
        <v>1.96</v>
      </c>
      <c r="BE513">
        <v>1.96</v>
      </c>
      <c r="BH513" t="s">
        <v>126</v>
      </c>
      <c r="BI513" t="s">
        <v>126</v>
      </c>
      <c r="BJ513" t="s">
        <v>126</v>
      </c>
      <c r="BK513" t="s">
        <v>126</v>
      </c>
      <c r="BS513" t="s">
        <v>126</v>
      </c>
      <c r="BT513" t="s">
        <v>126</v>
      </c>
      <c r="BU513" t="s">
        <v>126</v>
      </c>
      <c r="BV513" t="s">
        <v>126</v>
      </c>
      <c r="CN513" t="s">
        <v>147</v>
      </c>
      <c r="CP513" t="s">
        <v>329</v>
      </c>
      <c r="CQ513" t="s">
        <v>147</v>
      </c>
    </row>
    <row r="514" spans="1:95" x14ac:dyDescent="0.2">
      <c r="A514" t="s">
        <v>115</v>
      </c>
      <c r="B514" t="s">
        <v>116</v>
      </c>
      <c r="C514">
        <v>210784</v>
      </c>
      <c r="E514" t="s">
        <v>117</v>
      </c>
      <c r="F514">
        <v>368</v>
      </c>
      <c r="G514" t="s">
        <v>141</v>
      </c>
      <c r="H514" t="s">
        <v>142</v>
      </c>
      <c r="I514" t="s">
        <v>204</v>
      </c>
      <c r="J514" t="s">
        <v>205</v>
      </c>
      <c r="L514" t="s">
        <v>262</v>
      </c>
      <c r="M514" s="8">
        <v>45597</v>
      </c>
      <c r="N514">
        <v>110064</v>
      </c>
      <c r="O514" t="s">
        <v>123</v>
      </c>
      <c r="P514" t="s">
        <v>146</v>
      </c>
      <c r="Q514">
        <v>7.26</v>
      </c>
      <c r="R514" t="s">
        <v>125</v>
      </c>
      <c r="S514" t="s">
        <v>126</v>
      </c>
      <c r="T514" t="s">
        <v>125</v>
      </c>
      <c r="U514" t="s">
        <v>126</v>
      </c>
      <c r="W514">
        <v>7.26</v>
      </c>
      <c r="Y514">
        <v>7.26</v>
      </c>
      <c r="AC514">
        <v>7.26</v>
      </c>
      <c r="BH514" t="s">
        <v>126</v>
      </c>
      <c r="BI514" t="s">
        <v>126</v>
      </c>
      <c r="BJ514" t="s">
        <v>126</v>
      </c>
      <c r="BK514" t="s">
        <v>126</v>
      </c>
      <c r="BS514" t="s">
        <v>126</v>
      </c>
      <c r="BT514" t="s">
        <v>126</v>
      </c>
      <c r="BU514" t="s">
        <v>126</v>
      </c>
      <c r="BV514" t="s">
        <v>126</v>
      </c>
      <c r="CN514" t="s">
        <v>147</v>
      </c>
      <c r="CP514" t="s">
        <v>258</v>
      </c>
      <c r="CQ514" t="s">
        <v>147</v>
      </c>
    </row>
    <row r="515" spans="1:95" x14ac:dyDescent="0.2">
      <c r="A515" t="s">
        <v>115</v>
      </c>
      <c r="B515" t="s">
        <v>116</v>
      </c>
      <c r="C515">
        <v>210784</v>
      </c>
      <c r="E515" t="s">
        <v>117</v>
      </c>
      <c r="F515">
        <v>368</v>
      </c>
      <c r="G515" t="s">
        <v>141</v>
      </c>
      <c r="H515" t="s">
        <v>142</v>
      </c>
      <c r="I515" t="s">
        <v>204</v>
      </c>
      <c r="J515" t="s">
        <v>205</v>
      </c>
      <c r="L515" t="s">
        <v>263</v>
      </c>
      <c r="M515" s="8">
        <v>45597</v>
      </c>
      <c r="N515">
        <v>11657</v>
      </c>
      <c r="O515" t="s">
        <v>123</v>
      </c>
      <c r="P515" t="s">
        <v>146</v>
      </c>
      <c r="Q515">
        <v>10.84</v>
      </c>
      <c r="R515" t="s">
        <v>125</v>
      </c>
      <c r="S515" t="s">
        <v>126</v>
      </c>
      <c r="T515" t="s">
        <v>125</v>
      </c>
      <c r="U515" t="s">
        <v>126</v>
      </c>
      <c r="W515">
        <v>10.84</v>
      </c>
      <c r="Y515">
        <v>10.84</v>
      </c>
      <c r="AC515">
        <v>10.84</v>
      </c>
      <c r="BH515" t="s">
        <v>126</v>
      </c>
      <c r="BI515" t="s">
        <v>126</v>
      </c>
      <c r="BJ515" t="s">
        <v>126</v>
      </c>
      <c r="BK515" t="s">
        <v>126</v>
      </c>
      <c r="BS515" t="s">
        <v>126</v>
      </c>
      <c r="BT515" t="s">
        <v>126</v>
      </c>
      <c r="BU515" t="s">
        <v>126</v>
      </c>
      <c r="BV515" t="s">
        <v>126</v>
      </c>
      <c r="CN515" t="s">
        <v>147</v>
      </c>
      <c r="CP515" t="s">
        <v>258</v>
      </c>
      <c r="CQ515" t="s">
        <v>147</v>
      </c>
    </row>
    <row r="516" spans="1:95" x14ac:dyDescent="0.2">
      <c r="A516" t="s">
        <v>115</v>
      </c>
      <c r="B516" t="s">
        <v>116</v>
      </c>
      <c r="C516">
        <v>210784</v>
      </c>
      <c r="E516" t="s">
        <v>117</v>
      </c>
      <c r="F516">
        <v>368</v>
      </c>
      <c r="G516" t="s">
        <v>141</v>
      </c>
      <c r="H516" t="s">
        <v>142</v>
      </c>
      <c r="I516" t="s">
        <v>204</v>
      </c>
      <c r="J516" t="s">
        <v>205</v>
      </c>
      <c r="L516" t="s">
        <v>262</v>
      </c>
      <c r="M516" s="8">
        <v>45597</v>
      </c>
      <c r="N516">
        <v>111947</v>
      </c>
      <c r="O516" t="s">
        <v>123</v>
      </c>
      <c r="P516" t="s">
        <v>146</v>
      </c>
      <c r="Q516">
        <v>10.34</v>
      </c>
      <c r="R516" t="s">
        <v>125</v>
      </c>
      <c r="S516" t="s">
        <v>126</v>
      </c>
      <c r="T516" t="s">
        <v>125</v>
      </c>
      <c r="U516" t="s">
        <v>126</v>
      </c>
      <c r="W516">
        <v>10.34</v>
      </c>
      <c r="Y516">
        <v>10.34</v>
      </c>
      <c r="AC516">
        <v>10.34</v>
      </c>
      <c r="BH516" t="s">
        <v>126</v>
      </c>
      <c r="BI516" t="s">
        <v>126</v>
      </c>
      <c r="BJ516" t="s">
        <v>126</v>
      </c>
      <c r="BK516" t="s">
        <v>126</v>
      </c>
      <c r="BS516" t="s">
        <v>126</v>
      </c>
      <c r="BT516" t="s">
        <v>126</v>
      </c>
      <c r="BU516" t="s">
        <v>126</v>
      </c>
      <c r="BV516" t="s">
        <v>126</v>
      </c>
      <c r="CN516" t="s">
        <v>147</v>
      </c>
      <c r="CP516" t="s">
        <v>258</v>
      </c>
      <c r="CQ516" t="s">
        <v>147</v>
      </c>
    </row>
    <row r="517" spans="1:95" x14ac:dyDescent="0.2">
      <c r="A517" t="s">
        <v>115</v>
      </c>
      <c r="B517" t="s">
        <v>116</v>
      </c>
      <c r="C517">
        <v>210784</v>
      </c>
      <c r="E517" t="s">
        <v>117</v>
      </c>
      <c r="F517">
        <v>368</v>
      </c>
      <c r="G517" t="s">
        <v>141</v>
      </c>
      <c r="H517" t="s">
        <v>142</v>
      </c>
      <c r="I517" t="s">
        <v>204</v>
      </c>
      <c r="J517" t="s">
        <v>205</v>
      </c>
      <c r="L517" t="s">
        <v>264</v>
      </c>
      <c r="M517" s="8">
        <v>45597</v>
      </c>
      <c r="N517">
        <v>112719</v>
      </c>
      <c r="O517" t="s">
        <v>123</v>
      </c>
      <c r="P517" t="s">
        <v>146</v>
      </c>
      <c r="Q517">
        <v>8.1999999999999993</v>
      </c>
      <c r="R517" t="s">
        <v>125</v>
      </c>
      <c r="S517" t="s">
        <v>126</v>
      </c>
      <c r="T517" t="s">
        <v>125</v>
      </c>
      <c r="U517" t="s">
        <v>126</v>
      </c>
      <c r="W517">
        <v>8.1999999999999993</v>
      </c>
      <c r="Y517">
        <v>8.1999999999999993</v>
      </c>
      <c r="AC517">
        <v>8.1999999999999993</v>
      </c>
      <c r="BH517" t="s">
        <v>126</v>
      </c>
      <c r="BI517" t="s">
        <v>126</v>
      </c>
      <c r="BJ517" t="s">
        <v>126</v>
      </c>
      <c r="BK517" t="s">
        <v>126</v>
      </c>
      <c r="BS517" t="s">
        <v>126</v>
      </c>
      <c r="BT517" t="s">
        <v>126</v>
      </c>
      <c r="BU517" t="s">
        <v>126</v>
      </c>
      <c r="BV517" t="s">
        <v>126</v>
      </c>
      <c r="CN517" t="s">
        <v>147</v>
      </c>
      <c r="CP517" t="s">
        <v>258</v>
      </c>
      <c r="CQ517" t="s">
        <v>147</v>
      </c>
    </row>
    <row r="518" spans="1:95" x14ac:dyDescent="0.2">
      <c r="A518" t="s">
        <v>115</v>
      </c>
      <c r="B518" t="s">
        <v>116</v>
      </c>
      <c r="C518">
        <v>210784</v>
      </c>
      <c r="E518" t="s">
        <v>117</v>
      </c>
      <c r="F518">
        <v>368</v>
      </c>
      <c r="G518" t="s">
        <v>141</v>
      </c>
      <c r="H518" t="s">
        <v>142</v>
      </c>
      <c r="I518" t="s">
        <v>279</v>
      </c>
      <c r="J518" t="s">
        <v>280</v>
      </c>
      <c r="L518" t="s">
        <v>263</v>
      </c>
      <c r="M518" s="8">
        <v>45597</v>
      </c>
      <c r="N518">
        <v>5604265</v>
      </c>
      <c r="O518" t="s">
        <v>123</v>
      </c>
      <c r="P518" t="s">
        <v>146</v>
      </c>
      <c r="Q518">
        <v>2.08</v>
      </c>
      <c r="R518" t="s">
        <v>125</v>
      </c>
      <c r="S518" t="s">
        <v>126</v>
      </c>
      <c r="T518" t="s">
        <v>125</v>
      </c>
      <c r="U518" t="s">
        <v>126</v>
      </c>
      <c r="W518">
        <v>2.08</v>
      </c>
      <c r="Y518">
        <v>2.08</v>
      </c>
      <c r="AS518">
        <v>2.08</v>
      </c>
      <c r="BH518" t="s">
        <v>126</v>
      </c>
      <c r="BI518" t="s">
        <v>126</v>
      </c>
      <c r="BJ518" t="s">
        <v>126</v>
      </c>
      <c r="BK518" t="s">
        <v>126</v>
      </c>
      <c r="BS518" t="s">
        <v>126</v>
      </c>
      <c r="BT518" t="s">
        <v>126</v>
      </c>
      <c r="BU518" t="s">
        <v>126</v>
      </c>
      <c r="BV518" t="s">
        <v>126</v>
      </c>
      <c r="CN518" t="s">
        <v>147</v>
      </c>
      <c r="CP518" t="s">
        <v>329</v>
      </c>
      <c r="CQ518" t="s">
        <v>147</v>
      </c>
    </row>
    <row r="519" spans="1:95" x14ac:dyDescent="0.2">
      <c r="A519" t="s">
        <v>115</v>
      </c>
      <c r="B519" t="s">
        <v>116</v>
      </c>
      <c r="C519">
        <v>210784</v>
      </c>
      <c r="E519" t="s">
        <v>117</v>
      </c>
      <c r="F519">
        <v>368</v>
      </c>
      <c r="G519" t="s">
        <v>141</v>
      </c>
      <c r="H519" t="s">
        <v>142</v>
      </c>
      <c r="I519" t="s">
        <v>279</v>
      </c>
      <c r="J519" t="s">
        <v>280</v>
      </c>
      <c r="L519" t="s">
        <v>263</v>
      </c>
      <c r="M519" s="8">
        <v>45597</v>
      </c>
      <c r="N519">
        <v>5604282</v>
      </c>
      <c r="O519" t="s">
        <v>123</v>
      </c>
      <c r="P519" t="s">
        <v>146</v>
      </c>
      <c r="Q519">
        <v>4.68</v>
      </c>
      <c r="R519" t="s">
        <v>125</v>
      </c>
      <c r="S519" t="s">
        <v>126</v>
      </c>
      <c r="T519" t="s">
        <v>125</v>
      </c>
      <c r="U519" t="s">
        <v>126</v>
      </c>
      <c r="W519">
        <v>4.68</v>
      </c>
      <c r="Y519">
        <v>4.68</v>
      </c>
      <c r="AS519">
        <v>4.68</v>
      </c>
      <c r="BH519" t="s">
        <v>126</v>
      </c>
      <c r="BI519" t="s">
        <v>126</v>
      </c>
      <c r="BJ519" t="s">
        <v>126</v>
      </c>
      <c r="BK519" t="s">
        <v>126</v>
      </c>
      <c r="BS519" t="s">
        <v>126</v>
      </c>
      <c r="BT519" t="s">
        <v>126</v>
      </c>
      <c r="BU519" t="s">
        <v>126</v>
      </c>
      <c r="BV519" t="s">
        <v>126</v>
      </c>
      <c r="CN519" t="s">
        <v>147</v>
      </c>
      <c r="CP519" t="s">
        <v>329</v>
      </c>
      <c r="CQ519" t="s">
        <v>147</v>
      </c>
    </row>
    <row r="520" spans="1:95" x14ac:dyDescent="0.2">
      <c r="A520" t="s">
        <v>115</v>
      </c>
      <c r="B520" t="s">
        <v>116</v>
      </c>
      <c r="C520">
        <v>210784</v>
      </c>
      <c r="E520" t="s">
        <v>117</v>
      </c>
      <c r="F520">
        <v>368</v>
      </c>
      <c r="G520" t="s">
        <v>141</v>
      </c>
      <c r="H520" t="s">
        <v>142</v>
      </c>
      <c r="I520" t="s">
        <v>279</v>
      </c>
      <c r="J520" t="s">
        <v>280</v>
      </c>
      <c r="L520" t="s">
        <v>330</v>
      </c>
      <c r="M520" s="8">
        <v>45597</v>
      </c>
      <c r="N520">
        <v>5605435</v>
      </c>
      <c r="O520" t="s">
        <v>123</v>
      </c>
      <c r="P520" t="s">
        <v>146</v>
      </c>
      <c r="Q520">
        <v>3.5</v>
      </c>
      <c r="R520" t="s">
        <v>125</v>
      </c>
      <c r="S520" t="s">
        <v>126</v>
      </c>
      <c r="T520" t="s">
        <v>125</v>
      </c>
      <c r="U520" t="s">
        <v>126</v>
      </c>
      <c r="W520">
        <v>3.5</v>
      </c>
      <c r="Y520">
        <v>3.5</v>
      </c>
      <c r="AS520">
        <v>3.5</v>
      </c>
      <c r="BH520" t="s">
        <v>126</v>
      </c>
      <c r="BI520" t="s">
        <v>126</v>
      </c>
      <c r="BJ520" t="s">
        <v>126</v>
      </c>
      <c r="BK520" t="s">
        <v>126</v>
      </c>
      <c r="BS520" t="s">
        <v>126</v>
      </c>
      <c r="BT520" t="s">
        <v>126</v>
      </c>
      <c r="BU520" t="s">
        <v>126</v>
      </c>
      <c r="BV520" t="s">
        <v>126</v>
      </c>
      <c r="CN520" t="s">
        <v>147</v>
      </c>
      <c r="CP520" t="s">
        <v>329</v>
      </c>
      <c r="CQ520" t="s">
        <v>147</v>
      </c>
    </row>
    <row r="521" spans="1:95" x14ac:dyDescent="0.2">
      <c r="A521" t="s">
        <v>115</v>
      </c>
      <c r="B521" t="s">
        <v>116</v>
      </c>
      <c r="C521">
        <v>210784</v>
      </c>
      <c r="E521" t="s">
        <v>117</v>
      </c>
      <c r="F521">
        <v>368</v>
      </c>
      <c r="G521" t="s">
        <v>141</v>
      </c>
      <c r="H521" t="s">
        <v>142</v>
      </c>
      <c r="I521" t="s">
        <v>279</v>
      </c>
      <c r="J521" t="s">
        <v>280</v>
      </c>
      <c r="L521" t="s">
        <v>330</v>
      </c>
      <c r="M521" s="8">
        <v>45597</v>
      </c>
      <c r="N521">
        <v>5605573</v>
      </c>
      <c r="O521" t="s">
        <v>123</v>
      </c>
      <c r="P521" t="s">
        <v>146</v>
      </c>
      <c r="Q521">
        <v>1.4</v>
      </c>
      <c r="R521" t="s">
        <v>125</v>
      </c>
      <c r="S521" t="s">
        <v>126</v>
      </c>
      <c r="T521" t="s">
        <v>125</v>
      </c>
      <c r="U521" t="s">
        <v>126</v>
      </c>
      <c r="W521">
        <v>1.4</v>
      </c>
      <c r="Y521">
        <v>1.4</v>
      </c>
      <c r="AS521">
        <v>1.4</v>
      </c>
      <c r="BH521" t="s">
        <v>126</v>
      </c>
      <c r="BI521" t="s">
        <v>126</v>
      </c>
      <c r="BJ521" t="s">
        <v>126</v>
      </c>
      <c r="BK521" t="s">
        <v>126</v>
      </c>
      <c r="BS521" t="s">
        <v>126</v>
      </c>
      <c r="BT521" t="s">
        <v>126</v>
      </c>
      <c r="BU521" t="s">
        <v>126</v>
      </c>
      <c r="BV521" t="s">
        <v>126</v>
      </c>
      <c r="CN521" t="s">
        <v>147</v>
      </c>
      <c r="CP521" t="s">
        <v>329</v>
      </c>
      <c r="CQ521" t="s">
        <v>147</v>
      </c>
    </row>
    <row r="522" spans="1:95" x14ac:dyDescent="0.2">
      <c r="A522" t="s">
        <v>115</v>
      </c>
      <c r="B522" t="s">
        <v>116</v>
      </c>
      <c r="C522">
        <v>210784</v>
      </c>
      <c r="E522" t="s">
        <v>117</v>
      </c>
      <c r="F522">
        <v>368</v>
      </c>
      <c r="G522" t="s">
        <v>141</v>
      </c>
      <c r="H522" t="s">
        <v>142</v>
      </c>
      <c r="I522" t="s">
        <v>279</v>
      </c>
      <c r="J522" t="s">
        <v>280</v>
      </c>
      <c r="L522" t="s">
        <v>331</v>
      </c>
      <c r="M522" s="8">
        <v>45597</v>
      </c>
      <c r="N522">
        <v>5607028</v>
      </c>
      <c r="O522" t="s">
        <v>123</v>
      </c>
      <c r="P522" t="s">
        <v>146</v>
      </c>
      <c r="Q522">
        <v>4.4400000000000004</v>
      </c>
      <c r="R522" t="s">
        <v>125</v>
      </c>
      <c r="S522" t="s">
        <v>126</v>
      </c>
      <c r="T522" t="s">
        <v>125</v>
      </c>
      <c r="U522" t="s">
        <v>126</v>
      </c>
      <c r="W522">
        <v>4.4400000000000004</v>
      </c>
      <c r="Y522">
        <v>4.4400000000000004</v>
      </c>
      <c r="AS522">
        <v>4.4400000000000004</v>
      </c>
      <c r="BH522" t="s">
        <v>126</v>
      </c>
      <c r="BI522" t="s">
        <v>126</v>
      </c>
      <c r="BJ522" t="s">
        <v>126</v>
      </c>
      <c r="BK522" t="s">
        <v>126</v>
      </c>
      <c r="BS522" t="s">
        <v>126</v>
      </c>
      <c r="BT522" t="s">
        <v>126</v>
      </c>
      <c r="BU522" t="s">
        <v>126</v>
      </c>
      <c r="BV522" t="s">
        <v>126</v>
      </c>
      <c r="CN522" t="s">
        <v>147</v>
      </c>
      <c r="CP522" t="s">
        <v>329</v>
      </c>
      <c r="CQ522" t="s">
        <v>147</v>
      </c>
    </row>
    <row r="523" spans="1:95" x14ac:dyDescent="0.2">
      <c r="A523" t="s">
        <v>115</v>
      </c>
      <c r="B523" t="s">
        <v>116</v>
      </c>
      <c r="C523">
        <v>210784</v>
      </c>
      <c r="E523" t="s">
        <v>117</v>
      </c>
      <c r="F523">
        <v>368</v>
      </c>
      <c r="G523" t="s">
        <v>141</v>
      </c>
      <c r="H523" t="s">
        <v>142</v>
      </c>
      <c r="I523" t="s">
        <v>279</v>
      </c>
      <c r="J523" t="s">
        <v>280</v>
      </c>
      <c r="L523" t="s">
        <v>331</v>
      </c>
      <c r="M523" s="8">
        <v>45597</v>
      </c>
      <c r="N523">
        <v>5607006</v>
      </c>
      <c r="O523" t="s">
        <v>123</v>
      </c>
      <c r="P523" t="s">
        <v>146</v>
      </c>
      <c r="Q523">
        <v>1.64</v>
      </c>
      <c r="R523" t="s">
        <v>125</v>
      </c>
      <c r="S523" t="s">
        <v>126</v>
      </c>
      <c r="T523" t="s">
        <v>125</v>
      </c>
      <c r="U523" t="s">
        <v>126</v>
      </c>
      <c r="W523">
        <v>1.64</v>
      </c>
      <c r="Y523">
        <v>1.64</v>
      </c>
      <c r="AS523">
        <v>1.64</v>
      </c>
      <c r="BH523" t="s">
        <v>126</v>
      </c>
      <c r="BI523" t="s">
        <v>126</v>
      </c>
      <c r="BJ523" t="s">
        <v>126</v>
      </c>
      <c r="BK523" t="s">
        <v>126</v>
      </c>
      <c r="BS523" t="s">
        <v>126</v>
      </c>
      <c r="BT523" t="s">
        <v>126</v>
      </c>
      <c r="BU523" t="s">
        <v>126</v>
      </c>
      <c r="BV523" t="s">
        <v>126</v>
      </c>
      <c r="CN523" t="s">
        <v>147</v>
      </c>
      <c r="CP523" t="s">
        <v>329</v>
      </c>
      <c r="CQ523" t="s">
        <v>147</v>
      </c>
    </row>
    <row r="524" spans="1:95" x14ac:dyDescent="0.2">
      <c r="A524" t="s">
        <v>115</v>
      </c>
      <c r="B524" t="s">
        <v>116</v>
      </c>
      <c r="C524">
        <v>210784</v>
      </c>
      <c r="E524" t="s">
        <v>117</v>
      </c>
      <c r="F524">
        <v>368</v>
      </c>
      <c r="G524" t="s">
        <v>141</v>
      </c>
      <c r="H524" t="s">
        <v>142</v>
      </c>
      <c r="I524" t="s">
        <v>279</v>
      </c>
      <c r="J524" t="s">
        <v>280</v>
      </c>
      <c r="L524" t="s">
        <v>262</v>
      </c>
      <c r="M524" s="8">
        <v>45597</v>
      </c>
      <c r="N524">
        <v>5608272</v>
      </c>
      <c r="O524" t="s">
        <v>123</v>
      </c>
      <c r="P524" t="s">
        <v>146</v>
      </c>
      <c r="Q524">
        <v>1.1100000000000001</v>
      </c>
      <c r="R524" t="s">
        <v>125</v>
      </c>
      <c r="S524" t="s">
        <v>126</v>
      </c>
      <c r="T524" t="s">
        <v>125</v>
      </c>
      <c r="U524" t="s">
        <v>126</v>
      </c>
      <c r="W524">
        <v>1.1100000000000001</v>
      </c>
      <c r="Y524">
        <v>1.1100000000000001</v>
      </c>
      <c r="AS524">
        <v>1.1100000000000001</v>
      </c>
      <c r="BH524" t="s">
        <v>126</v>
      </c>
      <c r="BI524" t="s">
        <v>126</v>
      </c>
      <c r="BJ524" t="s">
        <v>126</v>
      </c>
      <c r="BK524" t="s">
        <v>126</v>
      </c>
      <c r="BS524" t="s">
        <v>126</v>
      </c>
      <c r="BT524" t="s">
        <v>126</v>
      </c>
      <c r="BU524" t="s">
        <v>126</v>
      </c>
      <c r="BV524" t="s">
        <v>126</v>
      </c>
      <c r="CN524" t="s">
        <v>147</v>
      </c>
      <c r="CP524" t="s">
        <v>329</v>
      </c>
      <c r="CQ524" t="s">
        <v>147</v>
      </c>
    </row>
    <row r="525" spans="1:95" x14ac:dyDescent="0.2">
      <c r="A525" t="s">
        <v>115</v>
      </c>
      <c r="B525" t="s">
        <v>116</v>
      </c>
      <c r="C525">
        <v>210784</v>
      </c>
      <c r="E525" t="s">
        <v>117</v>
      </c>
      <c r="F525">
        <v>368</v>
      </c>
      <c r="G525" t="s">
        <v>141</v>
      </c>
      <c r="H525" t="s">
        <v>142</v>
      </c>
      <c r="I525" t="s">
        <v>279</v>
      </c>
      <c r="J525" t="s">
        <v>280</v>
      </c>
      <c r="L525" t="s">
        <v>262</v>
      </c>
      <c r="M525" s="8">
        <v>45597</v>
      </c>
      <c r="N525">
        <v>5608196</v>
      </c>
      <c r="O525" t="s">
        <v>123</v>
      </c>
      <c r="P525" t="s">
        <v>146</v>
      </c>
      <c r="Q525">
        <v>4.2</v>
      </c>
      <c r="R525" t="s">
        <v>125</v>
      </c>
      <c r="S525" t="s">
        <v>126</v>
      </c>
      <c r="T525" t="s">
        <v>125</v>
      </c>
      <c r="U525" t="s">
        <v>126</v>
      </c>
      <c r="W525">
        <v>4.2</v>
      </c>
      <c r="Y525">
        <v>4.2</v>
      </c>
      <c r="AS525">
        <v>4.2</v>
      </c>
      <c r="BH525" t="s">
        <v>126</v>
      </c>
      <c r="BI525" t="s">
        <v>126</v>
      </c>
      <c r="BJ525" t="s">
        <v>126</v>
      </c>
      <c r="BK525" t="s">
        <v>126</v>
      </c>
      <c r="BS525" t="s">
        <v>126</v>
      </c>
      <c r="BT525" t="s">
        <v>126</v>
      </c>
      <c r="BU525" t="s">
        <v>126</v>
      </c>
      <c r="BV525" t="s">
        <v>126</v>
      </c>
      <c r="CN525" t="s">
        <v>147</v>
      </c>
      <c r="CP525" t="s">
        <v>329</v>
      </c>
      <c r="CQ525" t="s">
        <v>147</v>
      </c>
    </row>
    <row r="526" spans="1:95" x14ac:dyDescent="0.2">
      <c r="A526" t="s">
        <v>115</v>
      </c>
      <c r="B526" t="s">
        <v>116</v>
      </c>
      <c r="C526">
        <v>210784</v>
      </c>
      <c r="E526" t="s">
        <v>117</v>
      </c>
      <c r="F526">
        <v>368</v>
      </c>
      <c r="G526" t="s">
        <v>141</v>
      </c>
      <c r="H526" t="s">
        <v>142</v>
      </c>
      <c r="I526" t="s">
        <v>279</v>
      </c>
      <c r="J526" t="s">
        <v>280</v>
      </c>
      <c r="L526" t="s">
        <v>332</v>
      </c>
      <c r="M526" s="8">
        <v>45597</v>
      </c>
      <c r="N526">
        <v>5609080</v>
      </c>
      <c r="O526" t="s">
        <v>123</v>
      </c>
      <c r="P526" t="s">
        <v>146</v>
      </c>
      <c r="Q526">
        <v>3.59</v>
      </c>
      <c r="R526" t="s">
        <v>125</v>
      </c>
      <c r="S526" t="s">
        <v>126</v>
      </c>
      <c r="T526" t="s">
        <v>125</v>
      </c>
      <c r="U526" t="s">
        <v>126</v>
      </c>
      <c r="W526">
        <v>3.59</v>
      </c>
      <c r="Y526">
        <v>3.59</v>
      </c>
      <c r="AS526">
        <v>3.59</v>
      </c>
      <c r="BH526" t="s">
        <v>126</v>
      </c>
      <c r="BI526" t="s">
        <v>126</v>
      </c>
      <c r="BJ526" t="s">
        <v>126</v>
      </c>
      <c r="BK526" t="s">
        <v>126</v>
      </c>
      <c r="BS526" t="s">
        <v>126</v>
      </c>
      <c r="BT526" t="s">
        <v>126</v>
      </c>
      <c r="BU526" t="s">
        <v>126</v>
      </c>
      <c r="BV526" t="s">
        <v>126</v>
      </c>
      <c r="CN526" t="s">
        <v>147</v>
      </c>
      <c r="CP526" t="s">
        <v>329</v>
      </c>
      <c r="CQ526" t="s">
        <v>147</v>
      </c>
    </row>
    <row r="527" spans="1:95" x14ac:dyDescent="0.2">
      <c r="A527" t="s">
        <v>115</v>
      </c>
      <c r="B527" t="s">
        <v>116</v>
      </c>
      <c r="C527">
        <v>210784</v>
      </c>
      <c r="E527" t="s">
        <v>117</v>
      </c>
      <c r="F527">
        <v>368</v>
      </c>
      <c r="G527" t="s">
        <v>141</v>
      </c>
      <c r="H527" t="s">
        <v>142</v>
      </c>
      <c r="I527" t="s">
        <v>279</v>
      </c>
      <c r="J527" t="s">
        <v>280</v>
      </c>
      <c r="L527" t="s">
        <v>242</v>
      </c>
      <c r="M527" s="8">
        <v>45597</v>
      </c>
      <c r="N527">
        <v>5619761</v>
      </c>
      <c r="O527" t="s">
        <v>123</v>
      </c>
      <c r="P527" t="s">
        <v>146</v>
      </c>
      <c r="Q527">
        <v>3.79</v>
      </c>
      <c r="R527" t="s">
        <v>125</v>
      </c>
      <c r="S527" t="s">
        <v>126</v>
      </c>
      <c r="T527" t="s">
        <v>125</v>
      </c>
      <c r="U527" t="s">
        <v>126</v>
      </c>
      <c r="W527">
        <v>3.79</v>
      </c>
      <c r="Y527">
        <v>3.79</v>
      </c>
      <c r="AS527">
        <v>3.79</v>
      </c>
      <c r="BH527" t="s">
        <v>126</v>
      </c>
      <c r="BI527" t="s">
        <v>126</v>
      </c>
      <c r="BJ527" t="s">
        <v>126</v>
      </c>
      <c r="BK527" t="s">
        <v>126</v>
      </c>
      <c r="BS527" t="s">
        <v>126</v>
      </c>
      <c r="BT527" t="s">
        <v>126</v>
      </c>
      <c r="BU527" t="s">
        <v>126</v>
      </c>
      <c r="BV527" t="s">
        <v>126</v>
      </c>
      <c r="CN527" t="s">
        <v>147</v>
      </c>
      <c r="CP527" t="s">
        <v>329</v>
      </c>
      <c r="CQ527" t="s">
        <v>147</v>
      </c>
    </row>
    <row r="528" spans="1:95" x14ac:dyDescent="0.2">
      <c r="A528" t="s">
        <v>115</v>
      </c>
      <c r="B528" t="s">
        <v>116</v>
      </c>
      <c r="C528">
        <v>210784</v>
      </c>
      <c r="E528" t="s">
        <v>117</v>
      </c>
      <c r="F528">
        <v>368</v>
      </c>
      <c r="G528" t="s">
        <v>141</v>
      </c>
      <c r="H528" t="s">
        <v>142</v>
      </c>
      <c r="I528" t="s">
        <v>279</v>
      </c>
      <c r="J528" t="s">
        <v>280</v>
      </c>
      <c r="L528" t="s">
        <v>242</v>
      </c>
      <c r="M528" s="8">
        <v>45597</v>
      </c>
      <c r="N528">
        <v>5610820</v>
      </c>
      <c r="O528" t="s">
        <v>123</v>
      </c>
      <c r="P528" t="s">
        <v>146</v>
      </c>
      <c r="Q528">
        <v>0.84</v>
      </c>
      <c r="R528" t="s">
        <v>125</v>
      </c>
      <c r="S528" t="s">
        <v>126</v>
      </c>
      <c r="T528" t="s">
        <v>125</v>
      </c>
      <c r="U528" t="s">
        <v>126</v>
      </c>
      <c r="W528">
        <v>0.84</v>
      </c>
      <c r="Y528">
        <v>0.84</v>
      </c>
      <c r="AS528">
        <v>0.84</v>
      </c>
      <c r="BH528" t="s">
        <v>126</v>
      </c>
      <c r="BI528" t="s">
        <v>126</v>
      </c>
      <c r="BJ528" t="s">
        <v>126</v>
      </c>
      <c r="BK528" t="s">
        <v>126</v>
      </c>
      <c r="BS528" t="s">
        <v>126</v>
      </c>
      <c r="BT528" t="s">
        <v>126</v>
      </c>
      <c r="BU528" t="s">
        <v>126</v>
      </c>
      <c r="BV528" t="s">
        <v>126</v>
      </c>
      <c r="CN528" t="s">
        <v>147</v>
      </c>
      <c r="CP528" t="s">
        <v>329</v>
      </c>
      <c r="CQ528" t="s">
        <v>147</v>
      </c>
    </row>
    <row r="529" spans="1:95" x14ac:dyDescent="0.2">
      <c r="A529" t="s">
        <v>115</v>
      </c>
      <c r="B529" t="s">
        <v>116</v>
      </c>
      <c r="C529">
        <v>210784</v>
      </c>
      <c r="E529" t="s">
        <v>117</v>
      </c>
      <c r="F529">
        <v>368</v>
      </c>
      <c r="G529" t="s">
        <v>141</v>
      </c>
      <c r="H529" t="s">
        <v>142</v>
      </c>
      <c r="I529" t="s">
        <v>279</v>
      </c>
      <c r="J529" t="s">
        <v>280</v>
      </c>
      <c r="L529" t="s">
        <v>333</v>
      </c>
      <c r="M529" s="8">
        <v>45597</v>
      </c>
      <c r="N529">
        <v>5611753</v>
      </c>
      <c r="O529" t="s">
        <v>123</v>
      </c>
      <c r="P529" t="s">
        <v>146</v>
      </c>
      <c r="Q529">
        <v>2.37</v>
      </c>
      <c r="R529" t="s">
        <v>125</v>
      </c>
      <c r="S529" t="s">
        <v>126</v>
      </c>
      <c r="T529" t="s">
        <v>125</v>
      </c>
      <c r="U529" t="s">
        <v>126</v>
      </c>
      <c r="W529">
        <v>2.37</v>
      </c>
      <c r="Y529">
        <v>2.37</v>
      </c>
      <c r="AS529">
        <v>2.37</v>
      </c>
      <c r="BH529" t="s">
        <v>126</v>
      </c>
      <c r="BI529" t="s">
        <v>126</v>
      </c>
      <c r="BJ529" t="s">
        <v>126</v>
      </c>
      <c r="BK529" t="s">
        <v>126</v>
      </c>
      <c r="BS529" t="s">
        <v>126</v>
      </c>
      <c r="BT529" t="s">
        <v>126</v>
      </c>
      <c r="BU529" t="s">
        <v>126</v>
      </c>
      <c r="BV529" t="s">
        <v>126</v>
      </c>
      <c r="CN529" t="s">
        <v>147</v>
      </c>
      <c r="CP529" t="s">
        <v>329</v>
      </c>
      <c r="CQ529" t="s">
        <v>147</v>
      </c>
    </row>
    <row r="530" spans="1:95" x14ac:dyDescent="0.2">
      <c r="A530" t="s">
        <v>115</v>
      </c>
      <c r="B530" t="s">
        <v>116</v>
      </c>
      <c r="C530">
        <v>210784</v>
      </c>
      <c r="E530" t="s">
        <v>117</v>
      </c>
      <c r="F530">
        <v>368</v>
      </c>
      <c r="G530" t="s">
        <v>141</v>
      </c>
      <c r="H530" t="s">
        <v>142</v>
      </c>
      <c r="I530" t="s">
        <v>279</v>
      </c>
      <c r="J530" t="s">
        <v>280</v>
      </c>
      <c r="L530" t="s">
        <v>334</v>
      </c>
      <c r="M530" s="8">
        <v>45597</v>
      </c>
      <c r="N530">
        <v>5612545</v>
      </c>
      <c r="O530" t="s">
        <v>123</v>
      </c>
      <c r="P530" t="s">
        <v>146</v>
      </c>
      <c r="Q530">
        <v>3.51</v>
      </c>
      <c r="R530" t="s">
        <v>125</v>
      </c>
      <c r="S530" t="s">
        <v>126</v>
      </c>
      <c r="T530" t="s">
        <v>125</v>
      </c>
      <c r="U530" t="s">
        <v>126</v>
      </c>
      <c r="W530">
        <v>3.51</v>
      </c>
      <c r="Y530">
        <v>3.51</v>
      </c>
      <c r="AS530">
        <v>3.51</v>
      </c>
      <c r="BH530" t="s">
        <v>126</v>
      </c>
      <c r="BI530" t="s">
        <v>126</v>
      </c>
      <c r="BJ530" t="s">
        <v>126</v>
      </c>
      <c r="BK530" t="s">
        <v>126</v>
      </c>
      <c r="BS530" t="s">
        <v>126</v>
      </c>
      <c r="BT530" t="s">
        <v>126</v>
      </c>
      <c r="BU530" t="s">
        <v>126</v>
      </c>
      <c r="BV530" t="s">
        <v>126</v>
      </c>
      <c r="CN530" t="s">
        <v>147</v>
      </c>
      <c r="CP530" t="s">
        <v>329</v>
      </c>
      <c r="CQ530" t="s">
        <v>147</v>
      </c>
    </row>
    <row r="531" spans="1:95" x14ac:dyDescent="0.2">
      <c r="A531" t="s">
        <v>115</v>
      </c>
      <c r="B531" t="s">
        <v>116</v>
      </c>
      <c r="C531">
        <v>210784</v>
      </c>
      <c r="E531" t="s">
        <v>117</v>
      </c>
      <c r="F531">
        <v>368</v>
      </c>
      <c r="G531" t="s">
        <v>141</v>
      </c>
      <c r="H531" t="s">
        <v>142</v>
      </c>
      <c r="I531" t="s">
        <v>279</v>
      </c>
      <c r="J531" t="s">
        <v>280</v>
      </c>
      <c r="L531" t="s">
        <v>335</v>
      </c>
      <c r="M531" s="8">
        <v>45597</v>
      </c>
      <c r="N531">
        <v>5613317</v>
      </c>
      <c r="O531" t="s">
        <v>123</v>
      </c>
      <c r="P531" t="s">
        <v>146</v>
      </c>
      <c r="Q531">
        <v>2.5099999999999998</v>
      </c>
      <c r="R531" t="s">
        <v>125</v>
      </c>
      <c r="S531" t="s">
        <v>126</v>
      </c>
      <c r="T531" t="s">
        <v>125</v>
      </c>
      <c r="U531" t="s">
        <v>126</v>
      </c>
      <c r="W531">
        <v>2.5099999999999998</v>
      </c>
      <c r="Y531">
        <v>2.5099999999999998</v>
      </c>
      <c r="AS531">
        <v>2.5099999999999998</v>
      </c>
      <c r="BH531" t="s">
        <v>126</v>
      </c>
      <c r="BI531" t="s">
        <v>126</v>
      </c>
      <c r="BJ531" t="s">
        <v>126</v>
      </c>
      <c r="BK531" t="s">
        <v>126</v>
      </c>
      <c r="BS531" t="s">
        <v>126</v>
      </c>
      <c r="BT531" t="s">
        <v>126</v>
      </c>
      <c r="BU531" t="s">
        <v>126</v>
      </c>
      <c r="BV531" t="s">
        <v>126</v>
      </c>
      <c r="CN531" t="s">
        <v>147</v>
      </c>
      <c r="CP531" t="s">
        <v>329</v>
      </c>
      <c r="CQ531" t="s">
        <v>147</v>
      </c>
    </row>
    <row r="532" spans="1:95" x14ac:dyDescent="0.2">
      <c r="A532" t="s">
        <v>115</v>
      </c>
      <c r="B532" t="s">
        <v>116</v>
      </c>
      <c r="C532">
        <v>210784</v>
      </c>
      <c r="E532" t="s">
        <v>117</v>
      </c>
      <c r="F532">
        <v>368</v>
      </c>
      <c r="G532" t="s">
        <v>141</v>
      </c>
      <c r="H532" t="s">
        <v>142</v>
      </c>
      <c r="I532" t="s">
        <v>279</v>
      </c>
      <c r="J532" t="s">
        <v>280</v>
      </c>
      <c r="L532" t="s">
        <v>336</v>
      </c>
      <c r="M532" s="8">
        <v>45597</v>
      </c>
      <c r="N532">
        <v>5614316</v>
      </c>
      <c r="O532" t="s">
        <v>123</v>
      </c>
      <c r="P532" t="s">
        <v>146</v>
      </c>
      <c r="Q532">
        <v>3.01</v>
      </c>
      <c r="R532" t="s">
        <v>125</v>
      </c>
      <c r="S532" t="s">
        <v>126</v>
      </c>
      <c r="T532" t="s">
        <v>125</v>
      </c>
      <c r="U532" t="s">
        <v>126</v>
      </c>
      <c r="W532">
        <v>3.01</v>
      </c>
      <c r="Y532">
        <v>3.01</v>
      </c>
      <c r="AS532">
        <v>3.01</v>
      </c>
      <c r="BH532" t="s">
        <v>126</v>
      </c>
      <c r="BI532" t="s">
        <v>126</v>
      </c>
      <c r="BJ532" t="s">
        <v>126</v>
      </c>
      <c r="BK532" t="s">
        <v>126</v>
      </c>
      <c r="BS532" t="s">
        <v>126</v>
      </c>
      <c r="BT532" t="s">
        <v>126</v>
      </c>
      <c r="BU532" t="s">
        <v>126</v>
      </c>
      <c r="BV532" t="s">
        <v>126</v>
      </c>
      <c r="CN532" t="s">
        <v>147</v>
      </c>
      <c r="CP532" t="s">
        <v>329</v>
      </c>
      <c r="CQ532" t="s">
        <v>147</v>
      </c>
    </row>
    <row r="533" spans="1:95" x14ac:dyDescent="0.2">
      <c r="A533" t="s">
        <v>115</v>
      </c>
      <c r="B533" t="s">
        <v>116</v>
      </c>
      <c r="C533">
        <v>210784</v>
      </c>
      <c r="E533" t="s">
        <v>117</v>
      </c>
      <c r="F533">
        <v>368</v>
      </c>
      <c r="G533" t="s">
        <v>141</v>
      </c>
      <c r="H533" t="s">
        <v>142</v>
      </c>
      <c r="I533" t="s">
        <v>279</v>
      </c>
      <c r="J533" t="s">
        <v>280</v>
      </c>
      <c r="L533" t="s">
        <v>337</v>
      </c>
      <c r="M533" s="8">
        <v>45597</v>
      </c>
      <c r="N533">
        <v>5614779</v>
      </c>
      <c r="O533" t="s">
        <v>123</v>
      </c>
      <c r="P533" t="s">
        <v>146</v>
      </c>
      <c r="Q533">
        <v>1.72</v>
      </c>
      <c r="R533" t="s">
        <v>125</v>
      </c>
      <c r="S533" t="s">
        <v>126</v>
      </c>
      <c r="T533" t="s">
        <v>125</v>
      </c>
      <c r="U533" t="s">
        <v>126</v>
      </c>
      <c r="W533">
        <v>1.72</v>
      </c>
      <c r="Y533">
        <v>1.72</v>
      </c>
      <c r="AS533">
        <v>1.72</v>
      </c>
      <c r="BH533" t="s">
        <v>126</v>
      </c>
      <c r="BI533" t="s">
        <v>126</v>
      </c>
      <c r="BJ533" t="s">
        <v>126</v>
      </c>
      <c r="BK533" t="s">
        <v>126</v>
      </c>
      <c r="BS533" t="s">
        <v>126</v>
      </c>
      <c r="BT533" t="s">
        <v>126</v>
      </c>
      <c r="BU533" t="s">
        <v>126</v>
      </c>
      <c r="BV533" t="s">
        <v>126</v>
      </c>
      <c r="CN533" t="s">
        <v>147</v>
      </c>
      <c r="CP533" t="s">
        <v>329</v>
      </c>
      <c r="CQ533" t="s">
        <v>147</v>
      </c>
    </row>
    <row r="534" spans="1:95" x14ac:dyDescent="0.2">
      <c r="A534" t="s">
        <v>115</v>
      </c>
      <c r="B534" t="s">
        <v>116</v>
      </c>
      <c r="C534">
        <v>210784</v>
      </c>
      <c r="E534" t="s">
        <v>117</v>
      </c>
      <c r="F534">
        <v>368</v>
      </c>
      <c r="G534" t="s">
        <v>141</v>
      </c>
      <c r="H534" t="s">
        <v>142</v>
      </c>
      <c r="I534" t="s">
        <v>279</v>
      </c>
      <c r="J534" t="s">
        <v>280</v>
      </c>
      <c r="L534" t="s">
        <v>337</v>
      </c>
      <c r="M534" s="8">
        <v>45597</v>
      </c>
      <c r="N534">
        <v>5615180</v>
      </c>
      <c r="O534" t="s">
        <v>123</v>
      </c>
      <c r="P534" t="s">
        <v>146</v>
      </c>
      <c r="Q534">
        <v>5.57</v>
      </c>
      <c r="R534" t="s">
        <v>125</v>
      </c>
      <c r="S534" t="s">
        <v>126</v>
      </c>
      <c r="T534" t="s">
        <v>125</v>
      </c>
      <c r="U534" t="s">
        <v>126</v>
      </c>
      <c r="W534">
        <v>5.57</v>
      </c>
      <c r="Y534">
        <v>5.57</v>
      </c>
      <c r="AS534">
        <v>5.57</v>
      </c>
      <c r="BH534" t="s">
        <v>126</v>
      </c>
      <c r="BI534" t="s">
        <v>126</v>
      </c>
      <c r="BJ534" t="s">
        <v>126</v>
      </c>
      <c r="BK534" t="s">
        <v>126</v>
      </c>
      <c r="BS534" t="s">
        <v>126</v>
      </c>
      <c r="BT534" t="s">
        <v>126</v>
      </c>
      <c r="BU534" t="s">
        <v>126</v>
      </c>
      <c r="BV534" t="s">
        <v>126</v>
      </c>
      <c r="CN534" t="s">
        <v>147</v>
      </c>
      <c r="CP534" t="s">
        <v>329</v>
      </c>
      <c r="CQ534" t="s">
        <v>147</v>
      </c>
    </row>
    <row r="535" spans="1:95" x14ac:dyDescent="0.2">
      <c r="A535" t="s">
        <v>115</v>
      </c>
      <c r="B535" t="s">
        <v>116</v>
      </c>
      <c r="C535">
        <v>210784</v>
      </c>
      <c r="E535" t="s">
        <v>117</v>
      </c>
      <c r="F535">
        <v>368</v>
      </c>
      <c r="G535" t="s">
        <v>141</v>
      </c>
      <c r="H535" t="s">
        <v>142</v>
      </c>
      <c r="I535" t="s">
        <v>279</v>
      </c>
      <c r="J535" t="s">
        <v>280</v>
      </c>
      <c r="L535" t="s">
        <v>264</v>
      </c>
      <c r="M535" s="8">
        <v>45597</v>
      </c>
      <c r="N535">
        <v>5616742</v>
      </c>
      <c r="O535" t="s">
        <v>123</v>
      </c>
      <c r="P535" t="s">
        <v>146</v>
      </c>
      <c r="Q535">
        <v>2.48</v>
      </c>
      <c r="R535" t="s">
        <v>125</v>
      </c>
      <c r="S535" t="s">
        <v>126</v>
      </c>
      <c r="T535" t="s">
        <v>125</v>
      </c>
      <c r="U535" t="s">
        <v>126</v>
      </c>
      <c r="W535">
        <v>2.48</v>
      </c>
      <c r="Y535">
        <v>2.48</v>
      </c>
      <c r="AS535">
        <v>2.48</v>
      </c>
      <c r="BH535" t="s">
        <v>126</v>
      </c>
      <c r="BI535" t="s">
        <v>126</v>
      </c>
      <c r="BJ535" t="s">
        <v>126</v>
      </c>
      <c r="BK535" t="s">
        <v>126</v>
      </c>
      <c r="BS535" t="s">
        <v>126</v>
      </c>
      <c r="BT535" t="s">
        <v>126</v>
      </c>
      <c r="BU535" t="s">
        <v>126</v>
      </c>
      <c r="BV535" t="s">
        <v>126</v>
      </c>
      <c r="CN535" t="s">
        <v>147</v>
      </c>
      <c r="CP535" t="s">
        <v>329</v>
      </c>
      <c r="CQ535" t="s">
        <v>147</v>
      </c>
    </row>
    <row r="536" spans="1:95" x14ac:dyDescent="0.2">
      <c r="A536" t="s">
        <v>115</v>
      </c>
      <c r="B536" t="s">
        <v>116</v>
      </c>
      <c r="C536">
        <v>210784</v>
      </c>
      <c r="E536" t="s">
        <v>117</v>
      </c>
      <c r="F536">
        <v>368</v>
      </c>
      <c r="G536" t="s">
        <v>141</v>
      </c>
      <c r="H536" t="s">
        <v>142</v>
      </c>
      <c r="I536" t="s">
        <v>279</v>
      </c>
      <c r="J536" t="s">
        <v>280</v>
      </c>
      <c r="L536" t="s">
        <v>338</v>
      </c>
      <c r="M536" s="8">
        <v>45597</v>
      </c>
      <c r="N536">
        <v>5617013</v>
      </c>
      <c r="O536" t="s">
        <v>123</v>
      </c>
      <c r="P536" t="s">
        <v>146</v>
      </c>
      <c r="Q536">
        <v>4.82</v>
      </c>
      <c r="R536" t="s">
        <v>125</v>
      </c>
      <c r="S536" t="s">
        <v>126</v>
      </c>
      <c r="T536" t="s">
        <v>125</v>
      </c>
      <c r="U536" t="s">
        <v>126</v>
      </c>
      <c r="W536">
        <v>4.82</v>
      </c>
      <c r="Y536">
        <v>4.82</v>
      </c>
      <c r="AS536">
        <v>4.82</v>
      </c>
      <c r="BH536" t="s">
        <v>126</v>
      </c>
      <c r="BI536" t="s">
        <v>126</v>
      </c>
      <c r="BJ536" t="s">
        <v>126</v>
      </c>
      <c r="BK536" t="s">
        <v>126</v>
      </c>
      <c r="BS536" t="s">
        <v>126</v>
      </c>
      <c r="BT536" t="s">
        <v>126</v>
      </c>
      <c r="BU536" t="s">
        <v>126</v>
      </c>
      <c r="BV536" t="s">
        <v>126</v>
      </c>
      <c r="CN536" t="s">
        <v>147</v>
      </c>
      <c r="CP536" t="s">
        <v>329</v>
      </c>
      <c r="CQ536" t="s">
        <v>147</v>
      </c>
    </row>
    <row r="537" spans="1:95" x14ac:dyDescent="0.2">
      <c r="A537" t="s">
        <v>115</v>
      </c>
      <c r="B537" t="s">
        <v>116</v>
      </c>
      <c r="C537">
        <v>210784</v>
      </c>
      <c r="E537" t="s">
        <v>117</v>
      </c>
      <c r="F537">
        <v>368</v>
      </c>
      <c r="G537" t="s">
        <v>141</v>
      </c>
      <c r="H537" t="s">
        <v>142</v>
      </c>
      <c r="I537" t="s">
        <v>279</v>
      </c>
      <c r="J537" t="s">
        <v>280</v>
      </c>
      <c r="L537" t="s">
        <v>338</v>
      </c>
      <c r="M537" s="8">
        <v>45597</v>
      </c>
      <c r="N537">
        <v>5617478</v>
      </c>
      <c r="O537" t="s">
        <v>123</v>
      </c>
      <c r="P537" t="s">
        <v>146</v>
      </c>
      <c r="Q537">
        <v>0.38</v>
      </c>
      <c r="R537" t="s">
        <v>125</v>
      </c>
      <c r="S537" t="s">
        <v>126</v>
      </c>
      <c r="T537" t="s">
        <v>125</v>
      </c>
      <c r="U537" t="s">
        <v>126</v>
      </c>
      <c r="W537">
        <v>0.38</v>
      </c>
      <c r="Y537">
        <v>0.38</v>
      </c>
      <c r="AS537">
        <v>0.38</v>
      </c>
      <c r="BH537" t="s">
        <v>126</v>
      </c>
      <c r="BI537" t="s">
        <v>126</v>
      </c>
      <c r="BJ537" t="s">
        <v>126</v>
      </c>
      <c r="BK537" t="s">
        <v>126</v>
      </c>
      <c r="BS537" t="s">
        <v>126</v>
      </c>
      <c r="BT537" t="s">
        <v>126</v>
      </c>
      <c r="BU537" t="s">
        <v>126</v>
      </c>
      <c r="BV537" t="s">
        <v>126</v>
      </c>
      <c r="CN537" t="s">
        <v>147</v>
      </c>
      <c r="CP537" t="s">
        <v>329</v>
      </c>
      <c r="CQ537" t="s">
        <v>147</v>
      </c>
    </row>
    <row r="538" spans="1:95" x14ac:dyDescent="0.2">
      <c r="A538" t="s">
        <v>115</v>
      </c>
      <c r="B538" t="s">
        <v>116</v>
      </c>
      <c r="C538">
        <v>210784</v>
      </c>
      <c r="E538" t="s">
        <v>117</v>
      </c>
      <c r="F538">
        <v>368</v>
      </c>
      <c r="G538" t="s">
        <v>141</v>
      </c>
      <c r="H538" t="s">
        <v>142</v>
      </c>
      <c r="I538" t="s">
        <v>279</v>
      </c>
      <c r="J538" t="s">
        <v>280</v>
      </c>
      <c r="L538" t="s">
        <v>339</v>
      </c>
      <c r="M538" s="8">
        <v>45597</v>
      </c>
      <c r="N538">
        <v>5618298</v>
      </c>
      <c r="O538" t="s">
        <v>123</v>
      </c>
      <c r="P538" t="s">
        <v>146</v>
      </c>
      <c r="Q538">
        <v>0.99</v>
      </c>
      <c r="R538" t="s">
        <v>125</v>
      </c>
      <c r="S538" t="s">
        <v>126</v>
      </c>
      <c r="T538" t="s">
        <v>125</v>
      </c>
      <c r="U538" t="s">
        <v>126</v>
      </c>
      <c r="W538">
        <v>0.99</v>
      </c>
      <c r="Y538">
        <v>0.99</v>
      </c>
      <c r="AS538">
        <v>0.99</v>
      </c>
      <c r="BH538" t="s">
        <v>126</v>
      </c>
      <c r="BI538" t="s">
        <v>126</v>
      </c>
      <c r="BJ538" t="s">
        <v>126</v>
      </c>
      <c r="BK538" t="s">
        <v>126</v>
      </c>
      <c r="BS538" t="s">
        <v>126</v>
      </c>
      <c r="BT538" t="s">
        <v>126</v>
      </c>
      <c r="BU538" t="s">
        <v>126</v>
      </c>
      <c r="BV538" t="s">
        <v>126</v>
      </c>
      <c r="CN538" t="s">
        <v>147</v>
      </c>
      <c r="CP538" t="s">
        <v>329</v>
      </c>
      <c r="CQ538" t="s">
        <v>147</v>
      </c>
    </row>
    <row r="539" spans="1:95" x14ac:dyDescent="0.2">
      <c r="A539" t="s">
        <v>115</v>
      </c>
      <c r="B539" t="s">
        <v>116</v>
      </c>
      <c r="C539">
        <v>210784</v>
      </c>
      <c r="E539" t="s">
        <v>117</v>
      </c>
      <c r="F539">
        <v>368</v>
      </c>
      <c r="G539" t="s">
        <v>141</v>
      </c>
      <c r="H539" t="s">
        <v>142</v>
      </c>
      <c r="I539" t="s">
        <v>279</v>
      </c>
      <c r="J539" t="s">
        <v>280</v>
      </c>
      <c r="L539" t="s">
        <v>339</v>
      </c>
      <c r="M539" s="8">
        <v>45597</v>
      </c>
      <c r="N539">
        <v>5618302</v>
      </c>
      <c r="O539" t="s">
        <v>123</v>
      </c>
      <c r="P539" t="s">
        <v>146</v>
      </c>
      <c r="Q539">
        <v>1.27</v>
      </c>
      <c r="R539" t="s">
        <v>125</v>
      </c>
      <c r="S539" t="s">
        <v>126</v>
      </c>
      <c r="T539" t="s">
        <v>125</v>
      </c>
      <c r="U539" t="s">
        <v>126</v>
      </c>
      <c r="W539">
        <v>1.27</v>
      </c>
      <c r="Y539">
        <v>1.27</v>
      </c>
      <c r="AS539">
        <v>1.27</v>
      </c>
      <c r="BH539" t="s">
        <v>126</v>
      </c>
      <c r="BI539" t="s">
        <v>126</v>
      </c>
      <c r="BJ539" t="s">
        <v>126</v>
      </c>
      <c r="BK539" t="s">
        <v>126</v>
      </c>
      <c r="BS539" t="s">
        <v>126</v>
      </c>
      <c r="BT539" t="s">
        <v>126</v>
      </c>
      <c r="BU539" t="s">
        <v>126</v>
      </c>
      <c r="BV539" t="s">
        <v>126</v>
      </c>
      <c r="CN539" t="s">
        <v>147</v>
      </c>
      <c r="CP539" t="s">
        <v>329</v>
      </c>
      <c r="CQ539" t="s">
        <v>147</v>
      </c>
    </row>
    <row r="540" spans="1:95" x14ac:dyDescent="0.2">
      <c r="A540" t="s">
        <v>115</v>
      </c>
      <c r="B540" t="s">
        <v>116</v>
      </c>
      <c r="C540">
        <v>210784</v>
      </c>
      <c r="E540" t="s">
        <v>117</v>
      </c>
      <c r="F540">
        <v>368</v>
      </c>
      <c r="G540" t="s">
        <v>141</v>
      </c>
      <c r="H540" t="s">
        <v>142</v>
      </c>
      <c r="I540" t="s">
        <v>279</v>
      </c>
      <c r="J540" t="s">
        <v>280</v>
      </c>
      <c r="L540" t="s">
        <v>339</v>
      </c>
      <c r="M540" s="8">
        <v>45597</v>
      </c>
      <c r="N540">
        <v>5618198</v>
      </c>
      <c r="O540" t="s">
        <v>123</v>
      </c>
      <c r="P540" t="s">
        <v>146</v>
      </c>
      <c r="Q540">
        <v>4.91</v>
      </c>
      <c r="R540" t="s">
        <v>125</v>
      </c>
      <c r="S540" t="s">
        <v>126</v>
      </c>
      <c r="T540" t="s">
        <v>125</v>
      </c>
      <c r="U540" t="s">
        <v>126</v>
      </c>
      <c r="W540">
        <v>4.91</v>
      </c>
      <c r="Y540">
        <v>4.91</v>
      </c>
      <c r="AS540">
        <v>4.91</v>
      </c>
      <c r="BH540" t="s">
        <v>126</v>
      </c>
      <c r="BI540" t="s">
        <v>126</v>
      </c>
      <c r="BJ540" t="s">
        <v>126</v>
      </c>
      <c r="BK540" t="s">
        <v>126</v>
      </c>
      <c r="BS540" t="s">
        <v>126</v>
      </c>
      <c r="BT540" t="s">
        <v>126</v>
      </c>
      <c r="BU540" t="s">
        <v>126</v>
      </c>
      <c r="BV540" t="s">
        <v>126</v>
      </c>
      <c r="CN540" t="s">
        <v>147</v>
      </c>
      <c r="CP540" t="s">
        <v>329</v>
      </c>
      <c r="CQ540" t="s">
        <v>147</v>
      </c>
    </row>
    <row r="541" spans="1:95" x14ac:dyDescent="0.2">
      <c r="A541" t="s">
        <v>115</v>
      </c>
      <c r="B541" t="s">
        <v>116</v>
      </c>
      <c r="C541">
        <v>210784</v>
      </c>
      <c r="E541" t="s">
        <v>117</v>
      </c>
      <c r="F541">
        <v>368</v>
      </c>
      <c r="G541" t="s">
        <v>141</v>
      </c>
      <c r="H541" t="s">
        <v>142</v>
      </c>
      <c r="I541" t="s">
        <v>279</v>
      </c>
      <c r="J541" t="s">
        <v>280</v>
      </c>
      <c r="L541" t="s">
        <v>258</v>
      </c>
      <c r="M541" s="8">
        <v>45597</v>
      </c>
      <c r="N541">
        <v>5619817</v>
      </c>
      <c r="O541" t="s">
        <v>123</v>
      </c>
      <c r="P541" t="s">
        <v>146</v>
      </c>
      <c r="Q541">
        <v>5.85</v>
      </c>
      <c r="R541" t="s">
        <v>125</v>
      </c>
      <c r="S541" t="s">
        <v>126</v>
      </c>
      <c r="T541" t="s">
        <v>125</v>
      </c>
      <c r="U541" t="s">
        <v>126</v>
      </c>
      <c r="W541">
        <v>5.85</v>
      </c>
      <c r="Y541">
        <v>5.85</v>
      </c>
      <c r="AS541">
        <v>5.85</v>
      </c>
      <c r="BH541" t="s">
        <v>126</v>
      </c>
      <c r="BI541" t="s">
        <v>126</v>
      </c>
      <c r="BJ541" t="s">
        <v>126</v>
      </c>
      <c r="BK541" t="s">
        <v>126</v>
      </c>
      <c r="BS541" t="s">
        <v>126</v>
      </c>
      <c r="BT541" t="s">
        <v>126</v>
      </c>
      <c r="BU541" t="s">
        <v>126</v>
      </c>
      <c r="BV541" t="s">
        <v>126</v>
      </c>
      <c r="CN541" t="s">
        <v>147</v>
      </c>
      <c r="CP541" t="s">
        <v>340</v>
      </c>
      <c r="CQ541" t="s">
        <v>147</v>
      </c>
    </row>
    <row r="542" spans="1:95" x14ac:dyDescent="0.2">
      <c r="A542" t="s">
        <v>115</v>
      </c>
      <c r="B542" t="s">
        <v>116</v>
      </c>
      <c r="C542">
        <v>210784</v>
      </c>
      <c r="E542" t="s">
        <v>117</v>
      </c>
      <c r="F542">
        <v>368</v>
      </c>
      <c r="G542" t="s">
        <v>314</v>
      </c>
      <c r="H542" t="s">
        <v>115</v>
      </c>
      <c r="I542" t="s">
        <v>515</v>
      </c>
      <c r="J542" t="s">
        <v>516</v>
      </c>
      <c r="L542" t="s">
        <v>329</v>
      </c>
      <c r="M542" s="8">
        <v>45597</v>
      </c>
      <c r="N542" t="s">
        <v>517</v>
      </c>
      <c r="O542" t="s">
        <v>123</v>
      </c>
      <c r="P542" t="s">
        <v>146</v>
      </c>
      <c r="Q542">
        <v>61.91</v>
      </c>
      <c r="R542" t="s">
        <v>125</v>
      </c>
      <c r="S542" t="s">
        <v>126</v>
      </c>
      <c r="T542" t="s">
        <v>125</v>
      </c>
      <c r="U542" t="s">
        <v>126</v>
      </c>
      <c r="W542">
        <v>61.91</v>
      </c>
      <c r="Y542">
        <v>61.91</v>
      </c>
      <c r="AF542">
        <v>61.91</v>
      </c>
      <c r="BH542" t="s">
        <v>126</v>
      </c>
      <c r="BI542" t="s">
        <v>126</v>
      </c>
      <c r="BJ542" t="s">
        <v>126</v>
      </c>
      <c r="BK542" t="s">
        <v>126</v>
      </c>
      <c r="BS542" t="s">
        <v>126</v>
      </c>
      <c r="BT542" t="s">
        <v>126</v>
      </c>
      <c r="BU542" t="s">
        <v>126</v>
      </c>
      <c r="BV542" t="s">
        <v>126</v>
      </c>
      <c r="CN542" t="s">
        <v>518</v>
      </c>
      <c r="CP542" t="s">
        <v>403</v>
      </c>
      <c r="CQ542" t="s">
        <v>518</v>
      </c>
    </row>
    <row r="543" spans="1:95" x14ac:dyDescent="0.2">
      <c r="A543" t="s">
        <v>115</v>
      </c>
      <c r="B543" t="s">
        <v>116</v>
      </c>
      <c r="C543">
        <v>210784</v>
      </c>
      <c r="E543" t="s">
        <v>117</v>
      </c>
      <c r="F543">
        <v>368</v>
      </c>
      <c r="G543" t="s">
        <v>141</v>
      </c>
      <c r="H543" t="s">
        <v>142</v>
      </c>
      <c r="I543" t="s">
        <v>279</v>
      </c>
      <c r="J543" t="s">
        <v>280</v>
      </c>
      <c r="L543" t="s">
        <v>659</v>
      </c>
      <c r="M543" s="8">
        <v>45597</v>
      </c>
      <c r="N543">
        <v>5613599</v>
      </c>
      <c r="O543" t="s">
        <v>123</v>
      </c>
      <c r="P543" t="s">
        <v>146</v>
      </c>
      <c r="Q543">
        <v>0.82000000000000006</v>
      </c>
      <c r="R543" t="s">
        <v>660</v>
      </c>
      <c r="S543" t="s">
        <v>126</v>
      </c>
      <c r="T543" t="s">
        <v>660</v>
      </c>
      <c r="U543" t="s">
        <v>661</v>
      </c>
      <c r="W543">
        <v>0.25</v>
      </c>
      <c r="X543">
        <v>0.57000000000000006</v>
      </c>
      <c r="Y543">
        <v>0.82000000000000006</v>
      </c>
      <c r="Z543">
        <v>0.31</v>
      </c>
      <c r="AG543">
        <v>0.25</v>
      </c>
      <c r="AI543">
        <v>0.26</v>
      </c>
      <c r="BH543" t="s">
        <v>126</v>
      </c>
      <c r="BI543" t="s">
        <v>126</v>
      </c>
      <c r="BJ543" t="s">
        <v>126</v>
      </c>
      <c r="BK543" t="s">
        <v>126</v>
      </c>
      <c r="BS543" t="s">
        <v>126</v>
      </c>
      <c r="BT543" t="s">
        <v>126</v>
      </c>
      <c r="BU543" t="s">
        <v>126</v>
      </c>
      <c r="BV543" t="s">
        <v>126</v>
      </c>
      <c r="CN543" t="s">
        <v>147</v>
      </c>
      <c r="CP543" t="s">
        <v>329</v>
      </c>
      <c r="CQ543" t="s">
        <v>147</v>
      </c>
    </row>
    <row r="544" spans="1:95" x14ac:dyDescent="0.2">
      <c r="A544" t="s">
        <v>115</v>
      </c>
      <c r="B544" t="s">
        <v>116</v>
      </c>
      <c r="C544">
        <v>210784</v>
      </c>
      <c r="E544" t="s">
        <v>117</v>
      </c>
      <c r="F544">
        <v>368</v>
      </c>
      <c r="G544" t="s">
        <v>141</v>
      </c>
      <c r="H544" t="s">
        <v>142</v>
      </c>
      <c r="I544" t="s">
        <v>279</v>
      </c>
      <c r="J544" t="s">
        <v>280</v>
      </c>
      <c r="L544" t="s">
        <v>338</v>
      </c>
      <c r="M544" s="8">
        <v>45597</v>
      </c>
      <c r="N544">
        <v>5617555</v>
      </c>
      <c r="O544" t="s">
        <v>123</v>
      </c>
      <c r="P544" t="s">
        <v>146</v>
      </c>
      <c r="Q544">
        <v>2.1</v>
      </c>
      <c r="R544" t="s">
        <v>596</v>
      </c>
      <c r="S544" t="s">
        <v>126</v>
      </c>
      <c r="T544" t="s">
        <v>596</v>
      </c>
      <c r="U544" t="s">
        <v>597</v>
      </c>
      <c r="W544">
        <v>0.65</v>
      </c>
      <c r="X544">
        <v>1.4500000000000002</v>
      </c>
      <c r="Y544">
        <v>2.1</v>
      </c>
      <c r="Z544">
        <v>0.8</v>
      </c>
      <c r="AG544">
        <v>0.65</v>
      </c>
      <c r="AI544">
        <v>0.65</v>
      </c>
      <c r="BH544" t="s">
        <v>126</v>
      </c>
      <c r="BI544" t="s">
        <v>126</v>
      </c>
      <c r="BJ544" t="s">
        <v>126</v>
      </c>
      <c r="BK544" t="s">
        <v>126</v>
      </c>
      <c r="BS544" t="s">
        <v>126</v>
      </c>
      <c r="BT544" t="s">
        <v>126</v>
      </c>
      <c r="BU544" t="s">
        <v>126</v>
      </c>
      <c r="BV544" t="s">
        <v>126</v>
      </c>
      <c r="CN544" t="s">
        <v>147</v>
      </c>
      <c r="CP544" t="s">
        <v>329</v>
      </c>
      <c r="CQ544" t="s">
        <v>147</v>
      </c>
    </row>
    <row r="545" spans="1:95" x14ac:dyDescent="0.2">
      <c r="A545" t="s">
        <v>115</v>
      </c>
      <c r="B545" t="s">
        <v>116</v>
      </c>
      <c r="C545">
        <v>210784</v>
      </c>
      <c r="E545" t="s">
        <v>117</v>
      </c>
      <c r="F545">
        <v>368</v>
      </c>
      <c r="G545" t="s">
        <v>141</v>
      </c>
      <c r="H545" t="s">
        <v>142</v>
      </c>
      <c r="I545" t="s">
        <v>284</v>
      </c>
      <c r="J545" t="s">
        <v>285</v>
      </c>
      <c r="L545" t="s">
        <v>329</v>
      </c>
      <c r="M545" s="8">
        <v>45597</v>
      </c>
      <c r="N545">
        <v>113417</v>
      </c>
      <c r="O545" t="s">
        <v>123</v>
      </c>
      <c r="P545" t="s">
        <v>146</v>
      </c>
      <c r="Q545">
        <v>0.51</v>
      </c>
      <c r="R545" t="s">
        <v>662</v>
      </c>
      <c r="S545" t="s">
        <v>126</v>
      </c>
      <c r="T545" t="s">
        <v>662</v>
      </c>
      <c r="U545" t="s">
        <v>663</v>
      </c>
      <c r="W545">
        <v>0.48449999999999999</v>
      </c>
      <c r="X545">
        <v>2.5499999999999998E-2</v>
      </c>
      <c r="Y545">
        <v>0.51</v>
      </c>
      <c r="Z545">
        <v>2.5499999999999998E-2</v>
      </c>
      <c r="BE545">
        <v>0.48449999999999999</v>
      </c>
      <c r="BH545" t="s">
        <v>126</v>
      </c>
      <c r="BI545" t="s">
        <v>126</v>
      </c>
      <c r="BJ545" t="s">
        <v>126</v>
      </c>
      <c r="BK545" t="s">
        <v>126</v>
      </c>
      <c r="BS545" t="s">
        <v>126</v>
      </c>
      <c r="BT545" t="s">
        <v>126</v>
      </c>
      <c r="BU545" t="s">
        <v>126</v>
      </c>
      <c r="BV545" t="s">
        <v>126</v>
      </c>
      <c r="CN545" t="s">
        <v>147</v>
      </c>
      <c r="CP545" t="s">
        <v>340</v>
      </c>
      <c r="CQ545" t="s">
        <v>147</v>
      </c>
    </row>
    <row r="546" spans="1:95" x14ac:dyDescent="0.2">
      <c r="A546" t="s">
        <v>115</v>
      </c>
      <c r="B546" t="s">
        <v>116</v>
      </c>
      <c r="C546">
        <v>210784</v>
      </c>
      <c r="E546" t="s">
        <v>117</v>
      </c>
      <c r="F546">
        <v>368</v>
      </c>
      <c r="G546" t="s">
        <v>141</v>
      </c>
      <c r="H546" t="s">
        <v>142</v>
      </c>
      <c r="I546" t="s">
        <v>279</v>
      </c>
      <c r="J546" t="s">
        <v>280</v>
      </c>
      <c r="L546" t="s">
        <v>263</v>
      </c>
      <c r="M546" s="8">
        <v>45597</v>
      </c>
      <c r="N546">
        <v>5604445</v>
      </c>
      <c r="O546" t="s">
        <v>123</v>
      </c>
      <c r="P546" t="s">
        <v>146</v>
      </c>
      <c r="Q546">
        <v>2.62</v>
      </c>
      <c r="R546" t="s">
        <v>125</v>
      </c>
      <c r="S546" t="s">
        <v>126</v>
      </c>
      <c r="T546" t="s">
        <v>125</v>
      </c>
      <c r="U546" t="s">
        <v>126</v>
      </c>
      <c r="W546">
        <v>2.62</v>
      </c>
      <c r="Y546">
        <v>2.62</v>
      </c>
      <c r="BE546">
        <v>2.62</v>
      </c>
      <c r="BH546" t="s">
        <v>126</v>
      </c>
      <c r="BI546" t="s">
        <v>126</v>
      </c>
      <c r="BJ546" t="s">
        <v>126</v>
      </c>
      <c r="BK546" t="s">
        <v>126</v>
      </c>
      <c r="BS546" t="s">
        <v>126</v>
      </c>
      <c r="BT546" t="s">
        <v>126</v>
      </c>
      <c r="BU546" t="s">
        <v>126</v>
      </c>
      <c r="BV546" t="s">
        <v>126</v>
      </c>
      <c r="CN546" t="s">
        <v>147</v>
      </c>
      <c r="CP546" t="s">
        <v>329</v>
      </c>
      <c r="CQ546" t="s">
        <v>147</v>
      </c>
    </row>
    <row r="547" spans="1:95" x14ac:dyDescent="0.2">
      <c r="A547" t="s">
        <v>115</v>
      </c>
      <c r="B547" t="s">
        <v>116</v>
      </c>
      <c r="C547">
        <v>210784</v>
      </c>
      <c r="E547" t="s">
        <v>117</v>
      </c>
      <c r="F547">
        <v>368</v>
      </c>
      <c r="G547" t="s">
        <v>141</v>
      </c>
      <c r="H547" t="s">
        <v>142</v>
      </c>
      <c r="I547" t="s">
        <v>279</v>
      </c>
      <c r="J547" t="s">
        <v>280</v>
      </c>
      <c r="L547" t="s">
        <v>330</v>
      </c>
      <c r="M547" s="8">
        <v>45597</v>
      </c>
      <c r="N547">
        <v>5605693</v>
      </c>
      <c r="O547" t="s">
        <v>123</v>
      </c>
      <c r="P547" t="s">
        <v>146</v>
      </c>
      <c r="Q547">
        <v>1.49</v>
      </c>
      <c r="R547" t="s">
        <v>125</v>
      </c>
      <c r="S547" t="s">
        <v>126</v>
      </c>
      <c r="T547" t="s">
        <v>125</v>
      </c>
      <c r="U547" t="s">
        <v>126</v>
      </c>
      <c r="W547">
        <v>1.49</v>
      </c>
      <c r="Y547">
        <v>1.49</v>
      </c>
      <c r="BE547">
        <v>1.49</v>
      </c>
      <c r="BH547" t="s">
        <v>126</v>
      </c>
      <c r="BI547" t="s">
        <v>126</v>
      </c>
      <c r="BJ547" t="s">
        <v>126</v>
      </c>
      <c r="BK547" t="s">
        <v>126</v>
      </c>
      <c r="BS547" t="s">
        <v>126</v>
      </c>
      <c r="BT547" t="s">
        <v>126</v>
      </c>
      <c r="BU547" t="s">
        <v>126</v>
      </c>
      <c r="BV547" t="s">
        <v>126</v>
      </c>
      <c r="CN547" t="s">
        <v>147</v>
      </c>
      <c r="CP547" t="s">
        <v>329</v>
      </c>
      <c r="CQ547" t="s">
        <v>147</v>
      </c>
    </row>
    <row r="548" spans="1:95" x14ac:dyDescent="0.2">
      <c r="A548" t="s">
        <v>115</v>
      </c>
      <c r="B548" t="s">
        <v>116</v>
      </c>
      <c r="C548">
        <v>210784</v>
      </c>
      <c r="E548" t="s">
        <v>117</v>
      </c>
      <c r="F548">
        <v>368</v>
      </c>
      <c r="G548" t="s">
        <v>141</v>
      </c>
      <c r="H548" t="s">
        <v>142</v>
      </c>
      <c r="I548" t="s">
        <v>279</v>
      </c>
      <c r="J548" t="s">
        <v>280</v>
      </c>
      <c r="L548" t="s">
        <v>242</v>
      </c>
      <c r="M548" s="8">
        <v>45597</v>
      </c>
      <c r="N548">
        <v>5610548</v>
      </c>
      <c r="O548" t="s">
        <v>123</v>
      </c>
      <c r="P548" t="s">
        <v>146</v>
      </c>
      <c r="Q548">
        <v>3.79</v>
      </c>
      <c r="R548" t="s">
        <v>125</v>
      </c>
      <c r="S548" t="s">
        <v>126</v>
      </c>
      <c r="T548" t="s">
        <v>125</v>
      </c>
      <c r="U548" t="s">
        <v>126</v>
      </c>
      <c r="W548">
        <v>3.79</v>
      </c>
      <c r="Y548">
        <v>3.79</v>
      </c>
      <c r="BE548">
        <v>3.79</v>
      </c>
      <c r="BH548" t="s">
        <v>126</v>
      </c>
      <c r="BI548" t="s">
        <v>126</v>
      </c>
      <c r="BJ548" t="s">
        <v>126</v>
      </c>
      <c r="BK548" t="s">
        <v>126</v>
      </c>
      <c r="BS548" t="s">
        <v>126</v>
      </c>
      <c r="BT548" t="s">
        <v>126</v>
      </c>
      <c r="BU548" t="s">
        <v>126</v>
      </c>
      <c r="BV548" t="s">
        <v>126</v>
      </c>
      <c r="CN548" t="s">
        <v>147</v>
      </c>
      <c r="CP548" t="s">
        <v>329</v>
      </c>
      <c r="CQ548" t="s">
        <v>147</v>
      </c>
    </row>
    <row r="549" spans="1:95" x14ac:dyDescent="0.2">
      <c r="A549" t="s">
        <v>115</v>
      </c>
      <c r="B549" t="s">
        <v>116</v>
      </c>
      <c r="C549">
        <v>210784</v>
      </c>
      <c r="E549" t="s">
        <v>117</v>
      </c>
      <c r="F549">
        <v>368</v>
      </c>
      <c r="G549" t="s">
        <v>141</v>
      </c>
      <c r="H549" t="s">
        <v>142</v>
      </c>
      <c r="I549" t="s">
        <v>279</v>
      </c>
      <c r="J549" t="s">
        <v>280</v>
      </c>
      <c r="L549" t="s">
        <v>333</v>
      </c>
      <c r="M549" s="8">
        <v>45597</v>
      </c>
      <c r="N549">
        <v>5611594</v>
      </c>
      <c r="O549" t="s">
        <v>123</v>
      </c>
      <c r="P549" t="s">
        <v>146</v>
      </c>
      <c r="Q549">
        <v>1.2</v>
      </c>
      <c r="R549" t="s">
        <v>125</v>
      </c>
      <c r="S549" t="s">
        <v>126</v>
      </c>
      <c r="T549" t="s">
        <v>125</v>
      </c>
      <c r="U549" t="s">
        <v>126</v>
      </c>
      <c r="W549">
        <v>1.2</v>
      </c>
      <c r="Y549">
        <v>1.2</v>
      </c>
      <c r="BE549">
        <v>1.2</v>
      </c>
      <c r="BH549" t="s">
        <v>126</v>
      </c>
      <c r="BI549" t="s">
        <v>126</v>
      </c>
      <c r="BJ549" t="s">
        <v>126</v>
      </c>
      <c r="BK549" t="s">
        <v>126</v>
      </c>
      <c r="BS549" t="s">
        <v>126</v>
      </c>
      <c r="BT549" t="s">
        <v>126</v>
      </c>
      <c r="BU549" t="s">
        <v>126</v>
      </c>
      <c r="BV549" t="s">
        <v>126</v>
      </c>
      <c r="CN549" t="s">
        <v>147</v>
      </c>
      <c r="CP549" t="s">
        <v>329</v>
      </c>
      <c r="CQ549" t="s">
        <v>147</v>
      </c>
    </row>
    <row r="550" spans="1:95" x14ac:dyDescent="0.2">
      <c r="A550" t="s">
        <v>115</v>
      </c>
      <c r="B550" t="s">
        <v>116</v>
      </c>
      <c r="C550">
        <v>210784</v>
      </c>
      <c r="E550" t="s">
        <v>117</v>
      </c>
      <c r="F550">
        <v>368</v>
      </c>
      <c r="G550" t="s">
        <v>141</v>
      </c>
      <c r="H550" t="s">
        <v>142</v>
      </c>
      <c r="I550" t="s">
        <v>279</v>
      </c>
      <c r="J550" t="s">
        <v>280</v>
      </c>
      <c r="L550" t="s">
        <v>338</v>
      </c>
      <c r="M550" s="8">
        <v>45597</v>
      </c>
      <c r="N550">
        <v>5617391</v>
      </c>
      <c r="O550" t="s">
        <v>123</v>
      </c>
      <c r="P550" t="s">
        <v>146</v>
      </c>
      <c r="Q550">
        <v>1.47</v>
      </c>
      <c r="R550" t="s">
        <v>125</v>
      </c>
      <c r="S550" t="s">
        <v>126</v>
      </c>
      <c r="T550" t="s">
        <v>125</v>
      </c>
      <c r="U550" t="s">
        <v>126</v>
      </c>
      <c r="W550">
        <v>1.47</v>
      </c>
      <c r="Y550">
        <v>1.47</v>
      </c>
      <c r="BE550">
        <v>1.47</v>
      </c>
      <c r="BH550" t="s">
        <v>126</v>
      </c>
      <c r="BI550" t="s">
        <v>126</v>
      </c>
      <c r="BJ550" t="s">
        <v>126</v>
      </c>
      <c r="BK550" t="s">
        <v>126</v>
      </c>
      <c r="BS550" t="s">
        <v>126</v>
      </c>
      <c r="BT550" t="s">
        <v>126</v>
      </c>
      <c r="BU550" t="s">
        <v>126</v>
      </c>
      <c r="BV550" t="s">
        <v>126</v>
      </c>
      <c r="CN550" t="s">
        <v>147</v>
      </c>
      <c r="CP550" t="s">
        <v>329</v>
      </c>
      <c r="CQ550" t="s">
        <v>147</v>
      </c>
    </row>
    <row r="551" spans="1:95" x14ac:dyDescent="0.2">
      <c r="A551" t="s">
        <v>115</v>
      </c>
      <c r="B551" t="s">
        <v>116</v>
      </c>
      <c r="C551">
        <v>210784</v>
      </c>
      <c r="E551" t="s">
        <v>117</v>
      </c>
      <c r="F551">
        <v>368</v>
      </c>
      <c r="G551" t="s">
        <v>141</v>
      </c>
      <c r="H551" t="s">
        <v>142</v>
      </c>
      <c r="I551" t="s">
        <v>172</v>
      </c>
      <c r="J551" t="s">
        <v>173</v>
      </c>
      <c r="L551" t="s">
        <v>329</v>
      </c>
      <c r="M551" s="8">
        <v>45597</v>
      </c>
      <c r="N551">
        <v>119773</v>
      </c>
      <c r="O551" t="s">
        <v>123</v>
      </c>
      <c r="P551" t="s">
        <v>146</v>
      </c>
      <c r="Q551">
        <v>0.84599999999999997</v>
      </c>
      <c r="R551" t="s">
        <v>125</v>
      </c>
      <c r="S551" t="s">
        <v>126</v>
      </c>
      <c r="T551" t="s">
        <v>125</v>
      </c>
      <c r="U551" t="s">
        <v>126</v>
      </c>
      <c r="W551">
        <v>0.84599999999999997</v>
      </c>
      <c r="Y551">
        <v>0.84599999999999997</v>
      </c>
      <c r="AH551">
        <v>0.84599999999999997</v>
      </c>
      <c r="BH551" t="s">
        <v>126</v>
      </c>
      <c r="BI551" t="s">
        <v>126</v>
      </c>
      <c r="BJ551" t="s">
        <v>126</v>
      </c>
      <c r="BK551" t="s">
        <v>126</v>
      </c>
      <c r="BS551" t="s">
        <v>126</v>
      </c>
      <c r="BT551" t="s">
        <v>126</v>
      </c>
      <c r="BU551" t="s">
        <v>126</v>
      </c>
      <c r="BV551" t="s">
        <v>126</v>
      </c>
      <c r="CN551" t="s">
        <v>147</v>
      </c>
      <c r="CP551" t="s">
        <v>357</v>
      </c>
      <c r="CQ551" t="s">
        <v>147</v>
      </c>
    </row>
    <row r="552" spans="1:95" x14ac:dyDescent="0.2">
      <c r="A552" t="s">
        <v>115</v>
      </c>
      <c r="B552" t="s">
        <v>116</v>
      </c>
      <c r="C552">
        <v>210784</v>
      </c>
      <c r="E552" t="s">
        <v>117</v>
      </c>
      <c r="F552">
        <v>368</v>
      </c>
      <c r="G552" t="s">
        <v>141</v>
      </c>
      <c r="H552" t="s">
        <v>142</v>
      </c>
      <c r="I552" t="s">
        <v>259</v>
      </c>
      <c r="J552" t="s">
        <v>260</v>
      </c>
      <c r="L552" t="s">
        <v>272</v>
      </c>
      <c r="M552" s="8">
        <v>45627</v>
      </c>
      <c r="N552">
        <v>113461</v>
      </c>
      <c r="O552" t="s">
        <v>123</v>
      </c>
      <c r="P552" t="s">
        <v>146</v>
      </c>
      <c r="Q552">
        <v>9.94</v>
      </c>
      <c r="R552" t="s">
        <v>125</v>
      </c>
      <c r="S552" t="s">
        <v>126</v>
      </c>
      <c r="T552" t="s">
        <v>125</v>
      </c>
      <c r="U552" t="s">
        <v>126</v>
      </c>
      <c r="W552">
        <v>9.94</v>
      </c>
      <c r="Y552">
        <v>9.94</v>
      </c>
      <c r="AC552">
        <v>9.94</v>
      </c>
      <c r="BH552" t="s">
        <v>126</v>
      </c>
      <c r="BI552" t="s">
        <v>126</v>
      </c>
      <c r="BJ552" t="s">
        <v>126</v>
      </c>
      <c r="BK552" t="s">
        <v>126</v>
      </c>
      <c r="BS552" t="s">
        <v>126</v>
      </c>
      <c r="BT552" t="s">
        <v>126</v>
      </c>
      <c r="BU552" t="s">
        <v>126</v>
      </c>
      <c r="BV552" t="s">
        <v>126</v>
      </c>
      <c r="CN552" t="s">
        <v>147</v>
      </c>
      <c r="CP552" t="s">
        <v>273</v>
      </c>
      <c r="CQ552" t="s">
        <v>147</v>
      </c>
    </row>
    <row r="553" spans="1:95" x14ac:dyDescent="0.2">
      <c r="A553" t="s">
        <v>115</v>
      </c>
      <c r="B553" t="s">
        <v>116</v>
      </c>
      <c r="C553">
        <v>210784</v>
      </c>
      <c r="E553" t="s">
        <v>117</v>
      </c>
      <c r="F553">
        <v>368</v>
      </c>
      <c r="G553" t="s">
        <v>141</v>
      </c>
      <c r="H553" t="s">
        <v>142</v>
      </c>
      <c r="I553" t="s">
        <v>204</v>
      </c>
      <c r="J553" t="s">
        <v>205</v>
      </c>
      <c r="L553" t="s">
        <v>274</v>
      </c>
      <c r="M553" s="8">
        <v>45627</v>
      </c>
      <c r="N553">
        <v>114281</v>
      </c>
      <c r="O553" t="s">
        <v>123</v>
      </c>
      <c r="P553" t="s">
        <v>146</v>
      </c>
      <c r="Q553">
        <v>3.72</v>
      </c>
      <c r="R553" t="s">
        <v>125</v>
      </c>
      <c r="S553" t="s">
        <v>126</v>
      </c>
      <c r="T553" t="s">
        <v>125</v>
      </c>
      <c r="U553" t="s">
        <v>126</v>
      </c>
      <c r="W553">
        <v>3.72</v>
      </c>
      <c r="Y553">
        <v>3.72</v>
      </c>
      <c r="AC553">
        <v>3.72</v>
      </c>
      <c r="BH553" t="s">
        <v>126</v>
      </c>
      <c r="BI553" t="s">
        <v>126</v>
      </c>
      <c r="BJ553" t="s">
        <v>126</v>
      </c>
      <c r="BK553" t="s">
        <v>126</v>
      </c>
      <c r="BS553" t="s">
        <v>126</v>
      </c>
      <c r="BT553" t="s">
        <v>126</v>
      </c>
      <c r="BU553" t="s">
        <v>126</v>
      </c>
      <c r="BV553" t="s">
        <v>126</v>
      </c>
      <c r="CN553" t="s">
        <v>147</v>
      </c>
      <c r="CP553" t="s">
        <v>275</v>
      </c>
      <c r="CQ553" t="s">
        <v>147</v>
      </c>
    </row>
    <row r="554" spans="1:95" x14ac:dyDescent="0.2">
      <c r="A554" t="s">
        <v>115</v>
      </c>
      <c r="B554" t="s">
        <v>116</v>
      </c>
      <c r="C554">
        <v>210784</v>
      </c>
      <c r="E554" t="s">
        <v>117</v>
      </c>
      <c r="F554">
        <v>368</v>
      </c>
      <c r="G554" t="s">
        <v>141</v>
      </c>
      <c r="H554" t="s">
        <v>142</v>
      </c>
      <c r="I554" t="s">
        <v>279</v>
      </c>
      <c r="J554" t="s">
        <v>280</v>
      </c>
      <c r="L554" t="s">
        <v>341</v>
      </c>
      <c r="M554" s="8">
        <v>45627</v>
      </c>
      <c r="N554">
        <v>5621960</v>
      </c>
      <c r="O554" t="s">
        <v>123</v>
      </c>
      <c r="P554" t="s">
        <v>146</v>
      </c>
      <c r="Q554">
        <v>6.49</v>
      </c>
      <c r="R554" t="s">
        <v>125</v>
      </c>
      <c r="S554" t="s">
        <v>126</v>
      </c>
      <c r="T554" t="s">
        <v>125</v>
      </c>
      <c r="U554" t="s">
        <v>126</v>
      </c>
      <c r="W554">
        <v>6.49</v>
      </c>
      <c r="Y554">
        <v>6.49</v>
      </c>
      <c r="AS554">
        <v>6.49</v>
      </c>
      <c r="BH554" t="s">
        <v>126</v>
      </c>
      <c r="BI554" t="s">
        <v>126</v>
      </c>
      <c r="BJ554" t="s">
        <v>126</v>
      </c>
      <c r="BK554" t="s">
        <v>126</v>
      </c>
      <c r="BS554" t="s">
        <v>126</v>
      </c>
      <c r="BT554" t="s">
        <v>126</v>
      </c>
      <c r="BU554" t="s">
        <v>126</v>
      </c>
      <c r="BV554" t="s">
        <v>126</v>
      </c>
      <c r="CN554" t="s">
        <v>147</v>
      </c>
      <c r="CP554" t="s">
        <v>340</v>
      </c>
      <c r="CQ554" t="s">
        <v>147</v>
      </c>
    </row>
    <row r="555" spans="1:95" x14ac:dyDescent="0.2">
      <c r="A555" t="s">
        <v>115</v>
      </c>
      <c r="B555" t="s">
        <v>116</v>
      </c>
      <c r="C555">
        <v>210784</v>
      </c>
      <c r="E555" t="s">
        <v>117</v>
      </c>
      <c r="F555">
        <v>368</v>
      </c>
      <c r="G555" t="s">
        <v>141</v>
      </c>
      <c r="H555" t="s">
        <v>142</v>
      </c>
      <c r="I555" t="s">
        <v>279</v>
      </c>
      <c r="J555" t="s">
        <v>280</v>
      </c>
      <c r="L555" t="s">
        <v>342</v>
      </c>
      <c r="M555" s="8">
        <v>45627</v>
      </c>
      <c r="N555">
        <v>5623891</v>
      </c>
      <c r="O555" t="s">
        <v>123</v>
      </c>
      <c r="P555" t="s">
        <v>146</v>
      </c>
      <c r="Q555">
        <v>0.35</v>
      </c>
      <c r="R555" t="s">
        <v>125</v>
      </c>
      <c r="S555" t="s">
        <v>126</v>
      </c>
      <c r="T555" t="s">
        <v>125</v>
      </c>
      <c r="U555" t="s">
        <v>126</v>
      </c>
      <c r="W555">
        <v>0.35</v>
      </c>
      <c r="Y555">
        <v>0.35</v>
      </c>
      <c r="AS555">
        <v>0.35</v>
      </c>
      <c r="BH555" t="s">
        <v>126</v>
      </c>
      <c r="BI555" t="s">
        <v>126</v>
      </c>
      <c r="BJ555" t="s">
        <v>126</v>
      </c>
      <c r="BK555" t="s">
        <v>126</v>
      </c>
      <c r="BS555" t="s">
        <v>126</v>
      </c>
      <c r="BT555" t="s">
        <v>126</v>
      </c>
      <c r="BU555" t="s">
        <v>126</v>
      </c>
      <c r="BV555" t="s">
        <v>126</v>
      </c>
      <c r="CN555" t="s">
        <v>147</v>
      </c>
      <c r="CP555" t="s">
        <v>273</v>
      </c>
      <c r="CQ555" t="s">
        <v>147</v>
      </c>
    </row>
    <row r="556" spans="1:95" x14ac:dyDescent="0.2">
      <c r="A556" t="s">
        <v>115</v>
      </c>
      <c r="B556" t="s">
        <v>116</v>
      </c>
      <c r="C556">
        <v>210784</v>
      </c>
      <c r="E556" t="s">
        <v>117</v>
      </c>
      <c r="F556">
        <v>368</v>
      </c>
      <c r="G556" t="s">
        <v>141</v>
      </c>
      <c r="H556" t="s">
        <v>142</v>
      </c>
      <c r="I556" t="s">
        <v>279</v>
      </c>
      <c r="J556" t="s">
        <v>280</v>
      </c>
      <c r="L556" t="s">
        <v>342</v>
      </c>
      <c r="M556" s="8">
        <v>45627</v>
      </c>
      <c r="N556">
        <v>5623208</v>
      </c>
      <c r="O556" t="s">
        <v>123</v>
      </c>
      <c r="P556" t="s">
        <v>146</v>
      </c>
      <c r="Q556">
        <v>5.17</v>
      </c>
      <c r="R556" t="s">
        <v>125</v>
      </c>
      <c r="S556" t="s">
        <v>126</v>
      </c>
      <c r="T556" t="s">
        <v>125</v>
      </c>
      <c r="U556" t="s">
        <v>126</v>
      </c>
      <c r="W556">
        <v>5.17</v>
      </c>
      <c r="Y556">
        <v>5.17</v>
      </c>
      <c r="AS556">
        <v>5.17</v>
      </c>
      <c r="BH556" t="s">
        <v>126</v>
      </c>
      <c r="BI556" t="s">
        <v>126</v>
      </c>
      <c r="BJ556" t="s">
        <v>126</v>
      </c>
      <c r="BK556" t="s">
        <v>126</v>
      </c>
      <c r="BS556" t="s">
        <v>126</v>
      </c>
      <c r="BT556" t="s">
        <v>126</v>
      </c>
      <c r="BU556" t="s">
        <v>126</v>
      </c>
      <c r="BV556" t="s">
        <v>126</v>
      </c>
      <c r="CN556" t="s">
        <v>147</v>
      </c>
      <c r="CP556" t="s">
        <v>273</v>
      </c>
      <c r="CQ556" t="s">
        <v>147</v>
      </c>
    </row>
    <row r="557" spans="1:95" x14ac:dyDescent="0.2">
      <c r="A557" t="s">
        <v>115</v>
      </c>
      <c r="B557" t="s">
        <v>116</v>
      </c>
      <c r="C557">
        <v>210784</v>
      </c>
      <c r="E557" t="s">
        <v>117</v>
      </c>
      <c r="F557">
        <v>368</v>
      </c>
      <c r="G557" t="s">
        <v>141</v>
      </c>
      <c r="H557" t="s">
        <v>142</v>
      </c>
      <c r="I557" t="s">
        <v>279</v>
      </c>
      <c r="J557" t="s">
        <v>280</v>
      </c>
      <c r="L557" t="s">
        <v>272</v>
      </c>
      <c r="M557" s="8">
        <v>45627</v>
      </c>
      <c r="N557">
        <v>5625494</v>
      </c>
      <c r="O557" t="s">
        <v>123</v>
      </c>
      <c r="P557" t="s">
        <v>146</v>
      </c>
      <c r="Q557">
        <v>4.9800000000000004</v>
      </c>
      <c r="R557" t="s">
        <v>125</v>
      </c>
      <c r="S557" t="s">
        <v>126</v>
      </c>
      <c r="T557" t="s">
        <v>125</v>
      </c>
      <c r="U557" t="s">
        <v>126</v>
      </c>
      <c r="W557">
        <v>4.9800000000000004</v>
      </c>
      <c r="Y557">
        <v>4.9800000000000004</v>
      </c>
      <c r="AS557">
        <v>4.9800000000000004</v>
      </c>
      <c r="BH557" t="s">
        <v>126</v>
      </c>
      <c r="BI557" t="s">
        <v>126</v>
      </c>
      <c r="BJ557" t="s">
        <v>126</v>
      </c>
      <c r="BK557" t="s">
        <v>126</v>
      </c>
      <c r="BS557" t="s">
        <v>126</v>
      </c>
      <c r="BT557" t="s">
        <v>126</v>
      </c>
      <c r="BU557" t="s">
        <v>126</v>
      </c>
      <c r="BV557" t="s">
        <v>126</v>
      </c>
      <c r="CN557" t="s">
        <v>147</v>
      </c>
      <c r="CP557" t="s">
        <v>273</v>
      </c>
      <c r="CQ557" t="s">
        <v>147</v>
      </c>
    </row>
    <row r="558" spans="1:95" x14ac:dyDescent="0.2">
      <c r="A558" t="s">
        <v>115</v>
      </c>
      <c r="B558" t="s">
        <v>116</v>
      </c>
      <c r="C558">
        <v>210784</v>
      </c>
      <c r="E558" t="s">
        <v>117</v>
      </c>
      <c r="F558">
        <v>368</v>
      </c>
      <c r="G558" t="s">
        <v>141</v>
      </c>
      <c r="H558" t="s">
        <v>142</v>
      </c>
      <c r="I558" t="s">
        <v>279</v>
      </c>
      <c r="J558" t="s">
        <v>280</v>
      </c>
      <c r="L558" t="s">
        <v>272</v>
      </c>
      <c r="M558" s="8">
        <v>45627</v>
      </c>
      <c r="N558">
        <v>5625233</v>
      </c>
      <c r="O558" t="s">
        <v>123</v>
      </c>
      <c r="P558" t="s">
        <v>146</v>
      </c>
      <c r="Q558">
        <v>1.8</v>
      </c>
      <c r="R558" t="s">
        <v>125</v>
      </c>
      <c r="S558" t="s">
        <v>126</v>
      </c>
      <c r="T558" t="s">
        <v>125</v>
      </c>
      <c r="U558" t="s">
        <v>126</v>
      </c>
      <c r="W558">
        <v>1.8</v>
      </c>
      <c r="Y558">
        <v>1.8</v>
      </c>
      <c r="AS558">
        <v>1.8</v>
      </c>
      <c r="BH558" t="s">
        <v>126</v>
      </c>
      <c r="BI558" t="s">
        <v>126</v>
      </c>
      <c r="BJ558" t="s">
        <v>126</v>
      </c>
      <c r="BK558" t="s">
        <v>126</v>
      </c>
      <c r="BS558" t="s">
        <v>126</v>
      </c>
      <c r="BT558" t="s">
        <v>126</v>
      </c>
      <c r="BU558" t="s">
        <v>126</v>
      </c>
      <c r="BV558" t="s">
        <v>126</v>
      </c>
      <c r="CN558" t="s">
        <v>147</v>
      </c>
      <c r="CP558" t="s">
        <v>273</v>
      </c>
      <c r="CQ558" t="s">
        <v>147</v>
      </c>
    </row>
    <row r="559" spans="1:95" x14ac:dyDescent="0.2">
      <c r="A559" t="s">
        <v>115</v>
      </c>
      <c r="B559" t="s">
        <v>116</v>
      </c>
      <c r="C559">
        <v>210784</v>
      </c>
      <c r="E559" t="s">
        <v>117</v>
      </c>
      <c r="F559">
        <v>368</v>
      </c>
      <c r="G559" t="s">
        <v>141</v>
      </c>
      <c r="H559" t="s">
        <v>142</v>
      </c>
      <c r="I559" t="s">
        <v>279</v>
      </c>
      <c r="J559" t="s">
        <v>280</v>
      </c>
      <c r="L559" t="s">
        <v>343</v>
      </c>
      <c r="M559" s="8">
        <v>45627</v>
      </c>
      <c r="N559">
        <v>5627164</v>
      </c>
      <c r="O559" t="s">
        <v>123</v>
      </c>
      <c r="P559" t="s">
        <v>146</v>
      </c>
      <c r="Q559">
        <v>1.72</v>
      </c>
      <c r="R559" t="s">
        <v>125</v>
      </c>
      <c r="S559" t="s">
        <v>126</v>
      </c>
      <c r="T559" t="s">
        <v>125</v>
      </c>
      <c r="U559" t="s">
        <v>126</v>
      </c>
      <c r="W559">
        <v>1.72</v>
      </c>
      <c r="Y559">
        <v>1.72</v>
      </c>
      <c r="AS559">
        <v>1.72</v>
      </c>
      <c r="BH559" t="s">
        <v>126</v>
      </c>
      <c r="BI559" t="s">
        <v>126</v>
      </c>
      <c r="BJ559" t="s">
        <v>126</v>
      </c>
      <c r="BK559" t="s">
        <v>126</v>
      </c>
      <c r="BS559" t="s">
        <v>126</v>
      </c>
      <c r="BT559" t="s">
        <v>126</v>
      </c>
      <c r="BU559" t="s">
        <v>126</v>
      </c>
      <c r="BV559" t="s">
        <v>126</v>
      </c>
      <c r="CN559" t="s">
        <v>147</v>
      </c>
      <c r="CP559" t="s">
        <v>273</v>
      </c>
      <c r="CQ559" t="s">
        <v>147</v>
      </c>
    </row>
    <row r="560" spans="1:95" x14ac:dyDescent="0.2">
      <c r="A560" t="s">
        <v>115</v>
      </c>
      <c r="B560" t="s">
        <v>116</v>
      </c>
      <c r="C560">
        <v>210784</v>
      </c>
      <c r="E560" t="s">
        <v>117</v>
      </c>
      <c r="F560">
        <v>368</v>
      </c>
      <c r="G560" t="s">
        <v>141</v>
      </c>
      <c r="H560" t="s">
        <v>142</v>
      </c>
      <c r="I560" t="s">
        <v>279</v>
      </c>
      <c r="J560" t="s">
        <v>280</v>
      </c>
      <c r="L560" t="s">
        <v>344</v>
      </c>
      <c r="M560" s="8">
        <v>45627</v>
      </c>
      <c r="N560">
        <v>5628008</v>
      </c>
      <c r="O560" t="s">
        <v>123</v>
      </c>
      <c r="P560" t="s">
        <v>146</v>
      </c>
      <c r="Q560">
        <v>5.84</v>
      </c>
      <c r="R560" t="s">
        <v>125</v>
      </c>
      <c r="S560" t="s">
        <v>126</v>
      </c>
      <c r="T560" t="s">
        <v>125</v>
      </c>
      <c r="U560" t="s">
        <v>126</v>
      </c>
      <c r="W560">
        <v>5.84</v>
      </c>
      <c r="Y560">
        <v>5.84</v>
      </c>
      <c r="AS560">
        <v>5.84</v>
      </c>
      <c r="BH560" t="s">
        <v>126</v>
      </c>
      <c r="BI560" t="s">
        <v>126</v>
      </c>
      <c r="BJ560" t="s">
        <v>126</v>
      </c>
      <c r="BK560" t="s">
        <v>126</v>
      </c>
      <c r="BS560" t="s">
        <v>126</v>
      </c>
      <c r="BT560" t="s">
        <v>126</v>
      </c>
      <c r="BU560" t="s">
        <v>126</v>
      </c>
      <c r="BV560" t="s">
        <v>126</v>
      </c>
      <c r="CN560" t="s">
        <v>147</v>
      </c>
      <c r="CP560" t="s">
        <v>273</v>
      </c>
      <c r="CQ560" t="s">
        <v>147</v>
      </c>
    </row>
    <row r="561" spans="1:95" x14ac:dyDescent="0.2">
      <c r="A561" t="s">
        <v>115</v>
      </c>
      <c r="B561" t="s">
        <v>116</v>
      </c>
      <c r="C561">
        <v>210784</v>
      </c>
      <c r="E561" t="s">
        <v>117</v>
      </c>
      <c r="F561">
        <v>368</v>
      </c>
      <c r="G561" t="s">
        <v>141</v>
      </c>
      <c r="H561" t="s">
        <v>142</v>
      </c>
      <c r="I561" t="s">
        <v>279</v>
      </c>
      <c r="J561" t="s">
        <v>280</v>
      </c>
      <c r="L561" t="s">
        <v>345</v>
      </c>
      <c r="M561" s="8">
        <v>45627</v>
      </c>
      <c r="N561">
        <v>5628482</v>
      </c>
      <c r="O561" t="s">
        <v>123</v>
      </c>
      <c r="P561" t="s">
        <v>146</v>
      </c>
      <c r="Q561">
        <v>0.88</v>
      </c>
      <c r="R561" t="s">
        <v>125</v>
      </c>
      <c r="S561" t="s">
        <v>126</v>
      </c>
      <c r="T561" t="s">
        <v>125</v>
      </c>
      <c r="U561" t="s">
        <v>126</v>
      </c>
      <c r="W561">
        <v>0.88</v>
      </c>
      <c r="Y561">
        <v>0.88</v>
      </c>
      <c r="AS561">
        <v>0.88</v>
      </c>
      <c r="BH561" t="s">
        <v>126</v>
      </c>
      <c r="BI561" t="s">
        <v>126</v>
      </c>
      <c r="BJ561" t="s">
        <v>126</v>
      </c>
      <c r="BK561" t="s">
        <v>126</v>
      </c>
      <c r="BS561" t="s">
        <v>126</v>
      </c>
      <c r="BT561" t="s">
        <v>126</v>
      </c>
      <c r="BU561" t="s">
        <v>126</v>
      </c>
      <c r="BV561" t="s">
        <v>126</v>
      </c>
      <c r="CN561" t="s">
        <v>147</v>
      </c>
      <c r="CP561" t="s">
        <v>273</v>
      </c>
      <c r="CQ561" t="s">
        <v>147</v>
      </c>
    </row>
    <row r="562" spans="1:95" x14ac:dyDescent="0.2">
      <c r="A562" t="s">
        <v>115</v>
      </c>
      <c r="B562" t="s">
        <v>116</v>
      </c>
      <c r="C562">
        <v>210784</v>
      </c>
      <c r="E562" t="s">
        <v>117</v>
      </c>
      <c r="F562">
        <v>368</v>
      </c>
      <c r="G562" t="s">
        <v>141</v>
      </c>
      <c r="H562" t="s">
        <v>142</v>
      </c>
      <c r="I562" t="s">
        <v>279</v>
      </c>
      <c r="J562" t="s">
        <v>280</v>
      </c>
      <c r="L562" t="s">
        <v>346</v>
      </c>
      <c r="M562" s="8">
        <v>45627</v>
      </c>
      <c r="N562">
        <v>5629370</v>
      </c>
      <c r="O562" t="s">
        <v>123</v>
      </c>
      <c r="P562" t="s">
        <v>146</v>
      </c>
      <c r="Q562">
        <v>3.3</v>
      </c>
      <c r="R562" t="s">
        <v>125</v>
      </c>
      <c r="S562" t="s">
        <v>126</v>
      </c>
      <c r="T562" t="s">
        <v>125</v>
      </c>
      <c r="U562" t="s">
        <v>126</v>
      </c>
      <c r="W562">
        <v>3.3</v>
      </c>
      <c r="Y562">
        <v>3.3</v>
      </c>
      <c r="AS562">
        <v>3.3</v>
      </c>
      <c r="BH562" t="s">
        <v>126</v>
      </c>
      <c r="BI562" t="s">
        <v>126</v>
      </c>
      <c r="BJ562" t="s">
        <v>126</v>
      </c>
      <c r="BK562" t="s">
        <v>126</v>
      </c>
      <c r="BS562" t="s">
        <v>126</v>
      </c>
      <c r="BT562" t="s">
        <v>126</v>
      </c>
      <c r="BU562" t="s">
        <v>126</v>
      </c>
      <c r="BV562" t="s">
        <v>126</v>
      </c>
      <c r="CN562" t="s">
        <v>147</v>
      </c>
      <c r="CP562" t="s">
        <v>273</v>
      </c>
      <c r="CQ562" t="s">
        <v>147</v>
      </c>
    </row>
    <row r="563" spans="1:95" x14ac:dyDescent="0.2">
      <c r="A563" t="s">
        <v>115</v>
      </c>
      <c r="B563" t="s">
        <v>116</v>
      </c>
      <c r="C563">
        <v>210784</v>
      </c>
      <c r="E563" t="s">
        <v>117</v>
      </c>
      <c r="F563">
        <v>368</v>
      </c>
      <c r="G563" t="s">
        <v>141</v>
      </c>
      <c r="H563" t="s">
        <v>142</v>
      </c>
      <c r="I563" t="s">
        <v>279</v>
      </c>
      <c r="J563" t="s">
        <v>280</v>
      </c>
      <c r="L563" t="s">
        <v>347</v>
      </c>
      <c r="M563" s="8">
        <v>45627</v>
      </c>
      <c r="N563">
        <v>5629979</v>
      </c>
      <c r="O563" t="s">
        <v>123</v>
      </c>
      <c r="P563" t="s">
        <v>146</v>
      </c>
      <c r="Q563">
        <v>4.25</v>
      </c>
      <c r="R563" t="s">
        <v>125</v>
      </c>
      <c r="S563" t="s">
        <v>126</v>
      </c>
      <c r="T563" t="s">
        <v>125</v>
      </c>
      <c r="U563" t="s">
        <v>126</v>
      </c>
      <c r="W563">
        <v>4.25</v>
      </c>
      <c r="Y563">
        <v>4.25</v>
      </c>
      <c r="AS563">
        <v>4.25</v>
      </c>
      <c r="BH563" t="s">
        <v>126</v>
      </c>
      <c r="BI563" t="s">
        <v>126</v>
      </c>
      <c r="BJ563" t="s">
        <v>126</v>
      </c>
      <c r="BK563" t="s">
        <v>126</v>
      </c>
      <c r="BS563" t="s">
        <v>126</v>
      </c>
      <c r="BT563" t="s">
        <v>126</v>
      </c>
      <c r="BU563" t="s">
        <v>126</v>
      </c>
      <c r="BV563" t="s">
        <v>126</v>
      </c>
      <c r="CN563" t="s">
        <v>147</v>
      </c>
      <c r="CP563" t="s">
        <v>273</v>
      </c>
      <c r="CQ563" t="s">
        <v>147</v>
      </c>
    </row>
    <row r="564" spans="1:95" x14ac:dyDescent="0.2">
      <c r="A564" t="s">
        <v>115</v>
      </c>
      <c r="B564" t="s">
        <v>116</v>
      </c>
      <c r="C564">
        <v>210784</v>
      </c>
      <c r="E564" t="s">
        <v>117</v>
      </c>
      <c r="F564">
        <v>368</v>
      </c>
      <c r="G564" t="s">
        <v>141</v>
      </c>
      <c r="H564" t="s">
        <v>142</v>
      </c>
      <c r="I564" t="s">
        <v>279</v>
      </c>
      <c r="J564" t="s">
        <v>280</v>
      </c>
      <c r="L564" t="s">
        <v>348</v>
      </c>
      <c r="M564" s="8">
        <v>45627</v>
      </c>
      <c r="N564">
        <v>5630447</v>
      </c>
      <c r="O564" t="s">
        <v>123</v>
      </c>
      <c r="P564" t="s">
        <v>146</v>
      </c>
      <c r="Q564">
        <v>3.82</v>
      </c>
      <c r="R564" t="s">
        <v>125</v>
      </c>
      <c r="S564" t="s">
        <v>126</v>
      </c>
      <c r="T564" t="s">
        <v>125</v>
      </c>
      <c r="U564" t="s">
        <v>126</v>
      </c>
      <c r="W564">
        <v>3.82</v>
      </c>
      <c r="Y564">
        <v>3.82</v>
      </c>
      <c r="AS564">
        <v>3.82</v>
      </c>
      <c r="BH564" t="s">
        <v>126</v>
      </c>
      <c r="BI564" t="s">
        <v>126</v>
      </c>
      <c r="BJ564" t="s">
        <v>126</v>
      </c>
      <c r="BK564" t="s">
        <v>126</v>
      </c>
      <c r="BS564" t="s">
        <v>126</v>
      </c>
      <c r="BT564" t="s">
        <v>126</v>
      </c>
      <c r="BU564" t="s">
        <v>126</v>
      </c>
      <c r="BV564" t="s">
        <v>126</v>
      </c>
      <c r="CN564" t="s">
        <v>147</v>
      </c>
      <c r="CP564" t="s">
        <v>273</v>
      </c>
      <c r="CQ564" t="s">
        <v>147</v>
      </c>
    </row>
    <row r="565" spans="1:95" x14ac:dyDescent="0.2">
      <c r="A565" t="s">
        <v>115</v>
      </c>
      <c r="B565" t="s">
        <v>116</v>
      </c>
      <c r="C565">
        <v>210784</v>
      </c>
      <c r="E565" t="s">
        <v>117</v>
      </c>
      <c r="F565">
        <v>368</v>
      </c>
      <c r="G565" t="s">
        <v>141</v>
      </c>
      <c r="H565" t="s">
        <v>142</v>
      </c>
      <c r="I565" t="s">
        <v>279</v>
      </c>
      <c r="J565" t="s">
        <v>280</v>
      </c>
      <c r="L565" t="s">
        <v>348</v>
      </c>
      <c r="M565" s="8">
        <v>45627</v>
      </c>
      <c r="N565">
        <v>5630289</v>
      </c>
      <c r="O565" t="s">
        <v>123</v>
      </c>
      <c r="P565" t="s">
        <v>146</v>
      </c>
      <c r="Q565">
        <v>3.29</v>
      </c>
      <c r="R565" t="s">
        <v>125</v>
      </c>
      <c r="S565" t="s">
        <v>126</v>
      </c>
      <c r="T565" t="s">
        <v>125</v>
      </c>
      <c r="U565" t="s">
        <v>126</v>
      </c>
      <c r="W565">
        <v>3.29</v>
      </c>
      <c r="Y565">
        <v>3.29</v>
      </c>
      <c r="AS565">
        <v>3.29</v>
      </c>
      <c r="BH565" t="s">
        <v>126</v>
      </c>
      <c r="BI565" t="s">
        <v>126</v>
      </c>
      <c r="BJ565" t="s">
        <v>126</v>
      </c>
      <c r="BK565" t="s">
        <v>126</v>
      </c>
      <c r="BS565" t="s">
        <v>126</v>
      </c>
      <c r="BT565" t="s">
        <v>126</v>
      </c>
      <c r="BU565" t="s">
        <v>126</v>
      </c>
      <c r="BV565" t="s">
        <v>126</v>
      </c>
      <c r="CN565" t="s">
        <v>147</v>
      </c>
      <c r="CP565" t="s">
        <v>273</v>
      </c>
      <c r="CQ565" t="s">
        <v>147</v>
      </c>
    </row>
    <row r="566" spans="1:95" x14ac:dyDescent="0.2">
      <c r="A566" t="s">
        <v>115</v>
      </c>
      <c r="B566" t="s">
        <v>116</v>
      </c>
      <c r="C566">
        <v>210784</v>
      </c>
      <c r="E566" t="s">
        <v>117</v>
      </c>
      <c r="F566">
        <v>368</v>
      </c>
      <c r="G566" t="s">
        <v>141</v>
      </c>
      <c r="H566" t="s">
        <v>142</v>
      </c>
      <c r="I566" t="s">
        <v>279</v>
      </c>
      <c r="J566" t="s">
        <v>280</v>
      </c>
      <c r="L566" t="s">
        <v>348</v>
      </c>
      <c r="M566" s="8">
        <v>45627</v>
      </c>
      <c r="N566">
        <v>5630071</v>
      </c>
      <c r="O566" t="s">
        <v>123</v>
      </c>
      <c r="P566" t="s">
        <v>146</v>
      </c>
      <c r="Q566">
        <v>2.73</v>
      </c>
      <c r="R566" t="s">
        <v>125</v>
      </c>
      <c r="S566" t="s">
        <v>126</v>
      </c>
      <c r="T566" t="s">
        <v>125</v>
      </c>
      <c r="U566" t="s">
        <v>126</v>
      </c>
      <c r="W566">
        <v>2.73</v>
      </c>
      <c r="Y566">
        <v>2.73</v>
      </c>
      <c r="AS566">
        <v>2.73</v>
      </c>
      <c r="BH566" t="s">
        <v>126</v>
      </c>
      <c r="BI566" t="s">
        <v>126</v>
      </c>
      <c r="BJ566" t="s">
        <v>126</v>
      </c>
      <c r="BK566" t="s">
        <v>126</v>
      </c>
      <c r="BS566" t="s">
        <v>126</v>
      </c>
      <c r="BT566" t="s">
        <v>126</v>
      </c>
      <c r="BU566" t="s">
        <v>126</v>
      </c>
      <c r="BV566" t="s">
        <v>126</v>
      </c>
      <c r="CN566" t="s">
        <v>147</v>
      </c>
      <c r="CP566" t="s">
        <v>273</v>
      </c>
      <c r="CQ566" t="s">
        <v>147</v>
      </c>
    </row>
    <row r="567" spans="1:95" x14ac:dyDescent="0.2">
      <c r="A567" t="s">
        <v>115</v>
      </c>
      <c r="B567" t="s">
        <v>116</v>
      </c>
      <c r="C567">
        <v>210784</v>
      </c>
      <c r="E567" t="s">
        <v>117</v>
      </c>
      <c r="F567">
        <v>368</v>
      </c>
      <c r="G567" t="s">
        <v>141</v>
      </c>
      <c r="H567" t="s">
        <v>142</v>
      </c>
      <c r="I567" t="s">
        <v>279</v>
      </c>
      <c r="J567" t="s">
        <v>280</v>
      </c>
      <c r="L567" t="s">
        <v>349</v>
      </c>
      <c r="M567" s="8">
        <v>45627</v>
      </c>
      <c r="N567">
        <v>5631347</v>
      </c>
      <c r="O567" t="s">
        <v>123</v>
      </c>
      <c r="P567" t="s">
        <v>146</v>
      </c>
      <c r="Q567">
        <v>3.76</v>
      </c>
      <c r="R567" t="s">
        <v>125</v>
      </c>
      <c r="S567" t="s">
        <v>126</v>
      </c>
      <c r="T567" t="s">
        <v>125</v>
      </c>
      <c r="U567" t="s">
        <v>126</v>
      </c>
      <c r="W567">
        <v>3.76</v>
      </c>
      <c r="Y567">
        <v>3.76</v>
      </c>
      <c r="AS567">
        <v>3.76</v>
      </c>
      <c r="BH567" t="s">
        <v>126</v>
      </c>
      <c r="BI567" t="s">
        <v>126</v>
      </c>
      <c r="BJ567" t="s">
        <v>126</v>
      </c>
      <c r="BK567" t="s">
        <v>126</v>
      </c>
      <c r="BS567" t="s">
        <v>126</v>
      </c>
      <c r="BT567" t="s">
        <v>126</v>
      </c>
      <c r="BU567" t="s">
        <v>126</v>
      </c>
      <c r="BV567" t="s">
        <v>126</v>
      </c>
      <c r="CN567" t="s">
        <v>147</v>
      </c>
      <c r="CP567" t="s">
        <v>273</v>
      </c>
      <c r="CQ567" t="s">
        <v>147</v>
      </c>
    </row>
    <row r="568" spans="1:95" x14ac:dyDescent="0.2">
      <c r="A568" t="s">
        <v>115</v>
      </c>
      <c r="B568" t="s">
        <v>116</v>
      </c>
      <c r="C568">
        <v>210784</v>
      </c>
      <c r="E568" t="s">
        <v>117</v>
      </c>
      <c r="F568">
        <v>368</v>
      </c>
      <c r="G568" t="s">
        <v>141</v>
      </c>
      <c r="H568" t="s">
        <v>142</v>
      </c>
      <c r="I568" t="s">
        <v>279</v>
      </c>
      <c r="J568" t="s">
        <v>280</v>
      </c>
      <c r="L568" t="s">
        <v>350</v>
      </c>
      <c r="M568" s="8">
        <v>45627</v>
      </c>
      <c r="N568">
        <v>5632509</v>
      </c>
      <c r="O568" t="s">
        <v>123</v>
      </c>
      <c r="P568" t="s">
        <v>146</v>
      </c>
      <c r="Q568">
        <v>4.76</v>
      </c>
      <c r="R568" t="s">
        <v>125</v>
      </c>
      <c r="S568" t="s">
        <v>126</v>
      </c>
      <c r="T568" t="s">
        <v>125</v>
      </c>
      <c r="U568" t="s">
        <v>126</v>
      </c>
      <c r="W568">
        <v>4.76</v>
      </c>
      <c r="Y568">
        <v>4.76</v>
      </c>
      <c r="AS568">
        <v>4.76</v>
      </c>
      <c r="BH568" t="s">
        <v>126</v>
      </c>
      <c r="BI568" t="s">
        <v>126</v>
      </c>
      <c r="BJ568" t="s">
        <v>126</v>
      </c>
      <c r="BK568" t="s">
        <v>126</v>
      </c>
      <c r="BS568" t="s">
        <v>126</v>
      </c>
      <c r="BT568" t="s">
        <v>126</v>
      </c>
      <c r="BU568" t="s">
        <v>126</v>
      </c>
      <c r="BV568" t="s">
        <v>126</v>
      </c>
      <c r="CN568" t="s">
        <v>147</v>
      </c>
      <c r="CP568" t="s">
        <v>273</v>
      </c>
      <c r="CQ568" t="s">
        <v>147</v>
      </c>
    </row>
    <row r="569" spans="1:95" x14ac:dyDescent="0.2">
      <c r="A569" t="s">
        <v>115</v>
      </c>
      <c r="B569" t="s">
        <v>116</v>
      </c>
      <c r="C569">
        <v>210784</v>
      </c>
      <c r="E569" t="s">
        <v>117</v>
      </c>
      <c r="F569">
        <v>368</v>
      </c>
      <c r="G569" t="s">
        <v>141</v>
      </c>
      <c r="H569" t="s">
        <v>142</v>
      </c>
      <c r="I569" t="s">
        <v>279</v>
      </c>
      <c r="J569" t="s">
        <v>280</v>
      </c>
      <c r="L569" t="s">
        <v>351</v>
      </c>
      <c r="M569" s="8">
        <v>45627</v>
      </c>
      <c r="N569">
        <v>5633893</v>
      </c>
      <c r="O569" t="s">
        <v>123</v>
      </c>
      <c r="P569" t="s">
        <v>146</v>
      </c>
      <c r="Q569">
        <v>5.85</v>
      </c>
      <c r="R569" t="s">
        <v>125</v>
      </c>
      <c r="S569" t="s">
        <v>126</v>
      </c>
      <c r="T569" t="s">
        <v>125</v>
      </c>
      <c r="U569" t="s">
        <v>126</v>
      </c>
      <c r="W569">
        <v>5.85</v>
      </c>
      <c r="Y569">
        <v>5.85</v>
      </c>
      <c r="AS569">
        <v>5.85</v>
      </c>
      <c r="BH569" t="s">
        <v>126</v>
      </c>
      <c r="BI569" t="s">
        <v>126</v>
      </c>
      <c r="BJ569" t="s">
        <v>126</v>
      </c>
      <c r="BK569" t="s">
        <v>126</v>
      </c>
      <c r="BS569" t="s">
        <v>126</v>
      </c>
      <c r="BT569" t="s">
        <v>126</v>
      </c>
      <c r="BU569" t="s">
        <v>126</v>
      </c>
      <c r="BV569" t="s">
        <v>126</v>
      </c>
      <c r="CN569" t="s">
        <v>147</v>
      </c>
      <c r="CP569" t="s">
        <v>275</v>
      </c>
      <c r="CQ569" t="s">
        <v>147</v>
      </c>
    </row>
    <row r="570" spans="1:95" x14ac:dyDescent="0.2">
      <c r="A570" t="s">
        <v>115</v>
      </c>
      <c r="B570" t="s">
        <v>116</v>
      </c>
      <c r="C570">
        <v>210784</v>
      </c>
      <c r="E570" t="s">
        <v>117</v>
      </c>
      <c r="F570">
        <v>368</v>
      </c>
      <c r="G570" t="s">
        <v>141</v>
      </c>
      <c r="H570" t="s">
        <v>142</v>
      </c>
      <c r="I570" t="s">
        <v>279</v>
      </c>
      <c r="J570" t="s">
        <v>280</v>
      </c>
      <c r="L570" t="s">
        <v>352</v>
      </c>
      <c r="M570" s="8">
        <v>45627</v>
      </c>
      <c r="N570">
        <v>5634255</v>
      </c>
      <c r="O570" t="s">
        <v>123</v>
      </c>
      <c r="P570" t="s">
        <v>146</v>
      </c>
      <c r="Q570">
        <v>2.92</v>
      </c>
      <c r="R570" t="s">
        <v>125</v>
      </c>
      <c r="S570" t="s">
        <v>126</v>
      </c>
      <c r="T570" t="s">
        <v>125</v>
      </c>
      <c r="U570" t="s">
        <v>126</v>
      </c>
      <c r="W570">
        <v>2.92</v>
      </c>
      <c r="Y570">
        <v>2.92</v>
      </c>
      <c r="AS570">
        <v>2.92</v>
      </c>
      <c r="BH570" t="s">
        <v>126</v>
      </c>
      <c r="BI570" t="s">
        <v>126</v>
      </c>
      <c r="BJ570" t="s">
        <v>126</v>
      </c>
      <c r="BK570" t="s">
        <v>126</v>
      </c>
      <c r="BS570" t="s">
        <v>126</v>
      </c>
      <c r="BT570" t="s">
        <v>126</v>
      </c>
      <c r="BU570" t="s">
        <v>126</v>
      </c>
      <c r="BV570" t="s">
        <v>126</v>
      </c>
      <c r="CN570" t="s">
        <v>147</v>
      </c>
      <c r="CP570" t="s">
        <v>275</v>
      </c>
      <c r="CQ570" t="s">
        <v>147</v>
      </c>
    </row>
    <row r="571" spans="1:95" x14ac:dyDescent="0.2">
      <c r="A571" t="s">
        <v>115</v>
      </c>
      <c r="B571" t="s">
        <v>116</v>
      </c>
      <c r="C571">
        <v>210784</v>
      </c>
      <c r="E571" t="s">
        <v>117</v>
      </c>
      <c r="F571">
        <v>368</v>
      </c>
      <c r="G571" t="s">
        <v>141</v>
      </c>
      <c r="H571" t="s">
        <v>142</v>
      </c>
      <c r="I571" t="s">
        <v>279</v>
      </c>
      <c r="J571" t="s">
        <v>280</v>
      </c>
      <c r="L571" t="s">
        <v>352</v>
      </c>
      <c r="M571" s="8">
        <v>45627</v>
      </c>
      <c r="N571">
        <v>5634369</v>
      </c>
      <c r="O571" t="s">
        <v>123</v>
      </c>
      <c r="P571" t="s">
        <v>146</v>
      </c>
      <c r="Q571">
        <v>2.81</v>
      </c>
      <c r="R571" t="s">
        <v>125</v>
      </c>
      <c r="S571" t="s">
        <v>126</v>
      </c>
      <c r="T571" t="s">
        <v>125</v>
      </c>
      <c r="U571" t="s">
        <v>126</v>
      </c>
      <c r="W571">
        <v>2.81</v>
      </c>
      <c r="Y571">
        <v>2.81</v>
      </c>
      <c r="AS571">
        <v>2.81</v>
      </c>
      <c r="BH571" t="s">
        <v>126</v>
      </c>
      <c r="BI571" t="s">
        <v>126</v>
      </c>
      <c r="BJ571" t="s">
        <v>126</v>
      </c>
      <c r="BK571" t="s">
        <v>126</v>
      </c>
      <c r="BS571" t="s">
        <v>126</v>
      </c>
      <c r="BT571" t="s">
        <v>126</v>
      </c>
      <c r="BU571" t="s">
        <v>126</v>
      </c>
      <c r="BV571" t="s">
        <v>126</v>
      </c>
      <c r="CN571" t="s">
        <v>147</v>
      </c>
      <c r="CP571" t="s">
        <v>275</v>
      </c>
      <c r="CQ571" t="s">
        <v>147</v>
      </c>
    </row>
    <row r="572" spans="1:95" x14ac:dyDescent="0.2">
      <c r="A572" t="s">
        <v>115</v>
      </c>
      <c r="B572" t="s">
        <v>116</v>
      </c>
      <c r="C572">
        <v>210784</v>
      </c>
      <c r="E572" t="s">
        <v>117</v>
      </c>
      <c r="F572">
        <v>368</v>
      </c>
      <c r="G572" t="s">
        <v>141</v>
      </c>
      <c r="H572" t="s">
        <v>142</v>
      </c>
      <c r="I572" t="s">
        <v>279</v>
      </c>
      <c r="J572" t="s">
        <v>280</v>
      </c>
      <c r="L572" t="s">
        <v>274</v>
      </c>
      <c r="M572" s="8">
        <v>45627</v>
      </c>
      <c r="N572">
        <v>5636388</v>
      </c>
      <c r="O572" t="s">
        <v>123</v>
      </c>
      <c r="P572" t="s">
        <v>146</v>
      </c>
      <c r="Q572">
        <v>6.56</v>
      </c>
      <c r="R572" t="s">
        <v>125</v>
      </c>
      <c r="S572" t="s">
        <v>126</v>
      </c>
      <c r="T572" t="s">
        <v>125</v>
      </c>
      <c r="U572" t="s">
        <v>126</v>
      </c>
      <c r="W572">
        <v>6.56</v>
      </c>
      <c r="Y572">
        <v>6.56</v>
      </c>
      <c r="AS572">
        <v>6.56</v>
      </c>
      <c r="BH572" t="s">
        <v>126</v>
      </c>
      <c r="BI572" t="s">
        <v>126</v>
      </c>
      <c r="BJ572" t="s">
        <v>126</v>
      </c>
      <c r="BK572" t="s">
        <v>126</v>
      </c>
      <c r="BS572" t="s">
        <v>126</v>
      </c>
      <c r="BT572" t="s">
        <v>126</v>
      </c>
      <c r="BU572" t="s">
        <v>126</v>
      </c>
      <c r="BV572" t="s">
        <v>126</v>
      </c>
      <c r="CN572" t="s">
        <v>147</v>
      </c>
      <c r="CP572" t="s">
        <v>275</v>
      </c>
      <c r="CQ572" t="s">
        <v>147</v>
      </c>
    </row>
    <row r="573" spans="1:95" x14ac:dyDescent="0.2">
      <c r="A573" t="s">
        <v>115</v>
      </c>
      <c r="B573" t="s">
        <v>116</v>
      </c>
      <c r="C573">
        <v>210784</v>
      </c>
      <c r="E573" t="s">
        <v>117</v>
      </c>
      <c r="F573">
        <v>368</v>
      </c>
      <c r="G573" t="s">
        <v>141</v>
      </c>
      <c r="H573" t="s">
        <v>142</v>
      </c>
      <c r="I573" t="s">
        <v>279</v>
      </c>
      <c r="J573" t="s">
        <v>280</v>
      </c>
      <c r="L573" t="s">
        <v>353</v>
      </c>
      <c r="M573" s="8">
        <v>45627</v>
      </c>
      <c r="N573">
        <v>5637240</v>
      </c>
      <c r="O573" t="s">
        <v>123</v>
      </c>
      <c r="P573" t="s">
        <v>146</v>
      </c>
      <c r="Q573">
        <v>3.03</v>
      </c>
      <c r="R573" t="s">
        <v>125</v>
      </c>
      <c r="S573" t="s">
        <v>126</v>
      </c>
      <c r="T573" t="s">
        <v>125</v>
      </c>
      <c r="U573" t="s">
        <v>126</v>
      </c>
      <c r="W573">
        <v>3.03</v>
      </c>
      <c r="Y573">
        <v>3.03</v>
      </c>
      <c r="AS573">
        <v>3.03</v>
      </c>
      <c r="BH573" t="s">
        <v>126</v>
      </c>
      <c r="BI573" t="s">
        <v>126</v>
      </c>
      <c r="BJ573" t="s">
        <v>126</v>
      </c>
      <c r="BK573" t="s">
        <v>126</v>
      </c>
      <c r="BS573" t="s">
        <v>126</v>
      </c>
      <c r="BT573" t="s">
        <v>126</v>
      </c>
      <c r="BU573" t="s">
        <v>126</v>
      </c>
      <c r="BV573" t="s">
        <v>126</v>
      </c>
      <c r="CN573" t="s">
        <v>147</v>
      </c>
      <c r="CP573" t="s">
        <v>275</v>
      </c>
      <c r="CQ573" t="s">
        <v>147</v>
      </c>
    </row>
    <row r="574" spans="1:95" x14ac:dyDescent="0.2">
      <c r="A574" t="s">
        <v>115</v>
      </c>
      <c r="B574" t="s">
        <v>116</v>
      </c>
      <c r="C574">
        <v>210784</v>
      </c>
      <c r="E574" t="s">
        <v>117</v>
      </c>
      <c r="F574">
        <v>368</v>
      </c>
      <c r="G574" t="s">
        <v>141</v>
      </c>
      <c r="H574" t="s">
        <v>142</v>
      </c>
      <c r="I574" t="s">
        <v>279</v>
      </c>
      <c r="J574" t="s">
        <v>280</v>
      </c>
      <c r="L574" t="s">
        <v>354</v>
      </c>
      <c r="M574" s="8">
        <v>45627</v>
      </c>
      <c r="N574">
        <v>5637540</v>
      </c>
      <c r="O574" t="s">
        <v>123</v>
      </c>
      <c r="P574" t="s">
        <v>146</v>
      </c>
      <c r="Q574">
        <v>1.23</v>
      </c>
      <c r="R574" t="s">
        <v>125</v>
      </c>
      <c r="S574" t="s">
        <v>126</v>
      </c>
      <c r="T574" t="s">
        <v>125</v>
      </c>
      <c r="U574" t="s">
        <v>126</v>
      </c>
      <c r="W574">
        <v>1.23</v>
      </c>
      <c r="Y574">
        <v>1.23</v>
      </c>
      <c r="AS574">
        <v>1.23</v>
      </c>
      <c r="BH574" t="s">
        <v>126</v>
      </c>
      <c r="BI574" t="s">
        <v>126</v>
      </c>
      <c r="BJ574" t="s">
        <v>126</v>
      </c>
      <c r="BK574" t="s">
        <v>126</v>
      </c>
      <c r="BS574" t="s">
        <v>126</v>
      </c>
      <c r="BT574" t="s">
        <v>126</v>
      </c>
      <c r="BU574" t="s">
        <v>126</v>
      </c>
      <c r="BV574" t="s">
        <v>126</v>
      </c>
      <c r="CN574" t="s">
        <v>147</v>
      </c>
      <c r="CP574" t="s">
        <v>275</v>
      </c>
      <c r="CQ574" t="s">
        <v>147</v>
      </c>
    </row>
    <row r="575" spans="1:95" x14ac:dyDescent="0.2">
      <c r="A575" t="s">
        <v>115</v>
      </c>
      <c r="B575" t="s">
        <v>116</v>
      </c>
      <c r="C575">
        <v>210784</v>
      </c>
      <c r="E575" t="s">
        <v>117</v>
      </c>
      <c r="F575">
        <v>368</v>
      </c>
      <c r="G575" t="s">
        <v>141</v>
      </c>
      <c r="H575" t="s">
        <v>142</v>
      </c>
      <c r="I575" t="s">
        <v>279</v>
      </c>
      <c r="J575" t="s">
        <v>280</v>
      </c>
      <c r="L575" t="s">
        <v>355</v>
      </c>
      <c r="M575" s="8">
        <v>45627</v>
      </c>
      <c r="N575">
        <v>5639276</v>
      </c>
      <c r="O575" t="s">
        <v>123</v>
      </c>
      <c r="P575" t="s">
        <v>146</v>
      </c>
      <c r="Q575">
        <v>6.16</v>
      </c>
      <c r="R575" t="s">
        <v>125</v>
      </c>
      <c r="S575" t="s">
        <v>126</v>
      </c>
      <c r="T575" t="s">
        <v>125</v>
      </c>
      <c r="U575" t="s">
        <v>126</v>
      </c>
      <c r="W575">
        <v>6.16</v>
      </c>
      <c r="Y575">
        <v>6.16</v>
      </c>
      <c r="AS575">
        <v>6.16</v>
      </c>
      <c r="BH575" t="s">
        <v>126</v>
      </c>
      <c r="BI575" t="s">
        <v>126</v>
      </c>
      <c r="BJ575" t="s">
        <v>126</v>
      </c>
      <c r="BK575" t="s">
        <v>126</v>
      </c>
      <c r="BS575" t="s">
        <v>126</v>
      </c>
      <c r="BT575" t="s">
        <v>126</v>
      </c>
      <c r="BU575" t="s">
        <v>126</v>
      </c>
      <c r="BV575" t="s">
        <v>126</v>
      </c>
      <c r="CN575" t="s">
        <v>147</v>
      </c>
      <c r="CP575" t="s">
        <v>275</v>
      </c>
      <c r="CQ575" t="s">
        <v>147</v>
      </c>
    </row>
    <row r="576" spans="1:95" x14ac:dyDescent="0.2">
      <c r="A576" t="s">
        <v>115</v>
      </c>
      <c r="B576" t="s">
        <v>116</v>
      </c>
      <c r="C576">
        <v>210784</v>
      </c>
      <c r="E576" t="s">
        <v>117</v>
      </c>
      <c r="F576">
        <v>368</v>
      </c>
      <c r="G576" t="s">
        <v>141</v>
      </c>
      <c r="H576" t="s">
        <v>142</v>
      </c>
      <c r="I576" t="s">
        <v>279</v>
      </c>
      <c r="J576" t="s">
        <v>280</v>
      </c>
      <c r="L576" t="s">
        <v>342</v>
      </c>
      <c r="M576" s="8">
        <v>45627</v>
      </c>
      <c r="N576">
        <v>5623631</v>
      </c>
      <c r="O576" t="s">
        <v>123</v>
      </c>
      <c r="P576" t="s">
        <v>146</v>
      </c>
      <c r="Q576">
        <v>3.5700000000000003</v>
      </c>
      <c r="R576" t="s">
        <v>610</v>
      </c>
      <c r="S576" t="s">
        <v>126</v>
      </c>
      <c r="T576" t="s">
        <v>610</v>
      </c>
      <c r="U576" t="s">
        <v>611</v>
      </c>
      <c r="W576">
        <v>1.1000000000000001</v>
      </c>
      <c r="X576">
        <v>2.4700000000000002</v>
      </c>
      <c r="Y576">
        <v>3.5700000000000003</v>
      </c>
      <c r="Z576">
        <v>1.36</v>
      </c>
      <c r="AG576">
        <v>1.1000000000000001</v>
      </c>
      <c r="AI576">
        <v>1.1100000000000001</v>
      </c>
      <c r="BH576" t="s">
        <v>126</v>
      </c>
      <c r="BI576" t="s">
        <v>126</v>
      </c>
      <c r="BJ576" t="s">
        <v>126</v>
      </c>
      <c r="BK576" t="s">
        <v>126</v>
      </c>
      <c r="BS576" t="s">
        <v>126</v>
      </c>
      <c r="BT576" t="s">
        <v>126</v>
      </c>
      <c r="BU576" t="s">
        <v>126</v>
      </c>
      <c r="BV576" t="s">
        <v>126</v>
      </c>
      <c r="CN576" t="s">
        <v>147</v>
      </c>
      <c r="CP576" t="s">
        <v>273</v>
      </c>
      <c r="CQ576" t="s">
        <v>147</v>
      </c>
    </row>
    <row r="577" spans="1:95" x14ac:dyDescent="0.2">
      <c r="A577" t="s">
        <v>115</v>
      </c>
      <c r="B577" t="s">
        <v>116</v>
      </c>
      <c r="C577">
        <v>210784</v>
      </c>
      <c r="E577" t="s">
        <v>117</v>
      </c>
      <c r="F577">
        <v>368</v>
      </c>
      <c r="G577" t="s">
        <v>141</v>
      </c>
      <c r="H577" t="s">
        <v>142</v>
      </c>
      <c r="I577" t="s">
        <v>279</v>
      </c>
      <c r="J577" t="s">
        <v>280</v>
      </c>
      <c r="L577" t="s">
        <v>344</v>
      </c>
      <c r="M577" s="8">
        <v>45627</v>
      </c>
      <c r="N577">
        <v>5628274</v>
      </c>
      <c r="O577" t="s">
        <v>123</v>
      </c>
      <c r="P577" t="s">
        <v>146</v>
      </c>
      <c r="Q577">
        <v>1.17</v>
      </c>
      <c r="R577" t="s">
        <v>569</v>
      </c>
      <c r="S577" t="s">
        <v>126</v>
      </c>
      <c r="T577" t="s">
        <v>569</v>
      </c>
      <c r="U577" t="s">
        <v>570</v>
      </c>
      <c r="W577">
        <v>0.36</v>
      </c>
      <c r="X577">
        <v>0.81</v>
      </c>
      <c r="Y577">
        <v>1.17</v>
      </c>
      <c r="Z577">
        <v>0.45</v>
      </c>
      <c r="AG577">
        <v>0.36</v>
      </c>
      <c r="AI577">
        <v>0.36</v>
      </c>
      <c r="BH577" t="s">
        <v>126</v>
      </c>
      <c r="BI577" t="s">
        <v>126</v>
      </c>
      <c r="BJ577" t="s">
        <v>126</v>
      </c>
      <c r="BK577" t="s">
        <v>126</v>
      </c>
      <c r="BS577" t="s">
        <v>126</v>
      </c>
      <c r="BT577" t="s">
        <v>126</v>
      </c>
      <c r="BU577" t="s">
        <v>126</v>
      </c>
      <c r="BV577" t="s">
        <v>126</v>
      </c>
      <c r="CN577" t="s">
        <v>147</v>
      </c>
      <c r="CP577" t="s">
        <v>273</v>
      </c>
      <c r="CQ577" t="s">
        <v>147</v>
      </c>
    </row>
    <row r="578" spans="1:95" x14ac:dyDescent="0.2">
      <c r="A578" t="s">
        <v>115</v>
      </c>
      <c r="B578" t="s">
        <v>116</v>
      </c>
      <c r="C578">
        <v>210784</v>
      </c>
      <c r="E578" t="s">
        <v>117</v>
      </c>
      <c r="F578">
        <v>368</v>
      </c>
      <c r="G578" t="s">
        <v>141</v>
      </c>
      <c r="H578" t="s">
        <v>142</v>
      </c>
      <c r="I578" t="s">
        <v>279</v>
      </c>
      <c r="J578" t="s">
        <v>280</v>
      </c>
      <c r="L578" t="s">
        <v>664</v>
      </c>
      <c r="M578" s="8">
        <v>45627</v>
      </c>
      <c r="N578">
        <v>5634984</v>
      </c>
      <c r="O578" t="s">
        <v>123</v>
      </c>
      <c r="P578" t="s">
        <v>146</v>
      </c>
      <c r="Q578">
        <v>2.19</v>
      </c>
      <c r="R578" t="s">
        <v>665</v>
      </c>
      <c r="S578" t="s">
        <v>126</v>
      </c>
      <c r="T578" t="s">
        <v>665</v>
      </c>
      <c r="U578" t="s">
        <v>666</v>
      </c>
      <c r="W578">
        <v>0.67</v>
      </c>
      <c r="X578">
        <v>1.52</v>
      </c>
      <c r="Y578">
        <v>2.19</v>
      </c>
      <c r="Z578">
        <v>0.84</v>
      </c>
      <c r="AG578">
        <v>0.67</v>
      </c>
      <c r="AI578">
        <v>0.68</v>
      </c>
      <c r="BH578" t="s">
        <v>126</v>
      </c>
      <c r="BI578" t="s">
        <v>126</v>
      </c>
      <c r="BJ578" t="s">
        <v>126</v>
      </c>
      <c r="BK578" t="s">
        <v>126</v>
      </c>
      <c r="BS578" t="s">
        <v>126</v>
      </c>
      <c r="BT578" t="s">
        <v>126</v>
      </c>
      <c r="BU578" t="s">
        <v>126</v>
      </c>
      <c r="BV578" t="s">
        <v>126</v>
      </c>
      <c r="CN578" t="s">
        <v>147</v>
      </c>
      <c r="CP578" t="s">
        <v>275</v>
      </c>
      <c r="CQ578" t="s">
        <v>147</v>
      </c>
    </row>
    <row r="579" spans="1:95" x14ac:dyDescent="0.2">
      <c r="A579" t="s">
        <v>115</v>
      </c>
      <c r="B579" t="s">
        <v>116</v>
      </c>
      <c r="C579">
        <v>210784</v>
      </c>
      <c r="E579" t="s">
        <v>117</v>
      </c>
      <c r="F579">
        <v>368</v>
      </c>
      <c r="G579" t="s">
        <v>141</v>
      </c>
      <c r="H579" t="s">
        <v>142</v>
      </c>
      <c r="I579" t="s">
        <v>279</v>
      </c>
      <c r="J579" t="s">
        <v>280</v>
      </c>
      <c r="L579" t="s">
        <v>355</v>
      </c>
      <c r="M579" s="8">
        <v>45627</v>
      </c>
      <c r="N579">
        <v>5638854</v>
      </c>
      <c r="O579" t="s">
        <v>123</v>
      </c>
      <c r="P579" t="s">
        <v>146</v>
      </c>
      <c r="Q579">
        <v>1.19</v>
      </c>
      <c r="R579" t="s">
        <v>667</v>
      </c>
      <c r="S579" t="s">
        <v>126</v>
      </c>
      <c r="T579" t="s">
        <v>667</v>
      </c>
      <c r="U579" t="s">
        <v>668</v>
      </c>
      <c r="W579">
        <v>0.37</v>
      </c>
      <c r="X579">
        <v>0.82000000000000006</v>
      </c>
      <c r="Y579">
        <v>1.19</v>
      </c>
      <c r="Z579">
        <v>0.45</v>
      </c>
      <c r="AG579">
        <v>0.37</v>
      </c>
      <c r="AI579">
        <v>0.37</v>
      </c>
      <c r="BH579" t="s">
        <v>126</v>
      </c>
      <c r="BI579" t="s">
        <v>126</v>
      </c>
      <c r="BJ579" t="s">
        <v>126</v>
      </c>
      <c r="BK579" t="s">
        <v>126</v>
      </c>
      <c r="BS579" t="s">
        <v>126</v>
      </c>
      <c r="BT579" t="s">
        <v>126</v>
      </c>
      <c r="BU579" t="s">
        <v>126</v>
      </c>
      <c r="BV579" t="s">
        <v>126</v>
      </c>
      <c r="CN579" t="s">
        <v>147</v>
      </c>
      <c r="CP579" t="s">
        <v>275</v>
      </c>
      <c r="CQ579" t="s">
        <v>147</v>
      </c>
    </row>
    <row r="580" spans="1:95" x14ac:dyDescent="0.2">
      <c r="A580" t="s">
        <v>115</v>
      </c>
      <c r="B580" t="s">
        <v>116</v>
      </c>
      <c r="C580">
        <v>210784</v>
      </c>
      <c r="E580" t="s">
        <v>117</v>
      </c>
      <c r="F580">
        <v>368</v>
      </c>
      <c r="G580" t="s">
        <v>141</v>
      </c>
      <c r="H580" t="s">
        <v>142</v>
      </c>
      <c r="I580" t="s">
        <v>279</v>
      </c>
      <c r="J580" t="s">
        <v>280</v>
      </c>
      <c r="L580" t="s">
        <v>355</v>
      </c>
      <c r="M580" s="8">
        <v>45627</v>
      </c>
      <c r="N580">
        <v>5638982</v>
      </c>
      <c r="O580" t="s">
        <v>123</v>
      </c>
      <c r="P580" t="s">
        <v>146</v>
      </c>
      <c r="Q580">
        <v>1.62</v>
      </c>
      <c r="R580" t="s">
        <v>567</v>
      </c>
      <c r="S580" t="s">
        <v>126</v>
      </c>
      <c r="T580" t="s">
        <v>567</v>
      </c>
      <c r="U580" t="s">
        <v>568</v>
      </c>
      <c r="W580">
        <v>0.5</v>
      </c>
      <c r="X580">
        <v>1.1200000000000001</v>
      </c>
      <c r="Y580">
        <v>1.62</v>
      </c>
      <c r="Z580">
        <v>0.62</v>
      </c>
      <c r="AG580">
        <v>0.5</v>
      </c>
      <c r="AI580">
        <v>0.5</v>
      </c>
      <c r="BH580" t="s">
        <v>126</v>
      </c>
      <c r="BI580" t="s">
        <v>126</v>
      </c>
      <c r="BJ580" t="s">
        <v>126</v>
      </c>
      <c r="BK580" t="s">
        <v>126</v>
      </c>
      <c r="BS580" t="s">
        <v>126</v>
      </c>
      <c r="BT580" t="s">
        <v>126</v>
      </c>
      <c r="BU580" t="s">
        <v>126</v>
      </c>
      <c r="BV580" t="s">
        <v>126</v>
      </c>
      <c r="CN580" t="s">
        <v>147</v>
      </c>
      <c r="CP580" t="s">
        <v>275</v>
      </c>
      <c r="CQ580" t="s">
        <v>147</v>
      </c>
    </row>
    <row r="581" spans="1:95" x14ac:dyDescent="0.2">
      <c r="A581" t="s">
        <v>115</v>
      </c>
      <c r="B581" t="s">
        <v>116</v>
      </c>
      <c r="C581">
        <v>210784</v>
      </c>
      <c r="E581" t="s">
        <v>117</v>
      </c>
      <c r="F581">
        <v>368</v>
      </c>
      <c r="G581" t="s">
        <v>141</v>
      </c>
      <c r="H581" t="s">
        <v>142</v>
      </c>
      <c r="I581" t="s">
        <v>279</v>
      </c>
      <c r="J581" t="s">
        <v>280</v>
      </c>
      <c r="L581" t="s">
        <v>340</v>
      </c>
      <c r="M581" s="8">
        <v>45627</v>
      </c>
      <c r="N581">
        <v>5623013</v>
      </c>
      <c r="O581" t="s">
        <v>123</v>
      </c>
      <c r="P581" t="s">
        <v>146</v>
      </c>
      <c r="Q581">
        <v>4.7300000000000004</v>
      </c>
      <c r="R581" t="s">
        <v>125</v>
      </c>
      <c r="S581" t="s">
        <v>126</v>
      </c>
      <c r="T581" t="s">
        <v>125</v>
      </c>
      <c r="U581" t="s">
        <v>126</v>
      </c>
      <c r="W581">
        <v>4.7300000000000004</v>
      </c>
      <c r="Y581">
        <v>4.7300000000000004</v>
      </c>
      <c r="BE581">
        <v>4.7300000000000004</v>
      </c>
      <c r="BH581" t="s">
        <v>126</v>
      </c>
      <c r="BI581" t="s">
        <v>126</v>
      </c>
      <c r="BJ581" t="s">
        <v>126</v>
      </c>
      <c r="BK581" t="s">
        <v>126</v>
      </c>
      <c r="BS581" t="s">
        <v>126</v>
      </c>
      <c r="BT581" t="s">
        <v>126</v>
      </c>
      <c r="BU581" t="s">
        <v>126</v>
      </c>
      <c r="BV581" t="s">
        <v>126</v>
      </c>
      <c r="CN581" t="s">
        <v>147</v>
      </c>
      <c r="CP581" t="s">
        <v>273</v>
      </c>
      <c r="CQ581" t="s">
        <v>147</v>
      </c>
    </row>
    <row r="582" spans="1:95" x14ac:dyDescent="0.2">
      <c r="A582" t="s">
        <v>115</v>
      </c>
      <c r="B582" t="s">
        <v>116</v>
      </c>
      <c r="C582">
        <v>210784</v>
      </c>
      <c r="E582" t="s">
        <v>117</v>
      </c>
      <c r="F582">
        <v>368</v>
      </c>
      <c r="G582" t="s">
        <v>141</v>
      </c>
      <c r="H582" t="s">
        <v>142</v>
      </c>
      <c r="I582" t="s">
        <v>279</v>
      </c>
      <c r="J582" t="s">
        <v>280</v>
      </c>
      <c r="L582" t="s">
        <v>340</v>
      </c>
      <c r="M582" s="8">
        <v>45627</v>
      </c>
      <c r="N582">
        <v>5622877</v>
      </c>
      <c r="O582" t="s">
        <v>123</v>
      </c>
      <c r="P582" t="s">
        <v>146</v>
      </c>
      <c r="Q582">
        <v>2.46</v>
      </c>
      <c r="R582" t="s">
        <v>125</v>
      </c>
      <c r="S582" t="s">
        <v>126</v>
      </c>
      <c r="T582" t="s">
        <v>125</v>
      </c>
      <c r="U582" t="s">
        <v>126</v>
      </c>
      <c r="W582">
        <v>2.46</v>
      </c>
      <c r="Y582">
        <v>2.46</v>
      </c>
      <c r="BE582">
        <v>2.46</v>
      </c>
      <c r="BH582" t="s">
        <v>126</v>
      </c>
      <c r="BI582" t="s">
        <v>126</v>
      </c>
      <c r="BJ582" t="s">
        <v>126</v>
      </c>
      <c r="BK582" t="s">
        <v>126</v>
      </c>
      <c r="BS582" t="s">
        <v>126</v>
      </c>
      <c r="BT582" t="s">
        <v>126</v>
      </c>
      <c r="BU582" t="s">
        <v>126</v>
      </c>
      <c r="BV582" t="s">
        <v>126</v>
      </c>
      <c r="CN582" t="s">
        <v>147</v>
      </c>
      <c r="CP582" t="s">
        <v>273</v>
      </c>
      <c r="CQ582" t="s">
        <v>147</v>
      </c>
    </row>
    <row r="583" spans="1:95" x14ac:dyDescent="0.2">
      <c r="A583" t="s">
        <v>115</v>
      </c>
      <c r="B583" t="s">
        <v>116</v>
      </c>
      <c r="C583">
        <v>210784</v>
      </c>
      <c r="E583" t="s">
        <v>117</v>
      </c>
      <c r="F583">
        <v>368</v>
      </c>
      <c r="G583" t="s">
        <v>141</v>
      </c>
      <c r="H583" t="s">
        <v>142</v>
      </c>
      <c r="I583" t="s">
        <v>279</v>
      </c>
      <c r="J583" t="s">
        <v>280</v>
      </c>
      <c r="L583" t="s">
        <v>340</v>
      </c>
      <c r="M583" s="8">
        <v>45627</v>
      </c>
      <c r="N583">
        <v>5622798</v>
      </c>
      <c r="O583" t="s">
        <v>123</v>
      </c>
      <c r="P583" t="s">
        <v>146</v>
      </c>
      <c r="Q583">
        <v>4.9000000000000004</v>
      </c>
      <c r="R583" t="s">
        <v>125</v>
      </c>
      <c r="S583" t="s">
        <v>126</v>
      </c>
      <c r="T583" t="s">
        <v>125</v>
      </c>
      <c r="U583" t="s">
        <v>126</v>
      </c>
      <c r="W583">
        <v>4.9000000000000004</v>
      </c>
      <c r="Y583">
        <v>4.9000000000000004</v>
      </c>
      <c r="BE583">
        <v>4.9000000000000004</v>
      </c>
      <c r="BH583" t="s">
        <v>126</v>
      </c>
      <c r="BI583" t="s">
        <v>126</v>
      </c>
      <c r="BJ583" t="s">
        <v>126</v>
      </c>
      <c r="BK583" t="s">
        <v>126</v>
      </c>
      <c r="BS583" t="s">
        <v>126</v>
      </c>
      <c r="BT583" t="s">
        <v>126</v>
      </c>
      <c r="BU583" t="s">
        <v>126</v>
      </c>
      <c r="BV583" t="s">
        <v>126</v>
      </c>
      <c r="CN583" t="s">
        <v>147</v>
      </c>
      <c r="CP583" t="s">
        <v>273</v>
      </c>
      <c r="CQ583" t="s">
        <v>147</v>
      </c>
    </row>
    <row r="584" spans="1:95" x14ac:dyDescent="0.2">
      <c r="A584" t="s">
        <v>115</v>
      </c>
      <c r="B584" t="s">
        <v>116</v>
      </c>
      <c r="C584">
        <v>210784</v>
      </c>
      <c r="E584" t="s">
        <v>117</v>
      </c>
      <c r="F584">
        <v>368</v>
      </c>
      <c r="G584" t="s">
        <v>141</v>
      </c>
      <c r="H584" t="s">
        <v>142</v>
      </c>
      <c r="I584" t="s">
        <v>279</v>
      </c>
      <c r="J584" t="s">
        <v>280</v>
      </c>
      <c r="L584" t="s">
        <v>342</v>
      </c>
      <c r="M584" s="8">
        <v>45627</v>
      </c>
      <c r="N584">
        <v>562337</v>
      </c>
      <c r="O584" t="s">
        <v>123</v>
      </c>
      <c r="P584" t="s">
        <v>146</v>
      </c>
      <c r="Q584">
        <v>1.02</v>
      </c>
      <c r="R584" t="s">
        <v>125</v>
      </c>
      <c r="S584" t="s">
        <v>126</v>
      </c>
      <c r="T584" t="s">
        <v>125</v>
      </c>
      <c r="U584" t="s">
        <v>126</v>
      </c>
      <c r="W584">
        <v>1.02</v>
      </c>
      <c r="Y584">
        <v>1.02</v>
      </c>
      <c r="BE584">
        <v>1.02</v>
      </c>
      <c r="BH584" t="s">
        <v>126</v>
      </c>
      <c r="BI584" t="s">
        <v>126</v>
      </c>
      <c r="BJ584" t="s">
        <v>126</v>
      </c>
      <c r="BK584" t="s">
        <v>126</v>
      </c>
      <c r="BS584" t="s">
        <v>126</v>
      </c>
      <c r="BT584" t="s">
        <v>126</v>
      </c>
      <c r="BU584" t="s">
        <v>126</v>
      </c>
      <c r="BV584" t="s">
        <v>126</v>
      </c>
      <c r="CN584" t="s">
        <v>147</v>
      </c>
      <c r="CP584" t="s">
        <v>273</v>
      </c>
      <c r="CQ584" t="s">
        <v>147</v>
      </c>
    </row>
    <row r="585" spans="1:95" x14ac:dyDescent="0.2">
      <c r="A585" t="s">
        <v>115</v>
      </c>
      <c r="B585" t="s">
        <v>116</v>
      </c>
      <c r="C585">
        <v>210784</v>
      </c>
      <c r="E585" t="s">
        <v>117</v>
      </c>
      <c r="F585">
        <v>368</v>
      </c>
      <c r="G585" t="s">
        <v>141</v>
      </c>
      <c r="H585" t="s">
        <v>142</v>
      </c>
      <c r="I585" t="s">
        <v>279</v>
      </c>
      <c r="J585" t="s">
        <v>280</v>
      </c>
      <c r="L585" t="s">
        <v>351</v>
      </c>
      <c r="M585" s="8">
        <v>45627</v>
      </c>
      <c r="N585">
        <v>5633889</v>
      </c>
      <c r="O585" t="s">
        <v>123</v>
      </c>
      <c r="P585" t="s">
        <v>146</v>
      </c>
      <c r="Q585">
        <v>0.71</v>
      </c>
      <c r="R585" t="s">
        <v>125</v>
      </c>
      <c r="S585" t="s">
        <v>126</v>
      </c>
      <c r="T585" t="s">
        <v>125</v>
      </c>
      <c r="U585" t="s">
        <v>126</v>
      </c>
      <c r="W585">
        <v>0.71</v>
      </c>
      <c r="Y585">
        <v>0.71</v>
      </c>
      <c r="BE585">
        <v>0.71</v>
      </c>
      <c r="BH585" t="s">
        <v>126</v>
      </c>
      <c r="BI585" t="s">
        <v>126</v>
      </c>
      <c r="BJ585" t="s">
        <v>126</v>
      </c>
      <c r="BK585" t="s">
        <v>126</v>
      </c>
      <c r="BS585" t="s">
        <v>126</v>
      </c>
      <c r="BT585" t="s">
        <v>126</v>
      </c>
      <c r="BU585" t="s">
        <v>126</v>
      </c>
      <c r="BV585" t="s">
        <v>126</v>
      </c>
      <c r="CN585" t="s">
        <v>147</v>
      </c>
      <c r="CP585" t="s">
        <v>275</v>
      </c>
      <c r="CQ585" t="s">
        <v>147</v>
      </c>
    </row>
    <row r="586" spans="1:95" x14ac:dyDescent="0.2">
      <c r="A586" t="s">
        <v>115</v>
      </c>
      <c r="B586" t="s">
        <v>116</v>
      </c>
      <c r="C586">
        <v>210784</v>
      </c>
      <c r="E586" t="s">
        <v>117</v>
      </c>
      <c r="F586">
        <v>368</v>
      </c>
      <c r="G586" t="s">
        <v>141</v>
      </c>
      <c r="H586" t="s">
        <v>142</v>
      </c>
      <c r="I586" t="s">
        <v>279</v>
      </c>
      <c r="J586" t="s">
        <v>280</v>
      </c>
      <c r="L586" t="s">
        <v>353</v>
      </c>
      <c r="M586" s="8">
        <v>45627</v>
      </c>
      <c r="N586">
        <v>5656777</v>
      </c>
      <c r="O586" t="s">
        <v>123</v>
      </c>
      <c r="P586" t="s">
        <v>146</v>
      </c>
      <c r="Q586">
        <v>2.1</v>
      </c>
      <c r="R586" t="s">
        <v>125</v>
      </c>
      <c r="S586" t="s">
        <v>126</v>
      </c>
      <c r="T586" t="s">
        <v>125</v>
      </c>
      <c r="U586" t="s">
        <v>126</v>
      </c>
      <c r="W586">
        <v>2.1</v>
      </c>
      <c r="Y586">
        <v>2.1</v>
      </c>
      <c r="BE586">
        <v>2.1</v>
      </c>
      <c r="BH586" t="s">
        <v>126</v>
      </c>
      <c r="BI586" t="s">
        <v>126</v>
      </c>
      <c r="BJ586" t="s">
        <v>126</v>
      </c>
      <c r="BK586" t="s">
        <v>126</v>
      </c>
      <c r="BS586" t="s">
        <v>126</v>
      </c>
      <c r="BT586" t="s">
        <v>126</v>
      </c>
      <c r="BU586" t="s">
        <v>126</v>
      </c>
      <c r="BV586" t="s">
        <v>126</v>
      </c>
      <c r="CN586" t="s">
        <v>147</v>
      </c>
      <c r="CP586" t="s">
        <v>275</v>
      </c>
      <c r="CQ586" t="s">
        <v>147</v>
      </c>
    </row>
    <row r="587" spans="1:95" x14ac:dyDescent="0.2">
      <c r="A587" t="s">
        <v>115</v>
      </c>
      <c r="B587" t="s">
        <v>116</v>
      </c>
      <c r="C587">
        <v>210784</v>
      </c>
      <c r="E587" t="s">
        <v>117</v>
      </c>
      <c r="F587">
        <v>368</v>
      </c>
      <c r="G587" t="s">
        <v>141</v>
      </c>
      <c r="H587" t="s">
        <v>142</v>
      </c>
      <c r="I587" t="s">
        <v>172</v>
      </c>
      <c r="J587" t="s">
        <v>173</v>
      </c>
      <c r="L587" t="s">
        <v>349</v>
      </c>
      <c r="M587" s="8">
        <v>45627</v>
      </c>
      <c r="N587">
        <v>119919</v>
      </c>
      <c r="O587" t="s">
        <v>123</v>
      </c>
      <c r="P587" t="s">
        <v>146</v>
      </c>
      <c r="Q587">
        <v>0.7</v>
      </c>
      <c r="R587" t="s">
        <v>125</v>
      </c>
      <c r="S587" t="s">
        <v>126</v>
      </c>
      <c r="T587" t="s">
        <v>125</v>
      </c>
      <c r="U587" t="s">
        <v>126</v>
      </c>
      <c r="W587">
        <v>0.7</v>
      </c>
      <c r="Y587">
        <v>0.7</v>
      </c>
      <c r="AH587">
        <v>0.7</v>
      </c>
      <c r="BH587" t="s">
        <v>126</v>
      </c>
      <c r="BI587" t="s">
        <v>126</v>
      </c>
      <c r="BJ587" t="s">
        <v>126</v>
      </c>
      <c r="BK587" t="s">
        <v>126</v>
      </c>
      <c r="BS587" t="s">
        <v>126</v>
      </c>
      <c r="BT587" t="s">
        <v>126</v>
      </c>
      <c r="BU587" t="s">
        <v>126</v>
      </c>
      <c r="BV587" t="s">
        <v>126</v>
      </c>
      <c r="CN587" t="s">
        <v>147</v>
      </c>
      <c r="CP587" t="s">
        <v>364</v>
      </c>
      <c r="CQ587" t="s">
        <v>147</v>
      </c>
    </row>
    <row r="588" spans="1:95" x14ac:dyDescent="0.2">
      <c r="A588" t="s">
        <v>115</v>
      </c>
      <c r="B588" t="s">
        <v>116</v>
      </c>
      <c r="C588">
        <v>210784</v>
      </c>
      <c r="E588" t="s">
        <v>117</v>
      </c>
      <c r="F588">
        <v>368</v>
      </c>
      <c r="G588" t="s">
        <v>141</v>
      </c>
      <c r="H588" t="s">
        <v>142</v>
      </c>
      <c r="I588" t="s">
        <v>204</v>
      </c>
      <c r="J588" t="s">
        <v>205</v>
      </c>
      <c r="L588" t="s">
        <v>276</v>
      </c>
      <c r="M588" s="8">
        <v>45658</v>
      </c>
      <c r="N588">
        <v>115442</v>
      </c>
      <c r="O588" t="s">
        <v>123</v>
      </c>
      <c r="P588" t="s">
        <v>146</v>
      </c>
      <c r="Q588">
        <v>6.75</v>
      </c>
      <c r="R588" t="s">
        <v>125</v>
      </c>
      <c r="S588" t="s">
        <v>126</v>
      </c>
      <c r="T588" t="s">
        <v>125</v>
      </c>
      <c r="U588" t="s">
        <v>126</v>
      </c>
      <c r="W588">
        <v>6.75</v>
      </c>
      <c r="Y588">
        <v>6.75</v>
      </c>
      <c r="AC588">
        <v>6.75</v>
      </c>
      <c r="BH588" t="s">
        <v>126</v>
      </c>
      <c r="BI588" t="s">
        <v>126</v>
      </c>
      <c r="BJ588" t="s">
        <v>126</v>
      </c>
      <c r="BK588" t="s">
        <v>126</v>
      </c>
      <c r="BS588" t="s">
        <v>126</v>
      </c>
      <c r="BT588" t="s">
        <v>126</v>
      </c>
      <c r="BU588" t="s">
        <v>126</v>
      </c>
      <c r="BV588" t="s">
        <v>126</v>
      </c>
      <c r="CN588" t="s">
        <v>147</v>
      </c>
      <c r="CP588" t="s">
        <v>275</v>
      </c>
      <c r="CQ588" t="s">
        <v>147</v>
      </c>
    </row>
    <row r="589" spans="1:95" x14ac:dyDescent="0.2">
      <c r="A589" t="s">
        <v>115</v>
      </c>
      <c r="B589" t="s">
        <v>116</v>
      </c>
      <c r="C589">
        <v>210784</v>
      </c>
      <c r="E589" t="s">
        <v>117</v>
      </c>
      <c r="F589">
        <v>368</v>
      </c>
      <c r="G589" t="s">
        <v>141</v>
      </c>
      <c r="H589" t="s">
        <v>142</v>
      </c>
      <c r="I589" t="s">
        <v>279</v>
      </c>
      <c r="J589" t="s">
        <v>280</v>
      </c>
      <c r="L589" t="s">
        <v>356</v>
      </c>
      <c r="M589" s="8">
        <v>45658</v>
      </c>
      <c r="N589">
        <v>5639743</v>
      </c>
      <c r="O589" t="s">
        <v>123</v>
      </c>
      <c r="P589" t="s">
        <v>146</v>
      </c>
      <c r="Q589">
        <v>2.5299999999999998</v>
      </c>
      <c r="R589" t="s">
        <v>125</v>
      </c>
      <c r="S589" t="s">
        <v>126</v>
      </c>
      <c r="T589" t="s">
        <v>125</v>
      </c>
      <c r="U589" t="s">
        <v>126</v>
      </c>
      <c r="W589">
        <v>2.5299999999999998</v>
      </c>
      <c r="Y589">
        <v>2.5299999999999998</v>
      </c>
      <c r="AS589">
        <v>2.5299999999999998</v>
      </c>
      <c r="BH589" t="s">
        <v>126</v>
      </c>
      <c r="BI589" t="s">
        <v>126</v>
      </c>
      <c r="BJ589" t="s">
        <v>126</v>
      </c>
      <c r="BK589" t="s">
        <v>126</v>
      </c>
      <c r="BS589" t="s">
        <v>126</v>
      </c>
      <c r="BT589" t="s">
        <v>126</v>
      </c>
      <c r="BU589" t="s">
        <v>126</v>
      </c>
      <c r="BV589" t="s">
        <v>126</v>
      </c>
      <c r="CN589" t="s">
        <v>147</v>
      </c>
      <c r="CP589" t="s">
        <v>275</v>
      </c>
      <c r="CQ589" t="s">
        <v>147</v>
      </c>
    </row>
    <row r="590" spans="1:95" x14ac:dyDescent="0.2">
      <c r="A590" t="s">
        <v>115</v>
      </c>
      <c r="B590" t="s">
        <v>116</v>
      </c>
      <c r="C590">
        <v>210784</v>
      </c>
      <c r="E590" t="s">
        <v>117</v>
      </c>
      <c r="F590">
        <v>368</v>
      </c>
      <c r="G590" t="s">
        <v>141</v>
      </c>
      <c r="H590" t="s">
        <v>142</v>
      </c>
      <c r="I590" t="s">
        <v>279</v>
      </c>
      <c r="J590" t="s">
        <v>280</v>
      </c>
      <c r="L590" t="s">
        <v>357</v>
      </c>
      <c r="M590" s="8">
        <v>45658</v>
      </c>
      <c r="N590">
        <v>56406225</v>
      </c>
      <c r="O590" t="s">
        <v>123</v>
      </c>
      <c r="P590" t="s">
        <v>146</v>
      </c>
      <c r="Q590">
        <v>3.54</v>
      </c>
      <c r="R590" t="s">
        <v>125</v>
      </c>
      <c r="S590" t="s">
        <v>126</v>
      </c>
      <c r="T590" t="s">
        <v>125</v>
      </c>
      <c r="U590" t="s">
        <v>126</v>
      </c>
      <c r="W590">
        <v>3.54</v>
      </c>
      <c r="Y590">
        <v>3.54</v>
      </c>
      <c r="AS590">
        <v>3.54</v>
      </c>
      <c r="BH590" t="s">
        <v>126</v>
      </c>
      <c r="BI590" t="s">
        <v>126</v>
      </c>
      <c r="BJ590" t="s">
        <v>126</v>
      </c>
      <c r="BK590" t="s">
        <v>126</v>
      </c>
      <c r="BS590" t="s">
        <v>126</v>
      </c>
      <c r="BT590" t="s">
        <v>126</v>
      </c>
      <c r="BU590" t="s">
        <v>126</v>
      </c>
      <c r="BV590" t="s">
        <v>126</v>
      </c>
      <c r="CN590" t="s">
        <v>147</v>
      </c>
      <c r="CP590" t="s">
        <v>275</v>
      </c>
      <c r="CQ590" t="s">
        <v>147</v>
      </c>
    </row>
    <row r="591" spans="1:95" x14ac:dyDescent="0.2">
      <c r="A591" t="s">
        <v>115</v>
      </c>
      <c r="B591" t="s">
        <v>116</v>
      </c>
      <c r="C591">
        <v>210784</v>
      </c>
      <c r="E591" t="s">
        <v>117</v>
      </c>
      <c r="F591">
        <v>368</v>
      </c>
      <c r="G591" t="s">
        <v>141</v>
      </c>
      <c r="H591" t="s">
        <v>142</v>
      </c>
      <c r="I591" t="s">
        <v>279</v>
      </c>
      <c r="J591" t="s">
        <v>280</v>
      </c>
      <c r="L591" t="s">
        <v>358</v>
      </c>
      <c r="M591" s="8">
        <v>45658</v>
      </c>
      <c r="N591">
        <v>5642432</v>
      </c>
      <c r="O591" t="s">
        <v>123</v>
      </c>
      <c r="P591" t="s">
        <v>146</v>
      </c>
      <c r="Q591">
        <v>1.85</v>
      </c>
      <c r="R591" t="s">
        <v>125</v>
      </c>
      <c r="S591" t="s">
        <v>126</v>
      </c>
      <c r="T591" t="s">
        <v>125</v>
      </c>
      <c r="U591" t="s">
        <v>126</v>
      </c>
      <c r="W591">
        <v>1.85</v>
      </c>
      <c r="Y591">
        <v>1.85</v>
      </c>
      <c r="AS591">
        <v>1.85</v>
      </c>
      <c r="BH591" t="s">
        <v>126</v>
      </c>
      <c r="BI591" t="s">
        <v>126</v>
      </c>
      <c r="BJ591" t="s">
        <v>126</v>
      </c>
      <c r="BK591" t="s">
        <v>126</v>
      </c>
      <c r="BS591" t="s">
        <v>126</v>
      </c>
      <c r="BT591" t="s">
        <v>126</v>
      </c>
      <c r="BU591" t="s">
        <v>126</v>
      </c>
      <c r="BV591" t="s">
        <v>126</v>
      </c>
      <c r="CN591" t="s">
        <v>147</v>
      </c>
      <c r="CP591" t="s">
        <v>275</v>
      </c>
      <c r="CQ591" t="s">
        <v>147</v>
      </c>
    </row>
    <row r="592" spans="1:95" x14ac:dyDescent="0.2">
      <c r="A592" t="s">
        <v>115</v>
      </c>
      <c r="B592" t="s">
        <v>116</v>
      </c>
      <c r="C592">
        <v>210784</v>
      </c>
      <c r="E592" t="s">
        <v>117</v>
      </c>
      <c r="F592">
        <v>368</v>
      </c>
      <c r="G592" t="s">
        <v>141</v>
      </c>
      <c r="H592" t="s">
        <v>142</v>
      </c>
      <c r="I592" t="s">
        <v>279</v>
      </c>
      <c r="J592" t="s">
        <v>280</v>
      </c>
      <c r="L592" t="s">
        <v>359</v>
      </c>
      <c r="M592" s="8">
        <v>45658</v>
      </c>
      <c r="N592">
        <v>5643083</v>
      </c>
      <c r="O592" t="s">
        <v>123</v>
      </c>
      <c r="P592" t="s">
        <v>146</v>
      </c>
      <c r="Q592">
        <v>4.34</v>
      </c>
      <c r="R592" t="s">
        <v>125</v>
      </c>
      <c r="S592" t="s">
        <v>126</v>
      </c>
      <c r="T592" t="s">
        <v>125</v>
      </c>
      <c r="U592" t="s">
        <v>126</v>
      </c>
      <c r="W592">
        <v>4.34</v>
      </c>
      <c r="Y592">
        <v>4.34</v>
      </c>
      <c r="AS592">
        <v>4.34</v>
      </c>
      <c r="BH592" t="s">
        <v>126</v>
      </c>
      <c r="BI592" t="s">
        <v>126</v>
      </c>
      <c r="BJ592" t="s">
        <v>126</v>
      </c>
      <c r="BK592" t="s">
        <v>126</v>
      </c>
      <c r="BS592" t="s">
        <v>126</v>
      </c>
      <c r="BT592" t="s">
        <v>126</v>
      </c>
      <c r="BU592" t="s">
        <v>126</v>
      </c>
      <c r="BV592" t="s">
        <v>126</v>
      </c>
      <c r="CN592" t="s">
        <v>147</v>
      </c>
      <c r="CP592" t="s">
        <v>275</v>
      </c>
      <c r="CQ592" t="s">
        <v>147</v>
      </c>
    </row>
    <row r="593" spans="1:95" x14ac:dyDescent="0.2">
      <c r="A593" t="s">
        <v>115</v>
      </c>
      <c r="B593" t="s">
        <v>116</v>
      </c>
      <c r="C593">
        <v>210784</v>
      </c>
      <c r="E593" t="s">
        <v>117</v>
      </c>
      <c r="F593">
        <v>368</v>
      </c>
      <c r="G593" t="s">
        <v>141</v>
      </c>
      <c r="H593" t="s">
        <v>142</v>
      </c>
      <c r="I593" t="s">
        <v>279</v>
      </c>
      <c r="J593" t="s">
        <v>280</v>
      </c>
      <c r="L593" t="s">
        <v>360</v>
      </c>
      <c r="M593" s="8">
        <v>45658</v>
      </c>
      <c r="N593">
        <v>5644067</v>
      </c>
      <c r="O593" t="s">
        <v>123</v>
      </c>
      <c r="P593" t="s">
        <v>146</v>
      </c>
      <c r="Q593">
        <v>3.99</v>
      </c>
      <c r="R593" t="s">
        <v>125</v>
      </c>
      <c r="S593" t="s">
        <v>126</v>
      </c>
      <c r="T593" t="s">
        <v>125</v>
      </c>
      <c r="U593" t="s">
        <v>126</v>
      </c>
      <c r="W593">
        <v>3.99</v>
      </c>
      <c r="Y593">
        <v>3.99</v>
      </c>
      <c r="AS593">
        <v>3.99</v>
      </c>
      <c r="BH593" t="s">
        <v>126</v>
      </c>
      <c r="BI593" t="s">
        <v>126</v>
      </c>
      <c r="BJ593" t="s">
        <v>126</v>
      </c>
      <c r="BK593" t="s">
        <v>126</v>
      </c>
      <c r="BS593" t="s">
        <v>126</v>
      </c>
      <c r="BT593" t="s">
        <v>126</v>
      </c>
      <c r="BU593" t="s">
        <v>126</v>
      </c>
      <c r="BV593" t="s">
        <v>126</v>
      </c>
      <c r="CN593" t="s">
        <v>147</v>
      </c>
      <c r="CP593" t="s">
        <v>275</v>
      </c>
      <c r="CQ593" t="s">
        <v>147</v>
      </c>
    </row>
    <row r="594" spans="1:95" x14ac:dyDescent="0.2">
      <c r="A594" t="s">
        <v>115</v>
      </c>
      <c r="B594" t="s">
        <v>116</v>
      </c>
      <c r="C594">
        <v>210784</v>
      </c>
      <c r="E594" t="s">
        <v>117</v>
      </c>
      <c r="F594">
        <v>368</v>
      </c>
      <c r="G594" t="s">
        <v>141</v>
      </c>
      <c r="H594" t="s">
        <v>142</v>
      </c>
      <c r="I594" t="s">
        <v>279</v>
      </c>
      <c r="J594" t="s">
        <v>280</v>
      </c>
      <c r="L594" t="s">
        <v>361</v>
      </c>
      <c r="M594" s="8">
        <v>45658</v>
      </c>
      <c r="N594">
        <v>5645040</v>
      </c>
      <c r="O594" t="s">
        <v>123</v>
      </c>
      <c r="P594" t="s">
        <v>146</v>
      </c>
      <c r="Q594">
        <v>5.23</v>
      </c>
      <c r="R594" t="s">
        <v>125</v>
      </c>
      <c r="S594" t="s">
        <v>126</v>
      </c>
      <c r="T594" t="s">
        <v>125</v>
      </c>
      <c r="U594" t="s">
        <v>126</v>
      </c>
      <c r="W594">
        <v>5.23</v>
      </c>
      <c r="Y594">
        <v>5.23</v>
      </c>
      <c r="AS594">
        <v>5.23</v>
      </c>
      <c r="BH594" t="s">
        <v>126</v>
      </c>
      <c r="BI594" t="s">
        <v>126</v>
      </c>
      <c r="BJ594" t="s">
        <v>126</v>
      </c>
      <c r="BK594" t="s">
        <v>126</v>
      </c>
      <c r="BS594" t="s">
        <v>126</v>
      </c>
      <c r="BT594" t="s">
        <v>126</v>
      </c>
      <c r="BU594" t="s">
        <v>126</v>
      </c>
      <c r="BV594" t="s">
        <v>126</v>
      </c>
      <c r="CN594" t="s">
        <v>147</v>
      </c>
      <c r="CP594" t="s">
        <v>275</v>
      </c>
      <c r="CQ594" t="s">
        <v>147</v>
      </c>
    </row>
    <row r="595" spans="1:95" x14ac:dyDescent="0.2">
      <c r="A595" t="s">
        <v>115</v>
      </c>
      <c r="B595" t="s">
        <v>116</v>
      </c>
      <c r="C595">
        <v>210784</v>
      </c>
      <c r="E595" t="s">
        <v>117</v>
      </c>
      <c r="F595">
        <v>368</v>
      </c>
      <c r="G595" t="s">
        <v>141</v>
      </c>
      <c r="H595" t="s">
        <v>142</v>
      </c>
      <c r="I595" t="s">
        <v>279</v>
      </c>
      <c r="J595" t="s">
        <v>280</v>
      </c>
      <c r="L595" t="s">
        <v>362</v>
      </c>
      <c r="M595" s="8">
        <v>45658</v>
      </c>
      <c r="N595">
        <v>5646115</v>
      </c>
      <c r="O595" t="s">
        <v>123</v>
      </c>
      <c r="P595" t="s">
        <v>146</v>
      </c>
      <c r="Q595">
        <v>0.38</v>
      </c>
      <c r="R595" t="s">
        <v>125</v>
      </c>
      <c r="S595" t="s">
        <v>126</v>
      </c>
      <c r="T595" t="s">
        <v>125</v>
      </c>
      <c r="U595" t="s">
        <v>126</v>
      </c>
      <c r="W595">
        <v>0.38</v>
      </c>
      <c r="Y595">
        <v>0.38</v>
      </c>
      <c r="AS595">
        <v>0.38</v>
      </c>
      <c r="BH595" t="s">
        <v>126</v>
      </c>
      <c r="BI595" t="s">
        <v>126</v>
      </c>
      <c r="BJ595" t="s">
        <v>126</v>
      </c>
      <c r="BK595" t="s">
        <v>126</v>
      </c>
      <c r="BS595" t="s">
        <v>126</v>
      </c>
      <c r="BT595" t="s">
        <v>126</v>
      </c>
      <c r="BU595" t="s">
        <v>126</v>
      </c>
      <c r="BV595" t="s">
        <v>126</v>
      </c>
      <c r="CN595" t="s">
        <v>147</v>
      </c>
      <c r="CP595" t="s">
        <v>275</v>
      </c>
      <c r="CQ595" t="s">
        <v>147</v>
      </c>
    </row>
    <row r="596" spans="1:95" x14ac:dyDescent="0.2">
      <c r="A596" t="s">
        <v>115</v>
      </c>
      <c r="B596" t="s">
        <v>116</v>
      </c>
      <c r="C596">
        <v>210784</v>
      </c>
      <c r="E596" t="s">
        <v>117</v>
      </c>
      <c r="F596">
        <v>368</v>
      </c>
      <c r="G596" t="s">
        <v>141</v>
      </c>
      <c r="H596" t="s">
        <v>142</v>
      </c>
      <c r="I596" t="s">
        <v>279</v>
      </c>
      <c r="J596" t="s">
        <v>280</v>
      </c>
      <c r="L596" t="s">
        <v>363</v>
      </c>
      <c r="M596" s="8">
        <v>45658</v>
      </c>
      <c r="N596">
        <v>5646915</v>
      </c>
      <c r="O596" t="s">
        <v>123</v>
      </c>
      <c r="P596" t="s">
        <v>146</v>
      </c>
      <c r="Q596">
        <v>4.5999999999999996</v>
      </c>
      <c r="R596" t="s">
        <v>125</v>
      </c>
      <c r="S596" t="s">
        <v>126</v>
      </c>
      <c r="T596" t="s">
        <v>125</v>
      </c>
      <c r="U596" t="s">
        <v>126</v>
      </c>
      <c r="W596">
        <v>4.5999999999999996</v>
      </c>
      <c r="Y596">
        <v>4.5999999999999996</v>
      </c>
      <c r="AS596">
        <v>4.5999999999999996</v>
      </c>
      <c r="BH596" t="s">
        <v>126</v>
      </c>
      <c r="BI596" t="s">
        <v>126</v>
      </c>
      <c r="BJ596" t="s">
        <v>126</v>
      </c>
      <c r="BK596" t="s">
        <v>126</v>
      </c>
      <c r="BS596" t="s">
        <v>126</v>
      </c>
      <c r="BT596" t="s">
        <v>126</v>
      </c>
      <c r="BU596" t="s">
        <v>126</v>
      </c>
      <c r="BV596" t="s">
        <v>126</v>
      </c>
      <c r="CN596" t="s">
        <v>147</v>
      </c>
      <c r="CP596" t="s">
        <v>275</v>
      </c>
      <c r="CQ596" t="s">
        <v>147</v>
      </c>
    </row>
    <row r="597" spans="1:95" x14ac:dyDescent="0.2">
      <c r="A597" t="s">
        <v>115</v>
      </c>
      <c r="B597" t="s">
        <v>116</v>
      </c>
      <c r="C597">
        <v>210784</v>
      </c>
      <c r="E597" t="s">
        <v>117</v>
      </c>
      <c r="F597">
        <v>368</v>
      </c>
      <c r="G597" t="s">
        <v>141</v>
      </c>
      <c r="H597" t="s">
        <v>142</v>
      </c>
      <c r="I597" t="s">
        <v>279</v>
      </c>
      <c r="J597" t="s">
        <v>280</v>
      </c>
      <c r="L597" t="s">
        <v>364</v>
      </c>
      <c r="M597" s="8">
        <v>45658</v>
      </c>
      <c r="N597">
        <v>5648647</v>
      </c>
      <c r="O597" t="s">
        <v>123</v>
      </c>
      <c r="P597" t="s">
        <v>146</v>
      </c>
      <c r="Q597">
        <v>4.07</v>
      </c>
      <c r="R597" t="s">
        <v>125</v>
      </c>
      <c r="S597" t="s">
        <v>126</v>
      </c>
      <c r="T597" t="s">
        <v>125</v>
      </c>
      <c r="U597" t="s">
        <v>126</v>
      </c>
      <c r="W597">
        <v>4.07</v>
      </c>
      <c r="Y597">
        <v>4.07</v>
      </c>
      <c r="AS597">
        <v>4.07</v>
      </c>
      <c r="BH597" t="s">
        <v>126</v>
      </c>
      <c r="BI597" t="s">
        <v>126</v>
      </c>
      <c r="BJ597" t="s">
        <v>126</v>
      </c>
      <c r="BK597" t="s">
        <v>126</v>
      </c>
      <c r="BS597" t="s">
        <v>126</v>
      </c>
      <c r="BT597" t="s">
        <v>126</v>
      </c>
      <c r="BU597" t="s">
        <v>126</v>
      </c>
      <c r="BV597" t="s">
        <v>126</v>
      </c>
      <c r="CN597" t="s">
        <v>147</v>
      </c>
      <c r="CP597" t="s">
        <v>275</v>
      </c>
      <c r="CQ597" t="s">
        <v>147</v>
      </c>
    </row>
    <row r="598" spans="1:95" x14ac:dyDescent="0.2">
      <c r="A598" t="s">
        <v>115</v>
      </c>
      <c r="B598" t="s">
        <v>116</v>
      </c>
      <c r="C598">
        <v>210784</v>
      </c>
      <c r="E598" t="s">
        <v>117</v>
      </c>
      <c r="F598">
        <v>368</v>
      </c>
      <c r="G598" t="s">
        <v>141</v>
      </c>
      <c r="H598" t="s">
        <v>142</v>
      </c>
      <c r="I598" t="s">
        <v>279</v>
      </c>
      <c r="J598" t="s">
        <v>280</v>
      </c>
      <c r="L598" t="s">
        <v>365</v>
      </c>
      <c r="M598" s="8">
        <v>45658</v>
      </c>
      <c r="N598">
        <v>5648903</v>
      </c>
      <c r="O598" t="s">
        <v>123</v>
      </c>
      <c r="P598" t="s">
        <v>146</v>
      </c>
      <c r="Q598">
        <v>4.49</v>
      </c>
      <c r="R598" t="s">
        <v>125</v>
      </c>
      <c r="S598" t="s">
        <v>126</v>
      </c>
      <c r="T598" t="s">
        <v>125</v>
      </c>
      <c r="U598" t="s">
        <v>126</v>
      </c>
      <c r="W598">
        <v>4.49</v>
      </c>
      <c r="Y598">
        <v>4.49</v>
      </c>
      <c r="AS598">
        <v>4.49</v>
      </c>
      <c r="BH598" t="s">
        <v>126</v>
      </c>
      <c r="BI598" t="s">
        <v>126</v>
      </c>
      <c r="BJ598" t="s">
        <v>126</v>
      </c>
      <c r="BK598" t="s">
        <v>126</v>
      </c>
      <c r="BS598" t="s">
        <v>126</v>
      </c>
      <c r="BT598" t="s">
        <v>126</v>
      </c>
      <c r="BU598" t="s">
        <v>126</v>
      </c>
      <c r="BV598" t="s">
        <v>126</v>
      </c>
      <c r="CN598" t="s">
        <v>147</v>
      </c>
      <c r="CP598" t="s">
        <v>275</v>
      </c>
      <c r="CQ598" t="s">
        <v>147</v>
      </c>
    </row>
    <row r="599" spans="1:95" x14ac:dyDescent="0.2">
      <c r="A599" t="s">
        <v>115</v>
      </c>
      <c r="B599" t="s">
        <v>116</v>
      </c>
      <c r="C599">
        <v>210784</v>
      </c>
      <c r="E599" t="s">
        <v>117</v>
      </c>
      <c r="F599">
        <v>368</v>
      </c>
      <c r="G599" t="s">
        <v>141</v>
      </c>
      <c r="H599" t="s">
        <v>142</v>
      </c>
      <c r="I599" t="s">
        <v>279</v>
      </c>
      <c r="J599" t="s">
        <v>280</v>
      </c>
      <c r="L599" t="s">
        <v>365</v>
      </c>
      <c r="M599" s="8">
        <v>45658</v>
      </c>
      <c r="N599">
        <v>5649478</v>
      </c>
      <c r="O599" t="s">
        <v>123</v>
      </c>
      <c r="P599" t="s">
        <v>146</v>
      </c>
      <c r="Q599">
        <v>1.98</v>
      </c>
      <c r="R599" t="s">
        <v>125</v>
      </c>
      <c r="S599" t="s">
        <v>126</v>
      </c>
      <c r="T599" t="s">
        <v>125</v>
      </c>
      <c r="U599" t="s">
        <v>126</v>
      </c>
      <c r="W599">
        <v>1.98</v>
      </c>
      <c r="Y599">
        <v>1.98</v>
      </c>
      <c r="AS599">
        <v>1.98</v>
      </c>
      <c r="BH599" t="s">
        <v>126</v>
      </c>
      <c r="BI599" t="s">
        <v>126</v>
      </c>
      <c r="BJ599" t="s">
        <v>126</v>
      </c>
      <c r="BK599" t="s">
        <v>126</v>
      </c>
      <c r="BS599" t="s">
        <v>126</v>
      </c>
      <c r="BT599" t="s">
        <v>126</v>
      </c>
      <c r="BU599" t="s">
        <v>126</v>
      </c>
      <c r="BV599" t="s">
        <v>126</v>
      </c>
      <c r="CN599" t="s">
        <v>147</v>
      </c>
      <c r="CP599" t="s">
        <v>275</v>
      </c>
      <c r="CQ599" t="s">
        <v>147</v>
      </c>
    </row>
    <row r="600" spans="1:95" x14ac:dyDescent="0.2">
      <c r="A600" t="s">
        <v>115</v>
      </c>
      <c r="B600" t="s">
        <v>116</v>
      </c>
      <c r="C600">
        <v>210784</v>
      </c>
      <c r="E600" t="s">
        <v>117</v>
      </c>
      <c r="F600">
        <v>368</v>
      </c>
      <c r="G600" t="s">
        <v>141</v>
      </c>
      <c r="H600" t="s">
        <v>142</v>
      </c>
      <c r="I600" t="s">
        <v>279</v>
      </c>
      <c r="J600" t="s">
        <v>280</v>
      </c>
      <c r="L600" t="s">
        <v>366</v>
      </c>
      <c r="M600" s="8">
        <v>45658</v>
      </c>
      <c r="N600">
        <v>5650178</v>
      </c>
      <c r="O600" t="s">
        <v>123</v>
      </c>
      <c r="P600" t="s">
        <v>146</v>
      </c>
      <c r="Q600">
        <v>1</v>
      </c>
      <c r="R600" t="s">
        <v>125</v>
      </c>
      <c r="S600" t="s">
        <v>126</v>
      </c>
      <c r="T600" t="s">
        <v>125</v>
      </c>
      <c r="U600" t="s">
        <v>126</v>
      </c>
      <c r="W600">
        <v>1</v>
      </c>
      <c r="Y600">
        <v>1</v>
      </c>
      <c r="AS600">
        <v>1</v>
      </c>
      <c r="BH600" t="s">
        <v>126</v>
      </c>
      <c r="BI600" t="s">
        <v>126</v>
      </c>
      <c r="BJ600" t="s">
        <v>126</v>
      </c>
      <c r="BK600" t="s">
        <v>126</v>
      </c>
      <c r="BS600" t="s">
        <v>126</v>
      </c>
      <c r="BT600" t="s">
        <v>126</v>
      </c>
      <c r="BU600" t="s">
        <v>126</v>
      </c>
      <c r="BV600" t="s">
        <v>126</v>
      </c>
      <c r="CN600" t="s">
        <v>147</v>
      </c>
      <c r="CP600" t="s">
        <v>275</v>
      </c>
      <c r="CQ600" t="s">
        <v>147</v>
      </c>
    </row>
    <row r="601" spans="1:95" x14ac:dyDescent="0.2">
      <c r="A601" t="s">
        <v>115</v>
      </c>
      <c r="B601" t="s">
        <v>116</v>
      </c>
      <c r="C601">
        <v>210784</v>
      </c>
      <c r="E601" t="s">
        <v>117</v>
      </c>
      <c r="F601">
        <v>368</v>
      </c>
      <c r="G601" t="s">
        <v>141</v>
      </c>
      <c r="H601" t="s">
        <v>142</v>
      </c>
      <c r="I601" t="s">
        <v>279</v>
      </c>
      <c r="J601" t="s">
        <v>280</v>
      </c>
      <c r="L601" t="s">
        <v>276</v>
      </c>
      <c r="M601" s="8">
        <v>45658</v>
      </c>
      <c r="N601">
        <v>5652228</v>
      </c>
      <c r="O601" t="s">
        <v>123</v>
      </c>
      <c r="P601" t="s">
        <v>146</v>
      </c>
      <c r="Q601">
        <v>8.85</v>
      </c>
      <c r="R601" t="s">
        <v>125</v>
      </c>
      <c r="S601" t="s">
        <v>126</v>
      </c>
      <c r="T601" t="s">
        <v>125</v>
      </c>
      <c r="U601" t="s">
        <v>126</v>
      </c>
      <c r="W601">
        <v>8.85</v>
      </c>
      <c r="Y601">
        <v>8.85</v>
      </c>
      <c r="AS601">
        <v>8.85</v>
      </c>
      <c r="BH601" t="s">
        <v>126</v>
      </c>
      <c r="BI601" t="s">
        <v>126</v>
      </c>
      <c r="BJ601" t="s">
        <v>126</v>
      </c>
      <c r="BK601" t="s">
        <v>126</v>
      </c>
      <c r="BS601" t="s">
        <v>126</v>
      </c>
      <c r="BT601" t="s">
        <v>126</v>
      </c>
      <c r="BU601" t="s">
        <v>126</v>
      </c>
      <c r="BV601" t="s">
        <v>126</v>
      </c>
      <c r="CN601" t="s">
        <v>147</v>
      </c>
      <c r="CP601" t="s">
        <v>275</v>
      </c>
      <c r="CQ601" t="s">
        <v>147</v>
      </c>
    </row>
    <row r="602" spans="1:95" x14ac:dyDescent="0.2">
      <c r="A602" t="s">
        <v>115</v>
      </c>
      <c r="B602" t="s">
        <v>116</v>
      </c>
      <c r="C602">
        <v>210784</v>
      </c>
      <c r="E602" t="s">
        <v>117</v>
      </c>
      <c r="F602">
        <v>368</v>
      </c>
      <c r="G602" t="s">
        <v>141</v>
      </c>
      <c r="H602" t="s">
        <v>142</v>
      </c>
      <c r="I602" t="s">
        <v>279</v>
      </c>
      <c r="J602" t="s">
        <v>280</v>
      </c>
      <c r="L602" t="s">
        <v>367</v>
      </c>
      <c r="M602" s="8">
        <v>45658</v>
      </c>
      <c r="N602">
        <v>5653348</v>
      </c>
      <c r="O602" t="s">
        <v>123</v>
      </c>
      <c r="P602" t="s">
        <v>146</v>
      </c>
      <c r="Q602">
        <v>2.04</v>
      </c>
      <c r="R602" t="s">
        <v>125</v>
      </c>
      <c r="S602" t="s">
        <v>126</v>
      </c>
      <c r="T602" t="s">
        <v>125</v>
      </c>
      <c r="U602" t="s">
        <v>126</v>
      </c>
      <c r="W602">
        <v>2.04</v>
      </c>
      <c r="Y602">
        <v>2.04</v>
      </c>
      <c r="AS602">
        <v>2.04</v>
      </c>
      <c r="BH602" t="s">
        <v>126</v>
      </c>
      <c r="BI602" t="s">
        <v>126</v>
      </c>
      <c r="BJ602" t="s">
        <v>126</v>
      </c>
      <c r="BK602" t="s">
        <v>126</v>
      </c>
      <c r="BS602" t="s">
        <v>126</v>
      </c>
      <c r="BT602" t="s">
        <v>126</v>
      </c>
      <c r="BU602" t="s">
        <v>126</v>
      </c>
      <c r="BV602" t="s">
        <v>126</v>
      </c>
      <c r="CN602" t="s">
        <v>147</v>
      </c>
      <c r="CP602" t="s">
        <v>275</v>
      </c>
      <c r="CQ602" t="s">
        <v>147</v>
      </c>
    </row>
    <row r="603" spans="1:95" x14ac:dyDescent="0.2">
      <c r="A603" t="s">
        <v>115</v>
      </c>
      <c r="B603" t="s">
        <v>116</v>
      </c>
      <c r="C603">
        <v>210784</v>
      </c>
      <c r="E603" t="s">
        <v>117</v>
      </c>
      <c r="F603">
        <v>368</v>
      </c>
      <c r="G603" t="s">
        <v>141</v>
      </c>
      <c r="H603" t="s">
        <v>142</v>
      </c>
      <c r="I603" t="s">
        <v>279</v>
      </c>
      <c r="J603" t="s">
        <v>280</v>
      </c>
      <c r="L603" t="s">
        <v>368</v>
      </c>
      <c r="M603" s="8">
        <v>45658</v>
      </c>
      <c r="N603">
        <v>5654331</v>
      </c>
      <c r="O603" t="s">
        <v>123</v>
      </c>
      <c r="P603" t="s">
        <v>146</v>
      </c>
      <c r="Q603">
        <v>4.13</v>
      </c>
      <c r="R603" t="s">
        <v>125</v>
      </c>
      <c r="S603" t="s">
        <v>126</v>
      </c>
      <c r="T603" t="s">
        <v>125</v>
      </c>
      <c r="U603" t="s">
        <v>126</v>
      </c>
      <c r="W603">
        <v>4.13</v>
      </c>
      <c r="Y603">
        <v>4.13</v>
      </c>
      <c r="AS603">
        <v>4.13</v>
      </c>
      <c r="BH603" t="s">
        <v>126</v>
      </c>
      <c r="BI603" t="s">
        <v>126</v>
      </c>
      <c r="BJ603" t="s">
        <v>126</v>
      </c>
      <c r="BK603" t="s">
        <v>126</v>
      </c>
      <c r="BS603" t="s">
        <v>126</v>
      </c>
      <c r="BT603" t="s">
        <v>126</v>
      </c>
      <c r="BU603" t="s">
        <v>126</v>
      </c>
      <c r="BV603" t="s">
        <v>126</v>
      </c>
      <c r="CN603" t="s">
        <v>147</v>
      </c>
      <c r="CP603" t="s">
        <v>275</v>
      </c>
      <c r="CQ603" t="s">
        <v>147</v>
      </c>
    </row>
    <row r="604" spans="1:95" x14ac:dyDescent="0.2">
      <c r="A604" t="s">
        <v>115</v>
      </c>
      <c r="B604" t="s">
        <v>116</v>
      </c>
      <c r="C604">
        <v>210784</v>
      </c>
      <c r="E604" t="s">
        <v>117</v>
      </c>
      <c r="F604">
        <v>368</v>
      </c>
      <c r="G604" t="s">
        <v>141</v>
      </c>
      <c r="H604" t="s">
        <v>142</v>
      </c>
      <c r="I604" t="s">
        <v>279</v>
      </c>
      <c r="J604" t="s">
        <v>280</v>
      </c>
      <c r="L604" t="s">
        <v>369</v>
      </c>
      <c r="M604" s="8">
        <v>45658</v>
      </c>
      <c r="N604">
        <v>5655679</v>
      </c>
      <c r="O604" t="s">
        <v>123</v>
      </c>
      <c r="P604" t="s">
        <v>146</v>
      </c>
      <c r="Q604">
        <v>1.41</v>
      </c>
      <c r="R604" t="s">
        <v>125</v>
      </c>
      <c r="S604" t="s">
        <v>126</v>
      </c>
      <c r="T604" t="s">
        <v>125</v>
      </c>
      <c r="U604" t="s">
        <v>126</v>
      </c>
      <c r="W604">
        <v>1.41</v>
      </c>
      <c r="Y604">
        <v>1.41</v>
      </c>
      <c r="AS604">
        <v>1.41</v>
      </c>
      <c r="BH604" t="s">
        <v>126</v>
      </c>
      <c r="BI604" t="s">
        <v>126</v>
      </c>
      <c r="BJ604" t="s">
        <v>126</v>
      </c>
      <c r="BK604" t="s">
        <v>126</v>
      </c>
      <c r="BS604" t="s">
        <v>126</v>
      </c>
      <c r="BT604" t="s">
        <v>126</v>
      </c>
      <c r="BU604" t="s">
        <v>126</v>
      </c>
      <c r="BV604" t="s">
        <v>126</v>
      </c>
      <c r="CN604" t="s">
        <v>147</v>
      </c>
      <c r="CP604" t="s">
        <v>275</v>
      </c>
      <c r="CQ604" t="s">
        <v>147</v>
      </c>
    </row>
    <row r="605" spans="1:95" x14ac:dyDescent="0.2">
      <c r="A605" t="s">
        <v>115</v>
      </c>
      <c r="B605" t="s">
        <v>116</v>
      </c>
      <c r="C605">
        <v>210784</v>
      </c>
      <c r="E605" t="s">
        <v>117</v>
      </c>
      <c r="F605">
        <v>368</v>
      </c>
      <c r="G605" t="s">
        <v>141</v>
      </c>
      <c r="H605" t="s">
        <v>142</v>
      </c>
      <c r="I605" t="s">
        <v>279</v>
      </c>
      <c r="J605" t="s">
        <v>280</v>
      </c>
      <c r="L605" t="s">
        <v>369</v>
      </c>
      <c r="M605" s="8">
        <v>45658</v>
      </c>
      <c r="N605">
        <v>5655664</v>
      </c>
      <c r="O605" t="s">
        <v>123</v>
      </c>
      <c r="P605" t="s">
        <v>146</v>
      </c>
      <c r="Q605">
        <v>5.23</v>
      </c>
      <c r="R605" t="s">
        <v>125</v>
      </c>
      <c r="S605" t="s">
        <v>126</v>
      </c>
      <c r="T605" t="s">
        <v>125</v>
      </c>
      <c r="U605" t="s">
        <v>126</v>
      </c>
      <c r="W605">
        <v>5.23</v>
      </c>
      <c r="Y605">
        <v>5.23</v>
      </c>
      <c r="AS605">
        <v>5.23</v>
      </c>
      <c r="BH605" t="s">
        <v>126</v>
      </c>
      <c r="BI605" t="s">
        <v>126</v>
      </c>
      <c r="BJ605" t="s">
        <v>126</v>
      </c>
      <c r="BK605" t="s">
        <v>126</v>
      </c>
      <c r="BS605" t="s">
        <v>126</v>
      </c>
      <c r="BT605" t="s">
        <v>126</v>
      </c>
      <c r="BU605" t="s">
        <v>126</v>
      </c>
      <c r="BV605" t="s">
        <v>126</v>
      </c>
      <c r="CN605" t="s">
        <v>147</v>
      </c>
      <c r="CP605" t="s">
        <v>275</v>
      </c>
      <c r="CQ605" t="s">
        <v>147</v>
      </c>
    </row>
    <row r="606" spans="1:95" x14ac:dyDescent="0.2">
      <c r="A606" t="s">
        <v>115</v>
      </c>
      <c r="B606" t="s">
        <v>116</v>
      </c>
      <c r="C606">
        <v>210784</v>
      </c>
      <c r="E606" t="s">
        <v>117</v>
      </c>
      <c r="F606">
        <v>368</v>
      </c>
      <c r="G606" t="s">
        <v>141</v>
      </c>
      <c r="H606" t="s">
        <v>142</v>
      </c>
      <c r="I606" t="s">
        <v>279</v>
      </c>
      <c r="J606" t="s">
        <v>280</v>
      </c>
      <c r="L606" t="s">
        <v>275</v>
      </c>
      <c r="M606" s="8">
        <v>45658</v>
      </c>
      <c r="N606">
        <v>5657147</v>
      </c>
      <c r="O606" t="s">
        <v>123</v>
      </c>
      <c r="P606" t="s">
        <v>146</v>
      </c>
      <c r="Q606">
        <v>3.21</v>
      </c>
      <c r="R606" t="s">
        <v>125</v>
      </c>
      <c r="S606" t="s">
        <v>126</v>
      </c>
      <c r="T606" t="s">
        <v>125</v>
      </c>
      <c r="U606" t="s">
        <v>126</v>
      </c>
      <c r="W606">
        <v>3.21</v>
      </c>
      <c r="Y606">
        <v>3.21</v>
      </c>
      <c r="AS606">
        <v>3.21</v>
      </c>
      <c r="BH606" t="s">
        <v>126</v>
      </c>
      <c r="BI606" t="s">
        <v>126</v>
      </c>
      <c r="BJ606" t="s">
        <v>126</v>
      </c>
      <c r="BK606" t="s">
        <v>126</v>
      </c>
      <c r="BS606" t="s">
        <v>126</v>
      </c>
      <c r="BT606" t="s">
        <v>126</v>
      </c>
      <c r="BU606" t="s">
        <v>126</v>
      </c>
      <c r="BV606" t="s">
        <v>126</v>
      </c>
      <c r="CN606" t="s">
        <v>147</v>
      </c>
      <c r="CP606" t="s">
        <v>278</v>
      </c>
      <c r="CQ606" t="s">
        <v>147</v>
      </c>
    </row>
    <row r="607" spans="1:95" x14ac:dyDescent="0.2">
      <c r="A607" t="s">
        <v>115</v>
      </c>
      <c r="B607" t="s">
        <v>116</v>
      </c>
      <c r="C607">
        <v>210784</v>
      </c>
      <c r="E607" t="s">
        <v>117</v>
      </c>
      <c r="F607">
        <v>368</v>
      </c>
      <c r="G607" t="s">
        <v>141</v>
      </c>
      <c r="H607" t="s">
        <v>142</v>
      </c>
      <c r="I607" t="s">
        <v>279</v>
      </c>
      <c r="J607" t="s">
        <v>280</v>
      </c>
      <c r="L607" t="s">
        <v>370</v>
      </c>
      <c r="M607" s="8">
        <v>45658</v>
      </c>
      <c r="N607">
        <v>5657851</v>
      </c>
      <c r="O607" t="s">
        <v>123</v>
      </c>
      <c r="P607" t="s">
        <v>146</v>
      </c>
      <c r="Q607">
        <v>5.59</v>
      </c>
      <c r="R607" t="s">
        <v>125</v>
      </c>
      <c r="S607" t="s">
        <v>126</v>
      </c>
      <c r="T607" t="s">
        <v>125</v>
      </c>
      <c r="U607" t="s">
        <v>126</v>
      </c>
      <c r="W607">
        <v>5.59</v>
      </c>
      <c r="Y607">
        <v>5.59</v>
      </c>
      <c r="AS607">
        <v>5.59</v>
      </c>
      <c r="BH607" t="s">
        <v>126</v>
      </c>
      <c r="BI607" t="s">
        <v>126</v>
      </c>
      <c r="BJ607" t="s">
        <v>126</v>
      </c>
      <c r="BK607" t="s">
        <v>126</v>
      </c>
      <c r="BS607" t="s">
        <v>126</v>
      </c>
      <c r="BT607" t="s">
        <v>126</v>
      </c>
      <c r="BU607" t="s">
        <v>126</v>
      </c>
      <c r="BV607" t="s">
        <v>126</v>
      </c>
      <c r="CN607" t="s">
        <v>147</v>
      </c>
      <c r="CP607" t="s">
        <v>278</v>
      </c>
      <c r="CQ607" t="s">
        <v>147</v>
      </c>
    </row>
    <row r="608" spans="1:95" x14ac:dyDescent="0.2">
      <c r="A608" t="s">
        <v>115</v>
      </c>
      <c r="B608" t="s">
        <v>116</v>
      </c>
      <c r="C608">
        <v>210784</v>
      </c>
      <c r="E608" t="s">
        <v>117</v>
      </c>
      <c r="F608">
        <v>368</v>
      </c>
      <c r="G608" t="s">
        <v>141</v>
      </c>
      <c r="H608" t="s">
        <v>142</v>
      </c>
      <c r="I608" t="s">
        <v>279</v>
      </c>
      <c r="J608" t="s">
        <v>280</v>
      </c>
      <c r="L608" t="s">
        <v>359</v>
      </c>
      <c r="M608" s="8">
        <v>45658</v>
      </c>
      <c r="N608">
        <v>5642440</v>
      </c>
      <c r="O608" t="s">
        <v>123</v>
      </c>
      <c r="P608" t="s">
        <v>146</v>
      </c>
      <c r="Q608">
        <v>1.5299999999999998</v>
      </c>
      <c r="R608" t="s">
        <v>544</v>
      </c>
      <c r="S608" t="s">
        <v>126</v>
      </c>
      <c r="T608" t="s">
        <v>544</v>
      </c>
      <c r="U608" t="s">
        <v>545</v>
      </c>
      <c r="W608">
        <v>0.47</v>
      </c>
      <c r="X608">
        <v>1.06</v>
      </c>
      <c r="Y608">
        <v>1.5299999999999998</v>
      </c>
      <c r="Z608">
        <v>0.57999999999999996</v>
      </c>
      <c r="AG608">
        <v>0.47</v>
      </c>
      <c r="AI608">
        <v>0.48</v>
      </c>
      <c r="BH608" t="s">
        <v>126</v>
      </c>
      <c r="BI608" t="s">
        <v>126</v>
      </c>
      <c r="BJ608" t="s">
        <v>126</v>
      </c>
      <c r="BK608" t="s">
        <v>126</v>
      </c>
      <c r="BS608" t="s">
        <v>126</v>
      </c>
      <c r="BT608" t="s">
        <v>126</v>
      </c>
      <c r="BU608" t="s">
        <v>126</v>
      </c>
      <c r="BV608" t="s">
        <v>126</v>
      </c>
      <c r="CN608" t="s">
        <v>147</v>
      </c>
      <c r="CP608" t="s">
        <v>275</v>
      </c>
      <c r="CQ608" t="s">
        <v>147</v>
      </c>
    </row>
    <row r="609" spans="1:95" x14ac:dyDescent="0.2">
      <c r="A609" t="s">
        <v>115</v>
      </c>
      <c r="B609" t="s">
        <v>116</v>
      </c>
      <c r="C609">
        <v>210784</v>
      </c>
      <c r="E609" t="s">
        <v>117</v>
      </c>
      <c r="F609">
        <v>368</v>
      </c>
      <c r="G609" t="s">
        <v>141</v>
      </c>
      <c r="H609" t="s">
        <v>142</v>
      </c>
      <c r="I609" t="s">
        <v>279</v>
      </c>
      <c r="J609" t="s">
        <v>280</v>
      </c>
      <c r="L609" t="s">
        <v>363</v>
      </c>
      <c r="M609" s="8">
        <v>45658</v>
      </c>
      <c r="N609">
        <v>5646722</v>
      </c>
      <c r="O609" t="s">
        <v>123</v>
      </c>
      <c r="P609" t="s">
        <v>146</v>
      </c>
      <c r="Q609">
        <v>3.6599999999999993</v>
      </c>
      <c r="R609" t="s">
        <v>669</v>
      </c>
      <c r="S609" t="s">
        <v>126</v>
      </c>
      <c r="T609" t="s">
        <v>669</v>
      </c>
      <c r="U609" t="s">
        <v>670</v>
      </c>
      <c r="W609">
        <v>1.1299999999999999</v>
      </c>
      <c r="X609">
        <v>2.5299999999999998</v>
      </c>
      <c r="Y609">
        <v>3.6599999999999993</v>
      </c>
      <c r="Z609">
        <v>1.39</v>
      </c>
      <c r="AG609">
        <v>1.1299999999999999</v>
      </c>
      <c r="AI609">
        <v>1.1399999999999999</v>
      </c>
      <c r="BH609" t="s">
        <v>126</v>
      </c>
      <c r="BI609" t="s">
        <v>126</v>
      </c>
      <c r="BJ609" t="s">
        <v>126</v>
      </c>
      <c r="BK609" t="s">
        <v>126</v>
      </c>
      <c r="BS609" t="s">
        <v>126</v>
      </c>
      <c r="BT609" t="s">
        <v>126</v>
      </c>
      <c r="BU609" t="s">
        <v>126</v>
      </c>
      <c r="BV609" t="s">
        <v>126</v>
      </c>
      <c r="CN609" t="s">
        <v>147</v>
      </c>
      <c r="CP609" t="s">
        <v>275</v>
      </c>
      <c r="CQ609" t="s">
        <v>147</v>
      </c>
    </row>
    <row r="610" spans="1:95" x14ac:dyDescent="0.2">
      <c r="A610" t="s">
        <v>115</v>
      </c>
      <c r="B610" t="s">
        <v>116</v>
      </c>
      <c r="C610">
        <v>210784</v>
      </c>
      <c r="E610" t="s">
        <v>117</v>
      </c>
      <c r="F610">
        <v>368</v>
      </c>
      <c r="G610" t="s">
        <v>141</v>
      </c>
      <c r="H610" t="s">
        <v>142</v>
      </c>
      <c r="I610" t="s">
        <v>279</v>
      </c>
      <c r="J610" t="s">
        <v>280</v>
      </c>
      <c r="L610" t="s">
        <v>276</v>
      </c>
      <c r="M610" s="8">
        <v>45658</v>
      </c>
      <c r="N610">
        <v>5651885</v>
      </c>
      <c r="O610" t="s">
        <v>123</v>
      </c>
      <c r="P610" t="s">
        <v>146</v>
      </c>
      <c r="Q610">
        <v>4.4000000000000004</v>
      </c>
      <c r="R610" t="s">
        <v>644</v>
      </c>
      <c r="S610" t="s">
        <v>126</v>
      </c>
      <c r="T610" t="s">
        <v>644</v>
      </c>
      <c r="U610" t="s">
        <v>645</v>
      </c>
      <c r="W610">
        <v>1.36</v>
      </c>
      <c r="X610">
        <v>3.04</v>
      </c>
      <c r="Y610">
        <v>4.4000000000000004</v>
      </c>
      <c r="Z610">
        <v>1.67</v>
      </c>
      <c r="AG610">
        <v>1.36</v>
      </c>
      <c r="AI610">
        <v>1.37</v>
      </c>
      <c r="BH610" t="s">
        <v>126</v>
      </c>
      <c r="BI610" t="s">
        <v>126</v>
      </c>
      <c r="BJ610" t="s">
        <v>126</v>
      </c>
      <c r="BK610" t="s">
        <v>126</v>
      </c>
      <c r="BS610" t="s">
        <v>126</v>
      </c>
      <c r="BT610" t="s">
        <v>126</v>
      </c>
      <c r="BU610" t="s">
        <v>126</v>
      </c>
      <c r="BV610" t="s">
        <v>126</v>
      </c>
      <c r="CN610" t="s">
        <v>147</v>
      </c>
      <c r="CP610" t="s">
        <v>275</v>
      </c>
      <c r="CQ610" t="s">
        <v>147</v>
      </c>
    </row>
    <row r="611" spans="1:95" x14ac:dyDescent="0.2">
      <c r="A611" t="s">
        <v>115</v>
      </c>
      <c r="B611" t="s">
        <v>116</v>
      </c>
      <c r="C611">
        <v>210784</v>
      </c>
      <c r="E611" t="s">
        <v>117</v>
      </c>
      <c r="F611">
        <v>368</v>
      </c>
      <c r="G611" t="s">
        <v>141</v>
      </c>
      <c r="H611" t="s">
        <v>142</v>
      </c>
      <c r="I611" t="s">
        <v>279</v>
      </c>
      <c r="J611" t="s">
        <v>280</v>
      </c>
      <c r="L611" t="s">
        <v>368</v>
      </c>
      <c r="M611" s="8">
        <v>45658</v>
      </c>
      <c r="N611">
        <v>5654343</v>
      </c>
      <c r="O611" t="s">
        <v>123</v>
      </c>
      <c r="P611" t="s">
        <v>146</v>
      </c>
      <c r="Q611">
        <v>1.6099999999999999</v>
      </c>
      <c r="R611" t="s">
        <v>671</v>
      </c>
      <c r="S611" t="s">
        <v>126</v>
      </c>
      <c r="T611" t="s">
        <v>671</v>
      </c>
      <c r="U611" t="s">
        <v>672</v>
      </c>
      <c r="W611">
        <v>0.5</v>
      </c>
      <c r="X611">
        <v>1.1099999999999999</v>
      </c>
      <c r="Y611">
        <v>1.6099999999999999</v>
      </c>
      <c r="Z611">
        <v>0.61</v>
      </c>
      <c r="AG611">
        <v>0.5</v>
      </c>
      <c r="AI611">
        <v>0.5</v>
      </c>
      <c r="BH611" t="s">
        <v>126</v>
      </c>
      <c r="BI611" t="s">
        <v>126</v>
      </c>
      <c r="BJ611" t="s">
        <v>126</v>
      </c>
      <c r="BK611" t="s">
        <v>126</v>
      </c>
      <c r="BS611" t="s">
        <v>126</v>
      </c>
      <c r="BT611" t="s">
        <v>126</v>
      </c>
      <c r="BU611" t="s">
        <v>126</v>
      </c>
      <c r="BV611" t="s">
        <v>126</v>
      </c>
      <c r="CN611" t="s">
        <v>147</v>
      </c>
      <c r="CP611" t="s">
        <v>275</v>
      </c>
      <c r="CQ611" t="s">
        <v>147</v>
      </c>
    </row>
    <row r="612" spans="1:95" x14ac:dyDescent="0.2">
      <c r="A612" t="s">
        <v>115</v>
      </c>
      <c r="B612" t="s">
        <v>116</v>
      </c>
      <c r="C612">
        <v>210784</v>
      </c>
      <c r="E612" t="s">
        <v>117</v>
      </c>
      <c r="F612">
        <v>368</v>
      </c>
      <c r="G612" t="s">
        <v>141</v>
      </c>
      <c r="H612" t="s">
        <v>142</v>
      </c>
      <c r="I612" t="s">
        <v>279</v>
      </c>
      <c r="J612" t="s">
        <v>280</v>
      </c>
      <c r="L612" t="s">
        <v>369</v>
      </c>
      <c r="M612" s="8">
        <v>45658</v>
      </c>
      <c r="N612">
        <v>5655483</v>
      </c>
      <c r="O612" t="s">
        <v>123</v>
      </c>
      <c r="P612" t="s">
        <v>146</v>
      </c>
      <c r="Q612">
        <v>3.84</v>
      </c>
      <c r="R612" t="s">
        <v>673</v>
      </c>
      <c r="S612" t="s">
        <v>126</v>
      </c>
      <c r="T612" t="s">
        <v>673</v>
      </c>
      <c r="U612" t="s">
        <v>674</v>
      </c>
      <c r="W612">
        <v>1.18</v>
      </c>
      <c r="X612">
        <v>2.66</v>
      </c>
      <c r="Y612">
        <v>3.84</v>
      </c>
      <c r="Z612">
        <v>1.46</v>
      </c>
      <c r="AG612">
        <v>1.18</v>
      </c>
      <c r="AI612">
        <v>1.2</v>
      </c>
      <c r="BH612" t="s">
        <v>126</v>
      </c>
      <c r="BI612" t="s">
        <v>126</v>
      </c>
      <c r="BJ612" t="s">
        <v>126</v>
      </c>
      <c r="BK612" t="s">
        <v>126</v>
      </c>
      <c r="BS612" t="s">
        <v>126</v>
      </c>
      <c r="BT612" t="s">
        <v>126</v>
      </c>
      <c r="BU612" t="s">
        <v>126</v>
      </c>
      <c r="BV612" t="s">
        <v>126</v>
      </c>
      <c r="CN612" t="s">
        <v>147</v>
      </c>
      <c r="CP612" t="s">
        <v>275</v>
      </c>
      <c r="CQ612" t="s">
        <v>147</v>
      </c>
    </row>
    <row r="613" spans="1:95" x14ac:dyDescent="0.2">
      <c r="A613" t="s">
        <v>115</v>
      </c>
      <c r="B613" t="s">
        <v>116</v>
      </c>
      <c r="C613">
        <v>210784</v>
      </c>
      <c r="E613" t="s">
        <v>117</v>
      </c>
      <c r="F613">
        <v>368</v>
      </c>
      <c r="G613" t="s">
        <v>141</v>
      </c>
      <c r="H613" t="s">
        <v>142</v>
      </c>
      <c r="I613" t="s">
        <v>279</v>
      </c>
      <c r="J613" t="s">
        <v>280</v>
      </c>
      <c r="L613" t="s">
        <v>675</v>
      </c>
      <c r="M613" s="8">
        <v>45658</v>
      </c>
      <c r="N613">
        <v>5659014</v>
      </c>
      <c r="O613" t="s">
        <v>123</v>
      </c>
      <c r="P613" t="s">
        <v>146</v>
      </c>
      <c r="Q613">
        <v>2.4400000000000004</v>
      </c>
      <c r="R613" t="s">
        <v>581</v>
      </c>
      <c r="S613" t="s">
        <v>126</v>
      </c>
      <c r="T613" t="s">
        <v>581</v>
      </c>
      <c r="U613" t="s">
        <v>582</v>
      </c>
      <c r="W613">
        <v>0.75</v>
      </c>
      <c r="X613">
        <v>1.69</v>
      </c>
      <c r="Y613">
        <v>2.4400000000000004</v>
      </c>
      <c r="Z613">
        <v>0.93</v>
      </c>
      <c r="AG613">
        <v>0.75</v>
      </c>
      <c r="AI613">
        <v>0.76</v>
      </c>
      <c r="BH613" t="s">
        <v>126</v>
      </c>
      <c r="BI613" t="s">
        <v>126</v>
      </c>
      <c r="BJ613" t="s">
        <v>126</v>
      </c>
      <c r="BK613" t="s">
        <v>126</v>
      </c>
      <c r="BS613" t="s">
        <v>126</v>
      </c>
      <c r="BT613" t="s">
        <v>126</v>
      </c>
      <c r="BU613" t="s">
        <v>126</v>
      </c>
      <c r="BV613" t="s">
        <v>126</v>
      </c>
      <c r="CN613" t="s">
        <v>147</v>
      </c>
      <c r="CP613" t="s">
        <v>278</v>
      </c>
      <c r="CQ613" t="s">
        <v>147</v>
      </c>
    </row>
    <row r="614" spans="1:95" x14ac:dyDescent="0.2">
      <c r="A614" t="s">
        <v>115</v>
      </c>
      <c r="B614" t="s">
        <v>116</v>
      </c>
      <c r="C614">
        <v>210784</v>
      </c>
      <c r="E614" t="s">
        <v>117</v>
      </c>
      <c r="F614">
        <v>368</v>
      </c>
      <c r="G614" t="s">
        <v>141</v>
      </c>
      <c r="H614" t="s">
        <v>142</v>
      </c>
      <c r="I614" t="s">
        <v>279</v>
      </c>
      <c r="J614" t="s">
        <v>280</v>
      </c>
      <c r="L614" t="s">
        <v>361</v>
      </c>
      <c r="M614" s="8">
        <v>45658</v>
      </c>
      <c r="N614">
        <v>5644964</v>
      </c>
      <c r="O614" t="s">
        <v>123</v>
      </c>
      <c r="P614" t="s">
        <v>146</v>
      </c>
      <c r="Q614">
        <v>3</v>
      </c>
      <c r="R614" t="s">
        <v>125</v>
      </c>
      <c r="S614" t="s">
        <v>126</v>
      </c>
      <c r="T614" t="s">
        <v>125</v>
      </c>
      <c r="U614" t="s">
        <v>126</v>
      </c>
      <c r="W614">
        <v>3</v>
      </c>
      <c r="Y614">
        <v>3</v>
      </c>
      <c r="BE614">
        <v>3</v>
      </c>
      <c r="BH614" t="s">
        <v>126</v>
      </c>
      <c r="BI614" t="s">
        <v>126</v>
      </c>
      <c r="BJ614" t="s">
        <v>126</v>
      </c>
      <c r="BK614" t="s">
        <v>126</v>
      </c>
      <c r="BS614" t="s">
        <v>126</v>
      </c>
      <c r="BT614" t="s">
        <v>126</v>
      </c>
      <c r="BU614" t="s">
        <v>126</v>
      </c>
      <c r="BV614" t="s">
        <v>126</v>
      </c>
      <c r="CN614" t="s">
        <v>147</v>
      </c>
      <c r="CP614" t="s">
        <v>275</v>
      </c>
      <c r="CQ614" t="s">
        <v>147</v>
      </c>
    </row>
    <row r="615" spans="1:95" x14ac:dyDescent="0.2">
      <c r="A615" t="s">
        <v>115</v>
      </c>
      <c r="B615" t="s">
        <v>116</v>
      </c>
      <c r="C615">
        <v>210784</v>
      </c>
      <c r="E615" t="s">
        <v>117</v>
      </c>
      <c r="F615">
        <v>368</v>
      </c>
      <c r="G615" t="s">
        <v>141</v>
      </c>
      <c r="H615" t="s">
        <v>142</v>
      </c>
      <c r="I615" t="s">
        <v>279</v>
      </c>
      <c r="J615" t="s">
        <v>280</v>
      </c>
      <c r="L615" t="s">
        <v>361</v>
      </c>
      <c r="M615" s="8">
        <v>45658</v>
      </c>
      <c r="N615">
        <v>5644695</v>
      </c>
      <c r="O615" t="s">
        <v>123</v>
      </c>
      <c r="P615" t="s">
        <v>146</v>
      </c>
      <c r="Q615">
        <v>2.2799999999999998</v>
      </c>
      <c r="R615" t="s">
        <v>125</v>
      </c>
      <c r="S615" t="s">
        <v>126</v>
      </c>
      <c r="T615" t="s">
        <v>125</v>
      </c>
      <c r="U615" t="s">
        <v>126</v>
      </c>
      <c r="W615">
        <v>2.2799999999999998</v>
      </c>
      <c r="Y615">
        <v>2.2799999999999998</v>
      </c>
      <c r="BE615">
        <v>2.2799999999999998</v>
      </c>
      <c r="BH615" t="s">
        <v>126</v>
      </c>
      <c r="BI615" t="s">
        <v>126</v>
      </c>
      <c r="BJ615" t="s">
        <v>126</v>
      </c>
      <c r="BK615" t="s">
        <v>126</v>
      </c>
      <c r="BS615" t="s">
        <v>126</v>
      </c>
      <c r="BT615" t="s">
        <v>126</v>
      </c>
      <c r="BU615" t="s">
        <v>126</v>
      </c>
      <c r="BV615" t="s">
        <v>126</v>
      </c>
      <c r="CN615" t="s">
        <v>147</v>
      </c>
      <c r="CP615" t="s">
        <v>275</v>
      </c>
      <c r="CQ615" t="s">
        <v>147</v>
      </c>
    </row>
    <row r="616" spans="1:95" x14ac:dyDescent="0.2">
      <c r="A616" t="s">
        <v>115</v>
      </c>
      <c r="B616" t="s">
        <v>116</v>
      </c>
      <c r="C616">
        <v>210784</v>
      </c>
      <c r="E616" t="s">
        <v>117</v>
      </c>
      <c r="F616">
        <v>368</v>
      </c>
      <c r="G616" t="s">
        <v>141</v>
      </c>
      <c r="H616" t="s">
        <v>142</v>
      </c>
      <c r="I616" t="s">
        <v>279</v>
      </c>
      <c r="J616" t="s">
        <v>280</v>
      </c>
      <c r="L616" t="s">
        <v>362</v>
      </c>
      <c r="M616" s="8">
        <v>45658</v>
      </c>
      <c r="N616">
        <v>5646119</v>
      </c>
      <c r="O616" t="s">
        <v>123</v>
      </c>
      <c r="P616" t="s">
        <v>146</v>
      </c>
      <c r="Q616">
        <v>3.63</v>
      </c>
      <c r="R616" t="s">
        <v>125</v>
      </c>
      <c r="S616" t="s">
        <v>126</v>
      </c>
      <c r="T616" t="s">
        <v>125</v>
      </c>
      <c r="U616" t="s">
        <v>126</v>
      </c>
      <c r="W616">
        <v>3.63</v>
      </c>
      <c r="Y616">
        <v>3.63</v>
      </c>
      <c r="BE616">
        <v>3.63</v>
      </c>
      <c r="BH616" t="s">
        <v>126</v>
      </c>
      <c r="BI616" t="s">
        <v>126</v>
      </c>
      <c r="BJ616" t="s">
        <v>126</v>
      </c>
      <c r="BK616" t="s">
        <v>126</v>
      </c>
      <c r="BS616" t="s">
        <v>126</v>
      </c>
      <c r="BT616" t="s">
        <v>126</v>
      </c>
      <c r="BU616" t="s">
        <v>126</v>
      </c>
      <c r="BV616" t="s">
        <v>126</v>
      </c>
      <c r="CN616" t="s">
        <v>147</v>
      </c>
      <c r="CP616" t="s">
        <v>275</v>
      </c>
      <c r="CQ616" t="s">
        <v>147</v>
      </c>
    </row>
    <row r="617" spans="1:95" x14ac:dyDescent="0.2">
      <c r="A617" t="s">
        <v>115</v>
      </c>
      <c r="B617" t="s">
        <v>116</v>
      </c>
      <c r="C617">
        <v>210784</v>
      </c>
      <c r="E617" t="s">
        <v>117</v>
      </c>
      <c r="F617">
        <v>368</v>
      </c>
      <c r="G617" t="s">
        <v>141</v>
      </c>
      <c r="H617" t="s">
        <v>142</v>
      </c>
      <c r="I617" t="s">
        <v>204</v>
      </c>
      <c r="J617" t="s">
        <v>205</v>
      </c>
      <c r="L617" t="s">
        <v>277</v>
      </c>
      <c r="M617" s="8">
        <v>45689</v>
      </c>
      <c r="N617">
        <v>116179</v>
      </c>
      <c r="O617" t="s">
        <v>123</v>
      </c>
      <c r="P617" t="s">
        <v>146</v>
      </c>
      <c r="Q617">
        <v>9.7899999999999991</v>
      </c>
      <c r="R617" t="s">
        <v>125</v>
      </c>
      <c r="S617" t="s">
        <v>126</v>
      </c>
      <c r="T617" t="s">
        <v>125</v>
      </c>
      <c r="U617" t="s">
        <v>126</v>
      </c>
      <c r="W617">
        <v>9.7899999999999991</v>
      </c>
      <c r="Y617">
        <v>9.7899999999999991</v>
      </c>
      <c r="AC617">
        <v>9.7899999999999991</v>
      </c>
      <c r="BH617" t="s">
        <v>126</v>
      </c>
      <c r="BI617" t="s">
        <v>126</v>
      </c>
      <c r="BJ617" t="s">
        <v>126</v>
      </c>
      <c r="BK617" t="s">
        <v>126</v>
      </c>
      <c r="BS617" t="s">
        <v>126</v>
      </c>
      <c r="BT617" t="s">
        <v>126</v>
      </c>
      <c r="BU617" t="s">
        <v>126</v>
      </c>
      <c r="BV617" t="s">
        <v>126</v>
      </c>
      <c r="CN617" t="s">
        <v>147</v>
      </c>
      <c r="CP617" t="s">
        <v>278</v>
      </c>
      <c r="CQ617" t="s">
        <v>147</v>
      </c>
    </row>
    <row r="618" spans="1:95" x14ac:dyDescent="0.2">
      <c r="A618" t="s">
        <v>115</v>
      </c>
      <c r="B618" t="s">
        <v>116</v>
      </c>
      <c r="C618">
        <v>210784</v>
      </c>
      <c r="E618" t="s">
        <v>117</v>
      </c>
      <c r="F618">
        <v>368</v>
      </c>
      <c r="G618" t="s">
        <v>141</v>
      </c>
      <c r="H618" t="s">
        <v>142</v>
      </c>
      <c r="I618" t="s">
        <v>279</v>
      </c>
      <c r="J618" t="s">
        <v>280</v>
      </c>
      <c r="L618" t="s">
        <v>281</v>
      </c>
      <c r="M618" s="8">
        <v>45689</v>
      </c>
      <c r="N618">
        <v>117387</v>
      </c>
      <c r="O618" t="s">
        <v>123</v>
      </c>
      <c r="P618" t="s">
        <v>146</v>
      </c>
      <c r="Q618">
        <v>1.34</v>
      </c>
      <c r="R618" t="s">
        <v>125</v>
      </c>
      <c r="S618" t="s">
        <v>126</v>
      </c>
      <c r="T618" t="s">
        <v>125</v>
      </c>
      <c r="U618" t="s">
        <v>126</v>
      </c>
      <c r="W618">
        <v>1.34</v>
      </c>
      <c r="Y618">
        <v>1.34</v>
      </c>
      <c r="AC618">
        <v>1.34</v>
      </c>
      <c r="BH618" t="s">
        <v>126</v>
      </c>
      <c r="BI618" t="s">
        <v>126</v>
      </c>
      <c r="BJ618" t="s">
        <v>126</v>
      </c>
      <c r="BK618" t="s">
        <v>126</v>
      </c>
      <c r="BS618" t="s">
        <v>126</v>
      </c>
      <c r="BT618" t="s">
        <v>126</v>
      </c>
      <c r="BU618" t="s">
        <v>126</v>
      </c>
      <c r="BV618" t="s">
        <v>126</v>
      </c>
      <c r="CN618" t="s">
        <v>147</v>
      </c>
      <c r="CP618" t="s">
        <v>278</v>
      </c>
      <c r="CQ618" t="s">
        <v>147</v>
      </c>
    </row>
    <row r="619" spans="1:95" x14ac:dyDescent="0.2">
      <c r="A619" t="s">
        <v>115</v>
      </c>
      <c r="B619" t="s">
        <v>116</v>
      </c>
      <c r="C619">
        <v>210784</v>
      </c>
      <c r="E619" t="s">
        <v>117</v>
      </c>
      <c r="F619">
        <v>368</v>
      </c>
      <c r="G619" t="s">
        <v>141</v>
      </c>
      <c r="H619" t="s">
        <v>142</v>
      </c>
      <c r="I619" t="s">
        <v>279</v>
      </c>
      <c r="J619" t="s">
        <v>280</v>
      </c>
      <c r="L619" t="s">
        <v>277</v>
      </c>
      <c r="M619" s="8">
        <v>45689</v>
      </c>
      <c r="N619">
        <v>5659875</v>
      </c>
      <c r="O619" t="s">
        <v>123</v>
      </c>
      <c r="P619" t="s">
        <v>146</v>
      </c>
      <c r="Q619">
        <v>2.09</v>
      </c>
      <c r="R619" t="s">
        <v>125</v>
      </c>
      <c r="S619" t="s">
        <v>126</v>
      </c>
      <c r="T619" t="s">
        <v>125</v>
      </c>
      <c r="U619" t="s">
        <v>126</v>
      </c>
      <c r="W619">
        <v>2.09</v>
      </c>
      <c r="Y619">
        <v>2.09</v>
      </c>
      <c r="AS619">
        <v>2.09</v>
      </c>
      <c r="BH619" t="s">
        <v>126</v>
      </c>
      <c r="BI619" t="s">
        <v>126</v>
      </c>
      <c r="BJ619" t="s">
        <v>126</v>
      </c>
      <c r="BK619" t="s">
        <v>126</v>
      </c>
      <c r="BS619" t="s">
        <v>126</v>
      </c>
      <c r="BT619" t="s">
        <v>126</v>
      </c>
      <c r="BU619" t="s">
        <v>126</v>
      </c>
      <c r="BV619" t="s">
        <v>126</v>
      </c>
      <c r="CN619" t="s">
        <v>147</v>
      </c>
      <c r="CP619" t="s">
        <v>278</v>
      </c>
      <c r="CQ619" t="s">
        <v>147</v>
      </c>
    </row>
    <row r="620" spans="1:95" x14ac:dyDescent="0.2">
      <c r="A620" t="s">
        <v>115</v>
      </c>
      <c r="B620" t="s">
        <v>116</v>
      </c>
      <c r="C620">
        <v>210784</v>
      </c>
      <c r="E620" t="s">
        <v>117</v>
      </c>
      <c r="F620">
        <v>368</v>
      </c>
      <c r="G620" t="s">
        <v>141</v>
      </c>
      <c r="H620" t="s">
        <v>142</v>
      </c>
      <c r="I620" t="s">
        <v>279</v>
      </c>
      <c r="J620" t="s">
        <v>280</v>
      </c>
      <c r="L620" t="s">
        <v>277</v>
      </c>
      <c r="M620" s="8">
        <v>45689</v>
      </c>
      <c r="N620">
        <v>5659762</v>
      </c>
      <c r="O620" t="s">
        <v>123</v>
      </c>
      <c r="P620" t="s">
        <v>146</v>
      </c>
      <c r="Q620">
        <v>7.7</v>
      </c>
      <c r="R620" t="s">
        <v>125</v>
      </c>
      <c r="S620" t="s">
        <v>126</v>
      </c>
      <c r="T620" t="s">
        <v>125</v>
      </c>
      <c r="U620" t="s">
        <v>126</v>
      </c>
      <c r="W620">
        <v>7.7</v>
      </c>
      <c r="Y620">
        <v>7.7</v>
      </c>
      <c r="AS620">
        <v>7.7</v>
      </c>
      <c r="BH620" t="s">
        <v>126</v>
      </c>
      <c r="BI620" t="s">
        <v>126</v>
      </c>
      <c r="BJ620" t="s">
        <v>126</v>
      </c>
      <c r="BK620" t="s">
        <v>126</v>
      </c>
      <c r="BS620" t="s">
        <v>126</v>
      </c>
      <c r="BT620" t="s">
        <v>126</v>
      </c>
      <c r="BU620" t="s">
        <v>126</v>
      </c>
      <c r="BV620" t="s">
        <v>126</v>
      </c>
      <c r="CN620" t="s">
        <v>147</v>
      </c>
      <c r="CP620" t="s">
        <v>278</v>
      </c>
      <c r="CQ620" t="s">
        <v>147</v>
      </c>
    </row>
    <row r="621" spans="1:95" x14ac:dyDescent="0.2">
      <c r="A621" t="s">
        <v>115</v>
      </c>
      <c r="B621" t="s">
        <v>116</v>
      </c>
      <c r="C621">
        <v>210784</v>
      </c>
      <c r="E621" t="s">
        <v>117</v>
      </c>
      <c r="F621">
        <v>368</v>
      </c>
      <c r="G621" t="s">
        <v>141</v>
      </c>
      <c r="H621" t="s">
        <v>142</v>
      </c>
      <c r="I621" t="s">
        <v>279</v>
      </c>
      <c r="J621" t="s">
        <v>280</v>
      </c>
      <c r="L621" t="s">
        <v>371</v>
      </c>
      <c r="M621" s="8">
        <v>45689</v>
      </c>
      <c r="N621">
        <v>5661697</v>
      </c>
      <c r="O621" t="s">
        <v>123</v>
      </c>
      <c r="P621" t="s">
        <v>146</v>
      </c>
      <c r="Q621">
        <v>5.32</v>
      </c>
      <c r="R621" t="s">
        <v>125</v>
      </c>
      <c r="S621" t="s">
        <v>126</v>
      </c>
      <c r="T621" t="s">
        <v>125</v>
      </c>
      <c r="U621" t="s">
        <v>126</v>
      </c>
      <c r="W621">
        <v>5.32</v>
      </c>
      <c r="Y621">
        <v>5.32</v>
      </c>
      <c r="AS621">
        <v>5.32</v>
      </c>
      <c r="BH621" t="s">
        <v>126</v>
      </c>
      <c r="BI621" t="s">
        <v>126</v>
      </c>
      <c r="BJ621" t="s">
        <v>126</v>
      </c>
      <c r="BK621" t="s">
        <v>126</v>
      </c>
      <c r="BS621" t="s">
        <v>126</v>
      </c>
      <c r="BT621" t="s">
        <v>126</v>
      </c>
      <c r="BU621" t="s">
        <v>126</v>
      </c>
      <c r="BV621" t="s">
        <v>126</v>
      </c>
      <c r="CN621" t="s">
        <v>147</v>
      </c>
      <c r="CP621" t="s">
        <v>278</v>
      </c>
      <c r="CQ621" t="s">
        <v>147</v>
      </c>
    </row>
    <row r="622" spans="1:95" x14ac:dyDescent="0.2">
      <c r="A622" t="s">
        <v>115</v>
      </c>
      <c r="B622" t="s">
        <v>116</v>
      </c>
      <c r="C622">
        <v>210784</v>
      </c>
      <c r="E622" t="s">
        <v>117</v>
      </c>
      <c r="F622">
        <v>368</v>
      </c>
      <c r="G622" t="s">
        <v>141</v>
      </c>
      <c r="H622" t="s">
        <v>142</v>
      </c>
      <c r="I622" t="s">
        <v>279</v>
      </c>
      <c r="J622" t="s">
        <v>280</v>
      </c>
      <c r="L622" t="s">
        <v>372</v>
      </c>
      <c r="M622" s="8">
        <v>45689</v>
      </c>
      <c r="N622">
        <v>5662342</v>
      </c>
      <c r="O622" t="s">
        <v>123</v>
      </c>
      <c r="P622" t="s">
        <v>146</v>
      </c>
      <c r="Q622">
        <v>1.34</v>
      </c>
      <c r="R622" t="s">
        <v>125</v>
      </c>
      <c r="S622" t="s">
        <v>126</v>
      </c>
      <c r="T622" t="s">
        <v>125</v>
      </c>
      <c r="U622" t="s">
        <v>126</v>
      </c>
      <c r="W622">
        <v>1.34</v>
      </c>
      <c r="Y622">
        <v>1.34</v>
      </c>
      <c r="AS622">
        <v>1.34</v>
      </c>
      <c r="BH622" t="s">
        <v>126</v>
      </c>
      <c r="BI622" t="s">
        <v>126</v>
      </c>
      <c r="BJ622" t="s">
        <v>126</v>
      </c>
      <c r="BK622" t="s">
        <v>126</v>
      </c>
      <c r="BS622" t="s">
        <v>126</v>
      </c>
      <c r="BT622" t="s">
        <v>126</v>
      </c>
      <c r="BU622" t="s">
        <v>126</v>
      </c>
      <c r="BV622" t="s">
        <v>126</v>
      </c>
      <c r="CN622" t="s">
        <v>147</v>
      </c>
      <c r="CP622" t="s">
        <v>278</v>
      </c>
      <c r="CQ622" t="s">
        <v>147</v>
      </c>
    </row>
    <row r="623" spans="1:95" x14ac:dyDescent="0.2">
      <c r="A623" t="s">
        <v>115</v>
      </c>
      <c r="B623" t="s">
        <v>116</v>
      </c>
      <c r="C623">
        <v>210784</v>
      </c>
      <c r="E623" t="s">
        <v>117</v>
      </c>
      <c r="F623">
        <v>368</v>
      </c>
      <c r="G623" t="s">
        <v>141</v>
      </c>
      <c r="H623" t="s">
        <v>142</v>
      </c>
      <c r="I623" t="s">
        <v>279</v>
      </c>
      <c r="J623" t="s">
        <v>280</v>
      </c>
      <c r="L623" t="s">
        <v>373</v>
      </c>
      <c r="M623" s="8">
        <v>45689</v>
      </c>
      <c r="N623">
        <v>5663047</v>
      </c>
      <c r="O623" t="s">
        <v>123</v>
      </c>
      <c r="P623" t="s">
        <v>146</v>
      </c>
      <c r="Q623">
        <v>2.77</v>
      </c>
      <c r="R623" t="s">
        <v>125</v>
      </c>
      <c r="S623" t="s">
        <v>126</v>
      </c>
      <c r="T623" t="s">
        <v>125</v>
      </c>
      <c r="U623" t="s">
        <v>126</v>
      </c>
      <c r="W623">
        <v>2.77</v>
      </c>
      <c r="Y623">
        <v>2.77</v>
      </c>
      <c r="AS623">
        <v>2.77</v>
      </c>
      <c r="BH623" t="s">
        <v>126</v>
      </c>
      <c r="BI623" t="s">
        <v>126</v>
      </c>
      <c r="BJ623" t="s">
        <v>126</v>
      </c>
      <c r="BK623" t="s">
        <v>126</v>
      </c>
      <c r="BS623" t="s">
        <v>126</v>
      </c>
      <c r="BT623" t="s">
        <v>126</v>
      </c>
      <c r="BU623" t="s">
        <v>126</v>
      </c>
      <c r="BV623" t="s">
        <v>126</v>
      </c>
      <c r="CN623" t="s">
        <v>147</v>
      </c>
      <c r="CP623" t="s">
        <v>278</v>
      </c>
      <c r="CQ623" t="s">
        <v>147</v>
      </c>
    </row>
    <row r="624" spans="1:95" x14ac:dyDescent="0.2">
      <c r="A624" t="s">
        <v>115</v>
      </c>
      <c r="B624" t="s">
        <v>116</v>
      </c>
      <c r="C624">
        <v>210784</v>
      </c>
      <c r="E624" t="s">
        <v>117</v>
      </c>
      <c r="F624">
        <v>368</v>
      </c>
      <c r="G624" t="s">
        <v>141</v>
      </c>
      <c r="H624" t="s">
        <v>142</v>
      </c>
      <c r="I624" t="s">
        <v>279</v>
      </c>
      <c r="J624" t="s">
        <v>280</v>
      </c>
      <c r="L624" t="s">
        <v>374</v>
      </c>
      <c r="M624" s="8">
        <v>45689</v>
      </c>
      <c r="N624">
        <v>5663894</v>
      </c>
      <c r="O624" t="s">
        <v>123</v>
      </c>
      <c r="P624" t="s">
        <v>146</v>
      </c>
      <c r="Q624">
        <v>1.1399999999999999</v>
      </c>
      <c r="R624" t="s">
        <v>125</v>
      </c>
      <c r="S624" t="s">
        <v>126</v>
      </c>
      <c r="T624" t="s">
        <v>125</v>
      </c>
      <c r="U624" t="s">
        <v>126</v>
      </c>
      <c r="W624">
        <v>1.1399999999999999</v>
      </c>
      <c r="Y624">
        <v>1.1399999999999999</v>
      </c>
      <c r="AS624">
        <v>1.1399999999999999</v>
      </c>
      <c r="BH624" t="s">
        <v>126</v>
      </c>
      <c r="BI624" t="s">
        <v>126</v>
      </c>
      <c r="BJ624" t="s">
        <v>126</v>
      </c>
      <c r="BK624" t="s">
        <v>126</v>
      </c>
      <c r="BS624" t="s">
        <v>126</v>
      </c>
      <c r="BT624" t="s">
        <v>126</v>
      </c>
      <c r="BU624" t="s">
        <v>126</v>
      </c>
      <c r="BV624" t="s">
        <v>126</v>
      </c>
      <c r="CN624" t="s">
        <v>147</v>
      </c>
      <c r="CP624" t="s">
        <v>278</v>
      </c>
      <c r="CQ624" t="s">
        <v>147</v>
      </c>
    </row>
    <row r="625" spans="1:95" x14ac:dyDescent="0.2">
      <c r="A625" t="s">
        <v>115</v>
      </c>
      <c r="B625" t="s">
        <v>116</v>
      </c>
      <c r="C625">
        <v>210784</v>
      </c>
      <c r="E625" t="s">
        <v>117</v>
      </c>
      <c r="F625">
        <v>368</v>
      </c>
      <c r="G625" t="s">
        <v>141</v>
      </c>
      <c r="H625" t="s">
        <v>142</v>
      </c>
      <c r="I625" t="s">
        <v>279</v>
      </c>
      <c r="J625" t="s">
        <v>280</v>
      </c>
      <c r="L625" t="s">
        <v>374</v>
      </c>
      <c r="M625" s="8">
        <v>45689</v>
      </c>
      <c r="N625">
        <v>5663903</v>
      </c>
      <c r="O625" t="s">
        <v>123</v>
      </c>
      <c r="P625" t="s">
        <v>146</v>
      </c>
      <c r="Q625">
        <v>3.18</v>
      </c>
      <c r="R625" t="s">
        <v>125</v>
      </c>
      <c r="S625" t="s">
        <v>126</v>
      </c>
      <c r="T625" t="s">
        <v>125</v>
      </c>
      <c r="U625" t="s">
        <v>126</v>
      </c>
      <c r="W625">
        <v>3.18</v>
      </c>
      <c r="Y625">
        <v>3.18</v>
      </c>
      <c r="AS625">
        <v>3.18</v>
      </c>
      <c r="BH625" t="s">
        <v>126</v>
      </c>
      <c r="BI625" t="s">
        <v>126</v>
      </c>
      <c r="BJ625" t="s">
        <v>126</v>
      </c>
      <c r="BK625" t="s">
        <v>126</v>
      </c>
      <c r="BS625" t="s">
        <v>126</v>
      </c>
      <c r="BT625" t="s">
        <v>126</v>
      </c>
      <c r="BU625" t="s">
        <v>126</v>
      </c>
      <c r="BV625" t="s">
        <v>126</v>
      </c>
      <c r="CN625" t="s">
        <v>147</v>
      </c>
      <c r="CP625" t="s">
        <v>278</v>
      </c>
      <c r="CQ625" t="s">
        <v>147</v>
      </c>
    </row>
    <row r="626" spans="1:95" x14ac:dyDescent="0.2">
      <c r="A626" t="s">
        <v>115</v>
      </c>
      <c r="B626" t="s">
        <v>116</v>
      </c>
      <c r="C626">
        <v>210784</v>
      </c>
      <c r="E626" t="s">
        <v>117</v>
      </c>
      <c r="F626">
        <v>368</v>
      </c>
      <c r="G626" t="s">
        <v>141</v>
      </c>
      <c r="H626" t="s">
        <v>142</v>
      </c>
      <c r="I626" t="s">
        <v>279</v>
      </c>
      <c r="J626" t="s">
        <v>280</v>
      </c>
      <c r="L626" t="s">
        <v>374</v>
      </c>
      <c r="M626" s="8">
        <v>45689</v>
      </c>
      <c r="N626">
        <v>5663823</v>
      </c>
      <c r="O626" t="s">
        <v>123</v>
      </c>
      <c r="P626" t="s">
        <v>146</v>
      </c>
      <c r="Q626">
        <v>7.96</v>
      </c>
      <c r="R626" t="s">
        <v>125</v>
      </c>
      <c r="S626" t="s">
        <v>126</v>
      </c>
      <c r="T626" t="s">
        <v>125</v>
      </c>
      <c r="U626" t="s">
        <v>126</v>
      </c>
      <c r="W626">
        <v>7.96</v>
      </c>
      <c r="Y626">
        <v>7.96</v>
      </c>
      <c r="AS626">
        <v>7.96</v>
      </c>
      <c r="BH626" t="s">
        <v>126</v>
      </c>
      <c r="BI626" t="s">
        <v>126</v>
      </c>
      <c r="BJ626" t="s">
        <v>126</v>
      </c>
      <c r="BK626" t="s">
        <v>126</v>
      </c>
      <c r="BS626" t="s">
        <v>126</v>
      </c>
      <c r="BT626" t="s">
        <v>126</v>
      </c>
      <c r="BU626" t="s">
        <v>126</v>
      </c>
      <c r="BV626" t="s">
        <v>126</v>
      </c>
      <c r="CN626" t="s">
        <v>147</v>
      </c>
      <c r="CP626" t="s">
        <v>278</v>
      </c>
      <c r="CQ626" t="s">
        <v>147</v>
      </c>
    </row>
    <row r="627" spans="1:95" x14ac:dyDescent="0.2">
      <c r="A627" t="s">
        <v>115</v>
      </c>
      <c r="B627" t="s">
        <v>116</v>
      </c>
      <c r="C627">
        <v>210784</v>
      </c>
      <c r="E627" t="s">
        <v>117</v>
      </c>
      <c r="F627">
        <v>368</v>
      </c>
      <c r="G627" t="s">
        <v>141</v>
      </c>
      <c r="H627" t="s">
        <v>142</v>
      </c>
      <c r="I627" t="s">
        <v>279</v>
      </c>
      <c r="J627" t="s">
        <v>280</v>
      </c>
      <c r="L627" t="s">
        <v>375</v>
      </c>
      <c r="M627" s="8">
        <v>45689</v>
      </c>
      <c r="N627">
        <v>5665360</v>
      </c>
      <c r="O627" t="s">
        <v>123</v>
      </c>
      <c r="P627" t="s">
        <v>146</v>
      </c>
      <c r="Q627">
        <v>4.43</v>
      </c>
      <c r="R627" t="s">
        <v>125</v>
      </c>
      <c r="S627" t="s">
        <v>126</v>
      </c>
      <c r="T627" t="s">
        <v>125</v>
      </c>
      <c r="U627" t="s">
        <v>126</v>
      </c>
      <c r="W627">
        <v>4.43</v>
      </c>
      <c r="Y627">
        <v>4.43</v>
      </c>
      <c r="AS627">
        <v>4.43</v>
      </c>
      <c r="BH627" t="s">
        <v>126</v>
      </c>
      <c r="BI627" t="s">
        <v>126</v>
      </c>
      <c r="BJ627" t="s">
        <v>126</v>
      </c>
      <c r="BK627" t="s">
        <v>126</v>
      </c>
      <c r="BS627" t="s">
        <v>126</v>
      </c>
      <c r="BT627" t="s">
        <v>126</v>
      </c>
      <c r="BU627" t="s">
        <v>126</v>
      </c>
      <c r="BV627" t="s">
        <v>126</v>
      </c>
      <c r="CN627" t="s">
        <v>147</v>
      </c>
      <c r="CP627" t="s">
        <v>278</v>
      </c>
      <c r="CQ627" t="s">
        <v>147</v>
      </c>
    </row>
    <row r="628" spans="1:95" x14ac:dyDescent="0.2">
      <c r="A628" t="s">
        <v>115</v>
      </c>
      <c r="B628" t="s">
        <v>116</v>
      </c>
      <c r="C628">
        <v>210784</v>
      </c>
      <c r="E628" t="s">
        <v>117</v>
      </c>
      <c r="F628">
        <v>368</v>
      </c>
      <c r="G628" t="s">
        <v>141</v>
      </c>
      <c r="H628" t="s">
        <v>142</v>
      </c>
      <c r="I628" t="s">
        <v>279</v>
      </c>
      <c r="J628" t="s">
        <v>280</v>
      </c>
      <c r="L628" t="s">
        <v>376</v>
      </c>
      <c r="M628" s="8">
        <v>45689</v>
      </c>
      <c r="N628">
        <v>5665878</v>
      </c>
      <c r="O628" t="s">
        <v>123</v>
      </c>
      <c r="P628" t="s">
        <v>146</v>
      </c>
      <c r="Q628">
        <v>8.18</v>
      </c>
      <c r="R628" t="s">
        <v>125</v>
      </c>
      <c r="S628" t="s">
        <v>126</v>
      </c>
      <c r="T628" t="s">
        <v>125</v>
      </c>
      <c r="U628" t="s">
        <v>126</v>
      </c>
      <c r="W628">
        <v>8.18</v>
      </c>
      <c r="Y628">
        <v>8.18</v>
      </c>
      <c r="AS628">
        <v>8.18</v>
      </c>
      <c r="BH628" t="s">
        <v>126</v>
      </c>
      <c r="BI628" t="s">
        <v>126</v>
      </c>
      <c r="BJ628" t="s">
        <v>126</v>
      </c>
      <c r="BK628" t="s">
        <v>126</v>
      </c>
      <c r="BS628" t="s">
        <v>126</v>
      </c>
      <c r="BT628" t="s">
        <v>126</v>
      </c>
      <c r="BU628" t="s">
        <v>126</v>
      </c>
      <c r="BV628" t="s">
        <v>126</v>
      </c>
      <c r="CN628" t="s">
        <v>147</v>
      </c>
      <c r="CP628" t="s">
        <v>278</v>
      </c>
      <c r="CQ628" t="s">
        <v>147</v>
      </c>
    </row>
    <row r="629" spans="1:95" x14ac:dyDescent="0.2">
      <c r="A629" t="s">
        <v>115</v>
      </c>
      <c r="B629" t="s">
        <v>116</v>
      </c>
      <c r="C629">
        <v>210784</v>
      </c>
      <c r="E629" t="s">
        <v>117</v>
      </c>
      <c r="F629">
        <v>368</v>
      </c>
      <c r="G629" t="s">
        <v>141</v>
      </c>
      <c r="H629" t="s">
        <v>142</v>
      </c>
      <c r="I629" t="s">
        <v>279</v>
      </c>
      <c r="J629" t="s">
        <v>280</v>
      </c>
      <c r="L629" t="s">
        <v>377</v>
      </c>
      <c r="M629" s="8">
        <v>45689</v>
      </c>
      <c r="N629">
        <v>5666225</v>
      </c>
      <c r="O629" t="s">
        <v>123</v>
      </c>
      <c r="P629" t="s">
        <v>146</v>
      </c>
      <c r="Q629">
        <v>3.46</v>
      </c>
      <c r="R629" t="s">
        <v>125</v>
      </c>
      <c r="S629" t="s">
        <v>126</v>
      </c>
      <c r="T629" t="s">
        <v>125</v>
      </c>
      <c r="U629" t="s">
        <v>126</v>
      </c>
      <c r="W629">
        <v>3.46</v>
      </c>
      <c r="Y629">
        <v>3.46</v>
      </c>
      <c r="AS629">
        <v>3.46</v>
      </c>
      <c r="BH629" t="s">
        <v>126</v>
      </c>
      <c r="BI629" t="s">
        <v>126</v>
      </c>
      <c r="BJ629" t="s">
        <v>126</v>
      </c>
      <c r="BK629" t="s">
        <v>126</v>
      </c>
      <c r="BS629" t="s">
        <v>126</v>
      </c>
      <c r="BT629" t="s">
        <v>126</v>
      </c>
      <c r="BU629" t="s">
        <v>126</v>
      </c>
      <c r="BV629" t="s">
        <v>126</v>
      </c>
      <c r="CN629" t="s">
        <v>147</v>
      </c>
      <c r="CP629" t="s">
        <v>278</v>
      </c>
      <c r="CQ629" t="s">
        <v>147</v>
      </c>
    </row>
    <row r="630" spans="1:95" x14ac:dyDescent="0.2">
      <c r="A630" t="s">
        <v>115</v>
      </c>
      <c r="B630" t="s">
        <v>116</v>
      </c>
      <c r="C630">
        <v>210784</v>
      </c>
      <c r="E630" t="s">
        <v>117</v>
      </c>
      <c r="F630">
        <v>368</v>
      </c>
      <c r="G630" t="s">
        <v>141</v>
      </c>
      <c r="H630" t="s">
        <v>142</v>
      </c>
      <c r="I630" t="s">
        <v>279</v>
      </c>
      <c r="J630" t="s">
        <v>280</v>
      </c>
      <c r="L630" t="s">
        <v>378</v>
      </c>
      <c r="M630" s="8">
        <v>45689</v>
      </c>
      <c r="N630">
        <v>5667384</v>
      </c>
      <c r="O630" t="s">
        <v>123</v>
      </c>
      <c r="P630" t="s">
        <v>146</v>
      </c>
      <c r="Q630">
        <v>3.24</v>
      </c>
      <c r="R630" t="s">
        <v>125</v>
      </c>
      <c r="S630" t="s">
        <v>126</v>
      </c>
      <c r="T630" t="s">
        <v>125</v>
      </c>
      <c r="U630" t="s">
        <v>126</v>
      </c>
      <c r="W630">
        <v>3.24</v>
      </c>
      <c r="Y630">
        <v>3.24</v>
      </c>
      <c r="AS630">
        <v>3.24</v>
      </c>
      <c r="BH630" t="s">
        <v>126</v>
      </c>
      <c r="BI630" t="s">
        <v>126</v>
      </c>
      <c r="BJ630" t="s">
        <v>126</v>
      </c>
      <c r="BK630" t="s">
        <v>126</v>
      </c>
      <c r="BS630" t="s">
        <v>126</v>
      </c>
      <c r="BT630" t="s">
        <v>126</v>
      </c>
      <c r="BU630" t="s">
        <v>126</v>
      </c>
      <c r="BV630" t="s">
        <v>126</v>
      </c>
      <c r="CN630" t="s">
        <v>147</v>
      </c>
      <c r="CP630" t="s">
        <v>278</v>
      </c>
      <c r="CQ630" t="s">
        <v>147</v>
      </c>
    </row>
    <row r="631" spans="1:95" x14ac:dyDescent="0.2">
      <c r="A631" t="s">
        <v>115</v>
      </c>
      <c r="B631" t="s">
        <v>116</v>
      </c>
      <c r="C631">
        <v>210784</v>
      </c>
      <c r="E631" t="s">
        <v>117</v>
      </c>
      <c r="F631">
        <v>368</v>
      </c>
      <c r="G631" t="s">
        <v>141</v>
      </c>
      <c r="H631" t="s">
        <v>142</v>
      </c>
      <c r="I631" t="s">
        <v>279</v>
      </c>
      <c r="J631" t="s">
        <v>280</v>
      </c>
      <c r="L631" t="s">
        <v>378</v>
      </c>
      <c r="M631" s="8">
        <v>45689</v>
      </c>
      <c r="N631">
        <v>5667489</v>
      </c>
      <c r="O631" t="s">
        <v>123</v>
      </c>
      <c r="P631" t="s">
        <v>146</v>
      </c>
      <c r="Q631">
        <v>1.74</v>
      </c>
      <c r="R631" t="s">
        <v>125</v>
      </c>
      <c r="S631" t="s">
        <v>126</v>
      </c>
      <c r="T631" t="s">
        <v>125</v>
      </c>
      <c r="U631" t="s">
        <v>126</v>
      </c>
      <c r="W631">
        <v>1.74</v>
      </c>
      <c r="Y631">
        <v>1.74</v>
      </c>
      <c r="AS631">
        <v>1.74</v>
      </c>
      <c r="BH631" t="s">
        <v>126</v>
      </c>
      <c r="BI631" t="s">
        <v>126</v>
      </c>
      <c r="BJ631" t="s">
        <v>126</v>
      </c>
      <c r="BK631" t="s">
        <v>126</v>
      </c>
      <c r="BS631" t="s">
        <v>126</v>
      </c>
      <c r="BT631" t="s">
        <v>126</v>
      </c>
      <c r="BU631" t="s">
        <v>126</v>
      </c>
      <c r="BV631" t="s">
        <v>126</v>
      </c>
      <c r="CN631" t="s">
        <v>147</v>
      </c>
      <c r="CP631" t="s">
        <v>278</v>
      </c>
      <c r="CQ631" t="s">
        <v>147</v>
      </c>
    </row>
    <row r="632" spans="1:95" x14ac:dyDescent="0.2">
      <c r="A632" t="s">
        <v>115</v>
      </c>
      <c r="B632" t="s">
        <v>116</v>
      </c>
      <c r="C632">
        <v>210784</v>
      </c>
      <c r="E632" t="s">
        <v>117</v>
      </c>
      <c r="F632">
        <v>368</v>
      </c>
      <c r="G632" t="s">
        <v>141</v>
      </c>
      <c r="H632" t="s">
        <v>142</v>
      </c>
      <c r="I632" t="s">
        <v>279</v>
      </c>
      <c r="J632" t="s">
        <v>280</v>
      </c>
      <c r="L632" t="s">
        <v>378</v>
      </c>
      <c r="M632" s="8">
        <v>45689</v>
      </c>
      <c r="N632">
        <v>5667573</v>
      </c>
      <c r="O632" t="s">
        <v>123</v>
      </c>
      <c r="P632" t="s">
        <v>146</v>
      </c>
      <c r="Q632">
        <v>5.29</v>
      </c>
      <c r="R632" t="s">
        <v>125</v>
      </c>
      <c r="S632" t="s">
        <v>126</v>
      </c>
      <c r="T632" t="s">
        <v>125</v>
      </c>
      <c r="U632" t="s">
        <v>126</v>
      </c>
      <c r="W632">
        <v>5.29</v>
      </c>
      <c r="Y632">
        <v>5.29</v>
      </c>
      <c r="AS632">
        <v>5.29</v>
      </c>
      <c r="BH632" t="s">
        <v>126</v>
      </c>
      <c r="BI632" t="s">
        <v>126</v>
      </c>
      <c r="BJ632" t="s">
        <v>126</v>
      </c>
      <c r="BK632" t="s">
        <v>126</v>
      </c>
      <c r="BS632" t="s">
        <v>126</v>
      </c>
      <c r="BT632" t="s">
        <v>126</v>
      </c>
      <c r="BU632" t="s">
        <v>126</v>
      </c>
      <c r="BV632" t="s">
        <v>126</v>
      </c>
      <c r="CN632" t="s">
        <v>147</v>
      </c>
      <c r="CP632" t="s">
        <v>278</v>
      </c>
      <c r="CQ632" t="s">
        <v>147</v>
      </c>
    </row>
    <row r="633" spans="1:95" x14ac:dyDescent="0.2">
      <c r="A633" t="s">
        <v>115</v>
      </c>
      <c r="B633" t="s">
        <v>116</v>
      </c>
      <c r="C633">
        <v>210784</v>
      </c>
      <c r="E633" t="s">
        <v>117</v>
      </c>
      <c r="F633">
        <v>368</v>
      </c>
      <c r="G633" t="s">
        <v>141</v>
      </c>
      <c r="H633" t="s">
        <v>142</v>
      </c>
      <c r="I633" t="s">
        <v>279</v>
      </c>
      <c r="J633" t="s">
        <v>280</v>
      </c>
      <c r="L633" t="s">
        <v>379</v>
      </c>
      <c r="M633" s="8">
        <v>45689</v>
      </c>
      <c r="N633">
        <v>5668271</v>
      </c>
      <c r="O633" t="s">
        <v>123</v>
      </c>
      <c r="P633" t="s">
        <v>146</v>
      </c>
      <c r="Q633">
        <v>1.55</v>
      </c>
      <c r="R633" t="s">
        <v>125</v>
      </c>
      <c r="S633" t="s">
        <v>126</v>
      </c>
      <c r="T633" t="s">
        <v>125</v>
      </c>
      <c r="U633" t="s">
        <v>126</v>
      </c>
      <c r="W633">
        <v>1.55</v>
      </c>
      <c r="Y633">
        <v>1.55</v>
      </c>
      <c r="AS633">
        <v>1.55</v>
      </c>
      <c r="BH633" t="s">
        <v>126</v>
      </c>
      <c r="BI633" t="s">
        <v>126</v>
      </c>
      <c r="BJ633" t="s">
        <v>126</v>
      </c>
      <c r="BK633" t="s">
        <v>126</v>
      </c>
      <c r="BS633" t="s">
        <v>126</v>
      </c>
      <c r="BT633" t="s">
        <v>126</v>
      </c>
      <c r="BU633" t="s">
        <v>126</v>
      </c>
      <c r="BV633" t="s">
        <v>126</v>
      </c>
      <c r="CN633" t="s">
        <v>147</v>
      </c>
      <c r="CP633" t="s">
        <v>278</v>
      </c>
      <c r="CQ633" t="s">
        <v>147</v>
      </c>
    </row>
    <row r="634" spans="1:95" x14ac:dyDescent="0.2">
      <c r="A634" t="s">
        <v>115</v>
      </c>
      <c r="B634" t="s">
        <v>116</v>
      </c>
      <c r="C634">
        <v>210784</v>
      </c>
      <c r="E634" t="s">
        <v>117</v>
      </c>
      <c r="F634">
        <v>368</v>
      </c>
      <c r="G634" t="s">
        <v>141</v>
      </c>
      <c r="H634" t="s">
        <v>142</v>
      </c>
      <c r="I634" t="s">
        <v>279</v>
      </c>
      <c r="J634" t="s">
        <v>280</v>
      </c>
      <c r="L634" t="s">
        <v>380</v>
      </c>
      <c r="M634" s="8">
        <v>45689</v>
      </c>
      <c r="N634">
        <v>5669535</v>
      </c>
      <c r="O634" t="s">
        <v>123</v>
      </c>
      <c r="P634" t="s">
        <v>146</v>
      </c>
      <c r="Q634">
        <v>4.2300000000000004</v>
      </c>
      <c r="R634" t="s">
        <v>125</v>
      </c>
      <c r="S634" t="s">
        <v>126</v>
      </c>
      <c r="T634" t="s">
        <v>125</v>
      </c>
      <c r="U634" t="s">
        <v>126</v>
      </c>
      <c r="W634">
        <v>4.2300000000000004</v>
      </c>
      <c r="Y634">
        <v>4.2300000000000004</v>
      </c>
      <c r="AS634">
        <v>4.2300000000000004</v>
      </c>
      <c r="BH634" t="s">
        <v>126</v>
      </c>
      <c r="BI634" t="s">
        <v>126</v>
      </c>
      <c r="BJ634" t="s">
        <v>126</v>
      </c>
      <c r="BK634" t="s">
        <v>126</v>
      </c>
      <c r="BS634" t="s">
        <v>126</v>
      </c>
      <c r="BT634" t="s">
        <v>126</v>
      </c>
      <c r="BU634" t="s">
        <v>126</v>
      </c>
      <c r="BV634" t="s">
        <v>126</v>
      </c>
      <c r="CN634" t="s">
        <v>147</v>
      </c>
      <c r="CP634" t="s">
        <v>278</v>
      </c>
      <c r="CQ634" t="s">
        <v>147</v>
      </c>
    </row>
    <row r="635" spans="1:95" x14ac:dyDescent="0.2">
      <c r="A635" t="s">
        <v>115</v>
      </c>
      <c r="B635" t="s">
        <v>116</v>
      </c>
      <c r="C635">
        <v>210784</v>
      </c>
      <c r="E635" t="s">
        <v>117</v>
      </c>
      <c r="F635">
        <v>368</v>
      </c>
      <c r="G635" t="s">
        <v>141</v>
      </c>
      <c r="H635" t="s">
        <v>142</v>
      </c>
      <c r="I635" t="s">
        <v>279</v>
      </c>
      <c r="J635" t="s">
        <v>280</v>
      </c>
      <c r="L635" t="s">
        <v>380</v>
      </c>
      <c r="M635" s="8">
        <v>45689</v>
      </c>
      <c r="N635">
        <v>5669683</v>
      </c>
      <c r="O635" t="s">
        <v>123</v>
      </c>
      <c r="P635" t="s">
        <v>146</v>
      </c>
      <c r="Q635">
        <v>5.44</v>
      </c>
      <c r="R635" t="s">
        <v>125</v>
      </c>
      <c r="S635" t="s">
        <v>126</v>
      </c>
      <c r="T635" t="s">
        <v>125</v>
      </c>
      <c r="U635" t="s">
        <v>126</v>
      </c>
      <c r="W635">
        <v>5.44</v>
      </c>
      <c r="Y635">
        <v>5.44</v>
      </c>
      <c r="AS635">
        <v>5.44</v>
      </c>
      <c r="BH635" t="s">
        <v>126</v>
      </c>
      <c r="BI635" t="s">
        <v>126</v>
      </c>
      <c r="BJ635" t="s">
        <v>126</v>
      </c>
      <c r="BK635" t="s">
        <v>126</v>
      </c>
      <c r="BS635" t="s">
        <v>126</v>
      </c>
      <c r="BT635" t="s">
        <v>126</v>
      </c>
      <c r="BU635" t="s">
        <v>126</v>
      </c>
      <c r="BV635" t="s">
        <v>126</v>
      </c>
      <c r="CN635" t="s">
        <v>147</v>
      </c>
      <c r="CP635" t="s">
        <v>278</v>
      </c>
      <c r="CQ635" t="s">
        <v>147</v>
      </c>
    </row>
    <row r="636" spans="1:95" x14ac:dyDescent="0.2">
      <c r="A636" t="s">
        <v>115</v>
      </c>
      <c r="B636" t="s">
        <v>116</v>
      </c>
      <c r="C636">
        <v>210784</v>
      </c>
      <c r="E636" t="s">
        <v>117</v>
      </c>
      <c r="F636">
        <v>368</v>
      </c>
      <c r="G636" t="s">
        <v>141</v>
      </c>
      <c r="H636" t="s">
        <v>142</v>
      </c>
      <c r="I636" t="s">
        <v>279</v>
      </c>
      <c r="J636" t="s">
        <v>280</v>
      </c>
      <c r="L636" t="s">
        <v>381</v>
      </c>
      <c r="M636" s="8">
        <v>45689</v>
      </c>
      <c r="N636">
        <v>5670641</v>
      </c>
      <c r="O636" t="s">
        <v>123</v>
      </c>
      <c r="P636" t="s">
        <v>146</v>
      </c>
      <c r="Q636">
        <v>3.74</v>
      </c>
      <c r="R636" t="s">
        <v>125</v>
      </c>
      <c r="S636" t="s">
        <v>126</v>
      </c>
      <c r="T636" t="s">
        <v>125</v>
      </c>
      <c r="U636" t="s">
        <v>126</v>
      </c>
      <c r="W636">
        <v>3.74</v>
      </c>
      <c r="Y636">
        <v>3.74</v>
      </c>
      <c r="AS636">
        <v>3.74</v>
      </c>
      <c r="BH636" t="s">
        <v>126</v>
      </c>
      <c r="BI636" t="s">
        <v>126</v>
      </c>
      <c r="BJ636" t="s">
        <v>126</v>
      </c>
      <c r="BK636" t="s">
        <v>126</v>
      </c>
      <c r="BS636" t="s">
        <v>126</v>
      </c>
      <c r="BT636" t="s">
        <v>126</v>
      </c>
      <c r="BU636" t="s">
        <v>126</v>
      </c>
      <c r="BV636" t="s">
        <v>126</v>
      </c>
      <c r="CN636" t="s">
        <v>147</v>
      </c>
      <c r="CP636" t="s">
        <v>278</v>
      </c>
      <c r="CQ636" t="s">
        <v>147</v>
      </c>
    </row>
    <row r="637" spans="1:95" x14ac:dyDescent="0.2">
      <c r="A637" t="s">
        <v>115</v>
      </c>
      <c r="B637" t="s">
        <v>116</v>
      </c>
      <c r="C637">
        <v>210784</v>
      </c>
      <c r="E637" t="s">
        <v>117</v>
      </c>
      <c r="F637">
        <v>368</v>
      </c>
      <c r="G637" t="s">
        <v>141</v>
      </c>
      <c r="H637" t="s">
        <v>142</v>
      </c>
      <c r="I637" t="s">
        <v>279</v>
      </c>
      <c r="J637" t="s">
        <v>280</v>
      </c>
      <c r="L637" t="s">
        <v>281</v>
      </c>
      <c r="M637" s="8">
        <v>45689</v>
      </c>
      <c r="N637">
        <v>5671712</v>
      </c>
      <c r="O637" t="s">
        <v>123</v>
      </c>
      <c r="P637" t="s">
        <v>146</v>
      </c>
      <c r="Q637">
        <v>6.69</v>
      </c>
      <c r="R637" t="s">
        <v>125</v>
      </c>
      <c r="S637" t="s">
        <v>126</v>
      </c>
      <c r="T637" t="s">
        <v>125</v>
      </c>
      <c r="U637" t="s">
        <v>126</v>
      </c>
      <c r="W637">
        <v>6.69</v>
      </c>
      <c r="Y637">
        <v>6.69</v>
      </c>
      <c r="AS637">
        <v>6.69</v>
      </c>
      <c r="BH637" t="s">
        <v>126</v>
      </c>
      <c r="BI637" t="s">
        <v>126</v>
      </c>
      <c r="BJ637" t="s">
        <v>126</v>
      </c>
      <c r="BK637" t="s">
        <v>126</v>
      </c>
      <c r="BS637" t="s">
        <v>126</v>
      </c>
      <c r="BT637" t="s">
        <v>126</v>
      </c>
      <c r="BU637" t="s">
        <v>126</v>
      </c>
      <c r="BV637" t="s">
        <v>126</v>
      </c>
      <c r="CN637" t="s">
        <v>147</v>
      </c>
      <c r="CP637" t="s">
        <v>278</v>
      </c>
      <c r="CQ637" t="s">
        <v>147</v>
      </c>
    </row>
    <row r="638" spans="1:95" x14ac:dyDescent="0.2">
      <c r="A638" t="s">
        <v>115</v>
      </c>
      <c r="B638" t="s">
        <v>116</v>
      </c>
      <c r="C638">
        <v>210784</v>
      </c>
      <c r="E638" t="s">
        <v>117</v>
      </c>
      <c r="F638">
        <v>368</v>
      </c>
      <c r="G638" t="s">
        <v>141</v>
      </c>
      <c r="H638" t="s">
        <v>142</v>
      </c>
      <c r="I638" t="s">
        <v>279</v>
      </c>
      <c r="J638" t="s">
        <v>280</v>
      </c>
      <c r="L638" t="s">
        <v>382</v>
      </c>
      <c r="M638" s="8">
        <v>45689</v>
      </c>
      <c r="N638">
        <v>5672977</v>
      </c>
      <c r="O638" t="s">
        <v>123</v>
      </c>
      <c r="P638" t="s">
        <v>146</v>
      </c>
      <c r="Q638">
        <v>4.17</v>
      </c>
      <c r="R638" t="s">
        <v>125</v>
      </c>
      <c r="S638" t="s">
        <v>126</v>
      </c>
      <c r="T638" t="s">
        <v>125</v>
      </c>
      <c r="U638" t="s">
        <v>126</v>
      </c>
      <c r="W638">
        <v>4.17</v>
      </c>
      <c r="Y638">
        <v>4.17</v>
      </c>
      <c r="AS638">
        <v>4.17</v>
      </c>
      <c r="BH638" t="s">
        <v>126</v>
      </c>
      <c r="BI638" t="s">
        <v>126</v>
      </c>
      <c r="BJ638" t="s">
        <v>126</v>
      </c>
      <c r="BK638" t="s">
        <v>126</v>
      </c>
      <c r="BS638" t="s">
        <v>126</v>
      </c>
      <c r="BT638" t="s">
        <v>126</v>
      </c>
      <c r="BU638" t="s">
        <v>126</v>
      </c>
      <c r="BV638" t="s">
        <v>126</v>
      </c>
      <c r="CN638" t="s">
        <v>147</v>
      </c>
      <c r="CP638" t="s">
        <v>383</v>
      </c>
      <c r="CQ638" t="s">
        <v>147</v>
      </c>
    </row>
    <row r="639" spans="1:95" x14ac:dyDescent="0.2">
      <c r="A639" t="s">
        <v>115</v>
      </c>
      <c r="B639" t="s">
        <v>116</v>
      </c>
      <c r="C639">
        <v>210784</v>
      </c>
      <c r="E639" t="s">
        <v>117</v>
      </c>
      <c r="F639">
        <v>368</v>
      </c>
      <c r="G639" t="s">
        <v>141</v>
      </c>
      <c r="H639" t="s">
        <v>142</v>
      </c>
      <c r="I639" t="s">
        <v>279</v>
      </c>
      <c r="J639" t="s">
        <v>280</v>
      </c>
      <c r="L639" t="s">
        <v>278</v>
      </c>
      <c r="M639" s="8">
        <v>45689</v>
      </c>
      <c r="N639">
        <v>5674197</v>
      </c>
      <c r="O639" t="s">
        <v>123</v>
      </c>
      <c r="P639" t="s">
        <v>146</v>
      </c>
      <c r="Q639">
        <v>2.3199999999999998</v>
      </c>
      <c r="R639" t="s">
        <v>125</v>
      </c>
      <c r="S639" t="s">
        <v>126</v>
      </c>
      <c r="T639" t="s">
        <v>125</v>
      </c>
      <c r="U639" t="s">
        <v>126</v>
      </c>
      <c r="W639">
        <v>2.3199999999999998</v>
      </c>
      <c r="Y639">
        <v>2.3199999999999998</v>
      </c>
      <c r="AS639">
        <v>2.3199999999999998</v>
      </c>
      <c r="BH639" t="s">
        <v>126</v>
      </c>
      <c r="BI639" t="s">
        <v>126</v>
      </c>
      <c r="BJ639" t="s">
        <v>126</v>
      </c>
      <c r="BK639" t="s">
        <v>126</v>
      </c>
      <c r="BS639" t="s">
        <v>126</v>
      </c>
      <c r="BT639" t="s">
        <v>126</v>
      </c>
      <c r="BU639" t="s">
        <v>126</v>
      </c>
      <c r="BV639" t="s">
        <v>126</v>
      </c>
      <c r="CN639" t="s">
        <v>147</v>
      </c>
      <c r="CP639" t="s">
        <v>383</v>
      </c>
      <c r="CQ639" t="s">
        <v>147</v>
      </c>
    </row>
    <row r="640" spans="1:95" x14ac:dyDescent="0.2">
      <c r="A640" t="s">
        <v>115</v>
      </c>
      <c r="B640" t="s">
        <v>116</v>
      </c>
      <c r="C640">
        <v>210784</v>
      </c>
      <c r="E640" t="s">
        <v>117</v>
      </c>
      <c r="F640">
        <v>368</v>
      </c>
      <c r="G640" t="s">
        <v>141</v>
      </c>
      <c r="H640" t="s">
        <v>142</v>
      </c>
      <c r="I640" t="s">
        <v>279</v>
      </c>
      <c r="J640" t="s">
        <v>280</v>
      </c>
      <c r="L640" t="s">
        <v>278</v>
      </c>
      <c r="M640" s="8">
        <v>45689</v>
      </c>
      <c r="N640">
        <v>5673892</v>
      </c>
      <c r="O640" t="s">
        <v>123</v>
      </c>
      <c r="P640" t="s">
        <v>146</v>
      </c>
      <c r="Q640">
        <v>1.9</v>
      </c>
      <c r="R640" t="s">
        <v>125</v>
      </c>
      <c r="S640" t="s">
        <v>126</v>
      </c>
      <c r="T640" t="s">
        <v>125</v>
      </c>
      <c r="U640" t="s">
        <v>126</v>
      </c>
      <c r="W640">
        <v>1.9</v>
      </c>
      <c r="Y640">
        <v>1.9</v>
      </c>
      <c r="AS640">
        <v>1.9</v>
      </c>
      <c r="BH640" t="s">
        <v>126</v>
      </c>
      <c r="BI640" t="s">
        <v>126</v>
      </c>
      <c r="BJ640" t="s">
        <v>126</v>
      </c>
      <c r="BK640" t="s">
        <v>126</v>
      </c>
      <c r="BS640" t="s">
        <v>126</v>
      </c>
      <c r="BT640" t="s">
        <v>126</v>
      </c>
      <c r="BU640" t="s">
        <v>126</v>
      </c>
      <c r="BV640" t="s">
        <v>126</v>
      </c>
      <c r="CN640" t="s">
        <v>147</v>
      </c>
      <c r="CP640" t="s">
        <v>383</v>
      </c>
      <c r="CQ640" t="s">
        <v>147</v>
      </c>
    </row>
    <row r="641" spans="1:95" x14ac:dyDescent="0.2">
      <c r="A641" t="s">
        <v>115</v>
      </c>
      <c r="B641" t="s">
        <v>116</v>
      </c>
      <c r="C641">
        <v>210784</v>
      </c>
      <c r="E641" t="s">
        <v>117</v>
      </c>
      <c r="F641">
        <v>368</v>
      </c>
      <c r="G641" t="s">
        <v>141</v>
      </c>
      <c r="H641" t="s">
        <v>142</v>
      </c>
      <c r="I641" t="s">
        <v>279</v>
      </c>
      <c r="J641" t="s">
        <v>280</v>
      </c>
      <c r="L641" t="s">
        <v>278</v>
      </c>
      <c r="M641" s="8">
        <v>45689</v>
      </c>
      <c r="N641">
        <v>5673669</v>
      </c>
      <c r="O641" t="s">
        <v>123</v>
      </c>
      <c r="P641" t="s">
        <v>146</v>
      </c>
      <c r="Q641">
        <v>5.19</v>
      </c>
      <c r="R641" t="s">
        <v>125</v>
      </c>
      <c r="S641" t="s">
        <v>126</v>
      </c>
      <c r="T641" t="s">
        <v>125</v>
      </c>
      <c r="U641" t="s">
        <v>126</v>
      </c>
      <c r="W641">
        <v>5.19</v>
      </c>
      <c r="Y641">
        <v>5.19</v>
      </c>
      <c r="AS641">
        <v>5.19</v>
      </c>
      <c r="BH641" t="s">
        <v>126</v>
      </c>
      <c r="BI641" t="s">
        <v>126</v>
      </c>
      <c r="BJ641" t="s">
        <v>126</v>
      </c>
      <c r="BK641" t="s">
        <v>126</v>
      </c>
      <c r="BS641" t="s">
        <v>126</v>
      </c>
      <c r="BT641" t="s">
        <v>126</v>
      </c>
      <c r="BU641" t="s">
        <v>126</v>
      </c>
      <c r="BV641" t="s">
        <v>126</v>
      </c>
      <c r="CN641" t="s">
        <v>147</v>
      </c>
      <c r="CP641" t="s">
        <v>383</v>
      </c>
      <c r="CQ641" t="s">
        <v>147</v>
      </c>
    </row>
    <row r="642" spans="1:95" x14ac:dyDescent="0.2">
      <c r="A642" t="s">
        <v>115</v>
      </c>
      <c r="B642" t="s">
        <v>116</v>
      </c>
      <c r="C642">
        <v>210784</v>
      </c>
      <c r="E642" t="s">
        <v>117</v>
      </c>
      <c r="F642">
        <v>368</v>
      </c>
      <c r="G642" t="s">
        <v>141</v>
      </c>
      <c r="H642" t="s">
        <v>142</v>
      </c>
      <c r="I642" t="s">
        <v>279</v>
      </c>
      <c r="J642" t="s">
        <v>280</v>
      </c>
      <c r="L642" t="s">
        <v>277</v>
      </c>
      <c r="M642" s="8">
        <v>45689</v>
      </c>
      <c r="N642">
        <v>5659887</v>
      </c>
      <c r="O642" t="s">
        <v>123</v>
      </c>
      <c r="P642" t="s">
        <v>146</v>
      </c>
      <c r="Q642">
        <v>3.51</v>
      </c>
      <c r="R642" t="s">
        <v>569</v>
      </c>
      <c r="S642" t="s">
        <v>126</v>
      </c>
      <c r="T642" t="s">
        <v>569</v>
      </c>
      <c r="U642" t="s">
        <v>570</v>
      </c>
      <c r="W642">
        <v>1.08</v>
      </c>
      <c r="X642">
        <v>2.4300000000000002</v>
      </c>
      <c r="Y642">
        <v>3.51</v>
      </c>
      <c r="Z642">
        <v>1.34</v>
      </c>
      <c r="AG642">
        <v>1.08</v>
      </c>
      <c r="AI642">
        <v>1.0900000000000001</v>
      </c>
      <c r="BH642" t="s">
        <v>126</v>
      </c>
      <c r="BI642" t="s">
        <v>126</v>
      </c>
      <c r="BJ642" t="s">
        <v>126</v>
      </c>
      <c r="BK642" t="s">
        <v>126</v>
      </c>
      <c r="BS642" t="s">
        <v>126</v>
      </c>
      <c r="BT642" t="s">
        <v>126</v>
      </c>
      <c r="BU642" t="s">
        <v>126</v>
      </c>
      <c r="BV642" t="s">
        <v>126</v>
      </c>
      <c r="CN642" t="s">
        <v>147</v>
      </c>
      <c r="CP642" t="s">
        <v>278</v>
      </c>
      <c r="CQ642" t="s">
        <v>147</v>
      </c>
    </row>
    <row r="643" spans="1:95" x14ac:dyDescent="0.2">
      <c r="A643" t="s">
        <v>115</v>
      </c>
      <c r="B643" t="s">
        <v>116</v>
      </c>
      <c r="C643">
        <v>210784</v>
      </c>
      <c r="E643" t="s">
        <v>117</v>
      </c>
      <c r="F643">
        <v>368</v>
      </c>
      <c r="G643" t="s">
        <v>141</v>
      </c>
      <c r="H643" t="s">
        <v>142</v>
      </c>
      <c r="I643" t="s">
        <v>279</v>
      </c>
      <c r="J643" t="s">
        <v>280</v>
      </c>
      <c r="L643" t="s">
        <v>676</v>
      </c>
      <c r="M643" s="8">
        <v>45689</v>
      </c>
      <c r="N643">
        <v>5662397</v>
      </c>
      <c r="O643" t="s">
        <v>123</v>
      </c>
      <c r="P643" t="s">
        <v>146</v>
      </c>
      <c r="Q643">
        <v>2.75</v>
      </c>
      <c r="R643" t="s">
        <v>644</v>
      </c>
      <c r="S643" t="s">
        <v>126</v>
      </c>
      <c r="T643" t="s">
        <v>644</v>
      </c>
      <c r="U643" t="s">
        <v>645</v>
      </c>
      <c r="W643">
        <v>0.85</v>
      </c>
      <c r="X643">
        <v>1.9</v>
      </c>
      <c r="Y643">
        <v>2.75</v>
      </c>
      <c r="Z643">
        <v>1.04</v>
      </c>
      <c r="AG643">
        <v>0.85</v>
      </c>
      <c r="AI643">
        <v>0.86</v>
      </c>
      <c r="BH643" t="s">
        <v>126</v>
      </c>
      <c r="BI643" t="s">
        <v>126</v>
      </c>
      <c r="BJ643" t="s">
        <v>126</v>
      </c>
      <c r="BK643" t="s">
        <v>126</v>
      </c>
      <c r="BS643" t="s">
        <v>126</v>
      </c>
      <c r="BT643" t="s">
        <v>126</v>
      </c>
      <c r="BU643" t="s">
        <v>126</v>
      </c>
      <c r="BV643" t="s">
        <v>126</v>
      </c>
      <c r="CN643" t="s">
        <v>147</v>
      </c>
      <c r="CP643" t="s">
        <v>278</v>
      </c>
      <c r="CQ643" t="s">
        <v>147</v>
      </c>
    </row>
    <row r="644" spans="1:95" x14ac:dyDescent="0.2">
      <c r="A644" t="s">
        <v>115</v>
      </c>
      <c r="B644" t="s">
        <v>116</v>
      </c>
      <c r="C644">
        <v>210784</v>
      </c>
      <c r="E644" t="s">
        <v>117</v>
      </c>
      <c r="F644">
        <v>368</v>
      </c>
      <c r="G644" t="s">
        <v>141</v>
      </c>
      <c r="H644" t="s">
        <v>142</v>
      </c>
      <c r="I644" t="s">
        <v>279</v>
      </c>
      <c r="J644" t="s">
        <v>280</v>
      </c>
      <c r="L644" t="s">
        <v>379</v>
      </c>
      <c r="M644" s="8">
        <v>45689</v>
      </c>
      <c r="N644">
        <v>5668425</v>
      </c>
      <c r="O644" t="s">
        <v>123</v>
      </c>
      <c r="P644" t="s">
        <v>146</v>
      </c>
      <c r="Q644">
        <v>1.45</v>
      </c>
      <c r="R644" t="s">
        <v>620</v>
      </c>
      <c r="S644" t="s">
        <v>126</v>
      </c>
      <c r="T644" t="s">
        <v>620</v>
      </c>
      <c r="U644" t="s">
        <v>621</v>
      </c>
      <c r="W644">
        <v>0.45</v>
      </c>
      <c r="X644">
        <v>1</v>
      </c>
      <c r="Y644">
        <v>1.45</v>
      </c>
      <c r="Z644">
        <v>0.55000000000000004</v>
      </c>
      <c r="AG644">
        <v>0.45</v>
      </c>
      <c r="AI644">
        <v>0.45</v>
      </c>
      <c r="BH644" t="s">
        <v>126</v>
      </c>
      <c r="BI644" t="s">
        <v>126</v>
      </c>
      <c r="BJ644" t="s">
        <v>126</v>
      </c>
      <c r="BK644" t="s">
        <v>126</v>
      </c>
      <c r="BS644" t="s">
        <v>126</v>
      </c>
      <c r="BT644" t="s">
        <v>126</v>
      </c>
      <c r="BU644" t="s">
        <v>126</v>
      </c>
      <c r="BV644" t="s">
        <v>126</v>
      </c>
      <c r="CN644" t="s">
        <v>147</v>
      </c>
      <c r="CP644" t="s">
        <v>278</v>
      </c>
      <c r="CQ644" t="s">
        <v>147</v>
      </c>
    </row>
    <row r="645" spans="1:95" x14ac:dyDescent="0.2">
      <c r="A645" t="s">
        <v>115</v>
      </c>
      <c r="B645" t="s">
        <v>116</v>
      </c>
      <c r="C645">
        <v>210784</v>
      </c>
      <c r="E645" t="s">
        <v>117</v>
      </c>
      <c r="F645">
        <v>368</v>
      </c>
      <c r="G645" t="s">
        <v>141</v>
      </c>
      <c r="H645" t="s">
        <v>142</v>
      </c>
      <c r="I645" t="s">
        <v>279</v>
      </c>
      <c r="J645" t="s">
        <v>280</v>
      </c>
      <c r="L645" t="s">
        <v>277</v>
      </c>
      <c r="M645" s="8">
        <v>45689</v>
      </c>
      <c r="N645">
        <v>5659469</v>
      </c>
      <c r="O645" t="s">
        <v>123</v>
      </c>
      <c r="P645" t="s">
        <v>146</v>
      </c>
      <c r="Q645">
        <v>1.19</v>
      </c>
      <c r="R645" t="s">
        <v>125</v>
      </c>
      <c r="S645" t="s">
        <v>126</v>
      </c>
      <c r="T645" t="s">
        <v>125</v>
      </c>
      <c r="U645" t="s">
        <v>126</v>
      </c>
      <c r="W645">
        <v>1.19</v>
      </c>
      <c r="Y645">
        <v>1.19</v>
      </c>
      <c r="BE645">
        <v>1.19</v>
      </c>
      <c r="BH645" t="s">
        <v>126</v>
      </c>
      <c r="BI645" t="s">
        <v>126</v>
      </c>
      <c r="BJ645" t="s">
        <v>126</v>
      </c>
      <c r="BK645" t="s">
        <v>126</v>
      </c>
      <c r="BS645" t="s">
        <v>126</v>
      </c>
      <c r="BT645" t="s">
        <v>126</v>
      </c>
      <c r="BU645" t="s">
        <v>126</v>
      </c>
      <c r="BV645" t="s">
        <v>126</v>
      </c>
      <c r="CN645" t="s">
        <v>147</v>
      </c>
      <c r="CP645" t="s">
        <v>278</v>
      </c>
      <c r="CQ645" t="s">
        <v>147</v>
      </c>
    </row>
    <row r="646" spans="1:95" x14ac:dyDescent="0.2">
      <c r="A646" t="s">
        <v>115</v>
      </c>
      <c r="B646" t="s">
        <v>116</v>
      </c>
      <c r="C646">
        <v>210784</v>
      </c>
      <c r="E646" t="s">
        <v>117</v>
      </c>
      <c r="F646">
        <v>368</v>
      </c>
      <c r="G646" t="s">
        <v>141</v>
      </c>
      <c r="H646" t="s">
        <v>142</v>
      </c>
      <c r="I646" t="s">
        <v>279</v>
      </c>
      <c r="J646" t="s">
        <v>280</v>
      </c>
      <c r="L646" t="s">
        <v>676</v>
      </c>
      <c r="M646" s="8">
        <v>45689</v>
      </c>
      <c r="N646">
        <v>5661500</v>
      </c>
      <c r="O646" t="s">
        <v>123</v>
      </c>
      <c r="P646" t="s">
        <v>146</v>
      </c>
      <c r="Q646">
        <v>1.48</v>
      </c>
      <c r="R646" t="s">
        <v>125</v>
      </c>
      <c r="S646" t="s">
        <v>126</v>
      </c>
      <c r="T646" t="s">
        <v>125</v>
      </c>
      <c r="U646" t="s">
        <v>126</v>
      </c>
      <c r="W646">
        <v>1.48</v>
      </c>
      <c r="Y646">
        <v>1.48</v>
      </c>
      <c r="BE646">
        <v>1.48</v>
      </c>
      <c r="BH646" t="s">
        <v>126</v>
      </c>
      <c r="BI646" t="s">
        <v>126</v>
      </c>
      <c r="BJ646" t="s">
        <v>126</v>
      </c>
      <c r="BK646" t="s">
        <v>126</v>
      </c>
      <c r="BS646" t="s">
        <v>126</v>
      </c>
      <c r="BT646" t="s">
        <v>126</v>
      </c>
      <c r="BU646" t="s">
        <v>126</v>
      </c>
      <c r="BV646" t="s">
        <v>126</v>
      </c>
      <c r="CN646" t="s">
        <v>147</v>
      </c>
      <c r="CP646" t="s">
        <v>278</v>
      </c>
      <c r="CQ646" t="s">
        <v>147</v>
      </c>
    </row>
    <row r="647" spans="1:95" x14ac:dyDescent="0.2">
      <c r="A647" t="s">
        <v>115</v>
      </c>
      <c r="B647" t="s">
        <v>116</v>
      </c>
      <c r="C647">
        <v>210784</v>
      </c>
      <c r="E647" t="s">
        <v>117</v>
      </c>
      <c r="F647">
        <v>368</v>
      </c>
      <c r="G647" t="s">
        <v>141</v>
      </c>
      <c r="H647" t="s">
        <v>142</v>
      </c>
      <c r="I647" t="s">
        <v>279</v>
      </c>
      <c r="J647" t="s">
        <v>280</v>
      </c>
      <c r="L647" t="s">
        <v>376</v>
      </c>
      <c r="M647" s="8">
        <v>45689</v>
      </c>
      <c r="N647">
        <v>5665987</v>
      </c>
      <c r="O647" t="s">
        <v>123</v>
      </c>
      <c r="P647" t="s">
        <v>146</v>
      </c>
      <c r="Q647">
        <v>2.37</v>
      </c>
      <c r="R647" t="s">
        <v>125</v>
      </c>
      <c r="S647" t="s">
        <v>126</v>
      </c>
      <c r="T647" t="s">
        <v>125</v>
      </c>
      <c r="U647" t="s">
        <v>126</v>
      </c>
      <c r="W647">
        <v>2.37</v>
      </c>
      <c r="Y647">
        <v>2.37</v>
      </c>
      <c r="BE647">
        <v>2.37</v>
      </c>
      <c r="BH647" t="s">
        <v>126</v>
      </c>
      <c r="BI647" t="s">
        <v>126</v>
      </c>
      <c r="BJ647" t="s">
        <v>126</v>
      </c>
      <c r="BK647" t="s">
        <v>126</v>
      </c>
      <c r="BS647" t="s">
        <v>126</v>
      </c>
      <c r="BT647" t="s">
        <v>126</v>
      </c>
      <c r="BU647" t="s">
        <v>126</v>
      </c>
      <c r="BV647" t="s">
        <v>126</v>
      </c>
      <c r="CN647" t="s">
        <v>147</v>
      </c>
      <c r="CP647" t="s">
        <v>278</v>
      </c>
      <c r="CQ647" t="s">
        <v>147</v>
      </c>
    </row>
    <row r="648" spans="1:95" x14ac:dyDescent="0.2">
      <c r="A648" t="s">
        <v>115</v>
      </c>
      <c r="B648" t="s">
        <v>116</v>
      </c>
      <c r="C648">
        <v>210784</v>
      </c>
      <c r="E648" t="s">
        <v>117</v>
      </c>
      <c r="F648">
        <v>368</v>
      </c>
      <c r="G648" t="s">
        <v>141</v>
      </c>
      <c r="H648" t="s">
        <v>142</v>
      </c>
      <c r="I648" t="s">
        <v>279</v>
      </c>
      <c r="J648" t="s">
        <v>280</v>
      </c>
      <c r="L648" t="s">
        <v>377</v>
      </c>
      <c r="M648" s="8">
        <v>45689</v>
      </c>
      <c r="N648">
        <v>5666411</v>
      </c>
      <c r="O648" t="s">
        <v>123</v>
      </c>
      <c r="P648" t="s">
        <v>146</v>
      </c>
      <c r="Q648">
        <v>1.21</v>
      </c>
      <c r="R648" t="s">
        <v>125</v>
      </c>
      <c r="S648" t="s">
        <v>126</v>
      </c>
      <c r="T648" t="s">
        <v>125</v>
      </c>
      <c r="U648" t="s">
        <v>126</v>
      </c>
      <c r="W648">
        <v>1.21</v>
      </c>
      <c r="Y648">
        <v>1.21</v>
      </c>
      <c r="BE648">
        <v>1.21</v>
      </c>
      <c r="BH648" t="s">
        <v>126</v>
      </c>
      <c r="BI648" t="s">
        <v>126</v>
      </c>
      <c r="BJ648" t="s">
        <v>126</v>
      </c>
      <c r="BK648" t="s">
        <v>126</v>
      </c>
      <c r="BS648" t="s">
        <v>126</v>
      </c>
      <c r="BT648" t="s">
        <v>126</v>
      </c>
      <c r="BU648" t="s">
        <v>126</v>
      </c>
      <c r="BV648" t="s">
        <v>126</v>
      </c>
      <c r="CN648" t="s">
        <v>147</v>
      </c>
      <c r="CP648" t="s">
        <v>278</v>
      </c>
      <c r="CQ648" t="s">
        <v>147</v>
      </c>
    </row>
    <row r="649" spans="1:95" x14ac:dyDescent="0.2">
      <c r="A649" t="s">
        <v>115</v>
      </c>
      <c r="B649" t="s">
        <v>116</v>
      </c>
      <c r="C649">
        <v>210784</v>
      </c>
      <c r="E649" t="s">
        <v>117</v>
      </c>
      <c r="F649">
        <v>368</v>
      </c>
      <c r="G649" t="s">
        <v>141</v>
      </c>
      <c r="H649" t="s">
        <v>142</v>
      </c>
      <c r="I649" t="s">
        <v>279</v>
      </c>
      <c r="J649" t="s">
        <v>280</v>
      </c>
      <c r="L649" t="s">
        <v>885</v>
      </c>
      <c r="M649" s="8">
        <v>45689</v>
      </c>
      <c r="N649">
        <v>5668604</v>
      </c>
      <c r="O649" t="s">
        <v>123</v>
      </c>
      <c r="P649" t="s">
        <v>146</v>
      </c>
      <c r="Q649">
        <v>1.47</v>
      </c>
      <c r="R649" t="s">
        <v>125</v>
      </c>
      <c r="S649" t="s">
        <v>126</v>
      </c>
      <c r="T649" t="s">
        <v>125</v>
      </c>
      <c r="U649" t="s">
        <v>126</v>
      </c>
      <c r="W649">
        <v>1.47</v>
      </c>
      <c r="Y649">
        <v>1.47</v>
      </c>
      <c r="BE649">
        <v>1.47</v>
      </c>
      <c r="BH649" t="s">
        <v>126</v>
      </c>
      <c r="BI649" t="s">
        <v>126</v>
      </c>
      <c r="BJ649" t="s">
        <v>126</v>
      </c>
      <c r="BK649" t="s">
        <v>126</v>
      </c>
      <c r="BS649" t="s">
        <v>126</v>
      </c>
      <c r="BT649" t="s">
        <v>126</v>
      </c>
      <c r="BU649" t="s">
        <v>126</v>
      </c>
      <c r="BV649" t="s">
        <v>126</v>
      </c>
      <c r="CN649" t="s">
        <v>147</v>
      </c>
      <c r="CP649" t="s">
        <v>278</v>
      </c>
      <c r="CQ649" t="s">
        <v>147</v>
      </c>
    </row>
    <row r="650" spans="1:95" x14ac:dyDescent="0.2">
      <c r="A650" t="s">
        <v>115</v>
      </c>
      <c r="B650" t="s">
        <v>116</v>
      </c>
      <c r="C650">
        <v>210784</v>
      </c>
      <c r="E650" t="s">
        <v>117</v>
      </c>
      <c r="F650">
        <v>368</v>
      </c>
      <c r="G650" t="s">
        <v>141</v>
      </c>
      <c r="H650" t="s">
        <v>142</v>
      </c>
      <c r="I650" t="s">
        <v>279</v>
      </c>
      <c r="J650" t="s">
        <v>280</v>
      </c>
      <c r="L650" t="s">
        <v>281</v>
      </c>
      <c r="M650" s="8">
        <v>45689</v>
      </c>
      <c r="N650">
        <v>5671753</v>
      </c>
      <c r="O650" t="s">
        <v>123</v>
      </c>
      <c r="P650" t="s">
        <v>146</v>
      </c>
      <c r="Q650">
        <v>1.81</v>
      </c>
      <c r="R650" t="s">
        <v>125</v>
      </c>
      <c r="S650" t="s">
        <v>126</v>
      </c>
      <c r="T650" t="s">
        <v>125</v>
      </c>
      <c r="U650" t="s">
        <v>126</v>
      </c>
      <c r="W650">
        <v>1.81</v>
      </c>
      <c r="Y650">
        <v>1.81</v>
      </c>
      <c r="BE650">
        <v>1.81</v>
      </c>
      <c r="BH650" t="s">
        <v>126</v>
      </c>
      <c r="BI650" t="s">
        <v>126</v>
      </c>
      <c r="BJ650" t="s">
        <v>126</v>
      </c>
      <c r="BK650" t="s">
        <v>126</v>
      </c>
      <c r="BS650" t="s">
        <v>126</v>
      </c>
      <c r="BT650" t="s">
        <v>126</v>
      </c>
      <c r="BU650" t="s">
        <v>126</v>
      </c>
      <c r="BV650" t="s">
        <v>126</v>
      </c>
      <c r="CN650" t="s">
        <v>147</v>
      </c>
      <c r="CP650" t="s">
        <v>278</v>
      </c>
      <c r="CQ650" t="s">
        <v>147</v>
      </c>
    </row>
    <row r="651" spans="1:95" x14ac:dyDescent="0.2">
      <c r="A651" t="s">
        <v>115</v>
      </c>
      <c r="B651" t="s">
        <v>116</v>
      </c>
      <c r="C651">
        <v>210784</v>
      </c>
      <c r="E651" t="s">
        <v>117</v>
      </c>
      <c r="F651">
        <v>368</v>
      </c>
      <c r="G651" t="s">
        <v>141</v>
      </c>
      <c r="H651" t="s">
        <v>142</v>
      </c>
      <c r="I651" t="s">
        <v>279</v>
      </c>
      <c r="J651" t="s">
        <v>280</v>
      </c>
      <c r="L651" t="s">
        <v>278</v>
      </c>
      <c r="M651" s="8">
        <v>45689</v>
      </c>
      <c r="N651">
        <v>5673582</v>
      </c>
      <c r="O651" t="s">
        <v>123</v>
      </c>
      <c r="P651" t="s">
        <v>146</v>
      </c>
      <c r="Q651">
        <v>2.1800000000000002</v>
      </c>
      <c r="R651" t="s">
        <v>125</v>
      </c>
      <c r="S651" t="s">
        <v>126</v>
      </c>
      <c r="T651" t="s">
        <v>125</v>
      </c>
      <c r="U651" t="s">
        <v>126</v>
      </c>
      <c r="W651">
        <v>2.1800000000000002</v>
      </c>
      <c r="Y651">
        <v>2.1800000000000002</v>
      </c>
      <c r="BE651">
        <v>2.1800000000000002</v>
      </c>
      <c r="BH651" t="s">
        <v>126</v>
      </c>
      <c r="BI651" t="s">
        <v>126</v>
      </c>
      <c r="BJ651" t="s">
        <v>126</v>
      </c>
      <c r="BK651" t="s">
        <v>126</v>
      </c>
      <c r="BS651" t="s">
        <v>126</v>
      </c>
      <c r="BT651" t="s">
        <v>126</v>
      </c>
      <c r="BU651" t="s">
        <v>126</v>
      </c>
      <c r="BV651" t="s">
        <v>126</v>
      </c>
      <c r="CN651" t="s">
        <v>147</v>
      </c>
      <c r="CP651" t="s">
        <v>383</v>
      </c>
      <c r="CQ651" t="s">
        <v>147</v>
      </c>
    </row>
    <row r="652" spans="1:95" x14ac:dyDescent="0.2">
      <c r="A652" t="s">
        <v>115</v>
      </c>
      <c r="B652" t="s">
        <v>116</v>
      </c>
      <c r="C652">
        <v>210784</v>
      </c>
      <c r="E652" t="s">
        <v>117</v>
      </c>
      <c r="F652">
        <v>368</v>
      </c>
      <c r="G652" t="s">
        <v>141</v>
      </c>
      <c r="H652" t="s">
        <v>142</v>
      </c>
      <c r="I652" t="s">
        <v>279</v>
      </c>
      <c r="J652" t="s">
        <v>280</v>
      </c>
      <c r="L652" t="s">
        <v>886</v>
      </c>
      <c r="M652" s="8">
        <v>45689</v>
      </c>
      <c r="N652">
        <v>5674686</v>
      </c>
      <c r="O652" t="s">
        <v>123</v>
      </c>
      <c r="P652" t="s">
        <v>146</v>
      </c>
      <c r="Q652">
        <v>2.64</v>
      </c>
      <c r="R652" t="s">
        <v>125</v>
      </c>
      <c r="S652" t="s">
        <v>126</v>
      </c>
      <c r="T652" t="s">
        <v>125</v>
      </c>
      <c r="U652" t="s">
        <v>126</v>
      </c>
      <c r="W652">
        <v>2.64</v>
      </c>
      <c r="Y652">
        <v>2.64</v>
      </c>
      <c r="BE652">
        <v>2.64</v>
      </c>
      <c r="BH652" t="s">
        <v>126</v>
      </c>
      <c r="BI652" t="s">
        <v>126</v>
      </c>
      <c r="BJ652" t="s">
        <v>126</v>
      </c>
      <c r="BK652" t="s">
        <v>126</v>
      </c>
      <c r="BS652" t="s">
        <v>126</v>
      </c>
      <c r="BT652" t="s">
        <v>126</v>
      </c>
      <c r="BU652" t="s">
        <v>126</v>
      </c>
      <c r="BV652" t="s">
        <v>126</v>
      </c>
      <c r="CN652" t="s">
        <v>147</v>
      </c>
      <c r="CP652" t="s">
        <v>383</v>
      </c>
      <c r="CQ652" t="s">
        <v>147</v>
      </c>
    </row>
    <row r="653" spans="1:95" x14ac:dyDescent="0.2">
      <c r="A653" t="s">
        <v>115</v>
      </c>
      <c r="B653" t="s">
        <v>116</v>
      </c>
      <c r="C653">
        <v>210784</v>
      </c>
      <c r="E653" t="s">
        <v>117</v>
      </c>
      <c r="F653">
        <v>368</v>
      </c>
      <c r="G653" t="s">
        <v>141</v>
      </c>
      <c r="H653" t="s">
        <v>142</v>
      </c>
      <c r="I653" t="s">
        <v>279</v>
      </c>
      <c r="J653" t="s">
        <v>280</v>
      </c>
      <c r="L653" t="s">
        <v>384</v>
      </c>
      <c r="M653" s="8">
        <v>45717</v>
      </c>
      <c r="N653">
        <v>5676176</v>
      </c>
      <c r="O653" t="s">
        <v>123</v>
      </c>
      <c r="P653" t="s">
        <v>146</v>
      </c>
      <c r="Q653">
        <v>2.21</v>
      </c>
      <c r="R653" t="s">
        <v>125</v>
      </c>
      <c r="S653" t="s">
        <v>126</v>
      </c>
      <c r="T653" t="s">
        <v>125</v>
      </c>
      <c r="U653" t="s">
        <v>126</v>
      </c>
      <c r="W653">
        <v>2.21</v>
      </c>
      <c r="Y653">
        <v>2.21</v>
      </c>
      <c r="AS653">
        <v>2.21</v>
      </c>
      <c r="BH653" t="s">
        <v>126</v>
      </c>
      <c r="BI653" t="s">
        <v>126</v>
      </c>
      <c r="BJ653" t="s">
        <v>126</v>
      </c>
      <c r="BK653" t="s">
        <v>126</v>
      </c>
      <c r="BS653" t="s">
        <v>126</v>
      </c>
      <c r="BT653" t="s">
        <v>126</v>
      </c>
      <c r="BU653" t="s">
        <v>126</v>
      </c>
      <c r="BV653" t="s">
        <v>126</v>
      </c>
      <c r="CN653" t="s">
        <v>147</v>
      </c>
      <c r="CP653" t="s">
        <v>383</v>
      </c>
      <c r="CQ653" t="s">
        <v>147</v>
      </c>
    </row>
    <row r="654" spans="1:95" x14ac:dyDescent="0.2">
      <c r="A654" t="s">
        <v>115</v>
      </c>
      <c r="B654" t="s">
        <v>116</v>
      </c>
      <c r="C654">
        <v>210784</v>
      </c>
      <c r="E654" t="s">
        <v>117</v>
      </c>
      <c r="F654">
        <v>368</v>
      </c>
      <c r="G654" t="s">
        <v>141</v>
      </c>
      <c r="H654" t="s">
        <v>142</v>
      </c>
      <c r="I654" t="s">
        <v>279</v>
      </c>
      <c r="J654" t="s">
        <v>280</v>
      </c>
      <c r="L654" t="s">
        <v>385</v>
      </c>
      <c r="M654" s="8">
        <v>45717</v>
      </c>
      <c r="N654">
        <v>5675697</v>
      </c>
      <c r="O654" t="s">
        <v>123</v>
      </c>
      <c r="P654" t="s">
        <v>146</v>
      </c>
      <c r="Q654">
        <v>8.11</v>
      </c>
      <c r="R654" t="s">
        <v>125</v>
      </c>
      <c r="S654" t="s">
        <v>126</v>
      </c>
      <c r="T654" t="s">
        <v>125</v>
      </c>
      <c r="U654" t="s">
        <v>126</v>
      </c>
      <c r="W654">
        <v>8.11</v>
      </c>
      <c r="Y654">
        <v>8.11</v>
      </c>
      <c r="AS654">
        <v>8.11</v>
      </c>
      <c r="BH654" t="s">
        <v>126</v>
      </c>
      <c r="BI654" t="s">
        <v>126</v>
      </c>
      <c r="BJ654" t="s">
        <v>126</v>
      </c>
      <c r="BK654" t="s">
        <v>126</v>
      </c>
      <c r="BS654" t="s">
        <v>126</v>
      </c>
      <c r="BT654" t="s">
        <v>126</v>
      </c>
      <c r="BU654" t="s">
        <v>126</v>
      </c>
      <c r="BV654" t="s">
        <v>126</v>
      </c>
      <c r="CN654" t="s">
        <v>147</v>
      </c>
      <c r="CP654" t="s">
        <v>383</v>
      </c>
      <c r="CQ654" t="s">
        <v>147</v>
      </c>
    </row>
    <row r="655" spans="1:95" x14ac:dyDescent="0.2">
      <c r="A655" t="s">
        <v>115</v>
      </c>
      <c r="B655" t="s">
        <v>116</v>
      </c>
      <c r="C655">
        <v>210784</v>
      </c>
      <c r="E655" t="s">
        <v>117</v>
      </c>
      <c r="F655">
        <v>368</v>
      </c>
      <c r="G655" t="s">
        <v>141</v>
      </c>
      <c r="H655" t="s">
        <v>142</v>
      </c>
      <c r="I655" t="s">
        <v>279</v>
      </c>
      <c r="J655" t="s">
        <v>280</v>
      </c>
      <c r="L655" t="s">
        <v>384</v>
      </c>
      <c r="M655" s="8">
        <v>45717</v>
      </c>
      <c r="N655">
        <v>5676759</v>
      </c>
      <c r="O655" t="s">
        <v>123</v>
      </c>
      <c r="P655" t="s">
        <v>146</v>
      </c>
      <c r="Q655">
        <v>5.09</v>
      </c>
      <c r="R655" t="s">
        <v>125</v>
      </c>
      <c r="S655" t="s">
        <v>126</v>
      </c>
      <c r="T655" t="s">
        <v>125</v>
      </c>
      <c r="U655" t="s">
        <v>126</v>
      </c>
      <c r="W655">
        <v>5.09</v>
      </c>
      <c r="Y655">
        <v>5.09</v>
      </c>
      <c r="AS655">
        <v>5.09</v>
      </c>
      <c r="BH655" t="s">
        <v>126</v>
      </c>
      <c r="BI655" t="s">
        <v>126</v>
      </c>
      <c r="BJ655" t="s">
        <v>126</v>
      </c>
      <c r="BK655" t="s">
        <v>126</v>
      </c>
      <c r="BS655" t="s">
        <v>126</v>
      </c>
      <c r="BT655" t="s">
        <v>126</v>
      </c>
      <c r="BU655" t="s">
        <v>126</v>
      </c>
      <c r="BV655" t="s">
        <v>126</v>
      </c>
      <c r="CN655" t="s">
        <v>147</v>
      </c>
      <c r="CP655" t="s">
        <v>383</v>
      </c>
      <c r="CQ655" t="s">
        <v>147</v>
      </c>
    </row>
    <row r="656" spans="1:95" x14ac:dyDescent="0.2">
      <c r="A656" t="s">
        <v>115</v>
      </c>
      <c r="B656" t="s">
        <v>116</v>
      </c>
      <c r="C656">
        <v>210784</v>
      </c>
      <c r="E656" t="s">
        <v>117</v>
      </c>
      <c r="F656">
        <v>368</v>
      </c>
      <c r="G656" t="s">
        <v>141</v>
      </c>
      <c r="H656" t="s">
        <v>142</v>
      </c>
      <c r="I656" t="s">
        <v>279</v>
      </c>
      <c r="J656" t="s">
        <v>280</v>
      </c>
      <c r="L656" t="s">
        <v>386</v>
      </c>
      <c r="M656" s="8">
        <v>45717</v>
      </c>
      <c r="N656">
        <v>5677964</v>
      </c>
      <c r="O656" t="s">
        <v>123</v>
      </c>
      <c r="P656" t="s">
        <v>146</v>
      </c>
      <c r="Q656">
        <v>2.58</v>
      </c>
      <c r="R656" t="s">
        <v>125</v>
      </c>
      <c r="S656" t="s">
        <v>126</v>
      </c>
      <c r="T656" t="s">
        <v>125</v>
      </c>
      <c r="U656" t="s">
        <v>126</v>
      </c>
      <c r="W656">
        <v>2.58</v>
      </c>
      <c r="Y656">
        <v>2.58</v>
      </c>
      <c r="AS656">
        <v>2.58</v>
      </c>
      <c r="BH656" t="s">
        <v>126</v>
      </c>
      <c r="BI656" t="s">
        <v>126</v>
      </c>
      <c r="BJ656" t="s">
        <v>126</v>
      </c>
      <c r="BK656" t="s">
        <v>126</v>
      </c>
      <c r="BS656" t="s">
        <v>126</v>
      </c>
      <c r="BT656" t="s">
        <v>126</v>
      </c>
      <c r="BU656" t="s">
        <v>126</v>
      </c>
      <c r="BV656" t="s">
        <v>126</v>
      </c>
      <c r="CN656" t="s">
        <v>147</v>
      </c>
      <c r="CP656" t="s">
        <v>383</v>
      </c>
      <c r="CQ656" t="s">
        <v>147</v>
      </c>
    </row>
    <row r="657" spans="1:95" x14ac:dyDescent="0.2">
      <c r="A657" t="s">
        <v>115</v>
      </c>
      <c r="B657" t="s">
        <v>116</v>
      </c>
      <c r="C657">
        <v>210784</v>
      </c>
      <c r="E657" t="s">
        <v>117</v>
      </c>
      <c r="F657">
        <v>368</v>
      </c>
      <c r="G657" t="s">
        <v>141</v>
      </c>
      <c r="H657" t="s">
        <v>142</v>
      </c>
      <c r="I657" t="s">
        <v>279</v>
      </c>
      <c r="J657" t="s">
        <v>280</v>
      </c>
      <c r="L657" t="s">
        <v>386</v>
      </c>
      <c r="M657" s="8">
        <v>45717</v>
      </c>
      <c r="N657">
        <v>5678202</v>
      </c>
      <c r="O657" t="s">
        <v>123</v>
      </c>
      <c r="P657" t="s">
        <v>146</v>
      </c>
      <c r="Q657">
        <v>5.41</v>
      </c>
      <c r="R657" t="s">
        <v>125</v>
      </c>
      <c r="S657" t="s">
        <v>126</v>
      </c>
      <c r="T657" t="s">
        <v>125</v>
      </c>
      <c r="U657" t="s">
        <v>126</v>
      </c>
      <c r="W657">
        <v>5.41</v>
      </c>
      <c r="Y657">
        <v>5.41</v>
      </c>
      <c r="AS657">
        <v>5.41</v>
      </c>
      <c r="BH657" t="s">
        <v>126</v>
      </c>
      <c r="BI657" t="s">
        <v>126</v>
      </c>
      <c r="BJ657" t="s">
        <v>126</v>
      </c>
      <c r="BK657" t="s">
        <v>126</v>
      </c>
      <c r="BS657" t="s">
        <v>126</v>
      </c>
      <c r="BT657" t="s">
        <v>126</v>
      </c>
      <c r="BU657" t="s">
        <v>126</v>
      </c>
      <c r="BV657" t="s">
        <v>126</v>
      </c>
      <c r="CN657" t="s">
        <v>147</v>
      </c>
      <c r="CP657" t="s">
        <v>383</v>
      </c>
      <c r="CQ657" t="s">
        <v>147</v>
      </c>
    </row>
    <row r="658" spans="1:95" x14ac:dyDescent="0.2">
      <c r="A658" t="s">
        <v>115</v>
      </c>
      <c r="B658" t="s">
        <v>116</v>
      </c>
      <c r="C658">
        <v>210784</v>
      </c>
      <c r="E658" t="s">
        <v>117</v>
      </c>
      <c r="F658">
        <v>368</v>
      </c>
      <c r="G658" t="s">
        <v>141</v>
      </c>
      <c r="H658" t="s">
        <v>142</v>
      </c>
      <c r="I658" t="s">
        <v>279</v>
      </c>
      <c r="J658" t="s">
        <v>280</v>
      </c>
      <c r="L658" t="s">
        <v>387</v>
      </c>
      <c r="M658" s="8">
        <v>45717</v>
      </c>
      <c r="N658">
        <v>5679062</v>
      </c>
      <c r="O658" t="s">
        <v>123</v>
      </c>
      <c r="P658" t="s">
        <v>146</v>
      </c>
      <c r="Q658">
        <v>5.0199999999999996</v>
      </c>
      <c r="R658" t="s">
        <v>125</v>
      </c>
      <c r="S658" t="s">
        <v>126</v>
      </c>
      <c r="T658" t="s">
        <v>125</v>
      </c>
      <c r="U658" t="s">
        <v>126</v>
      </c>
      <c r="W658">
        <v>5.0199999999999996</v>
      </c>
      <c r="Y658">
        <v>5.0199999999999996</v>
      </c>
      <c r="AS658">
        <v>5.0199999999999996</v>
      </c>
      <c r="BH658" t="s">
        <v>126</v>
      </c>
      <c r="BI658" t="s">
        <v>126</v>
      </c>
      <c r="BJ658" t="s">
        <v>126</v>
      </c>
      <c r="BK658" t="s">
        <v>126</v>
      </c>
      <c r="BS658" t="s">
        <v>126</v>
      </c>
      <c r="BT658" t="s">
        <v>126</v>
      </c>
      <c r="BU658" t="s">
        <v>126</v>
      </c>
      <c r="BV658" t="s">
        <v>126</v>
      </c>
      <c r="CN658" t="s">
        <v>147</v>
      </c>
      <c r="CP658" t="s">
        <v>383</v>
      </c>
      <c r="CQ658" t="s">
        <v>147</v>
      </c>
    </row>
    <row r="659" spans="1:95" x14ac:dyDescent="0.2">
      <c r="A659" t="s">
        <v>115</v>
      </c>
      <c r="B659" t="s">
        <v>116</v>
      </c>
      <c r="C659">
        <v>210784</v>
      </c>
      <c r="E659" t="s">
        <v>117</v>
      </c>
      <c r="F659">
        <v>368</v>
      </c>
      <c r="G659" t="s">
        <v>141</v>
      </c>
      <c r="H659" t="s">
        <v>142</v>
      </c>
      <c r="I659" t="s">
        <v>279</v>
      </c>
      <c r="J659" t="s">
        <v>280</v>
      </c>
      <c r="L659" t="s">
        <v>388</v>
      </c>
      <c r="M659" s="8">
        <v>45717</v>
      </c>
      <c r="N659">
        <v>5679618</v>
      </c>
      <c r="O659" t="s">
        <v>123</v>
      </c>
      <c r="P659" t="s">
        <v>146</v>
      </c>
      <c r="Q659">
        <v>2.4</v>
      </c>
      <c r="R659" t="s">
        <v>125</v>
      </c>
      <c r="S659" t="s">
        <v>126</v>
      </c>
      <c r="T659" t="s">
        <v>125</v>
      </c>
      <c r="U659" t="s">
        <v>126</v>
      </c>
      <c r="W659">
        <v>2.4</v>
      </c>
      <c r="Y659">
        <v>2.4</v>
      </c>
      <c r="AS659">
        <v>2.4</v>
      </c>
      <c r="BH659" t="s">
        <v>126</v>
      </c>
      <c r="BI659" t="s">
        <v>126</v>
      </c>
      <c r="BJ659" t="s">
        <v>126</v>
      </c>
      <c r="BK659" t="s">
        <v>126</v>
      </c>
      <c r="BS659" t="s">
        <v>126</v>
      </c>
      <c r="BT659" t="s">
        <v>126</v>
      </c>
      <c r="BU659" t="s">
        <v>126</v>
      </c>
      <c r="BV659" t="s">
        <v>126</v>
      </c>
      <c r="CN659" t="s">
        <v>147</v>
      </c>
      <c r="CP659" t="s">
        <v>383</v>
      </c>
      <c r="CQ659" t="s">
        <v>147</v>
      </c>
    </row>
    <row r="660" spans="1:95" x14ac:dyDescent="0.2">
      <c r="A660" t="s">
        <v>115</v>
      </c>
      <c r="B660" t="s">
        <v>116</v>
      </c>
      <c r="C660">
        <v>210784</v>
      </c>
      <c r="E660" t="s">
        <v>117</v>
      </c>
      <c r="F660">
        <v>368</v>
      </c>
      <c r="G660" t="s">
        <v>141</v>
      </c>
      <c r="H660" t="s">
        <v>142</v>
      </c>
      <c r="I660" t="s">
        <v>279</v>
      </c>
      <c r="J660" t="s">
        <v>280</v>
      </c>
      <c r="L660" t="s">
        <v>389</v>
      </c>
      <c r="M660" s="8">
        <v>45717</v>
      </c>
      <c r="N660">
        <v>5680942</v>
      </c>
      <c r="O660" t="s">
        <v>123</v>
      </c>
      <c r="P660" t="s">
        <v>146</v>
      </c>
      <c r="Q660">
        <v>5.91</v>
      </c>
      <c r="R660" t="s">
        <v>125</v>
      </c>
      <c r="S660" t="s">
        <v>126</v>
      </c>
      <c r="T660" t="s">
        <v>125</v>
      </c>
      <c r="U660" t="s">
        <v>126</v>
      </c>
      <c r="W660">
        <v>5.91</v>
      </c>
      <c r="Y660">
        <v>5.91</v>
      </c>
      <c r="AS660">
        <v>5.91</v>
      </c>
      <c r="BH660" t="s">
        <v>126</v>
      </c>
      <c r="BI660" t="s">
        <v>126</v>
      </c>
      <c r="BJ660" t="s">
        <v>126</v>
      </c>
      <c r="BK660" t="s">
        <v>126</v>
      </c>
      <c r="BS660" t="s">
        <v>126</v>
      </c>
      <c r="BT660" t="s">
        <v>126</v>
      </c>
      <c r="BU660" t="s">
        <v>126</v>
      </c>
      <c r="BV660" t="s">
        <v>126</v>
      </c>
      <c r="CN660" t="s">
        <v>147</v>
      </c>
      <c r="CP660" t="s">
        <v>383</v>
      </c>
      <c r="CQ660" t="s">
        <v>147</v>
      </c>
    </row>
    <row r="661" spans="1:95" x14ac:dyDescent="0.2">
      <c r="A661" t="s">
        <v>115</v>
      </c>
      <c r="B661" t="s">
        <v>116</v>
      </c>
      <c r="C661">
        <v>210784</v>
      </c>
      <c r="E661" t="s">
        <v>117</v>
      </c>
      <c r="F661">
        <v>368</v>
      </c>
      <c r="G661" t="s">
        <v>141</v>
      </c>
      <c r="H661" t="s">
        <v>142</v>
      </c>
      <c r="I661" t="s">
        <v>279</v>
      </c>
      <c r="J661" t="s">
        <v>280</v>
      </c>
      <c r="L661" t="s">
        <v>390</v>
      </c>
      <c r="M661" s="8">
        <v>45717</v>
      </c>
      <c r="N661">
        <v>5681692</v>
      </c>
      <c r="O661" t="s">
        <v>123</v>
      </c>
      <c r="P661" t="s">
        <v>146</v>
      </c>
      <c r="Q661">
        <v>3.21</v>
      </c>
      <c r="R661" t="s">
        <v>125</v>
      </c>
      <c r="S661" t="s">
        <v>126</v>
      </c>
      <c r="T661" t="s">
        <v>125</v>
      </c>
      <c r="U661" t="s">
        <v>126</v>
      </c>
      <c r="W661">
        <v>3.21</v>
      </c>
      <c r="Y661">
        <v>3.21</v>
      </c>
      <c r="AS661">
        <v>3.21</v>
      </c>
      <c r="BH661" t="s">
        <v>126</v>
      </c>
      <c r="BI661" t="s">
        <v>126</v>
      </c>
      <c r="BJ661" t="s">
        <v>126</v>
      </c>
      <c r="BK661" t="s">
        <v>126</v>
      </c>
      <c r="BS661" t="s">
        <v>126</v>
      </c>
      <c r="BT661" t="s">
        <v>126</v>
      </c>
      <c r="BU661" t="s">
        <v>126</v>
      </c>
      <c r="BV661" t="s">
        <v>126</v>
      </c>
      <c r="CN661" t="s">
        <v>147</v>
      </c>
      <c r="CP661" t="s">
        <v>383</v>
      </c>
      <c r="CQ661" t="s">
        <v>147</v>
      </c>
    </row>
    <row r="662" spans="1:95" x14ac:dyDescent="0.2">
      <c r="A662" t="s">
        <v>115</v>
      </c>
      <c r="B662" t="s">
        <v>116</v>
      </c>
      <c r="C662">
        <v>210784</v>
      </c>
      <c r="E662" t="s">
        <v>117</v>
      </c>
      <c r="F662">
        <v>368</v>
      </c>
      <c r="G662" t="s">
        <v>141</v>
      </c>
      <c r="H662" t="s">
        <v>142</v>
      </c>
      <c r="I662" t="s">
        <v>279</v>
      </c>
      <c r="J662" t="s">
        <v>280</v>
      </c>
      <c r="L662" t="s">
        <v>391</v>
      </c>
      <c r="M662" s="8">
        <v>45717</v>
      </c>
      <c r="N662">
        <v>5682397</v>
      </c>
      <c r="O662" t="s">
        <v>123</v>
      </c>
      <c r="P662" t="s">
        <v>146</v>
      </c>
      <c r="Q662">
        <v>4.55</v>
      </c>
      <c r="R662" t="s">
        <v>125</v>
      </c>
      <c r="S662" t="s">
        <v>126</v>
      </c>
      <c r="T662" t="s">
        <v>125</v>
      </c>
      <c r="U662" t="s">
        <v>126</v>
      </c>
      <c r="W662">
        <v>4.55</v>
      </c>
      <c r="Y662">
        <v>4.55</v>
      </c>
      <c r="AS662">
        <v>4.55</v>
      </c>
      <c r="BH662" t="s">
        <v>126</v>
      </c>
      <c r="BI662" t="s">
        <v>126</v>
      </c>
      <c r="BJ662" t="s">
        <v>126</v>
      </c>
      <c r="BK662" t="s">
        <v>126</v>
      </c>
      <c r="BS662" t="s">
        <v>126</v>
      </c>
      <c r="BT662" t="s">
        <v>126</v>
      </c>
      <c r="BU662" t="s">
        <v>126</v>
      </c>
      <c r="BV662" t="s">
        <v>126</v>
      </c>
      <c r="CN662" t="s">
        <v>147</v>
      </c>
      <c r="CP662" t="s">
        <v>383</v>
      </c>
      <c r="CQ662" t="s">
        <v>147</v>
      </c>
    </row>
    <row r="663" spans="1:95" x14ac:dyDescent="0.2">
      <c r="A663" t="s">
        <v>115</v>
      </c>
      <c r="B663" t="s">
        <v>116</v>
      </c>
      <c r="C663">
        <v>210784</v>
      </c>
      <c r="E663" t="s">
        <v>117</v>
      </c>
      <c r="F663">
        <v>368</v>
      </c>
      <c r="G663" t="s">
        <v>141</v>
      </c>
      <c r="H663" t="s">
        <v>142</v>
      </c>
      <c r="I663" t="s">
        <v>279</v>
      </c>
      <c r="J663" t="s">
        <v>280</v>
      </c>
      <c r="L663" t="s">
        <v>391</v>
      </c>
      <c r="M663" s="8">
        <v>45717</v>
      </c>
      <c r="N663">
        <v>5682284</v>
      </c>
      <c r="O663" t="s">
        <v>123</v>
      </c>
      <c r="P663" t="s">
        <v>146</v>
      </c>
      <c r="Q663">
        <v>2.62</v>
      </c>
      <c r="R663" t="s">
        <v>125</v>
      </c>
      <c r="S663" t="s">
        <v>126</v>
      </c>
      <c r="T663" t="s">
        <v>125</v>
      </c>
      <c r="U663" t="s">
        <v>126</v>
      </c>
      <c r="W663">
        <v>2.62</v>
      </c>
      <c r="Y663">
        <v>2.62</v>
      </c>
      <c r="AS663">
        <v>2.62</v>
      </c>
      <c r="BH663" t="s">
        <v>126</v>
      </c>
      <c r="BI663" t="s">
        <v>126</v>
      </c>
      <c r="BJ663" t="s">
        <v>126</v>
      </c>
      <c r="BK663" t="s">
        <v>126</v>
      </c>
      <c r="BS663" t="s">
        <v>126</v>
      </c>
      <c r="BT663" t="s">
        <v>126</v>
      </c>
      <c r="BU663" t="s">
        <v>126</v>
      </c>
      <c r="BV663" t="s">
        <v>126</v>
      </c>
      <c r="CN663" t="s">
        <v>147</v>
      </c>
      <c r="CP663" t="s">
        <v>383</v>
      </c>
      <c r="CQ663" t="s">
        <v>147</v>
      </c>
    </row>
    <row r="664" spans="1:95" x14ac:dyDescent="0.2">
      <c r="A664" t="s">
        <v>115</v>
      </c>
      <c r="B664" t="s">
        <v>116</v>
      </c>
      <c r="C664">
        <v>210784</v>
      </c>
      <c r="E664" t="s">
        <v>117</v>
      </c>
      <c r="F664">
        <v>368</v>
      </c>
      <c r="G664" t="s">
        <v>141</v>
      </c>
      <c r="H664" t="s">
        <v>142</v>
      </c>
      <c r="I664" t="s">
        <v>279</v>
      </c>
      <c r="J664" t="s">
        <v>280</v>
      </c>
      <c r="L664" t="s">
        <v>392</v>
      </c>
      <c r="M664" s="8">
        <v>45717</v>
      </c>
      <c r="N664">
        <v>5682863</v>
      </c>
      <c r="O664" t="s">
        <v>123</v>
      </c>
      <c r="P664" t="s">
        <v>146</v>
      </c>
      <c r="Q664">
        <v>2.02</v>
      </c>
      <c r="R664" t="s">
        <v>125</v>
      </c>
      <c r="S664" t="s">
        <v>126</v>
      </c>
      <c r="T664" t="s">
        <v>125</v>
      </c>
      <c r="U664" t="s">
        <v>126</v>
      </c>
      <c r="W664">
        <v>2.02</v>
      </c>
      <c r="Y664">
        <v>2.02</v>
      </c>
      <c r="AS664">
        <v>2.02</v>
      </c>
      <c r="BH664" t="s">
        <v>126</v>
      </c>
      <c r="BI664" t="s">
        <v>126</v>
      </c>
      <c r="BJ664" t="s">
        <v>126</v>
      </c>
      <c r="BK664" t="s">
        <v>126</v>
      </c>
      <c r="BS664" t="s">
        <v>126</v>
      </c>
      <c r="BT664" t="s">
        <v>126</v>
      </c>
      <c r="BU664" t="s">
        <v>126</v>
      </c>
      <c r="BV664" t="s">
        <v>126</v>
      </c>
      <c r="CN664" t="s">
        <v>147</v>
      </c>
      <c r="CP664" t="s">
        <v>383</v>
      </c>
      <c r="CQ664" t="s">
        <v>147</v>
      </c>
    </row>
    <row r="665" spans="1:95" x14ac:dyDescent="0.2">
      <c r="A665" t="s">
        <v>115</v>
      </c>
      <c r="B665" t="s">
        <v>116</v>
      </c>
      <c r="C665">
        <v>210784</v>
      </c>
      <c r="E665" t="s">
        <v>117</v>
      </c>
      <c r="F665">
        <v>368</v>
      </c>
      <c r="G665" t="s">
        <v>141</v>
      </c>
      <c r="H665" t="s">
        <v>142</v>
      </c>
      <c r="I665" t="s">
        <v>279</v>
      </c>
      <c r="J665" t="s">
        <v>280</v>
      </c>
      <c r="L665" t="s">
        <v>392</v>
      </c>
      <c r="M665" s="8">
        <v>45717</v>
      </c>
      <c r="N665">
        <v>5683043</v>
      </c>
      <c r="O665" t="s">
        <v>123</v>
      </c>
      <c r="P665" t="s">
        <v>146</v>
      </c>
      <c r="Q665">
        <v>4.17</v>
      </c>
      <c r="R665" t="s">
        <v>125</v>
      </c>
      <c r="S665" t="s">
        <v>126</v>
      </c>
      <c r="T665" t="s">
        <v>125</v>
      </c>
      <c r="U665" t="s">
        <v>126</v>
      </c>
      <c r="W665">
        <v>4.17</v>
      </c>
      <c r="Y665">
        <v>4.17</v>
      </c>
      <c r="AS665">
        <v>4.17</v>
      </c>
      <c r="BH665" t="s">
        <v>126</v>
      </c>
      <c r="BI665" t="s">
        <v>126</v>
      </c>
      <c r="BJ665" t="s">
        <v>126</v>
      </c>
      <c r="BK665" t="s">
        <v>126</v>
      </c>
      <c r="BS665" t="s">
        <v>126</v>
      </c>
      <c r="BT665" t="s">
        <v>126</v>
      </c>
      <c r="BU665" t="s">
        <v>126</v>
      </c>
      <c r="BV665" t="s">
        <v>126</v>
      </c>
      <c r="CN665" t="s">
        <v>147</v>
      </c>
      <c r="CP665" t="s">
        <v>383</v>
      </c>
      <c r="CQ665" t="s">
        <v>147</v>
      </c>
    </row>
    <row r="666" spans="1:95" x14ac:dyDescent="0.2">
      <c r="A666" t="s">
        <v>115</v>
      </c>
      <c r="B666" t="s">
        <v>116</v>
      </c>
      <c r="C666">
        <v>210784</v>
      </c>
      <c r="E666" t="s">
        <v>117</v>
      </c>
      <c r="F666">
        <v>368</v>
      </c>
      <c r="G666" t="s">
        <v>141</v>
      </c>
      <c r="H666" t="s">
        <v>142</v>
      </c>
      <c r="I666" t="s">
        <v>279</v>
      </c>
      <c r="J666" t="s">
        <v>280</v>
      </c>
      <c r="L666" t="s">
        <v>393</v>
      </c>
      <c r="M666" s="8">
        <v>45717</v>
      </c>
      <c r="N666">
        <v>5684778</v>
      </c>
      <c r="O666" t="s">
        <v>123</v>
      </c>
      <c r="P666" t="s">
        <v>146</v>
      </c>
      <c r="Q666">
        <v>3.93</v>
      </c>
      <c r="R666" t="s">
        <v>125</v>
      </c>
      <c r="S666" t="s">
        <v>126</v>
      </c>
      <c r="T666" t="s">
        <v>125</v>
      </c>
      <c r="U666" t="s">
        <v>126</v>
      </c>
      <c r="W666">
        <v>3.93</v>
      </c>
      <c r="Y666">
        <v>3.93</v>
      </c>
      <c r="AS666">
        <v>3.93</v>
      </c>
      <c r="BH666" t="s">
        <v>126</v>
      </c>
      <c r="BI666" t="s">
        <v>126</v>
      </c>
      <c r="BJ666" t="s">
        <v>126</v>
      </c>
      <c r="BK666" t="s">
        <v>126</v>
      </c>
      <c r="BS666" t="s">
        <v>126</v>
      </c>
      <c r="BT666" t="s">
        <v>126</v>
      </c>
      <c r="BU666" t="s">
        <v>126</v>
      </c>
      <c r="BV666" t="s">
        <v>126</v>
      </c>
      <c r="CN666" t="s">
        <v>147</v>
      </c>
      <c r="CP666" t="s">
        <v>283</v>
      </c>
      <c r="CQ666" t="s">
        <v>147</v>
      </c>
    </row>
    <row r="667" spans="1:95" x14ac:dyDescent="0.2">
      <c r="A667" t="s">
        <v>115</v>
      </c>
      <c r="B667" t="s">
        <v>116</v>
      </c>
      <c r="C667">
        <v>210784</v>
      </c>
      <c r="E667" t="s">
        <v>117</v>
      </c>
      <c r="F667">
        <v>368</v>
      </c>
      <c r="G667" t="s">
        <v>141</v>
      </c>
      <c r="H667" t="s">
        <v>142</v>
      </c>
      <c r="I667" t="s">
        <v>279</v>
      </c>
      <c r="J667" t="s">
        <v>280</v>
      </c>
      <c r="L667" t="s">
        <v>393</v>
      </c>
      <c r="M667" s="8">
        <v>45717</v>
      </c>
      <c r="N667">
        <v>5684856</v>
      </c>
      <c r="O667" t="s">
        <v>123</v>
      </c>
      <c r="P667" t="s">
        <v>146</v>
      </c>
      <c r="Q667">
        <v>4.57</v>
      </c>
      <c r="R667" t="s">
        <v>125</v>
      </c>
      <c r="S667" t="s">
        <v>126</v>
      </c>
      <c r="T667" t="s">
        <v>125</v>
      </c>
      <c r="U667" t="s">
        <v>126</v>
      </c>
      <c r="W667">
        <v>4.57</v>
      </c>
      <c r="Y667">
        <v>4.57</v>
      </c>
      <c r="AS667">
        <v>4.57</v>
      </c>
      <c r="BH667" t="s">
        <v>126</v>
      </c>
      <c r="BI667" t="s">
        <v>126</v>
      </c>
      <c r="BJ667" t="s">
        <v>126</v>
      </c>
      <c r="BK667" t="s">
        <v>126</v>
      </c>
      <c r="BS667" t="s">
        <v>126</v>
      </c>
      <c r="BT667" t="s">
        <v>126</v>
      </c>
      <c r="BU667" t="s">
        <v>126</v>
      </c>
      <c r="BV667" t="s">
        <v>126</v>
      </c>
      <c r="CN667" t="s">
        <v>147</v>
      </c>
      <c r="CP667" t="s">
        <v>283</v>
      </c>
      <c r="CQ667" t="s">
        <v>147</v>
      </c>
    </row>
    <row r="668" spans="1:95" x14ac:dyDescent="0.2">
      <c r="A668" t="s">
        <v>115</v>
      </c>
      <c r="B668" t="s">
        <v>116</v>
      </c>
      <c r="C668">
        <v>210784</v>
      </c>
      <c r="E668" t="s">
        <v>117</v>
      </c>
      <c r="F668">
        <v>368</v>
      </c>
      <c r="G668" t="s">
        <v>141</v>
      </c>
      <c r="H668" t="s">
        <v>142</v>
      </c>
      <c r="I668" t="s">
        <v>279</v>
      </c>
      <c r="J668" t="s">
        <v>280</v>
      </c>
      <c r="L668" t="s">
        <v>394</v>
      </c>
      <c r="M668" s="8">
        <v>45717</v>
      </c>
      <c r="N668">
        <v>5685473</v>
      </c>
      <c r="O668" t="s">
        <v>123</v>
      </c>
      <c r="P668" t="s">
        <v>146</v>
      </c>
      <c r="Q668">
        <v>1.87</v>
      </c>
      <c r="R668" t="s">
        <v>125</v>
      </c>
      <c r="S668" t="s">
        <v>126</v>
      </c>
      <c r="T668" t="s">
        <v>125</v>
      </c>
      <c r="U668" t="s">
        <v>126</v>
      </c>
      <c r="W668">
        <v>1.87</v>
      </c>
      <c r="Y668">
        <v>1.87</v>
      </c>
      <c r="AS668">
        <v>1.87</v>
      </c>
      <c r="BH668" t="s">
        <v>126</v>
      </c>
      <c r="BI668" t="s">
        <v>126</v>
      </c>
      <c r="BJ668" t="s">
        <v>126</v>
      </c>
      <c r="BK668" t="s">
        <v>126</v>
      </c>
      <c r="BS668" t="s">
        <v>126</v>
      </c>
      <c r="BT668" t="s">
        <v>126</v>
      </c>
      <c r="BU668" t="s">
        <v>126</v>
      </c>
      <c r="BV668" t="s">
        <v>126</v>
      </c>
      <c r="CN668" t="s">
        <v>147</v>
      </c>
      <c r="CP668" t="s">
        <v>283</v>
      </c>
      <c r="CQ668" t="s">
        <v>147</v>
      </c>
    </row>
    <row r="669" spans="1:95" x14ac:dyDescent="0.2">
      <c r="A669" t="s">
        <v>115</v>
      </c>
      <c r="B669" t="s">
        <v>116</v>
      </c>
      <c r="C669">
        <v>210784</v>
      </c>
      <c r="E669" t="s">
        <v>117</v>
      </c>
      <c r="F669">
        <v>368</v>
      </c>
      <c r="G669" t="s">
        <v>141</v>
      </c>
      <c r="H669" t="s">
        <v>142</v>
      </c>
      <c r="I669" t="s">
        <v>279</v>
      </c>
      <c r="J669" t="s">
        <v>280</v>
      </c>
      <c r="L669" t="s">
        <v>394</v>
      </c>
      <c r="M669" s="8">
        <v>45717</v>
      </c>
      <c r="N669">
        <v>5685634</v>
      </c>
      <c r="O669" t="s">
        <v>123</v>
      </c>
      <c r="P669" t="s">
        <v>146</v>
      </c>
      <c r="Q669">
        <v>3.4</v>
      </c>
      <c r="R669" t="s">
        <v>125</v>
      </c>
      <c r="S669" t="s">
        <v>126</v>
      </c>
      <c r="T669" t="s">
        <v>125</v>
      </c>
      <c r="U669" t="s">
        <v>126</v>
      </c>
      <c r="W669">
        <v>3.4</v>
      </c>
      <c r="Y669">
        <v>3.4</v>
      </c>
      <c r="AS669">
        <v>3.4</v>
      </c>
      <c r="BH669" t="s">
        <v>126</v>
      </c>
      <c r="BI669" t="s">
        <v>126</v>
      </c>
      <c r="BJ669" t="s">
        <v>126</v>
      </c>
      <c r="BK669" t="s">
        <v>126</v>
      </c>
      <c r="BS669" t="s">
        <v>126</v>
      </c>
      <c r="BT669" t="s">
        <v>126</v>
      </c>
      <c r="BU669" t="s">
        <v>126</v>
      </c>
      <c r="BV669" t="s">
        <v>126</v>
      </c>
      <c r="CN669" t="s">
        <v>147</v>
      </c>
      <c r="CP669" t="s">
        <v>283</v>
      </c>
      <c r="CQ669" t="s">
        <v>147</v>
      </c>
    </row>
    <row r="670" spans="1:95" x14ac:dyDescent="0.2">
      <c r="A670" t="s">
        <v>115</v>
      </c>
      <c r="B670" t="s">
        <v>116</v>
      </c>
      <c r="C670">
        <v>210784</v>
      </c>
      <c r="E670" t="s">
        <v>117</v>
      </c>
      <c r="F670">
        <v>368</v>
      </c>
      <c r="G670" t="s">
        <v>141</v>
      </c>
      <c r="H670" t="s">
        <v>142</v>
      </c>
      <c r="I670" t="s">
        <v>279</v>
      </c>
      <c r="J670" t="s">
        <v>280</v>
      </c>
      <c r="L670" t="s">
        <v>395</v>
      </c>
      <c r="M670" s="8">
        <v>45717</v>
      </c>
      <c r="N670">
        <v>568072</v>
      </c>
      <c r="O670" t="s">
        <v>123</v>
      </c>
      <c r="P670" t="s">
        <v>146</v>
      </c>
      <c r="Q670">
        <v>1.71</v>
      </c>
      <c r="R670" t="s">
        <v>125</v>
      </c>
      <c r="S670" t="s">
        <v>126</v>
      </c>
      <c r="T670" t="s">
        <v>125</v>
      </c>
      <c r="U670" t="s">
        <v>126</v>
      </c>
      <c r="W670">
        <v>1.71</v>
      </c>
      <c r="Y670">
        <v>1.71</v>
      </c>
      <c r="AS670">
        <v>1.71</v>
      </c>
      <c r="BH670" t="s">
        <v>126</v>
      </c>
      <c r="BI670" t="s">
        <v>126</v>
      </c>
      <c r="BJ670" t="s">
        <v>126</v>
      </c>
      <c r="BK670" t="s">
        <v>126</v>
      </c>
      <c r="BS670" t="s">
        <v>126</v>
      </c>
      <c r="BT670" t="s">
        <v>126</v>
      </c>
      <c r="BU670" t="s">
        <v>126</v>
      </c>
      <c r="BV670" t="s">
        <v>126</v>
      </c>
      <c r="CN670" t="s">
        <v>147</v>
      </c>
      <c r="CP670" t="s">
        <v>283</v>
      </c>
      <c r="CQ670" t="s">
        <v>147</v>
      </c>
    </row>
    <row r="671" spans="1:95" x14ac:dyDescent="0.2">
      <c r="A671" t="s">
        <v>115</v>
      </c>
      <c r="B671" t="s">
        <v>116</v>
      </c>
      <c r="C671">
        <v>210784</v>
      </c>
      <c r="E671" t="s">
        <v>117</v>
      </c>
      <c r="F671">
        <v>368</v>
      </c>
      <c r="G671" t="s">
        <v>141</v>
      </c>
      <c r="H671" t="s">
        <v>142</v>
      </c>
      <c r="I671" t="s">
        <v>279</v>
      </c>
      <c r="J671" t="s">
        <v>280</v>
      </c>
      <c r="L671" t="s">
        <v>396</v>
      </c>
      <c r="M671" s="8">
        <v>45717</v>
      </c>
      <c r="N671">
        <v>5686938</v>
      </c>
      <c r="O671" t="s">
        <v>123</v>
      </c>
      <c r="P671" t="s">
        <v>146</v>
      </c>
      <c r="Q671">
        <v>3.21</v>
      </c>
      <c r="R671" t="s">
        <v>125</v>
      </c>
      <c r="S671" t="s">
        <v>126</v>
      </c>
      <c r="T671" t="s">
        <v>125</v>
      </c>
      <c r="U671" t="s">
        <v>126</v>
      </c>
      <c r="W671">
        <v>3.21</v>
      </c>
      <c r="Y671">
        <v>3.21</v>
      </c>
      <c r="AS671">
        <v>3.21</v>
      </c>
      <c r="BH671" t="s">
        <v>126</v>
      </c>
      <c r="BI671" t="s">
        <v>126</v>
      </c>
      <c r="BJ671" t="s">
        <v>126</v>
      </c>
      <c r="BK671" t="s">
        <v>126</v>
      </c>
      <c r="BS671" t="s">
        <v>126</v>
      </c>
      <c r="BT671" t="s">
        <v>126</v>
      </c>
      <c r="BU671" t="s">
        <v>126</v>
      </c>
      <c r="BV671" t="s">
        <v>126</v>
      </c>
      <c r="CN671" t="s">
        <v>147</v>
      </c>
      <c r="CP671" t="s">
        <v>283</v>
      </c>
      <c r="CQ671" t="s">
        <v>147</v>
      </c>
    </row>
    <row r="672" spans="1:95" x14ac:dyDescent="0.2">
      <c r="A672" t="s">
        <v>115</v>
      </c>
      <c r="B672" t="s">
        <v>116</v>
      </c>
      <c r="C672">
        <v>210784</v>
      </c>
      <c r="E672" t="s">
        <v>117</v>
      </c>
      <c r="F672">
        <v>368</v>
      </c>
      <c r="G672" t="s">
        <v>141</v>
      </c>
      <c r="H672" t="s">
        <v>142</v>
      </c>
      <c r="I672" t="s">
        <v>279</v>
      </c>
      <c r="J672" t="s">
        <v>280</v>
      </c>
      <c r="L672" t="s">
        <v>396</v>
      </c>
      <c r="M672" s="8">
        <v>45717</v>
      </c>
      <c r="N672">
        <v>5686625</v>
      </c>
      <c r="O672" t="s">
        <v>123</v>
      </c>
      <c r="P672" t="s">
        <v>146</v>
      </c>
      <c r="Q672">
        <v>3.71</v>
      </c>
      <c r="R672" t="s">
        <v>125</v>
      </c>
      <c r="S672" t="s">
        <v>126</v>
      </c>
      <c r="T672" t="s">
        <v>125</v>
      </c>
      <c r="U672" t="s">
        <v>126</v>
      </c>
      <c r="W672">
        <v>3.71</v>
      </c>
      <c r="Y672">
        <v>3.71</v>
      </c>
      <c r="AS672">
        <v>3.71</v>
      </c>
      <c r="BH672" t="s">
        <v>126</v>
      </c>
      <c r="BI672" t="s">
        <v>126</v>
      </c>
      <c r="BJ672" t="s">
        <v>126</v>
      </c>
      <c r="BK672" t="s">
        <v>126</v>
      </c>
      <c r="BS672" t="s">
        <v>126</v>
      </c>
      <c r="BT672" t="s">
        <v>126</v>
      </c>
      <c r="BU672" t="s">
        <v>126</v>
      </c>
      <c r="BV672" t="s">
        <v>126</v>
      </c>
      <c r="CN672" t="s">
        <v>147</v>
      </c>
      <c r="CP672" t="s">
        <v>283</v>
      </c>
      <c r="CQ672" t="s">
        <v>147</v>
      </c>
    </row>
    <row r="673" spans="1:95" x14ac:dyDescent="0.2">
      <c r="A673" t="s">
        <v>115</v>
      </c>
      <c r="B673" t="s">
        <v>116</v>
      </c>
      <c r="C673">
        <v>210784</v>
      </c>
      <c r="E673" t="s">
        <v>117</v>
      </c>
      <c r="F673">
        <v>368</v>
      </c>
      <c r="G673" t="s">
        <v>141</v>
      </c>
      <c r="H673" t="s">
        <v>142</v>
      </c>
      <c r="I673" t="s">
        <v>279</v>
      </c>
      <c r="J673" t="s">
        <v>280</v>
      </c>
      <c r="L673" t="s">
        <v>397</v>
      </c>
      <c r="M673" s="8">
        <v>45717</v>
      </c>
      <c r="N673">
        <v>5687527</v>
      </c>
      <c r="O673" t="s">
        <v>123</v>
      </c>
      <c r="P673" t="s">
        <v>146</v>
      </c>
      <c r="Q673">
        <v>2.89</v>
      </c>
      <c r="R673" t="s">
        <v>125</v>
      </c>
      <c r="S673" t="s">
        <v>126</v>
      </c>
      <c r="T673" t="s">
        <v>125</v>
      </c>
      <c r="U673" t="s">
        <v>126</v>
      </c>
      <c r="W673">
        <v>2.89</v>
      </c>
      <c r="Y673">
        <v>2.89</v>
      </c>
      <c r="AS673">
        <v>2.89</v>
      </c>
      <c r="BH673" t="s">
        <v>126</v>
      </c>
      <c r="BI673" t="s">
        <v>126</v>
      </c>
      <c r="BJ673" t="s">
        <v>126</v>
      </c>
      <c r="BK673" t="s">
        <v>126</v>
      </c>
      <c r="BS673" t="s">
        <v>126</v>
      </c>
      <c r="BT673" t="s">
        <v>126</v>
      </c>
      <c r="BU673" t="s">
        <v>126</v>
      </c>
      <c r="BV673" t="s">
        <v>126</v>
      </c>
      <c r="CN673" t="s">
        <v>147</v>
      </c>
      <c r="CP673" t="s">
        <v>283</v>
      </c>
      <c r="CQ673" t="s">
        <v>147</v>
      </c>
    </row>
    <row r="674" spans="1:95" x14ac:dyDescent="0.2">
      <c r="A674" t="s">
        <v>115</v>
      </c>
      <c r="B674" t="s">
        <v>116</v>
      </c>
      <c r="C674">
        <v>210784</v>
      </c>
      <c r="E674" t="s">
        <v>117</v>
      </c>
      <c r="F674">
        <v>368</v>
      </c>
      <c r="G674" t="s">
        <v>141</v>
      </c>
      <c r="H674" t="s">
        <v>142</v>
      </c>
      <c r="I674" t="s">
        <v>279</v>
      </c>
      <c r="J674" t="s">
        <v>280</v>
      </c>
      <c r="L674" t="s">
        <v>398</v>
      </c>
      <c r="M674" s="8">
        <v>45717</v>
      </c>
      <c r="N674">
        <v>5687426</v>
      </c>
      <c r="O674" t="s">
        <v>123</v>
      </c>
      <c r="P674" t="s">
        <v>146</v>
      </c>
      <c r="Q674">
        <v>6.54</v>
      </c>
      <c r="R674" t="s">
        <v>125</v>
      </c>
      <c r="S674" t="s">
        <v>126</v>
      </c>
      <c r="T674" t="s">
        <v>125</v>
      </c>
      <c r="U674" t="s">
        <v>126</v>
      </c>
      <c r="W674">
        <v>6.54</v>
      </c>
      <c r="Y674">
        <v>6.54</v>
      </c>
      <c r="AS674">
        <v>6.54</v>
      </c>
      <c r="BH674" t="s">
        <v>126</v>
      </c>
      <c r="BI674" t="s">
        <v>126</v>
      </c>
      <c r="BJ674" t="s">
        <v>126</v>
      </c>
      <c r="BK674" t="s">
        <v>126</v>
      </c>
      <c r="BS674" t="s">
        <v>126</v>
      </c>
      <c r="BT674" t="s">
        <v>126</v>
      </c>
      <c r="BU674" t="s">
        <v>126</v>
      </c>
      <c r="BV674" t="s">
        <v>126</v>
      </c>
      <c r="CN674" t="s">
        <v>147</v>
      </c>
      <c r="CP674" t="s">
        <v>283</v>
      </c>
      <c r="CQ674" t="s">
        <v>147</v>
      </c>
    </row>
    <row r="675" spans="1:95" x14ac:dyDescent="0.2">
      <c r="A675" t="s">
        <v>115</v>
      </c>
      <c r="B675" t="s">
        <v>116</v>
      </c>
      <c r="C675">
        <v>210784</v>
      </c>
      <c r="E675" t="s">
        <v>117</v>
      </c>
      <c r="F675">
        <v>368</v>
      </c>
      <c r="G675" t="s">
        <v>141</v>
      </c>
      <c r="H675" t="s">
        <v>142</v>
      </c>
      <c r="I675" t="s">
        <v>279</v>
      </c>
      <c r="J675" t="s">
        <v>280</v>
      </c>
      <c r="L675" t="s">
        <v>397</v>
      </c>
      <c r="M675" s="8">
        <v>45717</v>
      </c>
      <c r="N675">
        <v>5688164</v>
      </c>
      <c r="O675" t="s">
        <v>123</v>
      </c>
      <c r="P675" t="s">
        <v>146</v>
      </c>
      <c r="Q675">
        <v>2.89</v>
      </c>
      <c r="R675" t="s">
        <v>125</v>
      </c>
      <c r="S675" t="s">
        <v>126</v>
      </c>
      <c r="T675" t="s">
        <v>125</v>
      </c>
      <c r="U675" t="s">
        <v>126</v>
      </c>
      <c r="W675">
        <v>2.89</v>
      </c>
      <c r="Y675">
        <v>2.89</v>
      </c>
      <c r="AS675">
        <v>2.89</v>
      </c>
      <c r="BH675" t="s">
        <v>126</v>
      </c>
      <c r="BI675" t="s">
        <v>126</v>
      </c>
      <c r="BJ675" t="s">
        <v>126</v>
      </c>
      <c r="BK675" t="s">
        <v>126</v>
      </c>
      <c r="BS675" t="s">
        <v>126</v>
      </c>
      <c r="BT675" t="s">
        <v>126</v>
      </c>
      <c r="BU675" t="s">
        <v>126</v>
      </c>
      <c r="BV675" t="s">
        <v>126</v>
      </c>
      <c r="CN675" t="s">
        <v>147</v>
      </c>
      <c r="CP675" t="s">
        <v>283</v>
      </c>
      <c r="CQ675" t="s">
        <v>147</v>
      </c>
    </row>
    <row r="676" spans="1:95" x14ac:dyDescent="0.2">
      <c r="A676" t="s">
        <v>115</v>
      </c>
      <c r="B676" t="s">
        <v>116</v>
      </c>
      <c r="C676">
        <v>210784</v>
      </c>
      <c r="E676" t="s">
        <v>117</v>
      </c>
      <c r="F676">
        <v>368</v>
      </c>
      <c r="G676" t="s">
        <v>141</v>
      </c>
      <c r="H676" t="s">
        <v>142</v>
      </c>
      <c r="I676" t="s">
        <v>279</v>
      </c>
      <c r="J676" t="s">
        <v>280</v>
      </c>
      <c r="L676" t="s">
        <v>399</v>
      </c>
      <c r="M676" s="8">
        <v>45717</v>
      </c>
      <c r="N676">
        <v>5688785</v>
      </c>
      <c r="O676" t="s">
        <v>123</v>
      </c>
      <c r="P676" t="s">
        <v>146</v>
      </c>
      <c r="Q676">
        <v>5.78</v>
      </c>
      <c r="R676" t="s">
        <v>125</v>
      </c>
      <c r="S676" t="s">
        <v>126</v>
      </c>
      <c r="T676" t="s">
        <v>125</v>
      </c>
      <c r="U676" t="s">
        <v>126</v>
      </c>
      <c r="W676">
        <v>5.78</v>
      </c>
      <c r="Y676">
        <v>5.78</v>
      </c>
      <c r="AS676">
        <v>5.78</v>
      </c>
      <c r="BH676" t="s">
        <v>126</v>
      </c>
      <c r="BI676" t="s">
        <v>126</v>
      </c>
      <c r="BJ676" t="s">
        <v>126</v>
      </c>
      <c r="BK676" t="s">
        <v>126</v>
      </c>
      <c r="BS676" t="s">
        <v>126</v>
      </c>
      <c r="BT676" t="s">
        <v>126</v>
      </c>
      <c r="BU676" t="s">
        <v>126</v>
      </c>
      <c r="BV676" t="s">
        <v>126</v>
      </c>
      <c r="CN676" t="s">
        <v>147</v>
      </c>
      <c r="CP676" t="s">
        <v>283</v>
      </c>
      <c r="CQ676" t="s">
        <v>147</v>
      </c>
    </row>
    <row r="677" spans="1:95" x14ac:dyDescent="0.2">
      <c r="A677" t="s">
        <v>115</v>
      </c>
      <c r="B677" t="s">
        <v>116</v>
      </c>
      <c r="C677">
        <v>210784</v>
      </c>
      <c r="E677" t="s">
        <v>117</v>
      </c>
      <c r="F677">
        <v>368</v>
      </c>
      <c r="G677" t="s">
        <v>141</v>
      </c>
      <c r="H677" t="s">
        <v>142</v>
      </c>
      <c r="I677" t="s">
        <v>279</v>
      </c>
      <c r="J677" t="s">
        <v>280</v>
      </c>
      <c r="L677" t="s">
        <v>400</v>
      </c>
      <c r="M677" s="8">
        <v>45717</v>
      </c>
      <c r="N677">
        <v>5690083</v>
      </c>
      <c r="O677" t="s">
        <v>123</v>
      </c>
      <c r="P677" t="s">
        <v>146</v>
      </c>
      <c r="Q677">
        <v>3.88</v>
      </c>
      <c r="R677" t="s">
        <v>125</v>
      </c>
      <c r="S677" t="s">
        <v>126</v>
      </c>
      <c r="T677" t="s">
        <v>125</v>
      </c>
      <c r="U677" t="s">
        <v>126</v>
      </c>
      <c r="W677">
        <v>3.88</v>
      </c>
      <c r="Y677">
        <v>3.88</v>
      </c>
      <c r="AS677">
        <v>3.88</v>
      </c>
      <c r="BH677" t="s">
        <v>126</v>
      </c>
      <c r="BI677" t="s">
        <v>126</v>
      </c>
      <c r="BJ677" t="s">
        <v>126</v>
      </c>
      <c r="BK677" t="s">
        <v>126</v>
      </c>
      <c r="BS677" t="s">
        <v>126</v>
      </c>
      <c r="BT677" t="s">
        <v>126</v>
      </c>
      <c r="BU677" t="s">
        <v>126</v>
      </c>
      <c r="BV677" t="s">
        <v>126</v>
      </c>
      <c r="CN677" t="s">
        <v>147</v>
      </c>
      <c r="CP677" t="s">
        <v>283</v>
      </c>
      <c r="CQ677" t="s">
        <v>147</v>
      </c>
    </row>
    <row r="678" spans="1:95" x14ac:dyDescent="0.2">
      <c r="A678" t="s">
        <v>115</v>
      </c>
      <c r="B678" t="s">
        <v>116</v>
      </c>
      <c r="C678">
        <v>210784</v>
      </c>
      <c r="E678" t="s">
        <v>117</v>
      </c>
      <c r="F678">
        <v>368</v>
      </c>
      <c r="G678" t="s">
        <v>141</v>
      </c>
      <c r="H678" t="s">
        <v>142</v>
      </c>
      <c r="I678" t="s">
        <v>279</v>
      </c>
      <c r="J678" t="s">
        <v>280</v>
      </c>
      <c r="L678" t="s">
        <v>401</v>
      </c>
      <c r="M678" s="8">
        <v>45717</v>
      </c>
      <c r="N678">
        <v>5691383</v>
      </c>
      <c r="O678" t="s">
        <v>123</v>
      </c>
      <c r="P678" t="s">
        <v>146</v>
      </c>
      <c r="Q678">
        <v>3.44</v>
      </c>
      <c r="R678" t="s">
        <v>125</v>
      </c>
      <c r="S678" t="s">
        <v>126</v>
      </c>
      <c r="T678" t="s">
        <v>125</v>
      </c>
      <c r="U678" t="s">
        <v>126</v>
      </c>
      <c r="W678">
        <v>3.44</v>
      </c>
      <c r="Y678">
        <v>3.44</v>
      </c>
      <c r="AS678">
        <v>3.44</v>
      </c>
      <c r="BH678" t="s">
        <v>126</v>
      </c>
      <c r="BI678" t="s">
        <v>126</v>
      </c>
      <c r="BJ678" t="s">
        <v>126</v>
      </c>
      <c r="BK678" t="s">
        <v>126</v>
      </c>
      <c r="BS678" t="s">
        <v>126</v>
      </c>
      <c r="BT678" t="s">
        <v>126</v>
      </c>
      <c r="BU678" t="s">
        <v>126</v>
      </c>
      <c r="BV678" t="s">
        <v>126</v>
      </c>
      <c r="CN678" t="s">
        <v>147</v>
      </c>
      <c r="CP678" t="s">
        <v>283</v>
      </c>
      <c r="CQ678" t="s">
        <v>147</v>
      </c>
    </row>
    <row r="679" spans="1:95" x14ac:dyDescent="0.2">
      <c r="A679" t="s">
        <v>115</v>
      </c>
      <c r="B679" t="s">
        <v>116</v>
      </c>
      <c r="C679">
        <v>210784</v>
      </c>
      <c r="E679" t="s">
        <v>117</v>
      </c>
      <c r="F679">
        <v>368</v>
      </c>
      <c r="G679" t="s">
        <v>141</v>
      </c>
      <c r="H679" t="s">
        <v>142</v>
      </c>
      <c r="I679" t="s">
        <v>279</v>
      </c>
      <c r="J679" t="s">
        <v>280</v>
      </c>
      <c r="L679" t="s">
        <v>401</v>
      </c>
      <c r="M679" s="8">
        <v>45717</v>
      </c>
      <c r="N679">
        <v>5691482</v>
      </c>
      <c r="O679" t="s">
        <v>123</v>
      </c>
      <c r="P679" t="s">
        <v>146</v>
      </c>
      <c r="Q679">
        <v>5.24</v>
      </c>
      <c r="R679" t="s">
        <v>125</v>
      </c>
      <c r="S679" t="s">
        <v>126</v>
      </c>
      <c r="T679" t="s">
        <v>125</v>
      </c>
      <c r="U679" t="s">
        <v>126</v>
      </c>
      <c r="W679">
        <v>5.24</v>
      </c>
      <c r="Y679">
        <v>5.24</v>
      </c>
      <c r="AS679">
        <v>5.24</v>
      </c>
      <c r="BH679" t="s">
        <v>126</v>
      </c>
      <c r="BI679" t="s">
        <v>126</v>
      </c>
      <c r="BJ679" t="s">
        <v>126</v>
      </c>
      <c r="BK679" t="s">
        <v>126</v>
      </c>
      <c r="BS679" t="s">
        <v>126</v>
      </c>
      <c r="BT679" t="s">
        <v>126</v>
      </c>
      <c r="BU679" t="s">
        <v>126</v>
      </c>
      <c r="BV679" t="s">
        <v>126</v>
      </c>
      <c r="CN679" t="s">
        <v>147</v>
      </c>
      <c r="CP679" t="s">
        <v>283</v>
      </c>
      <c r="CQ679" t="s">
        <v>147</v>
      </c>
    </row>
    <row r="680" spans="1:95" x14ac:dyDescent="0.2">
      <c r="A680" t="s">
        <v>115</v>
      </c>
      <c r="B680" t="s">
        <v>116</v>
      </c>
      <c r="C680">
        <v>210784</v>
      </c>
      <c r="E680" t="s">
        <v>117</v>
      </c>
      <c r="F680">
        <v>368</v>
      </c>
      <c r="G680" t="s">
        <v>141</v>
      </c>
      <c r="H680" t="s">
        <v>142</v>
      </c>
      <c r="I680" t="s">
        <v>279</v>
      </c>
      <c r="J680" t="s">
        <v>280</v>
      </c>
      <c r="L680" t="s">
        <v>383</v>
      </c>
      <c r="M680" s="8">
        <v>45717</v>
      </c>
      <c r="N680">
        <v>5691866</v>
      </c>
      <c r="O680" t="s">
        <v>123</v>
      </c>
      <c r="P680" t="s">
        <v>146</v>
      </c>
      <c r="Q680">
        <v>2.92</v>
      </c>
      <c r="R680" t="s">
        <v>125</v>
      </c>
      <c r="S680" t="s">
        <v>126</v>
      </c>
      <c r="T680" t="s">
        <v>125</v>
      </c>
      <c r="U680" t="s">
        <v>126</v>
      </c>
      <c r="W680">
        <v>2.92</v>
      </c>
      <c r="Y680">
        <v>2.92</v>
      </c>
      <c r="AS680">
        <v>2.92</v>
      </c>
      <c r="BH680" t="s">
        <v>126</v>
      </c>
      <c r="BI680" t="s">
        <v>126</v>
      </c>
      <c r="BJ680" t="s">
        <v>126</v>
      </c>
      <c r="BK680" t="s">
        <v>126</v>
      </c>
      <c r="BS680" t="s">
        <v>126</v>
      </c>
      <c r="BT680" t="s">
        <v>126</v>
      </c>
      <c r="BU680" t="s">
        <v>126</v>
      </c>
      <c r="BV680" t="s">
        <v>126</v>
      </c>
      <c r="CN680" t="s">
        <v>147</v>
      </c>
      <c r="CP680" t="s">
        <v>283</v>
      </c>
      <c r="CQ680" t="s">
        <v>147</v>
      </c>
    </row>
    <row r="681" spans="1:95" x14ac:dyDescent="0.2">
      <c r="A681" t="s">
        <v>115</v>
      </c>
      <c r="B681" t="s">
        <v>116</v>
      </c>
      <c r="C681">
        <v>210784</v>
      </c>
      <c r="E681" t="s">
        <v>117</v>
      </c>
      <c r="F681">
        <v>368</v>
      </c>
      <c r="G681" t="s">
        <v>141</v>
      </c>
      <c r="H681" t="s">
        <v>142</v>
      </c>
      <c r="I681" t="s">
        <v>279</v>
      </c>
      <c r="J681" t="s">
        <v>280</v>
      </c>
      <c r="L681" t="s">
        <v>383</v>
      </c>
      <c r="M681" s="8">
        <v>45717</v>
      </c>
      <c r="N681">
        <v>5692512</v>
      </c>
      <c r="O681" t="s">
        <v>123</v>
      </c>
      <c r="P681" t="s">
        <v>146</v>
      </c>
      <c r="Q681">
        <v>3.11</v>
      </c>
      <c r="R681" t="s">
        <v>125</v>
      </c>
      <c r="S681" t="s">
        <v>126</v>
      </c>
      <c r="T681" t="s">
        <v>125</v>
      </c>
      <c r="U681" t="s">
        <v>126</v>
      </c>
      <c r="W681">
        <v>3.11</v>
      </c>
      <c r="Y681">
        <v>3.11</v>
      </c>
      <c r="AS681">
        <v>3.11</v>
      </c>
      <c r="BH681" t="s">
        <v>126</v>
      </c>
      <c r="BI681" t="s">
        <v>126</v>
      </c>
      <c r="BJ681" t="s">
        <v>126</v>
      </c>
      <c r="BK681" t="s">
        <v>126</v>
      </c>
      <c r="BS681" t="s">
        <v>126</v>
      </c>
      <c r="BT681" t="s">
        <v>126</v>
      </c>
      <c r="BU681" t="s">
        <v>126</v>
      </c>
      <c r="BV681" t="s">
        <v>126</v>
      </c>
      <c r="CN681" t="s">
        <v>147</v>
      </c>
      <c r="CP681" t="s">
        <v>283</v>
      </c>
      <c r="CQ681" t="s">
        <v>147</v>
      </c>
    </row>
    <row r="682" spans="1:95" x14ac:dyDescent="0.2">
      <c r="A682" t="s">
        <v>115</v>
      </c>
      <c r="B682" t="s">
        <v>116</v>
      </c>
      <c r="C682">
        <v>210784</v>
      </c>
      <c r="E682" t="s">
        <v>117</v>
      </c>
      <c r="F682">
        <v>368</v>
      </c>
      <c r="G682" t="s">
        <v>141</v>
      </c>
      <c r="H682" t="s">
        <v>142</v>
      </c>
      <c r="I682" t="s">
        <v>279</v>
      </c>
      <c r="J682" t="s">
        <v>280</v>
      </c>
      <c r="L682" t="s">
        <v>386</v>
      </c>
      <c r="M682" s="8">
        <v>45717</v>
      </c>
      <c r="N682">
        <v>5677793</v>
      </c>
      <c r="O682" t="s">
        <v>123</v>
      </c>
      <c r="P682" t="s">
        <v>146</v>
      </c>
      <c r="Q682">
        <v>0.69</v>
      </c>
      <c r="R682" t="s">
        <v>677</v>
      </c>
      <c r="S682" t="s">
        <v>126</v>
      </c>
      <c r="T682" t="s">
        <v>677</v>
      </c>
      <c r="U682" t="s">
        <v>678</v>
      </c>
      <c r="W682">
        <v>0.21</v>
      </c>
      <c r="X682">
        <v>0.48</v>
      </c>
      <c r="Y682">
        <v>0.69</v>
      </c>
      <c r="Z682">
        <v>0.27</v>
      </c>
      <c r="AG682">
        <v>0.21</v>
      </c>
      <c r="AI682">
        <v>0.21</v>
      </c>
      <c r="BH682" t="s">
        <v>126</v>
      </c>
      <c r="BI682" t="s">
        <v>126</v>
      </c>
      <c r="BJ682" t="s">
        <v>126</v>
      </c>
      <c r="BK682" t="s">
        <v>126</v>
      </c>
      <c r="BS682" t="s">
        <v>126</v>
      </c>
      <c r="BT682" t="s">
        <v>126</v>
      </c>
      <c r="BU682" t="s">
        <v>126</v>
      </c>
      <c r="BV682" t="s">
        <v>126</v>
      </c>
      <c r="CN682" t="s">
        <v>147</v>
      </c>
      <c r="CP682" t="s">
        <v>383</v>
      </c>
      <c r="CQ682" t="s">
        <v>147</v>
      </c>
    </row>
    <row r="683" spans="1:95" x14ac:dyDescent="0.2">
      <c r="A683" t="s">
        <v>115</v>
      </c>
      <c r="B683" t="s">
        <v>116</v>
      </c>
      <c r="C683">
        <v>210784</v>
      </c>
      <c r="E683" t="s">
        <v>117</v>
      </c>
      <c r="F683">
        <v>368</v>
      </c>
      <c r="G683" t="s">
        <v>141</v>
      </c>
      <c r="H683" t="s">
        <v>142</v>
      </c>
      <c r="I683" t="s">
        <v>279</v>
      </c>
      <c r="J683" t="s">
        <v>280</v>
      </c>
      <c r="L683" t="s">
        <v>386</v>
      </c>
      <c r="M683" s="8">
        <v>45717</v>
      </c>
      <c r="N683">
        <v>5677720</v>
      </c>
      <c r="O683" t="s">
        <v>123</v>
      </c>
      <c r="P683" t="s">
        <v>146</v>
      </c>
      <c r="Q683">
        <v>3</v>
      </c>
      <c r="R683" t="s">
        <v>628</v>
      </c>
      <c r="S683" t="s">
        <v>126</v>
      </c>
      <c r="T683" t="s">
        <v>628</v>
      </c>
      <c r="U683" t="s">
        <v>629</v>
      </c>
      <c r="W683">
        <v>0.92</v>
      </c>
      <c r="X683">
        <v>2.08</v>
      </c>
      <c r="Y683">
        <v>3</v>
      </c>
      <c r="Z683">
        <v>1.1499999999999999</v>
      </c>
      <c r="AG683">
        <v>0.92</v>
      </c>
      <c r="AI683">
        <v>0.93</v>
      </c>
      <c r="BH683" t="s">
        <v>126</v>
      </c>
      <c r="BI683" t="s">
        <v>126</v>
      </c>
      <c r="BJ683" t="s">
        <v>126</v>
      </c>
      <c r="BK683" t="s">
        <v>126</v>
      </c>
      <c r="BS683" t="s">
        <v>126</v>
      </c>
      <c r="BT683" t="s">
        <v>126</v>
      </c>
      <c r="BU683" t="s">
        <v>126</v>
      </c>
      <c r="BV683" t="s">
        <v>126</v>
      </c>
      <c r="CN683" t="s">
        <v>147</v>
      </c>
      <c r="CP683" t="s">
        <v>383</v>
      </c>
      <c r="CQ683" t="s">
        <v>147</v>
      </c>
    </row>
    <row r="684" spans="1:95" x14ac:dyDescent="0.2">
      <c r="A684" t="s">
        <v>115</v>
      </c>
      <c r="B684" t="s">
        <v>116</v>
      </c>
      <c r="C684">
        <v>210784</v>
      </c>
      <c r="E684" t="s">
        <v>117</v>
      </c>
      <c r="F684">
        <v>368</v>
      </c>
      <c r="G684" t="s">
        <v>141</v>
      </c>
      <c r="H684" t="s">
        <v>142</v>
      </c>
      <c r="I684" t="s">
        <v>279</v>
      </c>
      <c r="J684" t="s">
        <v>280</v>
      </c>
      <c r="L684" t="s">
        <v>387</v>
      </c>
      <c r="M684" s="8">
        <v>45717</v>
      </c>
      <c r="N684">
        <v>5678758</v>
      </c>
      <c r="O684" t="s">
        <v>123</v>
      </c>
      <c r="P684" t="s">
        <v>146</v>
      </c>
      <c r="Q684">
        <v>2.4500000000000002</v>
      </c>
      <c r="R684" t="s">
        <v>679</v>
      </c>
      <c r="S684" t="s">
        <v>126</v>
      </c>
      <c r="T684" t="s">
        <v>679</v>
      </c>
      <c r="U684" t="s">
        <v>680</v>
      </c>
      <c r="W684">
        <v>0.76</v>
      </c>
      <c r="X684">
        <v>1.69</v>
      </c>
      <c r="Y684">
        <v>2.4500000000000002</v>
      </c>
      <c r="Z684">
        <v>0.93</v>
      </c>
      <c r="AG684">
        <v>0.76</v>
      </c>
      <c r="AI684">
        <v>0.76</v>
      </c>
      <c r="BH684" t="s">
        <v>126</v>
      </c>
      <c r="BI684" t="s">
        <v>126</v>
      </c>
      <c r="BJ684" t="s">
        <v>126</v>
      </c>
      <c r="BK684" t="s">
        <v>126</v>
      </c>
      <c r="BS684" t="s">
        <v>126</v>
      </c>
      <c r="BT684" t="s">
        <v>126</v>
      </c>
      <c r="BU684" t="s">
        <v>126</v>
      </c>
      <c r="BV684" t="s">
        <v>126</v>
      </c>
      <c r="CN684" t="s">
        <v>147</v>
      </c>
      <c r="CP684" t="s">
        <v>383</v>
      </c>
      <c r="CQ684" t="s">
        <v>147</v>
      </c>
    </row>
    <row r="685" spans="1:95" x14ac:dyDescent="0.2">
      <c r="A685" t="s">
        <v>115</v>
      </c>
      <c r="B685" t="s">
        <v>116</v>
      </c>
      <c r="C685">
        <v>210784</v>
      </c>
      <c r="E685" t="s">
        <v>117</v>
      </c>
      <c r="F685">
        <v>368</v>
      </c>
      <c r="G685" t="s">
        <v>141</v>
      </c>
      <c r="H685" t="s">
        <v>142</v>
      </c>
      <c r="I685" t="s">
        <v>279</v>
      </c>
      <c r="J685" t="s">
        <v>280</v>
      </c>
      <c r="L685" t="s">
        <v>388</v>
      </c>
      <c r="M685" s="8">
        <v>45717</v>
      </c>
      <c r="N685">
        <v>5679800</v>
      </c>
      <c r="O685" t="s">
        <v>123</v>
      </c>
      <c r="P685" t="s">
        <v>146</v>
      </c>
      <c r="Q685">
        <v>1.04</v>
      </c>
      <c r="R685" t="s">
        <v>569</v>
      </c>
      <c r="S685" t="s">
        <v>126</v>
      </c>
      <c r="T685" t="s">
        <v>569</v>
      </c>
      <c r="U685" t="s">
        <v>570</v>
      </c>
      <c r="W685">
        <v>0.32</v>
      </c>
      <c r="X685">
        <v>0.72</v>
      </c>
      <c r="Y685">
        <v>1.04</v>
      </c>
      <c r="Z685">
        <v>0.4</v>
      </c>
      <c r="AG685">
        <v>0.32</v>
      </c>
      <c r="AI685">
        <v>0.32</v>
      </c>
      <c r="BH685" t="s">
        <v>126</v>
      </c>
      <c r="BI685" t="s">
        <v>126</v>
      </c>
      <c r="BJ685" t="s">
        <v>126</v>
      </c>
      <c r="BK685" t="s">
        <v>126</v>
      </c>
      <c r="BS685" t="s">
        <v>126</v>
      </c>
      <c r="BT685" t="s">
        <v>126</v>
      </c>
      <c r="BU685" t="s">
        <v>126</v>
      </c>
      <c r="BV685" t="s">
        <v>126</v>
      </c>
      <c r="CN685" t="s">
        <v>147</v>
      </c>
      <c r="CP685" t="s">
        <v>383</v>
      </c>
      <c r="CQ685" t="s">
        <v>147</v>
      </c>
    </row>
    <row r="686" spans="1:95" x14ac:dyDescent="0.2">
      <c r="A686" t="s">
        <v>115</v>
      </c>
      <c r="B686" t="s">
        <v>116</v>
      </c>
      <c r="C686">
        <v>210784</v>
      </c>
      <c r="E686" t="s">
        <v>117</v>
      </c>
      <c r="F686">
        <v>368</v>
      </c>
      <c r="G686" t="s">
        <v>141</v>
      </c>
      <c r="H686" t="s">
        <v>142</v>
      </c>
      <c r="I686" t="s">
        <v>279</v>
      </c>
      <c r="J686" t="s">
        <v>280</v>
      </c>
      <c r="L686" t="s">
        <v>390</v>
      </c>
      <c r="M686" s="8">
        <v>45717</v>
      </c>
      <c r="N686">
        <v>5681113</v>
      </c>
      <c r="O686" t="s">
        <v>123</v>
      </c>
      <c r="P686" t="s">
        <v>146</v>
      </c>
      <c r="Q686">
        <v>3.8299999999999996</v>
      </c>
      <c r="R686" t="s">
        <v>610</v>
      </c>
      <c r="S686" t="s">
        <v>126</v>
      </c>
      <c r="T686" t="s">
        <v>610</v>
      </c>
      <c r="U686" t="s">
        <v>611</v>
      </c>
      <c r="W686">
        <v>1.18</v>
      </c>
      <c r="X686">
        <v>2.65</v>
      </c>
      <c r="Y686">
        <v>3.8299999999999996</v>
      </c>
      <c r="Z686">
        <v>1.46</v>
      </c>
      <c r="AG686">
        <v>1.18</v>
      </c>
      <c r="AI686">
        <v>1.19</v>
      </c>
      <c r="BH686" t="s">
        <v>126</v>
      </c>
      <c r="BI686" t="s">
        <v>126</v>
      </c>
      <c r="BJ686" t="s">
        <v>126</v>
      </c>
      <c r="BK686" t="s">
        <v>126</v>
      </c>
      <c r="BS686" t="s">
        <v>126</v>
      </c>
      <c r="BT686" t="s">
        <v>126</v>
      </c>
      <c r="BU686" t="s">
        <v>126</v>
      </c>
      <c r="BV686" t="s">
        <v>126</v>
      </c>
      <c r="CN686" t="s">
        <v>147</v>
      </c>
      <c r="CP686" t="s">
        <v>383</v>
      </c>
      <c r="CQ686" t="s">
        <v>147</v>
      </c>
    </row>
    <row r="687" spans="1:95" x14ac:dyDescent="0.2">
      <c r="A687" t="s">
        <v>115</v>
      </c>
      <c r="B687" t="s">
        <v>116</v>
      </c>
      <c r="C687">
        <v>210784</v>
      </c>
      <c r="E687" t="s">
        <v>117</v>
      </c>
      <c r="F687">
        <v>368</v>
      </c>
      <c r="G687" t="s">
        <v>141</v>
      </c>
      <c r="H687" t="s">
        <v>142</v>
      </c>
      <c r="I687" t="s">
        <v>279</v>
      </c>
      <c r="J687" t="s">
        <v>280</v>
      </c>
      <c r="L687" t="s">
        <v>384</v>
      </c>
      <c r="M687" s="8">
        <v>45717</v>
      </c>
      <c r="N687">
        <v>5676681</v>
      </c>
      <c r="O687" t="s">
        <v>123</v>
      </c>
      <c r="P687" t="s">
        <v>146</v>
      </c>
      <c r="Q687">
        <v>0.8</v>
      </c>
      <c r="R687" t="s">
        <v>125</v>
      </c>
      <c r="S687" t="s">
        <v>126</v>
      </c>
      <c r="T687" t="s">
        <v>125</v>
      </c>
      <c r="U687" t="s">
        <v>126</v>
      </c>
      <c r="W687">
        <v>0.8</v>
      </c>
      <c r="Y687">
        <v>0.8</v>
      </c>
      <c r="BE687">
        <v>0.8</v>
      </c>
      <c r="BH687" t="s">
        <v>126</v>
      </c>
      <c r="BI687" t="s">
        <v>126</v>
      </c>
      <c r="BJ687" t="s">
        <v>126</v>
      </c>
      <c r="BK687" t="s">
        <v>126</v>
      </c>
      <c r="BS687" t="s">
        <v>126</v>
      </c>
      <c r="BT687" t="s">
        <v>126</v>
      </c>
      <c r="BU687" t="s">
        <v>126</v>
      </c>
      <c r="BV687" t="s">
        <v>126</v>
      </c>
      <c r="CN687" t="s">
        <v>147</v>
      </c>
      <c r="CP687" t="s">
        <v>383</v>
      </c>
      <c r="CQ687" t="s">
        <v>147</v>
      </c>
    </row>
    <row r="688" spans="1:95" x14ac:dyDescent="0.2">
      <c r="A688" t="s">
        <v>115</v>
      </c>
      <c r="B688" t="s">
        <v>116</v>
      </c>
      <c r="C688">
        <v>210784</v>
      </c>
      <c r="E688" t="s">
        <v>117</v>
      </c>
      <c r="F688">
        <v>368</v>
      </c>
      <c r="G688" t="s">
        <v>141</v>
      </c>
      <c r="H688" t="s">
        <v>142</v>
      </c>
      <c r="I688" t="s">
        <v>279</v>
      </c>
      <c r="J688" t="s">
        <v>280</v>
      </c>
      <c r="L688" t="s">
        <v>887</v>
      </c>
      <c r="M688" s="8">
        <v>45717</v>
      </c>
      <c r="N688">
        <v>5676919</v>
      </c>
      <c r="O688" t="s">
        <v>123</v>
      </c>
      <c r="P688" t="s">
        <v>146</v>
      </c>
      <c r="Q688">
        <v>2.44</v>
      </c>
      <c r="R688" t="s">
        <v>125</v>
      </c>
      <c r="S688" t="s">
        <v>126</v>
      </c>
      <c r="T688" t="s">
        <v>125</v>
      </c>
      <c r="U688" t="s">
        <v>126</v>
      </c>
      <c r="W688">
        <v>2.44</v>
      </c>
      <c r="Y688">
        <v>2.44</v>
      </c>
      <c r="BE688">
        <v>2.44</v>
      </c>
      <c r="BH688" t="s">
        <v>126</v>
      </c>
      <c r="BI688" t="s">
        <v>126</v>
      </c>
      <c r="BJ688" t="s">
        <v>126</v>
      </c>
      <c r="BK688" t="s">
        <v>126</v>
      </c>
      <c r="BS688" t="s">
        <v>126</v>
      </c>
      <c r="BT688" t="s">
        <v>126</v>
      </c>
      <c r="BU688" t="s">
        <v>126</v>
      </c>
      <c r="BV688" t="s">
        <v>126</v>
      </c>
      <c r="CN688" t="s">
        <v>147</v>
      </c>
      <c r="CP688" t="s">
        <v>383</v>
      </c>
      <c r="CQ688" t="s">
        <v>147</v>
      </c>
    </row>
    <row r="689" spans="1:95" x14ac:dyDescent="0.2">
      <c r="A689" t="s">
        <v>115</v>
      </c>
      <c r="B689" t="s">
        <v>116</v>
      </c>
      <c r="C689">
        <v>210784</v>
      </c>
      <c r="E689" t="s">
        <v>117</v>
      </c>
      <c r="F689">
        <v>368</v>
      </c>
      <c r="G689" t="s">
        <v>141</v>
      </c>
      <c r="H689" t="s">
        <v>142</v>
      </c>
      <c r="I689" t="s">
        <v>279</v>
      </c>
      <c r="J689" t="s">
        <v>280</v>
      </c>
      <c r="L689" t="s">
        <v>887</v>
      </c>
      <c r="M689" s="8">
        <v>45717</v>
      </c>
      <c r="N689">
        <v>5677314</v>
      </c>
      <c r="O689" t="s">
        <v>123</v>
      </c>
      <c r="P689" t="s">
        <v>146</v>
      </c>
      <c r="Q689">
        <v>1.62</v>
      </c>
      <c r="R689" t="s">
        <v>125</v>
      </c>
      <c r="S689" t="s">
        <v>126</v>
      </c>
      <c r="T689" t="s">
        <v>125</v>
      </c>
      <c r="U689" t="s">
        <v>126</v>
      </c>
      <c r="W689">
        <v>1.62</v>
      </c>
      <c r="Y689">
        <v>1.62</v>
      </c>
      <c r="BE689">
        <v>1.62</v>
      </c>
      <c r="BH689" t="s">
        <v>126</v>
      </c>
      <c r="BI689" t="s">
        <v>126</v>
      </c>
      <c r="BJ689" t="s">
        <v>126</v>
      </c>
      <c r="BK689" t="s">
        <v>126</v>
      </c>
      <c r="BS689" t="s">
        <v>126</v>
      </c>
      <c r="BT689" t="s">
        <v>126</v>
      </c>
      <c r="BU689" t="s">
        <v>126</v>
      </c>
      <c r="BV689" t="s">
        <v>126</v>
      </c>
      <c r="CN689" t="s">
        <v>147</v>
      </c>
      <c r="CP689" t="s">
        <v>383</v>
      </c>
      <c r="CQ689" t="s">
        <v>147</v>
      </c>
    </row>
    <row r="690" spans="1:95" x14ac:dyDescent="0.2">
      <c r="A690" t="s">
        <v>115</v>
      </c>
      <c r="B690" t="s">
        <v>116</v>
      </c>
      <c r="C690">
        <v>210784</v>
      </c>
      <c r="E690" t="s">
        <v>117</v>
      </c>
      <c r="F690">
        <v>368</v>
      </c>
      <c r="G690" t="s">
        <v>141</v>
      </c>
      <c r="H690" t="s">
        <v>142</v>
      </c>
      <c r="I690" t="s">
        <v>279</v>
      </c>
      <c r="J690" t="s">
        <v>280</v>
      </c>
      <c r="L690" t="s">
        <v>391</v>
      </c>
      <c r="M690" s="8">
        <v>45717</v>
      </c>
      <c r="N690">
        <v>5682158</v>
      </c>
      <c r="O690" t="s">
        <v>123</v>
      </c>
      <c r="P690" t="s">
        <v>146</v>
      </c>
      <c r="Q690">
        <v>1.28</v>
      </c>
      <c r="R690" t="s">
        <v>125</v>
      </c>
      <c r="S690" t="s">
        <v>126</v>
      </c>
      <c r="T690" t="s">
        <v>125</v>
      </c>
      <c r="U690" t="s">
        <v>126</v>
      </c>
      <c r="W690">
        <v>1.28</v>
      </c>
      <c r="Y690">
        <v>1.28</v>
      </c>
      <c r="BE690">
        <v>1.28</v>
      </c>
      <c r="BH690" t="s">
        <v>126</v>
      </c>
      <c r="BI690" t="s">
        <v>126</v>
      </c>
      <c r="BJ690" t="s">
        <v>126</v>
      </c>
      <c r="BK690" t="s">
        <v>126</v>
      </c>
      <c r="BS690" t="s">
        <v>126</v>
      </c>
      <c r="BT690" t="s">
        <v>126</v>
      </c>
      <c r="BU690" t="s">
        <v>126</v>
      </c>
      <c r="BV690" t="s">
        <v>126</v>
      </c>
      <c r="CN690" t="s">
        <v>147</v>
      </c>
      <c r="CP690" t="s">
        <v>383</v>
      </c>
      <c r="CQ690" t="s">
        <v>147</v>
      </c>
    </row>
    <row r="691" spans="1:95" x14ac:dyDescent="0.2">
      <c r="A691" t="s">
        <v>115</v>
      </c>
      <c r="B691" t="s">
        <v>116</v>
      </c>
      <c r="C691">
        <v>210784</v>
      </c>
      <c r="E691" t="s">
        <v>117</v>
      </c>
      <c r="F691">
        <v>368</v>
      </c>
      <c r="G691" t="s">
        <v>141</v>
      </c>
      <c r="H691" t="s">
        <v>142</v>
      </c>
      <c r="I691" t="s">
        <v>279</v>
      </c>
      <c r="J691" t="s">
        <v>280</v>
      </c>
      <c r="L691" t="s">
        <v>392</v>
      </c>
      <c r="M691" s="8">
        <v>45717</v>
      </c>
      <c r="N691">
        <v>5683006</v>
      </c>
      <c r="O691" t="s">
        <v>123</v>
      </c>
      <c r="P691" t="s">
        <v>146</v>
      </c>
      <c r="Q691">
        <v>1.07</v>
      </c>
      <c r="R691" t="s">
        <v>125</v>
      </c>
      <c r="S691" t="s">
        <v>126</v>
      </c>
      <c r="T691" t="s">
        <v>125</v>
      </c>
      <c r="U691" t="s">
        <v>126</v>
      </c>
      <c r="W691">
        <v>1.07</v>
      </c>
      <c r="Y691">
        <v>1.07</v>
      </c>
      <c r="BE691">
        <v>1.07</v>
      </c>
      <c r="BH691" t="s">
        <v>126</v>
      </c>
      <c r="BI691" t="s">
        <v>126</v>
      </c>
      <c r="BJ691" t="s">
        <v>126</v>
      </c>
      <c r="BK691" t="s">
        <v>126</v>
      </c>
      <c r="BS691" t="s">
        <v>126</v>
      </c>
      <c r="BT691" t="s">
        <v>126</v>
      </c>
      <c r="BU691" t="s">
        <v>126</v>
      </c>
      <c r="BV691" t="s">
        <v>126</v>
      </c>
      <c r="CN691" t="s">
        <v>147</v>
      </c>
      <c r="CP691" t="s">
        <v>383</v>
      </c>
      <c r="CQ691" t="s">
        <v>147</v>
      </c>
    </row>
    <row r="692" spans="1:95" x14ac:dyDescent="0.2">
      <c r="A692" t="s">
        <v>115</v>
      </c>
      <c r="B692" t="s">
        <v>116</v>
      </c>
      <c r="C692">
        <v>210784</v>
      </c>
      <c r="E692" t="s">
        <v>117</v>
      </c>
      <c r="F692">
        <v>368</v>
      </c>
      <c r="G692" t="s">
        <v>141</v>
      </c>
      <c r="H692" t="s">
        <v>142</v>
      </c>
      <c r="I692" t="s">
        <v>279</v>
      </c>
      <c r="J692" t="s">
        <v>280</v>
      </c>
      <c r="L692" t="s">
        <v>888</v>
      </c>
      <c r="M692" s="8">
        <v>45717</v>
      </c>
      <c r="N692">
        <v>5684036</v>
      </c>
      <c r="O692" t="s">
        <v>123</v>
      </c>
      <c r="P692" t="s">
        <v>146</v>
      </c>
      <c r="Q692">
        <v>1.2</v>
      </c>
      <c r="R692" t="s">
        <v>125</v>
      </c>
      <c r="S692" t="s">
        <v>126</v>
      </c>
      <c r="T692" t="s">
        <v>125</v>
      </c>
      <c r="U692" t="s">
        <v>126</v>
      </c>
      <c r="W692">
        <v>1.2</v>
      </c>
      <c r="Y692">
        <v>1.2</v>
      </c>
      <c r="BE692">
        <v>1.2</v>
      </c>
      <c r="BH692" t="s">
        <v>126</v>
      </c>
      <c r="BI692" t="s">
        <v>126</v>
      </c>
      <c r="BJ692" t="s">
        <v>126</v>
      </c>
      <c r="BK692" t="s">
        <v>126</v>
      </c>
      <c r="BS692" t="s">
        <v>126</v>
      </c>
      <c r="BT692" t="s">
        <v>126</v>
      </c>
      <c r="BU692" t="s">
        <v>126</v>
      </c>
      <c r="BV692" t="s">
        <v>126</v>
      </c>
      <c r="CN692" t="s">
        <v>147</v>
      </c>
      <c r="CP692" t="s">
        <v>383</v>
      </c>
      <c r="CQ692" t="s">
        <v>147</v>
      </c>
    </row>
    <row r="693" spans="1:95" x14ac:dyDescent="0.2">
      <c r="A693" t="s">
        <v>115</v>
      </c>
      <c r="B693" t="s">
        <v>116</v>
      </c>
      <c r="C693">
        <v>210784</v>
      </c>
      <c r="E693" t="s">
        <v>117</v>
      </c>
      <c r="F693">
        <v>368</v>
      </c>
      <c r="G693" t="s">
        <v>141</v>
      </c>
      <c r="H693" t="s">
        <v>142</v>
      </c>
      <c r="I693" t="s">
        <v>279</v>
      </c>
      <c r="J693" t="s">
        <v>280</v>
      </c>
      <c r="L693" t="s">
        <v>888</v>
      </c>
      <c r="M693" s="8">
        <v>45717</v>
      </c>
      <c r="N693">
        <v>5683814</v>
      </c>
      <c r="O693" t="s">
        <v>123</v>
      </c>
      <c r="P693" t="s">
        <v>146</v>
      </c>
      <c r="Q693">
        <v>1.6</v>
      </c>
      <c r="R693" t="s">
        <v>125</v>
      </c>
      <c r="S693" t="s">
        <v>126</v>
      </c>
      <c r="T693" t="s">
        <v>125</v>
      </c>
      <c r="U693" t="s">
        <v>126</v>
      </c>
      <c r="W693">
        <v>1.6</v>
      </c>
      <c r="Y693">
        <v>1.6</v>
      </c>
      <c r="BE693">
        <v>1.6</v>
      </c>
      <c r="BH693" t="s">
        <v>126</v>
      </c>
      <c r="BI693" t="s">
        <v>126</v>
      </c>
      <c r="BJ693" t="s">
        <v>126</v>
      </c>
      <c r="BK693" t="s">
        <v>126</v>
      </c>
      <c r="BS693" t="s">
        <v>126</v>
      </c>
      <c r="BT693" t="s">
        <v>126</v>
      </c>
      <c r="BU693" t="s">
        <v>126</v>
      </c>
      <c r="BV693" t="s">
        <v>126</v>
      </c>
      <c r="CN693" t="s">
        <v>147</v>
      </c>
      <c r="CP693" t="s">
        <v>383</v>
      </c>
      <c r="CQ693" t="s">
        <v>147</v>
      </c>
    </row>
    <row r="694" spans="1:95" x14ac:dyDescent="0.2">
      <c r="A694" t="s">
        <v>115</v>
      </c>
      <c r="B694" t="s">
        <v>116</v>
      </c>
      <c r="C694">
        <v>210784</v>
      </c>
      <c r="E694" t="s">
        <v>117</v>
      </c>
      <c r="F694">
        <v>368</v>
      </c>
      <c r="G694" t="s">
        <v>141</v>
      </c>
      <c r="H694" t="s">
        <v>142</v>
      </c>
      <c r="I694" t="s">
        <v>279</v>
      </c>
      <c r="J694" t="s">
        <v>280</v>
      </c>
      <c r="L694" t="s">
        <v>393</v>
      </c>
      <c r="M694" s="8">
        <v>45717</v>
      </c>
      <c r="N694">
        <v>5684845</v>
      </c>
      <c r="O694" t="s">
        <v>123</v>
      </c>
      <c r="P694" t="s">
        <v>146</v>
      </c>
      <c r="Q694">
        <v>0.56000000000000005</v>
      </c>
      <c r="R694" t="s">
        <v>125</v>
      </c>
      <c r="S694" t="s">
        <v>126</v>
      </c>
      <c r="T694" t="s">
        <v>125</v>
      </c>
      <c r="U694" t="s">
        <v>126</v>
      </c>
      <c r="W694">
        <v>0.56000000000000005</v>
      </c>
      <c r="Y694">
        <v>0.56000000000000005</v>
      </c>
      <c r="BE694">
        <v>0.56000000000000005</v>
      </c>
      <c r="BH694" t="s">
        <v>126</v>
      </c>
      <c r="BI694" t="s">
        <v>126</v>
      </c>
      <c r="BJ694" t="s">
        <v>126</v>
      </c>
      <c r="BK694" t="s">
        <v>126</v>
      </c>
      <c r="BS694" t="s">
        <v>126</v>
      </c>
      <c r="BT694" t="s">
        <v>126</v>
      </c>
      <c r="BU694" t="s">
        <v>126</v>
      </c>
      <c r="BV694" t="s">
        <v>126</v>
      </c>
      <c r="CN694" t="s">
        <v>147</v>
      </c>
      <c r="CP694" t="s">
        <v>383</v>
      </c>
      <c r="CQ694" t="s">
        <v>147</v>
      </c>
    </row>
    <row r="695" spans="1:95" x14ac:dyDescent="0.2">
      <c r="A695" t="s">
        <v>115</v>
      </c>
      <c r="B695" t="s">
        <v>116</v>
      </c>
      <c r="C695">
        <v>210784</v>
      </c>
      <c r="E695" t="s">
        <v>117</v>
      </c>
      <c r="F695">
        <v>368</v>
      </c>
      <c r="G695" t="s">
        <v>141</v>
      </c>
      <c r="H695" t="s">
        <v>142</v>
      </c>
      <c r="I695" t="s">
        <v>279</v>
      </c>
      <c r="J695" t="s">
        <v>280</v>
      </c>
      <c r="L695" t="s">
        <v>394</v>
      </c>
      <c r="M695" s="8">
        <v>45717</v>
      </c>
      <c r="N695">
        <v>5685225</v>
      </c>
      <c r="O695" t="s">
        <v>123</v>
      </c>
      <c r="P695" t="s">
        <v>146</v>
      </c>
      <c r="Q695">
        <v>0.77</v>
      </c>
      <c r="R695" t="s">
        <v>125</v>
      </c>
      <c r="S695" t="s">
        <v>126</v>
      </c>
      <c r="T695" t="s">
        <v>125</v>
      </c>
      <c r="U695" t="s">
        <v>126</v>
      </c>
      <c r="W695">
        <v>0.77</v>
      </c>
      <c r="Y695">
        <v>0.77</v>
      </c>
      <c r="BE695">
        <v>0.77</v>
      </c>
      <c r="BH695" t="s">
        <v>126</v>
      </c>
      <c r="BI695" t="s">
        <v>126</v>
      </c>
      <c r="BJ695" t="s">
        <v>126</v>
      </c>
      <c r="BK695" t="s">
        <v>126</v>
      </c>
      <c r="BS695" t="s">
        <v>126</v>
      </c>
      <c r="BT695" t="s">
        <v>126</v>
      </c>
      <c r="BU695" t="s">
        <v>126</v>
      </c>
      <c r="BV695" t="s">
        <v>126</v>
      </c>
      <c r="CN695" t="s">
        <v>147</v>
      </c>
      <c r="CP695" t="s">
        <v>383</v>
      </c>
      <c r="CQ695" t="s">
        <v>147</v>
      </c>
    </row>
    <row r="696" spans="1:95" x14ac:dyDescent="0.2">
      <c r="A696" t="s">
        <v>115</v>
      </c>
      <c r="B696" t="s">
        <v>116</v>
      </c>
      <c r="C696">
        <v>210784</v>
      </c>
      <c r="E696" t="s">
        <v>117</v>
      </c>
      <c r="F696">
        <v>368</v>
      </c>
      <c r="G696" t="s">
        <v>141</v>
      </c>
      <c r="H696" t="s">
        <v>142</v>
      </c>
      <c r="I696" t="s">
        <v>279</v>
      </c>
      <c r="J696" t="s">
        <v>280</v>
      </c>
      <c r="L696" t="s">
        <v>395</v>
      </c>
      <c r="M696" s="8">
        <v>45717</v>
      </c>
      <c r="N696">
        <v>5686432</v>
      </c>
      <c r="O696" t="s">
        <v>123</v>
      </c>
      <c r="P696" t="s">
        <v>146</v>
      </c>
      <c r="Q696">
        <v>1.0900000000000001</v>
      </c>
      <c r="R696" t="s">
        <v>125</v>
      </c>
      <c r="S696" t="s">
        <v>126</v>
      </c>
      <c r="T696" t="s">
        <v>125</v>
      </c>
      <c r="U696" t="s">
        <v>126</v>
      </c>
      <c r="W696">
        <v>1.0900000000000001</v>
      </c>
      <c r="Y696">
        <v>1.0900000000000001</v>
      </c>
      <c r="BE696">
        <v>1.0900000000000001</v>
      </c>
      <c r="BH696" t="s">
        <v>126</v>
      </c>
      <c r="BI696" t="s">
        <v>126</v>
      </c>
      <c r="BJ696" t="s">
        <v>126</v>
      </c>
      <c r="BK696" t="s">
        <v>126</v>
      </c>
      <c r="BS696" t="s">
        <v>126</v>
      </c>
      <c r="BT696" t="s">
        <v>126</v>
      </c>
      <c r="BU696" t="s">
        <v>126</v>
      </c>
      <c r="BV696" t="s">
        <v>126</v>
      </c>
      <c r="CN696" t="s">
        <v>147</v>
      </c>
      <c r="CP696" t="s">
        <v>402</v>
      </c>
      <c r="CQ696" t="s">
        <v>147</v>
      </c>
    </row>
    <row r="697" spans="1:95" x14ac:dyDescent="0.2">
      <c r="A697" t="s">
        <v>115</v>
      </c>
      <c r="B697" t="s">
        <v>116</v>
      </c>
      <c r="C697">
        <v>210784</v>
      </c>
      <c r="E697" t="s">
        <v>117</v>
      </c>
      <c r="F697">
        <v>368</v>
      </c>
      <c r="G697" t="s">
        <v>141</v>
      </c>
      <c r="H697" t="s">
        <v>142</v>
      </c>
      <c r="I697" t="s">
        <v>279</v>
      </c>
      <c r="J697" t="s">
        <v>280</v>
      </c>
      <c r="L697" t="s">
        <v>398</v>
      </c>
      <c r="M697" s="8">
        <v>45717</v>
      </c>
      <c r="N697">
        <v>5688065</v>
      </c>
      <c r="O697" t="s">
        <v>123</v>
      </c>
      <c r="P697" t="s">
        <v>146</v>
      </c>
      <c r="Q697">
        <v>1.86</v>
      </c>
      <c r="R697" t="s">
        <v>125</v>
      </c>
      <c r="S697" t="s">
        <v>126</v>
      </c>
      <c r="T697" t="s">
        <v>125</v>
      </c>
      <c r="U697" t="s">
        <v>126</v>
      </c>
      <c r="W697">
        <v>1.86</v>
      </c>
      <c r="Y697">
        <v>1.86</v>
      </c>
      <c r="BE697">
        <v>1.86</v>
      </c>
      <c r="BH697" t="s">
        <v>126</v>
      </c>
      <c r="BI697" t="s">
        <v>126</v>
      </c>
      <c r="BJ697" t="s">
        <v>126</v>
      </c>
      <c r="BK697" t="s">
        <v>126</v>
      </c>
      <c r="BS697" t="s">
        <v>126</v>
      </c>
      <c r="BT697" t="s">
        <v>126</v>
      </c>
      <c r="BU697" t="s">
        <v>126</v>
      </c>
      <c r="BV697" t="s">
        <v>126</v>
      </c>
      <c r="CN697" t="s">
        <v>147</v>
      </c>
      <c r="CP697" t="s">
        <v>402</v>
      </c>
      <c r="CQ697" t="s">
        <v>147</v>
      </c>
    </row>
    <row r="698" spans="1:95" x14ac:dyDescent="0.2">
      <c r="A698" t="s">
        <v>115</v>
      </c>
      <c r="B698" t="s">
        <v>116</v>
      </c>
      <c r="C698">
        <v>210784</v>
      </c>
      <c r="E698" t="s">
        <v>117</v>
      </c>
      <c r="F698">
        <v>368</v>
      </c>
      <c r="G698" t="s">
        <v>141</v>
      </c>
      <c r="H698" t="s">
        <v>142</v>
      </c>
      <c r="I698" t="s">
        <v>279</v>
      </c>
      <c r="J698" t="s">
        <v>280</v>
      </c>
      <c r="L698" t="s">
        <v>399</v>
      </c>
      <c r="M698" s="8">
        <v>45717</v>
      </c>
      <c r="N698">
        <v>5688609</v>
      </c>
      <c r="O698" t="s">
        <v>123</v>
      </c>
      <c r="P698" t="s">
        <v>146</v>
      </c>
      <c r="Q698">
        <v>2.4500000000000002</v>
      </c>
      <c r="R698" t="s">
        <v>125</v>
      </c>
      <c r="S698" t="s">
        <v>126</v>
      </c>
      <c r="T698" t="s">
        <v>125</v>
      </c>
      <c r="U698" t="s">
        <v>126</v>
      </c>
      <c r="W698">
        <v>2.4500000000000002</v>
      </c>
      <c r="Y698">
        <v>2.4500000000000002</v>
      </c>
      <c r="BE698">
        <v>2.4500000000000002</v>
      </c>
      <c r="BH698" t="s">
        <v>126</v>
      </c>
      <c r="BI698" t="s">
        <v>126</v>
      </c>
      <c r="BJ698" t="s">
        <v>126</v>
      </c>
      <c r="BK698" t="s">
        <v>126</v>
      </c>
      <c r="BS698" t="s">
        <v>126</v>
      </c>
      <c r="BT698" t="s">
        <v>126</v>
      </c>
      <c r="BU698" t="s">
        <v>126</v>
      </c>
      <c r="BV698" t="s">
        <v>126</v>
      </c>
      <c r="CN698" t="s">
        <v>147</v>
      </c>
      <c r="CP698" t="s">
        <v>402</v>
      </c>
      <c r="CQ698" t="s">
        <v>147</v>
      </c>
    </row>
    <row r="699" spans="1:95" x14ac:dyDescent="0.2">
      <c r="A699" t="s">
        <v>115</v>
      </c>
      <c r="B699" t="s">
        <v>116</v>
      </c>
      <c r="C699">
        <v>210784</v>
      </c>
      <c r="E699" t="s">
        <v>117</v>
      </c>
      <c r="F699">
        <v>368</v>
      </c>
      <c r="G699" t="s">
        <v>141</v>
      </c>
      <c r="H699" t="s">
        <v>142</v>
      </c>
      <c r="I699" t="s">
        <v>279</v>
      </c>
      <c r="J699" t="s">
        <v>280</v>
      </c>
      <c r="L699" t="s">
        <v>399</v>
      </c>
      <c r="M699" s="8">
        <v>45717</v>
      </c>
      <c r="N699">
        <v>5688998</v>
      </c>
      <c r="O699" t="s">
        <v>123</v>
      </c>
      <c r="P699" t="s">
        <v>146</v>
      </c>
      <c r="Q699">
        <v>0.54</v>
      </c>
      <c r="R699" t="s">
        <v>125</v>
      </c>
      <c r="S699" t="s">
        <v>126</v>
      </c>
      <c r="T699" t="s">
        <v>125</v>
      </c>
      <c r="U699" t="s">
        <v>126</v>
      </c>
      <c r="W699">
        <v>0.54</v>
      </c>
      <c r="Y699">
        <v>0.54</v>
      </c>
      <c r="BE699">
        <v>0.54</v>
      </c>
      <c r="BH699" t="s">
        <v>126</v>
      </c>
      <c r="BI699" t="s">
        <v>126</v>
      </c>
      <c r="BJ699" t="s">
        <v>126</v>
      </c>
      <c r="BK699" t="s">
        <v>126</v>
      </c>
      <c r="BS699" t="s">
        <v>126</v>
      </c>
      <c r="BT699" t="s">
        <v>126</v>
      </c>
      <c r="BU699" t="s">
        <v>126</v>
      </c>
      <c r="BV699" t="s">
        <v>126</v>
      </c>
      <c r="CN699" t="s">
        <v>147</v>
      </c>
      <c r="CP699" t="s">
        <v>402</v>
      </c>
      <c r="CQ699" t="s">
        <v>147</v>
      </c>
    </row>
    <row r="700" spans="1:95" x14ac:dyDescent="0.2">
      <c r="A700" t="s">
        <v>115</v>
      </c>
      <c r="B700" t="s">
        <v>116</v>
      </c>
      <c r="C700">
        <v>210784</v>
      </c>
      <c r="E700" t="s">
        <v>117</v>
      </c>
      <c r="F700">
        <v>368</v>
      </c>
      <c r="G700" t="s">
        <v>141</v>
      </c>
      <c r="H700" t="s">
        <v>142</v>
      </c>
      <c r="I700" t="s">
        <v>279</v>
      </c>
      <c r="J700" t="s">
        <v>280</v>
      </c>
      <c r="L700" t="s">
        <v>400</v>
      </c>
      <c r="M700" s="8">
        <v>45717</v>
      </c>
      <c r="N700">
        <v>5690675</v>
      </c>
      <c r="O700" t="s">
        <v>123</v>
      </c>
      <c r="P700" t="s">
        <v>146</v>
      </c>
      <c r="Q700">
        <v>1.07</v>
      </c>
      <c r="R700" t="s">
        <v>125</v>
      </c>
      <c r="S700" t="s">
        <v>126</v>
      </c>
      <c r="T700" t="s">
        <v>125</v>
      </c>
      <c r="U700" t="s">
        <v>126</v>
      </c>
      <c r="W700">
        <v>1.07</v>
      </c>
      <c r="Y700">
        <v>1.07</v>
      </c>
      <c r="BE700">
        <v>1.07</v>
      </c>
      <c r="BH700" t="s">
        <v>126</v>
      </c>
      <c r="BI700" t="s">
        <v>126</v>
      </c>
      <c r="BJ700" t="s">
        <v>126</v>
      </c>
      <c r="BK700" t="s">
        <v>126</v>
      </c>
      <c r="BS700" t="s">
        <v>126</v>
      </c>
      <c r="BT700" t="s">
        <v>126</v>
      </c>
      <c r="BU700" t="s">
        <v>126</v>
      </c>
      <c r="BV700" t="s">
        <v>126</v>
      </c>
      <c r="CN700" t="s">
        <v>147</v>
      </c>
      <c r="CP700" t="s">
        <v>283</v>
      </c>
      <c r="CQ700" t="s">
        <v>147</v>
      </c>
    </row>
    <row r="701" spans="1:95" x14ac:dyDescent="0.2">
      <c r="A701" t="s">
        <v>115</v>
      </c>
      <c r="B701" t="s">
        <v>116</v>
      </c>
      <c r="C701">
        <v>210784</v>
      </c>
      <c r="E701" t="s">
        <v>117</v>
      </c>
      <c r="F701">
        <v>368</v>
      </c>
      <c r="G701" t="s">
        <v>141</v>
      </c>
      <c r="H701" t="s">
        <v>142</v>
      </c>
      <c r="I701" t="s">
        <v>279</v>
      </c>
      <c r="J701" t="s">
        <v>280</v>
      </c>
      <c r="L701" t="s">
        <v>383</v>
      </c>
      <c r="M701" s="8">
        <v>45717</v>
      </c>
      <c r="N701">
        <v>5691907</v>
      </c>
      <c r="O701" t="s">
        <v>123</v>
      </c>
      <c r="P701" t="s">
        <v>146</v>
      </c>
      <c r="Q701">
        <v>1.0900000000000001</v>
      </c>
      <c r="R701" t="s">
        <v>125</v>
      </c>
      <c r="S701" t="s">
        <v>126</v>
      </c>
      <c r="T701" t="s">
        <v>125</v>
      </c>
      <c r="U701" t="s">
        <v>126</v>
      </c>
      <c r="W701">
        <v>1.0900000000000001</v>
      </c>
      <c r="Y701">
        <v>1.0900000000000001</v>
      </c>
      <c r="BE701">
        <v>1.0900000000000001</v>
      </c>
      <c r="BH701" t="s">
        <v>126</v>
      </c>
      <c r="BI701" t="s">
        <v>126</v>
      </c>
      <c r="BJ701" t="s">
        <v>126</v>
      </c>
      <c r="BK701" t="s">
        <v>126</v>
      </c>
      <c r="BS701" t="s">
        <v>126</v>
      </c>
      <c r="BT701" t="s">
        <v>126</v>
      </c>
      <c r="BU701" t="s">
        <v>126</v>
      </c>
      <c r="BV701" t="s">
        <v>126</v>
      </c>
      <c r="CN701" t="s">
        <v>147</v>
      </c>
      <c r="CP701" t="s">
        <v>283</v>
      </c>
      <c r="CQ701" t="s">
        <v>147</v>
      </c>
    </row>
    <row r="702" spans="1:95" x14ac:dyDescent="0.2">
      <c r="A702" t="s">
        <v>115</v>
      </c>
      <c r="B702" t="s">
        <v>116</v>
      </c>
      <c r="C702">
        <v>210784</v>
      </c>
      <c r="E702" t="s">
        <v>117</v>
      </c>
      <c r="F702">
        <v>368</v>
      </c>
      <c r="G702" t="s">
        <v>141</v>
      </c>
      <c r="H702" t="s">
        <v>142</v>
      </c>
      <c r="I702" t="s">
        <v>204</v>
      </c>
      <c r="J702" t="s">
        <v>205</v>
      </c>
      <c r="L702" t="s">
        <v>282</v>
      </c>
      <c r="M702" s="8">
        <v>45748</v>
      </c>
      <c r="N702">
        <v>120677</v>
      </c>
      <c r="O702" t="s">
        <v>123</v>
      </c>
      <c r="P702" t="s">
        <v>146</v>
      </c>
      <c r="Q702">
        <v>7.59</v>
      </c>
      <c r="R702" t="s">
        <v>125</v>
      </c>
      <c r="S702" t="s">
        <v>126</v>
      </c>
      <c r="T702" t="s">
        <v>125</v>
      </c>
      <c r="U702" t="s">
        <v>126</v>
      </c>
      <c r="W702">
        <v>7.59</v>
      </c>
      <c r="Y702">
        <v>7.59</v>
      </c>
      <c r="AC702">
        <v>7.59</v>
      </c>
      <c r="BH702" t="s">
        <v>126</v>
      </c>
      <c r="BI702" t="s">
        <v>126</v>
      </c>
      <c r="BJ702" t="s">
        <v>126</v>
      </c>
      <c r="BK702" t="s">
        <v>126</v>
      </c>
      <c r="BS702" t="s">
        <v>126</v>
      </c>
      <c r="BT702" t="s">
        <v>126</v>
      </c>
      <c r="BU702" t="s">
        <v>126</v>
      </c>
      <c r="BV702" t="s">
        <v>126</v>
      </c>
      <c r="CN702" t="s">
        <v>147</v>
      </c>
      <c r="CP702" t="s">
        <v>283</v>
      </c>
      <c r="CQ702" t="s">
        <v>147</v>
      </c>
    </row>
    <row r="703" spans="1:95" x14ac:dyDescent="0.2">
      <c r="A703" t="s">
        <v>115</v>
      </c>
      <c r="B703" t="s">
        <v>116</v>
      </c>
      <c r="C703">
        <v>210784</v>
      </c>
      <c r="E703" t="s">
        <v>117</v>
      </c>
      <c r="F703">
        <v>368</v>
      </c>
      <c r="G703" t="s">
        <v>141</v>
      </c>
      <c r="H703" t="s">
        <v>142</v>
      </c>
      <c r="I703" t="s">
        <v>279</v>
      </c>
      <c r="J703" t="s">
        <v>280</v>
      </c>
      <c r="L703" t="s">
        <v>402</v>
      </c>
      <c r="M703" s="8">
        <v>45748</v>
      </c>
      <c r="N703">
        <v>5693047</v>
      </c>
      <c r="O703" t="s">
        <v>123</v>
      </c>
      <c r="P703" t="s">
        <v>146</v>
      </c>
      <c r="Q703">
        <v>4.03</v>
      </c>
      <c r="R703" t="s">
        <v>125</v>
      </c>
      <c r="S703" t="s">
        <v>126</v>
      </c>
      <c r="T703" t="s">
        <v>125</v>
      </c>
      <c r="U703" t="s">
        <v>126</v>
      </c>
      <c r="W703">
        <v>4.03</v>
      </c>
      <c r="Y703">
        <v>4.03</v>
      </c>
      <c r="AS703">
        <v>4.03</v>
      </c>
      <c r="BH703" t="s">
        <v>126</v>
      </c>
      <c r="BI703" t="s">
        <v>126</v>
      </c>
      <c r="BJ703" t="s">
        <v>126</v>
      </c>
      <c r="BK703" t="s">
        <v>126</v>
      </c>
      <c r="BS703" t="s">
        <v>126</v>
      </c>
      <c r="BT703" t="s">
        <v>126</v>
      </c>
      <c r="BU703" t="s">
        <v>126</v>
      </c>
      <c r="BV703" t="s">
        <v>126</v>
      </c>
      <c r="CN703" t="s">
        <v>147</v>
      </c>
      <c r="CP703" t="s">
        <v>283</v>
      </c>
      <c r="CQ703" t="s">
        <v>147</v>
      </c>
    </row>
    <row r="704" spans="1:95" x14ac:dyDescent="0.2">
      <c r="A704" t="s">
        <v>115</v>
      </c>
      <c r="B704" t="s">
        <v>116</v>
      </c>
      <c r="C704">
        <v>210784</v>
      </c>
      <c r="E704" t="s">
        <v>117</v>
      </c>
      <c r="F704">
        <v>368</v>
      </c>
      <c r="G704" t="s">
        <v>141</v>
      </c>
      <c r="H704" t="s">
        <v>142</v>
      </c>
      <c r="I704" t="s">
        <v>279</v>
      </c>
      <c r="J704" t="s">
        <v>280</v>
      </c>
      <c r="L704" t="s">
        <v>403</v>
      </c>
      <c r="M704" s="8">
        <v>45748</v>
      </c>
      <c r="N704">
        <v>5693665</v>
      </c>
      <c r="O704" t="s">
        <v>123</v>
      </c>
      <c r="P704" t="s">
        <v>146</v>
      </c>
      <c r="Q704">
        <v>4.6900000000000004</v>
      </c>
      <c r="R704" t="s">
        <v>125</v>
      </c>
      <c r="S704" t="s">
        <v>126</v>
      </c>
      <c r="T704" t="s">
        <v>125</v>
      </c>
      <c r="U704" t="s">
        <v>126</v>
      </c>
      <c r="W704">
        <v>4.6900000000000004</v>
      </c>
      <c r="Y704">
        <v>4.6900000000000004</v>
      </c>
      <c r="AS704">
        <v>4.6900000000000004</v>
      </c>
      <c r="BH704" t="s">
        <v>126</v>
      </c>
      <c r="BI704" t="s">
        <v>126</v>
      </c>
      <c r="BJ704" t="s">
        <v>126</v>
      </c>
      <c r="BK704" t="s">
        <v>126</v>
      </c>
      <c r="BS704" t="s">
        <v>126</v>
      </c>
      <c r="BT704" t="s">
        <v>126</v>
      </c>
      <c r="BU704" t="s">
        <v>126</v>
      </c>
      <c r="BV704" t="s">
        <v>126</v>
      </c>
      <c r="CN704" t="s">
        <v>147</v>
      </c>
      <c r="CP704" t="s">
        <v>283</v>
      </c>
      <c r="CQ704" t="s">
        <v>147</v>
      </c>
    </row>
    <row r="705" spans="1:95" x14ac:dyDescent="0.2">
      <c r="A705" t="s">
        <v>115</v>
      </c>
      <c r="B705" t="s">
        <v>116</v>
      </c>
      <c r="C705">
        <v>210784</v>
      </c>
      <c r="E705" t="s">
        <v>117</v>
      </c>
      <c r="F705">
        <v>368</v>
      </c>
      <c r="G705" t="s">
        <v>141</v>
      </c>
      <c r="H705" t="s">
        <v>142</v>
      </c>
      <c r="I705" t="s">
        <v>279</v>
      </c>
      <c r="J705" t="s">
        <v>280</v>
      </c>
      <c r="L705" t="s">
        <v>404</v>
      </c>
      <c r="M705" s="8">
        <v>45748</v>
      </c>
      <c r="N705">
        <v>5694989</v>
      </c>
      <c r="O705" t="s">
        <v>123</v>
      </c>
      <c r="P705" t="s">
        <v>146</v>
      </c>
      <c r="Q705">
        <v>5.42</v>
      </c>
      <c r="R705" t="s">
        <v>125</v>
      </c>
      <c r="S705" t="s">
        <v>126</v>
      </c>
      <c r="T705" t="s">
        <v>125</v>
      </c>
      <c r="U705" t="s">
        <v>126</v>
      </c>
      <c r="W705">
        <v>5.42</v>
      </c>
      <c r="Y705">
        <v>5.42</v>
      </c>
      <c r="AS705">
        <v>5.42</v>
      </c>
      <c r="BH705" t="s">
        <v>126</v>
      </c>
      <c r="BI705" t="s">
        <v>126</v>
      </c>
      <c r="BJ705" t="s">
        <v>126</v>
      </c>
      <c r="BK705" t="s">
        <v>126</v>
      </c>
      <c r="BS705" t="s">
        <v>126</v>
      </c>
      <c r="BT705" t="s">
        <v>126</v>
      </c>
      <c r="BU705" t="s">
        <v>126</v>
      </c>
      <c r="BV705" t="s">
        <v>126</v>
      </c>
      <c r="CN705" t="s">
        <v>147</v>
      </c>
      <c r="CP705" t="s">
        <v>283</v>
      </c>
      <c r="CQ705" t="s">
        <v>147</v>
      </c>
    </row>
    <row r="706" spans="1:95" x14ac:dyDescent="0.2">
      <c r="A706" t="s">
        <v>115</v>
      </c>
      <c r="B706" t="s">
        <v>116</v>
      </c>
      <c r="C706">
        <v>210784</v>
      </c>
      <c r="E706" t="s">
        <v>117</v>
      </c>
      <c r="F706">
        <v>368</v>
      </c>
      <c r="G706" t="s">
        <v>141</v>
      </c>
      <c r="H706" t="s">
        <v>142</v>
      </c>
      <c r="I706" t="s">
        <v>279</v>
      </c>
      <c r="J706" t="s">
        <v>280</v>
      </c>
      <c r="L706" t="s">
        <v>404</v>
      </c>
      <c r="M706" s="8">
        <v>45748</v>
      </c>
      <c r="N706">
        <v>5695385</v>
      </c>
      <c r="O706" t="s">
        <v>123</v>
      </c>
      <c r="P706" t="s">
        <v>146</v>
      </c>
      <c r="Q706">
        <v>2.79</v>
      </c>
      <c r="R706" t="s">
        <v>125</v>
      </c>
      <c r="S706" t="s">
        <v>126</v>
      </c>
      <c r="T706" t="s">
        <v>125</v>
      </c>
      <c r="U706" t="s">
        <v>126</v>
      </c>
      <c r="W706">
        <v>2.79</v>
      </c>
      <c r="Y706">
        <v>2.79</v>
      </c>
      <c r="AS706">
        <v>2.79</v>
      </c>
      <c r="BH706" t="s">
        <v>126</v>
      </c>
      <c r="BI706" t="s">
        <v>126</v>
      </c>
      <c r="BJ706" t="s">
        <v>126</v>
      </c>
      <c r="BK706" t="s">
        <v>126</v>
      </c>
      <c r="BS706" t="s">
        <v>126</v>
      </c>
      <c r="BT706" t="s">
        <v>126</v>
      </c>
      <c r="BU706" t="s">
        <v>126</v>
      </c>
      <c r="BV706" t="s">
        <v>126</v>
      </c>
      <c r="CN706" t="s">
        <v>147</v>
      </c>
      <c r="CP706" t="s">
        <v>283</v>
      </c>
      <c r="CQ706" t="s">
        <v>147</v>
      </c>
    </row>
    <row r="707" spans="1:95" x14ac:dyDescent="0.2">
      <c r="A707" t="s">
        <v>115</v>
      </c>
      <c r="B707" t="s">
        <v>116</v>
      </c>
      <c r="C707">
        <v>210784</v>
      </c>
      <c r="E707" t="s">
        <v>117</v>
      </c>
      <c r="F707">
        <v>368</v>
      </c>
      <c r="G707" t="s">
        <v>141</v>
      </c>
      <c r="H707" t="s">
        <v>142</v>
      </c>
      <c r="I707" t="s">
        <v>279</v>
      </c>
      <c r="J707" t="s">
        <v>280</v>
      </c>
      <c r="L707" t="s">
        <v>404</v>
      </c>
      <c r="M707" s="8">
        <v>45748</v>
      </c>
      <c r="N707">
        <v>5695611</v>
      </c>
      <c r="O707" t="s">
        <v>123</v>
      </c>
      <c r="P707" t="s">
        <v>146</v>
      </c>
      <c r="Q707">
        <v>1.6</v>
      </c>
      <c r="R707" t="s">
        <v>125</v>
      </c>
      <c r="S707" t="s">
        <v>126</v>
      </c>
      <c r="T707" t="s">
        <v>125</v>
      </c>
      <c r="U707" t="s">
        <v>126</v>
      </c>
      <c r="W707">
        <v>1.6</v>
      </c>
      <c r="Y707">
        <v>1.6</v>
      </c>
      <c r="AS707">
        <v>1.6</v>
      </c>
      <c r="BH707" t="s">
        <v>126</v>
      </c>
      <c r="BI707" t="s">
        <v>126</v>
      </c>
      <c r="BJ707" t="s">
        <v>126</v>
      </c>
      <c r="BK707" t="s">
        <v>126</v>
      </c>
      <c r="BS707" t="s">
        <v>126</v>
      </c>
      <c r="BT707" t="s">
        <v>126</v>
      </c>
      <c r="BU707" t="s">
        <v>126</v>
      </c>
      <c r="BV707" t="s">
        <v>126</v>
      </c>
      <c r="CN707" t="s">
        <v>147</v>
      </c>
      <c r="CP707" t="s">
        <v>283</v>
      </c>
      <c r="CQ707" t="s">
        <v>147</v>
      </c>
    </row>
    <row r="708" spans="1:95" x14ac:dyDescent="0.2">
      <c r="A708" t="s">
        <v>115</v>
      </c>
      <c r="B708" t="s">
        <v>116</v>
      </c>
      <c r="C708">
        <v>210784</v>
      </c>
      <c r="E708" t="s">
        <v>117</v>
      </c>
      <c r="F708">
        <v>368</v>
      </c>
      <c r="G708" t="s">
        <v>141</v>
      </c>
      <c r="H708" t="s">
        <v>142</v>
      </c>
      <c r="I708" t="s">
        <v>279</v>
      </c>
      <c r="J708" t="s">
        <v>280</v>
      </c>
      <c r="L708" t="s">
        <v>405</v>
      </c>
      <c r="M708" s="8">
        <v>45748</v>
      </c>
      <c r="N708">
        <v>5696677</v>
      </c>
      <c r="O708" t="s">
        <v>123</v>
      </c>
      <c r="P708" t="s">
        <v>146</v>
      </c>
      <c r="Q708">
        <v>7.38</v>
      </c>
      <c r="R708" t="s">
        <v>125</v>
      </c>
      <c r="S708" t="s">
        <v>126</v>
      </c>
      <c r="T708" t="s">
        <v>125</v>
      </c>
      <c r="U708" t="s">
        <v>126</v>
      </c>
      <c r="W708">
        <v>7.38</v>
      </c>
      <c r="Y708">
        <v>7.38</v>
      </c>
      <c r="AS708">
        <v>7.38</v>
      </c>
      <c r="BH708" t="s">
        <v>126</v>
      </c>
      <c r="BI708" t="s">
        <v>126</v>
      </c>
      <c r="BJ708" t="s">
        <v>126</v>
      </c>
      <c r="BK708" t="s">
        <v>126</v>
      </c>
      <c r="BS708" t="s">
        <v>126</v>
      </c>
      <c r="BT708" t="s">
        <v>126</v>
      </c>
      <c r="BU708" t="s">
        <v>126</v>
      </c>
      <c r="BV708" t="s">
        <v>126</v>
      </c>
      <c r="CN708" t="s">
        <v>147</v>
      </c>
      <c r="CP708" t="s">
        <v>283</v>
      </c>
      <c r="CQ708" t="s">
        <v>147</v>
      </c>
    </row>
    <row r="709" spans="1:95" x14ac:dyDescent="0.2">
      <c r="A709" t="s">
        <v>115</v>
      </c>
      <c r="B709" t="s">
        <v>116</v>
      </c>
      <c r="C709">
        <v>210784</v>
      </c>
      <c r="E709" t="s">
        <v>117</v>
      </c>
      <c r="F709">
        <v>368</v>
      </c>
      <c r="G709" t="s">
        <v>141</v>
      </c>
      <c r="H709" t="s">
        <v>142</v>
      </c>
      <c r="I709" t="s">
        <v>279</v>
      </c>
      <c r="J709" t="s">
        <v>280</v>
      </c>
      <c r="L709" t="s">
        <v>406</v>
      </c>
      <c r="M709" s="8">
        <v>45748</v>
      </c>
      <c r="N709">
        <v>5697116</v>
      </c>
      <c r="O709" t="s">
        <v>123</v>
      </c>
      <c r="P709" t="s">
        <v>146</v>
      </c>
      <c r="Q709">
        <v>3.65</v>
      </c>
      <c r="R709" t="s">
        <v>125</v>
      </c>
      <c r="S709" t="s">
        <v>126</v>
      </c>
      <c r="T709" t="s">
        <v>125</v>
      </c>
      <c r="U709" t="s">
        <v>126</v>
      </c>
      <c r="W709">
        <v>3.65</v>
      </c>
      <c r="Y709">
        <v>3.65</v>
      </c>
      <c r="AS709">
        <v>3.65</v>
      </c>
      <c r="BH709" t="s">
        <v>126</v>
      </c>
      <c r="BI709" t="s">
        <v>126</v>
      </c>
      <c r="BJ709" t="s">
        <v>126</v>
      </c>
      <c r="BK709" t="s">
        <v>126</v>
      </c>
      <c r="BS709" t="s">
        <v>126</v>
      </c>
      <c r="BT709" t="s">
        <v>126</v>
      </c>
      <c r="BU709" t="s">
        <v>126</v>
      </c>
      <c r="BV709" t="s">
        <v>126</v>
      </c>
      <c r="CN709" t="s">
        <v>147</v>
      </c>
      <c r="CP709" t="s">
        <v>283</v>
      </c>
      <c r="CQ709" t="s">
        <v>147</v>
      </c>
    </row>
    <row r="710" spans="1:95" x14ac:dyDescent="0.2">
      <c r="A710" t="s">
        <v>115</v>
      </c>
      <c r="B710" t="s">
        <v>116</v>
      </c>
      <c r="C710">
        <v>210784</v>
      </c>
      <c r="E710" t="s">
        <v>117</v>
      </c>
      <c r="F710">
        <v>368</v>
      </c>
      <c r="G710" t="s">
        <v>141</v>
      </c>
      <c r="H710" t="s">
        <v>142</v>
      </c>
      <c r="I710" t="s">
        <v>279</v>
      </c>
      <c r="J710" t="s">
        <v>280</v>
      </c>
      <c r="L710" t="s">
        <v>406</v>
      </c>
      <c r="M710" s="8">
        <v>45748</v>
      </c>
      <c r="N710">
        <v>5697505</v>
      </c>
      <c r="O710" t="s">
        <v>123</v>
      </c>
      <c r="P710" t="s">
        <v>146</v>
      </c>
      <c r="Q710">
        <v>2.6</v>
      </c>
      <c r="R710" t="s">
        <v>125</v>
      </c>
      <c r="S710" t="s">
        <v>126</v>
      </c>
      <c r="T710" t="s">
        <v>125</v>
      </c>
      <c r="U710" t="s">
        <v>126</v>
      </c>
      <c r="W710">
        <v>2.6</v>
      </c>
      <c r="Y710">
        <v>2.6</v>
      </c>
      <c r="AS710">
        <v>2.6</v>
      </c>
      <c r="BH710" t="s">
        <v>126</v>
      </c>
      <c r="BI710" t="s">
        <v>126</v>
      </c>
      <c r="BJ710" t="s">
        <v>126</v>
      </c>
      <c r="BK710" t="s">
        <v>126</v>
      </c>
      <c r="BS710" t="s">
        <v>126</v>
      </c>
      <c r="BT710" t="s">
        <v>126</v>
      </c>
      <c r="BU710" t="s">
        <v>126</v>
      </c>
      <c r="BV710" t="s">
        <v>126</v>
      </c>
      <c r="CN710" t="s">
        <v>147</v>
      </c>
      <c r="CP710" t="s">
        <v>283</v>
      </c>
      <c r="CQ710" t="s">
        <v>147</v>
      </c>
    </row>
    <row r="711" spans="1:95" x14ac:dyDescent="0.2">
      <c r="A711" t="s">
        <v>115</v>
      </c>
      <c r="B711" t="s">
        <v>116</v>
      </c>
      <c r="C711">
        <v>210784</v>
      </c>
      <c r="E711" t="s">
        <v>117</v>
      </c>
      <c r="F711">
        <v>368</v>
      </c>
      <c r="G711" t="s">
        <v>141</v>
      </c>
      <c r="H711" t="s">
        <v>142</v>
      </c>
      <c r="I711" t="s">
        <v>279</v>
      </c>
      <c r="J711" t="s">
        <v>280</v>
      </c>
      <c r="L711" t="s">
        <v>407</v>
      </c>
      <c r="M711" s="8">
        <v>45748</v>
      </c>
      <c r="N711">
        <v>5698013</v>
      </c>
      <c r="O711" t="s">
        <v>123</v>
      </c>
      <c r="P711" t="s">
        <v>146</v>
      </c>
      <c r="Q711">
        <v>2.02</v>
      </c>
      <c r="R711" t="s">
        <v>125</v>
      </c>
      <c r="S711" t="s">
        <v>126</v>
      </c>
      <c r="T711" t="s">
        <v>125</v>
      </c>
      <c r="U711" t="s">
        <v>126</v>
      </c>
      <c r="W711">
        <v>2.02</v>
      </c>
      <c r="Y711">
        <v>2.02</v>
      </c>
      <c r="AS711">
        <v>2.02</v>
      </c>
      <c r="BH711" t="s">
        <v>126</v>
      </c>
      <c r="BI711" t="s">
        <v>126</v>
      </c>
      <c r="BJ711" t="s">
        <v>126</v>
      </c>
      <c r="BK711" t="s">
        <v>126</v>
      </c>
      <c r="BS711" t="s">
        <v>126</v>
      </c>
      <c r="BT711" t="s">
        <v>126</v>
      </c>
      <c r="BU711" t="s">
        <v>126</v>
      </c>
      <c r="BV711" t="s">
        <v>126</v>
      </c>
      <c r="CN711" t="s">
        <v>147</v>
      </c>
      <c r="CP711" t="s">
        <v>283</v>
      </c>
      <c r="CQ711" t="s">
        <v>147</v>
      </c>
    </row>
    <row r="712" spans="1:95" x14ac:dyDescent="0.2">
      <c r="A712" t="s">
        <v>115</v>
      </c>
      <c r="B712" t="s">
        <v>116</v>
      </c>
      <c r="C712">
        <v>210784</v>
      </c>
      <c r="E712" t="s">
        <v>117</v>
      </c>
      <c r="F712">
        <v>368</v>
      </c>
      <c r="G712" t="s">
        <v>141</v>
      </c>
      <c r="H712" t="s">
        <v>142</v>
      </c>
      <c r="I712" t="s">
        <v>279</v>
      </c>
      <c r="J712" t="s">
        <v>280</v>
      </c>
      <c r="L712" t="s">
        <v>407</v>
      </c>
      <c r="M712" s="8">
        <v>45748</v>
      </c>
      <c r="N712">
        <v>5698176</v>
      </c>
      <c r="O712" t="s">
        <v>123</v>
      </c>
      <c r="P712" t="s">
        <v>146</v>
      </c>
      <c r="Q712">
        <v>2.73</v>
      </c>
      <c r="R712" t="s">
        <v>125</v>
      </c>
      <c r="S712" t="s">
        <v>126</v>
      </c>
      <c r="T712" t="s">
        <v>125</v>
      </c>
      <c r="U712" t="s">
        <v>126</v>
      </c>
      <c r="W712">
        <v>2.73</v>
      </c>
      <c r="Y712">
        <v>2.73</v>
      </c>
      <c r="AS712">
        <v>2.73</v>
      </c>
      <c r="BH712" t="s">
        <v>126</v>
      </c>
      <c r="BI712" t="s">
        <v>126</v>
      </c>
      <c r="BJ712" t="s">
        <v>126</v>
      </c>
      <c r="BK712" t="s">
        <v>126</v>
      </c>
      <c r="BS712" t="s">
        <v>126</v>
      </c>
      <c r="BT712" t="s">
        <v>126</v>
      </c>
      <c r="BU712" t="s">
        <v>126</v>
      </c>
      <c r="BV712" t="s">
        <v>126</v>
      </c>
      <c r="CN712" t="s">
        <v>147</v>
      </c>
      <c r="CP712" t="s">
        <v>283</v>
      </c>
      <c r="CQ712" t="s">
        <v>147</v>
      </c>
    </row>
    <row r="713" spans="1:95" x14ac:dyDescent="0.2">
      <c r="A713" t="s">
        <v>115</v>
      </c>
      <c r="B713" t="s">
        <v>116</v>
      </c>
      <c r="C713">
        <v>210784</v>
      </c>
      <c r="E713" t="s">
        <v>117</v>
      </c>
      <c r="F713">
        <v>368</v>
      </c>
      <c r="G713" t="s">
        <v>141</v>
      </c>
      <c r="H713" t="s">
        <v>142</v>
      </c>
      <c r="I713" t="s">
        <v>279</v>
      </c>
      <c r="J713" t="s">
        <v>280</v>
      </c>
      <c r="L713" t="s">
        <v>407</v>
      </c>
      <c r="M713" s="8">
        <v>45748</v>
      </c>
      <c r="N713">
        <v>5698277</v>
      </c>
      <c r="O713" t="s">
        <v>123</v>
      </c>
      <c r="P713" t="s">
        <v>146</v>
      </c>
      <c r="Q713">
        <v>2.69</v>
      </c>
      <c r="R713" t="s">
        <v>125</v>
      </c>
      <c r="S713" t="s">
        <v>126</v>
      </c>
      <c r="T713" t="s">
        <v>125</v>
      </c>
      <c r="U713" t="s">
        <v>126</v>
      </c>
      <c r="W713">
        <v>2.69</v>
      </c>
      <c r="Y713">
        <v>2.69</v>
      </c>
      <c r="AS713">
        <v>2.69</v>
      </c>
      <c r="BH713" t="s">
        <v>126</v>
      </c>
      <c r="BI713" t="s">
        <v>126</v>
      </c>
      <c r="BJ713" t="s">
        <v>126</v>
      </c>
      <c r="BK713" t="s">
        <v>126</v>
      </c>
      <c r="BS713" t="s">
        <v>126</v>
      </c>
      <c r="BT713" t="s">
        <v>126</v>
      </c>
      <c r="BU713" t="s">
        <v>126</v>
      </c>
      <c r="BV713" t="s">
        <v>126</v>
      </c>
      <c r="CN713" t="s">
        <v>147</v>
      </c>
      <c r="CP713" t="s">
        <v>283</v>
      </c>
      <c r="CQ713" t="s">
        <v>147</v>
      </c>
    </row>
    <row r="714" spans="1:95" x14ac:dyDescent="0.2">
      <c r="A714" t="s">
        <v>115</v>
      </c>
      <c r="B714" t="s">
        <v>116</v>
      </c>
      <c r="C714">
        <v>210784</v>
      </c>
      <c r="E714" t="s">
        <v>117</v>
      </c>
      <c r="F714">
        <v>368</v>
      </c>
      <c r="G714" t="s">
        <v>141</v>
      </c>
      <c r="H714" t="s">
        <v>142</v>
      </c>
      <c r="I714" t="s">
        <v>279</v>
      </c>
      <c r="J714" t="s">
        <v>280</v>
      </c>
      <c r="L714" t="s">
        <v>408</v>
      </c>
      <c r="M714" s="8">
        <v>45748</v>
      </c>
      <c r="N714">
        <v>5698999</v>
      </c>
      <c r="O714" t="s">
        <v>123</v>
      </c>
      <c r="P714" t="s">
        <v>146</v>
      </c>
      <c r="Q714">
        <v>3.28</v>
      </c>
      <c r="R714" t="s">
        <v>125</v>
      </c>
      <c r="S714" t="s">
        <v>126</v>
      </c>
      <c r="T714" t="s">
        <v>125</v>
      </c>
      <c r="U714" t="s">
        <v>126</v>
      </c>
      <c r="W714">
        <v>3.28</v>
      </c>
      <c r="Y714">
        <v>3.28</v>
      </c>
      <c r="AS714">
        <v>3.28</v>
      </c>
      <c r="BH714" t="s">
        <v>126</v>
      </c>
      <c r="BI714" t="s">
        <v>126</v>
      </c>
      <c r="BJ714" t="s">
        <v>126</v>
      </c>
      <c r="BK714" t="s">
        <v>126</v>
      </c>
      <c r="BS714" t="s">
        <v>126</v>
      </c>
      <c r="BT714" t="s">
        <v>126</v>
      </c>
      <c r="BU714" t="s">
        <v>126</v>
      </c>
      <c r="BV714" t="s">
        <v>126</v>
      </c>
      <c r="CN714" t="s">
        <v>147</v>
      </c>
      <c r="CP714" t="s">
        <v>283</v>
      </c>
      <c r="CQ714" t="s">
        <v>147</v>
      </c>
    </row>
    <row r="715" spans="1:95" x14ac:dyDescent="0.2">
      <c r="A715" t="s">
        <v>115</v>
      </c>
      <c r="B715" t="s">
        <v>116</v>
      </c>
      <c r="C715">
        <v>210784</v>
      </c>
      <c r="E715" t="s">
        <v>117</v>
      </c>
      <c r="F715">
        <v>368</v>
      </c>
      <c r="G715" t="s">
        <v>141</v>
      </c>
      <c r="H715" t="s">
        <v>142</v>
      </c>
      <c r="I715" t="s">
        <v>279</v>
      </c>
      <c r="J715" t="s">
        <v>280</v>
      </c>
      <c r="L715" t="s">
        <v>409</v>
      </c>
      <c r="M715" s="8">
        <v>45748</v>
      </c>
      <c r="N715">
        <v>5700482</v>
      </c>
      <c r="O715" t="s">
        <v>123</v>
      </c>
      <c r="P715" t="s">
        <v>146</v>
      </c>
      <c r="Q715">
        <v>4.17</v>
      </c>
      <c r="R715" t="s">
        <v>125</v>
      </c>
      <c r="S715" t="s">
        <v>126</v>
      </c>
      <c r="T715" t="s">
        <v>125</v>
      </c>
      <c r="U715" t="s">
        <v>126</v>
      </c>
      <c r="W715">
        <v>4.17</v>
      </c>
      <c r="Y715">
        <v>4.17</v>
      </c>
      <c r="AS715">
        <v>4.17</v>
      </c>
      <c r="BH715" t="s">
        <v>126</v>
      </c>
      <c r="BI715" t="s">
        <v>126</v>
      </c>
      <c r="BJ715" t="s">
        <v>126</v>
      </c>
      <c r="BK715" t="s">
        <v>126</v>
      </c>
      <c r="BS715" t="s">
        <v>126</v>
      </c>
      <c r="BT715" t="s">
        <v>126</v>
      </c>
      <c r="BU715" t="s">
        <v>126</v>
      </c>
      <c r="BV715" t="s">
        <v>126</v>
      </c>
      <c r="CN715" t="s">
        <v>147</v>
      </c>
      <c r="CP715" t="s">
        <v>283</v>
      </c>
      <c r="CQ715" t="s">
        <v>147</v>
      </c>
    </row>
    <row r="716" spans="1:95" x14ac:dyDescent="0.2">
      <c r="A716" t="s">
        <v>115</v>
      </c>
      <c r="B716" t="s">
        <v>116</v>
      </c>
      <c r="C716">
        <v>210784</v>
      </c>
      <c r="E716" t="s">
        <v>117</v>
      </c>
      <c r="F716">
        <v>368</v>
      </c>
      <c r="G716" t="s">
        <v>141</v>
      </c>
      <c r="H716" t="s">
        <v>142</v>
      </c>
      <c r="I716" t="s">
        <v>279</v>
      </c>
      <c r="J716" t="s">
        <v>280</v>
      </c>
      <c r="L716" t="s">
        <v>410</v>
      </c>
      <c r="M716" s="8">
        <v>45748</v>
      </c>
      <c r="N716">
        <v>5699448</v>
      </c>
      <c r="O716" t="s">
        <v>123</v>
      </c>
      <c r="P716" t="s">
        <v>146</v>
      </c>
      <c r="Q716">
        <v>2.2200000000000002</v>
      </c>
      <c r="R716" t="s">
        <v>125</v>
      </c>
      <c r="S716" t="s">
        <v>126</v>
      </c>
      <c r="T716" t="s">
        <v>125</v>
      </c>
      <c r="U716" t="s">
        <v>126</v>
      </c>
      <c r="W716">
        <v>2.2200000000000002</v>
      </c>
      <c r="Y716">
        <v>2.2200000000000002</v>
      </c>
      <c r="AS716">
        <v>2.2200000000000002</v>
      </c>
      <c r="BH716" t="s">
        <v>126</v>
      </c>
      <c r="BI716" t="s">
        <v>126</v>
      </c>
      <c r="BJ716" t="s">
        <v>126</v>
      </c>
      <c r="BK716" t="s">
        <v>126</v>
      </c>
      <c r="BS716" t="s">
        <v>126</v>
      </c>
      <c r="BT716" t="s">
        <v>126</v>
      </c>
      <c r="BU716" t="s">
        <v>126</v>
      </c>
      <c r="BV716" t="s">
        <v>126</v>
      </c>
      <c r="CN716" t="s">
        <v>147</v>
      </c>
      <c r="CP716" t="s">
        <v>283</v>
      </c>
      <c r="CQ716" t="s">
        <v>147</v>
      </c>
    </row>
    <row r="717" spans="1:95" x14ac:dyDescent="0.2">
      <c r="A717" t="s">
        <v>115</v>
      </c>
      <c r="B717" t="s">
        <v>116</v>
      </c>
      <c r="C717">
        <v>210784</v>
      </c>
      <c r="E717" t="s">
        <v>117</v>
      </c>
      <c r="F717">
        <v>368</v>
      </c>
      <c r="G717" t="s">
        <v>141</v>
      </c>
      <c r="H717" t="s">
        <v>142</v>
      </c>
      <c r="I717" t="s">
        <v>279</v>
      </c>
      <c r="J717" t="s">
        <v>280</v>
      </c>
      <c r="L717" t="s">
        <v>409</v>
      </c>
      <c r="M717" s="8">
        <v>45748</v>
      </c>
      <c r="N717">
        <v>5700814</v>
      </c>
      <c r="O717" t="s">
        <v>123</v>
      </c>
      <c r="P717" t="s">
        <v>146</v>
      </c>
      <c r="Q717">
        <v>1.02</v>
      </c>
      <c r="R717" t="s">
        <v>125</v>
      </c>
      <c r="S717" t="s">
        <v>126</v>
      </c>
      <c r="T717" t="s">
        <v>125</v>
      </c>
      <c r="U717" t="s">
        <v>126</v>
      </c>
      <c r="W717">
        <v>1.02</v>
      </c>
      <c r="Y717">
        <v>1.02</v>
      </c>
      <c r="AS717">
        <v>1.02</v>
      </c>
      <c r="BH717" t="s">
        <v>126</v>
      </c>
      <c r="BI717" t="s">
        <v>126</v>
      </c>
      <c r="BJ717" t="s">
        <v>126</v>
      </c>
      <c r="BK717" t="s">
        <v>126</v>
      </c>
      <c r="BS717" t="s">
        <v>126</v>
      </c>
      <c r="BT717" t="s">
        <v>126</v>
      </c>
      <c r="BU717" t="s">
        <v>126</v>
      </c>
      <c r="BV717" t="s">
        <v>126</v>
      </c>
      <c r="CN717" t="s">
        <v>147</v>
      </c>
      <c r="CP717" t="s">
        <v>283</v>
      </c>
      <c r="CQ717" t="s">
        <v>147</v>
      </c>
    </row>
    <row r="718" spans="1:95" x14ac:dyDescent="0.2">
      <c r="A718" t="s">
        <v>115</v>
      </c>
      <c r="B718" t="s">
        <v>116</v>
      </c>
      <c r="C718">
        <v>210784</v>
      </c>
      <c r="E718" t="s">
        <v>117</v>
      </c>
      <c r="F718">
        <v>368</v>
      </c>
      <c r="G718" t="s">
        <v>141</v>
      </c>
      <c r="H718" t="s">
        <v>142</v>
      </c>
      <c r="I718" t="s">
        <v>279</v>
      </c>
      <c r="J718" t="s">
        <v>280</v>
      </c>
      <c r="L718" t="s">
        <v>409</v>
      </c>
      <c r="M718" s="8">
        <v>45748</v>
      </c>
      <c r="N718">
        <v>5700302</v>
      </c>
      <c r="O718" t="s">
        <v>123</v>
      </c>
      <c r="P718" t="s">
        <v>146</v>
      </c>
      <c r="Q718">
        <v>3.6</v>
      </c>
      <c r="R718" t="s">
        <v>125</v>
      </c>
      <c r="S718" t="s">
        <v>126</v>
      </c>
      <c r="T718" t="s">
        <v>125</v>
      </c>
      <c r="U718" t="s">
        <v>126</v>
      </c>
      <c r="W718">
        <v>3.6</v>
      </c>
      <c r="Y718">
        <v>3.6</v>
      </c>
      <c r="AS718">
        <v>3.6</v>
      </c>
      <c r="BH718" t="s">
        <v>126</v>
      </c>
      <c r="BI718" t="s">
        <v>126</v>
      </c>
      <c r="BJ718" t="s">
        <v>126</v>
      </c>
      <c r="BK718" t="s">
        <v>126</v>
      </c>
      <c r="BS718" t="s">
        <v>126</v>
      </c>
      <c r="BT718" t="s">
        <v>126</v>
      </c>
      <c r="BU718" t="s">
        <v>126</v>
      </c>
      <c r="BV718" t="s">
        <v>126</v>
      </c>
      <c r="CN718" t="s">
        <v>147</v>
      </c>
      <c r="CP718" t="s">
        <v>283</v>
      </c>
      <c r="CQ718" t="s">
        <v>147</v>
      </c>
    </row>
    <row r="719" spans="1:95" x14ac:dyDescent="0.2">
      <c r="A719" t="s">
        <v>115</v>
      </c>
      <c r="B719" t="s">
        <v>116</v>
      </c>
      <c r="C719">
        <v>210784</v>
      </c>
      <c r="E719" t="s">
        <v>117</v>
      </c>
      <c r="F719">
        <v>368</v>
      </c>
      <c r="G719" t="s">
        <v>141</v>
      </c>
      <c r="H719" t="s">
        <v>142</v>
      </c>
      <c r="I719" t="s">
        <v>279</v>
      </c>
      <c r="J719" t="s">
        <v>280</v>
      </c>
      <c r="L719" t="s">
        <v>411</v>
      </c>
      <c r="M719" s="8">
        <v>45748</v>
      </c>
      <c r="N719">
        <v>5701495</v>
      </c>
      <c r="O719" t="s">
        <v>123</v>
      </c>
      <c r="P719" t="s">
        <v>146</v>
      </c>
      <c r="Q719">
        <v>2.52</v>
      </c>
      <c r="R719" t="s">
        <v>125</v>
      </c>
      <c r="S719" t="s">
        <v>126</v>
      </c>
      <c r="T719" t="s">
        <v>125</v>
      </c>
      <c r="U719" t="s">
        <v>126</v>
      </c>
      <c r="W719">
        <v>2.52</v>
      </c>
      <c r="Y719">
        <v>2.52</v>
      </c>
      <c r="AS719">
        <v>2.52</v>
      </c>
      <c r="BH719" t="s">
        <v>126</v>
      </c>
      <c r="BI719" t="s">
        <v>126</v>
      </c>
      <c r="BJ719" t="s">
        <v>126</v>
      </c>
      <c r="BK719" t="s">
        <v>126</v>
      </c>
      <c r="BS719" t="s">
        <v>126</v>
      </c>
      <c r="BT719" t="s">
        <v>126</v>
      </c>
      <c r="BU719" t="s">
        <v>126</v>
      </c>
      <c r="BV719" t="s">
        <v>126</v>
      </c>
      <c r="CN719" t="s">
        <v>147</v>
      </c>
      <c r="CP719" t="s">
        <v>283</v>
      </c>
      <c r="CQ719" t="s">
        <v>147</v>
      </c>
    </row>
    <row r="720" spans="1:95" x14ac:dyDescent="0.2">
      <c r="A720" t="s">
        <v>115</v>
      </c>
      <c r="B720" t="s">
        <v>116</v>
      </c>
      <c r="C720">
        <v>210784</v>
      </c>
      <c r="E720" t="s">
        <v>117</v>
      </c>
      <c r="F720">
        <v>368</v>
      </c>
      <c r="G720" t="s">
        <v>141</v>
      </c>
      <c r="H720" t="s">
        <v>142</v>
      </c>
      <c r="I720" t="s">
        <v>279</v>
      </c>
      <c r="J720" t="s">
        <v>280</v>
      </c>
      <c r="L720" t="s">
        <v>412</v>
      </c>
      <c r="M720" s="8">
        <v>45748</v>
      </c>
      <c r="N720">
        <v>5703131</v>
      </c>
      <c r="O720" t="s">
        <v>123</v>
      </c>
      <c r="P720" t="s">
        <v>146</v>
      </c>
      <c r="Q720">
        <v>3.15</v>
      </c>
      <c r="R720" t="s">
        <v>125</v>
      </c>
      <c r="S720" t="s">
        <v>126</v>
      </c>
      <c r="T720" t="s">
        <v>125</v>
      </c>
      <c r="U720" t="s">
        <v>126</v>
      </c>
      <c r="W720">
        <v>3.15</v>
      </c>
      <c r="Y720">
        <v>3.15</v>
      </c>
      <c r="AS720">
        <v>3.15</v>
      </c>
      <c r="BH720" t="s">
        <v>126</v>
      </c>
      <c r="BI720" t="s">
        <v>126</v>
      </c>
      <c r="BJ720" t="s">
        <v>126</v>
      </c>
      <c r="BK720" t="s">
        <v>126</v>
      </c>
      <c r="BS720" t="s">
        <v>126</v>
      </c>
      <c r="BT720" t="s">
        <v>126</v>
      </c>
      <c r="BU720" t="s">
        <v>126</v>
      </c>
      <c r="BV720" t="s">
        <v>126</v>
      </c>
      <c r="CN720" t="s">
        <v>147</v>
      </c>
      <c r="CP720" t="s">
        <v>283</v>
      </c>
      <c r="CQ720" t="s">
        <v>147</v>
      </c>
    </row>
    <row r="721" spans="1:95" x14ac:dyDescent="0.2">
      <c r="A721" t="s">
        <v>115</v>
      </c>
      <c r="B721" t="s">
        <v>116</v>
      </c>
      <c r="C721">
        <v>210784</v>
      </c>
      <c r="E721" t="s">
        <v>117</v>
      </c>
      <c r="F721">
        <v>368</v>
      </c>
      <c r="G721" t="s">
        <v>141</v>
      </c>
      <c r="H721" t="s">
        <v>142</v>
      </c>
      <c r="I721" t="s">
        <v>279</v>
      </c>
      <c r="J721" t="s">
        <v>280</v>
      </c>
      <c r="L721" t="s">
        <v>413</v>
      </c>
      <c r="M721" s="8">
        <v>45748</v>
      </c>
      <c r="N721">
        <v>5704867</v>
      </c>
      <c r="O721" t="s">
        <v>123</v>
      </c>
      <c r="P721" t="s">
        <v>146</v>
      </c>
      <c r="Q721">
        <v>6.67</v>
      </c>
      <c r="R721" t="s">
        <v>125</v>
      </c>
      <c r="S721" t="s">
        <v>126</v>
      </c>
      <c r="T721" t="s">
        <v>125</v>
      </c>
      <c r="U721" t="s">
        <v>126</v>
      </c>
      <c r="W721">
        <v>6.67</v>
      </c>
      <c r="Y721">
        <v>6.67</v>
      </c>
      <c r="AS721">
        <v>6.67</v>
      </c>
      <c r="BH721" t="s">
        <v>126</v>
      </c>
      <c r="BI721" t="s">
        <v>126</v>
      </c>
      <c r="BJ721" t="s">
        <v>126</v>
      </c>
      <c r="BK721" t="s">
        <v>126</v>
      </c>
      <c r="BS721" t="s">
        <v>126</v>
      </c>
      <c r="BT721" t="s">
        <v>126</v>
      </c>
      <c r="BU721" t="s">
        <v>126</v>
      </c>
      <c r="BV721" t="s">
        <v>126</v>
      </c>
      <c r="CN721" t="s">
        <v>147</v>
      </c>
      <c r="CP721" t="s">
        <v>283</v>
      </c>
      <c r="CQ721" t="s">
        <v>147</v>
      </c>
    </row>
    <row r="722" spans="1:95" x14ac:dyDescent="0.2">
      <c r="A722" t="s">
        <v>115</v>
      </c>
      <c r="B722" t="s">
        <v>116</v>
      </c>
      <c r="C722">
        <v>210784</v>
      </c>
      <c r="E722" t="s">
        <v>117</v>
      </c>
      <c r="F722">
        <v>368</v>
      </c>
      <c r="G722" t="s">
        <v>141</v>
      </c>
      <c r="H722" t="s">
        <v>142</v>
      </c>
      <c r="I722" t="s">
        <v>279</v>
      </c>
      <c r="J722" t="s">
        <v>280</v>
      </c>
      <c r="L722" t="s">
        <v>414</v>
      </c>
      <c r="M722" s="8">
        <v>45748</v>
      </c>
      <c r="N722">
        <v>5705638</v>
      </c>
      <c r="O722" t="s">
        <v>123</v>
      </c>
      <c r="P722" t="s">
        <v>146</v>
      </c>
      <c r="Q722">
        <v>2.95</v>
      </c>
      <c r="R722" t="s">
        <v>125</v>
      </c>
      <c r="S722" t="s">
        <v>126</v>
      </c>
      <c r="T722" t="s">
        <v>125</v>
      </c>
      <c r="U722" t="s">
        <v>126</v>
      </c>
      <c r="W722">
        <v>2.95</v>
      </c>
      <c r="Y722">
        <v>2.95</v>
      </c>
      <c r="AS722">
        <v>2.95</v>
      </c>
      <c r="BH722" t="s">
        <v>126</v>
      </c>
      <c r="BI722" t="s">
        <v>126</v>
      </c>
      <c r="BJ722" t="s">
        <v>126</v>
      </c>
      <c r="BK722" t="s">
        <v>126</v>
      </c>
      <c r="BS722" t="s">
        <v>126</v>
      </c>
      <c r="BT722" t="s">
        <v>126</v>
      </c>
      <c r="BU722" t="s">
        <v>126</v>
      </c>
      <c r="BV722" t="s">
        <v>126</v>
      </c>
      <c r="CN722" t="s">
        <v>147</v>
      </c>
      <c r="CP722" t="s">
        <v>283</v>
      </c>
      <c r="CQ722" t="s">
        <v>147</v>
      </c>
    </row>
    <row r="723" spans="1:95" x14ac:dyDescent="0.2">
      <c r="A723" t="s">
        <v>115</v>
      </c>
      <c r="B723" t="s">
        <v>116</v>
      </c>
      <c r="C723">
        <v>210784</v>
      </c>
      <c r="E723" t="s">
        <v>117</v>
      </c>
      <c r="F723">
        <v>368</v>
      </c>
      <c r="G723" t="s">
        <v>141</v>
      </c>
      <c r="H723" t="s">
        <v>142</v>
      </c>
      <c r="I723" t="s">
        <v>279</v>
      </c>
      <c r="J723" t="s">
        <v>280</v>
      </c>
      <c r="L723" t="s">
        <v>415</v>
      </c>
      <c r="M723" s="8">
        <v>45748</v>
      </c>
      <c r="N723">
        <v>5707047</v>
      </c>
      <c r="O723" t="s">
        <v>123</v>
      </c>
      <c r="P723" t="s">
        <v>146</v>
      </c>
      <c r="Q723">
        <v>6.47</v>
      </c>
      <c r="R723" t="s">
        <v>125</v>
      </c>
      <c r="S723" t="s">
        <v>126</v>
      </c>
      <c r="T723" t="s">
        <v>125</v>
      </c>
      <c r="U723" t="s">
        <v>126</v>
      </c>
      <c r="W723">
        <v>6.47</v>
      </c>
      <c r="Y723">
        <v>6.47</v>
      </c>
      <c r="AS723">
        <v>6.47</v>
      </c>
      <c r="BH723" t="s">
        <v>126</v>
      </c>
      <c r="BI723" t="s">
        <v>126</v>
      </c>
      <c r="BJ723" t="s">
        <v>126</v>
      </c>
      <c r="BK723" t="s">
        <v>126</v>
      </c>
      <c r="BS723" t="s">
        <v>126</v>
      </c>
      <c r="BT723" t="s">
        <v>126</v>
      </c>
      <c r="BU723" t="s">
        <v>126</v>
      </c>
      <c r="BV723" t="s">
        <v>126</v>
      </c>
      <c r="CN723" t="s">
        <v>147</v>
      </c>
      <c r="CP723" t="s">
        <v>283</v>
      </c>
      <c r="CQ723" t="s">
        <v>147</v>
      </c>
    </row>
    <row r="724" spans="1:95" x14ac:dyDescent="0.2">
      <c r="A724" t="s">
        <v>115</v>
      </c>
      <c r="B724" t="s">
        <v>116</v>
      </c>
      <c r="C724">
        <v>210784</v>
      </c>
      <c r="E724" t="s">
        <v>117</v>
      </c>
      <c r="F724">
        <v>368</v>
      </c>
      <c r="G724" t="s">
        <v>141</v>
      </c>
      <c r="H724" t="s">
        <v>142</v>
      </c>
      <c r="I724" t="s">
        <v>279</v>
      </c>
      <c r="J724" t="s">
        <v>280</v>
      </c>
      <c r="L724" t="s">
        <v>415</v>
      </c>
      <c r="M724" s="8">
        <v>45748</v>
      </c>
      <c r="N724">
        <v>5707660</v>
      </c>
      <c r="O724" t="s">
        <v>123</v>
      </c>
      <c r="P724" t="s">
        <v>146</v>
      </c>
      <c r="Q724">
        <v>4.63</v>
      </c>
      <c r="R724" t="s">
        <v>125</v>
      </c>
      <c r="S724" t="s">
        <v>126</v>
      </c>
      <c r="T724" t="s">
        <v>125</v>
      </c>
      <c r="U724" t="s">
        <v>126</v>
      </c>
      <c r="W724">
        <v>4.63</v>
      </c>
      <c r="Y724">
        <v>4.63</v>
      </c>
      <c r="AS724">
        <v>4.63</v>
      </c>
      <c r="BH724" t="s">
        <v>126</v>
      </c>
      <c r="BI724" t="s">
        <v>126</v>
      </c>
      <c r="BJ724" t="s">
        <v>126</v>
      </c>
      <c r="BK724" t="s">
        <v>126</v>
      </c>
      <c r="BS724" t="s">
        <v>126</v>
      </c>
      <c r="BT724" t="s">
        <v>126</v>
      </c>
      <c r="BU724" t="s">
        <v>126</v>
      </c>
      <c r="BV724" t="s">
        <v>126</v>
      </c>
      <c r="CN724" t="s">
        <v>147</v>
      </c>
      <c r="CP724" t="s">
        <v>283</v>
      </c>
      <c r="CQ724" t="s">
        <v>147</v>
      </c>
    </row>
    <row r="725" spans="1:95" x14ac:dyDescent="0.2">
      <c r="A725" t="s">
        <v>115</v>
      </c>
      <c r="B725" t="s">
        <v>116</v>
      </c>
      <c r="C725">
        <v>210784</v>
      </c>
      <c r="E725" t="s">
        <v>117</v>
      </c>
      <c r="F725">
        <v>368</v>
      </c>
      <c r="G725" t="s">
        <v>141</v>
      </c>
      <c r="H725" t="s">
        <v>142</v>
      </c>
      <c r="I725" t="s">
        <v>279</v>
      </c>
      <c r="J725" t="s">
        <v>280</v>
      </c>
      <c r="L725" t="s">
        <v>416</v>
      </c>
      <c r="M725" s="8">
        <v>45748</v>
      </c>
      <c r="N725">
        <v>5708911</v>
      </c>
      <c r="O725" t="s">
        <v>123</v>
      </c>
      <c r="P725" t="s">
        <v>146</v>
      </c>
      <c r="Q725">
        <v>5.85</v>
      </c>
      <c r="R725" t="s">
        <v>125</v>
      </c>
      <c r="S725" t="s">
        <v>126</v>
      </c>
      <c r="T725" t="s">
        <v>125</v>
      </c>
      <c r="U725" t="s">
        <v>126</v>
      </c>
      <c r="W725">
        <v>5.85</v>
      </c>
      <c r="Y725">
        <v>5.85</v>
      </c>
      <c r="AS725">
        <v>5.85</v>
      </c>
      <c r="BH725" t="s">
        <v>126</v>
      </c>
      <c r="BI725" t="s">
        <v>126</v>
      </c>
      <c r="BJ725" t="s">
        <v>126</v>
      </c>
      <c r="BK725" t="s">
        <v>126</v>
      </c>
      <c r="BS725" t="s">
        <v>126</v>
      </c>
      <c r="BT725" t="s">
        <v>126</v>
      </c>
      <c r="BU725" t="s">
        <v>126</v>
      </c>
      <c r="BV725" t="s">
        <v>126</v>
      </c>
      <c r="CN725" t="s">
        <v>147</v>
      </c>
      <c r="CP725" t="s">
        <v>289</v>
      </c>
      <c r="CQ725" t="s">
        <v>147</v>
      </c>
    </row>
    <row r="726" spans="1:95" x14ac:dyDescent="0.2">
      <c r="A726" t="s">
        <v>115</v>
      </c>
      <c r="B726" t="s">
        <v>116</v>
      </c>
      <c r="C726">
        <v>210784</v>
      </c>
      <c r="E726" t="s">
        <v>117</v>
      </c>
      <c r="F726">
        <v>368</v>
      </c>
      <c r="G726" t="s">
        <v>141</v>
      </c>
      <c r="H726" t="s">
        <v>142</v>
      </c>
      <c r="I726" t="s">
        <v>279</v>
      </c>
      <c r="J726" t="s">
        <v>280</v>
      </c>
      <c r="L726" t="s">
        <v>416</v>
      </c>
      <c r="M726" s="8">
        <v>45748</v>
      </c>
      <c r="N726">
        <v>5708801</v>
      </c>
      <c r="O726" t="s">
        <v>123</v>
      </c>
      <c r="P726" t="s">
        <v>146</v>
      </c>
      <c r="Q726">
        <v>1.89</v>
      </c>
      <c r="R726" t="s">
        <v>125</v>
      </c>
      <c r="S726" t="s">
        <v>126</v>
      </c>
      <c r="T726" t="s">
        <v>125</v>
      </c>
      <c r="U726" t="s">
        <v>126</v>
      </c>
      <c r="W726">
        <v>1.89</v>
      </c>
      <c r="Y726">
        <v>1.89</v>
      </c>
      <c r="AS726">
        <v>1.89</v>
      </c>
      <c r="BH726" t="s">
        <v>126</v>
      </c>
      <c r="BI726" t="s">
        <v>126</v>
      </c>
      <c r="BJ726" t="s">
        <v>126</v>
      </c>
      <c r="BK726" t="s">
        <v>126</v>
      </c>
      <c r="BS726" t="s">
        <v>126</v>
      </c>
      <c r="BT726" t="s">
        <v>126</v>
      </c>
      <c r="BU726" t="s">
        <v>126</v>
      </c>
      <c r="BV726" t="s">
        <v>126</v>
      </c>
      <c r="CN726" t="s">
        <v>147</v>
      </c>
      <c r="CP726" t="s">
        <v>289</v>
      </c>
      <c r="CQ726" t="s">
        <v>147</v>
      </c>
    </row>
    <row r="727" spans="1:95" x14ac:dyDescent="0.2">
      <c r="A727" t="s">
        <v>115</v>
      </c>
      <c r="B727" t="s">
        <v>116</v>
      </c>
      <c r="C727">
        <v>210784</v>
      </c>
      <c r="E727" t="s">
        <v>117</v>
      </c>
      <c r="F727">
        <v>368</v>
      </c>
      <c r="G727" t="s">
        <v>141</v>
      </c>
      <c r="H727" t="s">
        <v>142</v>
      </c>
      <c r="I727" t="s">
        <v>279</v>
      </c>
      <c r="J727" t="s">
        <v>280</v>
      </c>
      <c r="L727" t="s">
        <v>417</v>
      </c>
      <c r="M727" s="8">
        <v>45748</v>
      </c>
      <c r="N727">
        <v>5709752</v>
      </c>
      <c r="O727" t="s">
        <v>123</v>
      </c>
      <c r="P727" t="s">
        <v>146</v>
      </c>
      <c r="Q727">
        <v>2.78</v>
      </c>
      <c r="R727" t="s">
        <v>125</v>
      </c>
      <c r="S727" t="s">
        <v>126</v>
      </c>
      <c r="T727" t="s">
        <v>125</v>
      </c>
      <c r="U727" t="s">
        <v>126</v>
      </c>
      <c r="W727">
        <v>2.78</v>
      </c>
      <c r="Y727">
        <v>2.78</v>
      </c>
      <c r="AS727">
        <v>2.78</v>
      </c>
      <c r="BH727" t="s">
        <v>126</v>
      </c>
      <c r="BI727" t="s">
        <v>126</v>
      </c>
      <c r="BJ727" t="s">
        <v>126</v>
      </c>
      <c r="BK727" t="s">
        <v>126</v>
      </c>
      <c r="BS727" t="s">
        <v>126</v>
      </c>
      <c r="BT727" t="s">
        <v>126</v>
      </c>
      <c r="BU727" t="s">
        <v>126</v>
      </c>
      <c r="BV727" t="s">
        <v>126</v>
      </c>
      <c r="CN727" t="s">
        <v>147</v>
      </c>
      <c r="CP727" t="s">
        <v>289</v>
      </c>
      <c r="CQ727" t="s">
        <v>147</v>
      </c>
    </row>
    <row r="728" spans="1:95" x14ac:dyDescent="0.2">
      <c r="A728" t="s">
        <v>115</v>
      </c>
      <c r="B728" t="s">
        <v>116</v>
      </c>
      <c r="C728">
        <v>210784</v>
      </c>
      <c r="E728" t="s">
        <v>117</v>
      </c>
      <c r="F728">
        <v>368</v>
      </c>
      <c r="G728" t="s">
        <v>141</v>
      </c>
      <c r="H728" t="s">
        <v>142</v>
      </c>
      <c r="I728" t="s">
        <v>279</v>
      </c>
      <c r="J728" t="s">
        <v>280</v>
      </c>
      <c r="L728" t="s">
        <v>403</v>
      </c>
      <c r="M728" s="8">
        <v>45748</v>
      </c>
      <c r="N728">
        <v>5693914</v>
      </c>
      <c r="O728" t="s">
        <v>123</v>
      </c>
      <c r="P728" t="s">
        <v>146</v>
      </c>
      <c r="Q728">
        <v>1</v>
      </c>
      <c r="R728" t="s">
        <v>681</v>
      </c>
      <c r="S728" t="s">
        <v>126</v>
      </c>
      <c r="T728" t="s">
        <v>681</v>
      </c>
      <c r="U728" t="s">
        <v>682</v>
      </c>
      <c r="W728">
        <v>0.31</v>
      </c>
      <c r="X728">
        <v>0.69</v>
      </c>
      <c r="Y728">
        <v>1</v>
      </c>
      <c r="Z728">
        <v>0.38</v>
      </c>
      <c r="AG728">
        <v>0.31</v>
      </c>
      <c r="AI728">
        <v>0.31</v>
      </c>
      <c r="BH728" t="s">
        <v>126</v>
      </c>
      <c r="BI728" t="s">
        <v>126</v>
      </c>
      <c r="BJ728" t="s">
        <v>126</v>
      </c>
      <c r="BK728" t="s">
        <v>126</v>
      </c>
      <c r="BS728" t="s">
        <v>126</v>
      </c>
      <c r="BT728" t="s">
        <v>126</v>
      </c>
      <c r="BU728" t="s">
        <v>126</v>
      </c>
      <c r="BV728" t="s">
        <v>126</v>
      </c>
      <c r="CN728" t="s">
        <v>147</v>
      </c>
      <c r="CP728" t="s">
        <v>283</v>
      </c>
      <c r="CQ728" t="s">
        <v>147</v>
      </c>
    </row>
    <row r="729" spans="1:95" x14ac:dyDescent="0.2">
      <c r="A729" t="s">
        <v>115</v>
      </c>
      <c r="B729" t="s">
        <v>116</v>
      </c>
      <c r="C729">
        <v>210784</v>
      </c>
      <c r="E729" t="s">
        <v>117</v>
      </c>
      <c r="F729">
        <v>368</v>
      </c>
      <c r="G729" t="s">
        <v>141</v>
      </c>
      <c r="H729" t="s">
        <v>142</v>
      </c>
      <c r="I729" t="s">
        <v>279</v>
      </c>
      <c r="J729" t="s">
        <v>280</v>
      </c>
      <c r="L729" t="s">
        <v>403</v>
      </c>
      <c r="M729" s="8">
        <v>45748</v>
      </c>
      <c r="N729">
        <v>5693945</v>
      </c>
      <c r="O729" t="s">
        <v>123</v>
      </c>
      <c r="P729" t="s">
        <v>146</v>
      </c>
      <c r="Q729">
        <v>1.9099999999999997</v>
      </c>
      <c r="R729" t="s">
        <v>598</v>
      </c>
      <c r="S729" t="s">
        <v>126</v>
      </c>
      <c r="T729" t="s">
        <v>598</v>
      </c>
      <c r="U729" t="s">
        <v>599</v>
      </c>
      <c r="W729">
        <v>0.59</v>
      </c>
      <c r="X729">
        <v>1.3199999999999998</v>
      </c>
      <c r="Y729">
        <v>1.9099999999999997</v>
      </c>
      <c r="Z729">
        <v>0.73</v>
      </c>
      <c r="AG729">
        <v>0.59</v>
      </c>
      <c r="AI729">
        <v>0.59</v>
      </c>
      <c r="BH729" t="s">
        <v>126</v>
      </c>
      <c r="BI729" t="s">
        <v>126</v>
      </c>
      <c r="BJ729" t="s">
        <v>126</v>
      </c>
      <c r="BK729" t="s">
        <v>126</v>
      </c>
      <c r="BS729" t="s">
        <v>126</v>
      </c>
      <c r="BT729" t="s">
        <v>126</v>
      </c>
      <c r="BU729" t="s">
        <v>126</v>
      </c>
      <c r="BV729" t="s">
        <v>126</v>
      </c>
      <c r="CN729" t="s">
        <v>147</v>
      </c>
      <c r="CP729" t="s">
        <v>283</v>
      </c>
      <c r="CQ729" t="s">
        <v>147</v>
      </c>
    </row>
    <row r="730" spans="1:95" x14ac:dyDescent="0.2">
      <c r="A730" t="s">
        <v>115</v>
      </c>
      <c r="B730" t="s">
        <v>116</v>
      </c>
      <c r="C730">
        <v>210784</v>
      </c>
      <c r="E730" t="s">
        <v>117</v>
      </c>
      <c r="F730">
        <v>368</v>
      </c>
      <c r="G730" t="s">
        <v>141</v>
      </c>
      <c r="H730" t="s">
        <v>142</v>
      </c>
      <c r="I730" t="s">
        <v>279</v>
      </c>
      <c r="J730" t="s">
        <v>280</v>
      </c>
      <c r="L730" t="s">
        <v>405</v>
      </c>
      <c r="M730" s="8">
        <v>45748</v>
      </c>
      <c r="N730">
        <v>5696060</v>
      </c>
      <c r="O730" t="s">
        <v>123</v>
      </c>
      <c r="P730" t="s">
        <v>146</v>
      </c>
      <c r="Q730">
        <v>6.14</v>
      </c>
      <c r="R730" t="s">
        <v>683</v>
      </c>
      <c r="S730" t="s">
        <v>126</v>
      </c>
      <c r="T730" t="s">
        <v>683</v>
      </c>
      <c r="U730" t="s">
        <v>684</v>
      </c>
      <c r="W730">
        <v>1.89</v>
      </c>
      <c r="X730">
        <v>4.25</v>
      </c>
      <c r="Y730">
        <v>6.14</v>
      </c>
      <c r="Z730">
        <v>2.34</v>
      </c>
      <c r="AG730">
        <v>1.89</v>
      </c>
      <c r="AI730">
        <v>1.91</v>
      </c>
      <c r="BH730" t="s">
        <v>126</v>
      </c>
      <c r="BI730" t="s">
        <v>126</v>
      </c>
      <c r="BJ730" t="s">
        <v>126</v>
      </c>
      <c r="BK730" t="s">
        <v>126</v>
      </c>
      <c r="BS730" t="s">
        <v>126</v>
      </c>
      <c r="BT730" t="s">
        <v>126</v>
      </c>
      <c r="BU730" t="s">
        <v>126</v>
      </c>
      <c r="BV730" t="s">
        <v>126</v>
      </c>
      <c r="CN730" t="s">
        <v>147</v>
      </c>
      <c r="CP730" t="s">
        <v>283</v>
      </c>
      <c r="CQ730" t="s">
        <v>147</v>
      </c>
    </row>
    <row r="731" spans="1:95" x14ac:dyDescent="0.2">
      <c r="A731" t="s">
        <v>115</v>
      </c>
      <c r="B731" t="s">
        <v>116</v>
      </c>
      <c r="C731">
        <v>210784</v>
      </c>
      <c r="E731" t="s">
        <v>117</v>
      </c>
      <c r="F731">
        <v>368</v>
      </c>
      <c r="G731" t="s">
        <v>141</v>
      </c>
      <c r="H731" t="s">
        <v>142</v>
      </c>
      <c r="I731" t="s">
        <v>279</v>
      </c>
      <c r="J731" t="s">
        <v>280</v>
      </c>
      <c r="L731" t="s">
        <v>409</v>
      </c>
      <c r="M731" s="8">
        <v>45748</v>
      </c>
      <c r="N731">
        <v>1850594</v>
      </c>
      <c r="O731" t="s">
        <v>123</v>
      </c>
      <c r="P731" t="s">
        <v>146</v>
      </c>
      <c r="Q731">
        <v>2.66</v>
      </c>
      <c r="R731" t="s">
        <v>602</v>
      </c>
      <c r="S731" t="s">
        <v>126</v>
      </c>
      <c r="T731" t="s">
        <v>602</v>
      </c>
      <c r="U731" t="s">
        <v>603</v>
      </c>
      <c r="W731">
        <v>0.82</v>
      </c>
      <c r="X731">
        <v>1.8399999999999999</v>
      </c>
      <c r="Y731">
        <v>2.66</v>
      </c>
      <c r="Z731">
        <v>1.01</v>
      </c>
      <c r="AG731">
        <v>0.82</v>
      </c>
      <c r="AI731">
        <v>0.83</v>
      </c>
      <c r="BH731" t="s">
        <v>126</v>
      </c>
      <c r="BI731" t="s">
        <v>126</v>
      </c>
      <c r="BJ731" t="s">
        <v>126</v>
      </c>
      <c r="BK731" t="s">
        <v>126</v>
      </c>
      <c r="BS731" t="s">
        <v>126</v>
      </c>
      <c r="BT731" t="s">
        <v>126</v>
      </c>
      <c r="BU731" t="s">
        <v>126</v>
      </c>
      <c r="BV731" t="s">
        <v>126</v>
      </c>
      <c r="CN731" t="s">
        <v>147</v>
      </c>
      <c r="CP731" t="s">
        <v>283</v>
      </c>
      <c r="CQ731" t="s">
        <v>147</v>
      </c>
    </row>
    <row r="732" spans="1:95" x14ac:dyDescent="0.2">
      <c r="A732" t="s">
        <v>115</v>
      </c>
      <c r="B732" t="s">
        <v>116</v>
      </c>
      <c r="C732">
        <v>210784</v>
      </c>
      <c r="E732" t="s">
        <v>117</v>
      </c>
      <c r="F732">
        <v>368</v>
      </c>
      <c r="G732" t="s">
        <v>141</v>
      </c>
      <c r="H732" t="s">
        <v>142</v>
      </c>
      <c r="I732" t="s">
        <v>279</v>
      </c>
      <c r="J732" t="s">
        <v>280</v>
      </c>
      <c r="L732" t="s">
        <v>685</v>
      </c>
      <c r="M732" s="8">
        <v>45748</v>
      </c>
      <c r="N732">
        <v>5703750</v>
      </c>
      <c r="O732" t="s">
        <v>123</v>
      </c>
      <c r="P732" t="s">
        <v>146</v>
      </c>
      <c r="Q732">
        <v>4</v>
      </c>
      <c r="R732" t="s">
        <v>574</v>
      </c>
      <c r="S732" t="s">
        <v>126</v>
      </c>
      <c r="T732" t="s">
        <v>574</v>
      </c>
      <c r="U732" t="s">
        <v>575</v>
      </c>
      <c r="W732">
        <v>1.23</v>
      </c>
      <c r="X732">
        <v>2.77</v>
      </c>
      <c r="Y732">
        <v>4</v>
      </c>
      <c r="Z732">
        <v>1.52</v>
      </c>
      <c r="AG732">
        <v>1.23</v>
      </c>
      <c r="AI732">
        <v>1.25</v>
      </c>
      <c r="BH732" t="s">
        <v>126</v>
      </c>
      <c r="BI732" t="s">
        <v>126</v>
      </c>
      <c r="BJ732" t="s">
        <v>126</v>
      </c>
      <c r="BK732" t="s">
        <v>126</v>
      </c>
      <c r="BS732" t="s">
        <v>126</v>
      </c>
      <c r="BT732" t="s">
        <v>126</v>
      </c>
      <c r="BU732" t="s">
        <v>126</v>
      </c>
      <c r="BV732" t="s">
        <v>126</v>
      </c>
      <c r="CN732" t="s">
        <v>147</v>
      </c>
      <c r="CP732" t="s">
        <v>283</v>
      </c>
      <c r="CQ732" t="s">
        <v>147</v>
      </c>
    </row>
    <row r="733" spans="1:95" x14ac:dyDescent="0.2">
      <c r="A733" t="s">
        <v>115</v>
      </c>
      <c r="B733" t="s">
        <v>116</v>
      </c>
      <c r="C733">
        <v>210784</v>
      </c>
      <c r="E733" t="s">
        <v>117</v>
      </c>
      <c r="F733">
        <v>368</v>
      </c>
      <c r="G733" t="s">
        <v>141</v>
      </c>
      <c r="H733" t="s">
        <v>142</v>
      </c>
      <c r="I733" t="s">
        <v>279</v>
      </c>
      <c r="J733" t="s">
        <v>280</v>
      </c>
      <c r="L733" t="s">
        <v>686</v>
      </c>
      <c r="M733" s="8">
        <v>45748</v>
      </c>
      <c r="N733">
        <v>5703995</v>
      </c>
      <c r="O733" t="s">
        <v>123</v>
      </c>
      <c r="P733" t="s">
        <v>146</v>
      </c>
      <c r="Q733">
        <v>2.2400000000000002</v>
      </c>
      <c r="R733" t="s">
        <v>592</v>
      </c>
      <c r="S733" t="s">
        <v>126</v>
      </c>
      <c r="T733" t="s">
        <v>592</v>
      </c>
      <c r="U733" t="s">
        <v>593</v>
      </c>
      <c r="W733">
        <v>0.69</v>
      </c>
      <c r="X733">
        <v>1.5499999999999998</v>
      </c>
      <c r="Y733">
        <v>2.2400000000000002</v>
      </c>
      <c r="Z733">
        <v>0.85</v>
      </c>
      <c r="AG733">
        <v>0.69</v>
      </c>
      <c r="AI733">
        <v>0.7</v>
      </c>
      <c r="BH733" t="s">
        <v>126</v>
      </c>
      <c r="BI733" t="s">
        <v>126</v>
      </c>
      <c r="BJ733" t="s">
        <v>126</v>
      </c>
      <c r="BK733" t="s">
        <v>126</v>
      </c>
      <c r="BS733" t="s">
        <v>126</v>
      </c>
      <c r="BT733" t="s">
        <v>126</v>
      </c>
      <c r="BU733" t="s">
        <v>126</v>
      </c>
      <c r="BV733" t="s">
        <v>126</v>
      </c>
      <c r="CN733" t="s">
        <v>147</v>
      </c>
      <c r="CP733" t="s">
        <v>283</v>
      </c>
      <c r="CQ733" t="s">
        <v>147</v>
      </c>
    </row>
    <row r="734" spans="1:95" x14ac:dyDescent="0.2">
      <c r="A734" t="s">
        <v>115</v>
      </c>
      <c r="B734" t="s">
        <v>116</v>
      </c>
      <c r="C734">
        <v>210784</v>
      </c>
      <c r="E734" t="s">
        <v>117</v>
      </c>
      <c r="F734">
        <v>368</v>
      </c>
      <c r="G734" t="s">
        <v>141</v>
      </c>
      <c r="H734" t="s">
        <v>142</v>
      </c>
      <c r="I734" t="s">
        <v>279</v>
      </c>
      <c r="J734" t="s">
        <v>280</v>
      </c>
      <c r="L734" t="s">
        <v>687</v>
      </c>
      <c r="M734" s="8">
        <v>45748</v>
      </c>
      <c r="N734">
        <v>5706312</v>
      </c>
      <c r="O734" t="s">
        <v>123</v>
      </c>
      <c r="P734" t="s">
        <v>146</v>
      </c>
      <c r="Q734">
        <v>2.09</v>
      </c>
      <c r="R734" t="s">
        <v>688</v>
      </c>
      <c r="S734" t="s">
        <v>126</v>
      </c>
      <c r="T734" t="s">
        <v>688</v>
      </c>
      <c r="U734" t="s">
        <v>689</v>
      </c>
      <c r="W734">
        <v>0.64</v>
      </c>
      <c r="X734">
        <v>1.4500000000000002</v>
      </c>
      <c r="Y734">
        <v>2.09</v>
      </c>
      <c r="Z734">
        <v>0.8</v>
      </c>
      <c r="AG734">
        <v>0.64</v>
      </c>
      <c r="AI734">
        <v>0.65</v>
      </c>
      <c r="BH734" t="s">
        <v>126</v>
      </c>
      <c r="BI734" t="s">
        <v>126</v>
      </c>
      <c r="BJ734" t="s">
        <v>126</v>
      </c>
      <c r="BK734" t="s">
        <v>126</v>
      </c>
      <c r="BS734" t="s">
        <v>126</v>
      </c>
      <c r="BT734" t="s">
        <v>126</v>
      </c>
      <c r="BU734" t="s">
        <v>126</v>
      </c>
      <c r="BV734" t="s">
        <v>126</v>
      </c>
      <c r="CN734" t="s">
        <v>147</v>
      </c>
      <c r="CP734" t="s">
        <v>283</v>
      </c>
      <c r="CQ734" t="s">
        <v>147</v>
      </c>
    </row>
    <row r="735" spans="1:95" x14ac:dyDescent="0.2">
      <c r="A735" t="s">
        <v>115</v>
      </c>
      <c r="B735" t="s">
        <v>116</v>
      </c>
      <c r="C735">
        <v>210784</v>
      </c>
      <c r="E735" t="s">
        <v>117</v>
      </c>
      <c r="F735">
        <v>368</v>
      </c>
      <c r="G735" t="s">
        <v>141</v>
      </c>
      <c r="H735" t="s">
        <v>142</v>
      </c>
      <c r="I735" t="s">
        <v>279</v>
      </c>
      <c r="J735" t="s">
        <v>280</v>
      </c>
      <c r="L735" t="s">
        <v>416</v>
      </c>
      <c r="M735" s="8">
        <v>45748</v>
      </c>
      <c r="N735">
        <v>570892</v>
      </c>
      <c r="O735" t="s">
        <v>123</v>
      </c>
      <c r="P735" t="s">
        <v>146</v>
      </c>
      <c r="Q735">
        <v>2.08</v>
      </c>
      <c r="R735" t="s">
        <v>569</v>
      </c>
      <c r="S735" t="s">
        <v>126</v>
      </c>
      <c r="T735" t="s">
        <v>569</v>
      </c>
      <c r="U735" t="s">
        <v>570</v>
      </c>
      <c r="W735">
        <v>0.64</v>
      </c>
      <c r="X735">
        <v>1.44</v>
      </c>
      <c r="Y735">
        <v>2.08</v>
      </c>
      <c r="Z735">
        <v>0.79</v>
      </c>
      <c r="AG735">
        <v>0.64</v>
      </c>
      <c r="AI735">
        <v>0.65</v>
      </c>
      <c r="BH735" t="s">
        <v>126</v>
      </c>
      <c r="BI735" t="s">
        <v>126</v>
      </c>
      <c r="BJ735" t="s">
        <v>126</v>
      </c>
      <c r="BK735" t="s">
        <v>126</v>
      </c>
      <c r="BS735" t="s">
        <v>126</v>
      </c>
      <c r="BT735" t="s">
        <v>126</v>
      </c>
      <c r="BU735" t="s">
        <v>126</v>
      </c>
      <c r="BV735" t="s">
        <v>126</v>
      </c>
      <c r="CN735" t="s">
        <v>147</v>
      </c>
      <c r="CP735" t="s">
        <v>289</v>
      </c>
      <c r="CQ735" t="s">
        <v>147</v>
      </c>
    </row>
    <row r="736" spans="1:95" x14ac:dyDescent="0.2">
      <c r="A736" t="s">
        <v>115</v>
      </c>
      <c r="B736" t="s">
        <v>116</v>
      </c>
      <c r="C736">
        <v>210784</v>
      </c>
      <c r="E736" t="s">
        <v>117</v>
      </c>
      <c r="F736">
        <v>368</v>
      </c>
      <c r="G736" t="s">
        <v>141</v>
      </c>
      <c r="H736" t="s">
        <v>142</v>
      </c>
      <c r="I736" t="s">
        <v>279</v>
      </c>
      <c r="J736" t="s">
        <v>280</v>
      </c>
      <c r="L736" t="s">
        <v>690</v>
      </c>
      <c r="M736" s="8">
        <v>45748</v>
      </c>
      <c r="N736">
        <v>5710343</v>
      </c>
      <c r="O736" t="s">
        <v>123</v>
      </c>
      <c r="P736" t="s">
        <v>146</v>
      </c>
      <c r="Q736">
        <v>4.01</v>
      </c>
      <c r="R736" t="s">
        <v>623</v>
      </c>
      <c r="S736" t="s">
        <v>126</v>
      </c>
      <c r="T736" t="s">
        <v>623</v>
      </c>
      <c r="U736" t="s">
        <v>624</v>
      </c>
      <c r="W736">
        <v>1.24</v>
      </c>
      <c r="X736">
        <v>2.77</v>
      </c>
      <c r="Y736">
        <v>4.01</v>
      </c>
      <c r="Z736">
        <v>1.52</v>
      </c>
      <c r="AG736">
        <v>1.24</v>
      </c>
      <c r="AI736">
        <v>1.25</v>
      </c>
      <c r="BH736" t="s">
        <v>126</v>
      </c>
      <c r="BI736" t="s">
        <v>126</v>
      </c>
      <c r="BJ736" t="s">
        <v>126</v>
      </c>
      <c r="BK736" t="s">
        <v>126</v>
      </c>
      <c r="BS736" t="s">
        <v>126</v>
      </c>
      <c r="BT736" t="s">
        <v>126</v>
      </c>
      <c r="BU736" t="s">
        <v>126</v>
      </c>
      <c r="BV736" t="s">
        <v>126</v>
      </c>
      <c r="CN736" t="s">
        <v>147</v>
      </c>
      <c r="CP736" t="s">
        <v>289</v>
      </c>
      <c r="CQ736" t="s">
        <v>147</v>
      </c>
    </row>
    <row r="737" spans="1:95" x14ac:dyDescent="0.2">
      <c r="A737" t="s">
        <v>115</v>
      </c>
      <c r="B737" t="s">
        <v>116</v>
      </c>
      <c r="C737">
        <v>210784</v>
      </c>
      <c r="E737" t="s">
        <v>117</v>
      </c>
      <c r="F737">
        <v>368</v>
      </c>
      <c r="G737" t="s">
        <v>141</v>
      </c>
      <c r="H737" t="s">
        <v>142</v>
      </c>
      <c r="I737" t="s">
        <v>279</v>
      </c>
      <c r="J737" t="s">
        <v>280</v>
      </c>
      <c r="L737" t="s">
        <v>690</v>
      </c>
      <c r="M737" s="8">
        <v>45748</v>
      </c>
      <c r="N737">
        <v>5710512</v>
      </c>
      <c r="O737" t="s">
        <v>123</v>
      </c>
      <c r="P737" t="s">
        <v>146</v>
      </c>
      <c r="Q737">
        <v>1.0900000000000001</v>
      </c>
      <c r="R737" t="s">
        <v>648</v>
      </c>
      <c r="S737" t="s">
        <v>126</v>
      </c>
      <c r="T737" t="s">
        <v>648</v>
      </c>
      <c r="U737" t="s">
        <v>649</v>
      </c>
      <c r="W737">
        <v>0.34</v>
      </c>
      <c r="X737">
        <v>0.75</v>
      </c>
      <c r="Y737">
        <v>1.0900000000000001</v>
      </c>
      <c r="Z737">
        <v>0.41</v>
      </c>
      <c r="AG737">
        <v>0.34</v>
      </c>
      <c r="AI737">
        <v>0.34</v>
      </c>
      <c r="BH737" t="s">
        <v>126</v>
      </c>
      <c r="BI737" t="s">
        <v>126</v>
      </c>
      <c r="BJ737" t="s">
        <v>126</v>
      </c>
      <c r="BK737" t="s">
        <v>126</v>
      </c>
      <c r="BS737" t="s">
        <v>126</v>
      </c>
      <c r="BT737" t="s">
        <v>126</v>
      </c>
      <c r="BU737" t="s">
        <v>126</v>
      </c>
      <c r="BV737" t="s">
        <v>126</v>
      </c>
      <c r="CN737" t="s">
        <v>147</v>
      </c>
      <c r="CP737" t="s">
        <v>289</v>
      </c>
      <c r="CQ737" t="s">
        <v>147</v>
      </c>
    </row>
    <row r="738" spans="1:95" x14ac:dyDescent="0.2">
      <c r="A738" t="s">
        <v>115</v>
      </c>
      <c r="B738" t="s">
        <v>116</v>
      </c>
      <c r="C738">
        <v>210784</v>
      </c>
      <c r="E738" t="s">
        <v>117</v>
      </c>
      <c r="F738">
        <v>368</v>
      </c>
      <c r="G738" t="s">
        <v>141</v>
      </c>
      <c r="H738" t="s">
        <v>142</v>
      </c>
      <c r="I738" t="s">
        <v>279</v>
      </c>
      <c r="J738" t="s">
        <v>280</v>
      </c>
      <c r="L738" t="s">
        <v>402</v>
      </c>
      <c r="M738" s="8">
        <v>45748</v>
      </c>
      <c r="N738">
        <v>5693201</v>
      </c>
      <c r="O738" t="s">
        <v>123</v>
      </c>
      <c r="P738" t="s">
        <v>146</v>
      </c>
      <c r="Q738">
        <v>2.65</v>
      </c>
      <c r="R738" t="s">
        <v>125</v>
      </c>
      <c r="S738" t="s">
        <v>126</v>
      </c>
      <c r="T738" t="s">
        <v>125</v>
      </c>
      <c r="U738" t="s">
        <v>126</v>
      </c>
      <c r="W738">
        <v>2.65</v>
      </c>
      <c r="Y738">
        <v>2.65</v>
      </c>
      <c r="BE738">
        <v>2.65</v>
      </c>
      <c r="BH738" t="s">
        <v>126</v>
      </c>
      <c r="BI738" t="s">
        <v>126</v>
      </c>
      <c r="BJ738" t="s">
        <v>126</v>
      </c>
      <c r="BK738" t="s">
        <v>126</v>
      </c>
      <c r="BS738" t="s">
        <v>126</v>
      </c>
      <c r="BT738" t="s">
        <v>126</v>
      </c>
      <c r="BU738" t="s">
        <v>126</v>
      </c>
      <c r="BV738" t="s">
        <v>126</v>
      </c>
      <c r="CN738" t="s">
        <v>147</v>
      </c>
      <c r="CP738" t="s">
        <v>283</v>
      </c>
      <c r="CQ738" t="s">
        <v>147</v>
      </c>
    </row>
    <row r="739" spans="1:95" x14ac:dyDescent="0.2">
      <c r="A739" t="s">
        <v>115</v>
      </c>
      <c r="B739" t="s">
        <v>116</v>
      </c>
      <c r="C739">
        <v>210784</v>
      </c>
      <c r="E739" t="s">
        <v>117</v>
      </c>
      <c r="F739">
        <v>368</v>
      </c>
      <c r="G739" t="s">
        <v>141</v>
      </c>
      <c r="H739" t="s">
        <v>142</v>
      </c>
      <c r="I739" t="s">
        <v>279</v>
      </c>
      <c r="J739" t="s">
        <v>280</v>
      </c>
      <c r="L739" t="s">
        <v>889</v>
      </c>
      <c r="M739" s="8">
        <v>45748</v>
      </c>
      <c r="N739">
        <v>5694809</v>
      </c>
      <c r="O739" t="s">
        <v>123</v>
      </c>
      <c r="P739" t="s">
        <v>146</v>
      </c>
      <c r="Q739">
        <v>0.51</v>
      </c>
      <c r="R739" t="s">
        <v>125</v>
      </c>
      <c r="S739" t="s">
        <v>126</v>
      </c>
      <c r="T739" t="s">
        <v>125</v>
      </c>
      <c r="U739" t="s">
        <v>126</v>
      </c>
      <c r="W739">
        <v>0.51</v>
      </c>
      <c r="Y739">
        <v>0.51</v>
      </c>
      <c r="BE739">
        <v>0.51</v>
      </c>
      <c r="BH739" t="s">
        <v>126</v>
      </c>
      <c r="BI739" t="s">
        <v>126</v>
      </c>
      <c r="BJ739" t="s">
        <v>126</v>
      </c>
      <c r="BK739" t="s">
        <v>126</v>
      </c>
      <c r="BS739" t="s">
        <v>126</v>
      </c>
      <c r="BT739" t="s">
        <v>126</v>
      </c>
      <c r="BU739" t="s">
        <v>126</v>
      </c>
      <c r="BV739" t="s">
        <v>126</v>
      </c>
      <c r="CN739" t="s">
        <v>147</v>
      </c>
      <c r="CP739" t="s">
        <v>283</v>
      </c>
      <c r="CQ739" t="s">
        <v>147</v>
      </c>
    </row>
    <row r="740" spans="1:95" x14ac:dyDescent="0.2">
      <c r="A740" t="s">
        <v>115</v>
      </c>
      <c r="B740" t="s">
        <v>116</v>
      </c>
      <c r="C740">
        <v>210784</v>
      </c>
      <c r="E740" t="s">
        <v>117</v>
      </c>
      <c r="F740">
        <v>368</v>
      </c>
      <c r="G740" t="s">
        <v>141</v>
      </c>
      <c r="H740" t="s">
        <v>142</v>
      </c>
      <c r="I740" t="s">
        <v>279</v>
      </c>
      <c r="J740" t="s">
        <v>280</v>
      </c>
      <c r="L740" t="s">
        <v>408</v>
      </c>
      <c r="M740" s="8">
        <v>45748</v>
      </c>
      <c r="N740">
        <v>5698714</v>
      </c>
      <c r="O740" t="s">
        <v>123</v>
      </c>
      <c r="P740" t="s">
        <v>146</v>
      </c>
      <c r="Q740">
        <v>0.93</v>
      </c>
      <c r="R740" t="s">
        <v>125</v>
      </c>
      <c r="S740" t="s">
        <v>126</v>
      </c>
      <c r="T740" t="s">
        <v>125</v>
      </c>
      <c r="U740" t="s">
        <v>126</v>
      </c>
      <c r="W740">
        <v>0.93</v>
      </c>
      <c r="Y740">
        <v>0.93</v>
      </c>
      <c r="BE740">
        <v>0.93</v>
      </c>
      <c r="BH740" t="s">
        <v>126</v>
      </c>
      <c r="BI740" t="s">
        <v>126</v>
      </c>
      <c r="BJ740" t="s">
        <v>126</v>
      </c>
      <c r="BK740" t="s">
        <v>126</v>
      </c>
      <c r="BS740" t="s">
        <v>126</v>
      </c>
      <c r="BT740" t="s">
        <v>126</v>
      </c>
      <c r="BU740" t="s">
        <v>126</v>
      </c>
      <c r="BV740" t="s">
        <v>126</v>
      </c>
      <c r="CN740" t="s">
        <v>147</v>
      </c>
      <c r="CP740" t="s">
        <v>283</v>
      </c>
      <c r="CQ740" t="s">
        <v>147</v>
      </c>
    </row>
    <row r="741" spans="1:95" x14ac:dyDescent="0.2">
      <c r="A741" t="s">
        <v>115</v>
      </c>
      <c r="B741" t="s">
        <v>116</v>
      </c>
      <c r="C741">
        <v>210784</v>
      </c>
      <c r="E741" t="s">
        <v>117</v>
      </c>
      <c r="F741">
        <v>368</v>
      </c>
      <c r="G741" t="s">
        <v>141</v>
      </c>
      <c r="H741" t="s">
        <v>142</v>
      </c>
      <c r="I741" t="s">
        <v>279</v>
      </c>
      <c r="J741" t="s">
        <v>280</v>
      </c>
      <c r="L741" t="s">
        <v>408</v>
      </c>
      <c r="M741" s="8">
        <v>45748</v>
      </c>
      <c r="N741">
        <v>5698893</v>
      </c>
      <c r="O741" t="s">
        <v>123</v>
      </c>
      <c r="P741" t="s">
        <v>146</v>
      </c>
      <c r="Q741">
        <v>2.4900000000000002</v>
      </c>
      <c r="R741" t="s">
        <v>125</v>
      </c>
      <c r="S741" t="s">
        <v>126</v>
      </c>
      <c r="T741" t="s">
        <v>125</v>
      </c>
      <c r="U741" t="s">
        <v>126</v>
      </c>
      <c r="W741">
        <v>2.4900000000000002</v>
      </c>
      <c r="Y741">
        <v>2.4900000000000002</v>
      </c>
      <c r="BE741">
        <v>2.4900000000000002</v>
      </c>
      <c r="BH741" t="s">
        <v>126</v>
      </c>
      <c r="BI741" t="s">
        <v>126</v>
      </c>
      <c r="BJ741" t="s">
        <v>126</v>
      </c>
      <c r="BK741" t="s">
        <v>126</v>
      </c>
      <c r="BS741" t="s">
        <v>126</v>
      </c>
      <c r="BT741" t="s">
        <v>126</v>
      </c>
      <c r="BU741" t="s">
        <v>126</v>
      </c>
      <c r="BV741" t="s">
        <v>126</v>
      </c>
      <c r="CN741" t="s">
        <v>147</v>
      </c>
      <c r="CP741" t="s">
        <v>283</v>
      </c>
      <c r="CQ741" t="s">
        <v>147</v>
      </c>
    </row>
    <row r="742" spans="1:95" x14ac:dyDescent="0.2">
      <c r="A742" t="s">
        <v>115</v>
      </c>
      <c r="B742" t="s">
        <v>116</v>
      </c>
      <c r="C742">
        <v>210784</v>
      </c>
      <c r="E742" t="s">
        <v>117</v>
      </c>
      <c r="F742">
        <v>368</v>
      </c>
      <c r="G742" t="s">
        <v>141</v>
      </c>
      <c r="H742" t="s">
        <v>142</v>
      </c>
      <c r="I742" t="s">
        <v>279</v>
      </c>
      <c r="J742" t="s">
        <v>280</v>
      </c>
      <c r="L742" t="s">
        <v>410</v>
      </c>
      <c r="M742" s="8">
        <v>45748</v>
      </c>
      <c r="N742">
        <v>5699795</v>
      </c>
      <c r="O742" t="s">
        <v>123</v>
      </c>
      <c r="P742" t="s">
        <v>146</v>
      </c>
      <c r="Q742">
        <v>0.6</v>
      </c>
      <c r="R742" t="s">
        <v>125</v>
      </c>
      <c r="S742" t="s">
        <v>126</v>
      </c>
      <c r="T742" t="s">
        <v>125</v>
      </c>
      <c r="U742" t="s">
        <v>126</v>
      </c>
      <c r="W742">
        <v>0.6</v>
      </c>
      <c r="Y742">
        <v>0.6</v>
      </c>
      <c r="BE742">
        <v>0.6</v>
      </c>
      <c r="BH742" t="s">
        <v>126</v>
      </c>
      <c r="BI742" t="s">
        <v>126</v>
      </c>
      <c r="BJ742" t="s">
        <v>126</v>
      </c>
      <c r="BK742" t="s">
        <v>126</v>
      </c>
      <c r="BS742" t="s">
        <v>126</v>
      </c>
      <c r="BT742" t="s">
        <v>126</v>
      </c>
      <c r="BU742" t="s">
        <v>126</v>
      </c>
      <c r="BV742" t="s">
        <v>126</v>
      </c>
      <c r="CN742" t="s">
        <v>147</v>
      </c>
      <c r="CP742" t="s">
        <v>283</v>
      </c>
      <c r="CQ742" t="s">
        <v>147</v>
      </c>
    </row>
    <row r="743" spans="1:95" x14ac:dyDescent="0.2">
      <c r="A743" t="s">
        <v>115</v>
      </c>
      <c r="B743" t="s">
        <v>116</v>
      </c>
      <c r="C743">
        <v>210784</v>
      </c>
      <c r="E743" t="s">
        <v>117</v>
      </c>
      <c r="F743">
        <v>368</v>
      </c>
      <c r="G743" t="s">
        <v>141</v>
      </c>
      <c r="H743" t="s">
        <v>142</v>
      </c>
      <c r="I743" t="s">
        <v>279</v>
      </c>
      <c r="J743" t="s">
        <v>280</v>
      </c>
      <c r="L743" t="s">
        <v>412</v>
      </c>
      <c r="M743" s="8">
        <v>45748</v>
      </c>
      <c r="N743">
        <v>5703133</v>
      </c>
      <c r="O743" t="s">
        <v>123</v>
      </c>
      <c r="P743" t="s">
        <v>146</v>
      </c>
      <c r="Q743">
        <v>1.2</v>
      </c>
      <c r="R743" t="s">
        <v>125</v>
      </c>
      <c r="S743" t="s">
        <v>126</v>
      </c>
      <c r="T743" t="s">
        <v>125</v>
      </c>
      <c r="U743" t="s">
        <v>126</v>
      </c>
      <c r="W743">
        <v>1.2</v>
      </c>
      <c r="Y743">
        <v>1.2</v>
      </c>
      <c r="BE743">
        <v>1.2</v>
      </c>
      <c r="BH743" t="s">
        <v>126</v>
      </c>
      <c r="BI743" t="s">
        <v>126</v>
      </c>
      <c r="BJ743" t="s">
        <v>126</v>
      </c>
      <c r="BK743" t="s">
        <v>126</v>
      </c>
      <c r="BS743" t="s">
        <v>126</v>
      </c>
      <c r="BT743" t="s">
        <v>126</v>
      </c>
      <c r="BU743" t="s">
        <v>126</v>
      </c>
      <c r="BV743" t="s">
        <v>126</v>
      </c>
      <c r="CN743" t="s">
        <v>147</v>
      </c>
      <c r="CP743" t="s">
        <v>283</v>
      </c>
      <c r="CQ743" t="s">
        <v>147</v>
      </c>
    </row>
    <row r="744" spans="1:95" x14ac:dyDescent="0.2">
      <c r="A744" t="s">
        <v>115</v>
      </c>
      <c r="B744" t="s">
        <v>116</v>
      </c>
      <c r="C744">
        <v>210784</v>
      </c>
      <c r="E744" t="s">
        <v>117</v>
      </c>
      <c r="F744">
        <v>368</v>
      </c>
      <c r="G744" t="s">
        <v>141</v>
      </c>
      <c r="H744" t="s">
        <v>142</v>
      </c>
      <c r="I744" t="s">
        <v>279</v>
      </c>
      <c r="J744" t="s">
        <v>280</v>
      </c>
      <c r="L744" t="s">
        <v>686</v>
      </c>
      <c r="M744" s="8">
        <v>45748</v>
      </c>
      <c r="N744">
        <v>5703948</v>
      </c>
      <c r="O744" t="s">
        <v>123</v>
      </c>
      <c r="P744" t="s">
        <v>146</v>
      </c>
      <c r="Q744">
        <v>1.68</v>
      </c>
      <c r="R744" t="s">
        <v>125</v>
      </c>
      <c r="S744" t="s">
        <v>126</v>
      </c>
      <c r="T744" t="s">
        <v>125</v>
      </c>
      <c r="U744" t="s">
        <v>126</v>
      </c>
      <c r="W744">
        <v>1.68</v>
      </c>
      <c r="Y744">
        <v>1.68</v>
      </c>
      <c r="BE744">
        <v>1.68</v>
      </c>
      <c r="BH744" t="s">
        <v>126</v>
      </c>
      <c r="BI744" t="s">
        <v>126</v>
      </c>
      <c r="BJ744" t="s">
        <v>126</v>
      </c>
      <c r="BK744" t="s">
        <v>126</v>
      </c>
      <c r="BS744" t="s">
        <v>126</v>
      </c>
      <c r="BT744" t="s">
        <v>126</v>
      </c>
      <c r="BU744" t="s">
        <v>126</v>
      </c>
      <c r="BV744" t="s">
        <v>126</v>
      </c>
      <c r="CN744" t="s">
        <v>147</v>
      </c>
      <c r="CP744" t="s">
        <v>283</v>
      </c>
      <c r="CQ744" t="s">
        <v>147</v>
      </c>
    </row>
    <row r="745" spans="1:95" x14ac:dyDescent="0.2">
      <c r="A745" t="s">
        <v>115</v>
      </c>
      <c r="B745" t="s">
        <v>116</v>
      </c>
      <c r="C745">
        <v>210784</v>
      </c>
      <c r="E745" t="s">
        <v>117</v>
      </c>
      <c r="F745">
        <v>368</v>
      </c>
      <c r="G745" t="s">
        <v>141</v>
      </c>
      <c r="H745" t="s">
        <v>142</v>
      </c>
      <c r="I745" t="s">
        <v>279</v>
      </c>
      <c r="J745" t="s">
        <v>280</v>
      </c>
      <c r="L745" t="s">
        <v>414</v>
      </c>
      <c r="M745" s="8">
        <v>45748</v>
      </c>
      <c r="N745">
        <v>5705682</v>
      </c>
      <c r="O745" t="s">
        <v>123</v>
      </c>
      <c r="P745" t="s">
        <v>146</v>
      </c>
      <c r="Q745">
        <v>0.79</v>
      </c>
      <c r="R745" t="s">
        <v>125</v>
      </c>
      <c r="S745" t="s">
        <v>126</v>
      </c>
      <c r="T745" t="s">
        <v>125</v>
      </c>
      <c r="U745" t="s">
        <v>126</v>
      </c>
      <c r="W745">
        <v>0.79</v>
      </c>
      <c r="Y745">
        <v>0.79</v>
      </c>
      <c r="BE745">
        <v>0.79</v>
      </c>
      <c r="BH745" t="s">
        <v>126</v>
      </c>
      <c r="BI745" t="s">
        <v>126</v>
      </c>
      <c r="BJ745" t="s">
        <v>126</v>
      </c>
      <c r="BK745" t="s">
        <v>126</v>
      </c>
      <c r="BS745" t="s">
        <v>126</v>
      </c>
      <c r="BT745" t="s">
        <v>126</v>
      </c>
      <c r="BU745" t="s">
        <v>126</v>
      </c>
      <c r="BV745" t="s">
        <v>126</v>
      </c>
      <c r="CN745" t="s">
        <v>147</v>
      </c>
      <c r="CP745" t="s">
        <v>283</v>
      </c>
      <c r="CQ745" t="s">
        <v>147</v>
      </c>
    </row>
    <row r="746" spans="1:95" x14ac:dyDescent="0.2">
      <c r="A746" t="s">
        <v>115</v>
      </c>
      <c r="B746" t="s">
        <v>116</v>
      </c>
      <c r="C746">
        <v>210784</v>
      </c>
      <c r="E746" t="s">
        <v>117</v>
      </c>
      <c r="F746">
        <v>368</v>
      </c>
      <c r="G746" t="s">
        <v>141</v>
      </c>
      <c r="H746" t="s">
        <v>142</v>
      </c>
      <c r="I746" t="s">
        <v>279</v>
      </c>
      <c r="J746" t="s">
        <v>280</v>
      </c>
      <c r="L746" t="s">
        <v>890</v>
      </c>
      <c r="M746" s="8">
        <v>45748</v>
      </c>
      <c r="N746">
        <v>5707130</v>
      </c>
      <c r="O746" t="s">
        <v>123</v>
      </c>
      <c r="P746" t="s">
        <v>146</v>
      </c>
      <c r="Q746">
        <v>1.7</v>
      </c>
      <c r="R746" t="s">
        <v>125</v>
      </c>
      <c r="S746" t="s">
        <v>126</v>
      </c>
      <c r="T746" t="s">
        <v>125</v>
      </c>
      <c r="U746" t="s">
        <v>126</v>
      </c>
      <c r="W746">
        <v>1.7</v>
      </c>
      <c r="Y746">
        <v>1.7</v>
      </c>
      <c r="BE746">
        <v>1.7</v>
      </c>
      <c r="BH746" t="s">
        <v>126</v>
      </c>
      <c r="BI746" t="s">
        <v>126</v>
      </c>
      <c r="BJ746" t="s">
        <v>126</v>
      </c>
      <c r="BK746" t="s">
        <v>126</v>
      </c>
      <c r="BS746" t="s">
        <v>126</v>
      </c>
      <c r="BT746" t="s">
        <v>126</v>
      </c>
      <c r="BU746" t="s">
        <v>126</v>
      </c>
      <c r="BV746" t="s">
        <v>126</v>
      </c>
      <c r="CN746" t="s">
        <v>147</v>
      </c>
      <c r="CP746" t="s">
        <v>283</v>
      </c>
      <c r="CQ746" t="s">
        <v>147</v>
      </c>
    </row>
    <row r="747" spans="1:95" x14ac:dyDescent="0.2">
      <c r="A747" t="s">
        <v>115</v>
      </c>
      <c r="B747" t="s">
        <v>116</v>
      </c>
      <c r="C747">
        <v>210784</v>
      </c>
      <c r="E747" t="s">
        <v>117</v>
      </c>
      <c r="F747">
        <v>368</v>
      </c>
      <c r="G747" t="s">
        <v>141</v>
      </c>
      <c r="H747" t="s">
        <v>142</v>
      </c>
      <c r="I747" t="s">
        <v>279</v>
      </c>
      <c r="J747" t="s">
        <v>280</v>
      </c>
      <c r="L747" t="s">
        <v>891</v>
      </c>
      <c r="M747" s="8">
        <v>45748</v>
      </c>
      <c r="N747">
        <v>5708124</v>
      </c>
      <c r="O747" t="s">
        <v>123</v>
      </c>
      <c r="P747" t="s">
        <v>146</v>
      </c>
      <c r="Q747">
        <v>1.1000000000000001</v>
      </c>
      <c r="R747" t="s">
        <v>125</v>
      </c>
      <c r="S747" t="s">
        <v>126</v>
      </c>
      <c r="T747" t="s">
        <v>125</v>
      </c>
      <c r="U747" t="s">
        <v>126</v>
      </c>
      <c r="W747">
        <v>1.1000000000000001</v>
      </c>
      <c r="Y747">
        <v>1.1000000000000001</v>
      </c>
      <c r="BE747">
        <v>1.1000000000000001</v>
      </c>
      <c r="BH747" t="s">
        <v>126</v>
      </c>
      <c r="BI747" t="s">
        <v>126</v>
      </c>
      <c r="BJ747" t="s">
        <v>126</v>
      </c>
      <c r="BK747" t="s">
        <v>126</v>
      </c>
      <c r="BS747" t="s">
        <v>126</v>
      </c>
      <c r="BT747" t="s">
        <v>126</v>
      </c>
      <c r="BU747" t="s">
        <v>126</v>
      </c>
      <c r="BV747" t="s">
        <v>126</v>
      </c>
      <c r="CN747" t="s">
        <v>147</v>
      </c>
      <c r="CP747" t="s">
        <v>283</v>
      </c>
      <c r="CQ747" t="s">
        <v>147</v>
      </c>
    </row>
    <row r="748" spans="1:95" x14ac:dyDescent="0.2">
      <c r="A748" t="s">
        <v>115</v>
      </c>
      <c r="B748" t="s">
        <v>116</v>
      </c>
      <c r="C748">
        <v>210784</v>
      </c>
      <c r="E748" t="s">
        <v>117</v>
      </c>
      <c r="F748">
        <v>368</v>
      </c>
      <c r="G748" t="s">
        <v>141</v>
      </c>
      <c r="H748" t="s">
        <v>142</v>
      </c>
      <c r="I748" t="s">
        <v>279</v>
      </c>
      <c r="J748" t="s">
        <v>280</v>
      </c>
      <c r="L748" t="s">
        <v>417</v>
      </c>
      <c r="M748" s="8">
        <v>45748</v>
      </c>
      <c r="N748">
        <v>5709607</v>
      </c>
      <c r="O748" t="s">
        <v>123</v>
      </c>
      <c r="P748" t="s">
        <v>146</v>
      </c>
      <c r="Q748">
        <v>2.4700000000000002</v>
      </c>
      <c r="R748" t="s">
        <v>125</v>
      </c>
      <c r="S748" t="s">
        <v>126</v>
      </c>
      <c r="T748" t="s">
        <v>125</v>
      </c>
      <c r="U748" t="s">
        <v>126</v>
      </c>
      <c r="W748">
        <v>2.4700000000000002</v>
      </c>
      <c r="Y748">
        <v>2.4700000000000002</v>
      </c>
      <c r="BE748">
        <v>2.4700000000000002</v>
      </c>
      <c r="BH748" t="s">
        <v>126</v>
      </c>
      <c r="BI748" t="s">
        <v>126</v>
      </c>
      <c r="BJ748" t="s">
        <v>126</v>
      </c>
      <c r="BK748" t="s">
        <v>126</v>
      </c>
      <c r="BS748" t="s">
        <v>126</v>
      </c>
      <c r="BT748" t="s">
        <v>126</v>
      </c>
      <c r="BU748" t="s">
        <v>126</v>
      </c>
      <c r="BV748" t="s">
        <v>126</v>
      </c>
      <c r="CN748" t="s">
        <v>147</v>
      </c>
      <c r="CP748" t="s">
        <v>289</v>
      </c>
      <c r="CQ748" t="s">
        <v>147</v>
      </c>
    </row>
    <row r="749" spans="1:95" x14ac:dyDescent="0.2">
      <c r="A749" t="s">
        <v>115</v>
      </c>
      <c r="B749" t="s">
        <v>116</v>
      </c>
      <c r="C749">
        <v>210784</v>
      </c>
      <c r="E749" t="s">
        <v>117</v>
      </c>
      <c r="F749">
        <v>368</v>
      </c>
      <c r="G749" t="s">
        <v>141</v>
      </c>
      <c r="H749" t="s">
        <v>142</v>
      </c>
      <c r="I749" t="s">
        <v>279</v>
      </c>
      <c r="J749" t="s">
        <v>280</v>
      </c>
      <c r="L749" t="s">
        <v>417</v>
      </c>
      <c r="M749" s="8">
        <v>45748</v>
      </c>
      <c r="N749">
        <v>5709593</v>
      </c>
      <c r="O749" t="s">
        <v>123</v>
      </c>
      <c r="P749" t="s">
        <v>146</v>
      </c>
      <c r="Q749">
        <v>1.27</v>
      </c>
      <c r="R749" t="s">
        <v>125</v>
      </c>
      <c r="S749" t="s">
        <v>126</v>
      </c>
      <c r="T749" t="s">
        <v>125</v>
      </c>
      <c r="U749" t="s">
        <v>126</v>
      </c>
      <c r="W749">
        <v>1.27</v>
      </c>
      <c r="Y749">
        <v>1.27</v>
      </c>
      <c r="BE749">
        <v>1.27</v>
      </c>
      <c r="BH749" t="s">
        <v>126</v>
      </c>
      <c r="BI749" t="s">
        <v>126</v>
      </c>
      <c r="BJ749" t="s">
        <v>126</v>
      </c>
      <c r="BK749" t="s">
        <v>126</v>
      </c>
      <c r="BS749" t="s">
        <v>126</v>
      </c>
      <c r="BT749" t="s">
        <v>126</v>
      </c>
      <c r="BU749" t="s">
        <v>126</v>
      </c>
      <c r="BV749" t="s">
        <v>126</v>
      </c>
      <c r="CN749" t="s">
        <v>147</v>
      </c>
      <c r="CP749" t="s">
        <v>289</v>
      </c>
      <c r="CQ749" t="s">
        <v>147</v>
      </c>
    </row>
    <row r="750" spans="1:95" x14ac:dyDescent="0.2">
      <c r="A750" t="s">
        <v>115</v>
      </c>
      <c r="B750" t="s">
        <v>116</v>
      </c>
      <c r="C750">
        <v>210784</v>
      </c>
      <c r="E750" t="s">
        <v>117</v>
      </c>
      <c r="F750">
        <v>368</v>
      </c>
      <c r="G750" t="s">
        <v>141</v>
      </c>
      <c r="H750" t="s">
        <v>142</v>
      </c>
      <c r="I750" t="s">
        <v>284</v>
      </c>
      <c r="J750" t="s">
        <v>285</v>
      </c>
      <c r="L750" t="s">
        <v>286</v>
      </c>
      <c r="M750" s="8">
        <v>45778</v>
      </c>
      <c r="N750">
        <v>120262</v>
      </c>
      <c r="O750" t="s">
        <v>123</v>
      </c>
      <c r="P750" t="s">
        <v>146</v>
      </c>
      <c r="Q750">
        <v>5.81</v>
      </c>
      <c r="R750" t="s">
        <v>125</v>
      </c>
      <c r="S750" t="s">
        <v>126</v>
      </c>
      <c r="T750" t="s">
        <v>125</v>
      </c>
      <c r="U750" t="s">
        <v>126</v>
      </c>
      <c r="W750">
        <v>5.81</v>
      </c>
      <c r="Y750">
        <v>5.81</v>
      </c>
      <c r="AC750">
        <v>5.81</v>
      </c>
      <c r="BH750" t="s">
        <v>126</v>
      </c>
      <c r="BI750" t="s">
        <v>126</v>
      </c>
      <c r="BJ750" t="s">
        <v>126</v>
      </c>
      <c r="BK750" t="s">
        <v>126</v>
      </c>
      <c r="BS750" t="s">
        <v>126</v>
      </c>
      <c r="BT750" t="s">
        <v>126</v>
      </c>
      <c r="BU750" t="s">
        <v>126</v>
      </c>
      <c r="BV750" t="s">
        <v>126</v>
      </c>
      <c r="CN750" t="s">
        <v>147</v>
      </c>
      <c r="CP750" t="s">
        <v>175</v>
      </c>
      <c r="CQ750" t="s">
        <v>147</v>
      </c>
    </row>
    <row r="751" spans="1:95" x14ac:dyDescent="0.2">
      <c r="A751" t="s">
        <v>115</v>
      </c>
      <c r="B751" t="s">
        <v>116</v>
      </c>
      <c r="C751">
        <v>210784</v>
      </c>
      <c r="E751" t="s">
        <v>117</v>
      </c>
      <c r="F751">
        <v>368</v>
      </c>
      <c r="G751" t="s">
        <v>141</v>
      </c>
      <c r="H751" t="s">
        <v>142</v>
      </c>
      <c r="I751" t="s">
        <v>130</v>
      </c>
      <c r="J751" t="s">
        <v>131</v>
      </c>
      <c r="L751" t="s">
        <v>288</v>
      </c>
      <c r="M751" s="8">
        <v>45778</v>
      </c>
      <c r="N751">
        <v>7310371</v>
      </c>
      <c r="O751" t="s">
        <v>123</v>
      </c>
      <c r="P751" t="s">
        <v>146</v>
      </c>
      <c r="Q751">
        <v>13.19</v>
      </c>
      <c r="R751" t="s">
        <v>125</v>
      </c>
      <c r="S751" t="s">
        <v>126</v>
      </c>
      <c r="T751" t="s">
        <v>125</v>
      </c>
      <c r="U751" t="s">
        <v>126</v>
      </c>
      <c r="W751">
        <v>13.19</v>
      </c>
      <c r="Y751">
        <v>13.19</v>
      </c>
      <c r="AC751">
        <v>13.19</v>
      </c>
      <c r="BH751" t="s">
        <v>126</v>
      </c>
      <c r="BI751" t="s">
        <v>126</v>
      </c>
      <c r="BJ751" t="s">
        <v>126</v>
      </c>
      <c r="BK751" t="s">
        <v>126</v>
      </c>
      <c r="BS751" t="s">
        <v>126</v>
      </c>
      <c r="BT751" t="s">
        <v>126</v>
      </c>
      <c r="BU751" t="s">
        <v>126</v>
      </c>
      <c r="BV751" t="s">
        <v>126</v>
      </c>
      <c r="CN751" t="s">
        <v>147</v>
      </c>
      <c r="CP751" t="s">
        <v>175</v>
      </c>
      <c r="CQ751" t="s">
        <v>147</v>
      </c>
    </row>
    <row r="752" spans="1:95" x14ac:dyDescent="0.2">
      <c r="A752" t="s">
        <v>115</v>
      </c>
      <c r="B752" t="s">
        <v>116</v>
      </c>
      <c r="C752">
        <v>210784</v>
      </c>
      <c r="E752" t="s">
        <v>117</v>
      </c>
      <c r="F752">
        <v>368</v>
      </c>
      <c r="G752" t="s">
        <v>141</v>
      </c>
      <c r="H752" t="s">
        <v>142</v>
      </c>
      <c r="I752" t="s">
        <v>130</v>
      </c>
      <c r="J752" t="s">
        <v>131</v>
      </c>
      <c r="L752" t="s">
        <v>290</v>
      </c>
      <c r="M752" s="8">
        <v>45778</v>
      </c>
      <c r="N752">
        <v>7309375</v>
      </c>
      <c r="O752" t="s">
        <v>123</v>
      </c>
      <c r="P752" t="s">
        <v>146</v>
      </c>
      <c r="Q752">
        <v>11.1</v>
      </c>
      <c r="R752" t="s">
        <v>125</v>
      </c>
      <c r="S752" t="s">
        <v>126</v>
      </c>
      <c r="T752" t="s">
        <v>125</v>
      </c>
      <c r="U752" t="s">
        <v>126</v>
      </c>
      <c r="W752">
        <v>11.1</v>
      </c>
      <c r="Y752">
        <v>11.1</v>
      </c>
      <c r="AC752">
        <v>11.1</v>
      </c>
      <c r="BH752" t="s">
        <v>126</v>
      </c>
      <c r="BI752" t="s">
        <v>126</v>
      </c>
      <c r="BJ752" t="s">
        <v>126</v>
      </c>
      <c r="BK752" t="s">
        <v>126</v>
      </c>
      <c r="BS752" t="s">
        <v>126</v>
      </c>
      <c r="BT752" t="s">
        <v>126</v>
      </c>
      <c r="BU752" t="s">
        <v>126</v>
      </c>
      <c r="BV752" t="s">
        <v>126</v>
      </c>
      <c r="CN752" t="s">
        <v>147</v>
      </c>
      <c r="CP752" t="s">
        <v>175</v>
      </c>
      <c r="CQ752" t="s">
        <v>147</v>
      </c>
    </row>
    <row r="753" spans="1:95" x14ac:dyDescent="0.2">
      <c r="A753" t="s">
        <v>115</v>
      </c>
      <c r="B753" t="s">
        <v>116</v>
      </c>
      <c r="C753">
        <v>210784</v>
      </c>
      <c r="E753" t="s">
        <v>117</v>
      </c>
      <c r="F753">
        <v>368</v>
      </c>
      <c r="G753" t="s">
        <v>141</v>
      </c>
      <c r="H753" t="s">
        <v>142</v>
      </c>
      <c r="I753" t="s">
        <v>279</v>
      </c>
      <c r="J753" t="s">
        <v>280</v>
      </c>
      <c r="L753" t="s">
        <v>418</v>
      </c>
      <c r="M753" s="8">
        <v>45778</v>
      </c>
      <c r="N753">
        <v>5711141</v>
      </c>
      <c r="O753" t="s">
        <v>123</v>
      </c>
      <c r="P753" t="s">
        <v>146</v>
      </c>
      <c r="Q753">
        <v>2.5</v>
      </c>
      <c r="R753" t="s">
        <v>125</v>
      </c>
      <c r="S753" t="s">
        <v>126</v>
      </c>
      <c r="T753" t="s">
        <v>125</v>
      </c>
      <c r="U753" t="s">
        <v>126</v>
      </c>
      <c r="W753">
        <v>2.5</v>
      </c>
      <c r="Y753">
        <v>2.5</v>
      </c>
      <c r="AS753">
        <v>2.5</v>
      </c>
      <c r="BH753" t="s">
        <v>126</v>
      </c>
      <c r="BI753" t="s">
        <v>126</v>
      </c>
      <c r="BJ753" t="s">
        <v>126</v>
      </c>
      <c r="BK753" t="s">
        <v>126</v>
      </c>
      <c r="BS753" t="s">
        <v>126</v>
      </c>
      <c r="BT753" t="s">
        <v>126</v>
      </c>
      <c r="BU753" t="s">
        <v>126</v>
      </c>
      <c r="BV753" t="s">
        <v>126</v>
      </c>
      <c r="CN753" t="s">
        <v>147</v>
      </c>
      <c r="CP753" t="s">
        <v>289</v>
      </c>
      <c r="CQ753" t="s">
        <v>147</v>
      </c>
    </row>
    <row r="754" spans="1:95" x14ac:dyDescent="0.2">
      <c r="A754" t="s">
        <v>115</v>
      </c>
      <c r="B754" t="s">
        <v>116</v>
      </c>
      <c r="C754">
        <v>210784</v>
      </c>
      <c r="E754" t="s">
        <v>117</v>
      </c>
      <c r="F754">
        <v>368</v>
      </c>
      <c r="G754" t="s">
        <v>141</v>
      </c>
      <c r="H754" t="s">
        <v>142</v>
      </c>
      <c r="I754" t="s">
        <v>279</v>
      </c>
      <c r="J754" t="s">
        <v>280</v>
      </c>
      <c r="L754" t="s">
        <v>283</v>
      </c>
      <c r="M754" s="8">
        <v>45778</v>
      </c>
      <c r="N754">
        <v>5711940</v>
      </c>
      <c r="O754" t="s">
        <v>123</v>
      </c>
      <c r="P754" t="s">
        <v>146</v>
      </c>
      <c r="Q754">
        <v>3.39</v>
      </c>
      <c r="R754" t="s">
        <v>125</v>
      </c>
      <c r="S754" t="s">
        <v>126</v>
      </c>
      <c r="T754" t="s">
        <v>125</v>
      </c>
      <c r="U754" t="s">
        <v>126</v>
      </c>
      <c r="W754">
        <v>3.39</v>
      </c>
      <c r="Y754">
        <v>3.39</v>
      </c>
      <c r="AS754">
        <v>3.39</v>
      </c>
      <c r="BH754" t="s">
        <v>126</v>
      </c>
      <c r="BI754" t="s">
        <v>126</v>
      </c>
      <c r="BJ754" t="s">
        <v>126</v>
      </c>
      <c r="BK754" t="s">
        <v>126</v>
      </c>
      <c r="BS754" t="s">
        <v>126</v>
      </c>
      <c r="BT754" t="s">
        <v>126</v>
      </c>
      <c r="BU754" t="s">
        <v>126</v>
      </c>
      <c r="BV754" t="s">
        <v>126</v>
      </c>
      <c r="CN754" t="s">
        <v>147</v>
      </c>
      <c r="CP754" t="s">
        <v>289</v>
      </c>
      <c r="CQ754" t="s">
        <v>147</v>
      </c>
    </row>
    <row r="755" spans="1:95" x14ac:dyDescent="0.2">
      <c r="A755" t="s">
        <v>115</v>
      </c>
      <c r="B755" t="s">
        <v>116</v>
      </c>
      <c r="C755">
        <v>210784</v>
      </c>
      <c r="E755" t="s">
        <v>117</v>
      </c>
      <c r="F755">
        <v>368</v>
      </c>
      <c r="G755" t="s">
        <v>141</v>
      </c>
      <c r="H755" t="s">
        <v>142</v>
      </c>
      <c r="I755" t="s">
        <v>279</v>
      </c>
      <c r="J755" t="s">
        <v>280</v>
      </c>
      <c r="L755" t="s">
        <v>283</v>
      </c>
      <c r="M755" s="8">
        <v>45778</v>
      </c>
      <c r="N755">
        <v>5711420</v>
      </c>
      <c r="O755" t="s">
        <v>123</v>
      </c>
      <c r="P755" t="s">
        <v>146</v>
      </c>
      <c r="Q755">
        <v>4.5999999999999996</v>
      </c>
      <c r="R755" t="s">
        <v>125</v>
      </c>
      <c r="S755" t="s">
        <v>126</v>
      </c>
      <c r="T755" t="s">
        <v>125</v>
      </c>
      <c r="U755" t="s">
        <v>126</v>
      </c>
      <c r="W755">
        <v>4.5999999999999996</v>
      </c>
      <c r="Y755">
        <v>4.5999999999999996</v>
      </c>
      <c r="AS755">
        <v>4.5999999999999996</v>
      </c>
      <c r="BH755" t="s">
        <v>126</v>
      </c>
      <c r="BI755" t="s">
        <v>126</v>
      </c>
      <c r="BJ755" t="s">
        <v>126</v>
      </c>
      <c r="BK755" t="s">
        <v>126</v>
      </c>
      <c r="BS755" t="s">
        <v>126</v>
      </c>
      <c r="BT755" t="s">
        <v>126</v>
      </c>
      <c r="BU755" t="s">
        <v>126</v>
      </c>
      <c r="BV755" t="s">
        <v>126</v>
      </c>
      <c r="CN755" t="s">
        <v>147</v>
      </c>
      <c r="CP755" t="s">
        <v>289</v>
      </c>
      <c r="CQ755" t="s">
        <v>147</v>
      </c>
    </row>
    <row r="756" spans="1:95" x14ac:dyDescent="0.2">
      <c r="A756" t="s">
        <v>115</v>
      </c>
      <c r="B756" t="s">
        <v>116</v>
      </c>
      <c r="C756">
        <v>210784</v>
      </c>
      <c r="E756" t="s">
        <v>117</v>
      </c>
      <c r="F756">
        <v>368</v>
      </c>
      <c r="G756" t="s">
        <v>141</v>
      </c>
      <c r="H756" t="s">
        <v>142</v>
      </c>
      <c r="I756" t="s">
        <v>279</v>
      </c>
      <c r="J756" t="s">
        <v>280</v>
      </c>
      <c r="L756" t="s">
        <v>283</v>
      </c>
      <c r="M756" s="8">
        <v>45778</v>
      </c>
      <c r="N756">
        <v>5712076</v>
      </c>
      <c r="O756" t="s">
        <v>123</v>
      </c>
      <c r="P756" t="s">
        <v>146</v>
      </c>
      <c r="Q756">
        <v>1.67</v>
      </c>
      <c r="R756" t="s">
        <v>125</v>
      </c>
      <c r="S756" t="s">
        <v>126</v>
      </c>
      <c r="T756" t="s">
        <v>125</v>
      </c>
      <c r="U756" t="s">
        <v>126</v>
      </c>
      <c r="W756">
        <v>1.67</v>
      </c>
      <c r="Y756">
        <v>1.67</v>
      </c>
      <c r="AS756">
        <v>1.67</v>
      </c>
      <c r="BH756" t="s">
        <v>126</v>
      </c>
      <c r="BI756" t="s">
        <v>126</v>
      </c>
      <c r="BJ756" t="s">
        <v>126</v>
      </c>
      <c r="BK756" t="s">
        <v>126</v>
      </c>
      <c r="BS756" t="s">
        <v>126</v>
      </c>
      <c r="BT756" t="s">
        <v>126</v>
      </c>
      <c r="BU756" t="s">
        <v>126</v>
      </c>
      <c r="BV756" t="s">
        <v>126</v>
      </c>
      <c r="CN756" t="s">
        <v>147</v>
      </c>
      <c r="CP756" t="s">
        <v>289</v>
      </c>
      <c r="CQ756" t="s">
        <v>147</v>
      </c>
    </row>
    <row r="757" spans="1:95" x14ac:dyDescent="0.2">
      <c r="A757" t="s">
        <v>115</v>
      </c>
      <c r="B757" t="s">
        <v>116</v>
      </c>
      <c r="C757">
        <v>210784</v>
      </c>
      <c r="E757" t="s">
        <v>117</v>
      </c>
      <c r="F757">
        <v>368</v>
      </c>
      <c r="G757" t="s">
        <v>141</v>
      </c>
      <c r="H757" t="s">
        <v>142</v>
      </c>
      <c r="I757" t="s">
        <v>279</v>
      </c>
      <c r="J757" t="s">
        <v>280</v>
      </c>
      <c r="L757" t="s">
        <v>419</v>
      </c>
      <c r="M757" s="8">
        <v>45778</v>
      </c>
      <c r="N757">
        <v>5712985</v>
      </c>
      <c r="O757" t="s">
        <v>123</v>
      </c>
      <c r="P757" t="s">
        <v>146</v>
      </c>
      <c r="Q757">
        <v>5.57</v>
      </c>
      <c r="R757" t="s">
        <v>125</v>
      </c>
      <c r="S757" t="s">
        <v>126</v>
      </c>
      <c r="T757" t="s">
        <v>125</v>
      </c>
      <c r="U757" t="s">
        <v>126</v>
      </c>
      <c r="W757">
        <v>5.57</v>
      </c>
      <c r="Y757">
        <v>5.57</v>
      </c>
      <c r="AS757">
        <v>5.57</v>
      </c>
      <c r="BH757" t="s">
        <v>126</v>
      </c>
      <c r="BI757" t="s">
        <v>126</v>
      </c>
      <c r="BJ757" t="s">
        <v>126</v>
      </c>
      <c r="BK757" t="s">
        <v>126</v>
      </c>
      <c r="BS757" t="s">
        <v>126</v>
      </c>
      <c r="BT757" t="s">
        <v>126</v>
      </c>
      <c r="BU757" t="s">
        <v>126</v>
      </c>
      <c r="BV757" t="s">
        <v>126</v>
      </c>
      <c r="CN757" t="s">
        <v>147</v>
      </c>
      <c r="CP757" t="s">
        <v>289</v>
      </c>
      <c r="CQ757" t="s">
        <v>147</v>
      </c>
    </row>
    <row r="758" spans="1:95" x14ac:dyDescent="0.2">
      <c r="A758" t="s">
        <v>115</v>
      </c>
      <c r="B758" t="s">
        <v>116</v>
      </c>
      <c r="C758">
        <v>210784</v>
      </c>
      <c r="E758" t="s">
        <v>117</v>
      </c>
      <c r="F758">
        <v>368</v>
      </c>
      <c r="G758" t="s">
        <v>141</v>
      </c>
      <c r="H758" t="s">
        <v>142</v>
      </c>
      <c r="I758" t="s">
        <v>279</v>
      </c>
      <c r="J758" t="s">
        <v>280</v>
      </c>
      <c r="L758" t="s">
        <v>419</v>
      </c>
      <c r="M758" s="8">
        <v>45778</v>
      </c>
      <c r="N758">
        <v>5713153</v>
      </c>
      <c r="O758" t="s">
        <v>123</v>
      </c>
      <c r="P758" t="s">
        <v>146</v>
      </c>
      <c r="Q758">
        <v>1.27</v>
      </c>
      <c r="R758" t="s">
        <v>125</v>
      </c>
      <c r="S758" t="s">
        <v>126</v>
      </c>
      <c r="T758" t="s">
        <v>125</v>
      </c>
      <c r="U758" t="s">
        <v>126</v>
      </c>
      <c r="W758">
        <v>1.27</v>
      </c>
      <c r="Y758">
        <v>1.27</v>
      </c>
      <c r="AS758">
        <v>1.27</v>
      </c>
      <c r="BH758" t="s">
        <v>126</v>
      </c>
      <c r="BI758" t="s">
        <v>126</v>
      </c>
      <c r="BJ758" t="s">
        <v>126</v>
      </c>
      <c r="BK758" t="s">
        <v>126</v>
      </c>
      <c r="BS758" t="s">
        <v>126</v>
      </c>
      <c r="BT758" t="s">
        <v>126</v>
      </c>
      <c r="BU758" t="s">
        <v>126</v>
      </c>
      <c r="BV758" t="s">
        <v>126</v>
      </c>
      <c r="CN758" t="s">
        <v>147</v>
      </c>
      <c r="CP758" t="s">
        <v>289</v>
      </c>
      <c r="CQ758" t="s">
        <v>147</v>
      </c>
    </row>
    <row r="759" spans="1:95" x14ac:dyDescent="0.2">
      <c r="A759" t="s">
        <v>115</v>
      </c>
      <c r="B759" t="s">
        <v>116</v>
      </c>
      <c r="C759">
        <v>210784</v>
      </c>
      <c r="E759" t="s">
        <v>117</v>
      </c>
      <c r="F759">
        <v>368</v>
      </c>
      <c r="G759" t="s">
        <v>141</v>
      </c>
      <c r="H759" t="s">
        <v>142</v>
      </c>
      <c r="I759" t="s">
        <v>279</v>
      </c>
      <c r="J759" t="s">
        <v>280</v>
      </c>
      <c r="L759" t="s">
        <v>420</v>
      </c>
      <c r="M759" s="8">
        <v>45778</v>
      </c>
      <c r="N759">
        <v>5714468</v>
      </c>
      <c r="O759" t="s">
        <v>123</v>
      </c>
      <c r="P759" t="s">
        <v>146</v>
      </c>
      <c r="Q759">
        <v>5.56</v>
      </c>
      <c r="R759" t="s">
        <v>125</v>
      </c>
      <c r="S759" t="s">
        <v>126</v>
      </c>
      <c r="T759" t="s">
        <v>125</v>
      </c>
      <c r="U759" t="s">
        <v>126</v>
      </c>
      <c r="W759">
        <v>5.56</v>
      </c>
      <c r="Y759">
        <v>5.56</v>
      </c>
      <c r="AS759">
        <v>5.56</v>
      </c>
      <c r="BH759" t="s">
        <v>126</v>
      </c>
      <c r="BI759" t="s">
        <v>126</v>
      </c>
      <c r="BJ759" t="s">
        <v>126</v>
      </c>
      <c r="BK759" t="s">
        <v>126</v>
      </c>
      <c r="BS759" t="s">
        <v>126</v>
      </c>
      <c r="BT759" t="s">
        <v>126</v>
      </c>
      <c r="BU759" t="s">
        <v>126</v>
      </c>
      <c r="BV759" t="s">
        <v>126</v>
      </c>
      <c r="CN759" t="s">
        <v>147</v>
      </c>
      <c r="CP759" t="s">
        <v>289</v>
      </c>
      <c r="CQ759" t="s">
        <v>147</v>
      </c>
    </row>
    <row r="760" spans="1:95" x14ac:dyDescent="0.2">
      <c r="A760" t="s">
        <v>115</v>
      </c>
      <c r="B760" t="s">
        <v>116</v>
      </c>
      <c r="C760">
        <v>210784</v>
      </c>
      <c r="E760" t="s">
        <v>117</v>
      </c>
      <c r="F760">
        <v>368</v>
      </c>
      <c r="G760" t="s">
        <v>141</v>
      </c>
      <c r="H760" t="s">
        <v>142</v>
      </c>
      <c r="I760" t="s">
        <v>279</v>
      </c>
      <c r="J760" t="s">
        <v>280</v>
      </c>
      <c r="L760" t="s">
        <v>421</v>
      </c>
      <c r="M760" s="8">
        <v>45778</v>
      </c>
      <c r="N760">
        <v>5715113</v>
      </c>
      <c r="O760" t="s">
        <v>123</v>
      </c>
      <c r="P760" t="s">
        <v>146</v>
      </c>
      <c r="Q760">
        <v>3.16</v>
      </c>
      <c r="R760" t="s">
        <v>125</v>
      </c>
      <c r="S760" t="s">
        <v>126</v>
      </c>
      <c r="T760" t="s">
        <v>125</v>
      </c>
      <c r="U760" t="s">
        <v>126</v>
      </c>
      <c r="W760">
        <v>3.16</v>
      </c>
      <c r="Y760">
        <v>3.16</v>
      </c>
      <c r="AS760">
        <v>3.16</v>
      </c>
      <c r="BH760" t="s">
        <v>126</v>
      </c>
      <c r="BI760" t="s">
        <v>126</v>
      </c>
      <c r="BJ760" t="s">
        <v>126</v>
      </c>
      <c r="BK760" t="s">
        <v>126</v>
      </c>
      <c r="BS760" t="s">
        <v>126</v>
      </c>
      <c r="BT760" t="s">
        <v>126</v>
      </c>
      <c r="BU760" t="s">
        <v>126</v>
      </c>
      <c r="BV760" t="s">
        <v>126</v>
      </c>
      <c r="CN760" t="s">
        <v>147</v>
      </c>
      <c r="CP760" t="s">
        <v>289</v>
      </c>
      <c r="CQ760" t="s">
        <v>147</v>
      </c>
    </row>
    <row r="761" spans="1:95" x14ac:dyDescent="0.2">
      <c r="A761" t="s">
        <v>115</v>
      </c>
      <c r="B761" t="s">
        <v>116</v>
      </c>
      <c r="C761">
        <v>210784</v>
      </c>
      <c r="E761" t="s">
        <v>117</v>
      </c>
      <c r="F761">
        <v>368</v>
      </c>
      <c r="G761" t="s">
        <v>141</v>
      </c>
      <c r="H761" t="s">
        <v>142</v>
      </c>
      <c r="I761" t="s">
        <v>279</v>
      </c>
      <c r="J761" t="s">
        <v>280</v>
      </c>
      <c r="L761" t="s">
        <v>422</v>
      </c>
      <c r="M761" s="8">
        <v>45778</v>
      </c>
      <c r="N761">
        <v>5716220</v>
      </c>
      <c r="O761" t="s">
        <v>123</v>
      </c>
      <c r="P761" t="s">
        <v>146</v>
      </c>
      <c r="Q761">
        <v>6.16</v>
      </c>
      <c r="R761" t="s">
        <v>125</v>
      </c>
      <c r="S761" t="s">
        <v>126</v>
      </c>
      <c r="T761" t="s">
        <v>125</v>
      </c>
      <c r="U761" t="s">
        <v>126</v>
      </c>
      <c r="W761">
        <v>6.16</v>
      </c>
      <c r="Y761">
        <v>6.16</v>
      </c>
      <c r="AS761">
        <v>6.16</v>
      </c>
      <c r="BH761" t="s">
        <v>126</v>
      </c>
      <c r="BI761" t="s">
        <v>126</v>
      </c>
      <c r="BJ761" t="s">
        <v>126</v>
      </c>
      <c r="BK761" t="s">
        <v>126</v>
      </c>
      <c r="BS761" t="s">
        <v>126</v>
      </c>
      <c r="BT761" t="s">
        <v>126</v>
      </c>
      <c r="BU761" t="s">
        <v>126</v>
      </c>
      <c r="BV761" t="s">
        <v>126</v>
      </c>
      <c r="CN761" t="s">
        <v>147</v>
      </c>
      <c r="CP761" t="s">
        <v>289</v>
      </c>
      <c r="CQ761" t="s">
        <v>147</v>
      </c>
    </row>
    <row r="762" spans="1:95" x14ac:dyDescent="0.2">
      <c r="A762" t="s">
        <v>115</v>
      </c>
      <c r="B762" t="s">
        <v>116</v>
      </c>
      <c r="C762">
        <v>210784</v>
      </c>
      <c r="E762" t="s">
        <v>117</v>
      </c>
      <c r="F762">
        <v>368</v>
      </c>
      <c r="G762" t="s">
        <v>141</v>
      </c>
      <c r="H762" t="s">
        <v>142</v>
      </c>
      <c r="I762" t="s">
        <v>279</v>
      </c>
      <c r="J762" t="s">
        <v>280</v>
      </c>
      <c r="L762" t="s">
        <v>423</v>
      </c>
      <c r="M762" s="8">
        <v>45778</v>
      </c>
      <c r="N762">
        <v>5716410</v>
      </c>
      <c r="O762" t="s">
        <v>123</v>
      </c>
      <c r="P762" t="s">
        <v>146</v>
      </c>
      <c r="Q762">
        <v>2</v>
      </c>
      <c r="R762" t="s">
        <v>125</v>
      </c>
      <c r="S762" t="s">
        <v>126</v>
      </c>
      <c r="T762" t="s">
        <v>125</v>
      </c>
      <c r="U762" t="s">
        <v>126</v>
      </c>
      <c r="W762">
        <v>2</v>
      </c>
      <c r="Y762">
        <v>2</v>
      </c>
      <c r="AS762">
        <v>2</v>
      </c>
      <c r="BH762" t="s">
        <v>126</v>
      </c>
      <c r="BI762" t="s">
        <v>126</v>
      </c>
      <c r="BJ762" t="s">
        <v>126</v>
      </c>
      <c r="BK762" t="s">
        <v>126</v>
      </c>
      <c r="BS762" t="s">
        <v>126</v>
      </c>
      <c r="BT762" t="s">
        <v>126</v>
      </c>
      <c r="BU762" t="s">
        <v>126</v>
      </c>
      <c r="BV762" t="s">
        <v>126</v>
      </c>
      <c r="CN762" t="s">
        <v>147</v>
      </c>
      <c r="CP762" t="s">
        <v>289</v>
      </c>
      <c r="CQ762" t="s">
        <v>147</v>
      </c>
    </row>
    <row r="763" spans="1:95" x14ac:dyDescent="0.2">
      <c r="A763" t="s">
        <v>115</v>
      </c>
      <c r="B763" t="s">
        <v>116</v>
      </c>
      <c r="C763">
        <v>210784</v>
      </c>
      <c r="E763" t="s">
        <v>117</v>
      </c>
      <c r="F763">
        <v>368</v>
      </c>
      <c r="G763" t="s">
        <v>141</v>
      </c>
      <c r="H763" t="s">
        <v>142</v>
      </c>
      <c r="I763" t="s">
        <v>279</v>
      </c>
      <c r="J763" t="s">
        <v>280</v>
      </c>
      <c r="L763" t="s">
        <v>424</v>
      </c>
      <c r="M763" s="8">
        <v>45778</v>
      </c>
      <c r="N763">
        <v>5717250</v>
      </c>
      <c r="O763" t="s">
        <v>123</v>
      </c>
      <c r="P763" t="s">
        <v>146</v>
      </c>
      <c r="Q763">
        <v>3.92</v>
      </c>
      <c r="R763" t="s">
        <v>125</v>
      </c>
      <c r="S763" t="s">
        <v>126</v>
      </c>
      <c r="T763" t="s">
        <v>125</v>
      </c>
      <c r="U763" t="s">
        <v>126</v>
      </c>
      <c r="W763">
        <v>3.92</v>
      </c>
      <c r="Y763">
        <v>3.92</v>
      </c>
      <c r="AS763">
        <v>3.92</v>
      </c>
      <c r="BH763" t="s">
        <v>126</v>
      </c>
      <c r="BI763" t="s">
        <v>126</v>
      </c>
      <c r="BJ763" t="s">
        <v>126</v>
      </c>
      <c r="BK763" t="s">
        <v>126</v>
      </c>
      <c r="BS763" t="s">
        <v>126</v>
      </c>
      <c r="BT763" t="s">
        <v>126</v>
      </c>
      <c r="BU763" t="s">
        <v>126</v>
      </c>
      <c r="BV763" t="s">
        <v>126</v>
      </c>
      <c r="CN763" t="s">
        <v>147</v>
      </c>
      <c r="CP763" t="s">
        <v>289</v>
      </c>
      <c r="CQ763" t="s">
        <v>147</v>
      </c>
    </row>
    <row r="764" spans="1:95" x14ac:dyDescent="0.2">
      <c r="A764" t="s">
        <v>115</v>
      </c>
      <c r="B764" t="s">
        <v>116</v>
      </c>
      <c r="C764">
        <v>210784</v>
      </c>
      <c r="E764" t="s">
        <v>117</v>
      </c>
      <c r="F764">
        <v>368</v>
      </c>
      <c r="G764" t="s">
        <v>141</v>
      </c>
      <c r="H764" t="s">
        <v>142</v>
      </c>
      <c r="I764" t="s">
        <v>279</v>
      </c>
      <c r="J764" t="s">
        <v>280</v>
      </c>
      <c r="L764" t="s">
        <v>425</v>
      </c>
      <c r="M764" s="8">
        <v>45778</v>
      </c>
      <c r="N764">
        <v>5718040</v>
      </c>
      <c r="O764" t="s">
        <v>123</v>
      </c>
      <c r="P764" t="s">
        <v>146</v>
      </c>
      <c r="Q764">
        <v>3.12</v>
      </c>
      <c r="R764" t="s">
        <v>125</v>
      </c>
      <c r="S764" t="s">
        <v>126</v>
      </c>
      <c r="T764" t="s">
        <v>125</v>
      </c>
      <c r="U764" t="s">
        <v>126</v>
      </c>
      <c r="W764">
        <v>3.12</v>
      </c>
      <c r="Y764">
        <v>3.12</v>
      </c>
      <c r="AS764">
        <v>3.12</v>
      </c>
      <c r="BH764" t="s">
        <v>126</v>
      </c>
      <c r="BI764" t="s">
        <v>126</v>
      </c>
      <c r="BJ764" t="s">
        <v>126</v>
      </c>
      <c r="BK764" t="s">
        <v>126</v>
      </c>
      <c r="BS764" t="s">
        <v>126</v>
      </c>
      <c r="BT764" t="s">
        <v>126</v>
      </c>
      <c r="BU764" t="s">
        <v>126</v>
      </c>
      <c r="BV764" t="s">
        <v>126</v>
      </c>
      <c r="CN764" t="s">
        <v>147</v>
      </c>
      <c r="CP764" t="s">
        <v>289</v>
      </c>
      <c r="CQ764" t="s">
        <v>147</v>
      </c>
    </row>
    <row r="765" spans="1:95" x14ac:dyDescent="0.2">
      <c r="A765" t="s">
        <v>115</v>
      </c>
      <c r="B765" t="s">
        <v>116</v>
      </c>
      <c r="C765">
        <v>210784</v>
      </c>
      <c r="E765" t="s">
        <v>117</v>
      </c>
      <c r="F765">
        <v>368</v>
      </c>
      <c r="G765" t="s">
        <v>141</v>
      </c>
      <c r="H765" t="s">
        <v>142</v>
      </c>
      <c r="I765" t="s">
        <v>279</v>
      </c>
      <c r="J765" t="s">
        <v>280</v>
      </c>
      <c r="L765" t="s">
        <v>426</v>
      </c>
      <c r="M765" s="8">
        <v>45778</v>
      </c>
      <c r="N765">
        <v>5718612</v>
      </c>
      <c r="O765" t="s">
        <v>123</v>
      </c>
      <c r="P765" t="s">
        <v>146</v>
      </c>
      <c r="Q765">
        <v>6.5</v>
      </c>
      <c r="R765" t="s">
        <v>125</v>
      </c>
      <c r="S765" t="s">
        <v>126</v>
      </c>
      <c r="T765" t="s">
        <v>125</v>
      </c>
      <c r="U765" t="s">
        <v>126</v>
      </c>
      <c r="W765">
        <v>6.5</v>
      </c>
      <c r="Y765">
        <v>6.5</v>
      </c>
      <c r="AS765">
        <v>6.5</v>
      </c>
      <c r="BH765" t="s">
        <v>126</v>
      </c>
      <c r="BI765" t="s">
        <v>126</v>
      </c>
      <c r="BJ765" t="s">
        <v>126</v>
      </c>
      <c r="BK765" t="s">
        <v>126</v>
      </c>
      <c r="BS765" t="s">
        <v>126</v>
      </c>
      <c r="BT765" t="s">
        <v>126</v>
      </c>
      <c r="BU765" t="s">
        <v>126</v>
      </c>
      <c r="BV765" t="s">
        <v>126</v>
      </c>
      <c r="CN765" t="s">
        <v>147</v>
      </c>
      <c r="CP765" t="s">
        <v>289</v>
      </c>
      <c r="CQ765" t="s">
        <v>147</v>
      </c>
    </row>
    <row r="766" spans="1:95" x14ac:dyDescent="0.2">
      <c r="A766" t="s">
        <v>115</v>
      </c>
      <c r="B766" t="s">
        <v>116</v>
      </c>
      <c r="C766">
        <v>210784</v>
      </c>
      <c r="E766" t="s">
        <v>117</v>
      </c>
      <c r="F766">
        <v>368</v>
      </c>
      <c r="G766" t="s">
        <v>141</v>
      </c>
      <c r="H766" t="s">
        <v>142</v>
      </c>
      <c r="I766" t="s">
        <v>279</v>
      </c>
      <c r="J766" t="s">
        <v>280</v>
      </c>
      <c r="L766" t="s">
        <v>427</v>
      </c>
      <c r="M766" s="8">
        <v>45778</v>
      </c>
      <c r="N766">
        <v>5719927</v>
      </c>
      <c r="O766" t="s">
        <v>123</v>
      </c>
      <c r="P766" t="s">
        <v>146</v>
      </c>
      <c r="Q766">
        <v>5.81</v>
      </c>
      <c r="R766" t="s">
        <v>125</v>
      </c>
      <c r="S766" t="s">
        <v>126</v>
      </c>
      <c r="T766" t="s">
        <v>125</v>
      </c>
      <c r="U766" t="s">
        <v>126</v>
      </c>
      <c r="W766">
        <v>5.81</v>
      </c>
      <c r="Y766">
        <v>5.81</v>
      </c>
      <c r="AS766">
        <v>5.81</v>
      </c>
      <c r="BH766" t="s">
        <v>126</v>
      </c>
      <c r="BI766" t="s">
        <v>126</v>
      </c>
      <c r="BJ766" t="s">
        <v>126</v>
      </c>
      <c r="BK766" t="s">
        <v>126</v>
      </c>
      <c r="BS766" t="s">
        <v>126</v>
      </c>
      <c r="BT766" t="s">
        <v>126</v>
      </c>
      <c r="BU766" t="s">
        <v>126</v>
      </c>
      <c r="BV766" t="s">
        <v>126</v>
      </c>
      <c r="CN766" t="s">
        <v>147</v>
      </c>
      <c r="CP766" t="s">
        <v>289</v>
      </c>
      <c r="CQ766" t="s">
        <v>147</v>
      </c>
    </row>
    <row r="767" spans="1:95" x14ac:dyDescent="0.2">
      <c r="A767" t="s">
        <v>115</v>
      </c>
      <c r="B767" t="s">
        <v>116</v>
      </c>
      <c r="C767">
        <v>210784</v>
      </c>
      <c r="E767" t="s">
        <v>117</v>
      </c>
      <c r="F767">
        <v>368</v>
      </c>
      <c r="G767" t="s">
        <v>141</v>
      </c>
      <c r="H767" t="s">
        <v>142</v>
      </c>
      <c r="I767" t="s">
        <v>279</v>
      </c>
      <c r="J767" t="s">
        <v>280</v>
      </c>
      <c r="L767" t="s">
        <v>427</v>
      </c>
      <c r="M767" s="8">
        <v>45778</v>
      </c>
      <c r="N767">
        <v>5720114</v>
      </c>
      <c r="O767" t="s">
        <v>123</v>
      </c>
      <c r="P767" t="s">
        <v>146</v>
      </c>
      <c r="Q767">
        <v>7.53</v>
      </c>
      <c r="R767" t="s">
        <v>125</v>
      </c>
      <c r="S767" t="s">
        <v>126</v>
      </c>
      <c r="T767" t="s">
        <v>125</v>
      </c>
      <c r="U767" t="s">
        <v>126</v>
      </c>
      <c r="W767">
        <v>7.53</v>
      </c>
      <c r="Y767">
        <v>7.53</v>
      </c>
      <c r="AS767">
        <v>7.53</v>
      </c>
      <c r="BH767" t="s">
        <v>126</v>
      </c>
      <c r="BI767" t="s">
        <v>126</v>
      </c>
      <c r="BJ767" t="s">
        <v>126</v>
      </c>
      <c r="BK767" t="s">
        <v>126</v>
      </c>
      <c r="BS767" t="s">
        <v>126</v>
      </c>
      <c r="BT767" t="s">
        <v>126</v>
      </c>
      <c r="BU767" t="s">
        <v>126</v>
      </c>
      <c r="BV767" t="s">
        <v>126</v>
      </c>
      <c r="CN767" t="s">
        <v>147</v>
      </c>
      <c r="CP767" t="s">
        <v>289</v>
      </c>
      <c r="CQ767" t="s">
        <v>147</v>
      </c>
    </row>
    <row r="768" spans="1:95" x14ac:dyDescent="0.2">
      <c r="A768" t="s">
        <v>115</v>
      </c>
      <c r="B768" t="s">
        <v>116</v>
      </c>
      <c r="C768">
        <v>210784</v>
      </c>
      <c r="E768" t="s">
        <v>117</v>
      </c>
      <c r="F768">
        <v>368</v>
      </c>
      <c r="G768" t="s">
        <v>141</v>
      </c>
      <c r="H768" t="s">
        <v>142</v>
      </c>
      <c r="I768" t="s">
        <v>279</v>
      </c>
      <c r="J768" t="s">
        <v>280</v>
      </c>
      <c r="L768" t="s">
        <v>428</v>
      </c>
      <c r="M768" s="8">
        <v>45778</v>
      </c>
      <c r="N768">
        <v>5720462</v>
      </c>
      <c r="O768" t="s">
        <v>123</v>
      </c>
      <c r="P768" t="s">
        <v>146</v>
      </c>
      <c r="Q768">
        <v>3.72</v>
      </c>
      <c r="R768" t="s">
        <v>125</v>
      </c>
      <c r="S768" t="s">
        <v>126</v>
      </c>
      <c r="T768" t="s">
        <v>125</v>
      </c>
      <c r="U768" t="s">
        <v>126</v>
      </c>
      <c r="W768">
        <v>3.72</v>
      </c>
      <c r="Y768">
        <v>3.72</v>
      </c>
      <c r="AS768">
        <v>3.72</v>
      </c>
      <c r="BH768" t="s">
        <v>126</v>
      </c>
      <c r="BI768" t="s">
        <v>126</v>
      </c>
      <c r="BJ768" t="s">
        <v>126</v>
      </c>
      <c r="BK768" t="s">
        <v>126</v>
      </c>
      <c r="BS768" t="s">
        <v>126</v>
      </c>
      <c r="BT768" t="s">
        <v>126</v>
      </c>
      <c r="BU768" t="s">
        <v>126</v>
      </c>
      <c r="BV768" t="s">
        <v>126</v>
      </c>
      <c r="CN768" t="s">
        <v>147</v>
      </c>
      <c r="CP768" t="s">
        <v>289</v>
      </c>
      <c r="CQ768" t="s">
        <v>147</v>
      </c>
    </row>
    <row r="769" spans="1:95" x14ac:dyDescent="0.2">
      <c r="A769" t="s">
        <v>115</v>
      </c>
      <c r="B769" t="s">
        <v>116</v>
      </c>
      <c r="C769">
        <v>210784</v>
      </c>
      <c r="E769" t="s">
        <v>117</v>
      </c>
      <c r="F769">
        <v>368</v>
      </c>
      <c r="G769" t="s">
        <v>141</v>
      </c>
      <c r="H769" t="s">
        <v>142</v>
      </c>
      <c r="I769" t="s">
        <v>279</v>
      </c>
      <c r="J769" t="s">
        <v>280</v>
      </c>
      <c r="L769" t="s">
        <v>428</v>
      </c>
      <c r="M769" s="8">
        <v>45778</v>
      </c>
      <c r="N769">
        <v>5720561</v>
      </c>
      <c r="O769" t="s">
        <v>123</v>
      </c>
      <c r="P769" t="s">
        <v>146</v>
      </c>
      <c r="Q769">
        <v>2.44</v>
      </c>
      <c r="R769" t="s">
        <v>125</v>
      </c>
      <c r="S769" t="s">
        <v>126</v>
      </c>
      <c r="T769" t="s">
        <v>125</v>
      </c>
      <c r="U769" t="s">
        <v>126</v>
      </c>
      <c r="W769">
        <v>2.44</v>
      </c>
      <c r="Y769">
        <v>2.44</v>
      </c>
      <c r="AS769">
        <v>2.44</v>
      </c>
      <c r="BH769" t="s">
        <v>126</v>
      </c>
      <c r="BI769" t="s">
        <v>126</v>
      </c>
      <c r="BJ769" t="s">
        <v>126</v>
      </c>
      <c r="BK769" t="s">
        <v>126</v>
      </c>
      <c r="BS769" t="s">
        <v>126</v>
      </c>
      <c r="BT769" t="s">
        <v>126</v>
      </c>
      <c r="BU769" t="s">
        <v>126</v>
      </c>
      <c r="BV769" t="s">
        <v>126</v>
      </c>
      <c r="CN769" t="s">
        <v>147</v>
      </c>
      <c r="CP769" t="s">
        <v>289</v>
      </c>
      <c r="CQ769" t="s">
        <v>147</v>
      </c>
    </row>
    <row r="770" spans="1:95" x14ac:dyDescent="0.2">
      <c r="A770" t="s">
        <v>115</v>
      </c>
      <c r="B770" t="s">
        <v>116</v>
      </c>
      <c r="C770">
        <v>210784</v>
      </c>
      <c r="E770" t="s">
        <v>117</v>
      </c>
      <c r="F770">
        <v>368</v>
      </c>
      <c r="G770" t="s">
        <v>141</v>
      </c>
      <c r="H770" t="s">
        <v>142</v>
      </c>
      <c r="I770" t="s">
        <v>279</v>
      </c>
      <c r="J770" t="s">
        <v>280</v>
      </c>
      <c r="L770" t="s">
        <v>429</v>
      </c>
      <c r="M770" s="8">
        <v>45778</v>
      </c>
      <c r="N770">
        <v>5722060</v>
      </c>
      <c r="O770" t="s">
        <v>123</v>
      </c>
      <c r="P770" t="s">
        <v>146</v>
      </c>
      <c r="Q770">
        <v>3.59</v>
      </c>
      <c r="R770" t="s">
        <v>125</v>
      </c>
      <c r="S770" t="s">
        <v>126</v>
      </c>
      <c r="T770" t="s">
        <v>125</v>
      </c>
      <c r="U770" t="s">
        <v>126</v>
      </c>
      <c r="W770">
        <v>3.59</v>
      </c>
      <c r="Y770">
        <v>3.59</v>
      </c>
      <c r="AS770">
        <v>3.59</v>
      </c>
      <c r="BH770" t="s">
        <v>126</v>
      </c>
      <c r="BI770" t="s">
        <v>126</v>
      </c>
      <c r="BJ770" t="s">
        <v>126</v>
      </c>
      <c r="BK770" t="s">
        <v>126</v>
      </c>
      <c r="BS770" t="s">
        <v>126</v>
      </c>
      <c r="BT770" t="s">
        <v>126</v>
      </c>
      <c r="BU770" t="s">
        <v>126</v>
      </c>
      <c r="BV770" t="s">
        <v>126</v>
      </c>
      <c r="CN770" t="s">
        <v>147</v>
      </c>
      <c r="CP770" t="s">
        <v>289</v>
      </c>
      <c r="CQ770" t="s">
        <v>147</v>
      </c>
    </row>
    <row r="771" spans="1:95" x14ac:dyDescent="0.2">
      <c r="A771" t="s">
        <v>115</v>
      </c>
      <c r="B771" t="s">
        <v>116</v>
      </c>
      <c r="C771">
        <v>210784</v>
      </c>
      <c r="E771" t="s">
        <v>117</v>
      </c>
      <c r="F771">
        <v>368</v>
      </c>
      <c r="G771" t="s">
        <v>141</v>
      </c>
      <c r="H771" t="s">
        <v>142</v>
      </c>
      <c r="I771" t="s">
        <v>279</v>
      </c>
      <c r="J771" t="s">
        <v>280</v>
      </c>
      <c r="L771" t="s">
        <v>429</v>
      </c>
      <c r="M771" s="8">
        <v>45778</v>
      </c>
      <c r="N771">
        <v>5722151</v>
      </c>
      <c r="O771" t="s">
        <v>123</v>
      </c>
      <c r="P771" t="s">
        <v>146</v>
      </c>
      <c r="Q771">
        <v>3.81</v>
      </c>
      <c r="R771" t="s">
        <v>125</v>
      </c>
      <c r="S771" t="s">
        <v>126</v>
      </c>
      <c r="T771" t="s">
        <v>125</v>
      </c>
      <c r="U771" t="s">
        <v>126</v>
      </c>
      <c r="W771">
        <v>3.81</v>
      </c>
      <c r="Y771">
        <v>3.81</v>
      </c>
      <c r="AS771">
        <v>3.81</v>
      </c>
      <c r="BH771" t="s">
        <v>126</v>
      </c>
      <c r="BI771" t="s">
        <v>126</v>
      </c>
      <c r="BJ771" t="s">
        <v>126</v>
      </c>
      <c r="BK771" t="s">
        <v>126</v>
      </c>
      <c r="BS771" t="s">
        <v>126</v>
      </c>
      <c r="BT771" t="s">
        <v>126</v>
      </c>
      <c r="BU771" t="s">
        <v>126</v>
      </c>
      <c r="BV771" t="s">
        <v>126</v>
      </c>
      <c r="CN771" t="s">
        <v>147</v>
      </c>
      <c r="CP771" t="s">
        <v>289</v>
      </c>
      <c r="CQ771" t="s">
        <v>147</v>
      </c>
    </row>
    <row r="772" spans="1:95" x14ac:dyDescent="0.2">
      <c r="A772" t="s">
        <v>115</v>
      </c>
      <c r="B772" t="s">
        <v>116</v>
      </c>
      <c r="C772">
        <v>210784</v>
      </c>
      <c r="E772" t="s">
        <v>117</v>
      </c>
      <c r="F772">
        <v>368</v>
      </c>
      <c r="G772" t="s">
        <v>141</v>
      </c>
      <c r="H772" t="s">
        <v>142</v>
      </c>
      <c r="I772" t="s">
        <v>279</v>
      </c>
      <c r="J772" t="s">
        <v>280</v>
      </c>
      <c r="L772" t="s">
        <v>286</v>
      </c>
      <c r="M772" s="8">
        <v>45778</v>
      </c>
      <c r="N772">
        <v>5724497</v>
      </c>
      <c r="O772" t="s">
        <v>123</v>
      </c>
      <c r="P772" t="s">
        <v>146</v>
      </c>
      <c r="Q772">
        <v>3.92</v>
      </c>
      <c r="R772" t="s">
        <v>125</v>
      </c>
      <c r="S772" t="s">
        <v>126</v>
      </c>
      <c r="T772" t="s">
        <v>125</v>
      </c>
      <c r="U772" t="s">
        <v>126</v>
      </c>
      <c r="W772">
        <v>3.92</v>
      </c>
      <c r="Y772">
        <v>3.92</v>
      </c>
      <c r="AS772">
        <v>3.92</v>
      </c>
      <c r="BH772" t="s">
        <v>126</v>
      </c>
      <c r="BI772" t="s">
        <v>126</v>
      </c>
      <c r="BJ772" t="s">
        <v>126</v>
      </c>
      <c r="BK772" t="s">
        <v>126</v>
      </c>
      <c r="BS772" t="s">
        <v>126</v>
      </c>
      <c r="BT772" t="s">
        <v>126</v>
      </c>
      <c r="BU772" t="s">
        <v>126</v>
      </c>
      <c r="BV772" t="s">
        <v>126</v>
      </c>
      <c r="CN772" t="s">
        <v>147</v>
      </c>
      <c r="CP772" t="s">
        <v>289</v>
      </c>
      <c r="CQ772" t="s">
        <v>147</v>
      </c>
    </row>
    <row r="773" spans="1:95" x14ac:dyDescent="0.2">
      <c r="A773" t="s">
        <v>115</v>
      </c>
      <c r="B773" t="s">
        <v>116</v>
      </c>
      <c r="C773">
        <v>210784</v>
      </c>
      <c r="E773" t="s">
        <v>117</v>
      </c>
      <c r="F773">
        <v>368</v>
      </c>
      <c r="G773" t="s">
        <v>141</v>
      </c>
      <c r="H773" t="s">
        <v>142</v>
      </c>
      <c r="I773" t="s">
        <v>279</v>
      </c>
      <c r="J773" t="s">
        <v>280</v>
      </c>
      <c r="L773" t="s">
        <v>419</v>
      </c>
      <c r="M773" s="8">
        <v>45778</v>
      </c>
      <c r="N773">
        <v>5712460</v>
      </c>
      <c r="O773" t="s">
        <v>123</v>
      </c>
      <c r="P773" t="s">
        <v>146</v>
      </c>
      <c r="Q773">
        <v>2.21</v>
      </c>
      <c r="R773" t="s">
        <v>569</v>
      </c>
      <c r="S773" t="s">
        <v>126</v>
      </c>
      <c r="T773" t="s">
        <v>569</v>
      </c>
      <c r="U773" t="s">
        <v>570</v>
      </c>
      <c r="W773">
        <v>0.68</v>
      </c>
      <c r="X773">
        <v>1.5299999999999998</v>
      </c>
      <c r="Y773">
        <v>2.21</v>
      </c>
      <c r="Z773">
        <v>0.84</v>
      </c>
      <c r="AG773">
        <v>0.68</v>
      </c>
      <c r="AI773">
        <v>0.69</v>
      </c>
      <c r="BH773" t="s">
        <v>126</v>
      </c>
      <c r="BI773" t="s">
        <v>126</v>
      </c>
      <c r="BJ773" t="s">
        <v>126</v>
      </c>
      <c r="BK773" t="s">
        <v>126</v>
      </c>
      <c r="BS773" t="s">
        <v>126</v>
      </c>
      <c r="BT773" t="s">
        <v>126</v>
      </c>
      <c r="BU773" t="s">
        <v>126</v>
      </c>
      <c r="BV773" t="s">
        <v>126</v>
      </c>
      <c r="CN773" t="s">
        <v>147</v>
      </c>
      <c r="CP773" t="s">
        <v>289</v>
      </c>
      <c r="CQ773" t="s">
        <v>147</v>
      </c>
    </row>
    <row r="774" spans="1:95" x14ac:dyDescent="0.2">
      <c r="A774" t="s">
        <v>115</v>
      </c>
      <c r="B774" t="s">
        <v>116</v>
      </c>
      <c r="C774">
        <v>210784</v>
      </c>
      <c r="E774" t="s">
        <v>117</v>
      </c>
      <c r="F774">
        <v>368</v>
      </c>
      <c r="G774" t="s">
        <v>141</v>
      </c>
      <c r="H774" t="s">
        <v>142</v>
      </c>
      <c r="I774" t="s">
        <v>279</v>
      </c>
      <c r="J774" t="s">
        <v>280</v>
      </c>
      <c r="L774" t="s">
        <v>691</v>
      </c>
      <c r="M774" s="8">
        <v>45778</v>
      </c>
      <c r="N774">
        <v>5713699</v>
      </c>
      <c r="O774" t="s">
        <v>123</v>
      </c>
      <c r="P774" t="s">
        <v>146</v>
      </c>
      <c r="Q774">
        <v>4.34</v>
      </c>
      <c r="R774" t="s">
        <v>635</v>
      </c>
      <c r="S774" t="s">
        <v>126</v>
      </c>
      <c r="T774" t="s">
        <v>635</v>
      </c>
      <c r="U774" t="s">
        <v>636</v>
      </c>
      <c r="W774">
        <v>1.34</v>
      </c>
      <c r="X774">
        <v>3</v>
      </c>
      <c r="Y774">
        <v>4.34</v>
      </c>
      <c r="Z774">
        <v>1.65</v>
      </c>
      <c r="AG774">
        <v>1.34</v>
      </c>
      <c r="AI774">
        <v>1.35</v>
      </c>
      <c r="BH774" t="s">
        <v>126</v>
      </c>
      <c r="BI774" t="s">
        <v>126</v>
      </c>
      <c r="BJ774" t="s">
        <v>126</v>
      </c>
      <c r="BK774" t="s">
        <v>126</v>
      </c>
      <c r="BS774" t="s">
        <v>126</v>
      </c>
      <c r="BT774" t="s">
        <v>126</v>
      </c>
      <c r="BU774" t="s">
        <v>126</v>
      </c>
      <c r="BV774" t="s">
        <v>126</v>
      </c>
      <c r="CN774" t="s">
        <v>147</v>
      </c>
      <c r="CP774" t="s">
        <v>289</v>
      </c>
      <c r="CQ774" t="s">
        <v>147</v>
      </c>
    </row>
    <row r="775" spans="1:95" x14ac:dyDescent="0.2">
      <c r="A775" t="s">
        <v>115</v>
      </c>
      <c r="B775" t="s">
        <v>116</v>
      </c>
      <c r="C775">
        <v>210784</v>
      </c>
      <c r="E775" t="s">
        <v>117</v>
      </c>
      <c r="F775">
        <v>368</v>
      </c>
      <c r="G775" t="s">
        <v>141</v>
      </c>
      <c r="H775" t="s">
        <v>142</v>
      </c>
      <c r="I775" t="s">
        <v>279</v>
      </c>
      <c r="J775" t="s">
        <v>280</v>
      </c>
      <c r="L775" t="s">
        <v>420</v>
      </c>
      <c r="M775" s="8">
        <v>45778</v>
      </c>
      <c r="N775">
        <v>5714566</v>
      </c>
      <c r="O775" t="s">
        <v>123</v>
      </c>
      <c r="P775" t="s">
        <v>146</v>
      </c>
      <c r="Q775">
        <v>2.95</v>
      </c>
      <c r="R775" t="s">
        <v>594</v>
      </c>
      <c r="S775" t="s">
        <v>126</v>
      </c>
      <c r="T775" t="s">
        <v>594</v>
      </c>
      <c r="U775" t="s">
        <v>595</v>
      </c>
      <c r="W775">
        <v>0.91</v>
      </c>
      <c r="X775">
        <v>2.04</v>
      </c>
      <c r="Y775">
        <v>2.95</v>
      </c>
      <c r="Z775">
        <v>1.1200000000000001</v>
      </c>
      <c r="AG775">
        <v>0.91</v>
      </c>
      <c r="AI775">
        <v>0.92</v>
      </c>
      <c r="BH775" t="s">
        <v>126</v>
      </c>
      <c r="BI775" t="s">
        <v>126</v>
      </c>
      <c r="BJ775" t="s">
        <v>126</v>
      </c>
      <c r="BK775" t="s">
        <v>126</v>
      </c>
      <c r="BS775" t="s">
        <v>126</v>
      </c>
      <c r="BT775" t="s">
        <v>126</v>
      </c>
      <c r="BU775" t="s">
        <v>126</v>
      </c>
      <c r="BV775" t="s">
        <v>126</v>
      </c>
      <c r="CN775" t="s">
        <v>147</v>
      </c>
      <c r="CP775" t="s">
        <v>289</v>
      </c>
      <c r="CQ775" t="s">
        <v>147</v>
      </c>
    </row>
    <row r="776" spans="1:95" x14ac:dyDescent="0.2">
      <c r="A776" t="s">
        <v>115</v>
      </c>
      <c r="B776" t="s">
        <v>116</v>
      </c>
      <c r="C776">
        <v>210784</v>
      </c>
      <c r="E776" t="s">
        <v>117</v>
      </c>
      <c r="F776">
        <v>368</v>
      </c>
      <c r="G776" t="s">
        <v>141</v>
      </c>
      <c r="H776" t="s">
        <v>142</v>
      </c>
      <c r="I776" t="s">
        <v>279</v>
      </c>
      <c r="J776" t="s">
        <v>280</v>
      </c>
      <c r="L776" t="s">
        <v>692</v>
      </c>
      <c r="M776" s="8">
        <v>45778</v>
      </c>
      <c r="N776">
        <v>5719040</v>
      </c>
      <c r="O776" t="s">
        <v>123</v>
      </c>
      <c r="P776" t="s">
        <v>146</v>
      </c>
      <c r="Q776">
        <v>3.87</v>
      </c>
      <c r="R776" t="s">
        <v>574</v>
      </c>
      <c r="S776" t="s">
        <v>126</v>
      </c>
      <c r="T776" t="s">
        <v>574</v>
      </c>
      <c r="U776" t="s">
        <v>575</v>
      </c>
      <c r="W776">
        <v>1.19</v>
      </c>
      <c r="X776">
        <v>2.6799999999999997</v>
      </c>
      <c r="Y776">
        <v>3.87</v>
      </c>
      <c r="Z776">
        <v>1.47</v>
      </c>
      <c r="AG776">
        <v>1.19</v>
      </c>
      <c r="AI776">
        <v>1.21</v>
      </c>
      <c r="BH776" t="s">
        <v>126</v>
      </c>
      <c r="BI776" t="s">
        <v>126</v>
      </c>
      <c r="BJ776" t="s">
        <v>126</v>
      </c>
      <c r="BK776" t="s">
        <v>126</v>
      </c>
      <c r="BS776" t="s">
        <v>126</v>
      </c>
      <c r="BT776" t="s">
        <v>126</v>
      </c>
      <c r="BU776" t="s">
        <v>126</v>
      </c>
      <c r="BV776" t="s">
        <v>126</v>
      </c>
      <c r="CN776" t="s">
        <v>147</v>
      </c>
      <c r="CP776" t="s">
        <v>289</v>
      </c>
      <c r="CQ776" t="s">
        <v>147</v>
      </c>
    </row>
    <row r="777" spans="1:95" x14ac:dyDescent="0.2">
      <c r="A777" t="s">
        <v>115</v>
      </c>
      <c r="B777" t="s">
        <v>116</v>
      </c>
      <c r="C777">
        <v>210784</v>
      </c>
      <c r="E777" t="s">
        <v>117</v>
      </c>
      <c r="F777">
        <v>368</v>
      </c>
      <c r="G777" t="s">
        <v>141</v>
      </c>
      <c r="H777" t="s">
        <v>142</v>
      </c>
      <c r="I777" t="s">
        <v>279</v>
      </c>
      <c r="J777" t="s">
        <v>280</v>
      </c>
      <c r="L777" t="s">
        <v>693</v>
      </c>
      <c r="M777" s="8">
        <v>45778</v>
      </c>
      <c r="N777">
        <v>5721203</v>
      </c>
      <c r="O777" t="s">
        <v>123</v>
      </c>
      <c r="P777" t="s">
        <v>146</v>
      </c>
      <c r="Q777">
        <v>1.3</v>
      </c>
      <c r="R777" t="s">
        <v>569</v>
      </c>
      <c r="S777" t="s">
        <v>126</v>
      </c>
      <c r="T777" t="s">
        <v>569</v>
      </c>
      <c r="U777" t="s">
        <v>570</v>
      </c>
      <c r="W777">
        <v>0.4</v>
      </c>
      <c r="X777">
        <v>0.9</v>
      </c>
      <c r="Y777">
        <v>1.3</v>
      </c>
      <c r="Z777">
        <v>0.5</v>
      </c>
      <c r="AG777">
        <v>0.4</v>
      </c>
      <c r="AI777">
        <v>0.4</v>
      </c>
      <c r="BH777" t="s">
        <v>126</v>
      </c>
      <c r="BI777" t="s">
        <v>126</v>
      </c>
      <c r="BJ777" t="s">
        <v>126</v>
      </c>
      <c r="BK777" t="s">
        <v>126</v>
      </c>
      <c r="BS777" t="s">
        <v>126</v>
      </c>
      <c r="BT777" t="s">
        <v>126</v>
      </c>
      <c r="BU777" t="s">
        <v>126</v>
      </c>
      <c r="BV777" t="s">
        <v>126</v>
      </c>
      <c r="CN777" t="s">
        <v>147</v>
      </c>
      <c r="CP777" t="s">
        <v>289</v>
      </c>
      <c r="CQ777" t="s">
        <v>147</v>
      </c>
    </row>
    <row r="778" spans="1:95" x14ac:dyDescent="0.2">
      <c r="A778" t="s">
        <v>115</v>
      </c>
      <c r="B778" t="s">
        <v>116</v>
      </c>
      <c r="C778">
        <v>210784</v>
      </c>
      <c r="E778" t="s">
        <v>117</v>
      </c>
      <c r="F778">
        <v>368</v>
      </c>
      <c r="G778" t="s">
        <v>141</v>
      </c>
      <c r="H778" t="s">
        <v>142</v>
      </c>
      <c r="I778" t="s">
        <v>279</v>
      </c>
      <c r="J778" t="s">
        <v>280</v>
      </c>
      <c r="L778" t="s">
        <v>290</v>
      </c>
      <c r="M778" s="8">
        <v>45778</v>
      </c>
      <c r="N778">
        <v>5722686</v>
      </c>
      <c r="O778" t="s">
        <v>123</v>
      </c>
      <c r="P778" t="s">
        <v>146</v>
      </c>
      <c r="Q778">
        <v>3.13</v>
      </c>
      <c r="R778" t="s">
        <v>628</v>
      </c>
      <c r="S778" t="s">
        <v>126</v>
      </c>
      <c r="T778" t="s">
        <v>628</v>
      </c>
      <c r="U778" t="s">
        <v>629</v>
      </c>
      <c r="W778">
        <v>0.96</v>
      </c>
      <c r="X778">
        <v>2.17</v>
      </c>
      <c r="Y778">
        <v>3.13</v>
      </c>
      <c r="Z778">
        <v>1.2</v>
      </c>
      <c r="AG778">
        <v>0.96</v>
      </c>
      <c r="AI778">
        <v>0.97</v>
      </c>
      <c r="BH778" t="s">
        <v>126</v>
      </c>
      <c r="BI778" t="s">
        <v>126</v>
      </c>
      <c r="BJ778" t="s">
        <v>126</v>
      </c>
      <c r="BK778" t="s">
        <v>126</v>
      </c>
      <c r="BS778" t="s">
        <v>126</v>
      </c>
      <c r="BT778" t="s">
        <v>126</v>
      </c>
      <c r="BU778" t="s">
        <v>126</v>
      </c>
      <c r="BV778" t="s">
        <v>126</v>
      </c>
      <c r="CN778" t="s">
        <v>147</v>
      </c>
      <c r="CP778" t="s">
        <v>289</v>
      </c>
      <c r="CQ778" t="s">
        <v>147</v>
      </c>
    </row>
    <row r="779" spans="1:95" x14ac:dyDescent="0.2">
      <c r="A779" t="s">
        <v>115</v>
      </c>
      <c r="B779" t="s">
        <v>116</v>
      </c>
      <c r="C779">
        <v>210784</v>
      </c>
      <c r="E779" t="s">
        <v>117</v>
      </c>
      <c r="F779">
        <v>368</v>
      </c>
      <c r="G779" t="s">
        <v>141</v>
      </c>
      <c r="H779" t="s">
        <v>142</v>
      </c>
      <c r="I779" t="s">
        <v>279</v>
      </c>
      <c r="J779" t="s">
        <v>280</v>
      </c>
      <c r="L779" t="s">
        <v>694</v>
      </c>
      <c r="M779" s="8">
        <v>45778</v>
      </c>
      <c r="N779">
        <v>5723247</v>
      </c>
      <c r="O779" t="s">
        <v>123</v>
      </c>
      <c r="P779" t="s">
        <v>146</v>
      </c>
      <c r="Q779">
        <v>2.9200000000000004</v>
      </c>
      <c r="R779" t="s">
        <v>559</v>
      </c>
      <c r="S779" t="s">
        <v>126</v>
      </c>
      <c r="T779" t="s">
        <v>559</v>
      </c>
      <c r="U779" t="s">
        <v>560</v>
      </c>
      <c r="W779">
        <v>0.9</v>
      </c>
      <c r="X779">
        <v>2.02</v>
      </c>
      <c r="Y779">
        <v>2.9200000000000004</v>
      </c>
      <c r="Z779">
        <v>1.1100000000000001</v>
      </c>
      <c r="AG779">
        <v>0.9</v>
      </c>
      <c r="AI779">
        <v>0.91</v>
      </c>
      <c r="BH779" t="s">
        <v>126</v>
      </c>
      <c r="BI779" t="s">
        <v>126</v>
      </c>
      <c r="BJ779" t="s">
        <v>126</v>
      </c>
      <c r="BK779" t="s">
        <v>126</v>
      </c>
      <c r="BS779" t="s">
        <v>126</v>
      </c>
      <c r="BT779" t="s">
        <v>126</v>
      </c>
      <c r="BU779" t="s">
        <v>126</v>
      </c>
      <c r="BV779" t="s">
        <v>126</v>
      </c>
      <c r="CN779" t="s">
        <v>147</v>
      </c>
      <c r="CP779" t="s">
        <v>289</v>
      </c>
      <c r="CQ779" t="s">
        <v>147</v>
      </c>
    </row>
    <row r="780" spans="1:95" x14ac:dyDescent="0.2">
      <c r="A780" t="s">
        <v>115</v>
      </c>
      <c r="B780" t="s">
        <v>116</v>
      </c>
      <c r="C780">
        <v>210784</v>
      </c>
      <c r="E780" t="s">
        <v>117</v>
      </c>
      <c r="F780">
        <v>368</v>
      </c>
      <c r="G780" t="s">
        <v>141</v>
      </c>
      <c r="H780" t="s">
        <v>142</v>
      </c>
      <c r="I780" t="s">
        <v>279</v>
      </c>
      <c r="J780" t="s">
        <v>280</v>
      </c>
      <c r="L780" t="s">
        <v>695</v>
      </c>
      <c r="M780" s="8">
        <v>45778</v>
      </c>
      <c r="N780">
        <v>5724759</v>
      </c>
      <c r="O780" t="s">
        <v>123</v>
      </c>
      <c r="P780" t="s">
        <v>146</v>
      </c>
      <c r="Q780">
        <v>1.7</v>
      </c>
      <c r="R780" t="s">
        <v>665</v>
      </c>
      <c r="S780" t="s">
        <v>126</v>
      </c>
      <c r="T780" t="s">
        <v>665</v>
      </c>
      <c r="U780" t="s">
        <v>666</v>
      </c>
      <c r="W780">
        <v>0.52</v>
      </c>
      <c r="X780">
        <v>1.1800000000000002</v>
      </c>
      <c r="Y780">
        <v>1.7</v>
      </c>
      <c r="Z780">
        <v>0.65</v>
      </c>
      <c r="AG780">
        <v>0.52</v>
      </c>
      <c r="AI780">
        <v>0.53</v>
      </c>
      <c r="BH780" t="s">
        <v>126</v>
      </c>
      <c r="BI780" t="s">
        <v>126</v>
      </c>
      <c r="BJ780" t="s">
        <v>126</v>
      </c>
      <c r="BK780" t="s">
        <v>126</v>
      </c>
      <c r="BS780" t="s">
        <v>126</v>
      </c>
      <c r="BT780" t="s">
        <v>126</v>
      </c>
      <c r="BU780" t="s">
        <v>126</v>
      </c>
      <c r="BV780" t="s">
        <v>126</v>
      </c>
      <c r="CN780" t="s">
        <v>147</v>
      </c>
      <c r="CP780" t="s">
        <v>289</v>
      </c>
      <c r="CQ780" t="s">
        <v>147</v>
      </c>
    </row>
    <row r="781" spans="1:95" x14ac:dyDescent="0.2">
      <c r="A781" t="s">
        <v>115</v>
      </c>
      <c r="B781" t="s">
        <v>116</v>
      </c>
      <c r="C781">
        <v>210784</v>
      </c>
      <c r="E781" t="s">
        <v>117</v>
      </c>
      <c r="F781">
        <v>368</v>
      </c>
      <c r="G781" t="s">
        <v>141</v>
      </c>
      <c r="H781" t="s">
        <v>142</v>
      </c>
      <c r="I781" t="s">
        <v>279</v>
      </c>
      <c r="J781" t="s">
        <v>280</v>
      </c>
      <c r="L781" t="s">
        <v>696</v>
      </c>
      <c r="M781" s="8">
        <v>45778</v>
      </c>
      <c r="N781">
        <v>5726019</v>
      </c>
      <c r="O781" t="s">
        <v>123</v>
      </c>
      <c r="P781" t="s">
        <v>146</v>
      </c>
      <c r="Q781">
        <v>2.16</v>
      </c>
      <c r="R781" t="s">
        <v>679</v>
      </c>
      <c r="S781" t="s">
        <v>126</v>
      </c>
      <c r="T781" t="s">
        <v>679</v>
      </c>
      <c r="U781" t="s">
        <v>680</v>
      </c>
      <c r="W781">
        <v>0.67</v>
      </c>
      <c r="X781">
        <v>1.49</v>
      </c>
      <c r="Y781">
        <v>2.16</v>
      </c>
      <c r="Z781">
        <v>0.82</v>
      </c>
      <c r="AG781">
        <v>0.67</v>
      </c>
      <c r="AI781">
        <v>0.67</v>
      </c>
      <c r="BH781" t="s">
        <v>126</v>
      </c>
      <c r="BI781" t="s">
        <v>126</v>
      </c>
      <c r="BJ781" t="s">
        <v>126</v>
      </c>
      <c r="BK781" t="s">
        <v>126</v>
      </c>
      <c r="BS781" t="s">
        <v>126</v>
      </c>
      <c r="BT781" t="s">
        <v>126</v>
      </c>
      <c r="BU781" t="s">
        <v>126</v>
      </c>
      <c r="BV781" t="s">
        <v>126</v>
      </c>
      <c r="CN781" t="s">
        <v>147</v>
      </c>
      <c r="CP781" t="s">
        <v>432</v>
      </c>
      <c r="CQ781" t="s">
        <v>147</v>
      </c>
    </row>
    <row r="782" spans="1:95" x14ac:dyDescent="0.2">
      <c r="A782" t="s">
        <v>115</v>
      </c>
      <c r="B782" t="s">
        <v>116</v>
      </c>
      <c r="C782">
        <v>210784</v>
      </c>
      <c r="E782" t="s">
        <v>117</v>
      </c>
      <c r="F782">
        <v>368</v>
      </c>
      <c r="G782" t="s">
        <v>141</v>
      </c>
      <c r="H782" t="s">
        <v>142</v>
      </c>
      <c r="I782" t="s">
        <v>279</v>
      </c>
      <c r="J782" t="s">
        <v>280</v>
      </c>
      <c r="L782" t="s">
        <v>696</v>
      </c>
      <c r="M782" s="8">
        <v>45778</v>
      </c>
      <c r="N782">
        <v>5725957</v>
      </c>
      <c r="O782" t="s">
        <v>123</v>
      </c>
      <c r="P782" t="s">
        <v>146</v>
      </c>
      <c r="Q782">
        <v>4.71</v>
      </c>
      <c r="R782" t="s">
        <v>614</v>
      </c>
      <c r="S782" t="s">
        <v>126</v>
      </c>
      <c r="T782" t="s">
        <v>614</v>
      </c>
      <c r="U782" t="s">
        <v>615</v>
      </c>
      <c r="W782">
        <v>1.45</v>
      </c>
      <c r="X782">
        <v>3.26</v>
      </c>
      <c r="Y782">
        <v>4.71</v>
      </c>
      <c r="Z782">
        <v>1.79</v>
      </c>
      <c r="AG782">
        <v>1.45</v>
      </c>
      <c r="AI782">
        <v>1.47</v>
      </c>
      <c r="BH782" t="s">
        <v>126</v>
      </c>
      <c r="BI782" t="s">
        <v>126</v>
      </c>
      <c r="BJ782" t="s">
        <v>126</v>
      </c>
      <c r="BK782" t="s">
        <v>126</v>
      </c>
      <c r="BS782" t="s">
        <v>126</v>
      </c>
      <c r="BT782" t="s">
        <v>126</v>
      </c>
      <c r="BU782" t="s">
        <v>126</v>
      </c>
      <c r="BV782" t="s">
        <v>126</v>
      </c>
      <c r="CN782" t="s">
        <v>147</v>
      </c>
      <c r="CP782" t="s">
        <v>432</v>
      </c>
      <c r="CQ782" t="s">
        <v>147</v>
      </c>
    </row>
    <row r="783" spans="1:95" x14ac:dyDescent="0.2">
      <c r="A783" t="s">
        <v>115</v>
      </c>
      <c r="B783" t="s">
        <v>116</v>
      </c>
      <c r="C783">
        <v>210784</v>
      </c>
      <c r="E783" t="s">
        <v>117</v>
      </c>
      <c r="F783">
        <v>368</v>
      </c>
      <c r="G783" t="s">
        <v>141</v>
      </c>
      <c r="H783" t="s">
        <v>142</v>
      </c>
      <c r="I783" t="s">
        <v>284</v>
      </c>
      <c r="J783" t="s">
        <v>285</v>
      </c>
      <c r="L783" t="s">
        <v>288</v>
      </c>
      <c r="M783" s="8">
        <v>45778</v>
      </c>
      <c r="N783">
        <v>120434</v>
      </c>
      <c r="O783" t="s">
        <v>123</v>
      </c>
      <c r="P783" t="s">
        <v>146</v>
      </c>
      <c r="Q783">
        <v>0.67999999999999994</v>
      </c>
      <c r="R783" t="s">
        <v>697</v>
      </c>
      <c r="S783" t="s">
        <v>126</v>
      </c>
      <c r="T783" t="s">
        <v>697</v>
      </c>
      <c r="U783" t="s">
        <v>698</v>
      </c>
      <c r="W783">
        <v>0.66639999999999999</v>
      </c>
      <c r="X783">
        <v>1.3599999999999999E-2</v>
      </c>
      <c r="Y783">
        <v>0.67999999999999994</v>
      </c>
      <c r="AI783">
        <v>1.3599999999999999E-2</v>
      </c>
      <c r="BE783">
        <v>0.66639999999999999</v>
      </c>
      <c r="BH783" t="s">
        <v>126</v>
      </c>
      <c r="BI783" t="s">
        <v>126</v>
      </c>
      <c r="BJ783" t="s">
        <v>126</v>
      </c>
      <c r="BK783" t="s">
        <v>126</v>
      </c>
      <c r="BS783" t="s">
        <v>126</v>
      </c>
      <c r="BT783" t="s">
        <v>126</v>
      </c>
      <c r="BU783" t="s">
        <v>126</v>
      </c>
      <c r="BV783" t="s">
        <v>126</v>
      </c>
      <c r="CN783" t="s">
        <v>147</v>
      </c>
      <c r="CP783" t="s">
        <v>432</v>
      </c>
      <c r="CQ783" t="s">
        <v>147</v>
      </c>
    </row>
    <row r="784" spans="1:95" x14ac:dyDescent="0.2">
      <c r="A784" t="s">
        <v>115</v>
      </c>
      <c r="B784" t="s">
        <v>116</v>
      </c>
      <c r="C784">
        <v>210784</v>
      </c>
      <c r="E784" t="s">
        <v>117</v>
      </c>
      <c r="F784">
        <v>368</v>
      </c>
      <c r="G784" t="s">
        <v>141</v>
      </c>
      <c r="H784" t="s">
        <v>142</v>
      </c>
      <c r="I784" t="s">
        <v>279</v>
      </c>
      <c r="J784" t="s">
        <v>280</v>
      </c>
      <c r="L784" t="s">
        <v>288</v>
      </c>
      <c r="M784" s="8">
        <v>45778</v>
      </c>
      <c r="N784">
        <v>5726739</v>
      </c>
      <c r="O784" t="s">
        <v>123</v>
      </c>
      <c r="P784" t="s">
        <v>146</v>
      </c>
      <c r="Q784">
        <v>3.3200000000000003</v>
      </c>
      <c r="R784" t="s">
        <v>544</v>
      </c>
      <c r="S784" t="s">
        <v>126</v>
      </c>
      <c r="T784" t="s">
        <v>544</v>
      </c>
      <c r="U784" t="s">
        <v>545</v>
      </c>
      <c r="W784">
        <v>1.02</v>
      </c>
      <c r="X784">
        <v>2.2999999999999998</v>
      </c>
      <c r="Y784">
        <v>3.3200000000000003</v>
      </c>
      <c r="Z784">
        <v>1.27</v>
      </c>
      <c r="AG784">
        <v>1.02</v>
      </c>
      <c r="AI784">
        <v>1.03</v>
      </c>
      <c r="BH784" t="s">
        <v>126</v>
      </c>
      <c r="BI784" t="s">
        <v>126</v>
      </c>
      <c r="BJ784" t="s">
        <v>126</v>
      </c>
      <c r="BK784" t="s">
        <v>126</v>
      </c>
      <c r="BS784" t="s">
        <v>126</v>
      </c>
      <c r="BT784" t="s">
        <v>126</v>
      </c>
      <c r="BU784" t="s">
        <v>126</v>
      </c>
      <c r="BV784" t="s">
        <v>126</v>
      </c>
      <c r="CN784" t="s">
        <v>147</v>
      </c>
      <c r="CP784" t="s">
        <v>432</v>
      </c>
      <c r="CQ784" t="s">
        <v>147</v>
      </c>
    </row>
    <row r="785" spans="1:95" x14ac:dyDescent="0.2">
      <c r="A785" t="s">
        <v>115</v>
      </c>
      <c r="B785" t="s">
        <v>116</v>
      </c>
      <c r="C785">
        <v>210784</v>
      </c>
      <c r="E785" t="s">
        <v>117</v>
      </c>
      <c r="F785">
        <v>368</v>
      </c>
      <c r="G785" t="s">
        <v>141</v>
      </c>
      <c r="H785" t="s">
        <v>142</v>
      </c>
      <c r="I785" t="s">
        <v>279</v>
      </c>
      <c r="J785" t="s">
        <v>280</v>
      </c>
      <c r="L785" t="s">
        <v>699</v>
      </c>
      <c r="M785" s="8">
        <v>45778</v>
      </c>
      <c r="N785">
        <v>5727458</v>
      </c>
      <c r="O785" t="s">
        <v>123</v>
      </c>
      <c r="P785" t="s">
        <v>146</v>
      </c>
      <c r="Q785">
        <v>4.97</v>
      </c>
      <c r="R785" t="s">
        <v>683</v>
      </c>
      <c r="S785" t="s">
        <v>126</v>
      </c>
      <c r="T785" t="s">
        <v>683</v>
      </c>
      <c r="U785" t="s">
        <v>684</v>
      </c>
      <c r="W785">
        <v>1.53</v>
      </c>
      <c r="X785">
        <v>3.44</v>
      </c>
      <c r="Y785">
        <v>4.97</v>
      </c>
      <c r="Z785">
        <v>1.89</v>
      </c>
      <c r="AG785">
        <v>1.53</v>
      </c>
      <c r="AI785">
        <v>1.55</v>
      </c>
      <c r="BH785" t="s">
        <v>126</v>
      </c>
      <c r="BI785" t="s">
        <v>126</v>
      </c>
      <c r="BJ785" t="s">
        <v>126</v>
      </c>
      <c r="BK785" t="s">
        <v>126</v>
      </c>
      <c r="BS785" t="s">
        <v>126</v>
      </c>
      <c r="BT785" t="s">
        <v>126</v>
      </c>
      <c r="BU785" t="s">
        <v>126</v>
      </c>
      <c r="BV785" t="s">
        <v>126</v>
      </c>
      <c r="CN785" t="s">
        <v>147</v>
      </c>
      <c r="CP785" t="s">
        <v>432</v>
      </c>
      <c r="CQ785" t="s">
        <v>147</v>
      </c>
    </row>
    <row r="786" spans="1:95" x14ac:dyDescent="0.2">
      <c r="A786" t="s">
        <v>115</v>
      </c>
      <c r="B786" t="s">
        <v>116</v>
      </c>
      <c r="C786">
        <v>210784</v>
      </c>
      <c r="E786" t="s">
        <v>117</v>
      </c>
      <c r="F786">
        <v>368</v>
      </c>
      <c r="G786" t="s">
        <v>141</v>
      </c>
      <c r="H786" t="s">
        <v>142</v>
      </c>
      <c r="I786" t="s">
        <v>279</v>
      </c>
      <c r="J786" t="s">
        <v>280</v>
      </c>
      <c r="L786" t="s">
        <v>700</v>
      </c>
      <c r="M786" s="8">
        <v>45778</v>
      </c>
      <c r="N786">
        <v>5728359</v>
      </c>
      <c r="O786" t="s">
        <v>123</v>
      </c>
      <c r="P786" t="s">
        <v>146</v>
      </c>
      <c r="Q786">
        <v>0.96</v>
      </c>
      <c r="R786" t="s">
        <v>701</v>
      </c>
      <c r="S786" t="s">
        <v>126</v>
      </c>
      <c r="T786" t="s">
        <v>701</v>
      </c>
      <c r="U786" t="s">
        <v>702</v>
      </c>
      <c r="W786">
        <v>0.3</v>
      </c>
      <c r="X786">
        <v>0.65999999999999992</v>
      </c>
      <c r="Y786">
        <v>0.96</v>
      </c>
      <c r="Z786">
        <v>0.36</v>
      </c>
      <c r="AG786">
        <v>0.3</v>
      </c>
      <c r="AI786">
        <v>0.3</v>
      </c>
      <c r="BH786" t="s">
        <v>126</v>
      </c>
      <c r="BI786" t="s">
        <v>126</v>
      </c>
      <c r="BJ786" t="s">
        <v>126</v>
      </c>
      <c r="BK786" t="s">
        <v>126</v>
      </c>
      <c r="BS786" t="s">
        <v>126</v>
      </c>
      <c r="BT786" t="s">
        <v>126</v>
      </c>
      <c r="BU786" t="s">
        <v>126</v>
      </c>
      <c r="BV786" t="s">
        <v>126</v>
      </c>
      <c r="CN786" t="s">
        <v>147</v>
      </c>
      <c r="CP786" t="s">
        <v>432</v>
      </c>
      <c r="CQ786" t="s">
        <v>147</v>
      </c>
    </row>
    <row r="787" spans="1:95" x14ac:dyDescent="0.2">
      <c r="A787" t="s">
        <v>115</v>
      </c>
      <c r="B787" t="s">
        <v>116</v>
      </c>
      <c r="C787">
        <v>210784</v>
      </c>
      <c r="E787" t="s">
        <v>117</v>
      </c>
      <c r="F787">
        <v>368</v>
      </c>
      <c r="G787" t="s">
        <v>141</v>
      </c>
      <c r="H787" t="s">
        <v>142</v>
      </c>
      <c r="I787" t="s">
        <v>279</v>
      </c>
      <c r="J787" t="s">
        <v>280</v>
      </c>
      <c r="L787" t="s">
        <v>700</v>
      </c>
      <c r="M787" s="8">
        <v>45778</v>
      </c>
      <c r="N787">
        <v>5728533</v>
      </c>
      <c r="O787" t="s">
        <v>123</v>
      </c>
      <c r="P787" t="s">
        <v>146</v>
      </c>
      <c r="Q787">
        <v>0.42000000000000004</v>
      </c>
      <c r="R787" t="s">
        <v>596</v>
      </c>
      <c r="S787" t="s">
        <v>126</v>
      </c>
      <c r="T787" t="s">
        <v>596</v>
      </c>
      <c r="U787" t="s">
        <v>597</v>
      </c>
      <c r="W787">
        <v>0.13</v>
      </c>
      <c r="X787">
        <v>0.29000000000000004</v>
      </c>
      <c r="Y787">
        <v>0.42000000000000004</v>
      </c>
      <c r="Z787">
        <v>0.16</v>
      </c>
      <c r="AG787">
        <v>0.13</v>
      </c>
      <c r="AI787">
        <v>0.13</v>
      </c>
      <c r="BH787" t="s">
        <v>126</v>
      </c>
      <c r="BI787" t="s">
        <v>126</v>
      </c>
      <c r="BJ787" t="s">
        <v>126</v>
      </c>
      <c r="BK787" t="s">
        <v>126</v>
      </c>
      <c r="BS787" t="s">
        <v>126</v>
      </c>
      <c r="BT787" t="s">
        <v>126</v>
      </c>
      <c r="BU787" t="s">
        <v>126</v>
      </c>
      <c r="BV787" t="s">
        <v>126</v>
      </c>
      <c r="CN787" t="s">
        <v>147</v>
      </c>
      <c r="CP787" t="s">
        <v>432</v>
      </c>
      <c r="CQ787" t="s">
        <v>147</v>
      </c>
    </row>
    <row r="788" spans="1:95" x14ac:dyDescent="0.2">
      <c r="A788" t="s">
        <v>115</v>
      </c>
      <c r="B788" t="s">
        <v>116</v>
      </c>
      <c r="C788">
        <v>210784</v>
      </c>
      <c r="E788" t="s">
        <v>117</v>
      </c>
      <c r="F788">
        <v>368</v>
      </c>
      <c r="G788" t="s">
        <v>141</v>
      </c>
      <c r="H788" t="s">
        <v>142</v>
      </c>
      <c r="I788" t="s">
        <v>279</v>
      </c>
      <c r="J788" t="s">
        <v>280</v>
      </c>
      <c r="L788" t="s">
        <v>700</v>
      </c>
      <c r="M788" s="8">
        <v>45778</v>
      </c>
      <c r="N788">
        <v>5728530</v>
      </c>
      <c r="O788" t="s">
        <v>123</v>
      </c>
      <c r="P788" t="s">
        <v>146</v>
      </c>
      <c r="Q788">
        <v>0.78</v>
      </c>
      <c r="R788" t="s">
        <v>569</v>
      </c>
      <c r="S788" t="s">
        <v>126</v>
      </c>
      <c r="T788" t="s">
        <v>569</v>
      </c>
      <c r="U788" t="s">
        <v>570</v>
      </c>
      <c r="W788">
        <v>0.24</v>
      </c>
      <c r="X788">
        <v>0.54</v>
      </c>
      <c r="Y788">
        <v>0.78</v>
      </c>
      <c r="Z788">
        <v>0.3</v>
      </c>
      <c r="AG788">
        <v>0.24</v>
      </c>
      <c r="AI788">
        <v>0.24</v>
      </c>
      <c r="BH788" t="s">
        <v>126</v>
      </c>
      <c r="BI788" t="s">
        <v>126</v>
      </c>
      <c r="BJ788" t="s">
        <v>126</v>
      </c>
      <c r="BK788" t="s">
        <v>126</v>
      </c>
      <c r="BS788" t="s">
        <v>126</v>
      </c>
      <c r="BT788" t="s">
        <v>126</v>
      </c>
      <c r="BU788" t="s">
        <v>126</v>
      </c>
      <c r="BV788" t="s">
        <v>126</v>
      </c>
      <c r="CN788" t="s">
        <v>147</v>
      </c>
      <c r="CP788" t="s">
        <v>432</v>
      </c>
      <c r="CQ788" t="s">
        <v>147</v>
      </c>
    </row>
    <row r="789" spans="1:95" x14ac:dyDescent="0.2">
      <c r="A789" t="s">
        <v>115</v>
      </c>
      <c r="B789" t="s">
        <v>116</v>
      </c>
      <c r="C789">
        <v>210784</v>
      </c>
      <c r="E789" t="s">
        <v>117</v>
      </c>
      <c r="F789">
        <v>368</v>
      </c>
      <c r="G789" t="s">
        <v>141</v>
      </c>
      <c r="H789" t="s">
        <v>142</v>
      </c>
      <c r="I789" t="s">
        <v>279</v>
      </c>
      <c r="J789" t="s">
        <v>280</v>
      </c>
      <c r="L789" t="s">
        <v>283</v>
      </c>
      <c r="M789" s="8">
        <v>45778</v>
      </c>
      <c r="N789">
        <v>5711577</v>
      </c>
      <c r="O789" t="s">
        <v>123</v>
      </c>
      <c r="P789" t="s">
        <v>146</v>
      </c>
      <c r="Q789">
        <v>2.12</v>
      </c>
      <c r="R789" t="s">
        <v>125</v>
      </c>
      <c r="S789" t="s">
        <v>126</v>
      </c>
      <c r="T789" t="s">
        <v>125</v>
      </c>
      <c r="U789" t="s">
        <v>126</v>
      </c>
      <c r="W789">
        <v>2.12</v>
      </c>
      <c r="Y789">
        <v>2.12</v>
      </c>
      <c r="BE789">
        <v>2.12</v>
      </c>
      <c r="BH789" t="s">
        <v>126</v>
      </c>
      <c r="BI789" t="s">
        <v>126</v>
      </c>
      <c r="BJ789" t="s">
        <v>126</v>
      </c>
      <c r="BK789" t="s">
        <v>126</v>
      </c>
      <c r="BS789" t="s">
        <v>126</v>
      </c>
      <c r="BT789" t="s">
        <v>126</v>
      </c>
      <c r="BU789" t="s">
        <v>126</v>
      </c>
      <c r="BV789" t="s">
        <v>126</v>
      </c>
      <c r="CN789" t="s">
        <v>147</v>
      </c>
      <c r="CP789" t="s">
        <v>289</v>
      </c>
      <c r="CQ789" t="s">
        <v>147</v>
      </c>
    </row>
    <row r="790" spans="1:95" x14ac:dyDescent="0.2">
      <c r="A790" t="s">
        <v>115</v>
      </c>
      <c r="B790" t="s">
        <v>116</v>
      </c>
      <c r="C790">
        <v>210784</v>
      </c>
      <c r="E790" t="s">
        <v>117</v>
      </c>
      <c r="F790">
        <v>368</v>
      </c>
      <c r="G790" t="s">
        <v>141</v>
      </c>
      <c r="H790" t="s">
        <v>142</v>
      </c>
      <c r="I790" t="s">
        <v>279</v>
      </c>
      <c r="J790" t="s">
        <v>280</v>
      </c>
      <c r="L790" t="s">
        <v>892</v>
      </c>
      <c r="M790" s="8">
        <v>45778</v>
      </c>
      <c r="N790">
        <v>5712266</v>
      </c>
      <c r="O790" t="s">
        <v>123</v>
      </c>
      <c r="P790" t="s">
        <v>146</v>
      </c>
      <c r="Q790">
        <v>1.0900000000000001</v>
      </c>
      <c r="R790" t="s">
        <v>125</v>
      </c>
      <c r="S790" t="s">
        <v>126</v>
      </c>
      <c r="T790" t="s">
        <v>125</v>
      </c>
      <c r="U790" t="s">
        <v>126</v>
      </c>
      <c r="W790">
        <v>1.0900000000000001</v>
      </c>
      <c r="Y790">
        <v>1.0900000000000001</v>
      </c>
      <c r="BE790">
        <v>1.0900000000000001</v>
      </c>
      <c r="BH790" t="s">
        <v>126</v>
      </c>
      <c r="BI790" t="s">
        <v>126</v>
      </c>
      <c r="BJ790" t="s">
        <v>126</v>
      </c>
      <c r="BK790" t="s">
        <v>126</v>
      </c>
      <c r="BS790" t="s">
        <v>126</v>
      </c>
      <c r="BT790" t="s">
        <v>126</v>
      </c>
      <c r="BU790" t="s">
        <v>126</v>
      </c>
      <c r="BV790" t="s">
        <v>126</v>
      </c>
      <c r="CN790" t="s">
        <v>147</v>
      </c>
      <c r="CP790" t="s">
        <v>289</v>
      </c>
      <c r="CQ790" t="s">
        <v>147</v>
      </c>
    </row>
    <row r="791" spans="1:95" x14ac:dyDescent="0.2">
      <c r="A791" t="s">
        <v>115</v>
      </c>
      <c r="B791" t="s">
        <v>116</v>
      </c>
      <c r="C791">
        <v>210784</v>
      </c>
      <c r="E791" t="s">
        <v>117</v>
      </c>
      <c r="F791">
        <v>368</v>
      </c>
      <c r="G791" t="s">
        <v>141</v>
      </c>
      <c r="H791" t="s">
        <v>142</v>
      </c>
      <c r="I791" t="s">
        <v>279</v>
      </c>
      <c r="J791" t="s">
        <v>280</v>
      </c>
      <c r="L791" t="s">
        <v>419</v>
      </c>
      <c r="M791" s="8">
        <v>45778</v>
      </c>
      <c r="N791">
        <v>5713118</v>
      </c>
      <c r="O791" t="s">
        <v>123</v>
      </c>
      <c r="P791" t="s">
        <v>146</v>
      </c>
      <c r="Q791">
        <v>0.72</v>
      </c>
      <c r="R791" t="s">
        <v>125</v>
      </c>
      <c r="S791" t="s">
        <v>126</v>
      </c>
      <c r="T791" t="s">
        <v>125</v>
      </c>
      <c r="U791" t="s">
        <v>126</v>
      </c>
      <c r="W791">
        <v>0.72</v>
      </c>
      <c r="Y791">
        <v>0.72</v>
      </c>
      <c r="BE791">
        <v>0.72</v>
      </c>
      <c r="BH791" t="s">
        <v>126</v>
      </c>
      <c r="BI791" t="s">
        <v>126</v>
      </c>
      <c r="BJ791" t="s">
        <v>126</v>
      </c>
      <c r="BK791" t="s">
        <v>126</v>
      </c>
      <c r="BS791" t="s">
        <v>126</v>
      </c>
      <c r="BT791" t="s">
        <v>126</v>
      </c>
      <c r="BU791" t="s">
        <v>126</v>
      </c>
      <c r="BV791" t="s">
        <v>126</v>
      </c>
      <c r="CN791" t="s">
        <v>147</v>
      </c>
      <c r="CP791" t="s">
        <v>289</v>
      </c>
      <c r="CQ791" t="s">
        <v>147</v>
      </c>
    </row>
    <row r="792" spans="1:95" x14ac:dyDescent="0.2">
      <c r="A792" t="s">
        <v>115</v>
      </c>
      <c r="B792" t="s">
        <v>116</v>
      </c>
      <c r="C792">
        <v>210784</v>
      </c>
      <c r="E792" t="s">
        <v>117</v>
      </c>
      <c r="F792">
        <v>368</v>
      </c>
      <c r="G792" t="s">
        <v>141</v>
      </c>
      <c r="H792" t="s">
        <v>142</v>
      </c>
      <c r="I792" t="s">
        <v>279</v>
      </c>
      <c r="J792" t="s">
        <v>280</v>
      </c>
      <c r="L792" t="s">
        <v>691</v>
      </c>
      <c r="M792" s="8">
        <v>45778</v>
      </c>
      <c r="N792">
        <v>5713402</v>
      </c>
      <c r="O792" t="s">
        <v>123</v>
      </c>
      <c r="P792" t="s">
        <v>146</v>
      </c>
      <c r="Q792">
        <v>2.29</v>
      </c>
      <c r="R792" t="s">
        <v>125</v>
      </c>
      <c r="S792" t="s">
        <v>126</v>
      </c>
      <c r="T792" t="s">
        <v>125</v>
      </c>
      <c r="U792" t="s">
        <v>126</v>
      </c>
      <c r="W792">
        <v>2.29</v>
      </c>
      <c r="Y792">
        <v>2.29</v>
      </c>
      <c r="BE792">
        <v>2.29</v>
      </c>
      <c r="BH792" t="s">
        <v>126</v>
      </c>
      <c r="BI792" t="s">
        <v>126</v>
      </c>
      <c r="BJ792" t="s">
        <v>126</v>
      </c>
      <c r="BK792" t="s">
        <v>126</v>
      </c>
      <c r="BS792" t="s">
        <v>126</v>
      </c>
      <c r="BT792" t="s">
        <v>126</v>
      </c>
      <c r="BU792" t="s">
        <v>126</v>
      </c>
      <c r="BV792" t="s">
        <v>126</v>
      </c>
      <c r="CN792" t="s">
        <v>147</v>
      </c>
      <c r="CP792" t="s">
        <v>289</v>
      </c>
      <c r="CQ792" t="s">
        <v>147</v>
      </c>
    </row>
    <row r="793" spans="1:95" x14ac:dyDescent="0.2">
      <c r="A793" t="s">
        <v>115</v>
      </c>
      <c r="B793" t="s">
        <v>116</v>
      </c>
      <c r="C793">
        <v>210784</v>
      </c>
      <c r="E793" t="s">
        <v>117</v>
      </c>
      <c r="F793">
        <v>368</v>
      </c>
      <c r="G793" t="s">
        <v>141</v>
      </c>
      <c r="H793" t="s">
        <v>142</v>
      </c>
      <c r="I793" t="s">
        <v>279</v>
      </c>
      <c r="J793" t="s">
        <v>280</v>
      </c>
      <c r="L793" t="s">
        <v>420</v>
      </c>
      <c r="M793" s="8">
        <v>45778</v>
      </c>
      <c r="N793">
        <v>5714512</v>
      </c>
      <c r="O793" t="s">
        <v>123</v>
      </c>
      <c r="P793" t="s">
        <v>146</v>
      </c>
      <c r="Q793">
        <v>0.88</v>
      </c>
      <c r="R793" t="s">
        <v>125</v>
      </c>
      <c r="S793" t="s">
        <v>126</v>
      </c>
      <c r="T793" t="s">
        <v>125</v>
      </c>
      <c r="U793" t="s">
        <v>126</v>
      </c>
      <c r="W793">
        <v>0.88</v>
      </c>
      <c r="Y793">
        <v>0.88</v>
      </c>
      <c r="BE793">
        <v>0.88</v>
      </c>
      <c r="BH793" t="s">
        <v>126</v>
      </c>
      <c r="BI793" t="s">
        <v>126</v>
      </c>
      <c r="BJ793" t="s">
        <v>126</v>
      </c>
      <c r="BK793" t="s">
        <v>126</v>
      </c>
      <c r="BS793" t="s">
        <v>126</v>
      </c>
      <c r="BT793" t="s">
        <v>126</v>
      </c>
      <c r="BU793" t="s">
        <v>126</v>
      </c>
      <c r="BV793" t="s">
        <v>126</v>
      </c>
      <c r="CN793" t="s">
        <v>147</v>
      </c>
      <c r="CP793" t="s">
        <v>289</v>
      </c>
      <c r="CQ793" t="s">
        <v>147</v>
      </c>
    </row>
    <row r="794" spans="1:95" x14ac:dyDescent="0.2">
      <c r="A794" t="s">
        <v>115</v>
      </c>
      <c r="B794" t="s">
        <v>116</v>
      </c>
      <c r="C794">
        <v>210784</v>
      </c>
      <c r="E794" t="s">
        <v>117</v>
      </c>
      <c r="F794">
        <v>368</v>
      </c>
      <c r="G794" t="s">
        <v>141</v>
      </c>
      <c r="H794" t="s">
        <v>142</v>
      </c>
      <c r="I794" t="s">
        <v>279</v>
      </c>
      <c r="J794" t="s">
        <v>280</v>
      </c>
      <c r="L794" t="s">
        <v>423</v>
      </c>
      <c r="M794" s="8">
        <v>45778</v>
      </c>
      <c r="N794">
        <v>5716289</v>
      </c>
      <c r="O794" t="s">
        <v>123</v>
      </c>
      <c r="P794" t="s">
        <v>146</v>
      </c>
      <c r="Q794">
        <v>3.23</v>
      </c>
      <c r="R794" t="s">
        <v>125</v>
      </c>
      <c r="S794" t="s">
        <v>126</v>
      </c>
      <c r="T794" t="s">
        <v>125</v>
      </c>
      <c r="U794" t="s">
        <v>126</v>
      </c>
      <c r="W794">
        <v>3.23</v>
      </c>
      <c r="Y794">
        <v>3.23</v>
      </c>
      <c r="BE794">
        <v>3.23</v>
      </c>
      <c r="BH794" t="s">
        <v>126</v>
      </c>
      <c r="BI794" t="s">
        <v>126</v>
      </c>
      <c r="BJ794" t="s">
        <v>126</v>
      </c>
      <c r="BK794" t="s">
        <v>126</v>
      </c>
      <c r="BS794" t="s">
        <v>126</v>
      </c>
      <c r="BT794" t="s">
        <v>126</v>
      </c>
      <c r="BU794" t="s">
        <v>126</v>
      </c>
      <c r="BV794" t="s">
        <v>126</v>
      </c>
      <c r="CN794" t="s">
        <v>147</v>
      </c>
      <c r="CP794" t="s">
        <v>289</v>
      </c>
      <c r="CQ794" t="s">
        <v>147</v>
      </c>
    </row>
    <row r="795" spans="1:95" x14ac:dyDescent="0.2">
      <c r="A795" t="s">
        <v>115</v>
      </c>
      <c r="B795" t="s">
        <v>116</v>
      </c>
      <c r="C795">
        <v>210784</v>
      </c>
      <c r="E795" t="s">
        <v>117</v>
      </c>
      <c r="F795">
        <v>368</v>
      </c>
      <c r="G795" t="s">
        <v>141</v>
      </c>
      <c r="H795" t="s">
        <v>142</v>
      </c>
      <c r="I795" t="s">
        <v>279</v>
      </c>
      <c r="J795" t="s">
        <v>280</v>
      </c>
      <c r="L795" t="s">
        <v>422</v>
      </c>
      <c r="M795" s="8">
        <v>45778</v>
      </c>
      <c r="N795">
        <v>5716013</v>
      </c>
      <c r="O795" t="s">
        <v>123</v>
      </c>
      <c r="P795" t="s">
        <v>146</v>
      </c>
      <c r="Q795">
        <v>1.82</v>
      </c>
      <c r="R795" t="s">
        <v>125</v>
      </c>
      <c r="S795" t="s">
        <v>126</v>
      </c>
      <c r="T795" t="s">
        <v>125</v>
      </c>
      <c r="U795" t="s">
        <v>126</v>
      </c>
      <c r="W795">
        <v>1.82</v>
      </c>
      <c r="Y795">
        <v>1.82</v>
      </c>
      <c r="BE795">
        <v>1.82</v>
      </c>
      <c r="BH795" t="s">
        <v>126</v>
      </c>
      <c r="BI795" t="s">
        <v>126</v>
      </c>
      <c r="BJ795" t="s">
        <v>126</v>
      </c>
      <c r="BK795" t="s">
        <v>126</v>
      </c>
      <c r="BS795" t="s">
        <v>126</v>
      </c>
      <c r="BT795" t="s">
        <v>126</v>
      </c>
      <c r="BU795" t="s">
        <v>126</v>
      </c>
      <c r="BV795" t="s">
        <v>126</v>
      </c>
      <c r="CN795" t="s">
        <v>147</v>
      </c>
      <c r="CP795" t="s">
        <v>289</v>
      </c>
      <c r="CQ795" t="s">
        <v>147</v>
      </c>
    </row>
    <row r="796" spans="1:95" x14ac:dyDescent="0.2">
      <c r="A796" t="s">
        <v>115</v>
      </c>
      <c r="B796" t="s">
        <v>116</v>
      </c>
      <c r="C796">
        <v>210784</v>
      </c>
      <c r="E796" t="s">
        <v>117</v>
      </c>
      <c r="F796">
        <v>368</v>
      </c>
      <c r="G796" t="s">
        <v>141</v>
      </c>
      <c r="H796" t="s">
        <v>142</v>
      </c>
      <c r="I796" t="s">
        <v>279</v>
      </c>
      <c r="J796" t="s">
        <v>280</v>
      </c>
      <c r="L796" t="s">
        <v>424</v>
      </c>
      <c r="M796" s="8">
        <v>45778</v>
      </c>
      <c r="N796">
        <v>5717166</v>
      </c>
      <c r="O796" t="s">
        <v>123</v>
      </c>
      <c r="P796" t="s">
        <v>146</v>
      </c>
      <c r="Q796">
        <v>1.58</v>
      </c>
      <c r="R796" t="s">
        <v>125</v>
      </c>
      <c r="S796" t="s">
        <v>126</v>
      </c>
      <c r="T796" t="s">
        <v>125</v>
      </c>
      <c r="U796" t="s">
        <v>126</v>
      </c>
      <c r="W796">
        <v>1.58</v>
      </c>
      <c r="Y796">
        <v>1.58</v>
      </c>
      <c r="BE796">
        <v>1.58</v>
      </c>
      <c r="BH796" t="s">
        <v>126</v>
      </c>
      <c r="BI796" t="s">
        <v>126</v>
      </c>
      <c r="BJ796" t="s">
        <v>126</v>
      </c>
      <c r="BK796" t="s">
        <v>126</v>
      </c>
      <c r="BS796" t="s">
        <v>126</v>
      </c>
      <c r="BT796" t="s">
        <v>126</v>
      </c>
      <c r="BU796" t="s">
        <v>126</v>
      </c>
      <c r="BV796" t="s">
        <v>126</v>
      </c>
      <c r="CN796" t="s">
        <v>147</v>
      </c>
      <c r="CP796" t="s">
        <v>289</v>
      </c>
      <c r="CQ796" t="s">
        <v>147</v>
      </c>
    </row>
    <row r="797" spans="1:95" x14ac:dyDescent="0.2">
      <c r="A797" t="s">
        <v>115</v>
      </c>
      <c r="B797" t="s">
        <v>116</v>
      </c>
      <c r="C797">
        <v>210784</v>
      </c>
      <c r="E797" t="s">
        <v>117</v>
      </c>
      <c r="F797">
        <v>368</v>
      </c>
      <c r="G797" t="s">
        <v>141</v>
      </c>
      <c r="H797" t="s">
        <v>142</v>
      </c>
      <c r="I797" t="s">
        <v>279</v>
      </c>
      <c r="J797" t="s">
        <v>280</v>
      </c>
      <c r="L797" t="s">
        <v>424</v>
      </c>
      <c r="M797" s="8">
        <v>45778</v>
      </c>
      <c r="N797">
        <v>5717176</v>
      </c>
      <c r="O797" t="s">
        <v>123</v>
      </c>
      <c r="P797" t="s">
        <v>146</v>
      </c>
      <c r="Q797">
        <v>1.06</v>
      </c>
      <c r="R797" t="s">
        <v>125</v>
      </c>
      <c r="S797" t="s">
        <v>126</v>
      </c>
      <c r="T797" t="s">
        <v>125</v>
      </c>
      <c r="U797" t="s">
        <v>126</v>
      </c>
      <c r="W797">
        <v>1.06</v>
      </c>
      <c r="Y797">
        <v>1.06</v>
      </c>
      <c r="BE797">
        <v>1.06</v>
      </c>
      <c r="BH797" t="s">
        <v>126</v>
      </c>
      <c r="BI797" t="s">
        <v>126</v>
      </c>
      <c r="BJ797" t="s">
        <v>126</v>
      </c>
      <c r="BK797" t="s">
        <v>126</v>
      </c>
      <c r="BS797" t="s">
        <v>126</v>
      </c>
      <c r="BT797" t="s">
        <v>126</v>
      </c>
      <c r="BU797" t="s">
        <v>126</v>
      </c>
      <c r="BV797" t="s">
        <v>126</v>
      </c>
      <c r="CN797" t="s">
        <v>147</v>
      </c>
      <c r="CP797" t="s">
        <v>289</v>
      </c>
      <c r="CQ797" t="s">
        <v>147</v>
      </c>
    </row>
    <row r="798" spans="1:95" x14ac:dyDescent="0.2">
      <c r="A798" t="s">
        <v>115</v>
      </c>
      <c r="B798" t="s">
        <v>116</v>
      </c>
      <c r="C798">
        <v>210784</v>
      </c>
      <c r="E798" t="s">
        <v>117</v>
      </c>
      <c r="F798">
        <v>368</v>
      </c>
      <c r="G798" t="s">
        <v>141</v>
      </c>
      <c r="H798" t="s">
        <v>142</v>
      </c>
      <c r="I798" t="s">
        <v>279</v>
      </c>
      <c r="J798" t="s">
        <v>280</v>
      </c>
      <c r="L798" t="s">
        <v>426</v>
      </c>
      <c r="M798" s="8">
        <v>45778</v>
      </c>
      <c r="N798">
        <v>5718687</v>
      </c>
      <c r="O798" t="s">
        <v>123</v>
      </c>
      <c r="P798" t="s">
        <v>146</v>
      </c>
      <c r="Q798">
        <v>1.1200000000000001</v>
      </c>
      <c r="R798" t="s">
        <v>125</v>
      </c>
      <c r="S798" t="s">
        <v>126</v>
      </c>
      <c r="T798" t="s">
        <v>125</v>
      </c>
      <c r="U798" t="s">
        <v>126</v>
      </c>
      <c r="W798">
        <v>1.1200000000000001</v>
      </c>
      <c r="Y798">
        <v>1.1200000000000001</v>
      </c>
      <c r="BE798">
        <v>1.1200000000000001</v>
      </c>
      <c r="BH798" t="s">
        <v>126</v>
      </c>
      <c r="BI798" t="s">
        <v>126</v>
      </c>
      <c r="BJ798" t="s">
        <v>126</v>
      </c>
      <c r="BK798" t="s">
        <v>126</v>
      </c>
      <c r="BS798" t="s">
        <v>126</v>
      </c>
      <c r="BT798" t="s">
        <v>126</v>
      </c>
      <c r="BU798" t="s">
        <v>126</v>
      </c>
      <c r="BV798" t="s">
        <v>126</v>
      </c>
      <c r="CN798" t="s">
        <v>147</v>
      </c>
      <c r="CP798" t="s">
        <v>289</v>
      </c>
      <c r="CQ798" t="s">
        <v>147</v>
      </c>
    </row>
    <row r="799" spans="1:95" x14ac:dyDescent="0.2">
      <c r="A799" t="s">
        <v>115</v>
      </c>
      <c r="B799" t="s">
        <v>116</v>
      </c>
      <c r="C799">
        <v>210784</v>
      </c>
      <c r="E799" t="s">
        <v>117</v>
      </c>
      <c r="F799">
        <v>368</v>
      </c>
      <c r="G799" t="s">
        <v>141</v>
      </c>
      <c r="H799" t="s">
        <v>142</v>
      </c>
      <c r="I799" t="s">
        <v>279</v>
      </c>
      <c r="J799" t="s">
        <v>280</v>
      </c>
      <c r="L799" t="s">
        <v>692</v>
      </c>
      <c r="M799" s="8">
        <v>45778</v>
      </c>
      <c r="N799">
        <v>5719553</v>
      </c>
      <c r="O799" t="s">
        <v>123</v>
      </c>
      <c r="P799" t="s">
        <v>146</v>
      </c>
      <c r="Q799">
        <v>0.57999999999999996</v>
      </c>
      <c r="R799" t="s">
        <v>125</v>
      </c>
      <c r="S799" t="s">
        <v>126</v>
      </c>
      <c r="T799" t="s">
        <v>125</v>
      </c>
      <c r="U799" t="s">
        <v>126</v>
      </c>
      <c r="W799">
        <v>0.57999999999999996</v>
      </c>
      <c r="Y799">
        <v>0.57999999999999996</v>
      </c>
      <c r="BE799">
        <v>0.57999999999999996</v>
      </c>
      <c r="BH799" t="s">
        <v>126</v>
      </c>
      <c r="BI799" t="s">
        <v>126</v>
      </c>
      <c r="BJ799" t="s">
        <v>126</v>
      </c>
      <c r="BK799" t="s">
        <v>126</v>
      </c>
      <c r="BS799" t="s">
        <v>126</v>
      </c>
      <c r="BT799" t="s">
        <v>126</v>
      </c>
      <c r="BU799" t="s">
        <v>126</v>
      </c>
      <c r="BV799" t="s">
        <v>126</v>
      </c>
      <c r="CN799" t="s">
        <v>147</v>
      </c>
      <c r="CP799" t="s">
        <v>289</v>
      </c>
      <c r="CQ799" t="s">
        <v>147</v>
      </c>
    </row>
    <row r="800" spans="1:95" x14ac:dyDescent="0.2">
      <c r="A800" t="s">
        <v>115</v>
      </c>
      <c r="B800" t="s">
        <v>116</v>
      </c>
      <c r="C800">
        <v>210784</v>
      </c>
      <c r="E800" t="s">
        <v>117</v>
      </c>
      <c r="F800">
        <v>368</v>
      </c>
      <c r="G800" t="s">
        <v>141</v>
      </c>
      <c r="H800" t="s">
        <v>142</v>
      </c>
      <c r="I800" t="s">
        <v>279</v>
      </c>
      <c r="J800" t="s">
        <v>280</v>
      </c>
      <c r="L800" t="s">
        <v>692</v>
      </c>
      <c r="M800" s="8">
        <v>45778</v>
      </c>
      <c r="N800">
        <v>5719566</v>
      </c>
      <c r="O800" t="s">
        <v>123</v>
      </c>
      <c r="P800" t="s">
        <v>146</v>
      </c>
      <c r="Q800">
        <v>7.91</v>
      </c>
      <c r="R800" t="s">
        <v>125</v>
      </c>
      <c r="S800" t="s">
        <v>126</v>
      </c>
      <c r="T800" t="s">
        <v>125</v>
      </c>
      <c r="U800" t="s">
        <v>126</v>
      </c>
      <c r="W800">
        <v>7.91</v>
      </c>
      <c r="Y800">
        <v>7.91</v>
      </c>
      <c r="BE800">
        <v>7.91</v>
      </c>
      <c r="BH800" t="s">
        <v>126</v>
      </c>
      <c r="BI800" t="s">
        <v>126</v>
      </c>
      <c r="BJ800" t="s">
        <v>126</v>
      </c>
      <c r="BK800" t="s">
        <v>126</v>
      </c>
      <c r="BS800" t="s">
        <v>126</v>
      </c>
      <c r="BT800" t="s">
        <v>126</v>
      </c>
      <c r="BU800" t="s">
        <v>126</v>
      </c>
      <c r="BV800" t="s">
        <v>126</v>
      </c>
      <c r="CN800" t="s">
        <v>147</v>
      </c>
      <c r="CP800" t="s">
        <v>289</v>
      </c>
      <c r="CQ800" t="s">
        <v>147</v>
      </c>
    </row>
    <row r="801" spans="1:95" x14ac:dyDescent="0.2">
      <c r="A801" t="s">
        <v>115</v>
      </c>
      <c r="B801" t="s">
        <v>116</v>
      </c>
      <c r="C801">
        <v>210784</v>
      </c>
      <c r="E801" t="s">
        <v>117</v>
      </c>
      <c r="F801">
        <v>368</v>
      </c>
      <c r="G801" t="s">
        <v>141</v>
      </c>
      <c r="H801" t="s">
        <v>142</v>
      </c>
      <c r="I801" t="s">
        <v>279</v>
      </c>
      <c r="J801" t="s">
        <v>280</v>
      </c>
      <c r="L801" t="s">
        <v>428</v>
      </c>
      <c r="M801" s="8">
        <v>45778</v>
      </c>
      <c r="N801">
        <v>5720516</v>
      </c>
      <c r="O801" t="s">
        <v>123</v>
      </c>
      <c r="P801" t="s">
        <v>146</v>
      </c>
      <c r="Q801">
        <v>1.37</v>
      </c>
      <c r="R801" t="s">
        <v>125</v>
      </c>
      <c r="S801" t="s">
        <v>126</v>
      </c>
      <c r="T801" t="s">
        <v>125</v>
      </c>
      <c r="U801" t="s">
        <v>126</v>
      </c>
      <c r="W801">
        <v>1.37</v>
      </c>
      <c r="Y801">
        <v>1.37</v>
      </c>
      <c r="BE801">
        <v>1.37</v>
      </c>
      <c r="BH801" t="s">
        <v>126</v>
      </c>
      <c r="BI801" t="s">
        <v>126</v>
      </c>
      <c r="BJ801" t="s">
        <v>126</v>
      </c>
      <c r="BK801" t="s">
        <v>126</v>
      </c>
      <c r="BS801" t="s">
        <v>126</v>
      </c>
      <c r="BT801" t="s">
        <v>126</v>
      </c>
      <c r="BU801" t="s">
        <v>126</v>
      </c>
      <c r="BV801" t="s">
        <v>126</v>
      </c>
      <c r="CN801" t="s">
        <v>147</v>
      </c>
      <c r="CP801" t="s">
        <v>289</v>
      </c>
      <c r="CQ801" t="s">
        <v>147</v>
      </c>
    </row>
    <row r="802" spans="1:95" x14ac:dyDescent="0.2">
      <c r="A802" t="s">
        <v>115</v>
      </c>
      <c r="B802" t="s">
        <v>116</v>
      </c>
      <c r="C802">
        <v>210784</v>
      </c>
      <c r="E802" t="s">
        <v>117</v>
      </c>
      <c r="F802">
        <v>368</v>
      </c>
      <c r="G802" t="s">
        <v>141</v>
      </c>
      <c r="H802" t="s">
        <v>142</v>
      </c>
      <c r="I802" t="s">
        <v>279</v>
      </c>
      <c r="J802" t="s">
        <v>280</v>
      </c>
      <c r="L802" t="s">
        <v>429</v>
      </c>
      <c r="M802" s="8">
        <v>45778</v>
      </c>
      <c r="N802">
        <v>5721946</v>
      </c>
      <c r="O802" t="s">
        <v>123</v>
      </c>
      <c r="P802" t="s">
        <v>146</v>
      </c>
      <c r="Q802">
        <v>0.42</v>
      </c>
      <c r="R802" t="s">
        <v>125</v>
      </c>
      <c r="S802" t="s">
        <v>126</v>
      </c>
      <c r="T802" t="s">
        <v>125</v>
      </c>
      <c r="U802" t="s">
        <v>126</v>
      </c>
      <c r="W802">
        <v>0.42</v>
      </c>
      <c r="Y802">
        <v>0.42</v>
      </c>
      <c r="BE802">
        <v>0.42</v>
      </c>
      <c r="BH802" t="s">
        <v>126</v>
      </c>
      <c r="BI802" t="s">
        <v>126</v>
      </c>
      <c r="BJ802" t="s">
        <v>126</v>
      </c>
      <c r="BK802" t="s">
        <v>126</v>
      </c>
      <c r="BS802" t="s">
        <v>126</v>
      </c>
      <c r="BT802" t="s">
        <v>126</v>
      </c>
      <c r="BU802" t="s">
        <v>126</v>
      </c>
      <c r="BV802" t="s">
        <v>126</v>
      </c>
      <c r="CN802" t="s">
        <v>147</v>
      </c>
      <c r="CP802" t="s">
        <v>289</v>
      </c>
      <c r="CQ802" t="s">
        <v>147</v>
      </c>
    </row>
    <row r="803" spans="1:95" x14ac:dyDescent="0.2">
      <c r="A803" t="s">
        <v>115</v>
      </c>
      <c r="B803" t="s">
        <v>116</v>
      </c>
      <c r="C803">
        <v>210784</v>
      </c>
      <c r="E803" t="s">
        <v>117</v>
      </c>
      <c r="F803">
        <v>368</v>
      </c>
      <c r="G803" t="s">
        <v>141</v>
      </c>
      <c r="H803" t="s">
        <v>142</v>
      </c>
      <c r="I803" t="s">
        <v>279</v>
      </c>
      <c r="J803" t="s">
        <v>280</v>
      </c>
      <c r="L803" t="s">
        <v>694</v>
      </c>
      <c r="M803" s="8">
        <v>45778</v>
      </c>
      <c r="N803">
        <v>5723117</v>
      </c>
      <c r="O803" t="s">
        <v>123</v>
      </c>
      <c r="P803" t="s">
        <v>146</v>
      </c>
      <c r="Q803">
        <v>2.29</v>
      </c>
      <c r="R803" t="s">
        <v>125</v>
      </c>
      <c r="S803" t="s">
        <v>126</v>
      </c>
      <c r="T803" t="s">
        <v>125</v>
      </c>
      <c r="U803" t="s">
        <v>126</v>
      </c>
      <c r="W803">
        <v>2.29</v>
      </c>
      <c r="Y803">
        <v>2.29</v>
      </c>
      <c r="BE803">
        <v>2.29</v>
      </c>
      <c r="BH803" t="s">
        <v>126</v>
      </c>
      <c r="BI803" t="s">
        <v>126</v>
      </c>
      <c r="BJ803" t="s">
        <v>126</v>
      </c>
      <c r="BK803" t="s">
        <v>126</v>
      </c>
      <c r="BS803" t="s">
        <v>126</v>
      </c>
      <c r="BT803" t="s">
        <v>126</v>
      </c>
      <c r="BU803" t="s">
        <v>126</v>
      </c>
      <c r="BV803" t="s">
        <v>126</v>
      </c>
      <c r="CN803" t="s">
        <v>147</v>
      </c>
      <c r="CP803" t="s">
        <v>289</v>
      </c>
      <c r="CQ803" t="s">
        <v>147</v>
      </c>
    </row>
    <row r="804" spans="1:95" x14ac:dyDescent="0.2">
      <c r="A804" t="s">
        <v>115</v>
      </c>
      <c r="B804" t="s">
        <v>116</v>
      </c>
      <c r="C804">
        <v>210784</v>
      </c>
      <c r="E804" t="s">
        <v>117</v>
      </c>
      <c r="F804">
        <v>368</v>
      </c>
      <c r="G804" t="s">
        <v>141</v>
      </c>
      <c r="H804" t="s">
        <v>142</v>
      </c>
      <c r="I804" t="s">
        <v>279</v>
      </c>
      <c r="J804" t="s">
        <v>280</v>
      </c>
      <c r="L804" t="s">
        <v>286</v>
      </c>
      <c r="M804" s="8">
        <v>45778</v>
      </c>
      <c r="N804">
        <v>5724502</v>
      </c>
      <c r="O804" t="s">
        <v>123</v>
      </c>
      <c r="P804" t="s">
        <v>146</v>
      </c>
      <c r="Q804">
        <v>1.17</v>
      </c>
      <c r="R804" t="s">
        <v>125</v>
      </c>
      <c r="S804" t="s">
        <v>126</v>
      </c>
      <c r="T804" t="s">
        <v>125</v>
      </c>
      <c r="U804" t="s">
        <v>126</v>
      </c>
      <c r="W804">
        <v>1.17</v>
      </c>
      <c r="Y804">
        <v>1.17</v>
      </c>
      <c r="BE804">
        <v>1.17</v>
      </c>
      <c r="BH804" t="s">
        <v>126</v>
      </c>
      <c r="BI804" t="s">
        <v>126</v>
      </c>
      <c r="BJ804" t="s">
        <v>126</v>
      </c>
      <c r="BK804" t="s">
        <v>126</v>
      </c>
      <c r="BS804" t="s">
        <v>126</v>
      </c>
      <c r="BT804" t="s">
        <v>126</v>
      </c>
      <c r="BU804" t="s">
        <v>126</v>
      </c>
      <c r="BV804" t="s">
        <v>126</v>
      </c>
      <c r="CN804" t="s">
        <v>147</v>
      </c>
      <c r="CP804" t="s">
        <v>289</v>
      </c>
      <c r="CQ804" t="s">
        <v>147</v>
      </c>
    </row>
    <row r="805" spans="1:95" x14ac:dyDescent="0.2">
      <c r="A805" t="s">
        <v>115</v>
      </c>
      <c r="B805" t="s">
        <v>116</v>
      </c>
      <c r="C805">
        <v>210784</v>
      </c>
      <c r="E805" t="s">
        <v>117</v>
      </c>
      <c r="F805">
        <v>368</v>
      </c>
      <c r="G805" t="s">
        <v>141</v>
      </c>
      <c r="H805" t="s">
        <v>142</v>
      </c>
      <c r="I805" t="s">
        <v>279</v>
      </c>
      <c r="J805" t="s">
        <v>280</v>
      </c>
      <c r="L805" t="s">
        <v>696</v>
      </c>
      <c r="M805" s="8">
        <v>45778</v>
      </c>
      <c r="N805">
        <v>5726018</v>
      </c>
      <c r="O805" t="s">
        <v>123</v>
      </c>
      <c r="P805" t="s">
        <v>146</v>
      </c>
      <c r="Q805">
        <v>2.23</v>
      </c>
      <c r="R805" t="s">
        <v>125</v>
      </c>
      <c r="S805" t="s">
        <v>126</v>
      </c>
      <c r="T805" t="s">
        <v>125</v>
      </c>
      <c r="U805" t="s">
        <v>126</v>
      </c>
      <c r="W805">
        <v>2.23</v>
      </c>
      <c r="Y805">
        <v>2.23</v>
      </c>
      <c r="BE805">
        <v>2.23</v>
      </c>
      <c r="BH805" t="s">
        <v>126</v>
      </c>
      <c r="BI805" t="s">
        <v>126</v>
      </c>
      <c r="BJ805" t="s">
        <v>126</v>
      </c>
      <c r="BK805" t="s">
        <v>126</v>
      </c>
      <c r="BS805" t="s">
        <v>126</v>
      </c>
      <c r="BT805" t="s">
        <v>126</v>
      </c>
      <c r="BU805" t="s">
        <v>126</v>
      </c>
      <c r="BV805" t="s">
        <v>126</v>
      </c>
      <c r="CN805" t="s">
        <v>147</v>
      </c>
      <c r="CP805" t="s">
        <v>432</v>
      </c>
      <c r="CQ805" t="s">
        <v>147</v>
      </c>
    </row>
    <row r="806" spans="1:95" x14ac:dyDescent="0.2">
      <c r="A806" t="s">
        <v>115</v>
      </c>
      <c r="B806" t="s">
        <v>116</v>
      </c>
      <c r="C806">
        <v>210784</v>
      </c>
      <c r="E806" t="s">
        <v>117</v>
      </c>
      <c r="F806">
        <v>368</v>
      </c>
      <c r="G806" t="s">
        <v>141</v>
      </c>
      <c r="H806" t="s">
        <v>142</v>
      </c>
      <c r="I806" t="s">
        <v>279</v>
      </c>
      <c r="J806" t="s">
        <v>280</v>
      </c>
      <c r="L806" t="s">
        <v>699</v>
      </c>
      <c r="M806" s="8">
        <v>45778</v>
      </c>
      <c r="N806">
        <v>5727408</v>
      </c>
      <c r="O806" t="s">
        <v>123</v>
      </c>
      <c r="P806" t="s">
        <v>146</v>
      </c>
      <c r="Q806">
        <v>0.47</v>
      </c>
      <c r="R806" t="s">
        <v>125</v>
      </c>
      <c r="S806" t="s">
        <v>126</v>
      </c>
      <c r="T806" t="s">
        <v>125</v>
      </c>
      <c r="U806" t="s">
        <v>126</v>
      </c>
      <c r="W806">
        <v>0.47</v>
      </c>
      <c r="Y806">
        <v>0.47</v>
      </c>
      <c r="BE806">
        <v>0.47</v>
      </c>
      <c r="BH806" t="s">
        <v>126</v>
      </c>
      <c r="BI806" t="s">
        <v>126</v>
      </c>
      <c r="BJ806" t="s">
        <v>126</v>
      </c>
      <c r="BK806" t="s">
        <v>126</v>
      </c>
      <c r="BS806" t="s">
        <v>126</v>
      </c>
      <c r="BT806" t="s">
        <v>126</v>
      </c>
      <c r="BU806" t="s">
        <v>126</v>
      </c>
      <c r="BV806" t="s">
        <v>126</v>
      </c>
      <c r="CN806" t="s">
        <v>147</v>
      </c>
      <c r="CP806" t="s">
        <v>432</v>
      </c>
      <c r="CQ806" t="s">
        <v>147</v>
      </c>
    </row>
    <row r="807" spans="1:95" x14ac:dyDescent="0.2">
      <c r="A807" t="s">
        <v>115</v>
      </c>
      <c r="B807" t="s">
        <v>116</v>
      </c>
      <c r="C807">
        <v>210784</v>
      </c>
      <c r="E807" t="s">
        <v>117</v>
      </c>
      <c r="F807">
        <v>368</v>
      </c>
      <c r="G807" t="s">
        <v>118</v>
      </c>
      <c r="H807" t="s">
        <v>119</v>
      </c>
      <c r="I807" t="s">
        <v>120</v>
      </c>
      <c r="J807" t="s">
        <v>121</v>
      </c>
      <c r="L807" t="s">
        <v>129</v>
      </c>
      <c r="M807" s="8">
        <v>45809</v>
      </c>
      <c r="N807">
        <v>132637</v>
      </c>
      <c r="O807" t="s">
        <v>123</v>
      </c>
      <c r="P807" t="s">
        <v>124</v>
      </c>
      <c r="Q807">
        <v>17.420000000000002</v>
      </c>
      <c r="R807" t="s">
        <v>125</v>
      </c>
      <c r="S807" t="s">
        <v>126</v>
      </c>
      <c r="T807" t="s">
        <v>125</v>
      </c>
      <c r="U807" t="s">
        <v>126</v>
      </c>
      <c r="W807">
        <v>17.420000000000002</v>
      </c>
      <c r="Y807">
        <v>17.420000000000002</v>
      </c>
      <c r="AA807">
        <v>17.420000000000002</v>
      </c>
      <c r="BH807" t="s">
        <v>126</v>
      </c>
      <c r="BI807" t="s">
        <v>126</v>
      </c>
      <c r="BJ807" t="s">
        <v>126</v>
      </c>
      <c r="BK807" t="s">
        <v>126</v>
      </c>
      <c r="BS807" t="s">
        <v>126</v>
      </c>
      <c r="BT807" t="s">
        <v>126</v>
      </c>
      <c r="BU807" t="s">
        <v>126</v>
      </c>
      <c r="BV807" t="s">
        <v>126</v>
      </c>
      <c r="CN807" t="s">
        <v>127</v>
      </c>
      <c r="CP807" t="s">
        <v>128</v>
      </c>
      <c r="CQ807" t="s">
        <v>127</v>
      </c>
    </row>
    <row r="808" spans="1:95" x14ac:dyDescent="0.2">
      <c r="A808" t="s">
        <v>115</v>
      </c>
      <c r="B808" t="s">
        <v>116</v>
      </c>
      <c r="C808">
        <v>210784</v>
      </c>
      <c r="E808" t="s">
        <v>117</v>
      </c>
      <c r="F808">
        <v>368</v>
      </c>
      <c r="G808" t="s">
        <v>118</v>
      </c>
      <c r="H808" t="s">
        <v>119</v>
      </c>
      <c r="I808" t="s">
        <v>120</v>
      </c>
      <c r="J808" t="s">
        <v>121</v>
      </c>
      <c r="L808" t="s">
        <v>129</v>
      </c>
      <c r="M808" s="8">
        <v>45809</v>
      </c>
      <c r="N808">
        <v>132650</v>
      </c>
      <c r="O808" t="s">
        <v>123</v>
      </c>
      <c r="P808" t="s">
        <v>124</v>
      </c>
      <c r="Q808">
        <v>11.99</v>
      </c>
      <c r="R808" t="s">
        <v>125</v>
      </c>
      <c r="S808" t="s">
        <v>126</v>
      </c>
      <c r="T808" t="s">
        <v>125</v>
      </c>
      <c r="U808" t="s">
        <v>126</v>
      </c>
      <c r="W808">
        <v>11.99</v>
      </c>
      <c r="Y808">
        <v>11.99</v>
      </c>
      <c r="AA808">
        <v>11.99</v>
      </c>
      <c r="BH808" t="s">
        <v>126</v>
      </c>
      <c r="BI808" t="s">
        <v>126</v>
      </c>
      <c r="BJ808" t="s">
        <v>126</v>
      </c>
      <c r="BK808" t="s">
        <v>126</v>
      </c>
      <c r="BS808" t="s">
        <v>126</v>
      </c>
      <c r="BT808" t="s">
        <v>126</v>
      </c>
      <c r="BU808" t="s">
        <v>126</v>
      </c>
      <c r="BV808" t="s">
        <v>126</v>
      </c>
      <c r="CN808" t="s">
        <v>127</v>
      </c>
      <c r="CP808" t="s">
        <v>128</v>
      </c>
      <c r="CQ808" t="s">
        <v>127</v>
      </c>
    </row>
    <row r="809" spans="1:95" x14ac:dyDescent="0.2">
      <c r="A809" t="s">
        <v>115</v>
      </c>
      <c r="B809" t="s">
        <v>116</v>
      </c>
      <c r="C809">
        <v>210784</v>
      </c>
      <c r="E809" t="s">
        <v>117</v>
      </c>
      <c r="F809">
        <v>368</v>
      </c>
      <c r="G809" t="s">
        <v>141</v>
      </c>
      <c r="H809" t="s">
        <v>142</v>
      </c>
      <c r="I809" t="s">
        <v>284</v>
      </c>
      <c r="J809" t="s">
        <v>285</v>
      </c>
      <c r="L809" t="s">
        <v>287</v>
      </c>
      <c r="M809" s="8">
        <v>45809</v>
      </c>
      <c r="N809">
        <v>121725</v>
      </c>
      <c r="O809" t="s">
        <v>123</v>
      </c>
      <c r="P809" t="s">
        <v>146</v>
      </c>
      <c r="Q809">
        <v>5</v>
      </c>
      <c r="R809" t="s">
        <v>125</v>
      </c>
      <c r="S809" t="s">
        <v>126</v>
      </c>
      <c r="T809" t="s">
        <v>125</v>
      </c>
      <c r="U809" t="s">
        <v>126</v>
      </c>
      <c r="W809">
        <v>5</v>
      </c>
      <c r="Y809">
        <v>5</v>
      </c>
      <c r="AC809">
        <v>5</v>
      </c>
      <c r="BH809" t="s">
        <v>126</v>
      </c>
      <c r="BI809" t="s">
        <v>126</v>
      </c>
      <c r="BJ809" t="s">
        <v>126</v>
      </c>
      <c r="BK809" t="s">
        <v>126</v>
      </c>
      <c r="BS809" t="s">
        <v>126</v>
      </c>
      <c r="BT809" t="s">
        <v>126</v>
      </c>
      <c r="BU809" t="s">
        <v>126</v>
      </c>
      <c r="BV809" t="s">
        <v>126</v>
      </c>
      <c r="CN809" t="s">
        <v>147</v>
      </c>
      <c r="CP809" t="s">
        <v>175</v>
      </c>
      <c r="CQ809" t="s">
        <v>147</v>
      </c>
    </row>
    <row r="810" spans="1:95" x14ac:dyDescent="0.2">
      <c r="A810" t="s">
        <v>115</v>
      </c>
      <c r="B810" t="s">
        <v>116</v>
      </c>
      <c r="C810">
        <v>210784</v>
      </c>
      <c r="E810" t="s">
        <v>117</v>
      </c>
      <c r="F810">
        <v>368</v>
      </c>
      <c r="G810" t="s">
        <v>141</v>
      </c>
      <c r="H810" t="s">
        <v>142</v>
      </c>
      <c r="I810" t="s">
        <v>130</v>
      </c>
      <c r="J810" t="s">
        <v>131</v>
      </c>
      <c r="L810" t="s">
        <v>289</v>
      </c>
      <c r="M810" s="8">
        <v>45809</v>
      </c>
      <c r="N810">
        <v>7311174</v>
      </c>
      <c r="O810" t="s">
        <v>123</v>
      </c>
      <c r="P810" t="s">
        <v>146</v>
      </c>
      <c r="Q810">
        <v>10.57</v>
      </c>
      <c r="R810" t="s">
        <v>125</v>
      </c>
      <c r="S810" t="s">
        <v>126</v>
      </c>
      <c r="T810" t="s">
        <v>125</v>
      </c>
      <c r="U810" t="s">
        <v>126</v>
      </c>
      <c r="W810">
        <v>10.57</v>
      </c>
      <c r="Y810">
        <v>10.57</v>
      </c>
      <c r="AC810">
        <v>10.57</v>
      </c>
      <c r="BH810" t="s">
        <v>126</v>
      </c>
      <c r="BI810" t="s">
        <v>126</v>
      </c>
      <c r="BJ810" t="s">
        <v>126</v>
      </c>
      <c r="BK810" t="s">
        <v>126</v>
      </c>
      <c r="BS810" t="s">
        <v>126</v>
      </c>
      <c r="BT810" t="s">
        <v>126</v>
      </c>
      <c r="BU810" t="s">
        <v>126</v>
      </c>
      <c r="BV810" t="s">
        <v>126</v>
      </c>
      <c r="CN810" t="s">
        <v>147</v>
      </c>
      <c r="CP810" t="s">
        <v>175</v>
      </c>
      <c r="CQ810" t="s">
        <v>147</v>
      </c>
    </row>
    <row r="811" spans="1:95" x14ac:dyDescent="0.2">
      <c r="A811" t="s">
        <v>115</v>
      </c>
      <c r="B811" t="s">
        <v>116</v>
      </c>
      <c r="C811">
        <v>210784</v>
      </c>
      <c r="E811" t="s">
        <v>117</v>
      </c>
      <c r="F811">
        <v>368</v>
      </c>
      <c r="G811" t="s">
        <v>141</v>
      </c>
      <c r="H811" t="s">
        <v>142</v>
      </c>
      <c r="I811" t="s">
        <v>279</v>
      </c>
      <c r="J811" t="s">
        <v>280</v>
      </c>
      <c r="L811" t="s">
        <v>430</v>
      </c>
      <c r="M811" s="8">
        <v>45809</v>
      </c>
      <c r="N811">
        <v>5743498</v>
      </c>
      <c r="O811" t="s">
        <v>123</v>
      </c>
      <c r="P811" t="s">
        <v>146</v>
      </c>
      <c r="Q811">
        <v>4.25</v>
      </c>
      <c r="R811" t="s">
        <v>125</v>
      </c>
      <c r="S811" t="s">
        <v>126</v>
      </c>
      <c r="T811" t="s">
        <v>125</v>
      </c>
      <c r="U811" t="s">
        <v>126</v>
      </c>
      <c r="W811">
        <v>4.25</v>
      </c>
      <c r="Y811">
        <v>4.25</v>
      </c>
      <c r="AS811">
        <v>4.25</v>
      </c>
      <c r="BH811" t="s">
        <v>126</v>
      </c>
      <c r="BI811" t="s">
        <v>126</v>
      </c>
      <c r="BJ811" t="s">
        <v>126</v>
      </c>
      <c r="BK811" t="s">
        <v>126</v>
      </c>
      <c r="BS811" t="s">
        <v>126</v>
      </c>
      <c r="BT811" t="s">
        <v>126</v>
      </c>
      <c r="BU811" t="s">
        <v>126</v>
      </c>
      <c r="BV811" t="s">
        <v>126</v>
      </c>
      <c r="CN811" t="s">
        <v>147</v>
      </c>
      <c r="CP811" t="s">
        <v>431</v>
      </c>
      <c r="CQ811" t="s">
        <v>147</v>
      </c>
    </row>
    <row r="812" spans="1:95" x14ac:dyDescent="0.2">
      <c r="A812" t="s">
        <v>115</v>
      </c>
      <c r="B812" t="s">
        <v>116</v>
      </c>
      <c r="C812">
        <v>210784</v>
      </c>
      <c r="E812" t="s">
        <v>117</v>
      </c>
      <c r="F812">
        <v>368</v>
      </c>
      <c r="G812" t="s">
        <v>141</v>
      </c>
      <c r="H812" t="s">
        <v>142</v>
      </c>
      <c r="I812" t="s">
        <v>279</v>
      </c>
      <c r="J812" t="s">
        <v>280</v>
      </c>
      <c r="L812" t="s">
        <v>287</v>
      </c>
      <c r="M812" s="8">
        <v>45809</v>
      </c>
      <c r="N812">
        <v>5744997</v>
      </c>
      <c r="O812" t="s">
        <v>123</v>
      </c>
      <c r="P812" t="s">
        <v>146</v>
      </c>
      <c r="Q812">
        <v>3.27</v>
      </c>
      <c r="R812" t="s">
        <v>125</v>
      </c>
      <c r="S812" t="s">
        <v>126</v>
      </c>
      <c r="T812" t="s">
        <v>125</v>
      </c>
      <c r="U812" t="s">
        <v>126</v>
      </c>
      <c r="W812">
        <v>3.27</v>
      </c>
      <c r="Y812">
        <v>3.27</v>
      </c>
      <c r="AS812">
        <v>3.27</v>
      </c>
      <c r="BH812" t="s">
        <v>126</v>
      </c>
      <c r="BI812" t="s">
        <v>126</v>
      </c>
      <c r="BJ812" t="s">
        <v>126</v>
      </c>
      <c r="BK812" t="s">
        <v>126</v>
      </c>
      <c r="BS812" t="s">
        <v>126</v>
      </c>
      <c r="BT812" t="s">
        <v>126</v>
      </c>
      <c r="BU812" t="s">
        <v>126</v>
      </c>
      <c r="BV812" t="s">
        <v>126</v>
      </c>
      <c r="CN812" t="s">
        <v>147</v>
      </c>
      <c r="CP812" t="s">
        <v>431</v>
      </c>
      <c r="CQ812" t="s">
        <v>147</v>
      </c>
    </row>
    <row r="813" spans="1:95" x14ac:dyDescent="0.2">
      <c r="A813" t="s">
        <v>115</v>
      </c>
      <c r="B813" t="s">
        <v>116</v>
      </c>
      <c r="C813">
        <v>210784</v>
      </c>
      <c r="E813" t="s">
        <v>117</v>
      </c>
      <c r="F813">
        <v>368</v>
      </c>
      <c r="G813" t="s">
        <v>141</v>
      </c>
      <c r="H813" t="s">
        <v>142</v>
      </c>
      <c r="I813" t="s">
        <v>279</v>
      </c>
      <c r="J813" t="s">
        <v>280</v>
      </c>
      <c r="L813" t="s">
        <v>432</v>
      </c>
      <c r="M813" s="8">
        <v>45809</v>
      </c>
      <c r="N813">
        <v>5746149</v>
      </c>
      <c r="O813" t="s">
        <v>123</v>
      </c>
      <c r="P813" t="s">
        <v>146</v>
      </c>
      <c r="Q813">
        <v>3.11</v>
      </c>
      <c r="R813" t="s">
        <v>125</v>
      </c>
      <c r="S813" t="s">
        <v>126</v>
      </c>
      <c r="T813" t="s">
        <v>125</v>
      </c>
      <c r="U813" t="s">
        <v>126</v>
      </c>
      <c r="W813">
        <v>3.11</v>
      </c>
      <c r="Y813">
        <v>3.11</v>
      </c>
      <c r="AS813">
        <v>3.11</v>
      </c>
      <c r="BH813" t="s">
        <v>126</v>
      </c>
      <c r="BI813" t="s">
        <v>126</v>
      </c>
      <c r="BJ813" t="s">
        <v>126</v>
      </c>
      <c r="BK813" t="s">
        <v>126</v>
      </c>
      <c r="BS813" t="s">
        <v>126</v>
      </c>
      <c r="BT813" t="s">
        <v>126</v>
      </c>
      <c r="BU813" t="s">
        <v>126</v>
      </c>
      <c r="BV813" t="s">
        <v>126</v>
      </c>
      <c r="CN813" t="s">
        <v>147</v>
      </c>
      <c r="CP813" t="s">
        <v>431</v>
      </c>
      <c r="CQ813" t="s">
        <v>147</v>
      </c>
    </row>
    <row r="814" spans="1:95" x14ac:dyDescent="0.2">
      <c r="A814" t="s">
        <v>115</v>
      </c>
      <c r="B814" t="s">
        <v>116</v>
      </c>
      <c r="C814">
        <v>210784</v>
      </c>
      <c r="E814" t="s">
        <v>117</v>
      </c>
      <c r="F814">
        <v>368</v>
      </c>
      <c r="G814" t="s">
        <v>141</v>
      </c>
      <c r="H814" t="s">
        <v>142</v>
      </c>
      <c r="I814" t="s">
        <v>519</v>
      </c>
      <c r="J814" t="s">
        <v>520</v>
      </c>
      <c r="L814" t="s">
        <v>521</v>
      </c>
      <c r="M814" s="8">
        <v>45809</v>
      </c>
      <c r="N814">
        <v>610172</v>
      </c>
      <c r="O814" t="s">
        <v>123</v>
      </c>
      <c r="P814" t="s">
        <v>146</v>
      </c>
      <c r="Q814">
        <v>4.3</v>
      </c>
      <c r="R814" t="s">
        <v>125</v>
      </c>
      <c r="S814" t="s">
        <v>126</v>
      </c>
      <c r="T814" t="s">
        <v>125</v>
      </c>
      <c r="U814" t="s">
        <v>126</v>
      </c>
      <c r="W814">
        <v>4.3</v>
      </c>
      <c r="Y814">
        <v>4.3</v>
      </c>
      <c r="AF814">
        <v>4.3</v>
      </c>
      <c r="BH814" t="s">
        <v>126</v>
      </c>
      <c r="BI814" t="s">
        <v>126</v>
      </c>
      <c r="BJ814" t="s">
        <v>126</v>
      </c>
      <c r="BK814" t="s">
        <v>126</v>
      </c>
      <c r="BS814" t="s">
        <v>126</v>
      </c>
      <c r="BT814" t="s">
        <v>126</v>
      </c>
      <c r="BU814" t="s">
        <v>126</v>
      </c>
      <c r="BV814" t="s">
        <v>126</v>
      </c>
      <c r="CN814" t="s">
        <v>147</v>
      </c>
      <c r="CP814" t="s">
        <v>432</v>
      </c>
      <c r="CQ814" t="s">
        <v>147</v>
      </c>
    </row>
    <row r="815" spans="1:95" x14ac:dyDescent="0.2">
      <c r="A815" t="s">
        <v>115</v>
      </c>
      <c r="B815" t="s">
        <v>116</v>
      </c>
      <c r="C815">
        <v>210784</v>
      </c>
      <c r="E815" t="s">
        <v>117</v>
      </c>
      <c r="F815">
        <v>368</v>
      </c>
      <c r="G815" t="s">
        <v>141</v>
      </c>
      <c r="H815" t="s">
        <v>142</v>
      </c>
      <c r="I815" t="s">
        <v>279</v>
      </c>
      <c r="J815" t="s">
        <v>280</v>
      </c>
      <c r="L815" t="s">
        <v>289</v>
      </c>
      <c r="M815" s="8">
        <v>45809</v>
      </c>
      <c r="N815">
        <v>5729013</v>
      </c>
      <c r="O815" t="s">
        <v>123</v>
      </c>
      <c r="P815" t="s">
        <v>146</v>
      </c>
      <c r="Q815">
        <v>1.28</v>
      </c>
      <c r="R815" t="s">
        <v>703</v>
      </c>
      <c r="S815" t="s">
        <v>126</v>
      </c>
      <c r="T815" t="s">
        <v>703</v>
      </c>
      <c r="U815" t="s">
        <v>704</v>
      </c>
      <c r="W815">
        <v>0.39</v>
      </c>
      <c r="X815">
        <v>0.89</v>
      </c>
      <c r="Y815">
        <v>1.28</v>
      </c>
      <c r="Z815">
        <v>0.49</v>
      </c>
      <c r="AG815">
        <v>0.39</v>
      </c>
      <c r="AI815">
        <v>0.4</v>
      </c>
      <c r="BH815" t="s">
        <v>126</v>
      </c>
      <c r="BI815" t="s">
        <v>126</v>
      </c>
      <c r="BJ815" t="s">
        <v>126</v>
      </c>
      <c r="BK815" t="s">
        <v>126</v>
      </c>
      <c r="BS815" t="s">
        <v>126</v>
      </c>
      <c r="BT815" t="s">
        <v>126</v>
      </c>
      <c r="BU815" t="s">
        <v>126</v>
      </c>
      <c r="BV815" t="s">
        <v>126</v>
      </c>
      <c r="CN815" t="s">
        <v>147</v>
      </c>
      <c r="CP815" t="s">
        <v>432</v>
      </c>
      <c r="CQ815" t="s">
        <v>147</v>
      </c>
    </row>
    <row r="816" spans="1:95" x14ac:dyDescent="0.2">
      <c r="A816" t="s">
        <v>115</v>
      </c>
      <c r="B816" t="s">
        <v>116</v>
      </c>
      <c r="C816">
        <v>210784</v>
      </c>
      <c r="E816" t="s">
        <v>117</v>
      </c>
      <c r="F816">
        <v>368</v>
      </c>
      <c r="G816" t="s">
        <v>141</v>
      </c>
      <c r="H816" t="s">
        <v>142</v>
      </c>
      <c r="I816" t="s">
        <v>279</v>
      </c>
      <c r="J816" t="s">
        <v>280</v>
      </c>
      <c r="L816" t="s">
        <v>705</v>
      </c>
      <c r="M816" s="8">
        <v>45809</v>
      </c>
      <c r="N816">
        <v>5730232</v>
      </c>
      <c r="O816" t="s">
        <v>123</v>
      </c>
      <c r="P816" t="s">
        <v>146</v>
      </c>
      <c r="Q816">
        <v>7.09</v>
      </c>
      <c r="R816" t="s">
        <v>598</v>
      </c>
      <c r="S816" t="s">
        <v>126</v>
      </c>
      <c r="T816" t="s">
        <v>598</v>
      </c>
      <c r="U816" t="s">
        <v>599</v>
      </c>
      <c r="W816">
        <v>2.19</v>
      </c>
      <c r="X816">
        <v>4.9000000000000004</v>
      </c>
      <c r="Y816">
        <v>7.09</v>
      </c>
      <c r="Z816">
        <v>2.69</v>
      </c>
      <c r="AG816">
        <v>2.19</v>
      </c>
      <c r="AI816">
        <v>2.21</v>
      </c>
      <c r="BH816" t="s">
        <v>126</v>
      </c>
      <c r="BI816" t="s">
        <v>126</v>
      </c>
      <c r="BJ816" t="s">
        <v>126</v>
      </c>
      <c r="BK816" t="s">
        <v>126</v>
      </c>
      <c r="BS816" t="s">
        <v>126</v>
      </c>
      <c r="BT816" t="s">
        <v>126</v>
      </c>
      <c r="BU816" t="s">
        <v>126</v>
      </c>
      <c r="BV816" t="s">
        <v>126</v>
      </c>
      <c r="CN816" t="s">
        <v>147</v>
      </c>
      <c r="CP816" t="s">
        <v>432</v>
      </c>
      <c r="CQ816" t="s">
        <v>147</v>
      </c>
    </row>
    <row r="817" spans="1:95" x14ac:dyDescent="0.2">
      <c r="A817" t="s">
        <v>115</v>
      </c>
      <c r="B817" t="s">
        <v>116</v>
      </c>
      <c r="C817">
        <v>210784</v>
      </c>
      <c r="E817" t="s">
        <v>117</v>
      </c>
      <c r="F817">
        <v>368</v>
      </c>
      <c r="G817" t="s">
        <v>141</v>
      </c>
      <c r="H817" t="s">
        <v>142</v>
      </c>
      <c r="I817" t="s">
        <v>279</v>
      </c>
      <c r="J817" t="s">
        <v>280</v>
      </c>
      <c r="L817" t="s">
        <v>705</v>
      </c>
      <c r="M817" s="8">
        <v>45809</v>
      </c>
      <c r="N817">
        <v>5729986</v>
      </c>
      <c r="O817" t="s">
        <v>123</v>
      </c>
      <c r="P817" t="s">
        <v>146</v>
      </c>
      <c r="Q817">
        <v>3.84</v>
      </c>
      <c r="R817" t="s">
        <v>673</v>
      </c>
      <c r="S817" t="s">
        <v>126</v>
      </c>
      <c r="T817" t="s">
        <v>673</v>
      </c>
      <c r="U817" t="s">
        <v>674</v>
      </c>
      <c r="W817">
        <v>1.18</v>
      </c>
      <c r="X817">
        <v>2.66</v>
      </c>
      <c r="Y817">
        <v>3.84</v>
      </c>
      <c r="Z817">
        <v>1.46</v>
      </c>
      <c r="AG817">
        <v>1.18</v>
      </c>
      <c r="AI817">
        <v>1.2</v>
      </c>
      <c r="BH817" t="s">
        <v>126</v>
      </c>
      <c r="BI817" t="s">
        <v>126</v>
      </c>
      <c r="BJ817" t="s">
        <v>126</v>
      </c>
      <c r="BK817" t="s">
        <v>126</v>
      </c>
      <c r="BS817" t="s">
        <v>126</v>
      </c>
      <c r="BT817" t="s">
        <v>126</v>
      </c>
      <c r="BU817" t="s">
        <v>126</v>
      </c>
      <c r="BV817" t="s">
        <v>126</v>
      </c>
      <c r="CN817" t="s">
        <v>147</v>
      </c>
      <c r="CP817" t="s">
        <v>432</v>
      </c>
      <c r="CQ817" t="s">
        <v>147</v>
      </c>
    </row>
    <row r="818" spans="1:95" x14ac:dyDescent="0.2">
      <c r="A818" t="s">
        <v>115</v>
      </c>
      <c r="B818" t="s">
        <v>116</v>
      </c>
      <c r="C818">
        <v>210784</v>
      </c>
      <c r="E818" t="s">
        <v>117</v>
      </c>
      <c r="F818">
        <v>368</v>
      </c>
      <c r="G818" t="s">
        <v>141</v>
      </c>
      <c r="H818" t="s">
        <v>142</v>
      </c>
      <c r="I818" t="s">
        <v>279</v>
      </c>
      <c r="J818" t="s">
        <v>280</v>
      </c>
      <c r="L818" t="s">
        <v>706</v>
      </c>
      <c r="M818" s="8">
        <v>45809</v>
      </c>
      <c r="N818">
        <v>5730764</v>
      </c>
      <c r="O818" t="s">
        <v>123</v>
      </c>
      <c r="P818" t="s">
        <v>146</v>
      </c>
      <c r="Q818">
        <v>2.79</v>
      </c>
      <c r="R818" t="s">
        <v>559</v>
      </c>
      <c r="S818" t="s">
        <v>126</v>
      </c>
      <c r="T818" t="s">
        <v>559</v>
      </c>
      <c r="U818" t="s">
        <v>560</v>
      </c>
      <c r="W818">
        <v>0.86</v>
      </c>
      <c r="X818">
        <v>1.9300000000000002</v>
      </c>
      <c r="Y818">
        <v>2.79</v>
      </c>
      <c r="Z818">
        <v>1.06</v>
      </c>
      <c r="AG818">
        <v>0.86</v>
      </c>
      <c r="AI818">
        <v>0.87</v>
      </c>
      <c r="BH818" t="s">
        <v>126</v>
      </c>
      <c r="BI818" t="s">
        <v>126</v>
      </c>
      <c r="BJ818" t="s">
        <v>126</v>
      </c>
      <c r="BK818" t="s">
        <v>126</v>
      </c>
      <c r="BS818" t="s">
        <v>126</v>
      </c>
      <c r="BT818" t="s">
        <v>126</v>
      </c>
      <c r="BU818" t="s">
        <v>126</v>
      </c>
      <c r="BV818" t="s">
        <v>126</v>
      </c>
      <c r="CN818" t="s">
        <v>147</v>
      </c>
      <c r="CP818" t="s">
        <v>432</v>
      </c>
      <c r="CQ818" t="s">
        <v>147</v>
      </c>
    </row>
    <row r="819" spans="1:95" x14ac:dyDescent="0.2">
      <c r="A819" t="s">
        <v>115</v>
      </c>
      <c r="B819" t="s">
        <v>116</v>
      </c>
      <c r="C819">
        <v>210784</v>
      </c>
      <c r="E819" t="s">
        <v>117</v>
      </c>
      <c r="F819">
        <v>368</v>
      </c>
      <c r="G819" t="s">
        <v>141</v>
      </c>
      <c r="H819" t="s">
        <v>142</v>
      </c>
      <c r="I819" t="s">
        <v>279</v>
      </c>
      <c r="J819" t="s">
        <v>280</v>
      </c>
      <c r="L819" t="s">
        <v>706</v>
      </c>
      <c r="M819" s="8">
        <v>45809</v>
      </c>
      <c r="N819">
        <v>5731082</v>
      </c>
      <c r="O819" t="s">
        <v>123</v>
      </c>
      <c r="P819" t="s">
        <v>146</v>
      </c>
      <c r="Q819">
        <v>2.2599999999999998</v>
      </c>
      <c r="R819" t="s">
        <v>707</v>
      </c>
      <c r="S819" t="s">
        <v>126</v>
      </c>
      <c r="T819" t="s">
        <v>707</v>
      </c>
      <c r="U819" t="s">
        <v>708</v>
      </c>
      <c r="W819">
        <v>0.7</v>
      </c>
      <c r="X819">
        <v>1.56</v>
      </c>
      <c r="Y819">
        <v>2.2599999999999998</v>
      </c>
      <c r="Z819">
        <v>0.86</v>
      </c>
      <c r="AG819">
        <v>0.7</v>
      </c>
      <c r="AI819">
        <v>0.7</v>
      </c>
      <c r="BH819" t="s">
        <v>126</v>
      </c>
      <c r="BI819" t="s">
        <v>126</v>
      </c>
      <c r="BJ819" t="s">
        <v>126</v>
      </c>
      <c r="BK819" t="s">
        <v>126</v>
      </c>
      <c r="BS819" t="s">
        <v>126</v>
      </c>
      <c r="BT819" t="s">
        <v>126</v>
      </c>
      <c r="BU819" t="s">
        <v>126</v>
      </c>
      <c r="BV819" t="s">
        <v>126</v>
      </c>
      <c r="CN819" t="s">
        <v>147</v>
      </c>
      <c r="CP819" t="s">
        <v>432</v>
      </c>
      <c r="CQ819" t="s">
        <v>147</v>
      </c>
    </row>
    <row r="820" spans="1:95" x14ac:dyDescent="0.2">
      <c r="A820" t="s">
        <v>115</v>
      </c>
      <c r="B820" t="s">
        <v>116</v>
      </c>
      <c r="C820">
        <v>210784</v>
      </c>
      <c r="E820" t="s">
        <v>117</v>
      </c>
      <c r="F820">
        <v>368</v>
      </c>
      <c r="G820" t="s">
        <v>141</v>
      </c>
      <c r="H820" t="s">
        <v>142</v>
      </c>
      <c r="I820" t="s">
        <v>279</v>
      </c>
      <c r="J820" t="s">
        <v>280</v>
      </c>
      <c r="L820" t="s">
        <v>709</v>
      </c>
      <c r="M820" s="8">
        <v>45809</v>
      </c>
      <c r="N820">
        <v>5731689</v>
      </c>
      <c r="O820" t="s">
        <v>123</v>
      </c>
      <c r="P820" t="s">
        <v>146</v>
      </c>
      <c r="Q820">
        <v>2.6</v>
      </c>
      <c r="R820" t="s">
        <v>569</v>
      </c>
      <c r="S820" t="s">
        <v>126</v>
      </c>
      <c r="T820" t="s">
        <v>569</v>
      </c>
      <c r="U820" t="s">
        <v>570</v>
      </c>
      <c r="W820">
        <v>0.8</v>
      </c>
      <c r="X820">
        <v>1.8</v>
      </c>
      <c r="Y820">
        <v>2.6</v>
      </c>
      <c r="Z820">
        <v>0.99</v>
      </c>
      <c r="AG820">
        <v>0.8</v>
      </c>
      <c r="AI820">
        <v>0.81</v>
      </c>
      <c r="BH820" t="s">
        <v>126</v>
      </c>
      <c r="BI820" t="s">
        <v>126</v>
      </c>
      <c r="BJ820" t="s">
        <v>126</v>
      </c>
      <c r="BK820" t="s">
        <v>126</v>
      </c>
      <c r="BS820" t="s">
        <v>126</v>
      </c>
      <c r="BT820" t="s">
        <v>126</v>
      </c>
      <c r="BU820" t="s">
        <v>126</v>
      </c>
      <c r="BV820" t="s">
        <v>126</v>
      </c>
      <c r="CN820" t="s">
        <v>147</v>
      </c>
      <c r="CP820" t="s">
        <v>432</v>
      </c>
      <c r="CQ820" t="s">
        <v>147</v>
      </c>
    </row>
    <row r="821" spans="1:95" x14ac:dyDescent="0.2">
      <c r="A821" t="s">
        <v>115</v>
      </c>
      <c r="B821" t="s">
        <v>116</v>
      </c>
      <c r="C821">
        <v>210784</v>
      </c>
      <c r="E821" t="s">
        <v>117</v>
      </c>
      <c r="F821">
        <v>368</v>
      </c>
      <c r="G821" t="s">
        <v>141</v>
      </c>
      <c r="H821" t="s">
        <v>142</v>
      </c>
      <c r="I821" t="s">
        <v>279</v>
      </c>
      <c r="J821" t="s">
        <v>280</v>
      </c>
      <c r="L821" t="s">
        <v>129</v>
      </c>
      <c r="M821" s="8">
        <v>45809</v>
      </c>
      <c r="N821">
        <v>5732269</v>
      </c>
      <c r="O821" t="s">
        <v>123</v>
      </c>
      <c r="P821" t="s">
        <v>146</v>
      </c>
      <c r="Q821">
        <v>3.4300000000000006</v>
      </c>
      <c r="R821" t="s">
        <v>710</v>
      </c>
      <c r="S821" t="s">
        <v>126</v>
      </c>
      <c r="T821" t="s">
        <v>710</v>
      </c>
      <c r="U821" t="s">
        <v>711</v>
      </c>
      <c r="W821">
        <v>1.06</v>
      </c>
      <c r="X821">
        <v>2.37</v>
      </c>
      <c r="Y821">
        <v>3.4300000000000006</v>
      </c>
      <c r="Z821">
        <v>1.3</v>
      </c>
      <c r="AG821">
        <v>1.06</v>
      </c>
      <c r="AI821">
        <v>1.07</v>
      </c>
      <c r="BH821" t="s">
        <v>126</v>
      </c>
      <c r="BI821" t="s">
        <v>126</v>
      </c>
      <c r="BJ821" t="s">
        <v>126</v>
      </c>
      <c r="BK821" t="s">
        <v>126</v>
      </c>
      <c r="BS821" t="s">
        <v>126</v>
      </c>
      <c r="BT821" t="s">
        <v>126</v>
      </c>
      <c r="BU821" t="s">
        <v>126</v>
      </c>
      <c r="BV821" t="s">
        <v>126</v>
      </c>
      <c r="CN821" t="s">
        <v>147</v>
      </c>
      <c r="CP821" t="s">
        <v>432</v>
      </c>
      <c r="CQ821" t="s">
        <v>147</v>
      </c>
    </row>
    <row r="822" spans="1:95" x14ac:dyDescent="0.2">
      <c r="A822" t="s">
        <v>115</v>
      </c>
      <c r="B822" t="s">
        <v>116</v>
      </c>
      <c r="C822">
        <v>210784</v>
      </c>
      <c r="E822" t="s">
        <v>117</v>
      </c>
      <c r="F822">
        <v>368</v>
      </c>
      <c r="G822" t="s">
        <v>141</v>
      </c>
      <c r="H822" t="s">
        <v>142</v>
      </c>
      <c r="I822" t="s">
        <v>279</v>
      </c>
      <c r="J822" t="s">
        <v>280</v>
      </c>
      <c r="L822" t="s">
        <v>129</v>
      </c>
      <c r="M822" s="8">
        <v>45809</v>
      </c>
      <c r="N822">
        <v>5732366</v>
      </c>
      <c r="O822" t="s">
        <v>123</v>
      </c>
      <c r="P822" t="s">
        <v>146</v>
      </c>
      <c r="Q822">
        <v>0.17</v>
      </c>
      <c r="R822" t="s">
        <v>712</v>
      </c>
      <c r="S822" t="s">
        <v>126</v>
      </c>
      <c r="T822" t="s">
        <v>712</v>
      </c>
      <c r="U822" t="s">
        <v>713</v>
      </c>
      <c r="W822">
        <v>0.05</v>
      </c>
      <c r="X822">
        <v>0.12000000000000001</v>
      </c>
      <c r="Y822">
        <v>0.17</v>
      </c>
      <c r="Z822">
        <v>7.0000000000000007E-2</v>
      </c>
      <c r="AG822">
        <v>0.05</v>
      </c>
      <c r="AI822">
        <v>0.05</v>
      </c>
      <c r="BH822" t="s">
        <v>126</v>
      </c>
      <c r="BI822" t="s">
        <v>126</v>
      </c>
      <c r="BJ822" t="s">
        <v>126</v>
      </c>
      <c r="BK822" t="s">
        <v>126</v>
      </c>
      <c r="BS822" t="s">
        <v>126</v>
      </c>
      <c r="BT822" t="s">
        <v>126</v>
      </c>
      <c r="BU822" t="s">
        <v>126</v>
      </c>
      <c r="BV822" t="s">
        <v>126</v>
      </c>
      <c r="CN822" t="s">
        <v>147</v>
      </c>
      <c r="CP822" t="s">
        <v>432</v>
      </c>
      <c r="CQ822" t="s">
        <v>147</v>
      </c>
    </row>
    <row r="823" spans="1:95" x14ac:dyDescent="0.2">
      <c r="A823" t="s">
        <v>115</v>
      </c>
      <c r="B823" t="s">
        <v>116</v>
      </c>
      <c r="C823">
        <v>210784</v>
      </c>
      <c r="E823" t="s">
        <v>117</v>
      </c>
      <c r="F823">
        <v>368</v>
      </c>
      <c r="G823" t="s">
        <v>141</v>
      </c>
      <c r="H823" t="s">
        <v>142</v>
      </c>
      <c r="I823" t="s">
        <v>279</v>
      </c>
      <c r="J823" t="s">
        <v>280</v>
      </c>
      <c r="L823" t="s">
        <v>129</v>
      </c>
      <c r="M823" s="8">
        <v>45809</v>
      </c>
      <c r="N823">
        <v>5732383</v>
      </c>
      <c r="O823" t="s">
        <v>123</v>
      </c>
      <c r="P823" t="s">
        <v>146</v>
      </c>
      <c r="Q823">
        <v>3.7699999999999996</v>
      </c>
      <c r="R823" t="s">
        <v>569</v>
      </c>
      <c r="S823" t="s">
        <v>126</v>
      </c>
      <c r="T823" t="s">
        <v>569</v>
      </c>
      <c r="U823" t="s">
        <v>570</v>
      </c>
      <c r="W823">
        <v>1.1599999999999999</v>
      </c>
      <c r="X823">
        <v>2.61</v>
      </c>
      <c r="Y823">
        <v>3.7699999999999996</v>
      </c>
      <c r="Z823">
        <v>1.44</v>
      </c>
      <c r="AG823">
        <v>1.1599999999999999</v>
      </c>
      <c r="AI823">
        <v>1.17</v>
      </c>
      <c r="BH823" t="s">
        <v>126</v>
      </c>
      <c r="BI823" t="s">
        <v>126</v>
      </c>
      <c r="BJ823" t="s">
        <v>126</v>
      </c>
      <c r="BK823" t="s">
        <v>126</v>
      </c>
      <c r="BS823" t="s">
        <v>126</v>
      </c>
      <c r="BT823" t="s">
        <v>126</v>
      </c>
      <c r="BU823" t="s">
        <v>126</v>
      </c>
      <c r="BV823" t="s">
        <v>126</v>
      </c>
      <c r="CN823" t="s">
        <v>147</v>
      </c>
      <c r="CP823" t="s">
        <v>432</v>
      </c>
      <c r="CQ823" t="s">
        <v>147</v>
      </c>
    </row>
    <row r="824" spans="1:95" x14ac:dyDescent="0.2">
      <c r="A824" t="s">
        <v>115</v>
      </c>
      <c r="B824" t="s">
        <v>116</v>
      </c>
      <c r="C824">
        <v>210784</v>
      </c>
      <c r="E824" t="s">
        <v>117</v>
      </c>
      <c r="F824">
        <v>368</v>
      </c>
      <c r="G824" t="s">
        <v>141</v>
      </c>
      <c r="H824" t="s">
        <v>142</v>
      </c>
      <c r="I824" t="s">
        <v>279</v>
      </c>
      <c r="J824" t="s">
        <v>280</v>
      </c>
      <c r="L824" t="s">
        <v>714</v>
      </c>
      <c r="M824" s="8">
        <v>45809</v>
      </c>
      <c r="N824">
        <v>5732850</v>
      </c>
      <c r="O824" t="s">
        <v>123</v>
      </c>
      <c r="P824" t="s">
        <v>146</v>
      </c>
      <c r="Q824">
        <v>1.24</v>
      </c>
      <c r="R824" t="s">
        <v>715</v>
      </c>
      <c r="S824" t="s">
        <v>126</v>
      </c>
      <c r="T824" t="s">
        <v>715</v>
      </c>
      <c r="U824" t="s">
        <v>716</v>
      </c>
      <c r="W824">
        <v>0.38</v>
      </c>
      <c r="X824">
        <v>0.86</v>
      </c>
      <c r="Y824">
        <v>1.24</v>
      </c>
      <c r="Z824">
        <v>0.47</v>
      </c>
      <c r="AG824">
        <v>0.38</v>
      </c>
      <c r="AI824">
        <v>0.39</v>
      </c>
      <c r="BH824" t="s">
        <v>126</v>
      </c>
      <c r="BI824" t="s">
        <v>126</v>
      </c>
      <c r="BJ824" t="s">
        <v>126</v>
      </c>
      <c r="BK824" t="s">
        <v>126</v>
      </c>
      <c r="BS824" t="s">
        <v>126</v>
      </c>
      <c r="BT824" t="s">
        <v>126</v>
      </c>
      <c r="BU824" t="s">
        <v>126</v>
      </c>
      <c r="BV824" t="s">
        <v>126</v>
      </c>
      <c r="CN824" t="s">
        <v>147</v>
      </c>
      <c r="CP824" t="s">
        <v>432</v>
      </c>
      <c r="CQ824" t="s">
        <v>147</v>
      </c>
    </row>
    <row r="825" spans="1:95" x14ac:dyDescent="0.2">
      <c r="A825" t="s">
        <v>115</v>
      </c>
      <c r="B825" t="s">
        <v>116</v>
      </c>
      <c r="C825">
        <v>210784</v>
      </c>
      <c r="E825" t="s">
        <v>117</v>
      </c>
      <c r="F825">
        <v>368</v>
      </c>
      <c r="G825" t="s">
        <v>141</v>
      </c>
      <c r="H825" t="s">
        <v>142</v>
      </c>
      <c r="I825" t="s">
        <v>279</v>
      </c>
      <c r="J825" t="s">
        <v>280</v>
      </c>
      <c r="L825" t="s">
        <v>717</v>
      </c>
      <c r="M825" s="8">
        <v>45809</v>
      </c>
      <c r="N825">
        <v>5733458</v>
      </c>
      <c r="O825" t="s">
        <v>123</v>
      </c>
      <c r="P825" t="s">
        <v>146</v>
      </c>
      <c r="Q825">
        <v>3.7299999999999995</v>
      </c>
      <c r="R825" t="s">
        <v>602</v>
      </c>
      <c r="S825" t="s">
        <v>126</v>
      </c>
      <c r="T825" t="s">
        <v>602</v>
      </c>
      <c r="U825" t="s">
        <v>603</v>
      </c>
      <c r="W825">
        <v>1.1499999999999999</v>
      </c>
      <c r="X825">
        <v>2.58</v>
      </c>
      <c r="Y825">
        <v>3.7299999999999995</v>
      </c>
      <c r="Z825">
        <v>1.42</v>
      </c>
      <c r="AG825">
        <v>1.1499999999999999</v>
      </c>
      <c r="AI825">
        <v>1.1599999999999999</v>
      </c>
      <c r="BH825" t="s">
        <v>126</v>
      </c>
      <c r="BI825" t="s">
        <v>126</v>
      </c>
      <c r="BJ825" t="s">
        <v>126</v>
      </c>
      <c r="BK825" t="s">
        <v>126</v>
      </c>
      <c r="BS825" t="s">
        <v>126</v>
      </c>
      <c r="BT825" t="s">
        <v>126</v>
      </c>
      <c r="BU825" t="s">
        <v>126</v>
      </c>
      <c r="BV825" t="s">
        <v>126</v>
      </c>
      <c r="CN825" t="s">
        <v>147</v>
      </c>
      <c r="CP825" t="s">
        <v>432</v>
      </c>
      <c r="CQ825" t="s">
        <v>147</v>
      </c>
    </row>
    <row r="826" spans="1:95" x14ac:dyDescent="0.2">
      <c r="A826" t="s">
        <v>115</v>
      </c>
      <c r="B826" t="s">
        <v>116</v>
      </c>
      <c r="C826">
        <v>210784</v>
      </c>
      <c r="E826" t="s">
        <v>117</v>
      </c>
      <c r="F826">
        <v>368</v>
      </c>
      <c r="G826" t="s">
        <v>141</v>
      </c>
      <c r="H826" t="s">
        <v>142</v>
      </c>
      <c r="I826" t="s">
        <v>279</v>
      </c>
      <c r="J826" t="s">
        <v>280</v>
      </c>
      <c r="L826" t="s">
        <v>718</v>
      </c>
      <c r="M826" s="8">
        <v>45809</v>
      </c>
      <c r="N826">
        <v>5734017</v>
      </c>
      <c r="O826" t="s">
        <v>123</v>
      </c>
      <c r="P826" t="s">
        <v>146</v>
      </c>
      <c r="Q826">
        <v>3.6799999999999997</v>
      </c>
      <c r="R826" t="s">
        <v>588</v>
      </c>
      <c r="S826" t="s">
        <v>126</v>
      </c>
      <c r="T826" t="s">
        <v>588</v>
      </c>
      <c r="U826" t="s">
        <v>589</v>
      </c>
      <c r="W826">
        <v>1.1299999999999999</v>
      </c>
      <c r="X826">
        <v>2.5499999999999998</v>
      </c>
      <c r="Y826">
        <v>3.6799999999999997</v>
      </c>
      <c r="Z826">
        <v>1.4</v>
      </c>
      <c r="AG826">
        <v>1.1299999999999999</v>
      </c>
      <c r="AI826">
        <v>1.1499999999999999</v>
      </c>
      <c r="BH826" t="s">
        <v>126</v>
      </c>
      <c r="BI826" t="s">
        <v>126</v>
      </c>
      <c r="BJ826" t="s">
        <v>126</v>
      </c>
      <c r="BK826" t="s">
        <v>126</v>
      </c>
      <c r="BS826" t="s">
        <v>126</v>
      </c>
      <c r="BT826" t="s">
        <v>126</v>
      </c>
      <c r="BU826" t="s">
        <v>126</v>
      </c>
      <c r="BV826" t="s">
        <v>126</v>
      </c>
      <c r="CN826" t="s">
        <v>147</v>
      </c>
      <c r="CP826" t="s">
        <v>432</v>
      </c>
      <c r="CQ826" t="s">
        <v>147</v>
      </c>
    </row>
    <row r="827" spans="1:95" x14ac:dyDescent="0.2">
      <c r="A827" t="s">
        <v>115</v>
      </c>
      <c r="B827" t="s">
        <v>116</v>
      </c>
      <c r="C827">
        <v>210784</v>
      </c>
      <c r="E827" t="s">
        <v>117</v>
      </c>
      <c r="F827">
        <v>368</v>
      </c>
      <c r="G827" t="s">
        <v>141</v>
      </c>
      <c r="H827" t="s">
        <v>142</v>
      </c>
      <c r="I827" t="s">
        <v>279</v>
      </c>
      <c r="J827" t="s">
        <v>280</v>
      </c>
      <c r="L827" t="s">
        <v>719</v>
      </c>
      <c r="M827" s="8">
        <v>45809</v>
      </c>
      <c r="N827">
        <v>5735100</v>
      </c>
      <c r="O827" t="s">
        <v>123</v>
      </c>
      <c r="P827" t="s">
        <v>146</v>
      </c>
      <c r="Q827">
        <v>3.05</v>
      </c>
      <c r="R827" t="s">
        <v>559</v>
      </c>
      <c r="S827" t="s">
        <v>126</v>
      </c>
      <c r="T827" t="s">
        <v>559</v>
      </c>
      <c r="U827" t="s">
        <v>560</v>
      </c>
      <c r="W827">
        <v>0.94</v>
      </c>
      <c r="X827">
        <v>2.11</v>
      </c>
      <c r="Y827">
        <v>3.05</v>
      </c>
      <c r="Z827">
        <v>1.1599999999999999</v>
      </c>
      <c r="AG827">
        <v>0.94</v>
      </c>
      <c r="AI827">
        <v>0.95</v>
      </c>
      <c r="BH827" t="s">
        <v>126</v>
      </c>
      <c r="BI827" t="s">
        <v>126</v>
      </c>
      <c r="BJ827" t="s">
        <v>126</v>
      </c>
      <c r="BK827" t="s">
        <v>126</v>
      </c>
      <c r="BS827" t="s">
        <v>126</v>
      </c>
      <c r="BT827" t="s">
        <v>126</v>
      </c>
      <c r="BU827" t="s">
        <v>126</v>
      </c>
      <c r="BV827" t="s">
        <v>126</v>
      </c>
      <c r="CN827" t="s">
        <v>147</v>
      </c>
      <c r="CP827" t="s">
        <v>432</v>
      </c>
      <c r="CQ827" t="s">
        <v>147</v>
      </c>
    </row>
    <row r="828" spans="1:95" x14ac:dyDescent="0.2">
      <c r="A828" t="s">
        <v>115</v>
      </c>
      <c r="B828" t="s">
        <v>116</v>
      </c>
      <c r="C828">
        <v>210784</v>
      </c>
      <c r="E828" t="s">
        <v>117</v>
      </c>
      <c r="F828">
        <v>368</v>
      </c>
      <c r="G828" t="s">
        <v>141</v>
      </c>
      <c r="H828" t="s">
        <v>142</v>
      </c>
      <c r="I828" t="s">
        <v>279</v>
      </c>
      <c r="J828" t="s">
        <v>280</v>
      </c>
      <c r="L828" t="s">
        <v>719</v>
      </c>
      <c r="M828" s="8">
        <v>45809</v>
      </c>
      <c r="N828">
        <v>5734976</v>
      </c>
      <c r="O828" t="s">
        <v>123</v>
      </c>
      <c r="P828" t="s">
        <v>146</v>
      </c>
      <c r="Q828">
        <v>2.5</v>
      </c>
      <c r="R828" t="s">
        <v>592</v>
      </c>
      <c r="S828" t="s">
        <v>126</v>
      </c>
      <c r="T828" t="s">
        <v>592</v>
      </c>
      <c r="U828" t="s">
        <v>593</v>
      </c>
      <c r="W828">
        <v>0.77</v>
      </c>
      <c r="X828">
        <v>1.73</v>
      </c>
      <c r="Y828">
        <v>2.5</v>
      </c>
      <c r="Z828">
        <v>0.95</v>
      </c>
      <c r="AG828">
        <v>0.77</v>
      </c>
      <c r="AI828">
        <v>0.78</v>
      </c>
      <c r="BH828" t="s">
        <v>126</v>
      </c>
      <c r="BI828" t="s">
        <v>126</v>
      </c>
      <c r="BJ828" t="s">
        <v>126</v>
      </c>
      <c r="BK828" t="s">
        <v>126</v>
      </c>
      <c r="BS828" t="s">
        <v>126</v>
      </c>
      <c r="BT828" t="s">
        <v>126</v>
      </c>
      <c r="BU828" t="s">
        <v>126</v>
      </c>
      <c r="BV828" t="s">
        <v>126</v>
      </c>
      <c r="CN828" t="s">
        <v>147</v>
      </c>
      <c r="CP828" t="s">
        <v>432</v>
      </c>
      <c r="CQ828" t="s">
        <v>147</v>
      </c>
    </row>
    <row r="829" spans="1:95" x14ac:dyDescent="0.2">
      <c r="A829" t="s">
        <v>115</v>
      </c>
      <c r="B829" t="s">
        <v>116</v>
      </c>
      <c r="C829">
        <v>210784</v>
      </c>
      <c r="E829" t="s">
        <v>117</v>
      </c>
      <c r="F829">
        <v>368</v>
      </c>
      <c r="G829" t="s">
        <v>141</v>
      </c>
      <c r="H829" t="s">
        <v>142</v>
      </c>
      <c r="I829" t="s">
        <v>279</v>
      </c>
      <c r="J829" t="s">
        <v>280</v>
      </c>
      <c r="L829" t="s">
        <v>720</v>
      </c>
      <c r="M829" s="8">
        <v>45809</v>
      </c>
      <c r="N829">
        <v>5736035</v>
      </c>
      <c r="O829" t="s">
        <v>123</v>
      </c>
      <c r="P829" t="s">
        <v>146</v>
      </c>
      <c r="Q829">
        <v>1.9099999999999997</v>
      </c>
      <c r="R829" t="s">
        <v>598</v>
      </c>
      <c r="S829" t="s">
        <v>126</v>
      </c>
      <c r="T829" t="s">
        <v>598</v>
      </c>
      <c r="U829" t="s">
        <v>599</v>
      </c>
      <c r="W829">
        <v>0.59</v>
      </c>
      <c r="X829">
        <v>1.3199999999999998</v>
      </c>
      <c r="Y829">
        <v>1.9099999999999997</v>
      </c>
      <c r="Z829">
        <v>0.73</v>
      </c>
      <c r="AG829">
        <v>0.59</v>
      </c>
      <c r="AI829">
        <v>0.59</v>
      </c>
      <c r="BH829" t="s">
        <v>126</v>
      </c>
      <c r="BI829" t="s">
        <v>126</v>
      </c>
      <c r="BJ829" t="s">
        <v>126</v>
      </c>
      <c r="BK829" t="s">
        <v>126</v>
      </c>
      <c r="BS829" t="s">
        <v>126</v>
      </c>
      <c r="BT829" t="s">
        <v>126</v>
      </c>
      <c r="BU829" t="s">
        <v>126</v>
      </c>
      <c r="BV829" t="s">
        <v>126</v>
      </c>
      <c r="CN829" t="s">
        <v>147</v>
      </c>
      <c r="CP829" t="s">
        <v>432</v>
      </c>
      <c r="CQ829" t="s">
        <v>147</v>
      </c>
    </row>
    <row r="830" spans="1:95" x14ac:dyDescent="0.2">
      <c r="A830" t="s">
        <v>115</v>
      </c>
      <c r="B830" t="s">
        <v>116</v>
      </c>
      <c r="C830">
        <v>210784</v>
      </c>
      <c r="E830" t="s">
        <v>117</v>
      </c>
      <c r="F830">
        <v>368</v>
      </c>
      <c r="G830" t="s">
        <v>141</v>
      </c>
      <c r="H830" t="s">
        <v>142</v>
      </c>
      <c r="I830" t="s">
        <v>279</v>
      </c>
      <c r="J830" t="s">
        <v>280</v>
      </c>
      <c r="L830" t="s">
        <v>720</v>
      </c>
      <c r="M830" s="8">
        <v>45809</v>
      </c>
      <c r="N830">
        <v>5736090</v>
      </c>
      <c r="O830" t="s">
        <v>123</v>
      </c>
      <c r="P830" t="s">
        <v>146</v>
      </c>
      <c r="Q830">
        <v>2.96</v>
      </c>
      <c r="R830" t="s">
        <v>581</v>
      </c>
      <c r="S830" t="s">
        <v>126</v>
      </c>
      <c r="T830" t="s">
        <v>581</v>
      </c>
      <c r="U830" t="s">
        <v>582</v>
      </c>
      <c r="W830">
        <v>0.91</v>
      </c>
      <c r="X830">
        <v>2.0499999999999998</v>
      </c>
      <c r="Y830">
        <v>2.96</v>
      </c>
      <c r="Z830">
        <v>1.1299999999999999</v>
      </c>
      <c r="AG830">
        <v>0.91</v>
      </c>
      <c r="AI830">
        <v>0.92</v>
      </c>
      <c r="BH830" t="s">
        <v>126</v>
      </c>
      <c r="BI830" t="s">
        <v>126</v>
      </c>
      <c r="BJ830" t="s">
        <v>126</v>
      </c>
      <c r="BK830" t="s">
        <v>126</v>
      </c>
      <c r="BS830" t="s">
        <v>126</v>
      </c>
      <c r="BT830" t="s">
        <v>126</v>
      </c>
      <c r="BU830" t="s">
        <v>126</v>
      </c>
      <c r="BV830" t="s">
        <v>126</v>
      </c>
      <c r="CN830" t="s">
        <v>147</v>
      </c>
      <c r="CP830" t="s">
        <v>432</v>
      </c>
      <c r="CQ830" t="s">
        <v>147</v>
      </c>
    </row>
    <row r="831" spans="1:95" x14ac:dyDescent="0.2">
      <c r="A831" t="s">
        <v>115</v>
      </c>
      <c r="B831" t="s">
        <v>116</v>
      </c>
      <c r="C831">
        <v>210784</v>
      </c>
      <c r="E831" t="s">
        <v>117</v>
      </c>
      <c r="F831">
        <v>368</v>
      </c>
      <c r="G831" t="s">
        <v>141</v>
      </c>
      <c r="H831" t="s">
        <v>142</v>
      </c>
      <c r="I831" t="s">
        <v>279</v>
      </c>
      <c r="J831" t="s">
        <v>280</v>
      </c>
      <c r="L831" t="s">
        <v>721</v>
      </c>
      <c r="M831" s="8">
        <v>45809</v>
      </c>
      <c r="N831">
        <v>5736870</v>
      </c>
      <c r="O831" t="s">
        <v>123</v>
      </c>
      <c r="P831" t="s">
        <v>146</v>
      </c>
      <c r="Q831">
        <v>3.01</v>
      </c>
      <c r="R831" t="s">
        <v>710</v>
      </c>
      <c r="S831" t="s">
        <v>126</v>
      </c>
      <c r="T831" t="s">
        <v>710</v>
      </c>
      <c r="U831" t="s">
        <v>711</v>
      </c>
      <c r="W831">
        <v>0.93</v>
      </c>
      <c r="X831">
        <v>2.08</v>
      </c>
      <c r="Y831">
        <v>3.01</v>
      </c>
      <c r="Z831">
        <v>1.1399999999999999</v>
      </c>
      <c r="AG831">
        <v>0.93</v>
      </c>
      <c r="AI831">
        <v>0.94</v>
      </c>
      <c r="BH831" t="s">
        <v>126</v>
      </c>
      <c r="BI831" t="s">
        <v>126</v>
      </c>
      <c r="BJ831" t="s">
        <v>126</v>
      </c>
      <c r="BK831" t="s">
        <v>126</v>
      </c>
      <c r="BS831" t="s">
        <v>126</v>
      </c>
      <c r="BT831" t="s">
        <v>126</v>
      </c>
      <c r="BU831" t="s">
        <v>126</v>
      </c>
      <c r="BV831" t="s">
        <v>126</v>
      </c>
      <c r="CN831" t="s">
        <v>147</v>
      </c>
      <c r="CP831" t="s">
        <v>432</v>
      </c>
      <c r="CQ831" t="s">
        <v>147</v>
      </c>
    </row>
    <row r="832" spans="1:95" x14ac:dyDescent="0.2">
      <c r="A832" t="s">
        <v>115</v>
      </c>
      <c r="B832" t="s">
        <v>116</v>
      </c>
      <c r="C832">
        <v>210784</v>
      </c>
      <c r="E832" t="s">
        <v>117</v>
      </c>
      <c r="F832">
        <v>368</v>
      </c>
      <c r="G832" t="s">
        <v>141</v>
      </c>
      <c r="H832" t="s">
        <v>142</v>
      </c>
      <c r="I832" t="s">
        <v>279</v>
      </c>
      <c r="J832" t="s">
        <v>280</v>
      </c>
      <c r="L832" t="s">
        <v>722</v>
      </c>
      <c r="M832" s="8">
        <v>45809</v>
      </c>
      <c r="N832">
        <v>5737910</v>
      </c>
      <c r="O832" t="s">
        <v>123</v>
      </c>
      <c r="P832" t="s">
        <v>146</v>
      </c>
      <c r="Q832">
        <v>3.1099999999999994</v>
      </c>
      <c r="R832" t="s">
        <v>669</v>
      </c>
      <c r="S832" t="s">
        <v>126</v>
      </c>
      <c r="T832" t="s">
        <v>669</v>
      </c>
      <c r="U832" t="s">
        <v>670</v>
      </c>
      <c r="W832">
        <v>0.96</v>
      </c>
      <c r="X832">
        <v>2.15</v>
      </c>
      <c r="Y832">
        <v>3.1099999999999994</v>
      </c>
      <c r="Z832">
        <v>1.18</v>
      </c>
      <c r="AG832">
        <v>0.96</v>
      </c>
      <c r="AI832">
        <v>0.97</v>
      </c>
      <c r="BH832" t="s">
        <v>126</v>
      </c>
      <c r="BI832" t="s">
        <v>126</v>
      </c>
      <c r="BJ832" t="s">
        <v>126</v>
      </c>
      <c r="BK832" t="s">
        <v>126</v>
      </c>
      <c r="BS832" t="s">
        <v>126</v>
      </c>
      <c r="BT832" t="s">
        <v>126</v>
      </c>
      <c r="BU832" t="s">
        <v>126</v>
      </c>
      <c r="BV832" t="s">
        <v>126</v>
      </c>
      <c r="CN832" t="s">
        <v>147</v>
      </c>
      <c r="CP832" t="s">
        <v>432</v>
      </c>
      <c r="CQ832" t="s">
        <v>147</v>
      </c>
    </row>
    <row r="833" spans="1:95" x14ac:dyDescent="0.2">
      <c r="A833" t="s">
        <v>115</v>
      </c>
      <c r="B833" t="s">
        <v>116</v>
      </c>
      <c r="C833">
        <v>210784</v>
      </c>
      <c r="E833" t="s">
        <v>117</v>
      </c>
      <c r="F833">
        <v>368</v>
      </c>
      <c r="G833" t="s">
        <v>141</v>
      </c>
      <c r="H833" t="s">
        <v>142</v>
      </c>
      <c r="I833" t="s">
        <v>279</v>
      </c>
      <c r="J833" t="s">
        <v>280</v>
      </c>
      <c r="L833" t="s">
        <v>723</v>
      </c>
      <c r="M833" s="8">
        <v>45809</v>
      </c>
      <c r="N833">
        <v>5738575</v>
      </c>
      <c r="O833" t="s">
        <v>123</v>
      </c>
      <c r="P833" t="s">
        <v>146</v>
      </c>
      <c r="Q833">
        <v>2.73</v>
      </c>
      <c r="R833" t="s">
        <v>569</v>
      </c>
      <c r="S833" t="s">
        <v>126</v>
      </c>
      <c r="T833" t="s">
        <v>569</v>
      </c>
      <c r="U833" t="s">
        <v>570</v>
      </c>
      <c r="W833">
        <v>0.84</v>
      </c>
      <c r="X833">
        <v>1.8900000000000001</v>
      </c>
      <c r="Y833">
        <v>2.73</v>
      </c>
      <c r="Z833">
        <v>1.04</v>
      </c>
      <c r="AG833">
        <v>0.84</v>
      </c>
      <c r="AI833">
        <v>0.85</v>
      </c>
      <c r="BH833" t="s">
        <v>126</v>
      </c>
      <c r="BI833" t="s">
        <v>126</v>
      </c>
      <c r="BJ833" t="s">
        <v>126</v>
      </c>
      <c r="BK833" t="s">
        <v>126</v>
      </c>
      <c r="BS833" t="s">
        <v>126</v>
      </c>
      <c r="BT833" t="s">
        <v>126</v>
      </c>
      <c r="BU833" t="s">
        <v>126</v>
      </c>
      <c r="BV833" t="s">
        <v>126</v>
      </c>
      <c r="CN833" t="s">
        <v>147</v>
      </c>
      <c r="CP833" t="s">
        <v>432</v>
      </c>
      <c r="CQ833" t="s">
        <v>147</v>
      </c>
    </row>
    <row r="834" spans="1:95" x14ac:dyDescent="0.2">
      <c r="A834" t="s">
        <v>115</v>
      </c>
      <c r="B834" t="s">
        <v>116</v>
      </c>
      <c r="C834">
        <v>210784</v>
      </c>
      <c r="E834" t="s">
        <v>117</v>
      </c>
      <c r="F834">
        <v>368</v>
      </c>
      <c r="G834" t="s">
        <v>141</v>
      </c>
      <c r="H834" t="s">
        <v>142</v>
      </c>
      <c r="I834" t="s">
        <v>279</v>
      </c>
      <c r="J834" t="s">
        <v>280</v>
      </c>
      <c r="L834" t="s">
        <v>723</v>
      </c>
      <c r="M834" s="8">
        <v>45809</v>
      </c>
      <c r="N834">
        <v>5738630</v>
      </c>
      <c r="O834" t="s">
        <v>123</v>
      </c>
      <c r="P834" t="s">
        <v>146</v>
      </c>
      <c r="Q834">
        <v>4.3499999999999996</v>
      </c>
      <c r="R834" t="s">
        <v>592</v>
      </c>
      <c r="S834" t="s">
        <v>126</v>
      </c>
      <c r="T834" t="s">
        <v>592</v>
      </c>
      <c r="U834" t="s">
        <v>593</v>
      </c>
      <c r="W834">
        <v>1.34</v>
      </c>
      <c r="X834">
        <v>3.01</v>
      </c>
      <c r="Y834">
        <v>4.3499999999999996</v>
      </c>
      <c r="Z834">
        <v>1.66</v>
      </c>
      <c r="AG834">
        <v>1.34</v>
      </c>
      <c r="AI834">
        <v>1.35</v>
      </c>
      <c r="BH834" t="s">
        <v>126</v>
      </c>
      <c r="BI834" t="s">
        <v>126</v>
      </c>
      <c r="BJ834" t="s">
        <v>126</v>
      </c>
      <c r="BK834" t="s">
        <v>126</v>
      </c>
      <c r="BS834" t="s">
        <v>126</v>
      </c>
      <c r="BT834" t="s">
        <v>126</v>
      </c>
      <c r="BU834" t="s">
        <v>126</v>
      </c>
      <c r="BV834" t="s">
        <v>126</v>
      </c>
      <c r="CN834" t="s">
        <v>147</v>
      </c>
      <c r="CP834" t="s">
        <v>432</v>
      </c>
      <c r="CQ834" t="s">
        <v>147</v>
      </c>
    </row>
    <row r="835" spans="1:95" x14ac:dyDescent="0.2">
      <c r="A835" t="s">
        <v>115</v>
      </c>
      <c r="B835" t="s">
        <v>116</v>
      </c>
      <c r="C835">
        <v>210784</v>
      </c>
      <c r="E835" t="s">
        <v>117</v>
      </c>
      <c r="F835">
        <v>368</v>
      </c>
      <c r="G835" t="s">
        <v>141</v>
      </c>
      <c r="H835" t="s">
        <v>142</v>
      </c>
      <c r="I835" t="s">
        <v>279</v>
      </c>
      <c r="J835" t="s">
        <v>280</v>
      </c>
      <c r="L835" t="s">
        <v>724</v>
      </c>
      <c r="M835" s="8">
        <v>45809</v>
      </c>
      <c r="N835">
        <v>5739363</v>
      </c>
      <c r="O835" t="s">
        <v>123</v>
      </c>
      <c r="P835" t="s">
        <v>146</v>
      </c>
      <c r="Q835">
        <v>2.0500000000000003</v>
      </c>
      <c r="R835" t="s">
        <v>673</v>
      </c>
      <c r="S835" t="s">
        <v>126</v>
      </c>
      <c r="T835" t="s">
        <v>673</v>
      </c>
      <c r="U835" t="s">
        <v>674</v>
      </c>
      <c r="W835">
        <v>0.63</v>
      </c>
      <c r="X835">
        <v>1.42</v>
      </c>
      <c r="Y835">
        <v>2.0500000000000003</v>
      </c>
      <c r="Z835">
        <v>0.78</v>
      </c>
      <c r="AG835">
        <v>0.63</v>
      </c>
      <c r="AI835">
        <v>0.64</v>
      </c>
      <c r="BH835" t="s">
        <v>126</v>
      </c>
      <c r="BI835" t="s">
        <v>126</v>
      </c>
      <c r="BJ835" t="s">
        <v>126</v>
      </c>
      <c r="BK835" t="s">
        <v>126</v>
      </c>
      <c r="BS835" t="s">
        <v>126</v>
      </c>
      <c r="BT835" t="s">
        <v>126</v>
      </c>
      <c r="BU835" t="s">
        <v>126</v>
      </c>
      <c r="BV835" t="s">
        <v>126</v>
      </c>
      <c r="CN835" t="s">
        <v>147</v>
      </c>
      <c r="CP835" t="s">
        <v>432</v>
      </c>
      <c r="CQ835" t="s">
        <v>147</v>
      </c>
    </row>
    <row r="836" spans="1:95" x14ac:dyDescent="0.2">
      <c r="A836" t="s">
        <v>115</v>
      </c>
      <c r="B836" t="s">
        <v>116</v>
      </c>
      <c r="C836">
        <v>210784</v>
      </c>
      <c r="E836" t="s">
        <v>117</v>
      </c>
      <c r="F836">
        <v>368</v>
      </c>
      <c r="G836" t="s">
        <v>141</v>
      </c>
      <c r="H836" t="s">
        <v>142</v>
      </c>
      <c r="I836" t="s">
        <v>279</v>
      </c>
      <c r="J836" t="s">
        <v>280</v>
      </c>
      <c r="L836" t="s">
        <v>521</v>
      </c>
      <c r="M836" s="8">
        <v>45809</v>
      </c>
      <c r="N836">
        <v>5740145</v>
      </c>
      <c r="O836" t="s">
        <v>123</v>
      </c>
      <c r="P836" t="s">
        <v>146</v>
      </c>
      <c r="Q836">
        <v>4.4800000000000004</v>
      </c>
      <c r="R836" t="s">
        <v>592</v>
      </c>
      <c r="S836" t="s">
        <v>126</v>
      </c>
      <c r="T836" t="s">
        <v>592</v>
      </c>
      <c r="U836" t="s">
        <v>593</v>
      </c>
      <c r="W836">
        <v>1.38</v>
      </c>
      <c r="X836">
        <v>3.0999999999999996</v>
      </c>
      <c r="Y836">
        <v>4.4800000000000004</v>
      </c>
      <c r="Z836">
        <v>1.7</v>
      </c>
      <c r="AG836">
        <v>1.38</v>
      </c>
      <c r="AI836">
        <v>1.4</v>
      </c>
      <c r="BH836" t="s">
        <v>126</v>
      </c>
      <c r="BI836" t="s">
        <v>126</v>
      </c>
      <c r="BJ836" t="s">
        <v>126</v>
      </c>
      <c r="BK836" t="s">
        <v>126</v>
      </c>
      <c r="BS836" t="s">
        <v>126</v>
      </c>
      <c r="BT836" t="s">
        <v>126</v>
      </c>
      <c r="BU836" t="s">
        <v>126</v>
      </c>
      <c r="BV836" t="s">
        <v>126</v>
      </c>
      <c r="CN836" t="s">
        <v>147</v>
      </c>
      <c r="CP836" t="s">
        <v>432</v>
      </c>
      <c r="CQ836" t="s">
        <v>147</v>
      </c>
    </row>
    <row r="837" spans="1:95" x14ac:dyDescent="0.2">
      <c r="A837" t="s">
        <v>115</v>
      </c>
      <c r="B837" t="s">
        <v>116</v>
      </c>
      <c r="C837">
        <v>210784</v>
      </c>
      <c r="E837" t="s">
        <v>117</v>
      </c>
      <c r="F837">
        <v>368</v>
      </c>
      <c r="G837" t="s">
        <v>141</v>
      </c>
      <c r="H837" t="s">
        <v>142</v>
      </c>
      <c r="I837" t="s">
        <v>279</v>
      </c>
      <c r="J837" t="s">
        <v>280</v>
      </c>
      <c r="L837" t="s">
        <v>725</v>
      </c>
      <c r="M837" s="8">
        <v>45809</v>
      </c>
      <c r="N837">
        <v>5740779</v>
      </c>
      <c r="O837" t="s">
        <v>123</v>
      </c>
      <c r="P837" t="s">
        <v>146</v>
      </c>
      <c r="Q837">
        <v>2.02</v>
      </c>
      <c r="R837" t="s">
        <v>586</v>
      </c>
      <c r="S837" t="s">
        <v>126</v>
      </c>
      <c r="T837" t="s">
        <v>586</v>
      </c>
      <c r="U837" t="s">
        <v>587</v>
      </c>
      <c r="W837">
        <v>0.62</v>
      </c>
      <c r="X837">
        <v>1.4</v>
      </c>
      <c r="Y837">
        <v>2.02</v>
      </c>
      <c r="Z837">
        <v>0.77</v>
      </c>
      <c r="AG837">
        <v>0.62</v>
      </c>
      <c r="AI837">
        <v>0.63</v>
      </c>
      <c r="BH837" t="s">
        <v>126</v>
      </c>
      <c r="BI837" t="s">
        <v>126</v>
      </c>
      <c r="BJ837" t="s">
        <v>126</v>
      </c>
      <c r="BK837" t="s">
        <v>126</v>
      </c>
      <c r="BS837" t="s">
        <v>126</v>
      </c>
      <c r="BT837" t="s">
        <v>126</v>
      </c>
      <c r="BU837" t="s">
        <v>126</v>
      </c>
      <c r="BV837" t="s">
        <v>126</v>
      </c>
      <c r="CN837" t="s">
        <v>147</v>
      </c>
      <c r="CP837" t="s">
        <v>432</v>
      </c>
      <c r="CQ837" t="s">
        <v>147</v>
      </c>
    </row>
    <row r="838" spans="1:95" x14ac:dyDescent="0.2">
      <c r="A838" t="s">
        <v>115</v>
      </c>
      <c r="B838" t="s">
        <v>116</v>
      </c>
      <c r="C838">
        <v>210784</v>
      </c>
      <c r="E838" t="s">
        <v>117</v>
      </c>
      <c r="F838">
        <v>368</v>
      </c>
      <c r="G838" t="s">
        <v>141</v>
      </c>
      <c r="H838" t="s">
        <v>142</v>
      </c>
      <c r="I838" t="s">
        <v>279</v>
      </c>
      <c r="J838" t="s">
        <v>280</v>
      </c>
      <c r="L838" t="s">
        <v>725</v>
      </c>
      <c r="M838" s="8">
        <v>45809</v>
      </c>
      <c r="N838">
        <v>5740896</v>
      </c>
      <c r="O838" t="s">
        <v>123</v>
      </c>
      <c r="P838" t="s">
        <v>146</v>
      </c>
      <c r="Q838">
        <v>4.42</v>
      </c>
      <c r="R838" t="s">
        <v>569</v>
      </c>
      <c r="S838" t="s">
        <v>126</v>
      </c>
      <c r="T838" t="s">
        <v>569</v>
      </c>
      <c r="U838" t="s">
        <v>570</v>
      </c>
      <c r="W838">
        <v>1.36</v>
      </c>
      <c r="X838">
        <v>3.0599999999999996</v>
      </c>
      <c r="Y838">
        <v>4.42</v>
      </c>
      <c r="Z838">
        <v>1.68</v>
      </c>
      <c r="AG838">
        <v>1.36</v>
      </c>
      <c r="AI838">
        <v>1.38</v>
      </c>
      <c r="BH838" t="s">
        <v>126</v>
      </c>
      <c r="BI838" t="s">
        <v>126</v>
      </c>
      <c r="BJ838" t="s">
        <v>126</v>
      </c>
      <c r="BK838" t="s">
        <v>126</v>
      </c>
      <c r="BS838" t="s">
        <v>126</v>
      </c>
      <c r="BT838" t="s">
        <v>126</v>
      </c>
      <c r="BU838" t="s">
        <v>126</v>
      </c>
      <c r="BV838" t="s">
        <v>126</v>
      </c>
      <c r="CN838" t="s">
        <v>147</v>
      </c>
      <c r="CP838" t="s">
        <v>432</v>
      </c>
      <c r="CQ838" t="s">
        <v>147</v>
      </c>
    </row>
    <row r="839" spans="1:95" x14ac:dyDescent="0.2">
      <c r="A839" t="s">
        <v>115</v>
      </c>
      <c r="B839" t="s">
        <v>116</v>
      </c>
      <c r="C839">
        <v>210784</v>
      </c>
      <c r="E839" t="s">
        <v>117</v>
      </c>
      <c r="F839">
        <v>368</v>
      </c>
      <c r="G839" t="s">
        <v>141</v>
      </c>
      <c r="H839" t="s">
        <v>142</v>
      </c>
      <c r="I839" t="s">
        <v>279</v>
      </c>
      <c r="J839" t="s">
        <v>280</v>
      </c>
      <c r="L839" t="s">
        <v>726</v>
      </c>
      <c r="M839" s="8">
        <v>45809</v>
      </c>
      <c r="N839">
        <v>5741389</v>
      </c>
      <c r="O839" t="s">
        <v>123</v>
      </c>
      <c r="P839" t="s">
        <v>146</v>
      </c>
      <c r="Q839">
        <v>3.6599999999999993</v>
      </c>
      <c r="R839" t="s">
        <v>669</v>
      </c>
      <c r="S839" t="s">
        <v>126</v>
      </c>
      <c r="T839" t="s">
        <v>669</v>
      </c>
      <c r="U839" t="s">
        <v>670</v>
      </c>
      <c r="W839">
        <v>1.1299999999999999</v>
      </c>
      <c r="X839">
        <v>2.5299999999999998</v>
      </c>
      <c r="Y839">
        <v>3.6599999999999993</v>
      </c>
      <c r="Z839">
        <v>1.39</v>
      </c>
      <c r="AG839">
        <v>1.1299999999999999</v>
      </c>
      <c r="AI839">
        <v>1.1399999999999999</v>
      </c>
      <c r="BH839" t="s">
        <v>126</v>
      </c>
      <c r="BI839" t="s">
        <v>126</v>
      </c>
      <c r="BJ839" t="s">
        <v>126</v>
      </c>
      <c r="BK839" t="s">
        <v>126</v>
      </c>
      <c r="BS839" t="s">
        <v>126</v>
      </c>
      <c r="BT839" t="s">
        <v>126</v>
      </c>
      <c r="BU839" t="s">
        <v>126</v>
      </c>
      <c r="BV839" t="s">
        <v>126</v>
      </c>
      <c r="CN839" t="s">
        <v>147</v>
      </c>
      <c r="CP839" t="s">
        <v>432</v>
      </c>
      <c r="CQ839" t="s">
        <v>147</v>
      </c>
    </row>
    <row r="840" spans="1:95" x14ac:dyDescent="0.2">
      <c r="A840" t="s">
        <v>115</v>
      </c>
      <c r="B840" t="s">
        <v>116</v>
      </c>
      <c r="C840">
        <v>210784</v>
      </c>
      <c r="E840" t="s">
        <v>117</v>
      </c>
      <c r="F840">
        <v>368</v>
      </c>
      <c r="G840" t="s">
        <v>141</v>
      </c>
      <c r="H840" t="s">
        <v>142</v>
      </c>
      <c r="I840" t="s">
        <v>279</v>
      </c>
      <c r="J840" t="s">
        <v>280</v>
      </c>
      <c r="L840" t="s">
        <v>726</v>
      </c>
      <c r="M840" s="8">
        <v>45809</v>
      </c>
      <c r="N840">
        <v>5741708</v>
      </c>
      <c r="O840" t="s">
        <v>123</v>
      </c>
      <c r="P840" t="s">
        <v>146</v>
      </c>
      <c r="Q840">
        <v>2.68</v>
      </c>
      <c r="R840" t="s">
        <v>707</v>
      </c>
      <c r="S840" t="s">
        <v>126</v>
      </c>
      <c r="T840" t="s">
        <v>707</v>
      </c>
      <c r="U840" t="s">
        <v>708</v>
      </c>
      <c r="W840">
        <v>0.83</v>
      </c>
      <c r="X840">
        <v>1.85</v>
      </c>
      <c r="Y840">
        <v>2.68</v>
      </c>
      <c r="Z840">
        <v>1.02</v>
      </c>
      <c r="AG840">
        <v>0.83</v>
      </c>
      <c r="AI840">
        <v>0.83</v>
      </c>
      <c r="BH840" t="s">
        <v>126</v>
      </c>
      <c r="BI840" t="s">
        <v>126</v>
      </c>
      <c r="BJ840" t="s">
        <v>126</v>
      </c>
      <c r="BK840" t="s">
        <v>126</v>
      </c>
      <c r="BS840" t="s">
        <v>126</v>
      </c>
      <c r="BT840" t="s">
        <v>126</v>
      </c>
      <c r="BU840" t="s">
        <v>126</v>
      </c>
      <c r="BV840" t="s">
        <v>126</v>
      </c>
      <c r="CN840" t="s">
        <v>147</v>
      </c>
      <c r="CP840" t="s">
        <v>432</v>
      </c>
      <c r="CQ840" t="s">
        <v>147</v>
      </c>
    </row>
    <row r="841" spans="1:95" x14ac:dyDescent="0.2">
      <c r="A841" t="s">
        <v>115</v>
      </c>
      <c r="B841" t="s">
        <v>116</v>
      </c>
      <c r="C841">
        <v>210784</v>
      </c>
      <c r="E841" t="s">
        <v>117</v>
      </c>
      <c r="F841">
        <v>368</v>
      </c>
      <c r="G841" t="s">
        <v>141</v>
      </c>
      <c r="H841" t="s">
        <v>142</v>
      </c>
      <c r="I841" t="s">
        <v>279</v>
      </c>
      <c r="J841" t="s">
        <v>280</v>
      </c>
      <c r="L841" t="s">
        <v>727</v>
      </c>
      <c r="M841" s="8">
        <v>45809</v>
      </c>
      <c r="N841">
        <v>5742457</v>
      </c>
      <c r="O841" t="s">
        <v>123</v>
      </c>
      <c r="P841" t="s">
        <v>146</v>
      </c>
      <c r="Q841">
        <v>4.8100000000000005</v>
      </c>
      <c r="R841" t="s">
        <v>569</v>
      </c>
      <c r="S841" t="s">
        <v>126</v>
      </c>
      <c r="T841" t="s">
        <v>569</v>
      </c>
      <c r="U841" t="s">
        <v>570</v>
      </c>
      <c r="W841">
        <v>1.48</v>
      </c>
      <c r="X841">
        <v>3.33</v>
      </c>
      <c r="Y841">
        <v>4.8100000000000005</v>
      </c>
      <c r="Z841">
        <v>1.83</v>
      </c>
      <c r="AG841">
        <v>1.48</v>
      </c>
      <c r="AI841">
        <v>1.5</v>
      </c>
      <c r="BH841" t="s">
        <v>126</v>
      </c>
      <c r="BI841" t="s">
        <v>126</v>
      </c>
      <c r="BJ841" t="s">
        <v>126</v>
      </c>
      <c r="BK841" t="s">
        <v>126</v>
      </c>
      <c r="BS841" t="s">
        <v>126</v>
      </c>
      <c r="BT841" t="s">
        <v>126</v>
      </c>
      <c r="BU841" t="s">
        <v>126</v>
      </c>
      <c r="BV841" t="s">
        <v>126</v>
      </c>
      <c r="CN841" t="s">
        <v>147</v>
      </c>
      <c r="CP841" t="s">
        <v>432</v>
      </c>
      <c r="CQ841" t="s">
        <v>147</v>
      </c>
    </row>
    <row r="842" spans="1:95" x14ac:dyDescent="0.2">
      <c r="A842" t="s">
        <v>115</v>
      </c>
      <c r="B842" t="s">
        <v>116</v>
      </c>
      <c r="C842">
        <v>210784</v>
      </c>
      <c r="E842" t="s">
        <v>117</v>
      </c>
      <c r="F842">
        <v>368</v>
      </c>
      <c r="G842" t="s">
        <v>141</v>
      </c>
      <c r="H842" t="s">
        <v>142</v>
      </c>
      <c r="I842" t="s">
        <v>279</v>
      </c>
      <c r="J842" t="s">
        <v>280</v>
      </c>
      <c r="L842" t="s">
        <v>430</v>
      </c>
      <c r="M842" s="8">
        <v>45809</v>
      </c>
      <c r="N842">
        <v>5743014</v>
      </c>
      <c r="O842" t="s">
        <v>123</v>
      </c>
      <c r="P842" t="s">
        <v>146</v>
      </c>
      <c r="Q842">
        <v>2.72</v>
      </c>
      <c r="R842" t="s">
        <v>635</v>
      </c>
      <c r="S842" t="s">
        <v>126</v>
      </c>
      <c r="T842" t="s">
        <v>635</v>
      </c>
      <c r="U842" t="s">
        <v>636</v>
      </c>
      <c r="W842">
        <v>0.84</v>
      </c>
      <c r="X842">
        <v>1.88</v>
      </c>
      <c r="Y842">
        <v>2.72</v>
      </c>
      <c r="Z842">
        <v>1.03</v>
      </c>
      <c r="AG842">
        <v>0.84</v>
      </c>
      <c r="AI842">
        <v>0.85</v>
      </c>
      <c r="BH842" t="s">
        <v>126</v>
      </c>
      <c r="BI842" t="s">
        <v>126</v>
      </c>
      <c r="BJ842" t="s">
        <v>126</v>
      </c>
      <c r="BK842" t="s">
        <v>126</v>
      </c>
      <c r="BS842" t="s">
        <v>126</v>
      </c>
      <c r="BT842" t="s">
        <v>126</v>
      </c>
      <c r="BU842" t="s">
        <v>126</v>
      </c>
      <c r="BV842" t="s">
        <v>126</v>
      </c>
      <c r="CN842" t="s">
        <v>147</v>
      </c>
      <c r="CP842" t="s">
        <v>431</v>
      </c>
      <c r="CQ842" t="s">
        <v>147</v>
      </c>
    </row>
    <row r="843" spans="1:95" x14ac:dyDescent="0.2">
      <c r="A843" t="s">
        <v>115</v>
      </c>
      <c r="B843" t="s">
        <v>116</v>
      </c>
      <c r="C843">
        <v>210784</v>
      </c>
      <c r="E843" t="s">
        <v>117</v>
      </c>
      <c r="F843">
        <v>368</v>
      </c>
      <c r="G843" t="s">
        <v>141</v>
      </c>
      <c r="H843" t="s">
        <v>142</v>
      </c>
      <c r="I843" t="s">
        <v>279</v>
      </c>
      <c r="J843" t="s">
        <v>280</v>
      </c>
      <c r="L843" t="s">
        <v>728</v>
      </c>
      <c r="M843" s="8">
        <v>45809</v>
      </c>
      <c r="N843">
        <v>5744142</v>
      </c>
      <c r="O843" t="s">
        <v>123</v>
      </c>
      <c r="P843" t="s">
        <v>146</v>
      </c>
      <c r="Q843">
        <v>2.84</v>
      </c>
      <c r="R843" t="s">
        <v>562</v>
      </c>
      <c r="S843" t="s">
        <v>126</v>
      </c>
      <c r="T843" t="s">
        <v>562</v>
      </c>
      <c r="U843" t="s">
        <v>563</v>
      </c>
      <c r="W843">
        <v>0.88</v>
      </c>
      <c r="X843">
        <v>1.96</v>
      </c>
      <c r="Y843">
        <v>2.84</v>
      </c>
      <c r="Z843">
        <v>1.08</v>
      </c>
      <c r="AG843">
        <v>0.88</v>
      </c>
      <c r="AI843">
        <v>0.88</v>
      </c>
      <c r="BH843" t="s">
        <v>126</v>
      </c>
      <c r="BI843" t="s">
        <v>126</v>
      </c>
      <c r="BJ843" t="s">
        <v>126</v>
      </c>
      <c r="BK843" t="s">
        <v>126</v>
      </c>
      <c r="BS843" t="s">
        <v>126</v>
      </c>
      <c r="BT843" t="s">
        <v>126</v>
      </c>
      <c r="BU843" t="s">
        <v>126</v>
      </c>
      <c r="BV843" t="s">
        <v>126</v>
      </c>
      <c r="CN843" t="s">
        <v>147</v>
      </c>
      <c r="CP843" t="s">
        <v>431</v>
      </c>
      <c r="CQ843" t="s">
        <v>147</v>
      </c>
    </row>
    <row r="844" spans="1:95" x14ac:dyDescent="0.2">
      <c r="A844" t="s">
        <v>115</v>
      </c>
      <c r="B844" t="s">
        <v>116</v>
      </c>
      <c r="C844">
        <v>210784</v>
      </c>
      <c r="E844" t="s">
        <v>117</v>
      </c>
      <c r="F844">
        <v>368</v>
      </c>
      <c r="G844" t="s">
        <v>141</v>
      </c>
      <c r="H844" t="s">
        <v>142</v>
      </c>
      <c r="I844" t="s">
        <v>279</v>
      </c>
      <c r="J844" t="s">
        <v>280</v>
      </c>
      <c r="L844" t="s">
        <v>287</v>
      </c>
      <c r="M844" s="8">
        <v>45809</v>
      </c>
      <c r="N844">
        <v>5744849</v>
      </c>
      <c r="O844" t="s">
        <v>123</v>
      </c>
      <c r="P844" t="s">
        <v>146</v>
      </c>
      <c r="Q844">
        <v>3.96</v>
      </c>
      <c r="R844" t="s">
        <v>610</v>
      </c>
      <c r="S844" t="s">
        <v>126</v>
      </c>
      <c r="T844" t="s">
        <v>610</v>
      </c>
      <c r="U844" t="s">
        <v>611</v>
      </c>
      <c r="W844">
        <v>1.22</v>
      </c>
      <c r="X844">
        <v>2.74</v>
      </c>
      <c r="Y844">
        <v>3.96</v>
      </c>
      <c r="Z844">
        <v>1.51</v>
      </c>
      <c r="AG844">
        <v>1.22</v>
      </c>
      <c r="AI844">
        <v>1.23</v>
      </c>
      <c r="BH844" t="s">
        <v>126</v>
      </c>
      <c r="BI844" t="s">
        <v>126</v>
      </c>
      <c r="BJ844" t="s">
        <v>126</v>
      </c>
      <c r="BK844" t="s">
        <v>126</v>
      </c>
      <c r="BS844" t="s">
        <v>126</v>
      </c>
      <c r="BT844" t="s">
        <v>126</v>
      </c>
      <c r="BU844" t="s">
        <v>126</v>
      </c>
      <c r="BV844" t="s">
        <v>126</v>
      </c>
      <c r="CN844" t="s">
        <v>147</v>
      </c>
      <c r="CP844" t="s">
        <v>431</v>
      </c>
      <c r="CQ844" t="s">
        <v>147</v>
      </c>
    </row>
    <row r="845" spans="1:95" x14ac:dyDescent="0.2">
      <c r="A845" t="s">
        <v>115</v>
      </c>
      <c r="B845" t="s">
        <v>116</v>
      </c>
      <c r="C845">
        <v>210784</v>
      </c>
      <c r="E845" t="s">
        <v>117</v>
      </c>
      <c r="F845">
        <v>368</v>
      </c>
      <c r="G845" t="s">
        <v>141</v>
      </c>
      <c r="H845" t="s">
        <v>142</v>
      </c>
      <c r="I845" t="s">
        <v>279</v>
      </c>
      <c r="J845" t="s">
        <v>280</v>
      </c>
      <c r="L845" t="s">
        <v>432</v>
      </c>
      <c r="M845" s="8">
        <v>45809</v>
      </c>
      <c r="N845">
        <v>5745979</v>
      </c>
      <c r="O845" t="s">
        <v>123</v>
      </c>
      <c r="P845" t="s">
        <v>146</v>
      </c>
      <c r="Q845">
        <v>4.01</v>
      </c>
      <c r="R845" t="s">
        <v>623</v>
      </c>
      <c r="S845" t="s">
        <v>126</v>
      </c>
      <c r="T845" t="s">
        <v>623</v>
      </c>
      <c r="U845" t="s">
        <v>624</v>
      </c>
      <c r="W845">
        <v>1.24</v>
      </c>
      <c r="X845">
        <v>2.77</v>
      </c>
      <c r="Y845">
        <v>4.01</v>
      </c>
      <c r="Z845">
        <v>1.52</v>
      </c>
      <c r="AG845">
        <v>1.24</v>
      </c>
      <c r="AI845">
        <v>1.25</v>
      </c>
      <c r="BH845" t="s">
        <v>126</v>
      </c>
      <c r="BI845" t="s">
        <v>126</v>
      </c>
      <c r="BJ845" t="s">
        <v>126</v>
      </c>
      <c r="BK845" t="s">
        <v>126</v>
      </c>
      <c r="BS845" t="s">
        <v>126</v>
      </c>
      <c r="BT845" t="s">
        <v>126</v>
      </c>
      <c r="BU845" t="s">
        <v>126</v>
      </c>
      <c r="BV845" t="s">
        <v>126</v>
      </c>
      <c r="CN845" t="s">
        <v>147</v>
      </c>
      <c r="CP845" t="s">
        <v>431</v>
      </c>
      <c r="CQ845" t="s">
        <v>147</v>
      </c>
    </row>
    <row r="846" spans="1:95" x14ac:dyDescent="0.2">
      <c r="A846" t="s">
        <v>115</v>
      </c>
      <c r="B846" t="s">
        <v>116</v>
      </c>
      <c r="C846">
        <v>210784</v>
      </c>
      <c r="E846" t="s">
        <v>117</v>
      </c>
      <c r="F846">
        <v>368</v>
      </c>
      <c r="G846" t="s">
        <v>141</v>
      </c>
      <c r="H846" t="s">
        <v>142</v>
      </c>
      <c r="I846" t="s">
        <v>279</v>
      </c>
      <c r="J846" t="s">
        <v>280</v>
      </c>
      <c r="L846" t="s">
        <v>289</v>
      </c>
      <c r="M846" s="8">
        <v>45809</v>
      </c>
      <c r="N846">
        <v>5729078</v>
      </c>
      <c r="O846" t="s">
        <v>123</v>
      </c>
      <c r="P846" t="s">
        <v>146</v>
      </c>
      <c r="Q846">
        <v>0.8</v>
      </c>
      <c r="R846" t="s">
        <v>125</v>
      </c>
      <c r="S846" t="s">
        <v>126</v>
      </c>
      <c r="T846" t="s">
        <v>125</v>
      </c>
      <c r="U846" t="s">
        <v>126</v>
      </c>
      <c r="W846">
        <v>0.8</v>
      </c>
      <c r="Y846">
        <v>0.8</v>
      </c>
      <c r="BE846">
        <v>0.8</v>
      </c>
      <c r="BH846" t="s">
        <v>126</v>
      </c>
      <c r="BI846" t="s">
        <v>126</v>
      </c>
      <c r="BJ846" t="s">
        <v>126</v>
      </c>
      <c r="BK846" t="s">
        <v>126</v>
      </c>
      <c r="BS846" t="s">
        <v>126</v>
      </c>
      <c r="BT846" t="s">
        <v>126</v>
      </c>
      <c r="BU846" t="s">
        <v>126</v>
      </c>
      <c r="BV846" t="s">
        <v>126</v>
      </c>
      <c r="CN846" t="s">
        <v>147</v>
      </c>
      <c r="CP846" t="s">
        <v>432</v>
      </c>
      <c r="CQ846" t="s">
        <v>147</v>
      </c>
    </row>
    <row r="847" spans="1:95" x14ac:dyDescent="0.2">
      <c r="A847" t="s">
        <v>115</v>
      </c>
      <c r="B847" t="s">
        <v>116</v>
      </c>
      <c r="C847">
        <v>210784</v>
      </c>
      <c r="E847" t="s">
        <v>117</v>
      </c>
      <c r="F847">
        <v>368</v>
      </c>
      <c r="G847" t="s">
        <v>141</v>
      </c>
      <c r="H847" t="s">
        <v>142</v>
      </c>
      <c r="I847" t="s">
        <v>279</v>
      </c>
      <c r="J847" t="s">
        <v>280</v>
      </c>
      <c r="L847" t="s">
        <v>705</v>
      </c>
      <c r="M847" s="8">
        <v>45809</v>
      </c>
      <c r="N847">
        <v>5730307</v>
      </c>
      <c r="O847" t="s">
        <v>123</v>
      </c>
      <c r="P847" t="s">
        <v>146</v>
      </c>
      <c r="Q847">
        <v>0.87</v>
      </c>
      <c r="R847" t="s">
        <v>125</v>
      </c>
      <c r="S847" t="s">
        <v>126</v>
      </c>
      <c r="T847" t="s">
        <v>125</v>
      </c>
      <c r="U847" t="s">
        <v>126</v>
      </c>
      <c r="W847">
        <v>0.87</v>
      </c>
      <c r="Y847">
        <v>0.87</v>
      </c>
      <c r="BE847">
        <v>0.87</v>
      </c>
      <c r="BH847" t="s">
        <v>126</v>
      </c>
      <c r="BI847" t="s">
        <v>126</v>
      </c>
      <c r="BJ847" t="s">
        <v>126</v>
      </c>
      <c r="BK847" t="s">
        <v>126</v>
      </c>
      <c r="BS847" t="s">
        <v>126</v>
      </c>
      <c r="BT847" t="s">
        <v>126</v>
      </c>
      <c r="BU847" t="s">
        <v>126</v>
      </c>
      <c r="BV847" t="s">
        <v>126</v>
      </c>
      <c r="CN847" t="s">
        <v>147</v>
      </c>
      <c r="CP847" t="s">
        <v>432</v>
      </c>
      <c r="CQ847" t="s">
        <v>147</v>
      </c>
    </row>
    <row r="848" spans="1:95" x14ac:dyDescent="0.2">
      <c r="A848" t="s">
        <v>115</v>
      </c>
      <c r="B848" t="s">
        <v>116</v>
      </c>
      <c r="C848">
        <v>210784</v>
      </c>
      <c r="E848" t="s">
        <v>117</v>
      </c>
      <c r="F848">
        <v>368</v>
      </c>
      <c r="G848" t="s">
        <v>141</v>
      </c>
      <c r="H848" t="s">
        <v>142</v>
      </c>
      <c r="I848" t="s">
        <v>279</v>
      </c>
      <c r="J848" t="s">
        <v>280</v>
      </c>
      <c r="L848" t="s">
        <v>129</v>
      </c>
      <c r="M848" s="8">
        <v>45809</v>
      </c>
      <c r="N848">
        <v>5732628</v>
      </c>
      <c r="O848" t="s">
        <v>123</v>
      </c>
      <c r="P848" t="s">
        <v>146</v>
      </c>
      <c r="Q848">
        <v>1.27</v>
      </c>
      <c r="R848" t="s">
        <v>125</v>
      </c>
      <c r="S848" t="s">
        <v>126</v>
      </c>
      <c r="T848" t="s">
        <v>125</v>
      </c>
      <c r="U848" t="s">
        <v>126</v>
      </c>
      <c r="W848">
        <v>1.27</v>
      </c>
      <c r="Y848">
        <v>1.27</v>
      </c>
      <c r="BE848">
        <v>1.27</v>
      </c>
      <c r="BH848" t="s">
        <v>126</v>
      </c>
      <c r="BI848" t="s">
        <v>126</v>
      </c>
      <c r="BJ848" t="s">
        <v>126</v>
      </c>
      <c r="BK848" t="s">
        <v>126</v>
      </c>
      <c r="BS848" t="s">
        <v>126</v>
      </c>
      <c r="BT848" t="s">
        <v>126</v>
      </c>
      <c r="BU848" t="s">
        <v>126</v>
      </c>
      <c r="BV848" t="s">
        <v>126</v>
      </c>
      <c r="CN848" t="s">
        <v>147</v>
      </c>
      <c r="CP848" t="s">
        <v>432</v>
      </c>
      <c r="CQ848" t="s">
        <v>147</v>
      </c>
    </row>
    <row r="849" spans="1:95" x14ac:dyDescent="0.2">
      <c r="A849" t="s">
        <v>115</v>
      </c>
      <c r="B849" t="s">
        <v>116</v>
      </c>
      <c r="C849">
        <v>210784</v>
      </c>
      <c r="E849" t="s">
        <v>117</v>
      </c>
      <c r="F849">
        <v>368</v>
      </c>
      <c r="G849" t="s">
        <v>141</v>
      </c>
      <c r="H849" t="s">
        <v>142</v>
      </c>
      <c r="I849" t="s">
        <v>279</v>
      </c>
      <c r="J849" t="s">
        <v>280</v>
      </c>
      <c r="L849" t="s">
        <v>718</v>
      </c>
      <c r="M849" s="8">
        <v>45809</v>
      </c>
      <c r="N849">
        <v>5734453</v>
      </c>
      <c r="O849" t="s">
        <v>123</v>
      </c>
      <c r="P849" t="s">
        <v>146</v>
      </c>
      <c r="Q849">
        <v>1.47</v>
      </c>
      <c r="R849" t="s">
        <v>125</v>
      </c>
      <c r="S849" t="s">
        <v>126</v>
      </c>
      <c r="T849" t="s">
        <v>125</v>
      </c>
      <c r="U849" t="s">
        <v>126</v>
      </c>
      <c r="W849">
        <v>1.47</v>
      </c>
      <c r="Y849">
        <v>1.47</v>
      </c>
      <c r="BE849">
        <v>1.47</v>
      </c>
      <c r="BH849" t="s">
        <v>126</v>
      </c>
      <c r="BI849" t="s">
        <v>126</v>
      </c>
      <c r="BJ849" t="s">
        <v>126</v>
      </c>
      <c r="BK849" t="s">
        <v>126</v>
      </c>
      <c r="BS849" t="s">
        <v>126</v>
      </c>
      <c r="BT849" t="s">
        <v>126</v>
      </c>
      <c r="BU849" t="s">
        <v>126</v>
      </c>
      <c r="BV849" t="s">
        <v>126</v>
      </c>
      <c r="CN849" t="s">
        <v>147</v>
      </c>
      <c r="CP849" t="s">
        <v>432</v>
      </c>
      <c r="CQ849" t="s">
        <v>147</v>
      </c>
    </row>
    <row r="850" spans="1:95" x14ac:dyDescent="0.2">
      <c r="A850" t="s">
        <v>115</v>
      </c>
      <c r="B850" t="s">
        <v>116</v>
      </c>
      <c r="C850">
        <v>210784</v>
      </c>
      <c r="E850" t="s">
        <v>117</v>
      </c>
      <c r="F850">
        <v>368</v>
      </c>
      <c r="G850" t="s">
        <v>141</v>
      </c>
      <c r="H850" t="s">
        <v>142</v>
      </c>
      <c r="I850" t="s">
        <v>279</v>
      </c>
      <c r="J850" t="s">
        <v>280</v>
      </c>
      <c r="L850" t="s">
        <v>719</v>
      </c>
      <c r="M850" s="8">
        <v>45809</v>
      </c>
      <c r="N850">
        <v>5735314</v>
      </c>
      <c r="O850" t="s">
        <v>123</v>
      </c>
      <c r="P850" t="s">
        <v>146</v>
      </c>
      <c r="Q850">
        <v>0.65</v>
      </c>
      <c r="R850" t="s">
        <v>125</v>
      </c>
      <c r="S850" t="s">
        <v>126</v>
      </c>
      <c r="T850" t="s">
        <v>125</v>
      </c>
      <c r="U850" t="s">
        <v>126</v>
      </c>
      <c r="W850">
        <v>0.65</v>
      </c>
      <c r="Y850">
        <v>0.65</v>
      </c>
      <c r="BE850">
        <v>0.65</v>
      </c>
      <c r="BH850" t="s">
        <v>126</v>
      </c>
      <c r="BI850" t="s">
        <v>126</v>
      </c>
      <c r="BJ850" t="s">
        <v>126</v>
      </c>
      <c r="BK850" t="s">
        <v>126</v>
      </c>
      <c r="BS850" t="s">
        <v>126</v>
      </c>
      <c r="BT850" t="s">
        <v>126</v>
      </c>
      <c r="BU850" t="s">
        <v>126</v>
      </c>
      <c r="BV850" t="s">
        <v>126</v>
      </c>
      <c r="CN850" t="s">
        <v>147</v>
      </c>
      <c r="CP850" t="s">
        <v>432</v>
      </c>
      <c r="CQ850" t="s">
        <v>147</v>
      </c>
    </row>
    <row r="851" spans="1:95" x14ac:dyDescent="0.2">
      <c r="A851" t="s">
        <v>115</v>
      </c>
      <c r="B851" t="s">
        <v>116</v>
      </c>
      <c r="C851">
        <v>210784</v>
      </c>
      <c r="E851" t="s">
        <v>117</v>
      </c>
      <c r="F851">
        <v>368</v>
      </c>
      <c r="G851" t="s">
        <v>141</v>
      </c>
      <c r="H851" t="s">
        <v>142</v>
      </c>
      <c r="I851" t="s">
        <v>279</v>
      </c>
      <c r="J851" t="s">
        <v>280</v>
      </c>
      <c r="L851" t="s">
        <v>722</v>
      </c>
      <c r="M851" s="8">
        <v>45809</v>
      </c>
      <c r="N851">
        <v>5737709</v>
      </c>
      <c r="O851" t="s">
        <v>123</v>
      </c>
      <c r="P851" t="s">
        <v>146</v>
      </c>
      <c r="Q851">
        <v>2.23</v>
      </c>
      <c r="R851" t="s">
        <v>125</v>
      </c>
      <c r="S851" t="s">
        <v>126</v>
      </c>
      <c r="T851" t="s">
        <v>125</v>
      </c>
      <c r="U851" t="s">
        <v>126</v>
      </c>
      <c r="W851">
        <v>2.23</v>
      </c>
      <c r="Y851">
        <v>2.23</v>
      </c>
      <c r="BE851">
        <v>2.23</v>
      </c>
      <c r="BH851" t="s">
        <v>126</v>
      </c>
      <c r="BI851" t="s">
        <v>126</v>
      </c>
      <c r="BJ851" t="s">
        <v>126</v>
      </c>
      <c r="BK851" t="s">
        <v>126</v>
      </c>
      <c r="BS851" t="s">
        <v>126</v>
      </c>
      <c r="BT851" t="s">
        <v>126</v>
      </c>
      <c r="BU851" t="s">
        <v>126</v>
      </c>
      <c r="BV851" t="s">
        <v>126</v>
      </c>
      <c r="CN851" t="s">
        <v>147</v>
      </c>
      <c r="CP851" t="s">
        <v>432</v>
      </c>
      <c r="CQ851" t="s">
        <v>147</v>
      </c>
    </row>
    <row r="852" spans="1:95" x14ac:dyDescent="0.2">
      <c r="A852" t="s">
        <v>115</v>
      </c>
      <c r="B852" t="s">
        <v>116</v>
      </c>
      <c r="C852">
        <v>210784</v>
      </c>
      <c r="E852" t="s">
        <v>117</v>
      </c>
      <c r="F852">
        <v>368</v>
      </c>
      <c r="G852" t="s">
        <v>141</v>
      </c>
      <c r="H852" t="s">
        <v>142</v>
      </c>
      <c r="I852" t="s">
        <v>279</v>
      </c>
      <c r="J852" t="s">
        <v>280</v>
      </c>
      <c r="L852" t="s">
        <v>723</v>
      </c>
      <c r="M852" s="8">
        <v>45809</v>
      </c>
      <c r="N852">
        <v>5738629</v>
      </c>
      <c r="O852" t="s">
        <v>123</v>
      </c>
      <c r="P852" t="s">
        <v>146</v>
      </c>
      <c r="Q852">
        <v>1.49</v>
      </c>
      <c r="R852" t="s">
        <v>125</v>
      </c>
      <c r="S852" t="s">
        <v>126</v>
      </c>
      <c r="T852" t="s">
        <v>125</v>
      </c>
      <c r="U852" t="s">
        <v>126</v>
      </c>
      <c r="W852">
        <v>1.49</v>
      </c>
      <c r="Y852">
        <v>1.49</v>
      </c>
      <c r="BE852">
        <v>1.49</v>
      </c>
      <c r="BH852" t="s">
        <v>126</v>
      </c>
      <c r="BI852" t="s">
        <v>126</v>
      </c>
      <c r="BJ852" t="s">
        <v>126</v>
      </c>
      <c r="BK852" t="s">
        <v>126</v>
      </c>
      <c r="BS852" t="s">
        <v>126</v>
      </c>
      <c r="BT852" t="s">
        <v>126</v>
      </c>
      <c r="BU852" t="s">
        <v>126</v>
      </c>
      <c r="BV852" t="s">
        <v>126</v>
      </c>
      <c r="CN852" t="s">
        <v>147</v>
      </c>
      <c r="CP852" t="s">
        <v>432</v>
      </c>
      <c r="CQ852" t="s">
        <v>147</v>
      </c>
    </row>
    <row r="853" spans="1:95" x14ac:dyDescent="0.2">
      <c r="A853" t="s">
        <v>115</v>
      </c>
      <c r="B853" t="s">
        <v>116</v>
      </c>
      <c r="C853">
        <v>210784</v>
      </c>
      <c r="E853" t="s">
        <v>117</v>
      </c>
      <c r="F853">
        <v>368</v>
      </c>
      <c r="G853" t="s">
        <v>141</v>
      </c>
      <c r="H853" t="s">
        <v>142</v>
      </c>
      <c r="I853" t="s">
        <v>279</v>
      </c>
      <c r="J853" t="s">
        <v>280</v>
      </c>
      <c r="L853" t="s">
        <v>521</v>
      </c>
      <c r="M853" s="8">
        <v>45809</v>
      </c>
      <c r="N853">
        <v>5740130</v>
      </c>
      <c r="O853" t="s">
        <v>123</v>
      </c>
      <c r="P853" t="s">
        <v>146</v>
      </c>
      <c r="Q853">
        <v>0.83</v>
      </c>
      <c r="R853" t="s">
        <v>125</v>
      </c>
      <c r="S853" t="s">
        <v>126</v>
      </c>
      <c r="T853" t="s">
        <v>125</v>
      </c>
      <c r="U853" t="s">
        <v>126</v>
      </c>
      <c r="W853">
        <v>0.83</v>
      </c>
      <c r="Y853">
        <v>0.83</v>
      </c>
      <c r="BE853">
        <v>0.83</v>
      </c>
      <c r="BH853" t="s">
        <v>126</v>
      </c>
      <c r="BI853" t="s">
        <v>126</v>
      </c>
      <c r="BJ853" t="s">
        <v>126</v>
      </c>
      <c r="BK853" t="s">
        <v>126</v>
      </c>
      <c r="BS853" t="s">
        <v>126</v>
      </c>
      <c r="BT853" t="s">
        <v>126</v>
      </c>
      <c r="BU853" t="s">
        <v>126</v>
      </c>
      <c r="BV853" t="s">
        <v>126</v>
      </c>
      <c r="CN853" t="s">
        <v>147</v>
      </c>
      <c r="CP853" t="s">
        <v>432</v>
      </c>
      <c r="CQ853" t="s">
        <v>147</v>
      </c>
    </row>
    <row r="854" spans="1:95" x14ac:dyDescent="0.2">
      <c r="A854" t="s">
        <v>115</v>
      </c>
      <c r="B854" t="s">
        <v>116</v>
      </c>
      <c r="C854">
        <v>210784</v>
      </c>
      <c r="E854" t="s">
        <v>117</v>
      </c>
      <c r="F854">
        <v>368</v>
      </c>
      <c r="G854" t="s">
        <v>141</v>
      </c>
      <c r="H854" t="s">
        <v>142</v>
      </c>
      <c r="I854" t="s">
        <v>279</v>
      </c>
      <c r="J854" t="s">
        <v>280</v>
      </c>
      <c r="L854" t="s">
        <v>726</v>
      </c>
      <c r="M854" s="8">
        <v>45809</v>
      </c>
      <c r="N854">
        <v>5741558</v>
      </c>
      <c r="O854" t="s">
        <v>123</v>
      </c>
      <c r="P854" t="s">
        <v>146</v>
      </c>
      <c r="Q854">
        <v>5.46</v>
      </c>
      <c r="R854" t="s">
        <v>125</v>
      </c>
      <c r="S854" t="s">
        <v>126</v>
      </c>
      <c r="T854" t="s">
        <v>125</v>
      </c>
      <c r="U854" t="s">
        <v>126</v>
      </c>
      <c r="W854">
        <v>5.46</v>
      </c>
      <c r="Y854">
        <v>5.46</v>
      </c>
      <c r="BE854">
        <v>5.46</v>
      </c>
      <c r="BH854" t="s">
        <v>126</v>
      </c>
      <c r="BI854" t="s">
        <v>126</v>
      </c>
      <c r="BJ854" t="s">
        <v>126</v>
      </c>
      <c r="BK854" t="s">
        <v>126</v>
      </c>
      <c r="BS854" t="s">
        <v>126</v>
      </c>
      <c r="BT854" t="s">
        <v>126</v>
      </c>
      <c r="BU854" t="s">
        <v>126</v>
      </c>
      <c r="BV854" t="s">
        <v>126</v>
      </c>
      <c r="CN854" t="s">
        <v>147</v>
      </c>
      <c r="CP854" t="s">
        <v>432</v>
      </c>
      <c r="CQ854" t="s">
        <v>147</v>
      </c>
    </row>
    <row r="855" spans="1:95" x14ac:dyDescent="0.2">
      <c r="A855" t="s">
        <v>115</v>
      </c>
      <c r="B855" t="s">
        <v>116</v>
      </c>
      <c r="C855">
        <v>210784</v>
      </c>
      <c r="E855" t="s">
        <v>117</v>
      </c>
      <c r="F855">
        <v>368</v>
      </c>
      <c r="G855" t="s">
        <v>141</v>
      </c>
      <c r="H855" t="s">
        <v>142</v>
      </c>
      <c r="I855" t="s">
        <v>279</v>
      </c>
      <c r="J855" t="s">
        <v>280</v>
      </c>
      <c r="L855" t="s">
        <v>726</v>
      </c>
      <c r="M855" s="8">
        <v>45809</v>
      </c>
      <c r="N855">
        <v>5741918</v>
      </c>
      <c r="O855" t="s">
        <v>123</v>
      </c>
      <c r="P855" t="s">
        <v>146</v>
      </c>
      <c r="Q855">
        <v>2.06</v>
      </c>
      <c r="R855" t="s">
        <v>125</v>
      </c>
      <c r="S855" t="s">
        <v>126</v>
      </c>
      <c r="T855" t="s">
        <v>125</v>
      </c>
      <c r="U855" t="s">
        <v>126</v>
      </c>
      <c r="W855">
        <v>2.06</v>
      </c>
      <c r="Y855">
        <v>2.06</v>
      </c>
      <c r="BE855">
        <v>2.06</v>
      </c>
      <c r="BH855" t="s">
        <v>126</v>
      </c>
      <c r="BI855" t="s">
        <v>126</v>
      </c>
      <c r="BJ855" t="s">
        <v>126</v>
      </c>
      <c r="BK855" t="s">
        <v>126</v>
      </c>
      <c r="BS855" t="s">
        <v>126</v>
      </c>
      <c r="BT855" t="s">
        <v>126</v>
      </c>
      <c r="BU855" t="s">
        <v>126</v>
      </c>
      <c r="BV855" t="s">
        <v>126</v>
      </c>
      <c r="CN855" t="s">
        <v>147</v>
      </c>
      <c r="CP855" t="s">
        <v>432</v>
      </c>
      <c r="CQ855" t="s">
        <v>147</v>
      </c>
    </row>
    <row r="856" spans="1:95" x14ac:dyDescent="0.2">
      <c r="A856" t="s">
        <v>115</v>
      </c>
      <c r="B856" t="s">
        <v>116</v>
      </c>
      <c r="C856">
        <v>210784</v>
      </c>
      <c r="E856" t="s">
        <v>117</v>
      </c>
      <c r="F856">
        <v>368</v>
      </c>
      <c r="G856" t="s">
        <v>141</v>
      </c>
      <c r="H856" t="s">
        <v>142</v>
      </c>
      <c r="I856" t="s">
        <v>279</v>
      </c>
      <c r="J856" t="s">
        <v>280</v>
      </c>
      <c r="L856" t="s">
        <v>727</v>
      </c>
      <c r="M856" s="8">
        <v>45809</v>
      </c>
      <c r="N856">
        <v>5742672</v>
      </c>
      <c r="O856" t="s">
        <v>123</v>
      </c>
      <c r="P856" t="s">
        <v>146</v>
      </c>
      <c r="Q856">
        <v>0.48</v>
      </c>
      <c r="R856" t="s">
        <v>125</v>
      </c>
      <c r="S856" t="s">
        <v>126</v>
      </c>
      <c r="T856" t="s">
        <v>125</v>
      </c>
      <c r="U856" t="s">
        <v>126</v>
      </c>
      <c r="W856">
        <v>0.48</v>
      </c>
      <c r="Y856">
        <v>0.48</v>
      </c>
      <c r="BE856">
        <v>0.48</v>
      </c>
      <c r="BH856" t="s">
        <v>126</v>
      </c>
      <c r="BI856" t="s">
        <v>126</v>
      </c>
      <c r="BJ856" t="s">
        <v>126</v>
      </c>
      <c r="BK856" t="s">
        <v>126</v>
      </c>
      <c r="BS856" t="s">
        <v>126</v>
      </c>
      <c r="BT856" t="s">
        <v>126</v>
      </c>
      <c r="BU856" t="s">
        <v>126</v>
      </c>
      <c r="BV856" t="s">
        <v>126</v>
      </c>
      <c r="CN856" t="s">
        <v>147</v>
      </c>
      <c r="CP856" t="s">
        <v>432</v>
      </c>
      <c r="CQ856" t="s">
        <v>147</v>
      </c>
    </row>
    <row r="857" spans="1:95" x14ac:dyDescent="0.2">
      <c r="A857" t="s">
        <v>115</v>
      </c>
      <c r="B857" t="s">
        <v>116</v>
      </c>
      <c r="C857">
        <v>210784</v>
      </c>
      <c r="E857" t="s">
        <v>117</v>
      </c>
      <c r="F857">
        <v>368</v>
      </c>
      <c r="G857" t="s">
        <v>141</v>
      </c>
      <c r="H857" t="s">
        <v>142</v>
      </c>
      <c r="I857" t="s">
        <v>279</v>
      </c>
      <c r="J857" t="s">
        <v>280</v>
      </c>
      <c r="L857" t="s">
        <v>728</v>
      </c>
      <c r="M857" s="8">
        <v>45809</v>
      </c>
      <c r="N857">
        <v>5744141</v>
      </c>
      <c r="O857" t="s">
        <v>123</v>
      </c>
      <c r="P857" t="s">
        <v>146</v>
      </c>
      <c r="Q857">
        <v>1.86</v>
      </c>
      <c r="R857" t="s">
        <v>125</v>
      </c>
      <c r="S857" t="s">
        <v>126</v>
      </c>
      <c r="T857" t="s">
        <v>125</v>
      </c>
      <c r="U857" t="s">
        <v>126</v>
      </c>
      <c r="W857">
        <v>1.86</v>
      </c>
      <c r="Y857">
        <v>1.86</v>
      </c>
      <c r="BE857">
        <v>1.86</v>
      </c>
      <c r="BH857" t="s">
        <v>126</v>
      </c>
      <c r="BI857" t="s">
        <v>126</v>
      </c>
      <c r="BJ857" t="s">
        <v>126</v>
      </c>
      <c r="BK857" t="s">
        <v>126</v>
      </c>
      <c r="BS857" t="s">
        <v>126</v>
      </c>
      <c r="BT857" t="s">
        <v>126</v>
      </c>
      <c r="BU857" t="s">
        <v>126</v>
      </c>
      <c r="BV857" t="s">
        <v>126</v>
      </c>
      <c r="CN857" t="s">
        <v>147</v>
      </c>
      <c r="CP857" t="s">
        <v>431</v>
      </c>
      <c r="CQ857" t="s">
        <v>147</v>
      </c>
    </row>
    <row r="858" spans="1:95" x14ac:dyDescent="0.2">
      <c r="A858" t="s">
        <v>115</v>
      </c>
      <c r="B858" t="s">
        <v>116</v>
      </c>
      <c r="C858">
        <v>210784</v>
      </c>
      <c r="E858" t="s">
        <v>117</v>
      </c>
      <c r="F858">
        <v>368</v>
      </c>
      <c r="G858" t="s">
        <v>141</v>
      </c>
      <c r="H858" t="s">
        <v>142</v>
      </c>
      <c r="I858" t="s">
        <v>279</v>
      </c>
      <c r="J858" t="s">
        <v>280</v>
      </c>
      <c r="L858" t="s">
        <v>432</v>
      </c>
      <c r="M858" s="8">
        <v>45809</v>
      </c>
      <c r="N858">
        <v>5745421</v>
      </c>
      <c r="O858" t="s">
        <v>123</v>
      </c>
      <c r="P858" t="s">
        <v>146</v>
      </c>
      <c r="Q858">
        <v>1.67</v>
      </c>
      <c r="R858" t="s">
        <v>125</v>
      </c>
      <c r="S858" t="s">
        <v>126</v>
      </c>
      <c r="T858" t="s">
        <v>125</v>
      </c>
      <c r="U858" t="s">
        <v>126</v>
      </c>
      <c r="W858">
        <v>1.67</v>
      </c>
      <c r="Y858">
        <v>1.67</v>
      </c>
      <c r="BE858">
        <v>1.67</v>
      </c>
      <c r="BH858" t="s">
        <v>126</v>
      </c>
      <c r="BI858" t="s">
        <v>126</v>
      </c>
      <c r="BJ858" t="s">
        <v>126</v>
      </c>
      <c r="BK858" t="s">
        <v>126</v>
      </c>
      <c r="BS858" t="s">
        <v>126</v>
      </c>
      <c r="BT858" t="s">
        <v>126</v>
      </c>
      <c r="BU858" t="s">
        <v>126</v>
      </c>
      <c r="BV858" t="s">
        <v>126</v>
      </c>
      <c r="CN858" t="s">
        <v>147</v>
      </c>
      <c r="CP858" t="s">
        <v>431</v>
      </c>
      <c r="CQ858" t="s">
        <v>147</v>
      </c>
    </row>
    <row r="859" spans="1:95" x14ac:dyDescent="0.2">
      <c r="A859" t="s">
        <v>115</v>
      </c>
      <c r="B859" t="s">
        <v>116</v>
      </c>
      <c r="C859">
        <v>210784</v>
      </c>
      <c r="E859" t="s">
        <v>117</v>
      </c>
      <c r="F859">
        <v>368</v>
      </c>
      <c r="G859" t="s">
        <v>141</v>
      </c>
      <c r="H859" t="s">
        <v>142</v>
      </c>
      <c r="I859" t="s">
        <v>172</v>
      </c>
      <c r="J859" t="s">
        <v>173</v>
      </c>
      <c r="L859" t="s">
        <v>174</v>
      </c>
      <c r="M859" s="8">
        <v>45839</v>
      </c>
      <c r="N859">
        <v>124365</v>
      </c>
      <c r="O859" t="s">
        <v>123</v>
      </c>
      <c r="P859" t="s">
        <v>146</v>
      </c>
      <c r="Q859">
        <v>4.149</v>
      </c>
      <c r="R859" t="s">
        <v>125</v>
      </c>
      <c r="S859" t="s">
        <v>126</v>
      </c>
      <c r="T859" t="s">
        <v>125</v>
      </c>
      <c r="U859" t="s">
        <v>126</v>
      </c>
      <c r="W859">
        <v>4.149</v>
      </c>
      <c r="Y859">
        <v>4.149</v>
      </c>
      <c r="AB859">
        <v>4.149</v>
      </c>
      <c r="BH859" t="s">
        <v>126</v>
      </c>
      <c r="BI859" t="s">
        <v>126</v>
      </c>
      <c r="BJ859" t="s">
        <v>126</v>
      </c>
      <c r="BK859" t="s">
        <v>126</v>
      </c>
      <c r="BS859" t="s">
        <v>126</v>
      </c>
      <c r="BT859" t="s">
        <v>126</v>
      </c>
      <c r="BU859" t="s">
        <v>126</v>
      </c>
      <c r="BV859" t="s">
        <v>126</v>
      </c>
      <c r="CN859" t="s">
        <v>147</v>
      </c>
      <c r="CP859" t="s">
        <v>175</v>
      </c>
      <c r="CQ859" t="s">
        <v>147</v>
      </c>
    </row>
    <row r="860" spans="1:95" x14ac:dyDescent="0.2">
      <c r="A860" t="s">
        <v>115</v>
      </c>
      <c r="B860" t="s">
        <v>116</v>
      </c>
      <c r="C860">
        <v>210784</v>
      </c>
      <c r="E860" t="s">
        <v>117</v>
      </c>
      <c r="F860">
        <v>368</v>
      </c>
      <c r="G860" t="s">
        <v>141</v>
      </c>
      <c r="H860" t="s">
        <v>142</v>
      </c>
      <c r="I860" t="s">
        <v>130</v>
      </c>
      <c r="J860" t="s">
        <v>131</v>
      </c>
      <c r="L860" t="s">
        <v>291</v>
      </c>
      <c r="M860" s="8">
        <v>45839</v>
      </c>
      <c r="N860">
        <v>7318773</v>
      </c>
      <c r="O860" t="s">
        <v>123</v>
      </c>
      <c r="P860" t="s">
        <v>146</v>
      </c>
      <c r="Q860">
        <v>12.32</v>
      </c>
      <c r="R860" t="s">
        <v>125</v>
      </c>
      <c r="S860" t="s">
        <v>126</v>
      </c>
      <c r="T860" t="s">
        <v>125</v>
      </c>
      <c r="U860" t="s">
        <v>126</v>
      </c>
      <c r="W860">
        <v>12.32</v>
      </c>
      <c r="Y860">
        <v>12.32</v>
      </c>
      <c r="AC860">
        <v>12.32</v>
      </c>
      <c r="BH860" t="s">
        <v>126</v>
      </c>
      <c r="BI860" t="s">
        <v>126</v>
      </c>
      <c r="BJ860" t="s">
        <v>126</v>
      </c>
      <c r="BK860" t="s">
        <v>126</v>
      </c>
      <c r="BS860" t="s">
        <v>126</v>
      </c>
      <c r="BT860" t="s">
        <v>126</v>
      </c>
      <c r="BU860" t="s">
        <v>126</v>
      </c>
      <c r="BV860" t="s">
        <v>126</v>
      </c>
      <c r="CN860" t="s">
        <v>147</v>
      </c>
      <c r="CP860" t="s">
        <v>175</v>
      </c>
      <c r="CQ860" t="s">
        <v>147</v>
      </c>
    </row>
    <row r="861" spans="1:95" x14ac:dyDescent="0.2">
      <c r="A861" t="s">
        <v>115</v>
      </c>
      <c r="B861" t="s">
        <v>116</v>
      </c>
      <c r="C861">
        <v>210784</v>
      </c>
      <c r="E861" t="s">
        <v>117</v>
      </c>
      <c r="F861">
        <v>368</v>
      </c>
      <c r="G861" t="s">
        <v>141</v>
      </c>
      <c r="H861" t="s">
        <v>142</v>
      </c>
      <c r="I861" t="s">
        <v>279</v>
      </c>
      <c r="J861" t="s">
        <v>280</v>
      </c>
      <c r="L861" t="s">
        <v>433</v>
      </c>
      <c r="M861" s="8">
        <v>45839</v>
      </c>
      <c r="N861">
        <v>5751489</v>
      </c>
      <c r="O861" t="s">
        <v>123</v>
      </c>
      <c r="P861" t="s">
        <v>146</v>
      </c>
      <c r="Q861">
        <v>3.4</v>
      </c>
      <c r="R861" t="s">
        <v>125</v>
      </c>
      <c r="S861" t="s">
        <v>126</v>
      </c>
      <c r="T861" t="s">
        <v>125</v>
      </c>
      <c r="U861" t="s">
        <v>126</v>
      </c>
      <c r="W861">
        <v>3.4</v>
      </c>
      <c r="Y861">
        <v>3.4</v>
      </c>
      <c r="AS861">
        <v>3.4</v>
      </c>
      <c r="BH861" t="s">
        <v>126</v>
      </c>
      <c r="BI861" t="s">
        <v>126</v>
      </c>
      <c r="BJ861" t="s">
        <v>126</v>
      </c>
      <c r="BK861" t="s">
        <v>126</v>
      </c>
      <c r="BS861" t="s">
        <v>126</v>
      </c>
      <c r="BT861" t="s">
        <v>126</v>
      </c>
      <c r="BU861" t="s">
        <v>126</v>
      </c>
      <c r="BV861" t="s">
        <v>126</v>
      </c>
      <c r="CN861" t="s">
        <v>147</v>
      </c>
      <c r="CP861" t="s">
        <v>431</v>
      </c>
      <c r="CQ861" t="s">
        <v>147</v>
      </c>
    </row>
    <row r="862" spans="1:95" x14ac:dyDescent="0.2">
      <c r="A862" t="s">
        <v>115</v>
      </c>
      <c r="B862" t="s">
        <v>116</v>
      </c>
      <c r="C862">
        <v>210784</v>
      </c>
      <c r="E862" t="s">
        <v>117</v>
      </c>
      <c r="F862">
        <v>368</v>
      </c>
      <c r="G862" t="s">
        <v>141</v>
      </c>
      <c r="H862" t="s">
        <v>142</v>
      </c>
      <c r="I862" t="s">
        <v>279</v>
      </c>
      <c r="J862" t="s">
        <v>280</v>
      </c>
      <c r="L862" t="s">
        <v>434</v>
      </c>
      <c r="M862" s="8">
        <v>45839</v>
      </c>
      <c r="N862">
        <v>5754129</v>
      </c>
      <c r="O862" t="s">
        <v>123</v>
      </c>
      <c r="P862" t="s">
        <v>146</v>
      </c>
      <c r="Q862">
        <v>3.18</v>
      </c>
      <c r="R862" t="s">
        <v>125</v>
      </c>
      <c r="S862" t="s">
        <v>126</v>
      </c>
      <c r="T862" t="s">
        <v>125</v>
      </c>
      <c r="U862" t="s">
        <v>126</v>
      </c>
      <c r="W862">
        <v>3.18</v>
      </c>
      <c r="Y862">
        <v>3.18</v>
      </c>
      <c r="AS862">
        <v>3.18</v>
      </c>
      <c r="BH862" t="s">
        <v>126</v>
      </c>
      <c r="BI862" t="s">
        <v>126</v>
      </c>
      <c r="BJ862" t="s">
        <v>126</v>
      </c>
      <c r="BK862" t="s">
        <v>126</v>
      </c>
      <c r="BS862" t="s">
        <v>126</v>
      </c>
      <c r="BT862" t="s">
        <v>126</v>
      </c>
      <c r="BU862" t="s">
        <v>126</v>
      </c>
      <c r="BV862" t="s">
        <v>126</v>
      </c>
      <c r="CN862" t="s">
        <v>147</v>
      </c>
      <c r="CP862" t="s">
        <v>431</v>
      </c>
      <c r="CQ862" t="s">
        <v>147</v>
      </c>
    </row>
    <row r="863" spans="1:95" x14ac:dyDescent="0.2">
      <c r="A863" t="s">
        <v>115</v>
      </c>
      <c r="B863" t="s">
        <v>116</v>
      </c>
      <c r="C863">
        <v>210784</v>
      </c>
      <c r="E863" t="s">
        <v>117</v>
      </c>
      <c r="F863">
        <v>368</v>
      </c>
      <c r="G863" t="s">
        <v>141</v>
      </c>
      <c r="H863" t="s">
        <v>142</v>
      </c>
      <c r="I863" t="s">
        <v>279</v>
      </c>
      <c r="J863" t="s">
        <v>280</v>
      </c>
      <c r="L863" t="s">
        <v>435</v>
      </c>
      <c r="M863" s="8">
        <v>45839</v>
      </c>
      <c r="N863">
        <v>5755592</v>
      </c>
      <c r="O863" t="s">
        <v>123</v>
      </c>
      <c r="P863" t="s">
        <v>146</v>
      </c>
      <c r="Q863">
        <v>1.33</v>
      </c>
      <c r="R863" t="s">
        <v>125</v>
      </c>
      <c r="S863" t="s">
        <v>126</v>
      </c>
      <c r="T863" t="s">
        <v>125</v>
      </c>
      <c r="U863" t="s">
        <v>126</v>
      </c>
      <c r="W863">
        <v>1.33</v>
      </c>
      <c r="Y863">
        <v>1.33</v>
      </c>
      <c r="AS863">
        <v>1.33</v>
      </c>
      <c r="BH863" t="s">
        <v>126</v>
      </c>
      <c r="BI863" t="s">
        <v>126</v>
      </c>
      <c r="BJ863" t="s">
        <v>126</v>
      </c>
      <c r="BK863" t="s">
        <v>126</v>
      </c>
      <c r="BS863" t="s">
        <v>126</v>
      </c>
      <c r="BT863" t="s">
        <v>126</v>
      </c>
      <c r="BU863" t="s">
        <v>126</v>
      </c>
      <c r="BV863" t="s">
        <v>126</v>
      </c>
      <c r="CN863" t="s">
        <v>147</v>
      </c>
      <c r="CP863" t="s">
        <v>431</v>
      </c>
      <c r="CQ863" t="s">
        <v>147</v>
      </c>
    </row>
    <row r="864" spans="1:95" x14ac:dyDescent="0.2">
      <c r="A864" t="s">
        <v>115</v>
      </c>
      <c r="B864" t="s">
        <v>116</v>
      </c>
      <c r="C864">
        <v>210784</v>
      </c>
      <c r="E864" t="s">
        <v>117</v>
      </c>
      <c r="F864">
        <v>368</v>
      </c>
      <c r="G864" t="s">
        <v>141</v>
      </c>
      <c r="H864" t="s">
        <v>142</v>
      </c>
      <c r="I864" t="s">
        <v>279</v>
      </c>
      <c r="J864" t="s">
        <v>280</v>
      </c>
      <c r="L864" t="s">
        <v>436</v>
      </c>
      <c r="M864" s="8">
        <v>45839</v>
      </c>
      <c r="N864">
        <v>5756663</v>
      </c>
      <c r="O864" t="s">
        <v>123</v>
      </c>
      <c r="P864" t="s">
        <v>146</v>
      </c>
      <c r="Q864">
        <v>4.71</v>
      </c>
      <c r="R864" t="s">
        <v>125</v>
      </c>
      <c r="S864" t="s">
        <v>126</v>
      </c>
      <c r="T864" t="s">
        <v>125</v>
      </c>
      <c r="U864" t="s">
        <v>126</v>
      </c>
      <c r="W864">
        <v>4.71</v>
      </c>
      <c r="Y864">
        <v>4.71</v>
      </c>
      <c r="AS864">
        <v>4.71</v>
      </c>
      <c r="BH864" t="s">
        <v>126</v>
      </c>
      <c r="BI864" t="s">
        <v>126</v>
      </c>
      <c r="BJ864" t="s">
        <v>126</v>
      </c>
      <c r="BK864" t="s">
        <v>126</v>
      </c>
      <c r="BS864" t="s">
        <v>126</v>
      </c>
      <c r="BT864" t="s">
        <v>126</v>
      </c>
      <c r="BU864" t="s">
        <v>126</v>
      </c>
      <c r="BV864" t="s">
        <v>126</v>
      </c>
      <c r="CN864" t="s">
        <v>147</v>
      </c>
      <c r="CP864" t="s">
        <v>431</v>
      </c>
      <c r="CQ864" t="s">
        <v>147</v>
      </c>
    </row>
    <row r="865" spans="1:95" x14ac:dyDescent="0.2">
      <c r="A865" t="s">
        <v>115</v>
      </c>
      <c r="B865" t="s">
        <v>116</v>
      </c>
      <c r="C865">
        <v>210784</v>
      </c>
      <c r="E865" t="s">
        <v>117</v>
      </c>
      <c r="F865">
        <v>368</v>
      </c>
      <c r="G865" t="s">
        <v>141</v>
      </c>
      <c r="H865" t="s">
        <v>142</v>
      </c>
      <c r="I865" t="s">
        <v>279</v>
      </c>
      <c r="J865" t="s">
        <v>280</v>
      </c>
      <c r="L865" t="s">
        <v>437</v>
      </c>
      <c r="M865" s="8">
        <v>45839</v>
      </c>
      <c r="N865">
        <v>5757648</v>
      </c>
      <c r="O865" t="s">
        <v>123</v>
      </c>
      <c r="P865" t="s">
        <v>146</v>
      </c>
      <c r="Q865">
        <v>4.78</v>
      </c>
      <c r="R865" t="s">
        <v>125</v>
      </c>
      <c r="S865" t="s">
        <v>126</v>
      </c>
      <c r="T865" t="s">
        <v>125</v>
      </c>
      <c r="U865" t="s">
        <v>126</v>
      </c>
      <c r="W865">
        <v>4.78</v>
      </c>
      <c r="Y865">
        <v>4.78</v>
      </c>
      <c r="AS865">
        <v>4.78</v>
      </c>
      <c r="BH865" t="s">
        <v>126</v>
      </c>
      <c r="BI865" t="s">
        <v>126</v>
      </c>
      <c r="BJ865" t="s">
        <v>126</v>
      </c>
      <c r="BK865" t="s">
        <v>126</v>
      </c>
      <c r="BS865" t="s">
        <v>126</v>
      </c>
      <c r="BT865" t="s">
        <v>126</v>
      </c>
      <c r="BU865" t="s">
        <v>126</v>
      </c>
      <c r="BV865" t="s">
        <v>126</v>
      </c>
      <c r="CN865" t="s">
        <v>147</v>
      </c>
      <c r="CP865" t="s">
        <v>431</v>
      </c>
      <c r="CQ865" t="s">
        <v>147</v>
      </c>
    </row>
    <row r="866" spans="1:95" x14ac:dyDescent="0.2">
      <c r="A866" t="s">
        <v>115</v>
      </c>
      <c r="B866" t="s">
        <v>116</v>
      </c>
      <c r="C866">
        <v>210784</v>
      </c>
      <c r="E866" t="s">
        <v>117</v>
      </c>
      <c r="F866">
        <v>368</v>
      </c>
      <c r="G866" t="s">
        <v>141</v>
      </c>
      <c r="H866" t="s">
        <v>142</v>
      </c>
      <c r="I866" t="s">
        <v>279</v>
      </c>
      <c r="J866" t="s">
        <v>280</v>
      </c>
      <c r="L866" t="s">
        <v>437</v>
      </c>
      <c r="M866" s="8">
        <v>45839</v>
      </c>
      <c r="N866">
        <v>5758310</v>
      </c>
      <c r="O866" t="s">
        <v>123</v>
      </c>
      <c r="P866" t="s">
        <v>146</v>
      </c>
      <c r="Q866">
        <v>4.92</v>
      </c>
      <c r="R866" t="s">
        <v>125</v>
      </c>
      <c r="S866" t="s">
        <v>126</v>
      </c>
      <c r="T866" t="s">
        <v>125</v>
      </c>
      <c r="U866" t="s">
        <v>126</v>
      </c>
      <c r="W866">
        <v>4.92</v>
      </c>
      <c r="Y866">
        <v>4.92</v>
      </c>
      <c r="AS866">
        <v>4.92</v>
      </c>
      <c r="BH866" t="s">
        <v>126</v>
      </c>
      <c r="BI866" t="s">
        <v>126</v>
      </c>
      <c r="BJ866" t="s">
        <v>126</v>
      </c>
      <c r="BK866" t="s">
        <v>126</v>
      </c>
      <c r="BS866" t="s">
        <v>126</v>
      </c>
      <c r="BT866" t="s">
        <v>126</v>
      </c>
      <c r="BU866" t="s">
        <v>126</v>
      </c>
      <c r="BV866" t="s">
        <v>126</v>
      </c>
      <c r="CN866" t="s">
        <v>147</v>
      </c>
      <c r="CP866" t="s">
        <v>431</v>
      </c>
      <c r="CQ866" t="s">
        <v>147</v>
      </c>
    </row>
    <row r="867" spans="1:95" x14ac:dyDescent="0.2">
      <c r="A867" t="s">
        <v>115</v>
      </c>
      <c r="B867" t="s">
        <v>116</v>
      </c>
      <c r="C867">
        <v>210784</v>
      </c>
      <c r="E867" t="s">
        <v>117</v>
      </c>
      <c r="F867">
        <v>368</v>
      </c>
      <c r="G867" t="s">
        <v>141</v>
      </c>
      <c r="H867" t="s">
        <v>142</v>
      </c>
      <c r="I867" t="s">
        <v>279</v>
      </c>
      <c r="J867" t="s">
        <v>280</v>
      </c>
      <c r="L867" t="s">
        <v>438</v>
      </c>
      <c r="M867" s="8">
        <v>45839</v>
      </c>
      <c r="N867">
        <v>5759020</v>
      </c>
      <c r="O867" t="s">
        <v>123</v>
      </c>
      <c r="P867" t="s">
        <v>146</v>
      </c>
      <c r="Q867">
        <v>3.78</v>
      </c>
      <c r="R867" t="s">
        <v>125</v>
      </c>
      <c r="S867" t="s">
        <v>126</v>
      </c>
      <c r="T867" t="s">
        <v>125</v>
      </c>
      <c r="U867" t="s">
        <v>126</v>
      </c>
      <c r="W867">
        <v>3.78</v>
      </c>
      <c r="Y867">
        <v>3.78</v>
      </c>
      <c r="AS867">
        <v>3.78</v>
      </c>
      <c r="BH867" t="s">
        <v>126</v>
      </c>
      <c r="BI867" t="s">
        <v>126</v>
      </c>
      <c r="BJ867" t="s">
        <v>126</v>
      </c>
      <c r="BK867" t="s">
        <v>126</v>
      </c>
      <c r="BS867" t="s">
        <v>126</v>
      </c>
      <c r="BT867" t="s">
        <v>126</v>
      </c>
      <c r="BU867" t="s">
        <v>126</v>
      </c>
      <c r="BV867" t="s">
        <v>126</v>
      </c>
      <c r="CN867" t="s">
        <v>147</v>
      </c>
      <c r="CP867" t="s">
        <v>431</v>
      </c>
      <c r="CQ867" t="s">
        <v>147</v>
      </c>
    </row>
    <row r="868" spans="1:95" x14ac:dyDescent="0.2">
      <c r="A868" t="s">
        <v>115</v>
      </c>
      <c r="B868" t="s">
        <v>116</v>
      </c>
      <c r="C868">
        <v>210784</v>
      </c>
      <c r="E868" t="s">
        <v>117</v>
      </c>
      <c r="F868">
        <v>368</v>
      </c>
      <c r="G868" t="s">
        <v>141</v>
      </c>
      <c r="H868" t="s">
        <v>142</v>
      </c>
      <c r="I868" t="s">
        <v>279</v>
      </c>
      <c r="J868" t="s">
        <v>280</v>
      </c>
      <c r="L868" t="s">
        <v>439</v>
      </c>
      <c r="M868" s="8">
        <v>45839</v>
      </c>
      <c r="N868">
        <v>5760789</v>
      </c>
      <c r="O868" t="s">
        <v>123</v>
      </c>
      <c r="P868" t="s">
        <v>146</v>
      </c>
      <c r="Q868">
        <v>2.4300000000000002</v>
      </c>
      <c r="R868" t="s">
        <v>125</v>
      </c>
      <c r="S868" t="s">
        <v>126</v>
      </c>
      <c r="T868" t="s">
        <v>125</v>
      </c>
      <c r="U868" t="s">
        <v>126</v>
      </c>
      <c r="W868">
        <v>2.4300000000000002</v>
      </c>
      <c r="Y868">
        <v>2.4300000000000002</v>
      </c>
      <c r="AS868">
        <v>2.4300000000000002</v>
      </c>
      <c r="BH868" t="s">
        <v>126</v>
      </c>
      <c r="BI868" t="s">
        <v>126</v>
      </c>
      <c r="BJ868" t="s">
        <v>126</v>
      </c>
      <c r="BK868" t="s">
        <v>126</v>
      </c>
      <c r="BS868" t="s">
        <v>126</v>
      </c>
      <c r="BT868" t="s">
        <v>126</v>
      </c>
      <c r="BU868" t="s">
        <v>126</v>
      </c>
      <c r="BV868" t="s">
        <v>126</v>
      </c>
      <c r="CN868" t="s">
        <v>147</v>
      </c>
      <c r="CP868" t="s">
        <v>431</v>
      </c>
      <c r="CQ868" t="s">
        <v>147</v>
      </c>
    </row>
    <row r="869" spans="1:95" x14ac:dyDescent="0.2">
      <c r="A869" t="s">
        <v>115</v>
      </c>
      <c r="B869" t="s">
        <v>116</v>
      </c>
      <c r="C869">
        <v>210784</v>
      </c>
      <c r="E869" t="s">
        <v>117</v>
      </c>
      <c r="F869">
        <v>368</v>
      </c>
      <c r="G869" t="s">
        <v>141</v>
      </c>
      <c r="H869" t="s">
        <v>142</v>
      </c>
      <c r="I869" t="s">
        <v>279</v>
      </c>
      <c r="J869" t="s">
        <v>280</v>
      </c>
      <c r="L869" t="s">
        <v>439</v>
      </c>
      <c r="M869" s="8">
        <v>45839</v>
      </c>
      <c r="N869">
        <v>5761394</v>
      </c>
      <c r="O869" t="s">
        <v>123</v>
      </c>
      <c r="P869" t="s">
        <v>146</v>
      </c>
      <c r="Q869">
        <v>4.04</v>
      </c>
      <c r="R869" t="s">
        <v>125</v>
      </c>
      <c r="S869" t="s">
        <v>126</v>
      </c>
      <c r="T869" t="s">
        <v>125</v>
      </c>
      <c r="U869" t="s">
        <v>126</v>
      </c>
      <c r="W869">
        <v>4.04</v>
      </c>
      <c r="Y869">
        <v>4.04</v>
      </c>
      <c r="AS869">
        <v>4.04</v>
      </c>
      <c r="BH869" t="s">
        <v>126</v>
      </c>
      <c r="BI869" t="s">
        <v>126</v>
      </c>
      <c r="BJ869" t="s">
        <v>126</v>
      </c>
      <c r="BK869" t="s">
        <v>126</v>
      </c>
      <c r="BS869" t="s">
        <v>126</v>
      </c>
      <c r="BT869" t="s">
        <v>126</v>
      </c>
      <c r="BU869" t="s">
        <v>126</v>
      </c>
      <c r="BV869" t="s">
        <v>126</v>
      </c>
      <c r="CN869" t="s">
        <v>147</v>
      </c>
      <c r="CP869" t="s">
        <v>431</v>
      </c>
      <c r="CQ869" t="s">
        <v>147</v>
      </c>
    </row>
    <row r="870" spans="1:95" x14ac:dyDescent="0.2">
      <c r="A870" t="s">
        <v>115</v>
      </c>
      <c r="B870" t="s">
        <v>116</v>
      </c>
      <c r="C870">
        <v>210784</v>
      </c>
      <c r="E870" t="s">
        <v>117</v>
      </c>
      <c r="F870">
        <v>368</v>
      </c>
      <c r="G870" t="s">
        <v>141</v>
      </c>
      <c r="H870" t="s">
        <v>142</v>
      </c>
      <c r="I870" t="s">
        <v>279</v>
      </c>
      <c r="J870" t="s">
        <v>280</v>
      </c>
      <c r="L870" t="s">
        <v>440</v>
      </c>
      <c r="M870" s="8">
        <v>45839</v>
      </c>
      <c r="N870">
        <v>5762375</v>
      </c>
      <c r="O870" t="s">
        <v>123</v>
      </c>
      <c r="P870" t="s">
        <v>146</v>
      </c>
      <c r="Q870">
        <v>5.63</v>
      </c>
      <c r="R870" t="s">
        <v>125</v>
      </c>
      <c r="S870" t="s">
        <v>126</v>
      </c>
      <c r="T870" t="s">
        <v>125</v>
      </c>
      <c r="U870" t="s">
        <v>126</v>
      </c>
      <c r="W870">
        <v>5.63</v>
      </c>
      <c r="Y870">
        <v>5.63</v>
      </c>
      <c r="AS870">
        <v>5.63</v>
      </c>
      <c r="BH870" t="s">
        <v>126</v>
      </c>
      <c r="BI870" t="s">
        <v>126</v>
      </c>
      <c r="BJ870" t="s">
        <v>126</v>
      </c>
      <c r="BK870" t="s">
        <v>126</v>
      </c>
      <c r="BS870" t="s">
        <v>126</v>
      </c>
      <c r="BT870" t="s">
        <v>126</v>
      </c>
      <c r="BU870" t="s">
        <v>126</v>
      </c>
      <c r="BV870" t="s">
        <v>126</v>
      </c>
      <c r="CN870" t="s">
        <v>147</v>
      </c>
      <c r="CP870" t="s">
        <v>431</v>
      </c>
      <c r="CQ870" t="s">
        <v>147</v>
      </c>
    </row>
    <row r="871" spans="1:95" x14ac:dyDescent="0.2">
      <c r="A871" t="s">
        <v>115</v>
      </c>
      <c r="B871" t="s">
        <v>116</v>
      </c>
      <c r="C871">
        <v>210784</v>
      </c>
      <c r="E871" t="s">
        <v>117</v>
      </c>
      <c r="F871">
        <v>368</v>
      </c>
      <c r="G871" t="s">
        <v>141</v>
      </c>
      <c r="H871" t="s">
        <v>142</v>
      </c>
      <c r="I871" t="s">
        <v>279</v>
      </c>
      <c r="J871" t="s">
        <v>280</v>
      </c>
      <c r="L871" t="s">
        <v>441</v>
      </c>
      <c r="M871" s="8">
        <v>45839</v>
      </c>
      <c r="N871">
        <v>5763284</v>
      </c>
      <c r="O871" t="s">
        <v>123</v>
      </c>
      <c r="P871" t="s">
        <v>146</v>
      </c>
      <c r="Q871">
        <v>4.5199999999999996</v>
      </c>
      <c r="R871" t="s">
        <v>125</v>
      </c>
      <c r="S871" t="s">
        <v>126</v>
      </c>
      <c r="T871" t="s">
        <v>125</v>
      </c>
      <c r="U871" t="s">
        <v>126</v>
      </c>
      <c r="W871">
        <v>4.5199999999999996</v>
      </c>
      <c r="Y871">
        <v>4.5199999999999996</v>
      </c>
      <c r="AS871">
        <v>4.5199999999999996</v>
      </c>
      <c r="BH871" t="s">
        <v>126</v>
      </c>
      <c r="BI871" t="s">
        <v>126</v>
      </c>
      <c r="BJ871" t="s">
        <v>126</v>
      </c>
      <c r="BK871" t="s">
        <v>126</v>
      </c>
      <c r="BS871" t="s">
        <v>126</v>
      </c>
      <c r="BT871" t="s">
        <v>126</v>
      </c>
      <c r="BU871" t="s">
        <v>126</v>
      </c>
      <c r="BV871" t="s">
        <v>126</v>
      </c>
      <c r="CN871" t="s">
        <v>147</v>
      </c>
      <c r="CP871" t="s">
        <v>442</v>
      </c>
      <c r="CQ871" t="s">
        <v>147</v>
      </c>
    </row>
    <row r="872" spans="1:95" x14ac:dyDescent="0.2">
      <c r="A872" t="s">
        <v>115</v>
      </c>
      <c r="B872" t="s">
        <v>116</v>
      </c>
      <c r="C872">
        <v>210784</v>
      </c>
      <c r="E872" t="s">
        <v>117</v>
      </c>
      <c r="F872">
        <v>368</v>
      </c>
      <c r="G872" t="s">
        <v>141</v>
      </c>
      <c r="H872" t="s">
        <v>142</v>
      </c>
      <c r="I872" t="s">
        <v>279</v>
      </c>
      <c r="J872" t="s">
        <v>280</v>
      </c>
      <c r="L872" t="s">
        <v>729</v>
      </c>
      <c r="M872" s="8">
        <v>45839</v>
      </c>
      <c r="N872">
        <v>5747081</v>
      </c>
      <c r="O872" t="s">
        <v>123</v>
      </c>
      <c r="P872" t="s">
        <v>146</v>
      </c>
      <c r="Q872">
        <v>5.74</v>
      </c>
      <c r="R872" t="s">
        <v>584</v>
      </c>
      <c r="S872" t="s">
        <v>126</v>
      </c>
      <c r="T872" t="s">
        <v>584</v>
      </c>
      <c r="U872" t="s">
        <v>585</v>
      </c>
      <c r="W872">
        <v>1.77</v>
      </c>
      <c r="X872">
        <v>3.97</v>
      </c>
      <c r="Y872">
        <v>5.74</v>
      </c>
      <c r="Z872">
        <v>2.1800000000000002</v>
      </c>
      <c r="AG872">
        <v>1.77</v>
      </c>
      <c r="AI872">
        <v>1.79</v>
      </c>
      <c r="BH872" t="s">
        <v>126</v>
      </c>
      <c r="BI872" t="s">
        <v>126</v>
      </c>
      <c r="BJ872" t="s">
        <v>126</v>
      </c>
      <c r="BK872" t="s">
        <v>126</v>
      </c>
      <c r="BS872" t="s">
        <v>126</v>
      </c>
      <c r="BT872" t="s">
        <v>126</v>
      </c>
      <c r="BU872" t="s">
        <v>126</v>
      </c>
      <c r="BV872" t="s">
        <v>126</v>
      </c>
      <c r="CN872" t="s">
        <v>147</v>
      </c>
      <c r="CP872" t="s">
        <v>431</v>
      </c>
      <c r="CQ872" t="s">
        <v>147</v>
      </c>
    </row>
    <row r="873" spans="1:95" x14ac:dyDescent="0.2">
      <c r="A873" t="s">
        <v>115</v>
      </c>
      <c r="B873" t="s">
        <v>116</v>
      </c>
      <c r="C873">
        <v>210784</v>
      </c>
      <c r="E873" t="s">
        <v>117</v>
      </c>
      <c r="F873">
        <v>368</v>
      </c>
      <c r="G873" t="s">
        <v>141</v>
      </c>
      <c r="H873" t="s">
        <v>142</v>
      </c>
      <c r="I873" t="s">
        <v>279</v>
      </c>
      <c r="J873" t="s">
        <v>280</v>
      </c>
      <c r="L873" t="s">
        <v>729</v>
      </c>
      <c r="M873" s="8">
        <v>45839</v>
      </c>
      <c r="N873">
        <v>5747634</v>
      </c>
      <c r="O873" t="s">
        <v>123</v>
      </c>
      <c r="P873" t="s">
        <v>146</v>
      </c>
      <c r="Q873">
        <v>2.4900000000000002</v>
      </c>
      <c r="R873" t="s">
        <v>623</v>
      </c>
      <c r="S873" t="s">
        <v>126</v>
      </c>
      <c r="T873" t="s">
        <v>623</v>
      </c>
      <c r="U873" t="s">
        <v>624</v>
      </c>
      <c r="W873">
        <v>0.77</v>
      </c>
      <c r="X873">
        <v>1.72</v>
      </c>
      <c r="Y873">
        <v>2.4900000000000002</v>
      </c>
      <c r="Z873">
        <v>0.94</v>
      </c>
      <c r="AG873">
        <v>0.77</v>
      </c>
      <c r="AI873">
        <v>0.78</v>
      </c>
      <c r="BH873" t="s">
        <v>126</v>
      </c>
      <c r="BI873" t="s">
        <v>126</v>
      </c>
      <c r="BJ873" t="s">
        <v>126</v>
      </c>
      <c r="BK873" t="s">
        <v>126</v>
      </c>
      <c r="BS873" t="s">
        <v>126</v>
      </c>
      <c r="BT873" t="s">
        <v>126</v>
      </c>
      <c r="BU873" t="s">
        <v>126</v>
      </c>
      <c r="BV873" t="s">
        <v>126</v>
      </c>
      <c r="CN873" t="s">
        <v>147</v>
      </c>
      <c r="CP873" t="s">
        <v>431</v>
      </c>
      <c r="CQ873" t="s">
        <v>147</v>
      </c>
    </row>
    <row r="874" spans="1:95" x14ac:dyDescent="0.2">
      <c r="A874" t="s">
        <v>115</v>
      </c>
      <c r="B874" t="s">
        <v>116</v>
      </c>
      <c r="C874">
        <v>210784</v>
      </c>
      <c r="E874" t="s">
        <v>117</v>
      </c>
      <c r="F874">
        <v>368</v>
      </c>
      <c r="G874" t="s">
        <v>141</v>
      </c>
      <c r="H874" t="s">
        <v>142</v>
      </c>
      <c r="I874" t="s">
        <v>279</v>
      </c>
      <c r="J874" t="s">
        <v>280</v>
      </c>
      <c r="L874" t="s">
        <v>730</v>
      </c>
      <c r="M874" s="8">
        <v>45839</v>
      </c>
      <c r="N874">
        <v>5749840</v>
      </c>
      <c r="O874" t="s">
        <v>123</v>
      </c>
      <c r="P874" t="s">
        <v>146</v>
      </c>
      <c r="Q874">
        <v>2.6</v>
      </c>
      <c r="R874" t="s">
        <v>569</v>
      </c>
      <c r="S874" t="s">
        <v>126</v>
      </c>
      <c r="T874" t="s">
        <v>569</v>
      </c>
      <c r="U874" t="s">
        <v>570</v>
      </c>
      <c r="W874">
        <v>0.8</v>
      </c>
      <c r="X874">
        <v>1.8</v>
      </c>
      <c r="Y874">
        <v>2.6</v>
      </c>
      <c r="Z874">
        <v>0.99</v>
      </c>
      <c r="AG874">
        <v>0.8</v>
      </c>
      <c r="AI874">
        <v>0.81</v>
      </c>
      <c r="BH874" t="s">
        <v>126</v>
      </c>
      <c r="BI874" t="s">
        <v>126</v>
      </c>
      <c r="BJ874" t="s">
        <v>126</v>
      </c>
      <c r="BK874" t="s">
        <v>126</v>
      </c>
      <c r="BS874" t="s">
        <v>126</v>
      </c>
      <c r="BT874" t="s">
        <v>126</v>
      </c>
      <c r="BU874" t="s">
        <v>126</v>
      </c>
      <c r="BV874" t="s">
        <v>126</v>
      </c>
      <c r="CN874" t="s">
        <v>147</v>
      </c>
      <c r="CP874" t="s">
        <v>431</v>
      </c>
      <c r="CQ874" t="s">
        <v>147</v>
      </c>
    </row>
    <row r="875" spans="1:95" x14ac:dyDescent="0.2">
      <c r="A875" t="s">
        <v>115</v>
      </c>
      <c r="B875" t="s">
        <v>116</v>
      </c>
      <c r="C875">
        <v>210784</v>
      </c>
      <c r="E875" t="s">
        <v>117</v>
      </c>
      <c r="F875">
        <v>368</v>
      </c>
      <c r="G875" t="s">
        <v>141</v>
      </c>
      <c r="H875" t="s">
        <v>142</v>
      </c>
      <c r="I875" t="s">
        <v>279</v>
      </c>
      <c r="J875" t="s">
        <v>280</v>
      </c>
      <c r="L875" t="s">
        <v>731</v>
      </c>
      <c r="M875" s="8">
        <v>45839</v>
      </c>
      <c r="N875">
        <v>5750768</v>
      </c>
      <c r="O875" t="s">
        <v>123</v>
      </c>
      <c r="P875" t="s">
        <v>146</v>
      </c>
      <c r="Q875">
        <v>3.3</v>
      </c>
      <c r="R875" t="s">
        <v>644</v>
      </c>
      <c r="S875" t="s">
        <v>126</v>
      </c>
      <c r="T875" t="s">
        <v>644</v>
      </c>
      <c r="U875" t="s">
        <v>645</v>
      </c>
      <c r="W875">
        <v>1.02</v>
      </c>
      <c r="X875">
        <v>2.2800000000000002</v>
      </c>
      <c r="Y875">
        <v>3.3</v>
      </c>
      <c r="Z875">
        <v>1.25</v>
      </c>
      <c r="AG875">
        <v>1.02</v>
      </c>
      <c r="AI875">
        <v>1.03</v>
      </c>
      <c r="BH875" t="s">
        <v>126</v>
      </c>
      <c r="BI875" t="s">
        <v>126</v>
      </c>
      <c r="BJ875" t="s">
        <v>126</v>
      </c>
      <c r="BK875" t="s">
        <v>126</v>
      </c>
      <c r="BS875" t="s">
        <v>126</v>
      </c>
      <c r="BT875" t="s">
        <v>126</v>
      </c>
      <c r="BU875" t="s">
        <v>126</v>
      </c>
      <c r="BV875" t="s">
        <v>126</v>
      </c>
      <c r="CN875" t="s">
        <v>147</v>
      </c>
      <c r="CP875" t="s">
        <v>431</v>
      </c>
      <c r="CQ875" t="s">
        <v>147</v>
      </c>
    </row>
    <row r="876" spans="1:95" x14ac:dyDescent="0.2">
      <c r="A876" t="s">
        <v>115</v>
      </c>
      <c r="B876" t="s">
        <v>116</v>
      </c>
      <c r="C876">
        <v>210784</v>
      </c>
      <c r="E876" t="s">
        <v>117</v>
      </c>
      <c r="F876">
        <v>368</v>
      </c>
      <c r="G876" t="s">
        <v>141</v>
      </c>
      <c r="H876" t="s">
        <v>142</v>
      </c>
      <c r="I876" t="s">
        <v>279</v>
      </c>
      <c r="J876" t="s">
        <v>280</v>
      </c>
      <c r="L876" t="s">
        <v>291</v>
      </c>
      <c r="M876" s="8">
        <v>45839</v>
      </c>
      <c r="N876">
        <v>5752257</v>
      </c>
      <c r="O876" t="s">
        <v>123</v>
      </c>
      <c r="P876" t="s">
        <v>146</v>
      </c>
      <c r="Q876">
        <v>3.7299999999999995</v>
      </c>
      <c r="R876" t="s">
        <v>602</v>
      </c>
      <c r="S876" t="s">
        <v>126</v>
      </c>
      <c r="T876" t="s">
        <v>602</v>
      </c>
      <c r="U876" t="s">
        <v>603</v>
      </c>
      <c r="W876">
        <v>1.1499999999999999</v>
      </c>
      <c r="X876">
        <v>2.58</v>
      </c>
      <c r="Y876">
        <v>3.7299999999999995</v>
      </c>
      <c r="Z876">
        <v>1.42</v>
      </c>
      <c r="AG876">
        <v>1.1499999999999999</v>
      </c>
      <c r="AI876">
        <v>1.1599999999999999</v>
      </c>
      <c r="BH876" t="s">
        <v>126</v>
      </c>
      <c r="BI876" t="s">
        <v>126</v>
      </c>
      <c r="BJ876" t="s">
        <v>126</v>
      </c>
      <c r="BK876" t="s">
        <v>126</v>
      </c>
      <c r="BS876" t="s">
        <v>126</v>
      </c>
      <c r="BT876" t="s">
        <v>126</v>
      </c>
      <c r="BU876" t="s">
        <v>126</v>
      </c>
      <c r="BV876" t="s">
        <v>126</v>
      </c>
      <c r="CN876" t="s">
        <v>147</v>
      </c>
      <c r="CP876" t="s">
        <v>431</v>
      </c>
      <c r="CQ876" t="s">
        <v>147</v>
      </c>
    </row>
    <row r="877" spans="1:95" x14ac:dyDescent="0.2">
      <c r="A877" t="s">
        <v>115</v>
      </c>
      <c r="B877" t="s">
        <v>116</v>
      </c>
      <c r="C877">
        <v>210784</v>
      </c>
      <c r="E877" t="s">
        <v>117</v>
      </c>
      <c r="F877">
        <v>368</v>
      </c>
      <c r="G877" t="s">
        <v>141</v>
      </c>
      <c r="H877" t="s">
        <v>142</v>
      </c>
      <c r="I877" t="s">
        <v>279</v>
      </c>
      <c r="J877" t="s">
        <v>280</v>
      </c>
      <c r="L877" t="s">
        <v>434</v>
      </c>
      <c r="M877" s="8">
        <v>45839</v>
      </c>
      <c r="N877">
        <v>5753447</v>
      </c>
      <c r="O877" t="s">
        <v>123</v>
      </c>
      <c r="P877" t="s">
        <v>146</v>
      </c>
      <c r="Q877">
        <v>3.91</v>
      </c>
      <c r="R877" t="s">
        <v>596</v>
      </c>
      <c r="S877" t="s">
        <v>126</v>
      </c>
      <c r="T877" t="s">
        <v>596</v>
      </c>
      <c r="U877" t="s">
        <v>597</v>
      </c>
      <c r="W877">
        <v>1.21</v>
      </c>
      <c r="X877">
        <v>2.7</v>
      </c>
      <c r="Y877">
        <v>3.91</v>
      </c>
      <c r="Z877">
        <v>1.48</v>
      </c>
      <c r="AG877">
        <v>1.21</v>
      </c>
      <c r="AI877">
        <v>1.22</v>
      </c>
      <c r="BH877" t="s">
        <v>126</v>
      </c>
      <c r="BI877" t="s">
        <v>126</v>
      </c>
      <c r="BJ877" t="s">
        <v>126</v>
      </c>
      <c r="BK877" t="s">
        <v>126</v>
      </c>
      <c r="BS877" t="s">
        <v>126</v>
      </c>
      <c r="BT877" t="s">
        <v>126</v>
      </c>
      <c r="BU877" t="s">
        <v>126</v>
      </c>
      <c r="BV877" t="s">
        <v>126</v>
      </c>
      <c r="CN877" t="s">
        <v>147</v>
      </c>
      <c r="CP877" t="s">
        <v>431</v>
      </c>
      <c r="CQ877" t="s">
        <v>147</v>
      </c>
    </row>
    <row r="878" spans="1:95" x14ac:dyDescent="0.2">
      <c r="A878" t="s">
        <v>115</v>
      </c>
      <c r="B878" t="s">
        <v>116</v>
      </c>
      <c r="C878">
        <v>210784</v>
      </c>
      <c r="E878" t="s">
        <v>117</v>
      </c>
      <c r="F878">
        <v>368</v>
      </c>
      <c r="G878" t="s">
        <v>141</v>
      </c>
      <c r="H878" t="s">
        <v>142</v>
      </c>
      <c r="I878" t="s">
        <v>279</v>
      </c>
      <c r="J878" t="s">
        <v>280</v>
      </c>
      <c r="L878" t="s">
        <v>434</v>
      </c>
      <c r="M878" s="8">
        <v>45839</v>
      </c>
      <c r="N878">
        <v>5754040</v>
      </c>
      <c r="O878" t="s">
        <v>123</v>
      </c>
      <c r="P878" t="s">
        <v>146</v>
      </c>
      <c r="Q878">
        <v>4.6199999999999992</v>
      </c>
      <c r="R878" t="s">
        <v>581</v>
      </c>
      <c r="S878" t="s">
        <v>126</v>
      </c>
      <c r="T878" t="s">
        <v>581</v>
      </c>
      <c r="U878" t="s">
        <v>582</v>
      </c>
      <c r="W878">
        <v>1.42</v>
      </c>
      <c r="X878">
        <v>3.2</v>
      </c>
      <c r="Y878">
        <v>4.6199999999999992</v>
      </c>
      <c r="Z878">
        <v>1.76</v>
      </c>
      <c r="AG878">
        <v>1.42</v>
      </c>
      <c r="AI878">
        <v>1.44</v>
      </c>
      <c r="BH878" t="s">
        <v>126</v>
      </c>
      <c r="BI878" t="s">
        <v>126</v>
      </c>
      <c r="BJ878" t="s">
        <v>126</v>
      </c>
      <c r="BK878" t="s">
        <v>126</v>
      </c>
      <c r="BS878" t="s">
        <v>126</v>
      </c>
      <c r="BT878" t="s">
        <v>126</v>
      </c>
      <c r="BU878" t="s">
        <v>126</v>
      </c>
      <c r="BV878" t="s">
        <v>126</v>
      </c>
      <c r="CN878" t="s">
        <v>147</v>
      </c>
      <c r="CP878" t="s">
        <v>431</v>
      </c>
      <c r="CQ878" t="s">
        <v>147</v>
      </c>
    </row>
    <row r="879" spans="1:95" x14ac:dyDescent="0.2">
      <c r="A879" t="s">
        <v>115</v>
      </c>
      <c r="B879" t="s">
        <v>116</v>
      </c>
      <c r="C879">
        <v>210784</v>
      </c>
      <c r="E879" t="s">
        <v>117</v>
      </c>
      <c r="F879">
        <v>368</v>
      </c>
      <c r="G879" t="s">
        <v>141</v>
      </c>
      <c r="H879" t="s">
        <v>142</v>
      </c>
      <c r="I879" t="s">
        <v>279</v>
      </c>
      <c r="J879" t="s">
        <v>280</v>
      </c>
      <c r="L879" t="s">
        <v>434</v>
      </c>
      <c r="M879" s="8">
        <v>45839</v>
      </c>
      <c r="N879">
        <v>5753692</v>
      </c>
      <c r="O879" t="s">
        <v>123</v>
      </c>
      <c r="P879" t="s">
        <v>146</v>
      </c>
      <c r="Q879">
        <v>0.09</v>
      </c>
      <c r="R879" t="s">
        <v>732</v>
      </c>
      <c r="S879" t="s">
        <v>126</v>
      </c>
      <c r="T879" t="s">
        <v>732</v>
      </c>
      <c r="U879" t="s">
        <v>733</v>
      </c>
      <c r="W879">
        <v>0.03</v>
      </c>
      <c r="X879">
        <v>0.06</v>
      </c>
      <c r="Y879">
        <v>0.09</v>
      </c>
      <c r="Z879">
        <v>0.03</v>
      </c>
      <c r="AG879">
        <v>0.03</v>
      </c>
      <c r="AI879">
        <v>0.03</v>
      </c>
      <c r="BH879" t="s">
        <v>126</v>
      </c>
      <c r="BI879" t="s">
        <v>126</v>
      </c>
      <c r="BJ879" t="s">
        <v>126</v>
      </c>
      <c r="BK879" t="s">
        <v>126</v>
      </c>
      <c r="BS879" t="s">
        <v>126</v>
      </c>
      <c r="BT879" t="s">
        <v>126</v>
      </c>
      <c r="BU879" t="s">
        <v>126</v>
      </c>
      <c r="BV879" t="s">
        <v>126</v>
      </c>
      <c r="CN879" t="s">
        <v>147</v>
      </c>
      <c r="CP879" t="s">
        <v>431</v>
      </c>
      <c r="CQ879" t="s">
        <v>147</v>
      </c>
    </row>
    <row r="880" spans="1:95" x14ac:dyDescent="0.2">
      <c r="A880" t="s">
        <v>115</v>
      </c>
      <c r="B880" t="s">
        <v>116</v>
      </c>
      <c r="C880">
        <v>210784</v>
      </c>
      <c r="E880" t="s">
        <v>117</v>
      </c>
      <c r="F880">
        <v>368</v>
      </c>
      <c r="G880" t="s">
        <v>141</v>
      </c>
      <c r="H880" t="s">
        <v>142</v>
      </c>
      <c r="I880" t="s">
        <v>279</v>
      </c>
      <c r="J880" t="s">
        <v>280</v>
      </c>
      <c r="L880" t="s">
        <v>734</v>
      </c>
      <c r="M880" s="8">
        <v>45839</v>
      </c>
      <c r="N880">
        <v>5754905</v>
      </c>
      <c r="O880" t="s">
        <v>123</v>
      </c>
      <c r="P880" t="s">
        <v>146</v>
      </c>
      <c r="Q880">
        <v>3.2</v>
      </c>
      <c r="R880" t="s">
        <v>631</v>
      </c>
      <c r="S880" t="s">
        <v>126</v>
      </c>
      <c r="T880" t="s">
        <v>631</v>
      </c>
      <c r="U880" t="s">
        <v>632</v>
      </c>
      <c r="W880">
        <v>0.99</v>
      </c>
      <c r="X880">
        <v>2.21</v>
      </c>
      <c r="Y880">
        <v>3.2</v>
      </c>
      <c r="Z880">
        <v>1.21</v>
      </c>
      <c r="AG880">
        <v>0.99</v>
      </c>
      <c r="AI880">
        <v>1</v>
      </c>
      <c r="BH880" t="s">
        <v>126</v>
      </c>
      <c r="BI880" t="s">
        <v>126</v>
      </c>
      <c r="BJ880" t="s">
        <v>126</v>
      </c>
      <c r="BK880" t="s">
        <v>126</v>
      </c>
      <c r="BS880" t="s">
        <v>126</v>
      </c>
      <c r="BT880" t="s">
        <v>126</v>
      </c>
      <c r="BU880" t="s">
        <v>126</v>
      </c>
      <c r="BV880" t="s">
        <v>126</v>
      </c>
      <c r="CN880" t="s">
        <v>147</v>
      </c>
      <c r="CP880" t="s">
        <v>431</v>
      </c>
      <c r="CQ880" t="s">
        <v>147</v>
      </c>
    </row>
    <row r="881" spans="1:95" x14ac:dyDescent="0.2">
      <c r="A881" t="s">
        <v>115</v>
      </c>
      <c r="B881" t="s">
        <v>116</v>
      </c>
      <c r="C881">
        <v>210784</v>
      </c>
      <c r="E881" t="s">
        <v>117</v>
      </c>
      <c r="F881">
        <v>368</v>
      </c>
      <c r="G881" t="s">
        <v>141</v>
      </c>
      <c r="H881" t="s">
        <v>142</v>
      </c>
      <c r="I881" t="s">
        <v>279</v>
      </c>
      <c r="J881" t="s">
        <v>280</v>
      </c>
      <c r="L881" t="s">
        <v>735</v>
      </c>
      <c r="M881" s="8">
        <v>45839</v>
      </c>
      <c r="N881">
        <v>5756544</v>
      </c>
      <c r="O881" t="s">
        <v>123</v>
      </c>
      <c r="P881" t="s">
        <v>146</v>
      </c>
      <c r="Q881">
        <v>5.55</v>
      </c>
      <c r="R881" t="s">
        <v>610</v>
      </c>
      <c r="S881" t="s">
        <v>126</v>
      </c>
      <c r="T881" t="s">
        <v>610</v>
      </c>
      <c r="U881" t="s">
        <v>611</v>
      </c>
      <c r="W881">
        <v>1.71</v>
      </c>
      <c r="X881">
        <v>3.84</v>
      </c>
      <c r="Y881">
        <v>5.55</v>
      </c>
      <c r="Z881">
        <v>2.11</v>
      </c>
      <c r="AG881">
        <v>1.71</v>
      </c>
      <c r="AI881">
        <v>1.73</v>
      </c>
      <c r="BH881" t="s">
        <v>126</v>
      </c>
      <c r="BI881" t="s">
        <v>126</v>
      </c>
      <c r="BJ881" t="s">
        <v>126</v>
      </c>
      <c r="BK881" t="s">
        <v>126</v>
      </c>
      <c r="BS881" t="s">
        <v>126</v>
      </c>
      <c r="BT881" t="s">
        <v>126</v>
      </c>
      <c r="BU881" t="s">
        <v>126</v>
      </c>
      <c r="BV881" t="s">
        <v>126</v>
      </c>
      <c r="CN881" t="s">
        <v>147</v>
      </c>
      <c r="CP881" t="s">
        <v>431</v>
      </c>
      <c r="CQ881" t="s">
        <v>147</v>
      </c>
    </row>
    <row r="882" spans="1:95" x14ac:dyDescent="0.2">
      <c r="A882" t="s">
        <v>115</v>
      </c>
      <c r="B882" t="s">
        <v>116</v>
      </c>
      <c r="C882">
        <v>210784</v>
      </c>
      <c r="E882" t="s">
        <v>117</v>
      </c>
      <c r="F882">
        <v>368</v>
      </c>
      <c r="G882" t="s">
        <v>141</v>
      </c>
      <c r="H882" t="s">
        <v>142</v>
      </c>
      <c r="I882" t="s">
        <v>279</v>
      </c>
      <c r="J882" t="s">
        <v>280</v>
      </c>
      <c r="L882" t="s">
        <v>436</v>
      </c>
      <c r="M882" s="8">
        <v>45839</v>
      </c>
      <c r="N882">
        <v>5757034</v>
      </c>
      <c r="O882" t="s">
        <v>123</v>
      </c>
      <c r="P882" t="s">
        <v>146</v>
      </c>
      <c r="Q882">
        <v>4.76</v>
      </c>
      <c r="R882" t="s">
        <v>635</v>
      </c>
      <c r="S882" t="s">
        <v>126</v>
      </c>
      <c r="T882" t="s">
        <v>635</v>
      </c>
      <c r="U882" t="s">
        <v>636</v>
      </c>
      <c r="W882">
        <v>1.47</v>
      </c>
      <c r="X882">
        <v>3.29</v>
      </c>
      <c r="Y882">
        <v>4.76</v>
      </c>
      <c r="Z882">
        <v>1.81</v>
      </c>
      <c r="AG882">
        <v>1.47</v>
      </c>
      <c r="AI882">
        <v>1.48</v>
      </c>
      <c r="BH882" t="s">
        <v>126</v>
      </c>
      <c r="BI882" t="s">
        <v>126</v>
      </c>
      <c r="BJ882" t="s">
        <v>126</v>
      </c>
      <c r="BK882" t="s">
        <v>126</v>
      </c>
      <c r="BS882" t="s">
        <v>126</v>
      </c>
      <c r="BT882" t="s">
        <v>126</v>
      </c>
      <c r="BU882" t="s">
        <v>126</v>
      </c>
      <c r="BV882" t="s">
        <v>126</v>
      </c>
      <c r="CN882" t="s">
        <v>147</v>
      </c>
      <c r="CP882" t="s">
        <v>431</v>
      </c>
      <c r="CQ882" t="s">
        <v>147</v>
      </c>
    </row>
    <row r="883" spans="1:95" x14ac:dyDescent="0.2">
      <c r="A883" t="s">
        <v>115</v>
      </c>
      <c r="B883" t="s">
        <v>116</v>
      </c>
      <c r="C883">
        <v>210784</v>
      </c>
      <c r="E883" t="s">
        <v>117</v>
      </c>
      <c r="F883">
        <v>368</v>
      </c>
      <c r="G883" t="s">
        <v>141</v>
      </c>
      <c r="H883" t="s">
        <v>142</v>
      </c>
      <c r="I883" t="s">
        <v>279</v>
      </c>
      <c r="J883" t="s">
        <v>280</v>
      </c>
      <c r="L883" t="s">
        <v>436</v>
      </c>
      <c r="M883" s="8">
        <v>45839</v>
      </c>
      <c r="N883">
        <v>5757300</v>
      </c>
      <c r="O883" t="s">
        <v>123</v>
      </c>
      <c r="P883" t="s">
        <v>146</v>
      </c>
      <c r="Q883">
        <v>2</v>
      </c>
      <c r="R883" t="s">
        <v>681</v>
      </c>
      <c r="S883" t="s">
        <v>126</v>
      </c>
      <c r="T883" t="s">
        <v>681</v>
      </c>
      <c r="U883" t="s">
        <v>682</v>
      </c>
      <c r="W883">
        <v>0.62</v>
      </c>
      <c r="X883">
        <v>1.38</v>
      </c>
      <c r="Y883">
        <v>2</v>
      </c>
      <c r="Z883">
        <v>0.76</v>
      </c>
      <c r="AG883">
        <v>0.62</v>
      </c>
      <c r="AI883">
        <v>0.62</v>
      </c>
      <c r="BH883" t="s">
        <v>126</v>
      </c>
      <c r="BI883" t="s">
        <v>126</v>
      </c>
      <c r="BJ883" t="s">
        <v>126</v>
      </c>
      <c r="BK883" t="s">
        <v>126</v>
      </c>
      <c r="BS883" t="s">
        <v>126</v>
      </c>
      <c r="BT883" t="s">
        <v>126</v>
      </c>
      <c r="BU883" t="s">
        <v>126</v>
      </c>
      <c r="BV883" t="s">
        <v>126</v>
      </c>
      <c r="CN883" t="s">
        <v>147</v>
      </c>
      <c r="CP883" t="s">
        <v>431</v>
      </c>
      <c r="CQ883" t="s">
        <v>147</v>
      </c>
    </row>
    <row r="884" spans="1:95" x14ac:dyDescent="0.2">
      <c r="A884" t="s">
        <v>115</v>
      </c>
      <c r="B884" t="s">
        <v>116</v>
      </c>
      <c r="C884">
        <v>210784</v>
      </c>
      <c r="E884" t="s">
        <v>117</v>
      </c>
      <c r="F884">
        <v>368</v>
      </c>
      <c r="G884" t="s">
        <v>141</v>
      </c>
      <c r="H884" t="s">
        <v>142</v>
      </c>
      <c r="I884" t="s">
        <v>279</v>
      </c>
      <c r="J884" t="s">
        <v>280</v>
      </c>
      <c r="L884" t="s">
        <v>736</v>
      </c>
      <c r="M884" s="8">
        <v>45839</v>
      </c>
      <c r="N884">
        <v>5757377</v>
      </c>
      <c r="O884" t="s">
        <v>123</v>
      </c>
      <c r="P884" t="s">
        <v>146</v>
      </c>
      <c r="Q884">
        <v>4.17</v>
      </c>
      <c r="R884" t="s">
        <v>631</v>
      </c>
      <c r="S884" t="s">
        <v>126</v>
      </c>
      <c r="T884" t="s">
        <v>631</v>
      </c>
      <c r="U884" t="s">
        <v>632</v>
      </c>
      <c r="W884">
        <v>1.29</v>
      </c>
      <c r="X884">
        <v>2.88</v>
      </c>
      <c r="Y884">
        <v>4.17</v>
      </c>
      <c r="Z884">
        <v>1.58</v>
      </c>
      <c r="AG884">
        <v>1.29</v>
      </c>
      <c r="AI884">
        <v>1.3</v>
      </c>
      <c r="BH884" t="s">
        <v>126</v>
      </c>
      <c r="BI884" t="s">
        <v>126</v>
      </c>
      <c r="BJ884" t="s">
        <v>126</v>
      </c>
      <c r="BK884" t="s">
        <v>126</v>
      </c>
      <c r="BS884" t="s">
        <v>126</v>
      </c>
      <c r="BT884" t="s">
        <v>126</v>
      </c>
      <c r="BU884" t="s">
        <v>126</v>
      </c>
      <c r="BV884" t="s">
        <v>126</v>
      </c>
      <c r="CN884" t="s">
        <v>147</v>
      </c>
      <c r="CP884" t="s">
        <v>431</v>
      </c>
      <c r="CQ884" t="s">
        <v>147</v>
      </c>
    </row>
    <row r="885" spans="1:95" x14ac:dyDescent="0.2">
      <c r="A885" t="s">
        <v>115</v>
      </c>
      <c r="B885" t="s">
        <v>116</v>
      </c>
      <c r="C885">
        <v>210784</v>
      </c>
      <c r="E885" t="s">
        <v>117</v>
      </c>
      <c r="F885">
        <v>368</v>
      </c>
      <c r="G885" t="s">
        <v>141</v>
      </c>
      <c r="H885" t="s">
        <v>142</v>
      </c>
      <c r="I885" t="s">
        <v>279</v>
      </c>
      <c r="J885" t="s">
        <v>280</v>
      </c>
      <c r="L885" t="s">
        <v>437</v>
      </c>
      <c r="M885" s="8">
        <v>45839</v>
      </c>
      <c r="N885">
        <v>5758251</v>
      </c>
      <c r="O885" t="s">
        <v>123</v>
      </c>
      <c r="P885" t="s">
        <v>146</v>
      </c>
      <c r="Q885">
        <v>2.4699999999999998</v>
      </c>
      <c r="R885" t="s">
        <v>569</v>
      </c>
      <c r="S885" t="s">
        <v>126</v>
      </c>
      <c r="T885" t="s">
        <v>569</v>
      </c>
      <c r="U885" t="s">
        <v>570</v>
      </c>
      <c r="W885">
        <v>0.76</v>
      </c>
      <c r="X885">
        <v>1.71</v>
      </c>
      <c r="Y885">
        <v>2.4699999999999998</v>
      </c>
      <c r="Z885">
        <v>0.94</v>
      </c>
      <c r="AG885">
        <v>0.76</v>
      </c>
      <c r="AI885">
        <v>0.77</v>
      </c>
      <c r="BH885" t="s">
        <v>126</v>
      </c>
      <c r="BI885" t="s">
        <v>126</v>
      </c>
      <c r="BJ885" t="s">
        <v>126</v>
      </c>
      <c r="BK885" t="s">
        <v>126</v>
      </c>
      <c r="BS885" t="s">
        <v>126</v>
      </c>
      <c r="BT885" t="s">
        <v>126</v>
      </c>
      <c r="BU885" t="s">
        <v>126</v>
      </c>
      <c r="BV885" t="s">
        <v>126</v>
      </c>
      <c r="CN885" t="s">
        <v>147</v>
      </c>
      <c r="CP885" t="s">
        <v>431</v>
      </c>
      <c r="CQ885" t="s">
        <v>147</v>
      </c>
    </row>
    <row r="886" spans="1:95" x14ac:dyDescent="0.2">
      <c r="A886" t="s">
        <v>115</v>
      </c>
      <c r="B886" t="s">
        <v>116</v>
      </c>
      <c r="C886">
        <v>210784</v>
      </c>
      <c r="E886" t="s">
        <v>117</v>
      </c>
      <c r="F886">
        <v>368</v>
      </c>
      <c r="G886" t="s">
        <v>141</v>
      </c>
      <c r="H886" t="s">
        <v>142</v>
      </c>
      <c r="I886" t="s">
        <v>279</v>
      </c>
      <c r="J886" t="s">
        <v>280</v>
      </c>
      <c r="L886" t="s">
        <v>737</v>
      </c>
      <c r="M886" s="8">
        <v>45839</v>
      </c>
      <c r="N886">
        <v>5759879</v>
      </c>
      <c r="O886" t="s">
        <v>123</v>
      </c>
      <c r="P886" t="s">
        <v>146</v>
      </c>
      <c r="Q886">
        <v>4.17</v>
      </c>
      <c r="R886" t="s">
        <v>631</v>
      </c>
      <c r="S886" t="s">
        <v>126</v>
      </c>
      <c r="T886" t="s">
        <v>631</v>
      </c>
      <c r="U886" t="s">
        <v>632</v>
      </c>
      <c r="W886">
        <v>1.29</v>
      </c>
      <c r="X886">
        <v>2.88</v>
      </c>
      <c r="Y886">
        <v>4.17</v>
      </c>
      <c r="Z886">
        <v>1.58</v>
      </c>
      <c r="AG886">
        <v>1.29</v>
      </c>
      <c r="AI886">
        <v>1.3</v>
      </c>
      <c r="BH886" t="s">
        <v>126</v>
      </c>
      <c r="BI886" t="s">
        <v>126</v>
      </c>
      <c r="BJ886" t="s">
        <v>126</v>
      </c>
      <c r="BK886" t="s">
        <v>126</v>
      </c>
      <c r="BS886" t="s">
        <v>126</v>
      </c>
      <c r="BT886" t="s">
        <v>126</v>
      </c>
      <c r="BU886" t="s">
        <v>126</v>
      </c>
      <c r="BV886" t="s">
        <v>126</v>
      </c>
      <c r="CN886" t="s">
        <v>147</v>
      </c>
      <c r="CP886" t="s">
        <v>431</v>
      </c>
      <c r="CQ886" t="s">
        <v>147</v>
      </c>
    </row>
    <row r="887" spans="1:95" x14ac:dyDescent="0.2">
      <c r="A887" t="s">
        <v>115</v>
      </c>
      <c r="B887" t="s">
        <v>116</v>
      </c>
      <c r="C887">
        <v>210784</v>
      </c>
      <c r="E887" t="s">
        <v>117</v>
      </c>
      <c r="F887">
        <v>368</v>
      </c>
      <c r="G887" t="s">
        <v>141</v>
      </c>
      <c r="H887" t="s">
        <v>142</v>
      </c>
      <c r="I887" t="s">
        <v>279</v>
      </c>
      <c r="J887" t="s">
        <v>280</v>
      </c>
      <c r="L887" t="s">
        <v>431</v>
      </c>
      <c r="M887" s="8">
        <v>45839</v>
      </c>
      <c r="N887">
        <v>5764726</v>
      </c>
      <c r="O887" t="s">
        <v>123</v>
      </c>
      <c r="P887" t="s">
        <v>146</v>
      </c>
      <c r="Q887">
        <v>4.1000000000000005</v>
      </c>
      <c r="R887" t="s">
        <v>673</v>
      </c>
      <c r="S887" t="s">
        <v>126</v>
      </c>
      <c r="T887" t="s">
        <v>673</v>
      </c>
      <c r="U887" t="s">
        <v>674</v>
      </c>
      <c r="W887">
        <v>1.26</v>
      </c>
      <c r="X887">
        <v>2.84</v>
      </c>
      <c r="Y887">
        <v>4.1000000000000005</v>
      </c>
      <c r="Z887">
        <v>1.56</v>
      </c>
      <c r="AG887">
        <v>1.26</v>
      </c>
      <c r="AI887">
        <v>1.28</v>
      </c>
      <c r="BH887" t="s">
        <v>126</v>
      </c>
      <c r="BI887" t="s">
        <v>126</v>
      </c>
      <c r="BJ887" t="s">
        <v>126</v>
      </c>
      <c r="BK887" t="s">
        <v>126</v>
      </c>
      <c r="BS887" t="s">
        <v>126</v>
      </c>
      <c r="BT887" t="s">
        <v>126</v>
      </c>
      <c r="BU887" t="s">
        <v>126</v>
      </c>
      <c r="BV887" t="s">
        <v>126</v>
      </c>
      <c r="CN887" t="s">
        <v>147</v>
      </c>
      <c r="CP887" t="s">
        <v>442</v>
      </c>
      <c r="CQ887" t="s">
        <v>147</v>
      </c>
    </row>
    <row r="888" spans="1:95" x14ac:dyDescent="0.2">
      <c r="A888" t="s">
        <v>115</v>
      </c>
      <c r="B888" t="s">
        <v>116</v>
      </c>
      <c r="C888">
        <v>210784</v>
      </c>
      <c r="E888" t="s">
        <v>117</v>
      </c>
      <c r="F888">
        <v>368</v>
      </c>
      <c r="G888" t="s">
        <v>141</v>
      </c>
      <c r="H888" t="s">
        <v>142</v>
      </c>
      <c r="I888" t="s">
        <v>279</v>
      </c>
      <c r="J888" t="s">
        <v>280</v>
      </c>
      <c r="L888" t="s">
        <v>431</v>
      </c>
      <c r="M888" s="8">
        <v>45839</v>
      </c>
      <c r="N888">
        <v>5764777</v>
      </c>
      <c r="O888" t="s">
        <v>123</v>
      </c>
      <c r="P888" t="s">
        <v>146</v>
      </c>
      <c r="Q888">
        <v>4.1000000000000005</v>
      </c>
      <c r="R888" t="s">
        <v>673</v>
      </c>
      <c r="S888" t="s">
        <v>126</v>
      </c>
      <c r="T888" t="s">
        <v>673</v>
      </c>
      <c r="U888" t="s">
        <v>674</v>
      </c>
      <c r="W888">
        <v>1.26</v>
      </c>
      <c r="X888">
        <v>2.84</v>
      </c>
      <c r="Y888">
        <v>4.1000000000000005</v>
      </c>
      <c r="Z888">
        <v>1.56</v>
      </c>
      <c r="AG888">
        <v>1.26</v>
      </c>
      <c r="AI888">
        <v>1.28</v>
      </c>
      <c r="BH888" t="s">
        <v>126</v>
      </c>
      <c r="BI888" t="s">
        <v>126</v>
      </c>
      <c r="BJ888" t="s">
        <v>126</v>
      </c>
      <c r="BK888" t="s">
        <v>126</v>
      </c>
      <c r="BS888" t="s">
        <v>126</v>
      </c>
      <c r="BT888" t="s">
        <v>126</v>
      </c>
      <c r="BU888" t="s">
        <v>126</v>
      </c>
      <c r="BV888" t="s">
        <v>126</v>
      </c>
      <c r="CN888" t="s">
        <v>147</v>
      </c>
      <c r="CP888" t="s">
        <v>442</v>
      </c>
      <c r="CQ888" t="s">
        <v>147</v>
      </c>
    </row>
    <row r="889" spans="1:95" x14ac:dyDescent="0.2">
      <c r="A889" t="s">
        <v>115</v>
      </c>
      <c r="B889" t="s">
        <v>116</v>
      </c>
      <c r="C889">
        <v>210784</v>
      </c>
      <c r="E889" t="s">
        <v>117</v>
      </c>
      <c r="F889">
        <v>368</v>
      </c>
      <c r="G889" t="s">
        <v>141</v>
      </c>
      <c r="H889" t="s">
        <v>142</v>
      </c>
      <c r="I889" t="s">
        <v>279</v>
      </c>
      <c r="J889" t="s">
        <v>280</v>
      </c>
      <c r="L889" t="s">
        <v>431</v>
      </c>
      <c r="M889" s="8">
        <v>45839</v>
      </c>
      <c r="N889">
        <v>5764889</v>
      </c>
      <c r="O889" t="s">
        <v>123</v>
      </c>
      <c r="P889" t="s">
        <v>146</v>
      </c>
      <c r="Q889">
        <v>3.3200000000000003</v>
      </c>
      <c r="R889" t="s">
        <v>544</v>
      </c>
      <c r="S889" t="s">
        <v>126</v>
      </c>
      <c r="T889" t="s">
        <v>544</v>
      </c>
      <c r="U889" t="s">
        <v>545</v>
      </c>
      <c r="W889">
        <v>1.02</v>
      </c>
      <c r="X889">
        <v>2.2999999999999998</v>
      </c>
      <c r="Y889">
        <v>3.3200000000000003</v>
      </c>
      <c r="Z889">
        <v>1.27</v>
      </c>
      <c r="AG889">
        <v>1.02</v>
      </c>
      <c r="AI889">
        <v>1.03</v>
      </c>
      <c r="BH889" t="s">
        <v>126</v>
      </c>
      <c r="BI889" t="s">
        <v>126</v>
      </c>
      <c r="BJ889" t="s">
        <v>126</v>
      </c>
      <c r="BK889" t="s">
        <v>126</v>
      </c>
      <c r="BS889" t="s">
        <v>126</v>
      </c>
      <c r="BT889" t="s">
        <v>126</v>
      </c>
      <c r="BU889" t="s">
        <v>126</v>
      </c>
      <c r="BV889" t="s">
        <v>126</v>
      </c>
      <c r="CN889" t="s">
        <v>147</v>
      </c>
      <c r="CP889" t="s">
        <v>442</v>
      </c>
      <c r="CQ889" t="s">
        <v>147</v>
      </c>
    </row>
    <row r="890" spans="1:95" x14ac:dyDescent="0.2">
      <c r="A890" t="s">
        <v>115</v>
      </c>
      <c r="B890" t="s">
        <v>116</v>
      </c>
      <c r="C890">
        <v>210784</v>
      </c>
      <c r="E890" t="s">
        <v>117</v>
      </c>
      <c r="F890">
        <v>368</v>
      </c>
      <c r="G890" t="s">
        <v>141</v>
      </c>
      <c r="H890" t="s">
        <v>142</v>
      </c>
      <c r="I890" t="s">
        <v>279</v>
      </c>
      <c r="J890" t="s">
        <v>280</v>
      </c>
      <c r="L890" t="s">
        <v>174</v>
      </c>
      <c r="M890" s="8">
        <v>45839</v>
      </c>
      <c r="N890">
        <v>5746846</v>
      </c>
      <c r="O890" t="s">
        <v>123</v>
      </c>
      <c r="P890" t="s">
        <v>146</v>
      </c>
      <c r="Q890">
        <v>1.17</v>
      </c>
      <c r="R890" t="s">
        <v>125</v>
      </c>
      <c r="S890" t="s">
        <v>126</v>
      </c>
      <c r="T890" t="s">
        <v>125</v>
      </c>
      <c r="U890" t="s">
        <v>126</v>
      </c>
      <c r="W890">
        <v>1.17</v>
      </c>
      <c r="Y890">
        <v>1.17</v>
      </c>
      <c r="BE890">
        <v>1.17</v>
      </c>
      <c r="BH890" t="s">
        <v>126</v>
      </c>
      <c r="BI890" t="s">
        <v>126</v>
      </c>
      <c r="BJ890" t="s">
        <v>126</v>
      </c>
      <c r="BK890" t="s">
        <v>126</v>
      </c>
      <c r="BS890" t="s">
        <v>126</v>
      </c>
      <c r="BT890" t="s">
        <v>126</v>
      </c>
      <c r="BU890" t="s">
        <v>126</v>
      </c>
      <c r="BV890" t="s">
        <v>126</v>
      </c>
      <c r="CN890" t="s">
        <v>147</v>
      </c>
      <c r="CP890" t="s">
        <v>431</v>
      </c>
      <c r="CQ890" t="s">
        <v>147</v>
      </c>
    </row>
    <row r="891" spans="1:95" x14ac:dyDescent="0.2">
      <c r="A891" t="s">
        <v>115</v>
      </c>
      <c r="B891" t="s">
        <v>116</v>
      </c>
      <c r="C891">
        <v>210784</v>
      </c>
      <c r="E891" t="s">
        <v>117</v>
      </c>
      <c r="F891">
        <v>368</v>
      </c>
      <c r="G891" t="s">
        <v>141</v>
      </c>
      <c r="H891" t="s">
        <v>142</v>
      </c>
      <c r="I891" t="s">
        <v>279</v>
      </c>
      <c r="J891" t="s">
        <v>280</v>
      </c>
      <c r="L891" t="s">
        <v>893</v>
      </c>
      <c r="M891" s="8">
        <v>45839</v>
      </c>
      <c r="N891">
        <v>5748136</v>
      </c>
      <c r="O891" t="s">
        <v>123</v>
      </c>
      <c r="P891" t="s">
        <v>146</v>
      </c>
      <c r="Q891">
        <v>1.48</v>
      </c>
      <c r="R891" t="s">
        <v>125</v>
      </c>
      <c r="S891" t="s">
        <v>126</v>
      </c>
      <c r="T891" t="s">
        <v>125</v>
      </c>
      <c r="U891" t="s">
        <v>126</v>
      </c>
      <c r="W891">
        <v>1.48</v>
      </c>
      <c r="Y891">
        <v>1.48</v>
      </c>
      <c r="BE891">
        <v>1.48</v>
      </c>
      <c r="BH891" t="s">
        <v>126</v>
      </c>
      <c r="BI891" t="s">
        <v>126</v>
      </c>
      <c r="BJ891" t="s">
        <v>126</v>
      </c>
      <c r="BK891" t="s">
        <v>126</v>
      </c>
      <c r="BS891" t="s">
        <v>126</v>
      </c>
      <c r="BT891" t="s">
        <v>126</v>
      </c>
      <c r="BU891" t="s">
        <v>126</v>
      </c>
      <c r="BV891" t="s">
        <v>126</v>
      </c>
      <c r="CN891" t="s">
        <v>147</v>
      </c>
      <c r="CP891" t="s">
        <v>431</v>
      </c>
      <c r="CQ891" t="s">
        <v>147</v>
      </c>
    </row>
    <row r="892" spans="1:95" x14ac:dyDescent="0.2">
      <c r="A892" t="s">
        <v>115</v>
      </c>
      <c r="B892" t="s">
        <v>116</v>
      </c>
      <c r="C892">
        <v>210784</v>
      </c>
      <c r="E892" t="s">
        <v>117</v>
      </c>
      <c r="F892">
        <v>368</v>
      </c>
      <c r="G892" t="s">
        <v>141</v>
      </c>
      <c r="H892" t="s">
        <v>142</v>
      </c>
      <c r="I892" t="s">
        <v>279</v>
      </c>
      <c r="J892" t="s">
        <v>280</v>
      </c>
      <c r="L892" t="s">
        <v>730</v>
      </c>
      <c r="M892" s="8">
        <v>45839</v>
      </c>
      <c r="N892">
        <v>5749893</v>
      </c>
      <c r="O892" t="s">
        <v>123</v>
      </c>
      <c r="P892" t="s">
        <v>146</v>
      </c>
      <c r="Q892">
        <v>0.81</v>
      </c>
      <c r="R892" t="s">
        <v>125</v>
      </c>
      <c r="S892" t="s">
        <v>126</v>
      </c>
      <c r="T892" t="s">
        <v>125</v>
      </c>
      <c r="U892" t="s">
        <v>126</v>
      </c>
      <c r="W892">
        <v>0.81</v>
      </c>
      <c r="Y892">
        <v>0.81</v>
      </c>
      <c r="BE892">
        <v>0.81</v>
      </c>
      <c r="BH892" t="s">
        <v>126</v>
      </c>
      <c r="BI892" t="s">
        <v>126</v>
      </c>
      <c r="BJ892" t="s">
        <v>126</v>
      </c>
      <c r="BK892" t="s">
        <v>126</v>
      </c>
      <c r="BS892" t="s">
        <v>126</v>
      </c>
      <c r="BT892" t="s">
        <v>126</v>
      </c>
      <c r="BU892" t="s">
        <v>126</v>
      </c>
      <c r="BV892" t="s">
        <v>126</v>
      </c>
      <c r="CN892" t="s">
        <v>147</v>
      </c>
      <c r="CP892" t="s">
        <v>431</v>
      </c>
      <c r="CQ892" t="s">
        <v>147</v>
      </c>
    </row>
    <row r="893" spans="1:95" x14ac:dyDescent="0.2">
      <c r="A893" t="s">
        <v>115</v>
      </c>
      <c r="B893" t="s">
        <v>116</v>
      </c>
      <c r="C893">
        <v>210784</v>
      </c>
      <c r="E893" t="s">
        <v>117</v>
      </c>
      <c r="F893">
        <v>368</v>
      </c>
      <c r="G893" t="s">
        <v>141</v>
      </c>
      <c r="H893" t="s">
        <v>142</v>
      </c>
      <c r="I893" t="s">
        <v>279</v>
      </c>
      <c r="J893" t="s">
        <v>280</v>
      </c>
      <c r="L893" t="s">
        <v>894</v>
      </c>
      <c r="M893" s="8">
        <v>45839</v>
      </c>
      <c r="N893">
        <v>5752925</v>
      </c>
      <c r="O893" t="s">
        <v>123</v>
      </c>
      <c r="P893" t="s">
        <v>146</v>
      </c>
      <c r="Q893">
        <v>1.39</v>
      </c>
      <c r="R893" t="s">
        <v>125</v>
      </c>
      <c r="S893" t="s">
        <v>126</v>
      </c>
      <c r="T893" t="s">
        <v>125</v>
      </c>
      <c r="U893" t="s">
        <v>126</v>
      </c>
      <c r="W893">
        <v>1.39</v>
      </c>
      <c r="Y893">
        <v>1.39</v>
      </c>
      <c r="BE893">
        <v>1.39</v>
      </c>
      <c r="BH893" t="s">
        <v>126</v>
      </c>
      <c r="BI893" t="s">
        <v>126</v>
      </c>
      <c r="BJ893" t="s">
        <v>126</v>
      </c>
      <c r="BK893" t="s">
        <v>126</v>
      </c>
      <c r="BS893" t="s">
        <v>126</v>
      </c>
      <c r="BT893" t="s">
        <v>126</v>
      </c>
      <c r="BU893" t="s">
        <v>126</v>
      </c>
      <c r="BV893" t="s">
        <v>126</v>
      </c>
      <c r="CN893" t="s">
        <v>147</v>
      </c>
      <c r="CP893" t="s">
        <v>431</v>
      </c>
      <c r="CQ893" t="s">
        <v>147</v>
      </c>
    </row>
    <row r="894" spans="1:95" x14ac:dyDescent="0.2">
      <c r="A894" t="s">
        <v>115</v>
      </c>
      <c r="B894" t="s">
        <v>116</v>
      </c>
      <c r="C894">
        <v>210784</v>
      </c>
      <c r="E894" t="s">
        <v>117</v>
      </c>
      <c r="F894">
        <v>368</v>
      </c>
      <c r="G894" t="s">
        <v>141</v>
      </c>
      <c r="H894" t="s">
        <v>142</v>
      </c>
      <c r="I894" t="s">
        <v>279</v>
      </c>
      <c r="J894" t="s">
        <v>280</v>
      </c>
      <c r="L894" t="s">
        <v>734</v>
      </c>
      <c r="M894" s="8">
        <v>45839</v>
      </c>
      <c r="N894">
        <v>5754284</v>
      </c>
      <c r="O894" t="s">
        <v>123</v>
      </c>
      <c r="P894" t="s">
        <v>146</v>
      </c>
      <c r="Q894">
        <v>1.47</v>
      </c>
      <c r="R894" t="s">
        <v>125</v>
      </c>
      <c r="S894" t="s">
        <v>126</v>
      </c>
      <c r="T894" t="s">
        <v>125</v>
      </c>
      <c r="U894" t="s">
        <v>126</v>
      </c>
      <c r="W894">
        <v>1.47</v>
      </c>
      <c r="Y894">
        <v>1.47</v>
      </c>
      <c r="BE894">
        <v>1.47</v>
      </c>
      <c r="BH894" t="s">
        <v>126</v>
      </c>
      <c r="BI894" t="s">
        <v>126</v>
      </c>
      <c r="BJ894" t="s">
        <v>126</v>
      </c>
      <c r="BK894" t="s">
        <v>126</v>
      </c>
      <c r="BS894" t="s">
        <v>126</v>
      </c>
      <c r="BT894" t="s">
        <v>126</v>
      </c>
      <c r="BU894" t="s">
        <v>126</v>
      </c>
      <c r="BV894" t="s">
        <v>126</v>
      </c>
      <c r="CN894" t="s">
        <v>147</v>
      </c>
      <c r="CP894" t="s">
        <v>431</v>
      </c>
      <c r="CQ894" t="s">
        <v>147</v>
      </c>
    </row>
    <row r="895" spans="1:95" x14ac:dyDescent="0.2">
      <c r="A895" t="s">
        <v>115</v>
      </c>
      <c r="B895" t="s">
        <v>116</v>
      </c>
      <c r="C895">
        <v>210784</v>
      </c>
      <c r="E895" t="s">
        <v>117</v>
      </c>
      <c r="F895">
        <v>368</v>
      </c>
      <c r="G895" t="s">
        <v>141</v>
      </c>
      <c r="H895" t="s">
        <v>142</v>
      </c>
      <c r="I895" t="s">
        <v>279</v>
      </c>
      <c r="J895" t="s">
        <v>280</v>
      </c>
      <c r="L895" t="s">
        <v>435</v>
      </c>
      <c r="M895" s="8">
        <v>45839</v>
      </c>
      <c r="N895">
        <v>5755765</v>
      </c>
      <c r="O895" t="s">
        <v>123</v>
      </c>
      <c r="P895" t="s">
        <v>146</v>
      </c>
      <c r="Q895">
        <v>1.35</v>
      </c>
      <c r="R895" t="s">
        <v>125</v>
      </c>
      <c r="S895" t="s">
        <v>126</v>
      </c>
      <c r="T895" t="s">
        <v>125</v>
      </c>
      <c r="U895" t="s">
        <v>126</v>
      </c>
      <c r="W895">
        <v>1.35</v>
      </c>
      <c r="Y895">
        <v>1.35</v>
      </c>
      <c r="BE895">
        <v>1.35</v>
      </c>
      <c r="BH895" t="s">
        <v>126</v>
      </c>
      <c r="BI895" t="s">
        <v>126</v>
      </c>
      <c r="BJ895" t="s">
        <v>126</v>
      </c>
      <c r="BK895" t="s">
        <v>126</v>
      </c>
      <c r="BS895" t="s">
        <v>126</v>
      </c>
      <c r="BT895" t="s">
        <v>126</v>
      </c>
      <c r="BU895" t="s">
        <v>126</v>
      </c>
      <c r="BV895" t="s">
        <v>126</v>
      </c>
      <c r="CN895" t="s">
        <v>147</v>
      </c>
      <c r="CP895" t="s">
        <v>431</v>
      </c>
      <c r="CQ895" t="s">
        <v>147</v>
      </c>
    </row>
    <row r="896" spans="1:95" x14ac:dyDescent="0.2">
      <c r="A896" t="s">
        <v>115</v>
      </c>
      <c r="B896" t="s">
        <v>116</v>
      </c>
      <c r="C896">
        <v>210784</v>
      </c>
      <c r="E896" t="s">
        <v>117</v>
      </c>
      <c r="F896">
        <v>368</v>
      </c>
      <c r="G896" t="s">
        <v>141</v>
      </c>
      <c r="H896" t="s">
        <v>142</v>
      </c>
      <c r="I896" t="s">
        <v>279</v>
      </c>
      <c r="J896" t="s">
        <v>280</v>
      </c>
      <c r="L896" t="s">
        <v>735</v>
      </c>
      <c r="M896" s="8">
        <v>45839</v>
      </c>
      <c r="N896">
        <v>5755269</v>
      </c>
      <c r="O896" t="s">
        <v>123</v>
      </c>
      <c r="P896" t="s">
        <v>146</v>
      </c>
      <c r="Q896">
        <v>0.61</v>
      </c>
      <c r="R896" t="s">
        <v>125</v>
      </c>
      <c r="S896" t="s">
        <v>126</v>
      </c>
      <c r="T896" t="s">
        <v>125</v>
      </c>
      <c r="U896" t="s">
        <v>126</v>
      </c>
      <c r="W896">
        <v>0.61</v>
      </c>
      <c r="Y896">
        <v>0.61</v>
      </c>
      <c r="BE896">
        <v>0.61</v>
      </c>
      <c r="BH896" t="s">
        <v>126</v>
      </c>
      <c r="BI896" t="s">
        <v>126</v>
      </c>
      <c r="BJ896" t="s">
        <v>126</v>
      </c>
      <c r="BK896" t="s">
        <v>126</v>
      </c>
      <c r="BS896" t="s">
        <v>126</v>
      </c>
      <c r="BT896" t="s">
        <v>126</v>
      </c>
      <c r="BU896" t="s">
        <v>126</v>
      </c>
      <c r="BV896" t="s">
        <v>126</v>
      </c>
      <c r="CN896" t="s">
        <v>147</v>
      </c>
      <c r="CP896" t="s">
        <v>431</v>
      </c>
      <c r="CQ896" t="s">
        <v>147</v>
      </c>
    </row>
    <row r="897" spans="1:95" x14ac:dyDescent="0.2">
      <c r="A897" t="s">
        <v>115</v>
      </c>
      <c r="B897" t="s">
        <v>116</v>
      </c>
      <c r="C897">
        <v>210784</v>
      </c>
      <c r="E897" t="s">
        <v>117</v>
      </c>
      <c r="F897">
        <v>368</v>
      </c>
      <c r="G897" t="s">
        <v>141</v>
      </c>
      <c r="H897" t="s">
        <v>142</v>
      </c>
      <c r="I897" t="s">
        <v>279</v>
      </c>
      <c r="J897" t="s">
        <v>280</v>
      </c>
      <c r="L897" t="s">
        <v>895</v>
      </c>
      <c r="M897" s="8">
        <v>45839</v>
      </c>
      <c r="N897">
        <v>5760645</v>
      </c>
      <c r="O897" t="s">
        <v>123</v>
      </c>
      <c r="P897" t="s">
        <v>146</v>
      </c>
      <c r="Q897">
        <v>4.1900000000000004</v>
      </c>
      <c r="R897" t="s">
        <v>125</v>
      </c>
      <c r="S897" t="s">
        <v>126</v>
      </c>
      <c r="T897" t="s">
        <v>125</v>
      </c>
      <c r="U897" t="s">
        <v>126</v>
      </c>
      <c r="W897">
        <v>4.1900000000000004</v>
      </c>
      <c r="Y897">
        <v>4.1900000000000004</v>
      </c>
      <c r="BE897">
        <v>4.1900000000000004</v>
      </c>
      <c r="BH897" t="s">
        <v>126</v>
      </c>
      <c r="BI897" t="s">
        <v>126</v>
      </c>
      <c r="BJ897" t="s">
        <v>126</v>
      </c>
      <c r="BK897" t="s">
        <v>126</v>
      </c>
      <c r="BS897" t="s">
        <v>126</v>
      </c>
      <c r="BT897" t="s">
        <v>126</v>
      </c>
      <c r="BU897" t="s">
        <v>126</v>
      </c>
      <c r="BV897" t="s">
        <v>126</v>
      </c>
      <c r="CN897" t="s">
        <v>147</v>
      </c>
      <c r="CP897" t="s">
        <v>431</v>
      </c>
      <c r="CQ897" t="s">
        <v>147</v>
      </c>
    </row>
    <row r="898" spans="1:95" x14ac:dyDescent="0.2">
      <c r="A898" t="s">
        <v>115</v>
      </c>
      <c r="B898" t="s">
        <v>116</v>
      </c>
      <c r="C898">
        <v>210784</v>
      </c>
      <c r="E898" t="s">
        <v>117</v>
      </c>
      <c r="F898">
        <v>368</v>
      </c>
      <c r="G898" t="s">
        <v>118</v>
      </c>
      <c r="H898" t="s">
        <v>119</v>
      </c>
      <c r="I898" t="s">
        <v>120</v>
      </c>
      <c r="J898" t="s">
        <v>121</v>
      </c>
      <c r="L898" t="s">
        <v>298</v>
      </c>
      <c r="M898" s="8">
        <v>45870</v>
      </c>
      <c r="N898">
        <v>134024</v>
      </c>
      <c r="O898" t="s">
        <v>123</v>
      </c>
      <c r="P898" t="s">
        <v>124</v>
      </c>
      <c r="Q898">
        <v>10.74</v>
      </c>
      <c r="R898" t="s">
        <v>125</v>
      </c>
      <c r="S898" t="s">
        <v>126</v>
      </c>
      <c r="T898" t="s">
        <v>125</v>
      </c>
      <c r="U898" t="s">
        <v>126</v>
      </c>
      <c r="W898">
        <v>10.74</v>
      </c>
      <c r="Y898">
        <v>10.74</v>
      </c>
      <c r="AC898">
        <v>10.74</v>
      </c>
      <c r="BH898" t="s">
        <v>126</v>
      </c>
      <c r="BI898" t="s">
        <v>126</v>
      </c>
      <c r="BJ898" t="s">
        <v>126</v>
      </c>
      <c r="BK898" t="s">
        <v>126</v>
      </c>
      <c r="BS898" t="s">
        <v>126</v>
      </c>
      <c r="BT898" t="s">
        <v>126</v>
      </c>
      <c r="BU898" t="s">
        <v>126</v>
      </c>
      <c r="BV898" t="s">
        <v>126</v>
      </c>
      <c r="CN898" t="s">
        <v>127</v>
      </c>
      <c r="CP898" t="s">
        <v>128</v>
      </c>
      <c r="CQ898" t="s">
        <v>127</v>
      </c>
    </row>
    <row r="899" spans="1:95" x14ac:dyDescent="0.2">
      <c r="A899" t="s">
        <v>115</v>
      </c>
      <c r="B899" t="s">
        <v>116</v>
      </c>
      <c r="C899">
        <v>210784</v>
      </c>
      <c r="E899" t="s">
        <v>117</v>
      </c>
      <c r="F899">
        <v>368</v>
      </c>
      <c r="G899" t="s">
        <v>118</v>
      </c>
      <c r="H899" t="s">
        <v>119</v>
      </c>
      <c r="I899" t="s">
        <v>120</v>
      </c>
      <c r="J899" t="s">
        <v>121</v>
      </c>
      <c r="L899" t="s">
        <v>299</v>
      </c>
      <c r="M899" s="8">
        <v>45870</v>
      </c>
      <c r="N899">
        <v>134066</v>
      </c>
      <c r="O899" t="s">
        <v>123</v>
      </c>
      <c r="P899" t="s">
        <v>124</v>
      </c>
      <c r="Q899">
        <v>11.28</v>
      </c>
      <c r="R899" t="s">
        <v>125</v>
      </c>
      <c r="S899" t="s">
        <v>126</v>
      </c>
      <c r="T899" t="s">
        <v>125</v>
      </c>
      <c r="U899" t="s">
        <v>126</v>
      </c>
      <c r="W899">
        <v>11.28</v>
      </c>
      <c r="Y899">
        <v>11.28</v>
      </c>
      <c r="AC899">
        <v>11.28</v>
      </c>
      <c r="BH899" t="s">
        <v>126</v>
      </c>
      <c r="BI899" t="s">
        <v>126</v>
      </c>
      <c r="BJ899" t="s">
        <v>126</v>
      </c>
      <c r="BK899" t="s">
        <v>126</v>
      </c>
      <c r="BS899" t="s">
        <v>126</v>
      </c>
      <c r="BT899" t="s">
        <v>126</v>
      </c>
      <c r="BU899" t="s">
        <v>126</v>
      </c>
      <c r="BV899" t="s">
        <v>126</v>
      </c>
      <c r="CN899" t="s">
        <v>127</v>
      </c>
      <c r="CP899" t="s">
        <v>128</v>
      </c>
      <c r="CQ899" t="s">
        <v>127</v>
      </c>
    </row>
    <row r="900" spans="1:95" x14ac:dyDescent="0.2">
      <c r="A900" t="s">
        <v>115</v>
      </c>
      <c r="B900" t="s">
        <v>116</v>
      </c>
      <c r="C900">
        <v>210784</v>
      </c>
      <c r="E900" t="s">
        <v>117</v>
      </c>
      <c r="F900">
        <v>368</v>
      </c>
      <c r="G900" t="s">
        <v>118</v>
      </c>
      <c r="H900" t="s">
        <v>119</v>
      </c>
      <c r="I900" t="s">
        <v>120</v>
      </c>
      <c r="J900" t="s">
        <v>121</v>
      </c>
      <c r="L900" t="s">
        <v>299</v>
      </c>
      <c r="M900" s="8">
        <v>45870</v>
      </c>
      <c r="N900">
        <v>134067</v>
      </c>
      <c r="O900" t="s">
        <v>123</v>
      </c>
      <c r="P900" t="s">
        <v>124</v>
      </c>
      <c r="Q900">
        <v>12.6</v>
      </c>
      <c r="R900" t="s">
        <v>125</v>
      </c>
      <c r="S900" t="s">
        <v>126</v>
      </c>
      <c r="T900" t="s">
        <v>125</v>
      </c>
      <c r="U900" t="s">
        <v>126</v>
      </c>
      <c r="W900">
        <v>12.6</v>
      </c>
      <c r="Y900">
        <v>12.6</v>
      </c>
      <c r="AC900">
        <v>12.6</v>
      </c>
      <c r="BH900" t="s">
        <v>126</v>
      </c>
      <c r="BI900" t="s">
        <v>126</v>
      </c>
      <c r="BJ900" t="s">
        <v>126</v>
      </c>
      <c r="BK900" t="s">
        <v>126</v>
      </c>
      <c r="BS900" t="s">
        <v>126</v>
      </c>
      <c r="BT900" t="s">
        <v>126</v>
      </c>
      <c r="BU900" t="s">
        <v>126</v>
      </c>
      <c r="BV900" t="s">
        <v>126</v>
      </c>
      <c r="CN900" t="s">
        <v>127</v>
      </c>
      <c r="CP900" t="s">
        <v>128</v>
      </c>
      <c r="CQ900" t="s">
        <v>127</v>
      </c>
    </row>
    <row r="901" spans="1:95" x14ac:dyDescent="0.2">
      <c r="A901" t="s">
        <v>115</v>
      </c>
      <c r="B901" t="s">
        <v>116</v>
      </c>
      <c r="C901">
        <v>210784</v>
      </c>
      <c r="E901" t="s">
        <v>117</v>
      </c>
      <c r="F901">
        <v>368</v>
      </c>
      <c r="G901" t="s">
        <v>118</v>
      </c>
      <c r="H901" t="s">
        <v>119</v>
      </c>
      <c r="I901" t="s">
        <v>120</v>
      </c>
      <c r="J901" t="s">
        <v>121</v>
      </c>
      <c r="L901" t="s">
        <v>299</v>
      </c>
      <c r="M901" s="8">
        <v>45870</v>
      </c>
      <c r="N901">
        <v>134080</v>
      </c>
      <c r="O901" t="s">
        <v>123</v>
      </c>
      <c r="P901" t="s">
        <v>124</v>
      </c>
      <c r="Q901">
        <v>13.04</v>
      </c>
      <c r="R901" t="s">
        <v>125</v>
      </c>
      <c r="S901" t="s">
        <v>126</v>
      </c>
      <c r="T901" t="s">
        <v>125</v>
      </c>
      <c r="U901" t="s">
        <v>126</v>
      </c>
      <c r="W901">
        <v>13.04</v>
      </c>
      <c r="Y901">
        <v>13.04</v>
      </c>
      <c r="AC901">
        <v>13.04</v>
      </c>
      <c r="BH901" t="s">
        <v>126</v>
      </c>
      <c r="BI901" t="s">
        <v>126</v>
      </c>
      <c r="BJ901" t="s">
        <v>126</v>
      </c>
      <c r="BK901" t="s">
        <v>126</v>
      </c>
      <c r="BS901" t="s">
        <v>126</v>
      </c>
      <c r="BT901" t="s">
        <v>126</v>
      </c>
      <c r="BU901" t="s">
        <v>126</v>
      </c>
      <c r="BV901" t="s">
        <v>126</v>
      </c>
      <c r="CN901" t="s">
        <v>127</v>
      </c>
      <c r="CP901" t="s">
        <v>128</v>
      </c>
      <c r="CQ901" t="s">
        <v>127</v>
      </c>
    </row>
    <row r="902" spans="1:95" x14ac:dyDescent="0.2">
      <c r="A902" t="s">
        <v>115</v>
      </c>
      <c r="B902" t="s">
        <v>116</v>
      </c>
      <c r="C902">
        <v>210784</v>
      </c>
      <c r="E902" t="s">
        <v>117</v>
      </c>
      <c r="F902">
        <v>368</v>
      </c>
      <c r="G902" t="s">
        <v>141</v>
      </c>
      <c r="H902" t="s">
        <v>142</v>
      </c>
      <c r="I902" t="s">
        <v>279</v>
      </c>
      <c r="J902" t="s">
        <v>280</v>
      </c>
      <c r="L902" t="s">
        <v>175</v>
      </c>
      <c r="M902" s="8">
        <v>45870</v>
      </c>
      <c r="N902">
        <v>5766780</v>
      </c>
      <c r="O902" t="s">
        <v>123</v>
      </c>
      <c r="P902" t="s">
        <v>146</v>
      </c>
      <c r="Q902">
        <v>1.1200000000000001</v>
      </c>
      <c r="R902" t="s">
        <v>125</v>
      </c>
      <c r="S902" t="s">
        <v>126</v>
      </c>
      <c r="T902" t="s">
        <v>125</v>
      </c>
      <c r="U902" t="s">
        <v>126</v>
      </c>
      <c r="W902">
        <v>1.1200000000000001</v>
      </c>
      <c r="Y902">
        <v>1.1200000000000001</v>
      </c>
      <c r="AS902">
        <v>1.1200000000000001</v>
      </c>
      <c r="BH902" t="s">
        <v>126</v>
      </c>
      <c r="BI902" t="s">
        <v>126</v>
      </c>
      <c r="BJ902" t="s">
        <v>126</v>
      </c>
      <c r="BK902" t="s">
        <v>126</v>
      </c>
      <c r="BS902" t="s">
        <v>126</v>
      </c>
      <c r="BT902" t="s">
        <v>126</v>
      </c>
      <c r="BU902" t="s">
        <v>126</v>
      </c>
      <c r="BV902" t="s">
        <v>126</v>
      </c>
      <c r="CN902" t="s">
        <v>147</v>
      </c>
      <c r="CP902" t="s">
        <v>442</v>
      </c>
      <c r="CQ902" t="s">
        <v>147</v>
      </c>
    </row>
    <row r="903" spans="1:95" x14ac:dyDescent="0.2">
      <c r="A903" t="s">
        <v>115</v>
      </c>
      <c r="B903" t="s">
        <v>116</v>
      </c>
      <c r="C903">
        <v>210784</v>
      </c>
      <c r="E903" t="s">
        <v>117</v>
      </c>
      <c r="F903">
        <v>368</v>
      </c>
      <c r="G903" t="s">
        <v>141</v>
      </c>
      <c r="H903" t="s">
        <v>142</v>
      </c>
      <c r="I903" t="s">
        <v>279</v>
      </c>
      <c r="J903" t="s">
        <v>280</v>
      </c>
      <c r="L903" t="s">
        <v>443</v>
      </c>
      <c r="M903" s="8">
        <v>45870</v>
      </c>
      <c r="N903">
        <v>5768325</v>
      </c>
      <c r="O903" t="s">
        <v>123</v>
      </c>
      <c r="P903" t="s">
        <v>146</v>
      </c>
      <c r="Q903">
        <v>3.9</v>
      </c>
      <c r="R903" t="s">
        <v>125</v>
      </c>
      <c r="S903" t="s">
        <v>126</v>
      </c>
      <c r="T903" t="s">
        <v>125</v>
      </c>
      <c r="U903" t="s">
        <v>126</v>
      </c>
      <c r="W903">
        <v>3.9</v>
      </c>
      <c r="Y903">
        <v>3.9</v>
      </c>
      <c r="AS903">
        <v>3.9</v>
      </c>
      <c r="BH903" t="s">
        <v>126</v>
      </c>
      <c r="BI903" t="s">
        <v>126</v>
      </c>
      <c r="BJ903" t="s">
        <v>126</v>
      </c>
      <c r="BK903" t="s">
        <v>126</v>
      </c>
      <c r="BS903" t="s">
        <v>126</v>
      </c>
      <c r="BT903" t="s">
        <v>126</v>
      </c>
      <c r="BU903" t="s">
        <v>126</v>
      </c>
      <c r="BV903" t="s">
        <v>126</v>
      </c>
      <c r="CN903" t="s">
        <v>147</v>
      </c>
      <c r="CP903" t="s">
        <v>442</v>
      </c>
      <c r="CQ903" t="s">
        <v>147</v>
      </c>
    </row>
    <row r="904" spans="1:95" x14ac:dyDescent="0.2">
      <c r="A904" t="s">
        <v>115</v>
      </c>
      <c r="B904" t="s">
        <v>116</v>
      </c>
      <c r="C904">
        <v>210784</v>
      </c>
      <c r="E904" t="s">
        <v>117</v>
      </c>
      <c r="F904">
        <v>368</v>
      </c>
      <c r="G904" t="s">
        <v>141</v>
      </c>
      <c r="H904" t="s">
        <v>142</v>
      </c>
      <c r="I904" t="s">
        <v>279</v>
      </c>
      <c r="J904" t="s">
        <v>280</v>
      </c>
      <c r="L904" t="s">
        <v>444</v>
      </c>
      <c r="M904" s="8">
        <v>45870</v>
      </c>
      <c r="N904">
        <v>5769247</v>
      </c>
      <c r="O904" t="s">
        <v>123</v>
      </c>
      <c r="P904" t="s">
        <v>146</v>
      </c>
      <c r="Q904">
        <v>3.51</v>
      </c>
      <c r="R904" t="s">
        <v>125</v>
      </c>
      <c r="S904" t="s">
        <v>126</v>
      </c>
      <c r="T904" t="s">
        <v>125</v>
      </c>
      <c r="U904" t="s">
        <v>126</v>
      </c>
      <c r="W904">
        <v>3.51</v>
      </c>
      <c r="Y904">
        <v>3.51</v>
      </c>
      <c r="AS904">
        <v>3.51</v>
      </c>
      <c r="BH904" t="s">
        <v>126</v>
      </c>
      <c r="BI904" t="s">
        <v>126</v>
      </c>
      <c r="BJ904" t="s">
        <v>126</v>
      </c>
      <c r="BK904" t="s">
        <v>126</v>
      </c>
      <c r="BS904" t="s">
        <v>126</v>
      </c>
      <c r="BT904" t="s">
        <v>126</v>
      </c>
      <c r="BU904" t="s">
        <v>126</v>
      </c>
      <c r="BV904" t="s">
        <v>126</v>
      </c>
      <c r="CN904" t="s">
        <v>147</v>
      </c>
      <c r="CP904" t="s">
        <v>442</v>
      </c>
      <c r="CQ904" t="s">
        <v>147</v>
      </c>
    </row>
    <row r="905" spans="1:95" x14ac:dyDescent="0.2">
      <c r="A905" t="s">
        <v>115</v>
      </c>
      <c r="B905" t="s">
        <v>116</v>
      </c>
      <c r="C905">
        <v>210784</v>
      </c>
      <c r="E905" t="s">
        <v>117</v>
      </c>
      <c r="F905">
        <v>368</v>
      </c>
      <c r="G905" t="s">
        <v>141</v>
      </c>
      <c r="H905" t="s">
        <v>142</v>
      </c>
      <c r="I905" t="s">
        <v>279</v>
      </c>
      <c r="J905" t="s">
        <v>280</v>
      </c>
      <c r="L905" t="s">
        <v>445</v>
      </c>
      <c r="M905" s="8">
        <v>45870</v>
      </c>
      <c r="N905">
        <v>5770098</v>
      </c>
      <c r="O905" t="s">
        <v>123</v>
      </c>
      <c r="P905" t="s">
        <v>146</v>
      </c>
      <c r="Q905">
        <v>4.59</v>
      </c>
      <c r="R905" t="s">
        <v>125</v>
      </c>
      <c r="S905" t="s">
        <v>126</v>
      </c>
      <c r="T905" t="s">
        <v>125</v>
      </c>
      <c r="U905" t="s">
        <v>126</v>
      </c>
      <c r="W905">
        <v>4.59</v>
      </c>
      <c r="Y905">
        <v>4.59</v>
      </c>
      <c r="AS905">
        <v>4.59</v>
      </c>
      <c r="BH905" t="s">
        <v>126</v>
      </c>
      <c r="BI905" t="s">
        <v>126</v>
      </c>
      <c r="BJ905" t="s">
        <v>126</v>
      </c>
      <c r="BK905" t="s">
        <v>126</v>
      </c>
      <c r="BS905" t="s">
        <v>126</v>
      </c>
      <c r="BT905" t="s">
        <v>126</v>
      </c>
      <c r="BU905" t="s">
        <v>126</v>
      </c>
      <c r="BV905" t="s">
        <v>126</v>
      </c>
      <c r="CN905" t="s">
        <v>147</v>
      </c>
      <c r="CP905" t="s">
        <v>442</v>
      </c>
      <c r="CQ905" t="s">
        <v>147</v>
      </c>
    </row>
    <row r="906" spans="1:95" x14ac:dyDescent="0.2">
      <c r="A906" t="s">
        <v>115</v>
      </c>
      <c r="B906" t="s">
        <v>116</v>
      </c>
      <c r="C906">
        <v>210784</v>
      </c>
      <c r="E906" t="s">
        <v>117</v>
      </c>
      <c r="F906">
        <v>368</v>
      </c>
      <c r="G906" t="s">
        <v>141</v>
      </c>
      <c r="H906" t="s">
        <v>142</v>
      </c>
      <c r="I906" t="s">
        <v>279</v>
      </c>
      <c r="J906" t="s">
        <v>280</v>
      </c>
      <c r="L906" t="s">
        <v>446</v>
      </c>
      <c r="M906" s="8">
        <v>45870</v>
      </c>
      <c r="N906">
        <v>5770327</v>
      </c>
      <c r="O906" t="s">
        <v>123</v>
      </c>
      <c r="P906" t="s">
        <v>146</v>
      </c>
      <c r="Q906">
        <v>3.64</v>
      </c>
      <c r="R906" t="s">
        <v>125</v>
      </c>
      <c r="S906" t="s">
        <v>126</v>
      </c>
      <c r="T906" t="s">
        <v>125</v>
      </c>
      <c r="U906" t="s">
        <v>126</v>
      </c>
      <c r="W906">
        <v>3.64</v>
      </c>
      <c r="Y906">
        <v>3.64</v>
      </c>
      <c r="AS906">
        <v>3.64</v>
      </c>
      <c r="BH906" t="s">
        <v>126</v>
      </c>
      <c r="BI906" t="s">
        <v>126</v>
      </c>
      <c r="BJ906" t="s">
        <v>126</v>
      </c>
      <c r="BK906" t="s">
        <v>126</v>
      </c>
      <c r="BS906" t="s">
        <v>126</v>
      </c>
      <c r="BT906" t="s">
        <v>126</v>
      </c>
      <c r="BU906" t="s">
        <v>126</v>
      </c>
      <c r="BV906" t="s">
        <v>126</v>
      </c>
      <c r="CN906" t="s">
        <v>147</v>
      </c>
      <c r="CP906" t="s">
        <v>442</v>
      </c>
      <c r="CQ906" t="s">
        <v>147</v>
      </c>
    </row>
    <row r="907" spans="1:95" x14ac:dyDescent="0.2">
      <c r="A907" t="s">
        <v>115</v>
      </c>
      <c r="B907" t="s">
        <v>116</v>
      </c>
      <c r="C907">
        <v>210784</v>
      </c>
      <c r="E907" t="s">
        <v>117</v>
      </c>
      <c r="F907">
        <v>368</v>
      </c>
      <c r="G907" t="s">
        <v>141</v>
      </c>
      <c r="H907" t="s">
        <v>142</v>
      </c>
      <c r="I907" t="s">
        <v>279</v>
      </c>
      <c r="J907" t="s">
        <v>280</v>
      </c>
      <c r="L907" t="s">
        <v>447</v>
      </c>
      <c r="M907" s="8">
        <v>45870</v>
      </c>
      <c r="N907">
        <v>5770693</v>
      </c>
      <c r="O907" t="s">
        <v>123</v>
      </c>
      <c r="P907" t="s">
        <v>146</v>
      </c>
      <c r="Q907">
        <v>5.9</v>
      </c>
      <c r="R907" t="s">
        <v>125</v>
      </c>
      <c r="S907" t="s">
        <v>126</v>
      </c>
      <c r="T907" t="s">
        <v>125</v>
      </c>
      <c r="U907" t="s">
        <v>126</v>
      </c>
      <c r="W907">
        <v>5.9</v>
      </c>
      <c r="Y907">
        <v>5.9</v>
      </c>
      <c r="AS907">
        <v>5.9</v>
      </c>
      <c r="BH907" t="s">
        <v>126</v>
      </c>
      <c r="BI907" t="s">
        <v>126</v>
      </c>
      <c r="BJ907" t="s">
        <v>126</v>
      </c>
      <c r="BK907" t="s">
        <v>126</v>
      </c>
      <c r="BS907" t="s">
        <v>126</v>
      </c>
      <c r="BT907" t="s">
        <v>126</v>
      </c>
      <c r="BU907" t="s">
        <v>126</v>
      </c>
      <c r="BV907" t="s">
        <v>126</v>
      </c>
      <c r="CN907" t="s">
        <v>147</v>
      </c>
      <c r="CP907" t="s">
        <v>442</v>
      </c>
      <c r="CQ907" t="s">
        <v>147</v>
      </c>
    </row>
    <row r="908" spans="1:95" x14ac:dyDescent="0.2">
      <c r="A908" t="s">
        <v>115</v>
      </c>
      <c r="B908" t="s">
        <v>116</v>
      </c>
      <c r="C908">
        <v>210784</v>
      </c>
      <c r="E908" t="s">
        <v>117</v>
      </c>
      <c r="F908">
        <v>368</v>
      </c>
      <c r="G908" t="s">
        <v>141</v>
      </c>
      <c r="H908" t="s">
        <v>142</v>
      </c>
      <c r="I908" t="s">
        <v>279</v>
      </c>
      <c r="J908" t="s">
        <v>280</v>
      </c>
      <c r="L908" t="s">
        <v>448</v>
      </c>
      <c r="M908" s="8">
        <v>45870</v>
      </c>
      <c r="N908">
        <v>5771299</v>
      </c>
      <c r="O908" t="s">
        <v>123</v>
      </c>
      <c r="P908" t="s">
        <v>146</v>
      </c>
      <c r="Q908">
        <v>2.82</v>
      </c>
      <c r="R908" t="s">
        <v>125</v>
      </c>
      <c r="S908" t="s">
        <v>126</v>
      </c>
      <c r="T908" t="s">
        <v>125</v>
      </c>
      <c r="U908" t="s">
        <v>126</v>
      </c>
      <c r="W908">
        <v>2.82</v>
      </c>
      <c r="Y908">
        <v>2.82</v>
      </c>
      <c r="AS908">
        <v>2.82</v>
      </c>
      <c r="BH908" t="s">
        <v>126</v>
      </c>
      <c r="BI908" t="s">
        <v>126</v>
      </c>
      <c r="BJ908" t="s">
        <v>126</v>
      </c>
      <c r="BK908" t="s">
        <v>126</v>
      </c>
      <c r="BS908" t="s">
        <v>126</v>
      </c>
      <c r="BT908" t="s">
        <v>126</v>
      </c>
      <c r="BU908" t="s">
        <v>126</v>
      </c>
      <c r="BV908" t="s">
        <v>126</v>
      </c>
      <c r="CN908" t="s">
        <v>147</v>
      </c>
      <c r="CP908" t="s">
        <v>442</v>
      </c>
      <c r="CQ908" t="s">
        <v>147</v>
      </c>
    </row>
    <row r="909" spans="1:95" x14ac:dyDescent="0.2">
      <c r="A909" t="s">
        <v>115</v>
      </c>
      <c r="B909" t="s">
        <v>116</v>
      </c>
      <c r="C909">
        <v>210784</v>
      </c>
      <c r="E909" t="s">
        <v>117</v>
      </c>
      <c r="F909">
        <v>368</v>
      </c>
      <c r="G909" t="s">
        <v>141</v>
      </c>
      <c r="H909" t="s">
        <v>142</v>
      </c>
      <c r="I909" t="s">
        <v>279</v>
      </c>
      <c r="J909" t="s">
        <v>280</v>
      </c>
      <c r="L909" t="s">
        <v>448</v>
      </c>
      <c r="M909" s="8">
        <v>45870</v>
      </c>
      <c r="N909">
        <v>5771997</v>
      </c>
      <c r="O909" t="s">
        <v>123</v>
      </c>
      <c r="P909" t="s">
        <v>146</v>
      </c>
      <c r="Q909">
        <v>3.68</v>
      </c>
      <c r="R909" t="s">
        <v>125</v>
      </c>
      <c r="S909" t="s">
        <v>126</v>
      </c>
      <c r="T909" t="s">
        <v>125</v>
      </c>
      <c r="U909" t="s">
        <v>126</v>
      </c>
      <c r="W909">
        <v>3.68</v>
      </c>
      <c r="Y909">
        <v>3.68</v>
      </c>
      <c r="AS909">
        <v>3.68</v>
      </c>
      <c r="BH909" t="s">
        <v>126</v>
      </c>
      <c r="BI909" t="s">
        <v>126</v>
      </c>
      <c r="BJ909" t="s">
        <v>126</v>
      </c>
      <c r="BK909" t="s">
        <v>126</v>
      </c>
      <c r="BS909" t="s">
        <v>126</v>
      </c>
      <c r="BT909" t="s">
        <v>126</v>
      </c>
      <c r="BU909" t="s">
        <v>126</v>
      </c>
      <c r="BV909" t="s">
        <v>126</v>
      </c>
      <c r="CN909" t="s">
        <v>147</v>
      </c>
      <c r="CP909" t="s">
        <v>442</v>
      </c>
      <c r="CQ909" t="s">
        <v>147</v>
      </c>
    </row>
    <row r="910" spans="1:95" x14ac:dyDescent="0.2">
      <c r="A910" t="s">
        <v>115</v>
      </c>
      <c r="B910" t="s">
        <v>116</v>
      </c>
      <c r="C910">
        <v>210784</v>
      </c>
      <c r="E910" t="s">
        <v>117</v>
      </c>
      <c r="F910">
        <v>368</v>
      </c>
      <c r="G910" t="s">
        <v>141</v>
      </c>
      <c r="H910" t="s">
        <v>142</v>
      </c>
      <c r="I910" t="s">
        <v>279</v>
      </c>
      <c r="J910" t="s">
        <v>280</v>
      </c>
      <c r="L910" t="s">
        <v>449</v>
      </c>
      <c r="M910" s="8">
        <v>45870</v>
      </c>
      <c r="N910">
        <v>5772794</v>
      </c>
      <c r="O910" t="s">
        <v>123</v>
      </c>
      <c r="P910" t="s">
        <v>146</v>
      </c>
      <c r="Q910">
        <v>3.39</v>
      </c>
      <c r="R910" t="s">
        <v>125</v>
      </c>
      <c r="S910" t="s">
        <v>126</v>
      </c>
      <c r="T910" t="s">
        <v>125</v>
      </c>
      <c r="U910" t="s">
        <v>126</v>
      </c>
      <c r="W910">
        <v>3.39</v>
      </c>
      <c r="Y910">
        <v>3.39</v>
      </c>
      <c r="AS910">
        <v>3.39</v>
      </c>
      <c r="BH910" t="s">
        <v>126</v>
      </c>
      <c r="BI910" t="s">
        <v>126</v>
      </c>
      <c r="BJ910" t="s">
        <v>126</v>
      </c>
      <c r="BK910" t="s">
        <v>126</v>
      </c>
      <c r="BS910" t="s">
        <v>126</v>
      </c>
      <c r="BT910" t="s">
        <v>126</v>
      </c>
      <c r="BU910" t="s">
        <v>126</v>
      </c>
      <c r="BV910" t="s">
        <v>126</v>
      </c>
      <c r="CN910" t="s">
        <v>147</v>
      </c>
      <c r="CP910" t="s">
        <v>442</v>
      </c>
      <c r="CQ910" t="s">
        <v>147</v>
      </c>
    </row>
    <row r="911" spans="1:95" x14ac:dyDescent="0.2">
      <c r="A911" t="s">
        <v>115</v>
      </c>
      <c r="B911" t="s">
        <v>116</v>
      </c>
      <c r="C911">
        <v>210784</v>
      </c>
      <c r="E911" t="s">
        <v>117</v>
      </c>
      <c r="F911">
        <v>368</v>
      </c>
      <c r="G911" t="s">
        <v>141</v>
      </c>
      <c r="H911" t="s">
        <v>142</v>
      </c>
      <c r="I911" t="s">
        <v>279</v>
      </c>
      <c r="J911" t="s">
        <v>280</v>
      </c>
      <c r="L911" t="s">
        <v>450</v>
      </c>
      <c r="M911" s="8">
        <v>45870</v>
      </c>
      <c r="N911">
        <v>5773528</v>
      </c>
      <c r="O911" t="s">
        <v>123</v>
      </c>
      <c r="P911" t="s">
        <v>146</v>
      </c>
      <c r="Q911">
        <v>5.36</v>
      </c>
      <c r="R911" t="s">
        <v>125</v>
      </c>
      <c r="S911" t="s">
        <v>126</v>
      </c>
      <c r="T911" t="s">
        <v>125</v>
      </c>
      <c r="U911" t="s">
        <v>126</v>
      </c>
      <c r="W911">
        <v>5.36</v>
      </c>
      <c r="Y911">
        <v>5.36</v>
      </c>
      <c r="AS911">
        <v>5.36</v>
      </c>
      <c r="BH911" t="s">
        <v>126</v>
      </c>
      <c r="BI911" t="s">
        <v>126</v>
      </c>
      <c r="BJ911" t="s">
        <v>126</v>
      </c>
      <c r="BK911" t="s">
        <v>126</v>
      </c>
      <c r="BS911" t="s">
        <v>126</v>
      </c>
      <c r="BT911" t="s">
        <v>126</v>
      </c>
      <c r="BU911" t="s">
        <v>126</v>
      </c>
      <c r="BV911" t="s">
        <v>126</v>
      </c>
      <c r="CN911" t="s">
        <v>147</v>
      </c>
      <c r="CP911" t="s">
        <v>442</v>
      </c>
      <c r="CQ911" t="s">
        <v>147</v>
      </c>
    </row>
    <row r="912" spans="1:95" x14ac:dyDescent="0.2">
      <c r="A912" t="s">
        <v>115</v>
      </c>
      <c r="B912" t="s">
        <v>116</v>
      </c>
      <c r="C912">
        <v>210784</v>
      </c>
      <c r="E912" t="s">
        <v>117</v>
      </c>
      <c r="F912">
        <v>368</v>
      </c>
      <c r="G912" t="s">
        <v>141</v>
      </c>
      <c r="H912" t="s">
        <v>142</v>
      </c>
      <c r="I912" t="s">
        <v>279</v>
      </c>
      <c r="J912" t="s">
        <v>280</v>
      </c>
      <c r="L912" t="s">
        <v>451</v>
      </c>
      <c r="M912" s="8">
        <v>45870</v>
      </c>
      <c r="N912">
        <v>5774383</v>
      </c>
      <c r="O912" t="s">
        <v>123</v>
      </c>
      <c r="P912" t="s">
        <v>146</v>
      </c>
      <c r="Q912">
        <v>3.59</v>
      </c>
      <c r="R912" t="s">
        <v>125</v>
      </c>
      <c r="S912" t="s">
        <v>126</v>
      </c>
      <c r="T912" t="s">
        <v>125</v>
      </c>
      <c r="U912" t="s">
        <v>126</v>
      </c>
      <c r="W912">
        <v>3.59</v>
      </c>
      <c r="Y912">
        <v>3.59</v>
      </c>
      <c r="AS912">
        <v>3.59</v>
      </c>
      <c r="BH912" t="s">
        <v>126</v>
      </c>
      <c r="BI912" t="s">
        <v>126</v>
      </c>
      <c r="BJ912" t="s">
        <v>126</v>
      </c>
      <c r="BK912" t="s">
        <v>126</v>
      </c>
      <c r="BS912" t="s">
        <v>126</v>
      </c>
      <c r="BT912" t="s">
        <v>126</v>
      </c>
      <c r="BU912" t="s">
        <v>126</v>
      </c>
      <c r="BV912" t="s">
        <v>126</v>
      </c>
      <c r="CN912" t="s">
        <v>147</v>
      </c>
      <c r="CP912" t="s">
        <v>442</v>
      </c>
      <c r="CQ912" t="s">
        <v>147</v>
      </c>
    </row>
    <row r="913" spans="1:95" x14ac:dyDescent="0.2">
      <c r="A913" t="s">
        <v>115</v>
      </c>
      <c r="B913" t="s">
        <v>116</v>
      </c>
      <c r="C913">
        <v>210784</v>
      </c>
      <c r="E913" t="s">
        <v>117</v>
      </c>
      <c r="F913">
        <v>368</v>
      </c>
      <c r="G913" t="s">
        <v>141</v>
      </c>
      <c r="H913" t="s">
        <v>142</v>
      </c>
      <c r="I913" t="s">
        <v>279</v>
      </c>
      <c r="J913" t="s">
        <v>280</v>
      </c>
      <c r="L913" t="s">
        <v>452</v>
      </c>
      <c r="M913" s="8">
        <v>45870</v>
      </c>
      <c r="N913">
        <v>5774603</v>
      </c>
      <c r="O913" t="s">
        <v>123</v>
      </c>
      <c r="P913" t="s">
        <v>146</v>
      </c>
      <c r="Q913">
        <v>2.77</v>
      </c>
      <c r="R913" t="s">
        <v>125</v>
      </c>
      <c r="S913" t="s">
        <v>126</v>
      </c>
      <c r="T913" t="s">
        <v>125</v>
      </c>
      <c r="U913" t="s">
        <v>126</v>
      </c>
      <c r="W913">
        <v>2.77</v>
      </c>
      <c r="Y913">
        <v>2.77</v>
      </c>
      <c r="AS913">
        <v>2.77</v>
      </c>
      <c r="BH913" t="s">
        <v>126</v>
      </c>
      <c r="BI913" t="s">
        <v>126</v>
      </c>
      <c r="BJ913" t="s">
        <v>126</v>
      </c>
      <c r="BK913" t="s">
        <v>126</v>
      </c>
      <c r="BS913" t="s">
        <v>126</v>
      </c>
      <c r="BT913" t="s">
        <v>126</v>
      </c>
      <c r="BU913" t="s">
        <v>126</v>
      </c>
      <c r="BV913" t="s">
        <v>126</v>
      </c>
      <c r="CN913" t="s">
        <v>147</v>
      </c>
      <c r="CP913" t="s">
        <v>442</v>
      </c>
      <c r="CQ913" t="s">
        <v>147</v>
      </c>
    </row>
    <row r="914" spans="1:95" x14ac:dyDescent="0.2">
      <c r="A914" t="s">
        <v>115</v>
      </c>
      <c r="B914" t="s">
        <v>116</v>
      </c>
      <c r="C914">
        <v>210784</v>
      </c>
      <c r="E914" t="s">
        <v>117</v>
      </c>
      <c r="F914">
        <v>368</v>
      </c>
      <c r="G914" t="s">
        <v>141</v>
      </c>
      <c r="H914" t="s">
        <v>142</v>
      </c>
      <c r="I914" t="s">
        <v>279</v>
      </c>
      <c r="J914" t="s">
        <v>280</v>
      </c>
      <c r="L914" t="s">
        <v>453</v>
      </c>
      <c r="M914" s="8">
        <v>45870</v>
      </c>
      <c r="N914">
        <v>5776091</v>
      </c>
      <c r="O914" t="s">
        <v>123</v>
      </c>
      <c r="P914" t="s">
        <v>146</v>
      </c>
      <c r="Q914">
        <v>3.59</v>
      </c>
      <c r="R914" t="s">
        <v>125</v>
      </c>
      <c r="S914" t="s">
        <v>126</v>
      </c>
      <c r="T914" t="s">
        <v>125</v>
      </c>
      <c r="U914" t="s">
        <v>126</v>
      </c>
      <c r="W914">
        <v>3.59</v>
      </c>
      <c r="Y914">
        <v>3.59</v>
      </c>
      <c r="AS914">
        <v>3.59</v>
      </c>
      <c r="BH914" t="s">
        <v>126</v>
      </c>
      <c r="BI914" t="s">
        <v>126</v>
      </c>
      <c r="BJ914" t="s">
        <v>126</v>
      </c>
      <c r="BK914" t="s">
        <v>126</v>
      </c>
      <c r="BS914" t="s">
        <v>126</v>
      </c>
      <c r="BT914" t="s">
        <v>126</v>
      </c>
      <c r="BU914" t="s">
        <v>126</v>
      </c>
      <c r="BV914" t="s">
        <v>126</v>
      </c>
      <c r="CN914" t="s">
        <v>147</v>
      </c>
      <c r="CP914" t="s">
        <v>442</v>
      </c>
      <c r="CQ914" t="s">
        <v>147</v>
      </c>
    </row>
    <row r="915" spans="1:95" x14ac:dyDescent="0.2">
      <c r="A915" t="s">
        <v>115</v>
      </c>
      <c r="B915" t="s">
        <v>116</v>
      </c>
      <c r="C915">
        <v>210784</v>
      </c>
      <c r="E915" t="s">
        <v>117</v>
      </c>
      <c r="F915">
        <v>368</v>
      </c>
      <c r="G915" t="s">
        <v>141</v>
      </c>
      <c r="H915" t="s">
        <v>142</v>
      </c>
      <c r="I915" t="s">
        <v>279</v>
      </c>
      <c r="J915" t="s">
        <v>280</v>
      </c>
      <c r="L915" t="s">
        <v>298</v>
      </c>
      <c r="M915" s="8">
        <v>45870</v>
      </c>
      <c r="N915">
        <v>5776875</v>
      </c>
      <c r="O915" t="s">
        <v>123</v>
      </c>
      <c r="P915" t="s">
        <v>146</v>
      </c>
      <c r="Q915">
        <v>5.74</v>
      </c>
      <c r="R915" t="s">
        <v>125</v>
      </c>
      <c r="S915" t="s">
        <v>126</v>
      </c>
      <c r="T915" t="s">
        <v>125</v>
      </c>
      <c r="U915" t="s">
        <v>126</v>
      </c>
      <c r="W915">
        <v>5.74</v>
      </c>
      <c r="Y915">
        <v>5.74</v>
      </c>
      <c r="AS915">
        <v>5.74</v>
      </c>
      <c r="BH915" t="s">
        <v>126</v>
      </c>
      <c r="BI915" t="s">
        <v>126</v>
      </c>
      <c r="BJ915" t="s">
        <v>126</v>
      </c>
      <c r="BK915" t="s">
        <v>126</v>
      </c>
      <c r="BS915" t="s">
        <v>126</v>
      </c>
      <c r="BT915" t="s">
        <v>126</v>
      </c>
      <c r="BU915" t="s">
        <v>126</v>
      </c>
      <c r="BV915" t="s">
        <v>126</v>
      </c>
      <c r="CN915" t="s">
        <v>147</v>
      </c>
      <c r="CP915" t="s">
        <v>442</v>
      </c>
      <c r="CQ915" t="s">
        <v>147</v>
      </c>
    </row>
    <row r="916" spans="1:95" x14ac:dyDescent="0.2">
      <c r="A916" t="s">
        <v>115</v>
      </c>
      <c r="B916" t="s">
        <v>116</v>
      </c>
      <c r="C916">
        <v>210784</v>
      </c>
      <c r="E916" t="s">
        <v>117</v>
      </c>
      <c r="F916">
        <v>368</v>
      </c>
      <c r="G916" t="s">
        <v>141</v>
      </c>
      <c r="H916" t="s">
        <v>142</v>
      </c>
      <c r="I916" t="s">
        <v>279</v>
      </c>
      <c r="J916" t="s">
        <v>280</v>
      </c>
      <c r="L916" t="s">
        <v>454</v>
      </c>
      <c r="M916" s="8">
        <v>45870</v>
      </c>
      <c r="N916">
        <v>5777713</v>
      </c>
      <c r="O916" t="s">
        <v>123</v>
      </c>
      <c r="P916" t="s">
        <v>146</v>
      </c>
      <c r="Q916">
        <v>5.07</v>
      </c>
      <c r="R916" t="s">
        <v>125</v>
      </c>
      <c r="S916" t="s">
        <v>126</v>
      </c>
      <c r="T916" t="s">
        <v>125</v>
      </c>
      <c r="U916" t="s">
        <v>126</v>
      </c>
      <c r="W916">
        <v>5.07</v>
      </c>
      <c r="Y916">
        <v>5.07</v>
      </c>
      <c r="AS916">
        <v>5.07</v>
      </c>
      <c r="BH916" t="s">
        <v>126</v>
      </c>
      <c r="BI916" t="s">
        <v>126</v>
      </c>
      <c r="BJ916" t="s">
        <v>126</v>
      </c>
      <c r="BK916" t="s">
        <v>126</v>
      </c>
      <c r="BS916" t="s">
        <v>126</v>
      </c>
      <c r="BT916" t="s">
        <v>126</v>
      </c>
      <c r="BU916" t="s">
        <v>126</v>
      </c>
      <c r="BV916" t="s">
        <v>126</v>
      </c>
      <c r="CN916" t="s">
        <v>147</v>
      </c>
      <c r="CP916" t="s">
        <v>442</v>
      </c>
      <c r="CQ916" t="s">
        <v>147</v>
      </c>
    </row>
    <row r="917" spans="1:95" x14ac:dyDescent="0.2">
      <c r="A917" t="s">
        <v>115</v>
      </c>
      <c r="B917" t="s">
        <v>116</v>
      </c>
      <c r="C917">
        <v>210784</v>
      </c>
      <c r="E917" t="s">
        <v>117</v>
      </c>
      <c r="F917">
        <v>368</v>
      </c>
      <c r="G917" t="s">
        <v>141</v>
      </c>
      <c r="H917" t="s">
        <v>142</v>
      </c>
      <c r="I917" t="s">
        <v>279</v>
      </c>
      <c r="J917" t="s">
        <v>280</v>
      </c>
      <c r="L917" t="s">
        <v>455</v>
      </c>
      <c r="M917" s="8">
        <v>45870</v>
      </c>
      <c r="N917">
        <v>5780518</v>
      </c>
      <c r="O917" t="s">
        <v>123</v>
      </c>
      <c r="P917" t="s">
        <v>146</v>
      </c>
      <c r="Q917">
        <v>1.35</v>
      </c>
      <c r="R917" t="s">
        <v>125</v>
      </c>
      <c r="S917" t="s">
        <v>126</v>
      </c>
      <c r="T917" t="s">
        <v>125</v>
      </c>
      <c r="U917" t="s">
        <v>126</v>
      </c>
      <c r="W917">
        <v>1.35</v>
      </c>
      <c r="Y917">
        <v>1.35</v>
      </c>
      <c r="AS917">
        <v>1.35</v>
      </c>
      <c r="BH917" t="s">
        <v>126</v>
      </c>
      <c r="BI917" t="s">
        <v>126</v>
      </c>
      <c r="BJ917" t="s">
        <v>126</v>
      </c>
      <c r="BK917" t="s">
        <v>126</v>
      </c>
      <c r="BS917" t="s">
        <v>126</v>
      </c>
      <c r="BT917" t="s">
        <v>126</v>
      </c>
      <c r="BU917" t="s">
        <v>126</v>
      </c>
      <c r="BV917" t="s">
        <v>126</v>
      </c>
      <c r="CN917" t="s">
        <v>147</v>
      </c>
      <c r="CP917" t="s">
        <v>442</v>
      </c>
      <c r="CQ917" t="s">
        <v>147</v>
      </c>
    </row>
    <row r="918" spans="1:95" x14ac:dyDescent="0.2">
      <c r="A918" t="s">
        <v>115</v>
      </c>
      <c r="B918" t="s">
        <v>116</v>
      </c>
      <c r="C918">
        <v>210784</v>
      </c>
      <c r="E918" t="s">
        <v>117</v>
      </c>
      <c r="F918">
        <v>368</v>
      </c>
      <c r="G918" t="s">
        <v>141</v>
      </c>
      <c r="H918" t="s">
        <v>142</v>
      </c>
      <c r="I918" t="s">
        <v>279</v>
      </c>
      <c r="J918" t="s">
        <v>280</v>
      </c>
      <c r="L918" t="s">
        <v>738</v>
      </c>
      <c r="M918" s="8">
        <v>45870</v>
      </c>
      <c r="N918">
        <v>5765738</v>
      </c>
      <c r="O918" t="s">
        <v>123</v>
      </c>
      <c r="P918" t="s">
        <v>146</v>
      </c>
      <c r="Q918">
        <v>3.96</v>
      </c>
      <c r="R918" t="s">
        <v>610</v>
      </c>
      <c r="S918" t="s">
        <v>126</v>
      </c>
      <c r="T918" t="s">
        <v>610</v>
      </c>
      <c r="U918" t="s">
        <v>611</v>
      </c>
      <c r="W918">
        <v>1.22</v>
      </c>
      <c r="X918">
        <v>2.74</v>
      </c>
      <c r="Y918">
        <v>3.96</v>
      </c>
      <c r="Z918">
        <v>1.51</v>
      </c>
      <c r="AG918">
        <v>1.22</v>
      </c>
      <c r="AI918">
        <v>1.23</v>
      </c>
      <c r="BH918" t="s">
        <v>126</v>
      </c>
      <c r="BI918" t="s">
        <v>126</v>
      </c>
      <c r="BJ918" t="s">
        <v>126</v>
      </c>
      <c r="BK918" t="s">
        <v>126</v>
      </c>
      <c r="BS918" t="s">
        <v>126</v>
      </c>
      <c r="BT918" t="s">
        <v>126</v>
      </c>
      <c r="BU918" t="s">
        <v>126</v>
      </c>
      <c r="BV918" t="s">
        <v>126</v>
      </c>
      <c r="CN918" t="s">
        <v>147</v>
      </c>
      <c r="CP918" t="s">
        <v>442</v>
      </c>
      <c r="CQ918" t="s">
        <v>147</v>
      </c>
    </row>
    <row r="919" spans="1:95" x14ac:dyDescent="0.2">
      <c r="A919" t="s">
        <v>115</v>
      </c>
      <c r="B919" t="s">
        <v>116</v>
      </c>
      <c r="C919">
        <v>210784</v>
      </c>
      <c r="E919" t="s">
        <v>117</v>
      </c>
      <c r="F919">
        <v>368</v>
      </c>
      <c r="G919" t="s">
        <v>141</v>
      </c>
      <c r="H919" t="s">
        <v>142</v>
      </c>
      <c r="I919" t="s">
        <v>279</v>
      </c>
      <c r="J919" t="s">
        <v>280</v>
      </c>
      <c r="L919" t="s">
        <v>739</v>
      </c>
      <c r="M919" s="8">
        <v>45870</v>
      </c>
      <c r="N919">
        <v>5765895</v>
      </c>
      <c r="O919" t="s">
        <v>123</v>
      </c>
      <c r="P919" t="s">
        <v>146</v>
      </c>
      <c r="Q919">
        <v>5.9399999999999995</v>
      </c>
      <c r="R919" t="s">
        <v>610</v>
      </c>
      <c r="S919" t="s">
        <v>126</v>
      </c>
      <c r="T919" t="s">
        <v>610</v>
      </c>
      <c r="U919" t="s">
        <v>611</v>
      </c>
      <c r="W919">
        <v>1.83</v>
      </c>
      <c r="X919">
        <v>4.1099999999999994</v>
      </c>
      <c r="Y919">
        <v>5.9399999999999995</v>
      </c>
      <c r="Z919">
        <v>2.2599999999999998</v>
      </c>
      <c r="AG919">
        <v>1.83</v>
      </c>
      <c r="AI919">
        <v>1.85</v>
      </c>
      <c r="BH919" t="s">
        <v>126</v>
      </c>
      <c r="BI919" t="s">
        <v>126</v>
      </c>
      <c r="BJ919" t="s">
        <v>126</v>
      </c>
      <c r="BK919" t="s">
        <v>126</v>
      </c>
      <c r="BS919" t="s">
        <v>126</v>
      </c>
      <c r="BT919" t="s">
        <v>126</v>
      </c>
      <c r="BU919" t="s">
        <v>126</v>
      </c>
      <c r="BV919" t="s">
        <v>126</v>
      </c>
      <c r="CN919" t="s">
        <v>147</v>
      </c>
      <c r="CP919" t="s">
        <v>442</v>
      </c>
      <c r="CQ919" t="s">
        <v>147</v>
      </c>
    </row>
    <row r="920" spans="1:95" x14ac:dyDescent="0.2">
      <c r="A920" t="s">
        <v>115</v>
      </c>
      <c r="B920" t="s">
        <v>116</v>
      </c>
      <c r="C920">
        <v>210784</v>
      </c>
      <c r="E920" t="s">
        <v>117</v>
      </c>
      <c r="F920">
        <v>368</v>
      </c>
      <c r="G920" t="s">
        <v>141</v>
      </c>
      <c r="H920" t="s">
        <v>142</v>
      </c>
      <c r="I920" t="s">
        <v>279</v>
      </c>
      <c r="J920" t="s">
        <v>280</v>
      </c>
      <c r="L920" t="s">
        <v>444</v>
      </c>
      <c r="M920" s="8">
        <v>45870</v>
      </c>
      <c r="N920">
        <v>5768551</v>
      </c>
      <c r="O920" t="s">
        <v>123</v>
      </c>
      <c r="P920" t="s">
        <v>146</v>
      </c>
      <c r="Q920">
        <v>3.99</v>
      </c>
      <c r="R920" t="s">
        <v>602</v>
      </c>
      <c r="S920" t="s">
        <v>126</v>
      </c>
      <c r="T920" t="s">
        <v>602</v>
      </c>
      <c r="U920" t="s">
        <v>603</v>
      </c>
      <c r="W920">
        <v>1.23</v>
      </c>
      <c r="X920">
        <v>2.76</v>
      </c>
      <c r="Y920">
        <v>3.99</v>
      </c>
      <c r="Z920">
        <v>1.52</v>
      </c>
      <c r="AG920">
        <v>1.23</v>
      </c>
      <c r="AI920">
        <v>1.24</v>
      </c>
      <c r="BH920" t="s">
        <v>126</v>
      </c>
      <c r="BI920" t="s">
        <v>126</v>
      </c>
      <c r="BJ920" t="s">
        <v>126</v>
      </c>
      <c r="BK920" t="s">
        <v>126</v>
      </c>
      <c r="BS920" t="s">
        <v>126</v>
      </c>
      <c r="BT920" t="s">
        <v>126</v>
      </c>
      <c r="BU920" t="s">
        <v>126</v>
      </c>
      <c r="BV920" t="s">
        <v>126</v>
      </c>
      <c r="CN920" t="s">
        <v>147</v>
      </c>
      <c r="CP920" t="s">
        <v>442</v>
      </c>
      <c r="CQ920" t="s">
        <v>147</v>
      </c>
    </row>
    <row r="921" spans="1:95" x14ac:dyDescent="0.2">
      <c r="A921" t="s">
        <v>115</v>
      </c>
      <c r="B921" t="s">
        <v>116</v>
      </c>
      <c r="C921">
        <v>210784</v>
      </c>
      <c r="E921" t="s">
        <v>117</v>
      </c>
      <c r="F921">
        <v>368</v>
      </c>
      <c r="G921" t="s">
        <v>141</v>
      </c>
      <c r="H921" t="s">
        <v>142</v>
      </c>
      <c r="I921" t="s">
        <v>279</v>
      </c>
      <c r="J921" t="s">
        <v>280</v>
      </c>
      <c r="L921" t="s">
        <v>447</v>
      </c>
      <c r="M921" s="8">
        <v>45870</v>
      </c>
      <c r="N921">
        <v>5771178</v>
      </c>
      <c r="O921" t="s">
        <v>123</v>
      </c>
      <c r="P921" t="s">
        <v>146</v>
      </c>
      <c r="Q921">
        <v>4.09</v>
      </c>
      <c r="R921" t="s">
        <v>610</v>
      </c>
      <c r="S921" t="s">
        <v>126</v>
      </c>
      <c r="T921" t="s">
        <v>610</v>
      </c>
      <c r="U921" t="s">
        <v>611</v>
      </c>
      <c r="W921">
        <v>1.26</v>
      </c>
      <c r="X921">
        <v>2.83</v>
      </c>
      <c r="Y921">
        <v>4.09</v>
      </c>
      <c r="Z921">
        <v>1.56</v>
      </c>
      <c r="AG921">
        <v>1.26</v>
      </c>
      <c r="AI921">
        <v>1.27</v>
      </c>
      <c r="BH921" t="s">
        <v>126</v>
      </c>
      <c r="BI921" t="s">
        <v>126</v>
      </c>
      <c r="BJ921" t="s">
        <v>126</v>
      </c>
      <c r="BK921" t="s">
        <v>126</v>
      </c>
      <c r="BS921" t="s">
        <v>126</v>
      </c>
      <c r="BT921" t="s">
        <v>126</v>
      </c>
      <c r="BU921" t="s">
        <v>126</v>
      </c>
      <c r="BV921" t="s">
        <v>126</v>
      </c>
      <c r="CN921" t="s">
        <v>147</v>
      </c>
      <c r="CP921" t="s">
        <v>442</v>
      </c>
      <c r="CQ921" t="s">
        <v>147</v>
      </c>
    </row>
    <row r="922" spans="1:95" x14ac:dyDescent="0.2">
      <c r="A922" t="s">
        <v>115</v>
      </c>
      <c r="B922" t="s">
        <v>116</v>
      </c>
      <c r="C922">
        <v>210784</v>
      </c>
      <c r="E922" t="s">
        <v>117</v>
      </c>
      <c r="F922">
        <v>368</v>
      </c>
      <c r="G922" t="s">
        <v>141</v>
      </c>
      <c r="H922" t="s">
        <v>142</v>
      </c>
      <c r="I922" t="s">
        <v>279</v>
      </c>
      <c r="J922" t="s">
        <v>280</v>
      </c>
      <c r="L922" t="s">
        <v>451</v>
      </c>
      <c r="M922" s="8">
        <v>45870</v>
      </c>
      <c r="N922">
        <v>5773785</v>
      </c>
      <c r="O922" t="s">
        <v>123</v>
      </c>
      <c r="P922" t="s">
        <v>146</v>
      </c>
      <c r="Q922">
        <v>3.2</v>
      </c>
      <c r="R922" t="s">
        <v>631</v>
      </c>
      <c r="S922" t="s">
        <v>126</v>
      </c>
      <c r="T922" t="s">
        <v>631</v>
      </c>
      <c r="U922" t="s">
        <v>632</v>
      </c>
      <c r="W922">
        <v>0.99</v>
      </c>
      <c r="X922">
        <v>2.21</v>
      </c>
      <c r="Y922">
        <v>3.2</v>
      </c>
      <c r="Z922">
        <v>1.21</v>
      </c>
      <c r="AG922">
        <v>0.99</v>
      </c>
      <c r="AI922">
        <v>1</v>
      </c>
      <c r="BH922" t="s">
        <v>126</v>
      </c>
      <c r="BI922" t="s">
        <v>126</v>
      </c>
      <c r="BJ922" t="s">
        <v>126</v>
      </c>
      <c r="BK922" t="s">
        <v>126</v>
      </c>
      <c r="BS922" t="s">
        <v>126</v>
      </c>
      <c r="BT922" t="s">
        <v>126</v>
      </c>
      <c r="BU922" t="s">
        <v>126</v>
      </c>
      <c r="BV922" t="s">
        <v>126</v>
      </c>
      <c r="CN922" t="s">
        <v>147</v>
      </c>
      <c r="CP922" t="s">
        <v>442</v>
      </c>
      <c r="CQ922" t="s">
        <v>147</v>
      </c>
    </row>
    <row r="923" spans="1:95" x14ac:dyDescent="0.2">
      <c r="A923" t="s">
        <v>115</v>
      </c>
      <c r="B923" t="s">
        <v>116</v>
      </c>
      <c r="C923">
        <v>210784</v>
      </c>
      <c r="E923" t="s">
        <v>117</v>
      </c>
      <c r="F923">
        <v>368</v>
      </c>
      <c r="G923" t="s">
        <v>141</v>
      </c>
      <c r="H923" t="s">
        <v>142</v>
      </c>
      <c r="I923" t="s">
        <v>279</v>
      </c>
      <c r="J923" t="s">
        <v>280</v>
      </c>
      <c r="L923" t="s">
        <v>453</v>
      </c>
      <c r="M923" s="8">
        <v>45870</v>
      </c>
      <c r="N923">
        <v>5775583</v>
      </c>
      <c r="O923" t="s">
        <v>123</v>
      </c>
      <c r="P923" t="s">
        <v>146</v>
      </c>
      <c r="Q923">
        <v>3.47</v>
      </c>
      <c r="R923" t="s">
        <v>584</v>
      </c>
      <c r="S923" t="s">
        <v>126</v>
      </c>
      <c r="T923" t="s">
        <v>584</v>
      </c>
      <c r="U923" t="s">
        <v>585</v>
      </c>
      <c r="W923">
        <v>1.07</v>
      </c>
      <c r="X923">
        <v>2.4000000000000004</v>
      </c>
      <c r="Y923">
        <v>3.47</v>
      </c>
      <c r="Z923">
        <v>1.32</v>
      </c>
      <c r="AG923">
        <v>1.07</v>
      </c>
      <c r="AI923">
        <v>1.08</v>
      </c>
      <c r="BH923" t="s">
        <v>126</v>
      </c>
      <c r="BI923" t="s">
        <v>126</v>
      </c>
      <c r="BJ923" t="s">
        <v>126</v>
      </c>
      <c r="BK923" t="s">
        <v>126</v>
      </c>
      <c r="BS923" t="s">
        <v>126</v>
      </c>
      <c r="BT923" t="s">
        <v>126</v>
      </c>
      <c r="BU923" t="s">
        <v>126</v>
      </c>
      <c r="BV923" t="s">
        <v>126</v>
      </c>
      <c r="CN923" t="s">
        <v>147</v>
      </c>
      <c r="CP923" t="s">
        <v>442</v>
      </c>
      <c r="CQ923" t="s">
        <v>147</v>
      </c>
    </row>
    <row r="924" spans="1:95" x14ac:dyDescent="0.2">
      <c r="A924" t="s">
        <v>115</v>
      </c>
      <c r="B924" t="s">
        <v>116</v>
      </c>
      <c r="C924">
        <v>210784</v>
      </c>
      <c r="E924" t="s">
        <v>117</v>
      </c>
      <c r="F924">
        <v>368</v>
      </c>
      <c r="G924" t="s">
        <v>141</v>
      </c>
      <c r="H924" t="s">
        <v>142</v>
      </c>
      <c r="I924" t="s">
        <v>279</v>
      </c>
      <c r="J924" t="s">
        <v>280</v>
      </c>
      <c r="L924" t="s">
        <v>453</v>
      </c>
      <c r="M924" s="8">
        <v>45870</v>
      </c>
      <c r="N924">
        <v>5776193</v>
      </c>
      <c r="O924" t="s">
        <v>123</v>
      </c>
      <c r="P924" t="s">
        <v>146</v>
      </c>
      <c r="Q924">
        <v>1.31</v>
      </c>
      <c r="R924" t="s">
        <v>740</v>
      </c>
      <c r="S924" t="s">
        <v>126</v>
      </c>
      <c r="T924" t="s">
        <v>740</v>
      </c>
      <c r="U924" t="s">
        <v>741</v>
      </c>
      <c r="W924">
        <v>0.4</v>
      </c>
      <c r="X924">
        <v>0.90999999999999992</v>
      </c>
      <c r="Y924">
        <v>1.31</v>
      </c>
      <c r="Z924">
        <v>0.5</v>
      </c>
      <c r="AG924">
        <v>0.4</v>
      </c>
      <c r="AI924">
        <v>0.41</v>
      </c>
      <c r="BH924" t="s">
        <v>126</v>
      </c>
      <c r="BI924" t="s">
        <v>126</v>
      </c>
      <c r="BJ924" t="s">
        <v>126</v>
      </c>
      <c r="BK924" t="s">
        <v>126</v>
      </c>
      <c r="BS924" t="s">
        <v>126</v>
      </c>
      <c r="BT924" t="s">
        <v>126</v>
      </c>
      <c r="BU924" t="s">
        <v>126</v>
      </c>
      <c r="BV924" t="s">
        <v>126</v>
      </c>
      <c r="CN924" t="s">
        <v>147</v>
      </c>
      <c r="CP924" t="s">
        <v>442</v>
      </c>
      <c r="CQ924" t="s">
        <v>147</v>
      </c>
    </row>
    <row r="925" spans="1:95" x14ac:dyDescent="0.2">
      <c r="A925" t="s">
        <v>115</v>
      </c>
      <c r="B925" t="s">
        <v>116</v>
      </c>
      <c r="C925">
        <v>210784</v>
      </c>
      <c r="E925" t="s">
        <v>117</v>
      </c>
      <c r="F925">
        <v>368</v>
      </c>
      <c r="G925" t="s">
        <v>141</v>
      </c>
      <c r="H925" t="s">
        <v>142</v>
      </c>
      <c r="I925" t="s">
        <v>279</v>
      </c>
      <c r="J925" t="s">
        <v>280</v>
      </c>
      <c r="L925" t="s">
        <v>742</v>
      </c>
      <c r="M925" s="8">
        <v>45870</v>
      </c>
      <c r="N925">
        <v>5779094</v>
      </c>
      <c r="O925" t="s">
        <v>123</v>
      </c>
      <c r="P925" t="s">
        <v>146</v>
      </c>
      <c r="Q925">
        <v>3.75</v>
      </c>
      <c r="R925" t="s">
        <v>577</v>
      </c>
      <c r="S925" t="s">
        <v>126</v>
      </c>
      <c r="T925" t="s">
        <v>577</v>
      </c>
      <c r="U925" t="s">
        <v>578</v>
      </c>
      <c r="W925">
        <v>1.1599999999999999</v>
      </c>
      <c r="X925">
        <v>2.59</v>
      </c>
      <c r="Y925">
        <v>3.75</v>
      </c>
      <c r="Z925">
        <v>1.42</v>
      </c>
      <c r="AG925">
        <v>1.1599999999999999</v>
      </c>
      <c r="AI925">
        <v>1.17</v>
      </c>
      <c r="BH925" t="s">
        <v>126</v>
      </c>
      <c r="BI925" t="s">
        <v>126</v>
      </c>
      <c r="BJ925" t="s">
        <v>126</v>
      </c>
      <c r="BK925" t="s">
        <v>126</v>
      </c>
      <c r="BS925" t="s">
        <v>126</v>
      </c>
      <c r="BT925" t="s">
        <v>126</v>
      </c>
      <c r="BU925" t="s">
        <v>126</v>
      </c>
      <c r="BV925" t="s">
        <v>126</v>
      </c>
      <c r="CN925" t="s">
        <v>147</v>
      </c>
      <c r="CP925" t="s">
        <v>442</v>
      </c>
      <c r="CQ925" t="s">
        <v>147</v>
      </c>
    </row>
    <row r="926" spans="1:95" x14ac:dyDescent="0.2">
      <c r="A926" t="s">
        <v>115</v>
      </c>
      <c r="B926" t="s">
        <v>116</v>
      </c>
      <c r="C926">
        <v>210784</v>
      </c>
      <c r="E926" t="s">
        <v>117</v>
      </c>
      <c r="F926">
        <v>368</v>
      </c>
      <c r="G926" t="s">
        <v>141</v>
      </c>
      <c r="H926" t="s">
        <v>142</v>
      </c>
      <c r="I926" t="s">
        <v>279</v>
      </c>
      <c r="J926" t="s">
        <v>280</v>
      </c>
      <c r="L926" t="s">
        <v>742</v>
      </c>
      <c r="M926" s="8">
        <v>45870</v>
      </c>
      <c r="N926">
        <v>5779514</v>
      </c>
      <c r="O926" t="s">
        <v>123</v>
      </c>
      <c r="P926" t="s">
        <v>146</v>
      </c>
      <c r="Q926">
        <v>4.1100000000000003</v>
      </c>
      <c r="R926" t="s">
        <v>710</v>
      </c>
      <c r="S926" t="s">
        <v>126</v>
      </c>
      <c r="T926" t="s">
        <v>710</v>
      </c>
      <c r="U926" t="s">
        <v>711</v>
      </c>
      <c r="W926">
        <v>1.27</v>
      </c>
      <c r="X926">
        <v>2.84</v>
      </c>
      <c r="Y926">
        <v>4.1100000000000003</v>
      </c>
      <c r="Z926">
        <v>1.56</v>
      </c>
      <c r="AG926">
        <v>1.27</v>
      </c>
      <c r="AI926">
        <v>1.28</v>
      </c>
      <c r="BH926" t="s">
        <v>126</v>
      </c>
      <c r="BI926" t="s">
        <v>126</v>
      </c>
      <c r="BJ926" t="s">
        <v>126</v>
      </c>
      <c r="BK926" t="s">
        <v>126</v>
      </c>
      <c r="BS926" t="s">
        <v>126</v>
      </c>
      <c r="BT926" t="s">
        <v>126</v>
      </c>
      <c r="BU926" t="s">
        <v>126</v>
      </c>
      <c r="BV926" t="s">
        <v>126</v>
      </c>
      <c r="CN926" t="s">
        <v>147</v>
      </c>
      <c r="CP926" t="s">
        <v>442</v>
      </c>
      <c r="CQ926" t="s">
        <v>147</v>
      </c>
    </row>
    <row r="927" spans="1:95" x14ac:dyDescent="0.2">
      <c r="A927" t="s">
        <v>115</v>
      </c>
      <c r="B927" t="s">
        <v>116</v>
      </c>
      <c r="C927">
        <v>210784</v>
      </c>
      <c r="E927" t="s">
        <v>117</v>
      </c>
      <c r="F927">
        <v>368</v>
      </c>
      <c r="G927" t="s">
        <v>141</v>
      </c>
      <c r="H927" t="s">
        <v>142</v>
      </c>
      <c r="I927" t="s">
        <v>279</v>
      </c>
      <c r="J927" t="s">
        <v>280</v>
      </c>
      <c r="L927" t="s">
        <v>743</v>
      </c>
      <c r="M927" s="8">
        <v>45870</v>
      </c>
      <c r="N927">
        <v>5781175</v>
      </c>
      <c r="O927" t="s">
        <v>123</v>
      </c>
      <c r="P927" t="s">
        <v>146</v>
      </c>
      <c r="Q927">
        <v>3.41</v>
      </c>
      <c r="R927" t="s">
        <v>614</v>
      </c>
      <c r="S927" t="s">
        <v>126</v>
      </c>
      <c r="T927" t="s">
        <v>614</v>
      </c>
      <c r="U927" t="s">
        <v>615</v>
      </c>
      <c r="W927">
        <v>1.05</v>
      </c>
      <c r="X927">
        <v>2.3600000000000003</v>
      </c>
      <c r="Y927">
        <v>3.41</v>
      </c>
      <c r="Z927">
        <v>1.3</v>
      </c>
      <c r="AG927">
        <v>1.05</v>
      </c>
      <c r="AI927">
        <v>1.06</v>
      </c>
      <c r="BH927" t="s">
        <v>126</v>
      </c>
      <c r="BI927" t="s">
        <v>126</v>
      </c>
      <c r="BJ927" t="s">
        <v>126</v>
      </c>
      <c r="BK927" t="s">
        <v>126</v>
      </c>
      <c r="BS927" t="s">
        <v>126</v>
      </c>
      <c r="BT927" t="s">
        <v>126</v>
      </c>
      <c r="BU927" t="s">
        <v>126</v>
      </c>
      <c r="BV927" t="s">
        <v>126</v>
      </c>
      <c r="CN927" t="s">
        <v>147</v>
      </c>
      <c r="CP927" t="s">
        <v>457</v>
      </c>
      <c r="CQ927" t="s">
        <v>147</v>
      </c>
    </row>
    <row r="928" spans="1:95" x14ac:dyDescent="0.2">
      <c r="A928" t="s">
        <v>115</v>
      </c>
      <c r="B928" t="s">
        <v>116</v>
      </c>
      <c r="C928">
        <v>210784</v>
      </c>
      <c r="E928" t="s">
        <v>117</v>
      </c>
      <c r="F928">
        <v>368</v>
      </c>
      <c r="G928" t="s">
        <v>141</v>
      </c>
      <c r="H928" t="s">
        <v>142</v>
      </c>
      <c r="I928" t="s">
        <v>279</v>
      </c>
      <c r="J928" t="s">
        <v>280</v>
      </c>
      <c r="L928" t="s">
        <v>442</v>
      </c>
      <c r="M928" s="8">
        <v>45870</v>
      </c>
      <c r="N928">
        <v>5782071</v>
      </c>
      <c r="O928" t="s">
        <v>123</v>
      </c>
      <c r="P928" t="s">
        <v>146</v>
      </c>
      <c r="Q928">
        <v>5.39</v>
      </c>
      <c r="R928" t="s">
        <v>592</v>
      </c>
      <c r="S928" t="s">
        <v>126</v>
      </c>
      <c r="T928" t="s">
        <v>592</v>
      </c>
      <c r="U928" t="s">
        <v>593</v>
      </c>
      <c r="W928">
        <v>1.66</v>
      </c>
      <c r="X928">
        <v>3.7299999999999995</v>
      </c>
      <c r="Y928">
        <v>5.39</v>
      </c>
      <c r="Z928">
        <v>2.0499999999999998</v>
      </c>
      <c r="AG928">
        <v>1.66</v>
      </c>
      <c r="AI928">
        <v>1.68</v>
      </c>
      <c r="BH928" t="s">
        <v>126</v>
      </c>
      <c r="BI928" t="s">
        <v>126</v>
      </c>
      <c r="BJ928" t="s">
        <v>126</v>
      </c>
      <c r="BK928" t="s">
        <v>126</v>
      </c>
      <c r="BS928" t="s">
        <v>126</v>
      </c>
      <c r="BT928" t="s">
        <v>126</v>
      </c>
      <c r="BU928" t="s">
        <v>126</v>
      </c>
      <c r="BV928" t="s">
        <v>126</v>
      </c>
      <c r="CN928" t="s">
        <v>147</v>
      </c>
      <c r="CP928" t="s">
        <v>457</v>
      </c>
      <c r="CQ928" t="s">
        <v>147</v>
      </c>
    </row>
    <row r="929" spans="1:95" x14ac:dyDescent="0.2">
      <c r="A929" t="s">
        <v>115</v>
      </c>
      <c r="B929" t="s">
        <v>116</v>
      </c>
      <c r="C929">
        <v>210784</v>
      </c>
      <c r="E929" t="s">
        <v>117</v>
      </c>
      <c r="F929">
        <v>368</v>
      </c>
      <c r="G929" t="s">
        <v>141</v>
      </c>
      <c r="H929" t="s">
        <v>142</v>
      </c>
      <c r="I929" t="s">
        <v>279</v>
      </c>
      <c r="J929" t="s">
        <v>280</v>
      </c>
      <c r="L929" t="s">
        <v>744</v>
      </c>
      <c r="M929" s="8">
        <v>45870</v>
      </c>
      <c r="N929">
        <v>5782852</v>
      </c>
      <c r="O929" t="s">
        <v>123</v>
      </c>
      <c r="P929" t="s">
        <v>146</v>
      </c>
      <c r="Q929">
        <v>3.82</v>
      </c>
      <c r="R929" t="s">
        <v>598</v>
      </c>
      <c r="S929" t="s">
        <v>126</v>
      </c>
      <c r="T929" t="s">
        <v>598</v>
      </c>
      <c r="U929" t="s">
        <v>599</v>
      </c>
      <c r="W929">
        <v>1.18</v>
      </c>
      <c r="X929">
        <v>2.6399999999999997</v>
      </c>
      <c r="Y929">
        <v>3.82</v>
      </c>
      <c r="Z929">
        <v>1.45</v>
      </c>
      <c r="AG929">
        <v>1.18</v>
      </c>
      <c r="AI929">
        <v>1.19</v>
      </c>
      <c r="BH929" t="s">
        <v>126</v>
      </c>
      <c r="BI929" t="s">
        <v>126</v>
      </c>
      <c r="BJ929" t="s">
        <v>126</v>
      </c>
      <c r="BK929" t="s">
        <v>126</v>
      </c>
      <c r="BS929" t="s">
        <v>126</v>
      </c>
      <c r="BT929" t="s">
        <v>126</v>
      </c>
      <c r="BU929" t="s">
        <v>126</v>
      </c>
      <c r="BV929" t="s">
        <v>126</v>
      </c>
      <c r="CN929" t="s">
        <v>147</v>
      </c>
      <c r="CP929" t="s">
        <v>457</v>
      </c>
      <c r="CQ929" t="s">
        <v>147</v>
      </c>
    </row>
    <row r="930" spans="1:95" x14ac:dyDescent="0.2">
      <c r="A930" t="s">
        <v>115</v>
      </c>
      <c r="B930" t="s">
        <v>116</v>
      </c>
      <c r="C930">
        <v>210784</v>
      </c>
      <c r="E930" t="s">
        <v>117</v>
      </c>
      <c r="F930">
        <v>368</v>
      </c>
      <c r="G930" t="s">
        <v>141</v>
      </c>
      <c r="H930" t="s">
        <v>142</v>
      </c>
      <c r="I930" t="s">
        <v>279</v>
      </c>
      <c r="J930" t="s">
        <v>280</v>
      </c>
      <c r="L930" t="s">
        <v>739</v>
      </c>
      <c r="M930" s="8">
        <v>45870</v>
      </c>
      <c r="N930">
        <v>5765863</v>
      </c>
      <c r="O930" t="s">
        <v>123</v>
      </c>
      <c r="P930" t="s">
        <v>146</v>
      </c>
      <c r="Q930">
        <v>0.9</v>
      </c>
      <c r="R930" t="s">
        <v>125</v>
      </c>
      <c r="S930" t="s">
        <v>126</v>
      </c>
      <c r="T930" t="s">
        <v>125</v>
      </c>
      <c r="U930" t="s">
        <v>126</v>
      </c>
      <c r="W930">
        <v>0.9</v>
      </c>
      <c r="Y930">
        <v>0.9</v>
      </c>
      <c r="BE930">
        <v>0.9</v>
      </c>
      <c r="BH930" t="s">
        <v>126</v>
      </c>
      <c r="BI930" t="s">
        <v>126</v>
      </c>
      <c r="BJ930" t="s">
        <v>126</v>
      </c>
      <c r="BK930" t="s">
        <v>126</v>
      </c>
      <c r="BS930" t="s">
        <v>126</v>
      </c>
      <c r="BT930" t="s">
        <v>126</v>
      </c>
      <c r="BU930" t="s">
        <v>126</v>
      </c>
      <c r="BV930" t="s">
        <v>126</v>
      </c>
      <c r="CN930" t="s">
        <v>147</v>
      </c>
      <c r="CP930" t="s">
        <v>442</v>
      </c>
      <c r="CQ930" t="s">
        <v>147</v>
      </c>
    </row>
    <row r="931" spans="1:95" x14ac:dyDescent="0.2">
      <c r="A931" t="s">
        <v>115</v>
      </c>
      <c r="B931" t="s">
        <v>116</v>
      </c>
      <c r="C931">
        <v>210784</v>
      </c>
      <c r="E931" t="s">
        <v>117</v>
      </c>
      <c r="F931">
        <v>368</v>
      </c>
      <c r="G931" t="s">
        <v>118</v>
      </c>
      <c r="H931" t="s">
        <v>119</v>
      </c>
      <c r="I931" t="s">
        <v>120</v>
      </c>
      <c r="J931" t="s">
        <v>121</v>
      </c>
      <c r="L931" t="s">
        <v>292</v>
      </c>
      <c r="M931" s="8">
        <v>45901</v>
      </c>
      <c r="N931">
        <v>134325</v>
      </c>
      <c r="O931" t="s">
        <v>123</v>
      </c>
      <c r="P931" t="s">
        <v>124</v>
      </c>
      <c r="Q931">
        <v>11.91</v>
      </c>
      <c r="R931" t="s">
        <v>125</v>
      </c>
      <c r="S931" t="s">
        <v>126</v>
      </c>
      <c r="T931" t="s">
        <v>125</v>
      </c>
      <c r="U931" t="s">
        <v>126</v>
      </c>
      <c r="W931">
        <v>11.91</v>
      </c>
      <c r="Y931">
        <v>11.91</v>
      </c>
      <c r="AC931">
        <v>11.91</v>
      </c>
      <c r="BH931" t="s">
        <v>126</v>
      </c>
      <c r="BI931" t="s">
        <v>126</v>
      </c>
      <c r="BJ931" t="s">
        <v>126</v>
      </c>
      <c r="BK931" t="s">
        <v>126</v>
      </c>
      <c r="BS931" t="s">
        <v>126</v>
      </c>
      <c r="BT931" t="s">
        <v>126</v>
      </c>
      <c r="BU931" t="s">
        <v>126</v>
      </c>
      <c r="BV931" t="s">
        <v>126</v>
      </c>
      <c r="CN931" t="s">
        <v>127</v>
      </c>
      <c r="CP931" t="s">
        <v>128</v>
      </c>
      <c r="CQ931" t="s">
        <v>127</v>
      </c>
    </row>
    <row r="932" spans="1:95" x14ac:dyDescent="0.2">
      <c r="A932" t="s">
        <v>115</v>
      </c>
      <c r="B932" t="s">
        <v>116</v>
      </c>
      <c r="C932">
        <v>210784</v>
      </c>
      <c r="E932" t="s">
        <v>117</v>
      </c>
      <c r="F932">
        <v>368</v>
      </c>
      <c r="G932" t="s">
        <v>118</v>
      </c>
      <c r="H932" t="s">
        <v>119</v>
      </c>
      <c r="I932" t="s">
        <v>120</v>
      </c>
      <c r="J932" t="s">
        <v>121</v>
      </c>
      <c r="L932" t="s">
        <v>292</v>
      </c>
      <c r="M932" s="8">
        <v>45901</v>
      </c>
      <c r="N932">
        <v>134326</v>
      </c>
      <c r="O932" t="s">
        <v>123</v>
      </c>
      <c r="P932" t="s">
        <v>124</v>
      </c>
      <c r="Q932">
        <v>13.31</v>
      </c>
      <c r="R932" t="s">
        <v>125</v>
      </c>
      <c r="S932" t="s">
        <v>126</v>
      </c>
      <c r="T932" t="s">
        <v>125</v>
      </c>
      <c r="U932" t="s">
        <v>126</v>
      </c>
      <c r="W932">
        <v>13.31</v>
      </c>
      <c r="Y932">
        <v>13.31</v>
      </c>
      <c r="AC932">
        <v>13.31</v>
      </c>
      <c r="BH932" t="s">
        <v>126</v>
      </c>
      <c r="BI932" t="s">
        <v>126</v>
      </c>
      <c r="BJ932" t="s">
        <v>126</v>
      </c>
      <c r="BK932" t="s">
        <v>126</v>
      </c>
      <c r="BS932" t="s">
        <v>126</v>
      </c>
      <c r="BT932" t="s">
        <v>126</v>
      </c>
      <c r="BU932" t="s">
        <v>126</v>
      </c>
      <c r="BV932" t="s">
        <v>126</v>
      </c>
      <c r="CN932" t="s">
        <v>127</v>
      </c>
      <c r="CP932" t="s">
        <v>128</v>
      </c>
      <c r="CQ932" t="s">
        <v>127</v>
      </c>
    </row>
    <row r="933" spans="1:95" x14ac:dyDescent="0.2">
      <c r="A933" t="s">
        <v>115</v>
      </c>
      <c r="B933" t="s">
        <v>116</v>
      </c>
      <c r="C933">
        <v>210784</v>
      </c>
      <c r="E933" t="s">
        <v>117</v>
      </c>
      <c r="F933">
        <v>368</v>
      </c>
      <c r="G933" t="s">
        <v>118</v>
      </c>
      <c r="H933" t="s">
        <v>119</v>
      </c>
      <c r="I933" t="s">
        <v>120</v>
      </c>
      <c r="J933" t="s">
        <v>121</v>
      </c>
      <c r="L933" t="s">
        <v>292</v>
      </c>
      <c r="M933" s="8">
        <v>45901</v>
      </c>
      <c r="N933">
        <v>134332</v>
      </c>
      <c r="O933" t="s">
        <v>123</v>
      </c>
      <c r="P933" t="s">
        <v>124</v>
      </c>
      <c r="Q933">
        <v>13.95</v>
      </c>
      <c r="R933" t="s">
        <v>125</v>
      </c>
      <c r="S933" t="s">
        <v>126</v>
      </c>
      <c r="T933" t="s">
        <v>125</v>
      </c>
      <c r="U933" t="s">
        <v>126</v>
      </c>
      <c r="W933">
        <v>13.95</v>
      </c>
      <c r="Y933">
        <v>13.95</v>
      </c>
      <c r="AC933">
        <v>13.95</v>
      </c>
      <c r="BH933" t="s">
        <v>126</v>
      </c>
      <c r="BI933" t="s">
        <v>126</v>
      </c>
      <c r="BJ933" t="s">
        <v>126</v>
      </c>
      <c r="BK933" t="s">
        <v>126</v>
      </c>
      <c r="BS933" t="s">
        <v>126</v>
      </c>
      <c r="BT933" t="s">
        <v>126</v>
      </c>
      <c r="BU933" t="s">
        <v>126</v>
      </c>
      <c r="BV933" t="s">
        <v>126</v>
      </c>
      <c r="CN933" t="s">
        <v>127</v>
      </c>
      <c r="CP933" t="s">
        <v>128</v>
      </c>
      <c r="CQ933" t="s">
        <v>127</v>
      </c>
    </row>
    <row r="934" spans="1:95" x14ac:dyDescent="0.2">
      <c r="A934" t="s">
        <v>115</v>
      </c>
      <c r="B934" t="s">
        <v>116</v>
      </c>
      <c r="C934">
        <v>210784</v>
      </c>
      <c r="E934" t="s">
        <v>117</v>
      </c>
      <c r="F934">
        <v>368</v>
      </c>
      <c r="G934" t="s">
        <v>118</v>
      </c>
      <c r="H934" t="s">
        <v>119</v>
      </c>
      <c r="I934" t="s">
        <v>120</v>
      </c>
      <c r="J934" t="s">
        <v>121</v>
      </c>
      <c r="L934" t="s">
        <v>292</v>
      </c>
      <c r="M934" s="8">
        <v>45901</v>
      </c>
      <c r="N934">
        <v>134347</v>
      </c>
      <c r="O934" t="s">
        <v>123</v>
      </c>
      <c r="P934" t="s">
        <v>124</v>
      </c>
      <c r="Q934">
        <v>13.86</v>
      </c>
      <c r="R934" t="s">
        <v>125</v>
      </c>
      <c r="S934" t="s">
        <v>126</v>
      </c>
      <c r="T934" t="s">
        <v>125</v>
      </c>
      <c r="U934" t="s">
        <v>126</v>
      </c>
      <c r="W934">
        <v>13.86</v>
      </c>
      <c r="Y934">
        <v>13.86</v>
      </c>
      <c r="AC934">
        <v>13.86</v>
      </c>
      <c r="BH934" t="s">
        <v>126</v>
      </c>
      <c r="BI934" t="s">
        <v>126</v>
      </c>
      <c r="BJ934" t="s">
        <v>126</v>
      </c>
      <c r="BK934" t="s">
        <v>126</v>
      </c>
      <c r="BS934" t="s">
        <v>126</v>
      </c>
      <c r="BT934" t="s">
        <v>126</v>
      </c>
      <c r="BU934" t="s">
        <v>126</v>
      </c>
      <c r="BV934" t="s">
        <v>126</v>
      </c>
      <c r="CN934" t="s">
        <v>127</v>
      </c>
      <c r="CP934" t="s">
        <v>128</v>
      </c>
      <c r="CQ934" t="s">
        <v>127</v>
      </c>
    </row>
    <row r="935" spans="1:95" x14ac:dyDescent="0.2">
      <c r="A935" t="s">
        <v>115</v>
      </c>
      <c r="B935" t="s">
        <v>116</v>
      </c>
      <c r="C935">
        <v>210784</v>
      </c>
      <c r="E935" t="s">
        <v>117</v>
      </c>
      <c r="F935">
        <v>368</v>
      </c>
      <c r="G935" t="s">
        <v>118</v>
      </c>
      <c r="H935" t="s">
        <v>119</v>
      </c>
      <c r="I935" t="s">
        <v>120</v>
      </c>
      <c r="J935" t="s">
        <v>121</v>
      </c>
      <c r="L935" t="s">
        <v>292</v>
      </c>
      <c r="M935" s="8">
        <v>45901</v>
      </c>
      <c r="N935">
        <v>134353</v>
      </c>
      <c r="O935" t="s">
        <v>123</v>
      </c>
      <c r="P935" t="s">
        <v>124</v>
      </c>
      <c r="Q935">
        <v>15.44</v>
      </c>
      <c r="R935" t="s">
        <v>125</v>
      </c>
      <c r="S935" t="s">
        <v>126</v>
      </c>
      <c r="T935" t="s">
        <v>125</v>
      </c>
      <c r="U935" t="s">
        <v>126</v>
      </c>
      <c r="W935">
        <v>15.44</v>
      </c>
      <c r="Y935">
        <v>15.44</v>
      </c>
      <c r="AC935">
        <v>15.44</v>
      </c>
      <c r="BH935" t="s">
        <v>126</v>
      </c>
      <c r="BI935" t="s">
        <v>126</v>
      </c>
      <c r="BJ935" t="s">
        <v>126</v>
      </c>
      <c r="BK935" t="s">
        <v>126</v>
      </c>
      <c r="BS935" t="s">
        <v>126</v>
      </c>
      <c r="BT935" t="s">
        <v>126</v>
      </c>
      <c r="BU935" t="s">
        <v>126</v>
      </c>
      <c r="BV935" t="s">
        <v>126</v>
      </c>
      <c r="CN935" t="s">
        <v>127</v>
      </c>
      <c r="CP935" t="s">
        <v>128</v>
      </c>
      <c r="CQ935" t="s">
        <v>127</v>
      </c>
    </row>
    <row r="936" spans="1:95" x14ac:dyDescent="0.2">
      <c r="A936" t="s">
        <v>115</v>
      </c>
      <c r="B936" t="s">
        <v>116</v>
      </c>
      <c r="C936">
        <v>210784</v>
      </c>
      <c r="E936" t="s">
        <v>117</v>
      </c>
      <c r="F936">
        <v>368</v>
      </c>
      <c r="G936" t="s">
        <v>118</v>
      </c>
      <c r="H936" t="s">
        <v>119</v>
      </c>
      <c r="I936" t="s">
        <v>120</v>
      </c>
      <c r="J936" t="s">
        <v>121</v>
      </c>
      <c r="L936" t="s">
        <v>292</v>
      </c>
      <c r="M936" s="8">
        <v>45901</v>
      </c>
      <c r="N936">
        <v>134357</v>
      </c>
      <c r="O936" t="s">
        <v>123</v>
      </c>
      <c r="P936" t="s">
        <v>124</v>
      </c>
      <c r="Q936">
        <v>17.28</v>
      </c>
      <c r="R936" t="s">
        <v>125</v>
      </c>
      <c r="S936" t="s">
        <v>126</v>
      </c>
      <c r="T936" t="s">
        <v>125</v>
      </c>
      <c r="U936" t="s">
        <v>126</v>
      </c>
      <c r="W936">
        <v>17.28</v>
      </c>
      <c r="Y936">
        <v>17.28</v>
      </c>
      <c r="AC936">
        <v>17.28</v>
      </c>
      <c r="BH936" t="s">
        <v>126</v>
      </c>
      <c r="BI936" t="s">
        <v>126</v>
      </c>
      <c r="BJ936" t="s">
        <v>126</v>
      </c>
      <c r="BK936" t="s">
        <v>126</v>
      </c>
      <c r="BS936" t="s">
        <v>126</v>
      </c>
      <c r="BT936" t="s">
        <v>126</v>
      </c>
      <c r="BU936" t="s">
        <v>126</v>
      </c>
      <c r="BV936" t="s">
        <v>126</v>
      </c>
      <c r="CN936" t="s">
        <v>127</v>
      </c>
      <c r="CP936" t="s">
        <v>128</v>
      </c>
      <c r="CQ936" t="s">
        <v>127</v>
      </c>
    </row>
    <row r="937" spans="1:95" x14ac:dyDescent="0.2">
      <c r="A937" t="s">
        <v>115</v>
      </c>
      <c r="B937" t="s">
        <v>116</v>
      </c>
      <c r="C937">
        <v>210784</v>
      </c>
      <c r="E937" t="s">
        <v>117</v>
      </c>
      <c r="F937">
        <v>368</v>
      </c>
      <c r="G937" t="s">
        <v>141</v>
      </c>
      <c r="H937" t="s">
        <v>142</v>
      </c>
      <c r="I937" t="s">
        <v>279</v>
      </c>
      <c r="J937" t="s">
        <v>280</v>
      </c>
      <c r="L937" t="s">
        <v>456</v>
      </c>
      <c r="M937" s="8">
        <v>45901</v>
      </c>
      <c r="N937">
        <v>5785214</v>
      </c>
      <c r="O937" t="s">
        <v>123</v>
      </c>
      <c r="P937" t="s">
        <v>146</v>
      </c>
      <c r="Q937">
        <v>2.5499999999999998</v>
      </c>
      <c r="R937" t="s">
        <v>125</v>
      </c>
      <c r="S937" t="s">
        <v>126</v>
      </c>
      <c r="T937" t="s">
        <v>125</v>
      </c>
      <c r="U937" t="s">
        <v>126</v>
      </c>
      <c r="W937">
        <v>2.5499999999999998</v>
      </c>
      <c r="Y937">
        <v>2.5499999999999998</v>
      </c>
      <c r="AS937">
        <v>2.5499999999999998</v>
      </c>
      <c r="BH937" t="s">
        <v>126</v>
      </c>
      <c r="BI937" t="s">
        <v>126</v>
      </c>
      <c r="BJ937" t="s">
        <v>126</v>
      </c>
      <c r="BK937" t="s">
        <v>126</v>
      </c>
      <c r="BS937" t="s">
        <v>126</v>
      </c>
      <c r="BT937" t="s">
        <v>126</v>
      </c>
      <c r="BU937" t="s">
        <v>126</v>
      </c>
      <c r="BV937" t="s">
        <v>126</v>
      </c>
      <c r="CN937" t="s">
        <v>147</v>
      </c>
      <c r="CP937" t="s">
        <v>457</v>
      </c>
      <c r="CQ937" t="s">
        <v>147</v>
      </c>
    </row>
    <row r="938" spans="1:95" x14ac:dyDescent="0.2">
      <c r="A938" t="s">
        <v>115</v>
      </c>
      <c r="B938" t="s">
        <v>116</v>
      </c>
      <c r="C938">
        <v>210784</v>
      </c>
      <c r="E938" t="s">
        <v>117</v>
      </c>
      <c r="F938">
        <v>368</v>
      </c>
      <c r="G938" t="s">
        <v>141</v>
      </c>
      <c r="H938" t="s">
        <v>142</v>
      </c>
      <c r="I938" t="s">
        <v>279</v>
      </c>
      <c r="J938" t="s">
        <v>280</v>
      </c>
      <c r="L938" t="s">
        <v>458</v>
      </c>
      <c r="M938" s="8">
        <v>45901</v>
      </c>
      <c r="N938">
        <v>5786792</v>
      </c>
      <c r="O938" t="s">
        <v>123</v>
      </c>
      <c r="P938" t="s">
        <v>146</v>
      </c>
      <c r="Q938">
        <v>3.2</v>
      </c>
      <c r="R938" t="s">
        <v>125</v>
      </c>
      <c r="S938" t="s">
        <v>126</v>
      </c>
      <c r="T938" t="s">
        <v>125</v>
      </c>
      <c r="U938" t="s">
        <v>126</v>
      </c>
      <c r="W938">
        <v>3.2</v>
      </c>
      <c r="Y938">
        <v>3.2</v>
      </c>
      <c r="AS938">
        <v>3.2</v>
      </c>
      <c r="BH938" t="s">
        <v>126</v>
      </c>
      <c r="BI938" t="s">
        <v>126</v>
      </c>
      <c r="BJ938" t="s">
        <v>126</v>
      </c>
      <c r="BK938" t="s">
        <v>126</v>
      </c>
      <c r="BS938" t="s">
        <v>126</v>
      </c>
      <c r="BT938" t="s">
        <v>126</v>
      </c>
      <c r="BU938" t="s">
        <v>126</v>
      </c>
      <c r="BV938" t="s">
        <v>126</v>
      </c>
      <c r="CN938" t="s">
        <v>147</v>
      </c>
      <c r="CP938" t="s">
        <v>457</v>
      </c>
      <c r="CQ938" t="s">
        <v>147</v>
      </c>
    </row>
    <row r="939" spans="1:95" x14ac:dyDescent="0.2">
      <c r="A939" t="s">
        <v>115</v>
      </c>
      <c r="B939" t="s">
        <v>116</v>
      </c>
      <c r="C939">
        <v>210784</v>
      </c>
      <c r="E939" t="s">
        <v>117</v>
      </c>
      <c r="F939">
        <v>368</v>
      </c>
      <c r="G939" t="s">
        <v>141</v>
      </c>
      <c r="H939" t="s">
        <v>142</v>
      </c>
      <c r="I939" t="s">
        <v>279</v>
      </c>
      <c r="J939" t="s">
        <v>280</v>
      </c>
      <c r="L939" t="s">
        <v>459</v>
      </c>
      <c r="M939" s="8">
        <v>45901</v>
      </c>
      <c r="N939">
        <v>5788062</v>
      </c>
      <c r="O939" t="s">
        <v>123</v>
      </c>
      <c r="P939" t="s">
        <v>146</v>
      </c>
      <c r="Q939">
        <v>5.61</v>
      </c>
      <c r="R939" t="s">
        <v>125</v>
      </c>
      <c r="S939" t="s">
        <v>126</v>
      </c>
      <c r="T939" t="s">
        <v>125</v>
      </c>
      <c r="U939" t="s">
        <v>126</v>
      </c>
      <c r="W939">
        <v>5.61</v>
      </c>
      <c r="Y939">
        <v>5.61</v>
      </c>
      <c r="AS939">
        <v>5.61</v>
      </c>
      <c r="BH939" t="s">
        <v>126</v>
      </c>
      <c r="BI939" t="s">
        <v>126</v>
      </c>
      <c r="BJ939" t="s">
        <v>126</v>
      </c>
      <c r="BK939" t="s">
        <v>126</v>
      </c>
      <c r="BS939" t="s">
        <v>126</v>
      </c>
      <c r="BT939" t="s">
        <v>126</v>
      </c>
      <c r="BU939" t="s">
        <v>126</v>
      </c>
      <c r="BV939" t="s">
        <v>126</v>
      </c>
      <c r="CN939" t="s">
        <v>147</v>
      </c>
      <c r="CP939" t="s">
        <v>457</v>
      </c>
      <c r="CQ939" t="s">
        <v>147</v>
      </c>
    </row>
    <row r="940" spans="1:95" x14ac:dyDescent="0.2">
      <c r="A940" t="s">
        <v>115</v>
      </c>
      <c r="B940" t="s">
        <v>116</v>
      </c>
      <c r="C940">
        <v>210784</v>
      </c>
      <c r="E940" t="s">
        <v>117</v>
      </c>
      <c r="F940">
        <v>368</v>
      </c>
      <c r="G940" t="s">
        <v>141</v>
      </c>
      <c r="H940" t="s">
        <v>142</v>
      </c>
      <c r="I940" t="s">
        <v>279</v>
      </c>
      <c r="J940" t="s">
        <v>280</v>
      </c>
      <c r="L940" t="s">
        <v>460</v>
      </c>
      <c r="M940" s="8">
        <v>45901</v>
      </c>
      <c r="N940">
        <v>5789929</v>
      </c>
      <c r="O940" t="s">
        <v>123</v>
      </c>
      <c r="P940" t="s">
        <v>146</v>
      </c>
      <c r="Q940">
        <v>5.21</v>
      </c>
      <c r="R940" t="s">
        <v>125</v>
      </c>
      <c r="S940" t="s">
        <v>126</v>
      </c>
      <c r="T940" t="s">
        <v>125</v>
      </c>
      <c r="U940" t="s">
        <v>126</v>
      </c>
      <c r="W940">
        <v>5.21</v>
      </c>
      <c r="Y940">
        <v>5.21</v>
      </c>
      <c r="AS940">
        <v>5.21</v>
      </c>
      <c r="BH940" t="s">
        <v>126</v>
      </c>
      <c r="BI940" t="s">
        <v>126</v>
      </c>
      <c r="BJ940" t="s">
        <v>126</v>
      </c>
      <c r="BK940" t="s">
        <v>126</v>
      </c>
      <c r="BS940" t="s">
        <v>126</v>
      </c>
      <c r="BT940" t="s">
        <v>126</v>
      </c>
      <c r="BU940" t="s">
        <v>126</v>
      </c>
      <c r="BV940" t="s">
        <v>126</v>
      </c>
      <c r="CN940" t="s">
        <v>147</v>
      </c>
      <c r="CP940" t="s">
        <v>457</v>
      </c>
      <c r="CQ940" t="s">
        <v>147</v>
      </c>
    </row>
    <row r="941" spans="1:95" x14ac:dyDescent="0.2">
      <c r="A941" t="s">
        <v>115</v>
      </c>
      <c r="B941" t="s">
        <v>116</v>
      </c>
      <c r="C941">
        <v>210784</v>
      </c>
      <c r="E941" t="s">
        <v>117</v>
      </c>
      <c r="F941">
        <v>368</v>
      </c>
      <c r="G941" t="s">
        <v>141</v>
      </c>
      <c r="H941" t="s">
        <v>142</v>
      </c>
      <c r="I941" t="s">
        <v>279</v>
      </c>
      <c r="J941" t="s">
        <v>280</v>
      </c>
      <c r="L941" t="s">
        <v>461</v>
      </c>
      <c r="M941" s="8">
        <v>45901</v>
      </c>
      <c r="N941">
        <v>5790961</v>
      </c>
      <c r="O941" t="s">
        <v>123</v>
      </c>
      <c r="P941" t="s">
        <v>146</v>
      </c>
      <c r="Q941">
        <v>5.18</v>
      </c>
      <c r="R941" t="s">
        <v>125</v>
      </c>
      <c r="S941" t="s">
        <v>126</v>
      </c>
      <c r="T941" t="s">
        <v>125</v>
      </c>
      <c r="U941" t="s">
        <v>126</v>
      </c>
      <c r="W941">
        <v>5.18</v>
      </c>
      <c r="Y941">
        <v>5.18</v>
      </c>
      <c r="AS941">
        <v>5.18</v>
      </c>
      <c r="BH941" t="s">
        <v>126</v>
      </c>
      <c r="BI941" t="s">
        <v>126</v>
      </c>
      <c r="BJ941" t="s">
        <v>126</v>
      </c>
      <c r="BK941" t="s">
        <v>126</v>
      </c>
      <c r="BS941" t="s">
        <v>126</v>
      </c>
      <c r="BT941" t="s">
        <v>126</v>
      </c>
      <c r="BU941" t="s">
        <v>126</v>
      </c>
      <c r="BV941" t="s">
        <v>126</v>
      </c>
      <c r="CN941" t="s">
        <v>147</v>
      </c>
      <c r="CP941" t="s">
        <v>457</v>
      </c>
      <c r="CQ941" t="s">
        <v>147</v>
      </c>
    </row>
    <row r="942" spans="1:95" x14ac:dyDescent="0.2">
      <c r="A942" t="s">
        <v>115</v>
      </c>
      <c r="B942" t="s">
        <v>116</v>
      </c>
      <c r="C942">
        <v>210784</v>
      </c>
      <c r="E942" t="s">
        <v>117</v>
      </c>
      <c r="F942">
        <v>368</v>
      </c>
      <c r="G942" t="s">
        <v>141</v>
      </c>
      <c r="H942" t="s">
        <v>142</v>
      </c>
      <c r="I942" t="s">
        <v>279</v>
      </c>
      <c r="J942" t="s">
        <v>280</v>
      </c>
      <c r="L942" t="s">
        <v>461</v>
      </c>
      <c r="M942" s="8">
        <v>45901</v>
      </c>
      <c r="N942">
        <v>5791183</v>
      </c>
      <c r="O942" t="s">
        <v>123</v>
      </c>
      <c r="P942" t="s">
        <v>146</v>
      </c>
      <c r="Q942">
        <v>3.5</v>
      </c>
      <c r="R942" t="s">
        <v>125</v>
      </c>
      <c r="S942" t="s">
        <v>126</v>
      </c>
      <c r="T942" t="s">
        <v>125</v>
      </c>
      <c r="U942" t="s">
        <v>126</v>
      </c>
      <c r="W942">
        <v>3.5</v>
      </c>
      <c r="Y942">
        <v>3.5</v>
      </c>
      <c r="AS942">
        <v>3.5</v>
      </c>
      <c r="BH942" t="s">
        <v>126</v>
      </c>
      <c r="BI942" t="s">
        <v>126</v>
      </c>
      <c r="BJ942" t="s">
        <v>126</v>
      </c>
      <c r="BK942" t="s">
        <v>126</v>
      </c>
      <c r="BS942" t="s">
        <v>126</v>
      </c>
      <c r="BT942" t="s">
        <v>126</v>
      </c>
      <c r="BU942" t="s">
        <v>126</v>
      </c>
      <c r="BV942" t="s">
        <v>126</v>
      </c>
      <c r="CN942" t="s">
        <v>147</v>
      </c>
      <c r="CP942" t="s">
        <v>457</v>
      </c>
      <c r="CQ942" t="s">
        <v>147</v>
      </c>
    </row>
    <row r="943" spans="1:95" x14ac:dyDescent="0.2">
      <c r="A943" t="s">
        <v>115</v>
      </c>
      <c r="B943" t="s">
        <v>116</v>
      </c>
      <c r="C943">
        <v>210784</v>
      </c>
      <c r="E943" t="s">
        <v>117</v>
      </c>
      <c r="F943">
        <v>368</v>
      </c>
      <c r="G943" t="s">
        <v>141</v>
      </c>
      <c r="H943" t="s">
        <v>142</v>
      </c>
      <c r="I943" t="s">
        <v>279</v>
      </c>
      <c r="J943" t="s">
        <v>280</v>
      </c>
      <c r="L943" t="s">
        <v>462</v>
      </c>
      <c r="M943" s="8">
        <v>45901</v>
      </c>
      <c r="N943">
        <v>5791955</v>
      </c>
      <c r="O943" t="s">
        <v>123</v>
      </c>
      <c r="P943" t="s">
        <v>146</v>
      </c>
      <c r="Q943">
        <v>3.69</v>
      </c>
      <c r="R943" t="s">
        <v>125</v>
      </c>
      <c r="S943" t="s">
        <v>126</v>
      </c>
      <c r="T943" t="s">
        <v>125</v>
      </c>
      <c r="U943" t="s">
        <v>126</v>
      </c>
      <c r="W943">
        <v>3.69</v>
      </c>
      <c r="Y943">
        <v>3.69</v>
      </c>
      <c r="AS943">
        <v>3.69</v>
      </c>
      <c r="BH943" t="s">
        <v>126</v>
      </c>
      <c r="BI943" t="s">
        <v>126</v>
      </c>
      <c r="BJ943" t="s">
        <v>126</v>
      </c>
      <c r="BK943" t="s">
        <v>126</v>
      </c>
      <c r="BS943" t="s">
        <v>126</v>
      </c>
      <c r="BT943" t="s">
        <v>126</v>
      </c>
      <c r="BU943" t="s">
        <v>126</v>
      </c>
      <c r="BV943" t="s">
        <v>126</v>
      </c>
      <c r="CN943" t="s">
        <v>147</v>
      </c>
      <c r="CP943" t="s">
        <v>457</v>
      </c>
      <c r="CQ943" t="s">
        <v>147</v>
      </c>
    </row>
    <row r="944" spans="1:95" x14ac:dyDescent="0.2">
      <c r="A944" t="s">
        <v>115</v>
      </c>
      <c r="B944" t="s">
        <v>116</v>
      </c>
      <c r="C944">
        <v>210784</v>
      </c>
      <c r="E944" t="s">
        <v>117</v>
      </c>
      <c r="F944">
        <v>368</v>
      </c>
      <c r="G944" t="s">
        <v>141</v>
      </c>
      <c r="H944" t="s">
        <v>142</v>
      </c>
      <c r="I944" t="s">
        <v>279</v>
      </c>
      <c r="J944" t="s">
        <v>280</v>
      </c>
      <c r="L944" t="s">
        <v>462</v>
      </c>
      <c r="M944" s="8">
        <v>45901</v>
      </c>
      <c r="N944">
        <v>5792261</v>
      </c>
      <c r="O944" t="s">
        <v>123</v>
      </c>
      <c r="P944" t="s">
        <v>146</v>
      </c>
      <c r="Q944">
        <v>3.35</v>
      </c>
      <c r="R944" t="s">
        <v>125</v>
      </c>
      <c r="S944" t="s">
        <v>126</v>
      </c>
      <c r="T944" t="s">
        <v>125</v>
      </c>
      <c r="U944" t="s">
        <v>126</v>
      </c>
      <c r="W944">
        <v>3.35</v>
      </c>
      <c r="Y944">
        <v>3.35</v>
      </c>
      <c r="AS944">
        <v>3.35</v>
      </c>
      <c r="BH944" t="s">
        <v>126</v>
      </c>
      <c r="BI944" t="s">
        <v>126</v>
      </c>
      <c r="BJ944" t="s">
        <v>126</v>
      </c>
      <c r="BK944" t="s">
        <v>126</v>
      </c>
      <c r="BS944" t="s">
        <v>126</v>
      </c>
      <c r="BT944" t="s">
        <v>126</v>
      </c>
      <c r="BU944" t="s">
        <v>126</v>
      </c>
      <c r="BV944" t="s">
        <v>126</v>
      </c>
      <c r="CN944" t="s">
        <v>147</v>
      </c>
      <c r="CP944" t="s">
        <v>457</v>
      </c>
      <c r="CQ944" t="s">
        <v>147</v>
      </c>
    </row>
    <row r="945" spans="1:95" x14ac:dyDescent="0.2">
      <c r="A945" t="s">
        <v>115</v>
      </c>
      <c r="B945" t="s">
        <v>116</v>
      </c>
      <c r="C945">
        <v>210784</v>
      </c>
      <c r="E945" t="s">
        <v>117</v>
      </c>
      <c r="F945">
        <v>368</v>
      </c>
      <c r="G945" t="s">
        <v>141</v>
      </c>
      <c r="H945" t="s">
        <v>142</v>
      </c>
      <c r="I945" t="s">
        <v>279</v>
      </c>
      <c r="J945" t="s">
        <v>280</v>
      </c>
      <c r="L945" t="s">
        <v>463</v>
      </c>
      <c r="M945" s="8">
        <v>45901</v>
      </c>
      <c r="N945">
        <v>5792680</v>
      </c>
      <c r="O945" t="s">
        <v>123</v>
      </c>
      <c r="P945" t="s">
        <v>146</v>
      </c>
      <c r="Q945">
        <v>4</v>
      </c>
      <c r="R945" t="s">
        <v>125</v>
      </c>
      <c r="S945" t="s">
        <v>126</v>
      </c>
      <c r="T945" t="s">
        <v>125</v>
      </c>
      <c r="U945" t="s">
        <v>126</v>
      </c>
      <c r="W945">
        <v>4</v>
      </c>
      <c r="Y945">
        <v>4</v>
      </c>
      <c r="AS945">
        <v>4</v>
      </c>
      <c r="BH945" t="s">
        <v>126</v>
      </c>
      <c r="BI945" t="s">
        <v>126</v>
      </c>
      <c r="BJ945" t="s">
        <v>126</v>
      </c>
      <c r="BK945" t="s">
        <v>126</v>
      </c>
      <c r="BS945" t="s">
        <v>126</v>
      </c>
      <c r="BT945" t="s">
        <v>126</v>
      </c>
      <c r="BU945" t="s">
        <v>126</v>
      </c>
      <c r="BV945" t="s">
        <v>126</v>
      </c>
      <c r="CN945" t="s">
        <v>147</v>
      </c>
      <c r="CP945" t="s">
        <v>457</v>
      </c>
      <c r="CQ945" t="s">
        <v>147</v>
      </c>
    </row>
    <row r="946" spans="1:95" x14ac:dyDescent="0.2">
      <c r="A946" t="s">
        <v>115</v>
      </c>
      <c r="B946" t="s">
        <v>116</v>
      </c>
      <c r="C946">
        <v>210784</v>
      </c>
      <c r="E946" t="s">
        <v>117</v>
      </c>
      <c r="F946">
        <v>368</v>
      </c>
      <c r="G946" t="s">
        <v>141</v>
      </c>
      <c r="H946" t="s">
        <v>142</v>
      </c>
      <c r="I946" t="s">
        <v>279</v>
      </c>
      <c r="J946" t="s">
        <v>280</v>
      </c>
      <c r="L946" t="s">
        <v>463</v>
      </c>
      <c r="M946" s="8">
        <v>45901</v>
      </c>
      <c r="N946">
        <v>5793110</v>
      </c>
      <c r="O946" t="s">
        <v>123</v>
      </c>
      <c r="P946" t="s">
        <v>146</v>
      </c>
      <c r="Q946">
        <v>1.92</v>
      </c>
      <c r="R946" t="s">
        <v>125</v>
      </c>
      <c r="S946" t="s">
        <v>126</v>
      </c>
      <c r="T946" t="s">
        <v>125</v>
      </c>
      <c r="U946" t="s">
        <v>126</v>
      </c>
      <c r="W946">
        <v>1.92</v>
      </c>
      <c r="Y946">
        <v>1.92</v>
      </c>
      <c r="AS946">
        <v>1.92</v>
      </c>
      <c r="BH946" t="s">
        <v>126</v>
      </c>
      <c r="BI946" t="s">
        <v>126</v>
      </c>
      <c r="BJ946" t="s">
        <v>126</v>
      </c>
      <c r="BK946" t="s">
        <v>126</v>
      </c>
      <c r="BS946" t="s">
        <v>126</v>
      </c>
      <c r="BT946" t="s">
        <v>126</v>
      </c>
      <c r="BU946" t="s">
        <v>126</v>
      </c>
      <c r="BV946" t="s">
        <v>126</v>
      </c>
      <c r="CN946" t="s">
        <v>147</v>
      </c>
      <c r="CP946" t="s">
        <v>457</v>
      </c>
      <c r="CQ946" t="s">
        <v>147</v>
      </c>
    </row>
    <row r="947" spans="1:95" x14ac:dyDescent="0.2">
      <c r="A947" t="s">
        <v>115</v>
      </c>
      <c r="B947" t="s">
        <v>116</v>
      </c>
      <c r="C947">
        <v>210784</v>
      </c>
      <c r="E947" t="s">
        <v>117</v>
      </c>
      <c r="F947">
        <v>368</v>
      </c>
      <c r="G947" t="s">
        <v>141</v>
      </c>
      <c r="H947" t="s">
        <v>142</v>
      </c>
      <c r="I947" t="s">
        <v>279</v>
      </c>
      <c r="J947" t="s">
        <v>280</v>
      </c>
      <c r="L947" t="s">
        <v>464</v>
      </c>
      <c r="M947" s="8">
        <v>45901</v>
      </c>
      <c r="N947">
        <v>5793814</v>
      </c>
      <c r="O947" t="s">
        <v>123</v>
      </c>
      <c r="P947" t="s">
        <v>146</v>
      </c>
      <c r="Q947">
        <v>3.6</v>
      </c>
      <c r="R947" t="s">
        <v>125</v>
      </c>
      <c r="S947" t="s">
        <v>126</v>
      </c>
      <c r="T947" t="s">
        <v>125</v>
      </c>
      <c r="U947" t="s">
        <v>126</v>
      </c>
      <c r="W947">
        <v>3.6</v>
      </c>
      <c r="Y947">
        <v>3.6</v>
      </c>
      <c r="AS947">
        <v>3.6</v>
      </c>
      <c r="BH947" t="s">
        <v>126</v>
      </c>
      <c r="BI947" t="s">
        <v>126</v>
      </c>
      <c r="BJ947" t="s">
        <v>126</v>
      </c>
      <c r="BK947" t="s">
        <v>126</v>
      </c>
      <c r="BS947" t="s">
        <v>126</v>
      </c>
      <c r="BT947" t="s">
        <v>126</v>
      </c>
      <c r="BU947" t="s">
        <v>126</v>
      </c>
      <c r="BV947" t="s">
        <v>126</v>
      </c>
      <c r="CN947" t="s">
        <v>147</v>
      </c>
      <c r="CP947" t="s">
        <v>457</v>
      </c>
      <c r="CQ947" t="s">
        <v>147</v>
      </c>
    </row>
    <row r="948" spans="1:95" x14ac:dyDescent="0.2">
      <c r="A948" t="s">
        <v>115</v>
      </c>
      <c r="B948" t="s">
        <v>116</v>
      </c>
      <c r="C948">
        <v>210784</v>
      </c>
      <c r="E948" t="s">
        <v>117</v>
      </c>
      <c r="F948">
        <v>368</v>
      </c>
      <c r="G948" t="s">
        <v>141</v>
      </c>
      <c r="H948" t="s">
        <v>142</v>
      </c>
      <c r="I948" t="s">
        <v>279</v>
      </c>
      <c r="J948" t="s">
        <v>280</v>
      </c>
      <c r="L948" t="s">
        <v>465</v>
      </c>
      <c r="M948" s="8">
        <v>45901</v>
      </c>
      <c r="N948">
        <v>5794643</v>
      </c>
      <c r="O948" t="s">
        <v>123</v>
      </c>
      <c r="P948" t="s">
        <v>146</v>
      </c>
      <c r="Q948">
        <v>4.08</v>
      </c>
      <c r="R948" t="s">
        <v>125</v>
      </c>
      <c r="S948" t="s">
        <v>126</v>
      </c>
      <c r="T948" t="s">
        <v>125</v>
      </c>
      <c r="U948" t="s">
        <v>126</v>
      </c>
      <c r="W948">
        <v>4.08</v>
      </c>
      <c r="Y948">
        <v>4.08</v>
      </c>
      <c r="AS948">
        <v>4.08</v>
      </c>
      <c r="BH948" t="s">
        <v>126</v>
      </c>
      <c r="BI948" t="s">
        <v>126</v>
      </c>
      <c r="BJ948" t="s">
        <v>126</v>
      </c>
      <c r="BK948" t="s">
        <v>126</v>
      </c>
      <c r="BS948" t="s">
        <v>126</v>
      </c>
      <c r="BT948" t="s">
        <v>126</v>
      </c>
      <c r="BU948" t="s">
        <v>126</v>
      </c>
      <c r="BV948" t="s">
        <v>126</v>
      </c>
      <c r="CN948" t="s">
        <v>147</v>
      </c>
      <c r="CP948" t="s">
        <v>457</v>
      </c>
      <c r="CQ948" t="s">
        <v>147</v>
      </c>
    </row>
    <row r="949" spans="1:95" x14ac:dyDescent="0.2">
      <c r="A949" t="s">
        <v>115</v>
      </c>
      <c r="B949" t="s">
        <v>116</v>
      </c>
      <c r="C949">
        <v>210784</v>
      </c>
      <c r="E949" t="s">
        <v>117</v>
      </c>
      <c r="F949">
        <v>368</v>
      </c>
      <c r="G949" t="s">
        <v>141</v>
      </c>
      <c r="H949" t="s">
        <v>142</v>
      </c>
      <c r="I949" t="s">
        <v>279</v>
      </c>
      <c r="J949" t="s">
        <v>280</v>
      </c>
      <c r="L949" t="s">
        <v>466</v>
      </c>
      <c r="M949" s="8">
        <v>45901</v>
      </c>
      <c r="N949">
        <v>5795419</v>
      </c>
      <c r="O949" t="s">
        <v>123</v>
      </c>
      <c r="P949" t="s">
        <v>146</v>
      </c>
      <c r="Q949">
        <v>4.66</v>
      </c>
      <c r="R949" t="s">
        <v>125</v>
      </c>
      <c r="S949" t="s">
        <v>126</v>
      </c>
      <c r="T949" t="s">
        <v>125</v>
      </c>
      <c r="U949" t="s">
        <v>126</v>
      </c>
      <c r="W949">
        <v>4.66</v>
      </c>
      <c r="Y949">
        <v>4.66</v>
      </c>
      <c r="AS949">
        <v>4.66</v>
      </c>
      <c r="BH949" t="s">
        <v>126</v>
      </c>
      <c r="BI949" t="s">
        <v>126</v>
      </c>
      <c r="BJ949" t="s">
        <v>126</v>
      </c>
      <c r="BK949" t="s">
        <v>126</v>
      </c>
      <c r="BS949" t="s">
        <v>126</v>
      </c>
      <c r="BT949" t="s">
        <v>126</v>
      </c>
      <c r="BU949" t="s">
        <v>126</v>
      </c>
      <c r="BV949" t="s">
        <v>126</v>
      </c>
      <c r="CN949" t="s">
        <v>147</v>
      </c>
      <c r="CP949" t="s">
        <v>457</v>
      </c>
      <c r="CQ949" t="s">
        <v>147</v>
      </c>
    </row>
    <row r="950" spans="1:95" x14ac:dyDescent="0.2">
      <c r="A950" t="s">
        <v>115</v>
      </c>
      <c r="B950" t="s">
        <v>116</v>
      </c>
      <c r="C950">
        <v>210784</v>
      </c>
      <c r="E950" t="s">
        <v>117</v>
      </c>
      <c r="F950">
        <v>368</v>
      </c>
      <c r="G950" t="s">
        <v>141</v>
      </c>
      <c r="H950" t="s">
        <v>142</v>
      </c>
      <c r="I950" t="s">
        <v>279</v>
      </c>
      <c r="J950" t="s">
        <v>280</v>
      </c>
      <c r="L950" t="s">
        <v>467</v>
      </c>
      <c r="M950" s="8">
        <v>45901</v>
      </c>
      <c r="N950">
        <v>5796138</v>
      </c>
      <c r="O950" t="s">
        <v>123</v>
      </c>
      <c r="P950" t="s">
        <v>146</v>
      </c>
      <c r="Q950">
        <v>4.4800000000000004</v>
      </c>
      <c r="R950" t="s">
        <v>125</v>
      </c>
      <c r="S950" t="s">
        <v>126</v>
      </c>
      <c r="T950" t="s">
        <v>125</v>
      </c>
      <c r="U950" t="s">
        <v>126</v>
      </c>
      <c r="W950">
        <v>4.4800000000000004</v>
      </c>
      <c r="Y950">
        <v>4.4800000000000004</v>
      </c>
      <c r="AS950">
        <v>4.4800000000000004</v>
      </c>
      <c r="BH950" t="s">
        <v>126</v>
      </c>
      <c r="BI950" t="s">
        <v>126</v>
      </c>
      <c r="BJ950" t="s">
        <v>126</v>
      </c>
      <c r="BK950" t="s">
        <v>126</v>
      </c>
      <c r="BS950" t="s">
        <v>126</v>
      </c>
      <c r="BT950" t="s">
        <v>126</v>
      </c>
      <c r="BU950" t="s">
        <v>126</v>
      </c>
      <c r="BV950" t="s">
        <v>126</v>
      </c>
      <c r="CN950" t="s">
        <v>147</v>
      </c>
      <c r="CP950" t="s">
        <v>457</v>
      </c>
      <c r="CQ950" t="s">
        <v>147</v>
      </c>
    </row>
    <row r="951" spans="1:95" x14ac:dyDescent="0.2">
      <c r="A951" t="s">
        <v>115</v>
      </c>
      <c r="B951" t="s">
        <v>116</v>
      </c>
      <c r="C951">
        <v>210784</v>
      </c>
      <c r="E951" t="s">
        <v>117</v>
      </c>
      <c r="F951">
        <v>368</v>
      </c>
      <c r="G951" t="s">
        <v>141</v>
      </c>
      <c r="H951" t="s">
        <v>142</v>
      </c>
      <c r="I951" t="s">
        <v>279</v>
      </c>
      <c r="J951" t="s">
        <v>280</v>
      </c>
      <c r="L951" t="s">
        <v>468</v>
      </c>
      <c r="M951" s="8">
        <v>45901</v>
      </c>
      <c r="N951">
        <v>5798882</v>
      </c>
      <c r="O951" t="s">
        <v>123</v>
      </c>
      <c r="P951" t="s">
        <v>146</v>
      </c>
      <c r="Q951">
        <v>5.08</v>
      </c>
      <c r="R951" t="s">
        <v>125</v>
      </c>
      <c r="S951" t="s">
        <v>126</v>
      </c>
      <c r="T951" t="s">
        <v>125</v>
      </c>
      <c r="U951" t="s">
        <v>126</v>
      </c>
      <c r="W951">
        <v>5.08</v>
      </c>
      <c r="Y951">
        <v>5.08</v>
      </c>
      <c r="AS951">
        <v>5.08</v>
      </c>
      <c r="BH951" t="s">
        <v>126</v>
      </c>
      <c r="BI951" t="s">
        <v>126</v>
      </c>
      <c r="BJ951" t="s">
        <v>126</v>
      </c>
      <c r="BK951" t="s">
        <v>126</v>
      </c>
      <c r="BS951" t="s">
        <v>126</v>
      </c>
      <c r="BT951" t="s">
        <v>126</v>
      </c>
      <c r="BU951" t="s">
        <v>126</v>
      </c>
      <c r="BV951" t="s">
        <v>126</v>
      </c>
      <c r="CN951" t="s">
        <v>147</v>
      </c>
      <c r="CP951" t="s">
        <v>469</v>
      </c>
      <c r="CQ951" t="s">
        <v>147</v>
      </c>
    </row>
    <row r="952" spans="1:95" x14ac:dyDescent="0.2">
      <c r="A952" t="s">
        <v>115</v>
      </c>
      <c r="B952" t="s">
        <v>116</v>
      </c>
      <c r="C952">
        <v>210784</v>
      </c>
      <c r="E952" t="s">
        <v>117</v>
      </c>
      <c r="F952">
        <v>368</v>
      </c>
      <c r="G952" t="s">
        <v>141</v>
      </c>
      <c r="H952" t="s">
        <v>142</v>
      </c>
      <c r="I952" t="s">
        <v>279</v>
      </c>
      <c r="J952" t="s">
        <v>280</v>
      </c>
      <c r="L952" t="s">
        <v>468</v>
      </c>
      <c r="M952" s="8">
        <v>45901</v>
      </c>
      <c r="N952">
        <v>5798962</v>
      </c>
      <c r="O952" t="s">
        <v>123</v>
      </c>
      <c r="P952" t="s">
        <v>146</v>
      </c>
      <c r="Q952">
        <v>2.65</v>
      </c>
      <c r="R952" t="s">
        <v>125</v>
      </c>
      <c r="S952" t="s">
        <v>126</v>
      </c>
      <c r="T952" t="s">
        <v>125</v>
      </c>
      <c r="U952" t="s">
        <v>126</v>
      </c>
      <c r="W952">
        <v>2.65</v>
      </c>
      <c r="Y952">
        <v>2.65</v>
      </c>
      <c r="AS952">
        <v>2.65</v>
      </c>
      <c r="BH952" t="s">
        <v>126</v>
      </c>
      <c r="BI952" t="s">
        <v>126</v>
      </c>
      <c r="BJ952" t="s">
        <v>126</v>
      </c>
      <c r="BK952" t="s">
        <v>126</v>
      </c>
      <c r="BS952" t="s">
        <v>126</v>
      </c>
      <c r="BT952" t="s">
        <v>126</v>
      </c>
      <c r="BU952" t="s">
        <v>126</v>
      </c>
      <c r="BV952" t="s">
        <v>126</v>
      </c>
      <c r="CN952" t="s">
        <v>147</v>
      </c>
      <c r="CP952" t="s">
        <v>469</v>
      </c>
      <c r="CQ952" t="s">
        <v>147</v>
      </c>
    </row>
    <row r="953" spans="1:95" x14ac:dyDescent="0.2">
      <c r="A953" t="s">
        <v>115</v>
      </c>
      <c r="B953" t="s">
        <v>116</v>
      </c>
      <c r="C953">
        <v>210784</v>
      </c>
      <c r="E953" t="s">
        <v>117</v>
      </c>
      <c r="F953">
        <v>368</v>
      </c>
      <c r="G953" t="s">
        <v>141</v>
      </c>
      <c r="H953" t="s">
        <v>142</v>
      </c>
      <c r="I953" t="s">
        <v>279</v>
      </c>
      <c r="J953" t="s">
        <v>280</v>
      </c>
      <c r="L953" t="s">
        <v>470</v>
      </c>
      <c r="M953" s="8">
        <v>45901</v>
      </c>
      <c r="N953">
        <v>5799644</v>
      </c>
      <c r="O953" t="s">
        <v>123</v>
      </c>
      <c r="P953" t="s">
        <v>146</v>
      </c>
      <c r="Q953">
        <v>5.08</v>
      </c>
      <c r="R953" t="s">
        <v>125</v>
      </c>
      <c r="S953" t="s">
        <v>126</v>
      </c>
      <c r="T953" t="s">
        <v>125</v>
      </c>
      <c r="U953" t="s">
        <v>126</v>
      </c>
      <c r="W953">
        <v>5.08</v>
      </c>
      <c r="Y953">
        <v>5.08</v>
      </c>
      <c r="AS953">
        <v>5.08</v>
      </c>
      <c r="BH953" t="s">
        <v>126</v>
      </c>
      <c r="BI953" t="s">
        <v>126</v>
      </c>
      <c r="BJ953" t="s">
        <v>126</v>
      </c>
      <c r="BK953" t="s">
        <v>126</v>
      </c>
      <c r="BS953" t="s">
        <v>126</v>
      </c>
      <c r="BT953" t="s">
        <v>126</v>
      </c>
      <c r="BU953" t="s">
        <v>126</v>
      </c>
      <c r="BV953" t="s">
        <v>126</v>
      </c>
      <c r="CN953" t="s">
        <v>147</v>
      </c>
      <c r="CP953" t="s">
        <v>469</v>
      </c>
      <c r="CQ953" t="s">
        <v>147</v>
      </c>
    </row>
    <row r="954" spans="1:95" x14ac:dyDescent="0.2">
      <c r="A954" t="s">
        <v>115</v>
      </c>
      <c r="B954" t="s">
        <v>116</v>
      </c>
      <c r="C954">
        <v>210784</v>
      </c>
      <c r="E954" t="s">
        <v>117</v>
      </c>
      <c r="F954">
        <v>368</v>
      </c>
      <c r="G954" t="s">
        <v>141</v>
      </c>
      <c r="H954" t="s">
        <v>142</v>
      </c>
      <c r="I954" t="s">
        <v>519</v>
      </c>
      <c r="J954" t="s">
        <v>520</v>
      </c>
      <c r="L954" t="s">
        <v>522</v>
      </c>
      <c r="M954" s="8">
        <v>45901</v>
      </c>
      <c r="N954" t="s">
        <v>523</v>
      </c>
      <c r="O954" t="s">
        <v>123</v>
      </c>
      <c r="P954" t="s">
        <v>146</v>
      </c>
      <c r="Q954">
        <v>1E-3</v>
      </c>
      <c r="R954" t="s">
        <v>125</v>
      </c>
      <c r="S954" t="s">
        <v>126</v>
      </c>
      <c r="T954" t="s">
        <v>125</v>
      </c>
      <c r="U954" t="s">
        <v>126</v>
      </c>
      <c r="W954">
        <v>1E-3</v>
      </c>
      <c r="Y954">
        <v>1E-3</v>
      </c>
      <c r="AF954">
        <v>1E-3</v>
      </c>
      <c r="BH954" t="s">
        <v>126</v>
      </c>
      <c r="BI954" t="s">
        <v>126</v>
      </c>
      <c r="BJ954" t="s">
        <v>126</v>
      </c>
      <c r="BK954" t="s">
        <v>126</v>
      </c>
      <c r="BS954" t="s">
        <v>126</v>
      </c>
      <c r="BT954" t="s">
        <v>126</v>
      </c>
      <c r="BU954" t="s">
        <v>126</v>
      </c>
      <c r="BV954" t="s">
        <v>126</v>
      </c>
      <c r="CN954" t="s">
        <v>147</v>
      </c>
      <c r="CP954" t="s">
        <v>460</v>
      </c>
      <c r="CQ954" t="s">
        <v>147</v>
      </c>
    </row>
    <row r="955" spans="1:95" x14ac:dyDescent="0.2">
      <c r="A955" t="s">
        <v>115</v>
      </c>
      <c r="B955" t="s">
        <v>116</v>
      </c>
      <c r="C955">
        <v>210784</v>
      </c>
      <c r="E955" t="s">
        <v>117</v>
      </c>
      <c r="F955">
        <v>368</v>
      </c>
      <c r="G955" t="s">
        <v>141</v>
      </c>
      <c r="H955" t="s">
        <v>142</v>
      </c>
      <c r="I955" t="s">
        <v>279</v>
      </c>
      <c r="J955" t="s">
        <v>280</v>
      </c>
      <c r="L955" t="s">
        <v>456</v>
      </c>
      <c r="M955" s="8">
        <v>45901</v>
      </c>
      <c r="N955">
        <v>5785297</v>
      </c>
      <c r="O955" t="s">
        <v>123</v>
      </c>
      <c r="P955" t="s">
        <v>146</v>
      </c>
      <c r="Q955">
        <v>4.07</v>
      </c>
      <c r="R955" t="s">
        <v>588</v>
      </c>
      <c r="S955" t="s">
        <v>126</v>
      </c>
      <c r="T955" t="s">
        <v>588</v>
      </c>
      <c r="U955" t="s">
        <v>589</v>
      </c>
      <c r="W955">
        <v>1.25</v>
      </c>
      <c r="X955">
        <v>2.8200000000000003</v>
      </c>
      <c r="Y955">
        <v>4.07</v>
      </c>
      <c r="Z955">
        <v>1.55</v>
      </c>
      <c r="AG955">
        <v>1.25</v>
      </c>
      <c r="AI955">
        <v>1.27</v>
      </c>
      <c r="BH955" t="s">
        <v>126</v>
      </c>
      <c r="BI955" t="s">
        <v>126</v>
      </c>
      <c r="BJ955" t="s">
        <v>126</v>
      </c>
      <c r="BK955" t="s">
        <v>126</v>
      </c>
      <c r="BS955" t="s">
        <v>126</v>
      </c>
      <c r="BT955" t="s">
        <v>126</v>
      </c>
      <c r="BU955" t="s">
        <v>126</v>
      </c>
      <c r="BV955" t="s">
        <v>126</v>
      </c>
      <c r="CN955" t="s">
        <v>147</v>
      </c>
      <c r="CP955" t="s">
        <v>457</v>
      </c>
      <c r="CQ955" t="s">
        <v>147</v>
      </c>
    </row>
    <row r="956" spans="1:95" x14ac:dyDescent="0.2">
      <c r="A956" t="s">
        <v>115</v>
      </c>
      <c r="B956" t="s">
        <v>116</v>
      </c>
      <c r="C956">
        <v>210784</v>
      </c>
      <c r="E956" t="s">
        <v>117</v>
      </c>
      <c r="F956">
        <v>368</v>
      </c>
      <c r="G956" t="s">
        <v>141</v>
      </c>
      <c r="H956" t="s">
        <v>142</v>
      </c>
      <c r="I956" t="s">
        <v>279</v>
      </c>
      <c r="J956" t="s">
        <v>280</v>
      </c>
      <c r="L956" t="s">
        <v>292</v>
      </c>
      <c r="M956" s="8">
        <v>45901</v>
      </c>
      <c r="N956">
        <v>5787892</v>
      </c>
      <c r="O956" t="s">
        <v>123</v>
      </c>
      <c r="P956" t="s">
        <v>146</v>
      </c>
      <c r="Q956">
        <v>4.2</v>
      </c>
      <c r="R956" t="s">
        <v>588</v>
      </c>
      <c r="S956" t="s">
        <v>126</v>
      </c>
      <c r="T956" t="s">
        <v>588</v>
      </c>
      <c r="U956" t="s">
        <v>589</v>
      </c>
      <c r="W956">
        <v>1.29</v>
      </c>
      <c r="X956">
        <v>2.91</v>
      </c>
      <c r="Y956">
        <v>4.2</v>
      </c>
      <c r="Z956">
        <v>1.6</v>
      </c>
      <c r="AG956">
        <v>1.29</v>
      </c>
      <c r="AI956">
        <v>1.31</v>
      </c>
      <c r="BH956" t="s">
        <v>126</v>
      </c>
      <c r="BI956" t="s">
        <v>126</v>
      </c>
      <c r="BJ956" t="s">
        <v>126</v>
      </c>
      <c r="BK956" t="s">
        <v>126</v>
      </c>
      <c r="BS956" t="s">
        <v>126</v>
      </c>
      <c r="BT956" t="s">
        <v>126</v>
      </c>
      <c r="BU956" t="s">
        <v>126</v>
      </c>
      <c r="BV956" t="s">
        <v>126</v>
      </c>
      <c r="CN956" t="s">
        <v>147</v>
      </c>
      <c r="CP956" t="s">
        <v>457</v>
      </c>
      <c r="CQ956" t="s">
        <v>147</v>
      </c>
    </row>
    <row r="957" spans="1:95" x14ac:dyDescent="0.2">
      <c r="A957" t="s">
        <v>115</v>
      </c>
      <c r="B957" t="s">
        <v>116</v>
      </c>
      <c r="C957">
        <v>210784</v>
      </c>
      <c r="E957" t="s">
        <v>117</v>
      </c>
      <c r="F957">
        <v>368</v>
      </c>
      <c r="G957" t="s">
        <v>141</v>
      </c>
      <c r="H957" t="s">
        <v>142</v>
      </c>
      <c r="I957" t="s">
        <v>279</v>
      </c>
      <c r="J957" t="s">
        <v>280</v>
      </c>
      <c r="L957" t="s">
        <v>459</v>
      </c>
      <c r="M957" s="8">
        <v>45901</v>
      </c>
      <c r="N957">
        <v>5788719</v>
      </c>
      <c r="O957" t="s">
        <v>123</v>
      </c>
      <c r="P957" t="s">
        <v>146</v>
      </c>
      <c r="Q957">
        <v>3.49</v>
      </c>
      <c r="R957" t="s">
        <v>596</v>
      </c>
      <c r="S957" t="s">
        <v>126</v>
      </c>
      <c r="T957" t="s">
        <v>596</v>
      </c>
      <c r="U957" t="s">
        <v>597</v>
      </c>
      <c r="W957">
        <v>1.08</v>
      </c>
      <c r="X957">
        <v>2.41</v>
      </c>
      <c r="Y957">
        <v>3.49</v>
      </c>
      <c r="Z957">
        <v>1.0900000000000001</v>
      </c>
      <c r="AG957">
        <v>1.08</v>
      </c>
      <c r="AI957">
        <v>1.32</v>
      </c>
      <c r="BH957" t="s">
        <v>126</v>
      </c>
      <c r="BI957" t="s">
        <v>126</v>
      </c>
      <c r="BJ957" t="s">
        <v>126</v>
      </c>
      <c r="BK957" t="s">
        <v>126</v>
      </c>
      <c r="BS957" t="s">
        <v>126</v>
      </c>
      <c r="BT957" t="s">
        <v>126</v>
      </c>
      <c r="BU957" t="s">
        <v>126</v>
      </c>
      <c r="BV957" t="s">
        <v>126</v>
      </c>
      <c r="CN957" t="s">
        <v>147</v>
      </c>
      <c r="CP957" t="s">
        <v>457</v>
      </c>
      <c r="CQ957" t="s">
        <v>147</v>
      </c>
    </row>
    <row r="958" spans="1:95" x14ac:dyDescent="0.2">
      <c r="A958" t="s">
        <v>115</v>
      </c>
      <c r="B958" t="s">
        <v>116</v>
      </c>
      <c r="C958">
        <v>210784</v>
      </c>
      <c r="E958" t="s">
        <v>117</v>
      </c>
      <c r="F958">
        <v>368</v>
      </c>
      <c r="G958" t="s">
        <v>141</v>
      </c>
      <c r="H958" t="s">
        <v>142</v>
      </c>
      <c r="I958" t="s">
        <v>279</v>
      </c>
      <c r="J958" t="s">
        <v>280</v>
      </c>
      <c r="L958" t="s">
        <v>460</v>
      </c>
      <c r="M958" s="8">
        <v>45901</v>
      </c>
      <c r="N958">
        <v>578913</v>
      </c>
      <c r="O958" t="s">
        <v>123</v>
      </c>
      <c r="P958" t="s">
        <v>146</v>
      </c>
      <c r="Q958">
        <v>6.65</v>
      </c>
      <c r="R958" t="s">
        <v>745</v>
      </c>
      <c r="S958" t="s">
        <v>126</v>
      </c>
      <c r="T958" t="s">
        <v>745</v>
      </c>
      <c r="U958" t="s">
        <v>746</v>
      </c>
      <c r="W958">
        <v>4.1199999999999992</v>
      </c>
      <c r="X958">
        <v>2.5299999999999998</v>
      </c>
      <c r="Y958">
        <v>6.65</v>
      </c>
      <c r="Z958">
        <v>2.5299999999999998</v>
      </c>
      <c r="AG958">
        <v>2.0499999999999998</v>
      </c>
      <c r="AH958">
        <v>2.0699999999999998</v>
      </c>
      <c r="BH958" t="s">
        <v>126</v>
      </c>
      <c r="BI958" t="s">
        <v>126</v>
      </c>
      <c r="BJ958" t="s">
        <v>126</v>
      </c>
      <c r="BK958" t="s">
        <v>126</v>
      </c>
      <c r="BS958" t="s">
        <v>126</v>
      </c>
      <c r="BT958" t="s">
        <v>126</v>
      </c>
      <c r="BU958" t="s">
        <v>126</v>
      </c>
      <c r="BV958" t="s">
        <v>126</v>
      </c>
      <c r="CN958" t="s">
        <v>147</v>
      </c>
      <c r="CP958" t="s">
        <v>457</v>
      </c>
      <c r="CQ958" t="s">
        <v>147</v>
      </c>
    </row>
    <row r="959" spans="1:95" x14ac:dyDescent="0.2">
      <c r="A959" t="s">
        <v>115</v>
      </c>
      <c r="B959" t="s">
        <v>116</v>
      </c>
      <c r="C959">
        <v>210784</v>
      </c>
      <c r="E959" t="s">
        <v>117</v>
      </c>
      <c r="F959">
        <v>368</v>
      </c>
      <c r="G959" t="s">
        <v>141</v>
      </c>
      <c r="H959" t="s">
        <v>142</v>
      </c>
      <c r="I959" t="s">
        <v>279</v>
      </c>
      <c r="J959" t="s">
        <v>280</v>
      </c>
      <c r="L959" t="s">
        <v>460</v>
      </c>
      <c r="M959" s="8">
        <v>45901</v>
      </c>
      <c r="N959">
        <v>5790297</v>
      </c>
      <c r="O959" t="s">
        <v>123</v>
      </c>
      <c r="P959" t="s">
        <v>146</v>
      </c>
      <c r="Q959">
        <v>3.24</v>
      </c>
      <c r="R959" t="s">
        <v>567</v>
      </c>
      <c r="S959" t="s">
        <v>126</v>
      </c>
      <c r="T959" t="s">
        <v>567</v>
      </c>
      <c r="U959" t="s">
        <v>568</v>
      </c>
      <c r="W959">
        <v>1</v>
      </c>
      <c r="X959">
        <v>2.2400000000000002</v>
      </c>
      <c r="Y959">
        <v>3.24</v>
      </c>
      <c r="Z959">
        <v>1.23</v>
      </c>
      <c r="AG959">
        <v>1</v>
      </c>
      <c r="AI959">
        <v>1.01</v>
      </c>
      <c r="BH959" t="s">
        <v>126</v>
      </c>
      <c r="BI959" t="s">
        <v>126</v>
      </c>
      <c r="BJ959" t="s">
        <v>126</v>
      </c>
      <c r="BK959" t="s">
        <v>126</v>
      </c>
      <c r="BS959" t="s">
        <v>126</v>
      </c>
      <c r="BT959" t="s">
        <v>126</v>
      </c>
      <c r="BU959" t="s">
        <v>126</v>
      </c>
      <c r="BV959" t="s">
        <v>126</v>
      </c>
      <c r="CN959" t="s">
        <v>147</v>
      </c>
      <c r="CP959" t="s">
        <v>457</v>
      </c>
      <c r="CQ959" t="s">
        <v>147</v>
      </c>
    </row>
    <row r="960" spans="1:95" x14ac:dyDescent="0.2">
      <c r="A960" t="s">
        <v>115</v>
      </c>
      <c r="B960" t="s">
        <v>116</v>
      </c>
      <c r="C960">
        <v>210784</v>
      </c>
      <c r="E960" t="s">
        <v>117</v>
      </c>
      <c r="F960">
        <v>368</v>
      </c>
      <c r="G960" t="s">
        <v>141</v>
      </c>
      <c r="H960" t="s">
        <v>142</v>
      </c>
      <c r="I960" t="s">
        <v>279</v>
      </c>
      <c r="J960" t="s">
        <v>280</v>
      </c>
      <c r="L960" t="s">
        <v>747</v>
      </c>
      <c r="M960" s="8">
        <v>45901</v>
      </c>
      <c r="N960">
        <v>5796801</v>
      </c>
      <c r="O960" t="s">
        <v>123</v>
      </c>
      <c r="P960" t="s">
        <v>146</v>
      </c>
      <c r="Q960">
        <v>5.76</v>
      </c>
      <c r="R960" t="s">
        <v>710</v>
      </c>
      <c r="S960" t="s">
        <v>126</v>
      </c>
      <c r="T960" t="s">
        <v>710</v>
      </c>
      <c r="U960" t="s">
        <v>711</v>
      </c>
      <c r="W960">
        <v>1.78</v>
      </c>
      <c r="X960">
        <v>3.98</v>
      </c>
      <c r="Y960">
        <v>5.76</v>
      </c>
      <c r="Z960">
        <v>2.19</v>
      </c>
      <c r="AG960">
        <v>1.78</v>
      </c>
      <c r="AI960">
        <v>1.79</v>
      </c>
      <c r="BH960" t="s">
        <v>126</v>
      </c>
      <c r="BI960" t="s">
        <v>126</v>
      </c>
      <c r="BJ960" t="s">
        <v>126</v>
      </c>
      <c r="BK960" t="s">
        <v>126</v>
      </c>
      <c r="BS960" t="s">
        <v>126</v>
      </c>
      <c r="BT960" t="s">
        <v>126</v>
      </c>
      <c r="BU960" t="s">
        <v>126</v>
      </c>
      <c r="BV960" t="s">
        <v>126</v>
      </c>
      <c r="CN960" t="s">
        <v>147</v>
      </c>
      <c r="CP960" t="s">
        <v>457</v>
      </c>
      <c r="CQ960" t="s">
        <v>147</v>
      </c>
    </row>
    <row r="961" spans="1:95" x14ac:dyDescent="0.2">
      <c r="A961" t="s">
        <v>115</v>
      </c>
      <c r="B961" t="s">
        <v>116</v>
      </c>
      <c r="C961">
        <v>210784</v>
      </c>
      <c r="E961" t="s">
        <v>117</v>
      </c>
      <c r="F961">
        <v>368</v>
      </c>
      <c r="G961" t="s">
        <v>141</v>
      </c>
      <c r="H961" t="s">
        <v>142</v>
      </c>
      <c r="I961" t="s">
        <v>279</v>
      </c>
      <c r="J961" t="s">
        <v>280</v>
      </c>
      <c r="L961" t="s">
        <v>748</v>
      </c>
      <c r="M961" s="8">
        <v>45901</v>
      </c>
      <c r="N961">
        <v>5798128</v>
      </c>
      <c r="O961" t="s">
        <v>123</v>
      </c>
      <c r="P961" t="s">
        <v>146</v>
      </c>
      <c r="Q961">
        <v>5.62</v>
      </c>
      <c r="R961" t="s">
        <v>683</v>
      </c>
      <c r="S961" t="s">
        <v>126</v>
      </c>
      <c r="T961" t="s">
        <v>683</v>
      </c>
      <c r="U961" t="s">
        <v>684</v>
      </c>
      <c r="W961">
        <v>1.73</v>
      </c>
      <c r="X961">
        <v>3.89</v>
      </c>
      <c r="Y961">
        <v>5.62</v>
      </c>
      <c r="Z961">
        <v>2.14</v>
      </c>
      <c r="AG961">
        <v>1.73</v>
      </c>
      <c r="AI961">
        <v>1.75</v>
      </c>
      <c r="BH961" t="s">
        <v>126</v>
      </c>
      <c r="BI961" t="s">
        <v>126</v>
      </c>
      <c r="BJ961" t="s">
        <v>126</v>
      </c>
      <c r="BK961" t="s">
        <v>126</v>
      </c>
      <c r="BS961" t="s">
        <v>126</v>
      </c>
      <c r="BT961" t="s">
        <v>126</v>
      </c>
      <c r="BU961" t="s">
        <v>126</v>
      </c>
      <c r="BV961" t="s">
        <v>126</v>
      </c>
      <c r="CN961" t="s">
        <v>147</v>
      </c>
      <c r="CP961" t="s">
        <v>469</v>
      </c>
      <c r="CQ961" t="s">
        <v>147</v>
      </c>
    </row>
    <row r="962" spans="1:95" x14ac:dyDescent="0.2">
      <c r="A962" t="s">
        <v>115</v>
      </c>
      <c r="B962" t="s">
        <v>116</v>
      </c>
      <c r="C962">
        <v>210784</v>
      </c>
      <c r="E962" t="s">
        <v>117</v>
      </c>
      <c r="F962">
        <v>368</v>
      </c>
      <c r="G962" t="s">
        <v>141</v>
      </c>
      <c r="H962" t="s">
        <v>142</v>
      </c>
      <c r="I962" t="s">
        <v>279</v>
      </c>
      <c r="J962" t="s">
        <v>280</v>
      </c>
      <c r="L962" t="s">
        <v>896</v>
      </c>
      <c r="M962" s="8">
        <v>45901</v>
      </c>
      <c r="N962">
        <v>5784436</v>
      </c>
      <c r="O962" t="s">
        <v>123</v>
      </c>
      <c r="P962" t="s">
        <v>146</v>
      </c>
      <c r="Q962">
        <v>3.9</v>
      </c>
      <c r="R962" t="s">
        <v>125</v>
      </c>
      <c r="S962" t="s">
        <v>126</v>
      </c>
      <c r="T962" t="s">
        <v>125</v>
      </c>
      <c r="U962" t="s">
        <v>126</v>
      </c>
      <c r="W962">
        <v>3.9</v>
      </c>
      <c r="Y962">
        <v>3.9</v>
      </c>
      <c r="BE962">
        <v>3.9</v>
      </c>
      <c r="BH962" t="s">
        <v>126</v>
      </c>
      <c r="BI962" t="s">
        <v>126</v>
      </c>
      <c r="BJ962" t="s">
        <v>126</v>
      </c>
      <c r="BK962" t="s">
        <v>126</v>
      </c>
      <c r="BS962" t="s">
        <v>126</v>
      </c>
      <c r="BT962" t="s">
        <v>126</v>
      </c>
      <c r="BU962" t="s">
        <v>126</v>
      </c>
      <c r="BV962" t="s">
        <v>126</v>
      </c>
      <c r="CN962" t="s">
        <v>147</v>
      </c>
      <c r="CP962" t="s">
        <v>457</v>
      </c>
      <c r="CQ962" t="s">
        <v>147</v>
      </c>
    </row>
    <row r="963" spans="1:95" x14ac:dyDescent="0.2">
      <c r="A963" t="s">
        <v>115</v>
      </c>
      <c r="B963" t="s">
        <v>116</v>
      </c>
      <c r="C963">
        <v>210784</v>
      </c>
      <c r="E963" t="s">
        <v>117</v>
      </c>
      <c r="F963">
        <v>368</v>
      </c>
      <c r="G963" t="s">
        <v>141</v>
      </c>
      <c r="H963" t="s">
        <v>142</v>
      </c>
      <c r="I963" t="s">
        <v>279</v>
      </c>
      <c r="J963" t="s">
        <v>280</v>
      </c>
      <c r="L963" t="s">
        <v>897</v>
      </c>
      <c r="M963" s="8">
        <v>45901</v>
      </c>
      <c r="N963">
        <v>5786000</v>
      </c>
      <c r="O963" t="s">
        <v>123</v>
      </c>
      <c r="P963" t="s">
        <v>146</v>
      </c>
      <c r="Q963">
        <v>1.92</v>
      </c>
      <c r="R963" t="s">
        <v>125</v>
      </c>
      <c r="S963" t="s">
        <v>126</v>
      </c>
      <c r="T963" t="s">
        <v>125</v>
      </c>
      <c r="U963" t="s">
        <v>126</v>
      </c>
      <c r="W963">
        <v>1.92</v>
      </c>
      <c r="Y963">
        <v>1.92</v>
      </c>
      <c r="BE963">
        <v>1.92</v>
      </c>
      <c r="BH963" t="s">
        <v>126</v>
      </c>
      <c r="BI963" t="s">
        <v>126</v>
      </c>
      <c r="BJ963" t="s">
        <v>126</v>
      </c>
      <c r="BK963" t="s">
        <v>126</v>
      </c>
      <c r="BS963" t="s">
        <v>126</v>
      </c>
      <c r="BT963" t="s">
        <v>126</v>
      </c>
      <c r="BU963" t="s">
        <v>126</v>
      </c>
      <c r="BV963" t="s">
        <v>126</v>
      </c>
      <c r="CN963" t="s">
        <v>147</v>
      </c>
      <c r="CP963" t="s">
        <v>457</v>
      </c>
      <c r="CQ963" t="s">
        <v>147</v>
      </c>
    </row>
    <row r="964" spans="1:95" x14ac:dyDescent="0.2">
      <c r="A964" t="s">
        <v>115</v>
      </c>
      <c r="B964" t="s">
        <v>116</v>
      </c>
      <c r="C964">
        <v>210784</v>
      </c>
      <c r="E964" t="s">
        <v>117</v>
      </c>
      <c r="F964">
        <v>368</v>
      </c>
      <c r="G964" t="s">
        <v>141</v>
      </c>
      <c r="H964" t="s">
        <v>142</v>
      </c>
      <c r="I964" t="s">
        <v>279</v>
      </c>
      <c r="J964" t="s">
        <v>280</v>
      </c>
      <c r="L964" t="s">
        <v>457</v>
      </c>
      <c r="M964" s="8">
        <v>45901</v>
      </c>
      <c r="N964">
        <v>5800426</v>
      </c>
      <c r="O964" t="s">
        <v>123</v>
      </c>
      <c r="P964" t="s">
        <v>146</v>
      </c>
      <c r="Q964">
        <v>5.81</v>
      </c>
      <c r="R964" t="s">
        <v>125</v>
      </c>
      <c r="S964" t="s">
        <v>126</v>
      </c>
      <c r="T964" t="s">
        <v>125</v>
      </c>
      <c r="U964" t="s">
        <v>126</v>
      </c>
      <c r="W964">
        <v>5.81</v>
      </c>
      <c r="Y964">
        <v>5.81</v>
      </c>
      <c r="AE964">
        <v>5.81</v>
      </c>
      <c r="BH964" t="s">
        <v>126</v>
      </c>
      <c r="BI964" t="s">
        <v>126</v>
      </c>
      <c r="BJ964" t="s">
        <v>126</v>
      </c>
      <c r="BK964" t="s">
        <v>126</v>
      </c>
      <c r="BS964" t="s">
        <v>126</v>
      </c>
      <c r="BT964" t="s">
        <v>126</v>
      </c>
      <c r="BU964" t="s">
        <v>126</v>
      </c>
      <c r="BV964" t="s">
        <v>126</v>
      </c>
      <c r="CN964" t="s">
        <v>147</v>
      </c>
      <c r="CP964" t="s">
        <v>469</v>
      </c>
      <c r="CQ964" t="s">
        <v>147</v>
      </c>
    </row>
    <row r="965" spans="1:95" x14ac:dyDescent="0.2">
      <c r="A965" t="s">
        <v>115</v>
      </c>
      <c r="B965" t="s">
        <v>116</v>
      </c>
      <c r="C965">
        <v>210784</v>
      </c>
      <c r="E965" t="s">
        <v>117</v>
      </c>
      <c r="F965">
        <v>368</v>
      </c>
      <c r="G965" t="s">
        <v>141</v>
      </c>
      <c r="H965" t="s">
        <v>142</v>
      </c>
      <c r="I965" t="s">
        <v>279</v>
      </c>
      <c r="J965" t="s">
        <v>280</v>
      </c>
      <c r="L965" t="s">
        <v>920</v>
      </c>
      <c r="M965" s="8">
        <v>45901</v>
      </c>
      <c r="N965">
        <v>5801536</v>
      </c>
      <c r="O965" t="s">
        <v>123</v>
      </c>
      <c r="P965" t="s">
        <v>146</v>
      </c>
      <c r="Q965">
        <v>3.86</v>
      </c>
      <c r="R965" t="s">
        <v>125</v>
      </c>
      <c r="S965" t="s">
        <v>126</v>
      </c>
      <c r="T965" t="s">
        <v>125</v>
      </c>
      <c r="U965" t="s">
        <v>126</v>
      </c>
      <c r="W965">
        <v>3.86</v>
      </c>
      <c r="Y965">
        <v>3.86</v>
      </c>
      <c r="AE965">
        <v>3.86</v>
      </c>
      <c r="BH965" t="s">
        <v>126</v>
      </c>
      <c r="BI965" t="s">
        <v>126</v>
      </c>
      <c r="BJ965" t="s">
        <v>126</v>
      </c>
      <c r="BK965" t="s">
        <v>126</v>
      </c>
      <c r="BS965" t="s">
        <v>126</v>
      </c>
      <c r="BT965" t="s">
        <v>126</v>
      </c>
      <c r="BU965" t="s">
        <v>126</v>
      </c>
      <c r="BV965" t="s">
        <v>126</v>
      </c>
      <c r="CN965" t="s">
        <v>147</v>
      </c>
      <c r="CP965" t="s">
        <v>469</v>
      </c>
      <c r="CQ965" t="s">
        <v>147</v>
      </c>
    </row>
    <row r="966" spans="1:95" x14ac:dyDescent="0.2">
      <c r="A966" t="s">
        <v>115</v>
      </c>
      <c r="B966" t="s">
        <v>116</v>
      </c>
      <c r="C966">
        <v>210784</v>
      </c>
      <c r="E966" t="s">
        <v>117</v>
      </c>
      <c r="F966">
        <v>368</v>
      </c>
      <c r="G966" t="s">
        <v>141</v>
      </c>
      <c r="H966" t="s">
        <v>142</v>
      </c>
      <c r="I966" t="s">
        <v>279</v>
      </c>
      <c r="J966" t="s">
        <v>280</v>
      </c>
      <c r="L966" t="s">
        <v>456</v>
      </c>
      <c r="M966" s="8">
        <v>45901</v>
      </c>
      <c r="N966">
        <v>5785168</v>
      </c>
      <c r="O966" t="s">
        <v>123</v>
      </c>
      <c r="P966" t="s">
        <v>146</v>
      </c>
      <c r="Q966">
        <v>0.375</v>
      </c>
      <c r="R966" t="s">
        <v>125</v>
      </c>
      <c r="S966" t="s">
        <v>126</v>
      </c>
      <c r="T966" t="s">
        <v>125</v>
      </c>
      <c r="U966" t="s">
        <v>126</v>
      </c>
      <c r="W966">
        <v>0.375</v>
      </c>
      <c r="Y966">
        <v>0.375</v>
      </c>
      <c r="AP966">
        <v>0.375</v>
      </c>
      <c r="BH966" t="s">
        <v>126</v>
      </c>
      <c r="BI966" t="s">
        <v>126</v>
      </c>
      <c r="BJ966" t="s">
        <v>126</v>
      </c>
      <c r="BK966" t="s">
        <v>126</v>
      </c>
      <c r="BS966" t="s">
        <v>126</v>
      </c>
      <c r="BT966" t="s">
        <v>126</v>
      </c>
      <c r="BU966" t="s">
        <v>126</v>
      </c>
      <c r="BV966" t="s">
        <v>126</v>
      </c>
      <c r="CN966" t="s">
        <v>147</v>
      </c>
      <c r="CP966" t="s">
        <v>456</v>
      </c>
      <c r="CQ966" t="s">
        <v>147</v>
      </c>
    </row>
    <row r="967" spans="1:95" x14ac:dyDescent="0.2">
      <c r="A967" t="s">
        <v>115</v>
      </c>
      <c r="B967" t="s">
        <v>116</v>
      </c>
      <c r="C967">
        <v>210784</v>
      </c>
      <c r="E967" t="s">
        <v>117</v>
      </c>
      <c r="F967">
        <v>368</v>
      </c>
      <c r="G967" t="s">
        <v>141</v>
      </c>
      <c r="H967" t="s">
        <v>142</v>
      </c>
      <c r="I967" t="s">
        <v>279</v>
      </c>
      <c r="J967" t="s">
        <v>280</v>
      </c>
      <c r="L967" t="s">
        <v>522</v>
      </c>
      <c r="M967" s="8">
        <v>45901</v>
      </c>
      <c r="N967">
        <v>5789456</v>
      </c>
      <c r="O967" t="s">
        <v>123</v>
      </c>
      <c r="P967" t="s">
        <v>146</v>
      </c>
      <c r="Q967">
        <v>0.375</v>
      </c>
      <c r="R967" t="s">
        <v>125</v>
      </c>
      <c r="S967" t="s">
        <v>126</v>
      </c>
      <c r="T967" t="s">
        <v>125</v>
      </c>
      <c r="U967" t="s">
        <v>126</v>
      </c>
      <c r="W967">
        <v>0.375</v>
      </c>
      <c r="Y967">
        <v>0.375</v>
      </c>
      <c r="AP967">
        <v>0.375</v>
      </c>
      <c r="BH967" t="s">
        <v>126</v>
      </c>
      <c r="BI967" t="s">
        <v>126</v>
      </c>
      <c r="BJ967" t="s">
        <v>126</v>
      </c>
      <c r="BK967" t="s">
        <v>126</v>
      </c>
      <c r="BS967" t="s">
        <v>126</v>
      </c>
      <c r="BT967" t="s">
        <v>126</v>
      </c>
      <c r="BU967" t="s">
        <v>126</v>
      </c>
      <c r="BV967" t="s">
        <v>126</v>
      </c>
      <c r="CN967" t="s">
        <v>147</v>
      </c>
      <c r="CP967" t="s">
        <v>460</v>
      </c>
      <c r="CQ967" t="s">
        <v>147</v>
      </c>
    </row>
    <row r="968" spans="1:95" x14ac:dyDescent="0.2">
      <c r="A968" t="s">
        <v>115</v>
      </c>
      <c r="B968" t="s">
        <v>116</v>
      </c>
      <c r="C968">
        <v>210784</v>
      </c>
      <c r="E968" t="s">
        <v>117</v>
      </c>
      <c r="F968">
        <v>368</v>
      </c>
      <c r="G968" t="s">
        <v>118</v>
      </c>
      <c r="H968" t="s">
        <v>119</v>
      </c>
      <c r="I968" t="s">
        <v>120</v>
      </c>
      <c r="J968" t="s">
        <v>121</v>
      </c>
      <c r="L968" t="s">
        <v>122</v>
      </c>
      <c r="M968" s="8">
        <v>45931</v>
      </c>
      <c r="N968">
        <v>135606</v>
      </c>
      <c r="O968" t="s">
        <v>123</v>
      </c>
      <c r="P968" t="s">
        <v>124</v>
      </c>
      <c r="Q968">
        <v>14.09</v>
      </c>
      <c r="R968" t="s">
        <v>125</v>
      </c>
      <c r="S968" t="s">
        <v>126</v>
      </c>
      <c r="T968" t="s">
        <v>125</v>
      </c>
      <c r="U968" t="s">
        <v>126</v>
      </c>
      <c r="W968">
        <v>14.09</v>
      </c>
      <c r="Y968">
        <v>14.09</v>
      </c>
      <c r="AA968">
        <v>14.09</v>
      </c>
      <c r="BH968" t="s">
        <v>126</v>
      </c>
      <c r="BI968" t="s">
        <v>126</v>
      </c>
      <c r="BJ968" t="s">
        <v>126</v>
      </c>
      <c r="BK968" t="s">
        <v>126</v>
      </c>
      <c r="BS968" t="s">
        <v>126</v>
      </c>
      <c r="BT968" t="s">
        <v>126</v>
      </c>
      <c r="BU968" t="s">
        <v>126</v>
      </c>
      <c r="BV968" t="s">
        <v>126</v>
      </c>
      <c r="CN968" t="s">
        <v>127</v>
      </c>
      <c r="CP968" t="s">
        <v>128</v>
      </c>
      <c r="CQ968" t="s">
        <v>127</v>
      </c>
    </row>
    <row r="969" spans="1:95" x14ac:dyDescent="0.2">
      <c r="A969" t="s">
        <v>115</v>
      </c>
      <c r="B969" t="s">
        <v>116</v>
      </c>
      <c r="C969">
        <v>210784</v>
      </c>
      <c r="E969" t="s">
        <v>117</v>
      </c>
      <c r="F969">
        <v>368</v>
      </c>
      <c r="G969" t="s">
        <v>118</v>
      </c>
      <c r="H969" t="s">
        <v>119</v>
      </c>
      <c r="I969" t="s">
        <v>120</v>
      </c>
      <c r="J969" t="s">
        <v>121</v>
      </c>
      <c r="L969" t="s">
        <v>293</v>
      </c>
      <c r="M969" s="8">
        <v>45931</v>
      </c>
      <c r="N969">
        <v>135243</v>
      </c>
      <c r="O969" t="s">
        <v>123</v>
      </c>
      <c r="P969" t="s">
        <v>124</v>
      </c>
      <c r="Q969">
        <v>14.22</v>
      </c>
      <c r="R969" t="s">
        <v>125</v>
      </c>
      <c r="S969" t="s">
        <v>126</v>
      </c>
      <c r="T969" t="s">
        <v>125</v>
      </c>
      <c r="U969" t="s">
        <v>126</v>
      </c>
      <c r="W969">
        <v>14.22</v>
      </c>
      <c r="Y969">
        <v>14.22</v>
      </c>
      <c r="AC969">
        <v>14.22</v>
      </c>
      <c r="BH969" t="s">
        <v>126</v>
      </c>
      <c r="BI969" t="s">
        <v>126</v>
      </c>
      <c r="BJ969" t="s">
        <v>126</v>
      </c>
      <c r="BK969" t="s">
        <v>126</v>
      </c>
      <c r="BS969" t="s">
        <v>126</v>
      </c>
      <c r="BT969" t="s">
        <v>126</v>
      </c>
      <c r="BU969" t="s">
        <v>126</v>
      </c>
      <c r="BV969" t="s">
        <v>126</v>
      </c>
      <c r="CN969" t="s">
        <v>127</v>
      </c>
      <c r="CP969" t="s">
        <v>128</v>
      </c>
      <c r="CQ969" t="s">
        <v>127</v>
      </c>
    </row>
    <row r="970" spans="1:95" x14ac:dyDescent="0.2">
      <c r="A970" t="s">
        <v>115</v>
      </c>
      <c r="B970" t="s">
        <v>116</v>
      </c>
      <c r="C970">
        <v>210784</v>
      </c>
      <c r="E970" t="s">
        <v>117</v>
      </c>
      <c r="F970">
        <v>368</v>
      </c>
      <c r="G970" t="s">
        <v>118</v>
      </c>
      <c r="H970" t="s">
        <v>119</v>
      </c>
      <c r="I970" t="s">
        <v>120</v>
      </c>
      <c r="J970" t="s">
        <v>121</v>
      </c>
      <c r="L970" t="s">
        <v>293</v>
      </c>
      <c r="M970" s="8">
        <v>45931</v>
      </c>
      <c r="N970">
        <v>135252</v>
      </c>
      <c r="O970" t="s">
        <v>123</v>
      </c>
      <c r="P970" t="s">
        <v>124</v>
      </c>
      <c r="Q970">
        <v>13.87</v>
      </c>
      <c r="R970" t="s">
        <v>125</v>
      </c>
      <c r="S970" t="s">
        <v>126</v>
      </c>
      <c r="T970" t="s">
        <v>125</v>
      </c>
      <c r="U970" t="s">
        <v>126</v>
      </c>
      <c r="W970">
        <v>13.87</v>
      </c>
      <c r="Y970">
        <v>13.87</v>
      </c>
      <c r="AC970">
        <v>13.87</v>
      </c>
      <c r="BH970" t="s">
        <v>126</v>
      </c>
      <c r="BI970" t="s">
        <v>126</v>
      </c>
      <c r="BJ970" t="s">
        <v>126</v>
      </c>
      <c r="BK970" t="s">
        <v>126</v>
      </c>
      <c r="BS970" t="s">
        <v>126</v>
      </c>
      <c r="BT970" t="s">
        <v>126</v>
      </c>
      <c r="BU970" t="s">
        <v>126</v>
      </c>
      <c r="BV970" t="s">
        <v>126</v>
      </c>
      <c r="CN970" t="s">
        <v>127</v>
      </c>
      <c r="CP970" t="s">
        <v>128</v>
      </c>
      <c r="CQ970" t="s">
        <v>127</v>
      </c>
    </row>
    <row r="971" spans="1:95" x14ac:dyDescent="0.2">
      <c r="A971" t="s">
        <v>115</v>
      </c>
      <c r="B971" t="s">
        <v>116</v>
      </c>
      <c r="C971">
        <v>210784</v>
      </c>
      <c r="E971" t="s">
        <v>117</v>
      </c>
      <c r="F971">
        <v>368</v>
      </c>
      <c r="G971" t="s">
        <v>118</v>
      </c>
      <c r="H971" t="s">
        <v>119</v>
      </c>
      <c r="I971" t="s">
        <v>120</v>
      </c>
      <c r="J971" t="s">
        <v>121</v>
      </c>
      <c r="L971" t="s">
        <v>294</v>
      </c>
      <c r="M971" s="8">
        <v>45931</v>
      </c>
      <c r="N971">
        <v>135304</v>
      </c>
      <c r="O971" t="s">
        <v>123</v>
      </c>
      <c r="P971" t="s">
        <v>124</v>
      </c>
      <c r="Q971">
        <v>11.4</v>
      </c>
      <c r="R971" t="s">
        <v>125</v>
      </c>
      <c r="S971" t="s">
        <v>126</v>
      </c>
      <c r="T971" t="s">
        <v>125</v>
      </c>
      <c r="U971" t="s">
        <v>126</v>
      </c>
      <c r="W971">
        <v>11.4</v>
      </c>
      <c r="Y971">
        <v>11.4</v>
      </c>
      <c r="AC971">
        <v>11.4</v>
      </c>
      <c r="BH971" t="s">
        <v>126</v>
      </c>
      <c r="BI971" t="s">
        <v>126</v>
      </c>
      <c r="BJ971" t="s">
        <v>126</v>
      </c>
      <c r="BK971" t="s">
        <v>126</v>
      </c>
      <c r="BS971" t="s">
        <v>126</v>
      </c>
      <c r="BT971" t="s">
        <v>126</v>
      </c>
      <c r="BU971" t="s">
        <v>126</v>
      </c>
      <c r="BV971" t="s">
        <v>126</v>
      </c>
      <c r="CN971" t="s">
        <v>127</v>
      </c>
      <c r="CP971" t="s">
        <v>128</v>
      </c>
      <c r="CQ971" t="s">
        <v>127</v>
      </c>
    </row>
    <row r="972" spans="1:95" x14ac:dyDescent="0.2">
      <c r="A972" t="s">
        <v>115</v>
      </c>
      <c r="B972" t="s">
        <v>116</v>
      </c>
      <c r="C972">
        <v>210784</v>
      </c>
      <c r="E972" t="s">
        <v>117</v>
      </c>
      <c r="F972">
        <v>368</v>
      </c>
      <c r="G972" t="s">
        <v>118</v>
      </c>
      <c r="H972" t="s">
        <v>119</v>
      </c>
      <c r="I972" t="s">
        <v>120</v>
      </c>
      <c r="J972" t="s">
        <v>121</v>
      </c>
      <c r="L972" t="s">
        <v>295</v>
      </c>
      <c r="M972" s="8">
        <v>45931</v>
      </c>
      <c r="N972">
        <v>135444</v>
      </c>
      <c r="O972" t="s">
        <v>123</v>
      </c>
      <c r="P972" t="s">
        <v>124</v>
      </c>
      <c r="Q972">
        <v>12.22</v>
      </c>
      <c r="R972" t="s">
        <v>125</v>
      </c>
      <c r="S972" t="s">
        <v>126</v>
      </c>
      <c r="T972" t="s">
        <v>125</v>
      </c>
      <c r="U972" t="s">
        <v>126</v>
      </c>
      <c r="W972">
        <v>12.22</v>
      </c>
      <c r="Y972">
        <v>12.22</v>
      </c>
      <c r="AC972">
        <v>12.22</v>
      </c>
      <c r="BH972" t="s">
        <v>126</v>
      </c>
      <c r="BI972" t="s">
        <v>126</v>
      </c>
      <c r="BJ972" t="s">
        <v>126</v>
      </c>
      <c r="BK972" t="s">
        <v>126</v>
      </c>
      <c r="BS972" t="s">
        <v>126</v>
      </c>
      <c r="BT972" t="s">
        <v>126</v>
      </c>
      <c r="BU972" t="s">
        <v>126</v>
      </c>
      <c r="BV972" t="s">
        <v>126</v>
      </c>
      <c r="CN972" t="s">
        <v>127</v>
      </c>
      <c r="CP972" t="s">
        <v>128</v>
      </c>
      <c r="CQ972" t="s">
        <v>127</v>
      </c>
    </row>
    <row r="973" spans="1:95" x14ac:dyDescent="0.2">
      <c r="A973" t="s">
        <v>115</v>
      </c>
      <c r="B973" t="s">
        <v>116</v>
      </c>
      <c r="C973">
        <v>210784</v>
      </c>
      <c r="E973" t="s">
        <v>117</v>
      </c>
      <c r="F973">
        <v>368</v>
      </c>
      <c r="G973" t="s">
        <v>118</v>
      </c>
      <c r="H973" t="s">
        <v>119</v>
      </c>
      <c r="I973" t="s">
        <v>120</v>
      </c>
      <c r="J973" t="s">
        <v>121</v>
      </c>
      <c r="L973" t="s">
        <v>296</v>
      </c>
      <c r="M973" s="8">
        <v>45931</v>
      </c>
      <c r="N973">
        <v>135528</v>
      </c>
      <c r="O973" t="s">
        <v>123</v>
      </c>
      <c r="P973" t="s">
        <v>124</v>
      </c>
      <c r="Q973">
        <v>8.4499999999999993</v>
      </c>
      <c r="R973" t="s">
        <v>125</v>
      </c>
      <c r="S973" t="s">
        <v>126</v>
      </c>
      <c r="T973" t="s">
        <v>125</v>
      </c>
      <c r="U973" t="s">
        <v>126</v>
      </c>
      <c r="W973">
        <v>8.4499999999999993</v>
      </c>
      <c r="Y973">
        <v>8.4499999999999993</v>
      </c>
      <c r="AC973">
        <v>8.4499999999999993</v>
      </c>
      <c r="BH973" t="s">
        <v>126</v>
      </c>
      <c r="BI973" t="s">
        <v>126</v>
      </c>
      <c r="BJ973" t="s">
        <v>126</v>
      </c>
      <c r="BK973" t="s">
        <v>126</v>
      </c>
      <c r="BS973" t="s">
        <v>126</v>
      </c>
      <c r="BT973" t="s">
        <v>126</v>
      </c>
      <c r="BU973" t="s">
        <v>126</v>
      </c>
      <c r="BV973" t="s">
        <v>126</v>
      </c>
      <c r="CN973" t="s">
        <v>127</v>
      </c>
      <c r="CP973" t="s">
        <v>128</v>
      </c>
      <c r="CQ973" t="s">
        <v>127</v>
      </c>
    </row>
    <row r="974" spans="1:95" x14ac:dyDescent="0.2">
      <c r="A974" t="s">
        <v>115</v>
      </c>
      <c r="B974" t="s">
        <v>116</v>
      </c>
      <c r="C974">
        <v>210784</v>
      </c>
      <c r="E974" t="s">
        <v>117</v>
      </c>
      <c r="F974">
        <v>368</v>
      </c>
      <c r="G974" t="s">
        <v>141</v>
      </c>
      <c r="H974" t="s">
        <v>142</v>
      </c>
      <c r="I974" t="s">
        <v>279</v>
      </c>
      <c r="J974" t="s">
        <v>280</v>
      </c>
      <c r="L974" t="s">
        <v>471</v>
      </c>
      <c r="M974" s="8">
        <v>45931</v>
      </c>
      <c r="N974">
        <v>5801804</v>
      </c>
      <c r="O974" t="s">
        <v>123</v>
      </c>
      <c r="P974" t="s">
        <v>146</v>
      </c>
      <c r="Q974">
        <v>3.16</v>
      </c>
      <c r="R974" t="s">
        <v>125</v>
      </c>
      <c r="S974" t="s">
        <v>126</v>
      </c>
      <c r="T974" t="s">
        <v>125</v>
      </c>
      <c r="U974" t="s">
        <v>126</v>
      </c>
      <c r="W974">
        <v>3.16</v>
      </c>
      <c r="Y974">
        <v>3.16</v>
      </c>
      <c r="AS974">
        <v>3.16</v>
      </c>
      <c r="BH974" t="s">
        <v>126</v>
      </c>
      <c r="BI974" t="s">
        <v>126</v>
      </c>
      <c r="BJ974" t="s">
        <v>126</v>
      </c>
      <c r="BK974" t="s">
        <v>126</v>
      </c>
      <c r="BS974" t="s">
        <v>126</v>
      </c>
      <c r="BT974" t="s">
        <v>126</v>
      </c>
      <c r="BU974" t="s">
        <v>126</v>
      </c>
      <c r="BV974" t="s">
        <v>126</v>
      </c>
      <c r="CN974" t="s">
        <v>147</v>
      </c>
      <c r="CP974" t="s">
        <v>469</v>
      </c>
      <c r="CQ974" t="s">
        <v>147</v>
      </c>
    </row>
    <row r="975" spans="1:95" x14ac:dyDescent="0.2">
      <c r="A975" t="s">
        <v>115</v>
      </c>
      <c r="B975" t="s">
        <v>116</v>
      </c>
      <c r="C975">
        <v>210784</v>
      </c>
      <c r="E975" t="s">
        <v>117</v>
      </c>
      <c r="F975">
        <v>368</v>
      </c>
      <c r="G975" t="s">
        <v>141</v>
      </c>
      <c r="H975" t="s">
        <v>142</v>
      </c>
      <c r="I975" t="s">
        <v>279</v>
      </c>
      <c r="J975" t="s">
        <v>280</v>
      </c>
      <c r="L975" t="s">
        <v>471</v>
      </c>
      <c r="M975" s="8">
        <v>45931</v>
      </c>
      <c r="N975">
        <v>5802055</v>
      </c>
      <c r="O975" t="s">
        <v>123</v>
      </c>
      <c r="P975" t="s">
        <v>146</v>
      </c>
      <c r="Q975">
        <v>2.88</v>
      </c>
      <c r="R975" t="s">
        <v>125</v>
      </c>
      <c r="S975" t="s">
        <v>126</v>
      </c>
      <c r="T975" t="s">
        <v>125</v>
      </c>
      <c r="U975" t="s">
        <v>126</v>
      </c>
      <c r="W975">
        <v>2.88</v>
      </c>
      <c r="Y975">
        <v>2.88</v>
      </c>
      <c r="AS975">
        <v>2.88</v>
      </c>
      <c r="BH975" t="s">
        <v>126</v>
      </c>
      <c r="BI975" t="s">
        <v>126</v>
      </c>
      <c r="BJ975" t="s">
        <v>126</v>
      </c>
      <c r="BK975" t="s">
        <v>126</v>
      </c>
      <c r="BS975" t="s">
        <v>126</v>
      </c>
      <c r="BT975" t="s">
        <v>126</v>
      </c>
      <c r="BU975" t="s">
        <v>126</v>
      </c>
      <c r="BV975" t="s">
        <v>126</v>
      </c>
      <c r="CN975" t="s">
        <v>147</v>
      </c>
      <c r="CP975" t="s">
        <v>469</v>
      </c>
      <c r="CQ975" t="s">
        <v>147</v>
      </c>
    </row>
    <row r="976" spans="1:95" x14ac:dyDescent="0.2">
      <c r="A976" t="s">
        <v>115</v>
      </c>
      <c r="B976" t="s">
        <v>116</v>
      </c>
      <c r="C976">
        <v>210784</v>
      </c>
      <c r="E976" t="s">
        <v>117</v>
      </c>
      <c r="F976">
        <v>368</v>
      </c>
      <c r="G976" t="s">
        <v>141</v>
      </c>
      <c r="H976" t="s">
        <v>142</v>
      </c>
      <c r="I976" t="s">
        <v>279</v>
      </c>
      <c r="J976" t="s">
        <v>280</v>
      </c>
      <c r="L976" t="s">
        <v>472</v>
      </c>
      <c r="M976" s="8">
        <v>45931</v>
      </c>
      <c r="N976">
        <v>5803283</v>
      </c>
      <c r="O976" t="s">
        <v>123</v>
      </c>
      <c r="P976" t="s">
        <v>146</v>
      </c>
      <c r="Q976">
        <v>5.18</v>
      </c>
      <c r="R976" t="s">
        <v>125</v>
      </c>
      <c r="S976" t="s">
        <v>126</v>
      </c>
      <c r="T976" t="s">
        <v>125</v>
      </c>
      <c r="U976" t="s">
        <v>126</v>
      </c>
      <c r="W976">
        <v>5.18</v>
      </c>
      <c r="Y976">
        <v>5.18</v>
      </c>
      <c r="AS976">
        <v>5.18</v>
      </c>
      <c r="BH976" t="s">
        <v>126</v>
      </c>
      <c r="BI976" t="s">
        <v>126</v>
      </c>
      <c r="BJ976" t="s">
        <v>126</v>
      </c>
      <c r="BK976" t="s">
        <v>126</v>
      </c>
      <c r="BS976" t="s">
        <v>126</v>
      </c>
      <c r="BT976" t="s">
        <v>126</v>
      </c>
      <c r="BU976" t="s">
        <v>126</v>
      </c>
      <c r="BV976" t="s">
        <v>126</v>
      </c>
      <c r="CN976" t="s">
        <v>147</v>
      </c>
      <c r="CP976" t="s">
        <v>469</v>
      </c>
      <c r="CQ976" t="s">
        <v>147</v>
      </c>
    </row>
    <row r="977" spans="1:95" x14ac:dyDescent="0.2">
      <c r="A977" t="s">
        <v>115</v>
      </c>
      <c r="B977" t="s">
        <v>116</v>
      </c>
      <c r="C977">
        <v>210784</v>
      </c>
      <c r="E977" t="s">
        <v>117</v>
      </c>
      <c r="F977">
        <v>368</v>
      </c>
      <c r="G977" t="s">
        <v>141</v>
      </c>
      <c r="H977" t="s">
        <v>142</v>
      </c>
      <c r="I977" t="s">
        <v>279</v>
      </c>
      <c r="J977" t="s">
        <v>280</v>
      </c>
      <c r="L977" t="s">
        <v>472</v>
      </c>
      <c r="M977" s="8">
        <v>45931</v>
      </c>
      <c r="N977">
        <v>5803397</v>
      </c>
      <c r="O977" t="s">
        <v>123</v>
      </c>
      <c r="P977" t="s">
        <v>146</v>
      </c>
      <c r="Q977">
        <v>4.38</v>
      </c>
      <c r="R977" t="s">
        <v>125</v>
      </c>
      <c r="S977" t="s">
        <v>126</v>
      </c>
      <c r="T977" t="s">
        <v>125</v>
      </c>
      <c r="U977" t="s">
        <v>126</v>
      </c>
      <c r="W977">
        <v>4.38</v>
      </c>
      <c r="Y977">
        <v>4.38</v>
      </c>
      <c r="AS977">
        <v>4.38</v>
      </c>
      <c r="BH977" t="s">
        <v>126</v>
      </c>
      <c r="BI977" t="s">
        <v>126</v>
      </c>
      <c r="BJ977" t="s">
        <v>126</v>
      </c>
      <c r="BK977" t="s">
        <v>126</v>
      </c>
      <c r="BS977" t="s">
        <v>126</v>
      </c>
      <c r="BT977" t="s">
        <v>126</v>
      </c>
      <c r="BU977" t="s">
        <v>126</v>
      </c>
      <c r="BV977" t="s">
        <v>126</v>
      </c>
      <c r="CN977" t="s">
        <v>147</v>
      </c>
      <c r="CP977" t="s">
        <v>469</v>
      </c>
      <c r="CQ977" t="s">
        <v>147</v>
      </c>
    </row>
    <row r="978" spans="1:95" x14ac:dyDescent="0.2">
      <c r="A978" t="s">
        <v>115</v>
      </c>
      <c r="B978" t="s">
        <v>116</v>
      </c>
      <c r="C978">
        <v>210784</v>
      </c>
      <c r="E978" t="s">
        <v>117</v>
      </c>
      <c r="F978">
        <v>368</v>
      </c>
      <c r="G978" t="s">
        <v>141</v>
      </c>
      <c r="H978" t="s">
        <v>142</v>
      </c>
      <c r="I978" t="s">
        <v>279</v>
      </c>
      <c r="J978" t="s">
        <v>280</v>
      </c>
      <c r="L978" t="s">
        <v>473</v>
      </c>
      <c r="M978" s="8">
        <v>45931</v>
      </c>
      <c r="N978">
        <v>5807487</v>
      </c>
      <c r="O978" t="s">
        <v>123</v>
      </c>
      <c r="P978" t="s">
        <v>146</v>
      </c>
      <c r="Q978">
        <v>3.89</v>
      </c>
      <c r="R978" t="s">
        <v>125</v>
      </c>
      <c r="S978" t="s">
        <v>126</v>
      </c>
      <c r="T978" t="s">
        <v>125</v>
      </c>
      <c r="U978" t="s">
        <v>126</v>
      </c>
      <c r="W978">
        <v>3.89</v>
      </c>
      <c r="Y978">
        <v>3.89</v>
      </c>
      <c r="AS978">
        <v>3.89</v>
      </c>
      <c r="BH978" t="s">
        <v>126</v>
      </c>
      <c r="BI978" t="s">
        <v>126</v>
      </c>
      <c r="BJ978" t="s">
        <v>126</v>
      </c>
      <c r="BK978" t="s">
        <v>126</v>
      </c>
      <c r="BS978" t="s">
        <v>126</v>
      </c>
      <c r="BT978" t="s">
        <v>126</v>
      </c>
      <c r="BU978" t="s">
        <v>126</v>
      </c>
      <c r="BV978" t="s">
        <v>126</v>
      </c>
      <c r="CN978" t="s">
        <v>147</v>
      </c>
      <c r="CP978" t="s">
        <v>469</v>
      </c>
      <c r="CQ978" t="s">
        <v>147</v>
      </c>
    </row>
    <row r="979" spans="1:95" x14ac:dyDescent="0.2">
      <c r="A979" t="s">
        <v>115</v>
      </c>
      <c r="B979" t="s">
        <v>116</v>
      </c>
      <c r="C979">
        <v>210784</v>
      </c>
      <c r="E979" t="s">
        <v>117</v>
      </c>
      <c r="F979">
        <v>368</v>
      </c>
      <c r="G979" t="s">
        <v>141</v>
      </c>
      <c r="H979" t="s">
        <v>142</v>
      </c>
      <c r="I979" t="s">
        <v>279</v>
      </c>
      <c r="J979" t="s">
        <v>280</v>
      </c>
      <c r="L979" t="s">
        <v>474</v>
      </c>
      <c r="M979" s="8">
        <v>45931</v>
      </c>
      <c r="N979">
        <v>5808200</v>
      </c>
      <c r="O979" t="s">
        <v>123</v>
      </c>
      <c r="P979" t="s">
        <v>146</v>
      </c>
      <c r="Q979">
        <v>4.87</v>
      </c>
      <c r="R979" t="s">
        <v>125</v>
      </c>
      <c r="S979" t="s">
        <v>126</v>
      </c>
      <c r="T979" t="s">
        <v>125</v>
      </c>
      <c r="U979" t="s">
        <v>126</v>
      </c>
      <c r="W979">
        <v>4.87</v>
      </c>
      <c r="Y979">
        <v>4.87</v>
      </c>
      <c r="AS979">
        <v>4.87</v>
      </c>
      <c r="BH979" t="s">
        <v>126</v>
      </c>
      <c r="BI979" t="s">
        <v>126</v>
      </c>
      <c r="BJ979" t="s">
        <v>126</v>
      </c>
      <c r="BK979" t="s">
        <v>126</v>
      </c>
      <c r="BS979" t="s">
        <v>126</v>
      </c>
      <c r="BT979" t="s">
        <v>126</v>
      </c>
      <c r="BU979" t="s">
        <v>126</v>
      </c>
      <c r="BV979" t="s">
        <v>126</v>
      </c>
      <c r="CN979" t="s">
        <v>147</v>
      </c>
      <c r="CP979" t="s">
        <v>469</v>
      </c>
      <c r="CQ979" t="s">
        <v>147</v>
      </c>
    </row>
    <row r="980" spans="1:95" x14ac:dyDescent="0.2">
      <c r="A980" t="s">
        <v>115</v>
      </c>
      <c r="B980" t="s">
        <v>116</v>
      </c>
      <c r="C980">
        <v>210784</v>
      </c>
      <c r="E980" t="s">
        <v>117</v>
      </c>
      <c r="F980">
        <v>368</v>
      </c>
      <c r="G980" t="s">
        <v>141</v>
      </c>
      <c r="H980" t="s">
        <v>142</v>
      </c>
      <c r="I980" t="s">
        <v>279</v>
      </c>
      <c r="J980" t="s">
        <v>280</v>
      </c>
      <c r="L980" t="s">
        <v>293</v>
      </c>
      <c r="M980" s="8">
        <v>45931</v>
      </c>
      <c r="N980">
        <v>5811084</v>
      </c>
      <c r="O980" t="s">
        <v>123</v>
      </c>
      <c r="P980" t="s">
        <v>146</v>
      </c>
      <c r="Q980">
        <v>0.56000000000000005</v>
      </c>
      <c r="R980" t="s">
        <v>125</v>
      </c>
      <c r="S980" t="s">
        <v>126</v>
      </c>
      <c r="T980" t="s">
        <v>125</v>
      </c>
      <c r="U980" t="s">
        <v>126</v>
      </c>
      <c r="W980">
        <v>0.56000000000000005</v>
      </c>
      <c r="Y980">
        <v>0.56000000000000005</v>
      </c>
      <c r="AS980">
        <v>0.56000000000000005</v>
      </c>
      <c r="BH980" t="s">
        <v>126</v>
      </c>
      <c r="BI980" t="s">
        <v>126</v>
      </c>
      <c r="BJ980" t="s">
        <v>126</v>
      </c>
      <c r="BK980" t="s">
        <v>126</v>
      </c>
      <c r="BS980" t="s">
        <v>126</v>
      </c>
      <c r="BT980" t="s">
        <v>126</v>
      </c>
      <c r="BU980" t="s">
        <v>126</v>
      </c>
      <c r="BV980" t="s">
        <v>126</v>
      </c>
      <c r="CN980" t="s">
        <v>147</v>
      </c>
      <c r="CP980" t="s">
        <v>469</v>
      </c>
      <c r="CQ980" t="s">
        <v>147</v>
      </c>
    </row>
    <row r="981" spans="1:95" x14ac:dyDescent="0.2">
      <c r="A981" t="s">
        <v>115</v>
      </c>
      <c r="B981" t="s">
        <v>116</v>
      </c>
      <c r="C981">
        <v>210784</v>
      </c>
      <c r="E981" t="s">
        <v>117</v>
      </c>
      <c r="F981">
        <v>368</v>
      </c>
      <c r="G981" t="s">
        <v>141</v>
      </c>
      <c r="H981" t="s">
        <v>142</v>
      </c>
      <c r="I981" t="s">
        <v>279</v>
      </c>
      <c r="J981" t="s">
        <v>280</v>
      </c>
      <c r="L981" t="s">
        <v>475</v>
      </c>
      <c r="M981" s="8">
        <v>45931</v>
      </c>
      <c r="N981">
        <v>5816514</v>
      </c>
      <c r="O981" t="s">
        <v>123</v>
      </c>
      <c r="P981" t="s">
        <v>146</v>
      </c>
      <c r="Q981">
        <v>2.99</v>
      </c>
      <c r="R981" t="s">
        <v>125</v>
      </c>
      <c r="S981" t="s">
        <v>126</v>
      </c>
      <c r="T981" t="s">
        <v>125</v>
      </c>
      <c r="U981" t="s">
        <v>126</v>
      </c>
      <c r="W981">
        <v>2.99</v>
      </c>
      <c r="Y981">
        <v>2.99</v>
      </c>
      <c r="AS981">
        <v>2.99</v>
      </c>
      <c r="BH981" t="s">
        <v>126</v>
      </c>
      <c r="BI981" t="s">
        <v>126</v>
      </c>
      <c r="BJ981" t="s">
        <v>126</v>
      </c>
      <c r="BK981" t="s">
        <v>126</v>
      </c>
      <c r="BS981" t="s">
        <v>126</v>
      </c>
      <c r="BT981" t="s">
        <v>126</v>
      </c>
      <c r="BU981" t="s">
        <v>126</v>
      </c>
      <c r="BV981" t="s">
        <v>126</v>
      </c>
      <c r="CN981" t="s">
        <v>147</v>
      </c>
      <c r="CP981" t="s">
        <v>476</v>
      </c>
      <c r="CQ981" t="s">
        <v>147</v>
      </c>
    </row>
    <row r="982" spans="1:95" x14ac:dyDescent="0.2">
      <c r="A982" t="s">
        <v>115</v>
      </c>
      <c r="B982" t="s">
        <v>116</v>
      </c>
      <c r="C982">
        <v>210784</v>
      </c>
      <c r="E982" t="s">
        <v>117</v>
      </c>
      <c r="F982">
        <v>368</v>
      </c>
      <c r="G982" t="s">
        <v>141</v>
      </c>
      <c r="H982" t="s">
        <v>142</v>
      </c>
      <c r="I982" t="s">
        <v>279</v>
      </c>
      <c r="J982" t="s">
        <v>280</v>
      </c>
      <c r="L982" t="s">
        <v>477</v>
      </c>
      <c r="M982" s="8">
        <v>45931</v>
      </c>
      <c r="N982">
        <v>5816883</v>
      </c>
      <c r="O982" t="s">
        <v>123</v>
      </c>
      <c r="P982" t="s">
        <v>146</v>
      </c>
      <c r="Q982">
        <v>1.68</v>
      </c>
      <c r="R982" t="s">
        <v>125</v>
      </c>
      <c r="S982" t="s">
        <v>126</v>
      </c>
      <c r="T982" t="s">
        <v>125</v>
      </c>
      <c r="U982" t="s">
        <v>126</v>
      </c>
      <c r="W982">
        <v>1.68</v>
      </c>
      <c r="Y982">
        <v>1.68</v>
      </c>
      <c r="AS982">
        <v>1.68</v>
      </c>
      <c r="BH982" t="s">
        <v>126</v>
      </c>
      <c r="BI982" t="s">
        <v>126</v>
      </c>
      <c r="BJ982" t="s">
        <v>126</v>
      </c>
      <c r="BK982" t="s">
        <v>126</v>
      </c>
      <c r="BS982" t="s">
        <v>126</v>
      </c>
      <c r="BT982" t="s">
        <v>126</v>
      </c>
      <c r="BU982" t="s">
        <v>126</v>
      </c>
      <c r="BV982" t="s">
        <v>126</v>
      </c>
      <c r="CN982" t="s">
        <v>147</v>
      </c>
      <c r="CP982" t="s">
        <v>476</v>
      </c>
      <c r="CQ982" t="s">
        <v>147</v>
      </c>
    </row>
    <row r="983" spans="1:95" x14ac:dyDescent="0.2">
      <c r="A983" t="s">
        <v>115</v>
      </c>
      <c r="B983" t="s">
        <v>116</v>
      </c>
      <c r="C983">
        <v>210784</v>
      </c>
      <c r="E983" t="s">
        <v>117</v>
      </c>
      <c r="F983">
        <v>368</v>
      </c>
      <c r="G983" t="s">
        <v>141</v>
      </c>
      <c r="H983" t="s">
        <v>142</v>
      </c>
      <c r="I983" t="s">
        <v>279</v>
      </c>
      <c r="J983" t="s">
        <v>280</v>
      </c>
      <c r="L983" t="s">
        <v>478</v>
      </c>
      <c r="M983" s="8">
        <v>45931</v>
      </c>
      <c r="N983">
        <v>5819496</v>
      </c>
      <c r="O983" t="s">
        <v>123</v>
      </c>
      <c r="P983" t="s">
        <v>146</v>
      </c>
      <c r="Q983">
        <v>2.73</v>
      </c>
      <c r="R983" t="s">
        <v>125</v>
      </c>
      <c r="S983" t="s">
        <v>126</v>
      </c>
      <c r="T983" t="s">
        <v>125</v>
      </c>
      <c r="U983" t="s">
        <v>126</v>
      </c>
      <c r="W983">
        <v>2.73</v>
      </c>
      <c r="Y983">
        <v>2.73</v>
      </c>
      <c r="AS983">
        <v>2.73</v>
      </c>
      <c r="BH983" t="s">
        <v>126</v>
      </c>
      <c r="BI983" t="s">
        <v>126</v>
      </c>
      <c r="BJ983" t="s">
        <v>126</v>
      </c>
      <c r="BK983" t="s">
        <v>126</v>
      </c>
      <c r="BS983" t="s">
        <v>126</v>
      </c>
      <c r="BT983" t="s">
        <v>126</v>
      </c>
      <c r="BU983" t="s">
        <v>126</v>
      </c>
      <c r="BV983" t="s">
        <v>126</v>
      </c>
      <c r="CN983" t="s">
        <v>147</v>
      </c>
      <c r="CP983" t="s">
        <v>476</v>
      </c>
      <c r="CQ983" t="s">
        <v>147</v>
      </c>
    </row>
    <row r="984" spans="1:95" x14ac:dyDescent="0.2">
      <c r="A984" t="s">
        <v>115</v>
      </c>
      <c r="B984" t="s">
        <v>116</v>
      </c>
      <c r="C984">
        <v>210784</v>
      </c>
      <c r="E984" t="s">
        <v>117</v>
      </c>
      <c r="F984">
        <v>368</v>
      </c>
      <c r="G984" t="s">
        <v>141</v>
      </c>
      <c r="H984" t="s">
        <v>142</v>
      </c>
      <c r="I984" t="s">
        <v>279</v>
      </c>
      <c r="J984" t="s">
        <v>280</v>
      </c>
      <c r="L984" t="s">
        <v>471</v>
      </c>
      <c r="M984" s="8">
        <v>45931</v>
      </c>
      <c r="N984">
        <v>5802518</v>
      </c>
      <c r="O984" t="s">
        <v>123</v>
      </c>
      <c r="P984" t="s">
        <v>146</v>
      </c>
      <c r="Q984">
        <v>5.04</v>
      </c>
      <c r="R984" t="s">
        <v>574</v>
      </c>
      <c r="S984" t="s">
        <v>126</v>
      </c>
      <c r="T984" t="s">
        <v>574</v>
      </c>
      <c r="U984" t="s">
        <v>575</v>
      </c>
      <c r="W984">
        <v>1.55</v>
      </c>
      <c r="X984">
        <v>3.49</v>
      </c>
      <c r="Y984">
        <v>5.04</v>
      </c>
      <c r="Z984">
        <v>1.92</v>
      </c>
      <c r="AG984">
        <v>1.55</v>
      </c>
      <c r="AI984">
        <v>1.57</v>
      </c>
      <c r="BH984" t="s">
        <v>126</v>
      </c>
      <c r="BI984" t="s">
        <v>126</v>
      </c>
      <c r="BJ984" t="s">
        <v>126</v>
      </c>
      <c r="BK984" t="s">
        <v>126</v>
      </c>
      <c r="BS984" t="s">
        <v>126</v>
      </c>
      <c r="BT984" t="s">
        <v>126</v>
      </c>
      <c r="BU984" t="s">
        <v>126</v>
      </c>
      <c r="BV984" t="s">
        <v>126</v>
      </c>
      <c r="CN984" t="s">
        <v>147</v>
      </c>
      <c r="CP984" t="s">
        <v>469</v>
      </c>
      <c r="CQ984" t="s">
        <v>147</v>
      </c>
    </row>
    <row r="985" spans="1:95" x14ac:dyDescent="0.2">
      <c r="A985" t="s">
        <v>115</v>
      </c>
      <c r="B985" t="s">
        <v>116</v>
      </c>
      <c r="C985">
        <v>210784</v>
      </c>
      <c r="E985" t="s">
        <v>117</v>
      </c>
      <c r="F985">
        <v>368</v>
      </c>
      <c r="G985" t="s">
        <v>141</v>
      </c>
      <c r="H985" t="s">
        <v>142</v>
      </c>
      <c r="I985" t="s">
        <v>279</v>
      </c>
      <c r="J985" t="s">
        <v>280</v>
      </c>
      <c r="L985" t="s">
        <v>472</v>
      </c>
      <c r="M985" s="8">
        <v>45931</v>
      </c>
      <c r="N985">
        <v>5803928</v>
      </c>
      <c r="O985" t="s">
        <v>123</v>
      </c>
      <c r="P985" t="s">
        <v>146</v>
      </c>
      <c r="Q985">
        <v>4.29</v>
      </c>
      <c r="R985" t="s">
        <v>569</v>
      </c>
      <c r="S985" t="s">
        <v>126</v>
      </c>
      <c r="T985" t="s">
        <v>569</v>
      </c>
      <c r="U985" t="s">
        <v>570</v>
      </c>
      <c r="W985">
        <v>1.32</v>
      </c>
      <c r="X985">
        <v>2.9699999999999998</v>
      </c>
      <c r="Y985">
        <v>4.29</v>
      </c>
      <c r="Z985">
        <v>1.63</v>
      </c>
      <c r="AG985">
        <v>1.32</v>
      </c>
      <c r="AI985">
        <v>1.34</v>
      </c>
      <c r="BH985" t="s">
        <v>126</v>
      </c>
      <c r="BI985" t="s">
        <v>126</v>
      </c>
      <c r="BJ985" t="s">
        <v>126</v>
      </c>
      <c r="BK985" t="s">
        <v>126</v>
      </c>
      <c r="BS985" t="s">
        <v>126</v>
      </c>
      <c r="BT985" t="s">
        <v>126</v>
      </c>
      <c r="BU985" t="s">
        <v>126</v>
      </c>
      <c r="BV985" t="s">
        <v>126</v>
      </c>
      <c r="CN985" t="s">
        <v>147</v>
      </c>
      <c r="CP985" t="s">
        <v>469</v>
      </c>
      <c r="CQ985" t="s">
        <v>147</v>
      </c>
    </row>
    <row r="986" spans="1:95" x14ac:dyDescent="0.2">
      <c r="A986" t="s">
        <v>115</v>
      </c>
      <c r="B986" t="s">
        <v>116</v>
      </c>
      <c r="C986">
        <v>210784</v>
      </c>
      <c r="E986" t="s">
        <v>117</v>
      </c>
      <c r="F986">
        <v>368</v>
      </c>
      <c r="G986" t="s">
        <v>141</v>
      </c>
      <c r="H986" t="s">
        <v>142</v>
      </c>
      <c r="I986" t="s">
        <v>279</v>
      </c>
      <c r="J986" t="s">
        <v>280</v>
      </c>
      <c r="L986" t="s">
        <v>749</v>
      </c>
      <c r="M986" s="8">
        <v>45931</v>
      </c>
      <c r="N986">
        <v>5805910</v>
      </c>
      <c r="O986" t="s">
        <v>123</v>
      </c>
      <c r="P986" t="s">
        <v>146</v>
      </c>
      <c r="Q986">
        <v>5.8900000000000006</v>
      </c>
      <c r="R986" t="s">
        <v>710</v>
      </c>
      <c r="S986" t="s">
        <v>126</v>
      </c>
      <c r="T986" t="s">
        <v>710</v>
      </c>
      <c r="U986" t="s">
        <v>711</v>
      </c>
      <c r="W986">
        <v>1.82</v>
      </c>
      <c r="X986">
        <v>4.07</v>
      </c>
      <c r="Y986">
        <v>5.8900000000000006</v>
      </c>
      <c r="Z986">
        <v>2.2400000000000002</v>
      </c>
      <c r="AG986">
        <v>1.82</v>
      </c>
      <c r="AI986">
        <v>1.83</v>
      </c>
      <c r="BH986" t="s">
        <v>126</v>
      </c>
      <c r="BI986" t="s">
        <v>126</v>
      </c>
      <c r="BJ986" t="s">
        <v>126</v>
      </c>
      <c r="BK986" t="s">
        <v>126</v>
      </c>
      <c r="BS986" t="s">
        <v>126</v>
      </c>
      <c r="BT986" t="s">
        <v>126</v>
      </c>
      <c r="BU986" t="s">
        <v>126</v>
      </c>
      <c r="BV986" t="s">
        <v>126</v>
      </c>
      <c r="CN986" t="s">
        <v>147</v>
      </c>
      <c r="CP986" t="s">
        <v>469</v>
      </c>
      <c r="CQ986" t="s">
        <v>147</v>
      </c>
    </row>
    <row r="987" spans="1:95" x14ac:dyDescent="0.2">
      <c r="A987" t="s">
        <v>115</v>
      </c>
      <c r="B987" t="s">
        <v>116</v>
      </c>
      <c r="C987">
        <v>210784</v>
      </c>
      <c r="E987" t="s">
        <v>117</v>
      </c>
      <c r="F987">
        <v>368</v>
      </c>
      <c r="G987" t="s">
        <v>141</v>
      </c>
      <c r="H987" t="s">
        <v>142</v>
      </c>
      <c r="I987" t="s">
        <v>279</v>
      </c>
      <c r="J987" t="s">
        <v>280</v>
      </c>
      <c r="L987" t="s">
        <v>750</v>
      </c>
      <c r="M987" s="8">
        <v>45931</v>
      </c>
      <c r="N987">
        <v>5806673</v>
      </c>
      <c r="O987" t="s">
        <v>123</v>
      </c>
      <c r="P987" t="s">
        <v>146</v>
      </c>
      <c r="Q987">
        <v>2.75</v>
      </c>
      <c r="R987" t="s">
        <v>644</v>
      </c>
      <c r="S987" t="s">
        <v>126</v>
      </c>
      <c r="T987" t="s">
        <v>644</v>
      </c>
      <c r="U987" t="s">
        <v>645</v>
      </c>
      <c r="W987">
        <v>0.85</v>
      </c>
      <c r="X987">
        <v>1.9</v>
      </c>
      <c r="Y987">
        <v>2.75</v>
      </c>
      <c r="Z987">
        <v>1.04</v>
      </c>
      <c r="AG987">
        <v>0.85</v>
      </c>
      <c r="AI987">
        <v>0.86</v>
      </c>
      <c r="BH987" t="s">
        <v>126</v>
      </c>
      <c r="BI987" t="s">
        <v>126</v>
      </c>
      <c r="BJ987" t="s">
        <v>126</v>
      </c>
      <c r="BK987" t="s">
        <v>126</v>
      </c>
      <c r="BS987" t="s">
        <v>126</v>
      </c>
      <c r="BT987" t="s">
        <v>126</v>
      </c>
      <c r="BU987" t="s">
        <v>126</v>
      </c>
      <c r="BV987" t="s">
        <v>126</v>
      </c>
      <c r="CN987" t="s">
        <v>147</v>
      </c>
      <c r="CP987" t="s">
        <v>469</v>
      </c>
      <c r="CQ987" t="s">
        <v>147</v>
      </c>
    </row>
    <row r="988" spans="1:95" x14ac:dyDescent="0.2">
      <c r="A988" t="s">
        <v>115</v>
      </c>
      <c r="B988" t="s">
        <v>116</v>
      </c>
      <c r="C988">
        <v>210784</v>
      </c>
      <c r="E988" t="s">
        <v>117</v>
      </c>
      <c r="F988">
        <v>368</v>
      </c>
      <c r="G988" t="s">
        <v>141</v>
      </c>
      <c r="H988" t="s">
        <v>142</v>
      </c>
      <c r="I988" t="s">
        <v>279</v>
      </c>
      <c r="J988" t="s">
        <v>280</v>
      </c>
      <c r="L988" t="s">
        <v>750</v>
      </c>
      <c r="M988" s="8">
        <v>45931</v>
      </c>
      <c r="N988">
        <v>5806754</v>
      </c>
      <c r="O988" t="s">
        <v>123</v>
      </c>
      <c r="P988" t="s">
        <v>146</v>
      </c>
      <c r="Q988">
        <v>1.8574999999999999</v>
      </c>
      <c r="R988" t="s">
        <v>586</v>
      </c>
      <c r="S988" t="s">
        <v>126</v>
      </c>
      <c r="T988" t="s">
        <v>586</v>
      </c>
      <c r="U988" t="s">
        <v>587</v>
      </c>
      <c r="W988">
        <v>0.56999999999999995</v>
      </c>
      <c r="X988">
        <v>1.2875000000000001</v>
      </c>
      <c r="Y988">
        <v>1.8574999999999999</v>
      </c>
      <c r="Z988">
        <v>0.70750000000000002</v>
      </c>
      <c r="AG988">
        <v>0.56999999999999995</v>
      </c>
      <c r="AI988">
        <v>0.57999999999999996</v>
      </c>
      <c r="BH988" t="s">
        <v>126</v>
      </c>
      <c r="BI988" t="s">
        <v>126</v>
      </c>
      <c r="BJ988" t="s">
        <v>126</v>
      </c>
      <c r="BK988" t="s">
        <v>126</v>
      </c>
      <c r="BS988" t="s">
        <v>126</v>
      </c>
      <c r="BT988" t="s">
        <v>126</v>
      </c>
      <c r="BU988" t="s">
        <v>126</v>
      </c>
      <c r="BV988" t="s">
        <v>126</v>
      </c>
      <c r="CN988" t="s">
        <v>147</v>
      </c>
      <c r="CP988" t="s">
        <v>469</v>
      </c>
      <c r="CQ988" t="s">
        <v>147</v>
      </c>
    </row>
    <row r="989" spans="1:95" x14ac:dyDescent="0.2">
      <c r="A989" t="s">
        <v>115</v>
      </c>
      <c r="B989" t="s">
        <v>116</v>
      </c>
      <c r="C989">
        <v>210784</v>
      </c>
      <c r="E989" t="s">
        <v>117</v>
      </c>
      <c r="F989">
        <v>368</v>
      </c>
      <c r="G989" t="s">
        <v>141</v>
      </c>
      <c r="H989" t="s">
        <v>142</v>
      </c>
      <c r="I989" t="s">
        <v>279</v>
      </c>
      <c r="J989" t="s">
        <v>280</v>
      </c>
      <c r="L989" t="s">
        <v>294</v>
      </c>
      <c r="M989" s="8">
        <v>45931</v>
      </c>
      <c r="N989">
        <v>5812367</v>
      </c>
      <c r="O989" t="s">
        <v>123</v>
      </c>
      <c r="P989" t="s">
        <v>146</v>
      </c>
      <c r="Q989">
        <v>2.6657000000000002</v>
      </c>
      <c r="R989" t="s">
        <v>751</v>
      </c>
      <c r="S989" t="s">
        <v>126</v>
      </c>
      <c r="T989" t="s">
        <v>751</v>
      </c>
      <c r="U989" t="s">
        <v>752</v>
      </c>
      <c r="W989">
        <v>0.82</v>
      </c>
      <c r="X989">
        <v>1.8456999999999999</v>
      </c>
      <c r="Y989">
        <v>2.6657000000000002</v>
      </c>
      <c r="Z989">
        <v>1.0157</v>
      </c>
      <c r="AG989">
        <v>0.82</v>
      </c>
      <c r="AI989">
        <v>0.83</v>
      </c>
      <c r="BH989" t="s">
        <v>126</v>
      </c>
      <c r="BI989" t="s">
        <v>126</v>
      </c>
      <c r="BJ989" t="s">
        <v>126</v>
      </c>
      <c r="BK989" t="s">
        <v>126</v>
      </c>
      <c r="BS989" t="s">
        <v>126</v>
      </c>
      <c r="BT989" t="s">
        <v>126</v>
      </c>
      <c r="BU989" t="s">
        <v>126</v>
      </c>
      <c r="BV989" t="s">
        <v>126</v>
      </c>
      <c r="CN989" t="s">
        <v>147</v>
      </c>
      <c r="CP989" t="s">
        <v>469</v>
      </c>
      <c r="CQ989" t="s">
        <v>147</v>
      </c>
    </row>
    <row r="990" spans="1:95" x14ac:dyDescent="0.2">
      <c r="A990" t="s">
        <v>115</v>
      </c>
      <c r="B990" t="s">
        <v>116</v>
      </c>
      <c r="C990">
        <v>210784</v>
      </c>
      <c r="E990" t="s">
        <v>117</v>
      </c>
      <c r="F990">
        <v>368</v>
      </c>
      <c r="G990" t="s">
        <v>141</v>
      </c>
      <c r="H990" t="s">
        <v>142</v>
      </c>
      <c r="I990" t="s">
        <v>279</v>
      </c>
      <c r="J990" t="s">
        <v>280</v>
      </c>
      <c r="L990" t="s">
        <v>753</v>
      </c>
      <c r="M990" s="8">
        <v>45931</v>
      </c>
      <c r="N990">
        <v>5810880</v>
      </c>
      <c r="O990" t="s">
        <v>123</v>
      </c>
      <c r="P990" t="s">
        <v>146</v>
      </c>
      <c r="Q990">
        <v>2.0299999999999998</v>
      </c>
      <c r="R990" t="s">
        <v>620</v>
      </c>
      <c r="S990" t="s">
        <v>126</v>
      </c>
      <c r="T990" t="s">
        <v>620</v>
      </c>
      <c r="U990" t="s">
        <v>621</v>
      </c>
      <c r="W990">
        <v>0.63</v>
      </c>
      <c r="X990">
        <v>1.4</v>
      </c>
      <c r="Y990">
        <v>2.0299999999999998</v>
      </c>
      <c r="Z990">
        <v>0.77</v>
      </c>
      <c r="AG990">
        <v>0.63</v>
      </c>
      <c r="AI990">
        <v>0.63</v>
      </c>
      <c r="BH990" t="s">
        <v>126</v>
      </c>
      <c r="BI990" t="s">
        <v>126</v>
      </c>
      <c r="BJ990" t="s">
        <v>126</v>
      </c>
      <c r="BK990" t="s">
        <v>126</v>
      </c>
      <c r="BS990" t="s">
        <v>126</v>
      </c>
      <c r="BT990" t="s">
        <v>126</v>
      </c>
      <c r="BU990" t="s">
        <v>126</v>
      </c>
      <c r="BV990" t="s">
        <v>126</v>
      </c>
      <c r="CN990" t="s">
        <v>147</v>
      </c>
      <c r="CP990" t="s">
        <v>469</v>
      </c>
      <c r="CQ990" t="s">
        <v>147</v>
      </c>
    </row>
    <row r="991" spans="1:95" x14ac:dyDescent="0.2">
      <c r="A991" t="s">
        <v>115</v>
      </c>
      <c r="B991" t="s">
        <v>116</v>
      </c>
      <c r="C991">
        <v>210784</v>
      </c>
      <c r="E991" t="s">
        <v>117</v>
      </c>
      <c r="F991">
        <v>368</v>
      </c>
      <c r="G991" t="s">
        <v>141</v>
      </c>
      <c r="H991" t="s">
        <v>142</v>
      </c>
      <c r="I991" t="s">
        <v>279</v>
      </c>
      <c r="J991" t="s">
        <v>280</v>
      </c>
      <c r="L991" t="s">
        <v>293</v>
      </c>
      <c r="M991" s="8">
        <v>45931</v>
      </c>
      <c r="N991">
        <v>5811398</v>
      </c>
      <c r="O991" t="s">
        <v>123</v>
      </c>
      <c r="P991" t="s">
        <v>146</v>
      </c>
      <c r="Q991">
        <v>1.75</v>
      </c>
      <c r="R991" t="s">
        <v>567</v>
      </c>
      <c r="S991" t="s">
        <v>126</v>
      </c>
      <c r="T991" t="s">
        <v>567</v>
      </c>
      <c r="U991" t="s">
        <v>568</v>
      </c>
      <c r="W991">
        <v>0.54</v>
      </c>
      <c r="X991">
        <v>1.21</v>
      </c>
      <c r="Y991">
        <v>1.75</v>
      </c>
      <c r="Z991">
        <v>0.67</v>
      </c>
      <c r="AG991">
        <v>0.54</v>
      </c>
      <c r="AI991">
        <v>0.54</v>
      </c>
      <c r="BH991" t="s">
        <v>126</v>
      </c>
      <c r="BI991" t="s">
        <v>126</v>
      </c>
      <c r="BJ991" t="s">
        <v>126</v>
      </c>
      <c r="BK991" t="s">
        <v>126</v>
      </c>
      <c r="BS991" t="s">
        <v>126</v>
      </c>
      <c r="BT991" t="s">
        <v>126</v>
      </c>
      <c r="BU991" t="s">
        <v>126</v>
      </c>
      <c r="BV991" t="s">
        <v>126</v>
      </c>
      <c r="CN991" t="s">
        <v>147</v>
      </c>
      <c r="CP991" t="s">
        <v>469</v>
      </c>
      <c r="CQ991" t="s">
        <v>147</v>
      </c>
    </row>
    <row r="992" spans="1:95" x14ac:dyDescent="0.2">
      <c r="A992" t="s">
        <v>115</v>
      </c>
      <c r="B992" t="s">
        <v>116</v>
      </c>
      <c r="C992">
        <v>210784</v>
      </c>
      <c r="E992" t="s">
        <v>117</v>
      </c>
      <c r="F992">
        <v>368</v>
      </c>
      <c r="G992" t="s">
        <v>141</v>
      </c>
      <c r="H992" t="s">
        <v>142</v>
      </c>
      <c r="I992" t="s">
        <v>279</v>
      </c>
      <c r="J992" t="s">
        <v>280</v>
      </c>
      <c r="L992" t="s">
        <v>293</v>
      </c>
      <c r="M992" s="8">
        <v>45931</v>
      </c>
      <c r="N992">
        <v>5811416</v>
      </c>
      <c r="O992" t="s">
        <v>123</v>
      </c>
      <c r="P992" t="s">
        <v>146</v>
      </c>
      <c r="Q992">
        <v>0.1295</v>
      </c>
      <c r="R992" t="s">
        <v>598</v>
      </c>
      <c r="S992" t="s">
        <v>126</v>
      </c>
      <c r="T992" t="s">
        <v>598</v>
      </c>
      <c r="U992" t="s">
        <v>599</v>
      </c>
      <c r="W992">
        <v>0.04</v>
      </c>
      <c r="X992">
        <v>8.9499999999999996E-2</v>
      </c>
      <c r="Y992">
        <v>0.1295</v>
      </c>
      <c r="Z992">
        <v>4.9500000000000002E-2</v>
      </c>
      <c r="AG992">
        <v>0.04</v>
      </c>
      <c r="AI992">
        <v>0.04</v>
      </c>
      <c r="BH992" t="s">
        <v>126</v>
      </c>
      <c r="BI992" t="s">
        <v>126</v>
      </c>
      <c r="BJ992" t="s">
        <v>126</v>
      </c>
      <c r="BK992" t="s">
        <v>126</v>
      </c>
      <c r="BS992" t="s">
        <v>126</v>
      </c>
      <c r="BT992" t="s">
        <v>126</v>
      </c>
      <c r="BU992" t="s">
        <v>126</v>
      </c>
      <c r="BV992" t="s">
        <v>126</v>
      </c>
      <c r="CN992" t="s">
        <v>147</v>
      </c>
      <c r="CP992" t="s">
        <v>469</v>
      </c>
      <c r="CQ992" t="s">
        <v>147</v>
      </c>
    </row>
    <row r="993" spans="1:95" x14ac:dyDescent="0.2">
      <c r="A993" t="s">
        <v>115</v>
      </c>
      <c r="B993" t="s">
        <v>116</v>
      </c>
      <c r="C993">
        <v>210784</v>
      </c>
      <c r="E993" t="s">
        <v>117</v>
      </c>
      <c r="F993">
        <v>368</v>
      </c>
      <c r="G993" t="s">
        <v>141</v>
      </c>
      <c r="H993" t="s">
        <v>142</v>
      </c>
      <c r="I993" t="s">
        <v>279</v>
      </c>
      <c r="J993" t="s">
        <v>280</v>
      </c>
      <c r="L993" t="s">
        <v>293</v>
      </c>
      <c r="M993" s="8">
        <v>45931</v>
      </c>
      <c r="N993">
        <v>5811599</v>
      </c>
      <c r="O993" t="s">
        <v>123</v>
      </c>
      <c r="P993" t="s">
        <v>146</v>
      </c>
      <c r="Q993">
        <v>5.7610999999999999</v>
      </c>
      <c r="R993" t="s">
        <v>710</v>
      </c>
      <c r="S993" t="s">
        <v>126</v>
      </c>
      <c r="T993" t="s">
        <v>710</v>
      </c>
      <c r="U993" t="s">
        <v>711</v>
      </c>
      <c r="W993">
        <v>1.78</v>
      </c>
      <c r="X993">
        <v>3.9811000000000001</v>
      </c>
      <c r="Y993">
        <v>5.7610999999999999</v>
      </c>
      <c r="Z993">
        <v>2.1911</v>
      </c>
      <c r="AG993">
        <v>1.78</v>
      </c>
      <c r="AI993">
        <v>1.79</v>
      </c>
      <c r="BH993" t="s">
        <v>126</v>
      </c>
      <c r="BI993" t="s">
        <v>126</v>
      </c>
      <c r="BJ993" t="s">
        <v>126</v>
      </c>
      <c r="BK993" t="s">
        <v>126</v>
      </c>
      <c r="BS993" t="s">
        <v>126</v>
      </c>
      <c r="BT993" t="s">
        <v>126</v>
      </c>
      <c r="BU993" t="s">
        <v>126</v>
      </c>
      <c r="BV993" t="s">
        <v>126</v>
      </c>
      <c r="CN993" t="s">
        <v>147</v>
      </c>
      <c r="CP993" t="s">
        <v>469</v>
      </c>
      <c r="CQ993" t="s">
        <v>147</v>
      </c>
    </row>
    <row r="994" spans="1:95" x14ac:dyDescent="0.2">
      <c r="A994" t="s">
        <v>115</v>
      </c>
      <c r="B994" t="s">
        <v>116</v>
      </c>
      <c r="C994">
        <v>210784</v>
      </c>
      <c r="E994" t="s">
        <v>117</v>
      </c>
      <c r="F994">
        <v>368</v>
      </c>
      <c r="G994" t="s">
        <v>141</v>
      </c>
      <c r="H994" t="s">
        <v>142</v>
      </c>
      <c r="I994" t="s">
        <v>279</v>
      </c>
      <c r="J994" t="s">
        <v>280</v>
      </c>
      <c r="L994" t="s">
        <v>293</v>
      </c>
      <c r="M994" s="8">
        <v>45931</v>
      </c>
      <c r="N994">
        <v>5811410</v>
      </c>
      <c r="O994" t="s">
        <v>123</v>
      </c>
      <c r="P994" t="s">
        <v>146</v>
      </c>
      <c r="Q994">
        <v>2.8540999999999999</v>
      </c>
      <c r="R994" t="s">
        <v>754</v>
      </c>
      <c r="S994" t="s">
        <v>126</v>
      </c>
      <c r="T994" t="s">
        <v>754</v>
      </c>
      <c r="U994" t="s">
        <v>755</v>
      </c>
      <c r="W994">
        <v>0.89</v>
      </c>
      <c r="X994">
        <v>1.9641000000000002</v>
      </c>
      <c r="Y994">
        <v>2.8540999999999999</v>
      </c>
      <c r="Z994">
        <v>1.0841000000000001</v>
      </c>
      <c r="AG994">
        <v>0.89</v>
      </c>
      <c r="AI994">
        <v>0.88</v>
      </c>
      <c r="BH994" t="s">
        <v>126</v>
      </c>
      <c r="BI994" t="s">
        <v>126</v>
      </c>
      <c r="BJ994" t="s">
        <v>126</v>
      </c>
      <c r="BK994" t="s">
        <v>126</v>
      </c>
      <c r="BS994" t="s">
        <v>126</v>
      </c>
      <c r="BT994" t="s">
        <v>126</v>
      </c>
      <c r="BU994" t="s">
        <v>126</v>
      </c>
      <c r="BV994" t="s">
        <v>126</v>
      </c>
      <c r="CN994" t="s">
        <v>147</v>
      </c>
      <c r="CP994" t="s">
        <v>469</v>
      </c>
      <c r="CQ994" t="s">
        <v>147</v>
      </c>
    </row>
    <row r="995" spans="1:95" x14ac:dyDescent="0.2">
      <c r="A995" t="s">
        <v>115</v>
      </c>
      <c r="B995" t="s">
        <v>116</v>
      </c>
      <c r="C995">
        <v>210784</v>
      </c>
      <c r="E995" t="s">
        <v>117</v>
      </c>
      <c r="F995">
        <v>368</v>
      </c>
      <c r="G995" t="s">
        <v>141</v>
      </c>
      <c r="H995" t="s">
        <v>142</v>
      </c>
      <c r="I995" t="s">
        <v>279</v>
      </c>
      <c r="J995" t="s">
        <v>280</v>
      </c>
      <c r="L995" t="s">
        <v>294</v>
      </c>
      <c r="M995" s="8">
        <v>45931</v>
      </c>
      <c r="N995">
        <v>5812455</v>
      </c>
      <c r="O995" t="s">
        <v>123</v>
      </c>
      <c r="P995" t="s">
        <v>146</v>
      </c>
      <c r="Q995">
        <v>4.6802999999999999</v>
      </c>
      <c r="R995" t="s">
        <v>756</v>
      </c>
      <c r="S995" t="s">
        <v>126</v>
      </c>
      <c r="T995" t="s">
        <v>756</v>
      </c>
      <c r="U995" t="s">
        <v>757</v>
      </c>
      <c r="W995">
        <v>1.45</v>
      </c>
      <c r="X995">
        <v>3.2302999999999997</v>
      </c>
      <c r="Y995">
        <v>4.6802999999999999</v>
      </c>
      <c r="Z995">
        <v>1.7803</v>
      </c>
      <c r="AG995">
        <v>1.45</v>
      </c>
      <c r="AI995">
        <v>1.45</v>
      </c>
      <c r="BH995" t="s">
        <v>126</v>
      </c>
      <c r="BI995" t="s">
        <v>126</v>
      </c>
      <c r="BJ995" t="s">
        <v>126</v>
      </c>
      <c r="BK995" t="s">
        <v>126</v>
      </c>
      <c r="BS995" t="s">
        <v>126</v>
      </c>
      <c r="BT995" t="s">
        <v>126</v>
      </c>
      <c r="BU995" t="s">
        <v>126</v>
      </c>
      <c r="BV995" t="s">
        <v>126</v>
      </c>
      <c r="CN995" t="s">
        <v>147</v>
      </c>
      <c r="CP995" t="s">
        <v>469</v>
      </c>
      <c r="CQ995" t="s">
        <v>147</v>
      </c>
    </row>
    <row r="996" spans="1:95" x14ac:dyDescent="0.2">
      <c r="A996" t="s">
        <v>115</v>
      </c>
      <c r="B996" t="s">
        <v>116</v>
      </c>
      <c r="C996">
        <v>210784</v>
      </c>
      <c r="E996" t="s">
        <v>117</v>
      </c>
      <c r="F996">
        <v>368</v>
      </c>
      <c r="G996" t="s">
        <v>141</v>
      </c>
      <c r="H996" t="s">
        <v>142</v>
      </c>
      <c r="I996" t="s">
        <v>279</v>
      </c>
      <c r="J996" t="s">
        <v>280</v>
      </c>
      <c r="L996" t="s">
        <v>295</v>
      </c>
      <c r="M996" s="8">
        <v>45931</v>
      </c>
      <c r="N996">
        <v>5814936</v>
      </c>
      <c r="O996" t="s">
        <v>123</v>
      </c>
      <c r="P996" t="s">
        <v>146</v>
      </c>
      <c r="Q996">
        <v>4.5683999999999996</v>
      </c>
      <c r="R996" t="s">
        <v>567</v>
      </c>
      <c r="S996" t="s">
        <v>126</v>
      </c>
      <c r="T996" t="s">
        <v>567</v>
      </c>
      <c r="U996" t="s">
        <v>568</v>
      </c>
      <c r="W996">
        <v>1.41</v>
      </c>
      <c r="X996">
        <v>3.1583999999999999</v>
      </c>
      <c r="Y996">
        <v>4.5683999999999996</v>
      </c>
      <c r="Z996">
        <v>1.7383999999999999</v>
      </c>
      <c r="AG996">
        <v>1.41</v>
      </c>
      <c r="AI996">
        <v>1.42</v>
      </c>
      <c r="BH996" t="s">
        <v>126</v>
      </c>
      <c r="BI996" t="s">
        <v>126</v>
      </c>
      <c r="BJ996" t="s">
        <v>126</v>
      </c>
      <c r="BK996" t="s">
        <v>126</v>
      </c>
      <c r="BS996" t="s">
        <v>126</v>
      </c>
      <c r="BT996" t="s">
        <v>126</v>
      </c>
      <c r="BU996" t="s">
        <v>126</v>
      </c>
      <c r="BV996" t="s">
        <v>126</v>
      </c>
      <c r="CN996" t="s">
        <v>147</v>
      </c>
      <c r="CP996" t="s">
        <v>476</v>
      </c>
      <c r="CQ996" t="s">
        <v>147</v>
      </c>
    </row>
    <row r="997" spans="1:95" x14ac:dyDescent="0.2">
      <c r="A997" t="s">
        <v>115</v>
      </c>
      <c r="B997" t="s">
        <v>116</v>
      </c>
      <c r="C997">
        <v>210784</v>
      </c>
      <c r="E997" t="s">
        <v>117</v>
      </c>
      <c r="F997">
        <v>368</v>
      </c>
      <c r="G997" t="s">
        <v>141</v>
      </c>
      <c r="H997" t="s">
        <v>142</v>
      </c>
      <c r="I997" t="s">
        <v>279</v>
      </c>
      <c r="J997" t="s">
        <v>280</v>
      </c>
      <c r="L997" t="s">
        <v>295</v>
      </c>
      <c r="M997" s="8">
        <v>45931</v>
      </c>
      <c r="N997">
        <v>5815064</v>
      </c>
      <c r="O997" t="s">
        <v>123</v>
      </c>
      <c r="P997" t="s">
        <v>146</v>
      </c>
      <c r="Q997">
        <v>2.8264999999999998</v>
      </c>
      <c r="R997" t="s">
        <v>683</v>
      </c>
      <c r="S997" t="s">
        <v>126</v>
      </c>
      <c r="T997" t="s">
        <v>683</v>
      </c>
      <c r="U997" t="s">
        <v>684</v>
      </c>
      <c r="W997">
        <v>0.87</v>
      </c>
      <c r="X997">
        <v>1.9565000000000001</v>
      </c>
      <c r="Y997">
        <v>2.8264999999999998</v>
      </c>
      <c r="Z997">
        <v>1.0765</v>
      </c>
      <c r="AG997">
        <v>0.87</v>
      </c>
      <c r="AI997">
        <v>0.88</v>
      </c>
      <c r="BH997" t="s">
        <v>126</v>
      </c>
      <c r="BI997" t="s">
        <v>126</v>
      </c>
      <c r="BJ997" t="s">
        <v>126</v>
      </c>
      <c r="BK997" t="s">
        <v>126</v>
      </c>
      <c r="BS997" t="s">
        <v>126</v>
      </c>
      <c r="BT997" t="s">
        <v>126</v>
      </c>
      <c r="BU997" t="s">
        <v>126</v>
      </c>
      <c r="BV997" t="s">
        <v>126</v>
      </c>
      <c r="CN997" t="s">
        <v>147</v>
      </c>
      <c r="CP997" t="s">
        <v>476</v>
      </c>
      <c r="CQ997" t="s">
        <v>147</v>
      </c>
    </row>
    <row r="998" spans="1:95" x14ac:dyDescent="0.2">
      <c r="A998" t="s">
        <v>115</v>
      </c>
      <c r="B998" t="s">
        <v>116</v>
      </c>
      <c r="C998">
        <v>210784</v>
      </c>
      <c r="E998" t="s">
        <v>117</v>
      </c>
      <c r="F998">
        <v>368</v>
      </c>
      <c r="G998" t="s">
        <v>141</v>
      </c>
      <c r="H998" t="s">
        <v>142</v>
      </c>
      <c r="I998" t="s">
        <v>279</v>
      </c>
      <c r="J998" t="s">
        <v>280</v>
      </c>
      <c r="L998" t="s">
        <v>758</v>
      </c>
      <c r="M998" s="8">
        <v>45931</v>
      </c>
      <c r="N998">
        <v>5815310</v>
      </c>
      <c r="O998" t="s">
        <v>123</v>
      </c>
      <c r="P998" t="s">
        <v>146</v>
      </c>
      <c r="Q998">
        <v>4.26</v>
      </c>
      <c r="R998" t="s">
        <v>574</v>
      </c>
      <c r="S998" t="s">
        <v>126</v>
      </c>
      <c r="T998" t="s">
        <v>574</v>
      </c>
      <c r="U998" t="s">
        <v>575</v>
      </c>
      <c r="W998">
        <v>1.31</v>
      </c>
      <c r="X998">
        <v>2.95</v>
      </c>
      <c r="Y998">
        <v>4.26</v>
      </c>
      <c r="Z998">
        <v>1.62</v>
      </c>
      <c r="AG998">
        <v>1.31</v>
      </c>
      <c r="AI998">
        <v>1.33</v>
      </c>
      <c r="BH998" t="s">
        <v>126</v>
      </c>
      <c r="BI998" t="s">
        <v>126</v>
      </c>
      <c r="BJ998" t="s">
        <v>126</v>
      </c>
      <c r="BK998" t="s">
        <v>126</v>
      </c>
      <c r="BS998" t="s">
        <v>126</v>
      </c>
      <c r="BT998" t="s">
        <v>126</v>
      </c>
      <c r="BU998" t="s">
        <v>126</v>
      </c>
      <c r="BV998" t="s">
        <v>126</v>
      </c>
      <c r="CN998" t="s">
        <v>147</v>
      </c>
      <c r="CP998" t="s">
        <v>476</v>
      </c>
      <c r="CQ998" t="s">
        <v>147</v>
      </c>
    </row>
    <row r="999" spans="1:95" x14ac:dyDescent="0.2">
      <c r="A999" t="s">
        <v>115</v>
      </c>
      <c r="B999" t="s">
        <v>116</v>
      </c>
      <c r="C999">
        <v>210784</v>
      </c>
      <c r="E999" t="s">
        <v>117</v>
      </c>
      <c r="F999">
        <v>368</v>
      </c>
      <c r="G999" t="s">
        <v>141</v>
      </c>
      <c r="H999" t="s">
        <v>142</v>
      </c>
      <c r="I999" t="s">
        <v>279</v>
      </c>
      <c r="J999" t="s">
        <v>280</v>
      </c>
      <c r="L999" t="s">
        <v>758</v>
      </c>
      <c r="M999" s="8">
        <v>45931</v>
      </c>
      <c r="N999">
        <v>5815416</v>
      </c>
      <c r="O999" t="s">
        <v>123</v>
      </c>
      <c r="P999" t="s">
        <v>146</v>
      </c>
      <c r="Q999">
        <v>6.1946999999999992</v>
      </c>
      <c r="R999" t="s">
        <v>562</v>
      </c>
      <c r="S999" t="s">
        <v>126</v>
      </c>
      <c r="T999" t="s">
        <v>562</v>
      </c>
      <c r="U999" t="s">
        <v>563</v>
      </c>
      <c r="W999">
        <v>1.92</v>
      </c>
      <c r="X999">
        <v>4.2746999999999993</v>
      </c>
      <c r="Y999">
        <v>6.1946999999999992</v>
      </c>
      <c r="Z999">
        <v>2.3546999999999998</v>
      </c>
      <c r="AG999">
        <v>1.92</v>
      </c>
      <c r="AI999">
        <v>1.92</v>
      </c>
      <c r="BH999" t="s">
        <v>126</v>
      </c>
      <c r="BI999" t="s">
        <v>126</v>
      </c>
      <c r="BJ999" t="s">
        <v>126</v>
      </c>
      <c r="BK999" t="s">
        <v>126</v>
      </c>
      <c r="BS999" t="s">
        <v>126</v>
      </c>
      <c r="BT999" t="s">
        <v>126</v>
      </c>
      <c r="BU999" t="s">
        <v>126</v>
      </c>
      <c r="BV999" t="s">
        <v>126</v>
      </c>
      <c r="CN999" t="s">
        <v>147</v>
      </c>
      <c r="CP999" t="s">
        <v>476</v>
      </c>
      <c r="CQ999" t="s">
        <v>147</v>
      </c>
    </row>
    <row r="1000" spans="1:95" x14ac:dyDescent="0.2">
      <c r="A1000" t="s">
        <v>115</v>
      </c>
      <c r="B1000" t="s">
        <v>116</v>
      </c>
      <c r="C1000">
        <v>210784</v>
      </c>
      <c r="E1000" t="s">
        <v>117</v>
      </c>
      <c r="F1000">
        <v>368</v>
      </c>
      <c r="G1000" t="s">
        <v>141</v>
      </c>
      <c r="H1000" t="s">
        <v>142</v>
      </c>
      <c r="I1000" t="s">
        <v>279</v>
      </c>
      <c r="J1000" t="s">
        <v>280</v>
      </c>
      <c r="L1000" t="s">
        <v>475</v>
      </c>
      <c r="M1000" s="8">
        <v>45931</v>
      </c>
      <c r="N1000">
        <v>5816110</v>
      </c>
      <c r="O1000" t="s">
        <v>123</v>
      </c>
      <c r="P1000" t="s">
        <v>146</v>
      </c>
      <c r="Q1000">
        <v>2.7599</v>
      </c>
      <c r="R1000" t="s">
        <v>592</v>
      </c>
      <c r="S1000" t="s">
        <v>126</v>
      </c>
      <c r="T1000" t="s">
        <v>592</v>
      </c>
      <c r="U1000" t="s">
        <v>593</v>
      </c>
      <c r="W1000">
        <v>0.85</v>
      </c>
      <c r="X1000">
        <v>1.9098999999999999</v>
      </c>
      <c r="Y1000">
        <v>2.7599</v>
      </c>
      <c r="Z1000">
        <v>1.0499000000000001</v>
      </c>
      <c r="AG1000">
        <v>0.85</v>
      </c>
      <c r="AI1000">
        <v>0.86</v>
      </c>
      <c r="BH1000" t="s">
        <v>126</v>
      </c>
      <c r="BI1000" t="s">
        <v>126</v>
      </c>
      <c r="BJ1000" t="s">
        <v>126</v>
      </c>
      <c r="BK1000" t="s">
        <v>126</v>
      </c>
      <c r="BS1000" t="s">
        <v>126</v>
      </c>
      <c r="BT1000" t="s">
        <v>126</v>
      </c>
      <c r="BU1000" t="s">
        <v>126</v>
      </c>
      <c r="BV1000" t="s">
        <v>126</v>
      </c>
      <c r="CN1000" t="s">
        <v>147</v>
      </c>
      <c r="CP1000" t="s">
        <v>476</v>
      </c>
      <c r="CQ1000" t="s">
        <v>147</v>
      </c>
    </row>
    <row r="1001" spans="1:95" x14ac:dyDescent="0.2">
      <c r="A1001" t="s">
        <v>115</v>
      </c>
      <c r="B1001" t="s">
        <v>116</v>
      </c>
      <c r="C1001">
        <v>210784</v>
      </c>
      <c r="E1001" t="s">
        <v>117</v>
      </c>
      <c r="F1001">
        <v>368</v>
      </c>
      <c r="G1001" t="s">
        <v>141</v>
      </c>
      <c r="H1001" t="s">
        <v>142</v>
      </c>
      <c r="I1001" t="s">
        <v>279</v>
      </c>
      <c r="J1001" t="s">
        <v>280</v>
      </c>
      <c r="L1001" t="s">
        <v>759</v>
      </c>
      <c r="M1001" s="8">
        <v>45931</v>
      </c>
      <c r="N1001">
        <v>5817826</v>
      </c>
      <c r="O1001" t="s">
        <v>123</v>
      </c>
      <c r="P1001" t="s">
        <v>146</v>
      </c>
      <c r="Q1001">
        <v>6.1004000000000005</v>
      </c>
      <c r="R1001" t="s">
        <v>559</v>
      </c>
      <c r="S1001" t="s">
        <v>126</v>
      </c>
      <c r="T1001" t="s">
        <v>559</v>
      </c>
      <c r="U1001" t="s">
        <v>560</v>
      </c>
      <c r="W1001">
        <v>1.88</v>
      </c>
      <c r="X1001">
        <v>4.2203999999999997</v>
      </c>
      <c r="Y1001">
        <v>6.1004000000000005</v>
      </c>
      <c r="Z1001">
        <v>2.3203999999999998</v>
      </c>
      <c r="AG1001">
        <v>1.88</v>
      </c>
      <c r="AI1001">
        <v>1.9</v>
      </c>
      <c r="BH1001" t="s">
        <v>126</v>
      </c>
      <c r="BI1001" t="s">
        <v>126</v>
      </c>
      <c r="BJ1001" t="s">
        <v>126</v>
      </c>
      <c r="BK1001" t="s">
        <v>126</v>
      </c>
      <c r="BS1001" t="s">
        <v>126</v>
      </c>
      <c r="BT1001" t="s">
        <v>126</v>
      </c>
      <c r="BU1001" t="s">
        <v>126</v>
      </c>
      <c r="BV1001" t="s">
        <v>126</v>
      </c>
      <c r="CN1001" t="s">
        <v>147</v>
      </c>
      <c r="CP1001" t="s">
        <v>476</v>
      </c>
      <c r="CQ1001" t="s">
        <v>147</v>
      </c>
    </row>
    <row r="1002" spans="1:95" x14ac:dyDescent="0.2">
      <c r="A1002" t="s">
        <v>115</v>
      </c>
      <c r="B1002" t="s">
        <v>116</v>
      </c>
      <c r="C1002">
        <v>210784</v>
      </c>
      <c r="E1002" t="s">
        <v>117</v>
      </c>
      <c r="F1002">
        <v>368</v>
      </c>
      <c r="G1002" t="s">
        <v>141</v>
      </c>
      <c r="H1002" t="s">
        <v>142</v>
      </c>
      <c r="I1002" t="s">
        <v>279</v>
      </c>
      <c r="J1002" t="s">
        <v>280</v>
      </c>
      <c r="L1002" t="s">
        <v>296</v>
      </c>
      <c r="M1002" s="8">
        <v>45931</v>
      </c>
      <c r="N1002">
        <v>5818669</v>
      </c>
      <c r="O1002" t="s">
        <v>123</v>
      </c>
      <c r="P1002" t="s">
        <v>146</v>
      </c>
      <c r="Q1002">
        <v>2.8089</v>
      </c>
      <c r="R1002" t="s">
        <v>707</v>
      </c>
      <c r="S1002" t="s">
        <v>126</v>
      </c>
      <c r="T1002" t="s">
        <v>707</v>
      </c>
      <c r="U1002" t="s">
        <v>708</v>
      </c>
      <c r="W1002">
        <v>0.87</v>
      </c>
      <c r="X1002">
        <v>1.9388999999999998</v>
      </c>
      <c r="Y1002">
        <v>2.8089</v>
      </c>
      <c r="Z1002">
        <v>1.0689</v>
      </c>
      <c r="AG1002">
        <v>0.87</v>
      </c>
      <c r="AI1002">
        <v>0.87</v>
      </c>
      <c r="BH1002" t="s">
        <v>126</v>
      </c>
      <c r="BI1002" t="s">
        <v>126</v>
      </c>
      <c r="BJ1002" t="s">
        <v>126</v>
      </c>
      <c r="BK1002" t="s">
        <v>126</v>
      </c>
      <c r="BS1002" t="s">
        <v>126</v>
      </c>
      <c r="BT1002" t="s">
        <v>126</v>
      </c>
      <c r="BU1002" t="s">
        <v>126</v>
      </c>
      <c r="BV1002" t="s">
        <v>126</v>
      </c>
      <c r="CN1002" t="s">
        <v>147</v>
      </c>
      <c r="CP1002" t="s">
        <v>476</v>
      </c>
      <c r="CQ1002" t="s">
        <v>147</v>
      </c>
    </row>
    <row r="1003" spans="1:95" x14ac:dyDescent="0.2">
      <c r="A1003" t="s">
        <v>115</v>
      </c>
      <c r="B1003" t="s">
        <v>116</v>
      </c>
      <c r="C1003">
        <v>210784</v>
      </c>
      <c r="E1003" t="s">
        <v>117</v>
      </c>
      <c r="F1003">
        <v>368</v>
      </c>
      <c r="G1003" t="s">
        <v>141</v>
      </c>
      <c r="H1003" t="s">
        <v>142</v>
      </c>
      <c r="I1003" t="s">
        <v>279</v>
      </c>
      <c r="J1003" t="s">
        <v>280</v>
      </c>
      <c r="L1003" t="s">
        <v>296</v>
      </c>
      <c r="M1003" s="8">
        <v>45931</v>
      </c>
      <c r="N1003">
        <v>5817973</v>
      </c>
      <c r="O1003" t="s">
        <v>123</v>
      </c>
      <c r="P1003" t="s">
        <v>146</v>
      </c>
      <c r="Q1003">
        <v>4.42</v>
      </c>
      <c r="R1003" t="s">
        <v>569</v>
      </c>
      <c r="S1003" t="s">
        <v>126</v>
      </c>
      <c r="T1003" t="s">
        <v>569</v>
      </c>
      <c r="U1003" t="s">
        <v>570</v>
      </c>
      <c r="W1003">
        <v>1.36</v>
      </c>
      <c r="X1003">
        <v>3.0599999999999996</v>
      </c>
      <c r="Y1003">
        <v>4.42</v>
      </c>
      <c r="Z1003">
        <v>1.68</v>
      </c>
      <c r="AG1003">
        <v>1.36</v>
      </c>
      <c r="AI1003">
        <v>1.38</v>
      </c>
      <c r="BH1003" t="s">
        <v>126</v>
      </c>
      <c r="BI1003" t="s">
        <v>126</v>
      </c>
      <c r="BJ1003" t="s">
        <v>126</v>
      </c>
      <c r="BK1003" t="s">
        <v>126</v>
      </c>
      <c r="BS1003" t="s">
        <v>126</v>
      </c>
      <c r="BT1003" t="s">
        <v>126</v>
      </c>
      <c r="BU1003" t="s">
        <v>126</v>
      </c>
      <c r="BV1003" t="s">
        <v>126</v>
      </c>
      <c r="CN1003" t="s">
        <v>147</v>
      </c>
      <c r="CP1003" t="s">
        <v>476</v>
      </c>
      <c r="CQ1003" t="s">
        <v>147</v>
      </c>
    </row>
    <row r="1004" spans="1:95" x14ac:dyDescent="0.2">
      <c r="A1004" t="s">
        <v>115</v>
      </c>
      <c r="B1004" t="s">
        <v>116</v>
      </c>
      <c r="C1004">
        <v>210784</v>
      </c>
      <c r="E1004" t="s">
        <v>117</v>
      </c>
      <c r="F1004">
        <v>368</v>
      </c>
      <c r="G1004" t="s">
        <v>118</v>
      </c>
      <c r="H1004" t="s">
        <v>119</v>
      </c>
      <c r="I1004" t="s">
        <v>120</v>
      </c>
      <c r="J1004" t="s">
        <v>121</v>
      </c>
      <c r="L1004" t="s">
        <v>753</v>
      </c>
      <c r="M1004" s="8">
        <v>45931</v>
      </c>
      <c r="N1004">
        <v>135194</v>
      </c>
      <c r="O1004" t="s">
        <v>123</v>
      </c>
      <c r="P1004" t="s">
        <v>124</v>
      </c>
      <c r="Q1004">
        <v>14.66</v>
      </c>
      <c r="R1004" t="s">
        <v>125</v>
      </c>
      <c r="S1004" t="s">
        <v>126</v>
      </c>
      <c r="T1004" t="s">
        <v>125</v>
      </c>
      <c r="U1004" t="s">
        <v>126</v>
      </c>
      <c r="W1004">
        <v>14.66</v>
      </c>
      <c r="Y1004">
        <v>14.66</v>
      </c>
      <c r="AA1004">
        <v>7.33</v>
      </c>
      <c r="AC1004">
        <v>7.33</v>
      </c>
      <c r="BH1004" t="s">
        <v>126</v>
      </c>
      <c r="BI1004" t="s">
        <v>126</v>
      </c>
      <c r="BJ1004" t="s">
        <v>126</v>
      </c>
      <c r="BK1004" t="s">
        <v>126</v>
      </c>
      <c r="BS1004" t="s">
        <v>126</v>
      </c>
      <c r="BT1004" t="s">
        <v>126</v>
      </c>
      <c r="BU1004" t="s">
        <v>126</v>
      </c>
      <c r="BV1004" t="s">
        <v>126</v>
      </c>
      <c r="CN1004" t="s">
        <v>127</v>
      </c>
      <c r="CP1004" t="s">
        <v>128</v>
      </c>
      <c r="CQ1004" t="s">
        <v>127</v>
      </c>
    </row>
    <row r="1005" spans="1:95" x14ac:dyDescent="0.2">
      <c r="A1005" t="s">
        <v>115</v>
      </c>
      <c r="B1005" t="s">
        <v>116</v>
      </c>
      <c r="C1005">
        <v>210784</v>
      </c>
      <c r="E1005" t="s">
        <v>117</v>
      </c>
      <c r="F1005">
        <v>368</v>
      </c>
      <c r="G1005" t="s">
        <v>141</v>
      </c>
      <c r="H1005" t="s">
        <v>142</v>
      </c>
      <c r="I1005" t="s">
        <v>279</v>
      </c>
      <c r="J1005" t="s">
        <v>280</v>
      </c>
      <c r="L1005" t="s">
        <v>749</v>
      </c>
      <c r="M1005" s="8">
        <v>45931</v>
      </c>
      <c r="N1005">
        <v>5805895</v>
      </c>
      <c r="O1005" t="s">
        <v>123</v>
      </c>
      <c r="P1005" t="s">
        <v>146</v>
      </c>
      <c r="Q1005">
        <v>3.5</v>
      </c>
      <c r="R1005" t="s">
        <v>125</v>
      </c>
      <c r="S1005" t="s">
        <v>126</v>
      </c>
      <c r="T1005" t="s">
        <v>125</v>
      </c>
      <c r="U1005" t="s">
        <v>126</v>
      </c>
      <c r="W1005">
        <v>3.5</v>
      </c>
      <c r="Y1005">
        <v>3.5</v>
      </c>
      <c r="BE1005">
        <v>3.5</v>
      </c>
      <c r="BH1005" t="s">
        <v>126</v>
      </c>
      <c r="BI1005" t="s">
        <v>126</v>
      </c>
      <c r="BJ1005" t="s">
        <v>126</v>
      </c>
      <c r="BK1005" t="s">
        <v>126</v>
      </c>
      <c r="BS1005" t="s">
        <v>126</v>
      </c>
      <c r="BT1005" t="s">
        <v>126</v>
      </c>
      <c r="BU1005" t="s">
        <v>126</v>
      </c>
      <c r="BV1005" t="s">
        <v>126</v>
      </c>
      <c r="CN1005" t="s">
        <v>147</v>
      </c>
      <c r="CP1005" t="s">
        <v>469</v>
      </c>
      <c r="CQ1005" t="s">
        <v>147</v>
      </c>
    </row>
    <row r="1006" spans="1:95" x14ac:dyDescent="0.2">
      <c r="A1006" t="s">
        <v>115</v>
      </c>
      <c r="B1006" t="s">
        <v>116</v>
      </c>
      <c r="C1006">
        <v>210784</v>
      </c>
      <c r="E1006" t="s">
        <v>117</v>
      </c>
      <c r="F1006">
        <v>368</v>
      </c>
      <c r="G1006" t="s">
        <v>141</v>
      </c>
      <c r="H1006" t="s">
        <v>142</v>
      </c>
      <c r="I1006" t="s">
        <v>279</v>
      </c>
      <c r="J1006" t="s">
        <v>280</v>
      </c>
      <c r="L1006" t="s">
        <v>898</v>
      </c>
      <c r="M1006" s="8">
        <v>45931</v>
      </c>
      <c r="N1006">
        <v>5810069</v>
      </c>
      <c r="O1006" t="s">
        <v>123</v>
      </c>
      <c r="P1006" t="s">
        <v>146</v>
      </c>
      <c r="Q1006">
        <v>1.38</v>
      </c>
      <c r="R1006" t="s">
        <v>125</v>
      </c>
      <c r="S1006" t="s">
        <v>126</v>
      </c>
      <c r="T1006" t="s">
        <v>125</v>
      </c>
      <c r="U1006" t="s">
        <v>126</v>
      </c>
      <c r="W1006">
        <v>1.38</v>
      </c>
      <c r="Y1006">
        <v>1.38</v>
      </c>
      <c r="BE1006">
        <v>1.38</v>
      </c>
      <c r="BH1006" t="s">
        <v>126</v>
      </c>
      <c r="BI1006" t="s">
        <v>126</v>
      </c>
      <c r="BJ1006" t="s">
        <v>126</v>
      </c>
      <c r="BK1006" t="s">
        <v>126</v>
      </c>
      <c r="BS1006" t="s">
        <v>126</v>
      </c>
      <c r="BT1006" t="s">
        <v>126</v>
      </c>
      <c r="BU1006" t="s">
        <v>126</v>
      </c>
      <c r="BV1006" t="s">
        <v>126</v>
      </c>
      <c r="CN1006" t="s">
        <v>147</v>
      </c>
      <c r="CP1006" t="s">
        <v>469</v>
      </c>
      <c r="CQ1006" t="s">
        <v>147</v>
      </c>
    </row>
    <row r="1007" spans="1:95" x14ac:dyDescent="0.2">
      <c r="A1007" t="s">
        <v>115</v>
      </c>
      <c r="B1007" t="s">
        <v>116</v>
      </c>
      <c r="C1007">
        <v>210784</v>
      </c>
      <c r="E1007" t="s">
        <v>117</v>
      </c>
      <c r="F1007">
        <v>368</v>
      </c>
      <c r="G1007" t="s">
        <v>141</v>
      </c>
      <c r="H1007" t="s">
        <v>142</v>
      </c>
      <c r="I1007" t="s">
        <v>279</v>
      </c>
      <c r="J1007" t="s">
        <v>280</v>
      </c>
      <c r="L1007" t="s">
        <v>899</v>
      </c>
      <c r="M1007" s="8">
        <v>45931</v>
      </c>
      <c r="N1007">
        <v>5813097</v>
      </c>
      <c r="O1007" t="s">
        <v>123</v>
      </c>
      <c r="P1007" t="s">
        <v>146</v>
      </c>
      <c r="Q1007">
        <v>4.9000000000000004</v>
      </c>
      <c r="R1007" t="s">
        <v>125</v>
      </c>
      <c r="S1007" t="s">
        <v>126</v>
      </c>
      <c r="T1007" t="s">
        <v>125</v>
      </c>
      <c r="U1007" t="s">
        <v>126</v>
      </c>
      <c r="W1007">
        <v>4.9000000000000004</v>
      </c>
      <c r="Y1007">
        <v>4.9000000000000004</v>
      </c>
      <c r="BE1007">
        <v>4.9000000000000004</v>
      </c>
      <c r="BH1007" t="s">
        <v>126</v>
      </c>
      <c r="BI1007" t="s">
        <v>126</v>
      </c>
      <c r="BJ1007" t="s">
        <v>126</v>
      </c>
      <c r="BK1007" t="s">
        <v>126</v>
      </c>
      <c r="BS1007" t="s">
        <v>126</v>
      </c>
      <c r="BT1007" t="s">
        <v>126</v>
      </c>
      <c r="BU1007" t="s">
        <v>126</v>
      </c>
      <c r="BV1007" t="s">
        <v>126</v>
      </c>
      <c r="CN1007" t="s">
        <v>147</v>
      </c>
      <c r="CP1007" t="s">
        <v>469</v>
      </c>
      <c r="CQ1007" t="s">
        <v>147</v>
      </c>
    </row>
    <row r="1008" spans="1:95" x14ac:dyDescent="0.2">
      <c r="A1008" t="s">
        <v>115</v>
      </c>
      <c r="B1008" t="s">
        <v>116</v>
      </c>
      <c r="C1008">
        <v>210784</v>
      </c>
      <c r="E1008" t="s">
        <v>117</v>
      </c>
      <c r="F1008">
        <v>368</v>
      </c>
      <c r="G1008" t="s">
        <v>141</v>
      </c>
      <c r="H1008" t="s">
        <v>142</v>
      </c>
      <c r="I1008" t="s">
        <v>279</v>
      </c>
      <c r="J1008" t="s">
        <v>280</v>
      </c>
      <c r="L1008" t="s">
        <v>899</v>
      </c>
      <c r="M1008" s="8">
        <v>45931</v>
      </c>
      <c r="N1008">
        <v>5813537</v>
      </c>
      <c r="O1008" t="s">
        <v>123</v>
      </c>
      <c r="P1008" t="s">
        <v>146</v>
      </c>
      <c r="Q1008">
        <v>4.25</v>
      </c>
      <c r="R1008" t="s">
        <v>125</v>
      </c>
      <c r="S1008" t="s">
        <v>126</v>
      </c>
      <c r="T1008" t="s">
        <v>125</v>
      </c>
      <c r="U1008" t="s">
        <v>126</v>
      </c>
      <c r="W1008">
        <v>4.25</v>
      </c>
      <c r="Y1008">
        <v>4.25</v>
      </c>
      <c r="BE1008">
        <v>4.25</v>
      </c>
      <c r="BH1008" t="s">
        <v>126</v>
      </c>
      <c r="BI1008" t="s">
        <v>126</v>
      </c>
      <c r="BJ1008" t="s">
        <v>126</v>
      </c>
      <c r="BK1008" t="s">
        <v>126</v>
      </c>
      <c r="BS1008" t="s">
        <v>126</v>
      </c>
      <c r="BT1008" t="s">
        <v>126</v>
      </c>
      <c r="BU1008" t="s">
        <v>126</v>
      </c>
      <c r="BV1008" t="s">
        <v>126</v>
      </c>
      <c r="CN1008" t="s">
        <v>147</v>
      </c>
      <c r="CP1008" t="s">
        <v>469</v>
      </c>
      <c r="CQ1008" t="s">
        <v>147</v>
      </c>
    </row>
    <row r="1009" spans="1:95" x14ac:dyDescent="0.2">
      <c r="A1009" t="s">
        <v>115</v>
      </c>
      <c r="B1009" t="s">
        <v>116</v>
      </c>
      <c r="C1009">
        <v>210784</v>
      </c>
      <c r="E1009" t="s">
        <v>117</v>
      </c>
      <c r="F1009">
        <v>368</v>
      </c>
      <c r="G1009" t="s">
        <v>141</v>
      </c>
      <c r="H1009" t="s">
        <v>142</v>
      </c>
      <c r="I1009" t="s">
        <v>279</v>
      </c>
      <c r="J1009" t="s">
        <v>280</v>
      </c>
      <c r="L1009" t="s">
        <v>477</v>
      </c>
      <c r="M1009" s="8">
        <v>45931</v>
      </c>
      <c r="N1009">
        <v>5816833</v>
      </c>
      <c r="O1009" t="s">
        <v>123</v>
      </c>
      <c r="P1009" t="s">
        <v>146</v>
      </c>
      <c r="Q1009">
        <v>3.46</v>
      </c>
      <c r="R1009" t="s">
        <v>125</v>
      </c>
      <c r="S1009" t="s">
        <v>126</v>
      </c>
      <c r="T1009" t="s">
        <v>125</v>
      </c>
      <c r="U1009" t="s">
        <v>126</v>
      </c>
      <c r="W1009">
        <v>3.46</v>
      </c>
      <c r="Y1009">
        <v>3.46</v>
      </c>
      <c r="BE1009">
        <v>3.46</v>
      </c>
      <c r="BH1009" t="s">
        <v>126</v>
      </c>
      <c r="BI1009" t="s">
        <v>126</v>
      </c>
      <c r="BJ1009" t="s">
        <v>126</v>
      </c>
      <c r="BK1009" t="s">
        <v>126</v>
      </c>
      <c r="BS1009" t="s">
        <v>126</v>
      </c>
      <c r="BT1009" t="s">
        <v>126</v>
      </c>
      <c r="BU1009" t="s">
        <v>126</v>
      </c>
      <c r="BV1009" t="s">
        <v>126</v>
      </c>
      <c r="CN1009" t="s">
        <v>147</v>
      </c>
      <c r="CP1009" t="s">
        <v>476</v>
      </c>
      <c r="CQ1009" t="s">
        <v>147</v>
      </c>
    </row>
    <row r="1010" spans="1:95" x14ac:dyDescent="0.2">
      <c r="A1010" t="s">
        <v>115</v>
      </c>
      <c r="B1010" t="s">
        <v>116</v>
      </c>
      <c r="C1010">
        <v>210784</v>
      </c>
      <c r="E1010" t="s">
        <v>117</v>
      </c>
      <c r="F1010">
        <v>368</v>
      </c>
      <c r="G1010" t="s">
        <v>141</v>
      </c>
      <c r="H1010" t="s">
        <v>142</v>
      </c>
      <c r="I1010" t="s">
        <v>279</v>
      </c>
      <c r="J1010" t="s">
        <v>280</v>
      </c>
      <c r="L1010" t="s">
        <v>759</v>
      </c>
      <c r="M1010" s="8">
        <v>45931</v>
      </c>
      <c r="N1010">
        <v>5817584</v>
      </c>
      <c r="O1010" t="s">
        <v>123</v>
      </c>
      <c r="P1010" t="s">
        <v>146</v>
      </c>
      <c r="Q1010">
        <v>3.32</v>
      </c>
      <c r="R1010" t="s">
        <v>125</v>
      </c>
      <c r="S1010" t="s">
        <v>126</v>
      </c>
      <c r="T1010" t="s">
        <v>125</v>
      </c>
      <c r="U1010" t="s">
        <v>126</v>
      </c>
      <c r="W1010">
        <v>3.32</v>
      </c>
      <c r="Y1010">
        <v>3.32</v>
      </c>
      <c r="BE1010">
        <v>3.32</v>
      </c>
      <c r="BH1010" t="s">
        <v>126</v>
      </c>
      <c r="BI1010" t="s">
        <v>126</v>
      </c>
      <c r="BJ1010" t="s">
        <v>126</v>
      </c>
      <c r="BK1010" t="s">
        <v>126</v>
      </c>
      <c r="BS1010" t="s">
        <v>126</v>
      </c>
      <c r="BT1010" t="s">
        <v>126</v>
      </c>
      <c r="BU1010" t="s">
        <v>126</v>
      </c>
      <c r="BV1010" t="s">
        <v>126</v>
      </c>
      <c r="CN1010" t="s">
        <v>147</v>
      </c>
      <c r="CP1010" t="s">
        <v>476</v>
      </c>
      <c r="CQ1010" t="s">
        <v>147</v>
      </c>
    </row>
    <row r="1011" spans="1:95" x14ac:dyDescent="0.2">
      <c r="A1011" t="s">
        <v>115</v>
      </c>
      <c r="B1011" t="s">
        <v>116</v>
      </c>
      <c r="C1011">
        <v>210784</v>
      </c>
      <c r="E1011" t="s">
        <v>117</v>
      </c>
      <c r="F1011">
        <v>368</v>
      </c>
      <c r="G1011" t="s">
        <v>141</v>
      </c>
      <c r="H1011" t="s">
        <v>142</v>
      </c>
      <c r="I1011" t="s">
        <v>279</v>
      </c>
      <c r="J1011" t="s">
        <v>280</v>
      </c>
      <c r="L1011" t="s">
        <v>900</v>
      </c>
      <c r="M1011" s="8">
        <v>45931</v>
      </c>
      <c r="N1011">
        <v>5820241</v>
      </c>
      <c r="O1011" t="s">
        <v>123</v>
      </c>
      <c r="P1011" t="s">
        <v>146</v>
      </c>
      <c r="Q1011">
        <v>2.9</v>
      </c>
      <c r="R1011" t="s">
        <v>125</v>
      </c>
      <c r="S1011" t="s">
        <v>126</v>
      </c>
      <c r="T1011" t="s">
        <v>125</v>
      </c>
      <c r="U1011" t="s">
        <v>126</v>
      </c>
      <c r="W1011">
        <v>2.9</v>
      </c>
      <c r="Y1011">
        <v>2.9</v>
      </c>
      <c r="BE1011">
        <v>2.9</v>
      </c>
      <c r="BH1011" t="s">
        <v>126</v>
      </c>
      <c r="BI1011" t="s">
        <v>126</v>
      </c>
      <c r="BJ1011" t="s">
        <v>126</v>
      </c>
      <c r="BK1011" t="s">
        <v>126</v>
      </c>
      <c r="BS1011" t="s">
        <v>126</v>
      </c>
      <c r="BT1011" t="s">
        <v>126</v>
      </c>
      <c r="BU1011" t="s">
        <v>126</v>
      </c>
      <c r="BV1011" t="s">
        <v>126</v>
      </c>
      <c r="CN1011" t="s">
        <v>147</v>
      </c>
      <c r="CP1011" t="s">
        <v>476</v>
      </c>
      <c r="CQ1011" t="s">
        <v>147</v>
      </c>
    </row>
    <row r="1012" spans="1:95" x14ac:dyDescent="0.2">
      <c r="A1012" t="s">
        <v>115</v>
      </c>
      <c r="B1012" t="s">
        <v>116</v>
      </c>
      <c r="C1012">
        <v>210784</v>
      </c>
      <c r="E1012" t="s">
        <v>117</v>
      </c>
      <c r="F1012">
        <v>368</v>
      </c>
      <c r="G1012" t="s">
        <v>141</v>
      </c>
      <c r="H1012" t="s">
        <v>142</v>
      </c>
      <c r="I1012" t="s">
        <v>279</v>
      </c>
      <c r="J1012" t="s">
        <v>280</v>
      </c>
      <c r="L1012" t="s">
        <v>122</v>
      </c>
      <c r="M1012" s="8">
        <v>45931</v>
      </c>
      <c r="N1012">
        <v>5820942</v>
      </c>
      <c r="O1012" t="s">
        <v>123</v>
      </c>
      <c r="P1012" t="s">
        <v>146</v>
      </c>
      <c r="Q1012">
        <v>2.5499999999999998</v>
      </c>
      <c r="R1012" t="s">
        <v>125</v>
      </c>
      <c r="S1012" t="s">
        <v>126</v>
      </c>
      <c r="T1012" t="s">
        <v>125</v>
      </c>
      <c r="U1012" t="s">
        <v>126</v>
      </c>
      <c r="W1012">
        <v>2.5499999999999998</v>
      </c>
      <c r="Y1012">
        <v>2.5499999999999998</v>
      </c>
      <c r="BE1012">
        <v>2.5499999999999998</v>
      </c>
      <c r="BH1012" t="s">
        <v>126</v>
      </c>
      <c r="BI1012" t="s">
        <v>126</v>
      </c>
      <c r="BJ1012" t="s">
        <v>126</v>
      </c>
      <c r="BK1012" t="s">
        <v>126</v>
      </c>
      <c r="BS1012" t="s">
        <v>126</v>
      </c>
      <c r="BT1012" t="s">
        <v>126</v>
      </c>
      <c r="BU1012" t="s">
        <v>126</v>
      </c>
      <c r="BV1012" t="s">
        <v>126</v>
      </c>
      <c r="CN1012" t="s">
        <v>147</v>
      </c>
      <c r="CP1012" t="s">
        <v>476</v>
      </c>
      <c r="CQ1012" t="s">
        <v>147</v>
      </c>
    </row>
    <row r="1013" spans="1:95" x14ac:dyDescent="0.2">
      <c r="A1013" t="s">
        <v>115</v>
      </c>
      <c r="B1013" t="s">
        <v>116</v>
      </c>
      <c r="C1013">
        <v>210784</v>
      </c>
      <c r="E1013" t="s">
        <v>117</v>
      </c>
      <c r="F1013">
        <v>368</v>
      </c>
      <c r="G1013" t="s">
        <v>141</v>
      </c>
      <c r="H1013" t="s">
        <v>142</v>
      </c>
      <c r="I1013" t="s">
        <v>279</v>
      </c>
      <c r="J1013" t="s">
        <v>280</v>
      </c>
      <c r="L1013" t="s">
        <v>921</v>
      </c>
      <c r="M1013" s="8">
        <v>45931</v>
      </c>
      <c r="N1013">
        <v>5805050</v>
      </c>
      <c r="O1013" t="s">
        <v>123</v>
      </c>
      <c r="P1013" t="s">
        <v>146</v>
      </c>
      <c r="Q1013">
        <v>4.95</v>
      </c>
      <c r="R1013" t="s">
        <v>125</v>
      </c>
      <c r="S1013" t="s">
        <v>126</v>
      </c>
      <c r="T1013" t="s">
        <v>125</v>
      </c>
      <c r="U1013" t="s">
        <v>126</v>
      </c>
      <c r="W1013">
        <v>4.95</v>
      </c>
      <c r="Y1013">
        <v>4.95</v>
      </c>
      <c r="AE1013">
        <v>4.95</v>
      </c>
      <c r="BH1013" t="s">
        <v>126</v>
      </c>
      <c r="BI1013" t="s">
        <v>126</v>
      </c>
      <c r="BJ1013" t="s">
        <v>126</v>
      </c>
      <c r="BK1013" t="s">
        <v>126</v>
      </c>
      <c r="BS1013" t="s">
        <v>126</v>
      </c>
      <c r="BT1013" t="s">
        <v>126</v>
      </c>
      <c r="BU1013" t="s">
        <v>126</v>
      </c>
      <c r="BV1013" t="s">
        <v>126</v>
      </c>
      <c r="CN1013" t="s">
        <v>147</v>
      </c>
      <c r="CP1013" t="s">
        <v>469</v>
      </c>
      <c r="CQ1013" t="s">
        <v>147</v>
      </c>
    </row>
    <row r="1014" spans="1:95" x14ac:dyDescent="0.2">
      <c r="A1014" t="s">
        <v>115</v>
      </c>
      <c r="B1014" t="s">
        <v>116</v>
      </c>
      <c r="C1014">
        <v>210784</v>
      </c>
      <c r="E1014" t="s">
        <v>117</v>
      </c>
      <c r="F1014">
        <v>368</v>
      </c>
      <c r="G1014" t="s">
        <v>141</v>
      </c>
      <c r="H1014" t="s">
        <v>142</v>
      </c>
      <c r="I1014" t="s">
        <v>279</v>
      </c>
      <c r="J1014" t="s">
        <v>280</v>
      </c>
      <c r="L1014" t="s">
        <v>479</v>
      </c>
      <c r="M1014" s="8">
        <v>45962</v>
      </c>
      <c r="N1014">
        <v>5823114</v>
      </c>
      <c r="O1014" t="s">
        <v>123</v>
      </c>
      <c r="P1014" t="s">
        <v>146</v>
      </c>
      <c r="Q1014">
        <v>2.66</v>
      </c>
      <c r="R1014" t="s">
        <v>125</v>
      </c>
      <c r="S1014" t="s">
        <v>126</v>
      </c>
      <c r="T1014" t="s">
        <v>125</v>
      </c>
      <c r="U1014" t="s">
        <v>126</v>
      </c>
      <c r="W1014">
        <v>2.66</v>
      </c>
      <c r="Y1014">
        <v>2.66</v>
      </c>
      <c r="AS1014">
        <v>2.66</v>
      </c>
      <c r="BH1014" t="s">
        <v>126</v>
      </c>
      <c r="BI1014" t="s">
        <v>126</v>
      </c>
      <c r="BJ1014" t="s">
        <v>126</v>
      </c>
      <c r="BK1014" t="s">
        <v>126</v>
      </c>
      <c r="BS1014" t="s">
        <v>126</v>
      </c>
      <c r="BT1014" t="s">
        <v>126</v>
      </c>
      <c r="BU1014" t="s">
        <v>126</v>
      </c>
      <c r="BV1014" t="s">
        <v>126</v>
      </c>
      <c r="CN1014" t="s">
        <v>147</v>
      </c>
      <c r="CP1014" t="s">
        <v>476</v>
      </c>
      <c r="CQ1014" t="s">
        <v>147</v>
      </c>
    </row>
    <row r="1015" spans="1:95" x14ac:dyDescent="0.2">
      <c r="A1015" t="s">
        <v>115</v>
      </c>
      <c r="B1015" t="s">
        <v>116</v>
      </c>
      <c r="C1015">
        <v>210784</v>
      </c>
      <c r="E1015" t="s">
        <v>117</v>
      </c>
      <c r="F1015">
        <v>368</v>
      </c>
      <c r="G1015" t="s">
        <v>141</v>
      </c>
      <c r="H1015" t="s">
        <v>142</v>
      </c>
      <c r="I1015" t="s">
        <v>279</v>
      </c>
      <c r="J1015" t="s">
        <v>280</v>
      </c>
      <c r="L1015" t="s">
        <v>480</v>
      </c>
      <c r="M1015" s="8">
        <v>45962</v>
      </c>
      <c r="N1015">
        <v>5822962</v>
      </c>
      <c r="O1015" t="s">
        <v>123</v>
      </c>
      <c r="P1015" t="s">
        <v>146</v>
      </c>
      <c r="Q1015">
        <v>5.4</v>
      </c>
      <c r="R1015" t="s">
        <v>125</v>
      </c>
      <c r="S1015" t="s">
        <v>126</v>
      </c>
      <c r="T1015" t="s">
        <v>125</v>
      </c>
      <c r="U1015" t="s">
        <v>126</v>
      </c>
      <c r="W1015">
        <v>5.4</v>
      </c>
      <c r="Y1015">
        <v>5.4</v>
      </c>
      <c r="AS1015">
        <v>5.4</v>
      </c>
      <c r="BH1015" t="s">
        <v>126</v>
      </c>
      <c r="BI1015" t="s">
        <v>126</v>
      </c>
      <c r="BJ1015" t="s">
        <v>126</v>
      </c>
      <c r="BK1015" t="s">
        <v>126</v>
      </c>
      <c r="BS1015" t="s">
        <v>126</v>
      </c>
      <c r="BT1015" t="s">
        <v>126</v>
      </c>
      <c r="BU1015" t="s">
        <v>126</v>
      </c>
      <c r="BV1015" t="s">
        <v>126</v>
      </c>
      <c r="CN1015" t="s">
        <v>147</v>
      </c>
      <c r="CP1015" t="s">
        <v>476</v>
      </c>
      <c r="CQ1015" t="s">
        <v>147</v>
      </c>
    </row>
    <row r="1016" spans="1:95" x14ac:dyDescent="0.2">
      <c r="A1016" t="s">
        <v>115</v>
      </c>
      <c r="B1016" t="s">
        <v>116</v>
      </c>
      <c r="C1016">
        <v>210784</v>
      </c>
      <c r="E1016" t="s">
        <v>117</v>
      </c>
      <c r="F1016">
        <v>368</v>
      </c>
      <c r="G1016" t="s">
        <v>141</v>
      </c>
      <c r="H1016" t="s">
        <v>142</v>
      </c>
      <c r="I1016" t="s">
        <v>279</v>
      </c>
      <c r="J1016" t="s">
        <v>280</v>
      </c>
      <c r="L1016" t="s">
        <v>481</v>
      </c>
      <c r="M1016" s="8">
        <v>45962</v>
      </c>
      <c r="N1016">
        <v>5826644</v>
      </c>
      <c r="O1016" t="s">
        <v>123</v>
      </c>
      <c r="P1016" t="s">
        <v>146</v>
      </c>
      <c r="Q1016">
        <v>6.1</v>
      </c>
      <c r="R1016" t="s">
        <v>125</v>
      </c>
      <c r="S1016" t="s">
        <v>126</v>
      </c>
      <c r="T1016" t="s">
        <v>125</v>
      </c>
      <c r="U1016" t="s">
        <v>126</v>
      </c>
      <c r="W1016">
        <v>6.1</v>
      </c>
      <c r="Y1016">
        <v>6.1</v>
      </c>
      <c r="AS1016">
        <v>6.1</v>
      </c>
      <c r="BH1016" t="s">
        <v>126</v>
      </c>
      <c r="BI1016" t="s">
        <v>126</v>
      </c>
      <c r="BJ1016" t="s">
        <v>126</v>
      </c>
      <c r="BK1016" t="s">
        <v>126</v>
      </c>
      <c r="BS1016" t="s">
        <v>126</v>
      </c>
      <c r="BT1016" t="s">
        <v>126</v>
      </c>
      <c r="BU1016" t="s">
        <v>126</v>
      </c>
      <c r="BV1016" t="s">
        <v>126</v>
      </c>
      <c r="CN1016" t="s">
        <v>147</v>
      </c>
      <c r="CP1016" t="s">
        <v>476</v>
      </c>
      <c r="CQ1016" t="s">
        <v>147</v>
      </c>
    </row>
    <row r="1017" spans="1:95" x14ac:dyDescent="0.2">
      <c r="A1017" t="s">
        <v>115</v>
      </c>
      <c r="B1017" t="s">
        <v>116</v>
      </c>
      <c r="C1017">
        <v>210784</v>
      </c>
      <c r="E1017" t="s">
        <v>117</v>
      </c>
      <c r="F1017">
        <v>368</v>
      </c>
      <c r="G1017" t="s">
        <v>141</v>
      </c>
      <c r="H1017" t="s">
        <v>142</v>
      </c>
      <c r="I1017" t="s">
        <v>279</v>
      </c>
      <c r="J1017" t="s">
        <v>280</v>
      </c>
      <c r="L1017" t="s">
        <v>482</v>
      </c>
      <c r="M1017" s="8">
        <v>45962</v>
      </c>
      <c r="N1017">
        <v>5826054</v>
      </c>
      <c r="O1017" t="s">
        <v>123</v>
      </c>
      <c r="P1017" t="s">
        <v>146</v>
      </c>
      <c r="Q1017">
        <v>6.24</v>
      </c>
      <c r="R1017" t="s">
        <v>125</v>
      </c>
      <c r="S1017" t="s">
        <v>126</v>
      </c>
      <c r="T1017" t="s">
        <v>125</v>
      </c>
      <c r="U1017" t="s">
        <v>126</v>
      </c>
      <c r="W1017">
        <v>6.24</v>
      </c>
      <c r="Y1017">
        <v>6.24</v>
      </c>
      <c r="AS1017">
        <v>6.24</v>
      </c>
      <c r="BH1017" t="s">
        <v>126</v>
      </c>
      <c r="BI1017" t="s">
        <v>126</v>
      </c>
      <c r="BJ1017" t="s">
        <v>126</v>
      </c>
      <c r="BK1017" t="s">
        <v>126</v>
      </c>
      <c r="BS1017" t="s">
        <v>126</v>
      </c>
      <c r="BT1017" t="s">
        <v>126</v>
      </c>
      <c r="BU1017" t="s">
        <v>126</v>
      </c>
      <c r="BV1017" t="s">
        <v>126</v>
      </c>
      <c r="CN1017" t="s">
        <v>147</v>
      </c>
      <c r="CP1017" t="s">
        <v>476</v>
      </c>
      <c r="CQ1017" t="s">
        <v>147</v>
      </c>
    </row>
    <row r="1018" spans="1:95" x14ac:dyDescent="0.2">
      <c r="A1018" t="s">
        <v>115</v>
      </c>
      <c r="B1018" t="s">
        <v>116</v>
      </c>
      <c r="C1018">
        <v>210784</v>
      </c>
      <c r="E1018" t="s">
        <v>117</v>
      </c>
      <c r="F1018">
        <v>368</v>
      </c>
      <c r="G1018" t="s">
        <v>141</v>
      </c>
      <c r="H1018" t="s">
        <v>142</v>
      </c>
      <c r="I1018" t="s">
        <v>279</v>
      </c>
      <c r="J1018" t="s">
        <v>280</v>
      </c>
      <c r="L1018" t="s">
        <v>483</v>
      </c>
      <c r="M1018" s="8">
        <v>45962</v>
      </c>
      <c r="N1018">
        <v>5833552</v>
      </c>
      <c r="O1018" t="s">
        <v>123</v>
      </c>
      <c r="P1018" t="s">
        <v>146</v>
      </c>
      <c r="Q1018">
        <v>4.34</v>
      </c>
      <c r="R1018" t="s">
        <v>125</v>
      </c>
      <c r="S1018" t="s">
        <v>126</v>
      </c>
      <c r="T1018" t="s">
        <v>125</v>
      </c>
      <c r="U1018" t="s">
        <v>126</v>
      </c>
      <c r="W1018">
        <v>4.34</v>
      </c>
      <c r="Y1018">
        <v>4.34</v>
      </c>
      <c r="AS1018">
        <v>4.34</v>
      </c>
      <c r="BH1018" t="s">
        <v>126</v>
      </c>
      <c r="BI1018" t="s">
        <v>126</v>
      </c>
      <c r="BJ1018" t="s">
        <v>126</v>
      </c>
      <c r="BK1018" t="s">
        <v>126</v>
      </c>
      <c r="BS1018" t="s">
        <v>126</v>
      </c>
      <c r="BT1018" t="s">
        <v>126</v>
      </c>
      <c r="BU1018" t="s">
        <v>126</v>
      </c>
      <c r="BV1018" t="s">
        <v>126</v>
      </c>
      <c r="CN1018" t="s">
        <v>147</v>
      </c>
      <c r="CP1018" t="s">
        <v>484</v>
      </c>
      <c r="CQ1018" t="s">
        <v>147</v>
      </c>
    </row>
    <row r="1019" spans="1:95" x14ac:dyDescent="0.2">
      <c r="A1019" t="s">
        <v>115</v>
      </c>
      <c r="B1019" t="s">
        <v>116</v>
      </c>
      <c r="C1019">
        <v>210784</v>
      </c>
      <c r="E1019" t="s">
        <v>117</v>
      </c>
      <c r="F1019">
        <v>368</v>
      </c>
      <c r="G1019" t="s">
        <v>141</v>
      </c>
      <c r="H1019" t="s">
        <v>142</v>
      </c>
      <c r="I1019" t="s">
        <v>279</v>
      </c>
      <c r="J1019" t="s">
        <v>280</v>
      </c>
      <c r="L1019" t="s">
        <v>485</v>
      </c>
      <c r="M1019" s="8">
        <v>45962</v>
      </c>
      <c r="N1019">
        <v>5834291</v>
      </c>
      <c r="O1019" t="s">
        <v>123</v>
      </c>
      <c r="P1019" t="s">
        <v>146</v>
      </c>
      <c r="Q1019">
        <v>6.76</v>
      </c>
      <c r="R1019" t="s">
        <v>125</v>
      </c>
      <c r="S1019" t="s">
        <v>126</v>
      </c>
      <c r="T1019" t="s">
        <v>125</v>
      </c>
      <c r="U1019" t="s">
        <v>126</v>
      </c>
      <c r="W1019">
        <v>6.76</v>
      </c>
      <c r="Y1019">
        <v>6.76</v>
      </c>
      <c r="AS1019">
        <v>6.76</v>
      </c>
      <c r="BH1019" t="s">
        <v>126</v>
      </c>
      <c r="BI1019" t="s">
        <v>126</v>
      </c>
      <c r="BJ1019" t="s">
        <v>126</v>
      </c>
      <c r="BK1019" t="s">
        <v>126</v>
      </c>
      <c r="BS1019" t="s">
        <v>126</v>
      </c>
      <c r="BT1019" t="s">
        <v>126</v>
      </c>
      <c r="BU1019" t="s">
        <v>126</v>
      </c>
      <c r="BV1019" t="s">
        <v>126</v>
      </c>
      <c r="CN1019" t="s">
        <v>147</v>
      </c>
      <c r="CP1019" t="s">
        <v>484</v>
      </c>
      <c r="CQ1019" t="s">
        <v>147</v>
      </c>
    </row>
    <row r="1020" spans="1:95" x14ac:dyDescent="0.2">
      <c r="A1020" t="s">
        <v>115</v>
      </c>
      <c r="B1020" t="s">
        <v>116</v>
      </c>
      <c r="C1020">
        <v>210784</v>
      </c>
      <c r="E1020" t="s">
        <v>117</v>
      </c>
      <c r="F1020">
        <v>368</v>
      </c>
      <c r="G1020" t="s">
        <v>314</v>
      </c>
      <c r="H1020" t="s">
        <v>115</v>
      </c>
      <c r="I1020" t="s">
        <v>515</v>
      </c>
      <c r="J1020" t="s">
        <v>516</v>
      </c>
      <c r="L1020" t="s">
        <v>524</v>
      </c>
      <c r="M1020" s="8">
        <v>45962</v>
      </c>
      <c r="N1020" t="s">
        <v>525</v>
      </c>
      <c r="O1020" t="s">
        <v>123</v>
      </c>
      <c r="P1020" t="s">
        <v>146</v>
      </c>
      <c r="Q1020">
        <v>121.94</v>
      </c>
      <c r="R1020" t="s">
        <v>125</v>
      </c>
      <c r="S1020" t="s">
        <v>126</v>
      </c>
      <c r="T1020" t="s">
        <v>125</v>
      </c>
      <c r="U1020" t="s">
        <v>126</v>
      </c>
      <c r="W1020">
        <v>121.94</v>
      </c>
      <c r="Y1020">
        <v>121.94</v>
      </c>
      <c r="AF1020">
        <v>121.94</v>
      </c>
      <c r="BH1020" t="s">
        <v>126</v>
      </c>
      <c r="BI1020" t="s">
        <v>126</v>
      </c>
      <c r="BJ1020" t="s">
        <v>126</v>
      </c>
      <c r="BK1020" t="s">
        <v>126</v>
      </c>
      <c r="BS1020" t="s">
        <v>126</v>
      </c>
      <c r="BT1020" t="s">
        <v>126</v>
      </c>
      <c r="BU1020" t="s">
        <v>126</v>
      </c>
      <c r="BV1020" t="s">
        <v>126</v>
      </c>
      <c r="CN1020" t="s">
        <v>526</v>
      </c>
      <c r="CP1020" t="s">
        <v>527</v>
      </c>
      <c r="CQ1020" t="s">
        <v>526</v>
      </c>
    </row>
    <row r="1021" spans="1:95" x14ac:dyDescent="0.2">
      <c r="A1021" t="s">
        <v>115</v>
      </c>
      <c r="B1021" t="s">
        <v>116</v>
      </c>
      <c r="C1021">
        <v>210784</v>
      </c>
      <c r="E1021" t="s">
        <v>117</v>
      </c>
      <c r="F1021">
        <v>368</v>
      </c>
      <c r="G1021" t="s">
        <v>141</v>
      </c>
      <c r="H1021" t="s">
        <v>142</v>
      </c>
      <c r="I1021" t="s">
        <v>279</v>
      </c>
      <c r="J1021" t="s">
        <v>280</v>
      </c>
      <c r="L1021" t="s">
        <v>480</v>
      </c>
      <c r="M1021" s="8">
        <v>45962</v>
      </c>
      <c r="N1021">
        <v>5822312</v>
      </c>
      <c r="O1021" t="s">
        <v>123</v>
      </c>
      <c r="P1021" t="s">
        <v>146</v>
      </c>
      <c r="Q1021">
        <v>4.42</v>
      </c>
      <c r="R1021" t="s">
        <v>569</v>
      </c>
      <c r="S1021" t="s">
        <v>126</v>
      </c>
      <c r="T1021" t="s">
        <v>569</v>
      </c>
      <c r="U1021" t="s">
        <v>570</v>
      </c>
      <c r="W1021">
        <v>1.36</v>
      </c>
      <c r="X1021">
        <v>3.0599999999999996</v>
      </c>
      <c r="Y1021">
        <v>4.42</v>
      </c>
      <c r="Z1021">
        <v>1.68</v>
      </c>
      <c r="AG1021">
        <v>1.36</v>
      </c>
      <c r="AI1021">
        <v>1.38</v>
      </c>
      <c r="BH1021" t="s">
        <v>126</v>
      </c>
      <c r="BI1021" t="s">
        <v>126</v>
      </c>
      <c r="BJ1021" t="s">
        <v>126</v>
      </c>
      <c r="BK1021" t="s">
        <v>126</v>
      </c>
      <c r="BS1021" t="s">
        <v>126</v>
      </c>
      <c r="BT1021" t="s">
        <v>126</v>
      </c>
      <c r="BU1021" t="s">
        <v>126</v>
      </c>
      <c r="BV1021" t="s">
        <v>126</v>
      </c>
      <c r="CN1021" t="s">
        <v>147</v>
      </c>
      <c r="CP1021" t="s">
        <v>476</v>
      </c>
      <c r="CQ1021" t="s">
        <v>147</v>
      </c>
    </row>
    <row r="1022" spans="1:95" x14ac:dyDescent="0.2">
      <c r="A1022" t="s">
        <v>115</v>
      </c>
      <c r="B1022" t="s">
        <v>116</v>
      </c>
      <c r="C1022">
        <v>210784</v>
      </c>
      <c r="E1022" t="s">
        <v>117</v>
      </c>
      <c r="F1022">
        <v>368</v>
      </c>
      <c r="G1022" t="s">
        <v>141</v>
      </c>
      <c r="H1022" t="s">
        <v>142</v>
      </c>
      <c r="I1022" t="s">
        <v>279</v>
      </c>
      <c r="J1022" t="s">
        <v>280</v>
      </c>
      <c r="L1022" t="s">
        <v>760</v>
      </c>
      <c r="M1022" s="8">
        <v>45962</v>
      </c>
      <c r="N1022">
        <v>5824677</v>
      </c>
      <c r="O1022" t="s">
        <v>123</v>
      </c>
      <c r="P1022" t="s">
        <v>146</v>
      </c>
      <c r="Q1022">
        <v>3.12</v>
      </c>
      <c r="R1022" t="s">
        <v>569</v>
      </c>
      <c r="S1022" t="s">
        <v>126</v>
      </c>
      <c r="T1022" t="s">
        <v>569</v>
      </c>
      <c r="U1022" t="s">
        <v>570</v>
      </c>
      <c r="W1022">
        <v>0.96</v>
      </c>
      <c r="X1022">
        <v>2.16</v>
      </c>
      <c r="Y1022">
        <v>3.12</v>
      </c>
      <c r="Z1022">
        <v>1.19</v>
      </c>
      <c r="AG1022">
        <v>0.96</v>
      </c>
      <c r="AI1022">
        <v>0.97</v>
      </c>
      <c r="BH1022" t="s">
        <v>126</v>
      </c>
      <c r="BI1022" t="s">
        <v>126</v>
      </c>
      <c r="BJ1022" t="s">
        <v>126</v>
      </c>
      <c r="BK1022" t="s">
        <v>126</v>
      </c>
      <c r="BS1022" t="s">
        <v>126</v>
      </c>
      <c r="BT1022" t="s">
        <v>126</v>
      </c>
      <c r="BU1022" t="s">
        <v>126</v>
      </c>
      <c r="BV1022" t="s">
        <v>126</v>
      </c>
      <c r="CN1022" t="s">
        <v>147</v>
      </c>
      <c r="CP1022" t="s">
        <v>476</v>
      </c>
      <c r="CQ1022" t="s">
        <v>147</v>
      </c>
    </row>
    <row r="1023" spans="1:95" x14ac:dyDescent="0.2">
      <c r="A1023" t="s">
        <v>115</v>
      </c>
      <c r="B1023" t="s">
        <v>116</v>
      </c>
      <c r="C1023">
        <v>210784</v>
      </c>
      <c r="E1023" t="s">
        <v>117</v>
      </c>
      <c r="F1023">
        <v>368</v>
      </c>
      <c r="G1023" t="s">
        <v>141</v>
      </c>
      <c r="H1023" t="s">
        <v>142</v>
      </c>
      <c r="I1023" t="s">
        <v>279</v>
      </c>
      <c r="J1023" t="s">
        <v>280</v>
      </c>
      <c r="L1023" t="s">
        <v>481</v>
      </c>
      <c r="M1023" s="8">
        <v>45962</v>
      </c>
      <c r="N1023">
        <v>5826776</v>
      </c>
      <c r="O1023" t="s">
        <v>123</v>
      </c>
      <c r="P1023" t="s">
        <v>146</v>
      </c>
      <c r="Q1023">
        <v>5.25</v>
      </c>
      <c r="R1023" t="s">
        <v>567</v>
      </c>
      <c r="S1023" t="s">
        <v>126</v>
      </c>
      <c r="T1023" t="s">
        <v>567</v>
      </c>
      <c r="U1023" t="s">
        <v>568</v>
      </c>
      <c r="W1023">
        <v>1.62</v>
      </c>
      <c r="X1023">
        <v>3.63</v>
      </c>
      <c r="Y1023">
        <v>5.25</v>
      </c>
      <c r="Z1023">
        <v>2</v>
      </c>
      <c r="AG1023">
        <v>1.62</v>
      </c>
      <c r="AI1023">
        <v>1.63</v>
      </c>
      <c r="BH1023" t="s">
        <v>126</v>
      </c>
      <c r="BI1023" t="s">
        <v>126</v>
      </c>
      <c r="BJ1023" t="s">
        <v>126</v>
      </c>
      <c r="BK1023" t="s">
        <v>126</v>
      </c>
      <c r="BS1023" t="s">
        <v>126</v>
      </c>
      <c r="BT1023" t="s">
        <v>126</v>
      </c>
      <c r="BU1023" t="s">
        <v>126</v>
      </c>
      <c r="BV1023" t="s">
        <v>126</v>
      </c>
      <c r="CN1023" t="s">
        <v>147</v>
      </c>
      <c r="CP1023" t="s">
        <v>476</v>
      </c>
      <c r="CQ1023" t="s">
        <v>147</v>
      </c>
    </row>
    <row r="1024" spans="1:95" x14ac:dyDescent="0.2">
      <c r="A1024" t="s">
        <v>115</v>
      </c>
      <c r="B1024" t="s">
        <v>116</v>
      </c>
      <c r="C1024">
        <v>210784</v>
      </c>
      <c r="E1024" t="s">
        <v>117</v>
      </c>
      <c r="F1024">
        <v>368</v>
      </c>
      <c r="G1024" t="s">
        <v>118</v>
      </c>
      <c r="H1024" t="s">
        <v>119</v>
      </c>
      <c r="I1024" t="s">
        <v>130</v>
      </c>
      <c r="J1024" t="s">
        <v>131</v>
      </c>
      <c r="L1024" t="s">
        <v>762</v>
      </c>
      <c r="M1024" s="8">
        <v>45962</v>
      </c>
      <c r="N1024">
        <v>7343722</v>
      </c>
      <c r="O1024" t="s">
        <v>123</v>
      </c>
      <c r="P1024" t="s">
        <v>124</v>
      </c>
      <c r="Q1024">
        <v>5.7</v>
      </c>
      <c r="R1024" t="s">
        <v>125</v>
      </c>
      <c r="S1024" t="s">
        <v>126</v>
      </c>
      <c r="T1024" t="s">
        <v>125</v>
      </c>
      <c r="U1024" t="s">
        <v>126</v>
      </c>
      <c r="W1024">
        <v>5.7</v>
      </c>
      <c r="Y1024">
        <v>5.7</v>
      </c>
      <c r="AA1024">
        <v>2.5</v>
      </c>
      <c r="AC1024">
        <v>3.2</v>
      </c>
      <c r="BH1024" t="s">
        <v>126</v>
      </c>
      <c r="BI1024" t="s">
        <v>126</v>
      </c>
      <c r="BJ1024" t="s">
        <v>126</v>
      </c>
      <c r="BK1024" t="s">
        <v>126</v>
      </c>
      <c r="BS1024" t="s">
        <v>126</v>
      </c>
      <c r="BT1024" t="s">
        <v>126</v>
      </c>
      <c r="BU1024" t="s">
        <v>126</v>
      </c>
      <c r="BV1024" t="s">
        <v>126</v>
      </c>
      <c r="CN1024" t="s">
        <v>127</v>
      </c>
      <c r="CP1024" t="s">
        <v>128</v>
      </c>
      <c r="CQ1024" t="s">
        <v>127</v>
      </c>
    </row>
    <row r="1025" spans="1:95" x14ac:dyDescent="0.2">
      <c r="A1025" t="s">
        <v>115</v>
      </c>
      <c r="B1025" t="s">
        <v>116</v>
      </c>
      <c r="C1025">
        <v>210784</v>
      </c>
      <c r="E1025" t="s">
        <v>117</v>
      </c>
      <c r="F1025">
        <v>368</v>
      </c>
      <c r="G1025" t="s">
        <v>141</v>
      </c>
      <c r="H1025" t="s">
        <v>142</v>
      </c>
      <c r="I1025" t="s">
        <v>279</v>
      </c>
      <c r="J1025" t="s">
        <v>280</v>
      </c>
      <c r="L1025" t="s">
        <v>765</v>
      </c>
      <c r="M1025" s="8">
        <v>45962</v>
      </c>
      <c r="N1025">
        <v>5829416</v>
      </c>
      <c r="O1025" t="s">
        <v>123</v>
      </c>
      <c r="P1025" t="s">
        <v>146</v>
      </c>
      <c r="Q1025">
        <v>2.2999999999999998</v>
      </c>
      <c r="R1025" t="s">
        <v>669</v>
      </c>
      <c r="S1025" t="s">
        <v>126</v>
      </c>
      <c r="T1025" t="s">
        <v>669</v>
      </c>
      <c r="U1025" t="s">
        <v>670</v>
      </c>
      <c r="W1025">
        <v>0.71</v>
      </c>
      <c r="X1025">
        <v>1.5899999999999999</v>
      </c>
      <c r="Y1025">
        <v>2.2999999999999998</v>
      </c>
      <c r="Z1025">
        <v>0.87</v>
      </c>
      <c r="AG1025">
        <v>0.71</v>
      </c>
      <c r="AI1025">
        <v>0.72</v>
      </c>
      <c r="BH1025" t="s">
        <v>126</v>
      </c>
      <c r="BI1025" t="s">
        <v>126</v>
      </c>
      <c r="BJ1025" t="s">
        <v>126</v>
      </c>
      <c r="BK1025" t="s">
        <v>126</v>
      </c>
      <c r="BS1025" t="s">
        <v>126</v>
      </c>
      <c r="BT1025" t="s">
        <v>126</v>
      </c>
      <c r="BU1025" t="s">
        <v>126</v>
      </c>
      <c r="BV1025" t="s">
        <v>126</v>
      </c>
      <c r="CN1025" t="s">
        <v>147</v>
      </c>
      <c r="CP1025" t="s">
        <v>484</v>
      </c>
      <c r="CQ1025" t="s">
        <v>147</v>
      </c>
    </row>
    <row r="1026" spans="1:95" x14ac:dyDescent="0.2">
      <c r="A1026" t="s">
        <v>115</v>
      </c>
      <c r="B1026" t="s">
        <v>116</v>
      </c>
      <c r="C1026">
        <v>210784</v>
      </c>
      <c r="E1026" t="s">
        <v>117</v>
      </c>
      <c r="F1026">
        <v>368</v>
      </c>
      <c r="G1026" t="s">
        <v>141</v>
      </c>
      <c r="H1026" t="s">
        <v>142</v>
      </c>
      <c r="I1026" t="s">
        <v>279</v>
      </c>
      <c r="J1026" t="s">
        <v>280</v>
      </c>
      <c r="L1026" t="s">
        <v>766</v>
      </c>
      <c r="M1026" s="8">
        <v>45962</v>
      </c>
      <c r="N1026">
        <v>5829494</v>
      </c>
      <c r="O1026" t="s">
        <v>123</v>
      </c>
      <c r="P1026" t="s">
        <v>146</v>
      </c>
      <c r="Q1026">
        <v>0.51</v>
      </c>
      <c r="R1026" t="s">
        <v>767</v>
      </c>
      <c r="S1026" t="s">
        <v>126</v>
      </c>
      <c r="T1026" t="s">
        <v>767</v>
      </c>
      <c r="U1026" t="s">
        <v>768</v>
      </c>
      <c r="W1026">
        <v>0.16</v>
      </c>
      <c r="X1026">
        <v>0.35</v>
      </c>
      <c r="Y1026">
        <v>0.51</v>
      </c>
      <c r="Z1026">
        <v>0.19</v>
      </c>
      <c r="AG1026">
        <v>0.16</v>
      </c>
      <c r="AI1026">
        <v>0.16</v>
      </c>
      <c r="BH1026" t="s">
        <v>126</v>
      </c>
      <c r="BI1026" t="s">
        <v>126</v>
      </c>
      <c r="BJ1026" t="s">
        <v>126</v>
      </c>
      <c r="BK1026" t="s">
        <v>126</v>
      </c>
      <c r="BS1026" t="s">
        <v>126</v>
      </c>
      <c r="BT1026" t="s">
        <v>126</v>
      </c>
      <c r="BU1026" t="s">
        <v>126</v>
      </c>
      <c r="BV1026" t="s">
        <v>126</v>
      </c>
      <c r="CN1026" t="s">
        <v>147</v>
      </c>
      <c r="CP1026" t="s">
        <v>484</v>
      </c>
      <c r="CQ1026" t="s">
        <v>147</v>
      </c>
    </row>
    <row r="1027" spans="1:95" x14ac:dyDescent="0.2">
      <c r="A1027" t="s">
        <v>115</v>
      </c>
      <c r="B1027" t="s">
        <v>116</v>
      </c>
      <c r="C1027">
        <v>210784</v>
      </c>
      <c r="E1027" t="s">
        <v>117</v>
      </c>
      <c r="F1027">
        <v>368</v>
      </c>
      <c r="G1027" t="s">
        <v>141</v>
      </c>
      <c r="H1027" t="s">
        <v>142</v>
      </c>
      <c r="I1027" t="s">
        <v>279</v>
      </c>
      <c r="J1027" t="s">
        <v>280</v>
      </c>
      <c r="L1027" t="s">
        <v>479</v>
      </c>
      <c r="M1027" s="8">
        <v>45962</v>
      </c>
      <c r="N1027">
        <v>5823712</v>
      </c>
      <c r="O1027" t="s">
        <v>123</v>
      </c>
      <c r="P1027" t="s">
        <v>146</v>
      </c>
      <c r="Q1027">
        <v>2.88</v>
      </c>
      <c r="R1027" t="s">
        <v>125</v>
      </c>
      <c r="S1027" t="s">
        <v>126</v>
      </c>
      <c r="T1027" t="s">
        <v>125</v>
      </c>
      <c r="U1027" t="s">
        <v>126</v>
      </c>
      <c r="W1027">
        <v>2.88</v>
      </c>
      <c r="Y1027">
        <v>2.88</v>
      </c>
      <c r="BE1027">
        <v>2.88</v>
      </c>
      <c r="BH1027" t="s">
        <v>126</v>
      </c>
      <c r="BI1027" t="s">
        <v>126</v>
      </c>
      <c r="BJ1027" t="s">
        <v>126</v>
      </c>
      <c r="BK1027" t="s">
        <v>126</v>
      </c>
      <c r="BS1027" t="s">
        <v>126</v>
      </c>
      <c r="BT1027" t="s">
        <v>126</v>
      </c>
      <c r="BU1027" t="s">
        <v>126</v>
      </c>
      <c r="BV1027" t="s">
        <v>126</v>
      </c>
      <c r="CN1027" t="s">
        <v>147</v>
      </c>
      <c r="CP1027" t="s">
        <v>476</v>
      </c>
      <c r="CQ1027" t="s">
        <v>147</v>
      </c>
    </row>
    <row r="1028" spans="1:95" x14ac:dyDescent="0.2">
      <c r="A1028" t="s">
        <v>115</v>
      </c>
      <c r="B1028" t="s">
        <v>116</v>
      </c>
      <c r="C1028">
        <v>210784</v>
      </c>
      <c r="E1028" t="s">
        <v>117</v>
      </c>
      <c r="F1028">
        <v>368</v>
      </c>
      <c r="G1028" t="s">
        <v>141</v>
      </c>
      <c r="H1028" t="s">
        <v>142</v>
      </c>
      <c r="I1028" t="s">
        <v>279</v>
      </c>
      <c r="J1028" t="s">
        <v>280</v>
      </c>
      <c r="L1028" t="s">
        <v>901</v>
      </c>
      <c r="M1028" s="8">
        <v>45962</v>
      </c>
      <c r="N1028">
        <v>5824355</v>
      </c>
      <c r="O1028" t="s">
        <v>123</v>
      </c>
      <c r="P1028" t="s">
        <v>146</v>
      </c>
      <c r="Q1028">
        <v>5.0599999999999996</v>
      </c>
      <c r="R1028" t="s">
        <v>125</v>
      </c>
      <c r="S1028" t="s">
        <v>126</v>
      </c>
      <c r="T1028" t="s">
        <v>125</v>
      </c>
      <c r="U1028" t="s">
        <v>126</v>
      </c>
      <c r="W1028">
        <v>5.0599999999999996</v>
      </c>
      <c r="Y1028">
        <v>5.0599999999999996</v>
      </c>
      <c r="BE1028">
        <v>5.0599999999999996</v>
      </c>
      <c r="BH1028" t="s">
        <v>126</v>
      </c>
      <c r="BI1028" t="s">
        <v>126</v>
      </c>
      <c r="BJ1028" t="s">
        <v>126</v>
      </c>
      <c r="BK1028" t="s">
        <v>126</v>
      </c>
      <c r="BS1028" t="s">
        <v>126</v>
      </c>
      <c r="BT1028" t="s">
        <v>126</v>
      </c>
      <c r="BU1028" t="s">
        <v>126</v>
      </c>
      <c r="BV1028" t="s">
        <v>126</v>
      </c>
      <c r="CN1028" t="s">
        <v>147</v>
      </c>
      <c r="CP1028" t="s">
        <v>476</v>
      </c>
      <c r="CQ1028" t="s">
        <v>147</v>
      </c>
    </row>
    <row r="1029" spans="1:95" x14ac:dyDescent="0.2">
      <c r="A1029" t="s">
        <v>115</v>
      </c>
      <c r="B1029" t="s">
        <v>116</v>
      </c>
      <c r="C1029">
        <v>210784</v>
      </c>
      <c r="E1029" t="s">
        <v>117</v>
      </c>
      <c r="F1029">
        <v>368</v>
      </c>
      <c r="G1029" t="s">
        <v>141</v>
      </c>
      <c r="H1029" t="s">
        <v>142</v>
      </c>
      <c r="I1029" t="s">
        <v>279</v>
      </c>
      <c r="J1029" t="s">
        <v>280</v>
      </c>
      <c r="L1029" t="s">
        <v>481</v>
      </c>
      <c r="M1029" s="8">
        <v>45962</v>
      </c>
      <c r="N1029">
        <v>5827188</v>
      </c>
      <c r="O1029" t="s">
        <v>123</v>
      </c>
      <c r="P1029" t="s">
        <v>146</v>
      </c>
      <c r="Q1029">
        <v>3.61</v>
      </c>
      <c r="R1029" t="s">
        <v>125</v>
      </c>
      <c r="S1029" t="s">
        <v>126</v>
      </c>
      <c r="T1029" t="s">
        <v>125</v>
      </c>
      <c r="U1029" t="s">
        <v>126</v>
      </c>
      <c r="W1029">
        <v>3.61</v>
      </c>
      <c r="Y1029">
        <v>3.61</v>
      </c>
      <c r="BE1029">
        <v>3.61</v>
      </c>
      <c r="BH1029" t="s">
        <v>126</v>
      </c>
      <c r="BI1029" t="s">
        <v>126</v>
      </c>
      <c r="BJ1029" t="s">
        <v>126</v>
      </c>
      <c r="BK1029" t="s">
        <v>126</v>
      </c>
      <c r="BS1029" t="s">
        <v>126</v>
      </c>
      <c r="BT1029" t="s">
        <v>126</v>
      </c>
      <c r="BU1029" t="s">
        <v>126</v>
      </c>
      <c r="BV1029" t="s">
        <v>126</v>
      </c>
      <c r="CN1029" t="s">
        <v>147</v>
      </c>
      <c r="CP1029" t="s">
        <v>476</v>
      </c>
      <c r="CQ1029" t="s">
        <v>147</v>
      </c>
    </row>
    <row r="1030" spans="1:95" x14ac:dyDescent="0.2">
      <c r="A1030" t="s">
        <v>115</v>
      </c>
      <c r="B1030" t="s">
        <v>116</v>
      </c>
      <c r="C1030">
        <v>210784</v>
      </c>
      <c r="E1030" t="s">
        <v>117</v>
      </c>
      <c r="F1030">
        <v>368</v>
      </c>
      <c r="G1030" t="s">
        <v>141</v>
      </c>
      <c r="H1030" t="s">
        <v>142</v>
      </c>
      <c r="I1030" t="s">
        <v>279</v>
      </c>
      <c r="J1030" t="s">
        <v>280</v>
      </c>
      <c r="L1030" t="s">
        <v>902</v>
      </c>
      <c r="M1030" s="8">
        <v>45962</v>
      </c>
      <c r="N1030">
        <v>5827569</v>
      </c>
      <c r="O1030" t="s">
        <v>123</v>
      </c>
      <c r="P1030" t="s">
        <v>146</v>
      </c>
      <c r="Q1030">
        <v>5.15</v>
      </c>
      <c r="R1030" t="s">
        <v>125</v>
      </c>
      <c r="S1030" t="s">
        <v>126</v>
      </c>
      <c r="T1030" t="s">
        <v>125</v>
      </c>
      <c r="U1030" t="s">
        <v>126</v>
      </c>
      <c r="W1030">
        <v>5.15</v>
      </c>
      <c r="Y1030">
        <v>5.15</v>
      </c>
      <c r="BE1030">
        <v>5.15</v>
      </c>
      <c r="BH1030" t="s">
        <v>126</v>
      </c>
      <c r="BI1030" t="s">
        <v>126</v>
      </c>
      <c r="BJ1030" t="s">
        <v>126</v>
      </c>
      <c r="BK1030" t="s">
        <v>126</v>
      </c>
      <c r="BS1030" t="s">
        <v>126</v>
      </c>
      <c r="BT1030" t="s">
        <v>126</v>
      </c>
      <c r="BU1030" t="s">
        <v>126</v>
      </c>
      <c r="BV1030" t="s">
        <v>126</v>
      </c>
      <c r="CN1030" t="s">
        <v>147</v>
      </c>
      <c r="CP1030" t="s">
        <v>476</v>
      </c>
      <c r="CQ1030" t="s">
        <v>147</v>
      </c>
    </row>
    <row r="1031" spans="1:95" x14ac:dyDescent="0.2">
      <c r="A1031" t="s">
        <v>115</v>
      </c>
      <c r="B1031" t="s">
        <v>116</v>
      </c>
      <c r="C1031">
        <v>210784</v>
      </c>
      <c r="E1031" t="s">
        <v>117</v>
      </c>
      <c r="F1031">
        <v>368</v>
      </c>
      <c r="G1031" t="s">
        <v>141</v>
      </c>
      <c r="H1031" t="s">
        <v>142</v>
      </c>
      <c r="I1031" t="s">
        <v>279</v>
      </c>
      <c r="J1031" t="s">
        <v>280</v>
      </c>
      <c r="L1031" t="s">
        <v>903</v>
      </c>
      <c r="M1031" s="8">
        <v>45962</v>
      </c>
      <c r="N1031">
        <v>5828156</v>
      </c>
      <c r="O1031" t="s">
        <v>123</v>
      </c>
      <c r="P1031" t="s">
        <v>146</v>
      </c>
      <c r="Q1031">
        <v>5.34</v>
      </c>
      <c r="R1031" t="s">
        <v>125</v>
      </c>
      <c r="S1031" t="s">
        <v>126</v>
      </c>
      <c r="T1031" t="s">
        <v>125</v>
      </c>
      <c r="U1031" t="s">
        <v>126</v>
      </c>
      <c r="W1031">
        <v>5.34</v>
      </c>
      <c r="Y1031">
        <v>5.34</v>
      </c>
      <c r="BE1031">
        <v>5.34</v>
      </c>
      <c r="BH1031" t="s">
        <v>126</v>
      </c>
      <c r="BI1031" t="s">
        <v>126</v>
      </c>
      <c r="BJ1031" t="s">
        <v>126</v>
      </c>
      <c r="BK1031" t="s">
        <v>126</v>
      </c>
      <c r="BS1031" t="s">
        <v>126</v>
      </c>
      <c r="BT1031" t="s">
        <v>126</v>
      </c>
      <c r="BU1031" t="s">
        <v>126</v>
      </c>
      <c r="BV1031" t="s">
        <v>126</v>
      </c>
      <c r="CN1031" t="s">
        <v>147</v>
      </c>
      <c r="CP1031" t="s">
        <v>476</v>
      </c>
      <c r="CQ1031" t="s">
        <v>147</v>
      </c>
    </row>
    <row r="1032" spans="1:95" x14ac:dyDescent="0.2">
      <c r="A1032" t="s">
        <v>115</v>
      </c>
      <c r="B1032" t="s">
        <v>116</v>
      </c>
      <c r="C1032">
        <v>210784</v>
      </c>
      <c r="E1032" t="s">
        <v>117</v>
      </c>
      <c r="F1032">
        <v>368</v>
      </c>
      <c r="G1032" t="s">
        <v>141</v>
      </c>
      <c r="H1032" t="s">
        <v>142</v>
      </c>
      <c r="I1032" t="s">
        <v>279</v>
      </c>
      <c r="J1032" t="s">
        <v>280</v>
      </c>
      <c r="L1032" t="s">
        <v>765</v>
      </c>
      <c r="M1032" s="8">
        <v>45962</v>
      </c>
      <c r="N1032">
        <v>5829537</v>
      </c>
      <c r="O1032" t="s">
        <v>123</v>
      </c>
      <c r="P1032" t="s">
        <v>146</v>
      </c>
      <c r="Q1032">
        <v>5.45</v>
      </c>
      <c r="R1032" t="s">
        <v>125</v>
      </c>
      <c r="S1032" t="s">
        <v>126</v>
      </c>
      <c r="T1032" t="s">
        <v>125</v>
      </c>
      <c r="U1032" t="s">
        <v>126</v>
      </c>
      <c r="W1032">
        <v>5.45</v>
      </c>
      <c r="Y1032">
        <v>5.45</v>
      </c>
      <c r="BE1032">
        <v>5.45</v>
      </c>
      <c r="BH1032" t="s">
        <v>126</v>
      </c>
      <c r="BI1032" t="s">
        <v>126</v>
      </c>
      <c r="BJ1032" t="s">
        <v>126</v>
      </c>
      <c r="BK1032" t="s">
        <v>126</v>
      </c>
      <c r="BS1032" t="s">
        <v>126</v>
      </c>
      <c r="BT1032" t="s">
        <v>126</v>
      </c>
      <c r="BU1032" t="s">
        <v>126</v>
      </c>
      <c r="BV1032" t="s">
        <v>126</v>
      </c>
      <c r="CN1032" t="s">
        <v>147</v>
      </c>
      <c r="CP1032" t="s">
        <v>484</v>
      </c>
      <c r="CQ1032" t="s">
        <v>147</v>
      </c>
    </row>
    <row r="1033" spans="1:95" x14ac:dyDescent="0.2">
      <c r="A1033" t="s">
        <v>115</v>
      </c>
      <c r="B1033" t="s">
        <v>116</v>
      </c>
      <c r="C1033">
        <v>210784</v>
      </c>
      <c r="E1033" t="s">
        <v>117</v>
      </c>
      <c r="F1033">
        <v>368</v>
      </c>
      <c r="G1033" t="s">
        <v>141</v>
      </c>
      <c r="H1033" t="s">
        <v>142</v>
      </c>
      <c r="I1033" t="s">
        <v>279</v>
      </c>
      <c r="J1033" t="s">
        <v>280</v>
      </c>
      <c r="L1033" t="s">
        <v>904</v>
      </c>
      <c r="M1033" s="8">
        <v>45962</v>
      </c>
      <c r="N1033">
        <v>5830491</v>
      </c>
      <c r="O1033" t="s">
        <v>123</v>
      </c>
      <c r="P1033" t="s">
        <v>146</v>
      </c>
      <c r="Q1033">
        <v>5.52</v>
      </c>
      <c r="R1033" t="s">
        <v>125</v>
      </c>
      <c r="S1033" t="s">
        <v>126</v>
      </c>
      <c r="T1033" t="s">
        <v>125</v>
      </c>
      <c r="U1033" t="s">
        <v>126</v>
      </c>
      <c r="W1033">
        <v>5.52</v>
      </c>
      <c r="Y1033">
        <v>5.52</v>
      </c>
      <c r="BE1033">
        <v>5.52</v>
      </c>
      <c r="BH1033" t="s">
        <v>126</v>
      </c>
      <c r="BI1033" t="s">
        <v>126</v>
      </c>
      <c r="BJ1033" t="s">
        <v>126</v>
      </c>
      <c r="BK1033" t="s">
        <v>126</v>
      </c>
      <c r="BS1033" t="s">
        <v>126</v>
      </c>
      <c r="BT1033" t="s">
        <v>126</v>
      </c>
      <c r="BU1033" t="s">
        <v>126</v>
      </c>
      <c r="BV1033" t="s">
        <v>126</v>
      </c>
      <c r="CN1033" t="s">
        <v>147</v>
      </c>
      <c r="CP1033" t="s">
        <v>484</v>
      </c>
      <c r="CQ1033" t="s">
        <v>147</v>
      </c>
    </row>
    <row r="1034" spans="1:95" x14ac:dyDescent="0.2">
      <c r="A1034" t="s">
        <v>115</v>
      </c>
      <c r="B1034" t="s">
        <v>116</v>
      </c>
      <c r="C1034">
        <v>210784</v>
      </c>
      <c r="E1034" t="s">
        <v>117</v>
      </c>
      <c r="F1034">
        <v>368</v>
      </c>
      <c r="G1034" t="s">
        <v>141</v>
      </c>
      <c r="H1034" t="s">
        <v>142</v>
      </c>
      <c r="I1034" t="s">
        <v>279</v>
      </c>
      <c r="J1034" t="s">
        <v>280</v>
      </c>
      <c r="L1034" t="s">
        <v>524</v>
      </c>
      <c r="M1034" s="8">
        <v>45962</v>
      </c>
      <c r="N1034">
        <v>5830914</v>
      </c>
      <c r="O1034" t="s">
        <v>123</v>
      </c>
      <c r="P1034" t="s">
        <v>146</v>
      </c>
      <c r="Q1034">
        <v>5.74</v>
      </c>
      <c r="R1034" t="s">
        <v>125</v>
      </c>
      <c r="S1034" t="s">
        <v>126</v>
      </c>
      <c r="T1034" t="s">
        <v>125</v>
      </c>
      <c r="U1034" t="s">
        <v>126</v>
      </c>
      <c r="W1034">
        <v>5.74</v>
      </c>
      <c r="Y1034">
        <v>5.74</v>
      </c>
      <c r="BE1034">
        <v>5.74</v>
      </c>
      <c r="BH1034" t="s">
        <v>126</v>
      </c>
      <c r="BI1034" t="s">
        <v>126</v>
      </c>
      <c r="BJ1034" t="s">
        <v>126</v>
      </c>
      <c r="BK1034" t="s">
        <v>126</v>
      </c>
      <c r="BS1034" t="s">
        <v>126</v>
      </c>
      <c r="BT1034" t="s">
        <v>126</v>
      </c>
      <c r="BU1034" t="s">
        <v>126</v>
      </c>
      <c r="BV1034" t="s">
        <v>126</v>
      </c>
      <c r="CN1034" t="s">
        <v>147</v>
      </c>
      <c r="CP1034" t="s">
        <v>484</v>
      </c>
      <c r="CQ1034" t="s">
        <v>147</v>
      </c>
    </row>
    <row r="1035" spans="1:95" x14ac:dyDescent="0.2">
      <c r="A1035" t="s">
        <v>115</v>
      </c>
      <c r="B1035" t="s">
        <v>116</v>
      </c>
      <c r="C1035">
        <v>210784</v>
      </c>
      <c r="E1035" t="s">
        <v>117</v>
      </c>
      <c r="F1035">
        <v>368</v>
      </c>
      <c r="G1035" t="s">
        <v>141</v>
      </c>
      <c r="H1035" t="s">
        <v>142</v>
      </c>
      <c r="I1035" t="s">
        <v>279</v>
      </c>
      <c r="J1035" t="s">
        <v>280</v>
      </c>
      <c r="L1035" t="s">
        <v>905</v>
      </c>
      <c r="M1035" s="8">
        <v>45962</v>
      </c>
      <c r="N1035">
        <v>5831906</v>
      </c>
      <c r="O1035" t="s">
        <v>123</v>
      </c>
      <c r="P1035" t="s">
        <v>146</v>
      </c>
      <c r="Q1035">
        <v>4.6500000000000004</v>
      </c>
      <c r="R1035" t="s">
        <v>125</v>
      </c>
      <c r="S1035" t="s">
        <v>126</v>
      </c>
      <c r="T1035" t="s">
        <v>125</v>
      </c>
      <c r="U1035" t="s">
        <v>126</v>
      </c>
      <c r="W1035">
        <v>4.6500000000000004</v>
      </c>
      <c r="Y1035">
        <v>4.6500000000000004</v>
      </c>
      <c r="BE1035">
        <v>4.6500000000000004</v>
      </c>
      <c r="BH1035" t="s">
        <v>126</v>
      </c>
      <c r="BI1035" t="s">
        <v>126</v>
      </c>
      <c r="BJ1035" t="s">
        <v>126</v>
      </c>
      <c r="BK1035" t="s">
        <v>126</v>
      </c>
      <c r="BS1035" t="s">
        <v>126</v>
      </c>
      <c r="BT1035" t="s">
        <v>126</v>
      </c>
      <c r="BU1035" t="s">
        <v>126</v>
      </c>
      <c r="BV1035" t="s">
        <v>126</v>
      </c>
      <c r="CN1035" t="s">
        <v>147</v>
      </c>
      <c r="CP1035" t="s">
        <v>484</v>
      </c>
      <c r="CQ1035" t="s">
        <v>147</v>
      </c>
    </row>
    <row r="1036" spans="1:95" x14ac:dyDescent="0.2">
      <c r="A1036" t="s">
        <v>115</v>
      </c>
      <c r="B1036" t="s">
        <v>116</v>
      </c>
      <c r="C1036">
        <v>210784</v>
      </c>
      <c r="E1036" t="s">
        <v>117</v>
      </c>
      <c r="F1036">
        <v>368</v>
      </c>
      <c r="G1036" t="s">
        <v>141</v>
      </c>
      <c r="H1036" t="s">
        <v>142</v>
      </c>
      <c r="I1036" t="s">
        <v>279</v>
      </c>
      <c r="J1036" t="s">
        <v>280</v>
      </c>
      <c r="L1036" t="s">
        <v>905</v>
      </c>
      <c r="M1036" s="8">
        <v>45962</v>
      </c>
      <c r="N1036">
        <v>5831718</v>
      </c>
      <c r="O1036" t="s">
        <v>123</v>
      </c>
      <c r="P1036" t="s">
        <v>146</v>
      </c>
      <c r="Q1036">
        <v>7.12</v>
      </c>
      <c r="R1036" t="s">
        <v>125</v>
      </c>
      <c r="S1036" t="s">
        <v>126</v>
      </c>
      <c r="T1036" t="s">
        <v>125</v>
      </c>
      <c r="U1036" t="s">
        <v>126</v>
      </c>
      <c r="W1036">
        <v>7.12</v>
      </c>
      <c r="Y1036">
        <v>7.12</v>
      </c>
      <c r="BE1036">
        <v>7.12</v>
      </c>
      <c r="BH1036" t="s">
        <v>126</v>
      </c>
      <c r="BI1036" t="s">
        <v>126</v>
      </c>
      <c r="BJ1036" t="s">
        <v>126</v>
      </c>
      <c r="BK1036" t="s">
        <v>126</v>
      </c>
      <c r="BS1036" t="s">
        <v>126</v>
      </c>
      <c r="BT1036" t="s">
        <v>126</v>
      </c>
      <c r="BU1036" t="s">
        <v>126</v>
      </c>
      <c r="BV1036" t="s">
        <v>126</v>
      </c>
      <c r="CN1036" t="s">
        <v>147</v>
      </c>
      <c r="CP1036" t="s">
        <v>484</v>
      </c>
      <c r="CQ1036" t="s">
        <v>147</v>
      </c>
    </row>
    <row r="1037" spans="1:95" x14ac:dyDescent="0.2">
      <c r="A1037" t="s">
        <v>115</v>
      </c>
      <c r="B1037" t="s">
        <v>116</v>
      </c>
      <c r="C1037">
        <v>210784</v>
      </c>
      <c r="E1037" t="s">
        <v>117</v>
      </c>
      <c r="F1037">
        <v>368</v>
      </c>
      <c r="G1037" t="s">
        <v>141</v>
      </c>
      <c r="H1037" t="s">
        <v>142</v>
      </c>
      <c r="I1037" t="s">
        <v>279</v>
      </c>
      <c r="J1037" t="s">
        <v>280</v>
      </c>
      <c r="L1037" t="s">
        <v>906</v>
      </c>
      <c r="M1037" s="8">
        <v>45962</v>
      </c>
      <c r="N1037">
        <v>5832786</v>
      </c>
      <c r="O1037" t="s">
        <v>123</v>
      </c>
      <c r="P1037" t="s">
        <v>146</v>
      </c>
      <c r="Q1037">
        <v>7.63</v>
      </c>
      <c r="R1037" t="s">
        <v>125</v>
      </c>
      <c r="S1037" t="s">
        <v>126</v>
      </c>
      <c r="T1037" t="s">
        <v>125</v>
      </c>
      <c r="U1037" t="s">
        <v>126</v>
      </c>
      <c r="W1037">
        <v>7.63</v>
      </c>
      <c r="Y1037">
        <v>7.63</v>
      </c>
      <c r="BE1037">
        <v>7.63</v>
      </c>
      <c r="BH1037" t="s">
        <v>126</v>
      </c>
      <c r="BI1037" t="s">
        <v>126</v>
      </c>
      <c r="BJ1037" t="s">
        <v>126</v>
      </c>
      <c r="BK1037" t="s">
        <v>126</v>
      </c>
      <c r="BS1037" t="s">
        <v>126</v>
      </c>
      <c r="BT1037" t="s">
        <v>126</v>
      </c>
      <c r="BU1037" t="s">
        <v>126</v>
      </c>
      <c r="BV1037" t="s">
        <v>126</v>
      </c>
      <c r="CN1037" t="s">
        <v>147</v>
      </c>
      <c r="CP1037" t="s">
        <v>484</v>
      </c>
      <c r="CQ1037" t="s">
        <v>147</v>
      </c>
    </row>
    <row r="1038" spans="1:95" x14ac:dyDescent="0.2">
      <c r="A1038" t="s">
        <v>115</v>
      </c>
      <c r="B1038" t="s">
        <v>116</v>
      </c>
      <c r="C1038">
        <v>210784</v>
      </c>
      <c r="E1038" t="s">
        <v>117</v>
      </c>
      <c r="F1038">
        <v>368</v>
      </c>
      <c r="G1038" t="s">
        <v>141</v>
      </c>
      <c r="H1038" t="s">
        <v>142</v>
      </c>
      <c r="I1038" t="s">
        <v>279</v>
      </c>
      <c r="J1038" t="s">
        <v>280</v>
      </c>
      <c r="L1038" t="s">
        <v>483</v>
      </c>
      <c r="M1038" s="8">
        <v>45962</v>
      </c>
      <c r="N1038">
        <v>5833517</v>
      </c>
      <c r="O1038" t="s">
        <v>123</v>
      </c>
      <c r="P1038" t="s">
        <v>146</v>
      </c>
      <c r="Q1038">
        <v>5.43</v>
      </c>
      <c r="R1038" t="s">
        <v>125</v>
      </c>
      <c r="S1038" t="s">
        <v>126</v>
      </c>
      <c r="T1038" t="s">
        <v>125</v>
      </c>
      <c r="U1038" t="s">
        <v>126</v>
      </c>
      <c r="W1038">
        <v>5.43</v>
      </c>
      <c r="Y1038">
        <v>5.43</v>
      </c>
      <c r="BE1038">
        <v>5.43</v>
      </c>
      <c r="BH1038" t="s">
        <v>126</v>
      </c>
      <c r="BI1038" t="s">
        <v>126</v>
      </c>
      <c r="BJ1038" t="s">
        <v>126</v>
      </c>
      <c r="BK1038" t="s">
        <v>126</v>
      </c>
      <c r="BS1038" t="s">
        <v>126</v>
      </c>
      <c r="BT1038" t="s">
        <v>126</v>
      </c>
      <c r="BU1038" t="s">
        <v>126</v>
      </c>
      <c r="BV1038" t="s">
        <v>126</v>
      </c>
      <c r="CN1038" t="s">
        <v>147</v>
      </c>
      <c r="CP1038" t="s">
        <v>484</v>
      </c>
      <c r="CQ1038" t="s">
        <v>147</v>
      </c>
    </row>
    <row r="1039" spans="1:95" x14ac:dyDescent="0.2">
      <c r="A1039" t="s">
        <v>115</v>
      </c>
      <c r="B1039" t="s">
        <v>116</v>
      </c>
      <c r="C1039">
        <v>210784</v>
      </c>
      <c r="E1039" t="s">
        <v>117</v>
      </c>
      <c r="F1039">
        <v>368</v>
      </c>
      <c r="G1039" t="s">
        <v>141</v>
      </c>
      <c r="H1039" t="s">
        <v>142</v>
      </c>
      <c r="I1039" t="s">
        <v>279</v>
      </c>
      <c r="J1039" t="s">
        <v>280</v>
      </c>
      <c r="L1039" t="s">
        <v>762</v>
      </c>
      <c r="M1039" s="8">
        <v>45962</v>
      </c>
      <c r="N1039">
        <v>5834807</v>
      </c>
      <c r="O1039" t="s">
        <v>123</v>
      </c>
      <c r="P1039" t="s">
        <v>146</v>
      </c>
      <c r="Q1039">
        <v>3.97</v>
      </c>
      <c r="R1039" t="s">
        <v>125</v>
      </c>
      <c r="S1039" t="s">
        <v>126</v>
      </c>
      <c r="T1039" t="s">
        <v>125</v>
      </c>
      <c r="U1039" t="s">
        <v>126</v>
      </c>
      <c r="W1039">
        <v>3.97</v>
      </c>
      <c r="Y1039">
        <v>3.97</v>
      </c>
      <c r="BE1039">
        <v>3.97</v>
      </c>
      <c r="BH1039" t="s">
        <v>126</v>
      </c>
      <c r="BI1039" t="s">
        <v>126</v>
      </c>
      <c r="BJ1039" t="s">
        <v>126</v>
      </c>
      <c r="BK1039" t="s">
        <v>126</v>
      </c>
      <c r="BS1039" t="s">
        <v>126</v>
      </c>
      <c r="BT1039" t="s">
        <v>126</v>
      </c>
      <c r="BU1039" t="s">
        <v>126</v>
      </c>
      <c r="BV1039" t="s">
        <v>126</v>
      </c>
      <c r="CN1039" t="s">
        <v>147</v>
      </c>
      <c r="CP1039" t="s">
        <v>484</v>
      </c>
      <c r="CQ1039" t="s">
        <v>147</v>
      </c>
    </row>
    <row r="1040" spans="1:95" x14ac:dyDescent="0.2">
      <c r="A1040" t="s">
        <v>115</v>
      </c>
      <c r="B1040" t="s">
        <v>116</v>
      </c>
      <c r="C1040">
        <v>210784</v>
      </c>
      <c r="E1040" t="s">
        <v>117</v>
      </c>
      <c r="F1040">
        <v>368</v>
      </c>
      <c r="G1040" t="s">
        <v>141</v>
      </c>
      <c r="H1040" t="s">
        <v>142</v>
      </c>
      <c r="I1040" t="s">
        <v>279</v>
      </c>
      <c r="J1040" t="s">
        <v>280</v>
      </c>
      <c r="L1040" t="s">
        <v>485</v>
      </c>
      <c r="M1040" s="8">
        <v>45962</v>
      </c>
      <c r="N1040">
        <v>5834689</v>
      </c>
      <c r="O1040" t="s">
        <v>123</v>
      </c>
      <c r="P1040" t="s">
        <v>146</v>
      </c>
      <c r="Q1040">
        <v>2.81</v>
      </c>
      <c r="R1040" t="s">
        <v>125</v>
      </c>
      <c r="S1040" t="s">
        <v>126</v>
      </c>
      <c r="T1040" t="s">
        <v>125</v>
      </c>
      <c r="U1040" t="s">
        <v>126</v>
      </c>
      <c r="W1040">
        <v>2.81</v>
      </c>
      <c r="Y1040">
        <v>2.81</v>
      </c>
      <c r="BE1040">
        <v>2.81</v>
      </c>
      <c r="BH1040" t="s">
        <v>126</v>
      </c>
      <c r="BI1040" t="s">
        <v>126</v>
      </c>
      <c r="BJ1040" t="s">
        <v>126</v>
      </c>
      <c r="BK1040" t="s">
        <v>126</v>
      </c>
      <c r="BS1040" t="s">
        <v>126</v>
      </c>
      <c r="BT1040" t="s">
        <v>126</v>
      </c>
      <c r="BU1040" t="s">
        <v>126</v>
      </c>
      <c r="BV1040" t="s">
        <v>126</v>
      </c>
      <c r="CN1040" t="s">
        <v>147</v>
      </c>
      <c r="CP1040" t="s">
        <v>484</v>
      </c>
      <c r="CQ1040" t="s">
        <v>147</v>
      </c>
    </row>
    <row r="1041" spans="1:95" x14ac:dyDescent="0.2">
      <c r="A1041" t="s">
        <v>115</v>
      </c>
      <c r="B1041" t="s">
        <v>116</v>
      </c>
      <c r="C1041">
        <v>210784</v>
      </c>
      <c r="E1041" t="s">
        <v>117</v>
      </c>
      <c r="F1041">
        <v>368</v>
      </c>
      <c r="G1041" t="s">
        <v>141</v>
      </c>
      <c r="H1041" t="s">
        <v>142</v>
      </c>
      <c r="I1041" t="s">
        <v>279</v>
      </c>
      <c r="J1041" t="s">
        <v>280</v>
      </c>
      <c r="L1041" t="s">
        <v>907</v>
      </c>
      <c r="M1041" s="8">
        <v>45962</v>
      </c>
      <c r="N1041">
        <v>5836243</v>
      </c>
      <c r="O1041" t="s">
        <v>123</v>
      </c>
      <c r="P1041" t="s">
        <v>146</v>
      </c>
      <c r="Q1041">
        <v>3.99</v>
      </c>
      <c r="R1041" t="s">
        <v>125</v>
      </c>
      <c r="S1041" t="s">
        <v>126</v>
      </c>
      <c r="T1041" t="s">
        <v>125</v>
      </c>
      <c r="U1041" t="s">
        <v>126</v>
      </c>
      <c r="W1041">
        <v>3.99</v>
      </c>
      <c r="Y1041">
        <v>3.99</v>
      </c>
      <c r="BE1041">
        <v>3.99</v>
      </c>
      <c r="BH1041" t="s">
        <v>126</v>
      </c>
      <c r="BI1041" t="s">
        <v>126</v>
      </c>
      <c r="BJ1041" t="s">
        <v>126</v>
      </c>
      <c r="BK1041" t="s">
        <v>126</v>
      </c>
      <c r="BS1041" t="s">
        <v>126</v>
      </c>
      <c r="BT1041" t="s">
        <v>126</v>
      </c>
      <c r="BU1041" t="s">
        <v>126</v>
      </c>
      <c r="BV1041" t="s">
        <v>126</v>
      </c>
      <c r="CN1041" t="s">
        <v>147</v>
      </c>
      <c r="CP1041" t="s">
        <v>484</v>
      </c>
      <c r="CQ1041" t="s">
        <v>147</v>
      </c>
    </row>
    <row r="1042" spans="1:95" x14ac:dyDescent="0.2">
      <c r="A1042" t="s">
        <v>115</v>
      </c>
      <c r="B1042" t="s">
        <v>116</v>
      </c>
      <c r="C1042">
        <v>210784</v>
      </c>
      <c r="E1042" t="s">
        <v>117</v>
      </c>
      <c r="F1042">
        <v>368</v>
      </c>
      <c r="G1042" t="s">
        <v>141</v>
      </c>
      <c r="H1042" t="s">
        <v>142</v>
      </c>
      <c r="I1042" t="s">
        <v>279</v>
      </c>
      <c r="J1042" t="s">
        <v>280</v>
      </c>
      <c r="L1042" t="s">
        <v>907</v>
      </c>
      <c r="M1042" s="8">
        <v>45962</v>
      </c>
      <c r="N1042">
        <v>5836137</v>
      </c>
      <c r="O1042" t="s">
        <v>123</v>
      </c>
      <c r="P1042" t="s">
        <v>146</v>
      </c>
      <c r="Q1042">
        <v>4.59</v>
      </c>
      <c r="R1042" t="s">
        <v>125</v>
      </c>
      <c r="S1042" t="s">
        <v>126</v>
      </c>
      <c r="T1042" t="s">
        <v>125</v>
      </c>
      <c r="U1042" t="s">
        <v>126</v>
      </c>
      <c r="W1042">
        <v>4.59</v>
      </c>
      <c r="Y1042">
        <v>4.59</v>
      </c>
      <c r="BE1042">
        <v>4.59</v>
      </c>
      <c r="BH1042" t="s">
        <v>126</v>
      </c>
      <c r="BI1042" t="s">
        <v>126</v>
      </c>
      <c r="BJ1042" t="s">
        <v>126</v>
      </c>
      <c r="BK1042" t="s">
        <v>126</v>
      </c>
      <c r="BS1042" t="s">
        <v>126</v>
      </c>
      <c r="BT1042" t="s">
        <v>126</v>
      </c>
      <c r="BU1042" t="s">
        <v>126</v>
      </c>
      <c r="BV1042" t="s">
        <v>126</v>
      </c>
      <c r="CN1042" t="s">
        <v>147</v>
      </c>
      <c r="CP1042" t="s">
        <v>484</v>
      </c>
      <c r="CQ1042" t="s">
        <v>147</v>
      </c>
    </row>
    <row r="1043" spans="1:95" x14ac:dyDescent="0.2">
      <c r="A1043" t="s">
        <v>115</v>
      </c>
      <c r="B1043" t="s">
        <v>116</v>
      </c>
      <c r="C1043">
        <v>210784</v>
      </c>
      <c r="E1043" t="s">
        <v>117</v>
      </c>
      <c r="F1043">
        <v>368</v>
      </c>
      <c r="G1043" t="s">
        <v>118</v>
      </c>
      <c r="H1043" t="s">
        <v>119</v>
      </c>
      <c r="I1043" t="s">
        <v>120</v>
      </c>
      <c r="J1043" t="s">
        <v>121</v>
      </c>
      <c r="L1043" t="s">
        <v>297</v>
      </c>
      <c r="M1043" s="8">
        <v>45992</v>
      </c>
      <c r="N1043">
        <v>136416</v>
      </c>
      <c r="O1043" t="s">
        <v>123</v>
      </c>
      <c r="P1043" t="s">
        <v>124</v>
      </c>
      <c r="Q1043">
        <v>10.220000000000001</v>
      </c>
      <c r="R1043" t="s">
        <v>125</v>
      </c>
      <c r="S1043" t="s">
        <v>126</v>
      </c>
      <c r="T1043" t="s">
        <v>125</v>
      </c>
      <c r="U1043" t="s">
        <v>126</v>
      </c>
      <c r="W1043">
        <v>10.220000000000001</v>
      </c>
      <c r="Y1043">
        <v>10.220000000000001</v>
      </c>
      <c r="AC1043">
        <v>10.220000000000001</v>
      </c>
      <c r="BH1043" t="s">
        <v>126</v>
      </c>
      <c r="BI1043" t="s">
        <v>126</v>
      </c>
      <c r="BJ1043" t="s">
        <v>126</v>
      </c>
      <c r="BK1043" t="s">
        <v>126</v>
      </c>
      <c r="BS1043" t="s">
        <v>126</v>
      </c>
      <c r="BT1043" t="s">
        <v>126</v>
      </c>
      <c r="BU1043" t="s">
        <v>126</v>
      </c>
      <c r="BV1043" t="s">
        <v>126</v>
      </c>
      <c r="CN1043" t="s">
        <v>127</v>
      </c>
      <c r="CP1043" t="s">
        <v>128</v>
      </c>
      <c r="CQ1043" t="s">
        <v>127</v>
      </c>
    </row>
    <row r="1044" spans="1:95" x14ac:dyDescent="0.2">
      <c r="A1044" t="s">
        <v>115</v>
      </c>
      <c r="B1044" t="s">
        <v>116</v>
      </c>
      <c r="C1044">
        <v>210784</v>
      </c>
      <c r="E1044" t="s">
        <v>117</v>
      </c>
      <c r="F1044">
        <v>368</v>
      </c>
      <c r="G1044" t="s">
        <v>141</v>
      </c>
      <c r="H1044" t="s">
        <v>142</v>
      </c>
      <c r="I1044" t="s">
        <v>279</v>
      </c>
      <c r="J1044" t="s">
        <v>280</v>
      </c>
      <c r="L1044" t="s">
        <v>486</v>
      </c>
      <c r="M1044" s="8">
        <v>45992</v>
      </c>
      <c r="N1044">
        <v>5841870</v>
      </c>
      <c r="O1044" t="s">
        <v>123</v>
      </c>
      <c r="P1044" t="s">
        <v>146</v>
      </c>
      <c r="Q1044">
        <v>6.59</v>
      </c>
      <c r="R1044" t="s">
        <v>125</v>
      </c>
      <c r="S1044" t="s">
        <v>126</v>
      </c>
      <c r="T1044" t="s">
        <v>125</v>
      </c>
      <c r="U1044" t="s">
        <v>126</v>
      </c>
      <c r="W1044">
        <v>6.59</v>
      </c>
      <c r="Y1044">
        <v>6.59</v>
      </c>
      <c r="AS1044">
        <v>6.59</v>
      </c>
      <c r="BH1044" t="s">
        <v>126</v>
      </c>
      <c r="BI1044" t="s">
        <v>126</v>
      </c>
      <c r="BJ1044" t="s">
        <v>126</v>
      </c>
      <c r="BK1044" t="s">
        <v>126</v>
      </c>
      <c r="BS1044" t="s">
        <v>126</v>
      </c>
      <c r="BT1044" t="s">
        <v>126</v>
      </c>
      <c r="BU1044" t="s">
        <v>126</v>
      </c>
      <c r="BV1044" t="s">
        <v>126</v>
      </c>
      <c r="CN1044" t="s">
        <v>147</v>
      </c>
      <c r="CP1044" t="s">
        <v>484</v>
      </c>
      <c r="CQ1044" t="s">
        <v>147</v>
      </c>
    </row>
    <row r="1045" spans="1:95" x14ac:dyDescent="0.2">
      <c r="A1045" t="s">
        <v>115</v>
      </c>
      <c r="B1045" t="s">
        <v>116</v>
      </c>
      <c r="C1045">
        <v>210784</v>
      </c>
      <c r="E1045" t="s">
        <v>117</v>
      </c>
      <c r="F1045">
        <v>368</v>
      </c>
      <c r="G1045" t="s">
        <v>141</v>
      </c>
      <c r="H1045" t="s">
        <v>142</v>
      </c>
      <c r="I1045" t="s">
        <v>279</v>
      </c>
      <c r="J1045" t="s">
        <v>280</v>
      </c>
      <c r="L1045" t="s">
        <v>487</v>
      </c>
      <c r="M1045" s="8">
        <v>45992</v>
      </c>
      <c r="N1045">
        <v>5842823</v>
      </c>
      <c r="O1045" t="s">
        <v>123</v>
      </c>
      <c r="P1045" t="s">
        <v>146</v>
      </c>
      <c r="Q1045">
        <v>7.23</v>
      </c>
      <c r="R1045" t="s">
        <v>125</v>
      </c>
      <c r="S1045" t="s">
        <v>126</v>
      </c>
      <c r="T1045" t="s">
        <v>125</v>
      </c>
      <c r="U1045" t="s">
        <v>126</v>
      </c>
      <c r="W1045">
        <v>7.23</v>
      </c>
      <c r="Y1045">
        <v>7.23</v>
      </c>
      <c r="AS1045">
        <v>7.23</v>
      </c>
      <c r="BH1045" t="s">
        <v>126</v>
      </c>
      <c r="BI1045" t="s">
        <v>126</v>
      </c>
      <c r="BJ1045" t="s">
        <v>126</v>
      </c>
      <c r="BK1045" t="s">
        <v>126</v>
      </c>
      <c r="BS1045" t="s">
        <v>126</v>
      </c>
      <c r="BT1045" t="s">
        <v>126</v>
      </c>
      <c r="BU1045" t="s">
        <v>126</v>
      </c>
      <c r="BV1045" t="s">
        <v>126</v>
      </c>
      <c r="CN1045" t="s">
        <v>147</v>
      </c>
      <c r="CP1045" t="s">
        <v>484</v>
      </c>
      <c r="CQ1045" t="s">
        <v>147</v>
      </c>
    </row>
    <row r="1046" spans="1:95" x14ac:dyDescent="0.2">
      <c r="A1046" t="s">
        <v>115</v>
      </c>
      <c r="B1046" t="s">
        <v>116</v>
      </c>
      <c r="C1046">
        <v>210784</v>
      </c>
      <c r="E1046" t="s">
        <v>117</v>
      </c>
      <c r="F1046">
        <v>368</v>
      </c>
      <c r="G1046" t="s">
        <v>141</v>
      </c>
      <c r="H1046" t="s">
        <v>142</v>
      </c>
      <c r="I1046" t="s">
        <v>279</v>
      </c>
      <c r="J1046" t="s">
        <v>280</v>
      </c>
      <c r="L1046" t="s">
        <v>297</v>
      </c>
      <c r="M1046" s="8">
        <v>45992</v>
      </c>
      <c r="N1046">
        <v>5844027</v>
      </c>
      <c r="O1046" t="s">
        <v>123</v>
      </c>
      <c r="P1046" t="s">
        <v>146</v>
      </c>
      <c r="Q1046">
        <v>4.21</v>
      </c>
      <c r="R1046" t="s">
        <v>125</v>
      </c>
      <c r="S1046" t="s">
        <v>126</v>
      </c>
      <c r="T1046" t="s">
        <v>125</v>
      </c>
      <c r="U1046" t="s">
        <v>126</v>
      </c>
      <c r="W1046">
        <v>4.21</v>
      </c>
      <c r="Y1046">
        <v>4.21</v>
      </c>
      <c r="AS1046">
        <v>4.21</v>
      </c>
      <c r="BH1046" t="s">
        <v>126</v>
      </c>
      <c r="BI1046" t="s">
        <v>126</v>
      </c>
      <c r="BJ1046" t="s">
        <v>126</v>
      </c>
      <c r="BK1046" t="s">
        <v>126</v>
      </c>
      <c r="BS1046" t="s">
        <v>126</v>
      </c>
      <c r="BT1046" t="s">
        <v>126</v>
      </c>
      <c r="BU1046" t="s">
        <v>126</v>
      </c>
      <c r="BV1046" t="s">
        <v>126</v>
      </c>
      <c r="CN1046" t="s">
        <v>147</v>
      </c>
      <c r="CP1046" t="s">
        <v>484</v>
      </c>
      <c r="CQ1046" t="s">
        <v>147</v>
      </c>
    </row>
    <row r="1047" spans="1:95" x14ac:dyDescent="0.2">
      <c r="A1047" t="s">
        <v>115</v>
      </c>
      <c r="B1047" t="s">
        <v>116</v>
      </c>
      <c r="C1047">
        <v>210784</v>
      </c>
      <c r="E1047" t="s">
        <v>117</v>
      </c>
      <c r="F1047">
        <v>368</v>
      </c>
      <c r="G1047" t="s">
        <v>141</v>
      </c>
      <c r="H1047" t="s">
        <v>142</v>
      </c>
      <c r="I1047" t="s">
        <v>279</v>
      </c>
      <c r="J1047" t="s">
        <v>280</v>
      </c>
      <c r="L1047" t="s">
        <v>488</v>
      </c>
      <c r="M1047" s="8">
        <v>45992</v>
      </c>
      <c r="N1047">
        <v>5844846</v>
      </c>
      <c r="O1047" t="s">
        <v>123</v>
      </c>
      <c r="P1047" t="s">
        <v>146</v>
      </c>
      <c r="Q1047">
        <v>6.28</v>
      </c>
      <c r="R1047" t="s">
        <v>125</v>
      </c>
      <c r="S1047" t="s">
        <v>126</v>
      </c>
      <c r="T1047" t="s">
        <v>125</v>
      </c>
      <c r="U1047" t="s">
        <v>126</v>
      </c>
      <c r="W1047">
        <v>6.28</v>
      </c>
      <c r="Y1047">
        <v>6.28</v>
      </c>
      <c r="AS1047">
        <v>6.28</v>
      </c>
      <c r="BH1047" t="s">
        <v>126</v>
      </c>
      <c r="BI1047" t="s">
        <v>126</v>
      </c>
      <c r="BJ1047" t="s">
        <v>126</v>
      </c>
      <c r="BK1047" t="s">
        <v>126</v>
      </c>
      <c r="BS1047" t="s">
        <v>126</v>
      </c>
      <c r="BT1047" t="s">
        <v>126</v>
      </c>
      <c r="BU1047" t="s">
        <v>126</v>
      </c>
      <c r="BV1047" t="s">
        <v>126</v>
      </c>
      <c r="CN1047" t="s">
        <v>147</v>
      </c>
      <c r="CP1047" t="s">
        <v>484</v>
      </c>
      <c r="CQ1047" t="s">
        <v>147</v>
      </c>
    </row>
    <row r="1048" spans="1:95" x14ac:dyDescent="0.2">
      <c r="A1048" t="s">
        <v>115</v>
      </c>
      <c r="B1048" t="s">
        <v>116</v>
      </c>
      <c r="C1048">
        <v>210784</v>
      </c>
      <c r="E1048" t="s">
        <v>117</v>
      </c>
      <c r="F1048">
        <v>368</v>
      </c>
      <c r="G1048" t="s">
        <v>141</v>
      </c>
      <c r="H1048" t="s">
        <v>142</v>
      </c>
      <c r="I1048" t="s">
        <v>279</v>
      </c>
      <c r="J1048" t="s">
        <v>280</v>
      </c>
      <c r="L1048" t="s">
        <v>489</v>
      </c>
      <c r="M1048" s="8">
        <v>45992</v>
      </c>
      <c r="N1048">
        <v>5846280</v>
      </c>
      <c r="O1048" t="s">
        <v>123</v>
      </c>
      <c r="P1048" t="s">
        <v>146</v>
      </c>
      <c r="Q1048">
        <v>4.82</v>
      </c>
      <c r="R1048" t="s">
        <v>125</v>
      </c>
      <c r="S1048" t="s">
        <v>126</v>
      </c>
      <c r="T1048" t="s">
        <v>125</v>
      </c>
      <c r="U1048" t="s">
        <v>126</v>
      </c>
      <c r="W1048">
        <v>4.82</v>
      </c>
      <c r="Y1048">
        <v>4.82</v>
      </c>
      <c r="AS1048">
        <v>4.82</v>
      </c>
      <c r="BH1048" t="s">
        <v>126</v>
      </c>
      <c r="BI1048" t="s">
        <v>126</v>
      </c>
      <c r="BJ1048" t="s">
        <v>126</v>
      </c>
      <c r="BK1048" t="s">
        <v>126</v>
      </c>
      <c r="BS1048" t="s">
        <v>126</v>
      </c>
      <c r="BT1048" t="s">
        <v>126</v>
      </c>
      <c r="BU1048" t="s">
        <v>126</v>
      </c>
      <c r="BV1048" t="s">
        <v>126</v>
      </c>
      <c r="CN1048" t="s">
        <v>147</v>
      </c>
      <c r="CP1048" t="s">
        <v>484</v>
      </c>
      <c r="CQ1048" t="s">
        <v>147</v>
      </c>
    </row>
    <row r="1049" spans="1:95" x14ac:dyDescent="0.2">
      <c r="A1049" t="s">
        <v>115</v>
      </c>
      <c r="B1049" t="s">
        <v>116</v>
      </c>
      <c r="C1049">
        <v>210784</v>
      </c>
      <c r="E1049" t="s">
        <v>117</v>
      </c>
      <c r="F1049">
        <v>368</v>
      </c>
      <c r="G1049" t="s">
        <v>141</v>
      </c>
      <c r="H1049" t="s">
        <v>142</v>
      </c>
      <c r="I1049" t="s">
        <v>279</v>
      </c>
      <c r="J1049" t="s">
        <v>280</v>
      </c>
      <c r="L1049" t="s">
        <v>128</v>
      </c>
      <c r="M1049" s="8">
        <v>45992</v>
      </c>
      <c r="N1049">
        <v>5848673</v>
      </c>
      <c r="O1049" t="s">
        <v>123</v>
      </c>
      <c r="P1049" t="s">
        <v>146</v>
      </c>
      <c r="Q1049">
        <v>5.82</v>
      </c>
      <c r="R1049" t="s">
        <v>125</v>
      </c>
      <c r="S1049" t="s">
        <v>126</v>
      </c>
      <c r="T1049" t="s">
        <v>125</v>
      </c>
      <c r="U1049" t="s">
        <v>126</v>
      </c>
      <c r="W1049">
        <v>5.82</v>
      </c>
      <c r="Y1049">
        <v>5.82</v>
      </c>
      <c r="AS1049">
        <v>5.82</v>
      </c>
      <c r="BH1049" t="s">
        <v>126</v>
      </c>
      <c r="BI1049" t="s">
        <v>126</v>
      </c>
      <c r="BJ1049" t="s">
        <v>126</v>
      </c>
      <c r="BK1049" t="s">
        <v>126</v>
      </c>
      <c r="BS1049" t="s">
        <v>126</v>
      </c>
      <c r="BT1049" t="s">
        <v>126</v>
      </c>
      <c r="BU1049" t="s">
        <v>126</v>
      </c>
      <c r="BV1049" t="s">
        <v>126</v>
      </c>
      <c r="CN1049" t="s">
        <v>147</v>
      </c>
      <c r="CP1049" t="s">
        <v>484</v>
      </c>
      <c r="CQ1049" t="s">
        <v>147</v>
      </c>
    </row>
    <row r="1050" spans="1:95" x14ac:dyDescent="0.2">
      <c r="A1050" t="s">
        <v>115</v>
      </c>
      <c r="B1050" t="s">
        <v>116</v>
      </c>
      <c r="C1050">
        <v>210784</v>
      </c>
      <c r="E1050" t="s">
        <v>117</v>
      </c>
      <c r="F1050">
        <v>368</v>
      </c>
      <c r="G1050" t="s">
        <v>118</v>
      </c>
      <c r="H1050" t="s">
        <v>119</v>
      </c>
      <c r="I1050" t="s">
        <v>120</v>
      </c>
      <c r="J1050" t="s">
        <v>121</v>
      </c>
      <c r="L1050" t="s">
        <v>761</v>
      </c>
      <c r="M1050" s="8">
        <v>45992</v>
      </c>
      <c r="N1050">
        <v>136142</v>
      </c>
      <c r="O1050" t="s">
        <v>123</v>
      </c>
      <c r="P1050" t="s">
        <v>124</v>
      </c>
      <c r="Q1050">
        <v>14.6106</v>
      </c>
      <c r="R1050" t="s">
        <v>125</v>
      </c>
      <c r="S1050" t="s">
        <v>126</v>
      </c>
      <c r="T1050" t="s">
        <v>125</v>
      </c>
      <c r="U1050" t="s">
        <v>126</v>
      </c>
      <c r="W1050">
        <v>14.6106</v>
      </c>
      <c r="Y1050">
        <v>14.6106</v>
      </c>
      <c r="AA1050">
        <v>7.3006000000000002</v>
      </c>
      <c r="AC1050">
        <v>7.31</v>
      </c>
      <c r="BH1050" t="s">
        <v>126</v>
      </c>
      <c r="BI1050" t="s">
        <v>126</v>
      </c>
      <c r="BJ1050" t="s">
        <v>126</v>
      </c>
      <c r="BK1050" t="s">
        <v>126</v>
      </c>
      <c r="BS1050" t="s">
        <v>126</v>
      </c>
      <c r="BT1050" t="s">
        <v>126</v>
      </c>
      <c r="BU1050" t="s">
        <v>126</v>
      </c>
      <c r="BV1050" t="s">
        <v>126</v>
      </c>
      <c r="CN1050" t="s">
        <v>127</v>
      </c>
      <c r="CP1050" t="s">
        <v>128</v>
      </c>
      <c r="CQ1050" t="s">
        <v>127</v>
      </c>
    </row>
    <row r="1051" spans="1:95" x14ac:dyDescent="0.2">
      <c r="A1051" t="s">
        <v>115</v>
      </c>
      <c r="B1051" t="s">
        <v>116</v>
      </c>
      <c r="C1051">
        <v>210784</v>
      </c>
      <c r="E1051" t="s">
        <v>117</v>
      </c>
      <c r="F1051">
        <v>368</v>
      </c>
      <c r="G1051" t="s">
        <v>118</v>
      </c>
      <c r="H1051" t="s">
        <v>119</v>
      </c>
      <c r="I1051" t="s">
        <v>130</v>
      </c>
      <c r="J1051" t="s">
        <v>131</v>
      </c>
      <c r="L1051" t="s">
        <v>763</v>
      </c>
      <c r="M1051" s="8">
        <v>45992</v>
      </c>
      <c r="N1051">
        <v>7344375</v>
      </c>
      <c r="O1051" t="s">
        <v>123</v>
      </c>
      <c r="P1051" t="s">
        <v>124</v>
      </c>
      <c r="Q1051">
        <v>12.5404</v>
      </c>
      <c r="R1051" t="s">
        <v>125</v>
      </c>
      <c r="S1051" t="s">
        <v>126</v>
      </c>
      <c r="T1051" t="s">
        <v>125</v>
      </c>
      <c r="U1051" t="s">
        <v>126</v>
      </c>
      <c r="W1051">
        <v>12.5404</v>
      </c>
      <c r="Y1051">
        <v>12.5404</v>
      </c>
      <c r="AA1051">
        <v>6.0004</v>
      </c>
      <c r="AC1051">
        <v>6.54</v>
      </c>
      <c r="BH1051" t="s">
        <v>126</v>
      </c>
      <c r="BI1051" t="s">
        <v>126</v>
      </c>
      <c r="BJ1051" t="s">
        <v>126</v>
      </c>
      <c r="BK1051" t="s">
        <v>126</v>
      </c>
      <c r="BS1051" t="s">
        <v>126</v>
      </c>
      <c r="BT1051" t="s">
        <v>126</v>
      </c>
      <c r="BU1051" t="s">
        <v>126</v>
      </c>
      <c r="BV1051" t="s">
        <v>126</v>
      </c>
      <c r="CN1051" t="s">
        <v>127</v>
      </c>
      <c r="CP1051" t="s">
        <v>128</v>
      </c>
      <c r="CQ1051" t="s">
        <v>127</v>
      </c>
    </row>
    <row r="1052" spans="1:95" x14ac:dyDescent="0.2">
      <c r="A1052" t="s">
        <v>115</v>
      </c>
      <c r="B1052" t="s">
        <v>116</v>
      </c>
      <c r="C1052">
        <v>210784</v>
      </c>
      <c r="E1052" t="s">
        <v>117</v>
      </c>
      <c r="F1052">
        <v>368</v>
      </c>
      <c r="G1052" t="s">
        <v>118</v>
      </c>
      <c r="H1052" t="s">
        <v>119</v>
      </c>
      <c r="I1052" t="s">
        <v>130</v>
      </c>
      <c r="J1052" t="s">
        <v>131</v>
      </c>
      <c r="L1052" t="s">
        <v>763</v>
      </c>
      <c r="M1052" s="8">
        <v>45992</v>
      </c>
      <c r="N1052">
        <v>7344275</v>
      </c>
      <c r="O1052" t="s">
        <v>123</v>
      </c>
      <c r="P1052" t="s">
        <v>124</v>
      </c>
      <c r="Q1052">
        <v>16.480600000000003</v>
      </c>
      <c r="R1052" t="s">
        <v>125</v>
      </c>
      <c r="S1052" t="s">
        <v>126</v>
      </c>
      <c r="T1052" t="s">
        <v>125</v>
      </c>
      <c r="U1052" t="s">
        <v>126</v>
      </c>
      <c r="W1052">
        <v>16.480600000000003</v>
      </c>
      <c r="Y1052">
        <v>16.480600000000003</v>
      </c>
      <c r="AA1052">
        <v>8</v>
      </c>
      <c r="AC1052">
        <v>8.4806000000000008</v>
      </c>
      <c r="BH1052" t="s">
        <v>126</v>
      </c>
      <c r="BI1052" t="s">
        <v>126</v>
      </c>
      <c r="BJ1052" t="s">
        <v>126</v>
      </c>
      <c r="BK1052" t="s">
        <v>126</v>
      </c>
      <c r="BS1052" t="s">
        <v>126</v>
      </c>
      <c r="BT1052" t="s">
        <v>126</v>
      </c>
      <c r="BU1052" t="s">
        <v>126</v>
      </c>
      <c r="BV1052" t="s">
        <v>126</v>
      </c>
      <c r="CN1052" t="s">
        <v>764</v>
      </c>
      <c r="CP1052" t="s">
        <v>128</v>
      </c>
      <c r="CQ1052" t="s">
        <v>764</v>
      </c>
    </row>
    <row r="1053" spans="1:95" x14ac:dyDescent="0.2">
      <c r="A1053" t="s">
        <v>115</v>
      </c>
      <c r="B1053" t="s">
        <v>116</v>
      </c>
      <c r="C1053">
        <v>210784</v>
      </c>
      <c r="E1053" t="s">
        <v>117</v>
      </c>
      <c r="F1053">
        <v>368</v>
      </c>
      <c r="G1053" t="s">
        <v>118</v>
      </c>
      <c r="H1053" t="s">
        <v>119</v>
      </c>
      <c r="I1053" t="s">
        <v>130</v>
      </c>
      <c r="J1053" t="s">
        <v>131</v>
      </c>
      <c r="L1053" t="s">
        <v>763</v>
      </c>
      <c r="M1053" s="8">
        <v>45992</v>
      </c>
      <c r="N1053">
        <v>7344431</v>
      </c>
      <c r="O1053" t="s">
        <v>123</v>
      </c>
      <c r="P1053" t="s">
        <v>124</v>
      </c>
      <c r="Q1053">
        <v>6.04</v>
      </c>
      <c r="R1053" t="s">
        <v>125</v>
      </c>
      <c r="S1053" t="s">
        <v>126</v>
      </c>
      <c r="T1053" t="s">
        <v>125</v>
      </c>
      <c r="U1053" t="s">
        <v>126</v>
      </c>
      <c r="W1053">
        <v>6.04</v>
      </c>
      <c r="Y1053">
        <v>6.04</v>
      </c>
      <c r="AA1053">
        <v>3.0001000000000002</v>
      </c>
      <c r="AC1053">
        <v>3.0398999999999998</v>
      </c>
      <c r="BH1053" t="s">
        <v>126</v>
      </c>
      <c r="BI1053" t="s">
        <v>126</v>
      </c>
      <c r="BJ1053" t="s">
        <v>126</v>
      </c>
      <c r="BK1053" t="s">
        <v>126</v>
      </c>
      <c r="BS1053" t="s">
        <v>126</v>
      </c>
      <c r="BT1053" t="s">
        <v>126</v>
      </c>
      <c r="BU1053" t="s">
        <v>126</v>
      </c>
      <c r="BV1053" t="s">
        <v>126</v>
      </c>
      <c r="CN1053" t="s">
        <v>127</v>
      </c>
      <c r="CP1053" t="s">
        <v>128</v>
      </c>
      <c r="CQ1053" t="s">
        <v>127</v>
      </c>
    </row>
    <row r="1054" spans="1:95" x14ac:dyDescent="0.2">
      <c r="A1054" t="s">
        <v>115</v>
      </c>
      <c r="B1054" t="s">
        <v>116</v>
      </c>
      <c r="C1054">
        <v>210784</v>
      </c>
      <c r="E1054" t="s">
        <v>117</v>
      </c>
      <c r="F1054">
        <v>368</v>
      </c>
      <c r="G1054" t="s">
        <v>118</v>
      </c>
      <c r="H1054" t="s">
        <v>119</v>
      </c>
      <c r="I1054" t="s">
        <v>130</v>
      </c>
      <c r="J1054" t="s">
        <v>131</v>
      </c>
      <c r="L1054" t="s">
        <v>476</v>
      </c>
      <c r="M1054" s="8">
        <v>45992</v>
      </c>
      <c r="N1054">
        <v>7344548</v>
      </c>
      <c r="O1054" t="s">
        <v>123</v>
      </c>
      <c r="P1054" t="s">
        <v>124</v>
      </c>
      <c r="Q1054">
        <v>10.73</v>
      </c>
      <c r="R1054" t="s">
        <v>125</v>
      </c>
      <c r="S1054" t="s">
        <v>126</v>
      </c>
      <c r="T1054" t="s">
        <v>125</v>
      </c>
      <c r="U1054" t="s">
        <v>126</v>
      </c>
      <c r="W1054">
        <v>10.73</v>
      </c>
      <c r="Y1054">
        <v>10.73</v>
      </c>
      <c r="AA1054">
        <v>5.0002000000000004</v>
      </c>
      <c r="AC1054">
        <v>5.7298</v>
      </c>
      <c r="BH1054" t="s">
        <v>126</v>
      </c>
      <c r="BI1054" t="s">
        <v>126</v>
      </c>
      <c r="BJ1054" t="s">
        <v>126</v>
      </c>
      <c r="BK1054" t="s">
        <v>126</v>
      </c>
      <c r="BS1054" t="s">
        <v>126</v>
      </c>
      <c r="BT1054" t="s">
        <v>126</v>
      </c>
      <c r="BU1054" t="s">
        <v>126</v>
      </c>
      <c r="BV1054" t="s">
        <v>126</v>
      </c>
      <c r="CN1054" t="s">
        <v>127</v>
      </c>
      <c r="CP1054" t="s">
        <v>128</v>
      </c>
      <c r="CQ1054" t="s">
        <v>127</v>
      </c>
    </row>
    <row r="1055" spans="1:95" x14ac:dyDescent="0.2">
      <c r="A1055" t="s">
        <v>115</v>
      </c>
      <c r="B1055" t="s">
        <v>116</v>
      </c>
      <c r="C1055">
        <v>210784</v>
      </c>
      <c r="E1055" t="s">
        <v>117</v>
      </c>
      <c r="F1055">
        <v>368</v>
      </c>
      <c r="G1055" t="s">
        <v>118</v>
      </c>
      <c r="H1055" t="s">
        <v>119</v>
      </c>
      <c r="I1055" t="s">
        <v>130</v>
      </c>
      <c r="J1055" t="s">
        <v>131</v>
      </c>
      <c r="L1055" t="s">
        <v>476</v>
      </c>
      <c r="M1055" s="8">
        <v>45992</v>
      </c>
      <c r="N1055">
        <v>7344656</v>
      </c>
      <c r="O1055" t="s">
        <v>123</v>
      </c>
      <c r="P1055" t="s">
        <v>124</v>
      </c>
      <c r="Q1055">
        <v>13.68</v>
      </c>
      <c r="R1055" t="s">
        <v>125</v>
      </c>
      <c r="S1055" t="s">
        <v>126</v>
      </c>
      <c r="T1055" t="s">
        <v>125</v>
      </c>
      <c r="U1055" t="s">
        <v>126</v>
      </c>
      <c r="W1055">
        <v>13.68</v>
      </c>
      <c r="Y1055">
        <v>13.68</v>
      </c>
      <c r="AA1055">
        <v>6</v>
      </c>
      <c r="AC1055">
        <v>7.68</v>
      </c>
      <c r="BH1055" t="s">
        <v>126</v>
      </c>
      <c r="BI1055" t="s">
        <v>126</v>
      </c>
      <c r="BJ1055" t="s">
        <v>126</v>
      </c>
      <c r="BK1055" t="s">
        <v>126</v>
      </c>
      <c r="BS1055" t="s">
        <v>126</v>
      </c>
      <c r="BT1055" t="s">
        <v>126</v>
      </c>
      <c r="BU1055" t="s">
        <v>126</v>
      </c>
      <c r="BV1055" t="s">
        <v>126</v>
      </c>
      <c r="CN1055" t="s">
        <v>127</v>
      </c>
      <c r="CP1055" t="s">
        <v>128</v>
      </c>
      <c r="CQ1055" t="s">
        <v>127</v>
      </c>
    </row>
    <row r="1056" spans="1:95" x14ac:dyDescent="0.2">
      <c r="A1056" t="s">
        <v>115</v>
      </c>
      <c r="B1056" t="s">
        <v>116</v>
      </c>
      <c r="C1056">
        <v>210784</v>
      </c>
      <c r="E1056" t="s">
        <v>117</v>
      </c>
      <c r="F1056">
        <v>368</v>
      </c>
      <c r="G1056" t="s">
        <v>141</v>
      </c>
      <c r="H1056" t="s">
        <v>142</v>
      </c>
      <c r="I1056" t="s">
        <v>279</v>
      </c>
      <c r="J1056" t="s">
        <v>280</v>
      </c>
      <c r="L1056" t="s">
        <v>476</v>
      </c>
      <c r="M1056" s="8">
        <v>45992</v>
      </c>
      <c r="N1056">
        <v>5838919</v>
      </c>
      <c r="O1056" t="s">
        <v>123</v>
      </c>
      <c r="P1056" t="s">
        <v>146</v>
      </c>
      <c r="Q1056">
        <v>4.6500000000000004</v>
      </c>
      <c r="R1056" t="s">
        <v>574</v>
      </c>
      <c r="S1056" t="s">
        <v>126</v>
      </c>
      <c r="T1056" t="s">
        <v>574</v>
      </c>
      <c r="U1056" t="s">
        <v>575</v>
      </c>
      <c r="W1056">
        <v>1.43</v>
      </c>
      <c r="X1056">
        <v>3.2199999999999998</v>
      </c>
      <c r="Y1056">
        <v>4.6500000000000004</v>
      </c>
      <c r="Z1056">
        <v>1.77</v>
      </c>
      <c r="AG1056">
        <v>1.43</v>
      </c>
      <c r="AI1056">
        <v>1.45</v>
      </c>
      <c r="BH1056" t="s">
        <v>126</v>
      </c>
      <c r="BI1056" t="s">
        <v>126</v>
      </c>
      <c r="BJ1056" t="s">
        <v>126</v>
      </c>
      <c r="BK1056" t="s">
        <v>126</v>
      </c>
      <c r="BS1056" t="s">
        <v>126</v>
      </c>
      <c r="BT1056" t="s">
        <v>126</v>
      </c>
      <c r="BU1056" t="s">
        <v>126</v>
      </c>
      <c r="BV1056" t="s">
        <v>126</v>
      </c>
      <c r="CN1056" t="s">
        <v>147</v>
      </c>
      <c r="CP1056" t="s">
        <v>484</v>
      </c>
      <c r="CQ1056" t="s">
        <v>147</v>
      </c>
    </row>
    <row r="1057" spans="1:95" x14ac:dyDescent="0.2">
      <c r="A1057" t="s">
        <v>115</v>
      </c>
      <c r="B1057" t="s">
        <v>116</v>
      </c>
      <c r="C1057">
        <v>210784</v>
      </c>
      <c r="E1057" t="s">
        <v>117</v>
      </c>
      <c r="F1057">
        <v>368</v>
      </c>
      <c r="G1057" t="s">
        <v>141</v>
      </c>
      <c r="H1057" t="s">
        <v>142</v>
      </c>
      <c r="I1057" t="s">
        <v>279</v>
      </c>
      <c r="J1057" t="s">
        <v>280</v>
      </c>
      <c r="L1057" t="s">
        <v>769</v>
      </c>
      <c r="M1057" s="8">
        <v>45992</v>
      </c>
      <c r="N1057">
        <v>5841619</v>
      </c>
      <c r="O1057" t="s">
        <v>123</v>
      </c>
      <c r="P1057" t="s">
        <v>146</v>
      </c>
      <c r="Q1057">
        <v>5.9848000000000008</v>
      </c>
      <c r="R1057" t="s">
        <v>644</v>
      </c>
      <c r="S1057" t="s">
        <v>126</v>
      </c>
      <c r="T1057" t="s">
        <v>644</v>
      </c>
      <c r="U1057" t="s">
        <v>645</v>
      </c>
      <c r="W1057">
        <v>1.85</v>
      </c>
      <c r="X1057">
        <v>4.1348000000000003</v>
      </c>
      <c r="Y1057">
        <v>5.9848000000000008</v>
      </c>
      <c r="Z1057">
        <v>2.2747999999999999</v>
      </c>
      <c r="AG1057">
        <v>1.85</v>
      </c>
      <c r="AI1057">
        <v>1.86</v>
      </c>
      <c r="BH1057" t="s">
        <v>126</v>
      </c>
      <c r="BI1057" t="s">
        <v>126</v>
      </c>
      <c r="BJ1057" t="s">
        <v>126</v>
      </c>
      <c r="BK1057" t="s">
        <v>126</v>
      </c>
      <c r="BS1057" t="s">
        <v>126</v>
      </c>
      <c r="BT1057" t="s">
        <v>126</v>
      </c>
      <c r="BU1057" t="s">
        <v>126</v>
      </c>
      <c r="BV1057" t="s">
        <v>126</v>
      </c>
      <c r="CN1057" t="s">
        <v>147</v>
      </c>
      <c r="CP1057" t="s">
        <v>484</v>
      </c>
      <c r="CQ1057" t="s">
        <v>147</v>
      </c>
    </row>
    <row r="1058" spans="1:95" x14ac:dyDescent="0.2">
      <c r="A1058" t="s">
        <v>115</v>
      </c>
      <c r="B1058" t="s">
        <v>116</v>
      </c>
      <c r="C1058">
        <v>210784</v>
      </c>
      <c r="E1058" t="s">
        <v>117</v>
      </c>
      <c r="F1058">
        <v>368</v>
      </c>
      <c r="G1058" t="s">
        <v>141</v>
      </c>
      <c r="H1058" t="s">
        <v>142</v>
      </c>
      <c r="I1058" t="s">
        <v>279</v>
      </c>
      <c r="J1058" t="s">
        <v>280</v>
      </c>
      <c r="L1058" t="s">
        <v>486</v>
      </c>
      <c r="M1058" s="8">
        <v>45992</v>
      </c>
      <c r="N1058">
        <v>5841610</v>
      </c>
      <c r="O1058" t="s">
        <v>123</v>
      </c>
      <c r="P1058" t="s">
        <v>146</v>
      </c>
      <c r="Q1058">
        <v>6.73</v>
      </c>
      <c r="R1058" t="s">
        <v>751</v>
      </c>
      <c r="S1058" t="s">
        <v>126</v>
      </c>
      <c r="T1058" t="s">
        <v>751</v>
      </c>
      <c r="U1058" t="s">
        <v>752</v>
      </c>
      <c r="W1058">
        <v>2.0699999999999998</v>
      </c>
      <c r="X1058">
        <v>4.66</v>
      </c>
      <c r="Y1058">
        <v>6.73</v>
      </c>
      <c r="Z1058">
        <v>2.56</v>
      </c>
      <c r="AG1058">
        <v>2.0699999999999998</v>
      </c>
      <c r="AI1058">
        <v>2.1</v>
      </c>
      <c r="BH1058" t="s">
        <v>126</v>
      </c>
      <c r="BI1058" t="s">
        <v>126</v>
      </c>
      <c r="BJ1058" t="s">
        <v>126</v>
      </c>
      <c r="BK1058" t="s">
        <v>126</v>
      </c>
      <c r="BS1058" t="s">
        <v>126</v>
      </c>
      <c r="BT1058" t="s">
        <v>126</v>
      </c>
      <c r="BU1058" t="s">
        <v>126</v>
      </c>
      <c r="BV1058" t="s">
        <v>126</v>
      </c>
      <c r="CN1058" t="s">
        <v>147</v>
      </c>
      <c r="CP1058" t="s">
        <v>484</v>
      </c>
      <c r="CQ1058" t="s">
        <v>147</v>
      </c>
    </row>
    <row r="1059" spans="1:95" x14ac:dyDescent="0.2">
      <c r="A1059" t="s">
        <v>115</v>
      </c>
      <c r="B1059" t="s">
        <v>116</v>
      </c>
      <c r="C1059">
        <v>210784</v>
      </c>
      <c r="E1059" t="s">
        <v>117</v>
      </c>
      <c r="F1059">
        <v>368</v>
      </c>
      <c r="G1059" t="s">
        <v>141</v>
      </c>
      <c r="H1059" t="s">
        <v>142</v>
      </c>
      <c r="I1059" t="s">
        <v>279</v>
      </c>
      <c r="J1059" t="s">
        <v>280</v>
      </c>
      <c r="L1059" t="s">
        <v>770</v>
      </c>
      <c r="M1059" s="8">
        <v>45992</v>
      </c>
      <c r="N1059">
        <v>5843872</v>
      </c>
      <c r="O1059" t="s">
        <v>123</v>
      </c>
      <c r="P1059" t="s">
        <v>146</v>
      </c>
      <c r="Q1059">
        <v>5.1943000000000001</v>
      </c>
      <c r="R1059" t="s">
        <v>592</v>
      </c>
      <c r="S1059" t="s">
        <v>126</v>
      </c>
      <c r="T1059" t="s">
        <v>592</v>
      </c>
      <c r="U1059" t="s">
        <v>593</v>
      </c>
      <c r="W1059">
        <v>1.6</v>
      </c>
      <c r="X1059">
        <v>3.5943000000000001</v>
      </c>
      <c r="Y1059">
        <v>5.1943000000000001</v>
      </c>
      <c r="Z1059">
        <v>1.9742999999999999</v>
      </c>
      <c r="AG1059">
        <v>1.6</v>
      </c>
      <c r="AI1059">
        <v>1.62</v>
      </c>
      <c r="BH1059" t="s">
        <v>126</v>
      </c>
      <c r="BI1059" t="s">
        <v>126</v>
      </c>
      <c r="BJ1059" t="s">
        <v>126</v>
      </c>
      <c r="BK1059" t="s">
        <v>126</v>
      </c>
      <c r="BS1059" t="s">
        <v>126</v>
      </c>
      <c r="BT1059" t="s">
        <v>126</v>
      </c>
      <c r="BU1059" t="s">
        <v>126</v>
      </c>
      <c r="BV1059" t="s">
        <v>126</v>
      </c>
      <c r="CN1059" t="s">
        <v>147</v>
      </c>
      <c r="CP1059" t="s">
        <v>484</v>
      </c>
      <c r="CQ1059" t="s">
        <v>147</v>
      </c>
    </row>
    <row r="1060" spans="1:95" x14ac:dyDescent="0.2">
      <c r="A1060" t="s">
        <v>115</v>
      </c>
      <c r="B1060" t="s">
        <v>116</v>
      </c>
      <c r="C1060">
        <v>210784</v>
      </c>
      <c r="E1060" t="s">
        <v>117</v>
      </c>
      <c r="F1060">
        <v>368</v>
      </c>
      <c r="G1060" t="s">
        <v>141</v>
      </c>
      <c r="H1060" t="s">
        <v>142</v>
      </c>
      <c r="I1060" t="s">
        <v>279</v>
      </c>
      <c r="J1060" t="s">
        <v>280</v>
      </c>
      <c r="L1060" t="s">
        <v>489</v>
      </c>
      <c r="M1060" s="8">
        <v>45992</v>
      </c>
      <c r="N1060">
        <v>5846125</v>
      </c>
      <c r="O1060" t="s">
        <v>123</v>
      </c>
      <c r="P1060" t="s">
        <v>146</v>
      </c>
      <c r="Q1060">
        <v>5.63</v>
      </c>
      <c r="R1060" t="s">
        <v>644</v>
      </c>
      <c r="S1060" t="s">
        <v>126</v>
      </c>
      <c r="T1060" t="s">
        <v>644</v>
      </c>
      <c r="U1060" t="s">
        <v>645</v>
      </c>
      <c r="W1060">
        <v>1.74</v>
      </c>
      <c r="X1060">
        <v>3.89</v>
      </c>
      <c r="Y1060">
        <v>5.63</v>
      </c>
      <c r="Z1060">
        <v>2.14</v>
      </c>
      <c r="AG1060">
        <v>1.74</v>
      </c>
      <c r="AI1060">
        <v>1.75</v>
      </c>
      <c r="BH1060" t="s">
        <v>126</v>
      </c>
      <c r="BI1060" t="s">
        <v>126</v>
      </c>
      <c r="BJ1060" t="s">
        <v>126</v>
      </c>
      <c r="BK1060" t="s">
        <v>126</v>
      </c>
      <c r="BS1060" t="s">
        <v>126</v>
      </c>
      <c r="BT1060" t="s">
        <v>126</v>
      </c>
      <c r="BU1060" t="s">
        <v>126</v>
      </c>
      <c r="BV1060" t="s">
        <v>126</v>
      </c>
      <c r="CN1060" t="s">
        <v>147</v>
      </c>
      <c r="CP1060" t="s">
        <v>484</v>
      </c>
      <c r="CQ1060" t="s">
        <v>147</v>
      </c>
    </row>
    <row r="1061" spans="1:95" x14ac:dyDescent="0.2">
      <c r="A1061" t="s">
        <v>115</v>
      </c>
      <c r="B1061" t="s">
        <v>116</v>
      </c>
      <c r="C1061">
        <v>210784</v>
      </c>
      <c r="E1061" t="s">
        <v>117</v>
      </c>
      <c r="F1061">
        <v>368</v>
      </c>
      <c r="G1061" t="s">
        <v>141</v>
      </c>
      <c r="H1061" t="s">
        <v>142</v>
      </c>
      <c r="I1061" t="s">
        <v>279</v>
      </c>
      <c r="J1061" t="s">
        <v>280</v>
      </c>
      <c r="L1061" t="s">
        <v>771</v>
      </c>
      <c r="M1061" s="8">
        <v>45992</v>
      </c>
      <c r="N1061">
        <v>5847101</v>
      </c>
      <c r="O1061" t="s">
        <v>123</v>
      </c>
      <c r="P1061" t="s">
        <v>146</v>
      </c>
      <c r="Q1061">
        <v>1.8574999999999999</v>
      </c>
      <c r="R1061" t="s">
        <v>586</v>
      </c>
      <c r="S1061" t="s">
        <v>126</v>
      </c>
      <c r="T1061" t="s">
        <v>586</v>
      </c>
      <c r="U1061" t="s">
        <v>587</v>
      </c>
      <c r="W1061">
        <v>0.56999999999999995</v>
      </c>
      <c r="X1061">
        <v>1.2875000000000001</v>
      </c>
      <c r="Y1061">
        <v>1.8574999999999999</v>
      </c>
      <c r="Z1061">
        <v>0.70750000000000002</v>
      </c>
      <c r="AG1061">
        <v>0.56999999999999995</v>
      </c>
      <c r="AI1061">
        <v>0.57999999999999996</v>
      </c>
      <c r="BH1061" t="s">
        <v>126</v>
      </c>
      <c r="BI1061" t="s">
        <v>126</v>
      </c>
      <c r="BJ1061" t="s">
        <v>126</v>
      </c>
      <c r="BK1061" t="s">
        <v>126</v>
      </c>
      <c r="BS1061" t="s">
        <v>126</v>
      </c>
      <c r="BT1061" t="s">
        <v>126</v>
      </c>
      <c r="BU1061" t="s">
        <v>126</v>
      </c>
      <c r="BV1061" t="s">
        <v>126</v>
      </c>
      <c r="CN1061" t="s">
        <v>147</v>
      </c>
      <c r="CP1061" t="s">
        <v>484</v>
      </c>
      <c r="CQ1061" t="s">
        <v>147</v>
      </c>
    </row>
    <row r="1062" spans="1:95" x14ac:dyDescent="0.2">
      <c r="A1062" t="s">
        <v>115</v>
      </c>
      <c r="B1062" t="s">
        <v>116</v>
      </c>
      <c r="C1062">
        <v>210784</v>
      </c>
      <c r="E1062" t="s">
        <v>117</v>
      </c>
      <c r="F1062">
        <v>368</v>
      </c>
      <c r="G1062" t="s">
        <v>141</v>
      </c>
      <c r="H1062" t="s">
        <v>142</v>
      </c>
      <c r="I1062" t="s">
        <v>279</v>
      </c>
      <c r="J1062" t="s">
        <v>280</v>
      </c>
      <c r="L1062" t="s">
        <v>771</v>
      </c>
      <c r="M1062" s="8">
        <v>45992</v>
      </c>
      <c r="N1062">
        <v>5847195</v>
      </c>
      <c r="O1062" t="s">
        <v>123</v>
      </c>
      <c r="P1062" t="s">
        <v>146</v>
      </c>
      <c r="Q1062">
        <v>2.036</v>
      </c>
      <c r="R1062" t="s">
        <v>631</v>
      </c>
      <c r="S1062" t="s">
        <v>126</v>
      </c>
      <c r="T1062" t="s">
        <v>631</v>
      </c>
      <c r="U1062" t="s">
        <v>632</v>
      </c>
      <c r="W1062">
        <v>0.63</v>
      </c>
      <c r="X1062">
        <v>1.4060000000000001</v>
      </c>
      <c r="Y1062">
        <v>2.036</v>
      </c>
      <c r="Z1062">
        <v>0.77600000000000002</v>
      </c>
      <c r="AG1062">
        <v>0.63</v>
      </c>
      <c r="AI1062">
        <v>0.63</v>
      </c>
      <c r="BH1062" t="s">
        <v>126</v>
      </c>
      <c r="BI1062" t="s">
        <v>126</v>
      </c>
      <c r="BJ1062" t="s">
        <v>126</v>
      </c>
      <c r="BK1062" t="s">
        <v>126</v>
      </c>
      <c r="BS1062" t="s">
        <v>126</v>
      </c>
      <c r="BT1062" t="s">
        <v>126</v>
      </c>
      <c r="BU1062" t="s">
        <v>126</v>
      </c>
      <c r="BV1062" t="s">
        <v>126</v>
      </c>
      <c r="CN1062" t="s">
        <v>147</v>
      </c>
      <c r="CP1062" t="s">
        <v>484</v>
      </c>
      <c r="CQ1062" t="s">
        <v>147</v>
      </c>
    </row>
    <row r="1063" spans="1:95" x14ac:dyDescent="0.2">
      <c r="A1063" t="s">
        <v>115</v>
      </c>
      <c r="B1063" t="s">
        <v>116</v>
      </c>
      <c r="C1063">
        <v>210784</v>
      </c>
      <c r="E1063" t="s">
        <v>117</v>
      </c>
      <c r="F1063">
        <v>368</v>
      </c>
      <c r="G1063" t="s">
        <v>141</v>
      </c>
      <c r="H1063" t="s">
        <v>142</v>
      </c>
      <c r="I1063" t="s">
        <v>279</v>
      </c>
      <c r="J1063" t="s">
        <v>280</v>
      </c>
      <c r="L1063" t="s">
        <v>772</v>
      </c>
      <c r="M1063" s="8">
        <v>45992</v>
      </c>
      <c r="N1063">
        <v>5849073</v>
      </c>
      <c r="O1063" t="s">
        <v>123</v>
      </c>
      <c r="P1063" t="s">
        <v>146</v>
      </c>
      <c r="Q1063">
        <v>0.96900000000000008</v>
      </c>
      <c r="R1063" t="s">
        <v>657</v>
      </c>
      <c r="S1063" t="s">
        <v>126</v>
      </c>
      <c r="T1063" t="s">
        <v>657</v>
      </c>
      <c r="U1063" t="s">
        <v>658</v>
      </c>
      <c r="W1063">
        <v>0.3</v>
      </c>
      <c r="X1063">
        <v>0.66900000000000004</v>
      </c>
      <c r="Y1063">
        <v>0.96900000000000008</v>
      </c>
      <c r="Z1063">
        <v>0.36899999999999999</v>
      </c>
      <c r="AG1063">
        <v>0.3</v>
      </c>
      <c r="AI1063">
        <v>0.3</v>
      </c>
      <c r="BH1063" t="s">
        <v>126</v>
      </c>
      <c r="BI1063" t="s">
        <v>126</v>
      </c>
      <c r="BJ1063" t="s">
        <v>126</v>
      </c>
      <c r="BK1063" t="s">
        <v>126</v>
      </c>
      <c r="BS1063" t="s">
        <v>126</v>
      </c>
      <c r="BT1063" t="s">
        <v>126</v>
      </c>
      <c r="BU1063" t="s">
        <v>126</v>
      </c>
      <c r="BV1063" t="s">
        <v>126</v>
      </c>
      <c r="CN1063" t="s">
        <v>147</v>
      </c>
      <c r="CP1063" t="s">
        <v>484</v>
      </c>
      <c r="CQ1063" t="s">
        <v>147</v>
      </c>
    </row>
    <row r="1064" spans="1:95" x14ac:dyDescent="0.2">
      <c r="A1064" t="s">
        <v>115</v>
      </c>
      <c r="B1064" t="s">
        <v>116</v>
      </c>
      <c r="C1064">
        <v>210784</v>
      </c>
      <c r="E1064" t="s">
        <v>117</v>
      </c>
      <c r="F1064">
        <v>368</v>
      </c>
      <c r="G1064" t="s">
        <v>141</v>
      </c>
      <c r="H1064" t="s">
        <v>142</v>
      </c>
      <c r="I1064" t="s">
        <v>279</v>
      </c>
      <c r="J1064" t="s">
        <v>280</v>
      </c>
      <c r="L1064" t="s">
        <v>773</v>
      </c>
      <c r="M1064" s="8">
        <v>45992</v>
      </c>
      <c r="N1064">
        <v>5850582</v>
      </c>
      <c r="O1064" t="s">
        <v>123</v>
      </c>
      <c r="P1064" t="s">
        <v>146</v>
      </c>
      <c r="Q1064">
        <v>0.76750000000000007</v>
      </c>
      <c r="R1064" t="s">
        <v>623</v>
      </c>
      <c r="S1064" t="s">
        <v>126</v>
      </c>
      <c r="T1064" t="s">
        <v>623</v>
      </c>
      <c r="U1064" t="s">
        <v>624</v>
      </c>
      <c r="W1064">
        <v>0.23730000000000001</v>
      </c>
      <c r="X1064">
        <v>0.5302</v>
      </c>
      <c r="Y1064">
        <v>0.76750000000000007</v>
      </c>
      <c r="Z1064">
        <v>0.29289999999999999</v>
      </c>
      <c r="AG1064">
        <v>0.23730000000000001</v>
      </c>
      <c r="AI1064">
        <v>0.23730000000000001</v>
      </c>
      <c r="BH1064" t="s">
        <v>126</v>
      </c>
      <c r="BI1064" t="s">
        <v>126</v>
      </c>
      <c r="BJ1064" t="s">
        <v>126</v>
      </c>
      <c r="BK1064" t="s">
        <v>126</v>
      </c>
      <c r="BS1064" t="s">
        <v>126</v>
      </c>
      <c r="BT1064" t="s">
        <v>126</v>
      </c>
      <c r="BU1064" t="s">
        <v>126</v>
      </c>
      <c r="BV1064" t="s">
        <v>126</v>
      </c>
      <c r="CN1064" t="s">
        <v>147</v>
      </c>
      <c r="CP1064" t="s">
        <v>484</v>
      </c>
      <c r="CQ1064" t="s">
        <v>147</v>
      </c>
    </row>
    <row r="1065" spans="1:95" x14ac:dyDescent="0.2">
      <c r="A1065" t="s">
        <v>115</v>
      </c>
      <c r="B1065" t="s">
        <v>116</v>
      </c>
      <c r="C1065">
        <v>210784</v>
      </c>
      <c r="E1065" t="s">
        <v>117</v>
      </c>
      <c r="F1065">
        <v>368</v>
      </c>
      <c r="G1065" t="s">
        <v>141</v>
      </c>
      <c r="H1065" t="s">
        <v>142</v>
      </c>
      <c r="I1065" t="s">
        <v>279</v>
      </c>
      <c r="J1065" t="s">
        <v>280</v>
      </c>
      <c r="L1065" t="s">
        <v>773</v>
      </c>
      <c r="M1065" s="8">
        <v>45992</v>
      </c>
      <c r="N1065">
        <v>5850604</v>
      </c>
      <c r="O1065" t="s">
        <v>123</v>
      </c>
      <c r="P1065" t="s">
        <v>146</v>
      </c>
      <c r="Q1065">
        <v>5.15</v>
      </c>
      <c r="R1065" t="s">
        <v>669</v>
      </c>
      <c r="S1065" t="s">
        <v>126</v>
      </c>
      <c r="T1065" t="s">
        <v>669</v>
      </c>
      <c r="U1065" t="s">
        <v>670</v>
      </c>
      <c r="W1065">
        <v>1.59</v>
      </c>
      <c r="X1065">
        <v>3.56</v>
      </c>
      <c r="Y1065">
        <v>5.15</v>
      </c>
      <c r="Z1065">
        <v>1.96</v>
      </c>
      <c r="AG1065">
        <v>1.59</v>
      </c>
      <c r="AI1065">
        <v>1.6</v>
      </c>
      <c r="BH1065" t="s">
        <v>126</v>
      </c>
      <c r="BI1065" t="s">
        <v>126</v>
      </c>
      <c r="BJ1065" t="s">
        <v>126</v>
      </c>
      <c r="BK1065" t="s">
        <v>126</v>
      </c>
      <c r="BS1065" t="s">
        <v>126</v>
      </c>
      <c r="BT1065" t="s">
        <v>126</v>
      </c>
      <c r="BU1065" t="s">
        <v>126</v>
      </c>
      <c r="BV1065" t="s">
        <v>126</v>
      </c>
      <c r="CN1065" t="s">
        <v>147</v>
      </c>
      <c r="CP1065" t="s">
        <v>484</v>
      </c>
      <c r="CQ1065" t="s">
        <v>147</v>
      </c>
    </row>
    <row r="1066" spans="1:95" x14ac:dyDescent="0.2">
      <c r="A1066" t="s">
        <v>115</v>
      </c>
      <c r="B1066" t="s">
        <v>116</v>
      </c>
      <c r="C1066">
        <v>210784</v>
      </c>
      <c r="E1066" t="s">
        <v>117</v>
      </c>
      <c r="F1066">
        <v>368</v>
      </c>
      <c r="G1066" t="s">
        <v>141</v>
      </c>
      <c r="H1066" t="s">
        <v>142</v>
      </c>
      <c r="I1066" t="s">
        <v>279</v>
      </c>
      <c r="J1066" t="s">
        <v>280</v>
      </c>
      <c r="L1066" t="s">
        <v>773</v>
      </c>
      <c r="M1066" s="8">
        <v>45992</v>
      </c>
      <c r="N1066">
        <v>5851264</v>
      </c>
      <c r="O1066" t="s">
        <v>123</v>
      </c>
      <c r="P1066" t="s">
        <v>146</v>
      </c>
      <c r="Q1066">
        <v>0.98</v>
      </c>
      <c r="R1066" t="s">
        <v>774</v>
      </c>
      <c r="S1066" t="s">
        <v>126</v>
      </c>
      <c r="T1066" t="s">
        <v>774</v>
      </c>
      <c r="U1066" t="s">
        <v>775</v>
      </c>
      <c r="W1066">
        <v>0.3</v>
      </c>
      <c r="X1066">
        <v>0.67999999999999994</v>
      </c>
      <c r="Y1066">
        <v>0.98</v>
      </c>
      <c r="Z1066">
        <v>0.37</v>
      </c>
      <c r="AG1066">
        <v>0.3</v>
      </c>
      <c r="AI1066">
        <v>0.31</v>
      </c>
      <c r="BH1066" t="s">
        <v>126</v>
      </c>
      <c r="BI1066" t="s">
        <v>126</v>
      </c>
      <c r="BJ1066" t="s">
        <v>126</v>
      </c>
      <c r="BK1066" t="s">
        <v>126</v>
      </c>
      <c r="BS1066" t="s">
        <v>126</v>
      </c>
      <c r="BT1066" t="s">
        <v>126</v>
      </c>
      <c r="BU1066" t="s">
        <v>126</v>
      </c>
      <c r="BV1066" t="s">
        <v>126</v>
      </c>
      <c r="CN1066" t="s">
        <v>147</v>
      </c>
      <c r="CP1066" t="s">
        <v>484</v>
      </c>
      <c r="CQ1066" t="s">
        <v>147</v>
      </c>
    </row>
    <row r="1067" spans="1:95" x14ac:dyDescent="0.2">
      <c r="A1067" t="s">
        <v>115</v>
      </c>
      <c r="B1067" t="s">
        <v>116</v>
      </c>
      <c r="C1067">
        <v>210784</v>
      </c>
      <c r="E1067" t="s">
        <v>117</v>
      </c>
      <c r="F1067">
        <v>368</v>
      </c>
      <c r="G1067" t="s">
        <v>141</v>
      </c>
      <c r="H1067" t="s">
        <v>142</v>
      </c>
      <c r="I1067" t="s">
        <v>279</v>
      </c>
      <c r="J1067" t="s">
        <v>280</v>
      </c>
      <c r="L1067" t="s">
        <v>776</v>
      </c>
      <c r="M1067" s="8">
        <v>45992</v>
      </c>
      <c r="N1067">
        <v>5853562</v>
      </c>
      <c r="O1067" t="s">
        <v>123</v>
      </c>
      <c r="P1067" t="s">
        <v>146</v>
      </c>
      <c r="Q1067">
        <v>1.6901000000000002</v>
      </c>
      <c r="R1067" t="s">
        <v>559</v>
      </c>
      <c r="S1067" t="s">
        <v>126</v>
      </c>
      <c r="T1067" t="s">
        <v>559</v>
      </c>
      <c r="U1067" t="s">
        <v>560</v>
      </c>
      <c r="W1067">
        <v>0.52090000000000003</v>
      </c>
      <c r="X1067">
        <v>1.1692</v>
      </c>
      <c r="Y1067">
        <v>1.6901000000000002</v>
      </c>
      <c r="Z1067">
        <v>0.64290000000000003</v>
      </c>
      <c r="AG1067">
        <v>0.52090000000000003</v>
      </c>
      <c r="AI1067">
        <v>0.52629999999999999</v>
      </c>
      <c r="BH1067" t="s">
        <v>126</v>
      </c>
      <c r="BI1067" t="s">
        <v>126</v>
      </c>
      <c r="BJ1067" t="s">
        <v>126</v>
      </c>
      <c r="BK1067" t="s">
        <v>126</v>
      </c>
      <c r="BS1067" t="s">
        <v>126</v>
      </c>
      <c r="BT1067" t="s">
        <v>126</v>
      </c>
      <c r="BU1067" t="s">
        <v>126</v>
      </c>
      <c r="BV1067" t="s">
        <v>126</v>
      </c>
      <c r="CN1067" t="s">
        <v>147</v>
      </c>
      <c r="CP1067" t="s">
        <v>490</v>
      </c>
      <c r="CQ1067" t="s">
        <v>147</v>
      </c>
    </row>
    <row r="1068" spans="1:95" x14ac:dyDescent="0.2">
      <c r="A1068" t="s">
        <v>115</v>
      </c>
      <c r="B1068" t="s">
        <v>116</v>
      </c>
      <c r="C1068">
        <v>210784</v>
      </c>
      <c r="E1068" t="s">
        <v>117</v>
      </c>
      <c r="F1068">
        <v>368</v>
      </c>
      <c r="G1068" t="s">
        <v>141</v>
      </c>
      <c r="H1068" t="s">
        <v>142</v>
      </c>
      <c r="I1068" t="s">
        <v>279</v>
      </c>
      <c r="J1068" t="s">
        <v>280</v>
      </c>
      <c r="L1068" t="s">
        <v>484</v>
      </c>
      <c r="M1068" s="8">
        <v>45992</v>
      </c>
      <c r="N1068">
        <v>5854840</v>
      </c>
      <c r="O1068" t="s">
        <v>123</v>
      </c>
      <c r="P1068" t="s">
        <v>146</v>
      </c>
      <c r="Q1068">
        <v>6.58</v>
      </c>
      <c r="R1068" t="s">
        <v>559</v>
      </c>
      <c r="S1068" t="s">
        <v>126</v>
      </c>
      <c r="T1068" t="s">
        <v>559</v>
      </c>
      <c r="U1068" t="s">
        <v>560</v>
      </c>
      <c r="W1068">
        <v>2.028</v>
      </c>
      <c r="X1068">
        <v>4.5519999999999996</v>
      </c>
      <c r="Y1068">
        <v>6.58</v>
      </c>
      <c r="Z1068">
        <v>2.5030000000000001</v>
      </c>
      <c r="AG1068">
        <v>2.028</v>
      </c>
      <c r="AI1068">
        <v>2.0489999999999999</v>
      </c>
      <c r="BH1068" t="s">
        <v>126</v>
      </c>
      <c r="BI1068" t="s">
        <v>126</v>
      </c>
      <c r="BJ1068" t="s">
        <v>126</v>
      </c>
      <c r="BK1068" t="s">
        <v>126</v>
      </c>
      <c r="BS1068" t="s">
        <v>126</v>
      </c>
      <c r="BT1068" t="s">
        <v>126</v>
      </c>
      <c r="BU1068" t="s">
        <v>126</v>
      </c>
      <c r="BV1068" t="s">
        <v>126</v>
      </c>
      <c r="CN1068" t="s">
        <v>147</v>
      </c>
      <c r="CP1068" t="s">
        <v>490</v>
      </c>
      <c r="CQ1068" t="s">
        <v>147</v>
      </c>
    </row>
    <row r="1069" spans="1:95" x14ac:dyDescent="0.2">
      <c r="A1069" t="s">
        <v>115</v>
      </c>
      <c r="B1069" t="s">
        <v>116</v>
      </c>
      <c r="C1069">
        <v>210784</v>
      </c>
      <c r="E1069" t="s">
        <v>117</v>
      </c>
      <c r="F1069">
        <v>368</v>
      </c>
      <c r="G1069" t="s">
        <v>118</v>
      </c>
      <c r="H1069" t="s">
        <v>119</v>
      </c>
      <c r="I1069" t="s">
        <v>130</v>
      </c>
      <c r="J1069" t="s">
        <v>131</v>
      </c>
      <c r="L1069" t="s">
        <v>770</v>
      </c>
      <c r="M1069" s="8">
        <v>45992</v>
      </c>
      <c r="N1069">
        <v>7346397</v>
      </c>
      <c r="O1069" t="s">
        <v>123</v>
      </c>
      <c r="P1069" t="s">
        <v>124</v>
      </c>
      <c r="Q1069">
        <v>15.870000000000001</v>
      </c>
      <c r="R1069" t="s">
        <v>125</v>
      </c>
      <c r="S1069" t="s">
        <v>126</v>
      </c>
      <c r="T1069" t="s">
        <v>125</v>
      </c>
      <c r="U1069" t="s">
        <v>126</v>
      </c>
      <c r="W1069">
        <v>15.870000000000001</v>
      </c>
      <c r="Y1069">
        <v>15.870000000000001</v>
      </c>
      <c r="AA1069">
        <v>5.87</v>
      </c>
      <c r="AC1069">
        <v>10</v>
      </c>
      <c r="BH1069" t="s">
        <v>126</v>
      </c>
      <c r="BI1069" t="s">
        <v>126</v>
      </c>
      <c r="BJ1069" t="s">
        <v>126</v>
      </c>
      <c r="BK1069" t="s">
        <v>126</v>
      </c>
      <c r="BS1069" t="s">
        <v>126</v>
      </c>
      <c r="BT1069" t="s">
        <v>126</v>
      </c>
      <c r="BU1069" t="s">
        <v>126</v>
      </c>
      <c r="BV1069" t="s">
        <v>126</v>
      </c>
      <c r="CN1069" t="s">
        <v>127</v>
      </c>
      <c r="CP1069" t="s">
        <v>136</v>
      </c>
      <c r="CQ1069" t="s">
        <v>127</v>
      </c>
    </row>
    <row r="1070" spans="1:95" x14ac:dyDescent="0.2">
      <c r="A1070" t="s">
        <v>115</v>
      </c>
      <c r="B1070" t="s">
        <v>116</v>
      </c>
      <c r="C1070">
        <v>210784</v>
      </c>
      <c r="E1070" t="s">
        <v>117</v>
      </c>
      <c r="F1070">
        <v>368</v>
      </c>
      <c r="G1070" t="s">
        <v>118</v>
      </c>
      <c r="H1070" t="s">
        <v>119</v>
      </c>
      <c r="I1070" t="s">
        <v>130</v>
      </c>
      <c r="J1070" t="s">
        <v>131</v>
      </c>
      <c r="L1070" t="s">
        <v>297</v>
      </c>
      <c r="M1070" s="8">
        <v>45992</v>
      </c>
      <c r="N1070">
        <v>7346616</v>
      </c>
      <c r="O1070" t="s">
        <v>123</v>
      </c>
      <c r="P1070" t="s">
        <v>124</v>
      </c>
      <c r="Q1070">
        <v>10.17</v>
      </c>
      <c r="R1070" t="s">
        <v>125</v>
      </c>
      <c r="S1070" t="s">
        <v>126</v>
      </c>
      <c r="T1070" t="s">
        <v>125</v>
      </c>
      <c r="U1070" t="s">
        <v>126</v>
      </c>
      <c r="W1070">
        <v>10.17</v>
      </c>
      <c r="Y1070">
        <v>10.17</v>
      </c>
      <c r="AA1070">
        <v>4.9996</v>
      </c>
      <c r="AC1070">
        <v>5.1703999999999999</v>
      </c>
      <c r="BH1070" t="s">
        <v>126</v>
      </c>
      <c r="BI1070" t="s">
        <v>126</v>
      </c>
      <c r="BJ1070" t="s">
        <v>126</v>
      </c>
      <c r="BK1070" t="s">
        <v>126</v>
      </c>
      <c r="BS1070" t="s">
        <v>126</v>
      </c>
      <c r="BT1070" t="s">
        <v>126</v>
      </c>
      <c r="BU1070" t="s">
        <v>126</v>
      </c>
      <c r="BV1070" t="s">
        <v>126</v>
      </c>
      <c r="CN1070" t="s">
        <v>127</v>
      </c>
      <c r="CP1070" t="s">
        <v>136</v>
      </c>
      <c r="CQ1070" t="s">
        <v>127</v>
      </c>
    </row>
    <row r="1071" spans="1:95" x14ac:dyDescent="0.2">
      <c r="A1071" t="s">
        <v>115</v>
      </c>
      <c r="B1071" t="s">
        <v>116</v>
      </c>
      <c r="C1071">
        <v>210784</v>
      </c>
      <c r="E1071" t="s">
        <v>117</v>
      </c>
      <c r="F1071">
        <v>368</v>
      </c>
      <c r="G1071" t="s">
        <v>141</v>
      </c>
      <c r="H1071" t="s">
        <v>142</v>
      </c>
      <c r="I1071" t="s">
        <v>279</v>
      </c>
      <c r="J1071" t="s">
        <v>280</v>
      </c>
      <c r="L1071" t="s">
        <v>763</v>
      </c>
      <c r="M1071" s="8">
        <v>45992</v>
      </c>
      <c r="N1071">
        <v>5838082</v>
      </c>
      <c r="O1071" t="s">
        <v>123</v>
      </c>
      <c r="P1071" t="s">
        <v>146</v>
      </c>
      <c r="Q1071">
        <v>3.48</v>
      </c>
      <c r="R1071" t="s">
        <v>125</v>
      </c>
      <c r="S1071" t="s">
        <v>126</v>
      </c>
      <c r="T1071" t="s">
        <v>125</v>
      </c>
      <c r="U1071" t="s">
        <v>126</v>
      </c>
      <c r="W1071">
        <v>3.48</v>
      </c>
      <c r="Y1071">
        <v>3.48</v>
      </c>
      <c r="BE1071">
        <v>3.48</v>
      </c>
      <c r="BH1071" t="s">
        <v>126</v>
      </c>
      <c r="BI1071" t="s">
        <v>126</v>
      </c>
      <c r="BJ1071" t="s">
        <v>126</v>
      </c>
      <c r="BK1071" t="s">
        <v>126</v>
      </c>
      <c r="BS1071" t="s">
        <v>126</v>
      </c>
      <c r="BT1071" t="s">
        <v>126</v>
      </c>
      <c r="BU1071" t="s">
        <v>126</v>
      </c>
      <c r="BV1071" t="s">
        <v>126</v>
      </c>
      <c r="CN1071" t="s">
        <v>147</v>
      </c>
      <c r="CP1071" t="s">
        <v>484</v>
      </c>
      <c r="CQ1071" t="s">
        <v>147</v>
      </c>
    </row>
    <row r="1072" spans="1:95" x14ac:dyDescent="0.2">
      <c r="A1072" t="s">
        <v>115</v>
      </c>
      <c r="B1072" t="s">
        <v>116</v>
      </c>
      <c r="C1072">
        <v>210784</v>
      </c>
      <c r="E1072" t="s">
        <v>117</v>
      </c>
      <c r="F1072">
        <v>368</v>
      </c>
      <c r="G1072" t="s">
        <v>141</v>
      </c>
      <c r="H1072" t="s">
        <v>142</v>
      </c>
      <c r="I1072" t="s">
        <v>279</v>
      </c>
      <c r="J1072" t="s">
        <v>280</v>
      </c>
      <c r="L1072" t="s">
        <v>763</v>
      </c>
      <c r="M1072" s="8">
        <v>45992</v>
      </c>
      <c r="N1072">
        <v>5837663</v>
      </c>
      <c r="O1072" t="s">
        <v>123</v>
      </c>
      <c r="P1072" t="s">
        <v>146</v>
      </c>
      <c r="Q1072">
        <v>8.85</v>
      </c>
      <c r="R1072" t="s">
        <v>125</v>
      </c>
      <c r="S1072" t="s">
        <v>126</v>
      </c>
      <c r="T1072" t="s">
        <v>125</v>
      </c>
      <c r="U1072" t="s">
        <v>126</v>
      </c>
      <c r="W1072">
        <v>8.85</v>
      </c>
      <c r="Y1072">
        <v>8.85</v>
      </c>
      <c r="BE1072">
        <v>8.85</v>
      </c>
      <c r="BH1072" t="s">
        <v>126</v>
      </c>
      <c r="BI1072" t="s">
        <v>126</v>
      </c>
      <c r="BJ1072" t="s">
        <v>126</v>
      </c>
      <c r="BK1072" t="s">
        <v>126</v>
      </c>
      <c r="BS1072" t="s">
        <v>126</v>
      </c>
      <c r="BT1072" t="s">
        <v>126</v>
      </c>
      <c r="BU1072" t="s">
        <v>126</v>
      </c>
      <c r="BV1072" t="s">
        <v>126</v>
      </c>
      <c r="CN1072" t="s">
        <v>147</v>
      </c>
      <c r="CP1072" t="s">
        <v>484</v>
      </c>
      <c r="CQ1072" t="s">
        <v>147</v>
      </c>
    </row>
    <row r="1073" spans="1:95" x14ac:dyDescent="0.2">
      <c r="A1073" t="s">
        <v>115</v>
      </c>
      <c r="B1073" t="s">
        <v>116</v>
      </c>
      <c r="C1073">
        <v>210784</v>
      </c>
      <c r="E1073" t="s">
        <v>117</v>
      </c>
      <c r="F1073">
        <v>368</v>
      </c>
      <c r="G1073" t="s">
        <v>141</v>
      </c>
      <c r="H1073" t="s">
        <v>142</v>
      </c>
      <c r="I1073" t="s">
        <v>279</v>
      </c>
      <c r="J1073" t="s">
        <v>280</v>
      </c>
      <c r="L1073" t="s">
        <v>761</v>
      </c>
      <c r="M1073" s="8">
        <v>45992</v>
      </c>
      <c r="N1073">
        <v>5839608</v>
      </c>
      <c r="O1073" t="s">
        <v>123</v>
      </c>
      <c r="P1073" t="s">
        <v>146</v>
      </c>
      <c r="Q1073">
        <v>6.54</v>
      </c>
      <c r="R1073" t="s">
        <v>125</v>
      </c>
      <c r="S1073" t="s">
        <v>126</v>
      </c>
      <c r="T1073" t="s">
        <v>125</v>
      </c>
      <c r="U1073" t="s">
        <v>126</v>
      </c>
      <c r="W1073">
        <v>6.54</v>
      </c>
      <c r="Y1073">
        <v>6.54</v>
      </c>
      <c r="BE1073">
        <v>6.54</v>
      </c>
      <c r="BH1073" t="s">
        <v>126</v>
      </c>
      <c r="BI1073" t="s">
        <v>126</v>
      </c>
      <c r="BJ1073" t="s">
        <v>126</v>
      </c>
      <c r="BK1073" t="s">
        <v>126</v>
      </c>
      <c r="BS1073" t="s">
        <v>126</v>
      </c>
      <c r="BT1073" t="s">
        <v>126</v>
      </c>
      <c r="BU1073" t="s">
        <v>126</v>
      </c>
      <c r="BV1073" t="s">
        <v>126</v>
      </c>
      <c r="CN1073" t="s">
        <v>147</v>
      </c>
      <c r="CP1073" t="s">
        <v>484</v>
      </c>
      <c r="CQ1073" t="s">
        <v>147</v>
      </c>
    </row>
    <row r="1074" spans="1:95" x14ac:dyDescent="0.2">
      <c r="A1074" t="s">
        <v>115</v>
      </c>
      <c r="B1074" t="s">
        <v>116</v>
      </c>
      <c r="C1074">
        <v>210784</v>
      </c>
      <c r="E1074" t="s">
        <v>117</v>
      </c>
      <c r="F1074">
        <v>368</v>
      </c>
      <c r="G1074" t="s">
        <v>141</v>
      </c>
      <c r="H1074" t="s">
        <v>142</v>
      </c>
      <c r="I1074" t="s">
        <v>279</v>
      </c>
      <c r="J1074" t="s">
        <v>280</v>
      </c>
      <c r="L1074" t="s">
        <v>769</v>
      </c>
      <c r="M1074" s="8">
        <v>45992</v>
      </c>
      <c r="N1074">
        <v>5841267</v>
      </c>
      <c r="O1074" t="s">
        <v>123</v>
      </c>
      <c r="P1074" t="s">
        <v>146</v>
      </c>
      <c r="Q1074">
        <v>4.72</v>
      </c>
      <c r="R1074" t="s">
        <v>125</v>
      </c>
      <c r="S1074" t="s">
        <v>126</v>
      </c>
      <c r="T1074" t="s">
        <v>125</v>
      </c>
      <c r="U1074" t="s">
        <v>126</v>
      </c>
      <c r="W1074">
        <v>4.72</v>
      </c>
      <c r="Y1074">
        <v>4.72</v>
      </c>
      <c r="BE1074">
        <v>4.72</v>
      </c>
      <c r="BH1074" t="s">
        <v>126</v>
      </c>
      <c r="BI1074" t="s">
        <v>126</v>
      </c>
      <c r="BJ1074" t="s">
        <v>126</v>
      </c>
      <c r="BK1074" t="s">
        <v>126</v>
      </c>
      <c r="BS1074" t="s">
        <v>126</v>
      </c>
      <c r="BT1074" t="s">
        <v>126</v>
      </c>
      <c r="BU1074" t="s">
        <v>126</v>
      </c>
      <c r="BV1074" t="s">
        <v>126</v>
      </c>
      <c r="CN1074" t="s">
        <v>147</v>
      </c>
      <c r="CP1074" t="s">
        <v>484</v>
      </c>
      <c r="CQ1074" t="s">
        <v>147</v>
      </c>
    </row>
    <row r="1075" spans="1:95" x14ac:dyDescent="0.2">
      <c r="A1075" t="s">
        <v>115</v>
      </c>
      <c r="B1075" t="s">
        <v>116</v>
      </c>
      <c r="C1075">
        <v>210784</v>
      </c>
      <c r="E1075" t="s">
        <v>117</v>
      </c>
      <c r="F1075">
        <v>368</v>
      </c>
      <c r="G1075" t="s">
        <v>141</v>
      </c>
      <c r="H1075" t="s">
        <v>142</v>
      </c>
      <c r="I1075" t="s">
        <v>279</v>
      </c>
      <c r="J1075" t="s">
        <v>280</v>
      </c>
      <c r="L1075" t="s">
        <v>486</v>
      </c>
      <c r="M1075" s="8">
        <v>45992</v>
      </c>
      <c r="N1075">
        <v>5842294</v>
      </c>
      <c r="O1075" t="s">
        <v>123</v>
      </c>
      <c r="P1075" t="s">
        <v>146</v>
      </c>
      <c r="Q1075">
        <v>4.08</v>
      </c>
      <c r="R1075" t="s">
        <v>125</v>
      </c>
      <c r="S1075" t="s">
        <v>126</v>
      </c>
      <c r="T1075" t="s">
        <v>125</v>
      </c>
      <c r="U1075" t="s">
        <v>126</v>
      </c>
      <c r="W1075">
        <v>4.08</v>
      </c>
      <c r="Y1075">
        <v>4.08</v>
      </c>
      <c r="BE1075">
        <v>4.08</v>
      </c>
      <c r="BH1075" t="s">
        <v>126</v>
      </c>
      <c r="BI1075" t="s">
        <v>126</v>
      </c>
      <c r="BJ1075" t="s">
        <v>126</v>
      </c>
      <c r="BK1075" t="s">
        <v>126</v>
      </c>
      <c r="BS1075" t="s">
        <v>126</v>
      </c>
      <c r="BT1075" t="s">
        <v>126</v>
      </c>
      <c r="BU1075" t="s">
        <v>126</v>
      </c>
      <c r="BV1075" t="s">
        <v>126</v>
      </c>
      <c r="CN1075" t="s">
        <v>147</v>
      </c>
      <c r="CP1075" t="s">
        <v>484</v>
      </c>
      <c r="CQ1075" t="s">
        <v>147</v>
      </c>
    </row>
    <row r="1076" spans="1:95" x14ac:dyDescent="0.2">
      <c r="A1076" t="s">
        <v>115</v>
      </c>
      <c r="B1076" t="s">
        <v>116</v>
      </c>
      <c r="C1076">
        <v>210784</v>
      </c>
      <c r="E1076" t="s">
        <v>117</v>
      </c>
      <c r="F1076">
        <v>368</v>
      </c>
      <c r="G1076" t="s">
        <v>141</v>
      </c>
      <c r="H1076" t="s">
        <v>142</v>
      </c>
      <c r="I1076" t="s">
        <v>279</v>
      </c>
      <c r="J1076" t="s">
        <v>280</v>
      </c>
      <c r="L1076" t="s">
        <v>487</v>
      </c>
      <c r="M1076" s="8">
        <v>45992</v>
      </c>
      <c r="N1076">
        <v>5842694</v>
      </c>
      <c r="O1076" t="s">
        <v>123</v>
      </c>
      <c r="P1076" t="s">
        <v>146</v>
      </c>
      <c r="Q1076">
        <v>9.35</v>
      </c>
      <c r="R1076" t="s">
        <v>125</v>
      </c>
      <c r="S1076" t="s">
        <v>126</v>
      </c>
      <c r="T1076" t="s">
        <v>125</v>
      </c>
      <c r="U1076" t="s">
        <v>126</v>
      </c>
      <c r="W1076">
        <v>9.35</v>
      </c>
      <c r="Y1076">
        <v>9.35</v>
      </c>
      <c r="BE1076">
        <v>9.35</v>
      </c>
      <c r="BH1076" t="s">
        <v>126</v>
      </c>
      <c r="BI1076" t="s">
        <v>126</v>
      </c>
      <c r="BJ1076" t="s">
        <v>126</v>
      </c>
      <c r="BK1076" t="s">
        <v>126</v>
      </c>
      <c r="BS1076" t="s">
        <v>126</v>
      </c>
      <c r="BT1076" t="s">
        <v>126</v>
      </c>
      <c r="BU1076" t="s">
        <v>126</v>
      </c>
      <c r="BV1076" t="s">
        <v>126</v>
      </c>
      <c r="CN1076" t="s">
        <v>147</v>
      </c>
      <c r="CP1076" t="s">
        <v>484</v>
      </c>
      <c r="CQ1076" t="s">
        <v>147</v>
      </c>
    </row>
    <row r="1077" spans="1:95" x14ac:dyDescent="0.2">
      <c r="A1077" t="s">
        <v>115</v>
      </c>
      <c r="B1077" t="s">
        <v>116</v>
      </c>
      <c r="C1077">
        <v>210784</v>
      </c>
      <c r="E1077" t="s">
        <v>117</v>
      </c>
      <c r="F1077">
        <v>368</v>
      </c>
      <c r="G1077" t="s">
        <v>141</v>
      </c>
      <c r="H1077" t="s">
        <v>142</v>
      </c>
      <c r="I1077" t="s">
        <v>279</v>
      </c>
      <c r="J1077" t="s">
        <v>280</v>
      </c>
      <c r="L1077" t="s">
        <v>297</v>
      </c>
      <c r="M1077" s="8">
        <v>45992</v>
      </c>
      <c r="N1077">
        <v>58444221</v>
      </c>
      <c r="O1077" t="s">
        <v>123</v>
      </c>
      <c r="P1077" t="s">
        <v>146</v>
      </c>
      <c r="Q1077">
        <v>3.78</v>
      </c>
      <c r="R1077" t="s">
        <v>125</v>
      </c>
      <c r="S1077" t="s">
        <v>126</v>
      </c>
      <c r="T1077" t="s">
        <v>125</v>
      </c>
      <c r="U1077" t="s">
        <v>126</v>
      </c>
      <c r="W1077">
        <v>3.78</v>
      </c>
      <c r="Y1077">
        <v>3.78</v>
      </c>
      <c r="BE1077">
        <v>3.78</v>
      </c>
      <c r="BH1077" t="s">
        <v>126</v>
      </c>
      <c r="BI1077" t="s">
        <v>126</v>
      </c>
      <c r="BJ1077" t="s">
        <v>126</v>
      </c>
      <c r="BK1077" t="s">
        <v>126</v>
      </c>
      <c r="BS1077" t="s">
        <v>126</v>
      </c>
      <c r="BT1077" t="s">
        <v>126</v>
      </c>
      <c r="BU1077" t="s">
        <v>126</v>
      </c>
      <c r="BV1077" t="s">
        <v>126</v>
      </c>
      <c r="CN1077" t="s">
        <v>147</v>
      </c>
      <c r="CP1077" t="s">
        <v>484</v>
      </c>
      <c r="CQ1077" t="s">
        <v>147</v>
      </c>
    </row>
    <row r="1078" spans="1:95" x14ac:dyDescent="0.2">
      <c r="A1078" t="s">
        <v>115</v>
      </c>
      <c r="B1078" t="s">
        <v>116</v>
      </c>
      <c r="C1078">
        <v>210784</v>
      </c>
      <c r="E1078" t="s">
        <v>117</v>
      </c>
      <c r="F1078">
        <v>368</v>
      </c>
      <c r="G1078" t="s">
        <v>141</v>
      </c>
      <c r="H1078" t="s">
        <v>142</v>
      </c>
      <c r="I1078" t="s">
        <v>279</v>
      </c>
      <c r="J1078" t="s">
        <v>280</v>
      </c>
      <c r="L1078" t="s">
        <v>772</v>
      </c>
      <c r="M1078" s="8">
        <v>45992</v>
      </c>
      <c r="N1078">
        <v>5848804</v>
      </c>
      <c r="O1078" t="s">
        <v>123</v>
      </c>
      <c r="P1078" t="s">
        <v>146</v>
      </c>
      <c r="Q1078">
        <v>9.91</v>
      </c>
      <c r="R1078" t="s">
        <v>125</v>
      </c>
      <c r="S1078" t="s">
        <v>126</v>
      </c>
      <c r="T1078" t="s">
        <v>125</v>
      </c>
      <c r="U1078" t="s">
        <v>126</v>
      </c>
      <c r="W1078">
        <v>9.91</v>
      </c>
      <c r="Y1078">
        <v>9.91</v>
      </c>
      <c r="BE1078">
        <v>9.91</v>
      </c>
      <c r="BH1078" t="s">
        <v>126</v>
      </c>
      <c r="BI1078" t="s">
        <v>126</v>
      </c>
      <c r="BJ1078" t="s">
        <v>126</v>
      </c>
      <c r="BK1078" t="s">
        <v>126</v>
      </c>
      <c r="BS1078" t="s">
        <v>126</v>
      </c>
      <c r="BT1078" t="s">
        <v>126</v>
      </c>
      <c r="BU1078" t="s">
        <v>126</v>
      </c>
      <c r="BV1078" t="s">
        <v>126</v>
      </c>
      <c r="CN1078" t="s">
        <v>147</v>
      </c>
      <c r="CP1078" t="s">
        <v>484</v>
      </c>
      <c r="CQ1078" t="s">
        <v>147</v>
      </c>
    </row>
    <row r="1079" spans="1:95" x14ac:dyDescent="0.2">
      <c r="A1079" t="s">
        <v>115</v>
      </c>
      <c r="B1079" t="s">
        <v>116</v>
      </c>
      <c r="C1079">
        <v>210784</v>
      </c>
      <c r="E1079" t="s">
        <v>117</v>
      </c>
      <c r="F1079">
        <v>368</v>
      </c>
      <c r="G1079" t="s">
        <v>141</v>
      </c>
      <c r="H1079" t="s">
        <v>142</v>
      </c>
      <c r="I1079" t="s">
        <v>279</v>
      </c>
      <c r="J1079" t="s">
        <v>280</v>
      </c>
      <c r="L1079" t="s">
        <v>908</v>
      </c>
      <c r="M1079" s="8">
        <v>45992</v>
      </c>
      <c r="N1079">
        <v>5851782</v>
      </c>
      <c r="O1079" t="s">
        <v>123</v>
      </c>
      <c r="P1079" t="s">
        <v>146</v>
      </c>
      <c r="Q1079">
        <v>5.81</v>
      </c>
      <c r="R1079" t="s">
        <v>125</v>
      </c>
      <c r="S1079" t="s">
        <v>126</v>
      </c>
      <c r="T1079" t="s">
        <v>125</v>
      </c>
      <c r="U1079" t="s">
        <v>126</v>
      </c>
      <c r="W1079">
        <v>5.81</v>
      </c>
      <c r="Y1079">
        <v>5.81</v>
      </c>
      <c r="BE1079">
        <v>5.81</v>
      </c>
      <c r="BH1079" t="s">
        <v>126</v>
      </c>
      <c r="BI1079" t="s">
        <v>126</v>
      </c>
      <c r="BJ1079" t="s">
        <v>126</v>
      </c>
      <c r="BK1079" t="s">
        <v>126</v>
      </c>
      <c r="BS1079" t="s">
        <v>126</v>
      </c>
      <c r="BT1079" t="s">
        <v>126</v>
      </c>
      <c r="BU1079" t="s">
        <v>126</v>
      </c>
      <c r="BV1079" t="s">
        <v>126</v>
      </c>
      <c r="CN1079" t="s">
        <v>147</v>
      </c>
      <c r="CP1079" t="s">
        <v>484</v>
      </c>
      <c r="CQ1079" t="s">
        <v>147</v>
      </c>
    </row>
    <row r="1080" spans="1:95" x14ac:dyDescent="0.2">
      <c r="A1080" t="s">
        <v>115</v>
      </c>
      <c r="B1080" t="s">
        <v>116</v>
      </c>
      <c r="C1080">
        <v>210784</v>
      </c>
      <c r="E1080" t="s">
        <v>117</v>
      </c>
      <c r="F1080">
        <v>368</v>
      </c>
      <c r="G1080" t="s">
        <v>141</v>
      </c>
      <c r="H1080" t="s">
        <v>142</v>
      </c>
      <c r="I1080" t="s">
        <v>279</v>
      </c>
      <c r="J1080" t="s">
        <v>280</v>
      </c>
      <c r="L1080" t="s">
        <v>776</v>
      </c>
      <c r="M1080" s="8">
        <v>45992</v>
      </c>
      <c r="N1080">
        <v>5853423</v>
      </c>
      <c r="O1080" t="s">
        <v>123</v>
      </c>
      <c r="P1080" t="s">
        <v>146</v>
      </c>
      <c r="Q1080">
        <v>2.68</v>
      </c>
      <c r="R1080" t="s">
        <v>125</v>
      </c>
      <c r="S1080" t="s">
        <v>126</v>
      </c>
      <c r="T1080" t="s">
        <v>125</v>
      </c>
      <c r="U1080" t="s">
        <v>126</v>
      </c>
      <c r="W1080">
        <v>2.68</v>
      </c>
      <c r="Y1080">
        <v>2.68</v>
      </c>
      <c r="BE1080">
        <v>2.68</v>
      </c>
      <c r="BH1080" t="s">
        <v>126</v>
      </c>
      <c r="BI1080" t="s">
        <v>126</v>
      </c>
      <c r="BJ1080" t="s">
        <v>126</v>
      </c>
      <c r="BK1080" t="s">
        <v>126</v>
      </c>
      <c r="BS1080" t="s">
        <v>126</v>
      </c>
      <c r="BT1080" t="s">
        <v>126</v>
      </c>
      <c r="BU1080" t="s">
        <v>126</v>
      </c>
      <c r="BV1080" t="s">
        <v>126</v>
      </c>
      <c r="CN1080" t="s">
        <v>147</v>
      </c>
      <c r="CP1080" t="s">
        <v>490</v>
      </c>
      <c r="CQ1080" t="s">
        <v>147</v>
      </c>
    </row>
    <row r="1081" spans="1:95" x14ac:dyDescent="0.2">
      <c r="A1081" t="s">
        <v>115</v>
      </c>
      <c r="B1081" t="s">
        <v>116</v>
      </c>
      <c r="C1081">
        <v>210784</v>
      </c>
      <c r="E1081" t="s">
        <v>117</v>
      </c>
      <c r="F1081">
        <v>368</v>
      </c>
      <c r="G1081" t="s">
        <v>141</v>
      </c>
      <c r="H1081" t="s">
        <v>142</v>
      </c>
      <c r="I1081" t="s">
        <v>279</v>
      </c>
      <c r="J1081" t="s">
        <v>280</v>
      </c>
      <c r="L1081" t="s">
        <v>484</v>
      </c>
      <c r="M1081" s="8">
        <v>45992</v>
      </c>
      <c r="N1081">
        <v>5854794</v>
      </c>
      <c r="O1081" t="s">
        <v>123</v>
      </c>
      <c r="P1081" t="s">
        <v>146</v>
      </c>
      <c r="Q1081">
        <v>5.54</v>
      </c>
      <c r="R1081" t="s">
        <v>125</v>
      </c>
      <c r="S1081" t="s">
        <v>126</v>
      </c>
      <c r="T1081" t="s">
        <v>125</v>
      </c>
      <c r="U1081" t="s">
        <v>126</v>
      </c>
      <c r="W1081">
        <v>5.54</v>
      </c>
      <c r="Y1081">
        <v>5.54</v>
      </c>
      <c r="BE1081">
        <v>5.54</v>
      </c>
      <c r="BH1081" t="s">
        <v>126</v>
      </c>
      <c r="BI1081" t="s">
        <v>126</v>
      </c>
      <c r="BJ1081" t="s">
        <v>126</v>
      </c>
      <c r="BK1081" t="s">
        <v>126</v>
      </c>
      <c r="BS1081" t="s">
        <v>126</v>
      </c>
      <c r="BT1081" t="s">
        <v>126</v>
      </c>
      <c r="BU1081" t="s">
        <v>126</v>
      </c>
      <c r="BV1081" t="s">
        <v>126</v>
      </c>
      <c r="CN1081" t="s">
        <v>147</v>
      </c>
      <c r="CP1081" t="s">
        <v>490</v>
      </c>
      <c r="CQ1081" t="s">
        <v>147</v>
      </c>
    </row>
    <row r="1082" spans="1:95" x14ac:dyDescent="0.2">
      <c r="A1082" t="s">
        <v>115</v>
      </c>
      <c r="B1082" t="s">
        <v>116</v>
      </c>
      <c r="C1082">
        <v>210784</v>
      </c>
      <c r="E1082" t="s">
        <v>117</v>
      </c>
      <c r="F1082">
        <v>368</v>
      </c>
      <c r="G1082" t="s">
        <v>118</v>
      </c>
      <c r="H1082" t="s">
        <v>119</v>
      </c>
      <c r="I1082" t="s">
        <v>130</v>
      </c>
      <c r="J1082" t="s">
        <v>131</v>
      </c>
      <c r="L1082" t="s">
        <v>132</v>
      </c>
      <c r="M1082" s="8">
        <v>46023</v>
      </c>
      <c r="N1082">
        <v>7349991</v>
      </c>
      <c r="O1082" t="s">
        <v>123</v>
      </c>
      <c r="P1082" t="s">
        <v>124</v>
      </c>
      <c r="Q1082">
        <v>16.59</v>
      </c>
      <c r="R1082" t="s">
        <v>125</v>
      </c>
      <c r="S1082" t="s">
        <v>126</v>
      </c>
      <c r="T1082" t="s">
        <v>125</v>
      </c>
      <c r="U1082" t="s">
        <v>126</v>
      </c>
      <c r="W1082">
        <v>16.59</v>
      </c>
      <c r="Y1082">
        <v>16.59</v>
      </c>
      <c r="AA1082">
        <v>16.59</v>
      </c>
      <c r="BH1082" t="s">
        <v>126</v>
      </c>
      <c r="BI1082" t="s">
        <v>126</v>
      </c>
      <c r="BJ1082" t="s">
        <v>126</v>
      </c>
      <c r="BK1082" t="s">
        <v>126</v>
      </c>
      <c r="BS1082" t="s">
        <v>126</v>
      </c>
      <c r="BT1082" t="s">
        <v>126</v>
      </c>
      <c r="BU1082" t="s">
        <v>126</v>
      </c>
      <c r="BV1082" t="s">
        <v>126</v>
      </c>
      <c r="CN1082" t="s">
        <v>119</v>
      </c>
      <c r="CP1082" t="s">
        <v>133</v>
      </c>
      <c r="CQ1082" t="s">
        <v>119</v>
      </c>
    </row>
    <row r="1083" spans="1:95" x14ac:dyDescent="0.2">
      <c r="A1083" t="s">
        <v>115</v>
      </c>
      <c r="B1083" t="s">
        <v>116</v>
      </c>
      <c r="C1083">
        <v>210784</v>
      </c>
      <c r="E1083" t="s">
        <v>117</v>
      </c>
      <c r="F1083">
        <v>368</v>
      </c>
      <c r="G1083" t="s">
        <v>118</v>
      </c>
      <c r="H1083" t="s">
        <v>119</v>
      </c>
      <c r="I1083" t="s">
        <v>130</v>
      </c>
      <c r="J1083" t="s">
        <v>131</v>
      </c>
      <c r="L1083" t="s">
        <v>132</v>
      </c>
      <c r="M1083" s="8">
        <v>46023</v>
      </c>
      <c r="N1083">
        <v>7349999</v>
      </c>
      <c r="O1083" t="s">
        <v>123</v>
      </c>
      <c r="P1083" t="s">
        <v>124</v>
      </c>
      <c r="Q1083">
        <v>18.82</v>
      </c>
      <c r="R1083" t="s">
        <v>125</v>
      </c>
      <c r="S1083" t="s">
        <v>126</v>
      </c>
      <c r="T1083" t="s">
        <v>125</v>
      </c>
      <c r="U1083" t="s">
        <v>126</v>
      </c>
      <c r="W1083">
        <v>18.82</v>
      </c>
      <c r="Y1083">
        <v>18.82</v>
      </c>
      <c r="AA1083">
        <v>18.82</v>
      </c>
      <c r="BH1083" t="s">
        <v>126</v>
      </c>
      <c r="BI1083" t="s">
        <v>126</v>
      </c>
      <c r="BJ1083" t="s">
        <v>126</v>
      </c>
      <c r="BK1083" t="s">
        <v>126</v>
      </c>
      <c r="BS1083" t="s">
        <v>126</v>
      </c>
      <c r="BT1083" t="s">
        <v>126</v>
      </c>
      <c r="BU1083" t="s">
        <v>126</v>
      </c>
      <c r="BV1083" t="s">
        <v>126</v>
      </c>
      <c r="CN1083" t="s">
        <v>119</v>
      </c>
      <c r="CP1083" t="s">
        <v>133</v>
      </c>
      <c r="CQ1083" t="s">
        <v>119</v>
      </c>
    </row>
    <row r="1084" spans="1:95" x14ac:dyDescent="0.2">
      <c r="A1084" t="s">
        <v>115</v>
      </c>
      <c r="B1084" t="s">
        <v>116</v>
      </c>
      <c r="C1084">
        <v>210784</v>
      </c>
      <c r="E1084" t="s">
        <v>117</v>
      </c>
      <c r="F1084">
        <v>368</v>
      </c>
      <c r="G1084" t="s">
        <v>118</v>
      </c>
      <c r="H1084" t="s">
        <v>119</v>
      </c>
      <c r="I1084" t="s">
        <v>130</v>
      </c>
      <c r="J1084" t="s">
        <v>131</v>
      </c>
      <c r="L1084" t="s">
        <v>132</v>
      </c>
      <c r="M1084" s="8">
        <v>46023</v>
      </c>
      <c r="N1084">
        <v>7350062</v>
      </c>
      <c r="O1084" t="s">
        <v>123</v>
      </c>
      <c r="P1084" t="s">
        <v>124</v>
      </c>
      <c r="Q1084">
        <v>17.190000000000001</v>
      </c>
      <c r="R1084" t="s">
        <v>125</v>
      </c>
      <c r="S1084" t="s">
        <v>126</v>
      </c>
      <c r="T1084" t="s">
        <v>125</v>
      </c>
      <c r="U1084" t="s">
        <v>126</v>
      </c>
      <c r="W1084">
        <v>17.190000000000001</v>
      </c>
      <c r="Y1084">
        <v>17.190000000000001</v>
      </c>
      <c r="AA1084">
        <v>17.190000000000001</v>
      </c>
      <c r="BH1084" t="s">
        <v>126</v>
      </c>
      <c r="BI1084" t="s">
        <v>126</v>
      </c>
      <c r="BJ1084" t="s">
        <v>126</v>
      </c>
      <c r="BK1084" t="s">
        <v>126</v>
      </c>
      <c r="BS1084" t="s">
        <v>126</v>
      </c>
      <c r="BT1084" t="s">
        <v>126</v>
      </c>
      <c r="BU1084" t="s">
        <v>126</v>
      </c>
      <c r="BV1084" t="s">
        <v>126</v>
      </c>
      <c r="CN1084" t="s">
        <v>119</v>
      </c>
      <c r="CP1084" t="s">
        <v>133</v>
      </c>
      <c r="CQ1084" t="s">
        <v>119</v>
      </c>
    </row>
    <row r="1085" spans="1:95" x14ac:dyDescent="0.2">
      <c r="A1085" t="s">
        <v>115</v>
      </c>
      <c r="B1085" t="s">
        <v>116</v>
      </c>
      <c r="C1085">
        <v>210784</v>
      </c>
      <c r="E1085" t="s">
        <v>117</v>
      </c>
      <c r="F1085">
        <v>368</v>
      </c>
      <c r="G1085" t="s">
        <v>118</v>
      </c>
      <c r="H1085" t="s">
        <v>119</v>
      </c>
      <c r="I1085" t="s">
        <v>130</v>
      </c>
      <c r="J1085" t="s">
        <v>131</v>
      </c>
      <c r="L1085" t="s">
        <v>132</v>
      </c>
      <c r="M1085" s="8">
        <v>46023</v>
      </c>
      <c r="N1085">
        <v>7350115</v>
      </c>
      <c r="O1085" t="s">
        <v>123</v>
      </c>
      <c r="P1085" t="s">
        <v>124</v>
      </c>
      <c r="Q1085">
        <v>17.22</v>
      </c>
      <c r="R1085" t="s">
        <v>125</v>
      </c>
      <c r="S1085" t="s">
        <v>126</v>
      </c>
      <c r="T1085" t="s">
        <v>125</v>
      </c>
      <c r="U1085" t="s">
        <v>126</v>
      </c>
      <c r="W1085">
        <v>17.22</v>
      </c>
      <c r="Y1085">
        <v>17.22</v>
      </c>
      <c r="AA1085">
        <v>17.22</v>
      </c>
      <c r="BH1085" t="s">
        <v>126</v>
      </c>
      <c r="BI1085" t="s">
        <v>126</v>
      </c>
      <c r="BJ1085" t="s">
        <v>126</v>
      </c>
      <c r="BK1085" t="s">
        <v>126</v>
      </c>
      <c r="BS1085" t="s">
        <v>126</v>
      </c>
      <c r="BT1085" t="s">
        <v>126</v>
      </c>
      <c r="BU1085" t="s">
        <v>126</v>
      </c>
      <c r="BV1085" t="s">
        <v>126</v>
      </c>
      <c r="CN1085" t="s">
        <v>119</v>
      </c>
      <c r="CP1085" t="s">
        <v>133</v>
      </c>
      <c r="CQ1085" t="s">
        <v>119</v>
      </c>
    </row>
    <row r="1086" spans="1:95" x14ac:dyDescent="0.2">
      <c r="A1086" t="s">
        <v>115</v>
      </c>
      <c r="B1086" t="s">
        <v>116</v>
      </c>
      <c r="C1086">
        <v>210784</v>
      </c>
      <c r="E1086" t="s">
        <v>117</v>
      </c>
      <c r="F1086">
        <v>368</v>
      </c>
      <c r="G1086" t="s">
        <v>118</v>
      </c>
      <c r="H1086" t="s">
        <v>119</v>
      </c>
      <c r="I1086" t="s">
        <v>130</v>
      </c>
      <c r="J1086" t="s">
        <v>131</v>
      </c>
      <c r="L1086" t="s">
        <v>132</v>
      </c>
      <c r="M1086" s="8">
        <v>46023</v>
      </c>
      <c r="N1086">
        <v>7350129</v>
      </c>
      <c r="O1086" t="s">
        <v>123</v>
      </c>
      <c r="P1086" t="s">
        <v>124</v>
      </c>
      <c r="Q1086">
        <v>16.32</v>
      </c>
      <c r="R1086" t="s">
        <v>125</v>
      </c>
      <c r="S1086" t="s">
        <v>126</v>
      </c>
      <c r="T1086" t="s">
        <v>125</v>
      </c>
      <c r="U1086" t="s">
        <v>126</v>
      </c>
      <c r="W1086">
        <v>16.32</v>
      </c>
      <c r="Y1086">
        <v>16.32</v>
      </c>
      <c r="AA1086">
        <v>16.32</v>
      </c>
      <c r="BH1086" t="s">
        <v>126</v>
      </c>
      <c r="BI1086" t="s">
        <v>126</v>
      </c>
      <c r="BJ1086" t="s">
        <v>126</v>
      </c>
      <c r="BK1086" t="s">
        <v>126</v>
      </c>
      <c r="BS1086" t="s">
        <v>126</v>
      </c>
      <c r="BT1086" t="s">
        <v>126</v>
      </c>
      <c r="BU1086" t="s">
        <v>126</v>
      </c>
      <c r="BV1086" t="s">
        <v>126</v>
      </c>
      <c r="CN1086" t="s">
        <v>119</v>
      </c>
      <c r="CP1086" t="s">
        <v>133</v>
      </c>
      <c r="CQ1086" t="s">
        <v>119</v>
      </c>
    </row>
    <row r="1087" spans="1:95" x14ac:dyDescent="0.2">
      <c r="A1087" t="s">
        <v>115</v>
      </c>
      <c r="B1087" t="s">
        <v>116</v>
      </c>
      <c r="C1087">
        <v>210784</v>
      </c>
      <c r="E1087" t="s">
        <v>117</v>
      </c>
      <c r="F1087">
        <v>368</v>
      </c>
      <c r="G1087" t="s">
        <v>118</v>
      </c>
      <c r="H1087" t="s">
        <v>119</v>
      </c>
      <c r="I1087" t="s">
        <v>130</v>
      </c>
      <c r="J1087" t="s">
        <v>131</v>
      </c>
      <c r="L1087" t="s">
        <v>132</v>
      </c>
      <c r="M1087" s="8">
        <v>46023</v>
      </c>
      <c r="N1087">
        <v>7350166</v>
      </c>
      <c r="O1087" t="s">
        <v>123</v>
      </c>
      <c r="P1087" t="s">
        <v>124</v>
      </c>
      <c r="Q1087">
        <v>18.05</v>
      </c>
      <c r="R1087" t="s">
        <v>125</v>
      </c>
      <c r="S1087" t="s">
        <v>126</v>
      </c>
      <c r="T1087" t="s">
        <v>125</v>
      </c>
      <c r="U1087" t="s">
        <v>126</v>
      </c>
      <c r="W1087">
        <v>18.05</v>
      </c>
      <c r="Y1087">
        <v>18.05</v>
      </c>
      <c r="AA1087">
        <v>18.05</v>
      </c>
      <c r="BH1087" t="s">
        <v>126</v>
      </c>
      <c r="BI1087" t="s">
        <v>126</v>
      </c>
      <c r="BJ1087" t="s">
        <v>126</v>
      </c>
      <c r="BK1087" t="s">
        <v>126</v>
      </c>
      <c r="BS1087" t="s">
        <v>126</v>
      </c>
      <c r="BT1087" t="s">
        <v>126</v>
      </c>
      <c r="BU1087" t="s">
        <v>126</v>
      </c>
      <c r="BV1087" t="s">
        <v>126</v>
      </c>
      <c r="CN1087" t="s">
        <v>119</v>
      </c>
      <c r="CP1087" t="s">
        <v>133</v>
      </c>
      <c r="CQ1087" t="s">
        <v>119</v>
      </c>
    </row>
    <row r="1088" spans="1:95" x14ac:dyDescent="0.2">
      <c r="A1088" t="s">
        <v>115</v>
      </c>
      <c r="B1088" t="s">
        <v>116</v>
      </c>
      <c r="C1088">
        <v>210784</v>
      </c>
      <c r="E1088" t="s">
        <v>117</v>
      </c>
      <c r="F1088">
        <v>368</v>
      </c>
      <c r="G1088" t="s">
        <v>118</v>
      </c>
      <c r="H1088" t="s">
        <v>119</v>
      </c>
      <c r="I1088" t="s">
        <v>130</v>
      </c>
      <c r="J1088" t="s">
        <v>131</v>
      </c>
      <c r="L1088" t="s">
        <v>132</v>
      </c>
      <c r="M1088" s="8">
        <v>46023</v>
      </c>
      <c r="N1088">
        <v>7350178</v>
      </c>
      <c r="O1088" t="s">
        <v>123</v>
      </c>
      <c r="P1088" t="s">
        <v>124</v>
      </c>
      <c r="Q1088">
        <v>15.54</v>
      </c>
      <c r="R1088" t="s">
        <v>125</v>
      </c>
      <c r="S1088" t="s">
        <v>126</v>
      </c>
      <c r="T1088" t="s">
        <v>125</v>
      </c>
      <c r="U1088" t="s">
        <v>126</v>
      </c>
      <c r="W1088">
        <v>15.54</v>
      </c>
      <c r="Y1088">
        <v>15.54</v>
      </c>
      <c r="AA1088">
        <v>15.54</v>
      </c>
      <c r="BH1088" t="s">
        <v>126</v>
      </c>
      <c r="BI1088" t="s">
        <v>126</v>
      </c>
      <c r="BJ1088" t="s">
        <v>126</v>
      </c>
      <c r="BK1088" t="s">
        <v>126</v>
      </c>
      <c r="BS1088" t="s">
        <v>126</v>
      </c>
      <c r="BT1088" t="s">
        <v>126</v>
      </c>
      <c r="BU1088" t="s">
        <v>126</v>
      </c>
      <c r="BV1088" t="s">
        <v>126</v>
      </c>
      <c r="CN1088" t="s">
        <v>119</v>
      </c>
      <c r="CP1088" t="s">
        <v>133</v>
      </c>
      <c r="CQ1088" t="s">
        <v>119</v>
      </c>
    </row>
    <row r="1089" spans="1:95" x14ac:dyDescent="0.2">
      <c r="A1089" t="s">
        <v>115</v>
      </c>
      <c r="B1089" t="s">
        <v>116</v>
      </c>
      <c r="C1089">
        <v>210784</v>
      </c>
      <c r="E1089" t="s">
        <v>117</v>
      </c>
      <c r="F1089">
        <v>368</v>
      </c>
      <c r="G1089" t="s">
        <v>118</v>
      </c>
      <c r="H1089" t="s">
        <v>119</v>
      </c>
      <c r="I1089" t="s">
        <v>120</v>
      </c>
      <c r="J1089" t="s">
        <v>121</v>
      </c>
      <c r="L1089" t="s">
        <v>134</v>
      </c>
      <c r="M1089" s="8">
        <v>46023</v>
      </c>
      <c r="N1089">
        <v>136655</v>
      </c>
      <c r="O1089" t="s">
        <v>123</v>
      </c>
      <c r="P1089" t="s">
        <v>124</v>
      </c>
      <c r="Q1089">
        <v>14.75</v>
      </c>
      <c r="R1089" t="s">
        <v>125</v>
      </c>
      <c r="S1089" t="s">
        <v>126</v>
      </c>
      <c r="T1089" t="s">
        <v>125</v>
      </c>
      <c r="U1089" t="s">
        <v>126</v>
      </c>
      <c r="W1089">
        <v>14.75</v>
      </c>
      <c r="Y1089">
        <v>14.75</v>
      </c>
      <c r="AA1089">
        <v>14.75</v>
      </c>
      <c r="BH1089" t="s">
        <v>126</v>
      </c>
      <c r="BI1089" t="s">
        <v>126</v>
      </c>
      <c r="BJ1089" t="s">
        <v>126</v>
      </c>
      <c r="BK1089" t="s">
        <v>126</v>
      </c>
      <c r="BS1089" t="s">
        <v>126</v>
      </c>
      <c r="BT1089" t="s">
        <v>126</v>
      </c>
      <c r="BU1089" t="s">
        <v>126</v>
      </c>
      <c r="BV1089" t="s">
        <v>126</v>
      </c>
      <c r="CN1089" t="s">
        <v>119</v>
      </c>
      <c r="CP1089" t="s">
        <v>133</v>
      </c>
      <c r="CQ1089" t="s">
        <v>119</v>
      </c>
    </row>
    <row r="1090" spans="1:95" x14ac:dyDescent="0.2">
      <c r="A1090" t="s">
        <v>115</v>
      </c>
      <c r="B1090" t="s">
        <v>116</v>
      </c>
      <c r="C1090">
        <v>210784</v>
      </c>
      <c r="E1090" t="s">
        <v>117</v>
      </c>
      <c r="F1090">
        <v>368</v>
      </c>
      <c r="G1090" t="s">
        <v>118</v>
      </c>
      <c r="H1090" t="s">
        <v>119</v>
      </c>
      <c r="I1090" t="s">
        <v>130</v>
      </c>
      <c r="J1090" t="s">
        <v>131</v>
      </c>
      <c r="L1090" t="s">
        <v>135</v>
      </c>
      <c r="M1090" s="8">
        <v>46023</v>
      </c>
      <c r="N1090">
        <v>7350217</v>
      </c>
      <c r="O1090" t="s">
        <v>123</v>
      </c>
      <c r="P1090" t="s">
        <v>124</v>
      </c>
      <c r="Q1090">
        <v>16.420000000000002</v>
      </c>
      <c r="R1090" t="s">
        <v>125</v>
      </c>
      <c r="S1090" t="s">
        <v>126</v>
      </c>
      <c r="T1090" t="s">
        <v>125</v>
      </c>
      <c r="U1090" t="s">
        <v>126</v>
      </c>
      <c r="W1090">
        <v>16.420000000000002</v>
      </c>
      <c r="Y1090">
        <v>16.420000000000002</v>
      </c>
      <c r="AA1090">
        <v>16.420000000000002</v>
      </c>
      <c r="BH1090" t="s">
        <v>126</v>
      </c>
      <c r="BI1090" t="s">
        <v>126</v>
      </c>
      <c r="BJ1090" t="s">
        <v>126</v>
      </c>
      <c r="BK1090" t="s">
        <v>126</v>
      </c>
      <c r="BS1090" t="s">
        <v>126</v>
      </c>
      <c r="BT1090" t="s">
        <v>126</v>
      </c>
      <c r="BU1090" t="s">
        <v>126</v>
      </c>
      <c r="BV1090" t="s">
        <v>126</v>
      </c>
      <c r="CN1090" t="s">
        <v>127</v>
      </c>
      <c r="CP1090" t="s">
        <v>136</v>
      </c>
      <c r="CQ1090" t="s">
        <v>127</v>
      </c>
    </row>
    <row r="1091" spans="1:95" x14ac:dyDescent="0.2">
      <c r="A1091" t="s">
        <v>115</v>
      </c>
      <c r="B1091" t="s">
        <v>116</v>
      </c>
      <c r="C1091">
        <v>210784</v>
      </c>
      <c r="E1091" t="s">
        <v>117</v>
      </c>
      <c r="F1091">
        <v>368</v>
      </c>
      <c r="G1091" t="s">
        <v>118</v>
      </c>
      <c r="H1091" t="s">
        <v>119</v>
      </c>
      <c r="I1091" t="s">
        <v>120</v>
      </c>
      <c r="J1091" t="s">
        <v>121</v>
      </c>
      <c r="L1091" t="s">
        <v>137</v>
      </c>
      <c r="M1091" s="8">
        <v>46023</v>
      </c>
      <c r="N1091">
        <v>136807</v>
      </c>
      <c r="O1091" t="s">
        <v>123</v>
      </c>
      <c r="P1091" t="s">
        <v>124</v>
      </c>
      <c r="Q1091">
        <v>20.77</v>
      </c>
      <c r="R1091" t="s">
        <v>125</v>
      </c>
      <c r="S1091" t="s">
        <v>126</v>
      </c>
      <c r="T1091" t="s">
        <v>125</v>
      </c>
      <c r="U1091" t="s">
        <v>126</v>
      </c>
      <c r="W1091">
        <v>20.77</v>
      </c>
      <c r="Y1091">
        <v>20.77</v>
      </c>
      <c r="AA1091">
        <v>20.77</v>
      </c>
      <c r="BH1091" t="s">
        <v>126</v>
      </c>
      <c r="BI1091" t="s">
        <v>126</v>
      </c>
      <c r="BJ1091" t="s">
        <v>126</v>
      </c>
      <c r="BK1091" t="s">
        <v>126</v>
      </c>
      <c r="BS1091" t="s">
        <v>126</v>
      </c>
      <c r="BT1091" t="s">
        <v>126</v>
      </c>
      <c r="BU1091" t="s">
        <v>126</v>
      </c>
      <c r="BV1091" t="s">
        <v>126</v>
      </c>
      <c r="CN1091" t="s">
        <v>127</v>
      </c>
      <c r="CP1091" t="s">
        <v>136</v>
      </c>
      <c r="CQ1091" t="s">
        <v>127</v>
      </c>
    </row>
    <row r="1092" spans="1:95" x14ac:dyDescent="0.2">
      <c r="A1092" t="s">
        <v>115</v>
      </c>
      <c r="B1092" t="s">
        <v>116</v>
      </c>
      <c r="C1092">
        <v>210784</v>
      </c>
      <c r="E1092" t="s">
        <v>117</v>
      </c>
      <c r="F1092">
        <v>368</v>
      </c>
      <c r="G1092" t="s">
        <v>118</v>
      </c>
      <c r="H1092" t="s">
        <v>119</v>
      </c>
      <c r="I1092" t="s">
        <v>120</v>
      </c>
      <c r="J1092" t="s">
        <v>121</v>
      </c>
      <c r="L1092" t="s">
        <v>138</v>
      </c>
      <c r="M1092" s="8">
        <v>46023</v>
      </c>
      <c r="N1092">
        <v>136936</v>
      </c>
      <c r="O1092" t="s">
        <v>123</v>
      </c>
      <c r="P1092" t="s">
        <v>124</v>
      </c>
      <c r="Q1092">
        <v>7.33</v>
      </c>
      <c r="R1092" t="s">
        <v>125</v>
      </c>
      <c r="S1092" t="s">
        <v>126</v>
      </c>
      <c r="T1092" t="s">
        <v>125</v>
      </c>
      <c r="U1092" t="s">
        <v>126</v>
      </c>
      <c r="W1092">
        <v>7.33</v>
      </c>
      <c r="Y1092">
        <v>7.33</v>
      </c>
      <c r="AA1092">
        <v>7.33</v>
      </c>
      <c r="BH1092" t="s">
        <v>126</v>
      </c>
      <c r="BI1092" t="s">
        <v>126</v>
      </c>
      <c r="BJ1092" t="s">
        <v>126</v>
      </c>
      <c r="BK1092" t="s">
        <v>126</v>
      </c>
      <c r="BS1092" t="s">
        <v>126</v>
      </c>
      <c r="BT1092" t="s">
        <v>126</v>
      </c>
      <c r="BU1092" t="s">
        <v>126</v>
      </c>
      <c r="BV1092" t="s">
        <v>126</v>
      </c>
      <c r="CN1092" t="s">
        <v>127</v>
      </c>
      <c r="CP1092" t="s">
        <v>136</v>
      </c>
      <c r="CQ1092" t="s">
        <v>127</v>
      </c>
    </row>
    <row r="1093" spans="1:95" x14ac:dyDescent="0.2">
      <c r="A1093" t="s">
        <v>115</v>
      </c>
      <c r="B1093" t="s">
        <v>116</v>
      </c>
      <c r="C1093">
        <v>210784</v>
      </c>
      <c r="E1093" t="s">
        <v>117</v>
      </c>
      <c r="F1093">
        <v>368</v>
      </c>
      <c r="G1093" t="s">
        <v>118</v>
      </c>
      <c r="H1093" t="s">
        <v>119</v>
      </c>
      <c r="I1093" t="s">
        <v>120</v>
      </c>
      <c r="J1093" t="s">
        <v>121</v>
      </c>
      <c r="L1093" t="s">
        <v>132</v>
      </c>
      <c r="M1093" s="8">
        <v>46023</v>
      </c>
      <c r="N1093">
        <v>136664</v>
      </c>
      <c r="O1093" t="s">
        <v>123</v>
      </c>
      <c r="P1093" t="s">
        <v>124</v>
      </c>
      <c r="Q1093">
        <v>17.98</v>
      </c>
      <c r="R1093" t="s">
        <v>125</v>
      </c>
      <c r="S1093" t="s">
        <v>126</v>
      </c>
      <c r="T1093" t="s">
        <v>125</v>
      </c>
      <c r="U1093" t="s">
        <v>126</v>
      </c>
      <c r="W1093">
        <v>17.98</v>
      </c>
      <c r="Y1093">
        <v>17.98</v>
      </c>
      <c r="AC1093">
        <v>17.98</v>
      </c>
      <c r="BH1093" t="s">
        <v>126</v>
      </c>
      <c r="BI1093" t="s">
        <v>126</v>
      </c>
      <c r="BJ1093" t="s">
        <v>126</v>
      </c>
      <c r="BK1093" t="s">
        <v>126</v>
      </c>
      <c r="BS1093" t="s">
        <v>126</v>
      </c>
      <c r="BT1093" t="s">
        <v>126</v>
      </c>
      <c r="BU1093" t="s">
        <v>126</v>
      </c>
      <c r="BV1093" t="s">
        <v>126</v>
      </c>
      <c r="CN1093" t="s">
        <v>119</v>
      </c>
      <c r="CP1093" t="s">
        <v>133</v>
      </c>
      <c r="CQ1093" t="s">
        <v>119</v>
      </c>
    </row>
    <row r="1094" spans="1:95" x14ac:dyDescent="0.2">
      <c r="A1094" t="s">
        <v>115</v>
      </c>
      <c r="B1094" t="s">
        <v>116</v>
      </c>
      <c r="C1094">
        <v>210784</v>
      </c>
      <c r="E1094" t="s">
        <v>117</v>
      </c>
      <c r="F1094">
        <v>368</v>
      </c>
      <c r="G1094" t="s">
        <v>118</v>
      </c>
      <c r="H1094" t="s">
        <v>119</v>
      </c>
      <c r="I1094" t="s">
        <v>120</v>
      </c>
      <c r="J1094" t="s">
        <v>121</v>
      </c>
      <c r="L1094" t="s">
        <v>137</v>
      </c>
      <c r="M1094" s="8">
        <v>46023</v>
      </c>
      <c r="N1094">
        <v>136805</v>
      </c>
      <c r="O1094" t="s">
        <v>123</v>
      </c>
      <c r="P1094" t="s">
        <v>124</v>
      </c>
      <c r="Q1094">
        <v>13.51</v>
      </c>
      <c r="R1094" t="s">
        <v>125</v>
      </c>
      <c r="S1094" t="s">
        <v>126</v>
      </c>
      <c r="T1094" t="s">
        <v>125</v>
      </c>
      <c r="U1094" t="s">
        <v>126</v>
      </c>
      <c r="W1094">
        <v>13.51</v>
      </c>
      <c r="Y1094">
        <v>13.51</v>
      </c>
      <c r="AC1094">
        <v>13.51</v>
      </c>
      <c r="BH1094" t="s">
        <v>126</v>
      </c>
      <c r="BI1094" t="s">
        <v>126</v>
      </c>
      <c r="BJ1094" t="s">
        <v>126</v>
      </c>
      <c r="BK1094" t="s">
        <v>126</v>
      </c>
      <c r="BS1094" t="s">
        <v>126</v>
      </c>
      <c r="BT1094" t="s">
        <v>126</v>
      </c>
      <c r="BU1094" t="s">
        <v>126</v>
      </c>
      <c r="BV1094" t="s">
        <v>126</v>
      </c>
      <c r="CN1094" t="s">
        <v>127</v>
      </c>
      <c r="CP1094" t="s">
        <v>136</v>
      </c>
      <c r="CQ1094" t="s">
        <v>127</v>
      </c>
    </row>
    <row r="1095" spans="1:95" x14ac:dyDescent="0.2">
      <c r="A1095" t="s">
        <v>115</v>
      </c>
      <c r="B1095" t="s">
        <v>116</v>
      </c>
      <c r="C1095">
        <v>210784</v>
      </c>
      <c r="E1095" t="s">
        <v>117</v>
      </c>
      <c r="F1095">
        <v>368</v>
      </c>
      <c r="G1095" t="s">
        <v>118</v>
      </c>
      <c r="H1095" t="s">
        <v>119</v>
      </c>
      <c r="I1095" t="s">
        <v>120</v>
      </c>
      <c r="J1095" t="s">
        <v>121</v>
      </c>
      <c r="L1095" t="s">
        <v>300</v>
      </c>
      <c r="M1095" s="8">
        <v>46023</v>
      </c>
      <c r="N1095">
        <v>136945</v>
      </c>
      <c r="O1095" t="s">
        <v>123</v>
      </c>
      <c r="P1095" t="s">
        <v>124</v>
      </c>
      <c r="Q1095">
        <v>7.72</v>
      </c>
      <c r="R1095" t="s">
        <v>125</v>
      </c>
      <c r="S1095" t="s">
        <v>126</v>
      </c>
      <c r="T1095" t="s">
        <v>125</v>
      </c>
      <c r="U1095" t="s">
        <v>126</v>
      </c>
      <c r="W1095">
        <v>7.72</v>
      </c>
      <c r="Y1095">
        <v>7.72</v>
      </c>
      <c r="AC1095">
        <v>7.72</v>
      </c>
      <c r="BH1095" t="s">
        <v>126</v>
      </c>
      <c r="BI1095" t="s">
        <v>126</v>
      </c>
      <c r="BJ1095" t="s">
        <v>126</v>
      </c>
      <c r="BK1095" t="s">
        <v>126</v>
      </c>
      <c r="BS1095" t="s">
        <v>126</v>
      </c>
      <c r="BT1095" t="s">
        <v>126</v>
      </c>
      <c r="BU1095" t="s">
        <v>126</v>
      </c>
      <c r="BV1095" t="s">
        <v>126</v>
      </c>
      <c r="CN1095" t="s">
        <v>127</v>
      </c>
      <c r="CP1095" t="s">
        <v>136</v>
      </c>
      <c r="CQ1095" t="s">
        <v>127</v>
      </c>
    </row>
    <row r="1096" spans="1:95" x14ac:dyDescent="0.2">
      <c r="A1096" t="s">
        <v>115</v>
      </c>
      <c r="B1096" t="s">
        <v>116</v>
      </c>
      <c r="C1096">
        <v>210784</v>
      </c>
      <c r="E1096" t="s">
        <v>117</v>
      </c>
      <c r="F1096">
        <v>368</v>
      </c>
      <c r="G1096" t="s">
        <v>141</v>
      </c>
      <c r="H1096" t="s">
        <v>142</v>
      </c>
      <c r="I1096" t="s">
        <v>279</v>
      </c>
      <c r="J1096" t="s">
        <v>280</v>
      </c>
      <c r="L1096" t="s">
        <v>135</v>
      </c>
      <c r="M1096" s="8">
        <v>46023</v>
      </c>
      <c r="N1096">
        <v>5861133</v>
      </c>
      <c r="O1096" t="s">
        <v>123</v>
      </c>
      <c r="P1096" t="s">
        <v>146</v>
      </c>
      <c r="Q1096">
        <v>6.24</v>
      </c>
      <c r="R1096" t="s">
        <v>125</v>
      </c>
      <c r="S1096" t="s">
        <v>126</v>
      </c>
      <c r="T1096" t="s">
        <v>125</v>
      </c>
      <c r="U1096" t="s">
        <v>126</v>
      </c>
      <c r="W1096">
        <v>6.24</v>
      </c>
      <c r="Y1096">
        <v>6.24</v>
      </c>
      <c r="AS1096">
        <v>6.24</v>
      </c>
      <c r="BH1096" t="s">
        <v>126</v>
      </c>
      <c r="BI1096" t="s">
        <v>126</v>
      </c>
      <c r="BJ1096" t="s">
        <v>126</v>
      </c>
      <c r="BK1096" t="s">
        <v>126</v>
      </c>
      <c r="BS1096" t="s">
        <v>126</v>
      </c>
      <c r="BT1096" t="s">
        <v>126</v>
      </c>
      <c r="BU1096" t="s">
        <v>126</v>
      </c>
      <c r="BV1096" t="s">
        <v>126</v>
      </c>
      <c r="CN1096" t="s">
        <v>147</v>
      </c>
      <c r="CP1096" t="s">
        <v>490</v>
      </c>
      <c r="CQ1096" t="s">
        <v>147</v>
      </c>
    </row>
    <row r="1097" spans="1:95" x14ac:dyDescent="0.2">
      <c r="A1097" t="s">
        <v>115</v>
      </c>
      <c r="B1097" t="s">
        <v>116</v>
      </c>
      <c r="C1097">
        <v>210784</v>
      </c>
      <c r="E1097" t="s">
        <v>117</v>
      </c>
      <c r="F1097">
        <v>368</v>
      </c>
      <c r="G1097" t="s">
        <v>141</v>
      </c>
      <c r="H1097" t="s">
        <v>142</v>
      </c>
      <c r="I1097" t="s">
        <v>279</v>
      </c>
      <c r="J1097" t="s">
        <v>280</v>
      </c>
      <c r="L1097" t="s">
        <v>491</v>
      </c>
      <c r="M1097" s="8">
        <v>46023</v>
      </c>
      <c r="N1097">
        <v>5863450</v>
      </c>
      <c r="O1097" t="s">
        <v>123</v>
      </c>
      <c r="P1097" t="s">
        <v>146</v>
      </c>
      <c r="Q1097">
        <v>4.5599999999999996</v>
      </c>
      <c r="R1097" t="s">
        <v>125</v>
      </c>
      <c r="S1097" t="s">
        <v>126</v>
      </c>
      <c r="T1097" t="s">
        <v>125</v>
      </c>
      <c r="U1097" t="s">
        <v>126</v>
      </c>
      <c r="W1097">
        <v>4.5599999999999996</v>
      </c>
      <c r="Y1097">
        <v>4.5599999999999996</v>
      </c>
      <c r="AS1097">
        <v>4.5599999999999996</v>
      </c>
      <c r="BH1097" t="s">
        <v>126</v>
      </c>
      <c r="BI1097" t="s">
        <v>126</v>
      </c>
      <c r="BJ1097" t="s">
        <v>126</v>
      </c>
      <c r="BK1097" t="s">
        <v>126</v>
      </c>
      <c r="BS1097" t="s">
        <v>126</v>
      </c>
      <c r="BT1097" t="s">
        <v>126</v>
      </c>
      <c r="BU1097" t="s">
        <v>126</v>
      </c>
      <c r="BV1097" t="s">
        <v>126</v>
      </c>
      <c r="CN1097" t="s">
        <v>147</v>
      </c>
      <c r="CP1097" t="s">
        <v>490</v>
      </c>
      <c r="CQ1097" t="s">
        <v>147</v>
      </c>
    </row>
    <row r="1098" spans="1:95" x14ac:dyDescent="0.2">
      <c r="A1098" t="s">
        <v>115</v>
      </c>
      <c r="B1098" t="s">
        <v>116</v>
      </c>
      <c r="C1098">
        <v>210784</v>
      </c>
      <c r="E1098" t="s">
        <v>117</v>
      </c>
      <c r="F1098">
        <v>368</v>
      </c>
      <c r="G1098" t="s">
        <v>118</v>
      </c>
      <c r="H1098" t="s">
        <v>119</v>
      </c>
      <c r="I1098" t="s">
        <v>130</v>
      </c>
      <c r="J1098" t="s">
        <v>131</v>
      </c>
      <c r="L1098" t="s">
        <v>132</v>
      </c>
      <c r="M1098" s="8">
        <v>46023</v>
      </c>
      <c r="N1098">
        <v>7349987</v>
      </c>
      <c r="O1098" t="s">
        <v>123</v>
      </c>
      <c r="P1098" t="s">
        <v>146</v>
      </c>
      <c r="Q1098">
        <v>16.3</v>
      </c>
      <c r="R1098" t="s">
        <v>125</v>
      </c>
      <c r="S1098" t="s">
        <v>126</v>
      </c>
      <c r="T1098" t="s">
        <v>125</v>
      </c>
      <c r="U1098" t="s">
        <v>126</v>
      </c>
      <c r="W1098">
        <v>16.3</v>
      </c>
      <c r="Y1098">
        <v>16.3</v>
      </c>
      <c r="AA1098">
        <v>7</v>
      </c>
      <c r="AC1098">
        <v>9.3000000000000007</v>
      </c>
      <c r="BH1098" t="s">
        <v>126</v>
      </c>
      <c r="BI1098" t="s">
        <v>126</v>
      </c>
      <c r="BJ1098" t="s">
        <v>126</v>
      </c>
      <c r="BK1098" t="s">
        <v>126</v>
      </c>
      <c r="BS1098" t="s">
        <v>126</v>
      </c>
      <c r="BT1098" t="s">
        <v>126</v>
      </c>
      <c r="BU1098" t="s">
        <v>126</v>
      </c>
      <c r="BV1098" t="s">
        <v>126</v>
      </c>
      <c r="CN1098" t="s">
        <v>127</v>
      </c>
      <c r="CP1098" t="s">
        <v>133</v>
      </c>
      <c r="CQ1098" t="s">
        <v>127</v>
      </c>
    </row>
    <row r="1099" spans="1:95" x14ac:dyDescent="0.2">
      <c r="A1099" t="s">
        <v>115</v>
      </c>
      <c r="B1099" t="s">
        <v>116</v>
      </c>
      <c r="C1099">
        <v>210784</v>
      </c>
      <c r="E1099" t="s">
        <v>117</v>
      </c>
      <c r="F1099">
        <v>368</v>
      </c>
      <c r="G1099" t="s">
        <v>118</v>
      </c>
      <c r="H1099" t="s">
        <v>119</v>
      </c>
      <c r="I1099" t="s">
        <v>130</v>
      </c>
      <c r="J1099" t="s">
        <v>131</v>
      </c>
      <c r="L1099" t="s">
        <v>132</v>
      </c>
      <c r="M1099" s="8">
        <v>46023</v>
      </c>
      <c r="N1099">
        <v>7350014</v>
      </c>
      <c r="O1099" t="s">
        <v>123</v>
      </c>
      <c r="P1099" t="s">
        <v>124</v>
      </c>
      <c r="Q1099">
        <v>14.08</v>
      </c>
      <c r="R1099" t="s">
        <v>125</v>
      </c>
      <c r="S1099" t="s">
        <v>126</v>
      </c>
      <c r="T1099" t="s">
        <v>125</v>
      </c>
      <c r="U1099" t="s">
        <v>126</v>
      </c>
      <c r="W1099">
        <v>14.08</v>
      </c>
      <c r="Y1099">
        <v>14.08</v>
      </c>
      <c r="AA1099">
        <v>7.0006000000000004</v>
      </c>
      <c r="AC1099">
        <v>7.0793999999999997</v>
      </c>
      <c r="BH1099" t="s">
        <v>126</v>
      </c>
      <c r="BI1099" t="s">
        <v>126</v>
      </c>
      <c r="BJ1099" t="s">
        <v>126</v>
      </c>
      <c r="BK1099" t="s">
        <v>126</v>
      </c>
      <c r="BS1099" t="s">
        <v>126</v>
      </c>
      <c r="BT1099" t="s">
        <v>126</v>
      </c>
      <c r="BU1099" t="s">
        <v>126</v>
      </c>
      <c r="BV1099" t="s">
        <v>126</v>
      </c>
      <c r="CN1099" t="s">
        <v>119</v>
      </c>
      <c r="CP1099" t="s">
        <v>133</v>
      </c>
      <c r="CQ1099" t="s">
        <v>119</v>
      </c>
    </row>
    <row r="1100" spans="1:95" x14ac:dyDescent="0.2">
      <c r="A1100" t="s">
        <v>115</v>
      </c>
      <c r="B1100" t="s">
        <v>116</v>
      </c>
      <c r="C1100">
        <v>210784</v>
      </c>
      <c r="E1100" t="s">
        <v>117</v>
      </c>
      <c r="F1100">
        <v>368</v>
      </c>
      <c r="G1100" t="s">
        <v>118</v>
      </c>
      <c r="H1100" t="s">
        <v>119</v>
      </c>
      <c r="I1100" t="s">
        <v>130</v>
      </c>
      <c r="J1100" t="s">
        <v>131</v>
      </c>
      <c r="L1100" t="s">
        <v>132</v>
      </c>
      <c r="M1100" s="8">
        <v>46023</v>
      </c>
      <c r="N1100">
        <v>7350033</v>
      </c>
      <c r="O1100" t="s">
        <v>123</v>
      </c>
      <c r="P1100" t="s">
        <v>124</v>
      </c>
      <c r="Q1100">
        <v>15.18</v>
      </c>
      <c r="R1100" t="s">
        <v>125</v>
      </c>
      <c r="S1100" t="s">
        <v>126</v>
      </c>
      <c r="T1100" t="s">
        <v>125</v>
      </c>
      <c r="U1100" t="s">
        <v>126</v>
      </c>
      <c r="W1100">
        <v>15.18</v>
      </c>
      <c r="Y1100">
        <v>15.18</v>
      </c>
      <c r="AA1100">
        <v>10</v>
      </c>
      <c r="AC1100">
        <v>5.18</v>
      </c>
      <c r="BH1100" t="s">
        <v>126</v>
      </c>
      <c r="BI1100" t="s">
        <v>126</v>
      </c>
      <c r="BJ1100" t="s">
        <v>126</v>
      </c>
      <c r="BK1100" t="s">
        <v>126</v>
      </c>
      <c r="BS1100" t="s">
        <v>126</v>
      </c>
      <c r="BT1100" t="s">
        <v>126</v>
      </c>
      <c r="BU1100" t="s">
        <v>126</v>
      </c>
      <c r="BV1100" t="s">
        <v>126</v>
      </c>
      <c r="CN1100" t="s">
        <v>119</v>
      </c>
      <c r="CP1100" t="s">
        <v>133</v>
      </c>
      <c r="CQ1100" t="s">
        <v>119</v>
      </c>
    </row>
    <row r="1101" spans="1:95" x14ac:dyDescent="0.2">
      <c r="A1101" t="s">
        <v>115</v>
      </c>
      <c r="B1101" t="s">
        <v>116</v>
      </c>
      <c r="C1101">
        <v>210784</v>
      </c>
      <c r="E1101" t="s">
        <v>117</v>
      </c>
      <c r="F1101">
        <v>368</v>
      </c>
      <c r="G1101" t="s">
        <v>118</v>
      </c>
      <c r="H1101" t="s">
        <v>119</v>
      </c>
      <c r="I1101" t="s">
        <v>130</v>
      </c>
      <c r="J1101" t="s">
        <v>131</v>
      </c>
      <c r="L1101" t="s">
        <v>132</v>
      </c>
      <c r="M1101" s="8">
        <v>46023</v>
      </c>
      <c r="N1101">
        <v>7350050</v>
      </c>
      <c r="O1101" t="s">
        <v>123</v>
      </c>
      <c r="P1101" t="s">
        <v>124</v>
      </c>
      <c r="Q1101">
        <v>16.84</v>
      </c>
      <c r="R1101" t="s">
        <v>125</v>
      </c>
      <c r="S1101" t="s">
        <v>126</v>
      </c>
      <c r="T1101" t="s">
        <v>125</v>
      </c>
      <c r="U1101" t="s">
        <v>126</v>
      </c>
      <c r="W1101">
        <v>16.84</v>
      </c>
      <c r="Y1101">
        <v>16.84</v>
      </c>
      <c r="AA1101">
        <v>7</v>
      </c>
      <c r="AC1101">
        <v>9.84</v>
      </c>
      <c r="BH1101" t="s">
        <v>126</v>
      </c>
      <c r="BI1101" t="s">
        <v>126</v>
      </c>
      <c r="BJ1101" t="s">
        <v>126</v>
      </c>
      <c r="BK1101" t="s">
        <v>126</v>
      </c>
      <c r="BS1101" t="s">
        <v>126</v>
      </c>
      <c r="BT1101" t="s">
        <v>126</v>
      </c>
      <c r="BU1101" t="s">
        <v>126</v>
      </c>
      <c r="BV1101" t="s">
        <v>126</v>
      </c>
      <c r="CN1101" t="s">
        <v>119</v>
      </c>
      <c r="CP1101" t="s">
        <v>133</v>
      </c>
      <c r="CQ1101" t="s">
        <v>119</v>
      </c>
    </row>
    <row r="1102" spans="1:95" x14ac:dyDescent="0.2">
      <c r="A1102" t="s">
        <v>115</v>
      </c>
      <c r="B1102" t="s">
        <v>116</v>
      </c>
      <c r="C1102">
        <v>210784</v>
      </c>
      <c r="E1102" t="s">
        <v>117</v>
      </c>
      <c r="F1102">
        <v>368</v>
      </c>
      <c r="G1102" t="s">
        <v>118</v>
      </c>
      <c r="H1102" t="s">
        <v>119</v>
      </c>
      <c r="I1102" t="s">
        <v>130</v>
      </c>
      <c r="J1102" t="s">
        <v>131</v>
      </c>
      <c r="L1102" t="s">
        <v>132</v>
      </c>
      <c r="M1102" s="8">
        <v>46023</v>
      </c>
      <c r="N1102">
        <v>7350067</v>
      </c>
      <c r="O1102" t="s">
        <v>123</v>
      </c>
      <c r="P1102" t="s">
        <v>124</v>
      </c>
      <c r="Q1102">
        <v>16.439999999999998</v>
      </c>
      <c r="R1102" t="s">
        <v>125</v>
      </c>
      <c r="S1102" t="s">
        <v>126</v>
      </c>
      <c r="T1102" t="s">
        <v>125</v>
      </c>
      <c r="U1102" t="s">
        <v>126</v>
      </c>
      <c r="W1102">
        <v>16.439999999999998</v>
      </c>
      <c r="Y1102">
        <v>16.439999999999998</v>
      </c>
      <c r="AA1102">
        <v>8</v>
      </c>
      <c r="AC1102">
        <v>8.44</v>
      </c>
      <c r="BH1102" t="s">
        <v>126</v>
      </c>
      <c r="BI1102" t="s">
        <v>126</v>
      </c>
      <c r="BJ1102" t="s">
        <v>126</v>
      </c>
      <c r="BK1102" t="s">
        <v>126</v>
      </c>
      <c r="BS1102" t="s">
        <v>126</v>
      </c>
      <c r="BT1102" t="s">
        <v>126</v>
      </c>
      <c r="BU1102" t="s">
        <v>126</v>
      </c>
      <c r="BV1102" t="s">
        <v>126</v>
      </c>
      <c r="CN1102" t="s">
        <v>119</v>
      </c>
      <c r="CP1102" t="s">
        <v>133</v>
      </c>
      <c r="CQ1102" t="s">
        <v>119</v>
      </c>
    </row>
    <row r="1103" spans="1:95" x14ac:dyDescent="0.2">
      <c r="A1103" t="s">
        <v>115</v>
      </c>
      <c r="B1103" t="s">
        <v>116</v>
      </c>
      <c r="C1103">
        <v>210784</v>
      </c>
      <c r="E1103" t="s">
        <v>117</v>
      </c>
      <c r="F1103">
        <v>368</v>
      </c>
      <c r="G1103" t="s">
        <v>118</v>
      </c>
      <c r="H1103" t="s">
        <v>119</v>
      </c>
      <c r="I1103" t="s">
        <v>130</v>
      </c>
      <c r="J1103" t="s">
        <v>131</v>
      </c>
      <c r="L1103" t="s">
        <v>132</v>
      </c>
      <c r="M1103" s="8">
        <v>46023</v>
      </c>
      <c r="N1103">
        <v>7350119</v>
      </c>
      <c r="O1103" t="s">
        <v>123</v>
      </c>
      <c r="P1103" t="s">
        <v>124</v>
      </c>
      <c r="Q1103">
        <v>15.950299999999999</v>
      </c>
      <c r="R1103" t="s">
        <v>125</v>
      </c>
      <c r="S1103" t="s">
        <v>126</v>
      </c>
      <c r="T1103" t="s">
        <v>125</v>
      </c>
      <c r="U1103" t="s">
        <v>126</v>
      </c>
      <c r="W1103">
        <v>15.950299999999999</v>
      </c>
      <c r="Y1103">
        <v>15.950299999999999</v>
      </c>
      <c r="AA1103">
        <v>10.95</v>
      </c>
      <c r="AC1103">
        <v>5.0003000000000002</v>
      </c>
      <c r="BH1103" t="s">
        <v>126</v>
      </c>
      <c r="BI1103" t="s">
        <v>126</v>
      </c>
      <c r="BJ1103" t="s">
        <v>126</v>
      </c>
      <c r="BK1103" t="s">
        <v>126</v>
      </c>
      <c r="BS1103" t="s">
        <v>126</v>
      </c>
      <c r="BT1103" t="s">
        <v>126</v>
      </c>
      <c r="BU1103" t="s">
        <v>126</v>
      </c>
      <c r="BV1103" t="s">
        <v>126</v>
      </c>
      <c r="CN1103" t="s">
        <v>119</v>
      </c>
      <c r="CP1103" t="s">
        <v>133</v>
      </c>
      <c r="CQ1103" t="s">
        <v>119</v>
      </c>
    </row>
    <row r="1104" spans="1:95" x14ac:dyDescent="0.2">
      <c r="A1104" t="s">
        <v>115</v>
      </c>
      <c r="B1104" t="s">
        <v>116</v>
      </c>
      <c r="C1104">
        <v>210784</v>
      </c>
      <c r="E1104" t="s">
        <v>117</v>
      </c>
      <c r="F1104">
        <v>368</v>
      </c>
      <c r="G1104" t="s">
        <v>118</v>
      </c>
      <c r="H1104" t="s">
        <v>119</v>
      </c>
      <c r="I1104" t="s">
        <v>130</v>
      </c>
      <c r="J1104" t="s">
        <v>131</v>
      </c>
      <c r="L1104" t="s">
        <v>132</v>
      </c>
      <c r="M1104" s="8">
        <v>46023</v>
      </c>
      <c r="N1104">
        <v>7350161</v>
      </c>
      <c r="O1104" t="s">
        <v>123</v>
      </c>
      <c r="P1104" t="s">
        <v>124</v>
      </c>
      <c r="Q1104">
        <v>16.699400000000001</v>
      </c>
      <c r="R1104" t="s">
        <v>125</v>
      </c>
      <c r="S1104" t="s">
        <v>126</v>
      </c>
      <c r="T1104" t="s">
        <v>125</v>
      </c>
      <c r="U1104" t="s">
        <v>126</v>
      </c>
      <c r="W1104">
        <v>16.699400000000001</v>
      </c>
      <c r="Y1104">
        <v>16.699400000000001</v>
      </c>
      <c r="AA1104">
        <v>7</v>
      </c>
      <c r="AC1104">
        <v>9.6994000000000007</v>
      </c>
      <c r="BH1104" t="s">
        <v>126</v>
      </c>
      <c r="BI1104" t="s">
        <v>126</v>
      </c>
      <c r="BJ1104" t="s">
        <v>126</v>
      </c>
      <c r="BK1104" t="s">
        <v>126</v>
      </c>
      <c r="BS1104" t="s">
        <v>126</v>
      </c>
      <c r="BT1104" t="s">
        <v>126</v>
      </c>
      <c r="BU1104" t="s">
        <v>126</v>
      </c>
      <c r="BV1104" t="s">
        <v>126</v>
      </c>
      <c r="CN1104" t="s">
        <v>119</v>
      </c>
      <c r="CP1104" t="s">
        <v>133</v>
      </c>
      <c r="CQ1104" t="s">
        <v>119</v>
      </c>
    </row>
    <row r="1105" spans="1:95" x14ac:dyDescent="0.2">
      <c r="A1105" t="s">
        <v>115</v>
      </c>
      <c r="B1105" t="s">
        <v>116</v>
      </c>
      <c r="C1105">
        <v>210784</v>
      </c>
      <c r="E1105" t="s">
        <v>117</v>
      </c>
      <c r="F1105">
        <v>368</v>
      </c>
      <c r="G1105" t="s">
        <v>118</v>
      </c>
      <c r="H1105" t="s">
        <v>119</v>
      </c>
      <c r="I1105" t="s">
        <v>130</v>
      </c>
      <c r="J1105" t="s">
        <v>131</v>
      </c>
      <c r="L1105" t="s">
        <v>132</v>
      </c>
      <c r="M1105" s="8">
        <v>46023</v>
      </c>
      <c r="N1105">
        <v>7350170</v>
      </c>
      <c r="O1105" t="s">
        <v>123</v>
      </c>
      <c r="P1105" t="s">
        <v>124</v>
      </c>
      <c r="Q1105">
        <v>17.34</v>
      </c>
      <c r="R1105" t="s">
        <v>125</v>
      </c>
      <c r="S1105" t="s">
        <v>126</v>
      </c>
      <c r="T1105" t="s">
        <v>125</v>
      </c>
      <c r="U1105" t="s">
        <v>126</v>
      </c>
      <c r="W1105">
        <v>17.34</v>
      </c>
      <c r="Y1105">
        <v>17.34</v>
      </c>
      <c r="AA1105">
        <v>10.34</v>
      </c>
      <c r="AC1105">
        <v>7</v>
      </c>
      <c r="BH1105" t="s">
        <v>126</v>
      </c>
      <c r="BI1105" t="s">
        <v>126</v>
      </c>
      <c r="BJ1105" t="s">
        <v>126</v>
      </c>
      <c r="BK1105" t="s">
        <v>126</v>
      </c>
      <c r="BS1105" t="s">
        <v>126</v>
      </c>
      <c r="BT1105" t="s">
        <v>126</v>
      </c>
      <c r="BU1105" t="s">
        <v>126</v>
      </c>
      <c r="BV1105" t="s">
        <v>126</v>
      </c>
      <c r="CN1105" t="s">
        <v>119</v>
      </c>
      <c r="CP1105" t="s">
        <v>133</v>
      </c>
      <c r="CQ1105" t="s">
        <v>119</v>
      </c>
    </row>
    <row r="1106" spans="1:95" x14ac:dyDescent="0.2">
      <c r="A1106" t="s">
        <v>115</v>
      </c>
      <c r="B1106" t="s">
        <v>116</v>
      </c>
      <c r="C1106">
        <v>210784</v>
      </c>
      <c r="E1106" t="s">
        <v>117</v>
      </c>
      <c r="F1106">
        <v>368</v>
      </c>
      <c r="G1106" t="s">
        <v>141</v>
      </c>
      <c r="H1106" t="s">
        <v>142</v>
      </c>
      <c r="I1106" t="s">
        <v>279</v>
      </c>
      <c r="J1106" t="s">
        <v>280</v>
      </c>
      <c r="L1106" t="s">
        <v>777</v>
      </c>
      <c r="M1106" s="8">
        <v>46023</v>
      </c>
      <c r="N1106">
        <v>5855904</v>
      </c>
      <c r="O1106" t="s">
        <v>123</v>
      </c>
      <c r="P1106" t="s">
        <v>146</v>
      </c>
      <c r="Q1106">
        <v>2.84</v>
      </c>
      <c r="R1106" t="s">
        <v>559</v>
      </c>
      <c r="S1106" t="s">
        <v>126</v>
      </c>
      <c r="T1106" t="s">
        <v>559</v>
      </c>
      <c r="U1106" t="s">
        <v>560</v>
      </c>
      <c r="W1106">
        <v>0.87529999999999997</v>
      </c>
      <c r="X1106">
        <v>1.9647000000000001</v>
      </c>
      <c r="Y1106">
        <v>2.84</v>
      </c>
      <c r="Z1106">
        <v>1.0803</v>
      </c>
      <c r="AG1106">
        <v>0.87529999999999997</v>
      </c>
      <c r="AI1106">
        <v>0.88439999999999996</v>
      </c>
      <c r="BH1106" t="s">
        <v>126</v>
      </c>
      <c r="BI1106" t="s">
        <v>126</v>
      </c>
      <c r="BJ1106" t="s">
        <v>126</v>
      </c>
      <c r="BK1106" t="s">
        <v>126</v>
      </c>
      <c r="BS1106" t="s">
        <v>126</v>
      </c>
      <c r="BT1106" t="s">
        <v>126</v>
      </c>
      <c r="BU1106" t="s">
        <v>126</v>
      </c>
      <c r="BV1106" t="s">
        <v>126</v>
      </c>
      <c r="CN1106" t="s">
        <v>147</v>
      </c>
      <c r="CP1106" t="s">
        <v>490</v>
      </c>
      <c r="CQ1106" t="s">
        <v>147</v>
      </c>
    </row>
    <row r="1107" spans="1:95" x14ac:dyDescent="0.2">
      <c r="A1107" t="s">
        <v>115</v>
      </c>
      <c r="B1107" t="s">
        <v>116</v>
      </c>
      <c r="C1107">
        <v>210784</v>
      </c>
      <c r="E1107" t="s">
        <v>117</v>
      </c>
      <c r="F1107">
        <v>368</v>
      </c>
      <c r="G1107" t="s">
        <v>141</v>
      </c>
      <c r="H1107" t="s">
        <v>142</v>
      </c>
      <c r="I1107" t="s">
        <v>279</v>
      </c>
      <c r="J1107" t="s">
        <v>280</v>
      </c>
      <c r="L1107" t="s">
        <v>778</v>
      </c>
      <c r="M1107" s="8">
        <v>46023</v>
      </c>
      <c r="N1107">
        <v>5957516</v>
      </c>
      <c r="O1107" t="s">
        <v>123</v>
      </c>
      <c r="P1107" t="s">
        <v>146</v>
      </c>
      <c r="Q1107">
        <v>5.8800000000000008</v>
      </c>
      <c r="R1107" t="s">
        <v>559</v>
      </c>
      <c r="S1107" t="s">
        <v>126</v>
      </c>
      <c r="T1107" t="s">
        <v>559</v>
      </c>
      <c r="U1107" t="s">
        <v>560</v>
      </c>
      <c r="W1107">
        <v>1.8122</v>
      </c>
      <c r="X1107">
        <v>4.0678000000000001</v>
      </c>
      <c r="Y1107">
        <v>5.8800000000000008</v>
      </c>
      <c r="Z1107">
        <v>2.2368000000000001</v>
      </c>
      <c r="AG1107">
        <v>1.8122</v>
      </c>
      <c r="AI1107">
        <v>1.831</v>
      </c>
      <c r="BH1107" t="s">
        <v>126</v>
      </c>
      <c r="BI1107" t="s">
        <v>126</v>
      </c>
      <c r="BJ1107" t="s">
        <v>126</v>
      </c>
      <c r="BK1107" t="s">
        <v>126</v>
      </c>
      <c r="BS1107" t="s">
        <v>126</v>
      </c>
      <c r="BT1107" t="s">
        <v>126</v>
      </c>
      <c r="BU1107" t="s">
        <v>126</v>
      </c>
      <c r="BV1107" t="s">
        <v>126</v>
      </c>
      <c r="CN1107" t="s">
        <v>147</v>
      </c>
      <c r="CP1107" t="s">
        <v>490</v>
      </c>
      <c r="CQ1107" t="s">
        <v>147</v>
      </c>
    </row>
    <row r="1108" spans="1:95" x14ac:dyDescent="0.2">
      <c r="A1108" t="s">
        <v>115</v>
      </c>
      <c r="B1108" t="s">
        <v>116</v>
      </c>
      <c r="C1108">
        <v>210784</v>
      </c>
      <c r="E1108" t="s">
        <v>117</v>
      </c>
      <c r="F1108">
        <v>368</v>
      </c>
      <c r="G1108" t="s">
        <v>141</v>
      </c>
      <c r="H1108" t="s">
        <v>142</v>
      </c>
      <c r="I1108" t="s">
        <v>279</v>
      </c>
      <c r="J1108" t="s">
        <v>280</v>
      </c>
      <c r="L1108" t="s">
        <v>778</v>
      </c>
      <c r="M1108" s="8">
        <v>46023</v>
      </c>
      <c r="N1108">
        <v>5857578</v>
      </c>
      <c r="O1108" t="s">
        <v>123</v>
      </c>
      <c r="P1108" t="s">
        <v>146</v>
      </c>
      <c r="Q1108">
        <v>2.88</v>
      </c>
      <c r="R1108" t="s">
        <v>559</v>
      </c>
      <c r="S1108" t="s">
        <v>126</v>
      </c>
      <c r="T1108" t="s">
        <v>559</v>
      </c>
      <c r="U1108" t="s">
        <v>560</v>
      </c>
      <c r="W1108">
        <v>0.88759999999999994</v>
      </c>
      <c r="X1108">
        <v>1.9923999999999999</v>
      </c>
      <c r="Y1108">
        <v>2.88</v>
      </c>
      <c r="Z1108">
        <v>1.0955999999999999</v>
      </c>
      <c r="AG1108">
        <v>0.88759999999999994</v>
      </c>
      <c r="AI1108">
        <v>0.89680000000000004</v>
      </c>
      <c r="BH1108" t="s">
        <v>126</v>
      </c>
      <c r="BI1108" t="s">
        <v>126</v>
      </c>
      <c r="BJ1108" t="s">
        <v>126</v>
      </c>
      <c r="BK1108" t="s">
        <v>126</v>
      </c>
      <c r="BS1108" t="s">
        <v>126</v>
      </c>
      <c r="BT1108" t="s">
        <v>126</v>
      </c>
      <c r="BU1108" t="s">
        <v>126</v>
      </c>
      <c r="BV1108" t="s">
        <v>126</v>
      </c>
      <c r="CN1108" t="s">
        <v>147</v>
      </c>
      <c r="CP1108" t="s">
        <v>490</v>
      </c>
      <c r="CQ1108" t="s">
        <v>147</v>
      </c>
    </row>
    <row r="1109" spans="1:95" x14ac:dyDescent="0.2">
      <c r="A1109" t="s">
        <v>115</v>
      </c>
      <c r="B1109" t="s">
        <v>116</v>
      </c>
      <c r="C1109">
        <v>210784</v>
      </c>
      <c r="E1109" t="s">
        <v>117</v>
      </c>
      <c r="F1109">
        <v>368</v>
      </c>
      <c r="G1109" t="s">
        <v>141</v>
      </c>
      <c r="H1109" t="s">
        <v>142</v>
      </c>
      <c r="I1109" t="s">
        <v>279</v>
      </c>
      <c r="J1109" t="s">
        <v>280</v>
      </c>
      <c r="L1109" t="s">
        <v>779</v>
      </c>
      <c r="M1109" s="8">
        <v>46023</v>
      </c>
      <c r="N1109">
        <v>5858284</v>
      </c>
      <c r="O1109" t="s">
        <v>123</v>
      </c>
      <c r="P1109" t="s">
        <v>146</v>
      </c>
      <c r="Q1109">
        <v>2.58</v>
      </c>
      <c r="R1109" t="s">
        <v>559</v>
      </c>
      <c r="S1109" t="s">
        <v>126</v>
      </c>
      <c r="T1109" t="s">
        <v>559</v>
      </c>
      <c r="U1109" t="s">
        <v>560</v>
      </c>
      <c r="W1109">
        <v>0.79520000000000002</v>
      </c>
      <c r="X1109">
        <v>1.7848000000000002</v>
      </c>
      <c r="Y1109">
        <v>2.58</v>
      </c>
      <c r="Z1109">
        <v>0.98140000000000005</v>
      </c>
      <c r="AG1109">
        <v>0.79520000000000002</v>
      </c>
      <c r="AI1109">
        <v>0.8034</v>
      </c>
      <c r="BH1109" t="s">
        <v>126</v>
      </c>
      <c r="BI1109" t="s">
        <v>126</v>
      </c>
      <c r="BJ1109" t="s">
        <v>126</v>
      </c>
      <c r="BK1109" t="s">
        <v>126</v>
      </c>
      <c r="BS1109" t="s">
        <v>126</v>
      </c>
      <c r="BT1109" t="s">
        <v>126</v>
      </c>
      <c r="BU1109" t="s">
        <v>126</v>
      </c>
      <c r="BV1109" t="s">
        <v>126</v>
      </c>
      <c r="CN1109" t="s">
        <v>147</v>
      </c>
      <c r="CP1109" t="s">
        <v>490</v>
      </c>
      <c r="CQ1109" t="s">
        <v>147</v>
      </c>
    </row>
    <row r="1110" spans="1:95" x14ac:dyDescent="0.2">
      <c r="A1110" t="s">
        <v>115</v>
      </c>
      <c r="B1110" t="s">
        <v>116</v>
      </c>
      <c r="C1110">
        <v>210784</v>
      </c>
      <c r="E1110" t="s">
        <v>117</v>
      </c>
      <c r="F1110">
        <v>368</v>
      </c>
      <c r="G1110" t="s">
        <v>141</v>
      </c>
      <c r="H1110" t="s">
        <v>142</v>
      </c>
      <c r="I1110" t="s">
        <v>279</v>
      </c>
      <c r="J1110" t="s">
        <v>280</v>
      </c>
      <c r="L1110" t="s">
        <v>780</v>
      </c>
      <c r="M1110" s="8">
        <v>46023</v>
      </c>
      <c r="N1110">
        <v>5859235</v>
      </c>
      <c r="O1110" t="s">
        <v>123</v>
      </c>
      <c r="P1110" t="s">
        <v>146</v>
      </c>
      <c r="Q1110">
        <v>1.7399999999999998</v>
      </c>
      <c r="R1110" t="s">
        <v>559</v>
      </c>
      <c r="S1110" t="s">
        <v>126</v>
      </c>
      <c r="T1110" t="s">
        <v>559</v>
      </c>
      <c r="U1110" t="s">
        <v>560</v>
      </c>
      <c r="W1110">
        <v>0.5363</v>
      </c>
      <c r="X1110">
        <v>1.2037</v>
      </c>
      <c r="Y1110">
        <v>1.7399999999999998</v>
      </c>
      <c r="Z1110">
        <v>0.66190000000000004</v>
      </c>
      <c r="AG1110">
        <v>0.5363</v>
      </c>
      <c r="AI1110">
        <v>0.54179999999999995</v>
      </c>
      <c r="BH1110" t="s">
        <v>126</v>
      </c>
      <c r="BI1110" t="s">
        <v>126</v>
      </c>
      <c r="BJ1110" t="s">
        <v>126</v>
      </c>
      <c r="BK1110" t="s">
        <v>126</v>
      </c>
      <c r="BS1110" t="s">
        <v>126</v>
      </c>
      <c r="BT1110" t="s">
        <v>126</v>
      </c>
      <c r="BU1110" t="s">
        <v>126</v>
      </c>
      <c r="BV1110" t="s">
        <v>126</v>
      </c>
      <c r="CN1110" t="s">
        <v>147</v>
      </c>
      <c r="CP1110" t="s">
        <v>490</v>
      </c>
      <c r="CQ1110" t="s">
        <v>147</v>
      </c>
    </row>
    <row r="1111" spans="1:95" x14ac:dyDescent="0.2">
      <c r="A1111" t="s">
        <v>115</v>
      </c>
      <c r="B1111" t="s">
        <v>116</v>
      </c>
      <c r="C1111">
        <v>210784</v>
      </c>
      <c r="E1111" t="s">
        <v>117</v>
      </c>
      <c r="F1111">
        <v>368</v>
      </c>
      <c r="G1111" t="s">
        <v>141</v>
      </c>
      <c r="H1111" t="s">
        <v>142</v>
      </c>
      <c r="I1111" t="s">
        <v>279</v>
      </c>
      <c r="J1111" t="s">
        <v>280</v>
      </c>
      <c r="L1111" t="s">
        <v>134</v>
      </c>
      <c r="M1111" s="8">
        <v>46023</v>
      </c>
      <c r="N1111">
        <v>5859943</v>
      </c>
      <c r="O1111" t="s">
        <v>123</v>
      </c>
      <c r="P1111" t="s">
        <v>146</v>
      </c>
      <c r="Q1111">
        <v>2.8098999999999998</v>
      </c>
      <c r="R1111" t="s">
        <v>559</v>
      </c>
      <c r="S1111" t="s">
        <v>126</v>
      </c>
      <c r="T1111" t="s">
        <v>559</v>
      </c>
      <c r="U1111" t="s">
        <v>560</v>
      </c>
      <c r="W1111">
        <v>0.86599999999999999</v>
      </c>
      <c r="X1111">
        <v>1.9439</v>
      </c>
      <c r="Y1111">
        <v>2.8098999999999998</v>
      </c>
      <c r="Z1111">
        <v>1.0689</v>
      </c>
      <c r="AG1111">
        <v>0.86599999999999999</v>
      </c>
      <c r="AI1111">
        <v>0.875</v>
      </c>
      <c r="BH1111" t="s">
        <v>126</v>
      </c>
      <c r="BI1111" t="s">
        <v>126</v>
      </c>
      <c r="BJ1111" t="s">
        <v>126</v>
      </c>
      <c r="BK1111" t="s">
        <v>126</v>
      </c>
      <c r="BS1111" t="s">
        <v>126</v>
      </c>
      <c r="BT1111" t="s">
        <v>126</v>
      </c>
      <c r="BU1111" t="s">
        <v>126</v>
      </c>
      <c r="BV1111" t="s">
        <v>126</v>
      </c>
      <c r="CN1111" t="s">
        <v>147</v>
      </c>
      <c r="CP1111" t="s">
        <v>490</v>
      </c>
      <c r="CQ1111" t="s">
        <v>147</v>
      </c>
    </row>
    <row r="1112" spans="1:95" x14ac:dyDescent="0.2">
      <c r="A1112" t="s">
        <v>115</v>
      </c>
      <c r="B1112" t="s">
        <v>116</v>
      </c>
      <c r="C1112">
        <v>210784</v>
      </c>
      <c r="E1112" t="s">
        <v>117</v>
      </c>
      <c r="F1112">
        <v>368</v>
      </c>
      <c r="G1112" t="s">
        <v>141</v>
      </c>
      <c r="H1112" t="s">
        <v>142</v>
      </c>
      <c r="I1112" t="s">
        <v>279</v>
      </c>
      <c r="J1112" t="s">
        <v>280</v>
      </c>
      <c r="L1112" t="s">
        <v>135</v>
      </c>
      <c r="M1112" s="8">
        <v>46023</v>
      </c>
      <c r="N1112">
        <v>5860854</v>
      </c>
      <c r="O1112" t="s">
        <v>123</v>
      </c>
      <c r="P1112" t="s">
        <v>146</v>
      </c>
      <c r="Q1112">
        <v>6.0400000000000009</v>
      </c>
      <c r="R1112" t="s">
        <v>559</v>
      </c>
      <c r="S1112" t="s">
        <v>126</v>
      </c>
      <c r="T1112" t="s">
        <v>559</v>
      </c>
      <c r="U1112" t="s">
        <v>560</v>
      </c>
      <c r="W1112">
        <v>1.8614999999999999</v>
      </c>
      <c r="X1112">
        <v>4.1784999999999997</v>
      </c>
      <c r="Y1112">
        <v>6.0400000000000009</v>
      </c>
      <c r="Z1112">
        <v>2.2976000000000001</v>
      </c>
      <c r="AG1112">
        <v>1.8614999999999999</v>
      </c>
      <c r="AI1112">
        <v>1.8809</v>
      </c>
      <c r="BH1112" t="s">
        <v>126</v>
      </c>
      <c r="BI1112" t="s">
        <v>126</v>
      </c>
      <c r="BJ1112" t="s">
        <v>126</v>
      </c>
      <c r="BK1112" t="s">
        <v>126</v>
      </c>
      <c r="BS1112" t="s">
        <v>126</v>
      </c>
      <c r="BT1112" t="s">
        <v>126</v>
      </c>
      <c r="BU1112" t="s">
        <v>126</v>
      </c>
      <c r="BV1112" t="s">
        <v>126</v>
      </c>
      <c r="CN1112" t="s">
        <v>147</v>
      </c>
      <c r="CP1112" t="s">
        <v>490</v>
      </c>
      <c r="CQ1112" t="s">
        <v>147</v>
      </c>
    </row>
    <row r="1113" spans="1:95" x14ac:dyDescent="0.2">
      <c r="A1113" t="s">
        <v>115</v>
      </c>
      <c r="B1113" t="s">
        <v>116</v>
      </c>
      <c r="C1113">
        <v>210784</v>
      </c>
      <c r="E1113" t="s">
        <v>117</v>
      </c>
      <c r="F1113">
        <v>368</v>
      </c>
      <c r="G1113" t="s">
        <v>141</v>
      </c>
      <c r="H1113" t="s">
        <v>142</v>
      </c>
      <c r="I1113" t="s">
        <v>279</v>
      </c>
      <c r="J1113" t="s">
        <v>280</v>
      </c>
      <c r="L1113" t="s">
        <v>781</v>
      </c>
      <c r="M1113" s="8">
        <v>46023</v>
      </c>
      <c r="N1113">
        <v>5861777</v>
      </c>
      <c r="O1113" t="s">
        <v>123</v>
      </c>
      <c r="P1113" t="s">
        <v>146</v>
      </c>
      <c r="Q1113">
        <v>4.79</v>
      </c>
      <c r="R1113" t="s">
        <v>559</v>
      </c>
      <c r="S1113" t="s">
        <v>126</v>
      </c>
      <c r="T1113" t="s">
        <v>559</v>
      </c>
      <c r="U1113" t="s">
        <v>560</v>
      </c>
      <c r="W1113">
        <v>1.4762999999999999</v>
      </c>
      <c r="X1113">
        <v>3.3136999999999999</v>
      </c>
      <c r="Y1113">
        <v>4.79</v>
      </c>
      <c r="Z1113">
        <v>1.8221000000000001</v>
      </c>
      <c r="AG1113">
        <v>1.4762999999999999</v>
      </c>
      <c r="AI1113">
        <v>1.4916</v>
      </c>
      <c r="BH1113" t="s">
        <v>126</v>
      </c>
      <c r="BI1113" t="s">
        <v>126</v>
      </c>
      <c r="BJ1113" t="s">
        <v>126</v>
      </c>
      <c r="BK1113" t="s">
        <v>126</v>
      </c>
      <c r="BS1113" t="s">
        <v>126</v>
      </c>
      <c r="BT1113" t="s">
        <v>126</v>
      </c>
      <c r="BU1113" t="s">
        <v>126</v>
      </c>
      <c r="BV1113" t="s">
        <v>126</v>
      </c>
      <c r="CN1113" t="s">
        <v>147</v>
      </c>
      <c r="CP1113" t="s">
        <v>490</v>
      </c>
      <c r="CQ1113" t="s">
        <v>147</v>
      </c>
    </row>
    <row r="1114" spans="1:95" x14ac:dyDescent="0.2">
      <c r="A1114" t="s">
        <v>115</v>
      </c>
      <c r="B1114" t="s">
        <v>116</v>
      </c>
      <c r="C1114">
        <v>210784</v>
      </c>
      <c r="E1114" t="s">
        <v>117</v>
      </c>
      <c r="F1114">
        <v>368</v>
      </c>
      <c r="G1114" t="s">
        <v>141</v>
      </c>
      <c r="H1114" t="s">
        <v>142</v>
      </c>
      <c r="I1114" t="s">
        <v>279</v>
      </c>
      <c r="J1114" t="s">
        <v>280</v>
      </c>
      <c r="L1114" t="s">
        <v>133</v>
      </c>
      <c r="M1114" s="8">
        <v>46023</v>
      </c>
      <c r="N1114">
        <v>5865513</v>
      </c>
      <c r="O1114" t="s">
        <v>123</v>
      </c>
      <c r="P1114" t="s">
        <v>146</v>
      </c>
      <c r="Q1114">
        <v>3.3199000000000005</v>
      </c>
      <c r="R1114" t="s">
        <v>559</v>
      </c>
      <c r="S1114" t="s">
        <v>126</v>
      </c>
      <c r="T1114" t="s">
        <v>559</v>
      </c>
      <c r="U1114" t="s">
        <v>560</v>
      </c>
      <c r="W1114">
        <v>1.0232000000000001</v>
      </c>
      <c r="X1114">
        <v>2.2967</v>
      </c>
      <c r="Y1114">
        <v>3.3199000000000005</v>
      </c>
      <c r="Z1114">
        <v>1.2628999999999999</v>
      </c>
      <c r="AG1114">
        <v>1.0232000000000001</v>
      </c>
      <c r="AI1114">
        <v>1.0338000000000001</v>
      </c>
      <c r="BH1114" t="s">
        <v>126</v>
      </c>
      <c r="BI1114" t="s">
        <v>126</v>
      </c>
      <c r="BJ1114" t="s">
        <v>126</v>
      </c>
      <c r="BK1114" t="s">
        <v>126</v>
      </c>
      <c r="BS1114" t="s">
        <v>126</v>
      </c>
      <c r="BT1114" t="s">
        <v>126</v>
      </c>
      <c r="BU1114" t="s">
        <v>126</v>
      </c>
      <c r="BV1114" t="s">
        <v>126</v>
      </c>
      <c r="CN1114" t="s">
        <v>147</v>
      </c>
      <c r="CP1114" t="s">
        <v>490</v>
      </c>
      <c r="CQ1114" t="s">
        <v>147</v>
      </c>
    </row>
    <row r="1115" spans="1:95" x14ac:dyDescent="0.2">
      <c r="A1115" t="s">
        <v>115</v>
      </c>
      <c r="B1115" t="s">
        <v>116</v>
      </c>
      <c r="C1115">
        <v>210784</v>
      </c>
      <c r="E1115" t="s">
        <v>117</v>
      </c>
      <c r="F1115">
        <v>368</v>
      </c>
      <c r="G1115" t="s">
        <v>141</v>
      </c>
      <c r="H1115" t="s">
        <v>142</v>
      </c>
      <c r="I1115" t="s">
        <v>279</v>
      </c>
      <c r="J1115" t="s">
        <v>280</v>
      </c>
      <c r="L1115" t="s">
        <v>133</v>
      </c>
      <c r="M1115" s="8">
        <v>46023</v>
      </c>
      <c r="N1115">
        <v>5864307</v>
      </c>
      <c r="O1115" t="s">
        <v>123</v>
      </c>
      <c r="P1115" t="s">
        <v>146</v>
      </c>
      <c r="Q1115">
        <v>3.1301000000000001</v>
      </c>
      <c r="R1115" t="s">
        <v>559</v>
      </c>
      <c r="S1115" t="s">
        <v>126</v>
      </c>
      <c r="T1115" t="s">
        <v>559</v>
      </c>
      <c r="U1115" t="s">
        <v>560</v>
      </c>
      <c r="W1115">
        <v>0.9647</v>
      </c>
      <c r="X1115">
        <v>2.1654</v>
      </c>
      <c r="Y1115">
        <v>3.1301000000000001</v>
      </c>
      <c r="Z1115">
        <v>1.1907000000000001</v>
      </c>
      <c r="AG1115">
        <v>0.9647</v>
      </c>
      <c r="AI1115">
        <v>0.97470000000000001</v>
      </c>
      <c r="BH1115" t="s">
        <v>126</v>
      </c>
      <c r="BI1115" t="s">
        <v>126</v>
      </c>
      <c r="BJ1115" t="s">
        <v>126</v>
      </c>
      <c r="BK1115" t="s">
        <v>126</v>
      </c>
      <c r="BS1115" t="s">
        <v>126</v>
      </c>
      <c r="BT1115" t="s">
        <v>126</v>
      </c>
      <c r="BU1115" t="s">
        <v>126</v>
      </c>
      <c r="BV1115" t="s">
        <v>126</v>
      </c>
      <c r="CN1115" t="s">
        <v>147</v>
      </c>
      <c r="CP1115" t="s">
        <v>490</v>
      </c>
      <c r="CQ1115" t="s">
        <v>147</v>
      </c>
    </row>
    <row r="1116" spans="1:95" x14ac:dyDescent="0.2">
      <c r="A1116" t="s">
        <v>115</v>
      </c>
      <c r="B1116" t="s">
        <v>116</v>
      </c>
      <c r="C1116">
        <v>210784</v>
      </c>
      <c r="E1116" t="s">
        <v>117</v>
      </c>
      <c r="F1116">
        <v>368</v>
      </c>
      <c r="G1116" t="s">
        <v>141</v>
      </c>
      <c r="H1116" t="s">
        <v>142</v>
      </c>
      <c r="I1116" t="s">
        <v>279</v>
      </c>
      <c r="J1116" t="s">
        <v>280</v>
      </c>
      <c r="L1116" t="s">
        <v>782</v>
      </c>
      <c r="M1116" s="8">
        <v>46023</v>
      </c>
      <c r="N1116">
        <v>5865333</v>
      </c>
      <c r="O1116" t="s">
        <v>123</v>
      </c>
      <c r="P1116" t="s">
        <v>146</v>
      </c>
      <c r="Q1116">
        <v>2.17</v>
      </c>
      <c r="R1116" t="s">
        <v>559</v>
      </c>
      <c r="S1116" t="s">
        <v>126</v>
      </c>
      <c r="T1116" t="s">
        <v>559</v>
      </c>
      <c r="U1116" t="s">
        <v>560</v>
      </c>
      <c r="W1116">
        <v>0.66879999999999995</v>
      </c>
      <c r="X1116">
        <v>1.5011999999999999</v>
      </c>
      <c r="Y1116">
        <v>2.17</v>
      </c>
      <c r="Z1116">
        <v>0.82550000000000001</v>
      </c>
      <c r="AG1116">
        <v>0.66879999999999995</v>
      </c>
      <c r="AI1116">
        <v>0.67569999999999997</v>
      </c>
      <c r="BH1116" t="s">
        <v>126</v>
      </c>
      <c r="BI1116" t="s">
        <v>126</v>
      </c>
      <c r="BJ1116" t="s">
        <v>126</v>
      </c>
      <c r="BK1116" t="s">
        <v>126</v>
      </c>
      <c r="BS1116" t="s">
        <v>126</v>
      </c>
      <c r="BT1116" t="s">
        <v>126</v>
      </c>
      <c r="BU1116" t="s">
        <v>126</v>
      </c>
      <c r="BV1116" t="s">
        <v>126</v>
      </c>
      <c r="CN1116" t="s">
        <v>147</v>
      </c>
      <c r="CP1116" t="s">
        <v>490</v>
      </c>
      <c r="CQ1116" t="s">
        <v>147</v>
      </c>
    </row>
    <row r="1117" spans="1:95" x14ac:dyDescent="0.2">
      <c r="A1117" t="s">
        <v>115</v>
      </c>
      <c r="B1117" t="s">
        <v>116</v>
      </c>
      <c r="C1117">
        <v>210784</v>
      </c>
      <c r="E1117" t="s">
        <v>117</v>
      </c>
      <c r="F1117">
        <v>368</v>
      </c>
      <c r="G1117" t="s">
        <v>141</v>
      </c>
      <c r="H1117" t="s">
        <v>142</v>
      </c>
      <c r="I1117" t="s">
        <v>279</v>
      </c>
      <c r="J1117" t="s">
        <v>280</v>
      </c>
      <c r="L1117" t="s">
        <v>137</v>
      </c>
      <c r="M1117" s="8">
        <v>46023</v>
      </c>
      <c r="N1117">
        <v>5865657</v>
      </c>
      <c r="O1117" t="s">
        <v>123</v>
      </c>
      <c r="P1117" t="s">
        <v>146</v>
      </c>
      <c r="Q1117">
        <v>7.26</v>
      </c>
      <c r="R1117" t="s">
        <v>559</v>
      </c>
      <c r="S1117" t="s">
        <v>126</v>
      </c>
      <c r="T1117" t="s">
        <v>559</v>
      </c>
      <c r="U1117" t="s">
        <v>560</v>
      </c>
      <c r="W1117">
        <v>2.2374999999999998</v>
      </c>
      <c r="X1117">
        <v>5.0225</v>
      </c>
      <c r="Y1117">
        <v>7.26</v>
      </c>
      <c r="Z1117">
        <v>2.7616999999999998</v>
      </c>
      <c r="AG1117">
        <v>2.2374999999999998</v>
      </c>
      <c r="AI1117">
        <v>2.2608000000000001</v>
      </c>
      <c r="BH1117" t="s">
        <v>126</v>
      </c>
      <c r="BI1117" t="s">
        <v>126</v>
      </c>
      <c r="BJ1117" t="s">
        <v>126</v>
      </c>
      <c r="BK1117" t="s">
        <v>126</v>
      </c>
      <c r="BS1117" t="s">
        <v>126</v>
      </c>
      <c r="BT1117" t="s">
        <v>126</v>
      </c>
      <c r="BU1117" t="s">
        <v>126</v>
      </c>
      <c r="BV1117" t="s">
        <v>126</v>
      </c>
      <c r="CN1117" t="s">
        <v>147</v>
      </c>
      <c r="CP1117" t="s">
        <v>490</v>
      </c>
      <c r="CQ1117" t="s">
        <v>147</v>
      </c>
    </row>
    <row r="1118" spans="1:95" x14ac:dyDescent="0.2">
      <c r="A1118" t="s">
        <v>115</v>
      </c>
      <c r="B1118" t="s">
        <v>116</v>
      </c>
      <c r="C1118">
        <v>210784</v>
      </c>
      <c r="E1118" t="s">
        <v>117</v>
      </c>
      <c r="F1118">
        <v>368</v>
      </c>
      <c r="G1118" t="s">
        <v>141</v>
      </c>
      <c r="H1118" t="s">
        <v>142</v>
      </c>
      <c r="I1118" t="s">
        <v>279</v>
      </c>
      <c r="J1118" t="s">
        <v>280</v>
      </c>
      <c r="L1118" t="s">
        <v>783</v>
      </c>
      <c r="M1118" s="8">
        <v>46023</v>
      </c>
      <c r="N1118">
        <v>5866969</v>
      </c>
      <c r="O1118" t="s">
        <v>123</v>
      </c>
      <c r="P1118" t="s">
        <v>146</v>
      </c>
      <c r="Q1118">
        <v>5.6900999999999993</v>
      </c>
      <c r="R1118" t="s">
        <v>559</v>
      </c>
      <c r="S1118" t="s">
        <v>126</v>
      </c>
      <c r="T1118" t="s">
        <v>559</v>
      </c>
      <c r="U1118" t="s">
        <v>560</v>
      </c>
      <c r="W1118">
        <v>1.7537</v>
      </c>
      <c r="X1118">
        <v>3.9363999999999999</v>
      </c>
      <c r="Y1118">
        <v>5.6900999999999993</v>
      </c>
      <c r="Z1118">
        <v>2.1644999999999999</v>
      </c>
      <c r="AG1118">
        <v>1.7537</v>
      </c>
      <c r="AI1118">
        <v>1.7719</v>
      </c>
      <c r="BH1118" t="s">
        <v>126</v>
      </c>
      <c r="BI1118" t="s">
        <v>126</v>
      </c>
      <c r="BJ1118" t="s">
        <v>126</v>
      </c>
      <c r="BK1118" t="s">
        <v>126</v>
      </c>
      <c r="BS1118" t="s">
        <v>126</v>
      </c>
      <c r="BT1118" t="s">
        <v>126</v>
      </c>
      <c r="BU1118" t="s">
        <v>126</v>
      </c>
      <c r="BV1118" t="s">
        <v>126</v>
      </c>
      <c r="CN1118" t="s">
        <v>147</v>
      </c>
      <c r="CP1118" t="s">
        <v>490</v>
      </c>
      <c r="CQ1118" t="s">
        <v>147</v>
      </c>
    </row>
    <row r="1119" spans="1:95" x14ac:dyDescent="0.2">
      <c r="A1119" t="s">
        <v>115</v>
      </c>
      <c r="B1119" t="s">
        <v>116</v>
      </c>
      <c r="C1119">
        <v>210784</v>
      </c>
      <c r="E1119" t="s">
        <v>117</v>
      </c>
      <c r="F1119">
        <v>368</v>
      </c>
      <c r="G1119" t="s">
        <v>141</v>
      </c>
      <c r="H1119" t="s">
        <v>142</v>
      </c>
      <c r="I1119" t="s">
        <v>279</v>
      </c>
      <c r="J1119" t="s">
        <v>280</v>
      </c>
      <c r="L1119" t="s">
        <v>783</v>
      </c>
      <c r="M1119" s="8">
        <v>46023</v>
      </c>
      <c r="N1119">
        <v>5866897</v>
      </c>
      <c r="O1119" t="s">
        <v>123</v>
      </c>
      <c r="P1119" t="s">
        <v>146</v>
      </c>
      <c r="Q1119">
        <v>4.78</v>
      </c>
      <c r="R1119" t="s">
        <v>559</v>
      </c>
      <c r="S1119" t="s">
        <v>126</v>
      </c>
      <c r="T1119" t="s">
        <v>559</v>
      </c>
      <c r="U1119" t="s">
        <v>560</v>
      </c>
      <c r="W1119">
        <v>1.4732000000000001</v>
      </c>
      <c r="X1119">
        <v>3.3068</v>
      </c>
      <c r="Y1119">
        <v>4.78</v>
      </c>
      <c r="Z1119">
        <v>1.8183</v>
      </c>
      <c r="AG1119">
        <v>1.4732000000000001</v>
      </c>
      <c r="AI1119">
        <v>1.4884999999999999</v>
      </c>
      <c r="BH1119" t="s">
        <v>126</v>
      </c>
      <c r="BI1119" t="s">
        <v>126</v>
      </c>
      <c r="BJ1119" t="s">
        <v>126</v>
      </c>
      <c r="BK1119" t="s">
        <v>126</v>
      </c>
      <c r="BS1119" t="s">
        <v>126</v>
      </c>
      <c r="BT1119" t="s">
        <v>126</v>
      </c>
      <c r="BU1119" t="s">
        <v>126</v>
      </c>
      <c r="BV1119" t="s">
        <v>126</v>
      </c>
      <c r="CN1119" t="s">
        <v>147</v>
      </c>
      <c r="CP1119" t="s">
        <v>490</v>
      </c>
      <c r="CQ1119" t="s">
        <v>147</v>
      </c>
    </row>
    <row r="1120" spans="1:95" x14ac:dyDescent="0.2">
      <c r="A1120" t="s">
        <v>115</v>
      </c>
      <c r="B1120" t="s">
        <v>116</v>
      </c>
      <c r="C1120">
        <v>210784</v>
      </c>
      <c r="E1120" t="s">
        <v>117</v>
      </c>
      <c r="F1120">
        <v>368</v>
      </c>
      <c r="G1120" t="s">
        <v>141</v>
      </c>
      <c r="H1120" t="s">
        <v>142</v>
      </c>
      <c r="I1120" t="s">
        <v>279</v>
      </c>
      <c r="J1120" t="s">
        <v>280</v>
      </c>
      <c r="L1120" t="s">
        <v>784</v>
      </c>
      <c r="M1120" s="8">
        <v>46023</v>
      </c>
      <c r="N1120">
        <v>5867766</v>
      </c>
      <c r="O1120" t="s">
        <v>123</v>
      </c>
      <c r="P1120" t="s">
        <v>146</v>
      </c>
      <c r="Q1120">
        <v>0.76</v>
      </c>
      <c r="R1120" t="s">
        <v>559</v>
      </c>
      <c r="S1120" t="s">
        <v>126</v>
      </c>
      <c r="T1120" t="s">
        <v>559</v>
      </c>
      <c r="U1120" t="s">
        <v>560</v>
      </c>
      <c r="W1120">
        <v>0.23419999999999999</v>
      </c>
      <c r="X1120">
        <v>0.52580000000000005</v>
      </c>
      <c r="Y1120">
        <v>0.76</v>
      </c>
      <c r="Z1120">
        <v>0.28910000000000002</v>
      </c>
      <c r="AG1120">
        <v>0.23419999999999999</v>
      </c>
      <c r="AI1120">
        <v>0.23669999999999999</v>
      </c>
      <c r="BH1120" t="s">
        <v>126</v>
      </c>
      <c r="BI1120" t="s">
        <v>126</v>
      </c>
      <c r="BJ1120" t="s">
        <v>126</v>
      </c>
      <c r="BK1120" t="s">
        <v>126</v>
      </c>
      <c r="BS1120" t="s">
        <v>126</v>
      </c>
      <c r="BT1120" t="s">
        <v>126</v>
      </c>
      <c r="BU1120" t="s">
        <v>126</v>
      </c>
      <c r="BV1120" t="s">
        <v>126</v>
      </c>
      <c r="CN1120" t="s">
        <v>147</v>
      </c>
      <c r="CP1120" t="s">
        <v>490</v>
      </c>
      <c r="CQ1120" t="s">
        <v>147</v>
      </c>
    </row>
    <row r="1121" spans="1:95" x14ac:dyDescent="0.2">
      <c r="A1121" t="s">
        <v>115</v>
      </c>
      <c r="B1121" t="s">
        <v>116</v>
      </c>
      <c r="C1121">
        <v>210784</v>
      </c>
      <c r="E1121" t="s">
        <v>117</v>
      </c>
      <c r="F1121">
        <v>368</v>
      </c>
      <c r="G1121" t="s">
        <v>141</v>
      </c>
      <c r="H1121" t="s">
        <v>142</v>
      </c>
      <c r="I1121" t="s">
        <v>279</v>
      </c>
      <c r="J1121" t="s">
        <v>280</v>
      </c>
      <c r="L1121" t="s">
        <v>785</v>
      </c>
      <c r="M1121" s="8">
        <v>46023</v>
      </c>
      <c r="N1121">
        <v>5868276</v>
      </c>
      <c r="O1121" t="s">
        <v>123</v>
      </c>
      <c r="P1121" t="s">
        <v>146</v>
      </c>
      <c r="Q1121">
        <v>5.55</v>
      </c>
      <c r="R1121" t="s">
        <v>559</v>
      </c>
      <c r="S1121" t="s">
        <v>126</v>
      </c>
      <c r="T1121" t="s">
        <v>559</v>
      </c>
      <c r="U1121" t="s">
        <v>560</v>
      </c>
      <c r="W1121">
        <v>1.7104999999999999</v>
      </c>
      <c r="X1121">
        <v>3.8395000000000001</v>
      </c>
      <c r="Y1121">
        <v>5.55</v>
      </c>
      <c r="Z1121">
        <v>2.1112000000000002</v>
      </c>
      <c r="AG1121">
        <v>1.7104999999999999</v>
      </c>
      <c r="AI1121">
        <v>1.7282999999999999</v>
      </c>
      <c r="BH1121" t="s">
        <v>126</v>
      </c>
      <c r="BI1121" t="s">
        <v>126</v>
      </c>
      <c r="BJ1121" t="s">
        <v>126</v>
      </c>
      <c r="BK1121" t="s">
        <v>126</v>
      </c>
      <c r="BS1121" t="s">
        <v>126</v>
      </c>
      <c r="BT1121" t="s">
        <v>126</v>
      </c>
      <c r="BU1121" t="s">
        <v>126</v>
      </c>
      <c r="BV1121" t="s">
        <v>126</v>
      </c>
      <c r="CN1121" t="s">
        <v>147</v>
      </c>
      <c r="CP1121" t="s">
        <v>490</v>
      </c>
      <c r="CQ1121" t="s">
        <v>147</v>
      </c>
    </row>
    <row r="1122" spans="1:95" x14ac:dyDescent="0.2">
      <c r="A1122" t="s">
        <v>115</v>
      </c>
      <c r="B1122" t="s">
        <v>116</v>
      </c>
      <c r="C1122">
        <v>210784</v>
      </c>
      <c r="E1122" t="s">
        <v>117</v>
      </c>
      <c r="F1122">
        <v>368</v>
      </c>
      <c r="G1122" t="s">
        <v>141</v>
      </c>
      <c r="H1122" t="s">
        <v>142</v>
      </c>
      <c r="I1122" t="s">
        <v>279</v>
      </c>
      <c r="J1122" t="s">
        <v>280</v>
      </c>
      <c r="L1122" t="s">
        <v>785</v>
      </c>
      <c r="M1122" s="8">
        <v>46023</v>
      </c>
      <c r="N1122">
        <v>5868623</v>
      </c>
      <c r="O1122" t="s">
        <v>123</v>
      </c>
      <c r="P1122" t="s">
        <v>146</v>
      </c>
      <c r="Q1122">
        <v>3.89</v>
      </c>
      <c r="R1122" t="s">
        <v>559</v>
      </c>
      <c r="S1122" t="s">
        <v>126</v>
      </c>
      <c r="T1122" t="s">
        <v>559</v>
      </c>
      <c r="U1122" t="s">
        <v>560</v>
      </c>
      <c r="W1122">
        <v>1.1989000000000001</v>
      </c>
      <c r="X1122">
        <v>2.6911</v>
      </c>
      <c r="Y1122">
        <v>3.89</v>
      </c>
      <c r="Z1122">
        <v>1.4798</v>
      </c>
      <c r="AG1122">
        <v>1.1989000000000001</v>
      </c>
      <c r="AI1122">
        <v>1.2113</v>
      </c>
      <c r="BH1122" t="s">
        <v>126</v>
      </c>
      <c r="BI1122" t="s">
        <v>126</v>
      </c>
      <c r="BJ1122" t="s">
        <v>126</v>
      </c>
      <c r="BK1122" t="s">
        <v>126</v>
      </c>
      <c r="BS1122" t="s">
        <v>126</v>
      </c>
      <c r="BT1122" t="s">
        <v>126</v>
      </c>
      <c r="BU1122" t="s">
        <v>126</v>
      </c>
      <c r="BV1122" t="s">
        <v>126</v>
      </c>
      <c r="CN1122" t="s">
        <v>147</v>
      </c>
      <c r="CP1122" t="s">
        <v>490</v>
      </c>
      <c r="CQ1122" t="s">
        <v>147</v>
      </c>
    </row>
    <row r="1123" spans="1:95" x14ac:dyDescent="0.2">
      <c r="A1123" t="s">
        <v>115</v>
      </c>
      <c r="B1123" t="s">
        <v>116</v>
      </c>
      <c r="C1123">
        <v>210784</v>
      </c>
      <c r="E1123" t="s">
        <v>117</v>
      </c>
      <c r="F1123">
        <v>368</v>
      </c>
      <c r="G1123" t="s">
        <v>141</v>
      </c>
      <c r="H1123" t="s">
        <v>142</v>
      </c>
      <c r="I1123" t="s">
        <v>279</v>
      </c>
      <c r="J1123" t="s">
        <v>280</v>
      </c>
      <c r="L1123" t="s">
        <v>786</v>
      </c>
      <c r="M1123" s="8">
        <v>46023</v>
      </c>
      <c r="N1123">
        <v>5869389</v>
      </c>
      <c r="O1123" t="s">
        <v>123</v>
      </c>
      <c r="P1123" t="s">
        <v>146</v>
      </c>
      <c r="Q1123">
        <v>4.7700000000000005</v>
      </c>
      <c r="R1123" t="s">
        <v>559</v>
      </c>
      <c r="S1123" t="s">
        <v>126</v>
      </c>
      <c r="T1123" t="s">
        <v>559</v>
      </c>
      <c r="U1123" t="s">
        <v>560</v>
      </c>
      <c r="W1123">
        <v>1.4701</v>
      </c>
      <c r="X1123">
        <v>3.2999000000000001</v>
      </c>
      <c r="Y1123">
        <v>4.7700000000000005</v>
      </c>
      <c r="Z1123">
        <v>1.8145</v>
      </c>
      <c r="AG1123">
        <v>1.4701</v>
      </c>
      <c r="AI1123">
        <v>1.4854000000000001</v>
      </c>
      <c r="BH1123" t="s">
        <v>126</v>
      </c>
      <c r="BI1123" t="s">
        <v>126</v>
      </c>
      <c r="BJ1123" t="s">
        <v>126</v>
      </c>
      <c r="BK1123" t="s">
        <v>126</v>
      </c>
      <c r="BS1123" t="s">
        <v>126</v>
      </c>
      <c r="BT1123" t="s">
        <v>126</v>
      </c>
      <c r="BU1123" t="s">
        <v>126</v>
      </c>
      <c r="BV1123" t="s">
        <v>126</v>
      </c>
      <c r="CN1123" t="s">
        <v>147</v>
      </c>
      <c r="CP1123" t="s">
        <v>490</v>
      </c>
      <c r="CQ1123" t="s">
        <v>147</v>
      </c>
    </row>
    <row r="1124" spans="1:95" x14ac:dyDescent="0.2">
      <c r="A1124" t="s">
        <v>115</v>
      </c>
      <c r="B1124" t="s">
        <v>116</v>
      </c>
      <c r="C1124">
        <v>210784</v>
      </c>
      <c r="E1124" t="s">
        <v>117</v>
      </c>
      <c r="F1124">
        <v>368</v>
      </c>
      <c r="G1124" t="s">
        <v>141</v>
      </c>
      <c r="H1124" t="s">
        <v>142</v>
      </c>
      <c r="I1124" t="s">
        <v>279</v>
      </c>
      <c r="J1124" t="s">
        <v>280</v>
      </c>
      <c r="L1124" t="s">
        <v>138</v>
      </c>
      <c r="M1124" s="8">
        <v>46023</v>
      </c>
      <c r="N1124">
        <v>5870638</v>
      </c>
      <c r="O1124" t="s">
        <v>123</v>
      </c>
      <c r="P1124" t="s">
        <v>146</v>
      </c>
      <c r="Q1124">
        <v>5.0298999999999996</v>
      </c>
      <c r="R1124" t="s">
        <v>559</v>
      </c>
      <c r="S1124" t="s">
        <v>126</v>
      </c>
      <c r="T1124" t="s">
        <v>559</v>
      </c>
      <c r="U1124" t="s">
        <v>560</v>
      </c>
      <c r="W1124">
        <v>1.5502</v>
      </c>
      <c r="X1124">
        <v>3.4797000000000002</v>
      </c>
      <c r="Y1124">
        <v>5.0298999999999996</v>
      </c>
      <c r="Z1124">
        <v>1.9134</v>
      </c>
      <c r="AG1124">
        <v>1.5502</v>
      </c>
      <c r="AI1124">
        <v>1.5663</v>
      </c>
      <c r="BH1124" t="s">
        <v>126</v>
      </c>
      <c r="BI1124" t="s">
        <v>126</v>
      </c>
      <c r="BJ1124" t="s">
        <v>126</v>
      </c>
      <c r="BK1124" t="s">
        <v>126</v>
      </c>
      <c r="BS1124" t="s">
        <v>126</v>
      </c>
      <c r="BT1124" t="s">
        <v>126</v>
      </c>
      <c r="BU1124" t="s">
        <v>126</v>
      </c>
      <c r="BV1124" t="s">
        <v>126</v>
      </c>
      <c r="CN1124" t="s">
        <v>147</v>
      </c>
      <c r="CP1124" t="s">
        <v>490</v>
      </c>
      <c r="CQ1124" t="s">
        <v>147</v>
      </c>
    </row>
    <row r="1125" spans="1:95" x14ac:dyDescent="0.2">
      <c r="A1125" t="s">
        <v>115</v>
      </c>
      <c r="B1125" t="s">
        <v>116</v>
      </c>
      <c r="C1125">
        <v>210784</v>
      </c>
      <c r="E1125" t="s">
        <v>117</v>
      </c>
      <c r="F1125">
        <v>368</v>
      </c>
      <c r="G1125" t="s">
        <v>141</v>
      </c>
      <c r="H1125" t="s">
        <v>142</v>
      </c>
      <c r="I1125" t="s">
        <v>279</v>
      </c>
      <c r="J1125" t="s">
        <v>280</v>
      </c>
      <c r="L1125" t="s">
        <v>138</v>
      </c>
      <c r="M1125" s="8">
        <v>46023</v>
      </c>
      <c r="N1125">
        <v>5870359</v>
      </c>
      <c r="O1125" t="s">
        <v>123</v>
      </c>
      <c r="P1125" t="s">
        <v>146</v>
      </c>
      <c r="Q1125">
        <v>7.67</v>
      </c>
      <c r="R1125" t="s">
        <v>559</v>
      </c>
      <c r="S1125" t="s">
        <v>126</v>
      </c>
      <c r="T1125" t="s">
        <v>559</v>
      </c>
      <c r="U1125" t="s">
        <v>560</v>
      </c>
      <c r="W1125">
        <v>2.3639000000000001</v>
      </c>
      <c r="X1125">
        <v>5.3060999999999998</v>
      </c>
      <c r="Y1125">
        <v>7.67</v>
      </c>
      <c r="Z1125">
        <v>2.9177</v>
      </c>
      <c r="AG1125">
        <v>2.3639000000000001</v>
      </c>
      <c r="AI1125">
        <v>2.3883999999999999</v>
      </c>
      <c r="BH1125" t="s">
        <v>126</v>
      </c>
      <c r="BI1125" t="s">
        <v>126</v>
      </c>
      <c r="BJ1125" t="s">
        <v>126</v>
      </c>
      <c r="BK1125" t="s">
        <v>126</v>
      </c>
      <c r="BS1125" t="s">
        <v>126</v>
      </c>
      <c r="BT1125" t="s">
        <v>126</v>
      </c>
      <c r="BU1125" t="s">
        <v>126</v>
      </c>
      <c r="BV1125" t="s">
        <v>126</v>
      </c>
      <c r="CN1125" t="s">
        <v>147</v>
      </c>
      <c r="CP1125" t="s">
        <v>490</v>
      </c>
      <c r="CQ1125" t="s">
        <v>147</v>
      </c>
    </row>
    <row r="1126" spans="1:95" x14ac:dyDescent="0.2">
      <c r="A1126" t="s">
        <v>115</v>
      </c>
      <c r="B1126" t="s">
        <v>116</v>
      </c>
      <c r="C1126">
        <v>210784</v>
      </c>
      <c r="E1126" t="s">
        <v>117</v>
      </c>
      <c r="F1126">
        <v>368</v>
      </c>
      <c r="G1126" t="s">
        <v>118</v>
      </c>
      <c r="H1126" t="s">
        <v>119</v>
      </c>
      <c r="I1126" t="s">
        <v>130</v>
      </c>
      <c r="J1126" t="s">
        <v>131</v>
      </c>
      <c r="L1126" t="s">
        <v>135</v>
      </c>
      <c r="M1126" s="8">
        <v>46023</v>
      </c>
      <c r="N1126">
        <v>7350213</v>
      </c>
      <c r="O1126" t="s">
        <v>123</v>
      </c>
      <c r="P1126" t="s">
        <v>124</v>
      </c>
      <c r="Q1126">
        <v>18.939999999999998</v>
      </c>
      <c r="R1126" t="s">
        <v>125</v>
      </c>
      <c r="S1126" t="s">
        <v>126</v>
      </c>
      <c r="T1126" t="s">
        <v>125</v>
      </c>
      <c r="U1126" t="s">
        <v>126</v>
      </c>
      <c r="W1126">
        <v>18.939999999999998</v>
      </c>
      <c r="Y1126">
        <v>18.939999999999998</v>
      </c>
      <c r="AA1126">
        <v>8.94</v>
      </c>
      <c r="AC1126">
        <v>10</v>
      </c>
      <c r="BH1126" t="s">
        <v>126</v>
      </c>
      <c r="BI1126" t="s">
        <v>126</v>
      </c>
      <c r="BJ1126" t="s">
        <v>126</v>
      </c>
      <c r="BK1126" t="s">
        <v>126</v>
      </c>
      <c r="BS1126" t="s">
        <v>126</v>
      </c>
      <c r="BT1126" t="s">
        <v>126</v>
      </c>
      <c r="BU1126" t="s">
        <v>126</v>
      </c>
      <c r="BV1126" t="s">
        <v>126</v>
      </c>
      <c r="CN1126" t="s">
        <v>127</v>
      </c>
      <c r="CP1126" t="s">
        <v>136</v>
      </c>
      <c r="CQ1126" t="s">
        <v>127</v>
      </c>
    </row>
    <row r="1127" spans="1:95" x14ac:dyDescent="0.2">
      <c r="A1127" t="s">
        <v>115</v>
      </c>
      <c r="B1127" t="s">
        <v>116</v>
      </c>
      <c r="C1127">
        <v>210784</v>
      </c>
      <c r="E1127" t="s">
        <v>117</v>
      </c>
      <c r="F1127">
        <v>368</v>
      </c>
      <c r="G1127" t="s">
        <v>118</v>
      </c>
      <c r="H1127" t="s">
        <v>119</v>
      </c>
      <c r="I1127" t="s">
        <v>130</v>
      </c>
      <c r="J1127" t="s">
        <v>131</v>
      </c>
      <c r="L1127" t="s">
        <v>135</v>
      </c>
      <c r="M1127" s="8">
        <v>46023</v>
      </c>
      <c r="N1127">
        <v>7350242</v>
      </c>
      <c r="O1127" t="s">
        <v>123</v>
      </c>
      <c r="P1127" t="s">
        <v>124</v>
      </c>
      <c r="Q1127">
        <v>17.8399</v>
      </c>
      <c r="R1127" t="s">
        <v>125</v>
      </c>
      <c r="S1127" t="s">
        <v>126</v>
      </c>
      <c r="T1127" t="s">
        <v>125</v>
      </c>
      <c r="U1127" t="s">
        <v>126</v>
      </c>
      <c r="W1127">
        <v>17.8399</v>
      </c>
      <c r="Y1127">
        <v>17.8399</v>
      </c>
      <c r="AA1127">
        <v>15.84</v>
      </c>
      <c r="AC1127">
        <v>1.9999</v>
      </c>
      <c r="BH1127" t="s">
        <v>126</v>
      </c>
      <c r="BI1127" t="s">
        <v>126</v>
      </c>
      <c r="BJ1127" t="s">
        <v>126</v>
      </c>
      <c r="BK1127" t="s">
        <v>126</v>
      </c>
      <c r="BS1127" t="s">
        <v>126</v>
      </c>
      <c r="BT1127" t="s">
        <v>126</v>
      </c>
      <c r="BU1127" t="s">
        <v>126</v>
      </c>
      <c r="BV1127" t="s">
        <v>126</v>
      </c>
      <c r="CN1127" t="s">
        <v>127</v>
      </c>
      <c r="CP1127" t="s">
        <v>136</v>
      </c>
      <c r="CQ1127" t="s">
        <v>127</v>
      </c>
    </row>
    <row r="1128" spans="1:95" x14ac:dyDescent="0.2">
      <c r="A1128" t="s">
        <v>115</v>
      </c>
      <c r="B1128" t="s">
        <v>116</v>
      </c>
      <c r="C1128">
        <v>210784</v>
      </c>
      <c r="E1128" t="s">
        <v>117</v>
      </c>
      <c r="F1128">
        <v>368</v>
      </c>
      <c r="G1128" t="s">
        <v>141</v>
      </c>
      <c r="H1128" t="s">
        <v>142</v>
      </c>
      <c r="I1128" t="s">
        <v>279</v>
      </c>
      <c r="J1128" t="s">
        <v>280</v>
      </c>
      <c r="L1128" t="s">
        <v>787</v>
      </c>
      <c r="M1128" s="8">
        <v>46023</v>
      </c>
      <c r="N1128">
        <v>5873002</v>
      </c>
      <c r="O1128" t="s">
        <v>123</v>
      </c>
      <c r="P1128" t="s">
        <v>146</v>
      </c>
      <c r="Q1128">
        <v>4.6100000000000003</v>
      </c>
      <c r="R1128" t="s">
        <v>559</v>
      </c>
      <c r="S1128" t="s">
        <v>126</v>
      </c>
      <c r="T1128" t="s">
        <v>559</v>
      </c>
      <c r="U1128" t="s">
        <v>560</v>
      </c>
      <c r="W1128">
        <v>1.4208000000000001</v>
      </c>
      <c r="X1128">
        <v>3.1892</v>
      </c>
      <c r="Y1128">
        <v>4.6100000000000003</v>
      </c>
      <c r="Z1128">
        <v>1.7536</v>
      </c>
      <c r="AG1128">
        <v>1.4208000000000001</v>
      </c>
      <c r="AI1128">
        <v>1.4356</v>
      </c>
      <c r="BH1128" t="s">
        <v>126</v>
      </c>
      <c r="BI1128" t="s">
        <v>126</v>
      </c>
      <c r="BJ1128" t="s">
        <v>126</v>
      </c>
      <c r="BK1128" t="s">
        <v>126</v>
      </c>
      <c r="BS1128" t="s">
        <v>126</v>
      </c>
      <c r="BT1128" t="s">
        <v>126</v>
      </c>
      <c r="BU1128" t="s">
        <v>126</v>
      </c>
      <c r="BV1128" t="s">
        <v>126</v>
      </c>
      <c r="CN1128" t="s">
        <v>147</v>
      </c>
      <c r="CP1128" t="s">
        <v>304</v>
      </c>
      <c r="CQ1128" t="s">
        <v>147</v>
      </c>
    </row>
    <row r="1129" spans="1:95" x14ac:dyDescent="0.2">
      <c r="A1129" t="s">
        <v>115</v>
      </c>
      <c r="B1129" t="s">
        <v>116</v>
      </c>
      <c r="C1129">
        <v>210784</v>
      </c>
      <c r="E1129" t="s">
        <v>117</v>
      </c>
      <c r="F1129">
        <v>368</v>
      </c>
      <c r="G1129" t="s">
        <v>141</v>
      </c>
      <c r="H1129" t="s">
        <v>142</v>
      </c>
      <c r="I1129" t="s">
        <v>279</v>
      </c>
      <c r="J1129" t="s">
        <v>280</v>
      </c>
      <c r="L1129" t="s">
        <v>788</v>
      </c>
      <c r="M1129" s="8">
        <v>46023</v>
      </c>
      <c r="N1129">
        <v>5873666</v>
      </c>
      <c r="O1129" t="s">
        <v>123</v>
      </c>
      <c r="P1129" t="s">
        <v>146</v>
      </c>
      <c r="Q1129">
        <v>4.79</v>
      </c>
      <c r="R1129" t="s">
        <v>559</v>
      </c>
      <c r="S1129" t="s">
        <v>126</v>
      </c>
      <c r="T1129" t="s">
        <v>559</v>
      </c>
      <c r="U1129" t="s">
        <v>560</v>
      </c>
      <c r="W1129">
        <v>1.4762999999999999</v>
      </c>
      <c r="X1129">
        <v>3.3136999999999999</v>
      </c>
      <c r="Y1129">
        <v>4.79</v>
      </c>
      <c r="Z1129">
        <v>1.8221000000000001</v>
      </c>
      <c r="AG1129">
        <v>1.4762999999999999</v>
      </c>
      <c r="AI1129">
        <v>1.4916</v>
      </c>
      <c r="BH1129" t="s">
        <v>126</v>
      </c>
      <c r="BI1129" t="s">
        <v>126</v>
      </c>
      <c r="BJ1129" t="s">
        <v>126</v>
      </c>
      <c r="BK1129" t="s">
        <v>126</v>
      </c>
      <c r="BS1129" t="s">
        <v>126</v>
      </c>
      <c r="BT1129" t="s">
        <v>126</v>
      </c>
      <c r="BU1129" t="s">
        <v>126</v>
      </c>
      <c r="BV1129" t="s">
        <v>126</v>
      </c>
      <c r="CN1129" t="s">
        <v>147</v>
      </c>
      <c r="CP1129" t="s">
        <v>304</v>
      </c>
      <c r="CQ1129" t="s">
        <v>147</v>
      </c>
    </row>
    <row r="1130" spans="1:95" x14ac:dyDescent="0.2">
      <c r="A1130" t="s">
        <v>115</v>
      </c>
      <c r="B1130" t="s">
        <v>116</v>
      </c>
      <c r="C1130">
        <v>210784</v>
      </c>
      <c r="E1130" t="s">
        <v>117</v>
      </c>
      <c r="F1130">
        <v>368</v>
      </c>
      <c r="G1130" t="s">
        <v>141</v>
      </c>
      <c r="H1130" t="s">
        <v>142</v>
      </c>
      <c r="I1130" t="s">
        <v>279</v>
      </c>
      <c r="J1130" t="s">
        <v>280</v>
      </c>
      <c r="L1130" t="s">
        <v>132</v>
      </c>
      <c r="M1130" s="8">
        <v>46023</v>
      </c>
      <c r="N1130">
        <v>5860599</v>
      </c>
      <c r="O1130" t="s">
        <v>123</v>
      </c>
      <c r="P1130" t="s">
        <v>146</v>
      </c>
      <c r="Q1130">
        <v>7.1</v>
      </c>
      <c r="R1130" t="s">
        <v>125</v>
      </c>
      <c r="S1130" t="s">
        <v>126</v>
      </c>
      <c r="T1130" t="s">
        <v>125</v>
      </c>
      <c r="U1130" t="s">
        <v>126</v>
      </c>
      <c r="W1130">
        <v>7.1</v>
      </c>
      <c r="Y1130">
        <v>7.1</v>
      </c>
      <c r="BE1130">
        <v>7.1</v>
      </c>
      <c r="BH1130" t="s">
        <v>126</v>
      </c>
      <c r="BI1130" t="s">
        <v>126</v>
      </c>
      <c r="BJ1130" t="s">
        <v>126</v>
      </c>
      <c r="BK1130" t="s">
        <v>126</v>
      </c>
      <c r="BS1130" t="s">
        <v>126</v>
      </c>
      <c r="BT1130" t="s">
        <v>126</v>
      </c>
      <c r="BU1130" t="s">
        <v>126</v>
      </c>
      <c r="BV1130" t="s">
        <v>126</v>
      </c>
      <c r="CN1130" t="s">
        <v>147</v>
      </c>
      <c r="CP1130" t="s">
        <v>490</v>
      </c>
      <c r="CQ1130" t="s">
        <v>147</v>
      </c>
    </row>
    <row r="1131" spans="1:95" x14ac:dyDescent="0.2">
      <c r="A1131" t="s">
        <v>115</v>
      </c>
      <c r="B1131" t="s">
        <v>116</v>
      </c>
      <c r="C1131">
        <v>210784</v>
      </c>
      <c r="E1131" t="s">
        <v>117</v>
      </c>
      <c r="F1131">
        <v>368</v>
      </c>
      <c r="G1131" t="s">
        <v>141</v>
      </c>
      <c r="H1131" t="s">
        <v>142</v>
      </c>
      <c r="I1131" t="s">
        <v>279</v>
      </c>
      <c r="J1131" t="s">
        <v>280</v>
      </c>
      <c r="L1131" t="s">
        <v>909</v>
      </c>
      <c r="M1131" s="8">
        <v>46023</v>
      </c>
      <c r="N1131">
        <v>5862630</v>
      </c>
      <c r="O1131" t="s">
        <v>123</v>
      </c>
      <c r="P1131" t="s">
        <v>146</v>
      </c>
      <c r="Q1131">
        <v>4.4800000000000004</v>
      </c>
      <c r="R1131" t="s">
        <v>125</v>
      </c>
      <c r="S1131" t="s">
        <v>126</v>
      </c>
      <c r="T1131" t="s">
        <v>125</v>
      </c>
      <c r="U1131" t="s">
        <v>126</v>
      </c>
      <c r="W1131">
        <v>4.4800000000000004</v>
      </c>
      <c r="Y1131">
        <v>4.4800000000000004</v>
      </c>
      <c r="BE1131">
        <v>4.4800000000000004</v>
      </c>
      <c r="BH1131" t="s">
        <v>126</v>
      </c>
      <c r="BI1131" t="s">
        <v>126</v>
      </c>
      <c r="BJ1131" t="s">
        <v>126</v>
      </c>
      <c r="BK1131" t="s">
        <v>126</v>
      </c>
      <c r="BS1131" t="s">
        <v>126</v>
      </c>
      <c r="BT1131" t="s">
        <v>126</v>
      </c>
      <c r="BU1131" t="s">
        <v>126</v>
      </c>
      <c r="BV1131" t="s">
        <v>126</v>
      </c>
      <c r="CN1131" t="s">
        <v>147</v>
      </c>
      <c r="CP1131" t="s">
        <v>490</v>
      </c>
      <c r="CQ1131" t="s">
        <v>147</v>
      </c>
    </row>
    <row r="1132" spans="1:95" x14ac:dyDescent="0.2">
      <c r="A1132" t="s">
        <v>115</v>
      </c>
      <c r="B1132" t="s">
        <v>116</v>
      </c>
      <c r="C1132">
        <v>210784</v>
      </c>
      <c r="E1132" t="s">
        <v>117</v>
      </c>
      <c r="F1132">
        <v>368</v>
      </c>
      <c r="G1132" t="s">
        <v>141</v>
      </c>
      <c r="H1132" t="s">
        <v>142</v>
      </c>
      <c r="I1132" t="s">
        <v>279</v>
      </c>
      <c r="J1132" t="s">
        <v>280</v>
      </c>
      <c r="L1132" t="s">
        <v>137</v>
      </c>
      <c r="M1132" s="8">
        <v>46023</v>
      </c>
      <c r="N1132">
        <v>5865589</v>
      </c>
      <c r="O1132" t="s">
        <v>123</v>
      </c>
      <c r="P1132" t="s">
        <v>146</v>
      </c>
      <c r="Q1132">
        <v>7.19</v>
      </c>
      <c r="R1132" t="s">
        <v>125</v>
      </c>
      <c r="S1132" t="s">
        <v>126</v>
      </c>
      <c r="T1132" t="s">
        <v>125</v>
      </c>
      <c r="U1132" t="s">
        <v>126</v>
      </c>
      <c r="W1132">
        <v>7.19</v>
      </c>
      <c r="Y1132">
        <v>7.19</v>
      </c>
      <c r="BE1132">
        <v>7.19</v>
      </c>
      <c r="BH1132" t="s">
        <v>126</v>
      </c>
      <c r="BI1132" t="s">
        <v>126</v>
      </c>
      <c r="BJ1132" t="s">
        <v>126</v>
      </c>
      <c r="BK1132" t="s">
        <v>126</v>
      </c>
      <c r="BS1132" t="s">
        <v>126</v>
      </c>
      <c r="BT1132" t="s">
        <v>126</v>
      </c>
      <c r="BU1132" t="s">
        <v>126</v>
      </c>
      <c r="BV1132" t="s">
        <v>126</v>
      </c>
      <c r="CN1132" t="s">
        <v>147</v>
      </c>
      <c r="CP1132" t="s">
        <v>490</v>
      </c>
      <c r="CQ1132" t="s">
        <v>147</v>
      </c>
    </row>
    <row r="1133" spans="1:95" x14ac:dyDescent="0.2">
      <c r="A1133" t="s">
        <v>115</v>
      </c>
      <c r="B1133" t="s">
        <v>116</v>
      </c>
      <c r="C1133">
        <v>210784</v>
      </c>
      <c r="E1133" t="s">
        <v>117</v>
      </c>
      <c r="F1133">
        <v>368</v>
      </c>
      <c r="G1133" t="s">
        <v>141</v>
      </c>
      <c r="H1133" t="s">
        <v>142</v>
      </c>
      <c r="I1133" t="s">
        <v>279</v>
      </c>
      <c r="J1133" t="s">
        <v>280</v>
      </c>
      <c r="L1133" t="s">
        <v>300</v>
      </c>
      <c r="M1133" s="8">
        <v>46023</v>
      </c>
      <c r="N1133">
        <v>5871097</v>
      </c>
      <c r="O1133" t="s">
        <v>123</v>
      </c>
      <c r="P1133" t="s">
        <v>146</v>
      </c>
      <c r="Q1133">
        <v>3.05</v>
      </c>
      <c r="R1133" t="s">
        <v>125</v>
      </c>
      <c r="S1133" t="s">
        <v>126</v>
      </c>
      <c r="T1133" t="s">
        <v>125</v>
      </c>
      <c r="U1133" t="s">
        <v>126</v>
      </c>
      <c r="W1133">
        <v>3.05</v>
      </c>
      <c r="Y1133">
        <v>3.05</v>
      </c>
      <c r="BE1133">
        <v>3.05</v>
      </c>
      <c r="BH1133" t="s">
        <v>126</v>
      </c>
      <c r="BI1133" t="s">
        <v>126</v>
      </c>
      <c r="BJ1133" t="s">
        <v>126</v>
      </c>
      <c r="BK1133" t="s">
        <v>126</v>
      </c>
      <c r="BS1133" t="s">
        <v>126</v>
      </c>
      <c r="BT1133" t="s">
        <v>126</v>
      </c>
      <c r="BU1133" t="s">
        <v>126</v>
      </c>
      <c r="BV1133" t="s">
        <v>126</v>
      </c>
      <c r="CN1133" t="s">
        <v>147</v>
      </c>
      <c r="CP1133" t="s">
        <v>490</v>
      </c>
      <c r="CQ1133" t="s">
        <v>147</v>
      </c>
    </row>
    <row r="1134" spans="1:95" x14ac:dyDescent="0.2">
      <c r="A1134" t="s">
        <v>115</v>
      </c>
      <c r="B1134" t="s">
        <v>116</v>
      </c>
      <c r="C1134">
        <v>210784</v>
      </c>
      <c r="E1134" t="s">
        <v>117</v>
      </c>
      <c r="F1134">
        <v>368</v>
      </c>
      <c r="G1134" t="s">
        <v>141</v>
      </c>
      <c r="H1134" t="s">
        <v>142</v>
      </c>
      <c r="I1134" t="s">
        <v>279</v>
      </c>
      <c r="J1134" t="s">
        <v>280</v>
      </c>
      <c r="L1134" t="s">
        <v>910</v>
      </c>
      <c r="M1134" s="8">
        <v>46023</v>
      </c>
      <c r="N1134">
        <v>5871777</v>
      </c>
      <c r="O1134" t="s">
        <v>123</v>
      </c>
      <c r="P1134" t="s">
        <v>146</v>
      </c>
      <c r="Q1134">
        <v>4.68</v>
      </c>
      <c r="R1134" t="s">
        <v>125</v>
      </c>
      <c r="S1134" t="s">
        <v>126</v>
      </c>
      <c r="T1134" t="s">
        <v>125</v>
      </c>
      <c r="U1134" t="s">
        <v>126</v>
      </c>
      <c r="W1134">
        <v>4.68</v>
      </c>
      <c r="Y1134">
        <v>4.68</v>
      </c>
      <c r="BE1134">
        <v>4.68</v>
      </c>
      <c r="BH1134" t="s">
        <v>126</v>
      </c>
      <c r="BI1134" t="s">
        <v>126</v>
      </c>
      <c r="BJ1134" t="s">
        <v>126</v>
      </c>
      <c r="BK1134" t="s">
        <v>126</v>
      </c>
      <c r="BS1134" t="s">
        <v>126</v>
      </c>
      <c r="BT1134" t="s">
        <v>126</v>
      </c>
      <c r="BU1134" t="s">
        <v>126</v>
      </c>
      <c r="BV1134" t="s">
        <v>126</v>
      </c>
      <c r="CN1134" t="s">
        <v>147</v>
      </c>
      <c r="CP1134" t="s">
        <v>304</v>
      </c>
      <c r="CQ1134" t="s">
        <v>147</v>
      </c>
    </row>
    <row r="1135" spans="1:95" x14ac:dyDescent="0.2">
      <c r="A1135" t="s">
        <v>115</v>
      </c>
      <c r="B1135" t="s">
        <v>116</v>
      </c>
      <c r="C1135">
        <v>210784</v>
      </c>
      <c r="E1135" t="s">
        <v>117</v>
      </c>
      <c r="F1135">
        <v>368</v>
      </c>
      <c r="G1135" t="s">
        <v>141</v>
      </c>
      <c r="H1135" t="s">
        <v>142</v>
      </c>
      <c r="I1135" t="s">
        <v>279</v>
      </c>
      <c r="J1135" t="s">
        <v>280</v>
      </c>
      <c r="L1135" t="s">
        <v>910</v>
      </c>
      <c r="M1135" s="8">
        <v>46023</v>
      </c>
      <c r="N1135">
        <v>5872135</v>
      </c>
      <c r="O1135" t="s">
        <v>123</v>
      </c>
      <c r="P1135" t="s">
        <v>146</v>
      </c>
      <c r="Q1135">
        <v>2.63</v>
      </c>
      <c r="R1135" t="s">
        <v>125</v>
      </c>
      <c r="S1135" t="s">
        <v>126</v>
      </c>
      <c r="T1135" t="s">
        <v>125</v>
      </c>
      <c r="U1135" t="s">
        <v>126</v>
      </c>
      <c r="W1135">
        <v>2.63</v>
      </c>
      <c r="Y1135">
        <v>2.63</v>
      </c>
      <c r="BE1135">
        <v>2.63</v>
      </c>
      <c r="BH1135" t="s">
        <v>126</v>
      </c>
      <c r="BI1135" t="s">
        <v>126</v>
      </c>
      <c r="BJ1135" t="s">
        <v>126</v>
      </c>
      <c r="BK1135" t="s">
        <v>126</v>
      </c>
      <c r="BS1135" t="s">
        <v>126</v>
      </c>
      <c r="BT1135" t="s">
        <v>126</v>
      </c>
      <c r="BU1135" t="s">
        <v>126</v>
      </c>
      <c r="BV1135" t="s">
        <v>126</v>
      </c>
      <c r="CN1135" t="s">
        <v>147</v>
      </c>
      <c r="CP1135" t="s">
        <v>304</v>
      </c>
      <c r="CQ1135" t="s">
        <v>147</v>
      </c>
    </row>
    <row r="1136" spans="1:95" x14ac:dyDescent="0.2">
      <c r="A1136" t="s">
        <v>115</v>
      </c>
      <c r="B1136" t="s">
        <v>116</v>
      </c>
      <c r="C1136">
        <v>210784</v>
      </c>
      <c r="E1136" t="s">
        <v>117</v>
      </c>
      <c r="F1136">
        <v>368</v>
      </c>
      <c r="G1136" t="s">
        <v>118</v>
      </c>
      <c r="H1136" t="s">
        <v>119</v>
      </c>
      <c r="I1136" t="s">
        <v>120</v>
      </c>
      <c r="J1136" t="s">
        <v>121</v>
      </c>
      <c r="L1136" t="s">
        <v>139</v>
      </c>
      <c r="M1136" s="8">
        <v>46054</v>
      </c>
      <c r="N1136">
        <v>137382</v>
      </c>
      <c r="O1136" t="s">
        <v>123</v>
      </c>
      <c r="P1136" t="s">
        <v>124</v>
      </c>
      <c r="Q1136">
        <v>6.13</v>
      </c>
      <c r="R1136" t="s">
        <v>125</v>
      </c>
      <c r="S1136" t="s">
        <v>126</v>
      </c>
      <c r="T1136" t="s">
        <v>125</v>
      </c>
      <c r="U1136" t="s">
        <v>126</v>
      </c>
      <c r="W1136">
        <v>6.13</v>
      </c>
      <c r="Y1136">
        <v>6.13</v>
      </c>
      <c r="AA1136">
        <v>6.13</v>
      </c>
      <c r="BH1136" t="s">
        <v>126</v>
      </c>
      <c r="BI1136" t="s">
        <v>126</v>
      </c>
      <c r="BJ1136" t="s">
        <v>126</v>
      </c>
      <c r="BK1136" t="s">
        <v>126</v>
      </c>
      <c r="BS1136" t="s">
        <v>126</v>
      </c>
      <c r="BT1136" t="s">
        <v>126</v>
      </c>
      <c r="BU1136" t="s">
        <v>126</v>
      </c>
      <c r="BV1136" t="s">
        <v>126</v>
      </c>
      <c r="CN1136" t="s">
        <v>127</v>
      </c>
      <c r="CP1136" t="s">
        <v>140</v>
      </c>
      <c r="CQ1136" t="s">
        <v>127</v>
      </c>
    </row>
    <row r="1137" spans="1:95" x14ac:dyDescent="0.2">
      <c r="A1137" t="s">
        <v>115</v>
      </c>
      <c r="B1137" t="s">
        <v>116</v>
      </c>
      <c r="C1137">
        <v>210784</v>
      </c>
      <c r="E1137" t="s">
        <v>117</v>
      </c>
      <c r="F1137">
        <v>368</v>
      </c>
      <c r="G1137" t="s">
        <v>118</v>
      </c>
      <c r="H1137" t="s">
        <v>119</v>
      </c>
      <c r="I1137" t="s">
        <v>120</v>
      </c>
      <c r="J1137" t="s">
        <v>121</v>
      </c>
      <c r="L1137" t="s">
        <v>139</v>
      </c>
      <c r="M1137" s="8">
        <v>46054</v>
      </c>
      <c r="N1137">
        <v>137394</v>
      </c>
      <c r="O1137" t="s">
        <v>123</v>
      </c>
      <c r="P1137" t="s">
        <v>124</v>
      </c>
      <c r="Q1137">
        <v>3.72</v>
      </c>
      <c r="R1137" t="s">
        <v>125</v>
      </c>
      <c r="S1137" t="s">
        <v>126</v>
      </c>
      <c r="T1137" t="s">
        <v>125</v>
      </c>
      <c r="U1137" t="s">
        <v>126</v>
      </c>
      <c r="W1137">
        <v>3.72</v>
      </c>
      <c r="Y1137">
        <v>3.72</v>
      </c>
      <c r="AA1137">
        <v>3.72</v>
      </c>
      <c r="BH1137" t="s">
        <v>126</v>
      </c>
      <c r="BI1137" t="s">
        <v>126</v>
      </c>
      <c r="BJ1137" t="s">
        <v>126</v>
      </c>
      <c r="BK1137" t="s">
        <v>126</v>
      </c>
      <c r="BS1137" t="s">
        <v>126</v>
      </c>
      <c r="BT1137" t="s">
        <v>126</v>
      </c>
      <c r="BU1137" t="s">
        <v>126</v>
      </c>
      <c r="BV1137" t="s">
        <v>126</v>
      </c>
      <c r="CN1137" t="s">
        <v>127</v>
      </c>
      <c r="CP1137" t="s">
        <v>140</v>
      </c>
      <c r="CQ1137" t="s">
        <v>127</v>
      </c>
    </row>
    <row r="1138" spans="1:95" x14ac:dyDescent="0.2">
      <c r="A1138" t="s">
        <v>115</v>
      </c>
      <c r="B1138" t="s">
        <v>116</v>
      </c>
      <c r="C1138">
        <v>210784</v>
      </c>
      <c r="E1138" t="s">
        <v>117</v>
      </c>
      <c r="F1138">
        <v>368</v>
      </c>
      <c r="G1138" t="s">
        <v>141</v>
      </c>
      <c r="H1138" t="s">
        <v>142</v>
      </c>
      <c r="I1138" t="s">
        <v>301</v>
      </c>
      <c r="J1138" t="s">
        <v>302</v>
      </c>
      <c r="L1138" t="s">
        <v>303</v>
      </c>
      <c r="M1138" s="8">
        <v>46054</v>
      </c>
      <c r="N1138">
        <v>118750</v>
      </c>
      <c r="O1138" t="s">
        <v>123</v>
      </c>
      <c r="P1138" t="s">
        <v>146</v>
      </c>
      <c r="Q1138">
        <v>8</v>
      </c>
      <c r="R1138" t="s">
        <v>125</v>
      </c>
      <c r="S1138" t="s">
        <v>126</v>
      </c>
      <c r="T1138" t="s">
        <v>125</v>
      </c>
      <c r="U1138" t="s">
        <v>126</v>
      </c>
      <c r="W1138">
        <v>8</v>
      </c>
      <c r="Y1138">
        <v>8</v>
      </c>
      <c r="AC1138">
        <v>8</v>
      </c>
      <c r="BH1138" t="s">
        <v>126</v>
      </c>
      <c r="BI1138" t="s">
        <v>126</v>
      </c>
      <c r="BJ1138" t="s">
        <v>126</v>
      </c>
      <c r="BK1138" t="s">
        <v>126</v>
      </c>
      <c r="BS1138" t="s">
        <v>126</v>
      </c>
      <c r="BT1138" t="s">
        <v>126</v>
      </c>
      <c r="BU1138" t="s">
        <v>126</v>
      </c>
      <c r="BV1138" t="s">
        <v>126</v>
      </c>
      <c r="CN1138" t="s">
        <v>147</v>
      </c>
      <c r="CP1138" t="s">
        <v>304</v>
      </c>
      <c r="CQ1138" t="s">
        <v>147</v>
      </c>
    </row>
    <row r="1139" spans="1:95" x14ac:dyDescent="0.2">
      <c r="A1139" t="s">
        <v>115</v>
      </c>
      <c r="B1139" t="s">
        <v>116</v>
      </c>
      <c r="C1139">
        <v>210784</v>
      </c>
      <c r="E1139" t="s">
        <v>117</v>
      </c>
      <c r="F1139">
        <v>368</v>
      </c>
      <c r="G1139" t="s">
        <v>141</v>
      </c>
      <c r="H1139" t="s">
        <v>142</v>
      </c>
      <c r="I1139" t="s">
        <v>279</v>
      </c>
      <c r="J1139" t="s">
        <v>280</v>
      </c>
      <c r="L1139" t="s">
        <v>490</v>
      </c>
      <c r="M1139" s="8">
        <v>46054</v>
      </c>
      <c r="N1139">
        <v>5874570</v>
      </c>
      <c r="O1139" t="s">
        <v>123</v>
      </c>
      <c r="P1139" t="s">
        <v>146</v>
      </c>
      <c r="Q1139">
        <v>5.3098999999999998</v>
      </c>
      <c r="R1139" t="s">
        <v>559</v>
      </c>
      <c r="S1139" t="s">
        <v>126</v>
      </c>
      <c r="T1139" t="s">
        <v>559</v>
      </c>
      <c r="U1139" t="s">
        <v>560</v>
      </c>
      <c r="W1139">
        <v>1.6365000000000001</v>
      </c>
      <c r="X1139">
        <v>3.6734</v>
      </c>
      <c r="Y1139">
        <v>5.3098999999999998</v>
      </c>
      <c r="Z1139">
        <v>2.0198999999999998</v>
      </c>
      <c r="AG1139">
        <v>1.6365000000000001</v>
      </c>
      <c r="AI1139">
        <v>1.6535</v>
      </c>
      <c r="BH1139" t="s">
        <v>126</v>
      </c>
      <c r="BI1139" t="s">
        <v>126</v>
      </c>
      <c r="BJ1139" t="s">
        <v>126</v>
      </c>
      <c r="BK1139" t="s">
        <v>126</v>
      </c>
      <c r="BS1139" t="s">
        <v>126</v>
      </c>
      <c r="BT1139" t="s">
        <v>126</v>
      </c>
      <c r="BU1139" t="s">
        <v>126</v>
      </c>
      <c r="BV1139" t="s">
        <v>126</v>
      </c>
      <c r="CN1139" t="s">
        <v>147</v>
      </c>
      <c r="CP1139" t="s">
        <v>304</v>
      </c>
      <c r="CQ1139" t="s">
        <v>147</v>
      </c>
    </row>
    <row r="1140" spans="1:95" x14ac:dyDescent="0.2">
      <c r="A1140" t="s">
        <v>115</v>
      </c>
      <c r="B1140" t="s">
        <v>116</v>
      </c>
      <c r="C1140">
        <v>210784</v>
      </c>
      <c r="E1140" t="s">
        <v>117</v>
      </c>
      <c r="F1140">
        <v>368</v>
      </c>
      <c r="G1140" t="s">
        <v>141</v>
      </c>
      <c r="H1140" t="s">
        <v>142</v>
      </c>
      <c r="I1140" t="s">
        <v>279</v>
      </c>
      <c r="J1140" t="s">
        <v>280</v>
      </c>
      <c r="L1140" t="s">
        <v>490</v>
      </c>
      <c r="M1140" s="8">
        <v>46054</v>
      </c>
      <c r="N1140">
        <v>5874727</v>
      </c>
      <c r="O1140" t="s">
        <v>123</v>
      </c>
      <c r="P1140" t="s">
        <v>146</v>
      </c>
      <c r="Q1140">
        <v>3.79</v>
      </c>
      <c r="R1140" t="s">
        <v>559</v>
      </c>
      <c r="S1140" t="s">
        <v>126</v>
      </c>
      <c r="T1140" t="s">
        <v>559</v>
      </c>
      <c r="U1140" t="s">
        <v>560</v>
      </c>
      <c r="W1140">
        <v>1.1680999999999999</v>
      </c>
      <c r="X1140">
        <v>2.6219000000000001</v>
      </c>
      <c r="Y1140">
        <v>3.79</v>
      </c>
      <c r="Z1140">
        <v>1.4417</v>
      </c>
      <c r="AG1140">
        <v>1.1680999999999999</v>
      </c>
      <c r="AI1140">
        <v>1.1801999999999999</v>
      </c>
      <c r="BH1140" t="s">
        <v>126</v>
      </c>
      <c r="BI1140" t="s">
        <v>126</v>
      </c>
      <c r="BJ1140" t="s">
        <v>126</v>
      </c>
      <c r="BK1140" t="s">
        <v>126</v>
      </c>
      <c r="BS1140" t="s">
        <v>126</v>
      </c>
      <c r="BT1140" t="s">
        <v>126</v>
      </c>
      <c r="BU1140" t="s">
        <v>126</v>
      </c>
      <c r="BV1140" t="s">
        <v>126</v>
      </c>
      <c r="CN1140" t="s">
        <v>147</v>
      </c>
      <c r="CP1140" t="s">
        <v>304</v>
      </c>
      <c r="CQ1140" t="s">
        <v>147</v>
      </c>
    </row>
    <row r="1141" spans="1:95" x14ac:dyDescent="0.2">
      <c r="A1141" t="s">
        <v>115</v>
      </c>
      <c r="B1141" t="s">
        <v>116</v>
      </c>
      <c r="C1141">
        <v>210784</v>
      </c>
      <c r="E1141" t="s">
        <v>117</v>
      </c>
      <c r="F1141">
        <v>368</v>
      </c>
      <c r="G1141" t="s">
        <v>141</v>
      </c>
      <c r="H1141" t="s">
        <v>142</v>
      </c>
      <c r="I1141" t="s">
        <v>279</v>
      </c>
      <c r="J1141" t="s">
        <v>280</v>
      </c>
      <c r="L1141" t="s">
        <v>789</v>
      </c>
      <c r="M1141" s="8">
        <v>46054</v>
      </c>
      <c r="N1141">
        <v>5875532</v>
      </c>
      <c r="O1141" t="s">
        <v>123</v>
      </c>
      <c r="P1141" t="s">
        <v>146</v>
      </c>
      <c r="Q1141">
        <v>4.7700000000000005</v>
      </c>
      <c r="R1141" t="s">
        <v>559</v>
      </c>
      <c r="S1141" t="s">
        <v>126</v>
      </c>
      <c r="T1141" t="s">
        <v>559</v>
      </c>
      <c r="U1141" t="s">
        <v>560</v>
      </c>
      <c r="W1141">
        <v>1.4701</v>
      </c>
      <c r="X1141">
        <v>3.2999000000000001</v>
      </c>
      <c r="Y1141">
        <v>4.7700000000000005</v>
      </c>
      <c r="Z1141">
        <v>1.8145</v>
      </c>
      <c r="AG1141">
        <v>1.4701</v>
      </c>
      <c r="AI1141">
        <v>1.4854000000000001</v>
      </c>
      <c r="BH1141" t="s">
        <v>126</v>
      </c>
      <c r="BI1141" t="s">
        <v>126</v>
      </c>
      <c r="BJ1141" t="s">
        <v>126</v>
      </c>
      <c r="BK1141" t="s">
        <v>126</v>
      </c>
      <c r="BS1141" t="s">
        <v>126</v>
      </c>
      <c r="BT1141" t="s">
        <v>126</v>
      </c>
      <c r="BU1141" t="s">
        <v>126</v>
      </c>
      <c r="BV1141" t="s">
        <v>126</v>
      </c>
      <c r="CN1141" t="s">
        <v>147</v>
      </c>
      <c r="CP1141" t="s">
        <v>304</v>
      </c>
      <c r="CQ1141" t="s">
        <v>147</v>
      </c>
    </row>
    <row r="1142" spans="1:95" x14ac:dyDescent="0.2">
      <c r="A1142" t="s">
        <v>115</v>
      </c>
      <c r="B1142" t="s">
        <v>116</v>
      </c>
      <c r="C1142">
        <v>210784</v>
      </c>
      <c r="E1142" t="s">
        <v>117</v>
      </c>
      <c r="F1142">
        <v>368</v>
      </c>
      <c r="G1142" t="s">
        <v>141</v>
      </c>
      <c r="H1142" t="s">
        <v>142</v>
      </c>
      <c r="I1142" t="s">
        <v>279</v>
      </c>
      <c r="J1142" t="s">
        <v>280</v>
      </c>
      <c r="L1142" t="s">
        <v>790</v>
      </c>
      <c r="M1142" s="8">
        <v>46054</v>
      </c>
      <c r="N1142">
        <v>5876499</v>
      </c>
      <c r="O1142" t="s">
        <v>123</v>
      </c>
      <c r="P1142" t="s">
        <v>146</v>
      </c>
      <c r="Q1142">
        <v>1.7000000000000002</v>
      </c>
      <c r="R1142" t="s">
        <v>559</v>
      </c>
      <c r="S1142" t="s">
        <v>126</v>
      </c>
      <c r="T1142" t="s">
        <v>559</v>
      </c>
      <c r="U1142" t="s">
        <v>560</v>
      </c>
      <c r="W1142">
        <v>0.52390000000000003</v>
      </c>
      <c r="X1142">
        <v>1.1760999999999999</v>
      </c>
      <c r="Y1142">
        <v>1.7000000000000002</v>
      </c>
      <c r="Z1142">
        <v>0.64670000000000005</v>
      </c>
      <c r="AG1142">
        <v>0.52390000000000003</v>
      </c>
      <c r="AI1142">
        <v>0.52939999999999998</v>
      </c>
      <c r="BH1142" t="s">
        <v>126</v>
      </c>
      <c r="BI1142" t="s">
        <v>126</v>
      </c>
      <c r="BJ1142" t="s">
        <v>126</v>
      </c>
      <c r="BK1142" t="s">
        <v>126</v>
      </c>
      <c r="BS1142" t="s">
        <v>126</v>
      </c>
      <c r="BT1142" t="s">
        <v>126</v>
      </c>
      <c r="BU1142" t="s">
        <v>126</v>
      </c>
      <c r="BV1142" t="s">
        <v>126</v>
      </c>
      <c r="CN1142" t="s">
        <v>147</v>
      </c>
      <c r="CP1142" t="s">
        <v>304</v>
      </c>
      <c r="CQ1142" t="s">
        <v>147</v>
      </c>
    </row>
    <row r="1143" spans="1:95" x14ac:dyDescent="0.2">
      <c r="A1143" t="s">
        <v>115</v>
      </c>
      <c r="B1143" t="s">
        <v>116</v>
      </c>
      <c r="C1143">
        <v>210784</v>
      </c>
      <c r="E1143" t="s">
        <v>117</v>
      </c>
      <c r="F1143">
        <v>368</v>
      </c>
      <c r="G1143" t="s">
        <v>141</v>
      </c>
      <c r="H1143" t="s">
        <v>142</v>
      </c>
      <c r="I1143" t="s">
        <v>279</v>
      </c>
      <c r="J1143" t="s">
        <v>280</v>
      </c>
      <c r="L1143" t="s">
        <v>791</v>
      </c>
      <c r="M1143" s="8">
        <v>46054</v>
      </c>
      <c r="N1143">
        <v>5877268</v>
      </c>
      <c r="O1143" t="s">
        <v>123</v>
      </c>
      <c r="P1143" t="s">
        <v>146</v>
      </c>
      <c r="Q1143">
        <v>4.1199999999999992</v>
      </c>
      <c r="R1143" t="s">
        <v>559</v>
      </c>
      <c r="S1143" t="s">
        <v>126</v>
      </c>
      <c r="T1143" t="s">
        <v>559</v>
      </c>
      <c r="U1143" t="s">
        <v>560</v>
      </c>
      <c r="W1143">
        <v>1.2698</v>
      </c>
      <c r="X1143">
        <v>2.8502000000000001</v>
      </c>
      <c r="Y1143">
        <v>4.1199999999999992</v>
      </c>
      <c r="Z1143">
        <v>1.5671999999999999</v>
      </c>
      <c r="AG1143">
        <v>1.2698</v>
      </c>
      <c r="AI1143">
        <v>1.2829999999999999</v>
      </c>
      <c r="BH1143" t="s">
        <v>126</v>
      </c>
      <c r="BI1143" t="s">
        <v>126</v>
      </c>
      <c r="BJ1143" t="s">
        <v>126</v>
      </c>
      <c r="BK1143" t="s">
        <v>126</v>
      </c>
      <c r="BS1143" t="s">
        <v>126</v>
      </c>
      <c r="BT1143" t="s">
        <v>126</v>
      </c>
      <c r="BU1143" t="s">
        <v>126</v>
      </c>
      <c r="BV1143" t="s">
        <v>126</v>
      </c>
      <c r="CN1143" t="s">
        <v>147</v>
      </c>
      <c r="CP1143" t="s">
        <v>304</v>
      </c>
      <c r="CQ1143" t="s">
        <v>147</v>
      </c>
    </row>
    <row r="1144" spans="1:95" x14ac:dyDescent="0.2">
      <c r="A1144" t="s">
        <v>115</v>
      </c>
      <c r="B1144" t="s">
        <v>116</v>
      </c>
      <c r="C1144">
        <v>210784</v>
      </c>
      <c r="E1144" t="s">
        <v>117</v>
      </c>
      <c r="F1144">
        <v>368</v>
      </c>
      <c r="G1144" t="s">
        <v>141</v>
      </c>
      <c r="H1144" t="s">
        <v>142</v>
      </c>
      <c r="I1144" t="s">
        <v>279</v>
      </c>
      <c r="J1144" t="s">
        <v>280</v>
      </c>
      <c r="L1144" t="s">
        <v>792</v>
      </c>
      <c r="M1144" s="8">
        <v>46054</v>
      </c>
      <c r="N1144">
        <v>5878048</v>
      </c>
      <c r="O1144" t="s">
        <v>123</v>
      </c>
      <c r="P1144" t="s">
        <v>146</v>
      </c>
      <c r="Q1144">
        <v>3.4100999999999999</v>
      </c>
      <c r="R1144" t="s">
        <v>559</v>
      </c>
      <c r="S1144" t="s">
        <v>126</v>
      </c>
      <c r="T1144" t="s">
        <v>559</v>
      </c>
      <c r="U1144" t="s">
        <v>560</v>
      </c>
      <c r="W1144">
        <v>1.0509999999999999</v>
      </c>
      <c r="X1144">
        <v>2.3590999999999998</v>
      </c>
      <c r="Y1144">
        <v>3.4100999999999999</v>
      </c>
      <c r="Z1144">
        <v>1.2971999999999999</v>
      </c>
      <c r="AG1144">
        <v>1.0509999999999999</v>
      </c>
      <c r="AI1144">
        <v>1.0619000000000001</v>
      </c>
      <c r="BH1144" t="s">
        <v>126</v>
      </c>
      <c r="BI1144" t="s">
        <v>126</v>
      </c>
      <c r="BJ1144" t="s">
        <v>126</v>
      </c>
      <c r="BK1144" t="s">
        <v>126</v>
      </c>
      <c r="BS1144" t="s">
        <v>126</v>
      </c>
      <c r="BT1144" t="s">
        <v>126</v>
      </c>
      <c r="BU1144" t="s">
        <v>126</v>
      </c>
      <c r="BV1144" t="s">
        <v>126</v>
      </c>
      <c r="CN1144" t="s">
        <v>147</v>
      </c>
      <c r="CP1144" t="s">
        <v>304</v>
      </c>
      <c r="CQ1144" t="s">
        <v>147</v>
      </c>
    </row>
    <row r="1145" spans="1:95" x14ac:dyDescent="0.2">
      <c r="A1145" t="s">
        <v>115</v>
      </c>
      <c r="B1145" t="s">
        <v>116</v>
      </c>
      <c r="C1145">
        <v>210784</v>
      </c>
      <c r="E1145" t="s">
        <v>117</v>
      </c>
      <c r="F1145">
        <v>368</v>
      </c>
      <c r="G1145" t="s">
        <v>141</v>
      </c>
      <c r="H1145" t="s">
        <v>142</v>
      </c>
      <c r="I1145" t="s">
        <v>279</v>
      </c>
      <c r="J1145" t="s">
        <v>280</v>
      </c>
      <c r="L1145" t="s">
        <v>793</v>
      </c>
      <c r="M1145" s="8">
        <v>46054</v>
      </c>
      <c r="N1145">
        <v>5879173</v>
      </c>
      <c r="O1145" t="s">
        <v>123</v>
      </c>
      <c r="P1145" t="s">
        <v>146</v>
      </c>
      <c r="Q1145">
        <v>3.3499999999999996</v>
      </c>
      <c r="R1145" t="s">
        <v>559</v>
      </c>
      <c r="S1145" t="s">
        <v>126</v>
      </c>
      <c r="T1145" t="s">
        <v>559</v>
      </c>
      <c r="U1145" t="s">
        <v>560</v>
      </c>
      <c r="W1145">
        <v>1.0325</v>
      </c>
      <c r="X1145">
        <v>2.3174999999999999</v>
      </c>
      <c r="Y1145">
        <v>3.3499999999999996</v>
      </c>
      <c r="Z1145">
        <v>1.2743</v>
      </c>
      <c r="AG1145">
        <v>1.0325</v>
      </c>
      <c r="AI1145">
        <v>1.0431999999999999</v>
      </c>
      <c r="BH1145" t="s">
        <v>126</v>
      </c>
      <c r="BI1145" t="s">
        <v>126</v>
      </c>
      <c r="BJ1145" t="s">
        <v>126</v>
      </c>
      <c r="BK1145" t="s">
        <v>126</v>
      </c>
      <c r="BS1145" t="s">
        <v>126</v>
      </c>
      <c r="BT1145" t="s">
        <v>126</v>
      </c>
      <c r="BU1145" t="s">
        <v>126</v>
      </c>
      <c r="BV1145" t="s">
        <v>126</v>
      </c>
      <c r="CN1145" t="s">
        <v>147</v>
      </c>
      <c r="CP1145" t="s">
        <v>304</v>
      </c>
      <c r="CQ1145" t="s">
        <v>147</v>
      </c>
    </row>
    <row r="1146" spans="1:95" x14ac:dyDescent="0.2">
      <c r="A1146" t="s">
        <v>115</v>
      </c>
      <c r="B1146" t="s">
        <v>116</v>
      </c>
      <c r="C1146">
        <v>210784</v>
      </c>
      <c r="E1146" t="s">
        <v>117</v>
      </c>
      <c r="F1146">
        <v>368</v>
      </c>
      <c r="G1146" t="s">
        <v>141</v>
      </c>
      <c r="H1146" t="s">
        <v>142</v>
      </c>
      <c r="I1146" t="s">
        <v>279</v>
      </c>
      <c r="J1146" t="s">
        <v>280</v>
      </c>
      <c r="L1146" t="s">
        <v>794</v>
      </c>
      <c r="M1146" s="8">
        <v>46054</v>
      </c>
      <c r="N1146">
        <v>5880924</v>
      </c>
      <c r="O1146" t="s">
        <v>123</v>
      </c>
      <c r="P1146" t="s">
        <v>146</v>
      </c>
      <c r="Q1146">
        <v>2.8499999999999996</v>
      </c>
      <c r="R1146" t="s">
        <v>559</v>
      </c>
      <c r="S1146" t="s">
        <v>126</v>
      </c>
      <c r="T1146" t="s">
        <v>559</v>
      </c>
      <c r="U1146" t="s">
        <v>560</v>
      </c>
      <c r="W1146">
        <v>0.87839999999999996</v>
      </c>
      <c r="X1146">
        <v>1.9716</v>
      </c>
      <c r="Y1146">
        <v>2.8499999999999996</v>
      </c>
      <c r="Z1146">
        <v>1.0841000000000001</v>
      </c>
      <c r="AG1146">
        <v>0.87839999999999996</v>
      </c>
      <c r="AI1146">
        <v>0.88749999999999996</v>
      </c>
      <c r="BH1146" t="s">
        <v>126</v>
      </c>
      <c r="BI1146" t="s">
        <v>126</v>
      </c>
      <c r="BJ1146" t="s">
        <v>126</v>
      </c>
      <c r="BK1146" t="s">
        <v>126</v>
      </c>
      <c r="BS1146" t="s">
        <v>126</v>
      </c>
      <c r="BT1146" t="s">
        <v>126</v>
      </c>
      <c r="BU1146" t="s">
        <v>126</v>
      </c>
      <c r="BV1146" t="s">
        <v>126</v>
      </c>
      <c r="CN1146" t="s">
        <v>147</v>
      </c>
      <c r="CP1146" t="s">
        <v>304</v>
      </c>
      <c r="CQ1146" t="s">
        <v>147</v>
      </c>
    </row>
    <row r="1147" spans="1:95" x14ac:dyDescent="0.2">
      <c r="A1147" t="s">
        <v>115</v>
      </c>
      <c r="B1147" t="s">
        <v>116</v>
      </c>
      <c r="C1147">
        <v>210784</v>
      </c>
      <c r="E1147" t="s">
        <v>117</v>
      </c>
      <c r="F1147">
        <v>368</v>
      </c>
      <c r="G1147" t="s">
        <v>141</v>
      </c>
      <c r="H1147" t="s">
        <v>142</v>
      </c>
      <c r="I1147" t="s">
        <v>279</v>
      </c>
      <c r="J1147" t="s">
        <v>280</v>
      </c>
      <c r="L1147" t="s">
        <v>794</v>
      </c>
      <c r="M1147" s="8">
        <v>46054</v>
      </c>
      <c r="N1147">
        <v>5881380</v>
      </c>
      <c r="O1147" t="s">
        <v>123</v>
      </c>
      <c r="P1147" t="s">
        <v>146</v>
      </c>
      <c r="Q1147">
        <v>2.35</v>
      </c>
      <c r="R1147" t="s">
        <v>559</v>
      </c>
      <c r="S1147" t="s">
        <v>126</v>
      </c>
      <c r="T1147" t="s">
        <v>559</v>
      </c>
      <c r="U1147" t="s">
        <v>560</v>
      </c>
      <c r="W1147">
        <v>0.72430000000000005</v>
      </c>
      <c r="X1147">
        <v>1.6257000000000001</v>
      </c>
      <c r="Y1147">
        <v>2.35</v>
      </c>
      <c r="Z1147">
        <v>0.89390000000000003</v>
      </c>
      <c r="AG1147">
        <v>0.72430000000000005</v>
      </c>
      <c r="AI1147">
        <v>0.73180000000000001</v>
      </c>
      <c r="BH1147" t="s">
        <v>126</v>
      </c>
      <c r="BI1147" t="s">
        <v>126</v>
      </c>
      <c r="BJ1147" t="s">
        <v>126</v>
      </c>
      <c r="BK1147" t="s">
        <v>126</v>
      </c>
      <c r="BS1147" t="s">
        <v>126</v>
      </c>
      <c r="BT1147" t="s">
        <v>126</v>
      </c>
      <c r="BU1147" t="s">
        <v>126</v>
      </c>
      <c r="BV1147" t="s">
        <v>126</v>
      </c>
      <c r="CN1147" t="s">
        <v>147</v>
      </c>
      <c r="CP1147" t="s">
        <v>304</v>
      </c>
      <c r="CQ1147" t="s">
        <v>147</v>
      </c>
    </row>
    <row r="1148" spans="1:95" x14ac:dyDescent="0.2">
      <c r="A1148" t="s">
        <v>115</v>
      </c>
      <c r="B1148" t="s">
        <v>116</v>
      </c>
      <c r="C1148">
        <v>210784</v>
      </c>
      <c r="E1148" t="s">
        <v>117</v>
      </c>
      <c r="F1148">
        <v>368</v>
      </c>
      <c r="G1148" t="s">
        <v>141</v>
      </c>
      <c r="H1148" t="s">
        <v>142</v>
      </c>
      <c r="I1148" t="s">
        <v>279</v>
      </c>
      <c r="J1148" t="s">
        <v>280</v>
      </c>
      <c r="L1148" t="s">
        <v>794</v>
      </c>
      <c r="M1148" s="8">
        <v>46054</v>
      </c>
      <c r="N1148">
        <v>5884278</v>
      </c>
      <c r="O1148" t="s">
        <v>123</v>
      </c>
      <c r="P1148" t="s">
        <v>146</v>
      </c>
      <c r="Q1148">
        <v>7.8000000000000007</v>
      </c>
      <c r="R1148" t="s">
        <v>559</v>
      </c>
      <c r="S1148" t="s">
        <v>126</v>
      </c>
      <c r="T1148" t="s">
        <v>559</v>
      </c>
      <c r="U1148" t="s">
        <v>560</v>
      </c>
      <c r="W1148">
        <v>2.4039999999999999</v>
      </c>
      <c r="X1148">
        <v>5.3959999999999999</v>
      </c>
      <c r="Y1148">
        <v>7.8000000000000007</v>
      </c>
      <c r="Z1148">
        <v>2.9670999999999998</v>
      </c>
      <c r="AG1148">
        <v>2.4039999999999999</v>
      </c>
      <c r="AI1148">
        <v>2.4289000000000001</v>
      </c>
      <c r="BH1148" t="s">
        <v>126</v>
      </c>
      <c r="BI1148" t="s">
        <v>126</v>
      </c>
      <c r="BJ1148" t="s">
        <v>126</v>
      </c>
      <c r="BK1148" t="s">
        <v>126</v>
      </c>
      <c r="BS1148" t="s">
        <v>126</v>
      </c>
      <c r="BT1148" t="s">
        <v>126</v>
      </c>
      <c r="BU1148" t="s">
        <v>126</v>
      </c>
      <c r="BV1148" t="s">
        <v>126</v>
      </c>
      <c r="CN1148" t="s">
        <v>147</v>
      </c>
      <c r="CP1148" t="s">
        <v>304</v>
      </c>
      <c r="CQ1148" t="s">
        <v>147</v>
      </c>
    </row>
    <row r="1149" spans="1:95" x14ac:dyDescent="0.2">
      <c r="A1149" t="s">
        <v>115</v>
      </c>
      <c r="B1149" t="s">
        <v>116</v>
      </c>
      <c r="C1149">
        <v>210784</v>
      </c>
      <c r="E1149" t="s">
        <v>117</v>
      </c>
      <c r="F1149">
        <v>368</v>
      </c>
      <c r="G1149" t="s">
        <v>141</v>
      </c>
      <c r="H1149" t="s">
        <v>142</v>
      </c>
      <c r="I1149" t="s">
        <v>279</v>
      </c>
      <c r="J1149" t="s">
        <v>280</v>
      </c>
      <c r="L1149" t="s">
        <v>795</v>
      </c>
      <c r="M1149" s="8">
        <v>46054</v>
      </c>
      <c r="N1149">
        <v>5882114</v>
      </c>
      <c r="O1149" t="s">
        <v>123</v>
      </c>
      <c r="P1149" t="s">
        <v>146</v>
      </c>
      <c r="Q1149">
        <v>2.17</v>
      </c>
      <c r="R1149" t="s">
        <v>559</v>
      </c>
      <c r="S1149" t="s">
        <v>126</v>
      </c>
      <c r="T1149" t="s">
        <v>559</v>
      </c>
      <c r="U1149" t="s">
        <v>560</v>
      </c>
      <c r="W1149">
        <v>0.66879999999999995</v>
      </c>
      <c r="X1149">
        <v>1.5011999999999999</v>
      </c>
      <c r="Y1149">
        <v>2.17</v>
      </c>
      <c r="Z1149">
        <v>0.82550000000000001</v>
      </c>
      <c r="AG1149">
        <v>0.66879999999999995</v>
      </c>
      <c r="AI1149">
        <v>0.67569999999999997</v>
      </c>
      <c r="BH1149" t="s">
        <v>126</v>
      </c>
      <c r="BI1149" t="s">
        <v>126</v>
      </c>
      <c r="BJ1149" t="s">
        <v>126</v>
      </c>
      <c r="BK1149" t="s">
        <v>126</v>
      </c>
      <c r="BS1149" t="s">
        <v>126</v>
      </c>
      <c r="BT1149" t="s">
        <v>126</v>
      </c>
      <c r="BU1149" t="s">
        <v>126</v>
      </c>
      <c r="BV1149" t="s">
        <v>126</v>
      </c>
      <c r="CN1149" t="s">
        <v>147</v>
      </c>
      <c r="CP1149" t="s">
        <v>304</v>
      </c>
      <c r="CQ1149" t="s">
        <v>147</v>
      </c>
    </row>
    <row r="1150" spans="1:95" x14ac:dyDescent="0.2">
      <c r="A1150" t="s">
        <v>115</v>
      </c>
      <c r="B1150" t="s">
        <v>116</v>
      </c>
      <c r="C1150">
        <v>210784</v>
      </c>
      <c r="E1150" t="s">
        <v>117</v>
      </c>
      <c r="F1150">
        <v>368</v>
      </c>
      <c r="G1150" t="s">
        <v>141</v>
      </c>
      <c r="H1150" t="s">
        <v>142</v>
      </c>
      <c r="I1150" t="s">
        <v>279</v>
      </c>
      <c r="J1150" t="s">
        <v>280</v>
      </c>
      <c r="L1150" t="s">
        <v>796</v>
      </c>
      <c r="M1150" s="8">
        <v>46054</v>
      </c>
      <c r="N1150">
        <v>5883775</v>
      </c>
      <c r="O1150" t="s">
        <v>123</v>
      </c>
      <c r="P1150" t="s">
        <v>146</v>
      </c>
      <c r="Q1150">
        <v>3.5199999999999996</v>
      </c>
      <c r="R1150" t="s">
        <v>559</v>
      </c>
      <c r="S1150" t="s">
        <v>126</v>
      </c>
      <c r="T1150" t="s">
        <v>559</v>
      </c>
      <c r="U1150" t="s">
        <v>560</v>
      </c>
      <c r="W1150">
        <v>1.0849</v>
      </c>
      <c r="X1150">
        <v>2.4351000000000003</v>
      </c>
      <c r="Y1150">
        <v>3.5199999999999996</v>
      </c>
      <c r="Z1150">
        <v>1.339</v>
      </c>
      <c r="AG1150">
        <v>1.0849</v>
      </c>
      <c r="AI1150">
        <v>1.0961000000000001</v>
      </c>
      <c r="BH1150" t="s">
        <v>126</v>
      </c>
      <c r="BI1150" t="s">
        <v>126</v>
      </c>
      <c r="BJ1150" t="s">
        <v>126</v>
      </c>
      <c r="BK1150" t="s">
        <v>126</v>
      </c>
      <c r="BS1150" t="s">
        <v>126</v>
      </c>
      <c r="BT1150" t="s">
        <v>126</v>
      </c>
      <c r="BU1150" t="s">
        <v>126</v>
      </c>
      <c r="BV1150" t="s">
        <v>126</v>
      </c>
      <c r="CN1150" t="s">
        <v>147</v>
      </c>
      <c r="CP1150" t="s">
        <v>304</v>
      </c>
      <c r="CQ1150" t="s">
        <v>147</v>
      </c>
    </row>
    <row r="1151" spans="1:95" x14ac:dyDescent="0.2">
      <c r="A1151" t="s">
        <v>115</v>
      </c>
      <c r="B1151" t="s">
        <v>116</v>
      </c>
      <c r="C1151">
        <v>210784</v>
      </c>
      <c r="E1151" t="s">
        <v>117</v>
      </c>
      <c r="F1151">
        <v>368</v>
      </c>
      <c r="G1151" t="s">
        <v>141</v>
      </c>
      <c r="H1151" t="s">
        <v>142</v>
      </c>
      <c r="I1151" t="s">
        <v>279</v>
      </c>
      <c r="J1151" t="s">
        <v>280</v>
      </c>
      <c r="L1151" t="s">
        <v>797</v>
      </c>
      <c r="M1151" s="8">
        <v>46054</v>
      </c>
      <c r="N1151">
        <v>5884229</v>
      </c>
      <c r="O1151" t="s">
        <v>123</v>
      </c>
      <c r="P1151" t="s">
        <v>146</v>
      </c>
      <c r="Q1151">
        <v>3.8699000000000003</v>
      </c>
      <c r="R1151" t="s">
        <v>559</v>
      </c>
      <c r="S1151" t="s">
        <v>126</v>
      </c>
      <c r="T1151" t="s">
        <v>559</v>
      </c>
      <c r="U1151" t="s">
        <v>560</v>
      </c>
      <c r="W1151">
        <v>1.1927000000000001</v>
      </c>
      <c r="X1151">
        <v>2.6772</v>
      </c>
      <c r="Y1151">
        <v>3.8699000000000003</v>
      </c>
      <c r="Z1151">
        <v>1.4721</v>
      </c>
      <c r="AG1151">
        <v>1.1927000000000001</v>
      </c>
      <c r="AI1151">
        <v>1.2051000000000001</v>
      </c>
      <c r="BH1151" t="s">
        <v>126</v>
      </c>
      <c r="BI1151" t="s">
        <v>126</v>
      </c>
      <c r="BJ1151" t="s">
        <v>126</v>
      </c>
      <c r="BK1151" t="s">
        <v>126</v>
      </c>
      <c r="BS1151" t="s">
        <v>126</v>
      </c>
      <c r="BT1151" t="s">
        <v>126</v>
      </c>
      <c r="BU1151" t="s">
        <v>126</v>
      </c>
      <c r="BV1151" t="s">
        <v>126</v>
      </c>
      <c r="CN1151" t="s">
        <v>147</v>
      </c>
      <c r="CP1151" t="s">
        <v>304</v>
      </c>
      <c r="CQ1151" t="s">
        <v>147</v>
      </c>
    </row>
    <row r="1152" spans="1:95" x14ac:dyDescent="0.2">
      <c r="A1152" t="s">
        <v>115</v>
      </c>
      <c r="B1152" t="s">
        <v>116</v>
      </c>
      <c r="C1152">
        <v>210784</v>
      </c>
      <c r="E1152" t="s">
        <v>117</v>
      </c>
      <c r="F1152">
        <v>368</v>
      </c>
      <c r="G1152" t="s">
        <v>141</v>
      </c>
      <c r="H1152" t="s">
        <v>142</v>
      </c>
      <c r="I1152" t="s">
        <v>279</v>
      </c>
      <c r="J1152" t="s">
        <v>280</v>
      </c>
      <c r="L1152" t="s">
        <v>798</v>
      </c>
      <c r="M1152" s="8">
        <v>46054</v>
      </c>
      <c r="N1152">
        <v>5884870</v>
      </c>
      <c r="O1152" t="s">
        <v>123</v>
      </c>
      <c r="P1152" t="s">
        <v>146</v>
      </c>
      <c r="Q1152">
        <v>2.02</v>
      </c>
      <c r="R1152" t="s">
        <v>559</v>
      </c>
      <c r="S1152" t="s">
        <v>126</v>
      </c>
      <c r="T1152" t="s">
        <v>559</v>
      </c>
      <c r="U1152" t="s">
        <v>560</v>
      </c>
      <c r="W1152">
        <v>0.62260000000000004</v>
      </c>
      <c r="X1152">
        <v>1.3974</v>
      </c>
      <c r="Y1152">
        <v>2.02</v>
      </c>
      <c r="Z1152">
        <v>0.76839999999999997</v>
      </c>
      <c r="AG1152">
        <v>0.62260000000000004</v>
      </c>
      <c r="AI1152">
        <v>0.629</v>
      </c>
      <c r="BH1152" t="s">
        <v>126</v>
      </c>
      <c r="BI1152" t="s">
        <v>126</v>
      </c>
      <c r="BJ1152" t="s">
        <v>126</v>
      </c>
      <c r="BK1152" t="s">
        <v>126</v>
      </c>
      <c r="BS1152" t="s">
        <v>126</v>
      </c>
      <c r="BT1152" t="s">
        <v>126</v>
      </c>
      <c r="BU1152" t="s">
        <v>126</v>
      </c>
      <c r="BV1152" t="s">
        <v>126</v>
      </c>
      <c r="CN1152" t="s">
        <v>147</v>
      </c>
      <c r="CP1152" t="s">
        <v>304</v>
      </c>
      <c r="CQ1152" t="s">
        <v>147</v>
      </c>
    </row>
    <row r="1153" spans="1:95" x14ac:dyDescent="0.2">
      <c r="A1153" t="s">
        <v>115</v>
      </c>
      <c r="B1153" t="s">
        <v>116</v>
      </c>
      <c r="C1153">
        <v>210784</v>
      </c>
      <c r="E1153" t="s">
        <v>117</v>
      </c>
      <c r="F1153">
        <v>368</v>
      </c>
      <c r="G1153" t="s">
        <v>141</v>
      </c>
      <c r="H1153" t="s">
        <v>142</v>
      </c>
      <c r="I1153" t="s">
        <v>279</v>
      </c>
      <c r="J1153" t="s">
        <v>280</v>
      </c>
      <c r="L1153" t="s">
        <v>798</v>
      </c>
      <c r="M1153" s="8">
        <v>46054</v>
      </c>
      <c r="N1153">
        <v>5886185</v>
      </c>
      <c r="O1153" t="s">
        <v>123</v>
      </c>
      <c r="P1153" t="s">
        <v>146</v>
      </c>
      <c r="Q1153">
        <v>1.26</v>
      </c>
      <c r="R1153" t="s">
        <v>559</v>
      </c>
      <c r="S1153" t="s">
        <v>126</v>
      </c>
      <c r="T1153" t="s">
        <v>559</v>
      </c>
      <c r="U1153" t="s">
        <v>560</v>
      </c>
      <c r="W1153">
        <v>0.38829999999999998</v>
      </c>
      <c r="X1153">
        <v>0.87170000000000003</v>
      </c>
      <c r="Y1153">
        <v>1.26</v>
      </c>
      <c r="Z1153">
        <v>0.4793</v>
      </c>
      <c r="AG1153">
        <v>0.38829999999999998</v>
      </c>
      <c r="AI1153">
        <v>0.39240000000000003</v>
      </c>
      <c r="BH1153" t="s">
        <v>126</v>
      </c>
      <c r="BI1153" t="s">
        <v>126</v>
      </c>
      <c r="BJ1153" t="s">
        <v>126</v>
      </c>
      <c r="BK1153" t="s">
        <v>126</v>
      </c>
      <c r="BS1153" t="s">
        <v>126</v>
      </c>
      <c r="BT1153" t="s">
        <v>126</v>
      </c>
      <c r="BU1153" t="s">
        <v>126</v>
      </c>
      <c r="BV1153" t="s">
        <v>126</v>
      </c>
      <c r="CN1153" t="s">
        <v>147</v>
      </c>
      <c r="CP1153" t="s">
        <v>304</v>
      </c>
      <c r="CQ1153" t="s">
        <v>147</v>
      </c>
    </row>
    <row r="1154" spans="1:95" x14ac:dyDescent="0.2">
      <c r="A1154" t="s">
        <v>115</v>
      </c>
      <c r="B1154" t="s">
        <v>116</v>
      </c>
      <c r="C1154">
        <v>210784</v>
      </c>
      <c r="E1154" t="s">
        <v>117</v>
      </c>
      <c r="F1154">
        <v>368</v>
      </c>
      <c r="G1154" t="s">
        <v>141</v>
      </c>
      <c r="H1154" t="s">
        <v>142</v>
      </c>
      <c r="I1154" t="s">
        <v>279</v>
      </c>
      <c r="J1154" t="s">
        <v>280</v>
      </c>
      <c r="L1154" t="s">
        <v>799</v>
      </c>
      <c r="M1154" s="8">
        <v>46054</v>
      </c>
      <c r="N1154">
        <v>5886873</v>
      </c>
      <c r="O1154" t="s">
        <v>123</v>
      </c>
      <c r="P1154" t="s">
        <v>146</v>
      </c>
      <c r="Q1154">
        <v>5.07</v>
      </c>
      <c r="R1154" t="s">
        <v>559</v>
      </c>
      <c r="S1154" t="s">
        <v>126</v>
      </c>
      <c r="T1154" t="s">
        <v>559</v>
      </c>
      <c r="U1154" t="s">
        <v>560</v>
      </c>
      <c r="W1154">
        <v>1.5626</v>
      </c>
      <c r="X1154">
        <v>3.5074000000000001</v>
      </c>
      <c r="Y1154">
        <v>5.07</v>
      </c>
      <c r="Z1154">
        <v>1.9286000000000001</v>
      </c>
      <c r="AG1154">
        <v>1.5626</v>
      </c>
      <c r="AI1154">
        <v>1.5788</v>
      </c>
      <c r="BH1154" t="s">
        <v>126</v>
      </c>
      <c r="BI1154" t="s">
        <v>126</v>
      </c>
      <c r="BJ1154" t="s">
        <v>126</v>
      </c>
      <c r="BK1154" t="s">
        <v>126</v>
      </c>
      <c r="BS1154" t="s">
        <v>126</v>
      </c>
      <c r="BT1154" t="s">
        <v>126</v>
      </c>
      <c r="BU1154" t="s">
        <v>126</v>
      </c>
      <c r="BV1154" t="s">
        <v>126</v>
      </c>
      <c r="CN1154" t="s">
        <v>147</v>
      </c>
      <c r="CP1154" t="s">
        <v>304</v>
      </c>
      <c r="CQ1154" t="s">
        <v>147</v>
      </c>
    </row>
    <row r="1155" spans="1:95" x14ac:dyDescent="0.2">
      <c r="A1155" t="s">
        <v>115</v>
      </c>
      <c r="B1155" t="s">
        <v>116</v>
      </c>
      <c r="C1155">
        <v>210784</v>
      </c>
      <c r="E1155" t="s">
        <v>117</v>
      </c>
      <c r="F1155">
        <v>368</v>
      </c>
      <c r="G1155" t="s">
        <v>141</v>
      </c>
      <c r="H1155" t="s">
        <v>142</v>
      </c>
      <c r="I1155" t="s">
        <v>279</v>
      </c>
      <c r="J1155" t="s">
        <v>280</v>
      </c>
      <c r="L1155" t="s">
        <v>799</v>
      </c>
      <c r="M1155" s="8">
        <v>46054</v>
      </c>
      <c r="N1155">
        <v>5886863</v>
      </c>
      <c r="O1155" t="s">
        <v>123</v>
      </c>
      <c r="P1155" t="s">
        <v>146</v>
      </c>
      <c r="Q1155">
        <v>1.8199000000000001</v>
      </c>
      <c r="R1155" t="s">
        <v>559</v>
      </c>
      <c r="S1155" t="s">
        <v>126</v>
      </c>
      <c r="T1155" t="s">
        <v>559</v>
      </c>
      <c r="U1155" t="s">
        <v>560</v>
      </c>
      <c r="W1155">
        <v>0.56089999999999995</v>
      </c>
      <c r="X1155">
        <v>1.2589999999999999</v>
      </c>
      <c r="Y1155">
        <v>1.8199000000000001</v>
      </c>
      <c r="Z1155">
        <v>0.69230000000000003</v>
      </c>
      <c r="AG1155">
        <v>0.56089999999999995</v>
      </c>
      <c r="AI1155">
        <v>0.56669999999999998</v>
      </c>
      <c r="BH1155" t="s">
        <v>126</v>
      </c>
      <c r="BI1155" t="s">
        <v>126</v>
      </c>
      <c r="BJ1155" t="s">
        <v>126</v>
      </c>
      <c r="BK1155" t="s">
        <v>126</v>
      </c>
      <c r="BS1155" t="s">
        <v>126</v>
      </c>
      <c r="BT1155" t="s">
        <v>126</v>
      </c>
      <c r="BU1155" t="s">
        <v>126</v>
      </c>
      <c r="BV1155" t="s">
        <v>126</v>
      </c>
      <c r="CN1155" t="s">
        <v>147</v>
      </c>
      <c r="CP1155" t="s">
        <v>304</v>
      </c>
      <c r="CQ1155" t="s">
        <v>147</v>
      </c>
    </row>
    <row r="1156" spans="1:95" x14ac:dyDescent="0.2">
      <c r="A1156" t="s">
        <v>115</v>
      </c>
      <c r="B1156" t="s">
        <v>116</v>
      </c>
      <c r="C1156">
        <v>210784</v>
      </c>
      <c r="E1156" t="s">
        <v>117</v>
      </c>
      <c r="F1156">
        <v>368</v>
      </c>
      <c r="G1156" t="s">
        <v>141</v>
      </c>
      <c r="H1156" t="s">
        <v>142</v>
      </c>
      <c r="I1156" t="s">
        <v>279</v>
      </c>
      <c r="J1156" t="s">
        <v>280</v>
      </c>
      <c r="L1156" t="s">
        <v>800</v>
      </c>
      <c r="M1156" s="8">
        <v>46054</v>
      </c>
      <c r="N1156">
        <v>5887522</v>
      </c>
      <c r="O1156" t="s">
        <v>123</v>
      </c>
      <c r="P1156" t="s">
        <v>146</v>
      </c>
      <c r="Q1156">
        <v>5.8599999999999994</v>
      </c>
      <c r="R1156" t="s">
        <v>559</v>
      </c>
      <c r="S1156" t="s">
        <v>126</v>
      </c>
      <c r="T1156" t="s">
        <v>559</v>
      </c>
      <c r="U1156" t="s">
        <v>560</v>
      </c>
      <c r="W1156">
        <v>1.8061</v>
      </c>
      <c r="X1156">
        <v>4.0538999999999996</v>
      </c>
      <c r="Y1156">
        <v>5.8599999999999994</v>
      </c>
      <c r="Z1156">
        <v>2.2290999999999999</v>
      </c>
      <c r="AG1156">
        <v>1.8061</v>
      </c>
      <c r="AI1156">
        <v>1.8248</v>
      </c>
      <c r="BH1156" t="s">
        <v>126</v>
      </c>
      <c r="BI1156" t="s">
        <v>126</v>
      </c>
      <c r="BJ1156" t="s">
        <v>126</v>
      </c>
      <c r="BK1156" t="s">
        <v>126</v>
      </c>
      <c r="BS1156" t="s">
        <v>126</v>
      </c>
      <c r="BT1156" t="s">
        <v>126</v>
      </c>
      <c r="BU1156" t="s">
        <v>126</v>
      </c>
      <c r="BV1156" t="s">
        <v>126</v>
      </c>
      <c r="CN1156" t="s">
        <v>147</v>
      </c>
      <c r="CP1156" t="s">
        <v>304</v>
      </c>
      <c r="CQ1156" t="s">
        <v>147</v>
      </c>
    </row>
    <row r="1157" spans="1:95" x14ac:dyDescent="0.2">
      <c r="A1157" t="s">
        <v>115</v>
      </c>
      <c r="B1157" t="s">
        <v>116</v>
      </c>
      <c r="C1157">
        <v>210784</v>
      </c>
      <c r="E1157" t="s">
        <v>117</v>
      </c>
      <c r="F1157">
        <v>368</v>
      </c>
      <c r="G1157" t="s">
        <v>141</v>
      </c>
      <c r="H1157" t="s">
        <v>142</v>
      </c>
      <c r="I1157" t="s">
        <v>279</v>
      </c>
      <c r="J1157" t="s">
        <v>280</v>
      </c>
      <c r="L1157" t="s">
        <v>139</v>
      </c>
      <c r="M1157" s="8">
        <v>46054</v>
      </c>
      <c r="N1157">
        <v>5888217</v>
      </c>
      <c r="O1157" t="s">
        <v>123</v>
      </c>
      <c r="P1157" t="s">
        <v>146</v>
      </c>
      <c r="Q1157">
        <v>1.48</v>
      </c>
      <c r="R1157" t="s">
        <v>559</v>
      </c>
      <c r="S1157" t="s">
        <v>126</v>
      </c>
      <c r="T1157" t="s">
        <v>559</v>
      </c>
      <c r="U1157" t="s">
        <v>560</v>
      </c>
      <c r="W1157">
        <v>0.45610000000000001</v>
      </c>
      <c r="X1157">
        <v>1.0238999999999998</v>
      </c>
      <c r="Y1157">
        <v>1.48</v>
      </c>
      <c r="Z1157">
        <v>0.56299999999999994</v>
      </c>
      <c r="AG1157">
        <v>0.45610000000000001</v>
      </c>
      <c r="AI1157">
        <v>0.46089999999999998</v>
      </c>
      <c r="BH1157" t="s">
        <v>126</v>
      </c>
      <c r="BI1157" t="s">
        <v>126</v>
      </c>
      <c r="BJ1157" t="s">
        <v>126</v>
      </c>
      <c r="BK1157" t="s">
        <v>126</v>
      </c>
      <c r="BS1157" t="s">
        <v>126</v>
      </c>
      <c r="BT1157" t="s">
        <v>126</v>
      </c>
      <c r="BU1157" t="s">
        <v>126</v>
      </c>
      <c r="BV1157" t="s">
        <v>126</v>
      </c>
      <c r="CN1157" t="s">
        <v>147</v>
      </c>
      <c r="CP1157" t="s">
        <v>140</v>
      </c>
      <c r="CQ1157" t="s">
        <v>147</v>
      </c>
    </row>
    <row r="1158" spans="1:95" x14ac:dyDescent="0.2">
      <c r="A1158" t="s">
        <v>115</v>
      </c>
      <c r="B1158" t="s">
        <v>116</v>
      </c>
      <c r="C1158">
        <v>210784</v>
      </c>
      <c r="E1158" t="s">
        <v>117</v>
      </c>
      <c r="F1158">
        <v>368</v>
      </c>
      <c r="G1158" t="s">
        <v>141</v>
      </c>
      <c r="H1158" t="s">
        <v>142</v>
      </c>
      <c r="I1158" t="s">
        <v>279</v>
      </c>
      <c r="J1158" t="s">
        <v>280</v>
      </c>
      <c r="L1158" t="s">
        <v>136</v>
      </c>
      <c r="M1158" s="8">
        <v>46054</v>
      </c>
      <c r="N1158">
        <v>5889875</v>
      </c>
      <c r="O1158" t="s">
        <v>123</v>
      </c>
      <c r="P1158" t="s">
        <v>146</v>
      </c>
      <c r="Q1158">
        <v>3.5700000000000003</v>
      </c>
      <c r="R1158" t="s">
        <v>559</v>
      </c>
      <c r="S1158" t="s">
        <v>126</v>
      </c>
      <c r="T1158" t="s">
        <v>559</v>
      </c>
      <c r="U1158" t="s">
        <v>560</v>
      </c>
      <c r="W1158">
        <v>1.1003000000000001</v>
      </c>
      <c r="X1158">
        <v>2.4697</v>
      </c>
      <c r="Y1158">
        <v>3.5700000000000003</v>
      </c>
      <c r="Z1158">
        <v>1.3580000000000001</v>
      </c>
      <c r="AG1158">
        <v>1.1003000000000001</v>
      </c>
      <c r="AI1158">
        <v>1.1116999999999999</v>
      </c>
      <c r="BH1158" t="s">
        <v>126</v>
      </c>
      <c r="BI1158" t="s">
        <v>126</v>
      </c>
      <c r="BJ1158" t="s">
        <v>126</v>
      </c>
      <c r="BK1158" t="s">
        <v>126</v>
      </c>
      <c r="BS1158" t="s">
        <v>126</v>
      </c>
      <c r="BT1158" t="s">
        <v>126</v>
      </c>
      <c r="BU1158" t="s">
        <v>126</v>
      </c>
      <c r="BV1158" t="s">
        <v>126</v>
      </c>
      <c r="CN1158" t="s">
        <v>147</v>
      </c>
      <c r="CP1158" t="s">
        <v>140</v>
      </c>
      <c r="CQ1158" t="s">
        <v>147</v>
      </c>
    </row>
    <row r="1159" spans="1:95" x14ac:dyDescent="0.2">
      <c r="A1159" t="s">
        <v>115</v>
      </c>
      <c r="B1159" t="s">
        <v>116</v>
      </c>
      <c r="C1159">
        <v>210784</v>
      </c>
      <c r="E1159" t="s">
        <v>117</v>
      </c>
      <c r="F1159">
        <v>368</v>
      </c>
      <c r="G1159" t="s">
        <v>141</v>
      </c>
      <c r="H1159" t="s">
        <v>142</v>
      </c>
      <c r="I1159" t="s">
        <v>279</v>
      </c>
      <c r="J1159" t="s">
        <v>280</v>
      </c>
      <c r="L1159" t="s">
        <v>790</v>
      </c>
      <c r="M1159" s="8">
        <v>46054</v>
      </c>
      <c r="N1159">
        <v>5876433</v>
      </c>
      <c r="O1159" t="s">
        <v>123</v>
      </c>
      <c r="P1159" t="s">
        <v>146</v>
      </c>
      <c r="Q1159">
        <v>4.75</v>
      </c>
      <c r="R1159" t="s">
        <v>125</v>
      </c>
      <c r="S1159" t="s">
        <v>126</v>
      </c>
      <c r="T1159" t="s">
        <v>125</v>
      </c>
      <c r="U1159" t="s">
        <v>126</v>
      </c>
      <c r="W1159">
        <v>4.75</v>
      </c>
      <c r="Y1159">
        <v>4.75</v>
      </c>
      <c r="BE1159">
        <v>4.75</v>
      </c>
      <c r="BH1159" t="s">
        <v>126</v>
      </c>
      <c r="BI1159" t="s">
        <v>126</v>
      </c>
      <c r="BJ1159" t="s">
        <v>126</v>
      </c>
      <c r="BK1159" t="s">
        <v>126</v>
      </c>
      <c r="BS1159" t="s">
        <v>126</v>
      </c>
      <c r="BT1159" t="s">
        <v>126</v>
      </c>
      <c r="BU1159" t="s">
        <v>126</v>
      </c>
      <c r="BV1159" t="s">
        <v>126</v>
      </c>
      <c r="CN1159" t="s">
        <v>147</v>
      </c>
      <c r="CP1159" t="s">
        <v>304</v>
      </c>
      <c r="CQ1159" t="s">
        <v>147</v>
      </c>
    </row>
    <row r="1160" spans="1:95" x14ac:dyDescent="0.2">
      <c r="A1160" t="s">
        <v>115</v>
      </c>
      <c r="B1160" t="s">
        <v>116</v>
      </c>
      <c r="C1160">
        <v>210784</v>
      </c>
      <c r="E1160" t="s">
        <v>117</v>
      </c>
      <c r="F1160">
        <v>368</v>
      </c>
      <c r="G1160" t="s">
        <v>141</v>
      </c>
      <c r="H1160" t="s">
        <v>142</v>
      </c>
      <c r="I1160" t="s">
        <v>279</v>
      </c>
      <c r="J1160" t="s">
        <v>280</v>
      </c>
      <c r="L1160" t="s">
        <v>792</v>
      </c>
      <c r="M1160" s="8">
        <v>46054</v>
      </c>
      <c r="N1160">
        <v>5878095</v>
      </c>
      <c r="O1160" t="s">
        <v>123</v>
      </c>
      <c r="P1160" t="s">
        <v>146</v>
      </c>
      <c r="Q1160">
        <v>1.91</v>
      </c>
      <c r="R1160" t="s">
        <v>125</v>
      </c>
      <c r="S1160" t="s">
        <v>126</v>
      </c>
      <c r="T1160" t="s">
        <v>125</v>
      </c>
      <c r="U1160" t="s">
        <v>126</v>
      </c>
      <c r="W1160">
        <v>1.91</v>
      </c>
      <c r="Y1160">
        <v>1.91</v>
      </c>
      <c r="BE1160">
        <v>1.91</v>
      </c>
      <c r="BH1160" t="s">
        <v>126</v>
      </c>
      <c r="BI1160" t="s">
        <v>126</v>
      </c>
      <c r="BJ1160" t="s">
        <v>126</v>
      </c>
      <c r="BK1160" t="s">
        <v>126</v>
      </c>
      <c r="BS1160" t="s">
        <v>126</v>
      </c>
      <c r="BT1160" t="s">
        <v>126</v>
      </c>
      <c r="BU1160" t="s">
        <v>126</v>
      </c>
      <c r="BV1160" t="s">
        <v>126</v>
      </c>
      <c r="CN1160" t="s">
        <v>147</v>
      </c>
      <c r="CP1160" t="s">
        <v>304</v>
      </c>
      <c r="CQ1160" t="s">
        <v>147</v>
      </c>
    </row>
    <row r="1161" spans="1:95" x14ac:dyDescent="0.2">
      <c r="A1161" t="s">
        <v>115</v>
      </c>
      <c r="B1161" t="s">
        <v>116</v>
      </c>
      <c r="C1161">
        <v>210784</v>
      </c>
      <c r="E1161" t="s">
        <v>117</v>
      </c>
      <c r="F1161">
        <v>368</v>
      </c>
      <c r="G1161" t="s">
        <v>141</v>
      </c>
      <c r="H1161" t="s">
        <v>142</v>
      </c>
      <c r="I1161" t="s">
        <v>279</v>
      </c>
      <c r="J1161" t="s">
        <v>280</v>
      </c>
      <c r="L1161" t="s">
        <v>793</v>
      </c>
      <c r="M1161" s="8">
        <v>46054</v>
      </c>
      <c r="N1161">
        <v>5879106</v>
      </c>
      <c r="O1161" t="s">
        <v>123</v>
      </c>
      <c r="P1161" t="s">
        <v>146</v>
      </c>
      <c r="Q1161">
        <v>3.62</v>
      </c>
      <c r="R1161" t="s">
        <v>125</v>
      </c>
      <c r="S1161" t="s">
        <v>126</v>
      </c>
      <c r="T1161" t="s">
        <v>125</v>
      </c>
      <c r="U1161" t="s">
        <v>126</v>
      </c>
      <c r="W1161">
        <v>3.62</v>
      </c>
      <c r="Y1161">
        <v>3.62</v>
      </c>
      <c r="BE1161">
        <v>3.62</v>
      </c>
      <c r="BH1161" t="s">
        <v>126</v>
      </c>
      <c r="BI1161" t="s">
        <v>126</v>
      </c>
      <c r="BJ1161" t="s">
        <v>126</v>
      </c>
      <c r="BK1161" t="s">
        <v>126</v>
      </c>
      <c r="BS1161" t="s">
        <v>126</v>
      </c>
      <c r="BT1161" t="s">
        <v>126</v>
      </c>
      <c r="BU1161" t="s">
        <v>126</v>
      </c>
      <c r="BV1161" t="s">
        <v>126</v>
      </c>
      <c r="CN1161" t="s">
        <v>147</v>
      </c>
      <c r="CP1161" t="s">
        <v>304</v>
      </c>
      <c r="CQ1161" t="s">
        <v>147</v>
      </c>
    </row>
    <row r="1162" spans="1:95" x14ac:dyDescent="0.2">
      <c r="A1162" t="s">
        <v>115</v>
      </c>
      <c r="B1162" t="s">
        <v>116</v>
      </c>
      <c r="C1162">
        <v>210784</v>
      </c>
      <c r="E1162" t="s">
        <v>117</v>
      </c>
      <c r="F1162">
        <v>368</v>
      </c>
      <c r="G1162" t="s">
        <v>141</v>
      </c>
      <c r="H1162" t="s">
        <v>142</v>
      </c>
      <c r="I1162" t="s">
        <v>279</v>
      </c>
      <c r="J1162" t="s">
        <v>280</v>
      </c>
      <c r="L1162" t="s">
        <v>911</v>
      </c>
      <c r="M1162" s="8">
        <v>46054</v>
      </c>
      <c r="N1162">
        <v>5879964</v>
      </c>
      <c r="O1162" t="s">
        <v>123</v>
      </c>
      <c r="P1162" t="s">
        <v>146</v>
      </c>
      <c r="Q1162">
        <v>1.45</v>
      </c>
      <c r="R1162" t="s">
        <v>125</v>
      </c>
      <c r="S1162" t="s">
        <v>126</v>
      </c>
      <c r="T1162" t="s">
        <v>125</v>
      </c>
      <c r="U1162" t="s">
        <v>126</v>
      </c>
      <c r="W1162">
        <v>1.45</v>
      </c>
      <c r="Y1162">
        <v>1.45</v>
      </c>
      <c r="BE1162">
        <v>1.45</v>
      </c>
      <c r="BH1162" t="s">
        <v>126</v>
      </c>
      <c r="BI1162" t="s">
        <v>126</v>
      </c>
      <c r="BJ1162" t="s">
        <v>126</v>
      </c>
      <c r="BK1162" t="s">
        <v>126</v>
      </c>
      <c r="BS1162" t="s">
        <v>126</v>
      </c>
      <c r="BT1162" t="s">
        <v>126</v>
      </c>
      <c r="BU1162" t="s">
        <v>126</v>
      </c>
      <c r="BV1162" t="s">
        <v>126</v>
      </c>
      <c r="CN1162" t="s">
        <v>147</v>
      </c>
      <c r="CP1162" t="s">
        <v>304</v>
      </c>
      <c r="CQ1162" t="s">
        <v>147</v>
      </c>
    </row>
    <row r="1163" spans="1:95" x14ac:dyDescent="0.2">
      <c r="A1163" t="s">
        <v>115</v>
      </c>
      <c r="B1163" t="s">
        <v>116</v>
      </c>
      <c r="C1163">
        <v>210784</v>
      </c>
      <c r="E1163" t="s">
        <v>117</v>
      </c>
      <c r="F1163">
        <v>368</v>
      </c>
      <c r="G1163" t="s">
        <v>141</v>
      </c>
      <c r="H1163" t="s">
        <v>142</v>
      </c>
      <c r="I1163" t="s">
        <v>279</v>
      </c>
      <c r="J1163" t="s">
        <v>280</v>
      </c>
      <c r="L1163" t="s">
        <v>912</v>
      </c>
      <c r="M1163" s="8">
        <v>46054</v>
      </c>
      <c r="N1163">
        <v>5889050</v>
      </c>
      <c r="O1163" t="s">
        <v>123</v>
      </c>
      <c r="P1163" t="s">
        <v>146</v>
      </c>
      <c r="Q1163">
        <v>4.7300000000000004</v>
      </c>
      <c r="R1163" t="s">
        <v>125</v>
      </c>
      <c r="S1163" t="s">
        <v>126</v>
      </c>
      <c r="T1163" t="s">
        <v>125</v>
      </c>
      <c r="U1163" t="s">
        <v>126</v>
      </c>
      <c r="W1163">
        <v>4.7300000000000004</v>
      </c>
      <c r="Y1163">
        <v>4.7300000000000004</v>
      </c>
      <c r="BE1163">
        <v>4.7300000000000004</v>
      </c>
      <c r="BH1163" t="s">
        <v>126</v>
      </c>
      <c r="BI1163" t="s">
        <v>126</v>
      </c>
      <c r="BJ1163" t="s">
        <v>126</v>
      </c>
      <c r="BK1163" t="s">
        <v>126</v>
      </c>
      <c r="BS1163" t="s">
        <v>126</v>
      </c>
      <c r="BT1163" t="s">
        <v>126</v>
      </c>
      <c r="BU1163" t="s">
        <v>126</v>
      </c>
      <c r="BV1163" t="s">
        <v>126</v>
      </c>
      <c r="CN1163" t="s">
        <v>147</v>
      </c>
      <c r="CP1163" t="s">
        <v>140</v>
      </c>
      <c r="CQ1163" t="s">
        <v>147</v>
      </c>
    </row>
    <row r="1164" spans="1:95" x14ac:dyDescent="0.2">
      <c r="A1164" t="s">
        <v>115</v>
      </c>
      <c r="B1164" t="s">
        <v>116</v>
      </c>
      <c r="C1164">
        <v>210784</v>
      </c>
      <c r="E1164" t="s">
        <v>117</v>
      </c>
      <c r="F1164">
        <v>368</v>
      </c>
      <c r="G1164" t="s">
        <v>141</v>
      </c>
      <c r="H1164" t="s">
        <v>142</v>
      </c>
      <c r="I1164" t="s">
        <v>305</v>
      </c>
      <c r="J1164" t="s">
        <v>306</v>
      </c>
      <c r="L1164" t="s">
        <v>307</v>
      </c>
      <c r="M1164" s="8">
        <v>46082</v>
      </c>
      <c r="N1164">
        <v>10957608</v>
      </c>
      <c r="O1164" t="s">
        <v>123</v>
      </c>
      <c r="P1164" t="s">
        <v>146</v>
      </c>
      <c r="Q1164">
        <v>4.95</v>
      </c>
      <c r="R1164" t="s">
        <v>125</v>
      </c>
      <c r="S1164" t="s">
        <v>126</v>
      </c>
      <c r="T1164" t="s">
        <v>125</v>
      </c>
      <c r="U1164" t="s">
        <v>126</v>
      </c>
      <c r="W1164">
        <v>4.95</v>
      </c>
      <c r="Y1164">
        <v>4.95</v>
      </c>
      <c r="AC1164">
        <v>4.95</v>
      </c>
      <c r="BH1164" t="s">
        <v>126</v>
      </c>
      <c r="BI1164" t="s">
        <v>126</v>
      </c>
      <c r="BJ1164" t="s">
        <v>126</v>
      </c>
      <c r="BK1164" t="s">
        <v>126</v>
      </c>
      <c r="BS1164" t="s">
        <v>126</v>
      </c>
      <c r="BT1164" t="s">
        <v>126</v>
      </c>
      <c r="BU1164" t="s">
        <v>126</v>
      </c>
      <c r="BV1164" t="s">
        <v>126</v>
      </c>
      <c r="CN1164" t="s">
        <v>147</v>
      </c>
      <c r="CP1164" t="s">
        <v>140</v>
      </c>
      <c r="CQ1164" t="s">
        <v>147</v>
      </c>
    </row>
    <row r="1165" spans="1:95" x14ac:dyDescent="0.2">
      <c r="A1165" t="s">
        <v>115</v>
      </c>
      <c r="B1165" t="s">
        <v>116</v>
      </c>
      <c r="C1165">
        <v>210784</v>
      </c>
      <c r="E1165" t="s">
        <v>117</v>
      </c>
      <c r="F1165">
        <v>368</v>
      </c>
      <c r="G1165" t="s">
        <v>141</v>
      </c>
      <c r="H1165" t="s">
        <v>142</v>
      </c>
      <c r="I1165" t="s">
        <v>284</v>
      </c>
      <c r="J1165" t="s">
        <v>285</v>
      </c>
      <c r="L1165" t="s">
        <v>308</v>
      </c>
      <c r="M1165" s="8">
        <v>46082</v>
      </c>
      <c r="N1165">
        <v>132520</v>
      </c>
      <c r="O1165" t="s">
        <v>123</v>
      </c>
      <c r="P1165" t="s">
        <v>146</v>
      </c>
      <c r="Q1165">
        <v>6.97</v>
      </c>
      <c r="R1165" t="s">
        <v>125</v>
      </c>
      <c r="S1165" t="s">
        <v>126</v>
      </c>
      <c r="T1165" t="s">
        <v>125</v>
      </c>
      <c r="U1165" t="s">
        <v>126</v>
      </c>
      <c r="W1165">
        <v>6.97</v>
      </c>
      <c r="Y1165">
        <v>6.97</v>
      </c>
      <c r="AC1165">
        <v>6.97</v>
      </c>
      <c r="BH1165" t="s">
        <v>126</v>
      </c>
      <c r="BI1165" t="s">
        <v>126</v>
      </c>
      <c r="BJ1165" t="s">
        <v>126</v>
      </c>
      <c r="BK1165" t="s">
        <v>126</v>
      </c>
      <c r="BS1165" t="s">
        <v>126</v>
      </c>
      <c r="BT1165" t="s">
        <v>126</v>
      </c>
      <c r="BU1165" t="s">
        <v>126</v>
      </c>
      <c r="BV1165" t="s">
        <v>126</v>
      </c>
      <c r="CN1165" t="s">
        <v>147</v>
      </c>
      <c r="CP1165" t="s">
        <v>140</v>
      </c>
      <c r="CQ1165" t="s">
        <v>147</v>
      </c>
    </row>
    <row r="1166" spans="1:95" x14ac:dyDescent="0.2">
      <c r="A1166" t="s">
        <v>115</v>
      </c>
      <c r="B1166" t="s">
        <v>116</v>
      </c>
      <c r="C1166">
        <v>210784</v>
      </c>
      <c r="E1166" t="s">
        <v>117</v>
      </c>
      <c r="F1166">
        <v>368</v>
      </c>
      <c r="G1166" t="s">
        <v>141</v>
      </c>
      <c r="H1166" t="s">
        <v>142</v>
      </c>
      <c r="I1166" t="s">
        <v>301</v>
      </c>
      <c r="J1166" t="s">
        <v>302</v>
      </c>
      <c r="L1166" t="s">
        <v>309</v>
      </c>
      <c r="M1166" s="8">
        <v>46082</v>
      </c>
      <c r="N1166">
        <v>124621</v>
      </c>
      <c r="O1166" t="s">
        <v>123</v>
      </c>
      <c r="P1166" t="s">
        <v>146</v>
      </c>
      <c r="Q1166">
        <v>8</v>
      </c>
      <c r="R1166" t="s">
        <v>125</v>
      </c>
      <c r="S1166" t="s">
        <v>126</v>
      </c>
      <c r="T1166" t="s">
        <v>125</v>
      </c>
      <c r="U1166" t="s">
        <v>126</v>
      </c>
      <c r="W1166">
        <v>8</v>
      </c>
      <c r="Y1166">
        <v>8</v>
      </c>
      <c r="AC1166">
        <v>8</v>
      </c>
      <c r="BH1166" t="s">
        <v>126</v>
      </c>
      <c r="BI1166" t="s">
        <v>126</v>
      </c>
      <c r="BJ1166" t="s">
        <v>126</v>
      </c>
      <c r="BK1166" t="s">
        <v>126</v>
      </c>
      <c r="BS1166" t="s">
        <v>126</v>
      </c>
      <c r="BT1166" t="s">
        <v>126</v>
      </c>
      <c r="BU1166" t="s">
        <v>126</v>
      </c>
      <c r="BV1166" t="s">
        <v>126</v>
      </c>
      <c r="CN1166" t="s">
        <v>147</v>
      </c>
      <c r="CP1166" t="s">
        <v>310</v>
      </c>
      <c r="CQ1166" t="s">
        <v>147</v>
      </c>
    </row>
    <row r="1167" spans="1:95" x14ac:dyDescent="0.2">
      <c r="A1167" t="s">
        <v>115</v>
      </c>
      <c r="B1167" t="s">
        <v>116</v>
      </c>
      <c r="C1167">
        <v>210784</v>
      </c>
      <c r="E1167" t="s">
        <v>117</v>
      </c>
      <c r="F1167">
        <v>368</v>
      </c>
      <c r="G1167" t="s">
        <v>141</v>
      </c>
      <c r="H1167" t="s">
        <v>142</v>
      </c>
      <c r="I1167" t="s">
        <v>279</v>
      </c>
      <c r="J1167" t="s">
        <v>280</v>
      </c>
      <c r="L1167" t="s">
        <v>304</v>
      </c>
      <c r="M1167" s="8">
        <v>46082</v>
      </c>
      <c r="N1167">
        <v>5893441</v>
      </c>
      <c r="O1167" t="s">
        <v>123</v>
      </c>
      <c r="P1167" t="s">
        <v>146</v>
      </c>
      <c r="Q1167">
        <v>3.7</v>
      </c>
      <c r="R1167" t="s">
        <v>559</v>
      </c>
      <c r="S1167" t="s">
        <v>126</v>
      </c>
      <c r="T1167" t="s">
        <v>559</v>
      </c>
      <c r="U1167" t="s">
        <v>560</v>
      </c>
      <c r="W1167">
        <v>1.1403000000000001</v>
      </c>
      <c r="X1167">
        <v>2.5596999999999999</v>
      </c>
      <c r="Y1167">
        <v>3.7</v>
      </c>
      <c r="Z1167">
        <v>1.4075</v>
      </c>
      <c r="AG1167">
        <v>1.1403000000000001</v>
      </c>
      <c r="AI1167">
        <v>1.1521999999999999</v>
      </c>
      <c r="BH1167" t="s">
        <v>126</v>
      </c>
      <c r="BI1167" t="s">
        <v>126</v>
      </c>
      <c r="BJ1167" t="s">
        <v>126</v>
      </c>
      <c r="BK1167" t="s">
        <v>126</v>
      </c>
      <c r="BS1167" t="s">
        <v>126</v>
      </c>
      <c r="BT1167" t="s">
        <v>126</v>
      </c>
      <c r="BU1167" t="s">
        <v>126</v>
      </c>
      <c r="BV1167" t="s">
        <v>126</v>
      </c>
      <c r="CN1167" t="s">
        <v>147</v>
      </c>
      <c r="CP1167" t="s">
        <v>140</v>
      </c>
      <c r="CQ1167" t="s">
        <v>147</v>
      </c>
    </row>
    <row r="1168" spans="1:95" x14ac:dyDescent="0.2">
      <c r="A1168" t="s">
        <v>115</v>
      </c>
      <c r="B1168" t="s">
        <v>116</v>
      </c>
      <c r="C1168">
        <v>210784</v>
      </c>
      <c r="E1168" t="s">
        <v>117</v>
      </c>
      <c r="F1168">
        <v>368</v>
      </c>
      <c r="G1168" t="s">
        <v>141</v>
      </c>
      <c r="H1168" t="s">
        <v>142</v>
      </c>
      <c r="I1168" t="s">
        <v>279</v>
      </c>
      <c r="J1168" t="s">
        <v>280</v>
      </c>
      <c r="L1168" t="s">
        <v>304</v>
      </c>
      <c r="M1168" s="8">
        <v>46082</v>
      </c>
      <c r="N1168">
        <v>5892500</v>
      </c>
      <c r="O1168" t="s">
        <v>123</v>
      </c>
      <c r="P1168" t="s">
        <v>146</v>
      </c>
      <c r="Q1168">
        <v>2.0299</v>
      </c>
      <c r="R1168" t="s">
        <v>559</v>
      </c>
      <c r="S1168" t="s">
        <v>126</v>
      </c>
      <c r="T1168" t="s">
        <v>559</v>
      </c>
      <c r="U1168" t="s">
        <v>560</v>
      </c>
      <c r="W1168">
        <v>0.62560000000000004</v>
      </c>
      <c r="X1168">
        <v>1.4043000000000001</v>
      </c>
      <c r="Y1168">
        <v>2.0299</v>
      </c>
      <c r="Z1168">
        <v>0.7722</v>
      </c>
      <c r="AG1168">
        <v>0.62560000000000004</v>
      </c>
      <c r="AI1168">
        <v>0.6321</v>
      </c>
      <c r="BH1168" t="s">
        <v>126</v>
      </c>
      <c r="BI1168" t="s">
        <v>126</v>
      </c>
      <c r="BJ1168" t="s">
        <v>126</v>
      </c>
      <c r="BK1168" t="s">
        <v>126</v>
      </c>
      <c r="BS1168" t="s">
        <v>126</v>
      </c>
      <c r="BT1168" t="s">
        <v>126</v>
      </c>
      <c r="BU1168" t="s">
        <v>126</v>
      </c>
      <c r="BV1168" t="s">
        <v>126</v>
      </c>
      <c r="CN1168" t="s">
        <v>147</v>
      </c>
      <c r="CP1168" t="s">
        <v>140</v>
      </c>
      <c r="CQ1168" t="s">
        <v>147</v>
      </c>
    </row>
    <row r="1169" spans="1:95" x14ac:dyDescent="0.2">
      <c r="A1169" t="s">
        <v>115</v>
      </c>
      <c r="B1169" t="s">
        <v>116</v>
      </c>
      <c r="C1169">
        <v>210784</v>
      </c>
      <c r="E1169" t="s">
        <v>117</v>
      </c>
      <c r="F1169">
        <v>368</v>
      </c>
      <c r="G1169" t="s">
        <v>141</v>
      </c>
      <c r="H1169" t="s">
        <v>142</v>
      </c>
      <c r="I1169" t="s">
        <v>279</v>
      </c>
      <c r="J1169" t="s">
        <v>280</v>
      </c>
      <c r="L1169" t="s">
        <v>801</v>
      </c>
      <c r="M1169" s="8">
        <v>46082</v>
      </c>
      <c r="N1169">
        <v>5895203</v>
      </c>
      <c r="O1169" t="s">
        <v>123</v>
      </c>
      <c r="P1169" t="s">
        <v>146</v>
      </c>
      <c r="Q1169">
        <v>2.73</v>
      </c>
      <c r="R1169" t="s">
        <v>559</v>
      </c>
      <c r="S1169" t="s">
        <v>126</v>
      </c>
      <c r="T1169" t="s">
        <v>559</v>
      </c>
      <c r="U1169" t="s">
        <v>560</v>
      </c>
      <c r="W1169">
        <v>0.84140000000000004</v>
      </c>
      <c r="X1169">
        <v>1.8885999999999998</v>
      </c>
      <c r="Y1169">
        <v>2.73</v>
      </c>
      <c r="Z1169">
        <v>1.0385</v>
      </c>
      <c r="AG1169">
        <v>0.84140000000000004</v>
      </c>
      <c r="AI1169">
        <v>0.85009999999999997</v>
      </c>
      <c r="BH1169" t="s">
        <v>126</v>
      </c>
      <c r="BI1169" t="s">
        <v>126</v>
      </c>
      <c r="BJ1169" t="s">
        <v>126</v>
      </c>
      <c r="BK1169" t="s">
        <v>126</v>
      </c>
      <c r="BS1169" t="s">
        <v>126</v>
      </c>
      <c r="BT1169" t="s">
        <v>126</v>
      </c>
      <c r="BU1169" t="s">
        <v>126</v>
      </c>
      <c r="BV1169" t="s">
        <v>126</v>
      </c>
      <c r="CN1169" t="s">
        <v>147</v>
      </c>
      <c r="CP1169" t="s">
        <v>140</v>
      </c>
      <c r="CQ1169" t="s">
        <v>147</v>
      </c>
    </row>
    <row r="1170" spans="1:95" x14ac:dyDescent="0.2">
      <c r="A1170" t="s">
        <v>115</v>
      </c>
      <c r="B1170" t="s">
        <v>116</v>
      </c>
      <c r="C1170">
        <v>210784</v>
      </c>
      <c r="E1170" t="s">
        <v>117</v>
      </c>
      <c r="F1170">
        <v>368</v>
      </c>
      <c r="G1170" t="s">
        <v>141</v>
      </c>
      <c r="H1170" t="s">
        <v>142</v>
      </c>
      <c r="I1170" t="s">
        <v>279</v>
      </c>
      <c r="J1170" t="s">
        <v>280</v>
      </c>
      <c r="L1170" t="s">
        <v>308</v>
      </c>
      <c r="M1170" s="8">
        <v>46082</v>
      </c>
      <c r="N1170">
        <v>5896744</v>
      </c>
      <c r="O1170" t="s">
        <v>123</v>
      </c>
      <c r="P1170" t="s">
        <v>146</v>
      </c>
      <c r="Q1170">
        <v>2.6800999999999999</v>
      </c>
      <c r="R1170" t="s">
        <v>559</v>
      </c>
      <c r="S1170" t="s">
        <v>126</v>
      </c>
      <c r="T1170" t="s">
        <v>559</v>
      </c>
      <c r="U1170" t="s">
        <v>560</v>
      </c>
      <c r="W1170">
        <v>0.82599999999999996</v>
      </c>
      <c r="X1170">
        <v>1.8541000000000001</v>
      </c>
      <c r="Y1170">
        <v>2.6800999999999999</v>
      </c>
      <c r="Z1170">
        <v>1.0195000000000001</v>
      </c>
      <c r="AG1170">
        <v>0.82599999999999996</v>
      </c>
      <c r="AI1170">
        <v>0.83460000000000001</v>
      </c>
      <c r="BH1170" t="s">
        <v>126</v>
      </c>
      <c r="BI1170" t="s">
        <v>126</v>
      </c>
      <c r="BJ1170" t="s">
        <v>126</v>
      </c>
      <c r="BK1170" t="s">
        <v>126</v>
      </c>
      <c r="BS1170" t="s">
        <v>126</v>
      </c>
      <c r="BT1170" t="s">
        <v>126</v>
      </c>
      <c r="BU1170" t="s">
        <v>126</v>
      </c>
      <c r="BV1170" t="s">
        <v>126</v>
      </c>
      <c r="CN1170" t="s">
        <v>147</v>
      </c>
      <c r="CP1170" t="s">
        <v>140</v>
      </c>
      <c r="CQ1170" t="s">
        <v>147</v>
      </c>
    </row>
    <row r="1171" spans="1:95" x14ac:dyDescent="0.2">
      <c r="A1171" t="s">
        <v>115</v>
      </c>
      <c r="B1171" t="s">
        <v>116</v>
      </c>
      <c r="C1171">
        <v>210784</v>
      </c>
      <c r="E1171" t="s">
        <v>117</v>
      </c>
      <c r="F1171">
        <v>368</v>
      </c>
      <c r="G1171" t="s">
        <v>141</v>
      </c>
      <c r="H1171" t="s">
        <v>142</v>
      </c>
      <c r="I1171" t="s">
        <v>279</v>
      </c>
      <c r="J1171" t="s">
        <v>280</v>
      </c>
      <c r="L1171" t="s">
        <v>802</v>
      </c>
      <c r="M1171" s="8">
        <v>46082</v>
      </c>
      <c r="N1171">
        <v>5897594</v>
      </c>
      <c r="O1171" t="s">
        <v>123</v>
      </c>
      <c r="P1171" t="s">
        <v>146</v>
      </c>
      <c r="Q1171">
        <v>4.8</v>
      </c>
      <c r="R1171" t="s">
        <v>559</v>
      </c>
      <c r="S1171" t="s">
        <v>126</v>
      </c>
      <c r="T1171" t="s">
        <v>559</v>
      </c>
      <c r="U1171" t="s">
        <v>560</v>
      </c>
      <c r="W1171">
        <v>1.4794</v>
      </c>
      <c r="X1171">
        <v>3.3205999999999998</v>
      </c>
      <c r="Y1171">
        <v>4.8</v>
      </c>
      <c r="Z1171">
        <v>1.8259000000000001</v>
      </c>
      <c r="AG1171">
        <v>1.4794</v>
      </c>
      <c r="AI1171">
        <v>1.4946999999999999</v>
      </c>
      <c r="BH1171" t="s">
        <v>126</v>
      </c>
      <c r="BI1171" t="s">
        <v>126</v>
      </c>
      <c r="BJ1171" t="s">
        <v>126</v>
      </c>
      <c r="BK1171" t="s">
        <v>126</v>
      </c>
      <c r="BS1171" t="s">
        <v>126</v>
      </c>
      <c r="BT1171" t="s">
        <v>126</v>
      </c>
      <c r="BU1171" t="s">
        <v>126</v>
      </c>
      <c r="BV1171" t="s">
        <v>126</v>
      </c>
      <c r="CN1171" t="s">
        <v>147</v>
      </c>
      <c r="CP1171" t="s">
        <v>140</v>
      </c>
      <c r="CQ1171" t="s">
        <v>147</v>
      </c>
    </row>
    <row r="1172" spans="1:95" x14ac:dyDescent="0.2">
      <c r="A1172" t="s">
        <v>115</v>
      </c>
      <c r="B1172" t="s">
        <v>116</v>
      </c>
      <c r="C1172">
        <v>210784</v>
      </c>
      <c r="E1172" t="s">
        <v>117</v>
      </c>
      <c r="F1172">
        <v>368</v>
      </c>
      <c r="G1172" t="s">
        <v>141</v>
      </c>
      <c r="H1172" t="s">
        <v>142</v>
      </c>
      <c r="I1172" t="s">
        <v>279</v>
      </c>
      <c r="J1172" t="s">
        <v>280</v>
      </c>
      <c r="L1172" t="s">
        <v>803</v>
      </c>
      <c r="M1172" s="8">
        <v>46082</v>
      </c>
      <c r="N1172">
        <v>5899386</v>
      </c>
      <c r="O1172" t="s">
        <v>123</v>
      </c>
      <c r="P1172" t="s">
        <v>146</v>
      </c>
      <c r="Q1172">
        <v>4.6901000000000002</v>
      </c>
      <c r="R1172" t="s">
        <v>559</v>
      </c>
      <c r="S1172" t="s">
        <v>126</v>
      </c>
      <c r="T1172" t="s">
        <v>559</v>
      </c>
      <c r="U1172" t="s">
        <v>560</v>
      </c>
      <c r="W1172">
        <v>1.4455</v>
      </c>
      <c r="X1172">
        <v>3.2446000000000002</v>
      </c>
      <c r="Y1172">
        <v>4.6901000000000002</v>
      </c>
      <c r="Z1172">
        <v>1.7841</v>
      </c>
      <c r="AG1172">
        <v>1.4455</v>
      </c>
      <c r="AI1172">
        <v>1.4604999999999999</v>
      </c>
      <c r="BH1172" t="s">
        <v>126</v>
      </c>
      <c r="BI1172" t="s">
        <v>126</v>
      </c>
      <c r="BJ1172" t="s">
        <v>126</v>
      </c>
      <c r="BK1172" t="s">
        <v>126</v>
      </c>
      <c r="BS1172" t="s">
        <v>126</v>
      </c>
      <c r="BT1172" t="s">
        <v>126</v>
      </c>
      <c r="BU1172" t="s">
        <v>126</v>
      </c>
      <c r="BV1172" t="s">
        <v>126</v>
      </c>
      <c r="CN1172" t="s">
        <v>147</v>
      </c>
      <c r="CP1172" t="s">
        <v>140</v>
      </c>
      <c r="CQ1172" t="s">
        <v>147</v>
      </c>
    </row>
    <row r="1173" spans="1:95" x14ac:dyDescent="0.2">
      <c r="A1173" t="s">
        <v>115</v>
      </c>
      <c r="B1173" t="s">
        <v>116</v>
      </c>
      <c r="C1173">
        <v>210784</v>
      </c>
      <c r="E1173" t="s">
        <v>117</v>
      </c>
      <c r="F1173">
        <v>368</v>
      </c>
      <c r="G1173" t="s">
        <v>141</v>
      </c>
      <c r="H1173" t="s">
        <v>142</v>
      </c>
      <c r="I1173" t="s">
        <v>279</v>
      </c>
      <c r="J1173" t="s">
        <v>280</v>
      </c>
      <c r="L1173" t="s">
        <v>804</v>
      </c>
      <c r="M1173" s="8">
        <v>46082</v>
      </c>
      <c r="N1173">
        <v>5900037</v>
      </c>
      <c r="O1173" t="s">
        <v>123</v>
      </c>
      <c r="P1173" t="s">
        <v>146</v>
      </c>
      <c r="Q1173">
        <v>1.0299</v>
      </c>
      <c r="R1173" t="s">
        <v>559</v>
      </c>
      <c r="S1173" t="s">
        <v>126</v>
      </c>
      <c r="T1173" t="s">
        <v>559</v>
      </c>
      <c r="U1173" t="s">
        <v>560</v>
      </c>
      <c r="W1173">
        <v>0.31740000000000002</v>
      </c>
      <c r="X1173">
        <v>0.71249999999999991</v>
      </c>
      <c r="Y1173">
        <v>1.0299</v>
      </c>
      <c r="Z1173">
        <v>0.39179999999999998</v>
      </c>
      <c r="AG1173">
        <v>0.31740000000000002</v>
      </c>
      <c r="AI1173">
        <v>0.32069999999999999</v>
      </c>
      <c r="BH1173" t="s">
        <v>126</v>
      </c>
      <c r="BI1173" t="s">
        <v>126</v>
      </c>
      <c r="BJ1173" t="s">
        <v>126</v>
      </c>
      <c r="BK1173" t="s">
        <v>126</v>
      </c>
      <c r="BS1173" t="s">
        <v>126</v>
      </c>
      <c r="BT1173" t="s">
        <v>126</v>
      </c>
      <c r="BU1173" t="s">
        <v>126</v>
      </c>
      <c r="BV1173" t="s">
        <v>126</v>
      </c>
      <c r="CN1173" t="s">
        <v>147</v>
      </c>
      <c r="CP1173" t="s">
        <v>140</v>
      </c>
      <c r="CQ1173" t="s">
        <v>147</v>
      </c>
    </row>
    <row r="1174" spans="1:95" x14ac:dyDescent="0.2">
      <c r="A1174" t="s">
        <v>115</v>
      </c>
      <c r="B1174" t="s">
        <v>116</v>
      </c>
      <c r="C1174">
        <v>210784</v>
      </c>
      <c r="E1174" t="s">
        <v>117</v>
      </c>
      <c r="F1174">
        <v>368</v>
      </c>
      <c r="G1174" t="s">
        <v>141</v>
      </c>
      <c r="H1174" t="s">
        <v>142</v>
      </c>
      <c r="I1174" t="s">
        <v>279</v>
      </c>
      <c r="J1174" t="s">
        <v>280</v>
      </c>
      <c r="L1174" t="s">
        <v>805</v>
      </c>
      <c r="M1174" s="8">
        <v>46082</v>
      </c>
      <c r="N1174">
        <v>5901116</v>
      </c>
      <c r="O1174" t="s">
        <v>123</v>
      </c>
      <c r="P1174" t="s">
        <v>146</v>
      </c>
      <c r="Q1174">
        <v>1.4000999999999999</v>
      </c>
      <c r="R1174" t="s">
        <v>559</v>
      </c>
      <c r="S1174" t="s">
        <v>126</v>
      </c>
      <c r="T1174" t="s">
        <v>559</v>
      </c>
      <c r="U1174" t="s">
        <v>560</v>
      </c>
      <c r="W1174">
        <v>0.43149999999999999</v>
      </c>
      <c r="X1174">
        <v>0.96859999999999991</v>
      </c>
      <c r="Y1174">
        <v>1.4000999999999999</v>
      </c>
      <c r="Z1174">
        <v>0.53259999999999996</v>
      </c>
      <c r="AG1174">
        <v>0.43149999999999999</v>
      </c>
      <c r="AI1174">
        <v>0.436</v>
      </c>
      <c r="BH1174" t="s">
        <v>126</v>
      </c>
      <c r="BI1174" t="s">
        <v>126</v>
      </c>
      <c r="BJ1174" t="s">
        <v>126</v>
      </c>
      <c r="BK1174" t="s">
        <v>126</v>
      </c>
      <c r="BS1174" t="s">
        <v>126</v>
      </c>
      <c r="BT1174" t="s">
        <v>126</v>
      </c>
      <c r="BU1174" t="s">
        <v>126</v>
      </c>
      <c r="BV1174" t="s">
        <v>126</v>
      </c>
      <c r="CN1174" t="s">
        <v>147</v>
      </c>
      <c r="CP1174" t="s">
        <v>140</v>
      </c>
      <c r="CQ1174" t="s">
        <v>147</v>
      </c>
    </row>
    <row r="1175" spans="1:95" x14ac:dyDescent="0.2">
      <c r="A1175" t="s">
        <v>115</v>
      </c>
      <c r="B1175" t="s">
        <v>116</v>
      </c>
      <c r="C1175">
        <v>210784</v>
      </c>
      <c r="E1175" t="s">
        <v>117</v>
      </c>
      <c r="F1175">
        <v>368</v>
      </c>
      <c r="G1175" t="s">
        <v>141</v>
      </c>
      <c r="H1175" t="s">
        <v>142</v>
      </c>
      <c r="I1175" t="s">
        <v>279</v>
      </c>
      <c r="J1175" t="s">
        <v>280</v>
      </c>
      <c r="L1175" t="s">
        <v>806</v>
      </c>
      <c r="M1175" s="8">
        <v>46082</v>
      </c>
      <c r="N1175">
        <v>5901741</v>
      </c>
      <c r="O1175" t="s">
        <v>123</v>
      </c>
      <c r="P1175" t="s">
        <v>146</v>
      </c>
      <c r="Q1175">
        <v>0.84999999999999987</v>
      </c>
      <c r="R1175" t="s">
        <v>559</v>
      </c>
      <c r="S1175" t="s">
        <v>126</v>
      </c>
      <c r="T1175" t="s">
        <v>559</v>
      </c>
      <c r="U1175" t="s">
        <v>560</v>
      </c>
      <c r="W1175">
        <v>0.26200000000000001</v>
      </c>
      <c r="X1175">
        <v>0.58799999999999997</v>
      </c>
      <c r="Y1175">
        <v>0.84999999999999987</v>
      </c>
      <c r="Z1175">
        <v>0.32329999999999998</v>
      </c>
      <c r="AG1175">
        <v>0.26200000000000001</v>
      </c>
      <c r="AI1175">
        <v>0.26469999999999999</v>
      </c>
      <c r="BH1175" t="s">
        <v>126</v>
      </c>
      <c r="BI1175" t="s">
        <v>126</v>
      </c>
      <c r="BJ1175" t="s">
        <v>126</v>
      </c>
      <c r="BK1175" t="s">
        <v>126</v>
      </c>
      <c r="BS1175" t="s">
        <v>126</v>
      </c>
      <c r="BT1175" t="s">
        <v>126</v>
      </c>
      <c r="BU1175" t="s">
        <v>126</v>
      </c>
      <c r="BV1175" t="s">
        <v>126</v>
      </c>
      <c r="CN1175" t="s">
        <v>147</v>
      </c>
      <c r="CP1175" t="s">
        <v>140</v>
      </c>
      <c r="CQ1175" t="s">
        <v>147</v>
      </c>
    </row>
    <row r="1176" spans="1:95" x14ac:dyDescent="0.2">
      <c r="A1176" t="s">
        <v>115</v>
      </c>
      <c r="B1176" t="s">
        <v>116</v>
      </c>
      <c r="C1176">
        <v>210784</v>
      </c>
      <c r="E1176" t="s">
        <v>117</v>
      </c>
      <c r="F1176">
        <v>368</v>
      </c>
      <c r="G1176" t="s">
        <v>141</v>
      </c>
      <c r="H1176" t="s">
        <v>142</v>
      </c>
      <c r="I1176" t="s">
        <v>279</v>
      </c>
      <c r="J1176" t="s">
        <v>280</v>
      </c>
      <c r="L1176" t="s">
        <v>807</v>
      </c>
      <c r="M1176" s="8">
        <v>46082</v>
      </c>
      <c r="N1176">
        <v>5902930</v>
      </c>
      <c r="O1176" t="s">
        <v>123</v>
      </c>
      <c r="P1176" t="s">
        <v>146</v>
      </c>
      <c r="Q1176">
        <v>3.38</v>
      </c>
      <c r="R1176" t="s">
        <v>559</v>
      </c>
      <c r="S1176" t="s">
        <v>126</v>
      </c>
      <c r="T1176" t="s">
        <v>559</v>
      </c>
      <c r="U1176" t="s">
        <v>560</v>
      </c>
      <c r="W1176">
        <v>1.0417000000000001</v>
      </c>
      <c r="X1176">
        <v>2.3383000000000003</v>
      </c>
      <c r="Y1176">
        <v>3.38</v>
      </c>
      <c r="Z1176">
        <v>1.2858000000000001</v>
      </c>
      <c r="AG1176">
        <v>1.0417000000000001</v>
      </c>
      <c r="AI1176">
        <v>1.0525</v>
      </c>
      <c r="BH1176" t="s">
        <v>126</v>
      </c>
      <c r="BI1176" t="s">
        <v>126</v>
      </c>
      <c r="BJ1176" t="s">
        <v>126</v>
      </c>
      <c r="BK1176" t="s">
        <v>126</v>
      </c>
      <c r="BS1176" t="s">
        <v>126</v>
      </c>
      <c r="BT1176" t="s">
        <v>126</v>
      </c>
      <c r="BU1176" t="s">
        <v>126</v>
      </c>
      <c r="BV1176" t="s">
        <v>126</v>
      </c>
      <c r="CN1176" t="s">
        <v>147</v>
      </c>
      <c r="CP1176" t="s">
        <v>140</v>
      </c>
      <c r="CQ1176" t="s">
        <v>147</v>
      </c>
    </row>
    <row r="1177" spans="1:95" x14ac:dyDescent="0.2">
      <c r="A1177" t="s">
        <v>115</v>
      </c>
      <c r="B1177" t="s">
        <v>116</v>
      </c>
      <c r="C1177">
        <v>210784</v>
      </c>
      <c r="E1177" t="s">
        <v>117</v>
      </c>
      <c r="F1177">
        <v>368</v>
      </c>
      <c r="G1177" t="s">
        <v>141</v>
      </c>
      <c r="H1177" t="s">
        <v>142</v>
      </c>
      <c r="I1177" t="s">
        <v>279</v>
      </c>
      <c r="J1177" t="s">
        <v>280</v>
      </c>
      <c r="L1177" t="s">
        <v>808</v>
      </c>
      <c r="M1177" s="8">
        <v>46082</v>
      </c>
      <c r="N1177">
        <v>5903940</v>
      </c>
      <c r="O1177" t="s">
        <v>123</v>
      </c>
      <c r="P1177" t="s">
        <v>146</v>
      </c>
      <c r="Q1177">
        <v>4.1801000000000004</v>
      </c>
      <c r="R1177" t="s">
        <v>559</v>
      </c>
      <c r="S1177" t="s">
        <v>126</v>
      </c>
      <c r="T1177" t="s">
        <v>559</v>
      </c>
      <c r="U1177" t="s">
        <v>560</v>
      </c>
      <c r="W1177">
        <v>1.2883</v>
      </c>
      <c r="X1177">
        <v>2.8917999999999999</v>
      </c>
      <c r="Y1177">
        <v>4.1801000000000004</v>
      </c>
      <c r="Z1177">
        <v>1.5901000000000001</v>
      </c>
      <c r="AG1177">
        <v>1.2883</v>
      </c>
      <c r="AI1177">
        <v>1.3017000000000001</v>
      </c>
      <c r="BH1177" t="s">
        <v>126</v>
      </c>
      <c r="BI1177" t="s">
        <v>126</v>
      </c>
      <c r="BJ1177" t="s">
        <v>126</v>
      </c>
      <c r="BK1177" t="s">
        <v>126</v>
      </c>
      <c r="BS1177" t="s">
        <v>126</v>
      </c>
      <c r="BT1177" t="s">
        <v>126</v>
      </c>
      <c r="BU1177" t="s">
        <v>126</v>
      </c>
      <c r="BV1177" t="s">
        <v>126</v>
      </c>
      <c r="CN1177" t="s">
        <v>147</v>
      </c>
      <c r="CP1177" t="s">
        <v>140</v>
      </c>
      <c r="CQ1177" t="s">
        <v>147</v>
      </c>
    </row>
    <row r="1178" spans="1:95" x14ac:dyDescent="0.2">
      <c r="A1178" t="s">
        <v>115</v>
      </c>
      <c r="B1178" t="s">
        <v>116</v>
      </c>
      <c r="C1178">
        <v>210784</v>
      </c>
      <c r="E1178" t="s">
        <v>117</v>
      </c>
      <c r="F1178">
        <v>368</v>
      </c>
      <c r="G1178" t="s">
        <v>141</v>
      </c>
      <c r="H1178" t="s">
        <v>142</v>
      </c>
      <c r="I1178" t="s">
        <v>279</v>
      </c>
      <c r="J1178" t="s">
        <v>280</v>
      </c>
      <c r="L1178" t="s">
        <v>809</v>
      </c>
      <c r="M1178" s="8">
        <v>46082</v>
      </c>
      <c r="N1178">
        <v>5904536</v>
      </c>
      <c r="O1178" t="s">
        <v>123</v>
      </c>
      <c r="P1178" t="s">
        <v>146</v>
      </c>
      <c r="Q1178">
        <v>2.79</v>
      </c>
      <c r="R1178" t="s">
        <v>559</v>
      </c>
      <c r="S1178" t="s">
        <v>126</v>
      </c>
      <c r="T1178" t="s">
        <v>559</v>
      </c>
      <c r="U1178" t="s">
        <v>560</v>
      </c>
      <c r="W1178">
        <v>0.8599</v>
      </c>
      <c r="X1178">
        <v>1.9300999999999999</v>
      </c>
      <c r="Y1178">
        <v>2.79</v>
      </c>
      <c r="Z1178">
        <v>1.0612999999999999</v>
      </c>
      <c r="AG1178">
        <v>0.8599</v>
      </c>
      <c r="AI1178">
        <v>0.86880000000000002</v>
      </c>
      <c r="BH1178" t="s">
        <v>126</v>
      </c>
      <c r="BI1178" t="s">
        <v>126</v>
      </c>
      <c r="BJ1178" t="s">
        <v>126</v>
      </c>
      <c r="BK1178" t="s">
        <v>126</v>
      </c>
      <c r="BS1178" t="s">
        <v>126</v>
      </c>
      <c r="BT1178" t="s">
        <v>126</v>
      </c>
      <c r="BU1178" t="s">
        <v>126</v>
      </c>
      <c r="BV1178" t="s">
        <v>126</v>
      </c>
      <c r="CN1178" t="s">
        <v>147</v>
      </c>
      <c r="CP1178" t="s">
        <v>140</v>
      </c>
      <c r="CQ1178" t="s">
        <v>147</v>
      </c>
    </row>
    <row r="1179" spans="1:95" x14ac:dyDescent="0.2">
      <c r="A1179" t="s">
        <v>115</v>
      </c>
      <c r="B1179" t="s">
        <v>116</v>
      </c>
      <c r="C1179">
        <v>210784</v>
      </c>
      <c r="E1179" t="s">
        <v>117</v>
      </c>
      <c r="F1179">
        <v>368</v>
      </c>
      <c r="G1179" t="s">
        <v>141</v>
      </c>
      <c r="H1179" t="s">
        <v>142</v>
      </c>
      <c r="I1179" t="s">
        <v>279</v>
      </c>
      <c r="J1179" t="s">
        <v>280</v>
      </c>
      <c r="L1179" t="s">
        <v>810</v>
      </c>
      <c r="M1179" s="8">
        <v>46082</v>
      </c>
      <c r="N1179">
        <v>5906730</v>
      </c>
      <c r="O1179" t="s">
        <v>123</v>
      </c>
      <c r="P1179" t="s">
        <v>146</v>
      </c>
      <c r="Q1179">
        <v>0.48</v>
      </c>
      <c r="R1179" t="s">
        <v>610</v>
      </c>
      <c r="S1179" t="s">
        <v>126</v>
      </c>
      <c r="T1179" t="s">
        <v>610</v>
      </c>
      <c r="U1179" t="s">
        <v>611</v>
      </c>
      <c r="W1179">
        <v>0.1479</v>
      </c>
      <c r="X1179">
        <v>0.33210000000000001</v>
      </c>
      <c r="Y1179">
        <v>0.48</v>
      </c>
      <c r="Z1179">
        <v>0.18260000000000001</v>
      </c>
      <c r="AG1179">
        <v>0.1479</v>
      </c>
      <c r="AI1179">
        <v>0.14949999999999999</v>
      </c>
      <c r="BH1179" t="s">
        <v>126</v>
      </c>
      <c r="BI1179" t="s">
        <v>126</v>
      </c>
      <c r="BJ1179" t="s">
        <v>126</v>
      </c>
      <c r="BK1179" t="s">
        <v>126</v>
      </c>
      <c r="BS1179" t="s">
        <v>126</v>
      </c>
      <c r="BT1179" t="s">
        <v>126</v>
      </c>
      <c r="BU1179" t="s">
        <v>126</v>
      </c>
      <c r="BV1179" t="s">
        <v>126</v>
      </c>
      <c r="CN1179" t="s">
        <v>147</v>
      </c>
      <c r="CP1179" t="s">
        <v>310</v>
      </c>
      <c r="CQ1179" t="s">
        <v>147</v>
      </c>
    </row>
    <row r="1180" spans="1:95" x14ac:dyDescent="0.2">
      <c r="A1180" t="s">
        <v>115</v>
      </c>
      <c r="B1180" t="s">
        <v>116</v>
      </c>
      <c r="C1180">
        <v>210784</v>
      </c>
      <c r="E1180" t="s">
        <v>117</v>
      </c>
      <c r="F1180">
        <v>368</v>
      </c>
      <c r="G1180" t="s">
        <v>141</v>
      </c>
      <c r="H1180" t="s">
        <v>142</v>
      </c>
      <c r="I1180" t="s">
        <v>279</v>
      </c>
      <c r="J1180" t="s">
        <v>280</v>
      </c>
      <c r="L1180" t="s">
        <v>913</v>
      </c>
      <c r="M1180" s="8">
        <v>46082</v>
      </c>
      <c r="N1180">
        <v>5895935</v>
      </c>
      <c r="O1180" t="s">
        <v>123</v>
      </c>
      <c r="P1180" t="s">
        <v>146</v>
      </c>
      <c r="Q1180">
        <v>3.82</v>
      </c>
      <c r="R1180" t="s">
        <v>125</v>
      </c>
      <c r="S1180" t="s">
        <v>126</v>
      </c>
      <c r="T1180" t="s">
        <v>125</v>
      </c>
      <c r="U1180" t="s">
        <v>126</v>
      </c>
      <c r="W1180">
        <v>3.82</v>
      </c>
      <c r="Y1180">
        <v>3.82</v>
      </c>
      <c r="BE1180">
        <v>3.82</v>
      </c>
      <c r="BH1180" t="s">
        <v>126</v>
      </c>
      <c r="BI1180" t="s">
        <v>126</v>
      </c>
      <c r="BJ1180" t="s">
        <v>126</v>
      </c>
      <c r="BK1180" t="s">
        <v>126</v>
      </c>
      <c r="BS1180" t="s">
        <v>126</v>
      </c>
      <c r="BT1180" t="s">
        <v>126</v>
      </c>
      <c r="BU1180" t="s">
        <v>126</v>
      </c>
      <c r="BV1180" t="s">
        <v>126</v>
      </c>
      <c r="CN1180" t="s">
        <v>147</v>
      </c>
      <c r="CP1180" t="s">
        <v>140</v>
      </c>
      <c r="CQ1180" t="s">
        <v>147</v>
      </c>
    </row>
    <row r="1181" spans="1:95" x14ac:dyDescent="0.2">
      <c r="A1181" t="s">
        <v>115</v>
      </c>
      <c r="B1181" t="s">
        <v>116</v>
      </c>
      <c r="C1181">
        <v>210784</v>
      </c>
      <c r="E1181" t="s">
        <v>117</v>
      </c>
      <c r="F1181">
        <v>368</v>
      </c>
      <c r="G1181" t="s">
        <v>141</v>
      </c>
      <c r="H1181" t="s">
        <v>142</v>
      </c>
      <c r="I1181" t="s">
        <v>279</v>
      </c>
      <c r="J1181" t="s">
        <v>280</v>
      </c>
      <c r="L1181" t="s">
        <v>914</v>
      </c>
      <c r="M1181" s="8">
        <v>46082</v>
      </c>
      <c r="N1181">
        <v>5904742</v>
      </c>
      <c r="O1181" t="s">
        <v>123</v>
      </c>
      <c r="P1181" t="s">
        <v>146</v>
      </c>
      <c r="Q1181">
        <v>1.53</v>
      </c>
      <c r="R1181" t="s">
        <v>125</v>
      </c>
      <c r="S1181" t="s">
        <v>126</v>
      </c>
      <c r="T1181" t="s">
        <v>125</v>
      </c>
      <c r="U1181" t="s">
        <v>126</v>
      </c>
      <c r="W1181">
        <v>1.53</v>
      </c>
      <c r="Y1181">
        <v>1.53</v>
      </c>
      <c r="BE1181">
        <v>1.53</v>
      </c>
      <c r="BH1181" t="s">
        <v>126</v>
      </c>
      <c r="BI1181" t="s">
        <v>126</v>
      </c>
      <c r="BJ1181" t="s">
        <v>126</v>
      </c>
      <c r="BK1181" t="s">
        <v>126</v>
      </c>
      <c r="BS1181" t="s">
        <v>126</v>
      </c>
      <c r="BT1181" t="s">
        <v>126</v>
      </c>
      <c r="BU1181" t="s">
        <v>126</v>
      </c>
      <c r="BV1181" t="s">
        <v>126</v>
      </c>
      <c r="CN1181" t="s">
        <v>147</v>
      </c>
      <c r="CP1181" t="s">
        <v>140</v>
      </c>
      <c r="CQ1181" t="s">
        <v>147</v>
      </c>
    </row>
    <row r="1182" spans="1:95" x14ac:dyDescent="0.2">
      <c r="A1182" t="s">
        <v>115</v>
      </c>
      <c r="B1182" t="s">
        <v>116</v>
      </c>
      <c r="C1182">
        <v>210784</v>
      </c>
      <c r="E1182" t="s">
        <v>117</v>
      </c>
      <c r="F1182">
        <v>368</v>
      </c>
      <c r="G1182" t="s">
        <v>141</v>
      </c>
      <c r="H1182" t="s">
        <v>142</v>
      </c>
      <c r="I1182" t="s">
        <v>279</v>
      </c>
      <c r="J1182" t="s">
        <v>280</v>
      </c>
      <c r="L1182" t="s">
        <v>915</v>
      </c>
      <c r="M1182" s="8">
        <v>46082</v>
      </c>
      <c r="N1182">
        <v>5907806</v>
      </c>
      <c r="O1182" t="s">
        <v>123</v>
      </c>
      <c r="P1182" t="s">
        <v>146</v>
      </c>
      <c r="Q1182">
        <v>1.1000000000000001</v>
      </c>
      <c r="R1182" t="s">
        <v>125</v>
      </c>
      <c r="S1182" t="s">
        <v>126</v>
      </c>
      <c r="T1182" t="s">
        <v>125</v>
      </c>
      <c r="U1182" t="s">
        <v>126</v>
      </c>
      <c r="W1182">
        <v>1.1000000000000001</v>
      </c>
      <c r="Y1182">
        <v>1.1000000000000001</v>
      </c>
      <c r="BE1182">
        <v>1.1000000000000001</v>
      </c>
      <c r="BH1182" t="s">
        <v>126</v>
      </c>
      <c r="BI1182" t="s">
        <v>126</v>
      </c>
      <c r="BJ1182" t="s">
        <v>126</v>
      </c>
      <c r="BK1182" t="s">
        <v>126</v>
      </c>
      <c r="BS1182" t="s">
        <v>126</v>
      </c>
      <c r="BT1182" t="s">
        <v>126</v>
      </c>
      <c r="BU1182" t="s">
        <v>126</v>
      </c>
      <c r="BV1182" t="s">
        <v>126</v>
      </c>
      <c r="CN1182" t="s">
        <v>147</v>
      </c>
      <c r="CP1182" t="s">
        <v>310</v>
      </c>
      <c r="CQ1182" t="s">
        <v>147</v>
      </c>
    </row>
    <row r="1183" spans="1:95" x14ac:dyDescent="0.2">
      <c r="A1183" t="s">
        <v>115</v>
      </c>
      <c r="B1183" t="s">
        <v>116</v>
      </c>
      <c r="C1183">
        <v>210784</v>
      </c>
      <c r="E1183" t="s">
        <v>117</v>
      </c>
      <c r="F1183">
        <v>368</v>
      </c>
      <c r="G1183" t="s">
        <v>141</v>
      </c>
      <c r="H1183" t="s">
        <v>142</v>
      </c>
      <c r="I1183" t="s">
        <v>279</v>
      </c>
      <c r="J1183" t="s">
        <v>280</v>
      </c>
      <c r="L1183" t="s">
        <v>811</v>
      </c>
      <c r="M1183" s="8">
        <v>46113</v>
      </c>
      <c r="N1183">
        <v>5910640</v>
      </c>
      <c r="O1183" t="s">
        <v>123</v>
      </c>
      <c r="P1183" t="s">
        <v>146</v>
      </c>
      <c r="Q1183">
        <v>1.5899000000000001</v>
      </c>
      <c r="R1183" t="s">
        <v>559</v>
      </c>
      <c r="S1183" t="s">
        <v>126</v>
      </c>
      <c r="T1183" t="s">
        <v>559</v>
      </c>
      <c r="U1183" t="s">
        <v>560</v>
      </c>
      <c r="W1183">
        <v>0.49</v>
      </c>
      <c r="X1183">
        <v>1.0998999999999999</v>
      </c>
      <c r="Y1183">
        <v>1.5899000000000001</v>
      </c>
      <c r="Z1183">
        <v>0.6048</v>
      </c>
      <c r="AG1183">
        <v>0.49</v>
      </c>
      <c r="AI1183">
        <v>0.49509999999999998</v>
      </c>
      <c r="BH1183" t="s">
        <v>126</v>
      </c>
      <c r="BI1183" t="s">
        <v>126</v>
      </c>
      <c r="BJ1183" t="s">
        <v>126</v>
      </c>
      <c r="BK1183" t="s">
        <v>126</v>
      </c>
      <c r="BS1183" t="s">
        <v>126</v>
      </c>
      <c r="BT1183" t="s">
        <v>126</v>
      </c>
      <c r="BU1183" t="s">
        <v>126</v>
      </c>
      <c r="BV1183" t="s">
        <v>126</v>
      </c>
      <c r="CN1183" t="s">
        <v>147</v>
      </c>
      <c r="CP1183" t="s">
        <v>310</v>
      </c>
      <c r="CQ1183" t="s">
        <v>147</v>
      </c>
    </row>
    <row r="1184" spans="1:95" x14ac:dyDescent="0.2">
      <c r="A1184" t="s">
        <v>115</v>
      </c>
      <c r="B1184" t="s">
        <v>116</v>
      </c>
      <c r="C1184">
        <v>210784</v>
      </c>
      <c r="E1184" t="s">
        <v>117</v>
      </c>
      <c r="F1184">
        <v>368</v>
      </c>
      <c r="G1184" t="s">
        <v>141</v>
      </c>
      <c r="H1184" t="s">
        <v>142</v>
      </c>
      <c r="I1184" t="s">
        <v>279</v>
      </c>
      <c r="J1184" t="s">
        <v>280</v>
      </c>
      <c r="L1184" t="s">
        <v>812</v>
      </c>
      <c r="M1184" s="8">
        <v>46113</v>
      </c>
      <c r="N1184">
        <v>5912334</v>
      </c>
      <c r="O1184" t="s">
        <v>123</v>
      </c>
      <c r="P1184" t="s">
        <v>146</v>
      </c>
      <c r="Q1184">
        <v>2.17</v>
      </c>
      <c r="R1184" t="s">
        <v>559</v>
      </c>
      <c r="S1184" t="s">
        <v>126</v>
      </c>
      <c r="T1184" t="s">
        <v>559</v>
      </c>
      <c r="U1184" t="s">
        <v>560</v>
      </c>
      <c r="W1184">
        <v>0.66879999999999995</v>
      </c>
      <c r="X1184">
        <v>1.5011999999999999</v>
      </c>
      <c r="Y1184">
        <v>2.17</v>
      </c>
      <c r="Z1184">
        <v>0.82550000000000001</v>
      </c>
      <c r="AG1184">
        <v>0.66879999999999995</v>
      </c>
      <c r="AI1184">
        <v>0.67569999999999997</v>
      </c>
      <c r="BH1184" t="s">
        <v>126</v>
      </c>
      <c r="BI1184" t="s">
        <v>126</v>
      </c>
      <c r="BJ1184" t="s">
        <v>126</v>
      </c>
      <c r="BK1184" t="s">
        <v>126</v>
      </c>
      <c r="BS1184" t="s">
        <v>126</v>
      </c>
      <c r="BT1184" t="s">
        <v>126</v>
      </c>
      <c r="BU1184" t="s">
        <v>126</v>
      </c>
      <c r="BV1184" t="s">
        <v>126</v>
      </c>
      <c r="CN1184" t="s">
        <v>147</v>
      </c>
      <c r="CP1184" t="s">
        <v>310</v>
      </c>
      <c r="CQ1184" t="s">
        <v>147</v>
      </c>
    </row>
    <row r="1185" spans="1:95" x14ac:dyDescent="0.2">
      <c r="A1185" t="s">
        <v>115</v>
      </c>
      <c r="B1185" t="s">
        <v>116</v>
      </c>
      <c r="C1185">
        <v>210784</v>
      </c>
      <c r="E1185" t="s">
        <v>117</v>
      </c>
      <c r="F1185">
        <v>368</v>
      </c>
      <c r="G1185" t="s">
        <v>141</v>
      </c>
      <c r="H1185" t="s">
        <v>142</v>
      </c>
      <c r="I1185" t="s">
        <v>279</v>
      </c>
      <c r="J1185" t="s">
        <v>280</v>
      </c>
      <c r="L1185" t="s">
        <v>813</v>
      </c>
      <c r="M1185" s="8">
        <v>46113</v>
      </c>
      <c r="N1185">
        <v>5914156</v>
      </c>
      <c r="O1185" t="s">
        <v>123</v>
      </c>
      <c r="P1185" t="s">
        <v>146</v>
      </c>
      <c r="Q1185">
        <v>1.6400000000000001</v>
      </c>
      <c r="R1185" t="s">
        <v>559</v>
      </c>
      <c r="S1185" t="s">
        <v>126</v>
      </c>
      <c r="T1185" t="s">
        <v>559</v>
      </c>
      <c r="U1185" t="s">
        <v>560</v>
      </c>
      <c r="W1185">
        <v>0.50539999999999996</v>
      </c>
      <c r="X1185">
        <v>1.1346000000000001</v>
      </c>
      <c r="Y1185">
        <v>1.6400000000000001</v>
      </c>
      <c r="Z1185">
        <v>0.62390000000000001</v>
      </c>
      <c r="AG1185">
        <v>0.50539999999999996</v>
      </c>
      <c r="AI1185">
        <v>0.51070000000000004</v>
      </c>
      <c r="BH1185" t="s">
        <v>126</v>
      </c>
      <c r="BI1185" t="s">
        <v>126</v>
      </c>
      <c r="BJ1185" t="s">
        <v>126</v>
      </c>
      <c r="BK1185" t="s">
        <v>126</v>
      </c>
      <c r="BS1185" t="s">
        <v>126</v>
      </c>
      <c r="BT1185" t="s">
        <v>126</v>
      </c>
      <c r="BU1185" t="s">
        <v>126</v>
      </c>
      <c r="BV1185" t="s">
        <v>126</v>
      </c>
      <c r="CN1185" t="s">
        <v>147</v>
      </c>
      <c r="CP1185" t="s">
        <v>310</v>
      </c>
      <c r="CQ1185" t="s">
        <v>147</v>
      </c>
    </row>
    <row r="1186" spans="1:95" x14ac:dyDescent="0.2">
      <c r="A1186" t="s">
        <v>115</v>
      </c>
      <c r="B1186" t="s">
        <v>116</v>
      </c>
      <c r="C1186">
        <v>210784</v>
      </c>
      <c r="E1186" t="s">
        <v>117</v>
      </c>
      <c r="F1186">
        <v>368</v>
      </c>
      <c r="G1186" t="s">
        <v>141</v>
      </c>
      <c r="H1186" t="s">
        <v>142</v>
      </c>
      <c r="I1186" t="s">
        <v>279</v>
      </c>
      <c r="J1186" t="s">
        <v>280</v>
      </c>
      <c r="L1186" t="s">
        <v>814</v>
      </c>
      <c r="M1186" s="8">
        <v>46113</v>
      </c>
      <c r="N1186">
        <v>5916699</v>
      </c>
      <c r="O1186" t="s">
        <v>123</v>
      </c>
      <c r="P1186" t="s">
        <v>146</v>
      </c>
      <c r="Q1186">
        <v>3.9299999999999997</v>
      </c>
      <c r="R1186" t="s">
        <v>559</v>
      </c>
      <c r="S1186" t="s">
        <v>126</v>
      </c>
      <c r="T1186" t="s">
        <v>559</v>
      </c>
      <c r="U1186" t="s">
        <v>560</v>
      </c>
      <c r="W1186">
        <v>1.2112000000000001</v>
      </c>
      <c r="X1186">
        <v>2.7187999999999999</v>
      </c>
      <c r="Y1186">
        <v>3.9299999999999997</v>
      </c>
      <c r="Z1186">
        <v>1.4950000000000001</v>
      </c>
      <c r="AG1186">
        <v>1.2112000000000001</v>
      </c>
      <c r="AI1186">
        <v>1.2238</v>
      </c>
      <c r="BH1186" t="s">
        <v>126</v>
      </c>
      <c r="BI1186" t="s">
        <v>126</v>
      </c>
      <c r="BJ1186" t="s">
        <v>126</v>
      </c>
      <c r="BK1186" t="s">
        <v>126</v>
      </c>
      <c r="BS1186" t="s">
        <v>126</v>
      </c>
      <c r="BT1186" t="s">
        <v>126</v>
      </c>
      <c r="BU1186" t="s">
        <v>126</v>
      </c>
      <c r="BV1186" t="s">
        <v>126</v>
      </c>
      <c r="CN1186" t="s">
        <v>147</v>
      </c>
      <c r="CP1186" t="s">
        <v>310</v>
      </c>
      <c r="CQ1186" t="s">
        <v>147</v>
      </c>
    </row>
    <row r="1187" spans="1:95" x14ac:dyDescent="0.2">
      <c r="A1187" t="s">
        <v>115</v>
      </c>
      <c r="B1187" t="s">
        <v>116</v>
      </c>
      <c r="C1187">
        <v>210784</v>
      </c>
      <c r="E1187" t="s">
        <v>117</v>
      </c>
      <c r="F1187">
        <v>368</v>
      </c>
      <c r="G1187" t="s">
        <v>141</v>
      </c>
      <c r="H1187" t="s">
        <v>142</v>
      </c>
      <c r="I1187" t="s">
        <v>279</v>
      </c>
      <c r="J1187" t="s">
        <v>280</v>
      </c>
      <c r="L1187" t="s">
        <v>815</v>
      </c>
      <c r="M1187" s="8">
        <v>46113</v>
      </c>
      <c r="N1187">
        <v>5921018</v>
      </c>
      <c r="O1187" t="s">
        <v>123</v>
      </c>
      <c r="P1187" t="s">
        <v>146</v>
      </c>
      <c r="Q1187">
        <v>7.57</v>
      </c>
      <c r="R1187" t="s">
        <v>559</v>
      </c>
      <c r="S1187" t="s">
        <v>126</v>
      </c>
      <c r="T1187" t="s">
        <v>559</v>
      </c>
      <c r="U1187" t="s">
        <v>560</v>
      </c>
      <c r="W1187">
        <v>2.3331</v>
      </c>
      <c r="X1187">
        <v>5.2369000000000003</v>
      </c>
      <c r="Y1187">
        <v>7.57</v>
      </c>
      <c r="Z1187">
        <v>2.8795999999999999</v>
      </c>
      <c r="AG1187">
        <v>2.3331</v>
      </c>
      <c r="AI1187">
        <v>2.3573</v>
      </c>
      <c r="BH1187" t="s">
        <v>126</v>
      </c>
      <c r="BI1187" t="s">
        <v>126</v>
      </c>
      <c r="BJ1187" t="s">
        <v>126</v>
      </c>
      <c r="BK1187" t="s">
        <v>126</v>
      </c>
      <c r="BS1187" t="s">
        <v>126</v>
      </c>
      <c r="BT1187" t="s">
        <v>126</v>
      </c>
      <c r="BU1187" t="s">
        <v>126</v>
      </c>
      <c r="BV1187" t="s">
        <v>126</v>
      </c>
      <c r="CN1187" t="s">
        <v>147</v>
      </c>
      <c r="CP1187" t="s">
        <v>310</v>
      </c>
      <c r="CQ1187" t="s">
        <v>147</v>
      </c>
    </row>
    <row r="1188" spans="1:95" x14ac:dyDescent="0.2">
      <c r="A1188" t="s">
        <v>115</v>
      </c>
      <c r="B1188" t="s">
        <v>116</v>
      </c>
      <c r="C1188">
        <v>210784</v>
      </c>
      <c r="E1188" t="s">
        <v>117</v>
      </c>
      <c r="F1188">
        <v>368</v>
      </c>
      <c r="G1188" t="s">
        <v>141</v>
      </c>
      <c r="H1188" t="s">
        <v>142</v>
      </c>
      <c r="I1188" t="s">
        <v>279</v>
      </c>
      <c r="J1188" t="s">
        <v>280</v>
      </c>
      <c r="L1188" t="s">
        <v>527</v>
      </c>
      <c r="M1188" s="8">
        <v>46113</v>
      </c>
      <c r="N1188">
        <v>5920915</v>
      </c>
      <c r="O1188" t="s">
        <v>123</v>
      </c>
      <c r="P1188" t="s">
        <v>146</v>
      </c>
      <c r="Q1188">
        <v>1.4000999999999999</v>
      </c>
      <c r="R1188" t="s">
        <v>559</v>
      </c>
      <c r="S1188" t="s">
        <v>126</v>
      </c>
      <c r="T1188" t="s">
        <v>559</v>
      </c>
      <c r="U1188" t="s">
        <v>560</v>
      </c>
      <c r="W1188">
        <v>0.43149999999999999</v>
      </c>
      <c r="X1188">
        <v>0.96859999999999991</v>
      </c>
      <c r="Y1188">
        <v>1.4000999999999999</v>
      </c>
      <c r="Z1188">
        <v>0.53259999999999996</v>
      </c>
      <c r="AG1188">
        <v>0.43149999999999999</v>
      </c>
      <c r="AI1188">
        <v>0.436</v>
      </c>
      <c r="BH1188" t="s">
        <v>126</v>
      </c>
      <c r="BI1188" t="s">
        <v>126</v>
      </c>
      <c r="BJ1188" t="s">
        <v>126</v>
      </c>
      <c r="BK1188" t="s">
        <v>126</v>
      </c>
      <c r="BS1188" t="s">
        <v>126</v>
      </c>
      <c r="BT1188" t="s">
        <v>126</v>
      </c>
      <c r="BU1188" t="s">
        <v>126</v>
      </c>
      <c r="BV1188" t="s">
        <v>126</v>
      </c>
      <c r="CN1188" t="s">
        <v>147</v>
      </c>
      <c r="CP1188" t="s">
        <v>310</v>
      </c>
      <c r="CQ1188" t="s">
        <v>147</v>
      </c>
    </row>
    <row r="1189" spans="1:95" x14ac:dyDescent="0.2">
      <c r="A1189" t="s">
        <v>115</v>
      </c>
      <c r="B1189" t="s">
        <v>116</v>
      </c>
      <c r="C1189">
        <v>210784</v>
      </c>
      <c r="E1189" t="s">
        <v>117</v>
      </c>
      <c r="F1189">
        <v>368</v>
      </c>
      <c r="G1189" t="s">
        <v>141</v>
      </c>
      <c r="H1189" t="s">
        <v>142</v>
      </c>
      <c r="I1189" t="s">
        <v>279</v>
      </c>
      <c r="J1189" t="s">
        <v>280</v>
      </c>
      <c r="L1189" t="s">
        <v>816</v>
      </c>
      <c r="M1189" s="8">
        <v>46113</v>
      </c>
      <c r="N1189">
        <v>5923079</v>
      </c>
      <c r="O1189" t="s">
        <v>123</v>
      </c>
      <c r="P1189" t="s">
        <v>146</v>
      </c>
      <c r="Q1189">
        <v>4.07</v>
      </c>
      <c r="R1189" t="s">
        <v>559</v>
      </c>
      <c r="S1189" t="s">
        <v>126</v>
      </c>
      <c r="T1189" t="s">
        <v>559</v>
      </c>
      <c r="U1189" t="s">
        <v>560</v>
      </c>
      <c r="W1189">
        <v>1.2544</v>
      </c>
      <c r="X1189">
        <v>2.8155999999999999</v>
      </c>
      <c r="Y1189">
        <v>4.07</v>
      </c>
      <c r="Z1189">
        <v>1.5482</v>
      </c>
      <c r="AG1189">
        <v>1.2544</v>
      </c>
      <c r="AI1189">
        <v>1.2674000000000001</v>
      </c>
      <c r="BH1189" t="s">
        <v>126</v>
      </c>
      <c r="BI1189" t="s">
        <v>126</v>
      </c>
      <c r="BJ1189" t="s">
        <v>126</v>
      </c>
      <c r="BK1189" t="s">
        <v>126</v>
      </c>
      <c r="BS1189" t="s">
        <v>126</v>
      </c>
      <c r="BT1189" t="s">
        <v>126</v>
      </c>
      <c r="BU1189" t="s">
        <v>126</v>
      </c>
      <c r="BV1189" t="s">
        <v>126</v>
      </c>
      <c r="CN1189" t="s">
        <v>147</v>
      </c>
      <c r="CP1189" t="s">
        <v>310</v>
      </c>
      <c r="CQ1189" t="s">
        <v>147</v>
      </c>
    </row>
    <row r="1190" spans="1:95" x14ac:dyDescent="0.2">
      <c r="A1190" t="s">
        <v>115</v>
      </c>
      <c r="B1190" t="s">
        <v>116</v>
      </c>
      <c r="C1190">
        <v>210784</v>
      </c>
      <c r="E1190" t="s">
        <v>117</v>
      </c>
      <c r="F1190">
        <v>368</v>
      </c>
      <c r="G1190" t="s">
        <v>141</v>
      </c>
      <c r="H1190" t="s">
        <v>142</v>
      </c>
      <c r="I1190" t="s">
        <v>279</v>
      </c>
      <c r="J1190" t="s">
        <v>280</v>
      </c>
      <c r="L1190" t="s">
        <v>817</v>
      </c>
      <c r="M1190" s="8">
        <v>46113</v>
      </c>
      <c r="N1190">
        <v>5924839</v>
      </c>
      <c r="O1190" t="s">
        <v>123</v>
      </c>
      <c r="P1190" t="s">
        <v>146</v>
      </c>
      <c r="Q1190">
        <v>1.76</v>
      </c>
      <c r="R1190" t="s">
        <v>559</v>
      </c>
      <c r="S1190" t="s">
        <v>126</v>
      </c>
      <c r="T1190" t="s">
        <v>559</v>
      </c>
      <c r="U1190" t="s">
        <v>560</v>
      </c>
      <c r="W1190">
        <v>0.54239999999999999</v>
      </c>
      <c r="X1190">
        <v>1.2176</v>
      </c>
      <c r="Y1190">
        <v>1.76</v>
      </c>
      <c r="Z1190">
        <v>0.66949999999999998</v>
      </c>
      <c r="AG1190">
        <v>0.54239999999999999</v>
      </c>
      <c r="AI1190">
        <v>0.54810000000000003</v>
      </c>
      <c r="BH1190" t="s">
        <v>126</v>
      </c>
      <c r="BI1190" t="s">
        <v>126</v>
      </c>
      <c r="BJ1190" t="s">
        <v>126</v>
      </c>
      <c r="BK1190" t="s">
        <v>126</v>
      </c>
      <c r="BS1190" t="s">
        <v>126</v>
      </c>
      <c r="BT1190" t="s">
        <v>126</v>
      </c>
      <c r="BU1190" t="s">
        <v>126</v>
      </c>
      <c r="BV1190" t="s">
        <v>126</v>
      </c>
      <c r="CN1190" t="s">
        <v>147</v>
      </c>
      <c r="CP1190" t="s">
        <v>818</v>
      </c>
      <c r="CQ1190" t="s">
        <v>147</v>
      </c>
    </row>
    <row r="1191" spans="1:95" x14ac:dyDescent="0.2">
      <c r="A1191" t="s">
        <v>115</v>
      </c>
      <c r="B1191" t="s">
        <v>116</v>
      </c>
      <c r="C1191">
        <v>210784</v>
      </c>
      <c r="E1191" t="s">
        <v>117</v>
      </c>
      <c r="F1191">
        <v>368</v>
      </c>
      <c r="G1191" t="s">
        <v>141</v>
      </c>
      <c r="H1191" t="s">
        <v>142</v>
      </c>
      <c r="I1191" t="s">
        <v>279</v>
      </c>
      <c r="J1191" t="s">
        <v>280</v>
      </c>
      <c r="L1191" t="s">
        <v>819</v>
      </c>
      <c r="M1191" s="8">
        <v>46113</v>
      </c>
      <c r="N1191">
        <v>5925691</v>
      </c>
      <c r="O1191" t="s">
        <v>123</v>
      </c>
      <c r="P1191" t="s">
        <v>146</v>
      </c>
      <c r="Q1191">
        <v>5.0899000000000001</v>
      </c>
      <c r="R1191" t="s">
        <v>559</v>
      </c>
      <c r="S1191" t="s">
        <v>126</v>
      </c>
      <c r="T1191" t="s">
        <v>559</v>
      </c>
      <c r="U1191" t="s">
        <v>560</v>
      </c>
      <c r="W1191">
        <v>1.5687</v>
      </c>
      <c r="X1191">
        <v>3.5211999999999999</v>
      </c>
      <c r="Y1191">
        <v>5.0899000000000001</v>
      </c>
      <c r="Z1191">
        <v>1.9361999999999999</v>
      </c>
      <c r="AG1191">
        <v>1.5687</v>
      </c>
      <c r="AI1191">
        <v>1.585</v>
      </c>
      <c r="BH1191" t="s">
        <v>126</v>
      </c>
      <c r="BI1191" t="s">
        <v>126</v>
      </c>
      <c r="BJ1191" t="s">
        <v>126</v>
      </c>
      <c r="BK1191" t="s">
        <v>126</v>
      </c>
      <c r="BS1191" t="s">
        <v>126</v>
      </c>
      <c r="BT1191" t="s">
        <v>126</v>
      </c>
      <c r="BU1191" t="s">
        <v>126</v>
      </c>
      <c r="BV1191" t="s">
        <v>126</v>
      </c>
      <c r="CN1191" t="s">
        <v>147</v>
      </c>
      <c r="CP1191" t="s">
        <v>818</v>
      </c>
      <c r="CQ1191" t="s">
        <v>147</v>
      </c>
    </row>
    <row r="1192" spans="1:95" x14ac:dyDescent="0.2">
      <c r="A1192" t="s">
        <v>115</v>
      </c>
      <c r="B1192" t="s">
        <v>116</v>
      </c>
      <c r="C1192">
        <v>210784</v>
      </c>
      <c r="E1192" t="s">
        <v>117</v>
      </c>
      <c r="F1192">
        <v>368</v>
      </c>
      <c r="G1192" t="s">
        <v>141</v>
      </c>
      <c r="H1192" t="s">
        <v>142</v>
      </c>
      <c r="I1192" t="s">
        <v>279</v>
      </c>
      <c r="J1192" t="s">
        <v>280</v>
      </c>
      <c r="L1192" t="s">
        <v>820</v>
      </c>
      <c r="M1192" s="8">
        <v>46113</v>
      </c>
      <c r="N1192">
        <v>5926801</v>
      </c>
      <c r="O1192" t="s">
        <v>123</v>
      </c>
      <c r="P1192" t="s">
        <v>146</v>
      </c>
      <c r="Q1192">
        <v>5</v>
      </c>
      <c r="R1192" t="s">
        <v>559</v>
      </c>
      <c r="S1192" t="s">
        <v>126</v>
      </c>
      <c r="T1192" t="s">
        <v>559</v>
      </c>
      <c r="U1192" t="s">
        <v>560</v>
      </c>
      <c r="W1192">
        <v>1.5409999999999999</v>
      </c>
      <c r="X1192">
        <v>3.4589999999999996</v>
      </c>
      <c r="Y1192">
        <v>5</v>
      </c>
      <c r="Z1192">
        <v>1.9019999999999999</v>
      </c>
      <c r="AG1192">
        <v>1.5409999999999999</v>
      </c>
      <c r="AI1192">
        <v>1.5569999999999999</v>
      </c>
      <c r="BH1192" t="s">
        <v>126</v>
      </c>
      <c r="BI1192" t="s">
        <v>126</v>
      </c>
      <c r="BJ1192" t="s">
        <v>126</v>
      </c>
      <c r="BK1192" t="s">
        <v>126</v>
      </c>
      <c r="BS1192" t="s">
        <v>126</v>
      </c>
      <c r="BT1192" t="s">
        <v>126</v>
      </c>
      <c r="BU1192" t="s">
        <v>126</v>
      </c>
      <c r="BV1192" t="s">
        <v>126</v>
      </c>
      <c r="CN1192" t="s">
        <v>147</v>
      </c>
      <c r="CP1192" t="s">
        <v>818</v>
      </c>
      <c r="CQ1192" t="s">
        <v>147</v>
      </c>
    </row>
    <row r="1193" spans="1:95" x14ac:dyDescent="0.2">
      <c r="A1193" t="s">
        <v>115</v>
      </c>
      <c r="B1193" t="s">
        <v>116</v>
      </c>
      <c r="C1193">
        <v>210784</v>
      </c>
      <c r="E1193" t="s">
        <v>117</v>
      </c>
      <c r="F1193">
        <v>368</v>
      </c>
      <c r="G1193" t="s">
        <v>141</v>
      </c>
      <c r="H1193" t="s">
        <v>142</v>
      </c>
      <c r="I1193" t="s">
        <v>279</v>
      </c>
      <c r="J1193" t="s">
        <v>280</v>
      </c>
      <c r="L1193" t="s">
        <v>140</v>
      </c>
      <c r="M1193" s="8">
        <v>46113</v>
      </c>
      <c r="N1193">
        <v>5909360</v>
      </c>
      <c r="O1193" t="s">
        <v>123</v>
      </c>
      <c r="P1193" t="s">
        <v>146</v>
      </c>
      <c r="Q1193">
        <v>4.93</v>
      </c>
      <c r="R1193" t="s">
        <v>125</v>
      </c>
      <c r="S1193" t="s">
        <v>126</v>
      </c>
      <c r="T1193" t="s">
        <v>125</v>
      </c>
      <c r="U1193" t="s">
        <v>126</v>
      </c>
      <c r="W1193">
        <v>4.93</v>
      </c>
      <c r="Y1193">
        <v>4.93</v>
      </c>
      <c r="BE1193">
        <v>4.93</v>
      </c>
      <c r="BH1193" t="s">
        <v>126</v>
      </c>
      <c r="BI1193" t="s">
        <v>126</v>
      </c>
      <c r="BJ1193" t="s">
        <v>126</v>
      </c>
      <c r="BK1193" t="s">
        <v>126</v>
      </c>
      <c r="BS1193" t="s">
        <v>126</v>
      </c>
      <c r="BT1193" t="s">
        <v>126</v>
      </c>
      <c r="BU1193" t="s">
        <v>126</v>
      </c>
      <c r="BV1193" t="s">
        <v>126</v>
      </c>
      <c r="CN1193" t="s">
        <v>147</v>
      </c>
      <c r="CP1193" t="s">
        <v>310</v>
      </c>
      <c r="CQ1193" t="s">
        <v>147</v>
      </c>
    </row>
    <row r="1194" spans="1:95" x14ac:dyDescent="0.2">
      <c r="A1194" t="s">
        <v>115</v>
      </c>
      <c r="B1194" t="s">
        <v>116</v>
      </c>
      <c r="C1194">
        <v>210784</v>
      </c>
      <c r="E1194" t="s">
        <v>117</v>
      </c>
      <c r="F1194">
        <v>368</v>
      </c>
      <c r="G1194" t="s">
        <v>141</v>
      </c>
      <c r="H1194" t="s">
        <v>142</v>
      </c>
      <c r="I1194" t="s">
        <v>279</v>
      </c>
      <c r="J1194" t="s">
        <v>280</v>
      </c>
      <c r="L1194" t="s">
        <v>916</v>
      </c>
      <c r="M1194" s="8">
        <v>46113</v>
      </c>
      <c r="N1194">
        <v>5910065</v>
      </c>
      <c r="O1194" t="s">
        <v>123</v>
      </c>
      <c r="P1194" t="s">
        <v>146</v>
      </c>
      <c r="Q1194">
        <v>3.4</v>
      </c>
      <c r="R1194" t="s">
        <v>125</v>
      </c>
      <c r="S1194" t="s">
        <v>126</v>
      </c>
      <c r="T1194" t="s">
        <v>125</v>
      </c>
      <c r="U1194" t="s">
        <v>126</v>
      </c>
      <c r="W1194">
        <v>3.4</v>
      </c>
      <c r="Y1194">
        <v>3.4</v>
      </c>
      <c r="BE1194">
        <v>3.4</v>
      </c>
      <c r="BH1194" t="s">
        <v>126</v>
      </c>
      <c r="BI1194" t="s">
        <v>126</v>
      </c>
      <c r="BJ1194" t="s">
        <v>126</v>
      </c>
      <c r="BK1194" t="s">
        <v>126</v>
      </c>
      <c r="BS1194" t="s">
        <v>126</v>
      </c>
      <c r="BT1194" t="s">
        <v>126</v>
      </c>
      <c r="BU1194" t="s">
        <v>126</v>
      </c>
      <c r="BV1194" t="s">
        <v>126</v>
      </c>
      <c r="CN1194" t="s">
        <v>147</v>
      </c>
      <c r="CP1194" t="s">
        <v>310</v>
      </c>
      <c r="CQ1194" t="s">
        <v>147</v>
      </c>
    </row>
    <row r="1195" spans="1:95" x14ac:dyDescent="0.2">
      <c r="A1195" t="s">
        <v>115</v>
      </c>
      <c r="B1195" t="s">
        <v>116</v>
      </c>
      <c r="C1195">
        <v>210784</v>
      </c>
      <c r="E1195" t="s">
        <v>117</v>
      </c>
      <c r="F1195">
        <v>368</v>
      </c>
      <c r="G1195" t="s">
        <v>141</v>
      </c>
      <c r="H1195" t="s">
        <v>142</v>
      </c>
      <c r="I1195" t="s">
        <v>279</v>
      </c>
      <c r="J1195" t="s">
        <v>280</v>
      </c>
      <c r="L1195" t="s">
        <v>310</v>
      </c>
      <c r="M1195" s="8">
        <v>46143</v>
      </c>
      <c r="N1195">
        <v>5928494</v>
      </c>
      <c r="O1195" t="s">
        <v>123</v>
      </c>
      <c r="P1195" t="s">
        <v>146</v>
      </c>
      <c r="Q1195">
        <v>5.0199999999999996</v>
      </c>
      <c r="R1195" t="s">
        <v>559</v>
      </c>
      <c r="S1195" t="s">
        <v>126</v>
      </c>
      <c r="T1195" t="s">
        <v>559</v>
      </c>
      <c r="U1195" t="s">
        <v>560</v>
      </c>
      <c r="W1195">
        <v>1.5471999999999999</v>
      </c>
      <c r="X1195">
        <v>3.4727999999999999</v>
      </c>
      <c r="Y1195">
        <v>5.0199999999999996</v>
      </c>
      <c r="Z1195">
        <v>1.9096</v>
      </c>
      <c r="AG1195">
        <v>1.5471999999999999</v>
      </c>
      <c r="AI1195">
        <v>1.5631999999999999</v>
      </c>
      <c r="BH1195" t="s">
        <v>126</v>
      </c>
      <c r="BI1195" t="s">
        <v>126</v>
      </c>
      <c r="BJ1195" t="s">
        <v>126</v>
      </c>
      <c r="BK1195" t="s">
        <v>126</v>
      </c>
      <c r="BS1195" t="s">
        <v>126</v>
      </c>
      <c r="BT1195" t="s">
        <v>126</v>
      </c>
      <c r="BU1195" t="s">
        <v>126</v>
      </c>
      <c r="BV1195" t="s">
        <v>126</v>
      </c>
      <c r="CN1195" t="s">
        <v>147</v>
      </c>
      <c r="CP1195" t="s">
        <v>818</v>
      </c>
      <c r="CQ1195" t="s">
        <v>147</v>
      </c>
    </row>
    <row r="1196" spans="1:95" x14ac:dyDescent="0.2">
      <c r="A1196" t="s">
        <v>115</v>
      </c>
      <c r="B1196" t="s">
        <v>116</v>
      </c>
      <c r="C1196">
        <v>210784</v>
      </c>
      <c r="E1196" t="s">
        <v>117</v>
      </c>
      <c r="F1196">
        <v>368</v>
      </c>
      <c r="G1196" t="s">
        <v>141</v>
      </c>
      <c r="H1196" t="s">
        <v>142</v>
      </c>
      <c r="I1196" t="s">
        <v>279</v>
      </c>
      <c r="J1196" t="s">
        <v>280</v>
      </c>
      <c r="L1196" t="s">
        <v>821</v>
      </c>
      <c r="M1196" s="8">
        <v>46143</v>
      </c>
      <c r="N1196">
        <v>5929437</v>
      </c>
      <c r="O1196" t="s">
        <v>123</v>
      </c>
      <c r="P1196" t="s">
        <v>146</v>
      </c>
      <c r="Q1196">
        <v>9.73</v>
      </c>
      <c r="R1196" t="s">
        <v>559</v>
      </c>
      <c r="S1196" t="s">
        <v>126</v>
      </c>
      <c r="T1196" t="s">
        <v>559</v>
      </c>
      <c r="U1196" t="s">
        <v>560</v>
      </c>
      <c r="W1196">
        <v>2.9988000000000001</v>
      </c>
      <c r="X1196">
        <v>6.7311999999999994</v>
      </c>
      <c r="Y1196">
        <v>9.73</v>
      </c>
      <c r="Z1196">
        <v>3.7012999999999998</v>
      </c>
      <c r="AG1196">
        <v>2.9988000000000001</v>
      </c>
      <c r="AI1196">
        <v>3.0299</v>
      </c>
      <c r="BH1196" t="s">
        <v>126</v>
      </c>
      <c r="BI1196" t="s">
        <v>126</v>
      </c>
      <c r="BJ1196" t="s">
        <v>126</v>
      </c>
      <c r="BK1196" t="s">
        <v>126</v>
      </c>
      <c r="BS1196" t="s">
        <v>126</v>
      </c>
      <c r="BT1196" t="s">
        <v>126</v>
      </c>
      <c r="BU1196" t="s">
        <v>126</v>
      </c>
      <c r="BV1196" t="s">
        <v>126</v>
      </c>
      <c r="CN1196" t="s">
        <v>147</v>
      </c>
      <c r="CP1196" t="s">
        <v>818</v>
      </c>
      <c r="CQ1196" t="s">
        <v>147</v>
      </c>
    </row>
    <row r="1197" spans="1:95" x14ac:dyDescent="0.2">
      <c r="A1197" t="s">
        <v>115</v>
      </c>
      <c r="B1197" t="s">
        <v>116</v>
      </c>
      <c r="C1197">
        <v>210784</v>
      </c>
      <c r="E1197" t="s">
        <v>117</v>
      </c>
      <c r="F1197">
        <v>368</v>
      </c>
      <c r="G1197" t="s">
        <v>141</v>
      </c>
      <c r="H1197" t="s">
        <v>142</v>
      </c>
      <c r="I1197" t="s">
        <v>279</v>
      </c>
      <c r="J1197" t="s">
        <v>280</v>
      </c>
      <c r="L1197" t="s">
        <v>822</v>
      </c>
      <c r="M1197" s="8">
        <v>46143</v>
      </c>
      <c r="N1197">
        <v>5930198</v>
      </c>
      <c r="O1197" t="s">
        <v>123</v>
      </c>
      <c r="P1197" t="s">
        <v>146</v>
      </c>
      <c r="Q1197">
        <v>1.67</v>
      </c>
      <c r="R1197" t="s">
        <v>559</v>
      </c>
      <c r="S1197" t="s">
        <v>126</v>
      </c>
      <c r="T1197" t="s">
        <v>559</v>
      </c>
      <c r="U1197" t="s">
        <v>560</v>
      </c>
      <c r="W1197">
        <v>0.51470000000000005</v>
      </c>
      <c r="X1197">
        <v>1.1553</v>
      </c>
      <c r="Y1197">
        <v>1.67</v>
      </c>
      <c r="Z1197">
        <v>0.63529999999999998</v>
      </c>
      <c r="AG1197">
        <v>0.51470000000000005</v>
      </c>
      <c r="AI1197">
        <v>0.52</v>
      </c>
      <c r="BH1197" t="s">
        <v>126</v>
      </c>
      <c r="BI1197" t="s">
        <v>126</v>
      </c>
      <c r="BJ1197" t="s">
        <v>126</v>
      </c>
      <c r="BK1197" t="s">
        <v>126</v>
      </c>
      <c r="BS1197" t="s">
        <v>126</v>
      </c>
      <c r="BT1197" t="s">
        <v>126</v>
      </c>
      <c r="BU1197" t="s">
        <v>126</v>
      </c>
      <c r="BV1197" t="s">
        <v>126</v>
      </c>
      <c r="CN1197" t="s">
        <v>147</v>
      </c>
      <c r="CP1197" t="s">
        <v>818</v>
      </c>
      <c r="CQ1197" t="s">
        <v>147</v>
      </c>
    </row>
    <row r="1198" spans="1:95" x14ac:dyDescent="0.2">
      <c r="A1198" t="s">
        <v>115</v>
      </c>
      <c r="B1198" t="s">
        <v>116</v>
      </c>
      <c r="C1198">
        <v>210784</v>
      </c>
      <c r="E1198" t="s">
        <v>117</v>
      </c>
      <c r="F1198">
        <v>368</v>
      </c>
      <c r="G1198" t="s">
        <v>141</v>
      </c>
      <c r="H1198" t="s">
        <v>142</v>
      </c>
      <c r="I1198" t="s">
        <v>279</v>
      </c>
      <c r="J1198" t="s">
        <v>280</v>
      </c>
      <c r="L1198" t="s">
        <v>823</v>
      </c>
      <c r="M1198" s="8">
        <v>46143</v>
      </c>
      <c r="N1198">
        <v>5932534</v>
      </c>
      <c r="O1198" t="s">
        <v>123</v>
      </c>
      <c r="P1198" t="s">
        <v>146</v>
      </c>
      <c r="Q1198">
        <v>4.5599999999999996</v>
      </c>
      <c r="R1198" t="s">
        <v>559</v>
      </c>
      <c r="S1198" t="s">
        <v>126</v>
      </c>
      <c r="T1198" t="s">
        <v>559</v>
      </c>
      <c r="U1198" t="s">
        <v>560</v>
      </c>
      <c r="W1198">
        <v>1.4054</v>
      </c>
      <c r="X1198">
        <v>3.1545999999999998</v>
      </c>
      <c r="Y1198">
        <v>4.5599999999999996</v>
      </c>
      <c r="Z1198">
        <v>1.7345999999999999</v>
      </c>
      <c r="AG1198">
        <v>1.4054</v>
      </c>
      <c r="AI1198">
        <v>1.42</v>
      </c>
      <c r="BH1198" t="s">
        <v>126</v>
      </c>
      <c r="BI1198" t="s">
        <v>126</v>
      </c>
      <c r="BJ1198" t="s">
        <v>126</v>
      </c>
      <c r="BK1198" t="s">
        <v>126</v>
      </c>
      <c r="BS1198" t="s">
        <v>126</v>
      </c>
      <c r="BT1198" t="s">
        <v>126</v>
      </c>
      <c r="BU1198" t="s">
        <v>126</v>
      </c>
      <c r="BV1198" t="s">
        <v>126</v>
      </c>
      <c r="CN1198" t="s">
        <v>147</v>
      </c>
      <c r="CP1198" t="s">
        <v>818</v>
      </c>
      <c r="CQ1198" t="s">
        <v>147</v>
      </c>
    </row>
    <row r="1199" spans="1:95" x14ac:dyDescent="0.2">
      <c r="A1199" t="s">
        <v>115</v>
      </c>
      <c r="B1199" t="s">
        <v>116</v>
      </c>
      <c r="C1199">
        <v>210784</v>
      </c>
      <c r="E1199" t="s">
        <v>117</v>
      </c>
      <c r="F1199">
        <v>368</v>
      </c>
      <c r="G1199" t="s">
        <v>141</v>
      </c>
      <c r="H1199" t="s">
        <v>142</v>
      </c>
      <c r="I1199" t="s">
        <v>279</v>
      </c>
      <c r="J1199" t="s">
        <v>280</v>
      </c>
      <c r="L1199" t="s">
        <v>824</v>
      </c>
      <c r="M1199" s="8">
        <v>46143</v>
      </c>
      <c r="N1199">
        <v>5933636</v>
      </c>
      <c r="O1199" t="s">
        <v>123</v>
      </c>
      <c r="P1199" t="s">
        <v>146</v>
      </c>
      <c r="Q1199">
        <v>4.3599999999999994</v>
      </c>
      <c r="R1199" t="s">
        <v>559</v>
      </c>
      <c r="S1199" t="s">
        <v>126</v>
      </c>
      <c r="T1199" t="s">
        <v>559</v>
      </c>
      <c r="U1199" t="s">
        <v>560</v>
      </c>
      <c r="W1199">
        <v>1.3438000000000001</v>
      </c>
      <c r="X1199">
        <v>3.0162</v>
      </c>
      <c r="Y1199">
        <v>4.3599999999999994</v>
      </c>
      <c r="Z1199">
        <v>1.6585000000000001</v>
      </c>
      <c r="AG1199">
        <v>1.3438000000000001</v>
      </c>
      <c r="AI1199">
        <v>1.3576999999999999</v>
      </c>
      <c r="BH1199" t="s">
        <v>126</v>
      </c>
      <c r="BI1199" t="s">
        <v>126</v>
      </c>
      <c r="BJ1199" t="s">
        <v>126</v>
      </c>
      <c r="BK1199" t="s">
        <v>126</v>
      </c>
      <c r="BS1199" t="s">
        <v>126</v>
      </c>
      <c r="BT1199" t="s">
        <v>126</v>
      </c>
      <c r="BU1199" t="s">
        <v>126</v>
      </c>
      <c r="BV1199" t="s">
        <v>126</v>
      </c>
      <c r="CN1199" t="s">
        <v>147</v>
      </c>
      <c r="CP1199" t="s">
        <v>818</v>
      </c>
      <c r="CQ1199" t="s">
        <v>147</v>
      </c>
    </row>
    <row r="1200" spans="1:95" x14ac:dyDescent="0.2">
      <c r="A1200" t="s">
        <v>115</v>
      </c>
      <c r="B1200" t="s">
        <v>116</v>
      </c>
      <c r="C1200">
        <v>210784</v>
      </c>
      <c r="E1200" t="s">
        <v>117</v>
      </c>
      <c r="F1200">
        <v>368</v>
      </c>
      <c r="G1200" t="s">
        <v>141</v>
      </c>
      <c r="H1200" t="s">
        <v>142</v>
      </c>
      <c r="I1200" t="s">
        <v>279</v>
      </c>
      <c r="J1200" t="s">
        <v>280</v>
      </c>
      <c r="L1200" t="s">
        <v>825</v>
      </c>
      <c r="M1200" s="8">
        <v>46143</v>
      </c>
      <c r="N1200">
        <v>5935732</v>
      </c>
      <c r="O1200" t="s">
        <v>123</v>
      </c>
      <c r="P1200" t="s">
        <v>146</v>
      </c>
      <c r="Q1200">
        <v>2.0299</v>
      </c>
      <c r="R1200" t="s">
        <v>559</v>
      </c>
      <c r="S1200" t="s">
        <v>126</v>
      </c>
      <c r="T1200" t="s">
        <v>559</v>
      </c>
      <c r="U1200" t="s">
        <v>560</v>
      </c>
      <c r="W1200">
        <v>0.62560000000000004</v>
      </c>
      <c r="X1200">
        <v>1.4043000000000001</v>
      </c>
      <c r="Y1200">
        <v>2.0299</v>
      </c>
      <c r="Z1200">
        <v>0.7722</v>
      </c>
      <c r="AG1200">
        <v>0.62560000000000004</v>
      </c>
      <c r="AI1200">
        <v>0.6321</v>
      </c>
      <c r="BH1200" t="s">
        <v>126</v>
      </c>
      <c r="BI1200" t="s">
        <v>126</v>
      </c>
      <c r="BJ1200" t="s">
        <v>126</v>
      </c>
      <c r="BK1200" t="s">
        <v>126</v>
      </c>
      <c r="BS1200" t="s">
        <v>126</v>
      </c>
      <c r="BT1200" t="s">
        <v>126</v>
      </c>
      <c r="BU1200" t="s">
        <v>126</v>
      </c>
      <c r="BV1200" t="s">
        <v>126</v>
      </c>
      <c r="CN1200" t="s">
        <v>147</v>
      </c>
      <c r="CP1200" t="s">
        <v>818</v>
      </c>
      <c r="CQ1200" t="s">
        <v>147</v>
      </c>
    </row>
    <row r="1201" spans="1:95" x14ac:dyDescent="0.2">
      <c r="A1201" t="s">
        <v>115</v>
      </c>
      <c r="B1201" t="s">
        <v>116</v>
      </c>
      <c r="C1201">
        <v>210784</v>
      </c>
      <c r="E1201" t="s">
        <v>117</v>
      </c>
      <c r="F1201">
        <v>368</v>
      </c>
      <c r="G1201" t="s">
        <v>141</v>
      </c>
      <c r="H1201" t="s">
        <v>142</v>
      </c>
      <c r="I1201" t="s">
        <v>279</v>
      </c>
      <c r="J1201" t="s">
        <v>280</v>
      </c>
      <c r="L1201" t="s">
        <v>826</v>
      </c>
      <c r="M1201" s="8">
        <v>46143</v>
      </c>
      <c r="N1201">
        <v>5937884</v>
      </c>
      <c r="O1201" t="s">
        <v>123</v>
      </c>
      <c r="P1201" t="s">
        <v>146</v>
      </c>
      <c r="Q1201">
        <v>3.51</v>
      </c>
      <c r="R1201" t="s">
        <v>559</v>
      </c>
      <c r="S1201" t="s">
        <v>126</v>
      </c>
      <c r="T1201" t="s">
        <v>559</v>
      </c>
      <c r="U1201" t="s">
        <v>560</v>
      </c>
      <c r="W1201">
        <v>1.0818000000000001</v>
      </c>
      <c r="X1201">
        <v>2.4281999999999999</v>
      </c>
      <c r="Y1201">
        <v>3.51</v>
      </c>
      <c r="Z1201">
        <v>1.3351999999999999</v>
      </c>
      <c r="AG1201">
        <v>1.0818000000000001</v>
      </c>
      <c r="AI1201">
        <v>1.093</v>
      </c>
      <c r="BH1201" t="s">
        <v>126</v>
      </c>
      <c r="BI1201" t="s">
        <v>126</v>
      </c>
      <c r="BJ1201" t="s">
        <v>126</v>
      </c>
      <c r="BK1201" t="s">
        <v>126</v>
      </c>
      <c r="BS1201" t="s">
        <v>126</v>
      </c>
      <c r="BT1201" t="s">
        <v>126</v>
      </c>
      <c r="BU1201" t="s">
        <v>126</v>
      </c>
      <c r="BV1201" t="s">
        <v>126</v>
      </c>
      <c r="CN1201" t="s">
        <v>147</v>
      </c>
      <c r="CP1201" t="s">
        <v>818</v>
      </c>
      <c r="CQ1201" t="s">
        <v>147</v>
      </c>
    </row>
    <row r="1202" spans="1:95" x14ac:dyDescent="0.2">
      <c r="A1202" t="s">
        <v>115</v>
      </c>
      <c r="B1202" t="s">
        <v>116</v>
      </c>
      <c r="C1202">
        <v>210784</v>
      </c>
      <c r="E1202" t="s">
        <v>117</v>
      </c>
      <c r="F1202">
        <v>368</v>
      </c>
      <c r="G1202" t="s">
        <v>141</v>
      </c>
      <c r="H1202" t="s">
        <v>142</v>
      </c>
      <c r="I1202" t="s">
        <v>279</v>
      </c>
      <c r="J1202" t="s">
        <v>280</v>
      </c>
      <c r="L1202" t="s">
        <v>827</v>
      </c>
      <c r="M1202" s="8">
        <v>46143</v>
      </c>
      <c r="N1202">
        <v>5940159</v>
      </c>
      <c r="O1202" t="s">
        <v>123</v>
      </c>
      <c r="P1202" t="s">
        <v>146</v>
      </c>
      <c r="Q1202">
        <v>7.06</v>
      </c>
      <c r="R1202" t="s">
        <v>559</v>
      </c>
      <c r="S1202" t="s">
        <v>126</v>
      </c>
      <c r="T1202" t="s">
        <v>559</v>
      </c>
      <c r="U1202" t="s">
        <v>560</v>
      </c>
      <c r="W1202">
        <v>2.1758999999999999</v>
      </c>
      <c r="X1202">
        <v>4.8841000000000001</v>
      </c>
      <c r="Y1202">
        <v>7.06</v>
      </c>
      <c r="Z1202">
        <v>2.6856</v>
      </c>
      <c r="AG1202">
        <v>2.1758999999999999</v>
      </c>
      <c r="AI1202">
        <v>2.1985000000000001</v>
      </c>
      <c r="BH1202" t="s">
        <v>126</v>
      </c>
      <c r="BI1202" t="s">
        <v>126</v>
      </c>
      <c r="BJ1202" t="s">
        <v>126</v>
      </c>
      <c r="BK1202" t="s">
        <v>126</v>
      </c>
      <c r="BS1202" t="s">
        <v>126</v>
      </c>
      <c r="BT1202" t="s">
        <v>126</v>
      </c>
      <c r="BU1202" t="s">
        <v>126</v>
      </c>
      <c r="BV1202" t="s">
        <v>126</v>
      </c>
      <c r="CN1202" t="s">
        <v>147</v>
      </c>
      <c r="CP1202" t="s">
        <v>818</v>
      </c>
      <c r="CQ1202" t="s">
        <v>147</v>
      </c>
    </row>
    <row r="1203" spans="1:95" x14ac:dyDescent="0.2">
      <c r="A1203" t="s">
        <v>115</v>
      </c>
      <c r="B1203" t="s">
        <v>116</v>
      </c>
      <c r="C1203">
        <v>210784</v>
      </c>
      <c r="E1203" t="s">
        <v>117</v>
      </c>
      <c r="F1203">
        <v>368</v>
      </c>
      <c r="G1203" t="s">
        <v>141</v>
      </c>
      <c r="H1203" t="s">
        <v>142</v>
      </c>
      <c r="I1203" t="s">
        <v>279</v>
      </c>
      <c r="J1203" t="s">
        <v>280</v>
      </c>
      <c r="L1203" t="s">
        <v>828</v>
      </c>
      <c r="M1203" s="8">
        <v>46143</v>
      </c>
      <c r="N1203">
        <v>5942596</v>
      </c>
      <c r="O1203" t="s">
        <v>123</v>
      </c>
      <c r="P1203" t="s">
        <v>146</v>
      </c>
      <c r="Q1203">
        <v>5.2</v>
      </c>
      <c r="R1203" t="s">
        <v>559</v>
      </c>
      <c r="S1203" t="s">
        <v>126</v>
      </c>
      <c r="T1203" t="s">
        <v>559</v>
      </c>
      <c r="U1203" t="s">
        <v>560</v>
      </c>
      <c r="W1203">
        <v>1.6026</v>
      </c>
      <c r="X1203">
        <v>3.5973999999999999</v>
      </c>
      <c r="Y1203">
        <v>5.2</v>
      </c>
      <c r="Z1203">
        <v>1.9781</v>
      </c>
      <c r="AG1203">
        <v>1.6026</v>
      </c>
      <c r="AI1203">
        <v>1.6193</v>
      </c>
      <c r="BH1203" t="s">
        <v>126</v>
      </c>
      <c r="BI1203" t="s">
        <v>126</v>
      </c>
      <c r="BJ1203" t="s">
        <v>126</v>
      </c>
      <c r="BK1203" t="s">
        <v>126</v>
      </c>
      <c r="BS1203" t="s">
        <v>126</v>
      </c>
      <c r="BT1203" t="s">
        <v>126</v>
      </c>
      <c r="BU1203" t="s">
        <v>126</v>
      </c>
      <c r="BV1203" t="s">
        <v>126</v>
      </c>
      <c r="CN1203" t="s">
        <v>147</v>
      </c>
      <c r="CP1203" t="s">
        <v>818</v>
      </c>
      <c r="CQ1203" t="s">
        <v>147</v>
      </c>
    </row>
    <row r="1204" spans="1:95" x14ac:dyDescent="0.2">
      <c r="A1204" t="s">
        <v>115</v>
      </c>
      <c r="B1204" t="s">
        <v>116</v>
      </c>
      <c r="C1204">
        <v>210784</v>
      </c>
      <c r="E1204" t="s">
        <v>117</v>
      </c>
      <c r="F1204">
        <v>368</v>
      </c>
      <c r="G1204" t="s">
        <v>141</v>
      </c>
      <c r="H1204" t="s">
        <v>142</v>
      </c>
      <c r="I1204" t="s">
        <v>279</v>
      </c>
      <c r="J1204" t="s">
        <v>280</v>
      </c>
      <c r="L1204" t="s">
        <v>829</v>
      </c>
      <c r="M1204" s="8">
        <v>46143</v>
      </c>
      <c r="N1204">
        <v>5943942</v>
      </c>
      <c r="O1204" t="s">
        <v>123</v>
      </c>
      <c r="P1204" t="s">
        <v>146</v>
      </c>
      <c r="Q1204">
        <v>5.71</v>
      </c>
      <c r="R1204" t="s">
        <v>559</v>
      </c>
      <c r="S1204" t="s">
        <v>126</v>
      </c>
      <c r="T1204" t="s">
        <v>559</v>
      </c>
      <c r="U1204" t="s">
        <v>560</v>
      </c>
      <c r="W1204">
        <v>1.76</v>
      </c>
      <c r="X1204">
        <v>3.95</v>
      </c>
      <c r="Y1204">
        <v>5.71</v>
      </c>
      <c r="Z1204">
        <v>2.25</v>
      </c>
      <c r="AG1204">
        <v>1.76</v>
      </c>
      <c r="AI1204">
        <v>1.7</v>
      </c>
      <c r="BH1204" t="s">
        <v>126</v>
      </c>
      <c r="BI1204" t="s">
        <v>126</v>
      </c>
      <c r="BJ1204" t="s">
        <v>126</v>
      </c>
      <c r="BK1204" t="s">
        <v>126</v>
      </c>
      <c r="BS1204" t="s">
        <v>126</v>
      </c>
      <c r="BT1204" t="s">
        <v>126</v>
      </c>
      <c r="BU1204" t="s">
        <v>126</v>
      </c>
      <c r="BV1204" t="s">
        <v>126</v>
      </c>
      <c r="CN1204" t="s">
        <v>147</v>
      </c>
      <c r="CP1204" t="s">
        <v>830</v>
      </c>
      <c r="CQ1204" t="s">
        <v>147</v>
      </c>
    </row>
    <row r="1205" spans="1:95" x14ac:dyDescent="0.2">
      <c r="A1205" t="s">
        <v>115</v>
      </c>
      <c r="B1205" t="s">
        <v>116</v>
      </c>
      <c r="C1205">
        <v>210784</v>
      </c>
      <c r="E1205" t="s">
        <v>117</v>
      </c>
      <c r="F1205">
        <v>368</v>
      </c>
      <c r="G1205" t="s">
        <v>141</v>
      </c>
      <c r="H1205" t="s">
        <v>142</v>
      </c>
      <c r="I1205" t="s">
        <v>279</v>
      </c>
      <c r="J1205" t="s">
        <v>280</v>
      </c>
      <c r="L1205" t="s">
        <v>831</v>
      </c>
      <c r="M1205" s="8">
        <v>46174</v>
      </c>
      <c r="N1205">
        <v>5948631</v>
      </c>
      <c r="O1205" t="s">
        <v>123</v>
      </c>
      <c r="P1205" t="s">
        <v>146</v>
      </c>
      <c r="Q1205">
        <v>2.5099999999999998</v>
      </c>
      <c r="R1205" t="s">
        <v>559</v>
      </c>
      <c r="S1205" t="s">
        <v>126</v>
      </c>
      <c r="T1205" t="s">
        <v>559</v>
      </c>
      <c r="U1205" t="s">
        <v>560</v>
      </c>
      <c r="W1205">
        <v>0.77359999999999995</v>
      </c>
      <c r="X1205">
        <v>1.7363999999999999</v>
      </c>
      <c r="Y1205">
        <v>2.5099999999999998</v>
      </c>
      <c r="Z1205">
        <v>0.95479999999999998</v>
      </c>
      <c r="AG1205">
        <v>0.77359999999999995</v>
      </c>
      <c r="AI1205">
        <v>0.78159999999999996</v>
      </c>
      <c r="BH1205" t="s">
        <v>126</v>
      </c>
      <c r="BI1205" t="s">
        <v>126</v>
      </c>
      <c r="BJ1205" t="s">
        <v>126</v>
      </c>
      <c r="BK1205" t="s">
        <v>126</v>
      </c>
      <c r="BS1205" t="s">
        <v>126</v>
      </c>
      <c r="BT1205" t="s">
        <v>126</v>
      </c>
      <c r="BU1205" t="s">
        <v>126</v>
      </c>
      <c r="BV1205" t="s">
        <v>126</v>
      </c>
      <c r="CN1205" t="s">
        <v>147</v>
      </c>
      <c r="CP1205" t="s">
        <v>830</v>
      </c>
      <c r="CQ1205" t="s">
        <v>147</v>
      </c>
    </row>
    <row r="1206" spans="1:95" x14ac:dyDescent="0.2">
      <c r="A1206" t="s">
        <v>115</v>
      </c>
      <c r="B1206" t="s">
        <v>116</v>
      </c>
      <c r="C1206">
        <v>210784</v>
      </c>
      <c r="E1206" t="s">
        <v>117</v>
      </c>
      <c r="F1206">
        <v>368</v>
      </c>
      <c r="G1206" t="s">
        <v>141</v>
      </c>
      <c r="H1206" t="s">
        <v>142</v>
      </c>
      <c r="I1206" t="s">
        <v>279</v>
      </c>
      <c r="J1206" t="s">
        <v>280</v>
      </c>
      <c r="L1206" t="s">
        <v>832</v>
      </c>
      <c r="M1206" s="8">
        <v>46174</v>
      </c>
      <c r="N1206">
        <v>5950358</v>
      </c>
      <c r="O1206" t="s">
        <v>123</v>
      </c>
      <c r="P1206" t="s">
        <v>146</v>
      </c>
      <c r="Q1206">
        <v>3.02</v>
      </c>
      <c r="R1206" t="s">
        <v>559</v>
      </c>
      <c r="S1206" t="s">
        <v>126</v>
      </c>
      <c r="T1206" t="s">
        <v>559</v>
      </c>
      <c r="U1206" t="s">
        <v>560</v>
      </c>
      <c r="W1206">
        <v>0.93079999999999996</v>
      </c>
      <c r="X1206">
        <v>2.0891999999999999</v>
      </c>
      <c r="Y1206">
        <v>3.02</v>
      </c>
      <c r="Z1206">
        <v>1.1488</v>
      </c>
      <c r="AG1206">
        <v>0.93079999999999996</v>
      </c>
      <c r="AI1206">
        <v>0.94040000000000001</v>
      </c>
      <c r="BH1206" t="s">
        <v>126</v>
      </c>
      <c r="BI1206" t="s">
        <v>126</v>
      </c>
      <c r="BJ1206" t="s">
        <v>126</v>
      </c>
      <c r="BK1206" t="s">
        <v>126</v>
      </c>
      <c r="BS1206" t="s">
        <v>126</v>
      </c>
      <c r="BT1206" t="s">
        <v>126</v>
      </c>
      <c r="BU1206" t="s">
        <v>126</v>
      </c>
      <c r="BV1206" t="s">
        <v>126</v>
      </c>
      <c r="CN1206" t="s">
        <v>147</v>
      </c>
      <c r="CP1206" t="s">
        <v>830</v>
      </c>
      <c r="CQ1206" t="s">
        <v>147</v>
      </c>
    </row>
    <row r="1207" spans="1:95" x14ac:dyDescent="0.2">
      <c r="A1207" t="s">
        <v>115</v>
      </c>
      <c r="B1207" t="s">
        <v>116</v>
      </c>
      <c r="C1207">
        <v>210784</v>
      </c>
      <c r="E1207" t="s">
        <v>117</v>
      </c>
      <c r="F1207">
        <v>368</v>
      </c>
      <c r="G1207" t="s">
        <v>141</v>
      </c>
      <c r="H1207" t="s">
        <v>142</v>
      </c>
      <c r="I1207" t="s">
        <v>279</v>
      </c>
      <c r="J1207" t="s">
        <v>280</v>
      </c>
      <c r="L1207" t="s">
        <v>833</v>
      </c>
      <c r="M1207" s="8">
        <v>46174</v>
      </c>
      <c r="N1207">
        <v>5952010</v>
      </c>
      <c r="O1207" t="s">
        <v>123</v>
      </c>
      <c r="P1207" t="s">
        <v>146</v>
      </c>
      <c r="Q1207">
        <v>2.79</v>
      </c>
      <c r="R1207" t="s">
        <v>559</v>
      </c>
      <c r="S1207" t="s">
        <v>126</v>
      </c>
      <c r="T1207" t="s">
        <v>559</v>
      </c>
      <c r="U1207" t="s">
        <v>560</v>
      </c>
      <c r="W1207">
        <v>0.8599</v>
      </c>
      <c r="X1207">
        <v>1.9300999999999999</v>
      </c>
      <c r="Y1207">
        <v>2.79</v>
      </c>
      <c r="Z1207">
        <v>1.0612999999999999</v>
      </c>
      <c r="AG1207">
        <v>0.8599</v>
      </c>
      <c r="AI1207">
        <v>0.86880000000000002</v>
      </c>
      <c r="BH1207" t="s">
        <v>126</v>
      </c>
      <c r="BI1207" t="s">
        <v>126</v>
      </c>
      <c r="BJ1207" t="s">
        <v>126</v>
      </c>
      <c r="BK1207" t="s">
        <v>126</v>
      </c>
      <c r="BS1207" t="s">
        <v>126</v>
      </c>
      <c r="BT1207" t="s">
        <v>126</v>
      </c>
      <c r="BU1207" t="s">
        <v>126</v>
      </c>
      <c r="BV1207" t="s">
        <v>126</v>
      </c>
      <c r="CN1207" t="s">
        <v>147</v>
      </c>
      <c r="CP1207" t="s">
        <v>830</v>
      </c>
      <c r="CQ1207" t="s">
        <v>147</v>
      </c>
    </row>
    <row r="1208" spans="1:95" x14ac:dyDescent="0.2">
      <c r="A1208" t="s">
        <v>115</v>
      </c>
      <c r="B1208" t="s">
        <v>116</v>
      </c>
      <c r="C1208">
        <v>210784</v>
      </c>
      <c r="E1208" t="s">
        <v>117</v>
      </c>
      <c r="F1208">
        <v>368</v>
      </c>
      <c r="G1208" t="s">
        <v>141</v>
      </c>
      <c r="H1208" t="s">
        <v>142</v>
      </c>
      <c r="I1208" t="s">
        <v>279</v>
      </c>
      <c r="J1208" t="s">
        <v>280</v>
      </c>
      <c r="L1208" t="s">
        <v>834</v>
      </c>
      <c r="M1208" s="8">
        <v>46174</v>
      </c>
      <c r="N1208">
        <v>5953005</v>
      </c>
      <c r="O1208" t="s">
        <v>123</v>
      </c>
      <c r="P1208" t="s">
        <v>146</v>
      </c>
      <c r="Q1208">
        <v>1.7399999999999998</v>
      </c>
      <c r="R1208" t="s">
        <v>559</v>
      </c>
      <c r="S1208" t="s">
        <v>126</v>
      </c>
      <c r="T1208" t="s">
        <v>559</v>
      </c>
      <c r="U1208" t="s">
        <v>560</v>
      </c>
      <c r="W1208">
        <v>0.5363</v>
      </c>
      <c r="X1208">
        <v>1.2037</v>
      </c>
      <c r="Y1208">
        <v>1.7399999999999998</v>
      </c>
      <c r="Z1208">
        <v>0.66190000000000004</v>
      </c>
      <c r="AG1208">
        <v>0.5363</v>
      </c>
      <c r="AI1208">
        <v>0.54179999999999995</v>
      </c>
      <c r="BH1208" t="s">
        <v>126</v>
      </c>
      <c r="BI1208" t="s">
        <v>126</v>
      </c>
      <c r="BJ1208" t="s">
        <v>126</v>
      </c>
      <c r="BK1208" t="s">
        <v>126</v>
      </c>
      <c r="BS1208" t="s">
        <v>126</v>
      </c>
      <c r="BT1208" t="s">
        <v>126</v>
      </c>
      <c r="BU1208" t="s">
        <v>126</v>
      </c>
      <c r="BV1208" t="s">
        <v>126</v>
      </c>
      <c r="CN1208" t="s">
        <v>147</v>
      </c>
      <c r="CP1208" t="s">
        <v>830</v>
      </c>
      <c r="CQ1208" t="s">
        <v>147</v>
      </c>
    </row>
    <row r="1209" spans="1:95" x14ac:dyDescent="0.2">
      <c r="A1209" t="s">
        <v>115</v>
      </c>
      <c r="B1209" t="s">
        <v>116</v>
      </c>
      <c r="C1209">
        <v>210784</v>
      </c>
      <c r="E1209" t="s">
        <v>117</v>
      </c>
      <c r="F1209">
        <v>368</v>
      </c>
      <c r="G1209" t="s">
        <v>141</v>
      </c>
      <c r="H1209" t="s">
        <v>142</v>
      </c>
      <c r="I1209" t="s">
        <v>279</v>
      </c>
      <c r="J1209" t="s">
        <v>280</v>
      </c>
      <c r="L1209" t="s">
        <v>917</v>
      </c>
      <c r="M1209" s="8">
        <v>46174</v>
      </c>
      <c r="N1209">
        <v>5945299</v>
      </c>
      <c r="O1209" t="s">
        <v>123</v>
      </c>
      <c r="P1209" t="s">
        <v>146</v>
      </c>
      <c r="Q1209">
        <v>2.66</v>
      </c>
      <c r="R1209" t="s">
        <v>125</v>
      </c>
      <c r="S1209" t="s">
        <v>126</v>
      </c>
      <c r="T1209" t="s">
        <v>125</v>
      </c>
      <c r="U1209" t="s">
        <v>126</v>
      </c>
      <c r="W1209">
        <v>2.66</v>
      </c>
      <c r="Y1209">
        <v>2.66</v>
      </c>
      <c r="BE1209">
        <v>2.66</v>
      </c>
      <c r="BH1209" t="s">
        <v>126</v>
      </c>
      <c r="BI1209" t="s">
        <v>126</v>
      </c>
      <c r="BJ1209" t="s">
        <v>126</v>
      </c>
      <c r="BK1209" t="s">
        <v>126</v>
      </c>
      <c r="BS1209" t="s">
        <v>126</v>
      </c>
      <c r="BT1209" t="s">
        <v>126</v>
      </c>
      <c r="BU1209" t="s">
        <v>126</v>
      </c>
      <c r="BV1209" t="s">
        <v>126</v>
      </c>
      <c r="CN1209" t="s">
        <v>147</v>
      </c>
      <c r="CP1209" t="s">
        <v>830</v>
      </c>
      <c r="CQ1209" t="s">
        <v>147</v>
      </c>
    </row>
    <row r="1210" spans="1:95" x14ac:dyDescent="0.2">
      <c r="A1210" t="s">
        <v>115</v>
      </c>
      <c r="B1210" t="s">
        <v>116</v>
      </c>
      <c r="C1210">
        <v>210784</v>
      </c>
      <c r="E1210" t="s">
        <v>117</v>
      </c>
      <c r="F1210">
        <v>368</v>
      </c>
      <c r="G1210" t="s">
        <v>141</v>
      </c>
      <c r="H1210" t="s">
        <v>142</v>
      </c>
      <c r="I1210" t="s">
        <v>279</v>
      </c>
      <c r="J1210" t="s">
        <v>280</v>
      </c>
      <c r="L1210" t="s">
        <v>918</v>
      </c>
      <c r="M1210" s="8">
        <v>46174</v>
      </c>
      <c r="N1210">
        <v>5947649</v>
      </c>
      <c r="O1210" t="s">
        <v>123</v>
      </c>
      <c r="P1210" t="s">
        <v>146</v>
      </c>
      <c r="Q1210">
        <v>1.77</v>
      </c>
      <c r="R1210" t="s">
        <v>125</v>
      </c>
      <c r="S1210" t="s">
        <v>126</v>
      </c>
      <c r="T1210" t="s">
        <v>125</v>
      </c>
      <c r="U1210" t="s">
        <v>126</v>
      </c>
      <c r="W1210">
        <v>1.77</v>
      </c>
      <c r="Y1210">
        <v>1.77</v>
      </c>
      <c r="BE1210">
        <v>1.77</v>
      </c>
      <c r="BH1210" t="s">
        <v>126</v>
      </c>
      <c r="BI1210" t="s">
        <v>126</v>
      </c>
      <c r="BJ1210" t="s">
        <v>126</v>
      </c>
      <c r="BK1210" t="s">
        <v>126</v>
      </c>
      <c r="BS1210" t="s">
        <v>126</v>
      </c>
      <c r="BT1210" t="s">
        <v>126</v>
      </c>
      <c r="BU1210" t="s">
        <v>126</v>
      </c>
      <c r="BV1210" t="s">
        <v>126</v>
      </c>
      <c r="CN1210" t="s">
        <v>147</v>
      </c>
      <c r="CP1210" t="s">
        <v>830</v>
      </c>
      <c r="CQ1210" t="s">
        <v>147</v>
      </c>
    </row>
    <row r="1211" spans="1:95" x14ac:dyDescent="0.2">
      <c r="A1211" t="s">
        <v>111</v>
      </c>
      <c r="B1211" t="s">
        <v>112</v>
      </c>
      <c r="L1211" t="s">
        <v>113</v>
      </c>
      <c r="Q1211">
        <v>67418.252899999759</v>
      </c>
      <c r="R1211">
        <v>0.92055215629672438</v>
      </c>
      <c r="S1211">
        <v>0</v>
      </c>
      <c r="T1211">
        <v>0.92055215629672438</v>
      </c>
      <c r="U1211">
        <v>7.9447843703275595E-2</v>
      </c>
      <c r="V1211">
        <v>0</v>
      </c>
      <c r="W1211">
        <v>7578.9546</v>
      </c>
      <c r="X1211">
        <v>654.09829999999988</v>
      </c>
      <c r="Y1211">
        <v>8233.0529000000006</v>
      </c>
      <c r="Z1211">
        <v>354.43390000000022</v>
      </c>
      <c r="AA1211">
        <v>380.42149999999992</v>
      </c>
      <c r="AB1211">
        <v>10.009</v>
      </c>
      <c r="AC1211">
        <v>4903.8496999999988</v>
      </c>
      <c r="AD1211">
        <v>0</v>
      </c>
      <c r="AE1211">
        <v>20.45</v>
      </c>
      <c r="AF1211">
        <v>244.36699999999999</v>
      </c>
      <c r="AG1211">
        <v>302.32150000000001</v>
      </c>
      <c r="AH1211">
        <v>3.6159999999999997</v>
      </c>
      <c r="AI1211">
        <v>288.34660000000008</v>
      </c>
      <c r="AJ1211">
        <v>0</v>
      </c>
      <c r="AK1211">
        <v>0</v>
      </c>
      <c r="AL1211">
        <v>0</v>
      </c>
      <c r="AM1211">
        <v>0</v>
      </c>
      <c r="AN1211">
        <v>0</v>
      </c>
      <c r="AO1211">
        <v>0</v>
      </c>
      <c r="AP1211">
        <v>0.75</v>
      </c>
      <c r="AQ1211">
        <v>0</v>
      </c>
      <c r="AR1211">
        <v>0</v>
      </c>
      <c r="AS1211">
        <v>939.56999999999948</v>
      </c>
      <c r="AT1211">
        <v>0</v>
      </c>
      <c r="AU1211">
        <v>0</v>
      </c>
      <c r="AV1211">
        <v>0</v>
      </c>
      <c r="AW1211">
        <v>0</v>
      </c>
      <c r="AX1211">
        <v>0</v>
      </c>
      <c r="AY1211">
        <v>24.342600000000001</v>
      </c>
      <c r="AZ1211">
        <v>0</v>
      </c>
      <c r="BA1211">
        <v>0</v>
      </c>
      <c r="BB1211">
        <v>0</v>
      </c>
      <c r="BC1211">
        <v>0</v>
      </c>
      <c r="BD1211">
        <v>9.1001999999999992</v>
      </c>
      <c r="BE1211">
        <v>751.47489999999982</v>
      </c>
      <c r="BF1211">
        <v>0</v>
      </c>
      <c r="BG1211">
        <v>0</v>
      </c>
      <c r="BH1211">
        <v>1</v>
      </c>
      <c r="BI1211">
        <v>0</v>
      </c>
      <c r="BJ1211">
        <v>1</v>
      </c>
      <c r="BK1211">
        <v>0</v>
      </c>
      <c r="BL1211">
        <v>0</v>
      </c>
      <c r="BM1211">
        <v>59185.2</v>
      </c>
      <c r="BN1211">
        <v>0</v>
      </c>
      <c r="BO1211">
        <v>59185.2</v>
      </c>
      <c r="BP1211">
        <v>59185.2</v>
      </c>
      <c r="BQ1211">
        <v>0</v>
      </c>
      <c r="BR1211">
        <v>0</v>
      </c>
      <c r="BS1211">
        <v>0</v>
      </c>
      <c r="BT1211">
        <v>0</v>
      </c>
      <c r="BU1211">
        <v>0</v>
      </c>
      <c r="BV1211">
        <v>0</v>
      </c>
      <c r="BW1211">
        <v>0</v>
      </c>
      <c r="BX1211">
        <v>0</v>
      </c>
      <c r="BY1211">
        <v>0</v>
      </c>
      <c r="BZ1211">
        <v>0</v>
      </c>
      <c r="CA1211">
        <v>0</v>
      </c>
      <c r="CB1211">
        <v>0</v>
      </c>
      <c r="CC1211">
        <v>0</v>
      </c>
      <c r="CD1211">
        <v>0</v>
      </c>
      <c r="CE1211">
        <v>0</v>
      </c>
      <c r="CF1211">
        <v>0</v>
      </c>
      <c r="CG1211">
        <v>0</v>
      </c>
      <c r="CH1211">
        <v>0</v>
      </c>
      <c r="CI1211">
        <v>0</v>
      </c>
      <c r="CJ1211">
        <v>0</v>
      </c>
      <c r="CK1211">
        <v>0</v>
      </c>
      <c r="CL1211">
        <v>0</v>
      </c>
    </row>
    <row r="1212" spans="1:95" x14ac:dyDescent="0.2">
      <c r="A1212" t="s">
        <v>114</v>
      </c>
    </row>
    <row r="1213" spans="1:95" x14ac:dyDescent="0.2">
      <c r="A1213" t="s">
        <v>922</v>
      </c>
      <c r="Z1213">
        <v>354.43390000000022</v>
      </c>
      <c r="AA1213">
        <v>380.42149999999992</v>
      </c>
      <c r="AB1213">
        <v>10.009</v>
      </c>
      <c r="AC1213">
        <v>4903.8496999999988</v>
      </c>
      <c r="AD1213">
        <v>0</v>
      </c>
      <c r="AE1213">
        <v>20.45</v>
      </c>
      <c r="AF1213">
        <v>244.36699999999999</v>
      </c>
      <c r="AG1213">
        <v>302.32150000000001</v>
      </c>
      <c r="AH1213">
        <v>3.6159999999999997</v>
      </c>
      <c r="AI1213">
        <v>288.34660000000008</v>
      </c>
      <c r="AJ1213">
        <v>0</v>
      </c>
      <c r="AK1213">
        <v>0</v>
      </c>
      <c r="AL1213">
        <v>0</v>
      </c>
      <c r="AM1213">
        <v>0</v>
      </c>
      <c r="AN1213">
        <v>0</v>
      </c>
      <c r="AO1213">
        <v>0</v>
      </c>
      <c r="AP1213">
        <v>0.75</v>
      </c>
      <c r="AQ1213">
        <v>0</v>
      </c>
      <c r="AR1213">
        <v>0</v>
      </c>
      <c r="AS1213">
        <v>939.56999999999948</v>
      </c>
      <c r="AT1213">
        <v>0</v>
      </c>
      <c r="AU1213">
        <v>0</v>
      </c>
      <c r="AV1213">
        <v>0</v>
      </c>
      <c r="AW1213">
        <v>0</v>
      </c>
      <c r="AX1213">
        <v>0</v>
      </c>
      <c r="AY1213">
        <v>24.342600000000001</v>
      </c>
      <c r="AZ1213">
        <v>0</v>
      </c>
      <c r="BA1213">
        <v>0</v>
      </c>
      <c r="BB1213">
        <v>0</v>
      </c>
      <c r="BC1213">
        <v>0</v>
      </c>
      <c r="BD1213">
        <v>9.1001999999999992</v>
      </c>
      <c r="BE1213">
        <v>751.47489999999982</v>
      </c>
      <c r="BF1213">
        <v>0</v>
      </c>
      <c r="BG1213">
        <v>0</v>
      </c>
      <c r="BP1213">
        <v>59185.2</v>
      </c>
      <c r="BQ1213">
        <v>0</v>
      </c>
      <c r="BR1213">
        <v>0</v>
      </c>
      <c r="CA1213">
        <v>0</v>
      </c>
      <c r="CB1213">
        <v>0</v>
      </c>
      <c r="CC1213">
        <v>0</v>
      </c>
      <c r="CD1213">
        <v>0</v>
      </c>
      <c r="CE1213">
        <v>0</v>
      </c>
      <c r="CF1213">
        <v>0</v>
      </c>
      <c r="CG1213">
        <v>0</v>
      </c>
      <c r="CH1213">
        <v>0</v>
      </c>
      <c r="CI1213">
        <v>0</v>
      </c>
      <c r="CJ1213">
        <v>0</v>
      </c>
      <c r="CK1213">
        <v>0</v>
      </c>
      <c r="CL1213">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Detail1</vt:lpstr>
      <vt:lpstr>Entire Project Overiew</vt:lpstr>
      <vt:lpstr>Monthly $ Break Down (TRUE)</vt:lpstr>
      <vt:lpstr>Monthly $ Break Down (wo TRUE(</vt:lpstr>
      <vt:lpstr>12 months</vt:lpstr>
      <vt:lpstr>Reusable Bunkers</vt:lpstr>
      <vt:lpstr>Monthly Values Cleaned</vt:lpstr>
      <vt:lpstr>Monthly Break Down (Pivot Tbl)</vt:lpstr>
      <vt:lpstr>Raw Data</vt:lpstr>
      <vt:lpstr>Detail2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Office 5 XLS Document</dc:title>
  <dc:subject>Office 5 XLS Document</dc:subject>
  <dc:creator>Green Halo Systems</dc:creator>
  <cp:keywords>Green Halo Systems</cp:keywords>
  <dc:description>Document for Office 5 XLS, generated by Green Halo Systems.</dc:description>
  <cp:lastModifiedBy>Reeya Randhawa</cp:lastModifiedBy>
  <dcterms:created xsi:type="dcterms:W3CDTF">2026-07-02T16:23:23Z</dcterms:created>
  <dcterms:modified xsi:type="dcterms:W3CDTF">2026-07-23T08:53:16Z</dcterms:modified>
  <cp:category>Green Halo Systems</cp:category>
</cp:coreProperties>
</file>