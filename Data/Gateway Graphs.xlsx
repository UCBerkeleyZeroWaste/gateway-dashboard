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rey\Python Projects\Gateway\Data\"/>
    </mc:Choice>
  </mc:AlternateContent>
  <xr:revisionPtr revIDLastSave="0" documentId="13_ncr:1_{FF5CC574-1851-44F6-9864-AD07CD2795F7}" xr6:coauthVersionLast="47" xr6:coauthVersionMax="47" xr10:uidLastSave="{00000000-0000-0000-0000-000000000000}"/>
  <bookViews>
    <workbookView xWindow="-110" yWindow="-110" windowWidth="19420" windowHeight="10300" xr2:uid="{3E0BF31A-B5C3-42F9-8452-CB1D29A7054B}"/>
  </bookViews>
  <sheets>
    <sheet name="Office Supply Workbook" sheetId="1" r:id="rId1"/>
    <sheet name="Plastic Graph" sheetId="3" r:id="rId2"/>
    <sheet name="Reusables Workbook" sheetId="2" r:id="rId3"/>
    <sheet name="Disposables Graph" sheetId="4" r:id="rId4"/>
    <sheet name="C&amp;D Diversion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C12" i="1"/>
  <c r="C11" i="1"/>
  <c r="K3" i="1"/>
  <c r="K2" i="1"/>
  <c r="B18" i="2"/>
  <c r="B17" i="2"/>
  <c r="E11" i="2"/>
  <c r="E2" i="2"/>
  <c r="E3" i="2"/>
  <c r="E4" i="2"/>
  <c r="E5" i="2"/>
  <c r="E6" i="2"/>
  <c r="E7" i="2"/>
  <c r="E8" i="2"/>
  <c r="E9" i="2"/>
  <c r="E10" i="2"/>
  <c r="B13" i="1"/>
  <c r="B12" i="1"/>
  <c r="B11" i="1"/>
  <c r="E4" i="1"/>
  <c r="E3" i="1"/>
  <c r="E2" i="1"/>
  <c r="E12" i="2" l="1"/>
  <c r="B16" i="2" l="1"/>
</calcChain>
</file>

<file path=xl/sharedStrings.xml><?xml version="1.0" encoding="utf-8"?>
<sst xmlns="http://schemas.openxmlformats.org/spreadsheetml/2006/main" count="50" uniqueCount="43">
  <si>
    <t>Year</t>
  </si>
  <si>
    <t>Product</t>
  </si>
  <si>
    <t>Quantity</t>
  </si>
  <si>
    <t>Plastic Per Disposable Item (g)</t>
  </si>
  <si>
    <t>B2P</t>
  </si>
  <si>
    <t>Item</t>
  </si>
  <si>
    <t>Plates</t>
  </si>
  <si>
    <t>Bowls</t>
  </si>
  <si>
    <t>Forks</t>
  </si>
  <si>
    <t>Knives</t>
  </si>
  <si>
    <t>Spoons</t>
  </si>
  <si>
    <t>Refills/yr</t>
  </si>
  <si>
    <t>Vboard Master</t>
  </si>
  <si>
    <t>Annual Plastic Prevented (g)</t>
  </si>
  <si>
    <t>Total</t>
  </si>
  <si>
    <t>Plastic Prevented (kg)</t>
  </si>
  <si>
    <t>Uses Per Workday</t>
  </si>
  <si>
    <t>Workdays/ Year</t>
  </si>
  <si>
    <t>Disposable Items Avoided/ Year</t>
  </si>
  <si>
    <t>Salad Plates</t>
  </si>
  <si>
    <t>Single Use Items Eliminated</t>
  </si>
  <si>
    <t>Serving Platters</t>
  </si>
  <si>
    <t xml:space="preserve">Tall Glasses </t>
  </si>
  <si>
    <t>Short Glasses</t>
  </si>
  <si>
    <t>Mugs</t>
  </si>
  <si>
    <t>Material</t>
  </si>
  <si>
    <t>Concrete</t>
  </si>
  <si>
    <t>Alternate Daily Cover (ADC)</t>
  </si>
  <si>
    <t>Mixed Recyclables</t>
  </si>
  <si>
    <t>Metal</t>
  </si>
  <si>
    <t>Miscellaneous Debris</t>
  </si>
  <si>
    <t>Drywall – Demo &amp; Painted</t>
  </si>
  <si>
    <t>Cardboard &amp; Paper Products</t>
  </si>
  <si>
    <t>Trash Sorted for Recovery</t>
  </si>
  <si>
    <t>Plastics &amp; Plastic Packaging Materials</t>
  </si>
  <si>
    <t>Compost</t>
  </si>
  <si>
    <t>Asphalt</t>
  </si>
  <si>
    <t>Clean Drywall</t>
  </si>
  <si>
    <t xml:space="preserve">Wood </t>
  </si>
  <si>
    <t>Tons</t>
  </si>
  <si>
    <t>For Refills</t>
  </si>
  <si>
    <t>Totals</t>
  </si>
  <si>
    <t>With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</si>
</sst>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Projected Plastic Waste Prevented Through Refillable Office Supplies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'Office Supply Workbook'!$A$11:$A$13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cat>
          <c:val>
            <c:numRef>
              <c:f>'Office Supply Workbook'!$B$11:$B$13</c:f>
              <c:numCache>
                <c:formatCode>General</c:formatCode>
                <c:ptCount val="3"/>
                <c:pt idx="0">
                  <c:v>37.915999999999997</c:v>
                </c:pt>
                <c:pt idx="1">
                  <c:v>75.831999999999994</c:v>
                </c:pt>
                <c:pt idx="2">
                  <c:v>113.748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A-401B-8673-2C1543E6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063423"/>
        <c:axId val="1952258895"/>
      </c:lineChart>
      <c:catAx>
        <c:axId val="190106342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58895"/>
        <c:crosses val="autoZero"/>
        <c:auto val="1"/>
        <c:lblAlgn val="ctr"/>
        <c:lblOffset val="100"/>
        <c:noMultiLvlLbl val="0"/>
      </c:catAx>
      <c:valAx>
        <c:axId val="19522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Plastic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6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>
                <a:effectLst/>
              </a:rPr>
              <a:t>Projected Single-Use Items Eliminated through Social Kitchen Reusables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'Reusables Workbook'!$B$15</c:f>
              <c:strCache>
                <c:ptCount val="1"/>
                <c:pt idx="0">
                  <c:v>Single Use Items Eliminated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'Reusables Workbook'!$A$16:$A$18</c:f>
              <c:numCache>
                <c:formatCode>General</c:formatCod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numCache>
            </c:numRef>
          </c:xVal>
          <c:yVal>
            <c:numRef>
              <c:f>'Reusables Workbook'!$B$16:$B$18</c:f>
              <c:numCache>
                <c:formatCode>General</c:formatCode>
                <c:ptCount val="3"/>
                <c:pt idx="0">
                  <c:v>425500</c:v>
                </c:pt>
                <c:pt idx="1">
                  <c:v>851000</c:v>
                </c:pt>
                <c:pt idx="2">
                  <c:v>1276500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4D-4C1C-AAC0-020086D0A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3535"/>
        <c:axId val="1359040303"/>
      </c:scatterChart>
      <c:valAx>
        <c:axId val="1544533535"/>
        <c:scaling>
          <c:orientation val="minMax"/>
          <c:max val="2028"/>
          <c:min val="20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40303"/>
        <c:crosses val="autoZero"/>
        <c:crossBetween val="midCat"/>
        <c:majorUnit val="1"/>
        <c:minorUnit val="0.5"/>
      </c:valAx>
      <c:valAx>
        <c:axId val="135904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Disposable  Items Eliminated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3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5</xdr:row>
      <xdr:rowOff>50800</xdr:rowOff>
    </xdr:from>
    <xdr:to>
      <xdr:col>11</xdr:col>
      <xdr:colOff>219075</xdr:colOff>
      <xdr:row>20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99B09F6-E783-21B4-CC8F-88736D5F9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1</xdr:row>
      <xdr:rowOff>133350</xdr:rowOff>
    </xdr:from>
    <xdr:to>
      <xdr:col>14</xdr:col>
      <xdr:colOff>219075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B56E08-E9A7-7FFC-6235-BB39D1565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6BF1-14EF-4130-BE6B-38C8E35954AA}">
  <dimension ref="A1:K13"/>
  <sheetViews>
    <sheetView tabSelected="1" zoomScale="78" workbookViewId="0">
      <selection activeCell="C14" sqref="C14"/>
    </sheetView>
  </sheetViews>
  <sheetFormatPr defaultRowHeight="14.5" x14ac:dyDescent="0.35"/>
  <sheetData>
    <row r="1" spans="1:11" x14ac:dyDescent="0.35">
      <c r="A1" s="1" t="s">
        <v>1</v>
      </c>
      <c r="B1" s="1" t="s">
        <v>2</v>
      </c>
      <c r="C1" s="1" t="s">
        <v>11</v>
      </c>
      <c r="D1" s="1" t="s">
        <v>3</v>
      </c>
      <c r="E1" s="1" t="s">
        <v>13</v>
      </c>
      <c r="F1" s="1"/>
      <c r="J1" t="s">
        <v>40</v>
      </c>
      <c r="K1" t="s">
        <v>41</v>
      </c>
    </row>
    <row r="2" spans="1:11" x14ac:dyDescent="0.35">
      <c r="A2" t="s">
        <v>4</v>
      </c>
      <c r="B2">
        <v>1308</v>
      </c>
      <c r="C2">
        <v>3</v>
      </c>
      <c r="D2">
        <v>9</v>
      </c>
      <c r="E2">
        <f xml:space="preserve"> B2*C2*D2</f>
        <v>35316</v>
      </c>
      <c r="J2">
        <v>2</v>
      </c>
      <c r="K2">
        <f>B2*C2*(D2+J2)</f>
        <v>43164</v>
      </c>
    </row>
    <row r="3" spans="1:11" x14ac:dyDescent="0.35">
      <c r="A3" t="s">
        <v>12</v>
      </c>
      <c r="B3">
        <v>100</v>
      </c>
      <c r="C3">
        <v>2</v>
      </c>
      <c r="D3">
        <v>13</v>
      </c>
      <c r="E3">
        <f xml:space="preserve"> B3*C3*D3</f>
        <v>2600</v>
      </c>
      <c r="J3">
        <v>3</v>
      </c>
      <c r="K3">
        <f>B3*C3*(D3+J3)</f>
        <v>3200</v>
      </c>
    </row>
    <row r="4" spans="1:11" x14ac:dyDescent="0.35">
      <c r="A4" s="1" t="s">
        <v>14</v>
      </c>
      <c r="E4">
        <f>E2+E3</f>
        <v>37916</v>
      </c>
    </row>
    <row r="10" spans="1:11" x14ac:dyDescent="0.35">
      <c r="A10" s="1" t="s">
        <v>0</v>
      </c>
      <c r="B10" s="1" t="s">
        <v>15</v>
      </c>
      <c r="C10" t="s">
        <v>42</v>
      </c>
    </row>
    <row r="11" spans="1:11" x14ac:dyDescent="0.35">
      <c r="A11">
        <v>2026</v>
      </c>
      <c r="B11">
        <f>(E2+E3)/1000</f>
        <v>37.915999999999997</v>
      </c>
      <c r="C11">
        <f>K2+K3</f>
        <v>46364</v>
      </c>
    </row>
    <row r="12" spans="1:11" x14ac:dyDescent="0.35">
      <c r="A12">
        <v>2027</v>
      </c>
      <c r="B12">
        <f>2*(E2+E3)/1000</f>
        <v>75.831999999999994</v>
      </c>
      <c r="C12">
        <f>C11*2</f>
        <v>92728</v>
      </c>
    </row>
    <row r="13" spans="1:11" x14ac:dyDescent="0.35">
      <c r="A13">
        <v>2028</v>
      </c>
      <c r="B13">
        <f>3*(E2+E3)/1000</f>
        <v>113.748</v>
      </c>
      <c r="C13">
        <f>C11*3</f>
        <v>139092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B2D8-B488-42EC-B708-90A9EE1D4534}">
  <dimension ref="A1:B4"/>
  <sheetViews>
    <sheetView workbookViewId="0">
      <selection activeCell="F14" sqref="F14"/>
    </sheetView>
  </sheetViews>
  <sheetFormatPr defaultRowHeight="14.5" x14ac:dyDescent="0.35"/>
  <sheetData>
    <row r="1" spans="1:2" x14ac:dyDescent="0.35">
      <c r="A1" s="1" t="s">
        <v>0</v>
      </c>
      <c r="B1" s="1" t="s">
        <v>15</v>
      </c>
    </row>
    <row r="2" spans="1:2" x14ac:dyDescent="0.35">
      <c r="A2">
        <v>2026</v>
      </c>
      <c r="B2">
        <v>37.915999999999997</v>
      </c>
    </row>
    <row r="3" spans="1:2" x14ac:dyDescent="0.35">
      <c r="A3">
        <v>2027</v>
      </c>
      <c r="B3">
        <v>75.831999999999994</v>
      </c>
    </row>
    <row r="4" spans="1:2" x14ac:dyDescent="0.35">
      <c r="A4">
        <v>2028</v>
      </c>
      <c r="B4">
        <v>113.748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47B4-EE30-459C-B37E-B88AFA8F0F45}">
  <dimension ref="A1:E18"/>
  <sheetViews>
    <sheetView zoomScale="85" workbookViewId="0">
      <selection activeCell="A15" sqref="A15:B18"/>
    </sheetView>
  </sheetViews>
  <sheetFormatPr defaultRowHeight="14.5" x14ac:dyDescent="0.35"/>
  <sheetData>
    <row r="1" spans="1:5" x14ac:dyDescent="0.35">
      <c r="A1" t="s">
        <v>5</v>
      </c>
      <c r="B1" t="s">
        <v>2</v>
      </c>
      <c r="C1" t="s">
        <v>16</v>
      </c>
      <c r="D1" t="s">
        <v>17</v>
      </c>
      <c r="E1" t="s">
        <v>18</v>
      </c>
    </row>
    <row r="2" spans="1:5" x14ac:dyDescent="0.35">
      <c r="A2" t="s">
        <v>22</v>
      </c>
      <c r="B2">
        <v>90</v>
      </c>
      <c r="C2">
        <v>1</v>
      </c>
      <c r="D2">
        <v>250</v>
      </c>
      <c r="E2">
        <f>B2*C2*D2</f>
        <v>22500</v>
      </c>
    </row>
    <row r="3" spans="1:5" x14ac:dyDescent="0.35">
      <c r="A3" t="s">
        <v>23</v>
      </c>
      <c r="B3">
        <v>90</v>
      </c>
      <c r="C3">
        <v>1</v>
      </c>
      <c r="D3">
        <v>250</v>
      </c>
      <c r="E3">
        <f t="shared" ref="E3:E10" si="0">B3*C3*D3</f>
        <v>22500</v>
      </c>
    </row>
    <row r="4" spans="1:5" x14ac:dyDescent="0.35">
      <c r="A4" t="s">
        <v>6</v>
      </c>
      <c r="B4">
        <v>210</v>
      </c>
      <c r="C4">
        <v>1</v>
      </c>
      <c r="D4">
        <v>250</v>
      </c>
      <c r="E4">
        <f t="shared" si="0"/>
        <v>52500</v>
      </c>
    </row>
    <row r="5" spans="1:5" x14ac:dyDescent="0.35">
      <c r="A5" t="s">
        <v>19</v>
      </c>
      <c r="B5">
        <v>210</v>
      </c>
      <c r="C5">
        <v>1</v>
      </c>
      <c r="D5">
        <v>250</v>
      </c>
      <c r="E5">
        <f t="shared" si="0"/>
        <v>52500</v>
      </c>
    </row>
    <row r="6" spans="1:5" x14ac:dyDescent="0.35">
      <c r="A6" t="s">
        <v>7</v>
      </c>
      <c r="B6">
        <v>210</v>
      </c>
      <c r="C6">
        <v>1</v>
      </c>
      <c r="D6">
        <v>250</v>
      </c>
      <c r="E6">
        <f t="shared" si="0"/>
        <v>52500</v>
      </c>
    </row>
    <row r="7" spans="1:5" x14ac:dyDescent="0.35">
      <c r="A7" t="s">
        <v>8</v>
      </c>
      <c r="B7">
        <v>256</v>
      </c>
      <c r="C7">
        <v>1</v>
      </c>
      <c r="D7">
        <v>250</v>
      </c>
      <c r="E7">
        <f t="shared" si="0"/>
        <v>64000</v>
      </c>
    </row>
    <row r="8" spans="1:5" x14ac:dyDescent="0.35">
      <c r="A8" t="s">
        <v>9</v>
      </c>
      <c r="B8">
        <v>128</v>
      </c>
      <c r="C8">
        <v>1</v>
      </c>
      <c r="D8">
        <v>250</v>
      </c>
      <c r="E8">
        <f t="shared" si="0"/>
        <v>32000</v>
      </c>
    </row>
    <row r="9" spans="1:5" x14ac:dyDescent="0.35">
      <c r="A9" t="s">
        <v>10</v>
      </c>
      <c r="B9">
        <v>256</v>
      </c>
      <c r="C9">
        <v>1</v>
      </c>
      <c r="D9">
        <v>250</v>
      </c>
      <c r="E9">
        <f t="shared" si="0"/>
        <v>64000</v>
      </c>
    </row>
    <row r="10" spans="1:5" x14ac:dyDescent="0.35">
      <c r="A10" t="s">
        <v>21</v>
      </c>
      <c r="B10">
        <v>36</v>
      </c>
      <c r="C10">
        <v>1</v>
      </c>
      <c r="D10">
        <v>250</v>
      </c>
      <c r="E10">
        <f t="shared" si="0"/>
        <v>9000</v>
      </c>
    </row>
    <row r="11" spans="1:5" x14ac:dyDescent="0.35">
      <c r="A11" t="s">
        <v>24</v>
      </c>
      <c r="B11">
        <v>216</v>
      </c>
      <c r="C11">
        <v>1</v>
      </c>
      <c r="D11">
        <v>250</v>
      </c>
      <c r="E11">
        <f>B11*C11*D11</f>
        <v>54000</v>
      </c>
    </row>
    <row r="12" spans="1:5" x14ac:dyDescent="0.35">
      <c r="A12" s="1" t="s">
        <v>14</v>
      </c>
      <c r="E12">
        <f>SUM(E2:E11)</f>
        <v>425500</v>
      </c>
    </row>
    <row r="15" spans="1:5" x14ac:dyDescent="0.35">
      <c r="A15" s="1" t="s">
        <v>0</v>
      </c>
      <c r="B15" s="1" t="s">
        <v>20</v>
      </c>
    </row>
    <row r="16" spans="1:5" x14ac:dyDescent="0.35">
      <c r="A16">
        <v>2026</v>
      </c>
      <c r="B16">
        <f>E12</f>
        <v>425500</v>
      </c>
    </row>
    <row r="17" spans="1:2" x14ac:dyDescent="0.35">
      <c r="A17">
        <v>2027</v>
      </c>
      <c r="B17">
        <f>E12*2</f>
        <v>851000</v>
      </c>
    </row>
    <row r="18" spans="1:2" x14ac:dyDescent="0.35">
      <c r="A18">
        <v>2028</v>
      </c>
      <c r="B18">
        <f>E12*3</f>
        <v>1276500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837D-0D1F-4D41-844A-B822254A0770}">
  <dimension ref="A1:B4"/>
  <sheetViews>
    <sheetView workbookViewId="0">
      <selection activeCell="D6" sqref="D6"/>
    </sheetView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>
        <v>2026</v>
      </c>
      <c r="B2">
        <v>425500</v>
      </c>
    </row>
    <row r="3" spans="1:2" x14ac:dyDescent="0.35">
      <c r="A3">
        <v>2027</v>
      </c>
      <c r="B3">
        <v>851000</v>
      </c>
    </row>
    <row r="4" spans="1:2" x14ac:dyDescent="0.35">
      <c r="A4">
        <v>2028</v>
      </c>
      <c r="B4">
        <v>1276500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4282-C5DE-4371-A643-E7830807A9B4}">
  <dimension ref="A1:B14"/>
  <sheetViews>
    <sheetView workbookViewId="0">
      <selection activeCell="D3" sqref="D3"/>
    </sheetView>
  </sheetViews>
  <sheetFormatPr defaultRowHeight="14.5" x14ac:dyDescent="0.35"/>
  <sheetData>
    <row r="1" spans="1:2" x14ac:dyDescent="0.35">
      <c r="A1" s="2" t="s">
        <v>25</v>
      </c>
      <c r="B1" s="3" t="s">
        <v>39</v>
      </c>
    </row>
    <row r="2" spans="1:2" x14ac:dyDescent="0.35">
      <c r="A2" s="4" t="s">
        <v>26</v>
      </c>
      <c r="B2" s="3">
        <v>4903.8496999999998</v>
      </c>
    </row>
    <row r="3" spans="1:2" ht="29" x14ac:dyDescent="0.35">
      <c r="A3" s="4" t="s">
        <v>37</v>
      </c>
      <c r="B3" s="3">
        <v>939.57</v>
      </c>
    </row>
    <row r="4" spans="1:2" x14ac:dyDescent="0.35">
      <c r="A4" s="4" t="s">
        <v>38</v>
      </c>
      <c r="B4" s="3">
        <v>751.47490000000005</v>
      </c>
    </row>
    <row r="5" spans="1:2" x14ac:dyDescent="0.35">
      <c r="A5" s="4" t="s">
        <v>36</v>
      </c>
      <c r="B5" s="3">
        <v>380.42149999999998</v>
      </c>
    </row>
    <row r="6" spans="1:2" ht="58" x14ac:dyDescent="0.35">
      <c r="A6" s="4" t="s">
        <v>27</v>
      </c>
      <c r="B6" s="3">
        <v>354.43389999999999</v>
      </c>
    </row>
    <row r="7" spans="1:2" ht="43.5" x14ac:dyDescent="0.35">
      <c r="A7" s="4" t="s">
        <v>28</v>
      </c>
      <c r="B7" s="3">
        <v>302.32150000000001</v>
      </c>
    </row>
    <row r="8" spans="1:2" x14ac:dyDescent="0.35">
      <c r="A8" s="4" t="s">
        <v>29</v>
      </c>
      <c r="B8" s="3">
        <v>244.36699999999999</v>
      </c>
    </row>
    <row r="9" spans="1:2" ht="43.5" x14ac:dyDescent="0.35">
      <c r="A9" s="4" t="s">
        <v>30</v>
      </c>
      <c r="B9" s="3">
        <v>24.342600000000001</v>
      </c>
    </row>
    <row r="10" spans="1:2" ht="43.5" x14ac:dyDescent="0.35">
      <c r="A10" s="4" t="s">
        <v>31</v>
      </c>
      <c r="B10" s="3">
        <v>20.45</v>
      </c>
    </row>
    <row r="11" spans="1:2" ht="43.5" x14ac:dyDescent="0.35">
      <c r="A11" s="4" t="s">
        <v>32</v>
      </c>
      <c r="B11" s="3">
        <v>10.009</v>
      </c>
    </row>
    <row r="12" spans="1:2" ht="43.5" x14ac:dyDescent="0.35">
      <c r="A12" s="4" t="s">
        <v>33</v>
      </c>
      <c r="B12" s="3">
        <v>9.1001999999999992</v>
      </c>
    </row>
    <row r="13" spans="1:2" ht="72.5" x14ac:dyDescent="0.35">
      <c r="A13" s="4" t="s">
        <v>34</v>
      </c>
      <c r="B13" s="3">
        <v>3.6160000000000001</v>
      </c>
    </row>
    <row r="14" spans="1:2" x14ac:dyDescent="0.35">
      <c r="A14" s="4" t="s">
        <v>35</v>
      </c>
      <c r="B14" s="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Office Supply Workbook</vt:lpstr>
      <vt:lpstr>Plastic Graph</vt:lpstr>
      <vt:lpstr>Reusables Workbook</vt:lpstr>
      <vt:lpstr>Disposables Graph</vt:lpstr>
      <vt:lpstr>C&amp;D Diversion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Pollack</dc:creator>
  <cp:lastModifiedBy>Audrey Pollack</cp:lastModifiedBy>
  <dcterms:created xsi:type="dcterms:W3CDTF">2026-07-02T16:55:38Z</dcterms:created>
  <dcterms:modified xsi:type="dcterms:W3CDTF">2026-07-25T05:55:38Z</dcterms:modified>
</cp:coreProperties>
</file>